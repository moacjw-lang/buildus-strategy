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_01_공사전" sheetId="1" state="visible" r:id="rId1"/>
    <sheet xmlns:r="http://schemas.openxmlformats.org/officeDocument/2006/relationships" name="자재_02_철거" sheetId="2" state="visible" r:id="rId2"/>
    <sheet xmlns:r="http://schemas.openxmlformats.org/officeDocument/2006/relationships" name="자재_03_설비" sheetId="3" state="visible" r:id="rId3"/>
    <sheet xmlns:r="http://schemas.openxmlformats.org/officeDocument/2006/relationships" name="자재_04_전기" sheetId="4" state="visible" r:id="rId4"/>
    <sheet xmlns:r="http://schemas.openxmlformats.org/officeDocument/2006/relationships" name="자재_05_방수" sheetId="5" state="visible" r:id="rId5"/>
    <sheet xmlns:r="http://schemas.openxmlformats.org/officeDocument/2006/relationships" name="자재_06_창호" sheetId="6" state="visible" r:id="rId6"/>
    <sheet xmlns:r="http://schemas.openxmlformats.org/officeDocument/2006/relationships" name="자재_07_목공" sheetId="7" state="visible" r:id="rId7"/>
    <sheet xmlns:r="http://schemas.openxmlformats.org/officeDocument/2006/relationships" name="자재_08_필름" sheetId="8" state="visible" r:id="rId8"/>
    <sheet xmlns:r="http://schemas.openxmlformats.org/officeDocument/2006/relationships" name="자재_09_타일" sheetId="9" state="visible" r:id="rId9"/>
    <sheet xmlns:r="http://schemas.openxmlformats.org/officeDocument/2006/relationships" name="자재_10_도장" sheetId="10" state="visible" r:id="rId10"/>
    <sheet xmlns:r="http://schemas.openxmlformats.org/officeDocument/2006/relationships" name="자재_11_마루" sheetId="11" state="visible" r:id="rId11"/>
    <sheet xmlns:r="http://schemas.openxmlformats.org/officeDocument/2006/relationships" name="자재_12_도배" sheetId="12" state="visible" r:id="rId12"/>
    <sheet xmlns:r="http://schemas.openxmlformats.org/officeDocument/2006/relationships" name="자재_13_가구" sheetId="13" state="visible" r:id="rId13"/>
    <sheet xmlns:r="http://schemas.openxmlformats.org/officeDocument/2006/relationships" name="자재_14_도기마감" sheetId="14" state="visible" r:id="rId14"/>
    <sheet xmlns:r="http://schemas.openxmlformats.org/officeDocument/2006/relationships" name="자재_15_준공" sheetId="15" state="visible" r:id="rId15"/>
    <sheet xmlns:r="http://schemas.openxmlformats.org/officeDocument/2006/relationships" name="공정마스터" sheetId="16" state="visible" r:id="rId16"/>
    <sheet xmlns:r="http://schemas.openxmlformats.org/officeDocument/2006/relationships" name="호환성" sheetId="17" state="visible" r:id="rId17"/>
    <sheet xmlns:r="http://schemas.openxmlformats.org/officeDocument/2006/relationships" name="공급사" sheetId="18" state="visible" r:id="rId18"/>
    <sheet xmlns:r="http://schemas.openxmlformats.org/officeDocument/2006/relationships" name="면적참조" sheetId="19" state="visible" r:id="rId19"/>
    <sheet xmlns:r="http://schemas.openxmlformats.org/officeDocument/2006/relationships" name="견적서요약" sheetId="20" state="visible" r:id="rId20"/>
  </sheets>
  <definedNames>
    <definedName name="_xlnm._FilterDatabase" localSheetId="0" hidden="1">'자재_01_공사전'!$A$4:$AB$71</definedName>
    <definedName name="_xlnm._FilterDatabase" localSheetId="1" hidden="1">'자재_02_철거'!$A$4:$AB$52</definedName>
    <definedName name="_xlnm._FilterDatabase" localSheetId="2" hidden="1">'자재_03_설비'!$A$4:$AB$46</definedName>
    <definedName name="_xlnm._FilterDatabase" localSheetId="3" hidden="1">'자재_04_전기'!$A$4:$AB$76</definedName>
    <definedName name="_xlnm._FilterDatabase" localSheetId="4" hidden="1">'자재_05_방수'!$A$4:$AB$27</definedName>
    <definedName name="_xlnm._FilterDatabase" localSheetId="5" hidden="1">'자재_06_창호'!$A$4:$AB$30</definedName>
    <definedName name="_xlnm._FilterDatabase" localSheetId="6" hidden="1">'자재_07_목공'!$A$4:$AB$120</definedName>
    <definedName name="_xlnm._FilterDatabase" localSheetId="7" hidden="1">'자재_08_필름'!$A$4:$AB$51</definedName>
    <definedName name="_xlnm._FilterDatabase" localSheetId="8" hidden="1">'자재_09_타일'!$A$4:$AB$66</definedName>
    <definedName name="_xlnm._FilterDatabase" localSheetId="9" hidden="1">'자재_10_도장'!$A$4:$AB$40</definedName>
    <definedName name="_xlnm._FilterDatabase" localSheetId="10" hidden="1">'자재_11_마루'!$A$4:$AB$29</definedName>
    <definedName name="_xlnm._FilterDatabase" localSheetId="11" hidden="1">'자재_12_도배'!$A$4:$AB$43</definedName>
    <definedName name="_xlnm._FilterDatabase" localSheetId="12" hidden="1">'자재_13_가구'!$A$4:$AB$118</definedName>
    <definedName name="_xlnm._FilterDatabase" localSheetId="13" hidden="1">'자재_14_도기마감'!$A$4:$AB$68</definedName>
    <definedName name="_xlnm._FilterDatabase" localSheetId="14" hidden="1">'자재_15_준공'!$A$4:$AB$21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4299E1"/>
      <sz val="11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D69E2E"/>
      <sz val="10"/>
    </font>
    <font>
      <name val="맑은 고딕"/>
      <i val="1"/>
      <color rgb="00718096"/>
      <sz val="9"/>
    </font>
  </fonts>
  <fills count="7">
    <fill>
      <patternFill/>
    </fill>
    <fill>
      <patternFill patternType="gray125"/>
    </fill>
    <fill>
      <patternFill patternType="solid">
        <fgColor rgb="004A5568"/>
        <bgColor rgb="004A5568"/>
      </patternFill>
    </fill>
    <fill>
      <patternFill patternType="solid">
        <fgColor rgb="002D3748"/>
        <bgColor rgb="002D3748"/>
      </patternFill>
    </fill>
    <fill>
      <patternFill patternType="solid">
        <fgColor rgb="00EBF8FF"/>
        <bgColor rgb="00EBF8FF"/>
      </patternFill>
    </fill>
    <fill>
      <patternFill patternType="solid">
        <fgColor rgb="00FFFFF0"/>
        <bgColor rgb="00FFFFF0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164" fontId="4" fillId="6" borderId="1" applyAlignment="1" pivotButton="0" quotePrefix="0" xfId="0">
      <alignment vertical="center" wrapText="1"/>
    </xf>
    <xf numFmtId="3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0" fillId="0" borderId="1" pivotButton="0" quotePrefix="0" xfId="0"/>
    <xf numFmtId="164" fontId="0" fillId="4" borderId="1" pivotButton="0" quotePrefix="0" xfId="0"/>
    <xf numFmtId="3" fontId="0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18096"/>
    <outlinePr summaryBelow="1" summaryRight="1"/>
    <pageSetUpPr/>
  </sheetPr>
  <dimension ref="A1:AB7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공사전 준비 자재</t>
        </is>
      </c>
    </row>
    <row r="2">
      <c r="A2" s="2" t="inlineStr">
        <is>
          <t>공정코드: PRE | 체크리스트 + 16개 견적서 전체 항목 | ★=견적서 추출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(16개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PRE-001</t>
        </is>
      </c>
      <c r="B5" s="6" t="inlineStr">
        <is>
          <t>보양재</t>
        </is>
      </c>
      <c r="C5" s="6" t="inlineStr">
        <is>
          <t>롤/시트</t>
        </is>
      </c>
      <c r="D5" s="6" t="inlineStr">
        <is>
          <t>엘리베이터·공용부·에어컨·창호 보양</t>
        </is>
      </c>
      <c r="E5" s="6" t="inlineStr">
        <is>
          <t>필수</t>
        </is>
      </c>
      <c r="F5" s="6" t="inlineStr">
        <is>
          <t>M2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>
        <is>
          <t>현장 손상 방지</t>
        </is>
      </c>
      <c r="AA5" s="8" t="n">
        <v>2000</v>
      </c>
      <c r="AB5" s="8" t="n">
        <v>8000</v>
      </c>
    </row>
    <row r="6">
      <c r="A6" s="6" t="inlineStr">
        <is>
          <t>PRE-002</t>
        </is>
      </c>
      <c r="B6" s="6" t="inlineStr">
        <is>
          <t>소화기</t>
        </is>
      </c>
      <c r="C6" s="6" t="inlineStr">
        <is>
          <t>ABC 3.3kg</t>
        </is>
      </c>
      <c r="D6" s="6" t="inlineStr">
        <is>
          <t>현장 비치</t>
        </is>
      </c>
      <c r="E6" s="6" t="inlineStr">
        <is>
          <t>필수</t>
        </is>
      </c>
      <c r="F6" s="6" t="inlineStr">
        <is>
          <t>개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>
        <is>
          <t>소방 안전</t>
        </is>
      </c>
      <c r="AA6" s="8" t="n"/>
      <c r="AB6" s="8" t="n"/>
    </row>
    <row r="7">
      <c r="A7" s="6" t="inlineStr">
        <is>
          <t>PRE-003</t>
        </is>
      </c>
      <c r="B7" s="6" t="inlineStr">
        <is>
          <t>안전수칙 안내문</t>
        </is>
      </c>
      <c r="C7" s="6" t="inlineStr">
        <is>
          <t>A3</t>
        </is>
      </c>
      <c r="D7" s="6" t="inlineStr">
        <is>
          <t>현장 부착</t>
        </is>
      </c>
      <c r="E7" s="6" t="inlineStr">
        <is>
          <t>필수</t>
        </is>
      </c>
      <c r="F7" s="6" t="inlineStr">
        <is>
          <t>장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PRE-004</t>
        </is>
      </c>
      <c r="B8" s="6" t="inlineStr">
        <is>
          <t>공사 안내문</t>
        </is>
      </c>
      <c r="C8" s="6" t="inlineStr">
        <is>
          <t>A4</t>
        </is>
      </c>
      <c r="D8" s="6" t="inlineStr">
        <is>
          <t>이웃 배포</t>
        </is>
      </c>
      <c r="E8" s="6" t="inlineStr">
        <is>
          <t>필수</t>
        </is>
      </c>
      <c r="F8" s="6" t="inlineStr">
        <is>
          <t>장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PRE-005</t>
        </is>
      </c>
      <c r="B9" s="6" t="inlineStr">
        <is>
          <t>마대자루</t>
        </is>
      </c>
      <c r="C9" s="6" t="inlineStr">
        <is>
          <t>PP</t>
        </is>
      </c>
      <c r="D9" s="6" t="inlineStr">
        <is>
          <t>폐기물 담기</t>
        </is>
      </c>
      <c r="E9" s="6" t="inlineStr">
        <is>
          <t>필수</t>
        </is>
      </c>
      <c r="F9" s="6" t="inlineStr">
        <is>
          <t>장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PRE-006</t>
        </is>
      </c>
      <c r="B10" s="6" t="inlineStr">
        <is>
          <t>줄자</t>
        </is>
      </c>
      <c r="C10" s="6" t="inlineStr">
        <is>
          <t>5m/7.5m</t>
        </is>
      </c>
      <c r="D10" s="6" t="inlineStr">
        <is>
          <t>실측용</t>
        </is>
      </c>
      <c r="E10" s="6" t="inlineStr">
        <is>
          <t>필수</t>
        </is>
      </c>
      <c r="F10" s="6" t="inlineStr">
        <is>
          <t>개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PRE-007</t>
        </is>
      </c>
      <c r="B11" s="6" t="inlineStr">
        <is>
          <t>레이저 줄자</t>
        </is>
      </c>
      <c r="C11" s="6" t="inlineStr">
        <is>
          <t>—</t>
        </is>
      </c>
      <c r="D11" s="6" t="inlineStr">
        <is>
          <t>정밀 실측</t>
        </is>
      </c>
      <c r="E11" s="6" t="inlineStr">
        <is>
          <t>선택</t>
        </is>
      </c>
      <c r="F11" s="6" t="inlineStr">
        <is>
          <t>개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PRE-008</t>
        </is>
      </c>
      <c r="B12" s="6" t="inlineStr">
        <is>
          <t>레벨기</t>
        </is>
      </c>
      <c r="C12" s="6" t="inlineStr">
        <is>
          <t>레이저</t>
        </is>
      </c>
      <c r="D12" s="6" t="inlineStr">
        <is>
          <t>수평·수직 확인</t>
        </is>
      </c>
      <c r="E12" s="6" t="inlineStr">
        <is>
          <t>필수</t>
        </is>
      </c>
      <c r="F12" s="6" t="inlineStr">
        <is>
          <t>개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PRE-009</t>
        </is>
      </c>
      <c r="B13" s="6" t="inlineStr">
        <is>
          <t>수평계</t>
        </is>
      </c>
      <c r="C13" s="6" t="inlineStr">
        <is>
          <t>자석형</t>
        </is>
      </c>
      <c r="D13" s="6" t="inlineStr">
        <is>
          <t>수평 확인</t>
        </is>
      </c>
      <c r="E13" s="6" t="inlineStr">
        <is>
          <t>필수</t>
        </is>
      </c>
      <c r="F13" s="6" t="inlineStr">
        <is>
          <t>개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PRE-010</t>
        </is>
      </c>
      <c r="B14" s="6" t="inlineStr">
        <is>
          <t>안전모</t>
        </is>
      </c>
      <c r="C14" s="6" t="inlineStr">
        <is>
          <t>—</t>
        </is>
      </c>
      <c r="D14" s="6" t="inlineStr">
        <is>
          <t>작업자 보호</t>
        </is>
      </c>
      <c r="E14" s="6" t="inlineStr">
        <is>
          <t>필수</t>
        </is>
      </c>
      <c r="F14" s="6" t="inlineStr">
        <is>
          <t>개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PRE-011</t>
        </is>
      </c>
      <c r="B15" s="6" t="inlineStr">
        <is>
          <t>안전화</t>
        </is>
      </c>
      <c r="C15" s="6" t="inlineStr">
        <is>
          <t>—</t>
        </is>
      </c>
      <c r="D15" s="6" t="inlineStr">
        <is>
          <t>작업자 보호</t>
        </is>
      </c>
      <c r="E15" s="6" t="inlineStr">
        <is>
          <t>필수</t>
        </is>
      </c>
      <c r="F15" s="6" t="inlineStr">
        <is>
          <t>켤레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PRE-012</t>
        </is>
      </c>
      <c r="B16" s="6" t="inlineStr">
        <is>
          <t>빗자루/쓰레받이</t>
        </is>
      </c>
      <c r="C16" s="6" t="inlineStr">
        <is>
          <t>—</t>
        </is>
      </c>
      <c r="D16" s="6" t="inlineStr">
        <is>
          <t>현장 청소</t>
        </is>
      </c>
      <c r="E16" s="6" t="inlineStr">
        <is>
          <t>필수</t>
        </is>
      </c>
      <c r="F16" s="6" t="inlineStr">
        <is>
          <t>세트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PRE-013</t>
        </is>
      </c>
      <c r="B17" s="6" t="inlineStr">
        <is>
          <t>사다리차</t>
        </is>
      </c>
      <c r="C17" s="6" t="inlineStr">
        <is>
          <t>—</t>
        </is>
      </c>
      <c r="D17" s="6" t="inlineStr">
        <is>
          <t>자재 양중</t>
        </is>
      </c>
      <c r="E17" s="6" t="inlineStr">
        <is>
          <t>필수</t>
        </is>
      </c>
      <c r="F17" s="6" t="inlineStr">
        <is>
          <t>대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>
        <is>
          <t>대운반</t>
        </is>
      </c>
      <c r="AA17" s="8" t="n"/>
      <c r="AB17" s="8" t="n">
        <v>350000</v>
      </c>
    </row>
    <row r="18">
      <c r="A18" s="6" t="inlineStr">
        <is>
          <t>PRE-014</t>
        </is>
      </c>
      <c r="B18" s="6" t="inlineStr">
        <is>
          <t>작업등</t>
        </is>
      </c>
      <c r="C18" s="6" t="inlineStr">
        <is>
          <t>LED</t>
        </is>
      </c>
      <c r="D18" s="6" t="inlineStr">
        <is>
          <t>공사 기간 조명</t>
        </is>
      </c>
      <c r="E18" s="6" t="inlineStr">
        <is>
          <t>필수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9" t="inlineStr">
        <is>
          <t>PRE-01E</t>
        </is>
      </c>
      <c r="B19" s="9" t="inlineStr">
        <is>
          <t>개별 보일러</t>
        </is>
      </c>
      <c r="C19" s="6" t="inlineStr">
        <is>
          <t>경동보일러 / 별도</t>
        </is>
      </c>
      <c r="D19" s="6" t="inlineStr"/>
      <c r="E19" s="6" t="inlineStr">
        <is>
          <t>필수</t>
        </is>
      </c>
      <c r="F19" s="6" t="inlineStr">
        <is>
          <t>식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>
        <is>
          <t>6현장: 린스,만현,백현,산본,진산</t>
        </is>
      </c>
      <c r="AA19" s="8" t="n"/>
      <c r="AB19" s="8" t="n"/>
    </row>
    <row r="20">
      <c r="A20" s="9" t="inlineStr">
        <is>
          <t>PRE-02E</t>
        </is>
      </c>
      <c r="B20" s="9" t="inlineStr">
        <is>
          <t>거실 벽체</t>
        </is>
      </c>
      <c r="C20" s="6" t="inlineStr">
        <is>
          <t>600*1200</t>
        </is>
      </c>
      <c r="D20" s="6" t="inlineStr"/>
      <c r="E20" s="6" t="inlineStr">
        <is>
          <t>필수</t>
        </is>
      </c>
      <c r="F20" s="6" t="inlineStr">
        <is>
          <t>식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>
        <is>
          <t>1현장: 금호</t>
        </is>
      </c>
      <c r="AA20" s="8" t="n"/>
      <c r="AB20" s="8" t="n"/>
    </row>
    <row r="21">
      <c r="A21" s="9" t="inlineStr">
        <is>
          <t>PRE-03E</t>
        </is>
      </c>
      <c r="B21" s="9" t="inlineStr">
        <is>
          <t>공사동의서</t>
        </is>
      </c>
      <c r="C21" s="6" t="inlineStr">
        <is>
          <t>—</t>
        </is>
      </c>
      <c r="D21" s="6" t="inlineStr"/>
      <c r="E21" s="6" t="inlineStr">
        <is>
          <t>필수</t>
        </is>
      </c>
      <c r="F21" s="6" t="inlineStr">
        <is>
          <t>식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>
        <is>
          <t>5현장: 금호,이선,이성숙,전기영,행당동</t>
        </is>
      </c>
      <c r="AA21" s="8" t="n">
        <v>200000</v>
      </c>
      <c r="AB21" s="8" t="n"/>
    </row>
    <row r="22">
      <c r="A22" s="9" t="inlineStr">
        <is>
          <t>PRE-04E</t>
        </is>
      </c>
      <c r="B22" s="9" t="inlineStr">
        <is>
          <t>공사동의서 및 행위허가</t>
        </is>
      </c>
      <c r="C22" s="6" t="inlineStr">
        <is>
          <t>행위허가</t>
        </is>
      </c>
      <c r="D22" s="6" t="inlineStr">
        <is>
          <t>소견서 2장추가</t>
        </is>
      </c>
      <c r="E22" s="6" t="inlineStr">
        <is>
          <t>필수</t>
        </is>
      </c>
      <c r="F22" s="6" t="inlineStr">
        <is>
          <t>식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>
        <is>
          <t>12현장: 금호,김성용,김은경,린스,만현</t>
        </is>
      </c>
      <c r="AA22" s="8" t="n">
        <v>350000</v>
      </c>
      <c r="AB22" s="8" t="n"/>
    </row>
    <row r="23">
      <c r="A23" s="9" t="inlineStr">
        <is>
          <t>PRE-05E</t>
        </is>
      </c>
      <c r="B23" s="9" t="inlineStr">
        <is>
          <t>난방배관 교체</t>
        </is>
      </c>
      <c r="C23" s="6" t="inlineStr">
        <is>
          <t>홈파기 / 분배기 교체 포함</t>
        </is>
      </c>
      <c r="D23" s="6" t="inlineStr"/>
      <c r="E23" s="6" t="inlineStr">
        <is>
          <t>필수</t>
        </is>
      </c>
      <c r="F23" s="6" t="inlineStr">
        <is>
          <t>식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>
        <is>
          <t>6현장: 린스,만현,백현,산본,진산</t>
        </is>
      </c>
      <c r="AA23" s="8" t="n">
        <v>8110000</v>
      </c>
      <c r="AB23" s="8" t="n"/>
    </row>
    <row r="24">
      <c r="A24" s="9" t="inlineStr">
        <is>
          <t>PRE-06E</t>
        </is>
      </c>
      <c r="B24" s="9" t="inlineStr">
        <is>
          <t>대운반</t>
        </is>
      </c>
      <c r="C24" s="6" t="inlineStr">
        <is>
          <t>자재 양중</t>
        </is>
      </c>
      <c r="D24" s="6" t="inlineStr">
        <is>
          <t>세라믹 양중</t>
        </is>
      </c>
      <c r="E24" s="6" t="inlineStr">
        <is>
          <t>필수</t>
        </is>
      </c>
      <c r="F24" s="6" t="inlineStr">
        <is>
          <t>대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>
        <is>
          <t>13현장: 금호,김성용,김은경,린스,만현</t>
        </is>
      </c>
      <c r="AA24" s="8" t="n">
        <v>400000</v>
      </c>
      <c r="AB24" s="8" t="n">
        <v>350000</v>
      </c>
    </row>
    <row r="25">
      <c r="A25" s="9" t="inlineStr">
        <is>
          <t>PRE-07E</t>
        </is>
      </c>
      <c r="B25" s="9" t="inlineStr">
        <is>
          <t>데크 계단</t>
        </is>
      </c>
      <c r="C25" s="6" t="inlineStr">
        <is>
          <t>—</t>
        </is>
      </c>
      <c r="D25" s="6" t="inlineStr"/>
      <c r="E25" s="6" t="inlineStr">
        <is>
          <t>필수</t>
        </is>
      </c>
      <c r="F25" s="6" t="inlineStr">
        <is>
          <t>M2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>
        <is>
          <t>4현장: 금호,이선,전기영,행당동</t>
        </is>
      </c>
      <c r="AA25" s="8" t="n">
        <v>140000</v>
      </c>
      <c r="AB25" s="8" t="n">
        <v>80000</v>
      </c>
    </row>
    <row r="26">
      <c r="A26" s="9" t="inlineStr">
        <is>
          <t>PRE-08E</t>
        </is>
      </c>
      <c r="B26" s="9" t="inlineStr">
        <is>
          <t>디지털 도어락</t>
        </is>
      </c>
      <c r="C26" s="6" t="inlineStr">
        <is>
          <t>별도</t>
        </is>
      </c>
      <c r="D26" s="6" t="inlineStr"/>
      <c r="E26" s="6" t="inlineStr">
        <is>
          <t>필수</t>
        </is>
      </c>
      <c r="F26" s="6" t="inlineStr">
        <is>
          <t>M2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>
        <is>
          <t>7현장: 금호,김성용,김은경,이선,이성숙</t>
        </is>
      </c>
      <c r="AA26" s="8" t="n"/>
      <c r="AB26" s="8" t="n"/>
    </row>
    <row r="27">
      <c r="A27" s="9" t="inlineStr">
        <is>
          <t>PRE-09E</t>
        </is>
      </c>
      <c r="B27" s="9" t="inlineStr">
        <is>
          <t>바닥 타일</t>
        </is>
      </c>
      <c r="C27" s="6" t="inlineStr">
        <is>
          <t>600*1200</t>
        </is>
      </c>
      <c r="D27" s="6" t="inlineStr"/>
      <c r="E27" s="6" t="inlineStr">
        <is>
          <t>필수</t>
        </is>
      </c>
      <c r="F27" s="6" t="inlineStr">
        <is>
          <t>M2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>
        <is>
          <t>1현장: 금호</t>
        </is>
      </c>
      <c r="AA27" s="8" t="n">
        <v>25000</v>
      </c>
      <c r="AB27" s="8" t="n"/>
    </row>
    <row r="28">
      <c r="A28" s="9" t="inlineStr">
        <is>
          <t>PRE-10E</t>
        </is>
      </c>
      <c r="B28" s="9" t="inlineStr">
        <is>
          <t>바닥타일</t>
        </is>
      </c>
      <c r="C28" s="6" t="inlineStr">
        <is>
          <t>600*1200</t>
        </is>
      </c>
      <c r="D28" s="6" t="inlineStr">
        <is>
          <t>VALENTINO</t>
        </is>
      </c>
      <c r="E28" s="6" t="inlineStr">
        <is>
          <t>필수</t>
        </is>
      </c>
      <c r="F28" s="6" t="inlineStr">
        <is>
          <t>M2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>
        <is>
          <t>1현장: 금호</t>
        </is>
      </c>
      <c r="AA28" s="8" t="n">
        <v>26008</v>
      </c>
      <c r="AB28" s="8" t="n">
        <v>50000</v>
      </c>
    </row>
    <row r="29">
      <c r="A29" s="9" t="inlineStr">
        <is>
          <t>PRE-11E</t>
        </is>
      </c>
      <c r="B29" s="9" t="inlineStr">
        <is>
          <t>발코니</t>
        </is>
      </c>
      <c r="C29" s="6" t="inlineStr">
        <is>
          <t>300*300</t>
        </is>
      </c>
      <c r="D29" s="6" t="inlineStr"/>
      <c r="E29" s="6" t="inlineStr">
        <is>
          <t>필수</t>
        </is>
      </c>
      <c r="F29" s="6" t="inlineStr">
        <is>
          <t>M2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>
        <is>
          <t>1현장: 금호</t>
        </is>
      </c>
      <c r="AA29" s="8" t="n">
        <v>20000</v>
      </c>
      <c r="AB29" s="8" t="n">
        <v>50000</v>
      </c>
    </row>
    <row r="30">
      <c r="A30" s="9" t="inlineStr">
        <is>
          <t>PRE-12E</t>
        </is>
      </c>
      <c r="B30" s="9" t="inlineStr">
        <is>
          <t>발코니 바닥</t>
        </is>
      </c>
      <c r="C30" s="6" t="inlineStr">
        <is>
          <t>300*300</t>
        </is>
      </c>
      <c r="D30" s="6" t="inlineStr"/>
      <c r="E30" s="6" t="inlineStr">
        <is>
          <t>필수</t>
        </is>
      </c>
      <c r="F30" s="6" t="inlineStr">
        <is>
          <t>M2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>
        <is>
          <t>1현장: 금호</t>
        </is>
      </c>
      <c r="AA30" s="8" t="n">
        <v>11000</v>
      </c>
      <c r="AB30" s="8" t="n">
        <v>25000</v>
      </c>
    </row>
    <row r="31">
      <c r="A31" s="9" t="inlineStr">
        <is>
          <t>PRE-13E</t>
        </is>
      </c>
      <c r="B31" s="9" t="inlineStr">
        <is>
          <t>방범방충망</t>
        </is>
      </c>
      <c r="C31" s="6" t="inlineStr">
        <is>
          <t>—</t>
        </is>
      </c>
      <c r="D31" s="6" t="inlineStr"/>
      <c r="E31" s="6" t="inlineStr">
        <is>
          <t>필수</t>
        </is>
      </c>
      <c r="F31" s="6" t="inlineStr">
        <is>
          <t>식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>
        <is>
          <t>4현장: 금호,이선,전기영,행당동</t>
        </is>
      </c>
      <c r="AA31" s="8" t="n"/>
      <c r="AB31" s="8" t="n"/>
    </row>
    <row r="32">
      <c r="A32" s="9" t="inlineStr">
        <is>
          <t>PRE-14E</t>
        </is>
      </c>
      <c r="B32" s="9" t="inlineStr">
        <is>
          <t>방충망</t>
        </is>
      </c>
      <c r="C32" s="6" t="inlineStr">
        <is>
          <t>미세방충망</t>
        </is>
      </c>
      <c r="D32" s="6" t="inlineStr">
        <is>
          <t>전체 교체</t>
        </is>
      </c>
      <c r="E32" s="6" t="inlineStr">
        <is>
          <t>필수</t>
        </is>
      </c>
      <c r="F32" s="6" t="inlineStr">
        <is>
          <t>식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1현장: 이성숙</t>
        </is>
      </c>
      <c r="AA32" s="8" t="n">
        <v>450000</v>
      </c>
      <c r="AB32" s="8" t="n"/>
    </row>
    <row r="33">
      <c r="A33" s="9" t="inlineStr">
        <is>
          <t>PRE-15E</t>
        </is>
      </c>
      <c r="B33" s="9" t="inlineStr">
        <is>
          <t>벽 타일</t>
        </is>
      </c>
      <c r="C33" s="6" t="inlineStr">
        <is>
          <t>600*1200</t>
        </is>
      </c>
      <c r="D33" s="6" t="inlineStr">
        <is>
          <t>거실 / 안방</t>
        </is>
      </c>
      <c r="E33" s="6" t="inlineStr">
        <is>
          <t>필수</t>
        </is>
      </c>
      <c r="F33" s="6" t="inlineStr">
        <is>
          <t>M2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>
        <is>
          <t>1현장: 금호</t>
        </is>
      </c>
      <c r="AA33" s="8" t="n">
        <v>25000</v>
      </c>
      <c r="AB33" s="8" t="n">
        <v>50000</v>
      </c>
    </row>
    <row r="34">
      <c r="A34" s="9" t="inlineStr">
        <is>
          <t>PRE-16E</t>
        </is>
      </c>
      <c r="B34" s="9" t="inlineStr">
        <is>
          <t>벽타일</t>
        </is>
      </c>
      <c r="C34" s="6" t="inlineStr">
        <is>
          <t>600*1200</t>
        </is>
      </c>
      <c r="D34" s="6" t="inlineStr"/>
      <c r="E34" s="6" t="inlineStr">
        <is>
          <t>필수</t>
        </is>
      </c>
      <c r="F34" s="6" t="inlineStr">
        <is>
          <t>M2</t>
        </is>
      </c>
      <c r="G34" s="6" t="n"/>
      <c r="H34" s="6" t="n"/>
      <c r="I34" s="7">
        <f>IF(G34="","",G34*(1+H34/100))</f>
        <v/>
      </c>
      <c r="J34" s="6" t="n"/>
      <c r="K34" s="6" t="n"/>
      <c r="L34" s="8" t="n"/>
      <c r="M34" s="8" t="n"/>
      <c r="N34" s="8" t="n"/>
      <c r="O34" s="8" t="n"/>
      <c r="P34" s="8" t="n"/>
      <c r="Q34" s="8">
        <f>IF(OR(O34="",P34=""),"",MIN(O34,P34)-N34)</f>
        <v/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inlineStr">
        <is>
          <t>1현장: 금호</t>
        </is>
      </c>
      <c r="AA34" s="8" t="n">
        <v>25000</v>
      </c>
      <c r="AB34" s="8" t="n">
        <v>70000</v>
      </c>
    </row>
    <row r="35">
      <c r="A35" s="9" t="inlineStr">
        <is>
          <t>PRE-17E</t>
        </is>
      </c>
      <c r="B35" s="9" t="inlineStr">
        <is>
          <t>부자재</t>
        </is>
      </c>
      <c r="C35" s="6" t="inlineStr">
        <is>
          <t>X18, 레미탈</t>
        </is>
      </c>
      <c r="D35" s="6" t="inlineStr">
        <is>
          <t>거실 벽</t>
        </is>
      </c>
      <c r="E35" s="6" t="inlineStr">
        <is>
          <t>필수</t>
        </is>
      </c>
      <c r="F35" s="6" t="inlineStr">
        <is>
          <t>식</t>
        </is>
      </c>
      <c r="G35" s="6" t="n"/>
      <c r="H35" s="6" t="n"/>
      <c r="I35" s="7">
        <f>IF(G35="","",G35*(1+H35/100))</f>
        <v/>
      </c>
      <c r="J35" s="6" t="n"/>
      <c r="K35" s="6" t="n"/>
      <c r="L35" s="8" t="n"/>
      <c r="M35" s="8" t="n"/>
      <c r="N35" s="8" t="n"/>
      <c r="O35" s="8" t="n"/>
      <c r="P35" s="8" t="n"/>
      <c r="Q35" s="8">
        <f>IF(OR(O35="",P35=""),"",MIN(O35,P35)-N35)</f>
        <v/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inlineStr">
        <is>
          <t>1현장: 금호</t>
        </is>
      </c>
      <c r="AA35" s="8" t="n">
        <v>450000</v>
      </c>
      <c r="AB35" s="8" t="n">
        <v>50009</v>
      </c>
    </row>
    <row r="36">
      <c r="A36" s="9" t="inlineStr">
        <is>
          <t>PRE-18E</t>
        </is>
      </c>
      <c r="B36" s="9" t="inlineStr">
        <is>
          <t>비디오폰 및 도어락</t>
        </is>
      </c>
      <c r="C36" s="6" t="inlineStr">
        <is>
          <t>제품 미정</t>
        </is>
      </c>
      <c r="D36" s="6" t="inlineStr"/>
      <c r="E36" s="6" t="inlineStr">
        <is>
          <t>필수</t>
        </is>
      </c>
      <c r="F36" s="6" t="inlineStr">
        <is>
          <t>식</t>
        </is>
      </c>
      <c r="G36" s="6" t="n"/>
      <c r="H36" s="6" t="n"/>
      <c r="I36" s="7">
        <f>IF(G36="","",G36*(1+H36/100))</f>
        <v/>
      </c>
      <c r="J36" s="6" t="n"/>
      <c r="K36" s="6" t="n"/>
      <c r="L36" s="8" t="n"/>
      <c r="M36" s="8" t="n"/>
      <c r="N36" s="8" t="n"/>
      <c r="O36" s="8" t="n"/>
      <c r="P36" s="8" t="n"/>
      <c r="Q36" s="8">
        <f>IF(OR(O36="",P36=""),"",MIN(O36,P36)-N36)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inlineStr">
        <is>
          <t>1현장: 진산</t>
        </is>
      </c>
      <c r="AA36" s="8" t="n"/>
      <c r="AB36" s="8" t="n">
        <v>300000</v>
      </c>
    </row>
    <row r="37">
      <c r="A37" s="9" t="inlineStr">
        <is>
          <t>PRE-19E</t>
        </is>
      </c>
      <c r="B37" s="9" t="inlineStr">
        <is>
          <t>사다리 차</t>
        </is>
      </c>
      <c r="C37" s="6" t="inlineStr">
        <is>
          <t>세라믹 및 칸스톤 양중</t>
        </is>
      </c>
      <c r="D37" s="6" t="inlineStr"/>
      <c r="E37" s="6" t="inlineStr">
        <is>
          <t>필수</t>
        </is>
      </c>
      <c r="F37" s="6" t="inlineStr">
        <is>
          <t>식</t>
        </is>
      </c>
      <c r="G37" s="6" t="n"/>
      <c r="H37" s="6" t="n"/>
      <c r="I37" s="7">
        <f>IF(G37="","",G37*(1+H37/100))</f>
        <v/>
      </c>
      <c r="J37" s="6" t="n"/>
      <c r="K37" s="6" t="n"/>
      <c r="L37" s="8" t="n"/>
      <c r="M37" s="8" t="n"/>
      <c r="N37" s="8" t="n"/>
      <c r="O37" s="8" t="n"/>
      <c r="P37" s="8" t="n"/>
      <c r="Q37" s="8">
        <f>IF(OR(O37="",P37=""),"",MIN(O37,P37)-N37)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inlineStr">
        <is>
          <t>1현장: 김성용</t>
        </is>
      </c>
      <c r="AA37" s="8" t="n">
        <v>350000</v>
      </c>
      <c r="AB37" s="8" t="n"/>
    </row>
    <row r="38">
      <c r="A38" s="9" t="inlineStr">
        <is>
          <t>PRE-20E</t>
        </is>
      </c>
      <c r="B38" s="9" t="inlineStr">
        <is>
          <t>샷시</t>
        </is>
      </c>
      <c r="C38" s="6" t="inlineStr">
        <is>
          <t>별도</t>
        </is>
      </c>
      <c r="D38" s="6" t="inlineStr"/>
      <c r="E38" s="6" t="inlineStr">
        <is>
          <t>필수</t>
        </is>
      </c>
      <c r="F38" s="6" t="inlineStr">
        <is>
          <t>식</t>
        </is>
      </c>
      <c r="G38" s="6" t="n"/>
      <c r="H38" s="6" t="n"/>
      <c r="I38" s="7">
        <f>IF(G38="","",G38*(1+H38/100))</f>
        <v/>
      </c>
      <c r="J38" s="6" t="n"/>
      <c r="K38" s="6" t="n"/>
      <c r="L38" s="8" t="n"/>
      <c r="M38" s="8" t="n"/>
      <c r="N38" s="8" t="n"/>
      <c r="O38" s="8" t="n"/>
      <c r="P38" s="8" t="n"/>
      <c r="Q38" s="8">
        <f>IF(OR(O38="",P38=""),"",MIN(O38,P38)-N38)</f>
        <v/>
      </c>
      <c r="R38" s="6" t="n"/>
      <c r="S38" s="6" t="n"/>
      <c r="T38" s="6" t="n"/>
      <c r="U38" s="6" t="n"/>
      <c r="V38" s="6" t="n"/>
      <c r="W38" s="6" t="n"/>
      <c r="X38" s="6" t="n"/>
      <c r="Y38" s="6" t="n"/>
      <c r="Z38" s="6" t="inlineStr">
        <is>
          <t>10현장: 금호,린스,만현,백현,산본</t>
        </is>
      </c>
      <c r="AA38" s="8" t="n"/>
      <c r="AB38" s="8" t="n"/>
    </row>
    <row r="39">
      <c r="A39" s="9" t="inlineStr">
        <is>
          <t>PRE-21E</t>
        </is>
      </c>
      <c r="B39" s="9" t="inlineStr">
        <is>
          <t>소   계</t>
        </is>
      </c>
      <c r="C39" s="6" t="inlineStr">
        <is>
          <t>—</t>
        </is>
      </c>
      <c r="D39" s="6" t="inlineStr"/>
      <c r="E39" s="6" t="inlineStr">
        <is>
          <t>필수</t>
        </is>
      </c>
      <c r="F39" s="6" t="inlineStr">
        <is>
          <t>식</t>
        </is>
      </c>
      <c r="G39" s="6" t="n"/>
      <c r="H39" s="6" t="n"/>
      <c r="I39" s="7">
        <f>IF(G39="","",G39*(1+H39/100))</f>
        <v/>
      </c>
      <c r="J39" s="6" t="n"/>
      <c r="K39" s="6" t="n"/>
      <c r="L39" s="8" t="n"/>
      <c r="M39" s="8" t="n"/>
      <c r="N39" s="8" t="n"/>
      <c r="O39" s="8" t="n"/>
      <c r="P39" s="8" t="n"/>
      <c r="Q39" s="8">
        <f>IF(OR(O39="",P39=""),"",MIN(O39,P39)-N39)</f>
        <v/>
      </c>
      <c r="R39" s="6" t="n"/>
      <c r="S39" s="6" t="n"/>
      <c r="T39" s="6" t="n"/>
      <c r="U39" s="6" t="n"/>
      <c r="V39" s="6" t="n"/>
      <c r="W39" s="6" t="n"/>
      <c r="X39" s="6" t="n"/>
      <c r="Y39" s="6" t="n"/>
      <c r="Z39" s="6" t="inlineStr">
        <is>
          <t>13현장: 금호,김성용,김은경,린스,만현</t>
        </is>
      </c>
      <c r="AA39" s="8" t="n"/>
      <c r="AB39" s="8" t="n"/>
    </row>
    <row r="40">
      <c r="A40" s="9" t="inlineStr">
        <is>
          <t>PRE-22E</t>
        </is>
      </c>
      <c r="B40" s="9" t="inlineStr">
        <is>
          <t>소운반</t>
        </is>
      </c>
      <c r="C40" s="6" t="inlineStr">
        <is>
          <t>—</t>
        </is>
      </c>
      <c r="D40" s="6" t="inlineStr"/>
      <c r="E40" s="6" t="inlineStr">
        <is>
          <t>필수</t>
        </is>
      </c>
      <c r="F40" s="6" t="inlineStr">
        <is>
          <t>인</t>
        </is>
      </c>
      <c r="G40" s="6" t="n"/>
      <c r="H40" s="6" t="n"/>
      <c r="I40" s="7">
        <f>IF(G40="","",G40*(1+H40/100))</f>
        <v/>
      </c>
      <c r="J40" s="6" t="n"/>
      <c r="K40" s="6" t="n"/>
      <c r="L40" s="8" t="n"/>
      <c r="M40" s="8" t="n"/>
      <c r="N40" s="8" t="n"/>
      <c r="O40" s="8" t="n"/>
      <c r="P40" s="8" t="n"/>
      <c r="Q40" s="8">
        <f>IF(OR(O40="",P40=""),"",MIN(O40,P40)-N40)</f>
        <v/>
      </c>
      <c r="R40" s="6" t="n"/>
      <c r="S40" s="6" t="n"/>
      <c r="T40" s="6" t="n"/>
      <c r="U40" s="6" t="n"/>
      <c r="V40" s="6" t="n"/>
      <c r="W40" s="6" t="n"/>
      <c r="X40" s="6" t="n"/>
      <c r="Y40" s="6" t="n"/>
      <c r="Z40" s="6" t="inlineStr">
        <is>
          <t>13현장: 금호,김성용,김은경,린스,만현</t>
        </is>
      </c>
      <c r="AA40" s="8" t="n"/>
      <c r="AB40" s="8" t="n">
        <v>170000</v>
      </c>
    </row>
    <row r="41">
      <c r="A41" s="9" t="inlineStr">
        <is>
          <t>PRE-23E</t>
        </is>
      </c>
      <c r="B41" s="9" t="inlineStr">
        <is>
          <t>에어컨</t>
        </is>
      </c>
      <c r="C41" s="6" t="inlineStr">
        <is>
          <t>삼성올인원 다배관 4마력 4대</t>
        </is>
      </c>
      <c r="D41" s="6" t="inlineStr">
        <is>
          <t>5대</t>
        </is>
      </c>
      <c r="E41" s="6" t="inlineStr">
        <is>
          <t>필수</t>
        </is>
      </c>
      <c r="F41" s="6" t="inlineStr">
        <is>
          <t>식</t>
        </is>
      </c>
      <c r="G41" s="6" t="n"/>
      <c r="H41" s="6" t="n"/>
      <c r="I41" s="7">
        <f>IF(G41="","",G41*(1+H41/100))</f>
        <v/>
      </c>
      <c r="J41" s="6" t="n"/>
      <c r="K41" s="6" t="n"/>
      <c r="L41" s="8" t="n"/>
      <c r="M41" s="8" t="n"/>
      <c r="N41" s="8" t="n"/>
      <c r="O41" s="8" t="n"/>
      <c r="P41" s="8" t="n"/>
      <c r="Q41" s="8">
        <f>IF(OR(O41="",P41=""),"",MIN(O41,P41)-N41)</f>
        <v/>
      </c>
      <c r="R41" s="6" t="n"/>
      <c r="S41" s="6" t="n"/>
      <c r="T41" s="6" t="n"/>
      <c r="U41" s="6" t="n"/>
      <c r="V41" s="6" t="n"/>
      <c r="W41" s="6" t="n"/>
      <c r="X41" s="6" t="n"/>
      <c r="Y41" s="6" t="n"/>
      <c r="Z41" s="6" t="inlineStr">
        <is>
          <t>13현장: 금호,김성용,김은경,린스,만현</t>
        </is>
      </c>
      <c r="AA41" s="8" t="n">
        <v>5181818</v>
      </c>
      <c r="AB41" s="8" t="n"/>
    </row>
    <row r="42">
      <c r="A42" s="9" t="inlineStr">
        <is>
          <t>PRE-24E</t>
        </is>
      </c>
      <c r="B42" s="9" t="inlineStr">
        <is>
          <t>엘리베이터 및 공용부 보양</t>
        </is>
      </c>
      <c r="C42" s="6" t="inlineStr">
        <is>
          <t>—</t>
        </is>
      </c>
      <c r="D42" s="6" t="inlineStr"/>
      <c r="E42" s="6" t="inlineStr">
        <is>
          <t>필수</t>
        </is>
      </c>
      <c r="F42" s="6" t="inlineStr">
        <is>
          <t>개소</t>
        </is>
      </c>
      <c r="G42" s="6" t="n"/>
      <c r="H42" s="6" t="n"/>
      <c r="I42" s="7">
        <f>IF(G42="","",G42*(1+H42/100))</f>
        <v/>
      </c>
      <c r="J42" s="6" t="n"/>
      <c r="K42" s="6" t="n"/>
      <c r="L42" s="8" t="n"/>
      <c r="M42" s="8" t="n"/>
      <c r="N42" s="8" t="n"/>
      <c r="O42" s="8" t="n"/>
      <c r="P42" s="8" t="n"/>
      <c r="Q42" s="8">
        <f>IF(OR(O42="",P42=""),"",MIN(O42,P42)-N42)</f>
        <v/>
      </c>
      <c r="R42" s="6" t="n"/>
      <c r="S42" s="6" t="n"/>
      <c r="T42" s="6" t="n"/>
      <c r="U42" s="6" t="n"/>
      <c r="V42" s="6" t="n"/>
      <c r="W42" s="6" t="n"/>
      <c r="X42" s="6" t="n"/>
      <c r="Y42" s="6" t="n"/>
      <c r="Z42" s="6" t="inlineStr">
        <is>
          <t>11현장: 금호,린스,만현,백현,산본</t>
        </is>
      </c>
      <c r="AA42" s="8" t="n">
        <v>200000</v>
      </c>
      <c r="AB42" s="8" t="n"/>
    </row>
    <row r="43">
      <c r="A43" s="9" t="inlineStr">
        <is>
          <t>PRE-25E</t>
        </is>
      </c>
      <c r="B43" s="9" t="inlineStr">
        <is>
          <t>엘리베이터 보양</t>
        </is>
      </c>
      <c r="C43" s="6" t="inlineStr">
        <is>
          <t>—</t>
        </is>
      </c>
      <c r="D43" s="6" t="inlineStr">
        <is>
          <t>동선보양</t>
        </is>
      </c>
      <c r="E43" s="6" t="inlineStr">
        <is>
          <t>필수</t>
        </is>
      </c>
      <c r="F43" s="6" t="inlineStr">
        <is>
          <t>개소</t>
        </is>
      </c>
      <c r="G43" s="6" t="n"/>
      <c r="H43" s="6" t="n"/>
      <c r="I43" s="7">
        <f>IF(G43="","",G43*(1+H43/100))</f>
        <v/>
      </c>
      <c r="J43" s="6" t="n"/>
      <c r="K43" s="6" t="n"/>
      <c r="L43" s="8" t="n"/>
      <c r="M43" s="8" t="n"/>
      <c r="N43" s="8" t="n"/>
      <c r="O43" s="8" t="n"/>
      <c r="P43" s="8" t="n"/>
      <c r="Q43" s="8">
        <f>IF(OR(O43="",P43=""),"",MIN(O43,P43)-N43)</f>
        <v/>
      </c>
      <c r="R43" s="6" t="n"/>
      <c r="S43" s="6" t="n"/>
      <c r="T43" s="6" t="n"/>
      <c r="U43" s="6" t="n"/>
      <c r="V43" s="6" t="n"/>
      <c r="W43" s="6" t="n"/>
      <c r="X43" s="6" t="n"/>
      <c r="Y43" s="6" t="n"/>
      <c r="Z43" s="6" t="inlineStr">
        <is>
          <t>6현장: 금호,김성용,김은경,이선,전기영</t>
        </is>
      </c>
      <c r="AA43" s="8" t="n">
        <v>200000</v>
      </c>
      <c r="AB43" s="8" t="n"/>
    </row>
    <row r="44">
      <c r="A44" s="9" t="inlineStr">
        <is>
          <t>PRE-26E</t>
        </is>
      </c>
      <c r="B44" s="9" t="inlineStr">
        <is>
          <t>엘리베이터 사용료</t>
        </is>
      </c>
      <c r="C44" s="6" t="inlineStr">
        <is>
          <t>별도</t>
        </is>
      </c>
      <c r="D44" s="6" t="inlineStr"/>
      <c r="E44" s="6" t="inlineStr">
        <is>
          <t>필수</t>
        </is>
      </c>
      <c r="F44" s="6" t="inlineStr">
        <is>
          <t>식</t>
        </is>
      </c>
      <c r="G44" s="6" t="n"/>
      <c r="H44" s="6" t="n"/>
      <c r="I44" s="7">
        <f>IF(G44="","",G44*(1+H44/100))</f>
        <v/>
      </c>
      <c r="J44" s="6" t="n"/>
      <c r="K44" s="6" t="n"/>
      <c r="L44" s="8" t="n"/>
      <c r="M44" s="8" t="n"/>
      <c r="N44" s="8" t="n"/>
      <c r="O44" s="8" t="n"/>
      <c r="P44" s="8" t="n"/>
      <c r="Q44" s="8">
        <f>IF(OR(O44="",P44=""),"",MIN(O44,P44)-N44)</f>
        <v/>
      </c>
      <c r="R44" s="6" t="n"/>
      <c r="S44" s="6" t="n"/>
      <c r="T44" s="6" t="n"/>
      <c r="U44" s="6" t="n"/>
      <c r="V44" s="6" t="n"/>
      <c r="W44" s="6" t="n"/>
      <c r="X44" s="6" t="n"/>
      <c r="Y44" s="6" t="n"/>
      <c r="Z44" s="6" t="inlineStr">
        <is>
          <t>7현장: 금호,김성용,김은경,이선,이성숙</t>
        </is>
      </c>
      <c r="AA44" s="8" t="n"/>
      <c r="AB44" s="8" t="n"/>
    </row>
    <row r="45">
      <c r="A45" s="9" t="inlineStr">
        <is>
          <t>PRE-27E</t>
        </is>
      </c>
      <c r="B45" s="9" t="inlineStr">
        <is>
          <t>엘리베이터 사용료 및 관리실 비용</t>
        </is>
      </c>
      <c r="C45" s="6" t="inlineStr">
        <is>
          <t>관리실 고객 직접 납부</t>
        </is>
      </c>
      <c r="D45" s="6" t="inlineStr"/>
      <c r="E45" s="6" t="inlineStr">
        <is>
          <t>필수</t>
        </is>
      </c>
      <c r="F45" s="6" t="inlineStr">
        <is>
          <t>식</t>
        </is>
      </c>
      <c r="G45" s="6" t="n"/>
      <c r="H45" s="6" t="n"/>
      <c r="I45" s="7">
        <f>IF(G45="","",G45*(1+H45/100))</f>
        <v/>
      </c>
      <c r="J45" s="6" t="n"/>
      <c r="K45" s="6" t="n"/>
      <c r="L45" s="8" t="n"/>
      <c r="M45" s="8" t="n"/>
      <c r="N45" s="8" t="n"/>
      <c r="O45" s="8" t="n"/>
      <c r="P45" s="8" t="n"/>
      <c r="Q45" s="8">
        <f>IF(OR(O45="",P45=""),"",MIN(O45,P45)-N45)</f>
        <v/>
      </c>
      <c r="R45" s="6" t="n"/>
      <c r="S45" s="6" t="n"/>
      <c r="T45" s="6" t="n"/>
      <c r="U45" s="6" t="n"/>
      <c r="V45" s="6" t="n"/>
      <c r="W45" s="6" t="n"/>
      <c r="X45" s="6" t="n"/>
      <c r="Y45" s="6" t="n"/>
      <c r="Z45" s="6" t="inlineStr">
        <is>
          <t>1현장: 이선</t>
        </is>
      </c>
      <c r="AA45" s="8" t="n"/>
      <c r="AB45" s="8" t="n"/>
    </row>
    <row r="46">
      <c r="A46" s="9" t="inlineStr">
        <is>
          <t>PRE-28E</t>
        </is>
      </c>
      <c r="B46" s="9" t="inlineStr">
        <is>
          <t>원목 간살도어</t>
        </is>
      </c>
      <c r="C46" s="6" t="inlineStr">
        <is>
          <t>슬라이딩 제작</t>
        </is>
      </c>
      <c r="D46" s="6" t="inlineStr"/>
      <c r="E46" s="6" t="inlineStr">
        <is>
          <t>필수</t>
        </is>
      </c>
      <c r="F46" s="6" t="inlineStr">
        <is>
          <t>식</t>
        </is>
      </c>
      <c r="G46" s="6" t="n"/>
      <c r="H46" s="6" t="n"/>
      <c r="I46" s="7">
        <f>IF(G46="","",G46*(1+H46/100))</f>
        <v/>
      </c>
      <c r="J46" s="6" t="n"/>
      <c r="K46" s="6" t="n"/>
      <c r="L46" s="8" t="n"/>
      <c r="M46" s="8" t="n"/>
      <c r="N46" s="8" t="n"/>
      <c r="O46" s="8" t="n"/>
      <c r="P46" s="8" t="n"/>
      <c r="Q46" s="8">
        <f>IF(OR(O46="",P46=""),"",MIN(O46,P46)-N46)</f>
        <v/>
      </c>
      <c r="R46" s="6" t="n"/>
      <c r="S46" s="6" t="n"/>
      <c r="T46" s="6" t="n"/>
      <c r="U46" s="6" t="n"/>
      <c r="V46" s="6" t="n"/>
      <c r="W46" s="6" t="n"/>
      <c r="X46" s="6" t="n"/>
      <c r="Y46" s="6" t="n"/>
      <c r="Z46" s="6" t="inlineStr">
        <is>
          <t>4현장: 금호,이선,전기영,행당동</t>
        </is>
      </c>
      <c r="AA46" s="8" t="n">
        <v>1700000</v>
      </c>
      <c r="AB46" s="8" t="n"/>
    </row>
    <row r="47">
      <c r="A47" s="9" t="inlineStr">
        <is>
          <t>PRE-29E</t>
        </is>
      </c>
      <c r="B47" s="9" t="inlineStr">
        <is>
          <t>인터폰</t>
        </is>
      </c>
      <c r="C47" s="6" t="inlineStr">
        <is>
          <t>별도</t>
        </is>
      </c>
      <c r="D47" s="6" t="inlineStr"/>
      <c r="E47" s="6" t="inlineStr">
        <is>
          <t>필수</t>
        </is>
      </c>
      <c r="F47" s="6" t="inlineStr">
        <is>
          <t>M2</t>
        </is>
      </c>
      <c r="G47" s="6" t="n"/>
      <c r="H47" s="6" t="n"/>
      <c r="I47" s="7">
        <f>IF(G47="","",G47*(1+H47/100))</f>
        <v/>
      </c>
      <c r="J47" s="6" t="n"/>
      <c r="K47" s="6" t="n"/>
      <c r="L47" s="8" t="n"/>
      <c r="M47" s="8" t="n"/>
      <c r="N47" s="8" t="n"/>
      <c r="O47" s="8" t="n"/>
      <c r="P47" s="8" t="n"/>
      <c r="Q47" s="8">
        <f>IF(OR(O47="",P47=""),"",MIN(O47,P47)-N47)</f>
        <v/>
      </c>
      <c r="R47" s="6" t="n"/>
      <c r="S47" s="6" t="n"/>
      <c r="T47" s="6" t="n"/>
      <c r="U47" s="6" t="n"/>
      <c r="V47" s="6" t="n"/>
      <c r="W47" s="6" t="n"/>
      <c r="X47" s="6" t="n"/>
      <c r="Y47" s="6" t="n"/>
      <c r="Z47" s="6" t="inlineStr">
        <is>
          <t>7현장: 금호,김성용,김은경,이선,이성숙</t>
        </is>
      </c>
      <c r="AA47" s="8" t="n"/>
      <c r="AB47" s="8" t="n"/>
    </row>
    <row r="48">
      <c r="A48" s="9" t="inlineStr">
        <is>
          <t>PRE-30E</t>
        </is>
      </c>
      <c r="B48" s="9" t="inlineStr">
        <is>
          <t>인터폰 및 도어락</t>
        </is>
      </c>
      <c r="C48" s="6" t="inlineStr">
        <is>
          <t>제품 미정</t>
        </is>
      </c>
      <c r="D48" s="6" t="inlineStr"/>
      <c r="E48" s="6" t="inlineStr">
        <is>
          <t>필수</t>
        </is>
      </c>
      <c r="F48" s="6" t="inlineStr">
        <is>
          <t>식</t>
        </is>
      </c>
      <c r="G48" s="6" t="n"/>
      <c r="H48" s="6" t="n"/>
      <c r="I48" s="7">
        <f>IF(G48="","",G48*(1+H48/100))</f>
        <v/>
      </c>
      <c r="J48" s="6" t="n"/>
      <c r="K48" s="6" t="n"/>
      <c r="L48" s="8" t="n"/>
      <c r="M48" s="8" t="n"/>
      <c r="N48" s="8" t="n"/>
      <c r="O48" s="8" t="n"/>
      <c r="P48" s="8" t="n"/>
      <c r="Q48" s="8">
        <f>IF(OR(O48="",P48=""),"",MIN(O48,P48)-N48)</f>
        <v/>
      </c>
      <c r="R48" s="6" t="n"/>
      <c r="S48" s="6" t="n"/>
      <c r="T48" s="6" t="n"/>
      <c r="U48" s="6" t="n"/>
      <c r="V48" s="6" t="n"/>
      <c r="W48" s="6" t="n"/>
      <c r="X48" s="6" t="n"/>
      <c r="Y48" s="6" t="n"/>
      <c r="Z48" s="6" t="inlineStr">
        <is>
          <t>5현장: 린스,만현,백현,산본,푸르지오</t>
        </is>
      </c>
      <c r="AA48" s="8" t="n"/>
      <c r="AB48" s="8" t="n">
        <v>300000</v>
      </c>
    </row>
    <row r="49">
      <c r="A49" s="9" t="inlineStr">
        <is>
          <t>PRE-31E</t>
        </is>
      </c>
      <c r="B49" s="9" t="inlineStr">
        <is>
          <t>입주청소</t>
        </is>
      </c>
      <c r="C49" s="6" t="inlineStr">
        <is>
          <t>모해디자인 진행 사항</t>
        </is>
      </c>
      <c r="D49" s="6" t="inlineStr">
        <is>
          <t>서비스 품목</t>
        </is>
      </c>
      <c r="E49" s="6" t="inlineStr">
        <is>
          <t>필수</t>
        </is>
      </c>
      <c r="F49" s="6" t="inlineStr">
        <is>
          <t>M2</t>
        </is>
      </c>
      <c r="G49" s="6" t="n"/>
      <c r="H49" s="6" t="n"/>
      <c r="I49" s="7">
        <f>IF(G49="","",G49*(1+H49/100))</f>
        <v/>
      </c>
      <c r="J49" s="6" t="n"/>
      <c r="K49" s="6" t="n"/>
      <c r="L49" s="8" t="n"/>
      <c r="M49" s="8" t="n"/>
      <c r="N49" s="8" t="n"/>
      <c r="O49" s="8" t="n"/>
      <c r="P49" s="8" t="n"/>
      <c r="Q49" s="8">
        <f>IF(OR(O49="",P49=""),"",MIN(O49,P49)-N49)</f>
        <v/>
      </c>
      <c r="R49" s="6" t="n"/>
      <c r="S49" s="6" t="n"/>
      <c r="T49" s="6" t="n"/>
      <c r="U49" s="6" t="n"/>
      <c r="V49" s="6" t="n"/>
      <c r="W49" s="6" t="n"/>
      <c r="X49" s="6" t="n"/>
      <c r="Y49" s="6" t="n"/>
      <c r="Z49" s="6" t="inlineStr">
        <is>
          <t>13현장: 금호,김성용,김은경,린스,만현</t>
        </is>
      </c>
      <c r="AA49" s="8" t="n">
        <v>4000</v>
      </c>
      <c r="AB49" s="8" t="n">
        <v>15000</v>
      </c>
    </row>
    <row r="50">
      <c r="A50" s="9" t="inlineStr">
        <is>
          <t>PRE-32E</t>
        </is>
      </c>
      <c r="B50" s="9" t="inlineStr">
        <is>
          <t>전열교환기</t>
        </is>
      </c>
      <c r="C50" s="6" t="inlineStr">
        <is>
          <t>별도</t>
        </is>
      </c>
      <c r="D50" s="6" t="inlineStr"/>
      <c r="E50" s="6" t="inlineStr">
        <is>
          <t>필수</t>
        </is>
      </c>
      <c r="F50" s="6" t="inlineStr">
        <is>
          <t>식</t>
        </is>
      </c>
      <c r="G50" s="6" t="n"/>
      <c r="H50" s="6" t="n"/>
      <c r="I50" s="7">
        <f>IF(G50="","",G50*(1+H50/100))</f>
        <v/>
      </c>
      <c r="J50" s="6" t="n"/>
      <c r="K50" s="6" t="n"/>
      <c r="L50" s="8" t="n"/>
      <c r="M50" s="8" t="n"/>
      <c r="N50" s="8" t="n"/>
      <c r="O50" s="8" t="n"/>
      <c r="P50" s="8" t="n"/>
      <c r="Q50" s="8">
        <f>IF(OR(O50="",P50=""),"",MIN(O50,P50)-N50)</f>
        <v/>
      </c>
      <c r="R50" s="6" t="n"/>
      <c r="S50" s="6" t="n"/>
      <c r="T50" s="6" t="n"/>
      <c r="U50" s="6" t="n"/>
      <c r="V50" s="6" t="n"/>
      <c r="W50" s="6" t="n"/>
      <c r="X50" s="6" t="n"/>
      <c r="Y50" s="6" t="n"/>
      <c r="Z50" s="6" t="inlineStr">
        <is>
          <t>13현장: 금호,김성용,김은경,린스,만현</t>
        </is>
      </c>
      <c r="AA50" s="8" t="n"/>
      <c r="AB50" s="8" t="n">
        <v>1</v>
      </c>
    </row>
    <row r="51">
      <c r="A51" s="9" t="inlineStr">
        <is>
          <t>PRE-33E</t>
        </is>
      </c>
      <c r="B51" s="9" t="inlineStr">
        <is>
          <t>졸리컷팅</t>
        </is>
      </c>
      <c r="C51" s="6" t="inlineStr">
        <is>
          <t>화장실 / 현관 면치</t>
        </is>
      </c>
      <c r="D51" s="6" t="inlineStr"/>
      <c r="E51" s="6" t="inlineStr">
        <is>
          <t>필수</t>
        </is>
      </c>
      <c r="F51" s="6" t="inlineStr">
        <is>
          <t>인</t>
        </is>
      </c>
      <c r="G51" s="6" t="n"/>
      <c r="H51" s="6" t="n"/>
      <c r="I51" s="7">
        <f>IF(G51="","",G51*(1+H51/100))</f>
        <v/>
      </c>
      <c r="J51" s="6" t="n"/>
      <c r="K51" s="6" t="n"/>
      <c r="L51" s="8" t="n"/>
      <c r="M51" s="8" t="n"/>
      <c r="N51" s="8" t="n"/>
      <c r="O51" s="8" t="n"/>
      <c r="P51" s="8" t="n"/>
      <c r="Q51" s="8">
        <f>IF(OR(O51="",P51=""),"",MIN(O51,P51)-N51)</f>
        <v/>
      </c>
      <c r="R51" s="6" t="n"/>
      <c r="S51" s="6" t="n"/>
      <c r="T51" s="6" t="n"/>
      <c r="U51" s="6" t="n"/>
      <c r="V51" s="6" t="n"/>
      <c r="W51" s="6" t="n"/>
      <c r="X51" s="6" t="n"/>
      <c r="Y51" s="6" t="n"/>
      <c r="Z51" s="6" t="inlineStr">
        <is>
          <t>1현장: 금호</t>
        </is>
      </c>
      <c r="AA51" s="8" t="n"/>
      <c r="AB51" s="8" t="n">
        <v>250000</v>
      </c>
    </row>
    <row r="52">
      <c r="A52" s="9" t="inlineStr">
        <is>
          <t>PRE-34E</t>
        </is>
      </c>
      <c r="B52" s="9" t="inlineStr">
        <is>
          <t>주방벽체</t>
        </is>
      </c>
      <c r="C52" s="6" t="inlineStr">
        <is>
          <t>600*1200</t>
        </is>
      </c>
      <c r="D52" s="6" t="inlineStr"/>
      <c r="E52" s="6" t="inlineStr">
        <is>
          <t>필수</t>
        </is>
      </c>
      <c r="F52" s="6" t="inlineStr">
        <is>
          <t>M2</t>
        </is>
      </c>
      <c r="G52" s="6" t="n"/>
      <c r="H52" s="6" t="n"/>
      <c r="I52" s="7">
        <f>IF(G52="","",G52*(1+H52/100))</f>
        <v/>
      </c>
      <c r="J52" s="6" t="n"/>
      <c r="K52" s="6" t="n"/>
      <c r="L52" s="8" t="n"/>
      <c r="M52" s="8" t="n"/>
      <c r="N52" s="8" t="n"/>
      <c r="O52" s="8" t="n"/>
      <c r="P52" s="8" t="n"/>
      <c r="Q52" s="8">
        <f>IF(OR(O52="",P52=""),"",MIN(O52,P52)-N52)</f>
        <v/>
      </c>
      <c r="R52" s="6" t="n"/>
      <c r="S52" s="6" t="n"/>
      <c r="T52" s="6" t="n"/>
      <c r="U52" s="6" t="n"/>
      <c r="V52" s="6" t="n"/>
      <c r="W52" s="6" t="n"/>
      <c r="X52" s="6" t="n"/>
      <c r="Y52" s="6" t="n"/>
      <c r="Z52" s="6" t="inlineStr">
        <is>
          <t>1현장: 금호</t>
        </is>
      </c>
      <c r="AA52" s="8" t="n">
        <v>35000</v>
      </c>
      <c r="AB52" s="8" t="n">
        <v>65000</v>
      </c>
    </row>
    <row r="53">
      <c r="A53" s="9" t="inlineStr">
        <is>
          <t>PRE-35E</t>
        </is>
      </c>
      <c r="B53" s="9" t="inlineStr">
        <is>
          <t>창호</t>
        </is>
      </c>
      <c r="C53" s="6" t="inlineStr">
        <is>
          <t>별도</t>
        </is>
      </c>
      <c r="D53" s="6" t="inlineStr"/>
      <c r="E53" s="6" t="inlineStr">
        <is>
          <t>필수</t>
        </is>
      </c>
      <c r="F53" s="6" t="inlineStr">
        <is>
          <t>식</t>
        </is>
      </c>
      <c r="G53" s="6" t="n"/>
      <c r="H53" s="6" t="n"/>
      <c r="I53" s="7">
        <f>IF(G53="","",G53*(1+H53/100))</f>
        <v/>
      </c>
      <c r="J53" s="6" t="n"/>
      <c r="K53" s="6" t="n"/>
      <c r="L53" s="8" t="n"/>
      <c r="M53" s="8" t="n"/>
      <c r="N53" s="8" t="n"/>
      <c r="O53" s="8" t="n"/>
      <c r="P53" s="8" t="n"/>
      <c r="Q53" s="8">
        <f>IF(OR(O53="",P53=""),"",MIN(O53,P53)-N53)</f>
        <v/>
      </c>
      <c r="R53" s="6" t="n"/>
      <c r="S53" s="6" t="n"/>
      <c r="T53" s="6" t="n"/>
      <c r="U53" s="6" t="n"/>
      <c r="V53" s="6" t="n"/>
      <c r="W53" s="6" t="n"/>
      <c r="X53" s="6" t="n"/>
      <c r="Y53" s="6" t="n"/>
      <c r="Z53" s="6" t="inlineStr">
        <is>
          <t>5현장: 금호,이선,이성숙,전기영,행당동</t>
        </is>
      </c>
      <c r="AA53" s="8" t="n">
        <v>1764000</v>
      </c>
      <c r="AB53" s="8" t="n"/>
    </row>
    <row r="54">
      <c r="A54" s="9" t="inlineStr">
        <is>
          <t>PRE-36E</t>
        </is>
      </c>
      <c r="B54" s="9" t="inlineStr">
        <is>
          <t>창호 교체</t>
        </is>
      </c>
      <c r="C54" s="6" t="inlineStr">
        <is>
          <t>LX 하우시스</t>
        </is>
      </c>
      <c r="D54" s="6" t="inlineStr"/>
      <c r="E54" s="6" t="inlineStr">
        <is>
          <t>필수</t>
        </is>
      </c>
      <c r="F54" s="6" t="inlineStr">
        <is>
          <t>식</t>
        </is>
      </c>
      <c r="G54" s="6" t="n"/>
      <c r="H54" s="6" t="n"/>
      <c r="I54" s="7">
        <f>IF(G54="","",G54*(1+H54/100))</f>
        <v/>
      </c>
      <c r="J54" s="6" t="n"/>
      <c r="K54" s="6" t="n"/>
      <c r="L54" s="8" t="n"/>
      <c r="M54" s="8" t="n"/>
      <c r="N54" s="8" t="n"/>
      <c r="O54" s="8" t="n"/>
      <c r="P54" s="8" t="n"/>
      <c r="Q54" s="8">
        <f>IF(OR(O54="",P54=""),"",MIN(O54,P54)-N54)</f>
        <v/>
      </c>
      <c r="R54" s="6" t="n"/>
      <c r="S54" s="6" t="n"/>
      <c r="T54" s="6" t="n"/>
      <c r="U54" s="6" t="n"/>
      <c r="V54" s="6" t="n"/>
      <c r="W54" s="6" t="n"/>
      <c r="X54" s="6" t="n"/>
      <c r="Y54" s="6" t="n"/>
      <c r="Z54" s="6" t="inlineStr">
        <is>
          <t>1현장: 김성용</t>
        </is>
      </c>
      <c r="AA54" s="8" t="n">
        <v>1167000</v>
      </c>
      <c r="AB54" s="8" t="n"/>
    </row>
    <row r="55">
      <c r="A55" s="9" t="inlineStr">
        <is>
          <t>PRE-37E</t>
        </is>
      </c>
      <c r="B55" s="9" t="inlineStr">
        <is>
          <t>페기물 반출</t>
        </is>
      </c>
      <c r="C55" s="6" t="inlineStr">
        <is>
          <t>1TON</t>
        </is>
      </c>
      <c r="D55" s="6" t="inlineStr"/>
      <c r="E55" s="6" t="inlineStr">
        <is>
          <t>필수</t>
        </is>
      </c>
      <c r="F55" s="6" t="inlineStr">
        <is>
          <t>대</t>
        </is>
      </c>
      <c r="G55" s="6" t="n"/>
      <c r="H55" s="6" t="n"/>
      <c r="I55" s="7">
        <f>IF(G55="","",G55*(1+H55/100))</f>
        <v/>
      </c>
      <c r="J55" s="6" t="n"/>
      <c r="K55" s="6" t="n"/>
      <c r="L55" s="8" t="n"/>
      <c r="M55" s="8" t="n"/>
      <c r="N55" s="8" t="n"/>
      <c r="O55" s="8" t="n"/>
      <c r="P55" s="8" t="n"/>
      <c r="Q55" s="8">
        <f>IF(OR(O55="",P55=""),"",MIN(O55,P55)-N55)</f>
        <v/>
      </c>
      <c r="R55" s="6" t="n"/>
      <c r="S55" s="6" t="n"/>
      <c r="T55" s="6" t="n"/>
      <c r="U55" s="6" t="n"/>
      <c r="V55" s="6" t="n"/>
      <c r="W55" s="6" t="n"/>
      <c r="X55" s="6" t="n"/>
      <c r="Y55" s="6" t="n"/>
      <c r="Z55" s="6" t="inlineStr">
        <is>
          <t>13현장: 금호,김성용,김은경,린스,만현</t>
        </is>
      </c>
      <c r="AA55" s="8" t="n">
        <v>500000</v>
      </c>
      <c r="AB55" s="8" t="n">
        <v>100000</v>
      </c>
    </row>
    <row r="56">
      <c r="A56" s="9" t="inlineStr">
        <is>
          <t>PRE-38E</t>
        </is>
      </c>
      <c r="B56" s="9" t="inlineStr">
        <is>
          <t>현관 바닥</t>
        </is>
      </c>
      <c r="C56" s="6" t="inlineStr">
        <is>
          <t>600*1200</t>
        </is>
      </c>
      <c r="D56" s="6" t="inlineStr"/>
      <c r="E56" s="6" t="inlineStr">
        <is>
          <t>필수</t>
        </is>
      </c>
      <c r="F56" s="6" t="inlineStr">
        <is>
          <t>M2</t>
        </is>
      </c>
      <c r="G56" s="6" t="n"/>
      <c r="H56" s="6" t="n"/>
      <c r="I56" s="7">
        <f>IF(G56="","",G56*(1+H56/100))</f>
        <v/>
      </c>
      <c r="J56" s="6" t="n"/>
      <c r="K56" s="6" t="n"/>
      <c r="L56" s="8" t="n"/>
      <c r="M56" s="8" t="n"/>
      <c r="N56" s="8" t="n"/>
      <c r="O56" s="8" t="n"/>
      <c r="P56" s="8" t="n"/>
      <c r="Q56" s="8">
        <f>IF(OR(O56="",P56=""),"",MIN(O56,P56)-N56)</f>
        <v/>
      </c>
      <c r="R56" s="6" t="n"/>
      <c r="S56" s="6" t="n"/>
      <c r="T56" s="6" t="n"/>
      <c r="U56" s="6" t="n"/>
      <c r="V56" s="6" t="n"/>
      <c r="W56" s="6" t="n"/>
      <c r="X56" s="6" t="n"/>
      <c r="Y56" s="6" t="n"/>
      <c r="Z56" s="6" t="inlineStr">
        <is>
          <t>1현장: 금호</t>
        </is>
      </c>
      <c r="AA56" s="8" t="n">
        <v>30000</v>
      </c>
      <c r="AB56" s="8" t="n">
        <v>55000</v>
      </c>
    </row>
    <row r="57">
      <c r="A57" s="9" t="inlineStr">
        <is>
          <t>PRE-39E</t>
        </is>
      </c>
      <c r="B57" s="9" t="inlineStr">
        <is>
          <t>현장 정리 및 자재 양중</t>
        </is>
      </c>
      <c r="C57" s="6" t="inlineStr">
        <is>
          <t>—</t>
        </is>
      </c>
      <c r="D57" s="6" t="inlineStr"/>
      <c r="E57" s="6" t="inlineStr">
        <is>
          <t>필수</t>
        </is>
      </c>
      <c r="F57" s="6" t="inlineStr">
        <is>
          <t>M2</t>
        </is>
      </c>
      <c r="G57" s="6" t="n"/>
      <c r="H57" s="6" t="n"/>
      <c r="I57" s="7">
        <f>IF(G57="","",G57*(1+H57/100))</f>
        <v/>
      </c>
      <c r="J57" s="6" t="n"/>
      <c r="K57" s="6" t="n"/>
      <c r="L57" s="8" t="n"/>
      <c r="M57" s="8" t="n"/>
      <c r="N57" s="8" t="n"/>
      <c r="O57" s="8" t="n"/>
      <c r="P57" s="8" t="n"/>
      <c r="Q57" s="8">
        <f>IF(OR(O57="",P57=""),"",MIN(O57,P57)-N57)</f>
        <v/>
      </c>
      <c r="R57" s="6" t="n"/>
      <c r="S57" s="6" t="n"/>
      <c r="T57" s="6" t="n"/>
      <c r="U57" s="6" t="n"/>
      <c r="V57" s="6" t="n"/>
      <c r="W57" s="6" t="n"/>
      <c r="X57" s="6" t="n"/>
      <c r="Y57" s="6" t="n"/>
      <c r="Z57" s="6" t="inlineStr">
        <is>
          <t>5현장: 금호,이선,이성숙,전기영,행당동</t>
        </is>
      </c>
      <c r="AA57" s="8" t="n">
        <v>2000</v>
      </c>
      <c r="AB57" s="8" t="n">
        <v>8000</v>
      </c>
    </row>
    <row r="58">
      <c r="A58" s="9" t="inlineStr">
        <is>
          <t>PRE-40E</t>
        </is>
      </c>
      <c r="B58" s="9" t="inlineStr">
        <is>
          <t>현장보양 및 현장 정리</t>
        </is>
      </c>
      <c r="C58" s="6" t="inlineStr">
        <is>
          <t>—</t>
        </is>
      </c>
      <c r="D58" s="6" t="inlineStr"/>
      <c r="E58" s="6" t="inlineStr">
        <is>
          <t>필수</t>
        </is>
      </c>
      <c r="F58" s="6" t="inlineStr">
        <is>
          <t>M2</t>
        </is>
      </c>
      <c r="G58" s="6" t="n"/>
      <c r="H58" s="6" t="n"/>
      <c r="I58" s="7">
        <f>IF(G58="","",G58*(1+H58/100))</f>
        <v/>
      </c>
      <c r="J58" s="6" t="n"/>
      <c r="K58" s="6" t="n"/>
      <c r="L58" s="8" t="n"/>
      <c r="M58" s="8" t="n"/>
      <c r="N58" s="8" t="n"/>
      <c r="O58" s="8" t="n"/>
      <c r="P58" s="8" t="n"/>
      <c r="Q58" s="8">
        <f>IF(OR(O58="",P58=""),"",MIN(O58,P58)-N58)</f>
        <v/>
      </c>
      <c r="R58" s="6" t="n"/>
      <c r="S58" s="6" t="n"/>
      <c r="T58" s="6" t="n"/>
      <c r="U58" s="6" t="n"/>
      <c r="V58" s="6" t="n"/>
      <c r="W58" s="6" t="n"/>
      <c r="X58" s="6" t="n"/>
      <c r="Y58" s="6" t="n"/>
      <c r="Z58" s="6" t="inlineStr">
        <is>
          <t>8현장: 김성용,김은경,린스,만현,백현</t>
        </is>
      </c>
      <c r="AA58" s="8" t="n">
        <v>2000</v>
      </c>
      <c r="AB58" s="8" t="n">
        <v>8000</v>
      </c>
    </row>
    <row r="59">
      <c r="A59" s="9" t="inlineStr">
        <is>
          <t>PRE-41E</t>
        </is>
      </c>
      <c r="B59" s="9" t="inlineStr">
        <is>
          <t>화장실 바닥타일</t>
        </is>
      </c>
      <c r="C59" s="6" t="inlineStr">
        <is>
          <t>600*1200</t>
        </is>
      </c>
      <c r="D59" s="6" t="inlineStr">
        <is>
          <t>거실 / 안방</t>
        </is>
      </c>
      <c r="E59" s="6" t="inlineStr">
        <is>
          <t>필수</t>
        </is>
      </c>
      <c r="F59" s="6" t="inlineStr">
        <is>
          <t>M2</t>
        </is>
      </c>
      <c r="G59" s="6" t="n"/>
      <c r="H59" s="6" t="n"/>
      <c r="I59" s="7">
        <f>IF(G59="","",G59*(1+H59/100))</f>
        <v/>
      </c>
      <c r="J59" s="6" t="n"/>
      <c r="K59" s="6" t="n"/>
      <c r="L59" s="8" t="n"/>
      <c r="M59" s="8" t="n"/>
      <c r="N59" s="8" t="n"/>
      <c r="O59" s="8" t="n"/>
      <c r="P59" s="8" t="n"/>
      <c r="Q59" s="8">
        <f>IF(OR(O59="",P59=""),"",MIN(O59,P59)-N59)</f>
        <v/>
      </c>
      <c r="R59" s="6" t="n"/>
      <c r="S59" s="6" t="n"/>
      <c r="T59" s="6" t="n"/>
      <c r="U59" s="6" t="n"/>
      <c r="V59" s="6" t="n"/>
      <c r="W59" s="6" t="n"/>
      <c r="X59" s="6" t="n"/>
      <c r="Y59" s="6" t="n"/>
      <c r="Z59" s="6" t="inlineStr">
        <is>
          <t>1현장: 금호</t>
        </is>
      </c>
      <c r="AA59" s="8" t="n">
        <v>35000</v>
      </c>
      <c r="AB59" s="8" t="n">
        <v>65000</v>
      </c>
    </row>
    <row r="60">
      <c r="A60" s="9" t="inlineStr">
        <is>
          <t>PRE-42E</t>
        </is>
      </c>
      <c r="B60" s="9" t="inlineStr">
        <is>
          <t>화장실 벽 타일</t>
        </is>
      </c>
      <c r="C60" s="6" t="inlineStr">
        <is>
          <t>600*1200</t>
        </is>
      </c>
      <c r="D60" s="6" t="inlineStr">
        <is>
          <t>거실 / 안방</t>
        </is>
      </c>
      <c r="E60" s="6" t="inlineStr">
        <is>
          <t>필수</t>
        </is>
      </c>
      <c r="F60" s="6" t="inlineStr">
        <is>
          <t>M2</t>
        </is>
      </c>
      <c r="G60" s="6" t="n"/>
      <c r="H60" s="6" t="n"/>
      <c r="I60" s="7">
        <f>IF(G60="","",G60*(1+H60/100))</f>
        <v/>
      </c>
      <c r="J60" s="6" t="n"/>
      <c r="K60" s="6" t="n"/>
      <c r="L60" s="8" t="n"/>
      <c r="M60" s="8" t="n"/>
      <c r="N60" s="8" t="n"/>
      <c r="O60" s="8" t="n"/>
      <c r="P60" s="8" t="n"/>
      <c r="Q60" s="8">
        <f>IF(OR(O60="",P60=""),"",MIN(O60,P60)-N60)</f>
        <v/>
      </c>
      <c r="R60" s="6" t="n"/>
      <c r="S60" s="6" t="n"/>
      <c r="T60" s="6" t="n"/>
      <c r="U60" s="6" t="n"/>
      <c r="V60" s="6" t="n"/>
      <c r="W60" s="6" t="n"/>
      <c r="X60" s="6" t="n"/>
      <c r="Y60" s="6" t="n"/>
      <c r="Z60" s="6" t="inlineStr">
        <is>
          <t>1현장: 금호</t>
        </is>
      </c>
      <c r="AA60" s="8" t="n">
        <v>35000</v>
      </c>
      <c r="AB60" s="8" t="n">
        <v>65000</v>
      </c>
    </row>
    <row r="61">
      <c r="A61" s="9" t="inlineStr">
        <is>
          <t>PRE-43E</t>
        </is>
      </c>
      <c r="B61" s="9" t="inlineStr">
        <is>
          <t>화장실 타일</t>
        </is>
      </c>
      <c r="C61" s="6" t="inlineStr">
        <is>
          <t>—</t>
        </is>
      </c>
      <c r="D61" s="6" t="inlineStr"/>
      <c r="E61" s="6" t="inlineStr">
        <is>
          <t>필수</t>
        </is>
      </c>
      <c r="F61" s="6" t="inlineStr">
        <is>
          <t>식</t>
        </is>
      </c>
      <c r="G61" s="6" t="n"/>
      <c r="H61" s="6" t="n"/>
      <c r="I61" s="7">
        <f>IF(G61="","",G61*(1+H61/100))</f>
        <v/>
      </c>
      <c r="J61" s="6" t="n"/>
      <c r="K61" s="6" t="n"/>
      <c r="L61" s="8" t="n"/>
      <c r="M61" s="8" t="n"/>
      <c r="N61" s="8" t="n"/>
      <c r="O61" s="8" t="n"/>
      <c r="P61" s="8" t="n"/>
      <c r="Q61" s="8">
        <f>IF(OR(O61="",P61=""),"",MIN(O61,P61)-N61)</f>
        <v/>
      </c>
      <c r="R61" s="6" t="n"/>
      <c r="S61" s="6" t="n"/>
      <c r="T61" s="6" t="n"/>
      <c r="U61" s="6" t="n"/>
      <c r="V61" s="6" t="n"/>
      <c r="W61" s="6" t="n"/>
      <c r="X61" s="6" t="n"/>
      <c r="Y61" s="6" t="n"/>
      <c r="Z61" s="6" t="inlineStr">
        <is>
          <t>1현장: 금호</t>
        </is>
      </c>
      <c r="AA61" s="8" t="n"/>
      <c r="AB61" s="8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1">
        <f>IF(G62="","",G62*(1+H62/100))</f>
        <v/>
      </c>
      <c r="J62" s="10" t="n"/>
      <c r="K62" s="10" t="n"/>
      <c r="L62" s="10" t="n"/>
      <c r="M62" s="10" t="n"/>
      <c r="N62" s="10" t="n"/>
      <c r="O62" s="10" t="n"/>
      <c r="P62" s="10" t="n"/>
      <c r="Q62" s="12">
        <f>IF(OR(O62="",P62=""),"",MIN(O62,P62)-N62)</f>
        <v/>
      </c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1">
        <f>IF(G63="","",G63*(1+H63/100))</f>
        <v/>
      </c>
      <c r="J63" s="10" t="n"/>
      <c r="K63" s="10" t="n"/>
      <c r="L63" s="10" t="n"/>
      <c r="M63" s="10" t="n"/>
      <c r="N63" s="10" t="n"/>
      <c r="O63" s="10" t="n"/>
      <c r="P63" s="10" t="n"/>
      <c r="Q63" s="12">
        <f>IF(OR(O63="",P63=""),"",MIN(O63,P63)-N63)</f>
        <v/>
      </c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1">
        <f>IF(G64="","",G64*(1+H64/100))</f>
        <v/>
      </c>
      <c r="J64" s="10" t="n"/>
      <c r="K64" s="10" t="n"/>
      <c r="L64" s="10" t="n"/>
      <c r="M64" s="10" t="n"/>
      <c r="N64" s="10" t="n"/>
      <c r="O64" s="10" t="n"/>
      <c r="P64" s="10" t="n"/>
      <c r="Q64" s="12">
        <f>IF(OR(O64="",P64=""),"",MIN(O64,P64)-N64)</f>
        <v/>
      </c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1">
        <f>IF(G65="","",G65*(1+H65/100))</f>
        <v/>
      </c>
      <c r="J65" s="10" t="n"/>
      <c r="K65" s="10" t="n"/>
      <c r="L65" s="10" t="n"/>
      <c r="M65" s="10" t="n"/>
      <c r="N65" s="10" t="n"/>
      <c r="O65" s="10" t="n"/>
      <c r="P65" s="10" t="n"/>
      <c r="Q65" s="12">
        <f>IF(OR(O65="",P65=""),"",MIN(O65,P65)-N65)</f>
        <v/>
      </c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1">
        <f>IF(G66="","",G66*(1+H66/100))</f>
        <v/>
      </c>
      <c r="J66" s="10" t="n"/>
      <c r="K66" s="10" t="n"/>
      <c r="L66" s="10" t="n"/>
      <c r="M66" s="10" t="n"/>
      <c r="N66" s="10" t="n"/>
      <c r="O66" s="10" t="n"/>
      <c r="P66" s="10" t="n"/>
      <c r="Q66" s="12">
        <f>IF(OR(O66="",P66=""),"",MIN(O66,P66)-N66)</f>
        <v/>
      </c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1">
        <f>IF(G67="","",G67*(1+H67/100))</f>
        <v/>
      </c>
      <c r="J67" s="10" t="n"/>
      <c r="K67" s="10" t="n"/>
      <c r="L67" s="10" t="n"/>
      <c r="M67" s="10" t="n"/>
      <c r="N67" s="10" t="n"/>
      <c r="O67" s="10" t="n"/>
      <c r="P67" s="10" t="n"/>
      <c r="Q67" s="12">
        <f>IF(OR(O67="",P67=""),"",MIN(O67,P67)-N67)</f>
        <v/>
      </c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1">
        <f>IF(G68="","",G68*(1+H68/100))</f>
        <v/>
      </c>
      <c r="J68" s="10" t="n"/>
      <c r="K68" s="10" t="n"/>
      <c r="L68" s="10" t="n"/>
      <c r="M68" s="10" t="n"/>
      <c r="N68" s="10" t="n"/>
      <c r="O68" s="10" t="n"/>
      <c r="P68" s="10" t="n"/>
      <c r="Q68" s="12">
        <f>IF(OR(O68="",P68=""),"",MIN(O68,P68)-N68)</f>
        <v/>
      </c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1">
        <f>IF(G69="","",G69*(1+H69/100))</f>
        <v/>
      </c>
      <c r="J69" s="10" t="n"/>
      <c r="K69" s="10" t="n"/>
      <c r="L69" s="10" t="n"/>
      <c r="M69" s="10" t="n"/>
      <c r="N69" s="10" t="n"/>
      <c r="O69" s="10" t="n"/>
      <c r="P69" s="10" t="n"/>
      <c r="Q69" s="12">
        <f>IF(OR(O69="",P69=""),"",MIN(O69,P69)-N69)</f>
        <v/>
      </c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1">
        <f>IF(G70="","",G70*(1+H70/100))</f>
        <v/>
      </c>
      <c r="J70" s="10" t="n"/>
      <c r="K70" s="10" t="n"/>
      <c r="L70" s="10" t="n"/>
      <c r="M70" s="10" t="n"/>
      <c r="N70" s="10" t="n"/>
      <c r="O70" s="10" t="n"/>
      <c r="P70" s="10" t="n"/>
      <c r="Q70" s="12">
        <f>IF(OR(O70="",P70=""),"",MIN(O70,P70)-N70)</f>
        <v/>
      </c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1">
        <f>IF(G71="","",G71*(1+H71/100))</f>
        <v/>
      </c>
      <c r="J71" s="10" t="n"/>
      <c r="K71" s="10" t="n"/>
      <c r="L71" s="10" t="n"/>
      <c r="M71" s="10" t="n"/>
      <c r="N71" s="10" t="n"/>
      <c r="O71" s="10" t="n"/>
      <c r="P71" s="10" t="n"/>
      <c r="Q71" s="12">
        <f>IF(OR(O71="",P71=""),"",MIN(O71,P71)-N71)</f>
        <v/>
      </c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</row>
    <row r="73">
      <c r="A73" s="13" t="inlineStr">
        <is>
          <t>※ 파란셀=수식 | 노란셀=견적참고 | ★금색=견적서 추출항목 | 소요량·로스율=대표 | 가격=유통 | 견적단가=16개 견적서 중앙값</t>
        </is>
      </c>
    </row>
  </sheetData>
  <autoFilter ref="A4:AB71"/>
  <mergeCells count="9">
    <mergeCell ref="R3:U3"/>
    <mergeCell ref="A2:AB2"/>
    <mergeCell ref="AA3:AB3"/>
    <mergeCell ref="A73:AB73"/>
    <mergeCell ref="J3:Q3"/>
    <mergeCell ref="Y3:Z3"/>
    <mergeCell ref="A1:AB1"/>
    <mergeCell ref="A3:I3"/>
    <mergeCell ref="V3:X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0AEC0"/>
    <outlinePr summaryBelow="1" summaryRight="1"/>
    <pageSetUpPr/>
  </sheetPr>
  <dimension ref="A1:AB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철거 자재</t>
        </is>
      </c>
    </row>
    <row r="2">
      <c r="A2" s="2" t="inlineStr">
        <is>
          <t>공정코드: DM | 체크리스트 + 16개 견적서 전체 항목 | ★=견적서 추출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(16개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DM-001</t>
        </is>
      </c>
      <c r="B5" s="6" t="inlineStr">
        <is>
          <t>뿌레카(전동해머)</t>
        </is>
      </c>
      <c r="C5" s="6" t="inlineStr">
        <is>
          <t>—</t>
        </is>
      </c>
      <c r="D5" s="6" t="inlineStr">
        <is>
          <t>콘크리트·타일 파쇄</t>
        </is>
      </c>
      <c r="E5" s="6" t="inlineStr">
        <is>
          <t>필수</t>
        </is>
      </c>
      <c r="F5" s="6" t="inlineStr">
        <is>
          <t>대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DM-002</t>
        </is>
      </c>
      <c r="B6" s="6" t="inlineStr">
        <is>
          <t>그라인더</t>
        </is>
      </c>
      <c r="C6" s="6" t="inlineStr">
        <is>
          <t>4인치</t>
        </is>
      </c>
      <c r="D6" s="6" t="inlineStr">
        <is>
          <t>절단·연삭</t>
        </is>
      </c>
      <c r="E6" s="6" t="inlineStr">
        <is>
          <t>필수</t>
        </is>
      </c>
      <c r="F6" s="6" t="inlineStr">
        <is>
          <t>대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DM-003</t>
        </is>
      </c>
      <c r="B7" s="6" t="inlineStr">
        <is>
          <t>매직</t>
        </is>
      </c>
      <c r="C7" s="6" t="inlineStr">
        <is>
          <t>유성</t>
        </is>
      </c>
      <c r="D7" s="6" t="inlineStr">
        <is>
          <t>철거 범위 현장 표시</t>
        </is>
      </c>
      <c r="E7" s="6" t="inlineStr">
        <is>
          <t>필수</t>
        </is>
      </c>
      <c r="F7" s="6" t="inlineStr">
        <is>
          <t>개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DM-004</t>
        </is>
      </c>
      <c r="B8" s="6" t="inlineStr">
        <is>
          <t>보양재</t>
        </is>
      </c>
      <c r="C8" s="6" t="inlineStr">
        <is>
          <t>롤/시트</t>
        </is>
      </c>
      <c r="D8" s="6" t="inlineStr">
        <is>
          <t>파쇄 후 즉시 보양</t>
        </is>
      </c>
      <c r="E8" s="6" t="inlineStr">
        <is>
          <t>필수</t>
        </is>
      </c>
      <c r="F8" s="6" t="inlineStr">
        <is>
          <t>롤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DM-005</t>
        </is>
      </c>
      <c r="B9" s="6" t="inlineStr">
        <is>
          <t>레미탈</t>
        </is>
      </c>
      <c r="C9" s="6" t="inlineStr">
        <is>
          <t>40kg</t>
        </is>
      </c>
      <c r="D9" s="6" t="inlineStr">
        <is>
          <t>습식 자재</t>
        </is>
      </c>
      <c r="E9" s="6" t="inlineStr">
        <is>
          <t>필수</t>
        </is>
      </c>
      <c r="F9" s="6" t="inlineStr">
        <is>
          <t>포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DM-006</t>
        </is>
      </c>
      <c r="B10" s="6" t="inlineStr">
        <is>
          <t>벽돌</t>
        </is>
      </c>
      <c r="C10" s="6" t="inlineStr">
        <is>
          <t>시멘트벽돌</t>
        </is>
      </c>
      <c r="D10" s="6" t="inlineStr">
        <is>
          <t>조적 공사</t>
        </is>
      </c>
      <c r="E10" s="6" t="inlineStr">
        <is>
          <t>선택</t>
        </is>
      </c>
      <c r="F10" s="6" t="inlineStr">
        <is>
          <t>장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DM-007</t>
        </is>
      </c>
      <c r="B11" s="6" t="inlineStr">
        <is>
          <t>단열재</t>
        </is>
      </c>
      <c r="C11" s="6" t="inlineStr">
        <is>
          <t>아이소핑크</t>
        </is>
      </c>
      <c r="D11" s="6" t="inlineStr">
        <is>
          <t>확장부 철거 단면</t>
        </is>
      </c>
      <c r="E11" s="6" t="inlineStr">
        <is>
          <t>선택</t>
        </is>
      </c>
      <c r="F11" s="6" t="inlineStr">
        <is>
          <t>장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9" t="inlineStr">
        <is>
          <t>DM-01E</t>
        </is>
      </c>
      <c r="B12" s="9" t="inlineStr">
        <is>
          <t>가스관 증설</t>
        </is>
      </c>
      <c r="C12" s="6" t="inlineStr">
        <is>
          <t>별도</t>
        </is>
      </c>
      <c r="D12" s="6" t="inlineStr"/>
      <c r="E12" s="6" t="inlineStr">
        <is>
          <t>필수</t>
        </is>
      </c>
      <c r="F12" s="6" t="inlineStr">
        <is>
          <t>EA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>
        <is>
          <t>1현장: 김성용</t>
        </is>
      </c>
      <c r="AA12" s="8" t="n"/>
      <c r="AB12" s="8" t="n"/>
    </row>
    <row r="13">
      <c r="A13" s="9" t="inlineStr">
        <is>
          <t>DM-02E</t>
        </is>
      </c>
      <c r="B13" s="9" t="inlineStr">
        <is>
          <t>가스관 철거</t>
        </is>
      </c>
      <c r="C13" s="6" t="inlineStr">
        <is>
          <t>—</t>
        </is>
      </c>
      <c r="D13" s="6" t="inlineStr">
        <is>
          <t>주방</t>
        </is>
      </c>
      <c r="E13" s="6" t="inlineStr">
        <is>
          <t>필수</t>
        </is>
      </c>
      <c r="F13" s="6" t="inlineStr">
        <is>
          <t>식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>
        <is>
          <t>13현장: 금호,김성용,김은경,린스,만현</t>
        </is>
      </c>
      <c r="AA13" s="8" t="n"/>
      <c r="AB13" s="8" t="n">
        <v>200000</v>
      </c>
    </row>
    <row r="14">
      <c r="A14" s="9" t="inlineStr">
        <is>
          <t>DM-03E</t>
        </is>
      </c>
      <c r="B14" s="9" t="inlineStr">
        <is>
          <t>거실 천장 철거</t>
        </is>
      </c>
      <c r="C14" s="6" t="inlineStr">
        <is>
          <t>전체 천장 철거</t>
        </is>
      </c>
      <c r="D14" s="6" t="inlineStr">
        <is>
          <t>천장철거</t>
        </is>
      </c>
      <c r="E14" s="6" t="inlineStr">
        <is>
          <t>필수</t>
        </is>
      </c>
      <c r="F14" s="6" t="inlineStr">
        <is>
          <t>M2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>
        <is>
          <t>1현장: 김은경</t>
        </is>
      </c>
      <c r="AA14" s="8" t="n">
        <v>5000</v>
      </c>
      <c r="AB14" s="8" t="n">
        <v>15000</v>
      </c>
    </row>
    <row r="15">
      <c r="A15" s="9" t="inlineStr">
        <is>
          <t>DM-04E</t>
        </is>
      </c>
      <c r="B15" s="9" t="inlineStr">
        <is>
          <t>구동기 및 제어기 공사</t>
        </is>
      </c>
      <c r="C15" s="6" t="inlineStr">
        <is>
          <t>인쇼 멀티제어 - 분배기 5구SET</t>
        </is>
      </c>
      <c r="D15" s="6" t="inlineStr"/>
      <c r="E15" s="6" t="inlineStr">
        <is>
          <t>필수</t>
        </is>
      </c>
      <c r="F15" s="6" t="inlineStr">
        <is>
          <t>식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>
        <is>
          <t>4현장: 금호,이선,전기영,행당동</t>
        </is>
      </c>
      <c r="AA15" s="8" t="n"/>
      <c r="AB15" s="8" t="n">
        <v>150000</v>
      </c>
    </row>
    <row r="16">
      <c r="A16" s="9" t="inlineStr">
        <is>
          <t>DM-05E</t>
        </is>
      </c>
      <c r="B16" s="9" t="inlineStr">
        <is>
          <t>대리석 타일 철거</t>
        </is>
      </c>
      <c r="C16" s="6" t="inlineStr">
        <is>
          <t>공용부</t>
        </is>
      </c>
      <c r="D16" s="6" t="inlineStr">
        <is>
          <t>바닥 센딩 포함</t>
        </is>
      </c>
      <c r="E16" s="6" t="inlineStr">
        <is>
          <t>필수</t>
        </is>
      </c>
      <c r="F16" s="6" t="inlineStr">
        <is>
          <t>PY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>
        <is>
          <t>4현장: 금호,이선,전기영,행당동</t>
        </is>
      </c>
      <c r="AA16" s="8" t="n">
        <v>20000</v>
      </c>
      <c r="AB16" s="8" t="n">
        <v>50000</v>
      </c>
    </row>
    <row r="17">
      <c r="A17" s="9" t="inlineStr">
        <is>
          <t>DM-06E</t>
        </is>
      </c>
      <c r="B17" s="9" t="inlineStr">
        <is>
          <t>마루 철거</t>
        </is>
      </c>
      <c r="C17" s="6" t="inlineStr">
        <is>
          <t>거실, 방 전체</t>
        </is>
      </c>
      <c r="D17" s="6" t="inlineStr">
        <is>
          <t>거실, 방 전체</t>
        </is>
      </c>
      <c r="E17" s="6" t="inlineStr">
        <is>
          <t>필수</t>
        </is>
      </c>
      <c r="F17" s="6" t="inlineStr">
        <is>
          <t>PY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>
        <is>
          <t>13현장: 금호,김성용,김은경,린스,만현</t>
        </is>
      </c>
      <c r="AA17" s="8" t="n">
        <v>3300</v>
      </c>
      <c r="AB17" s="8" t="n">
        <v>25000</v>
      </c>
    </row>
    <row r="18">
      <c r="A18" s="9" t="inlineStr">
        <is>
          <t>DM-07E</t>
        </is>
      </c>
      <c r="B18" s="9" t="inlineStr">
        <is>
          <t>배관 이설 공사</t>
        </is>
      </c>
      <c r="C18" s="6" t="inlineStr">
        <is>
          <t>급 / 배수 배관이설</t>
        </is>
      </c>
      <c r="D18" s="6" t="inlineStr">
        <is>
          <t>안방/세탁기</t>
        </is>
      </c>
      <c r="E18" s="6" t="inlineStr">
        <is>
          <t>필수</t>
        </is>
      </c>
      <c r="F18" s="6" t="inlineStr">
        <is>
          <t>식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>
        <is>
          <t>7현장: 김성용,김은경,린스,만현,백현</t>
        </is>
      </c>
      <c r="AA18" s="8" t="n">
        <v>100000</v>
      </c>
      <c r="AB18" s="8" t="n">
        <v>250000</v>
      </c>
    </row>
    <row r="19">
      <c r="A19" s="9" t="inlineStr">
        <is>
          <t>DM-08E</t>
        </is>
      </c>
      <c r="B19" s="9" t="inlineStr">
        <is>
          <t>보일러 이설</t>
        </is>
      </c>
      <c r="C19" s="6" t="inlineStr">
        <is>
          <t>보일러 급수/환수 이설 /기기이설</t>
        </is>
      </c>
      <c r="D19" s="6" t="inlineStr">
        <is>
          <t>보일러 이설</t>
        </is>
      </c>
      <c r="E19" s="6" t="inlineStr">
        <is>
          <t>필수</t>
        </is>
      </c>
      <c r="F19" s="6" t="inlineStr">
        <is>
          <t>EA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>
        <is>
          <t>1현장: 김은경</t>
        </is>
      </c>
      <c r="AA19" s="8" t="n">
        <v>350000</v>
      </c>
      <c r="AB19" s="8" t="n">
        <v>250000</v>
      </c>
    </row>
    <row r="20">
      <c r="A20" s="9" t="inlineStr">
        <is>
          <t>DM-09E</t>
        </is>
      </c>
      <c r="B20" s="9" t="inlineStr">
        <is>
          <t>본 철거</t>
        </is>
      </c>
      <c r="C20" s="6" t="inlineStr">
        <is>
          <t>—</t>
        </is>
      </c>
      <c r="D20" s="6" t="inlineStr">
        <is>
          <t>전체 철거</t>
        </is>
      </c>
      <c r="E20" s="6" t="inlineStr">
        <is>
          <t>필수</t>
        </is>
      </c>
      <c r="F20" s="6" t="inlineStr">
        <is>
          <t>M2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>
        <is>
          <t>13현장: 금호,김성용,김은경,린스,만현</t>
        </is>
      </c>
      <c r="AA20" s="8" t="n">
        <v>8000</v>
      </c>
      <c r="AB20" s="8" t="n">
        <v>18000</v>
      </c>
    </row>
    <row r="21">
      <c r="A21" s="9" t="inlineStr">
        <is>
          <t>DM-10E</t>
        </is>
      </c>
      <c r="B21" s="9" t="inlineStr">
        <is>
          <t>분배기 교체 공사</t>
        </is>
      </c>
      <c r="C21" s="6" t="inlineStr">
        <is>
          <t>인쇼 멀티제어 - 분배기 5구SET</t>
        </is>
      </c>
      <c r="D21" s="6" t="inlineStr"/>
      <c r="E21" s="6" t="inlineStr">
        <is>
          <t>필수</t>
        </is>
      </c>
      <c r="F21" s="6" t="inlineStr">
        <is>
          <t>식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>
        <is>
          <t>5현장: 금호,이선,이성숙,전기영,행당동</t>
        </is>
      </c>
      <c r="AA21" s="8" t="n">
        <v>572000</v>
      </c>
      <c r="AB21" s="8" t="n">
        <v>450000</v>
      </c>
    </row>
    <row r="22">
      <c r="A22" s="9" t="inlineStr">
        <is>
          <t>DM-11E</t>
        </is>
      </c>
      <c r="B22" s="9" t="inlineStr">
        <is>
          <t>분배기 이설</t>
        </is>
      </c>
      <c r="C22" s="6" t="inlineStr">
        <is>
          <t>—</t>
        </is>
      </c>
      <c r="D22" s="6" t="inlineStr">
        <is>
          <t>주방</t>
        </is>
      </c>
      <c r="E22" s="6" t="inlineStr">
        <is>
          <t>필수</t>
        </is>
      </c>
      <c r="F22" s="6" t="inlineStr">
        <is>
          <t>식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>
        <is>
          <t>1현장: 김성용</t>
        </is>
      </c>
      <c r="AA22" s="8" t="n">
        <v>1000000</v>
      </c>
      <c r="AB22" s="8" t="n"/>
    </row>
    <row r="23">
      <c r="A23" s="9" t="inlineStr">
        <is>
          <t>DM-12E</t>
        </is>
      </c>
      <c r="B23" s="9" t="inlineStr">
        <is>
          <t>분배기 이설 공사</t>
        </is>
      </c>
      <c r="C23" s="6" t="inlineStr">
        <is>
          <t>—</t>
        </is>
      </c>
      <c r="D23" s="6" t="inlineStr"/>
      <c r="E23" s="6" t="inlineStr">
        <is>
          <t>필수</t>
        </is>
      </c>
      <c r="F23" s="6" t="inlineStr">
        <is>
          <t>식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>
        <is>
          <t>3현장: 금호,이선,행당동</t>
        </is>
      </c>
      <c r="AA23" s="8" t="n"/>
      <c r="AB23" s="8" t="n"/>
    </row>
    <row r="24">
      <c r="A24" s="9" t="inlineStr">
        <is>
          <t>DM-13E</t>
        </is>
      </c>
      <c r="B24" s="9" t="inlineStr">
        <is>
          <t>분배기 이설 및 교체</t>
        </is>
      </c>
      <c r="C24" s="6" t="inlineStr">
        <is>
          <t>—</t>
        </is>
      </c>
      <c r="D24" s="6" t="inlineStr">
        <is>
          <t>분배기</t>
        </is>
      </c>
      <c r="E24" s="6" t="inlineStr">
        <is>
          <t>필수</t>
        </is>
      </c>
      <c r="F24" s="6" t="inlineStr">
        <is>
          <t>식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>
        <is>
          <t>5현장: 린스,만현,백현,진산,푸르지오</t>
        </is>
      </c>
      <c r="AA24" s="8" t="n">
        <v>1700000</v>
      </c>
      <c r="AB24" s="8" t="n"/>
    </row>
    <row r="25">
      <c r="A25" s="9" t="inlineStr">
        <is>
          <t>DM-14E</t>
        </is>
      </c>
      <c r="B25" s="9" t="inlineStr">
        <is>
          <t>수평 몰탈 공사</t>
        </is>
      </c>
      <c r="C25" s="6" t="inlineStr">
        <is>
          <t>아일랜드 / 벽체주위 / 현관철거부</t>
        </is>
      </c>
      <c r="D25" s="6" t="inlineStr">
        <is>
          <t>부분시공</t>
        </is>
      </c>
      <c r="E25" s="6" t="inlineStr">
        <is>
          <t>필수</t>
        </is>
      </c>
      <c r="F25" s="6" t="inlineStr">
        <is>
          <t>M2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>
        <is>
          <t>2현장: 김성용,김은경</t>
        </is>
      </c>
      <c r="AA25" s="8" t="n">
        <v>65000</v>
      </c>
      <c r="AB25" s="8" t="n">
        <v>35000</v>
      </c>
    </row>
    <row r="26">
      <c r="A26" s="9" t="inlineStr">
        <is>
          <t>DM-15E</t>
        </is>
      </c>
      <c r="B26" s="9" t="inlineStr">
        <is>
          <t>온도조절기 공사</t>
        </is>
      </c>
      <c r="C26" s="6" t="inlineStr">
        <is>
          <t>허니웰 온도조절기</t>
        </is>
      </c>
      <c r="D26" s="6" t="inlineStr">
        <is>
          <t>각 방</t>
        </is>
      </c>
      <c r="E26" s="6" t="inlineStr">
        <is>
          <t>필수</t>
        </is>
      </c>
      <c r="F26" s="6" t="inlineStr">
        <is>
          <t>EA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>
        <is>
          <t>11현장: 금호,김성용,김은경,린스,만현</t>
        </is>
      </c>
      <c r="AA26" s="8" t="n">
        <v>110000</v>
      </c>
      <c r="AB26" s="8" t="n">
        <v>30000</v>
      </c>
    </row>
    <row r="27">
      <c r="A27" s="9" t="inlineStr">
        <is>
          <t>DM-16E</t>
        </is>
      </c>
      <c r="B27" s="9" t="inlineStr">
        <is>
          <t>우수관 부틸러버</t>
        </is>
      </c>
      <c r="C27" s="6" t="inlineStr">
        <is>
          <t>—</t>
        </is>
      </c>
      <c r="D27" s="6" t="inlineStr"/>
      <c r="E27" s="6" t="inlineStr">
        <is>
          <t>필수</t>
        </is>
      </c>
      <c r="F27" s="6" t="inlineStr">
        <is>
          <t>식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>
        <is>
          <t>6현장: 린스,만현,백현,산본,진산</t>
        </is>
      </c>
      <c r="AA27" s="8" t="n"/>
      <c r="AB27" s="8" t="n"/>
    </row>
    <row r="28">
      <c r="A28" s="9" t="inlineStr">
        <is>
          <t>DM-17E</t>
        </is>
      </c>
      <c r="B28" s="9" t="inlineStr">
        <is>
          <t>자동확산소화기</t>
        </is>
      </c>
      <c r="C28" s="6" t="inlineStr">
        <is>
          <t>—</t>
        </is>
      </c>
      <c r="D28" s="6" t="inlineStr"/>
      <c r="E28" s="6" t="inlineStr">
        <is>
          <t>필수</t>
        </is>
      </c>
      <c r="F28" s="6" t="inlineStr">
        <is>
          <t>EA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>
        <is>
          <t>5현장: 린스,만현,백현,진산,푸르지오</t>
        </is>
      </c>
      <c r="AA28" s="8" t="n">
        <v>350000</v>
      </c>
      <c r="AB28" s="8" t="n"/>
    </row>
    <row r="29">
      <c r="A29" s="9" t="inlineStr">
        <is>
          <t>DM-18E</t>
        </is>
      </c>
      <c r="B29" s="9" t="inlineStr">
        <is>
          <t>장판 철거</t>
        </is>
      </c>
      <c r="C29" s="6" t="inlineStr">
        <is>
          <t>각방</t>
        </is>
      </c>
      <c r="D29" s="6" t="inlineStr"/>
      <c r="E29" s="6" t="inlineStr">
        <is>
          <t>필수</t>
        </is>
      </c>
      <c r="F29" s="6" t="inlineStr">
        <is>
          <t>EA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>
        <is>
          <t>2현장: 김성용,전기영</t>
        </is>
      </c>
      <c r="AA29" s="8" t="n">
        <v>12500</v>
      </c>
      <c r="AB29" s="8" t="n">
        <v>100000</v>
      </c>
    </row>
    <row r="30">
      <c r="A30" s="9" t="inlineStr">
        <is>
          <t>DM-19E</t>
        </is>
      </c>
      <c r="B30" s="9" t="inlineStr">
        <is>
          <t>장판철거</t>
        </is>
      </c>
      <c r="C30" s="6" t="inlineStr">
        <is>
          <t>방 전체</t>
        </is>
      </c>
      <c r="D30" s="6" t="inlineStr"/>
      <c r="E30" s="6" t="inlineStr">
        <is>
          <t>필수</t>
        </is>
      </c>
      <c r="F30" s="6" t="inlineStr">
        <is>
          <t>PY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>
        <is>
          <t>2현장: 금호,행당동</t>
        </is>
      </c>
      <c r="AA30" s="8" t="n">
        <v>3000</v>
      </c>
      <c r="AB30" s="8" t="n">
        <v>8500</v>
      </c>
    </row>
    <row r="31">
      <c r="A31" s="9" t="inlineStr">
        <is>
          <t>DM-20E</t>
        </is>
      </c>
      <c r="B31" s="9" t="inlineStr">
        <is>
          <t>조적 벽체 철거</t>
        </is>
      </c>
      <c r="C31" s="6" t="inlineStr">
        <is>
          <t>안방 화장실</t>
        </is>
      </c>
      <c r="D31" s="6" t="inlineStr"/>
      <c r="E31" s="6" t="inlineStr">
        <is>
          <t>필수</t>
        </is>
      </c>
      <c r="F31" s="6" t="inlineStr">
        <is>
          <t>M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>
        <is>
          <t>5현장: 금호,이선,이성숙,전기영,행당동</t>
        </is>
      </c>
      <c r="AA31" s="8" t="n">
        <v>15000</v>
      </c>
      <c r="AB31" s="8" t="n">
        <v>60000</v>
      </c>
    </row>
    <row r="32">
      <c r="A32" s="9" t="inlineStr">
        <is>
          <t>DM-21E</t>
        </is>
      </c>
      <c r="B32" s="9" t="inlineStr">
        <is>
          <t>조적벽체 철거</t>
        </is>
      </c>
      <c r="C32" s="6" t="inlineStr">
        <is>
          <t>거실 조적벽체 철거</t>
        </is>
      </c>
      <c r="D32" s="6" t="inlineStr">
        <is>
          <t>드레스룸-거실</t>
        </is>
      </c>
      <c r="E32" s="6" t="inlineStr">
        <is>
          <t>필수</t>
        </is>
      </c>
      <c r="F32" s="6" t="inlineStr">
        <is>
          <t>식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6현장: 김성용,린스,만현,백현,진산</t>
        </is>
      </c>
      <c r="AA32" s="8" t="n">
        <v>20000</v>
      </c>
      <c r="AB32" s="8" t="n">
        <v>230000</v>
      </c>
    </row>
    <row r="33">
      <c r="A33" s="9" t="inlineStr">
        <is>
          <t>DM-22E</t>
        </is>
      </c>
      <c r="B33" s="9" t="inlineStr">
        <is>
          <t>천장 철거</t>
        </is>
      </c>
      <c r="C33" s="6" t="inlineStr">
        <is>
          <t>거실 전체 철거</t>
        </is>
      </c>
      <c r="D33" s="6" t="inlineStr"/>
      <c r="E33" s="6" t="inlineStr">
        <is>
          <t>필수</t>
        </is>
      </c>
      <c r="F33" s="6" t="inlineStr">
        <is>
          <t>M2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>
        <is>
          <t>5현장: 금호,이선,이성숙,전기영,행당동</t>
        </is>
      </c>
      <c r="AA33" s="8" t="n">
        <v>5000</v>
      </c>
      <c r="AB33" s="8" t="n">
        <v>6000</v>
      </c>
    </row>
    <row r="34">
      <c r="A34" s="9" t="inlineStr">
        <is>
          <t>DM-23E</t>
        </is>
      </c>
      <c r="B34" s="9" t="inlineStr">
        <is>
          <t>천장철거</t>
        </is>
      </c>
      <c r="C34" s="6" t="inlineStr">
        <is>
          <t>—</t>
        </is>
      </c>
      <c r="D34" s="6" t="inlineStr">
        <is>
          <t>각 방</t>
        </is>
      </c>
      <c r="E34" s="6" t="inlineStr">
        <is>
          <t>필수</t>
        </is>
      </c>
      <c r="F34" s="6" t="inlineStr">
        <is>
          <t>M2</t>
        </is>
      </c>
      <c r="G34" s="6" t="n"/>
      <c r="H34" s="6" t="n"/>
      <c r="I34" s="7">
        <f>IF(G34="","",G34*(1+H34/100))</f>
        <v/>
      </c>
      <c r="J34" s="6" t="n"/>
      <c r="K34" s="6" t="n"/>
      <c r="L34" s="8" t="n"/>
      <c r="M34" s="8" t="n"/>
      <c r="N34" s="8" t="n"/>
      <c r="O34" s="8" t="n"/>
      <c r="P34" s="8" t="n"/>
      <c r="Q34" s="8">
        <f>IF(OR(O34="",P34=""),"",MIN(O34,P34)-N34)</f>
        <v/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inlineStr">
        <is>
          <t>6현장: 린스,만현,백현,산본,진산</t>
        </is>
      </c>
      <c r="AA34" s="8" t="n">
        <v>8000</v>
      </c>
      <c r="AB34" s="8" t="n">
        <v>7000</v>
      </c>
    </row>
    <row r="35">
      <c r="A35" s="9" t="inlineStr">
        <is>
          <t>DM-24E</t>
        </is>
      </c>
      <c r="B35" s="9" t="inlineStr">
        <is>
          <t>타일 철거</t>
        </is>
      </c>
      <c r="C35" s="6" t="inlineStr">
        <is>
          <t>현관 / 주방발코니</t>
        </is>
      </c>
      <c r="D35" s="6" t="inlineStr">
        <is>
          <t>현관,확장부</t>
        </is>
      </c>
      <c r="E35" s="6" t="inlineStr">
        <is>
          <t>필수</t>
        </is>
      </c>
      <c r="F35" s="6" t="inlineStr">
        <is>
          <t>M2</t>
        </is>
      </c>
      <c r="G35" s="6" t="n"/>
      <c r="H35" s="6" t="n"/>
      <c r="I35" s="7">
        <f>IF(G35="","",G35*(1+H35/100))</f>
        <v/>
      </c>
      <c r="J35" s="6" t="n"/>
      <c r="K35" s="6" t="n"/>
      <c r="L35" s="8" t="n"/>
      <c r="M35" s="8" t="n"/>
      <c r="N35" s="8" t="n"/>
      <c r="O35" s="8" t="n"/>
      <c r="P35" s="8" t="n"/>
      <c r="Q35" s="8">
        <f>IF(OR(O35="",P35=""),"",MIN(O35,P35)-N35)</f>
        <v/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inlineStr">
        <is>
          <t>12현장: 금호,김성용,김은경,린스,만현</t>
        </is>
      </c>
      <c r="AA35" s="8" t="n">
        <v>15000</v>
      </c>
      <c r="AB35" s="8" t="n">
        <v>70000</v>
      </c>
    </row>
    <row r="36">
      <c r="A36" s="9" t="inlineStr">
        <is>
          <t>DM-25E</t>
        </is>
      </c>
      <c r="B36" s="9" t="inlineStr">
        <is>
          <t>현관 바닥철거</t>
        </is>
      </c>
      <c r="C36" s="6" t="inlineStr">
        <is>
          <t>현관 확장 바닥</t>
        </is>
      </c>
      <c r="D36" s="6" t="inlineStr">
        <is>
          <t>철거 / 난방 배관작업</t>
        </is>
      </c>
      <c r="E36" s="6" t="inlineStr">
        <is>
          <t>필수</t>
        </is>
      </c>
      <c r="F36" s="6" t="inlineStr">
        <is>
          <t>식</t>
        </is>
      </c>
      <c r="G36" s="6" t="n"/>
      <c r="H36" s="6" t="n"/>
      <c r="I36" s="7">
        <f>IF(G36="","",G36*(1+H36/100))</f>
        <v/>
      </c>
      <c r="J36" s="6" t="n"/>
      <c r="K36" s="6" t="n"/>
      <c r="L36" s="8" t="n"/>
      <c r="M36" s="8" t="n"/>
      <c r="N36" s="8" t="n"/>
      <c r="O36" s="8" t="n"/>
      <c r="P36" s="8" t="n"/>
      <c r="Q36" s="8">
        <f>IF(OR(O36="",P36=""),"",MIN(O36,P36)-N36)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inlineStr">
        <is>
          <t>2현장: 금호,행당동</t>
        </is>
      </c>
      <c r="AA36" s="8" t="n">
        <v>50000</v>
      </c>
      <c r="AB36" s="8" t="n">
        <v>250000</v>
      </c>
    </row>
    <row r="37">
      <c r="A37" s="9" t="inlineStr">
        <is>
          <t>DM-26E</t>
        </is>
      </c>
      <c r="B37" s="9" t="inlineStr">
        <is>
          <t>화단 철거</t>
        </is>
      </c>
      <c r="C37" s="6" t="inlineStr">
        <is>
          <t>—</t>
        </is>
      </c>
      <c r="D37" s="6" t="inlineStr">
        <is>
          <t>안방,침실1</t>
        </is>
      </c>
      <c r="E37" s="6" t="inlineStr">
        <is>
          <t>필수</t>
        </is>
      </c>
      <c r="F37" s="6" t="inlineStr">
        <is>
          <t>식</t>
        </is>
      </c>
      <c r="G37" s="6" t="n"/>
      <c r="H37" s="6" t="n"/>
      <c r="I37" s="7">
        <f>IF(G37="","",G37*(1+H37/100))</f>
        <v/>
      </c>
      <c r="J37" s="6" t="n"/>
      <c r="K37" s="6" t="n"/>
      <c r="L37" s="8" t="n"/>
      <c r="M37" s="8" t="n"/>
      <c r="N37" s="8" t="n"/>
      <c r="O37" s="8" t="n"/>
      <c r="P37" s="8" t="n"/>
      <c r="Q37" s="8">
        <f>IF(OR(O37="",P37=""),"",MIN(O37,P37)-N37)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inlineStr">
        <is>
          <t>5현장: 금호,김성용,이선,전기영,행당동</t>
        </is>
      </c>
      <c r="AA37" s="8" t="n">
        <v>20000</v>
      </c>
      <c r="AB37" s="8" t="n">
        <v>150000</v>
      </c>
    </row>
    <row r="38">
      <c r="A38" s="9" t="inlineStr">
        <is>
          <t>DM-27E</t>
        </is>
      </c>
      <c r="B38" s="9" t="inlineStr">
        <is>
          <t>화장실 방수 공사</t>
        </is>
      </c>
      <c r="C38" s="6" t="inlineStr">
        <is>
          <t>액체방수 공사</t>
        </is>
      </c>
      <c r="D38" s="6" t="inlineStr">
        <is>
          <t>화장실 하단 방수</t>
        </is>
      </c>
      <c r="E38" s="6" t="inlineStr">
        <is>
          <t>필수</t>
        </is>
      </c>
      <c r="F38" s="6" t="inlineStr">
        <is>
          <t>EA</t>
        </is>
      </c>
      <c r="G38" s="6" t="n"/>
      <c r="H38" s="6" t="n"/>
      <c r="I38" s="7">
        <f>IF(G38="","",G38*(1+H38/100))</f>
        <v/>
      </c>
      <c r="J38" s="6" t="n"/>
      <c r="K38" s="6" t="n"/>
      <c r="L38" s="8" t="n"/>
      <c r="M38" s="8" t="n"/>
      <c r="N38" s="8" t="n"/>
      <c r="O38" s="8" t="n"/>
      <c r="P38" s="8" t="n"/>
      <c r="Q38" s="8">
        <f>IF(OR(O38="",P38=""),"",MIN(O38,P38)-N38)</f>
        <v/>
      </c>
      <c r="R38" s="6" t="n"/>
      <c r="S38" s="6" t="n"/>
      <c r="T38" s="6" t="n"/>
      <c r="U38" s="6" t="n"/>
      <c r="V38" s="6" t="n"/>
      <c r="W38" s="6" t="n"/>
      <c r="X38" s="6" t="n"/>
      <c r="Y38" s="6" t="n"/>
      <c r="Z38" s="6" t="inlineStr">
        <is>
          <t>7현장: 김성용,김은경,린스,만현,백현</t>
        </is>
      </c>
      <c r="AA38" s="8" t="n">
        <v>130000</v>
      </c>
      <c r="AB38" s="8" t="n">
        <v>245000</v>
      </c>
    </row>
    <row r="39">
      <c r="A39" s="9" t="inlineStr">
        <is>
          <t>DM-28E</t>
        </is>
      </c>
      <c r="B39" s="9" t="inlineStr">
        <is>
          <t>화장실 전체철거</t>
        </is>
      </c>
      <c r="C39" s="6" t="inlineStr">
        <is>
          <t>조적벽체 포함</t>
        </is>
      </c>
      <c r="D39" s="6" t="inlineStr">
        <is>
          <t>현관화장실</t>
        </is>
      </c>
      <c r="E39" s="6" t="inlineStr">
        <is>
          <t>필수</t>
        </is>
      </c>
      <c r="F39" s="6" t="inlineStr">
        <is>
          <t>식</t>
        </is>
      </c>
      <c r="G39" s="6" t="n"/>
      <c r="H39" s="6" t="n"/>
      <c r="I39" s="7">
        <f>IF(G39="","",G39*(1+H39/100))</f>
        <v/>
      </c>
      <c r="J39" s="6" t="n"/>
      <c r="K39" s="6" t="n"/>
      <c r="L39" s="8" t="n"/>
      <c r="M39" s="8" t="n"/>
      <c r="N39" s="8" t="n"/>
      <c r="O39" s="8" t="n"/>
      <c r="P39" s="8" t="n"/>
      <c r="Q39" s="8">
        <f>IF(OR(O39="",P39=""),"",MIN(O39,P39)-N39)</f>
        <v/>
      </c>
      <c r="R39" s="6" t="n"/>
      <c r="S39" s="6" t="n"/>
      <c r="T39" s="6" t="n"/>
      <c r="U39" s="6" t="n"/>
      <c r="V39" s="6" t="n"/>
      <c r="W39" s="6" t="n"/>
      <c r="X39" s="6" t="n"/>
      <c r="Y39" s="6" t="n"/>
      <c r="Z39" s="6" t="inlineStr">
        <is>
          <t>1현장: 이선</t>
        </is>
      </c>
      <c r="AA39" s="8" t="n">
        <v>500000</v>
      </c>
      <c r="AB39" s="8" t="n">
        <v>800000</v>
      </c>
    </row>
    <row r="40">
      <c r="A40" s="9" t="inlineStr">
        <is>
          <t>DM-29E</t>
        </is>
      </c>
      <c r="B40" s="9" t="inlineStr">
        <is>
          <t>화장실 철거</t>
        </is>
      </c>
      <c r="C40" s="6" t="inlineStr">
        <is>
          <t>전체 철거</t>
        </is>
      </c>
      <c r="D40" s="6" t="inlineStr">
        <is>
          <t>전체 철거</t>
        </is>
      </c>
      <c r="E40" s="6" t="inlineStr">
        <is>
          <t>필수</t>
        </is>
      </c>
      <c r="F40" s="6" t="inlineStr">
        <is>
          <t>식</t>
        </is>
      </c>
      <c r="G40" s="6" t="n"/>
      <c r="H40" s="6" t="n"/>
      <c r="I40" s="7">
        <f>IF(G40="","",G40*(1+H40/100))</f>
        <v/>
      </c>
      <c r="J40" s="6" t="n"/>
      <c r="K40" s="6" t="n"/>
      <c r="L40" s="8" t="n"/>
      <c r="M40" s="8" t="n"/>
      <c r="N40" s="8" t="n"/>
      <c r="O40" s="8" t="n"/>
      <c r="P40" s="8" t="n"/>
      <c r="Q40" s="8">
        <f>IF(OR(O40="",P40=""),"",MIN(O40,P40)-N40)</f>
        <v/>
      </c>
      <c r="R40" s="6" t="n"/>
      <c r="S40" s="6" t="n"/>
      <c r="T40" s="6" t="n"/>
      <c r="U40" s="6" t="n"/>
      <c r="V40" s="6" t="n"/>
      <c r="W40" s="6" t="n"/>
      <c r="X40" s="6" t="n"/>
      <c r="Y40" s="6" t="n"/>
      <c r="Z40" s="6" t="inlineStr">
        <is>
          <t>13현장: 금호,김성용,김은경,린스,만현</t>
        </is>
      </c>
      <c r="AA40" s="8" t="n">
        <v>50000</v>
      </c>
      <c r="AB40" s="8" t="n">
        <v>650000</v>
      </c>
    </row>
    <row r="41">
      <c r="A41" s="9" t="inlineStr">
        <is>
          <t>DM-30E</t>
        </is>
      </c>
      <c r="B41" s="9" t="inlineStr">
        <is>
          <t>확장 공사</t>
        </is>
      </c>
      <c r="C41" s="6" t="inlineStr">
        <is>
          <t>바닥면적 확장,조적 및 미장</t>
        </is>
      </c>
      <c r="D41" s="6" t="inlineStr">
        <is>
          <t>안방화장실</t>
        </is>
      </c>
      <c r="E41" s="6" t="inlineStr">
        <is>
          <t>필수</t>
        </is>
      </c>
      <c r="F41" s="6" t="inlineStr">
        <is>
          <t>EA</t>
        </is>
      </c>
      <c r="G41" s="6" t="n"/>
      <c r="H41" s="6" t="n"/>
      <c r="I41" s="7">
        <f>IF(G41="","",G41*(1+H41/100))</f>
        <v/>
      </c>
      <c r="J41" s="6" t="n"/>
      <c r="K41" s="6" t="n"/>
      <c r="L41" s="8" t="n"/>
      <c r="M41" s="8" t="n"/>
      <c r="N41" s="8" t="n"/>
      <c r="O41" s="8" t="n"/>
      <c r="P41" s="8" t="n"/>
      <c r="Q41" s="8">
        <f>IF(OR(O41="",P41=""),"",MIN(O41,P41)-N41)</f>
        <v/>
      </c>
      <c r="R41" s="6" t="n"/>
      <c r="S41" s="6" t="n"/>
      <c r="T41" s="6" t="n"/>
      <c r="U41" s="6" t="n"/>
      <c r="V41" s="6" t="n"/>
      <c r="W41" s="6" t="n"/>
      <c r="X41" s="6" t="n"/>
      <c r="Y41" s="6" t="n"/>
      <c r="Z41" s="6" t="inlineStr">
        <is>
          <t>10현장: 금호,김성용,김은경,린스,만현</t>
        </is>
      </c>
      <c r="AA41" s="8" t="n">
        <v>300000</v>
      </c>
      <c r="AB41" s="8" t="n">
        <v>500000</v>
      </c>
    </row>
    <row r="42">
      <c r="A42" s="9" t="inlineStr">
        <is>
          <t>DM-31E</t>
        </is>
      </c>
      <c r="B42" s="9" t="inlineStr">
        <is>
          <t>확장공사</t>
        </is>
      </c>
      <c r="C42" s="6" t="inlineStr">
        <is>
          <t>보조주방</t>
        </is>
      </c>
      <c r="D42" s="6" t="inlineStr"/>
      <c r="E42" s="6" t="inlineStr">
        <is>
          <t>필수</t>
        </is>
      </c>
      <c r="F42" s="6" t="inlineStr">
        <is>
          <t>식</t>
        </is>
      </c>
      <c r="G42" s="6" t="n"/>
      <c r="H42" s="6" t="n"/>
      <c r="I42" s="7">
        <f>IF(G42="","",G42*(1+H42/100))</f>
        <v/>
      </c>
      <c r="J42" s="6" t="n"/>
      <c r="K42" s="6" t="n"/>
      <c r="L42" s="8" t="n"/>
      <c r="M42" s="8" t="n"/>
      <c r="N42" s="8" t="n"/>
      <c r="O42" s="8" t="n"/>
      <c r="P42" s="8" t="n"/>
      <c r="Q42" s="8">
        <f>IF(OR(O42="",P42=""),"",MIN(O42,P42)-N42)</f>
        <v/>
      </c>
      <c r="R42" s="6" t="n"/>
      <c r="S42" s="6" t="n"/>
      <c r="T42" s="6" t="n"/>
      <c r="U42" s="6" t="n"/>
      <c r="V42" s="6" t="n"/>
      <c r="W42" s="6" t="n"/>
      <c r="X42" s="6" t="n"/>
      <c r="Y42" s="6" t="n"/>
      <c r="Z42" s="6" t="inlineStr">
        <is>
          <t>1현장: 이선</t>
        </is>
      </c>
      <c r="AA42" s="8" t="n">
        <v>400000</v>
      </c>
      <c r="AB42" s="8" t="n">
        <v>200000</v>
      </c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1">
        <f>IF(G43="","",G43*(1+H43/100))</f>
        <v/>
      </c>
      <c r="J43" s="10" t="n"/>
      <c r="K43" s="10" t="n"/>
      <c r="L43" s="10" t="n"/>
      <c r="M43" s="10" t="n"/>
      <c r="N43" s="10" t="n"/>
      <c r="O43" s="10" t="n"/>
      <c r="P43" s="10" t="n"/>
      <c r="Q43" s="12">
        <f>IF(OR(O43="",P43=""),"",MIN(O43,P43)-N43)</f>
        <v/>
      </c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1">
        <f>IF(G44="","",G44*(1+H44/100))</f>
        <v/>
      </c>
      <c r="J44" s="10" t="n"/>
      <c r="K44" s="10" t="n"/>
      <c r="L44" s="10" t="n"/>
      <c r="M44" s="10" t="n"/>
      <c r="N44" s="10" t="n"/>
      <c r="O44" s="10" t="n"/>
      <c r="P44" s="10" t="n"/>
      <c r="Q44" s="12">
        <f>IF(OR(O44="",P44=""),"",MIN(O44,P44)-N44)</f>
        <v/>
      </c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1">
        <f>IF(G45="","",G45*(1+H45/100))</f>
        <v/>
      </c>
      <c r="J45" s="10" t="n"/>
      <c r="K45" s="10" t="n"/>
      <c r="L45" s="10" t="n"/>
      <c r="M45" s="10" t="n"/>
      <c r="N45" s="10" t="n"/>
      <c r="O45" s="10" t="n"/>
      <c r="P45" s="10" t="n"/>
      <c r="Q45" s="12">
        <f>IF(OR(O45="",P45=""),"",MIN(O45,P45)-N45)</f>
        <v/>
      </c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1">
        <f>IF(G46="","",G46*(1+H46/100))</f>
        <v/>
      </c>
      <c r="J46" s="10" t="n"/>
      <c r="K46" s="10" t="n"/>
      <c r="L46" s="10" t="n"/>
      <c r="M46" s="10" t="n"/>
      <c r="N46" s="10" t="n"/>
      <c r="O46" s="10" t="n"/>
      <c r="P46" s="10" t="n"/>
      <c r="Q46" s="12">
        <f>IF(OR(O46="",P46=""),"",MIN(O46,P46)-N46)</f>
        <v/>
      </c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1">
        <f>IF(G47="","",G47*(1+H47/100))</f>
        <v/>
      </c>
      <c r="J47" s="10" t="n"/>
      <c r="K47" s="10" t="n"/>
      <c r="L47" s="10" t="n"/>
      <c r="M47" s="10" t="n"/>
      <c r="N47" s="10" t="n"/>
      <c r="O47" s="10" t="n"/>
      <c r="P47" s="10" t="n"/>
      <c r="Q47" s="12">
        <f>IF(OR(O47="",P47=""),"",MIN(O47,P47)-N47)</f>
        <v/>
      </c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1">
        <f>IF(G48="","",G48*(1+H48/100))</f>
        <v/>
      </c>
      <c r="J48" s="10" t="n"/>
      <c r="K48" s="10" t="n"/>
      <c r="L48" s="10" t="n"/>
      <c r="M48" s="10" t="n"/>
      <c r="N48" s="10" t="n"/>
      <c r="O48" s="10" t="n"/>
      <c r="P48" s="10" t="n"/>
      <c r="Q48" s="12">
        <f>IF(OR(O48="",P48=""),"",MIN(O48,P48)-N48)</f>
        <v/>
      </c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1">
        <f>IF(G49="","",G49*(1+H49/100))</f>
        <v/>
      </c>
      <c r="J49" s="10" t="n"/>
      <c r="K49" s="10" t="n"/>
      <c r="L49" s="10" t="n"/>
      <c r="M49" s="10" t="n"/>
      <c r="N49" s="10" t="n"/>
      <c r="O49" s="10" t="n"/>
      <c r="P49" s="10" t="n"/>
      <c r="Q49" s="12">
        <f>IF(OR(O49="",P49=""),"",MIN(O49,P49)-N49)</f>
        <v/>
      </c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1">
        <f>IF(G50="","",G50*(1+H50/100))</f>
        <v/>
      </c>
      <c r="J50" s="10" t="n"/>
      <c r="K50" s="10" t="n"/>
      <c r="L50" s="10" t="n"/>
      <c r="M50" s="10" t="n"/>
      <c r="N50" s="10" t="n"/>
      <c r="O50" s="10" t="n"/>
      <c r="P50" s="10" t="n"/>
      <c r="Q50" s="12">
        <f>IF(OR(O50="",P50=""),"",MIN(O50,P50)-N50)</f>
        <v/>
      </c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1">
        <f>IF(G51="","",G51*(1+H51/100))</f>
        <v/>
      </c>
      <c r="J51" s="10" t="n"/>
      <c r="K51" s="10" t="n"/>
      <c r="L51" s="10" t="n"/>
      <c r="M51" s="10" t="n"/>
      <c r="N51" s="10" t="n"/>
      <c r="O51" s="10" t="n"/>
      <c r="P51" s="10" t="n"/>
      <c r="Q51" s="12">
        <f>IF(OR(O51="",P51=""),"",MIN(O51,P51)-N51)</f>
        <v/>
      </c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1">
        <f>IF(G52="","",G52*(1+H52/100))</f>
        <v/>
      </c>
      <c r="J52" s="10" t="n"/>
      <c r="K52" s="10" t="n"/>
      <c r="L52" s="10" t="n"/>
      <c r="M52" s="10" t="n"/>
      <c r="N52" s="10" t="n"/>
      <c r="O52" s="10" t="n"/>
      <c r="P52" s="10" t="n"/>
      <c r="Q52" s="12">
        <f>IF(OR(O52="",P52=""),"",MIN(O52,P52)-N52)</f>
        <v/>
      </c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</row>
    <row r="54">
      <c r="A54" s="13" t="inlineStr">
        <is>
          <t>※ 파란셀=수식 | 노란셀=견적참고 | ★금색=견적서 추출항목 | 소요량·로스율=대표 | 가격=유통 | 견적단가=16개 견적서 중앙값</t>
        </is>
      </c>
    </row>
  </sheetData>
  <autoFilter ref="A4:AB52"/>
  <mergeCells count="9">
    <mergeCell ref="R3:U3"/>
    <mergeCell ref="A2:AB2"/>
    <mergeCell ref="AA3:AB3"/>
    <mergeCell ref="A54:AB54"/>
    <mergeCell ref="J3:Q3"/>
    <mergeCell ref="Y3:Z3"/>
    <mergeCell ref="A1:AB1"/>
    <mergeCell ref="A3:I3"/>
    <mergeCell ref="V3:X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299E1"/>
    <outlinePr summaryBelow="1" summaryRight="1"/>
    <pageSetUpPr/>
  </sheetPr>
  <dimension ref="A1:AB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설비(배관) 자재</t>
        </is>
      </c>
    </row>
    <row r="2">
      <c r="A2" s="2" t="inlineStr">
        <is>
          <t>공정코드: PL | 체크리스트 + 16개 견적서 전체 항목 | ★=견적서 추출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(16개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PL-001</t>
        </is>
      </c>
      <c r="B5" s="6" t="inlineStr">
        <is>
          <t>동파이프</t>
        </is>
      </c>
      <c r="C5" s="6" t="inlineStr">
        <is>
          <t>15A/20A</t>
        </is>
      </c>
      <c r="D5" s="6" t="inlineStr">
        <is>
          <t>급수관</t>
        </is>
      </c>
      <c r="E5" s="6" t="inlineStr">
        <is>
          <t>필수</t>
        </is>
      </c>
      <c r="F5" s="6" t="inlineStr">
        <is>
          <t>M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PL-002</t>
        </is>
      </c>
      <c r="B6" s="6" t="inlineStr">
        <is>
          <t>PB관(엑셀파이프)</t>
        </is>
      </c>
      <c r="C6" s="6" t="inlineStr">
        <is>
          <t>16mm/20mm</t>
        </is>
      </c>
      <c r="D6" s="6" t="inlineStr">
        <is>
          <t>급수관(대체)</t>
        </is>
      </c>
      <c r="E6" s="6" t="inlineStr">
        <is>
          <t>필수</t>
        </is>
      </c>
      <c r="F6" s="6" t="inlineStr">
        <is>
          <t>M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PL-003</t>
        </is>
      </c>
      <c r="B7" s="6" t="inlineStr">
        <is>
          <t>PVC 배수관</t>
        </is>
      </c>
      <c r="C7" s="6" t="inlineStr">
        <is>
          <t>50mm/75mm/100mm</t>
        </is>
      </c>
      <c r="D7" s="6" t="inlineStr">
        <is>
          <t>배수관</t>
        </is>
      </c>
      <c r="E7" s="6" t="inlineStr">
        <is>
          <t>필수</t>
        </is>
      </c>
      <c r="F7" s="6" t="inlineStr">
        <is>
          <t>M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PL-004</t>
        </is>
      </c>
      <c r="B8" s="6" t="inlineStr">
        <is>
          <t>배수트랩</t>
        </is>
      </c>
      <c r="C8" s="6" t="inlineStr">
        <is>
          <t>스텐/PVC</t>
        </is>
      </c>
      <c r="D8" s="6" t="inlineStr">
        <is>
          <t>바닥 배수구</t>
        </is>
      </c>
      <c r="E8" s="6" t="inlineStr">
        <is>
          <t>필수</t>
        </is>
      </c>
      <c r="F8" s="6" t="inlineStr">
        <is>
          <t>개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PL-005</t>
        </is>
      </c>
      <c r="B9" s="6" t="inlineStr">
        <is>
          <t>밸브</t>
        </is>
      </c>
      <c r="C9" s="6" t="inlineStr">
        <is>
          <t>앵글/볼밸브</t>
        </is>
      </c>
      <c r="D9" s="6" t="inlineStr">
        <is>
          <t>급수 차단</t>
        </is>
      </c>
      <c r="E9" s="6" t="inlineStr">
        <is>
          <t>필수</t>
        </is>
      </c>
      <c r="F9" s="6" t="inlineStr">
        <is>
          <t>개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PL-006</t>
        </is>
      </c>
      <c r="B10" s="6" t="inlineStr">
        <is>
          <t>이음쇠(피팅)</t>
        </is>
      </c>
      <c r="C10" s="6" t="inlineStr">
        <is>
          <t>각종</t>
        </is>
      </c>
      <c r="D10" s="6" t="inlineStr">
        <is>
          <t>관 연결</t>
        </is>
      </c>
      <c r="E10" s="6" t="inlineStr">
        <is>
          <t>필수</t>
        </is>
      </c>
      <c r="F10" s="6" t="inlineStr">
        <is>
          <t>개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PL-007</t>
        </is>
      </c>
      <c r="B11" s="6" t="inlineStr">
        <is>
          <t>쉬라우드(커버)</t>
        </is>
      </c>
      <c r="C11" s="6" t="inlineStr">
        <is>
          <t>도금/크롬</t>
        </is>
      </c>
      <c r="D11" s="6" t="inlineStr">
        <is>
          <t>노출배관 마감</t>
        </is>
      </c>
      <c r="E11" s="6" t="inlineStr">
        <is>
          <t>선택</t>
        </is>
      </c>
      <c r="F11" s="6" t="inlineStr">
        <is>
          <t>개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PL-008</t>
        </is>
      </c>
      <c r="B12" s="6" t="inlineStr">
        <is>
          <t>세대 분배기</t>
        </is>
      </c>
      <c r="C12" s="6" t="inlineStr">
        <is>
          <t>STS</t>
        </is>
      </c>
      <c r="D12" s="6" t="inlineStr">
        <is>
          <t>급수 분기</t>
        </is>
      </c>
      <c r="E12" s="6" t="inlineStr">
        <is>
          <t>선택</t>
        </is>
      </c>
      <c r="F12" s="6" t="inlineStr">
        <is>
          <t>세트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PL-009</t>
        </is>
      </c>
      <c r="B13" s="6" t="inlineStr">
        <is>
          <t>감압밸브</t>
        </is>
      </c>
      <c r="C13" s="6" t="inlineStr">
        <is>
          <t>—</t>
        </is>
      </c>
      <c r="D13" s="6" t="inlineStr">
        <is>
          <t>수압 조절</t>
        </is>
      </c>
      <c r="E13" s="6" t="inlineStr">
        <is>
          <t>선택</t>
        </is>
      </c>
      <c r="F13" s="6" t="inlineStr">
        <is>
          <t>개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PL-010</t>
        </is>
      </c>
      <c r="B14" s="6" t="inlineStr">
        <is>
          <t>배관 보온재</t>
        </is>
      </c>
      <c r="C14" s="6" t="inlineStr">
        <is>
          <t>PE폼</t>
        </is>
      </c>
      <c r="D14" s="6" t="inlineStr">
        <is>
          <t>동결 방지</t>
        </is>
      </c>
      <c r="E14" s="6" t="inlineStr">
        <is>
          <t>필수</t>
        </is>
      </c>
      <c r="F14" s="6" t="inlineStr">
        <is>
          <t>M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PL-011</t>
        </is>
      </c>
      <c r="B15" s="6" t="inlineStr">
        <is>
          <t>연결 소켓</t>
        </is>
      </c>
      <c r="C15" s="6" t="inlineStr">
        <is>
          <t>각종</t>
        </is>
      </c>
      <c r="D15" s="6" t="inlineStr">
        <is>
          <t>관경 변환</t>
        </is>
      </c>
      <c r="E15" s="6" t="inlineStr">
        <is>
          <t>필수</t>
        </is>
      </c>
      <c r="F15" s="6" t="inlineStr">
        <is>
          <t>개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PL-012</t>
        </is>
      </c>
      <c r="B16" s="6" t="inlineStr">
        <is>
          <t>실리콘</t>
        </is>
      </c>
      <c r="C16" s="6" t="inlineStr">
        <is>
          <t>배관용</t>
        </is>
      </c>
      <c r="D16" s="6" t="inlineStr">
        <is>
          <t>접합부 밀봉</t>
        </is>
      </c>
      <c r="E16" s="6" t="inlineStr">
        <is>
          <t>필수</t>
        </is>
      </c>
      <c r="F16" s="6" t="inlineStr">
        <is>
          <t>개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PL-013</t>
        </is>
      </c>
      <c r="B17" s="6" t="inlineStr">
        <is>
          <t>행거/클램프</t>
        </is>
      </c>
      <c r="C17" s="6" t="inlineStr">
        <is>
          <t>STS</t>
        </is>
      </c>
      <c r="D17" s="6" t="inlineStr">
        <is>
          <t>배관 고정</t>
        </is>
      </c>
      <c r="E17" s="6" t="inlineStr">
        <is>
          <t>필수</t>
        </is>
      </c>
      <c r="F17" s="6" t="inlineStr">
        <is>
          <t>개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PL-014</t>
        </is>
      </c>
      <c r="B18" s="6" t="inlineStr">
        <is>
          <t>보일러 분배기</t>
        </is>
      </c>
      <c r="C18" s="6" t="inlineStr">
        <is>
          <t>6~8구</t>
        </is>
      </c>
      <c r="D18" s="6" t="inlineStr">
        <is>
          <t>난방 분기</t>
        </is>
      </c>
      <c r="E18" s="6" t="inlineStr">
        <is>
          <t>선택</t>
        </is>
      </c>
      <c r="F18" s="6" t="inlineStr">
        <is>
          <t>세트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PL-015</t>
        </is>
      </c>
      <c r="B19" s="6" t="inlineStr">
        <is>
          <t>온도조절기</t>
        </is>
      </c>
      <c r="C19" s="6" t="inlineStr">
        <is>
          <t>디지털</t>
        </is>
      </c>
      <c r="D19" s="6" t="inlineStr">
        <is>
          <t>난방 제어</t>
        </is>
      </c>
      <c r="E19" s="6" t="inlineStr">
        <is>
          <t>선택</t>
        </is>
      </c>
      <c r="F19" s="6" t="inlineStr">
        <is>
          <t>개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6" t="inlineStr">
        <is>
          <t>PL-016</t>
        </is>
      </c>
      <c r="B20" s="6" t="inlineStr">
        <is>
          <t>XL파이프</t>
        </is>
      </c>
      <c r="C20" s="6" t="inlineStr">
        <is>
          <t>난방배관</t>
        </is>
      </c>
      <c r="D20" s="6" t="inlineStr">
        <is>
          <t>난방관</t>
        </is>
      </c>
      <c r="E20" s="6" t="inlineStr">
        <is>
          <t>선택</t>
        </is>
      </c>
      <c r="F20" s="6" t="inlineStr">
        <is>
          <t>M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8" t="n"/>
      <c r="AB20" s="8" t="n"/>
    </row>
    <row r="21">
      <c r="A21" s="6" t="inlineStr">
        <is>
          <t>PL-017</t>
        </is>
      </c>
      <c r="B21" s="6" t="inlineStr">
        <is>
          <t>몰탈</t>
        </is>
      </c>
      <c r="C21" s="6" t="inlineStr">
        <is>
          <t>시멘트사</t>
        </is>
      </c>
      <c r="D21" s="6" t="inlineStr">
        <is>
          <t>바닥 미장</t>
        </is>
      </c>
      <c r="E21" s="6" t="inlineStr">
        <is>
          <t>필수</t>
        </is>
      </c>
      <c r="F21" s="6" t="inlineStr">
        <is>
          <t>포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  <c r="AA21" s="8" t="n"/>
      <c r="AB21" s="8" t="n"/>
    </row>
    <row r="22">
      <c r="A22" s="6" t="inlineStr">
        <is>
          <t>PL-018</t>
        </is>
      </c>
      <c r="B22" s="6" t="inlineStr">
        <is>
          <t>세면대 급수관</t>
        </is>
      </c>
      <c r="C22" s="6" t="inlineStr">
        <is>
          <t>STS 플렉시블</t>
        </is>
      </c>
      <c r="D22" s="6" t="inlineStr">
        <is>
          <t>세면대 연결</t>
        </is>
      </c>
      <c r="E22" s="6" t="inlineStr">
        <is>
          <t>필수</t>
        </is>
      </c>
      <c r="F22" s="6" t="inlineStr">
        <is>
          <t>개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  <c r="AA22" s="8" t="n"/>
      <c r="AB22" s="8" t="n"/>
    </row>
    <row r="23">
      <c r="A23" s="6" t="inlineStr">
        <is>
          <t>PL-019</t>
        </is>
      </c>
      <c r="B23" s="6" t="inlineStr">
        <is>
          <t>양변기 급수관</t>
        </is>
      </c>
      <c r="C23" s="6" t="inlineStr">
        <is>
          <t>STS 플렉시블</t>
        </is>
      </c>
      <c r="D23" s="6" t="inlineStr">
        <is>
          <t>양변기 연결</t>
        </is>
      </c>
      <c r="E23" s="6" t="inlineStr">
        <is>
          <t>필수</t>
        </is>
      </c>
      <c r="F23" s="6" t="inlineStr">
        <is>
          <t>개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  <c r="AA23" s="8" t="n"/>
      <c r="AB23" s="8" t="n"/>
    </row>
    <row r="24">
      <c r="A24" s="6" t="inlineStr">
        <is>
          <t>PL-020</t>
        </is>
      </c>
      <c r="B24" s="6" t="inlineStr">
        <is>
          <t>배수호스</t>
        </is>
      </c>
      <c r="C24" s="6" t="inlineStr">
        <is>
          <t>PVC</t>
        </is>
      </c>
      <c r="D24" s="6" t="inlineStr">
        <is>
          <t>세탁기·싱크대</t>
        </is>
      </c>
      <c r="E24" s="6" t="inlineStr">
        <is>
          <t>필수</t>
        </is>
      </c>
      <c r="F24" s="6" t="inlineStr">
        <is>
          <t>M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  <c r="AA24" s="8" t="n"/>
      <c r="AB24" s="8" t="n"/>
    </row>
    <row r="25">
      <c r="A25" s="6" t="inlineStr">
        <is>
          <t>PL-021</t>
        </is>
      </c>
      <c r="B25" s="6" t="inlineStr">
        <is>
          <t>오버플로우</t>
        </is>
      </c>
      <c r="C25" s="6" t="inlineStr">
        <is>
          <t>PVC</t>
        </is>
      </c>
      <c r="D25" s="6" t="inlineStr">
        <is>
          <t>싱크대 하부</t>
        </is>
      </c>
      <c r="E25" s="6" t="inlineStr">
        <is>
          <t>필수</t>
        </is>
      </c>
      <c r="F25" s="6" t="inlineStr">
        <is>
          <t>개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  <c r="AA25" s="8" t="n"/>
      <c r="AB25" s="8" t="n"/>
    </row>
    <row r="26">
      <c r="A26" s="6" t="inlineStr">
        <is>
          <t>PL-022</t>
        </is>
      </c>
      <c r="B26" s="6" t="inlineStr">
        <is>
          <t>역류방지밸브</t>
        </is>
      </c>
      <c r="C26" s="6" t="inlineStr">
        <is>
          <t>—</t>
        </is>
      </c>
      <c r="D26" s="6" t="inlineStr">
        <is>
          <t>배수 역류 차단</t>
        </is>
      </c>
      <c r="E26" s="6" t="inlineStr">
        <is>
          <t>필수</t>
        </is>
      </c>
      <c r="F26" s="6" t="inlineStr">
        <is>
          <t>개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  <c r="AA26" s="8" t="n"/>
      <c r="AB26" s="8" t="n"/>
    </row>
    <row r="27">
      <c r="A27" s="9" t="inlineStr">
        <is>
          <t>PL-01E</t>
        </is>
      </c>
      <c r="B27" s="9" t="inlineStr">
        <is>
          <t>급배수 이설공사</t>
        </is>
      </c>
      <c r="C27" s="6" t="inlineStr">
        <is>
          <t>세탁실</t>
        </is>
      </c>
      <c r="D27" s="6" t="inlineStr"/>
      <c r="E27" s="6" t="inlineStr">
        <is>
          <t>필수</t>
        </is>
      </c>
      <c r="F27" s="6" t="inlineStr">
        <is>
          <t>개소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>
        <is>
          <t>1현장: 행당동</t>
        </is>
      </c>
      <c r="AA27" s="8" t="n">
        <v>150000</v>
      </c>
      <c r="AB27" s="8" t="n">
        <v>200000</v>
      </c>
    </row>
    <row r="28">
      <c r="A28" s="9" t="inlineStr">
        <is>
          <t>PL-02E</t>
        </is>
      </c>
      <c r="B28" s="9" t="inlineStr">
        <is>
          <t>난방배관 청소</t>
        </is>
      </c>
      <c r="C28" s="6" t="inlineStr">
        <is>
          <t>—</t>
        </is>
      </c>
      <c r="D28" s="6" t="inlineStr">
        <is>
          <t>분배기</t>
        </is>
      </c>
      <c r="E28" s="6" t="inlineStr">
        <is>
          <t>필수</t>
        </is>
      </c>
      <c r="F28" s="6" t="inlineStr">
        <is>
          <t>PY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>
        <is>
          <t>1현장: 산본</t>
        </is>
      </c>
      <c r="AA28" s="8" t="n"/>
      <c r="AB28" s="8" t="n">
        <v>5000</v>
      </c>
    </row>
    <row r="29">
      <c r="A29" s="9" t="inlineStr">
        <is>
          <t>PL-03E</t>
        </is>
      </c>
      <c r="B29" s="9" t="inlineStr">
        <is>
          <t>바닥 액체방수 공사</t>
        </is>
      </c>
      <c r="C29" s="6" t="inlineStr">
        <is>
          <t>화장실 바닥</t>
        </is>
      </c>
      <c r="D29" s="6" t="inlineStr">
        <is>
          <t>화장실/2</t>
        </is>
      </c>
      <c r="E29" s="6" t="inlineStr">
        <is>
          <t>필수</t>
        </is>
      </c>
      <c r="F29" s="6" t="inlineStr">
        <is>
          <t>개소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>
        <is>
          <t>3현장: 금호,이선,행당동</t>
        </is>
      </c>
      <c r="AA29" s="8" t="n">
        <v>50000</v>
      </c>
      <c r="AB29" s="8" t="n">
        <v>150000</v>
      </c>
    </row>
    <row r="30">
      <c r="A30" s="9" t="inlineStr">
        <is>
          <t>PL-04E</t>
        </is>
      </c>
      <c r="B30" s="9" t="inlineStr">
        <is>
          <t>외부 발코니 급수 공사</t>
        </is>
      </c>
      <c r="C30" s="6" t="inlineStr">
        <is>
          <t>서비스 항목</t>
        </is>
      </c>
      <c r="D30" s="6" t="inlineStr"/>
      <c r="E30" s="6" t="inlineStr">
        <is>
          <t>필수</t>
        </is>
      </c>
      <c r="F30" s="6" t="inlineStr">
        <is>
          <t>EA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>
        <is>
          <t>4현장: 금호,이선,전기영,행당동</t>
        </is>
      </c>
      <c r="AA30" s="8" t="n">
        <v>50000</v>
      </c>
      <c r="AB30" s="8" t="n">
        <v>250000</v>
      </c>
    </row>
    <row r="31">
      <c r="A31" s="9" t="inlineStr">
        <is>
          <t>PL-05E</t>
        </is>
      </c>
      <c r="B31" s="9" t="inlineStr">
        <is>
          <t>자동확산소화기</t>
        </is>
      </c>
      <c r="C31" s="6" t="inlineStr">
        <is>
          <t>—</t>
        </is>
      </c>
      <c r="D31" s="6" t="inlineStr"/>
      <c r="E31" s="6" t="inlineStr">
        <is>
          <t>필수</t>
        </is>
      </c>
      <c r="F31" s="6" t="inlineStr">
        <is>
          <t>EA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>
        <is>
          <t>1현장: 산본</t>
        </is>
      </c>
      <c r="AA31" s="8" t="n">
        <v>350000</v>
      </c>
      <c r="AB31" s="8" t="n"/>
    </row>
    <row r="32">
      <c r="A32" s="9" t="inlineStr">
        <is>
          <t>PL-06E</t>
        </is>
      </c>
      <c r="B32" s="9" t="inlineStr">
        <is>
          <t>주방 확산소화기</t>
        </is>
      </c>
      <c r="C32" s="6" t="inlineStr">
        <is>
          <t>확산소화기</t>
        </is>
      </c>
      <c r="D32" s="6" t="inlineStr"/>
      <c r="E32" s="6" t="inlineStr">
        <is>
          <t>필수</t>
        </is>
      </c>
      <c r="F32" s="6" t="inlineStr">
        <is>
          <t>식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1현장: 이선</t>
        </is>
      </c>
      <c r="AA32" s="8" t="n">
        <v>280000</v>
      </c>
      <c r="AB32" s="8" t="n">
        <v>100000</v>
      </c>
    </row>
    <row r="33">
      <c r="A33" s="9" t="inlineStr">
        <is>
          <t>PL-07E</t>
        </is>
      </c>
      <c r="B33" s="9" t="inlineStr">
        <is>
          <t>화장실 급,배수 이설</t>
        </is>
      </c>
      <c r="C33" s="6" t="inlineStr">
        <is>
          <t>서비스 항목</t>
        </is>
      </c>
      <c r="D33" s="6" t="inlineStr"/>
      <c r="E33" s="6" t="inlineStr">
        <is>
          <t>필수</t>
        </is>
      </c>
      <c r="F33" s="6" t="inlineStr">
        <is>
          <t>EA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>
        <is>
          <t>4현장: 금호,이선,전기영,행당동</t>
        </is>
      </c>
      <c r="AA33" s="8" t="n">
        <v>50000</v>
      </c>
      <c r="AB33" s="8" t="n">
        <v>250000</v>
      </c>
    </row>
    <row r="34">
      <c r="A34" s="9" t="inlineStr">
        <is>
          <t>PL-08E</t>
        </is>
      </c>
      <c r="B34" s="9" t="inlineStr">
        <is>
          <t>화장실 도막방수 공사</t>
        </is>
      </c>
      <c r="C34" s="6" t="inlineStr">
        <is>
          <t>아덱스 WPM / SIKA실리콘(우레탄)</t>
        </is>
      </c>
      <c r="D34" s="6" t="inlineStr">
        <is>
          <t>화장실/2</t>
        </is>
      </c>
      <c r="E34" s="6" t="inlineStr">
        <is>
          <t>필수</t>
        </is>
      </c>
      <c r="F34" s="6" t="inlineStr">
        <is>
          <t>개소</t>
        </is>
      </c>
      <c r="G34" s="6" t="n"/>
      <c r="H34" s="6" t="n"/>
      <c r="I34" s="7">
        <f>IF(G34="","",G34*(1+H34/100))</f>
        <v/>
      </c>
      <c r="J34" s="6" t="n"/>
      <c r="K34" s="6" t="n"/>
      <c r="L34" s="8" t="n"/>
      <c r="M34" s="8" t="n"/>
      <c r="N34" s="8" t="n"/>
      <c r="O34" s="8" t="n"/>
      <c r="P34" s="8" t="n"/>
      <c r="Q34" s="8">
        <f>IF(OR(O34="",P34=""),"",MIN(O34,P34)-N34)</f>
        <v/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inlineStr">
        <is>
          <t>2현장: 금호,행당동</t>
        </is>
      </c>
      <c r="AA34" s="8" t="n">
        <v>150000</v>
      </c>
      <c r="AB34" s="8" t="n">
        <v>150000</v>
      </c>
    </row>
    <row r="35">
      <c r="A35" s="9" t="inlineStr">
        <is>
          <t>PL-09E</t>
        </is>
      </c>
      <c r="B35" s="9" t="inlineStr">
        <is>
          <t>화장실 방수 공사</t>
        </is>
      </c>
      <c r="C35" s="6" t="inlineStr">
        <is>
          <t>액체방수 공사</t>
        </is>
      </c>
      <c r="D35" s="6" t="inlineStr">
        <is>
          <t>H : 1400</t>
        </is>
      </c>
      <c r="E35" s="6" t="inlineStr">
        <is>
          <t>필수</t>
        </is>
      </c>
      <c r="F35" s="6" t="inlineStr">
        <is>
          <t>EA</t>
        </is>
      </c>
      <c r="G35" s="6" t="n"/>
      <c r="H35" s="6" t="n"/>
      <c r="I35" s="7">
        <f>IF(G35="","",G35*(1+H35/100))</f>
        <v/>
      </c>
      <c r="J35" s="6" t="n"/>
      <c r="K35" s="6" t="n"/>
      <c r="L35" s="8" t="n"/>
      <c r="M35" s="8" t="n"/>
      <c r="N35" s="8" t="n"/>
      <c r="O35" s="8" t="n"/>
      <c r="P35" s="8" t="n"/>
      <c r="Q35" s="8">
        <f>IF(OR(O35="",P35=""),"",MIN(O35,P35)-N35)</f>
        <v/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inlineStr">
        <is>
          <t>4현장: 산본,이선,이성숙,전기영</t>
        </is>
      </c>
      <c r="AA35" s="8" t="n">
        <v>100000</v>
      </c>
      <c r="AB35" s="8" t="n">
        <v>150000</v>
      </c>
    </row>
    <row r="36">
      <c r="A36" s="9" t="inlineStr">
        <is>
          <t>PL-10E</t>
        </is>
      </c>
      <c r="B36" s="9" t="inlineStr">
        <is>
          <t>확장 공사</t>
        </is>
      </c>
      <c r="C36" s="6" t="inlineStr">
        <is>
          <t>현관확장</t>
        </is>
      </c>
      <c r="D36" s="6" t="inlineStr"/>
      <c r="E36" s="6" t="inlineStr">
        <is>
          <t>필수</t>
        </is>
      </c>
      <c r="F36" s="6" t="inlineStr">
        <is>
          <t>EA</t>
        </is>
      </c>
      <c r="G36" s="6" t="n"/>
      <c r="H36" s="6" t="n"/>
      <c r="I36" s="7">
        <f>IF(G36="","",G36*(1+H36/100))</f>
        <v/>
      </c>
      <c r="J36" s="6" t="n"/>
      <c r="K36" s="6" t="n"/>
      <c r="L36" s="8" t="n"/>
      <c r="M36" s="8" t="n"/>
      <c r="N36" s="8" t="n"/>
      <c r="O36" s="8" t="n"/>
      <c r="P36" s="8" t="n"/>
      <c r="Q36" s="8">
        <f>IF(OR(O36="",P36=""),"",MIN(O36,P36)-N36)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inlineStr">
        <is>
          <t>4현장: 금호,이선,전기영,행당동</t>
        </is>
      </c>
      <c r="AA36" s="8" t="n">
        <v>450000</v>
      </c>
      <c r="AB36" s="8" t="n">
        <v>550000</v>
      </c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1">
        <f>IF(G37="","",G37*(1+H37/100))</f>
        <v/>
      </c>
      <c r="J37" s="10" t="n"/>
      <c r="K37" s="10" t="n"/>
      <c r="L37" s="10" t="n"/>
      <c r="M37" s="10" t="n"/>
      <c r="N37" s="10" t="n"/>
      <c r="O37" s="10" t="n"/>
      <c r="P37" s="10" t="n"/>
      <c r="Q37" s="12">
        <f>IF(OR(O37="",P37=""),"",MIN(O37,P37)-N37)</f>
        <v/>
      </c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1">
        <f>IF(G38="","",G38*(1+H38/100))</f>
        <v/>
      </c>
      <c r="J38" s="10" t="n"/>
      <c r="K38" s="10" t="n"/>
      <c r="L38" s="10" t="n"/>
      <c r="M38" s="10" t="n"/>
      <c r="N38" s="10" t="n"/>
      <c r="O38" s="10" t="n"/>
      <c r="P38" s="10" t="n"/>
      <c r="Q38" s="12">
        <f>IF(OR(O38="",P38=""),"",MIN(O38,P38)-N38)</f>
        <v/>
      </c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1">
        <f>IF(G39="","",G39*(1+H39/100))</f>
        <v/>
      </c>
      <c r="J39" s="10" t="n"/>
      <c r="K39" s="10" t="n"/>
      <c r="L39" s="10" t="n"/>
      <c r="M39" s="10" t="n"/>
      <c r="N39" s="10" t="n"/>
      <c r="O39" s="10" t="n"/>
      <c r="P39" s="10" t="n"/>
      <c r="Q39" s="12">
        <f>IF(OR(O39="",P39=""),"",MIN(O39,P39)-N39)</f>
        <v/>
      </c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1">
        <f>IF(G40="","",G40*(1+H40/100))</f>
        <v/>
      </c>
      <c r="J40" s="10" t="n"/>
      <c r="K40" s="10" t="n"/>
      <c r="L40" s="10" t="n"/>
      <c r="M40" s="10" t="n"/>
      <c r="N40" s="10" t="n"/>
      <c r="O40" s="10" t="n"/>
      <c r="P40" s="10" t="n"/>
      <c r="Q40" s="12">
        <f>IF(OR(O40="",P40=""),"",MIN(O40,P40)-N40)</f>
        <v/>
      </c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1">
        <f>IF(G41="","",G41*(1+H41/100))</f>
        <v/>
      </c>
      <c r="J41" s="10" t="n"/>
      <c r="K41" s="10" t="n"/>
      <c r="L41" s="10" t="n"/>
      <c r="M41" s="10" t="n"/>
      <c r="N41" s="10" t="n"/>
      <c r="O41" s="10" t="n"/>
      <c r="P41" s="10" t="n"/>
      <c r="Q41" s="12">
        <f>IF(OR(O41="",P41=""),"",MIN(O41,P41)-N41)</f>
        <v/>
      </c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1">
        <f>IF(G42="","",G42*(1+H42/100))</f>
        <v/>
      </c>
      <c r="J42" s="10" t="n"/>
      <c r="K42" s="10" t="n"/>
      <c r="L42" s="10" t="n"/>
      <c r="M42" s="10" t="n"/>
      <c r="N42" s="10" t="n"/>
      <c r="O42" s="10" t="n"/>
      <c r="P42" s="10" t="n"/>
      <c r="Q42" s="12">
        <f>IF(OR(O42="",P42=""),"",MIN(O42,P42)-N42)</f>
        <v/>
      </c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1">
        <f>IF(G43="","",G43*(1+H43/100))</f>
        <v/>
      </c>
      <c r="J43" s="10" t="n"/>
      <c r="K43" s="10" t="n"/>
      <c r="L43" s="10" t="n"/>
      <c r="M43" s="10" t="n"/>
      <c r="N43" s="10" t="n"/>
      <c r="O43" s="10" t="n"/>
      <c r="P43" s="10" t="n"/>
      <c r="Q43" s="12">
        <f>IF(OR(O43="",P43=""),"",MIN(O43,P43)-N43)</f>
        <v/>
      </c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1">
        <f>IF(G44="","",G44*(1+H44/100))</f>
        <v/>
      </c>
      <c r="J44" s="10" t="n"/>
      <c r="K44" s="10" t="n"/>
      <c r="L44" s="10" t="n"/>
      <c r="M44" s="10" t="n"/>
      <c r="N44" s="10" t="n"/>
      <c r="O44" s="10" t="n"/>
      <c r="P44" s="10" t="n"/>
      <c r="Q44" s="12">
        <f>IF(OR(O44="",P44=""),"",MIN(O44,P44)-N44)</f>
        <v/>
      </c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1">
        <f>IF(G45="","",G45*(1+H45/100))</f>
        <v/>
      </c>
      <c r="J45" s="10" t="n"/>
      <c r="K45" s="10" t="n"/>
      <c r="L45" s="10" t="n"/>
      <c r="M45" s="10" t="n"/>
      <c r="N45" s="10" t="n"/>
      <c r="O45" s="10" t="n"/>
      <c r="P45" s="10" t="n"/>
      <c r="Q45" s="12">
        <f>IF(OR(O45="",P45=""),"",MIN(O45,P45)-N45)</f>
        <v/>
      </c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1">
        <f>IF(G46="","",G46*(1+H46/100))</f>
        <v/>
      </c>
      <c r="J46" s="10" t="n"/>
      <c r="K46" s="10" t="n"/>
      <c r="L46" s="10" t="n"/>
      <c r="M46" s="10" t="n"/>
      <c r="N46" s="10" t="n"/>
      <c r="O46" s="10" t="n"/>
      <c r="P46" s="10" t="n"/>
      <c r="Q46" s="12">
        <f>IF(OR(O46="",P46=""),"",MIN(O46,P46)-N46)</f>
        <v/>
      </c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8">
      <c r="A48" s="13" t="inlineStr">
        <is>
          <t>※ 파란셀=수식 | 노란셀=견적참고 | ★금색=견적서 추출항목 | 소요량·로스율=대표 | 가격=유통 | 견적단가=16개 견적서 중앙값</t>
        </is>
      </c>
    </row>
  </sheetData>
  <autoFilter ref="A4:AB46"/>
  <mergeCells count="9">
    <mergeCell ref="R3:U3"/>
    <mergeCell ref="A2:AB2"/>
    <mergeCell ref="AA3:AB3"/>
    <mergeCell ref="J3:Q3"/>
    <mergeCell ref="Y3:Z3"/>
    <mergeCell ref="A1:AB1"/>
    <mergeCell ref="A3:I3"/>
    <mergeCell ref="V3:X3"/>
    <mergeCell ref="A48:AB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CC94B"/>
    <outlinePr summaryBelow="1" summaryRight="1"/>
    <pageSetUpPr/>
  </sheetPr>
  <dimension ref="A1:AB7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전기 자재</t>
        </is>
      </c>
    </row>
    <row r="2">
      <c r="A2" s="2" t="inlineStr">
        <is>
          <t>공정코드: EL | 체크리스트 + 16개 견적서 전체 항목 | ★=견적서 추출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(16개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EL-001</t>
        </is>
      </c>
      <c r="B5" s="6" t="inlineStr">
        <is>
          <t>전선(HIV)</t>
        </is>
      </c>
      <c r="C5" s="6" t="inlineStr">
        <is>
          <t>2.5sq</t>
        </is>
      </c>
      <c r="D5" s="6" t="inlineStr">
        <is>
          <t>조명·콘센트</t>
        </is>
      </c>
      <c r="E5" s="6" t="inlineStr">
        <is>
          <t>필수</t>
        </is>
      </c>
      <c r="F5" s="6" t="inlineStr">
        <is>
          <t>M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EL-002</t>
        </is>
      </c>
      <c r="B6" s="6" t="inlineStr">
        <is>
          <t>전선(HIV)</t>
        </is>
      </c>
      <c r="C6" s="6" t="inlineStr">
        <is>
          <t>4.0sq</t>
        </is>
      </c>
      <c r="D6" s="6" t="inlineStr">
        <is>
          <t>에어컨·인덕션</t>
        </is>
      </c>
      <c r="E6" s="6" t="inlineStr">
        <is>
          <t>필수</t>
        </is>
      </c>
      <c r="F6" s="6" t="inlineStr">
        <is>
          <t>M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EL-003</t>
        </is>
      </c>
      <c r="B7" s="6" t="inlineStr">
        <is>
          <t>전선(HIV)</t>
        </is>
      </c>
      <c r="C7" s="6" t="inlineStr">
        <is>
          <t>6.0sq</t>
        </is>
      </c>
      <c r="D7" s="6" t="inlineStr">
        <is>
          <t>인입선</t>
        </is>
      </c>
      <c r="E7" s="6" t="inlineStr">
        <is>
          <t>필수</t>
        </is>
      </c>
      <c r="F7" s="6" t="inlineStr">
        <is>
          <t>M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EL-004</t>
        </is>
      </c>
      <c r="B8" s="6" t="inlineStr">
        <is>
          <t>CD관(가요관)</t>
        </is>
      </c>
      <c r="C8" s="6" t="inlineStr">
        <is>
          <t>16mm</t>
        </is>
      </c>
      <c r="D8" s="6" t="inlineStr">
        <is>
          <t>전선 보호</t>
        </is>
      </c>
      <c r="E8" s="6" t="inlineStr">
        <is>
          <t>필수</t>
        </is>
      </c>
      <c r="F8" s="6" t="inlineStr">
        <is>
          <t>M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EL-005</t>
        </is>
      </c>
      <c r="B9" s="6" t="inlineStr">
        <is>
          <t>분전반</t>
        </is>
      </c>
      <c r="C9" s="6" t="inlineStr">
        <is>
          <t>ELB 포함</t>
        </is>
      </c>
      <c r="D9" s="6" t="inlineStr">
        <is>
          <t>차단기 함체</t>
        </is>
      </c>
      <c r="E9" s="6" t="inlineStr">
        <is>
          <t>필수</t>
        </is>
      </c>
      <c r="F9" s="6" t="inlineStr">
        <is>
          <t>조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EL-006</t>
        </is>
      </c>
      <c r="B10" s="6" t="inlineStr">
        <is>
          <t>콘센트</t>
        </is>
      </c>
      <c r="C10" s="6" t="inlineStr">
        <is>
          <t>매립형</t>
        </is>
      </c>
      <c r="D10" s="6" t="inlineStr">
        <is>
          <t>전원 공급</t>
        </is>
      </c>
      <c r="E10" s="6" t="inlineStr">
        <is>
          <t>필수</t>
        </is>
      </c>
      <c r="F10" s="6" t="inlineStr">
        <is>
          <t>개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EL-007</t>
        </is>
      </c>
      <c r="B11" s="6" t="inlineStr">
        <is>
          <t>스위치</t>
        </is>
      </c>
      <c r="C11" s="6" t="inlineStr">
        <is>
          <t>1구/2구/3구</t>
        </is>
      </c>
      <c r="D11" s="6" t="inlineStr">
        <is>
          <t>조명 제어</t>
        </is>
      </c>
      <c r="E11" s="6" t="inlineStr">
        <is>
          <t>필수</t>
        </is>
      </c>
      <c r="F11" s="6" t="inlineStr">
        <is>
          <t>개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EL-008</t>
        </is>
      </c>
      <c r="B12" s="6" t="inlineStr">
        <is>
          <t>비닐테이프</t>
        </is>
      </c>
      <c r="C12" s="6" t="inlineStr">
        <is>
          <t>전기용</t>
        </is>
      </c>
      <c r="D12" s="6" t="inlineStr">
        <is>
          <t>절연</t>
        </is>
      </c>
      <c r="E12" s="6" t="inlineStr">
        <is>
          <t>필수</t>
        </is>
      </c>
      <c r="F12" s="6" t="inlineStr">
        <is>
          <t>롤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EL-009</t>
        </is>
      </c>
      <c r="B13" s="6" t="inlineStr">
        <is>
          <t>매입박스</t>
        </is>
      </c>
      <c r="C13" s="6" t="inlineStr">
        <is>
          <t>—</t>
        </is>
      </c>
      <c r="D13" s="6" t="inlineStr">
        <is>
          <t>벽체 매립</t>
        </is>
      </c>
      <c r="E13" s="6" t="inlineStr">
        <is>
          <t>필수</t>
        </is>
      </c>
      <c r="F13" s="6" t="inlineStr">
        <is>
          <t>개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EL-010</t>
        </is>
      </c>
      <c r="B14" s="6" t="inlineStr">
        <is>
          <t>접지선</t>
        </is>
      </c>
      <c r="C14" s="6" t="inlineStr">
        <is>
          <t>녹색</t>
        </is>
      </c>
      <c r="D14" s="6" t="inlineStr">
        <is>
          <t>접지용</t>
        </is>
      </c>
      <c r="E14" s="6" t="inlineStr">
        <is>
          <t>필수</t>
        </is>
      </c>
      <c r="F14" s="6" t="inlineStr">
        <is>
          <t>M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EL-011</t>
        </is>
      </c>
      <c r="B15" s="6" t="inlineStr">
        <is>
          <t>LED 다운라이트</t>
        </is>
      </c>
      <c r="C15" s="6" t="inlineStr">
        <is>
          <t>3인치 6W</t>
        </is>
      </c>
      <c r="D15" s="6" t="inlineStr">
        <is>
          <t>매립등</t>
        </is>
      </c>
      <c r="E15" s="6" t="inlineStr">
        <is>
          <t>필수</t>
        </is>
      </c>
      <c r="F15" s="6" t="inlineStr">
        <is>
          <t>개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EL-012</t>
        </is>
      </c>
      <c r="B16" s="6" t="inlineStr">
        <is>
          <t>LED 다운라이트</t>
        </is>
      </c>
      <c r="C16" s="6" t="inlineStr">
        <is>
          <t>4인치 10W</t>
        </is>
      </c>
      <c r="D16" s="6" t="inlineStr">
        <is>
          <t>매립등</t>
        </is>
      </c>
      <c r="E16" s="6" t="inlineStr">
        <is>
          <t>필수</t>
        </is>
      </c>
      <c r="F16" s="6" t="inlineStr">
        <is>
          <t>개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EL-013</t>
        </is>
      </c>
      <c r="B17" s="6" t="inlineStr">
        <is>
          <t>간접조명 LED바</t>
        </is>
      </c>
      <c r="C17" s="6" t="inlineStr">
        <is>
          <t>5050 12V</t>
        </is>
      </c>
      <c r="D17" s="6" t="inlineStr">
        <is>
          <t>간접등</t>
        </is>
      </c>
      <c r="E17" s="6" t="inlineStr">
        <is>
          <t>선택</t>
        </is>
      </c>
      <c r="F17" s="6" t="inlineStr">
        <is>
          <t>M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EL-014</t>
        </is>
      </c>
      <c r="B18" s="6" t="inlineStr">
        <is>
          <t>SMPS</t>
        </is>
      </c>
      <c r="C18" s="6" t="inlineStr">
        <is>
          <t>12V/24V</t>
        </is>
      </c>
      <c r="D18" s="6" t="inlineStr">
        <is>
          <t>LED 전원</t>
        </is>
      </c>
      <c r="E18" s="6" t="inlineStr">
        <is>
          <t>선택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EL-015</t>
        </is>
      </c>
      <c r="B19" s="6" t="inlineStr">
        <is>
          <t>센서등</t>
        </is>
      </c>
      <c r="C19" s="6" t="inlineStr">
        <is>
          <t>PIR</t>
        </is>
      </c>
      <c r="D19" s="6" t="inlineStr">
        <is>
          <t>현관 자동</t>
        </is>
      </c>
      <c r="E19" s="6" t="inlineStr">
        <is>
          <t>선택</t>
        </is>
      </c>
      <c r="F19" s="6" t="inlineStr">
        <is>
          <t>개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6" t="inlineStr">
        <is>
          <t>EL-016</t>
        </is>
      </c>
      <c r="B20" s="6" t="inlineStr">
        <is>
          <t>비상등</t>
        </is>
      </c>
      <c r="C20" s="6" t="inlineStr">
        <is>
          <t>LED</t>
        </is>
      </c>
      <c r="D20" s="6" t="inlineStr">
        <is>
          <t>비상조명</t>
        </is>
      </c>
      <c r="E20" s="6" t="inlineStr">
        <is>
          <t>선택</t>
        </is>
      </c>
      <c r="F20" s="6" t="inlineStr">
        <is>
          <t>개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8" t="n"/>
      <c r="AB20" s="8" t="n"/>
    </row>
    <row r="21">
      <c r="A21" s="6" t="inlineStr">
        <is>
          <t>EL-017</t>
        </is>
      </c>
      <c r="B21" s="6" t="inlineStr">
        <is>
          <t>감지기</t>
        </is>
      </c>
      <c r="C21" s="6" t="inlineStr">
        <is>
          <t>연기/열</t>
        </is>
      </c>
      <c r="D21" s="6" t="inlineStr">
        <is>
          <t>화재 감지</t>
        </is>
      </c>
      <c r="E21" s="6" t="inlineStr">
        <is>
          <t>필수</t>
        </is>
      </c>
      <c r="F21" s="6" t="inlineStr">
        <is>
          <t>개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  <c r="AA21" s="8" t="n"/>
      <c r="AB21" s="8" t="n"/>
    </row>
    <row r="22">
      <c r="A22" s="6" t="inlineStr">
        <is>
          <t>EL-018</t>
        </is>
      </c>
      <c r="B22" s="6" t="inlineStr">
        <is>
          <t>인터폰</t>
        </is>
      </c>
      <c r="C22" s="6" t="inlineStr">
        <is>
          <t>비디오폰</t>
        </is>
      </c>
      <c r="D22" s="6" t="inlineStr">
        <is>
          <t>방문자 확인</t>
        </is>
      </c>
      <c r="E22" s="6" t="inlineStr">
        <is>
          <t>선택</t>
        </is>
      </c>
      <c r="F22" s="6" t="inlineStr">
        <is>
          <t>대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  <c r="AA22" s="8" t="n"/>
      <c r="AB22" s="8" t="n"/>
    </row>
    <row r="23">
      <c r="A23" s="6" t="inlineStr">
        <is>
          <t>EL-019</t>
        </is>
      </c>
      <c r="B23" s="6" t="inlineStr">
        <is>
          <t>도어락</t>
        </is>
      </c>
      <c r="C23" s="6" t="inlineStr">
        <is>
          <t>디지털</t>
        </is>
      </c>
      <c r="D23" s="6" t="inlineStr">
        <is>
          <t>현관문</t>
        </is>
      </c>
      <c r="E23" s="6" t="inlineStr">
        <is>
          <t>선택</t>
        </is>
      </c>
      <c r="F23" s="6" t="inlineStr">
        <is>
          <t>대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  <c r="AA23" s="8" t="n"/>
      <c r="AB23" s="8" t="n"/>
    </row>
    <row r="24">
      <c r="A24" s="6" t="inlineStr">
        <is>
          <t>EL-020</t>
        </is>
      </c>
      <c r="B24" s="6" t="inlineStr">
        <is>
          <t>TV 단자</t>
        </is>
      </c>
      <c r="C24" s="6" t="inlineStr">
        <is>
          <t>—</t>
        </is>
      </c>
      <c r="D24" s="6" t="inlineStr">
        <is>
          <t>TV 연결</t>
        </is>
      </c>
      <c r="E24" s="6" t="inlineStr">
        <is>
          <t>선택</t>
        </is>
      </c>
      <c r="F24" s="6" t="inlineStr">
        <is>
          <t>개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  <c r="AA24" s="8" t="n"/>
      <c r="AB24" s="8" t="n"/>
    </row>
    <row r="25">
      <c r="A25" s="6" t="inlineStr">
        <is>
          <t>EL-021</t>
        </is>
      </c>
      <c r="B25" s="6" t="inlineStr">
        <is>
          <t>LAN 단자</t>
        </is>
      </c>
      <c r="C25" s="6" t="inlineStr">
        <is>
          <t>CAT6</t>
        </is>
      </c>
      <c r="D25" s="6" t="inlineStr">
        <is>
          <t>인터넷</t>
        </is>
      </c>
      <c r="E25" s="6" t="inlineStr">
        <is>
          <t>선택</t>
        </is>
      </c>
      <c r="F25" s="6" t="inlineStr">
        <is>
          <t>개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  <c r="AA25" s="8" t="n"/>
      <c r="AB25" s="8" t="n"/>
    </row>
    <row r="26">
      <c r="A26" s="6" t="inlineStr">
        <is>
          <t>EL-022</t>
        </is>
      </c>
      <c r="B26" s="6" t="inlineStr">
        <is>
          <t>전열교환기</t>
        </is>
      </c>
      <c r="C26" s="6" t="inlineStr">
        <is>
          <t>—</t>
        </is>
      </c>
      <c r="D26" s="6" t="inlineStr">
        <is>
          <t>환기</t>
        </is>
      </c>
      <c r="E26" s="6" t="inlineStr">
        <is>
          <t>선택</t>
        </is>
      </c>
      <c r="F26" s="6" t="inlineStr">
        <is>
          <t>대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  <c r="AA26" s="8" t="n"/>
      <c r="AB26" s="8" t="n"/>
    </row>
    <row r="27">
      <c r="A27" s="9" t="inlineStr">
        <is>
          <t>EL-01E</t>
        </is>
      </c>
      <c r="B27" s="9" t="inlineStr">
        <is>
          <t>2,3인치 매립등</t>
        </is>
      </c>
      <c r="C27" s="6" t="inlineStr">
        <is>
          <t>고객지급</t>
        </is>
      </c>
      <c r="D27" s="6" t="inlineStr">
        <is>
          <t>방1</t>
        </is>
      </c>
      <c r="E27" s="6" t="inlineStr">
        <is>
          <t>필수</t>
        </is>
      </c>
      <c r="F27" s="6" t="inlineStr">
        <is>
          <t>EA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>
        <is>
          <t>6현장: 린스,만현,백현,산본,진산</t>
        </is>
      </c>
      <c r="AA27" s="8" t="n">
        <v>5000</v>
      </c>
      <c r="AB27" s="8" t="n">
        <v>8000</v>
      </c>
    </row>
    <row r="28">
      <c r="A28" s="9" t="inlineStr">
        <is>
          <t>EL-02E</t>
        </is>
      </c>
      <c r="B28" s="9" t="inlineStr">
        <is>
          <t>COB 매립등</t>
        </is>
      </c>
      <c r="C28" s="6" t="inlineStr">
        <is>
          <t>—</t>
        </is>
      </c>
      <c r="D28" s="6" t="inlineStr">
        <is>
          <t>공용부</t>
        </is>
      </c>
      <c r="E28" s="6" t="inlineStr">
        <is>
          <t>필수</t>
        </is>
      </c>
      <c r="F28" s="6" t="inlineStr">
        <is>
          <t>EA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>
        <is>
          <t>1현장: 백현</t>
        </is>
      </c>
      <c r="AA28" s="8" t="n">
        <v>39000</v>
      </c>
      <c r="AB28" s="8" t="n">
        <v>8000</v>
      </c>
    </row>
    <row r="29">
      <c r="A29" s="9" t="inlineStr">
        <is>
          <t>EL-03E</t>
        </is>
      </c>
      <c r="B29" s="9" t="inlineStr">
        <is>
          <t>COB 조명</t>
        </is>
      </c>
      <c r="C29" s="6" t="inlineStr">
        <is>
          <t>—</t>
        </is>
      </c>
      <c r="D29" s="6" t="inlineStr"/>
      <c r="E29" s="6" t="inlineStr">
        <is>
          <t>필수</t>
        </is>
      </c>
      <c r="F29" s="6" t="inlineStr">
        <is>
          <t>EA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>
        <is>
          <t>1현장: 이성숙</t>
        </is>
      </c>
      <c r="AA29" s="8" t="n">
        <v>35000</v>
      </c>
      <c r="AB29" s="8" t="n">
        <v>5000</v>
      </c>
    </row>
    <row r="30">
      <c r="A30" s="9" t="inlineStr">
        <is>
          <t>EL-04E</t>
        </is>
      </c>
      <c r="B30" s="9" t="inlineStr">
        <is>
          <t>간접 조명</t>
        </is>
      </c>
      <c r="C30" s="6" t="inlineStr">
        <is>
          <t>SMPS 60W</t>
        </is>
      </c>
      <c r="D30" s="6" t="inlineStr">
        <is>
          <t>방1</t>
        </is>
      </c>
      <c r="E30" s="6" t="inlineStr">
        <is>
          <t>필수</t>
        </is>
      </c>
      <c r="F30" s="6" t="inlineStr">
        <is>
          <t>EA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>
        <is>
          <t>13현장: 금호,김성용,김은경,린스,만현</t>
        </is>
      </c>
      <c r="AA30" s="8" t="n">
        <v>22000</v>
      </c>
      <c r="AB30" s="8" t="n">
        <v>10000</v>
      </c>
    </row>
    <row r="31">
      <c r="A31" s="9" t="inlineStr">
        <is>
          <t>EL-05E</t>
        </is>
      </c>
      <c r="B31" s="9" t="inlineStr">
        <is>
          <t>거실 조명</t>
        </is>
      </c>
      <c r="C31" s="6" t="inlineStr">
        <is>
          <t>2인치 COB 조명</t>
        </is>
      </c>
      <c r="D31" s="6" t="inlineStr"/>
      <c r="E31" s="6" t="inlineStr">
        <is>
          <t>필수</t>
        </is>
      </c>
      <c r="F31" s="6" t="inlineStr">
        <is>
          <t>EA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>
        <is>
          <t>1현장: 이선</t>
        </is>
      </c>
      <c r="AA31" s="8" t="n">
        <v>45000</v>
      </c>
      <c r="AB31" s="8" t="n">
        <v>8000</v>
      </c>
    </row>
    <row r="32">
      <c r="A32" s="9" t="inlineStr">
        <is>
          <t>EL-06E</t>
        </is>
      </c>
      <c r="B32" s="9" t="inlineStr">
        <is>
          <t>거실, 방 조명</t>
        </is>
      </c>
      <c r="C32" s="6" t="inlineStr">
        <is>
          <t>2,3인치 매립등</t>
        </is>
      </c>
      <c r="D32" s="6" t="inlineStr"/>
      <c r="E32" s="6" t="inlineStr">
        <is>
          <t>필수</t>
        </is>
      </c>
      <c r="F32" s="6" t="inlineStr">
        <is>
          <t>EA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7현장: 금호,김성용,김은경,이선,이성숙</t>
        </is>
      </c>
      <c r="AA32" s="8" t="n">
        <v>6000</v>
      </c>
      <c r="AB32" s="8" t="n">
        <v>8000</v>
      </c>
    </row>
    <row r="33">
      <c r="A33" s="9" t="inlineStr">
        <is>
          <t>EL-07E</t>
        </is>
      </c>
      <c r="B33" s="9" t="inlineStr">
        <is>
          <t>기성 벽조명</t>
        </is>
      </c>
      <c r="C33" s="6" t="inlineStr">
        <is>
          <t>미정</t>
        </is>
      </c>
      <c r="D33" s="6" t="inlineStr">
        <is>
          <t>공용부</t>
        </is>
      </c>
      <c r="E33" s="6" t="inlineStr">
        <is>
          <t>필수</t>
        </is>
      </c>
      <c r="F33" s="6" t="inlineStr">
        <is>
          <t>EA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>
        <is>
          <t>1현장: 산본</t>
        </is>
      </c>
      <c r="AA33" s="8" t="n"/>
      <c r="AB33" s="8" t="n">
        <v>8000</v>
      </c>
    </row>
    <row r="34">
      <c r="A34" s="9" t="inlineStr">
        <is>
          <t>EL-08E</t>
        </is>
      </c>
      <c r="B34" s="9" t="inlineStr">
        <is>
          <t>기타</t>
        </is>
      </c>
      <c r="C34" s="6" t="inlineStr">
        <is>
          <t>—</t>
        </is>
      </c>
      <c r="D34" s="6" t="inlineStr"/>
      <c r="E34" s="6" t="inlineStr">
        <is>
          <t>필수</t>
        </is>
      </c>
      <c r="F34" s="6" t="inlineStr">
        <is>
          <t>식</t>
        </is>
      </c>
      <c r="G34" s="6" t="n"/>
      <c r="H34" s="6" t="n"/>
      <c r="I34" s="7">
        <f>IF(G34="","",G34*(1+H34/100))</f>
        <v/>
      </c>
      <c r="J34" s="6" t="n"/>
      <c r="K34" s="6" t="n"/>
      <c r="L34" s="8" t="n"/>
      <c r="M34" s="8" t="n"/>
      <c r="N34" s="8" t="n"/>
      <c r="O34" s="8" t="n"/>
      <c r="P34" s="8" t="n"/>
      <c r="Q34" s="8">
        <f>IF(OR(O34="",P34=""),"",MIN(O34,P34)-N34)</f>
        <v/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inlineStr">
        <is>
          <t>1현장: 산본</t>
        </is>
      </c>
      <c r="AA34" s="8" t="n"/>
      <c r="AB34" s="8" t="n"/>
    </row>
    <row r="35">
      <c r="A35" s="9" t="inlineStr">
        <is>
          <t>EL-09E</t>
        </is>
      </c>
      <c r="B35" s="9" t="inlineStr">
        <is>
          <t>기타 감자기류</t>
        </is>
      </c>
      <c r="C35" s="6" t="inlineStr">
        <is>
          <t>각방 / 공용부</t>
        </is>
      </c>
      <c r="D35" s="6" t="inlineStr"/>
      <c r="E35" s="6" t="inlineStr">
        <is>
          <t>필수</t>
        </is>
      </c>
      <c r="F35" s="6" t="inlineStr">
        <is>
          <t>식</t>
        </is>
      </c>
      <c r="G35" s="6" t="n"/>
      <c r="H35" s="6" t="n"/>
      <c r="I35" s="7">
        <f>IF(G35="","",G35*(1+H35/100))</f>
        <v/>
      </c>
      <c r="J35" s="6" t="n"/>
      <c r="K35" s="6" t="n"/>
      <c r="L35" s="8" t="n"/>
      <c r="M35" s="8" t="n"/>
      <c r="N35" s="8" t="n"/>
      <c r="O35" s="8" t="n"/>
      <c r="P35" s="8" t="n"/>
      <c r="Q35" s="8">
        <f>IF(OR(O35="",P35=""),"",MIN(O35,P35)-N35)</f>
        <v/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inlineStr">
        <is>
          <t>3현장: 금호,이선,행당동</t>
        </is>
      </c>
      <c r="AA35" s="8" t="n">
        <v>100000</v>
      </c>
      <c r="AB35" s="8" t="n">
        <v>50000</v>
      </c>
    </row>
    <row r="36">
      <c r="A36" s="9" t="inlineStr">
        <is>
          <t>EL-10E</t>
        </is>
      </c>
      <c r="B36" s="9" t="inlineStr">
        <is>
          <t>독서 조명</t>
        </is>
      </c>
      <c r="C36" s="6" t="inlineStr">
        <is>
          <t>아스트로 조명</t>
        </is>
      </c>
      <c r="D36" s="6" t="inlineStr">
        <is>
          <t>침대헤드</t>
        </is>
      </c>
      <c r="E36" s="6" t="inlineStr">
        <is>
          <t>필수</t>
        </is>
      </c>
      <c r="F36" s="6" t="inlineStr">
        <is>
          <t>EA</t>
        </is>
      </c>
      <c r="G36" s="6" t="n"/>
      <c r="H36" s="6" t="n"/>
      <c r="I36" s="7">
        <f>IF(G36="","",G36*(1+H36/100))</f>
        <v/>
      </c>
      <c r="J36" s="6" t="n"/>
      <c r="K36" s="6" t="n"/>
      <c r="L36" s="8" t="n"/>
      <c r="M36" s="8" t="n"/>
      <c r="N36" s="8" t="n"/>
      <c r="O36" s="8" t="n"/>
      <c r="P36" s="8" t="n"/>
      <c r="Q36" s="8">
        <f>IF(OR(O36="",P36=""),"",MIN(O36,P36)-N36)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inlineStr">
        <is>
          <t>1현장: 이선</t>
        </is>
      </c>
      <c r="AA36" s="8" t="n">
        <v>300000</v>
      </c>
      <c r="AB36" s="8" t="n">
        <v>15000</v>
      </c>
    </row>
    <row r="37">
      <c r="A37" s="9" t="inlineStr">
        <is>
          <t>EL-11E</t>
        </is>
      </c>
      <c r="B37" s="9" t="inlineStr">
        <is>
          <t>라인 조명</t>
        </is>
      </c>
      <c r="C37" s="6" t="inlineStr">
        <is>
          <t>매립</t>
        </is>
      </c>
      <c r="D37" s="6" t="inlineStr">
        <is>
          <t>공용부</t>
        </is>
      </c>
      <c r="E37" s="6" t="inlineStr">
        <is>
          <t>필수</t>
        </is>
      </c>
      <c r="F37" s="6" t="inlineStr">
        <is>
          <t>M</t>
        </is>
      </c>
      <c r="G37" s="6" t="n"/>
      <c r="H37" s="6" t="n"/>
      <c r="I37" s="7">
        <f>IF(G37="","",G37*(1+H37/100))</f>
        <v/>
      </c>
      <c r="J37" s="6" t="n"/>
      <c r="K37" s="6" t="n"/>
      <c r="L37" s="8" t="n"/>
      <c r="M37" s="8" t="n"/>
      <c r="N37" s="8" t="n"/>
      <c r="O37" s="8" t="n"/>
      <c r="P37" s="8" t="n"/>
      <c r="Q37" s="8">
        <f>IF(OR(O37="",P37=""),"",MIN(O37,P37)-N37)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inlineStr">
        <is>
          <t>8현장: 금호,린스,만현,백현,이선</t>
        </is>
      </c>
      <c r="AA37" s="8" t="n">
        <v>47000</v>
      </c>
      <c r="AB37" s="8" t="n">
        <v>55000</v>
      </c>
    </row>
    <row r="38">
      <c r="A38" s="9" t="inlineStr">
        <is>
          <t>EL-12E</t>
        </is>
      </c>
      <c r="B38" s="9" t="inlineStr">
        <is>
          <t>라인조명</t>
        </is>
      </c>
      <c r="C38" s="6" t="inlineStr">
        <is>
          <t>SMPS 포함 /마그네틱</t>
        </is>
      </c>
      <c r="D38" s="6" t="inlineStr">
        <is>
          <t>방1</t>
        </is>
      </c>
      <c r="E38" s="6" t="inlineStr">
        <is>
          <t>필수</t>
        </is>
      </c>
      <c r="F38" s="6" t="inlineStr">
        <is>
          <t>EA</t>
        </is>
      </c>
      <c r="G38" s="6" t="n"/>
      <c r="H38" s="6" t="n"/>
      <c r="I38" s="7">
        <f>IF(G38="","",G38*(1+H38/100))</f>
        <v/>
      </c>
      <c r="J38" s="6" t="n"/>
      <c r="K38" s="6" t="n"/>
      <c r="L38" s="8" t="n"/>
      <c r="M38" s="8" t="n"/>
      <c r="N38" s="8" t="n"/>
      <c r="O38" s="8" t="n"/>
      <c r="P38" s="8" t="n"/>
      <c r="Q38" s="8">
        <f>IF(OR(O38="",P38=""),"",MIN(O38,P38)-N38)</f>
        <v/>
      </c>
      <c r="R38" s="6" t="n"/>
      <c r="S38" s="6" t="n"/>
      <c r="T38" s="6" t="n"/>
      <c r="U38" s="6" t="n"/>
      <c r="V38" s="6" t="n"/>
      <c r="W38" s="6" t="n"/>
      <c r="X38" s="6" t="n"/>
      <c r="Y38" s="6" t="n"/>
      <c r="Z38" s="6" t="inlineStr">
        <is>
          <t>2현장: 김은경,산본</t>
        </is>
      </c>
      <c r="AA38" s="8" t="n">
        <v>55000</v>
      </c>
      <c r="AB38" s="8" t="n">
        <v>8000</v>
      </c>
    </row>
    <row r="39">
      <c r="A39" s="9" t="inlineStr">
        <is>
          <t>EL-13E</t>
        </is>
      </c>
      <c r="B39" s="9" t="inlineStr">
        <is>
          <t>마그네틱</t>
        </is>
      </c>
      <c r="C39" s="6" t="inlineStr">
        <is>
          <t>거실,주방</t>
        </is>
      </c>
      <c r="D39" s="6" t="inlineStr"/>
      <c r="E39" s="6" t="inlineStr">
        <is>
          <t>필수</t>
        </is>
      </c>
      <c r="F39" s="6" t="inlineStr">
        <is>
          <t>M</t>
        </is>
      </c>
      <c r="G39" s="6" t="n"/>
      <c r="H39" s="6" t="n"/>
      <c r="I39" s="7">
        <f>IF(G39="","",G39*(1+H39/100))</f>
        <v/>
      </c>
      <c r="J39" s="6" t="n"/>
      <c r="K39" s="6" t="n"/>
      <c r="L39" s="8" t="n"/>
      <c r="M39" s="8" t="n"/>
      <c r="N39" s="8" t="n"/>
      <c r="O39" s="8" t="n"/>
      <c r="P39" s="8" t="n"/>
      <c r="Q39" s="8">
        <f>IF(OR(O39="",P39=""),"",MIN(O39,P39)-N39)</f>
        <v/>
      </c>
      <c r="R39" s="6" t="n"/>
      <c r="S39" s="6" t="n"/>
      <c r="T39" s="6" t="n"/>
      <c r="U39" s="6" t="n"/>
      <c r="V39" s="6" t="n"/>
      <c r="W39" s="6" t="n"/>
      <c r="X39" s="6" t="n"/>
      <c r="Y39" s="6" t="n"/>
      <c r="Z39" s="6" t="inlineStr">
        <is>
          <t>1현장: 이선</t>
        </is>
      </c>
      <c r="AA39" s="8" t="n">
        <v>55000</v>
      </c>
      <c r="AB39" s="8" t="n">
        <v>15000</v>
      </c>
    </row>
    <row r="40">
      <c r="A40" s="9" t="inlineStr">
        <is>
          <t>EL-14E</t>
        </is>
      </c>
      <c r="B40" s="9" t="inlineStr">
        <is>
          <t>마그네틱 레일</t>
        </is>
      </c>
      <c r="C40" s="6" t="inlineStr">
        <is>
          <t>거실,주방</t>
        </is>
      </c>
      <c r="D40" s="6" t="inlineStr">
        <is>
          <t>SMPS 포함</t>
        </is>
      </c>
      <c r="E40" s="6" t="inlineStr">
        <is>
          <t>필수</t>
        </is>
      </c>
      <c r="F40" s="6" t="inlineStr">
        <is>
          <t>M</t>
        </is>
      </c>
      <c r="G40" s="6" t="n"/>
      <c r="H40" s="6" t="n"/>
      <c r="I40" s="7">
        <f>IF(G40="","",G40*(1+H40/100))</f>
        <v/>
      </c>
      <c r="J40" s="6" t="n"/>
      <c r="K40" s="6" t="n"/>
      <c r="L40" s="8" t="n"/>
      <c r="M40" s="8" t="n"/>
      <c r="N40" s="8" t="n"/>
      <c r="O40" s="8" t="n"/>
      <c r="P40" s="8" t="n"/>
      <c r="Q40" s="8">
        <f>IF(OR(O40="",P40=""),"",MIN(O40,P40)-N40)</f>
        <v/>
      </c>
      <c r="R40" s="6" t="n"/>
      <c r="S40" s="6" t="n"/>
      <c r="T40" s="6" t="n"/>
      <c r="U40" s="6" t="n"/>
      <c r="V40" s="6" t="n"/>
      <c r="W40" s="6" t="n"/>
      <c r="X40" s="6" t="n"/>
      <c r="Y40" s="6" t="n"/>
      <c r="Z40" s="6" t="inlineStr">
        <is>
          <t>2현장: 김성용,전기영</t>
        </is>
      </c>
      <c r="AA40" s="8" t="n">
        <v>55000</v>
      </c>
      <c r="AB40" s="8" t="n">
        <v>22500</v>
      </c>
    </row>
    <row r="41">
      <c r="A41" s="9" t="inlineStr">
        <is>
          <t>EL-15E</t>
        </is>
      </c>
      <c r="B41" s="9" t="inlineStr">
        <is>
          <t>마그네틱 조명</t>
        </is>
      </c>
      <c r="C41" s="6" t="inlineStr">
        <is>
          <t>SMPS(300W)</t>
        </is>
      </c>
      <c r="D41" s="6" t="inlineStr">
        <is>
          <t>작업방</t>
        </is>
      </c>
      <c r="E41" s="6" t="inlineStr">
        <is>
          <t>필수</t>
        </is>
      </c>
      <c r="F41" s="6" t="inlineStr">
        <is>
          <t>EA</t>
        </is>
      </c>
      <c r="G41" s="6" t="n"/>
      <c r="H41" s="6" t="n"/>
      <c r="I41" s="7">
        <f>IF(G41="","",G41*(1+H41/100))</f>
        <v/>
      </c>
      <c r="J41" s="6" t="n"/>
      <c r="K41" s="6" t="n"/>
      <c r="L41" s="8" t="n"/>
      <c r="M41" s="8" t="n"/>
      <c r="N41" s="8" t="n"/>
      <c r="O41" s="8" t="n"/>
      <c r="P41" s="8" t="n"/>
      <c r="Q41" s="8">
        <f>IF(OR(O41="",P41=""),"",MIN(O41,P41)-N41)</f>
        <v/>
      </c>
      <c r="R41" s="6" t="n"/>
      <c r="S41" s="6" t="n"/>
      <c r="T41" s="6" t="n"/>
      <c r="U41" s="6" t="n"/>
      <c r="V41" s="6" t="n"/>
      <c r="W41" s="6" t="n"/>
      <c r="X41" s="6" t="n"/>
      <c r="Y41" s="6" t="n"/>
      <c r="Z41" s="6" t="inlineStr">
        <is>
          <t>5현장: 린스,만현,백현,산본,진산</t>
        </is>
      </c>
      <c r="AA41" s="8" t="n">
        <v>84500</v>
      </c>
      <c r="AB41" s="8" t="n">
        <v>6500</v>
      </c>
    </row>
    <row r="42">
      <c r="A42" s="9" t="inlineStr">
        <is>
          <t>EL-16E</t>
        </is>
      </c>
      <c r="B42" s="9" t="inlineStr">
        <is>
          <t>마그네틱 조명 기구</t>
        </is>
      </c>
      <c r="C42" s="6" t="inlineStr">
        <is>
          <t>별도</t>
        </is>
      </c>
      <c r="D42" s="6" t="inlineStr"/>
      <c r="E42" s="6" t="inlineStr">
        <is>
          <t>필수</t>
        </is>
      </c>
      <c r="F42" s="6" t="inlineStr">
        <is>
          <t>식</t>
        </is>
      </c>
      <c r="G42" s="6" t="n"/>
      <c r="H42" s="6" t="n"/>
      <c r="I42" s="7">
        <f>IF(G42="","",G42*(1+H42/100))</f>
        <v/>
      </c>
      <c r="J42" s="6" t="n"/>
      <c r="K42" s="6" t="n"/>
      <c r="L42" s="8" t="n"/>
      <c r="M42" s="8" t="n"/>
      <c r="N42" s="8" t="n"/>
      <c r="O42" s="8" t="n"/>
      <c r="P42" s="8" t="n"/>
      <c r="Q42" s="8">
        <f>IF(OR(O42="",P42=""),"",MIN(O42,P42)-N42)</f>
        <v/>
      </c>
      <c r="R42" s="6" t="n"/>
      <c r="S42" s="6" t="n"/>
      <c r="T42" s="6" t="n"/>
      <c r="U42" s="6" t="n"/>
      <c r="V42" s="6" t="n"/>
      <c r="W42" s="6" t="n"/>
      <c r="X42" s="6" t="n"/>
      <c r="Y42" s="6" t="n"/>
      <c r="Z42" s="6" t="inlineStr">
        <is>
          <t>1현장: 김성용</t>
        </is>
      </c>
      <c r="AA42" s="8" t="n"/>
      <c r="AB42" s="8" t="n"/>
    </row>
    <row r="43">
      <c r="A43" s="9" t="inlineStr">
        <is>
          <t>EL-17E</t>
        </is>
      </c>
      <c r="B43" s="9" t="inlineStr">
        <is>
          <t>매립 센서</t>
        </is>
      </c>
      <c r="C43" s="6" t="inlineStr">
        <is>
          <t>인쇼 히든 센서</t>
        </is>
      </c>
      <c r="D43" s="6" t="inlineStr"/>
      <c r="E43" s="6" t="inlineStr">
        <is>
          <t>필수</t>
        </is>
      </c>
      <c r="F43" s="6" t="inlineStr">
        <is>
          <t>EA</t>
        </is>
      </c>
      <c r="G43" s="6" t="n"/>
      <c r="H43" s="6" t="n"/>
      <c r="I43" s="7">
        <f>IF(G43="","",G43*(1+H43/100))</f>
        <v/>
      </c>
      <c r="J43" s="6" t="n"/>
      <c r="K43" s="6" t="n"/>
      <c r="L43" s="8" t="n"/>
      <c r="M43" s="8" t="n"/>
      <c r="N43" s="8" t="n"/>
      <c r="O43" s="8" t="n"/>
      <c r="P43" s="8" t="n"/>
      <c r="Q43" s="8">
        <f>IF(OR(O43="",P43=""),"",MIN(O43,P43)-N43)</f>
        <v/>
      </c>
      <c r="R43" s="6" t="n"/>
      <c r="S43" s="6" t="n"/>
      <c r="T43" s="6" t="n"/>
      <c r="U43" s="6" t="n"/>
      <c r="V43" s="6" t="n"/>
      <c r="W43" s="6" t="n"/>
      <c r="X43" s="6" t="n"/>
      <c r="Y43" s="6" t="n"/>
      <c r="Z43" s="6" t="inlineStr">
        <is>
          <t>7현장: 금호,김성용,김은경,이선,이성숙</t>
        </is>
      </c>
      <c r="AA43" s="8" t="n">
        <v>55000</v>
      </c>
      <c r="AB43" s="8" t="n">
        <v>5000</v>
      </c>
    </row>
    <row r="44">
      <c r="A44" s="9" t="inlineStr">
        <is>
          <t>EL-18E</t>
        </is>
      </c>
      <c r="B44" s="9" t="inlineStr">
        <is>
          <t>바리솔 조명</t>
        </is>
      </c>
      <c r="C44" s="6" t="inlineStr">
        <is>
          <t>디밍 미포함</t>
        </is>
      </c>
      <c r="D44" s="6" t="inlineStr"/>
      <c r="E44" s="6" t="inlineStr">
        <is>
          <t>필수</t>
        </is>
      </c>
      <c r="F44" s="6" t="inlineStr">
        <is>
          <t>식</t>
        </is>
      </c>
      <c r="G44" s="6" t="n"/>
      <c r="H44" s="6" t="n"/>
      <c r="I44" s="7">
        <f>IF(G44="","",G44*(1+H44/100))</f>
        <v/>
      </c>
      <c r="J44" s="6" t="n"/>
      <c r="K44" s="6" t="n"/>
      <c r="L44" s="8" t="n"/>
      <c r="M44" s="8" t="n"/>
      <c r="N44" s="8" t="n"/>
      <c r="O44" s="8" t="n"/>
      <c r="P44" s="8" t="n"/>
      <c r="Q44" s="8">
        <f>IF(OR(O44="",P44=""),"",MIN(O44,P44)-N44)</f>
        <v/>
      </c>
      <c r="R44" s="6" t="n"/>
      <c r="S44" s="6" t="n"/>
      <c r="T44" s="6" t="n"/>
      <c r="U44" s="6" t="n"/>
      <c r="V44" s="6" t="n"/>
      <c r="W44" s="6" t="n"/>
      <c r="X44" s="6" t="n"/>
      <c r="Y44" s="6" t="n"/>
      <c r="Z44" s="6" t="inlineStr">
        <is>
          <t>1현장: 전기영</t>
        </is>
      </c>
      <c r="AA44" s="8" t="n">
        <v>2000000</v>
      </c>
      <c r="AB44" s="8" t="n"/>
    </row>
    <row r="45">
      <c r="A45" s="9" t="inlineStr">
        <is>
          <t>EL-19E</t>
        </is>
      </c>
      <c r="B45" s="9" t="inlineStr">
        <is>
          <t>발코니 조명</t>
        </is>
      </c>
      <c r="C45" s="6" t="inlineStr">
        <is>
          <t>직부 슬림 엣지</t>
        </is>
      </c>
      <c r="D45" s="6" t="inlineStr">
        <is>
          <t>안방 발코니</t>
        </is>
      </c>
      <c r="E45" s="6" t="inlineStr">
        <is>
          <t>필수</t>
        </is>
      </c>
      <c r="F45" s="6" t="inlineStr">
        <is>
          <t>EA</t>
        </is>
      </c>
      <c r="G45" s="6" t="n"/>
      <c r="H45" s="6" t="n"/>
      <c r="I45" s="7">
        <f>IF(G45="","",G45*(1+H45/100))</f>
        <v/>
      </c>
      <c r="J45" s="6" t="n"/>
      <c r="K45" s="6" t="n"/>
      <c r="L45" s="8" t="n"/>
      <c r="M45" s="8" t="n"/>
      <c r="N45" s="8" t="n"/>
      <c r="O45" s="8" t="n"/>
      <c r="P45" s="8" t="n"/>
      <c r="Q45" s="8">
        <f>IF(OR(O45="",P45=""),"",MIN(O45,P45)-N45)</f>
        <v/>
      </c>
      <c r="R45" s="6" t="n"/>
      <c r="S45" s="6" t="n"/>
      <c r="T45" s="6" t="n"/>
      <c r="U45" s="6" t="n"/>
      <c r="V45" s="6" t="n"/>
      <c r="W45" s="6" t="n"/>
      <c r="X45" s="6" t="n"/>
      <c r="Y45" s="6" t="n"/>
      <c r="Z45" s="6" t="inlineStr">
        <is>
          <t>12현장: 금호,김성용,김은경,린스,만현</t>
        </is>
      </c>
      <c r="AA45" s="8" t="n">
        <v>15000</v>
      </c>
      <c r="AB45" s="8" t="n">
        <v>10000</v>
      </c>
    </row>
    <row r="46">
      <c r="A46" s="9" t="inlineStr">
        <is>
          <t>EL-20E</t>
        </is>
      </c>
      <c r="B46" s="9" t="inlineStr">
        <is>
          <t>보일러 콘트롤러</t>
        </is>
      </c>
      <c r="C46" s="6" t="inlineStr">
        <is>
          <t>칼리더스 /</t>
        </is>
      </c>
      <c r="D46" s="6" t="inlineStr"/>
      <c r="E46" s="6" t="inlineStr">
        <is>
          <t>필수</t>
        </is>
      </c>
      <c r="F46" s="6" t="inlineStr">
        <is>
          <t>식</t>
        </is>
      </c>
      <c r="G46" s="6" t="n"/>
      <c r="H46" s="6" t="n"/>
      <c r="I46" s="7">
        <f>IF(G46="","",G46*(1+H46/100))</f>
        <v/>
      </c>
      <c r="J46" s="6" t="n"/>
      <c r="K46" s="6" t="n"/>
      <c r="L46" s="8" t="n"/>
      <c r="M46" s="8" t="n"/>
      <c r="N46" s="8" t="n"/>
      <c r="O46" s="8" t="n"/>
      <c r="P46" s="8" t="n"/>
      <c r="Q46" s="8">
        <f>IF(OR(O46="",P46=""),"",MIN(O46,P46)-N46)</f>
        <v/>
      </c>
      <c r="R46" s="6" t="n"/>
      <c r="S46" s="6" t="n"/>
      <c r="T46" s="6" t="n"/>
      <c r="U46" s="6" t="n"/>
      <c r="V46" s="6" t="n"/>
      <c r="W46" s="6" t="n"/>
      <c r="X46" s="6" t="n"/>
      <c r="Y46" s="6" t="n"/>
      <c r="Z46" s="6" t="inlineStr">
        <is>
          <t>3현장: 금호,이선,행당동</t>
        </is>
      </c>
      <c r="AA46" s="8" t="n"/>
      <c r="AB46" s="8" t="n"/>
    </row>
    <row r="47">
      <c r="A47" s="9" t="inlineStr">
        <is>
          <t>EL-21E</t>
        </is>
      </c>
      <c r="B47" s="9" t="inlineStr">
        <is>
          <t>분전함 교체</t>
        </is>
      </c>
      <c r="C47" s="6" t="inlineStr">
        <is>
          <t>현장 체크</t>
        </is>
      </c>
      <c r="D47" s="6" t="inlineStr">
        <is>
          <t>현관</t>
        </is>
      </c>
      <c r="E47" s="6" t="inlineStr">
        <is>
          <t>필수</t>
        </is>
      </c>
      <c r="F47" s="6" t="inlineStr">
        <is>
          <t>EA</t>
        </is>
      </c>
      <c r="G47" s="6" t="n"/>
      <c r="H47" s="6" t="n"/>
      <c r="I47" s="7">
        <f>IF(G47="","",G47*(1+H47/100))</f>
        <v/>
      </c>
      <c r="J47" s="6" t="n"/>
      <c r="K47" s="6" t="n"/>
      <c r="L47" s="8" t="n"/>
      <c r="M47" s="8" t="n"/>
      <c r="N47" s="8" t="n"/>
      <c r="O47" s="8" t="n"/>
      <c r="P47" s="8" t="n"/>
      <c r="Q47" s="8">
        <f>IF(OR(O47="",P47=""),"",MIN(O47,P47)-N47)</f>
        <v/>
      </c>
      <c r="R47" s="6" t="n"/>
      <c r="S47" s="6" t="n"/>
      <c r="T47" s="6" t="n"/>
      <c r="U47" s="6" t="n"/>
      <c r="V47" s="6" t="n"/>
      <c r="W47" s="6" t="n"/>
      <c r="X47" s="6" t="n"/>
      <c r="Y47" s="6" t="n"/>
      <c r="Z47" s="6" t="inlineStr">
        <is>
          <t>6현장: 린스,만현,백현,산본,진산</t>
        </is>
      </c>
      <c r="AA47" s="8" t="n">
        <v>250000</v>
      </c>
      <c r="AB47" s="8" t="n">
        <v>350000</v>
      </c>
    </row>
    <row r="48">
      <c r="A48" s="9" t="inlineStr">
        <is>
          <t>EL-22E</t>
        </is>
      </c>
      <c r="B48" s="9" t="inlineStr">
        <is>
          <t>비디오폰 이설</t>
        </is>
      </c>
      <c r="C48" s="6" t="inlineStr">
        <is>
          <t>비디오폰,도어락 및 제품 별도</t>
        </is>
      </c>
      <c r="D48" s="6" t="inlineStr">
        <is>
          <t>거실</t>
        </is>
      </c>
      <c r="E48" s="6" t="inlineStr">
        <is>
          <t>필수</t>
        </is>
      </c>
      <c r="F48" s="6" t="inlineStr">
        <is>
          <t>EA</t>
        </is>
      </c>
      <c r="G48" s="6" t="n"/>
      <c r="H48" s="6" t="n"/>
      <c r="I48" s="7">
        <f>IF(G48="","",G48*(1+H48/100))</f>
        <v/>
      </c>
      <c r="J48" s="6" t="n"/>
      <c r="K48" s="6" t="n"/>
      <c r="L48" s="8" t="n"/>
      <c r="M48" s="8" t="n"/>
      <c r="N48" s="8" t="n"/>
      <c r="O48" s="8" t="n"/>
      <c r="P48" s="8" t="n"/>
      <c r="Q48" s="8">
        <f>IF(OR(O48="",P48=""),"",MIN(O48,P48)-N48)</f>
        <v/>
      </c>
      <c r="R48" s="6" t="n"/>
      <c r="S48" s="6" t="n"/>
      <c r="T48" s="6" t="n"/>
      <c r="U48" s="6" t="n"/>
      <c r="V48" s="6" t="n"/>
      <c r="W48" s="6" t="n"/>
      <c r="X48" s="6" t="n"/>
      <c r="Y48" s="6" t="n"/>
      <c r="Z48" s="6" t="inlineStr">
        <is>
          <t>5현장: 린스,백현,산본,진산,푸르지오</t>
        </is>
      </c>
      <c r="AA48" s="8" t="n">
        <v>300000</v>
      </c>
      <c r="AB48" s="8" t="n">
        <v>250000</v>
      </c>
    </row>
    <row r="49">
      <c r="A49" s="9" t="inlineStr">
        <is>
          <t>EL-23E</t>
        </is>
      </c>
      <c r="B49" s="9" t="inlineStr">
        <is>
          <t>비디오폰 이설 배선</t>
        </is>
      </c>
      <c r="C49" s="6" t="inlineStr">
        <is>
          <t>비디오폰,도어락 및 제품 별도</t>
        </is>
      </c>
      <c r="D49" s="6" t="inlineStr">
        <is>
          <t>거실</t>
        </is>
      </c>
      <c r="E49" s="6" t="inlineStr">
        <is>
          <t>필수</t>
        </is>
      </c>
      <c r="F49" s="6" t="inlineStr">
        <is>
          <t>EA</t>
        </is>
      </c>
      <c r="G49" s="6" t="n"/>
      <c r="H49" s="6" t="n"/>
      <c r="I49" s="7">
        <f>IF(G49="","",G49*(1+H49/100))</f>
        <v/>
      </c>
      <c r="J49" s="6" t="n"/>
      <c r="K49" s="6" t="n"/>
      <c r="L49" s="8" t="n"/>
      <c r="M49" s="8" t="n"/>
      <c r="N49" s="8" t="n"/>
      <c r="O49" s="8" t="n"/>
      <c r="P49" s="8" t="n"/>
      <c r="Q49" s="8">
        <f>IF(OR(O49="",P49=""),"",MIN(O49,P49)-N49)</f>
        <v/>
      </c>
      <c r="R49" s="6" t="n"/>
      <c r="S49" s="6" t="n"/>
      <c r="T49" s="6" t="n"/>
      <c r="U49" s="6" t="n"/>
      <c r="V49" s="6" t="n"/>
      <c r="W49" s="6" t="n"/>
      <c r="X49" s="6" t="n"/>
      <c r="Y49" s="6" t="n"/>
      <c r="Z49" s="6" t="inlineStr">
        <is>
          <t>1현장: 만현</t>
        </is>
      </c>
      <c r="AA49" s="8" t="n">
        <v>200000</v>
      </c>
      <c r="AB49" s="8" t="n">
        <v>350000</v>
      </c>
    </row>
    <row r="50">
      <c r="A50" s="9" t="inlineStr">
        <is>
          <t>EL-24E</t>
        </is>
      </c>
      <c r="B50" s="9" t="inlineStr">
        <is>
          <t>사각 매립조명</t>
        </is>
      </c>
      <c r="C50" s="6" t="inlineStr">
        <is>
          <t>20W 5구</t>
        </is>
      </c>
      <c r="D50" s="6" t="inlineStr"/>
      <c r="E50" s="6" t="inlineStr">
        <is>
          <t>필수</t>
        </is>
      </c>
      <c r="F50" s="6" t="inlineStr">
        <is>
          <t>EA</t>
        </is>
      </c>
      <c r="G50" s="6" t="n"/>
      <c r="H50" s="6" t="n"/>
      <c r="I50" s="7">
        <f>IF(G50="","",G50*(1+H50/100))</f>
        <v/>
      </c>
      <c r="J50" s="6" t="n"/>
      <c r="K50" s="6" t="n"/>
      <c r="L50" s="8" t="n"/>
      <c r="M50" s="8" t="n"/>
      <c r="N50" s="8" t="n"/>
      <c r="O50" s="8" t="n"/>
      <c r="P50" s="8" t="n"/>
      <c r="Q50" s="8">
        <f>IF(OR(O50="",P50=""),"",MIN(O50,P50)-N50)</f>
        <v/>
      </c>
      <c r="R50" s="6" t="n"/>
      <c r="S50" s="6" t="n"/>
      <c r="T50" s="6" t="n"/>
      <c r="U50" s="6" t="n"/>
      <c r="V50" s="6" t="n"/>
      <c r="W50" s="6" t="n"/>
      <c r="X50" s="6" t="n"/>
      <c r="Y50" s="6" t="n"/>
      <c r="Z50" s="6" t="inlineStr">
        <is>
          <t>1현장: 김성용</t>
        </is>
      </c>
      <c r="AA50" s="8" t="n">
        <v>96000</v>
      </c>
      <c r="AB50" s="8" t="n">
        <v>8000</v>
      </c>
    </row>
    <row r="51">
      <c r="A51" s="9" t="inlineStr">
        <is>
          <t>EL-25E</t>
        </is>
      </c>
      <c r="B51" s="9" t="inlineStr">
        <is>
          <t>사각 매입등</t>
        </is>
      </c>
      <c r="C51" s="6" t="inlineStr">
        <is>
          <t>5구</t>
        </is>
      </c>
      <c r="D51" s="6" t="inlineStr">
        <is>
          <t>방1</t>
        </is>
      </c>
      <c r="E51" s="6" t="inlineStr">
        <is>
          <t>필수</t>
        </is>
      </c>
      <c r="F51" s="6" t="inlineStr">
        <is>
          <t>EA</t>
        </is>
      </c>
      <c r="G51" s="6" t="n"/>
      <c r="H51" s="6" t="n"/>
      <c r="I51" s="7">
        <f>IF(G51="","",G51*(1+H51/100))</f>
        <v/>
      </c>
      <c r="J51" s="6" t="n"/>
      <c r="K51" s="6" t="n"/>
      <c r="L51" s="8" t="n"/>
      <c r="M51" s="8" t="n"/>
      <c r="N51" s="8" t="n"/>
      <c r="O51" s="8" t="n"/>
      <c r="P51" s="8" t="n"/>
      <c r="Q51" s="8">
        <f>IF(OR(O51="",P51=""),"",MIN(O51,P51)-N51)</f>
        <v/>
      </c>
      <c r="R51" s="6" t="n"/>
      <c r="S51" s="6" t="n"/>
      <c r="T51" s="6" t="n"/>
      <c r="U51" s="6" t="n"/>
      <c r="V51" s="6" t="n"/>
      <c r="W51" s="6" t="n"/>
      <c r="X51" s="6" t="n"/>
      <c r="Y51" s="6" t="n"/>
      <c r="Z51" s="6" t="inlineStr">
        <is>
          <t>1현장: 산본</t>
        </is>
      </c>
      <c r="AA51" s="8" t="n">
        <v>68000</v>
      </c>
      <c r="AB51" s="8" t="n">
        <v>8000</v>
      </c>
    </row>
    <row r="52">
      <c r="A52" s="9" t="inlineStr">
        <is>
          <t>EL-26E</t>
        </is>
      </c>
      <c r="B52" s="9" t="inlineStr">
        <is>
          <t>실링팬</t>
        </is>
      </c>
      <c r="C52" s="6" t="inlineStr">
        <is>
          <t>미정</t>
        </is>
      </c>
      <c r="D52" s="6" t="inlineStr">
        <is>
          <t>거실</t>
        </is>
      </c>
      <c r="E52" s="6" t="inlineStr">
        <is>
          <t>필수</t>
        </is>
      </c>
      <c r="F52" s="6" t="inlineStr">
        <is>
          <t>EA</t>
        </is>
      </c>
      <c r="G52" s="6" t="n"/>
      <c r="H52" s="6" t="n"/>
      <c r="I52" s="7">
        <f>IF(G52="","",G52*(1+H52/100))</f>
        <v/>
      </c>
      <c r="J52" s="6" t="n"/>
      <c r="K52" s="6" t="n"/>
      <c r="L52" s="8" t="n"/>
      <c r="M52" s="8" t="n"/>
      <c r="N52" s="8" t="n"/>
      <c r="O52" s="8" t="n"/>
      <c r="P52" s="8" t="n"/>
      <c r="Q52" s="8">
        <f>IF(OR(O52="",P52=""),"",MIN(O52,P52)-N52)</f>
        <v/>
      </c>
      <c r="R52" s="6" t="n"/>
      <c r="S52" s="6" t="n"/>
      <c r="T52" s="6" t="n"/>
      <c r="U52" s="6" t="n"/>
      <c r="V52" s="6" t="n"/>
      <c r="W52" s="6" t="n"/>
      <c r="X52" s="6" t="n"/>
      <c r="Y52" s="6" t="n"/>
      <c r="Z52" s="6" t="inlineStr">
        <is>
          <t>5현장: 김성용,린스,만현,백현,이성숙</t>
        </is>
      </c>
      <c r="AA52" s="8" t="n"/>
      <c r="AB52" s="8" t="n">
        <v>20000</v>
      </c>
    </row>
    <row r="53">
      <c r="A53" s="9" t="inlineStr">
        <is>
          <t>EL-27E</t>
        </is>
      </c>
      <c r="B53" s="9" t="inlineStr">
        <is>
          <t>실링팬 선작업 / 거실</t>
        </is>
      </c>
      <c r="C53" s="6" t="inlineStr">
        <is>
          <t>—</t>
        </is>
      </c>
      <c r="D53" s="6" t="inlineStr"/>
      <c r="E53" s="6" t="inlineStr">
        <is>
          <t>필수</t>
        </is>
      </c>
      <c r="F53" s="6" t="inlineStr">
        <is>
          <t>식</t>
        </is>
      </c>
      <c r="G53" s="6" t="n"/>
      <c r="H53" s="6" t="n"/>
      <c r="I53" s="7">
        <f>IF(G53="","",G53*(1+H53/100))</f>
        <v/>
      </c>
      <c r="J53" s="6" t="n"/>
      <c r="K53" s="6" t="n"/>
      <c r="L53" s="8" t="n"/>
      <c r="M53" s="8" t="n"/>
      <c r="N53" s="8" t="n"/>
      <c r="O53" s="8" t="n"/>
      <c r="P53" s="8" t="n"/>
      <c r="Q53" s="8">
        <f>IF(OR(O53="",P53=""),"",MIN(O53,P53)-N53)</f>
        <v/>
      </c>
      <c r="R53" s="6" t="n"/>
      <c r="S53" s="6" t="n"/>
      <c r="T53" s="6" t="n"/>
      <c r="U53" s="6" t="n"/>
      <c r="V53" s="6" t="n"/>
      <c r="W53" s="6" t="n"/>
      <c r="X53" s="6" t="n"/>
      <c r="Y53" s="6" t="n"/>
      <c r="Z53" s="6" t="inlineStr">
        <is>
          <t>1현장: 이선</t>
        </is>
      </c>
      <c r="AA53" s="8" t="n"/>
      <c r="AB53" s="8" t="n"/>
    </row>
    <row r="54">
      <c r="A54" s="9" t="inlineStr">
        <is>
          <t>EL-28E</t>
        </is>
      </c>
      <c r="B54" s="9" t="inlineStr">
        <is>
          <t>아스트로 조명</t>
        </is>
      </c>
      <c r="C54" s="6" t="inlineStr">
        <is>
          <t>—</t>
        </is>
      </c>
      <c r="D54" s="6" t="inlineStr">
        <is>
          <t>안방 침대헤드</t>
        </is>
      </c>
      <c r="E54" s="6" t="inlineStr">
        <is>
          <t>필수</t>
        </is>
      </c>
      <c r="F54" s="6" t="inlineStr">
        <is>
          <t>EA</t>
        </is>
      </c>
      <c r="G54" s="6" t="n"/>
      <c r="H54" s="6" t="n"/>
      <c r="I54" s="7">
        <f>IF(G54="","",G54*(1+H54/100))</f>
        <v/>
      </c>
      <c r="J54" s="6" t="n"/>
      <c r="K54" s="6" t="n"/>
      <c r="L54" s="8" t="n"/>
      <c r="M54" s="8" t="n"/>
      <c r="N54" s="8" t="n"/>
      <c r="O54" s="8" t="n"/>
      <c r="P54" s="8" t="n"/>
      <c r="Q54" s="8">
        <f>IF(OR(O54="",P54=""),"",MIN(O54,P54)-N54)</f>
        <v/>
      </c>
      <c r="R54" s="6" t="n"/>
      <c r="S54" s="6" t="n"/>
      <c r="T54" s="6" t="n"/>
      <c r="U54" s="6" t="n"/>
      <c r="V54" s="6" t="n"/>
      <c r="W54" s="6" t="n"/>
      <c r="X54" s="6" t="n"/>
      <c r="Y54" s="6" t="n"/>
      <c r="Z54" s="6" t="inlineStr">
        <is>
          <t>1현장: 전기영</t>
        </is>
      </c>
      <c r="AA54" s="8" t="n">
        <v>330000</v>
      </c>
      <c r="AB54" s="8" t="n">
        <v>15000</v>
      </c>
    </row>
    <row r="55">
      <c r="A55" s="9" t="inlineStr">
        <is>
          <t>EL-29E</t>
        </is>
      </c>
      <c r="B55" s="9" t="inlineStr">
        <is>
          <t>와인잔 걸이</t>
        </is>
      </c>
      <c r="C55" s="6" t="inlineStr">
        <is>
          <t>고객님 지급 자재</t>
        </is>
      </c>
      <c r="D55" s="6" t="inlineStr">
        <is>
          <t>별도 구매</t>
        </is>
      </c>
      <c r="E55" s="6" t="inlineStr">
        <is>
          <t>필수</t>
        </is>
      </c>
      <c r="F55" s="6" t="inlineStr">
        <is>
          <t>EA</t>
        </is>
      </c>
      <c r="G55" s="6" t="n"/>
      <c r="H55" s="6" t="n"/>
      <c r="I55" s="7">
        <f>IF(G55="","",G55*(1+H55/100))</f>
        <v/>
      </c>
      <c r="J55" s="6" t="n"/>
      <c r="K55" s="6" t="n"/>
      <c r="L55" s="8" t="n"/>
      <c r="M55" s="8" t="n"/>
      <c r="N55" s="8" t="n"/>
      <c r="O55" s="8" t="n"/>
      <c r="P55" s="8" t="n"/>
      <c r="Q55" s="8">
        <f>IF(OR(O55="",P55=""),"",MIN(O55,P55)-N55)</f>
        <v/>
      </c>
      <c r="R55" s="6" t="n"/>
      <c r="S55" s="6" t="n"/>
      <c r="T55" s="6" t="n"/>
      <c r="U55" s="6" t="n"/>
      <c r="V55" s="6" t="n"/>
      <c r="W55" s="6" t="n"/>
      <c r="X55" s="6" t="n"/>
      <c r="Y55" s="6" t="n"/>
      <c r="Z55" s="6" t="inlineStr">
        <is>
          <t>1현장: 전기영</t>
        </is>
      </c>
      <c r="AA55" s="8" t="n"/>
      <c r="AB55" s="8" t="n"/>
    </row>
    <row r="56">
      <c r="A56" s="9" t="inlineStr">
        <is>
          <t>EL-30E</t>
        </is>
      </c>
      <c r="B56" s="9" t="inlineStr">
        <is>
          <t>융(매트화이트)</t>
        </is>
      </c>
      <c r="C56" s="6" t="inlineStr">
        <is>
          <t>4구 프레임</t>
        </is>
      </c>
      <c r="D56" s="6" t="inlineStr">
        <is>
          <t>방1</t>
        </is>
      </c>
      <c r="E56" s="6" t="inlineStr">
        <is>
          <t>필수</t>
        </is>
      </c>
      <c r="F56" s="6" t="inlineStr">
        <is>
          <t>EA</t>
        </is>
      </c>
      <c r="G56" s="6" t="n"/>
      <c r="H56" s="6" t="n"/>
      <c r="I56" s="7">
        <f>IF(G56="","",G56*(1+H56/100))</f>
        <v/>
      </c>
      <c r="J56" s="6" t="n"/>
      <c r="K56" s="6" t="n"/>
      <c r="L56" s="8" t="n"/>
      <c r="M56" s="8" t="n"/>
      <c r="N56" s="8" t="n"/>
      <c r="O56" s="8" t="n"/>
      <c r="P56" s="8" t="n"/>
      <c r="Q56" s="8">
        <f>IF(OR(O56="",P56=""),"",MIN(O56,P56)-N56)</f>
        <v/>
      </c>
      <c r="R56" s="6" t="n"/>
      <c r="S56" s="6" t="n"/>
      <c r="T56" s="6" t="n"/>
      <c r="U56" s="6" t="n"/>
      <c r="V56" s="6" t="n"/>
      <c r="W56" s="6" t="n"/>
      <c r="X56" s="6" t="n"/>
      <c r="Y56" s="6" t="n"/>
      <c r="Z56" s="6" t="inlineStr">
        <is>
          <t>6현장: 린스,만현,백현,산본,진산</t>
        </is>
      </c>
      <c r="AA56" s="8" t="n">
        <v>32000</v>
      </c>
      <c r="AB56" s="8" t="n">
        <v>5000</v>
      </c>
    </row>
    <row r="57">
      <c r="A57" s="9" t="inlineStr">
        <is>
          <t>EL-31E</t>
        </is>
      </c>
      <c r="B57" s="9" t="inlineStr">
        <is>
          <t>인쇼제어함</t>
        </is>
      </c>
      <c r="C57" s="6" t="inlineStr">
        <is>
          <t>—</t>
        </is>
      </c>
      <c r="D57" s="6" t="inlineStr"/>
      <c r="E57" s="6" t="inlineStr">
        <is>
          <t>필수</t>
        </is>
      </c>
      <c r="F57" s="6" t="inlineStr">
        <is>
          <t>EA</t>
        </is>
      </c>
      <c r="G57" s="6" t="n"/>
      <c r="H57" s="6" t="n"/>
      <c r="I57" s="7">
        <f>IF(G57="","",G57*(1+H57/100))</f>
        <v/>
      </c>
      <c r="J57" s="6" t="n"/>
      <c r="K57" s="6" t="n"/>
      <c r="L57" s="8" t="n"/>
      <c r="M57" s="8" t="n"/>
      <c r="N57" s="8" t="n"/>
      <c r="O57" s="8" t="n"/>
      <c r="P57" s="8" t="n"/>
      <c r="Q57" s="8">
        <f>IF(OR(O57="",P57=""),"",MIN(O57,P57)-N57)</f>
        <v/>
      </c>
      <c r="R57" s="6" t="n"/>
      <c r="S57" s="6" t="n"/>
      <c r="T57" s="6" t="n"/>
      <c r="U57" s="6" t="n"/>
      <c r="V57" s="6" t="n"/>
      <c r="W57" s="6" t="n"/>
      <c r="X57" s="6" t="n"/>
      <c r="Y57" s="6" t="n"/>
      <c r="Z57" s="6" t="inlineStr">
        <is>
          <t>1현장: 김은경</t>
        </is>
      </c>
      <c r="AA57" s="8" t="n">
        <v>516000</v>
      </c>
      <c r="AB57" s="8" t="n">
        <v>900000</v>
      </c>
    </row>
    <row r="58">
      <c r="A58" s="9" t="inlineStr">
        <is>
          <t>EL-32E</t>
        </is>
      </c>
      <c r="B58" s="9" t="inlineStr">
        <is>
          <t>제어기 함</t>
        </is>
      </c>
      <c r="C58" s="6" t="inlineStr">
        <is>
          <t>인쇼 제어기함 세트 960W</t>
        </is>
      </c>
      <c r="D58" s="6" t="inlineStr"/>
      <c r="E58" s="6" t="inlineStr">
        <is>
          <t>필수</t>
        </is>
      </c>
      <c r="F58" s="6" t="inlineStr">
        <is>
          <t>EA</t>
        </is>
      </c>
      <c r="G58" s="6" t="n"/>
      <c r="H58" s="6" t="n"/>
      <c r="I58" s="7">
        <f>IF(G58="","",G58*(1+H58/100))</f>
        <v/>
      </c>
      <c r="J58" s="6" t="n"/>
      <c r="K58" s="6" t="n"/>
      <c r="L58" s="8" t="n"/>
      <c r="M58" s="8" t="n"/>
      <c r="N58" s="8" t="n"/>
      <c r="O58" s="8" t="n"/>
      <c r="P58" s="8" t="n"/>
      <c r="Q58" s="8">
        <f>IF(OR(O58="",P58=""),"",MIN(O58,P58)-N58)</f>
        <v/>
      </c>
      <c r="R58" s="6" t="n"/>
      <c r="S58" s="6" t="n"/>
      <c r="T58" s="6" t="n"/>
      <c r="U58" s="6" t="n"/>
      <c r="V58" s="6" t="n"/>
      <c r="W58" s="6" t="n"/>
      <c r="X58" s="6" t="n"/>
      <c r="Y58" s="6" t="n"/>
      <c r="Z58" s="6" t="inlineStr">
        <is>
          <t>4현장: 금호,이선,전기영,행당동</t>
        </is>
      </c>
      <c r="AA58" s="8" t="n">
        <v>561000</v>
      </c>
      <c r="AB58" s="8" t="n">
        <v>200000</v>
      </c>
    </row>
    <row r="59">
      <c r="A59" s="9" t="inlineStr">
        <is>
          <t>EL-33E</t>
        </is>
      </c>
      <c r="B59" s="9" t="inlineStr">
        <is>
          <t>직부등</t>
        </is>
      </c>
      <c r="C59" s="6" t="inlineStr">
        <is>
          <t>원형 엣지 조명 주백색</t>
        </is>
      </c>
      <c r="D59" s="6" t="inlineStr">
        <is>
          <t>방1</t>
        </is>
      </c>
      <c r="E59" s="6" t="inlineStr">
        <is>
          <t>필수</t>
        </is>
      </c>
      <c r="F59" s="6" t="inlineStr">
        <is>
          <t>EA</t>
        </is>
      </c>
      <c r="G59" s="6" t="n"/>
      <c r="H59" s="6" t="n"/>
      <c r="I59" s="7">
        <f>IF(G59="","",G59*(1+H59/100))</f>
        <v/>
      </c>
      <c r="J59" s="6" t="n"/>
      <c r="K59" s="6" t="n"/>
      <c r="L59" s="8" t="n"/>
      <c r="M59" s="8" t="n"/>
      <c r="N59" s="8" t="n"/>
      <c r="O59" s="8" t="n"/>
      <c r="P59" s="8" t="n"/>
      <c r="Q59" s="8">
        <f>IF(OR(O59="",P59=""),"",MIN(O59,P59)-N59)</f>
        <v/>
      </c>
      <c r="R59" s="6" t="n"/>
      <c r="S59" s="6" t="n"/>
      <c r="T59" s="6" t="n"/>
      <c r="U59" s="6" t="n"/>
      <c r="V59" s="6" t="n"/>
      <c r="W59" s="6" t="n"/>
      <c r="X59" s="6" t="n"/>
      <c r="Y59" s="6" t="n"/>
      <c r="Z59" s="6" t="inlineStr">
        <is>
          <t>6현장: 린스,만현,백현,산본,진산</t>
        </is>
      </c>
      <c r="AA59" s="8" t="n">
        <v>60000</v>
      </c>
      <c r="AB59" s="8" t="n">
        <v>12000</v>
      </c>
    </row>
    <row r="60">
      <c r="A60" s="9" t="inlineStr">
        <is>
          <t>EL-34E</t>
        </is>
      </c>
      <c r="B60" s="9" t="inlineStr">
        <is>
          <t>차단기 이설</t>
        </is>
      </c>
      <c r="C60" s="6" t="inlineStr">
        <is>
          <t>주방 - 거실 상부장</t>
        </is>
      </c>
      <c r="D60" s="6" t="inlineStr"/>
      <c r="E60" s="6" t="inlineStr">
        <is>
          <t>필수</t>
        </is>
      </c>
      <c r="F60" s="6" t="inlineStr">
        <is>
          <t>식</t>
        </is>
      </c>
      <c r="G60" s="6" t="n"/>
      <c r="H60" s="6" t="n"/>
      <c r="I60" s="7">
        <f>IF(G60="","",G60*(1+H60/100))</f>
        <v/>
      </c>
      <c r="J60" s="6" t="n"/>
      <c r="K60" s="6" t="n"/>
      <c r="L60" s="8" t="n"/>
      <c r="M60" s="8" t="n"/>
      <c r="N60" s="8" t="n"/>
      <c r="O60" s="8" t="n"/>
      <c r="P60" s="8" t="n"/>
      <c r="Q60" s="8">
        <f>IF(OR(O60="",P60=""),"",MIN(O60,P60)-N60)</f>
        <v/>
      </c>
      <c r="R60" s="6" t="n"/>
      <c r="S60" s="6" t="n"/>
      <c r="T60" s="6" t="n"/>
      <c r="U60" s="6" t="n"/>
      <c r="V60" s="6" t="n"/>
      <c r="W60" s="6" t="n"/>
      <c r="X60" s="6" t="n"/>
      <c r="Y60" s="6" t="n"/>
      <c r="Z60" s="6" t="inlineStr">
        <is>
          <t>1현장: 김성용</t>
        </is>
      </c>
      <c r="AA60" s="8" t="n">
        <v>250000</v>
      </c>
      <c r="AB60" s="8" t="n">
        <v>250000</v>
      </c>
    </row>
    <row r="61">
      <c r="A61" s="9" t="inlineStr">
        <is>
          <t>EL-35E</t>
        </is>
      </c>
      <c r="B61" s="9" t="inlineStr">
        <is>
          <t>침대헤드 조명(스포트라이트)</t>
        </is>
      </c>
      <c r="C61" s="6" t="inlineStr">
        <is>
          <t>브러쉬드 니켈</t>
        </is>
      </c>
      <c r="D61" s="6" t="inlineStr">
        <is>
          <t>안방 침대헤드</t>
        </is>
      </c>
      <c r="E61" s="6" t="inlineStr">
        <is>
          <t>필수</t>
        </is>
      </c>
      <c r="F61" s="6" t="inlineStr">
        <is>
          <t>EA</t>
        </is>
      </c>
      <c r="G61" s="6" t="n"/>
      <c r="H61" s="6" t="n"/>
      <c r="I61" s="7">
        <f>IF(G61="","",G61*(1+H61/100))</f>
        <v/>
      </c>
      <c r="J61" s="6" t="n"/>
      <c r="K61" s="6" t="n"/>
      <c r="L61" s="8" t="n"/>
      <c r="M61" s="8" t="n"/>
      <c r="N61" s="8" t="n"/>
      <c r="O61" s="8" t="n"/>
      <c r="P61" s="8" t="n"/>
      <c r="Q61" s="8">
        <f>IF(OR(O61="",P61=""),"",MIN(O61,P61)-N61)</f>
        <v/>
      </c>
      <c r="R61" s="6" t="n"/>
      <c r="S61" s="6" t="n"/>
      <c r="T61" s="6" t="n"/>
      <c r="U61" s="6" t="n"/>
      <c r="V61" s="6" t="n"/>
      <c r="W61" s="6" t="n"/>
      <c r="X61" s="6" t="n"/>
      <c r="Y61" s="6" t="n"/>
      <c r="Z61" s="6" t="inlineStr">
        <is>
          <t>6현장: 린스,만현,백현,산본,진산</t>
        </is>
      </c>
      <c r="AA61" s="8" t="n">
        <v>58100</v>
      </c>
      <c r="AB61" s="8" t="n">
        <v>20000</v>
      </c>
    </row>
    <row r="62">
      <c r="A62" s="9" t="inlineStr">
        <is>
          <t>EL-36E</t>
        </is>
      </c>
      <c r="B62" s="9" t="inlineStr">
        <is>
          <t>통심함 이설</t>
        </is>
      </c>
      <c r="C62" s="6" t="inlineStr">
        <is>
          <t>주방 - 거실 상부장</t>
        </is>
      </c>
      <c r="D62" s="6" t="inlineStr"/>
      <c r="E62" s="6" t="inlineStr">
        <is>
          <t>필수</t>
        </is>
      </c>
      <c r="F62" s="6" t="inlineStr">
        <is>
          <t>식</t>
        </is>
      </c>
      <c r="G62" s="6" t="n"/>
      <c r="H62" s="6" t="n"/>
      <c r="I62" s="7">
        <f>IF(G62="","",G62*(1+H62/100))</f>
        <v/>
      </c>
      <c r="J62" s="6" t="n"/>
      <c r="K62" s="6" t="n"/>
      <c r="L62" s="8" t="n"/>
      <c r="M62" s="8" t="n"/>
      <c r="N62" s="8" t="n"/>
      <c r="O62" s="8" t="n"/>
      <c r="P62" s="8" t="n"/>
      <c r="Q62" s="8">
        <f>IF(OR(O62="",P62=""),"",MIN(O62,P62)-N62)</f>
        <v/>
      </c>
      <c r="R62" s="6" t="n"/>
      <c r="S62" s="6" t="n"/>
      <c r="T62" s="6" t="n"/>
      <c r="U62" s="6" t="n"/>
      <c r="V62" s="6" t="n"/>
      <c r="W62" s="6" t="n"/>
      <c r="X62" s="6" t="n"/>
      <c r="Y62" s="6" t="n"/>
      <c r="Z62" s="6" t="inlineStr">
        <is>
          <t>1현장: 김성용</t>
        </is>
      </c>
      <c r="AA62" s="8" t="n">
        <v>250000</v>
      </c>
      <c r="AB62" s="8" t="n">
        <v>250000</v>
      </c>
    </row>
    <row r="63">
      <c r="A63" s="9" t="inlineStr">
        <is>
          <t>EL-37E</t>
        </is>
      </c>
      <c r="B63" s="9" t="inlineStr">
        <is>
          <t>팬던트</t>
        </is>
      </c>
      <c r="C63" s="6" t="inlineStr">
        <is>
          <t>미정</t>
        </is>
      </c>
      <c r="D63" s="6" t="inlineStr">
        <is>
          <t>현관</t>
        </is>
      </c>
      <c r="E63" s="6" t="inlineStr">
        <is>
          <t>필수</t>
        </is>
      </c>
      <c r="F63" s="6" t="inlineStr">
        <is>
          <t>EA</t>
        </is>
      </c>
      <c r="G63" s="6" t="n"/>
      <c r="H63" s="6" t="n"/>
      <c r="I63" s="7">
        <f>IF(G63="","",G63*(1+H63/100))</f>
        <v/>
      </c>
      <c r="J63" s="6" t="n"/>
      <c r="K63" s="6" t="n"/>
      <c r="L63" s="8" t="n"/>
      <c r="M63" s="8" t="n"/>
      <c r="N63" s="8" t="n"/>
      <c r="O63" s="8" t="n"/>
      <c r="P63" s="8" t="n"/>
      <c r="Q63" s="8">
        <f>IF(OR(O63="",P63=""),"",MIN(O63,P63)-N63)</f>
        <v/>
      </c>
      <c r="R63" s="6" t="n"/>
      <c r="S63" s="6" t="n"/>
      <c r="T63" s="6" t="n"/>
      <c r="U63" s="6" t="n"/>
      <c r="V63" s="6" t="n"/>
      <c r="W63" s="6" t="n"/>
      <c r="X63" s="6" t="n"/>
      <c r="Y63" s="6" t="n"/>
      <c r="Z63" s="6" t="inlineStr">
        <is>
          <t>6현장: 린스,만현,백현,산본,진산</t>
        </is>
      </c>
      <c r="AA63" s="8" t="n"/>
      <c r="AB63" s="8" t="n">
        <v>8000</v>
      </c>
    </row>
    <row r="64">
      <c r="A64" s="9" t="inlineStr">
        <is>
          <t>EL-38E</t>
        </is>
      </c>
      <c r="B64" s="9" t="inlineStr">
        <is>
          <t>팬던트 조명</t>
        </is>
      </c>
      <c r="C64" s="6" t="inlineStr">
        <is>
          <t>고객님 지급 자재</t>
        </is>
      </c>
      <c r="D64" s="6" t="inlineStr">
        <is>
          <t>별도 구매</t>
        </is>
      </c>
      <c r="E64" s="6" t="inlineStr">
        <is>
          <t>필수</t>
        </is>
      </c>
      <c r="F64" s="6" t="inlineStr">
        <is>
          <t>EA</t>
        </is>
      </c>
      <c r="G64" s="6" t="n"/>
      <c r="H64" s="6" t="n"/>
      <c r="I64" s="7">
        <f>IF(G64="","",G64*(1+H64/100))</f>
        <v/>
      </c>
      <c r="J64" s="6" t="n"/>
      <c r="K64" s="6" t="n"/>
      <c r="L64" s="8" t="n"/>
      <c r="M64" s="8" t="n"/>
      <c r="N64" s="8" t="n"/>
      <c r="O64" s="8" t="n"/>
      <c r="P64" s="8" t="n"/>
      <c r="Q64" s="8">
        <f>IF(OR(O64="",P64=""),"",MIN(O64,P64)-N64)</f>
        <v/>
      </c>
      <c r="R64" s="6" t="n"/>
      <c r="S64" s="6" t="n"/>
      <c r="T64" s="6" t="n"/>
      <c r="U64" s="6" t="n"/>
      <c r="V64" s="6" t="n"/>
      <c r="W64" s="6" t="n"/>
      <c r="X64" s="6" t="n"/>
      <c r="Y64" s="6" t="n"/>
      <c r="Z64" s="6" t="inlineStr">
        <is>
          <t>3현장: 김성용,김은경,전기영</t>
        </is>
      </c>
      <c r="AA64" s="8" t="n"/>
      <c r="AB64" s="8" t="n">
        <v>30000</v>
      </c>
    </row>
    <row r="65">
      <c r="A65" s="9" t="inlineStr">
        <is>
          <t>EL-39E</t>
        </is>
      </c>
      <c r="B65" s="9" t="inlineStr">
        <is>
          <t>현관 조명</t>
        </is>
      </c>
      <c r="C65" s="6" t="inlineStr">
        <is>
          <t>2인치 매립등</t>
        </is>
      </c>
      <c r="D65" s="6" t="inlineStr"/>
      <c r="E65" s="6" t="inlineStr">
        <is>
          <t>필수</t>
        </is>
      </c>
      <c r="F65" s="6" t="inlineStr">
        <is>
          <t>EA</t>
        </is>
      </c>
      <c r="G65" s="6" t="n"/>
      <c r="H65" s="6" t="n"/>
      <c r="I65" s="7">
        <f>IF(G65="","",G65*(1+H65/100))</f>
        <v/>
      </c>
      <c r="J65" s="6" t="n"/>
      <c r="K65" s="6" t="n"/>
      <c r="L65" s="8" t="n"/>
      <c r="M65" s="8" t="n"/>
      <c r="N65" s="8" t="n"/>
      <c r="O65" s="8" t="n"/>
      <c r="P65" s="8" t="n"/>
      <c r="Q65" s="8">
        <f>IF(OR(O65="",P65=""),"",MIN(O65,P65)-N65)</f>
        <v/>
      </c>
      <c r="R65" s="6" t="n"/>
      <c r="S65" s="6" t="n"/>
      <c r="T65" s="6" t="n"/>
      <c r="U65" s="6" t="n"/>
      <c r="V65" s="6" t="n"/>
      <c r="W65" s="6" t="n"/>
      <c r="X65" s="6" t="n"/>
      <c r="Y65" s="6" t="n"/>
      <c r="Z65" s="6" t="inlineStr">
        <is>
          <t>2현장: 김성용,김은경</t>
        </is>
      </c>
      <c r="AA65" s="8" t="n">
        <v>5000</v>
      </c>
      <c r="AB65" s="8" t="n">
        <v>10000</v>
      </c>
    </row>
    <row r="66">
      <c r="A66" s="9" t="inlineStr">
        <is>
          <t>EL-40E</t>
        </is>
      </c>
      <c r="B66" s="9" t="inlineStr">
        <is>
          <t>화장대 거울</t>
        </is>
      </c>
      <c r="C66" s="6" t="inlineStr">
        <is>
          <t>고객님 지급 자재</t>
        </is>
      </c>
      <c r="D66" s="6" t="inlineStr">
        <is>
          <t>별도 구매</t>
        </is>
      </c>
      <c r="E66" s="6" t="inlineStr">
        <is>
          <t>필수</t>
        </is>
      </c>
      <c r="F66" s="6" t="inlineStr">
        <is>
          <t>EA</t>
        </is>
      </c>
      <c r="G66" s="6" t="n"/>
      <c r="H66" s="6" t="n"/>
      <c r="I66" s="7">
        <f>IF(G66="","",G66*(1+H66/100))</f>
        <v/>
      </c>
      <c r="J66" s="6" t="n"/>
      <c r="K66" s="6" t="n"/>
      <c r="L66" s="8" t="n"/>
      <c r="M66" s="8" t="n"/>
      <c r="N66" s="8" t="n"/>
      <c r="O66" s="8" t="n"/>
      <c r="P66" s="8" t="n"/>
      <c r="Q66" s="8">
        <f>IF(OR(O66="",P66=""),"",MIN(O66,P66)-N66)</f>
        <v/>
      </c>
      <c r="R66" s="6" t="n"/>
      <c r="S66" s="6" t="n"/>
      <c r="T66" s="6" t="n"/>
      <c r="U66" s="6" t="n"/>
      <c r="V66" s="6" t="n"/>
      <c r="W66" s="6" t="n"/>
      <c r="X66" s="6" t="n"/>
      <c r="Y66" s="6" t="n"/>
      <c r="Z66" s="6" t="inlineStr">
        <is>
          <t>1현장: 전기영</t>
        </is>
      </c>
      <c r="AA66" s="8" t="n"/>
      <c r="AB66" s="8" t="n">
        <v>5001</v>
      </c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1">
        <f>IF(G67="","",G67*(1+H67/100))</f>
        <v/>
      </c>
      <c r="J67" s="10" t="n"/>
      <c r="K67" s="10" t="n"/>
      <c r="L67" s="10" t="n"/>
      <c r="M67" s="10" t="n"/>
      <c r="N67" s="10" t="n"/>
      <c r="O67" s="10" t="n"/>
      <c r="P67" s="10" t="n"/>
      <c r="Q67" s="12">
        <f>IF(OR(O67="",P67=""),"",MIN(O67,P67)-N67)</f>
        <v/>
      </c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1">
        <f>IF(G68="","",G68*(1+H68/100))</f>
        <v/>
      </c>
      <c r="J68" s="10" t="n"/>
      <c r="K68" s="10" t="n"/>
      <c r="L68" s="10" t="n"/>
      <c r="M68" s="10" t="n"/>
      <c r="N68" s="10" t="n"/>
      <c r="O68" s="10" t="n"/>
      <c r="P68" s="10" t="n"/>
      <c r="Q68" s="12">
        <f>IF(OR(O68="",P68=""),"",MIN(O68,P68)-N68)</f>
        <v/>
      </c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1">
        <f>IF(G69="","",G69*(1+H69/100))</f>
        <v/>
      </c>
      <c r="J69" s="10" t="n"/>
      <c r="K69" s="10" t="n"/>
      <c r="L69" s="10" t="n"/>
      <c r="M69" s="10" t="n"/>
      <c r="N69" s="10" t="n"/>
      <c r="O69" s="10" t="n"/>
      <c r="P69" s="10" t="n"/>
      <c r="Q69" s="12">
        <f>IF(OR(O69="",P69=""),"",MIN(O69,P69)-N69)</f>
        <v/>
      </c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1">
        <f>IF(G70="","",G70*(1+H70/100))</f>
        <v/>
      </c>
      <c r="J70" s="10" t="n"/>
      <c r="K70" s="10" t="n"/>
      <c r="L70" s="10" t="n"/>
      <c r="M70" s="10" t="n"/>
      <c r="N70" s="10" t="n"/>
      <c r="O70" s="10" t="n"/>
      <c r="P70" s="10" t="n"/>
      <c r="Q70" s="12">
        <f>IF(OR(O70="",P70=""),"",MIN(O70,P70)-N70)</f>
        <v/>
      </c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1">
        <f>IF(G71="","",G71*(1+H71/100))</f>
        <v/>
      </c>
      <c r="J71" s="10" t="n"/>
      <c r="K71" s="10" t="n"/>
      <c r="L71" s="10" t="n"/>
      <c r="M71" s="10" t="n"/>
      <c r="N71" s="10" t="n"/>
      <c r="O71" s="10" t="n"/>
      <c r="P71" s="10" t="n"/>
      <c r="Q71" s="12">
        <f>IF(OR(O71="",P71=""),"",MIN(O71,P71)-N71)</f>
        <v/>
      </c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1">
        <f>IF(G72="","",G72*(1+H72/100))</f>
        <v/>
      </c>
      <c r="J72" s="10" t="n"/>
      <c r="K72" s="10" t="n"/>
      <c r="L72" s="10" t="n"/>
      <c r="M72" s="10" t="n"/>
      <c r="N72" s="10" t="n"/>
      <c r="O72" s="10" t="n"/>
      <c r="P72" s="10" t="n"/>
      <c r="Q72" s="12">
        <f>IF(OR(O72="",P72=""),"",MIN(O72,P72)-N72)</f>
        <v/>
      </c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1">
        <f>IF(G73="","",G73*(1+H73/100))</f>
        <v/>
      </c>
      <c r="J73" s="10" t="n"/>
      <c r="K73" s="10" t="n"/>
      <c r="L73" s="10" t="n"/>
      <c r="M73" s="10" t="n"/>
      <c r="N73" s="10" t="n"/>
      <c r="O73" s="10" t="n"/>
      <c r="P73" s="10" t="n"/>
      <c r="Q73" s="12">
        <f>IF(OR(O73="",P73=""),"",MIN(O73,P73)-N73)</f>
        <v/>
      </c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1">
        <f>IF(G74="","",G74*(1+H74/100))</f>
        <v/>
      </c>
      <c r="J74" s="10" t="n"/>
      <c r="K74" s="10" t="n"/>
      <c r="L74" s="10" t="n"/>
      <c r="M74" s="10" t="n"/>
      <c r="N74" s="10" t="n"/>
      <c r="O74" s="10" t="n"/>
      <c r="P74" s="10" t="n"/>
      <c r="Q74" s="12">
        <f>IF(OR(O74="",P74=""),"",MIN(O74,P74)-N74)</f>
        <v/>
      </c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1">
        <f>IF(G75="","",G75*(1+H75/100))</f>
        <v/>
      </c>
      <c r="J75" s="10" t="n"/>
      <c r="K75" s="10" t="n"/>
      <c r="L75" s="10" t="n"/>
      <c r="M75" s="10" t="n"/>
      <c r="N75" s="10" t="n"/>
      <c r="O75" s="10" t="n"/>
      <c r="P75" s="10" t="n"/>
      <c r="Q75" s="12">
        <f>IF(OR(O75="",P75=""),"",MIN(O75,P75)-N75)</f>
        <v/>
      </c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1">
        <f>IF(G76="","",G76*(1+H76/100))</f>
        <v/>
      </c>
      <c r="J76" s="10" t="n"/>
      <c r="K76" s="10" t="n"/>
      <c r="L76" s="10" t="n"/>
      <c r="M76" s="10" t="n"/>
      <c r="N76" s="10" t="n"/>
      <c r="O76" s="10" t="n"/>
      <c r="P76" s="10" t="n"/>
      <c r="Q76" s="12">
        <f>IF(OR(O76="",P76=""),"",MIN(O76,P76)-N76)</f>
        <v/>
      </c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</row>
    <row r="78">
      <c r="A78" s="13" t="inlineStr">
        <is>
          <t>※ 파란셀=수식 | 노란셀=견적참고 | ★금색=견적서 추출항목 | 소요량·로스율=대표 | 가격=유통 | 견적단가=16개 견적서 중앙값</t>
        </is>
      </c>
    </row>
  </sheetData>
  <autoFilter ref="A4:AB76"/>
  <mergeCells count="9">
    <mergeCell ref="R3:U3"/>
    <mergeCell ref="A2:AB2"/>
    <mergeCell ref="AA3:AB3"/>
    <mergeCell ref="J3:Q3"/>
    <mergeCell ref="Y3:Z3"/>
    <mergeCell ref="A1:AB1"/>
    <mergeCell ref="A3:I3"/>
    <mergeCell ref="V3:X3"/>
    <mergeCell ref="A78:AB7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299E1"/>
    <outlinePr summaryBelow="1" summaryRight="1"/>
    <pageSetUpPr/>
  </sheetPr>
  <dimension ref="A1:AB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습식/방수 자재</t>
        </is>
      </c>
    </row>
    <row r="2">
      <c r="A2" s="2" t="inlineStr">
        <is>
          <t>공정코드: WP | 체크리스트 + 16개 견적서 전체 항목 | ★=견적서 추출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(16개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WP-001</t>
        </is>
      </c>
      <c r="B5" s="6" t="inlineStr">
        <is>
          <t>도막방수재</t>
        </is>
      </c>
      <c r="C5" s="6" t="inlineStr">
        <is>
          <t>우레탄/아크릴</t>
        </is>
      </c>
      <c r="D5" s="6" t="inlineStr">
        <is>
          <t>바닥 방수</t>
        </is>
      </c>
      <c r="E5" s="6" t="inlineStr">
        <is>
          <t>필수</t>
        </is>
      </c>
      <c r="F5" s="6" t="inlineStr">
        <is>
          <t>kg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WP-002</t>
        </is>
      </c>
      <c r="B6" s="6" t="inlineStr">
        <is>
          <t>시트방수재</t>
        </is>
      </c>
      <c r="C6" s="6" t="inlineStr">
        <is>
          <t>HDPE/PVC</t>
        </is>
      </c>
      <c r="D6" s="6" t="inlineStr">
        <is>
          <t>벽·바닥 방수</t>
        </is>
      </c>
      <c r="E6" s="6" t="inlineStr">
        <is>
          <t>선택</t>
        </is>
      </c>
      <c r="F6" s="6" t="inlineStr">
        <is>
          <t>M2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WP-003</t>
        </is>
      </c>
      <c r="B7" s="6" t="inlineStr">
        <is>
          <t>프라이머</t>
        </is>
      </c>
      <c r="C7" s="6" t="inlineStr">
        <is>
          <t>도막방수용</t>
        </is>
      </c>
      <c r="D7" s="6" t="inlineStr">
        <is>
          <t>접착력 향상</t>
        </is>
      </c>
      <c r="E7" s="6" t="inlineStr">
        <is>
          <t>필수</t>
        </is>
      </c>
      <c r="F7" s="6" t="inlineStr">
        <is>
          <t>kg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WP-004</t>
        </is>
      </c>
      <c r="B8" s="6" t="inlineStr">
        <is>
          <t>실리콘</t>
        </is>
      </c>
      <c r="C8" s="6" t="inlineStr">
        <is>
          <t>방수용</t>
        </is>
      </c>
      <c r="D8" s="6" t="inlineStr">
        <is>
          <t>조인트</t>
        </is>
      </c>
      <c r="E8" s="6" t="inlineStr">
        <is>
          <t>필수</t>
        </is>
      </c>
      <c r="F8" s="6" t="inlineStr">
        <is>
          <t>개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WP-005</t>
        </is>
      </c>
      <c r="B9" s="6" t="inlineStr">
        <is>
          <t>부직포</t>
        </is>
      </c>
      <c r="C9" s="6" t="inlineStr">
        <is>
          <t>—</t>
        </is>
      </c>
      <c r="D9" s="6" t="inlineStr">
        <is>
          <t>보강</t>
        </is>
      </c>
      <c r="E9" s="6" t="inlineStr">
        <is>
          <t>필수</t>
        </is>
      </c>
      <c r="F9" s="6" t="inlineStr">
        <is>
          <t>M2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WP-006</t>
        </is>
      </c>
      <c r="B10" s="6" t="inlineStr">
        <is>
          <t>코너비드</t>
        </is>
      </c>
      <c r="C10" s="6" t="inlineStr">
        <is>
          <t>방수용</t>
        </is>
      </c>
      <c r="D10" s="6" t="inlineStr">
        <is>
          <t>모서리 보강</t>
        </is>
      </c>
      <c r="E10" s="6" t="inlineStr">
        <is>
          <t>필수</t>
        </is>
      </c>
      <c r="F10" s="6" t="inlineStr">
        <is>
          <t>M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WP-007</t>
        </is>
      </c>
      <c r="B11" s="6" t="inlineStr">
        <is>
          <t>방수테이프</t>
        </is>
      </c>
      <c r="C11" s="6" t="inlineStr">
        <is>
          <t>부틸</t>
        </is>
      </c>
      <c r="D11" s="6" t="inlineStr">
        <is>
          <t>이음새</t>
        </is>
      </c>
      <c r="E11" s="6" t="inlineStr">
        <is>
          <t>필수</t>
        </is>
      </c>
      <c r="F11" s="6" t="inlineStr">
        <is>
          <t>롤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WP-008</t>
        </is>
      </c>
      <c r="B12" s="6" t="inlineStr">
        <is>
          <t>배수트랩</t>
        </is>
      </c>
      <c r="C12" s="6" t="inlineStr">
        <is>
          <t>스텐</t>
        </is>
      </c>
      <c r="D12" s="6" t="inlineStr">
        <is>
          <t>바닥 배수구</t>
        </is>
      </c>
      <c r="E12" s="6" t="inlineStr">
        <is>
          <t>필수</t>
        </is>
      </c>
      <c r="F12" s="6" t="inlineStr">
        <is>
          <t>개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WP-009</t>
        </is>
      </c>
      <c r="B13" s="6" t="inlineStr">
        <is>
          <t>후렌치코트(배수판)</t>
        </is>
      </c>
      <c r="C13" s="6" t="inlineStr">
        <is>
          <t>HDPE</t>
        </is>
      </c>
      <c r="D13" s="6" t="inlineStr">
        <is>
          <t>바닥 배수</t>
        </is>
      </c>
      <c r="E13" s="6" t="inlineStr">
        <is>
          <t>선택</t>
        </is>
      </c>
      <c r="F13" s="6" t="inlineStr">
        <is>
          <t>M2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WP-010</t>
        </is>
      </c>
      <c r="B14" s="6" t="inlineStr">
        <is>
          <t>시멘트 방수제</t>
        </is>
      </c>
      <c r="C14" s="6" t="inlineStr">
        <is>
          <t>혼입형</t>
        </is>
      </c>
      <c r="D14" s="6" t="inlineStr">
        <is>
          <t>몰탈 혼합</t>
        </is>
      </c>
      <c r="E14" s="6" t="inlineStr">
        <is>
          <t>선택</t>
        </is>
      </c>
      <c r="F14" s="6" t="inlineStr">
        <is>
          <t>kg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WP-011</t>
        </is>
      </c>
      <c r="B15" s="6" t="inlineStr">
        <is>
          <t>레미탈</t>
        </is>
      </c>
      <c r="C15" s="6" t="inlineStr">
        <is>
          <t>40kg</t>
        </is>
      </c>
      <c r="D15" s="6" t="inlineStr">
        <is>
          <t>방수 위 미장</t>
        </is>
      </c>
      <c r="E15" s="6" t="inlineStr">
        <is>
          <t>필수</t>
        </is>
      </c>
      <c r="F15" s="6" t="inlineStr">
        <is>
          <t>포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WP-012</t>
        </is>
      </c>
      <c r="B16" s="6" t="inlineStr">
        <is>
          <t>방수 보호몰탈</t>
        </is>
      </c>
      <c r="C16" s="6" t="inlineStr">
        <is>
          <t>—</t>
        </is>
      </c>
      <c r="D16" s="6" t="inlineStr">
        <is>
          <t>방수층 보호</t>
        </is>
      </c>
      <c r="E16" s="6" t="inlineStr">
        <is>
          <t>필수</t>
        </is>
      </c>
      <c r="F16" s="6" t="inlineStr">
        <is>
          <t>kg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WP-013</t>
        </is>
      </c>
      <c r="B17" s="6" t="inlineStr">
        <is>
          <t>아덱스 도막방수제</t>
        </is>
      </c>
      <c r="C17" s="6" t="inlineStr">
        <is>
          <t>2회</t>
        </is>
      </c>
      <c r="D17" s="6" t="inlineStr">
        <is>
          <t>화장실 방수</t>
        </is>
      </c>
      <c r="E17" s="6" t="inlineStr">
        <is>
          <t>필수</t>
        </is>
      </c>
      <c r="F17" s="6" t="inlineStr">
        <is>
          <t>식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>
        <v>240000</v>
      </c>
      <c r="AB17" s="8" t="n">
        <v>240000</v>
      </c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1">
        <f>IF(G18="","",G18*(1+H18/100))</f>
        <v/>
      </c>
      <c r="J18" s="10" t="n"/>
      <c r="K18" s="10" t="n"/>
      <c r="L18" s="10" t="n"/>
      <c r="M18" s="10" t="n"/>
      <c r="N18" s="10" t="n"/>
      <c r="O18" s="10" t="n"/>
      <c r="P18" s="10" t="n"/>
      <c r="Q18" s="12">
        <f>IF(OR(O18="",P18=""),"",MIN(O18,P18)-N18)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1">
        <f>IF(G19="","",G19*(1+H19/100))</f>
        <v/>
      </c>
      <c r="J19" s="10" t="n"/>
      <c r="K19" s="10" t="n"/>
      <c r="L19" s="10" t="n"/>
      <c r="M19" s="10" t="n"/>
      <c r="N19" s="10" t="n"/>
      <c r="O19" s="10" t="n"/>
      <c r="P19" s="10" t="n"/>
      <c r="Q19" s="12">
        <f>IF(OR(O19="",P19=""),"",MIN(O19,P19)-N19)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>
        <f>IF(G20="","",G20*(1+H20/100))</f>
        <v/>
      </c>
      <c r="J20" s="10" t="n"/>
      <c r="K20" s="10" t="n"/>
      <c r="L20" s="10" t="n"/>
      <c r="M20" s="10" t="n"/>
      <c r="N20" s="10" t="n"/>
      <c r="O20" s="10" t="n"/>
      <c r="P20" s="10" t="n"/>
      <c r="Q20" s="12">
        <f>IF(OR(O20="",P20=""),"",MIN(O20,P20)-N20)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>
        <f>IF(G21="","",G21*(1+H21/100))</f>
        <v/>
      </c>
      <c r="J21" s="10" t="n"/>
      <c r="K21" s="10" t="n"/>
      <c r="L21" s="10" t="n"/>
      <c r="M21" s="10" t="n"/>
      <c r="N21" s="10" t="n"/>
      <c r="O21" s="10" t="n"/>
      <c r="P21" s="10" t="n"/>
      <c r="Q21" s="12">
        <f>IF(OR(O21="",P21=""),"",MIN(O21,P21)-N21)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>
        <f>IF(G22="","",G22*(1+H22/100))</f>
        <v/>
      </c>
      <c r="J22" s="10" t="n"/>
      <c r="K22" s="10" t="n"/>
      <c r="L22" s="10" t="n"/>
      <c r="M22" s="10" t="n"/>
      <c r="N22" s="10" t="n"/>
      <c r="O22" s="10" t="n"/>
      <c r="P22" s="10" t="n"/>
      <c r="Q22" s="12">
        <f>IF(OR(O22="",P22=""),"",MIN(O22,P22)-N22)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>
        <f>IF(G23="","",G23*(1+H23/100))</f>
        <v/>
      </c>
      <c r="J23" s="10" t="n"/>
      <c r="K23" s="10" t="n"/>
      <c r="L23" s="10" t="n"/>
      <c r="M23" s="10" t="n"/>
      <c r="N23" s="10" t="n"/>
      <c r="O23" s="10" t="n"/>
      <c r="P23" s="10" t="n"/>
      <c r="Q23" s="12">
        <f>IF(OR(O23="",P23=""),"",MIN(O23,P23)-N23)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>
        <f>IF(G24="","",G24*(1+H24/100))</f>
        <v/>
      </c>
      <c r="J24" s="10" t="n"/>
      <c r="K24" s="10" t="n"/>
      <c r="L24" s="10" t="n"/>
      <c r="M24" s="10" t="n"/>
      <c r="N24" s="10" t="n"/>
      <c r="O24" s="10" t="n"/>
      <c r="P24" s="10" t="n"/>
      <c r="Q24" s="12">
        <f>IF(OR(O24="",P24=""),"",MIN(O24,P24)-N24)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9">
      <c r="A29" s="13" t="inlineStr">
        <is>
          <t>※ 파란셀=수식 | 노란셀=견적참고 | ★금색=견적서 추출항목 | 소요량·로스율=대표 | 가격=유통 | 견적단가=16개 견적서 중앙값</t>
        </is>
      </c>
    </row>
  </sheetData>
  <autoFilter ref="A4:AB27"/>
  <mergeCells count="9">
    <mergeCell ref="R3:U3"/>
    <mergeCell ref="A2:AB2"/>
    <mergeCell ref="AA3:AB3"/>
    <mergeCell ref="A29:AB29"/>
    <mergeCell ref="J3:Q3"/>
    <mergeCell ref="Y3:Z3"/>
    <mergeCell ref="A1:AB1"/>
    <mergeCell ref="A3:I3"/>
    <mergeCell ref="V3:X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8B2AC"/>
    <outlinePr summaryBelow="1" summaryRight="1"/>
    <pageSetUpPr/>
  </sheetPr>
  <dimension ref="A1:AB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창호 자재</t>
        </is>
      </c>
    </row>
    <row r="2">
      <c r="A2" s="2" t="inlineStr">
        <is>
          <t>공정코드: WN | 체크리스트 + 16개 견적서 전체 항목 | ★=견적서 추출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(16개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WN-001</t>
        </is>
      </c>
      <c r="B5" s="6" t="inlineStr">
        <is>
          <t>시스템 창호</t>
        </is>
      </c>
      <c r="C5" s="6" t="inlineStr">
        <is>
          <t>발코니</t>
        </is>
      </c>
      <c r="D5" s="6" t="inlineStr">
        <is>
          <t>외부 창</t>
        </is>
      </c>
      <c r="E5" s="6" t="inlineStr">
        <is>
          <t>필수</t>
        </is>
      </c>
      <c r="F5" s="6" t="inlineStr">
        <is>
          <t>세트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WN-002</t>
        </is>
      </c>
      <c r="B6" s="6" t="inlineStr">
        <is>
          <t>이중창</t>
        </is>
      </c>
      <c r="C6" s="6" t="inlineStr">
        <is>
          <t>거실/방</t>
        </is>
      </c>
      <c r="D6" s="6" t="inlineStr">
        <is>
          <t>방음·단열</t>
        </is>
      </c>
      <c r="E6" s="6" t="inlineStr">
        <is>
          <t>선택</t>
        </is>
      </c>
      <c r="F6" s="6" t="inlineStr">
        <is>
          <t>세트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WN-003</t>
        </is>
      </c>
      <c r="B7" s="6" t="inlineStr">
        <is>
          <t>로이유리</t>
        </is>
      </c>
      <c r="C7" s="6" t="inlineStr">
        <is>
          <t>복층</t>
        </is>
      </c>
      <c r="D7" s="6" t="inlineStr">
        <is>
          <t>단열 유리</t>
        </is>
      </c>
      <c r="E7" s="6" t="inlineStr">
        <is>
          <t>선택</t>
        </is>
      </c>
      <c r="F7" s="6" t="inlineStr">
        <is>
          <t>M2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WN-004</t>
        </is>
      </c>
      <c r="B8" s="6" t="inlineStr">
        <is>
          <t>접합유리</t>
        </is>
      </c>
      <c r="C8" s="6" t="inlineStr">
        <is>
          <t>안전·방음</t>
        </is>
      </c>
      <c r="D8" s="6" t="inlineStr">
        <is>
          <t>방음 유리</t>
        </is>
      </c>
      <c r="E8" s="6" t="inlineStr">
        <is>
          <t>선택</t>
        </is>
      </c>
      <c r="F8" s="6" t="inlineStr">
        <is>
          <t>M2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WN-005</t>
        </is>
      </c>
      <c r="B9" s="6" t="inlineStr">
        <is>
          <t>방충망</t>
        </is>
      </c>
      <c r="C9" s="6" t="inlineStr">
        <is>
          <t>알루미늄</t>
        </is>
      </c>
      <c r="D9" s="6" t="inlineStr">
        <is>
          <t>방충</t>
        </is>
      </c>
      <c r="E9" s="6" t="inlineStr">
        <is>
          <t>필수</t>
        </is>
      </c>
      <c r="F9" s="6" t="inlineStr">
        <is>
          <t>세트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WN-006</t>
        </is>
      </c>
      <c r="B10" s="6" t="inlineStr">
        <is>
          <t>핸들</t>
        </is>
      </c>
      <c r="C10" s="6" t="inlineStr">
        <is>
          <t>멀티포인트</t>
        </is>
      </c>
      <c r="D10" s="6" t="inlineStr">
        <is>
          <t>개폐 장치</t>
        </is>
      </c>
      <c r="E10" s="6" t="inlineStr">
        <is>
          <t>필수</t>
        </is>
      </c>
      <c r="F10" s="6" t="inlineStr">
        <is>
          <t>개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WN-007</t>
        </is>
      </c>
      <c r="B11" s="6" t="inlineStr">
        <is>
          <t>경첩</t>
        </is>
      </c>
      <c r="C11" s="6" t="inlineStr">
        <is>
          <t>스테인리스</t>
        </is>
      </c>
      <c r="D11" s="6" t="inlineStr">
        <is>
          <t>연결 장치</t>
        </is>
      </c>
      <c r="E11" s="6" t="inlineStr">
        <is>
          <t>필수</t>
        </is>
      </c>
      <c r="F11" s="6" t="inlineStr">
        <is>
          <t>개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WN-008</t>
        </is>
      </c>
      <c r="B12" s="6" t="inlineStr">
        <is>
          <t>기밀재(모헤어)</t>
        </is>
      </c>
      <c r="C12" s="6" t="inlineStr">
        <is>
          <t>—</t>
        </is>
      </c>
      <c r="D12" s="6" t="inlineStr">
        <is>
          <t>기밀 유지</t>
        </is>
      </c>
      <c r="E12" s="6" t="inlineStr">
        <is>
          <t>필수</t>
        </is>
      </c>
      <c r="F12" s="6" t="inlineStr">
        <is>
          <t>M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WN-009</t>
        </is>
      </c>
      <c r="B13" s="6" t="inlineStr">
        <is>
          <t>실리콘</t>
        </is>
      </c>
      <c r="C13" s="6" t="inlineStr">
        <is>
          <t>건축용</t>
        </is>
      </c>
      <c r="D13" s="6" t="inlineStr">
        <is>
          <t>외부 코킹</t>
        </is>
      </c>
      <c r="E13" s="6" t="inlineStr">
        <is>
          <t>필수</t>
        </is>
      </c>
      <c r="F13" s="6" t="inlineStr">
        <is>
          <t>개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WN-010</t>
        </is>
      </c>
      <c r="B14" s="6" t="inlineStr">
        <is>
          <t>PVC 문틀</t>
        </is>
      </c>
      <c r="C14" s="6" t="inlineStr">
        <is>
          <t>—</t>
        </is>
      </c>
      <c r="D14" s="6" t="inlineStr">
        <is>
          <t>문틀 교체</t>
        </is>
      </c>
      <c r="E14" s="6" t="inlineStr">
        <is>
          <t>선택</t>
        </is>
      </c>
      <c r="F14" s="6" t="inlineStr">
        <is>
          <t>세트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WN-011</t>
        </is>
      </c>
      <c r="B15" s="6" t="inlineStr">
        <is>
          <t>현관문</t>
        </is>
      </c>
      <c r="C15" s="6" t="inlineStr">
        <is>
          <t>—</t>
        </is>
      </c>
      <c r="D15" s="6" t="inlineStr">
        <is>
          <t>현관 도어</t>
        </is>
      </c>
      <c r="E15" s="6" t="inlineStr">
        <is>
          <t>선택</t>
        </is>
      </c>
      <c r="F15" s="6" t="inlineStr">
        <is>
          <t>세트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WN-012</t>
        </is>
      </c>
      <c r="B16" s="6" t="inlineStr">
        <is>
          <t>방문</t>
        </is>
      </c>
      <c r="C16" s="6" t="inlineStr">
        <is>
          <t>—</t>
        </is>
      </c>
      <c r="D16" s="6" t="inlineStr">
        <is>
          <t>실내 도어</t>
        </is>
      </c>
      <c r="E16" s="6" t="inlineStr">
        <is>
          <t>필수</t>
        </is>
      </c>
      <c r="F16" s="6" t="inlineStr">
        <is>
          <t>세트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WN-013</t>
        </is>
      </c>
      <c r="B17" s="6" t="inlineStr">
        <is>
          <t>중문</t>
        </is>
      </c>
      <c r="C17" s="6" t="inlineStr">
        <is>
          <t>슬라이딩/스윙</t>
        </is>
      </c>
      <c r="D17" s="6" t="inlineStr">
        <is>
          <t>주방·현관</t>
        </is>
      </c>
      <c r="E17" s="6" t="inlineStr">
        <is>
          <t>선택</t>
        </is>
      </c>
      <c r="F17" s="6" t="inlineStr">
        <is>
          <t>세트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WN-014</t>
        </is>
      </c>
      <c r="B18" s="6" t="inlineStr">
        <is>
          <t>유리 파티션</t>
        </is>
      </c>
      <c r="C18" s="6" t="inlineStr">
        <is>
          <t>강화유리</t>
        </is>
      </c>
      <c r="D18" s="6" t="inlineStr">
        <is>
          <t>공간 분리</t>
        </is>
      </c>
      <c r="E18" s="6" t="inlineStr">
        <is>
          <t>선택</t>
        </is>
      </c>
      <c r="F18" s="6" t="inlineStr">
        <is>
          <t>M2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WN-015</t>
        </is>
      </c>
      <c r="B19" s="6" t="inlineStr">
        <is>
          <t>블라인드</t>
        </is>
      </c>
      <c r="C19" s="6" t="inlineStr">
        <is>
          <t>롤/우드</t>
        </is>
      </c>
      <c r="D19" s="6" t="inlineStr">
        <is>
          <t>차양</t>
        </is>
      </c>
      <c r="E19" s="6" t="inlineStr">
        <is>
          <t>선택</t>
        </is>
      </c>
      <c r="F19" s="6" t="inlineStr">
        <is>
          <t>세트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6" t="inlineStr">
        <is>
          <t>WN-016</t>
        </is>
      </c>
      <c r="B20" s="6" t="inlineStr">
        <is>
          <t>커튼레일</t>
        </is>
      </c>
      <c r="C20" s="6" t="inlineStr">
        <is>
          <t>매립형</t>
        </is>
      </c>
      <c r="D20" s="6" t="inlineStr">
        <is>
          <t>커튼 설치</t>
        </is>
      </c>
      <c r="E20" s="6" t="inlineStr">
        <is>
          <t>선택</t>
        </is>
      </c>
      <c r="F20" s="6" t="inlineStr">
        <is>
          <t>M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8" t="n"/>
      <c r="AB20" s="8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>
        <f>IF(G21="","",G21*(1+H21/100))</f>
        <v/>
      </c>
      <c r="J21" s="10" t="n"/>
      <c r="K21" s="10" t="n"/>
      <c r="L21" s="10" t="n"/>
      <c r="M21" s="10" t="n"/>
      <c r="N21" s="10" t="n"/>
      <c r="O21" s="10" t="n"/>
      <c r="P21" s="10" t="n"/>
      <c r="Q21" s="12">
        <f>IF(OR(O21="",P21=""),"",MIN(O21,P21)-N21)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>
        <f>IF(G22="","",G22*(1+H22/100))</f>
        <v/>
      </c>
      <c r="J22" s="10" t="n"/>
      <c r="K22" s="10" t="n"/>
      <c r="L22" s="10" t="n"/>
      <c r="M22" s="10" t="n"/>
      <c r="N22" s="10" t="n"/>
      <c r="O22" s="10" t="n"/>
      <c r="P22" s="10" t="n"/>
      <c r="Q22" s="12">
        <f>IF(OR(O22="",P22=""),"",MIN(O22,P22)-N22)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>
        <f>IF(G23="","",G23*(1+H23/100))</f>
        <v/>
      </c>
      <c r="J23" s="10" t="n"/>
      <c r="K23" s="10" t="n"/>
      <c r="L23" s="10" t="n"/>
      <c r="M23" s="10" t="n"/>
      <c r="N23" s="10" t="n"/>
      <c r="O23" s="10" t="n"/>
      <c r="P23" s="10" t="n"/>
      <c r="Q23" s="12">
        <f>IF(OR(O23="",P23=""),"",MIN(O23,P23)-N23)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>
        <f>IF(G24="","",G24*(1+H24/100))</f>
        <v/>
      </c>
      <c r="J24" s="10" t="n"/>
      <c r="K24" s="10" t="n"/>
      <c r="L24" s="10" t="n"/>
      <c r="M24" s="10" t="n"/>
      <c r="N24" s="10" t="n"/>
      <c r="O24" s="10" t="n"/>
      <c r="P24" s="10" t="n"/>
      <c r="Q24" s="12">
        <f>IF(OR(O24="",P24=""),"",MIN(O24,P24)-N24)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1">
        <f>IF(G28="","",G28*(1+H28/100))</f>
        <v/>
      </c>
      <c r="J28" s="10" t="n"/>
      <c r="K28" s="10" t="n"/>
      <c r="L28" s="10" t="n"/>
      <c r="M28" s="10" t="n"/>
      <c r="N28" s="10" t="n"/>
      <c r="O28" s="10" t="n"/>
      <c r="P28" s="10" t="n"/>
      <c r="Q28" s="12">
        <f>IF(OR(O28="",P28=""),"",MIN(O28,P28)-N28)</f>
        <v/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1">
        <f>IF(G29="","",G29*(1+H29/100))</f>
        <v/>
      </c>
      <c r="J29" s="10" t="n"/>
      <c r="K29" s="10" t="n"/>
      <c r="L29" s="10" t="n"/>
      <c r="M29" s="10" t="n"/>
      <c r="N29" s="10" t="n"/>
      <c r="O29" s="10" t="n"/>
      <c r="P29" s="10" t="n"/>
      <c r="Q29" s="12">
        <f>IF(OR(O29="",P29=""),"",MIN(O29,P29)-N29)</f>
        <v/>
      </c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1">
        <f>IF(G30="","",G30*(1+H30/100))</f>
        <v/>
      </c>
      <c r="J30" s="10" t="n"/>
      <c r="K30" s="10" t="n"/>
      <c r="L30" s="10" t="n"/>
      <c r="M30" s="10" t="n"/>
      <c r="N30" s="10" t="n"/>
      <c r="O30" s="10" t="n"/>
      <c r="P30" s="10" t="n"/>
      <c r="Q30" s="12">
        <f>IF(OR(O30="",P30=""),"",MIN(O30,P30)-N30)</f>
        <v/>
      </c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</row>
    <row r="32">
      <c r="A32" s="13" t="inlineStr">
        <is>
          <t>※ 파란셀=수식 | 노란셀=견적참고 | ★금색=견적서 추출항목 | 소요량·로스율=대표 | 가격=유통 | 견적단가=16개 견적서 중앙값</t>
        </is>
      </c>
    </row>
  </sheetData>
  <autoFilter ref="A4:AB30"/>
  <mergeCells count="9">
    <mergeCell ref="R3:U3"/>
    <mergeCell ref="A2:AB2"/>
    <mergeCell ref="AA3:AB3"/>
    <mergeCell ref="J3:Q3"/>
    <mergeCell ref="Y3:Z3"/>
    <mergeCell ref="A32:AB32"/>
    <mergeCell ref="A1:AB1"/>
    <mergeCell ref="A3:I3"/>
    <mergeCell ref="V3:X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F7AEA"/>
    <outlinePr summaryBelow="1" summaryRight="1"/>
    <pageSetUpPr/>
  </sheetPr>
  <dimension ref="A1:AB1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목공 자재</t>
        </is>
      </c>
    </row>
    <row r="2">
      <c r="A2" s="2" t="inlineStr">
        <is>
          <t>공정코드: WD | 체크리스트 + 16개 견적서 전체 항목 | ★=견적서 추출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(16개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WD-001</t>
        </is>
      </c>
      <c r="B5" s="6" t="inlineStr">
        <is>
          <t>각재</t>
        </is>
      </c>
      <c r="C5" s="6" t="inlineStr">
        <is>
          <t>30×30mm</t>
        </is>
      </c>
      <c r="D5" s="6" t="inlineStr">
        <is>
          <t>골조</t>
        </is>
      </c>
      <c r="E5" s="6" t="inlineStr">
        <is>
          <t>필수</t>
        </is>
      </c>
      <c r="F5" s="6" t="inlineStr">
        <is>
          <t>M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WD-002</t>
        </is>
      </c>
      <c r="B6" s="6" t="inlineStr">
        <is>
          <t>합판</t>
        </is>
      </c>
      <c r="C6" s="6" t="inlineStr">
        <is>
          <t>4.5T/9T</t>
        </is>
      </c>
      <c r="D6" s="6" t="inlineStr">
        <is>
          <t>보강·하지</t>
        </is>
      </c>
      <c r="E6" s="6" t="inlineStr">
        <is>
          <t>필수</t>
        </is>
      </c>
      <c r="F6" s="6" t="inlineStr">
        <is>
          <t>장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WD-003</t>
        </is>
      </c>
      <c r="B7" s="6" t="inlineStr">
        <is>
          <t>석고보드</t>
        </is>
      </c>
      <c r="C7" s="6" t="inlineStr">
        <is>
          <t>9.5T</t>
        </is>
      </c>
      <c r="D7" s="6" t="inlineStr">
        <is>
          <t>벽체·천장</t>
        </is>
      </c>
      <c r="E7" s="6" t="inlineStr">
        <is>
          <t>필수</t>
        </is>
      </c>
      <c r="F7" s="6" t="inlineStr">
        <is>
          <t>장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WD-004</t>
        </is>
      </c>
      <c r="B8" s="6" t="inlineStr">
        <is>
          <t>고밀도 MDF</t>
        </is>
      </c>
      <c r="C8" s="6" t="inlineStr">
        <is>
          <t>9T</t>
        </is>
      </c>
      <c r="D8" s="6" t="inlineStr">
        <is>
          <t>벽체 마감</t>
        </is>
      </c>
      <c r="E8" s="6" t="inlineStr">
        <is>
          <t>선택</t>
        </is>
      </c>
      <c r="F8" s="6" t="inlineStr">
        <is>
          <t>장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WD-005</t>
        </is>
      </c>
      <c r="B9" s="6" t="inlineStr">
        <is>
          <t>실리콘</t>
        </is>
      </c>
      <c r="C9" s="6" t="inlineStr">
        <is>
          <t>건축용</t>
        </is>
      </c>
      <c r="D9" s="6" t="inlineStr">
        <is>
          <t>코킹</t>
        </is>
      </c>
      <c r="E9" s="6" t="inlineStr">
        <is>
          <t>필수</t>
        </is>
      </c>
      <c r="F9" s="6" t="inlineStr">
        <is>
          <t>개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WD-006</t>
        </is>
      </c>
      <c r="B10" s="6" t="inlineStr">
        <is>
          <t>못/나사</t>
        </is>
      </c>
      <c r="C10" s="6" t="inlineStr">
        <is>
          <t>각종</t>
        </is>
      </c>
      <c r="D10" s="6" t="inlineStr">
        <is>
          <t>고정</t>
        </is>
      </c>
      <c r="E10" s="6" t="inlineStr">
        <is>
          <t>필수</t>
        </is>
      </c>
      <c r="F10" s="6" t="inlineStr">
        <is>
          <t>박스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WD-007</t>
        </is>
      </c>
      <c r="B11" s="6" t="inlineStr">
        <is>
          <t>본드</t>
        </is>
      </c>
      <c r="C11" s="6" t="inlineStr">
        <is>
          <t>목공용</t>
        </is>
      </c>
      <c r="D11" s="6" t="inlineStr">
        <is>
          <t>접착</t>
        </is>
      </c>
      <c r="E11" s="6" t="inlineStr">
        <is>
          <t>필수</t>
        </is>
      </c>
      <c r="F11" s="6" t="inlineStr">
        <is>
          <t>통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WD-008</t>
        </is>
      </c>
      <c r="B12" s="6" t="inlineStr">
        <is>
          <t>단열재</t>
        </is>
      </c>
      <c r="C12" s="6" t="inlineStr">
        <is>
          <t>아이소핑크 20T</t>
        </is>
      </c>
      <c r="D12" s="6" t="inlineStr">
        <is>
          <t>발코니 단열</t>
        </is>
      </c>
      <c r="E12" s="6" t="inlineStr">
        <is>
          <t>선택</t>
        </is>
      </c>
      <c r="F12" s="6" t="inlineStr">
        <is>
          <t>장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WD-009</t>
        </is>
      </c>
      <c r="B13" s="6" t="inlineStr">
        <is>
          <t>우레탄폼</t>
        </is>
      </c>
      <c r="C13" s="6" t="inlineStr">
        <is>
          <t>500ml</t>
        </is>
      </c>
      <c r="D13" s="6" t="inlineStr">
        <is>
          <t>틈새 충진</t>
        </is>
      </c>
      <c r="E13" s="6" t="inlineStr">
        <is>
          <t>필수</t>
        </is>
      </c>
      <c r="F13" s="6" t="inlineStr">
        <is>
          <t>개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WD-010</t>
        </is>
      </c>
      <c r="B14" s="6" t="inlineStr">
        <is>
          <t>걸레받이</t>
        </is>
      </c>
      <c r="C14" s="6" t="inlineStr">
        <is>
          <t>MDF/PVC</t>
        </is>
      </c>
      <c r="D14" s="6" t="inlineStr">
        <is>
          <t>벽·바닥 경계</t>
        </is>
      </c>
      <c r="E14" s="6" t="inlineStr">
        <is>
          <t>선택</t>
        </is>
      </c>
      <c r="F14" s="6" t="inlineStr">
        <is>
          <t>M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WD-011</t>
        </is>
      </c>
      <c r="B15" s="6" t="inlineStr">
        <is>
          <t>문선</t>
        </is>
      </c>
      <c r="C15" s="6" t="inlineStr">
        <is>
          <t>MDF</t>
        </is>
      </c>
      <c r="D15" s="6" t="inlineStr">
        <is>
          <t>문틀 마감</t>
        </is>
      </c>
      <c r="E15" s="6" t="inlineStr">
        <is>
          <t>필수</t>
        </is>
      </c>
      <c r="F15" s="6" t="inlineStr">
        <is>
          <t>M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WD-012</t>
        </is>
      </c>
      <c r="B16" s="6" t="inlineStr">
        <is>
          <t>코너비드</t>
        </is>
      </c>
      <c r="C16" s="6" t="inlineStr">
        <is>
          <t>PVC/알루미늄</t>
        </is>
      </c>
      <c r="D16" s="6" t="inlineStr">
        <is>
          <t>모서리 보호</t>
        </is>
      </c>
      <c r="E16" s="6" t="inlineStr">
        <is>
          <t>필수</t>
        </is>
      </c>
      <c r="F16" s="6" t="inlineStr">
        <is>
          <t>M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WD-013</t>
        </is>
      </c>
      <c r="B17" s="6" t="inlineStr">
        <is>
          <t>경첩</t>
        </is>
      </c>
      <c r="C17" s="6" t="inlineStr">
        <is>
          <t>—</t>
        </is>
      </c>
      <c r="D17" s="6" t="inlineStr">
        <is>
          <t>도어 연결</t>
        </is>
      </c>
      <c r="E17" s="6" t="inlineStr">
        <is>
          <t>필수</t>
        </is>
      </c>
      <c r="F17" s="6" t="inlineStr">
        <is>
          <t>개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WD-014</t>
        </is>
      </c>
      <c r="B18" s="6" t="inlineStr">
        <is>
          <t>도어 핸들</t>
        </is>
      </c>
      <c r="C18" s="6" t="inlineStr">
        <is>
          <t>—</t>
        </is>
      </c>
      <c r="D18" s="6" t="inlineStr">
        <is>
          <t>도어 손잡이</t>
        </is>
      </c>
      <c r="E18" s="6" t="inlineStr">
        <is>
          <t>필수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WD-015</t>
        </is>
      </c>
      <c r="B19" s="6" t="inlineStr">
        <is>
          <t>도어 스토퍼</t>
        </is>
      </c>
      <c r="C19" s="6" t="inlineStr">
        <is>
          <t>—</t>
        </is>
      </c>
      <c r="D19" s="6" t="inlineStr">
        <is>
          <t>벽 보호</t>
        </is>
      </c>
      <c r="E19" s="6" t="inlineStr">
        <is>
          <t>선택</t>
        </is>
      </c>
      <c r="F19" s="6" t="inlineStr">
        <is>
          <t>개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6" t="inlineStr">
        <is>
          <t>WD-016</t>
        </is>
      </c>
      <c r="B20" s="6" t="inlineStr">
        <is>
          <t>드라이월 테이프</t>
        </is>
      </c>
      <c r="C20" s="6" t="inlineStr">
        <is>
          <t>—</t>
        </is>
      </c>
      <c r="D20" s="6" t="inlineStr">
        <is>
          <t>석고 조인트</t>
        </is>
      </c>
      <c r="E20" s="6" t="inlineStr">
        <is>
          <t>필수</t>
        </is>
      </c>
      <c r="F20" s="6" t="inlineStr">
        <is>
          <t>롤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8" t="n"/>
      <c r="AB20" s="8" t="n"/>
    </row>
    <row r="21">
      <c r="A21" s="6" t="inlineStr">
        <is>
          <t>WD-017</t>
        </is>
      </c>
      <c r="B21" s="6" t="inlineStr">
        <is>
          <t>조인트 컴파운드</t>
        </is>
      </c>
      <c r="C21" s="6" t="inlineStr">
        <is>
          <t>—</t>
        </is>
      </c>
      <c r="D21" s="6" t="inlineStr">
        <is>
          <t>석고 메움</t>
        </is>
      </c>
      <c r="E21" s="6" t="inlineStr">
        <is>
          <t>필수</t>
        </is>
      </c>
      <c r="F21" s="6" t="inlineStr">
        <is>
          <t>통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  <c r="AA21" s="8" t="n"/>
      <c r="AB21" s="8" t="n"/>
    </row>
    <row r="22">
      <c r="A22" s="6" t="inlineStr">
        <is>
          <t>WD-018</t>
        </is>
      </c>
      <c r="B22" s="6" t="inlineStr">
        <is>
          <t>천장틀(경량철골)</t>
        </is>
      </c>
      <c r="C22" s="6" t="inlineStr">
        <is>
          <t>M-bar/C-bar</t>
        </is>
      </c>
      <c r="D22" s="6" t="inlineStr">
        <is>
          <t>천장 골조</t>
        </is>
      </c>
      <c r="E22" s="6" t="inlineStr">
        <is>
          <t>선택</t>
        </is>
      </c>
      <c r="F22" s="6" t="inlineStr">
        <is>
          <t>M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  <c r="AA22" s="8" t="n"/>
      <c r="AB22" s="8" t="n"/>
    </row>
    <row r="23">
      <c r="A23" s="6" t="inlineStr">
        <is>
          <t>WD-019</t>
        </is>
      </c>
      <c r="B23" s="6" t="inlineStr">
        <is>
          <t>행거볼트</t>
        </is>
      </c>
      <c r="C23" s="6" t="inlineStr">
        <is>
          <t>—</t>
        </is>
      </c>
      <c r="D23" s="6" t="inlineStr">
        <is>
          <t>천장 매달기</t>
        </is>
      </c>
      <c r="E23" s="6" t="inlineStr">
        <is>
          <t>필수</t>
        </is>
      </c>
      <c r="F23" s="6" t="inlineStr">
        <is>
          <t>개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  <c r="AA23" s="8" t="n"/>
      <c r="AB23" s="8" t="n"/>
    </row>
    <row r="24">
      <c r="A24" s="6" t="inlineStr">
        <is>
          <t>WD-020</t>
        </is>
      </c>
      <c r="B24" s="6" t="inlineStr">
        <is>
          <t>방부목</t>
        </is>
      </c>
      <c r="C24" s="6" t="inlineStr">
        <is>
          <t>SPF</t>
        </is>
      </c>
      <c r="D24" s="6" t="inlineStr">
        <is>
          <t>외부 데크</t>
        </is>
      </c>
      <c r="E24" s="6" t="inlineStr">
        <is>
          <t>선택</t>
        </is>
      </c>
      <c r="F24" s="6" t="inlineStr">
        <is>
          <t>M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  <c r="AA24" s="8" t="n"/>
      <c r="AB24" s="8" t="n"/>
    </row>
    <row r="25">
      <c r="A25" s="6" t="inlineStr">
        <is>
          <t>WD-021</t>
        </is>
      </c>
      <c r="B25" s="6" t="inlineStr">
        <is>
          <t>커튼박스</t>
        </is>
      </c>
      <c r="C25" s="6" t="inlineStr">
        <is>
          <t>MDF</t>
        </is>
      </c>
      <c r="D25" s="6" t="inlineStr">
        <is>
          <t>커튼레일 매립</t>
        </is>
      </c>
      <c r="E25" s="6" t="inlineStr">
        <is>
          <t>선택</t>
        </is>
      </c>
      <c r="F25" s="6" t="inlineStr">
        <is>
          <t>세트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  <c r="AA25" s="8" t="n"/>
      <c r="AB25" s="8" t="n"/>
    </row>
    <row r="26">
      <c r="A26" s="6" t="inlineStr">
        <is>
          <t>WD-022</t>
        </is>
      </c>
      <c r="B26" s="6" t="inlineStr">
        <is>
          <t>흡음재</t>
        </is>
      </c>
      <c r="C26" s="6" t="inlineStr">
        <is>
          <t>그라스울 24K</t>
        </is>
      </c>
      <c r="D26" s="6" t="inlineStr">
        <is>
          <t>방음 충진</t>
        </is>
      </c>
      <c r="E26" s="6" t="inlineStr">
        <is>
          <t>선택</t>
        </is>
      </c>
      <c r="F26" s="6" t="inlineStr">
        <is>
          <t>장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  <c r="AA26" s="8" t="n"/>
      <c r="AB26" s="8" t="n"/>
    </row>
    <row r="27">
      <c r="A27" s="9" t="inlineStr">
        <is>
          <t>WD-01E</t>
        </is>
      </c>
      <c r="B27" s="9" t="inlineStr">
        <is>
          <t>* 화장실 은경 ?</t>
        </is>
      </c>
      <c r="C27" s="6" t="inlineStr">
        <is>
          <t>—</t>
        </is>
      </c>
      <c r="D27" s="6" t="inlineStr"/>
      <c r="E27" s="6" t="inlineStr">
        <is>
          <t>필수</t>
        </is>
      </c>
      <c r="F27" s="6" t="inlineStr">
        <is>
          <t>식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>
        <is>
          <t>1현장: 김은경</t>
        </is>
      </c>
      <c r="AA27" s="8" t="n"/>
      <c r="AB27" s="8" t="n"/>
    </row>
    <row r="28">
      <c r="A28" s="9" t="inlineStr">
        <is>
          <t>WD-02E</t>
        </is>
      </c>
      <c r="B28" s="9" t="inlineStr">
        <is>
          <t>*붙박이장</t>
        </is>
      </c>
      <c r="C28" s="6" t="inlineStr">
        <is>
          <t>—</t>
        </is>
      </c>
      <c r="D28" s="6" t="inlineStr"/>
      <c r="E28" s="6" t="inlineStr">
        <is>
          <t>필수</t>
        </is>
      </c>
      <c r="F28" s="6" t="inlineStr">
        <is>
          <t>식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>
        <is>
          <t>1현장: 김은경</t>
        </is>
      </c>
      <c r="AA28" s="8" t="n"/>
      <c r="AB28" s="8" t="n"/>
    </row>
    <row r="29">
      <c r="A29" s="9" t="inlineStr">
        <is>
          <t>WD-03E</t>
        </is>
      </c>
      <c r="B29" s="9" t="inlineStr">
        <is>
          <t>45T 히든도어</t>
        </is>
      </c>
      <c r="C29" s="6" t="inlineStr">
        <is>
          <t>하드웨어 포함</t>
        </is>
      </c>
      <c r="D29" s="6" t="inlineStr">
        <is>
          <t>거실 화장실</t>
        </is>
      </c>
      <c r="E29" s="6" t="inlineStr">
        <is>
          <t>필수</t>
        </is>
      </c>
      <c r="F29" s="6" t="inlineStr">
        <is>
          <t>EA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>
        <is>
          <t>1현장: 김성용</t>
        </is>
      </c>
      <c r="AA29" s="8" t="n">
        <v>650000</v>
      </c>
      <c r="AB29" s="8" t="n">
        <v>200000</v>
      </c>
    </row>
    <row r="30">
      <c r="A30" s="9" t="inlineStr">
        <is>
          <t>WD-04E</t>
        </is>
      </c>
      <c r="B30" s="9" t="inlineStr">
        <is>
          <t>SUS 선반</t>
        </is>
      </c>
      <c r="C30" s="6" t="inlineStr">
        <is>
          <t>제작</t>
        </is>
      </c>
      <c r="D30" s="6" t="inlineStr"/>
      <c r="E30" s="6" t="inlineStr">
        <is>
          <t>필수</t>
        </is>
      </c>
      <c r="F30" s="6" t="inlineStr">
        <is>
          <t>EA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>
        <is>
          <t>3현장: 이선,이성숙,전기영</t>
        </is>
      </c>
      <c r="AA30" s="8" t="n">
        <v>15000</v>
      </c>
      <c r="AB30" s="8" t="n">
        <v>10000</v>
      </c>
    </row>
    <row r="31">
      <c r="A31" s="9" t="inlineStr">
        <is>
          <t>WD-05E</t>
        </is>
      </c>
      <c r="B31" s="9" t="inlineStr">
        <is>
          <t>TV 매립박스 / 선반</t>
        </is>
      </c>
      <c r="C31" s="6" t="inlineStr">
        <is>
          <t>1X1 각재, 9T 합판</t>
        </is>
      </c>
      <c r="D31" s="6" t="inlineStr">
        <is>
          <t>거실-안방</t>
        </is>
      </c>
      <c r="E31" s="6" t="inlineStr">
        <is>
          <t>필수</t>
        </is>
      </c>
      <c r="F31" s="6" t="inlineStr">
        <is>
          <t>식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>
        <is>
          <t>1현장: 이선</t>
        </is>
      </c>
      <c r="AA31" s="8" t="n">
        <v>250000</v>
      </c>
      <c r="AB31" s="8" t="n">
        <v>560000</v>
      </c>
    </row>
    <row r="32">
      <c r="A32" s="9" t="inlineStr">
        <is>
          <t>WD-06E</t>
        </is>
      </c>
      <c r="B32" s="9" t="inlineStr">
        <is>
          <t>TV 반매립</t>
        </is>
      </c>
      <c r="C32" s="6" t="inlineStr">
        <is>
          <t>제작</t>
        </is>
      </c>
      <c r="D32" s="6" t="inlineStr">
        <is>
          <t>거실</t>
        </is>
      </c>
      <c r="E32" s="6" t="inlineStr">
        <is>
          <t>필수</t>
        </is>
      </c>
      <c r="F32" s="6" t="inlineStr">
        <is>
          <t>식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1현장: 만현</t>
        </is>
      </c>
      <c r="AA32" s="8" t="n">
        <v>150000</v>
      </c>
      <c r="AB32" s="8" t="n">
        <v>200000</v>
      </c>
    </row>
    <row r="33">
      <c r="A33" s="9" t="inlineStr">
        <is>
          <t>WD-07E</t>
        </is>
      </c>
      <c r="B33" s="9" t="inlineStr">
        <is>
          <t>TV 반매립 벽체</t>
        </is>
      </c>
      <c r="C33" s="6" t="inlineStr">
        <is>
          <t>제작</t>
        </is>
      </c>
      <c r="D33" s="6" t="inlineStr">
        <is>
          <t>거실</t>
        </is>
      </c>
      <c r="E33" s="6" t="inlineStr">
        <is>
          <t>필수</t>
        </is>
      </c>
      <c r="F33" s="6" t="inlineStr">
        <is>
          <t>식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>
        <is>
          <t>1현장: 백현</t>
        </is>
      </c>
      <c r="AA33" s="8" t="n">
        <v>11000</v>
      </c>
      <c r="AB33" s="8" t="n">
        <v>200000</v>
      </c>
    </row>
    <row r="34">
      <c r="A34" s="9" t="inlineStr">
        <is>
          <t>WD-08E</t>
        </is>
      </c>
      <c r="B34" s="9" t="inlineStr">
        <is>
          <t>TV 브라켓 벽체 신설 및 매립</t>
        </is>
      </c>
      <c r="C34" s="6" t="inlineStr">
        <is>
          <t>1X1 각재, 9T 합판</t>
        </is>
      </c>
      <c r="D34" s="6" t="inlineStr">
        <is>
          <t>침실2</t>
        </is>
      </c>
      <c r="E34" s="6" t="inlineStr">
        <is>
          <t>필수</t>
        </is>
      </c>
      <c r="F34" s="6" t="inlineStr">
        <is>
          <t>식</t>
        </is>
      </c>
      <c r="G34" s="6" t="n"/>
      <c r="H34" s="6" t="n"/>
      <c r="I34" s="7">
        <f>IF(G34="","",G34*(1+H34/100))</f>
        <v/>
      </c>
      <c r="J34" s="6" t="n"/>
      <c r="K34" s="6" t="n"/>
      <c r="L34" s="8" t="n"/>
      <c r="M34" s="8" t="n"/>
      <c r="N34" s="8" t="n"/>
      <c r="O34" s="8" t="n"/>
      <c r="P34" s="8" t="n"/>
      <c r="Q34" s="8">
        <f>IF(OR(O34="",P34=""),"",MIN(O34,P34)-N34)</f>
        <v/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inlineStr">
        <is>
          <t>6현장: 금호,김성용,김은경,이선,전기영</t>
        </is>
      </c>
      <c r="AA34" s="8" t="n">
        <v>150000</v>
      </c>
      <c r="AB34" s="8" t="n">
        <v>250000</v>
      </c>
    </row>
    <row r="35">
      <c r="A35" s="9" t="inlineStr">
        <is>
          <t>WD-09E</t>
        </is>
      </c>
      <c r="B35" s="9" t="inlineStr">
        <is>
          <t>TV 아트월</t>
        </is>
      </c>
      <c r="C35" s="6" t="inlineStr">
        <is>
          <t>디자인</t>
        </is>
      </c>
      <c r="D35" s="6" t="inlineStr">
        <is>
          <t>거실</t>
        </is>
      </c>
      <c r="E35" s="6" t="inlineStr">
        <is>
          <t>필수</t>
        </is>
      </c>
      <c r="F35" s="6" t="inlineStr">
        <is>
          <t>식</t>
        </is>
      </c>
      <c r="G35" s="6" t="n"/>
      <c r="H35" s="6" t="n"/>
      <c r="I35" s="7">
        <f>IF(G35="","",G35*(1+H35/100))</f>
        <v/>
      </c>
      <c r="J35" s="6" t="n"/>
      <c r="K35" s="6" t="n"/>
      <c r="L35" s="8" t="n"/>
      <c r="M35" s="8" t="n"/>
      <c r="N35" s="8" t="n"/>
      <c r="O35" s="8" t="n"/>
      <c r="P35" s="8" t="n"/>
      <c r="Q35" s="8">
        <f>IF(OR(O35="",P35=""),"",MIN(O35,P35)-N35)</f>
        <v/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inlineStr">
        <is>
          <t>5현장: 린스,백현,산본,진산,푸르지오</t>
        </is>
      </c>
      <c r="AA35" s="8" t="n">
        <v>650000</v>
      </c>
      <c r="AB35" s="8" t="n">
        <v>700000</v>
      </c>
    </row>
    <row r="36">
      <c r="A36" s="9" t="inlineStr">
        <is>
          <t>WD-10E</t>
        </is>
      </c>
      <c r="B36" s="9" t="inlineStr">
        <is>
          <t>TV 월</t>
        </is>
      </c>
      <c r="C36" s="6" t="inlineStr">
        <is>
          <t>—</t>
        </is>
      </c>
      <c r="D36" s="6" t="inlineStr"/>
      <c r="E36" s="6" t="inlineStr">
        <is>
          <t>필수</t>
        </is>
      </c>
      <c r="F36" s="6" t="inlineStr">
        <is>
          <t>식</t>
        </is>
      </c>
      <c r="G36" s="6" t="n"/>
      <c r="H36" s="6" t="n"/>
      <c r="I36" s="7">
        <f>IF(G36="","",G36*(1+H36/100))</f>
        <v/>
      </c>
      <c r="J36" s="6" t="n"/>
      <c r="K36" s="6" t="n"/>
      <c r="L36" s="8" t="n"/>
      <c r="M36" s="8" t="n"/>
      <c r="N36" s="8" t="n"/>
      <c r="O36" s="8" t="n"/>
      <c r="P36" s="8" t="n"/>
      <c r="Q36" s="8">
        <f>IF(OR(O36="",P36=""),"",MIN(O36,P36)-N36)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inlineStr">
        <is>
          <t>1현장: 이성숙</t>
        </is>
      </c>
      <c r="AA36" s="8" t="n">
        <v>150000</v>
      </c>
      <c r="AB36" s="8" t="n">
        <v>450000</v>
      </c>
    </row>
    <row r="37">
      <c r="A37" s="9" t="inlineStr">
        <is>
          <t>WD-11E</t>
        </is>
      </c>
      <c r="B37" s="9" t="inlineStr">
        <is>
          <t>TV하부장</t>
        </is>
      </c>
      <c r="C37" s="6" t="inlineStr">
        <is>
          <t>필름 마감</t>
        </is>
      </c>
      <c r="D37" s="6" t="inlineStr">
        <is>
          <t>거실</t>
        </is>
      </c>
      <c r="E37" s="6" t="inlineStr">
        <is>
          <t>필수</t>
        </is>
      </c>
      <c r="F37" s="6" t="inlineStr">
        <is>
          <t>식</t>
        </is>
      </c>
      <c r="G37" s="6" t="n"/>
      <c r="H37" s="6" t="n"/>
      <c r="I37" s="7">
        <f>IF(G37="","",G37*(1+H37/100))</f>
        <v/>
      </c>
      <c r="J37" s="6" t="n"/>
      <c r="K37" s="6" t="n"/>
      <c r="L37" s="8" t="n"/>
      <c r="M37" s="8" t="n"/>
      <c r="N37" s="8" t="n"/>
      <c r="O37" s="8" t="n"/>
      <c r="P37" s="8" t="n"/>
      <c r="Q37" s="8">
        <f>IF(OR(O37="",P37=""),"",MIN(O37,P37)-N37)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inlineStr">
        <is>
          <t>2현장: 린스,푸르지오</t>
        </is>
      </c>
      <c r="AA37" s="8" t="n">
        <v>200000</v>
      </c>
      <c r="AB37" s="8" t="n">
        <v>420000</v>
      </c>
    </row>
    <row r="38">
      <c r="A38" s="9" t="inlineStr">
        <is>
          <t>WD-12E</t>
        </is>
      </c>
      <c r="B38" s="9" t="inlineStr">
        <is>
          <t>가구 바디 제작</t>
        </is>
      </c>
      <c r="C38" s="6" t="inlineStr">
        <is>
          <t>바 룸 테이블</t>
        </is>
      </c>
      <c r="D38" s="6" t="inlineStr"/>
      <c r="E38" s="6" t="inlineStr">
        <is>
          <t>필수</t>
        </is>
      </c>
      <c r="F38" s="6" t="inlineStr">
        <is>
          <t>식</t>
        </is>
      </c>
      <c r="G38" s="6" t="n"/>
      <c r="H38" s="6" t="n"/>
      <c r="I38" s="7">
        <f>IF(G38="","",G38*(1+H38/100))</f>
        <v/>
      </c>
      <c r="J38" s="6" t="n"/>
      <c r="K38" s="6" t="n"/>
      <c r="L38" s="8" t="n"/>
      <c r="M38" s="8" t="n"/>
      <c r="N38" s="8" t="n"/>
      <c r="O38" s="8" t="n"/>
      <c r="P38" s="8" t="n"/>
      <c r="Q38" s="8">
        <f>IF(OR(O38="",P38=""),"",MIN(O38,P38)-N38)</f>
        <v/>
      </c>
      <c r="R38" s="6" t="n"/>
      <c r="S38" s="6" t="n"/>
      <c r="T38" s="6" t="n"/>
      <c r="U38" s="6" t="n"/>
      <c r="V38" s="6" t="n"/>
      <c r="W38" s="6" t="n"/>
      <c r="X38" s="6" t="n"/>
      <c r="Y38" s="6" t="n"/>
      <c r="Z38" s="6" t="inlineStr">
        <is>
          <t>2현장: 이성숙,전기영</t>
        </is>
      </c>
      <c r="AA38" s="8" t="n">
        <v>450000</v>
      </c>
      <c r="AB38" s="8" t="n">
        <v>300000</v>
      </c>
    </row>
    <row r="39">
      <c r="A39" s="9" t="inlineStr">
        <is>
          <t>WD-13E</t>
        </is>
      </c>
      <c r="B39" s="9" t="inlineStr">
        <is>
          <t>가구자리 및 기타 천정 보강 공사</t>
        </is>
      </c>
      <c r="C39" s="6" t="inlineStr">
        <is>
          <t>기본보강작업</t>
        </is>
      </c>
      <c r="D39" s="6" t="inlineStr">
        <is>
          <t>거실 보강부</t>
        </is>
      </c>
      <c r="E39" s="6" t="inlineStr">
        <is>
          <t>필수</t>
        </is>
      </c>
      <c r="F39" s="6" t="inlineStr">
        <is>
          <t>M2</t>
        </is>
      </c>
      <c r="G39" s="6" t="n"/>
      <c r="H39" s="6" t="n"/>
      <c r="I39" s="7">
        <f>IF(G39="","",G39*(1+H39/100))</f>
        <v/>
      </c>
      <c r="J39" s="6" t="n"/>
      <c r="K39" s="6" t="n"/>
      <c r="L39" s="8" t="n"/>
      <c r="M39" s="8" t="n"/>
      <c r="N39" s="8" t="n"/>
      <c r="O39" s="8" t="n"/>
      <c r="P39" s="8" t="n"/>
      <c r="Q39" s="8">
        <f>IF(OR(O39="",P39=""),"",MIN(O39,P39)-N39)</f>
        <v/>
      </c>
      <c r="R39" s="6" t="n"/>
      <c r="S39" s="6" t="n"/>
      <c r="T39" s="6" t="n"/>
      <c r="U39" s="6" t="n"/>
      <c r="V39" s="6" t="n"/>
      <c r="W39" s="6" t="n"/>
      <c r="X39" s="6" t="n"/>
      <c r="Y39" s="6" t="n"/>
      <c r="Z39" s="6" t="inlineStr">
        <is>
          <t>2현장: 김성용,김은경</t>
        </is>
      </c>
      <c r="AA39" s="8" t="n">
        <v>17000</v>
      </c>
      <c r="AB39" s="8" t="n">
        <v>28000</v>
      </c>
    </row>
    <row r="40">
      <c r="A40" s="9" t="inlineStr">
        <is>
          <t>WD-14E</t>
        </is>
      </c>
      <c r="B40" s="9" t="inlineStr">
        <is>
          <t>간살 파티션</t>
        </is>
      </c>
      <c r="C40" s="6" t="inlineStr">
        <is>
          <t>고객님 의견 반영 후</t>
        </is>
      </c>
      <c r="D40" s="6" t="inlineStr"/>
      <c r="E40" s="6" t="inlineStr">
        <is>
          <t>필수</t>
        </is>
      </c>
      <c r="F40" s="6" t="inlineStr">
        <is>
          <t>SET</t>
        </is>
      </c>
      <c r="G40" s="6" t="n"/>
      <c r="H40" s="6" t="n"/>
      <c r="I40" s="7">
        <f>IF(G40="","",G40*(1+H40/100))</f>
        <v/>
      </c>
      <c r="J40" s="6" t="n"/>
      <c r="K40" s="6" t="n"/>
      <c r="L40" s="8" t="n"/>
      <c r="M40" s="8" t="n"/>
      <c r="N40" s="8" t="n"/>
      <c r="O40" s="8" t="n"/>
      <c r="P40" s="8" t="n"/>
      <c r="Q40" s="8">
        <f>IF(OR(O40="",P40=""),"",MIN(O40,P40)-N40)</f>
        <v/>
      </c>
      <c r="R40" s="6" t="n"/>
      <c r="S40" s="6" t="n"/>
      <c r="T40" s="6" t="n"/>
      <c r="U40" s="6" t="n"/>
      <c r="V40" s="6" t="n"/>
      <c r="W40" s="6" t="n"/>
      <c r="X40" s="6" t="n"/>
      <c r="Y40" s="6" t="n"/>
      <c r="Z40" s="6" t="inlineStr">
        <is>
          <t>5현장: 금호,이선,이성숙,전기영,행당동</t>
        </is>
      </c>
      <c r="AA40" s="8" t="n">
        <v>1750000</v>
      </c>
      <c r="AB40" s="8" t="n">
        <v>250000</v>
      </c>
    </row>
    <row r="41">
      <c r="A41" s="9" t="inlineStr">
        <is>
          <t>WD-15E</t>
        </is>
      </c>
      <c r="B41" s="9" t="inlineStr">
        <is>
          <t>거울</t>
        </is>
      </c>
      <c r="C41" s="6" t="inlineStr">
        <is>
          <t>브론즈</t>
        </is>
      </c>
      <c r="D41" s="6" t="inlineStr">
        <is>
          <t>현관 거울</t>
        </is>
      </c>
      <c r="E41" s="6" t="inlineStr">
        <is>
          <t>필수</t>
        </is>
      </c>
      <c r="F41" s="6" t="inlineStr">
        <is>
          <t>식</t>
        </is>
      </c>
      <c r="G41" s="6" t="n"/>
      <c r="H41" s="6" t="n"/>
      <c r="I41" s="7">
        <f>IF(G41="","",G41*(1+H41/100))</f>
        <v/>
      </c>
      <c r="J41" s="6" t="n"/>
      <c r="K41" s="6" t="n"/>
      <c r="L41" s="8" t="n"/>
      <c r="M41" s="8" t="n"/>
      <c r="N41" s="8" t="n"/>
      <c r="O41" s="8" t="n"/>
      <c r="P41" s="8" t="n"/>
      <c r="Q41" s="8">
        <f>IF(OR(O41="",P41=""),"",MIN(O41,P41)-N41)</f>
        <v/>
      </c>
      <c r="R41" s="6" t="n"/>
      <c r="S41" s="6" t="n"/>
      <c r="T41" s="6" t="n"/>
      <c r="U41" s="6" t="n"/>
      <c r="V41" s="6" t="n"/>
      <c r="W41" s="6" t="n"/>
      <c r="X41" s="6" t="n"/>
      <c r="Y41" s="6" t="n"/>
      <c r="Z41" s="6" t="inlineStr">
        <is>
          <t>1현장: 김성용</t>
        </is>
      </c>
      <c r="AA41" s="8" t="n">
        <v>120000</v>
      </c>
      <c r="AB41" s="8" t="n"/>
    </row>
    <row r="42">
      <c r="A42" s="9" t="inlineStr">
        <is>
          <t>WD-16E</t>
        </is>
      </c>
      <c r="B42" s="9" t="inlineStr">
        <is>
          <t>날개벽 장 보강</t>
        </is>
      </c>
      <c r="C42" s="6" t="inlineStr">
        <is>
          <t>금속보강</t>
        </is>
      </c>
      <c r="D42" s="6" t="inlineStr">
        <is>
          <t>날개벽 장</t>
        </is>
      </c>
      <c r="E42" s="6" t="inlineStr">
        <is>
          <t>필수</t>
        </is>
      </c>
      <c r="F42" s="6" t="inlineStr">
        <is>
          <t>식</t>
        </is>
      </c>
      <c r="G42" s="6" t="n"/>
      <c r="H42" s="6" t="n"/>
      <c r="I42" s="7">
        <f>IF(G42="","",G42*(1+H42/100))</f>
        <v/>
      </c>
      <c r="J42" s="6" t="n"/>
      <c r="K42" s="6" t="n"/>
      <c r="L42" s="8" t="n"/>
      <c r="M42" s="8" t="n"/>
      <c r="N42" s="8" t="n"/>
      <c r="O42" s="8" t="n"/>
      <c r="P42" s="8" t="n"/>
      <c r="Q42" s="8">
        <f>IF(OR(O42="",P42=""),"",MIN(O42,P42)-N42)</f>
        <v/>
      </c>
      <c r="R42" s="6" t="n"/>
      <c r="S42" s="6" t="n"/>
      <c r="T42" s="6" t="n"/>
      <c r="U42" s="6" t="n"/>
      <c r="V42" s="6" t="n"/>
      <c r="W42" s="6" t="n"/>
      <c r="X42" s="6" t="n"/>
      <c r="Y42" s="6" t="n"/>
      <c r="Z42" s="6" t="inlineStr">
        <is>
          <t>1현장: 금호</t>
        </is>
      </c>
      <c r="AA42" s="8" t="n">
        <v>80000</v>
      </c>
      <c r="AB42" s="8" t="n">
        <v>100000</v>
      </c>
    </row>
    <row r="43">
      <c r="A43" s="9" t="inlineStr">
        <is>
          <t>WD-17E</t>
        </is>
      </c>
      <c r="B43" s="9" t="inlineStr">
        <is>
          <t>단열공사</t>
        </is>
      </c>
      <c r="C43" s="6" t="inlineStr">
        <is>
          <t>아이소핑크 30T *2 + 폼본드</t>
        </is>
      </c>
      <c r="D43" s="6" t="inlineStr">
        <is>
          <t>방 / 확장부</t>
        </is>
      </c>
      <c r="E43" s="6" t="inlineStr">
        <is>
          <t>필수</t>
        </is>
      </c>
      <c r="F43" s="6" t="inlineStr">
        <is>
          <t>m2</t>
        </is>
      </c>
      <c r="G43" s="6" t="n"/>
      <c r="H43" s="6" t="n"/>
      <c r="I43" s="7">
        <f>IF(G43="","",G43*(1+H43/100))</f>
        <v/>
      </c>
      <c r="J43" s="6" t="n"/>
      <c r="K43" s="6" t="n"/>
      <c r="L43" s="8" t="n"/>
      <c r="M43" s="8" t="n"/>
      <c r="N43" s="8" t="n"/>
      <c r="O43" s="8" t="n"/>
      <c r="P43" s="8" t="n"/>
      <c r="Q43" s="8">
        <f>IF(OR(O43="",P43=""),"",MIN(O43,P43)-N43)</f>
        <v/>
      </c>
      <c r="R43" s="6" t="n"/>
      <c r="S43" s="6" t="n"/>
      <c r="T43" s="6" t="n"/>
      <c r="U43" s="6" t="n"/>
      <c r="V43" s="6" t="n"/>
      <c r="W43" s="6" t="n"/>
      <c r="X43" s="6" t="n"/>
      <c r="Y43" s="6" t="n"/>
      <c r="Z43" s="6" t="inlineStr">
        <is>
          <t>8현장: 김성용,김은경,린스,만현,백현</t>
        </is>
      </c>
      <c r="AA43" s="8" t="n">
        <v>350000</v>
      </c>
      <c r="AB43" s="8" t="n">
        <v>320000</v>
      </c>
    </row>
    <row r="44">
      <c r="A44" s="9" t="inlineStr">
        <is>
          <t>WD-18E</t>
        </is>
      </c>
      <c r="B44" s="9" t="inlineStr">
        <is>
          <t>드레스룸 은경</t>
        </is>
      </c>
      <c r="C44" s="6" t="inlineStr">
        <is>
          <t>4t 은경</t>
        </is>
      </c>
      <c r="D44" s="6" t="inlineStr">
        <is>
          <t>화장대 / 드레스룸</t>
        </is>
      </c>
      <c r="E44" s="6" t="inlineStr">
        <is>
          <t>필수</t>
        </is>
      </c>
      <c r="F44" s="6" t="inlineStr">
        <is>
          <t>식</t>
        </is>
      </c>
      <c r="G44" s="6" t="n"/>
      <c r="H44" s="6" t="n"/>
      <c r="I44" s="7">
        <f>IF(G44="","",G44*(1+H44/100))</f>
        <v/>
      </c>
      <c r="J44" s="6" t="n"/>
      <c r="K44" s="6" t="n"/>
      <c r="L44" s="8" t="n"/>
      <c r="M44" s="8" t="n"/>
      <c r="N44" s="8" t="n"/>
      <c r="O44" s="8" t="n"/>
      <c r="P44" s="8" t="n"/>
      <c r="Q44" s="8">
        <f>IF(OR(O44="",P44=""),"",MIN(O44,P44)-N44)</f>
        <v/>
      </c>
      <c r="R44" s="6" t="n"/>
      <c r="S44" s="6" t="n"/>
      <c r="T44" s="6" t="n"/>
      <c r="U44" s="6" t="n"/>
      <c r="V44" s="6" t="n"/>
      <c r="W44" s="6" t="n"/>
      <c r="X44" s="6" t="n"/>
      <c r="Y44" s="6" t="n"/>
      <c r="Z44" s="6" t="inlineStr">
        <is>
          <t>1현장: 이선</t>
        </is>
      </c>
      <c r="AA44" s="8" t="n">
        <v>80000</v>
      </c>
      <c r="AB44" s="8" t="n">
        <v>50000</v>
      </c>
    </row>
    <row r="45">
      <c r="A45" s="9" t="inlineStr">
        <is>
          <t>WD-19E</t>
        </is>
      </c>
      <c r="B45" s="9" t="inlineStr">
        <is>
          <t>락소 히든몰딩</t>
        </is>
      </c>
      <c r="C45" s="6" t="inlineStr">
        <is>
          <t>M101 19 10MM 도배용 / 액자레일</t>
        </is>
      </c>
      <c r="D45" s="6" t="inlineStr">
        <is>
          <t>공용부 천장</t>
        </is>
      </c>
      <c r="E45" s="6" t="inlineStr">
        <is>
          <t>필수</t>
        </is>
      </c>
      <c r="F45" s="6" t="inlineStr">
        <is>
          <t>M</t>
        </is>
      </c>
      <c r="G45" s="6" t="n"/>
      <c r="H45" s="6" t="n"/>
      <c r="I45" s="7">
        <f>IF(G45="","",G45*(1+H45/100))</f>
        <v/>
      </c>
      <c r="J45" s="6" t="n"/>
      <c r="K45" s="6" t="n"/>
      <c r="L45" s="8" t="n"/>
      <c r="M45" s="8" t="n"/>
      <c r="N45" s="8" t="n"/>
      <c r="O45" s="8" t="n"/>
      <c r="P45" s="8" t="n"/>
      <c r="Q45" s="8">
        <f>IF(OR(O45="",P45=""),"",MIN(O45,P45)-N45)</f>
        <v/>
      </c>
      <c r="R45" s="6" t="n"/>
      <c r="S45" s="6" t="n"/>
      <c r="T45" s="6" t="n"/>
      <c r="U45" s="6" t="n"/>
      <c r="V45" s="6" t="n"/>
      <c r="W45" s="6" t="n"/>
      <c r="X45" s="6" t="n"/>
      <c r="Y45" s="6" t="n"/>
      <c r="Z45" s="6" t="inlineStr">
        <is>
          <t>13현장: 금호,김성용,김은경,린스,만현</t>
        </is>
      </c>
      <c r="AA45" s="8" t="n">
        <v>2500</v>
      </c>
      <c r="AB45" s="8" t="n">
        <v>5000</v>
      </c>
    </row>
    <row r="46">
      <c r="A46" s="9" t="inlineStr">
        <is>
          <t>WD-20E</t>
        </is>
      </c>
      <c r="B46" s="9" t="inlineStr">
        <is>
          <t>먹 놓기</t>
        </is>
      </c>
      <c r="C46" s="6" t="inlineStr">
        <is>
          <t>거실 수직, 수평 및 벽체</t>
        </is>
      </c>
      <c r="D46" s="6" t="inlineStr">
        <is>
          <t>전체</t>
        </is>
      </c>
      <c r="E46" s="6" t="inlineStr">
        <is>
          <t>필수</t>
        </is>
      </c>
      <c r="F46" s="6" t="inlineStr">
        <is>
          <t>식</t>
        </is>
      </c>
      <c r="G46" s="6" t="n"/>
      <c r="H46" s="6" t="n"/>
      <c r="I46" s="7">
        <f>IF(G46="","",G46*(1+H46/100))</f>
        <v/>
      </c>
      <c r="J46" s="6" t="n"/>
      <c r="K46" s="6" t="n"/>
      <c r="L46" s="8" t="n"/>
      <c r="M46" s="8" t="n"/>
      <c r="N46" s="8" t="n"/>
      <c r="O46" s="8" t="n"/>
      <c r="P46" s="8" t="n"/>
      <c r="Q46" s="8">
        <f>IF(OR(O46="",P46=""),"",MIN(O46,P46)-N46)</f>
        <v/>
      </c>
      <c r="R46" s="6" t="n"/>
      <c r="S46" s="6" t="n"/>
      <c r="T46" s="6" t="n"/>
      <c r="U46" s="6" t="n"/>
      <c r="V46" s="6" t="n"/>
      <c r="W46" s="6" t="n"/>
      <c r="X46" s="6" t="n"/>
      <c r="Y46" s="6" t="n"/>
      <c r="Z46" s="6" t="inlineStr">
        <is>
          <t>13현장: 금호,김성용,김은경,린스,만현</t>
        </is>
      </c>
      <c r="AA46" s="8" t="n"/>
      <c r="AB46" s="8" t="n">
        <v>550000</v>
      </c>
    </row>
    <row r="47">
      <c r="A47" s="9" t="inlineStr">
        <is>
          <t>WD-21E</t>
        </is>
      </c>
      <c r="B47" s="9" t="inlineStr">
        <is>
          <t>방범방충망</t>
        </is>
      </c>
      <c r="C47" s="6" t="inlineStr">
        <is>
          <t>—</t>
        </is>
      </c>
      <c r="D47" s="6" t="inlineStr"/>
      <c r="E47" s="6" t="inlineStr">
        <is>
          <t>필수</t>
        </is>
      </c>
      <c r="F47" s="6" t="inlineStr">
        <is>
          <t>식</t>
        </is>
      </c>
      <c r="G47" s="6" t="n"/>
      <c r="H47" s="6" t="n"/>
      <c r="I47" s="7">
        <f>IF(G47="","",G47*(1+H47/100))</f>
        <v/>
      </c>
      <c r="J47" s="6" t="n"/>
      <c r="K47" s="6" t="n"/>
      <c r="L47" s="8" t="n"/>
      <c r="M47" s="8" t="n"/>
      <c r="N47" s="8" t="n"/>
      <c r="O47" s="8" t="n"/>
      <c r="P47" s="8" t="n"/>
      <c r="Q47" s="8">
        <f>IF(OR(O47="",P47=""),"",MIN(O47,P47)-N47)</f>
        <v/>
      </c>
      <c r="R47" s="6" t="n"/>
      <c r="S47" s="6" t="n"/>
      <c r="T47" s="6" t="n"/>
      <c r="U47" s="6" t="n"/>
      <c r="V47" s="6" t="n"/>
      <c r="W47" s="6" t="n"/>
      <c r="X47" s="6" t="n"/>
      <c r="Y47" s="6" t="n"/>
      <c r="Z47" s="6" t="inlineStr">
        <is>
          <t>1현장: 이성숙</t>
        </is>
      </c>
      <c r="AA47" s="8" t="n"/>
      <c r="AB47" s="8" t="n"/>
    </row>
    <row r="48">
      <c r="A48" s="9" t="inlineStr">
        <is>
          <t>WD-22E</t>
        </is>
      </c>
      <c r="B48" s="9" t="inlineStr">
        <is>
          <t>백페인트 글라스</t>
        </is>
      </c>
      <c r="C48" s="6" t="inlineStr">
        <is>
          <t>백페인트 글라스</t>
        </is>
      </c>
      <c r="D48" s="6" t="inlineStr">
        <is>
          <t>아이방</t>
        </is>
      </c>
      <c r="E48" s="6" t="inlineStr">
        <is>
          <t>필수</t>
        </is>
      </c>
      <c r="F48" s="6" t="inlineStr">
        <is>
          <t>EA</t>
        </is>
      </c>
      <c r="G48" s="6" t="n"/>
      <c r="H48" s="6" t="n"/>
      <c r="I48" s="7">
        <f>IF(G48="","",G48*(1+H48/100))</f>
        <v/>
      </c>
      <c r="J48" s="6" t="n"/>
      <c r="K48" s="6" t="n"/>
      <c r="L48" s="8" t="n"/>
      <c r="M48" s="8" t="n"/>
      <c r="N48" s="8" t="n"/>
      <c r="O48" s="8" t="n"/>
      <c r="P48" s="8" t="n"/>
      <c r="Q48" s="8">
        <f>IF(OR(O48="",P48=""),"",MIN(O48,P48)-N48)</f>
        <v/>
      </c>
      <c r="R48" s="6" t="n"/>
      <c r="S48" s="6" t="n"/>
      <c r="T48" s="6" t="n"/>
      <c r="U48" s="6" t="n"/>
      <c r="V48" s="6" t="n"/>
      <c r="W48" s="6" t="n"/>
      <c r="X48" s="6" t="n"/>
      <c r="Y48" s="6" t="n"/>
      <c r="Z48" s="6" t="inlineStr">
        <is>
          <t>1현장: 금호</t>
        </is>
      </c>
      <c r="AA48" s="8" t="n">
        <v>150000</v>
      </c>
      <c r="AB48" s="8" t="n">
        <v>100000</v>
      </c>
    </row>
    <row r="49">
      <c r="A49" s="9" t="inlineStr">
        <is>
          <t>WD-23E</t>
        </is>
      </c>
      <c r="B49" s="9" t="inlineStr">
        <is>
          <t>벤치</t>
        </is>
      </c>
      <c r="C49" s="6" t="inlineStr">
        <is>
          <t>—</t>
        </is>
      </c>
      <c r="D49" s="6" t="inlineStr">
        <is>
          <t>현 관</t>
        </is>
      </c>
      <c r="E49" s="6" t="inlineStr">
        <is>
          <t>필수</t>
        </is>
      </c>
      <c r="F49" s="6" t="inlineStr">
        <is>
          <t>식</t>
        </is>
      </c>
      <c r="G49" s="6" t="n"/>
      <c r="H49" s="6" t="n"/>
      <c r="I49" s="7">
        <f>IF(G49="","",G49*(1+H49/100))</f>
        <v/>
      </c>
      <c r="J49" s="6" t="n"/>
      <c r="K49" s="6" t="n"/>
      <c r="L49" s="8" t="n"/>
      <c r="M49" s="8" t="n"/>
      <c r="N49" s="8" t="n"/>
      <c r="O49" s="8" t="n"/>
      <c r="P49" s="8" t="n"/>
      <c r="Q49" s="8">
        <f>IF(OR(O49="",P49=""),"",MIN(O49,P49)-N49)</f>
        <v/>
      </c>
      <c r="R49" s="6" t="n"/>
      <c r="S49" s="6" t="n"/>
      <c r="T49" s="6" t="n"/>
      <c r="U49" s="6" t="n"/>
      <c r="V49" s="6" t="n"/>
      <c r="W49" s="6" t="n"/>
      <c r="X49" s="6" t="n"/>
      <c r="Y49" s="6" t="n"/>
      <c r="Z49" s="6" t="inlineStr">
        <is>
          <t>4현장: 린스,백현,진산,푸르지오</t>
        </is>
      </c>
      <c r="AA49" s="8" t="n">
        <v>120000</v>
      </c>
      <c r="AB49" s="8" t="n">
        <v>150000</v>
      </c>
    </row>
    <row r="50">
      <c r="A50" s="9" t="inlineStr">
        <is>
          <t>WD-24E</t>
        </is>
      </c>
      <c r="B50" s="9" t="inlineStr">
        <is>
          <t>벽체 골조 공사</t>
        </is>
      </c>
      <c r="C50" s="6" t="inlineStr">
        <is>
          <t>1X1 각재, 4.5T 합판</t>
        </is>
      </c>
      <c r="D50" s="6" t="inlineStr">
        <is>
          <t>공용부 페인트마감</t>
        </is>
      </c>
      <c r="E50" s="6" t="inlineStr">
        <is>
          <t>필수</t>
        </is>
      </c>
      <c r="F50" s="6" t="inlineStr">
        <is>
          <t>M2</t>
        </is>
      </c>
      <c r="G50" s="6" t="n"/>
      <c r="H50" s="6" t="n"/>
      <c r="I50" s="7">
        <f>IF(G50="","",G50*(1+H50/100))</f>
        <v/>
      </c>
      <c r="J50" s="6" t="n"/>
      <c r="K50" s="6" t="n"/>
      <c r="L50" s="8" t="n"/>
      <c r="M50" s="8" t="n"/>
      <c r="N50" s="8" t="n"/>
      <c r="O50" s="8" t="n"/>
      <c r="P50" s="8" t="n"/>
      <c r="Q50" s="8">
        <f>IF(OR(O50="",P50=""),"",MIN(O50,P50)-N50)</f>
        <v/>
      </c>
      <c r="R50" s="6" t="n"/>
      <c r="S50" s="6" t="n"/>
      <c r="T50" s="6" t="n"/>
      <c r="U50" s="6" t="n"/>
      <c r="V50" s="6" t="n"/>
      <c r="W50" s="6" t="n"/>
      <c r="X50" s="6" t="n"/>
      <c r="Y50" s="6" t="n"/>
      <c r="Z50" s="6" t="inlineStr">
        <is>
          <t>13현장: 금호,김성용,김은경,린스,만현</t>
        </is>
      </c>
      <c r="AA50" s="8" t="n">
        <v>12000</v>
      </c>
      <c r="AB50" s="8" t="n">
        <v>28000</v>
      </c>
    </row>
    <row r="51">
      <c r="A51" s="9" t="inlineStr">
        <is>
          <t>WD-25E</t>
        </is>
      </c>
      <c r="B51" s="9" t="inlineStr">
        <is>
          <t>벽체 매립장</t>
        </is>
      </c>
      <c r="C51" s="6" t="inlineStr">
        <is>
          <t>제작</t>
        </is>
      </c>
      <c r="D51" s="6" t="inlineStr">
        <is>
          <t>방2</t>
        </is>
      </c>
      <c r="E51" s="6" t="inlineStr">
        <is>
          <t>필수</t>
        </is>
      </c>
      <c r="F51" s="6" t="inlineStr">
        <is>
          <t>식</t>
        </is>
      </c>
      <c r="G51" s="6" t="n"/>
      <c r="H51" s="6" t="n"/>
      <c r="I51" s="7">
        <f>IF(G51="","",G51*(1+H51/100))</f>
        <v/>
      </c>
      <c r="J51" s="6" t="n"/>
      <c r="K51" s="6" t="n"/>
      <c r="L51" s="8" t="n"/>
      <c r="M51" s="8" t="n"/>
      <c r="N51" s="8" t="n"/>
      <c r="O51" s="8" t="n"/>
      <c r="P51" s="8" t="n"/>
      <c r="Q51" s="8">
        <f>IF(OR(O51="",P51=""),"",MIN(O51,P51)-N51)</f>
        <v/>
      </c>
      <c r="R51" s="6" t="n"/>
      <c r="S51" s="6" t="n"/>
      <c r="T51" s="6" t="n"/>
      <c r="U51" s="6" t="n"/>
      <c r="V51" s="6" t="n"/>
      <c r="W51" s="6" t="n"/>
      <c r="X51" s="6" t="n"/>
      <c r="Y51" s="6" t="n"/>
      <c r="Z51" s="6" t="inlineStr">
        <is>
          <t>1현장: 만현</t>
        </is>
      </c>
      <c r="AA51" s="8" t="n">
        <v>150000</v>
      </c>
      <c r="AB51" s="8" t="n">
        <v>200000</v>
      </c>
    </row>
    <row r="52">
      <c r="A52" s="9" t="inlineStr">
        <is>
          <t>WD-26E</t>
        </is>
      </c>
      <c r="B52" s="9" t="inlineStr">
        <is>
          <t>벽체 보강 구조틀</t>
        </is>
      </c>
      <c r="C52" s="6" t="inlineStr">
        <is>
          <t>—</t>
        </is>
      </c>
      <c r="D52" s="6" t="inlineStr">
        <is>
          <t>거실</t>
        </is>
      </c>
      <c r="E52" s="6" t="inlineStr">
        <is>
          <t>필수</t>
        </is>
      </c>
      <c r="F52" s="6" t="inlineStr">
        <is>
          <t>식</t>
        </is>
      </c>
      <c r="G52" s="6" t="n"/>
      <c r="H52" s="6" t="n"/>
      <c r="I52" s="7">
        <f>IF(G52="","",G52*(1+H52/100))</f>
        <v/>
      </c>
      <c r="J52" s="6" t="n"/>
      <c r="K52" s="6" t="n"/>
      <c r="L52" s="8" t="n"/>
      <c r="M52" s="8" t="n"/>
      <c r="N52" s="8" t="n"/>
      <c r="O52" s="8" t="n"/>
      <c r="P52" s="8" t="n"/>
      <c r="Q52" s="8">
        <f>IF(OR(O52="",P52=""),"",MIN(O52,P52)-N52)</f>
        <v/>
      </c>
      <c r="R52" s="6" t="n"/>
      <c r="S52" s="6" t="n"/>
      <c r="T52" s="6" t="n"/>
      <c r="U52" s="6" t="n"/>
      <c r="V52" s="6" t="n"/>
      <c r="W52" s="6" t="n"/>
      <c r="X52" s="6" t="n"/>
      <c r="Y52" s="6" t="n"/>
      <c r="Z52" s="6" t="inlineStr">
        <is>
          <t>1현장: 전기영</t>
        </is>
      </c>
      <c r="AA52" s="8" t="n">
        <v>300000</v>
      </c>
      <c r="AB52" s="8" t="n">
        <v>600000</v>
      </c>
    </row>
    <row r="53">
      <c r="A53" s="9" t="inlineStr">
        <is>
          <t>WD-27E</t>
        </is>
      </c>
      <c r="B53" s="9" t="inlineStr">
        <is>
          <t>벽체공사(고밀도MDF)</t>
        </is>
      </c>
      <c r="C53" s="6" t="inlineStr">
        <is>
          <t>고밀도MDF 2PLY</t>
        </is>
      </c>
      <c r="D53" s="6" t="inlineStr"/>
      <c r="E53" s="6" t="inlineStr">
        <is>
          <t>필수</t>
        </is>
      </c>
      <c r="F53" s="6" t="inlineStr">
        <is>
          <t>M2</t>
        </is>
      </c>
      <c r="G53" s="6" t="n"/>
      <c r="H53" s="6" t="n"/>
      <c r="I53" s="7">
        <f>IF(G53="","",G53*(1+H53/100))</f>
        <v/>
      </c>
      <c r="J53" s="6" t="n"/>
      <c r="K53" s="6" t="n"/>
      <c r="L53" s="8" t="n"/>
      <c r="M53" s="8" t="n"/>
      <c r="N53" s="8" t="n"/>
      <c r="O53" s="8" t="n"/>
      <c r="P53" s="8" t="n"/>
      <c r="Q53" s="8">
        <f>IF(OR(O53="",P53=""),"",MIN(O53,P53)-N53)</f>
        <v/>
      </c>
      <c r="R53" s="6" t="n"/>
      <c r="S53" s="6" t="n"/>
      <c r="T53" s="6" t="n"/>
      <c r="U53" s="6" t="n"/>
      <c r="V53" s="6" t="n"/>
      <c r="W53" s="6" t="n"/>
      <c r="X53" s="6" t="n"/>
      <c r="Y53" s="6" t="n"/>
      <c r="Z53" s="6" t="inlineStr">
        <is>
          <t>7현장: 금호,김성용,김은경,이선,이성숙</t>
        </is>
      </c>
      <c r="AA53" s="8" t="n">
        <v>25000</v>
      </c>
      <c r="AB53" s="8" t="n">
        <v>20000</v>
      </c>
    </row>
    <row r="54">
      <c r="A54" s="9" t="inlineStr">
        <is>
          <t>WD-28E</t>
        </is>
      </c>
      <c r="B54" s="9" t="inlineStr">
        <is>
          <t>벽체공사(골조)</t>
        </is>
      </c>
      <c r="C54" s="6" t="inlineStr">
        <is>
          <t>1X1 각재, 리브합판</t>
        </is>
      </c>
      <c r="D54" s="6" t="inlineStr"/>
      <c r="E54" s="6" t="inlineStr">
        <is>
          <t>필수</t>
        </is>
      </c>
      <c r="F54" s="6" t="inlineStr">
        <is>
          <t>M2</t>
        </is>
      </c>
      <c r="G54" s="6" t="n"/>
      <c r="H54" s="6" t="n"/>
      <c r="I54" s="7">
        <f>IF(G54="","",G54*(1+H54/100))</f>
        <v/>
      </c>
      <c r="J54" s="6" t="n"/>
      <c r="K54" s="6" t="n"/>
      <c r="L54" s="8" t="n"/>
      <c r="M54" s="8" t="n"/>
      <c r="N54" s="8" t="n"/>
      <c r="O54" s="8" t="n"/>
      <c r="P54" s="8" t="n"/>
      <c r="Q54" s="8">
        <f>IF(OR(O54="",P54=""),"",MIN(O54,P54)-N54)</f>
        <v/>
      </c>
      <c r="R54" s="6" t="n"/>
      <c r="S54" s="6" t="n"/>
      <c r="T54" s="6" t="n"/>
      <c r="U54" s="6" t="n"/>
      <c r="V54" s="6" t="n"/>
      <c r="W54" s="6" t="n"/>
      <c r="X54" s="6" t="n"/>
      <c r="Y54" s="6" t="n"/>
      <c r="Z54" s="6" t="inlineStr">
        <is>
          <t>7현장: 금호,김성용,김은경,이선,이성숙</t>
        </is>
      </c>
      <c r="AA54" s="8" t="n">
        <v>12000</v>
      </c>
      <c r="AB54" s="8" t="n">
        <v>20000</v>
      </c>
    </row>
    <row r="55">
      <c r="A55" s="9" t="inlineStr">
        <is>
          <t>WD-29E</t>
        </is>
      </c>
      <c r="B55" s="9" t="inlineStr">
        <is>
          <t>벽체공사(석고)</t>
        </is>
      </c>
      <c r="C55" s="6" t="inlineStr">
        <is>
          <t>9.5T 석고보드 2PLY</t>
        </is>
      </c>
      <c r="D55" s="6" t="inlineStr"/>
      <c r="E55" s="6" t="inlineStr">
        <is>
          <t>필수</t>
        </is>
      </c>
      <c r="F55" s="6" t="inlineStr">
        <is>
          <t>M2</t>
        </is>
      </c>
      <c r="G55" s="6" t="n"/>
      <c r="H55" s="6" t="n"/>
      <c r="I55" s="7">
        <f>IF(G55="","",G55*(1+H55/100))</f>
        <v/>
      </c>
      <c r="J55" s="6" t="n"/>
      <c r="K55" s="6" t="n"/>
      <c r="L55" s="8" t="n"/>
      <c r="M55" s="8" t="n"/>
      <c r="N55" s="8" t="n"/>
      <c r="O55" s="8" t="n"/>
      <c r="P55" s="8" t="n"/>
      <c r="Q55" s="8">
        <f>IF(OR(O55="",P55=""),"",MIN(O55,P55)-N55)</f>
        <v/>
      </c>
      <c r="R55" s="6" t="n"/>
      <c r="S55" s="6" t="n"/>
      <c r="T55" s="6" t="n"/>
      <c r="U55" s="6" t="n"/>
      <c r="V55" s="6" t="n"/>
      <c r="W55" s="6" t="n"/>
      <c r="X55" s="6" t="n"/>
      <c r="Y55" s="6" t="n"/>
      <c r="Z55" s="6" t="inlineStr">
        <is>
          <t>7현장: 금호,김성용,김은경,이선,이성숙</t>
        </is>
      </c>
      <c r="AA55" s="8" t="n">
        <v>10000</v>
      </c>
      <c r="AB55" s="8" t="n">
        <v>15000</v>
      </c>
    </row>
    <row r="56">
      <c r="A56" s="9" t="inlineStr">
        <is>
          <t>WD-30E</t>
        </is>
      </c>
      <c r="B56" s="9" t="inlineStr">
        <is>
          <t>샷시</t>
        </is>
      </c>
      <c r="C56" s="6" t="inlineStr">
        <is>
          <t>LX 창호</t>
        </is>
      </c>
      <c r="D56" s="6" t="inlineStr">
        <is>
          <t>주방, 세탁실</t>
        </is>
      </c>
      <c r="E56" s="6" t="inlineStr">
        <is>
          <t>필수</t>
        </is>
      </c>
      <c r="F56" s="6" t="inlineStr">
        <is>
          <t>SET</t>
        </is>
      </c>
      <c r="G56" s="6" t="n"/>
      <c r="H56" s="6" t="n"/>
      <c r="I56" s="7">
        <f>IF(G56="","",G56*(1+H56/100))</f>
        <v/>
      </c>
      <c r="J56" s="6" t="n"/>
      <c r="K56" s="6" t="n"/>
      <c r="L56" s="8" t="n"/>
      <c r="M56" s="8" t="n"/>
      <c r="N56" s="8" t="n"/>
      <c r="O56" s="8" t="n"/>
      <c r="P56" s="8" t="n"/>
      <c r="Q56" s="8">
        <f>IF(OR(O56="",P56=""),"",MIN(O56,P56)-N56)</f>
        <v/>
      </c>
      <c r="R56" s="6" t="n"/>
      <c r="S56" s="6" t="n"/>
      <c r="T56" s="6" t="n"/>
      <c r="U56" s="6" t="n"/>
      <c r="V56" s="6" t="n"/>
      <c r="W56" s="6" t="n"/>
      <c r="X56" s="6" t="n"/>
      <c r="Y56" s="6" t="n"/>
      <c r="Z56" s="6" t="inlineStr">
        <is>
          <t>2현장: 이성숙,전기영</t>
        </is>
      </c>
      <c r="AA56" s="8" t="n">
        <v>1800000</v>
      </c>
      <c r="AB56" s="8" t="n">
        <v>200000</v>
      </c>
    </row>
    <row r="57">
      <c r="A57" s="9" t="inlineStr">
        <is>
          <t>WD-31E</t>
        </is>
      </c>
      <c r="B57" s="9" t="inlineStr">
        <is>
          <t>서재 붙박이 장</t>
        </is>
      </c>
      <c r="C57" s="6" t="inlineStr">
        <is>
          <t>—</t>
        </is>
      </c>
      <c r="D57" s="6" t="inlineStr"/>
      <c r="E57" s="6" t="inlineStr">
        <is>
          <t>필수</t>
        </is>
      </c>
      <c r="F57" s="6" t="inlineStr">
        <is>
          <t>식</t>
        </is>
      </c>
      <c r="G57" s="6" t="n"/>
      <c r="H57" s="6" t="n"/>
      <c r="I57" s="7">
        <f>IF(G57="","",G57*(1+H57/100))</f>
        <v/>
      </c>
      <c r="J57" s="6" t="n"/>
      <c r="K57" s="6" t="n"/>
      <c r="L57" s="8" t="n"/>
      <c r="M57" s="8" t="n"/>
      <c r="N57" s="8" t="n"/>
      <c r="O57" s="8" t="n"/>
      <c r="P57" s="8" t="n"/>
      <c r="Q57" s="8">
        <f>IF(OR(O57="",P57=""),"",MIN(O57,P57)-N57)</f>
        <v/>
      </c>
      <c r="R57" s="6" t="n"/>
      <c r="S57" s="6" t="n"/>
      <c r="T57" s="6" t="n"/>
      <c r="U57" s="6" t="n"/>
      <c r="V57" s="6" t="n"/>
      <c r="W57" s="6" t="n"/>
      <c r="X57" s="6" t="n"/>
      <c r="Y57" s="6" t="n"/>
      <c r="Z57" s="6" t="inlineStr">
        <is>
          <t>1현장: 전기영</t>
        </is>
      </c>
      <c r="AA57" s="8" t="n">
        <v>200000</v>
      </c>
      <c r="AB57" s="8" t="n">
        <v>350000</v>
      </c>
    </row>
    <row r="58">
      <c r="A58" s="9" t="inlineStr">
        <is>
          <t>WD-32E</t>
        </is>
      </c>
      <c r="B58" s="9" t="inlineStr">
        <is>
          <t>서재방 레어로우 협의</t>
        </is>
      </c>
      <c r="C58" s="6" t="inlineStr">
        <is>
          <t>—</t>
        </is>
      </c>
      <c r="D58" s="6" t="inlineStr"/>
      <c r="E58" s="6" t="inlineStr">
        <is>
          <t>필수</t>
        </is>
      </c>
      <c r="F58" s="6" t="inlineStr">
        <is>
          <t>식</t>
        </is>
      </c>
      <c r="G58" s="6" t="n"/>
      <c r="H58" s="6" t="n"/>
      <c r="I58" s="7">
        <f>IF(G58="","",G58*(1+H58/100))</f>
        <v/>
      </c>
      <c r="J58" s="6" t="n"/>
      <c r="K58" s="6" t="n"/>
      <c r="L58" s="8" t="n"/>
      <c r="M58" s="8" t="n"/>
      <c r="N58" s="8" t="n"/>
      <c r="O58" s="8" t="n"/>
      <c r="P58" s="8" t="n"/>
      <c r="Q58" s="8">
        <f>IF(OR(O58="",P58=""),"",MIN(O58,P58)-N58)</f>
        <v/>
      </c>
      <c r="R58" s="6" t="n"/>
      <c r="S58" s="6" t="n"/>
      <c r="T58" s="6" t="n"/>
      <c r="U58" s="6" t="n"/>
      <c r="V58" s="6" t="n"/>
      <c r="W58" s="6" t="n"/>
      <c r="X58" s="6" t="n"/>
      <c r="Y58" s="6" t="n"/>
      <c r="Z58" s="6" t="inlineStr">
        <is>
          <t>1현장: 이선</t>
        </is>
      </c>
      <c r="AA58" s="8" t="n"/>
      <c r="AB58" s="8" t="n"/>
    </row>
    <row r="59">
      <c r="A59" s="9" t="inlineStr">
        <is>
          <t>WD-33E</t>
        </is>
      </c>
      <c r="B59" s="9" t="inlineStr">
        <is>
          <t>세라믹 식탁</t>
        </is>
      </c>
      <c r="C59" s="6" t="inlineStr">
        <is>
          <t>동일스펙</t>
        </is>
      </c>
      <c r="D59" s="6" t="inlineStr">
        <is>
          <t>별도 협의</t>
        </is>
      </c>
      <c r="E59" s="6" t="inlineStr">
        <is>
          <t>필수</t>
        </is>
      </c>
      <c r="F59" s="6" t="inlineStr">
        <is>
          <t>식</t>
        </is>
      </c>
      <c r="G59" s="6" t="n"/>
      <c r="H59" s="6" t="n"/>
      <c r="I59" s="7">
        <f>IF(G59="","",G59*(1+H59/100))</f>
        <v/>
      </c>
      <c r="J59" s="6" t="n"/>
      <c r="K59" s="6" t="n"/>
      <c r="L59" s="8" t="n"/>
      <c r="M59" s="8" t="n"/>
      <c r="N59" s="8" t="n"/>
      <c r="O59" s="8" t="n"/>
      <c r="P59" s="8" t="n"/>
      <c r="Q59" s="8">
        <f>IF(OR(O59="",P59=""),"",MIN(O59,P59)-N59)</f>
        <v/>
      </c>
      <c r="R59" s="6" t="n"/>
      <c r="S59" s="6" t="n"/>
      <c r="T59" s="6" t="n"/>
      <c r="U59" s="6" t="n"/>
      <c r="V59" s="6" t="n"/>
      <c r="W59" s="6" t="n"/>
      <c r="X59" s="6" t="n"/>
      <c r="Y59" s="6" t="n"/>
      <c r="Z59" s="6" t="inlineStr">
        <is>
          <t>1현장: 김은경</t>
        </is>
      </c>
      <c r="AA59" s="8" t="n">
        <v>2300000</v>
      </c>
      <c r="AB59" s="8" t="n">
        <v>200000</v>
      </c>
    </row>
    <row r="60">
      <c r="A60" s="9" t="inlineStr">
        <is>
          <t>WD-34E</t>
        </is>
      </c>
      <c r="B60" s="9" t="inlineStr">
        <is>
          <t>소   계</t>
        </is>
      </c>
      <c r="C60" s="6" t="inlineStr">
        <is>
          <t>—</t>
        </is>
      </c>
      <c r="D60" s="6" t="inlineStr"/>
      <c r="E60" s="6" t="inlineStr">
        <is>
          <t>필수</t>
        </is>
      </c>
      <c r="F60" s="6" t="inlineStr">
        <is>
          <t>식</t>
        </is>
      </c>
      <c r="G60" s="6" t="n"/>
      <c r="H60" s="6" t="n"/>
      <c r="I60" s="7">
        <f>IF(G60="","",G60*(1+H60/100))</f>
        <v/>
      </c>
      <c r="J60" s="6" t="n"/>
      <c r="K60" s="6" t="n"/>
      <c r="L60" s="8" t="n"/>
      <c r="M60" s="8" t="n"/>
      <c r="N60" s="8" t="n"/>
      <c r="O60" s="8" t="n"/>
      <c r="P60" s="8" t="n"/>
      <c r="Q60" s="8">
        <f>IF(OR(O60="",P60=""),"",MIN(O60,P60)-N60)</f>
        <v/>
      </c>
      <c r="R60" s="6" t="n"/>
      <c r="S60" s="6" t="n"/>
      <c r="T60" s="6" t="n"/>
      <c r="U60" s="6" t="n"/>
      <c r="V60" s="6" t="n"/>
      <c r="W60" s="6" t="n"/>
      <c r="X60" s="6" t="n"/>
      <c r="Y60" s="6" t="n"/>
      <c r="Z60" s="6" t="inlineStr">
        <is>
          <t>13현장: 금호,김성용,김은경,린스,만현</t>
        </is>
      </c>
      <c r="AA60" s="8" t="n"/>
      <c r="AB60" s="8" t="n"/>
    </row>
    <row r="61">
      <c r="A61" s="9" t="inlineStr">
        <is>
          <t>WD-35E</t>
        </is>
      </c>
      <c r="B61" s="9" t="inlineStr">
        <is>
          <t>소파 아트월</t>
        </is>
      </c>
      <c r="C61" s="6" t="inlineStr">
        <is>
          <t>디자인</t>
        </is>
      </c>
      <c r="D61" s="6" t="inlineStr">
        <is>
          <t>거실</t>
        </is>
      </c>
      <c r="E61" s="6" t="inlineStr">
        <is>
          <t>필수</t>
        </is>
      </c>
      <c r="F61" s="6" t="inlineStr">
        <is>
          <t>식</t>
        </is>
      </c>
      <c r="G61" s="6" t="n"/>
      <c r="H61" s="6" t="n"/>
      <c r="I61" s="7">
        <f>IF(G61="","",G61*(1+H61/100))</f>
        <v/>
      </c>
      <c r="J61" s="6" t="n"/>
      <c r="K61" s="6" t="n"/>
      <c r="L61" s="8" t="n"/>
      <c r="M61" s="8" t="n"/>
      <c r="N61" s="8" t="n"/>
      <c r="O61" s="8" t="n"/>
      <c r="P61" s="8" t="n"/>
      <c r="Q61" s="8">
        <f>IF(OR(O61="",P61=""),"",MIN(O61,P61)-N61)</f>
        <v/>
      </c>
      <c r="R61" s="6" t="n"/>
      <c r="S61" s="6" t="n"/>
      <c r="T61" s="6" t="n"/>
      <c r="U61" s="6" t="n"/>
      <c r="V61" s="6" t="n"/>
      <c r="W61" s="6" t="n"/>
      <c r="X61" s="6" t="n"/>
      <c r="Y61" s="6" t="n"/>
      <c r="Z61" s="6" t="inlineStr">
        <is>
          <t>1현장: 만현</t>
        </is>
      </c>
      <c r="AA61" s="8" t="n">
        <v>650000</v>
      </c>
      <c r="AB61" s="8" t="n">
        <v>700000</v>
      </c>
    </row>
    <row r="62">
      <c r="A62" s="9" t="inlineStr">
        <is>
          <t>WD-36E</t>
        </is>
      </c>
      <c r="B62" s="9" t="inlineStr">
        <is>
          <t>쇼파 제작</t>
        </is>
      </c>
      <c r="C62" s="6" t="inlineStr">
        <is>
          <t>—</t>
        </is>
      </c>
      <c r="D62" s="6" t="inlineStr"/>
      <c r="E62" s="6" t="inlineStr">
        <is>
          <t>필수</t>
        </is>
      </c>
      <c r="F62" s="6" t="inlineStr">
        <is>
          <t>식</t>
        </is>
      </c>
      <c r="G62" s="6" t="n"/>
      <c r="H62" s="6" t="n"/>
      <c r="I62" s="7">
        <f>IF(G62="","",G62*(1+H62/100))</f>
        <v/>
      </c>
      <c r="J62" s="6" t="n"/>
      <c r="K62" s="6" t="n"/>
      <c r="L62" s="8" t="n"/>
      <c r="M62" s="8" t="n"/>
      <c r="N62" s="8" t="n"/>
      <c r="O62" s="8" t="n"/>
      <c r="P62" s="8" t="n"/>
      <c r="Q62" s="8">
        <f>IF(OR(O62="",P62=""),"",MIN(O62,P62)-N62)</f>
        <v/>
      </c>
      <c r="R62" s="6" t="n"/>
      <c r="S62" s="6" t="n"/>
      <c r="T62" s="6" t="n"/>
      <c r="U62" s="6" t="n"/>
      <c r="V62" s="6" t="n"/>
      <c r="W62" s="6" t="n"/>
      <c r="X62" s="6" t="n"/>
      <c r="Y62" s="6" t="n"/>
      <c r="Z62" s="6" t="inlineStr">
        <is>
          <t>4현장: 금호,이선,전기영,행당동</t>
        </is>
      </c>
      <c r="AA62" s="8" t="n"/>
      <c r="AB62" s="8" t="n"/>
    </row>
    <row r="63">
      <c r="A63" s="9" t="inlineStr">
        <is>
          <t>WD-37E</t>
        </is>
      </c>
      <c r="B63" s="9" t="inlineStr">
        <is>
          <t>쇼파 쿠션, 등받이 포함</t>
        </is>
      </c>
      <c r="C63" s="6" t="inlineStr">
        <is>
          <t>쇼파</t>
        </is>
      </c>
      <c r="D63" s="6" t="inlineStr"/>
      <c r="E63" s="6" t="inlineStr">
        <is>
          <t>필수</t>
        </is>
      </c>
      <c r="F63" s="6" t="inlineStr">
        <is>
          <t>식</t>
        </is>
      </c>
      <c r="G63" s="6" t="n"/>
      <c r="H63" s="6" t="n"/>
      <c r="I63" s="7">
        <f>IF(G63="","",G63*(1+H63/100))</f>
        <v/>
      </c>
      <c r="J63" s="6" t="n"/>
      <c r="K63" s="6" t="n"/>
      <c r="L63" s="8" t="n"/>
      <c r="M63" s="8" t="n"/>
      <c r="N63" s="8" t="n"/>
      <c r="O63" s="8" t="n"/>
      <c r="P63" s="8" t="n"/>
      <c r="Q63" s="8">
        <f>IF(OR(O63="",P63=""),"",MIN(O63,P63)-N63)</f>
        <v/>
      </c>
      <c r="R63" s="6" t="n"/>
      <c r="S63" s="6" t="n"/>
      <c r="T63" s="6" t="n"/>
      <c r="U63" s="6" t="n"/>
      <c r="V63" s="6" t="n"/>
      <c r="W63" s="6" t="n"/>
      <c r="X63" s="6" t="n"/>
      <c r="Y63" s="6" t="n"/>
      <c r="Z63" s="6" t="inlineStr">
        <is>
          <t>4현장: 금호,이선,전기영,행당동</t>
        </is>
      </c>
      <c r="AA63" s="8" t="n"/>
      <c r="AB63" s="8" t="n"/>
    </row>
    <row r="64">
      <c r="A64" s="9" t="inlineStr">
        <is>
          <t>WD-38E</t>
        </is>
      </c>
      <c r="B64" s="9" t="inlineStr">
        <is>
          <t>스텝도어</t>
        </is>
      </c>
      <c r="C64" s="6" t="inlineStr">
        <is>
          <t>36T ABS 도어 및 문틀</t>
        </is>
      </c>
      <c r="D64" s="6" t="inlineStr">
        <is>
          <t>자녀방</t>
        </is>
      </c>
      <c r="E64" s="6" t="inlineStr">
        <is>
          <t>필수</t>
        </is>
      </c>
      <c r="F64" s="6" t="inlineStr">
        <is>
          <t>식</t>
        </is>
      </c>
      <c r="G64" s="6" t="n"/>
      <c r="H64" s="6" t="n"/>
      <c r="I64" s="7">
        <f>IF(G64="","",G64*(1+H64/100))</f>
        <v/>
      </c>
      <c r="J64" s="6" t="n"/>
      <c r="K64" s="6" t="n"/>
      <c r="L64" s="8" t="n"/>
      <c r="M64" s="8" t="n"/>
      <c r="N64" s="8" t="n"/>
      <c r="O64" s="8" t="n"/>
      <c r="P64" s="8" t="n"/>
      <c r="Q64" s="8">
        <f>IF(OR(O64="",P64=""),"",MIN(O64,P64)-N64)</f>
        <v/>
      </c>
      <c r="R64" s="6" t="n"/>
      <c r="S64" s="6" t="n"/>
      <c r="T64" s="6" t="n"/>
      <c r="U64" s="6" t="n"/>
      <c r="V64" s="6" t="n"/>
      <c r="W64" s="6" t="n"/>
      <c r="X64" s="6" t="n"/>
      <c r="Y64" s="6" t="n"/>
      <c r="Z64" s="6" t="inlineStr">
        <is>
          <t>2현장: 백현,이선</t>
        </is>
      </c>
      <c r="AA64" s="8" t="n">
        <v>500000</v>
      </c>
      <c r="AB64" s="8" t="n">
        <v>225000</v>
      </c>
    </row>
    <row r="65">
      <c r="A65" s="9" t="inlineStr">
        <is>
          <t>WD-39E</t>
        </is>
      </c>
      <c r="B65" s="9" t="inlineStr">
        <is>
          <t>슬라이딩도어</t>
        </is>
      </c>
      <c r="C65" s="6" t="inlineStr">
        <is>
          <t>도어 / 포켓 시공</t>
        </is>
      </c>
      <c r="D65" s="6" t="inlineStr">
        <is>
          <t>아이방 / 거실</t>
        </is>
      </c>
      <c r="E65" s="6" t="inlineStr">
        <is>
          <t>필수</t>
        </is>
      </c>
      <c r="F65" s="6" t="inlineStr">
        <is>
          <t>EA</t>
        </is>
      </c>
      <c r="G65" s="6" t="n"/>
      <c r="H65" s="6" t="n"/>
      <c r="I65" s="7">
        <f>IF(G65="","",G65*(1+H65/100))</f>
        <v/>
      </c>
      <c r="J65" s="6" t="n"/>
      <c r="K65" s="6" t="n"/>
      <c r="L65" s="8" t="n"/>
      <c r="M65" s="8" t="n"/>
      <c r="N65" s="8" t="n"/>
      <c r="O65" s="8" t="n"/>
      <c r="P65" s="8" t="n"/>
      <c r="Q65" s="8">
        <f>IF(OR(O65="",P65=""),"",MIN(O65,P65)-N65)</f>
        <v/>
      </c>
      <c r="R65" s="6" t="n"/>
      <c r="S65" s="6" t="n"/>
      <c r="T65" s="6" t="n"/>
      <c r="U65" s="6" t="n"/>
      <c r="V65" s="6" t="n"/>
      <c r="W65" s="6" t="n"/>
      <c r="X65" s="6" t="n"/>
      <c r="Y65" s="6" t="n"/>
      <c r="Z65" s="6" t="inlineStr">
        <is>
          <t>2현장: 김성용,김은경</t>
        </is>
      </c>
      <c r="AA65" s="8" t="n">
        <v>150000</v>
      </c>
      <c r="AB65" s="8" t="n">
        <v>150000</v>
      </c>
    </row>
    <row r="66">
      <c r="A66" s="9" t="inlineStr">
        <is>
          <t>WD-40E</t>
        </is>
      </c>
      <c r="B66" s="9" t="inlineStr">
        <is>
          <t>식탁 다리</t>
        </is>
      </c>
      <c r="C66" s="6" t="inlineStr">
        <is>
          <t>미정</t>
        </is>
      </c>
      <c r="D66" s="6" t="inlineStr"/>
      <c r="E66" s="6" t="inlineStr">
        <is>
          <t>필수</t>
        </is>
      </c>
      <c r="F66" s="6" t="inlineStr">
        <is>
          <t>식</t>
        </is>
      </c>
      <c r="G66" s="6" t="n"/>
      <c r="H66" s="6" t="n"/>
      <c r="I66" s="7">
        <f>IF(G66="","",G66*(1+H66/100))</f>
        <v/>
      </c>
      <c r="J66" s="6" t="n"/>
      <c r="K66" s="6" t="n"/>
      <c r="L66" s="8" t="n"/>
      <c r="M66" s="8" t="n"/>
      <c r="N66" s="8" t="n"/>
      <c r="O66" s="8" t="n"/>
      <c r="P66" s="8" t="n"/>
      <c r="Q66" s="8">
        <f>IF(OR(O66="",P66=""),"",MIN(O66,P66)-N66)</f>
        <v/>
      </c>
      <c r="R66" s="6" t="n"/>
      <c r="S66" s="6" t="n"/>
      <c r="T66" s="6" t="n"/>
      <c r="U66" s="6" t="n"/>
      <c r="V66" s="6" t="n"/>
      <c r="W66" s="6" t="n"/>
      <c r="X66" s="6" t="n"/>
      <c r="Y66" s="6" t="n"/>
      <c r="Z66" s="6" t="inlineStr">
        <is>
          <t>4현장: 린스,백현,진산,푸르지오</t>
        </is>
      </c>
      <c r="AA66" s="8" t="n"/>
      <c r="AB66" s="8" t="n"/>
    </row>
    <row r="67">
      <c r="A67" s="9" t="inlineStr">
        <is>
          <t>WD-41E</t>
        </is>
      </c>
      <c r="B67" s="9" t="inlineStr">
        <is>
          <t>실링팬 보강</t>
        </is>
      </c>
      <c r="C67" s="6" t="inlineStr">
        <is>
          <t>거실 천장</t>
        </is>
      </c>
      <c r="D67" s="6" t="inlineStr"/>
      <c r="E67" s="6" t="inlineStr">
        <is>
          <t>필수</t>
        </is>
      </c>
      <c r="F67" s="6" t="inlineStr">
        <is>
          <t>식</t>
        </is>
      </c>
      <c r="G67" s="6" t="n"/>
      <c r="H67" s="6" t="n"/>
      <c r="I67" s="7">
        <f>IF(G67="","",G67*(1+H67/100))</f>
        <v/>
      </c>
      <c r="J67" s="6" t="n"/>
      <c r="K67" s="6" t="n"/>
      <c r="L67" s="8" t="n"/>
      <c r="M67" s="8" t="n"/>
      <c r="N67" s="8" t="n"/>
      <c r="O67" s="8" t="n"/>
      <c r="P67" s="8" t="n"/>
      <c r="Q67" s="8">
        <f>IF(OR(O67="",P67=""),"",MIN(O67,P67)-N67)</f>
        <v/>
      </c>
      <c r="R67" s="6" t="n"/>
      <c r="S67" s="6" t="n"/>
      <c r="T67" s="6" t="n"/>
      <c r="U67" s="6" t="n"/>
      <c r="V67" s="6" t="n"/>
      <c r="W67" s="6" t="n"/>
      <c r="X67" s="6" t="n"/>
      <c r="Y67" s="6" t="n"/>
      <c r="Z67" s="6" t="inlineStr">
        <is>
          <t>1현장: 이성숙</t>
        </is>
      </c>
      <c r="AA67" s="8" t="n"/>
      <c r="AB67" s="8" t="n"/>
    </row>
    <row r="68">
      <c r="A68" s="9" t="inlineStr">
        <is>
          <t>WD-42E</t>
        </is>
      </c>
      <c r="B68" s="9" t="inlineStr">
        <is>
          <t>아이방 단열</t>
        </is>
      </c>
      <c r="C68" s="6" t="inlineStr">
        <is>
          <t>이보드 30T</t>
        </is>
      </c>
      <c r="D68" s="6" t="inlineStr"/>
      <c r="E68" s="6" t="inlineStr">
        <is>
          <t>필수</t>
        </is>
      </c>
      <c r="F68" s="6" t="inlineStr">
        <is>
          <t>식</t>
        </is>
      </c>
      <c r="G68" s="6" t="n"/>
      <c r="H68" s="6" t="n"/>
      <c r="I68" s="7">
        <f>IF(G68="","",G68*(1+H68/100))</f>
        <v/>
      </c>
      <c r="J68" s="6" t="n"/>
      <c r="K68" s="6" t="n"/>
      <c r="L68" s="8" t="n"/>
      <c r="M68" s="8" t="n"/>
      <c r="N68" s="8" t="n"/>
      <c r="O68" s="8" t="n"/>
      <c r="P68" s="8" t="n"/>
      <c r="Q68" s="8">
        <f>IF(OR(O68="",P68=""),"",MIN(O68,P68)-N68)</f>
        <v/>
      </c>
      <c r="R68" s="6" t="n"/>
      <c r="S68" s="6" t="n"/>
      <c r="T68" s="6" t="n"/>
      <c r="U68" s="6" t="n"/>
      <c r="V68" s="6" t="n"/>
      <c r="W68" s="6" t="n"/>
      <c r="X68" s="6" t="n"/>
      <c r="Y68" s="6" t="n"/>
      <c r="Z68" s="6" t="inlineStr">
        <is>
          <t>1현장: 행당동</t>
        </is>
      </c>
      <c r="AA68" s="8" t="n">
        <v>200000</v>
      </c>
      <c r="AB68" s="8" t="n">
        <v>200000</v>
      </c>
    </row>
    <row r="69">
      <c r="A69" s="9" t="inlineStr">
        <is>
          <t>WD-43E</t>
        </is>
      </c>
      <c r="B69" s="9" t="inlineStr">
        <is>
          <t>안방 윈도우 시트</t>
        </is>
      </c>
      <c r="C69" s="6" t="inlineStr">
        <is>
          <t>제작</t>
        </is>
      </c>
      <c r="D69" s="6" t="inlineStr">
        <is>
          <t>안 방</t>
        </is>
      </c>
      <c r="E69" s="6" t="inlineStr">
        <is>
          <t>필수</t>
        </is>
      </c>
      <c r="F69" s="6" t="inlineStr">
        <is>
          <t>식</t>
        </is>
      </c>
      <c r="G69" s="6" t="n"/>
      <c r="H69" s="6" t="n"/>
      <c r="I69" s="7">
        <f>IF(G69="","",G69*(1+H69/100))</f>
        <v/>
      </c>
      <c r="J69" s="6" t="n"/>
      <c r="K69" s="6" t="n"/>
      <c r="L69" s="8" t="n"/>
      <c r="M69" s="8" t="n"/>
      <c r="N69" s="8" t="n"/>
      <c r="O69" s="8" t="n"/>
      <c r="P69" s="8" t="n"/>
      <c r="Q69" s="8">
        <f>IF(OR(O69="",P69=""),"",MIN(O69,P69)-N69)</f>
        <v/>
      </c>
      <c r="R69" s="6" t="n"/>
      <c r="S69" s="6" t="n"/>
      <c r="T69" s="6" t="n"/>
      <c r="U69" s="6" t="n"/>
      <c r="V69" s="6" t="n"/>
      <c r="W69" s="6" t="n"/>
      <c r="X69" s="6" t="n"/>
      <c r="Y69" s="6" t="n"/>
      <c r="Z69" s="6" t="inlineStr">
        <is>
          <t>1현장: 만현</t>
        </is>
      </c>
      <c r="AA69" s="8" t="n">
        <v>450000</v>
      </c>
      <c r="AB69" s="8" t="n">
        <v>600000</v>
      </c>
    </row>
    <row r="70">
      <c r="A70" s="9" t="inlineStr">
        <is>
          <t>WD-44E</t>
        </is>
      </c>
      <c r="B70" s="9" t="inlineStr">
        <is>
          <t>안방 침대헤드</t>
        </is>
      </c>
      <c r="C70" s="6" t="inlineStr">
        <is>
          <t>—</t>
        </is>
      </c>
      <c r="D70" s="6" t="inlineStr"/>
      <c r="E70" s="6" t="inlineStr">
        <is>
          <t>필수</t>
        </is>
      </c>
      <c r="F70" s="6" t="inlineStr">
        <is>
          <t>식</t>
        </is>
      </c>
      <c r="G70" s="6" t="n"/>
      <c r="H70" s="6" t="n"/>
      <c r="I70" s="7">
        <f>IF(G70="","",G70*(1+H70/100))</f>
        <v/>
      </c>
      <c r="J70" s="6" t="n"/>
      <c r="K70" s="6" t="n"/>
      <c r="L70" s="8" t="n"/>
      <c r="M70" s="8" t="n"/>
      <c r="N70" s="8" t="n"/>
      <c r="O70" s="8" t="n"/>
      <c r="P70" s="8" t="n"/>
      <c r="Q70" s="8">
        <f>IF(OR(O70="",P70=""),"",MIN(O70,P70)-N70)</f>
        <v/>
      </c>
      <c r="R70" s="6" t="n"/>
      <c r="S70" s="6" t="n"/>
      <c r="T70" s="6" t="n"/>
      <c r="U70" s="6" t="n"/>
      <c r="V70" s="6" t="n"/>
      <c r="W70" s="6" t="n"/>
      <c r="X70" s="6" t="n"/>
      <c r="Y70" s="6" t="n"/>
      <c r="Z70" s="6" t="inlineStr">
        <is>
          <t>1현장: 전기영</t>
        </is>
      </c>
      <c r="AA70" s="8" t="n">
        <v>150000</v>
      </c>
      <c r="AB70" s="8" t="n">
        <v>150000</v>
      </c>
    </row>
    <row r="71">
      <c r="A71" s="9" t="inlineStr">
        <is>
          <t>WD-45E</t>
        </is>
      </c>
      <c r="B71" s="9" t="inlineStr">
        <is>
          <t>안방 평상</t>
        </is>
      </c>
      <c r="C71" s="6" t="inlineStr">
        <is>
          <t>—</t>
        </is>
      </c>
      <c r="D71" s="6" t="inlineStr"/>
      <c r="E71" s="6" t="inlineStr">
        <is>
          <t>필수</t>
        </is>
      </c>
      <c r="F71" s="6" t="inlineStr">
        <is>
          <t>식</t>
        </is>
      </c>
      <c r="G71" s="6" t="n"/>
      <c r="H71" s="6" t="n"/>
      <c r="I71" s="7">
        <f>IF(G71="","",G71*(1+H71/100))</f>
        <v/>
      </c>
      <c r="J71" s="6" t="n"/>
      <c r="K71" s="6" t="n"/>
      <c r="L71" s="8" t="n"/>
      <c r="M71" s="8" t="n"/>
      <c r="N71" s="8" t="n"/>
      <c r="O71" s="8" t="n"/>
      <c r="P71" s="8" t="n"/>
      <c r="Q71" s="8">
        <f>IF(OR(O71="",P71=""),"",MIN(O71,P71)-N71)</f>
        <v/>
      </c>
      <c r="R71" s="6" t="n"/>
      <c r="S71" s="6" t="n"/>
      <c r="T71" s="6" t="n"/>
      <c r="U71" s="6" t="n"/>
      <c r="V71" s="6" t="n"/>
      <c r="W71" s="6" t="n"/>
      <c r="X71" s="6" t="n"/>
      <c r="Y71" s="6" t="n"/>
      <c r="Z71" s="6" t="inlineStr">
        <is>
          <t>1현장: 전기영</t>
        </is>
      </c>
      <c r="AA71" s="8" t="n">
        <v>200000</v>
      </c>
      <c r="AB71" s="8" t="n">
        <v>250000</v>
      </c>
    </row>
    <row r="72">
      <c r="A72" s="9" t="inlineStr">
        <is>
          <t>WD-46E</t>
        </is>
      </c>
      <c r="B72" s="9" t="inlineStr">
        <is>
          <t>에어컨</t>
        </is>
      </c>
      <c r="C72" s="6" t="inlineStr">
        <is>
          <t>시스템 에어컨</t>
        </is>
      </c>
      <c r="D72" s="6" t="inlineStr">
        <is>
          <t>5대</t>
        </is>
      </c>
      <c r="E72" s="6" t="inlineStr">
        <is>
          <t>필수</t>
        </is>
      </c>
      <c r="F72" s="6" t="inlineStr">
        <is>
          <t>식</t>
        </is>
      </c>
      <c r="G72" s="6" t="n"/>
      <c r="H72" s="6" t="n"/>
      <c r="I72" s="7">
        <f>IF(G72="","",G72*(1+H72/100))</f>
        <v/>
      </c>
      <c r="J72" s="6" t="n"/>
      <c r="K72" s="6" t="n"/>
      <c r="L72" s="8" t="n"/>
      <c r="M72" s="8" t="n"/>
      <c r="N72" s="8" t="n"/>
      <c r="O72" s="8" t="n"/>
      <c r="P72" s="8" t="n"/>
      <c r="Q72" s="8">
        <f>IF(OR(O72="",P72=""),"",MIN(O72,P72)-N72)</f>
        <v/>
      </c>
      <c r="R72" s="6" t="n"/>
      <c r="S72" s="6" t="n"/>
      <c r="T72" s="6" t="n"/>
      <c r="U72" s="6" t="n"/>
      <c r="V72" s="6" t="n"/>
      <c r="W72" s="6" t="n"/>
      <c r="X72" s="6" t="n"/>
      <c r="Y72" s="6" t="n"/>
      <c r="Z72" s="6" t="inlineStr">
        <is>
          <t>1현장: 이성숙</t>
        </is>
      </c>
      <c r="AA72" s="8" t="n"/>
      <c r="AB72" s="8" t="n"/>
    </row>
    <row r="73">
      <c r="A73" s="9" t="inlineStr">
        <is>
          <t>WD-47E</t>
        </is>
      </c>
      <c r="B73" s="9" t="inlineStr">
        <is>
          <t>에어컨 단내림</t>
        </is>
      </c>
      <c r="C73" s="6" t="inlineStr">
        <is>
          <t>제작</t>
        </is>
      </c>
      <c r="D73" s="6" t="inlineStr">
        <is>
          <t>거실, 각 방</t>
        </is>
      </c>
      <c r="E73" s="6" t="inlineStr">
        <is>
          <t>필수</t>
        </is>
      </c>
      <c r="F73" s="6" t="inlineStr">
        <is>
          <t>식</t>
        </is>
      </c>
      <c r="G73" s="6" t="n"/>
      <c r="H73" s="6" t="n"/>
      <c r="I73" s="7">
        <f>IF(G73="","",G73*(1+H73/100))</f>
        <v/>
      </c>
      <c r="J73" s="6" t="n"/>
      <c r="K73" s="6" t="n"/>
      <c r="L73" s="8" t="n"/>
      <c r="M73" s="8" t="n"/>
      <c r="N73" s="8" t="n"/>
      <c r="O73" s="8" t="n"/>
      <c r="P73" s="8" t="n"/>
      <c r="Q73" s="8">
        <f>IF(OR(O73="",P73=""),"",MIN(O73,P73)-N73)</f>
        <v/>
      </c>
      <c r="R73" s="6" t="n"/>
      <c r="S73" s="6" t="n"/>
      <c r="T73" s="6" t="n"/>
      <c r="U73" s="6" t="n"/>
      <c r="V73" s="6" t="n"/>
      <c r="W73" s="6" t="n"/>
      <c r="X73" s="6" t="n"/>
      <c r="Y73" s="6" t="n"/>
      <c r="Z73" s="6" t="inlineStr">
        <is>
          <t>1현장: 만현</t>
        </is>
      </c>
      <c r="AA73" s="8" t="n">
        <v>100000</v>
      </c>
      <c r="AB73" s="8" t="n">
        <v>150000</v>
      </c>
    </row>
    <row r="74">
      <c r="A74" s="9" t="inlineStr">
        <is>
          <t>WD-48E</t>
        </is>
      </c>
      <c r="B74" s="9" t="inlineStr">
        <is>
          <t>옷봉</t>
        </is>
      </c>
      <c r="C74" s="6" t="inlineStr">
        <is>
          <t>제작옷봉</t>
        </is>
      </c>
      <c r="D74" s="6" t="inlineStr"/>
      <c r="E74" s="6" t="inlineStr">
        <is>
          <t>필수</t>
        </is>
      </c>
      <c r="F74" s="6" t="inlineStr">
        <is>
          <t>EA</t>
        </is>
      </c>
      <c r="G74" s="6" t="n"/>
      <c r="H74" s="6" t="n"/>
      <c r="I74" s="7">
        <f>IF(G74="","",G74*(1+H74/100))</f>
        <v/>
      </c>
      <c r="J74" s="6" t="n"/>
      <c r="K74" s="6" t="n"/>
      <c r="L74" s="8" t="n"/>
      <c r="M74" s="8" t="n"/>
      <c r="N74" s="8" t="n"/>
      <c r="O74" s="8" t="n"/>
      <c r="P74" s="8" t="n"/>
      <c r="Q74" s="8">
        <f>IF(OR(O74="",P74=""),"",MIN(O74,P74)-N74)</f>
        <v/>
      </c>
      <c r="R74" s="6" t="n"/>
      <c r="S74" s="6" t="n"/>
      <c r="T74" s="6" t="n"/>
      <c r="U74" s="6" t="n"/>
      <c r="V74" s="6" t="n"/>
      <c r="W74" s="6" t="n"/>
      <c r="X74" s="6" t="n"/>
      <c r="Y74" s="6" t="n"/>
      <c r="Z74" s="6" t="inlineStr">
        <is>
          <t>1현장: 금호</t>
        </is>
      </c>
      <c r="AA74" s="8" t="n">
        <v>120000</v>
      </c>
      <c r="AB74" s="8" t="n">
        <v>50000</v>
      </c>
    </row>
    <row r="75">
      <c r="A75" s="9" t="inlineStr">
        <is>
          <t>WD-49E</t>
        </is>
      </c>
      <c r="B75" s="9" t="inlineStr">
        <is>
          <t>우물 천장</t>
        </is>
      </c>
      <c r="C75" s="6" t="inlineStr">
        <is>
          <t>제작</t>
        </is>
      </c>
      <c r="D75" s="6" t="inlineStr">
        <is>
          <t>거실</t>
        </is>
      </c>
      <c r="E75" s="6" t="inlineStr">
        <is>
          <t>필수</t>
        </is>
      </c>
      <c r="F75" s="6" t="inlineStr">
        <is>
          <t>식</t>
        </is>
      </c>
      <c r="G75" s="6" t="n"/>
      <c r="H75" s="6" t="n"/>
      <c r="I75" s="7">
        <f>IF(G75="","",G75*(1+H75/100))</f>
        <v/>
      </c>
      <c r="J75" s="6" t="n"/>
      <c r="K75" s="6" t="n"/>
      <c r="L75" s="8" t="n"/>
      <c r="M75" s="8" t="n"/>
      <c r="N75" s="8" t="n"/>
      <c r="O75" s="8" t="n"/>
      <c r="P75" s="8" t="n"/>
      <c r="Q75" s="8">
        <f>IF(OR(O75="",P75=""),"",MIN(O75,P75)-N75)</f>
        <v/>
      </c>
      <c r="R75" s="6" t="n"/>
      <c r="S75" s="6" t="n"/>
      <c r="T75" s="6" t="n"/>
      <c r="U75" s="6" t="n"/>
      <c r="V75" s="6" t="n"/>
      <c r="W75" s="6" t="n"/>
      <c r="X75" s="6" t="n"/>
      <c r="Y75" s="6" t="n"/>
      <c r="Z75" s="6" t="inlineStr">
        <is>
          <t>2현장: 린스,백현</t>
        </is>
      </c>
      <c r="AA75" s="8" t="n">
        <v>150000</v>
      </c>
      <c r="AB75" s="8" t="n">
        <v>250000</v>
      </c>
    </row>
    <row r="76">
      <c r="A76" s="9" t="inlineStr">
        <is>
          <t>WD-50E</t>
        </is>
      </c>
      <c r="B76" s="9" t="inlineStr">
        <is>
          <t>윈도우시트</t>
        </is>
      </c>
      <c r="C76" s="6" t="inlineStr">
        <is>
          <t>1X1 각재, 9T 합판</t>
        </is>
      </c>
      <c r="D76" s="6" t="inlineStr">
        <is>
          <t>아이방 / 거실</t>
        </is>
      </c>
      <c r="E76" s="6" t="inlineStr">
        <is>
          <t>필수</t>
        </is>
      </c>
      <c r="F76" s="6" t="inlineStr">
        <is>
          <t>식</t>
        </is>
      </c>
      <c r="G76" s="6" t="n"/>
      <c r="H76" s="6" t="n"/>
      <c r="I76" s="7">
        <f>IF(G76="","",G76*(1+H76/100))</f>
        <v/>
      </c>
      <c r="J76" s="6" t="n"/>
      <c r="K76" s="6" t="n"/>
      <c r="L76" s="8" t="n"/>
      <c r="M76" s="8" t="n"/>
      <c r="N76" s="8" t="n"/>
      <c r="O76" s="8" t="n"/>
      <c r="P76" s="8" t="n"/>
      <c r="Q76" s="8">
        <f>IF(OR(O76="",P76=""),"",MIN(O76,P76)-N76)</f>
        <v/>
      </c>
      <c r="R76" s="6" t="n"/>
      <c r="S76" s="6" t="n"/>
      <c r="T76" s="6" t="n"/>
      <c r="U76" s="6" t="n"/>
      <c r="V76" s="6" t="n"/>
      <c r="W76" s="6" t="n"/>
      <c r="X76" s="6" t="n"/>
      <c r="Y76" s="6" t="n"/>
      <c r="Z76" s="6" t="inlineStr">
        <is>
          <t>1현장: 김은경</t>
        </is>
      </c>
      <c r="AA76" s="8" t="n">
        <v>250000</v>
      </c>
      <c r="AB76" s="8" t="n">
        <v>300000</v>
      </c>
    </row>
    <row r="77">
      <c r="A77" s="9" t="inlineStr">
        <is>
          <t>WD-51E</t>
        </is>
      </c>
      <c r="B77" s="9" t="inlineStr">
        <is>
          <t>은경</t>
        </is>
      </c>
      <c r="C77" s="6" t="inlineStr">
        <is>
          <t>8t 은경</t>
        </is>
      </c>
      <c r="D77" s="6" t="inlineStr">
        <is>
          <t>현관</t>
        </is>
      </c>
      <c r="E77" s="6" t="inlineStr">
        <is>
          <t>필수</t>
        </is>
      </c>
      <c r="F77" s="6" t="inlineStr">
        <is>
          <t>EA</t>
        </is>
      </c>
      <c r="G77" s="6" t="n"/>
      <c r="H77" s="6" t="n"/>
      <c r="I77" s="7">
        <f>IF(G77="","",G77*(1+H77/100))</f>
        <v/>
      </c>
      <c r="J77" s="6" t="n"/>
      <c r="K77" s="6" t="n"/>
      <c r="L77" s="8" t="n"/>
      <c r="M77" s="8" t="n"/>
      <c r="N77" s="8" t="n"/>
      <c r="O77" s="8" t="n"/>
      <c r="P77" s="8" t="n"/>
      <c r="Q77" s="8">
        <f>IF(OR(O77="",P77=""),"",MIN(O77,P77)-N77)</f>
        <v/>
      </c>
      <c r="R77" s="6" t="n"/>
      <c r="S77" s="6" t="n"/>
      <c r="T77" s="6" t="n"/>
      <c r="U77" s="6" t="n"/>
      <c r="V77" s="6" t="n"/>
      <c r="W77" s="6" t="n"/>
      <c r="X77" s="6" t="n"/>
      <c r="Y77" s="6" t="n"/>
      <c r="Z77" s="6" t="inlineStr">
        <is>
          <t>2현장: 금호,행당동</t>
        </is>
      </c>
      <c r="AA77" s="8" t="n">
        <v>72500</v>
      </c>
      <c r="AB77" s="8" t="n">
        <v>50000</v>
      </c>
    </row>
    <row r="78">
      <c r="A78" s="9" t="inlineStr">
        <is>
          <t>WD-52E</t>
        </is>
      </c>
      <c r="B78" s="9" t="inlineStr">
        <is>
          <t>이노솔 천장</t>
        </is>
      </c>
      <c r="C78" s="6" t="inlineStr">
        <is>
          <t>1X1 각재, 4.5T 합판</t>
        </is>
      </c>
      <c r="D78" s="6" t="inlineStr">
        <is>
          <t>화장실 / 천장</t>
        </is>
      </c>
      <c r="E78" s="6" t="inlineStr">
        <is>
          <t>필수</t>
        </is>
      </c>
      <c r="F78" s="6" t="inlineStr">
        <is>
          <t>EA</t>
        </is>
      </c>
      <c r="G78" s="6" t="n"/>
      <c r="H78" s="6" t="n"/>
      <c r="I78" s="7">
        <f>IF(G78="","",G78*(1+H78/100))</f>
        <v/>
      </c>
      <c r="J78" s="6" t="n"/>
      <c r="K78" s="6" t="n"/>
      <c r="L78" s="8" t="n"/>
      <c r="M78" s="8" t="n"/>
      <c r="N78" s="8" t="n"/>
      <c r="O78" s="8" t="n"/>
      <c r="P78" s="8" t="n"/>
      <c r="Q78" s="8">
        <f>IF(OR(O78="",P78=""),"",MIN(O78,P78)-N78)</f>
        <v/>
      </c>
      <c r="R78" s="6" t="n"/>
      <c r="S78" s="6" t="n"/>
      <c r="T78" s="6" t="n"/>
      <c r="U78" s="6" t="n"/>
      <c r="V78" s="6" t="n"/>
      <c r="W78" s="6" t="n"/>
      <c r="X78" s="6" t="n"/>
      <c r="Y78" s="6" t="n"/>
      <c r="Z78" s="6" t="inlineStr">
        <is>
          <t>1현장: 이선</t>
        </is>
      </c>
      <c r="AA78" s="8" t="n">
        <v>100000</v>
      </c>
      <c r="AB78" s="8" t="n">
        <v>230000</v>
      </c>
    </row>
    <row r="79">
      <c r="A79" s="9" t="inlineStr">
        <is>
          <t>WD-53E</t>
        </is>
      </c>
      <c r="B79" s="9" t="inlineStr">
        <is>
          <t>이노솔 천장 골조 공사</t>
        </is>
      </c>
      <c r="C79" s="6" t="inlineStr">
        <is>
          <t>30X30 각재</t>
        </is>
      </c>
      <c r="D79" s="6" t="inlineStr">
        <is>
          <t>욕실 3개소</t>
        </is>
      </c>
      <c r="E79" s="6" t="inlineStr">
        <is>
          <t>필수</t>
        </is>
      </c>
      <c r="F79" s="6" t="inlineStr">
        <is>
          <t>M2</t>
        </is>
      </c>
      <c r="G79" s="6" t="n"/>
      <c r="H79" s="6" t="n"/>
      <c r="I79" s="7">
        <f>IF(G79="","",G79*(1+H79/100))</f>
        <v/>
      </c>
      <c r="J79" s="6" t="n"/>
      <c r="K79" s="6" t="n"/>
      <c r="L79" s="8" t="n"/>
      <c r="M79" s="8" t="n"/>
      <c r="N79" s="8" t="n"/>
      <c r="O79" s="8" t="n"/>
      <c r="P79" s="8" t="n"/>
      <c r="Q79" s="8">
        <f>IF(OR(O79="",P79=""),"",MIN(O79,P79)-N79)</f>
        <v/>
      </c>
      <c r="R79" s="6" t="n"/>
      <c r="S79" s="6" t="n"/>
      <c r="T79" s="6" t="n"/>
      <c r="U79" s="6" t="n"/>
      <c r="V79" s="6" t="n"/>
      <c r="W79" s="6" t="n"/>
      <c r="X79" s="6" t="n"/>
      <c r="Y79" s="6" t="n"/>
      <c r="Z79" s="6" t="inlineStr">
        <is>
          <t>6현장: 린스,만현,백현,산본,진산</t>
        </is>
      </c>
      <c r="AA79" s="8" t="n">
        <v>12000</v>
      </c>
      <c r="AB79" s="8" t="n">
        <v>18000</v>
      </c>
    </row>
    <row r="80">
      <c r="A80" s="9" t="inlineStr">
        <is>
          <t>WD-54E</t>
        </is>
      </c>
      <c r="B80" s="9" t="inlineStr">
        <is>
          <t>제작 거울</t>
        </is>
      </c>
      <c r="C80" s="6" t="inlineStr">
        <is>
          <t>은경</t>
        </is>
      </c>
      <c r="D80" s="6" t="inlineStr"/>
      <c r="E80" s="6" t="inlineStr">
        <is>
          <t>필수</t>
        </is>
      </c>
      <c r="F80" s="6" t="inlineStr">
        <is>
          <t>식</t>
        </is>
      </c>
      <c r="G80" s="6" t="n"/>
      <c r="H80" s="6" t="n"/>
      <c r="I80" s="7">
        <f>IF(G80="","",G80*(1+H80/100))</f>
        <v/>
      </c>
      <c r="J80" s="6" t="n"/>
      <c r="K80" s="6" t="n"/>
      <c r="L80" s="8" t="n"/>
      <c r="M80" s="8" t="n"/>
      <c r="N80" s="8" t="n"/>
      <c r="O80" s="8" t="n"/>
      <c r="P80" s="8" t="n"/>
      <c r="Q80" s="8">
        <f>IF(OR(O80="",P80=""),"",MIN(O80,P80)-N80)</f>
        <v/>
      </c>
      <c r="R80" s="6" t="n"/>
      <c r="S80" s="6" t="n"/>
      <c r="T80" s="6" t="n"/>
      <c r="U80" s="6" t="n"/>
      <c r="V80" s="6" t="n"/>
      <c r="W80" s="6" t="n"/>
      <c r="X80" s="6" t="n"/>
      <c r="Y80" s="6" t="n"/>
      <c r="Z80" s="6" t="inlineStr">
        <is>
          <t>1현장: 전기영</t>
        </is>
      </c>
      <c r="AA80" s="8" t="n">
        <v>150000</v>
      </c>
      <c r="AB80" s="8" t="n">
        <v>150000</v>
      </c>
    </row>
    <row r="81">
      <c r="A81" s="9" t="inlineStr">
        <is>
          <t>WD-55E</t>
        </is>
      </c>
      <c r="B81" s="9" t="inlineStr">
        <is>
          <t>제작 유리</t>
        </is>
      </c>
      <c r="C81" s="6" t="inlineStr">
        <is>
          <t>패브릭 유리</t>
        </is>
      </c>
      <c r="D81" s="6" t="inlineStr"/>
      <c r="E81" s="6" t="inlineStr">
        <is>
          <t>필수</t>
        </is>
      </c>
      <c r="F81" s="6" t="inlineStr">
        <is>
          <t>식</t>
        </is>
      </c>
      <c r="G81" s="6" t="n"/>
      <c r="H81" s="6" t="n"/>
      <c r="I81" s="7">
        <f>IF(G81="","",G81*(1+H81/100))</f>
        <v/>
      </c>
      <c r="J81" s="6" t="n"/>
      <c r="K81" s="6" t="n"/>
      <c r="L81" s="8" t="n"/>
      <c r="M81" s="8" t="n"/>
      <c r="N81" s="8" t="n"/>
      <c r="O81" s="8" t="n"/>
      <c r="P81" s="8" t="n"/>
      <c r="Q81" s="8">
        <f>IF(OR(O81="",P81=""),"",MIN(O81,P81)-N81)</f>
        <v/>
      </c>
      <c r="R81" s="6" t="n"/>
      <c r="S81" s="6" t="n"/>
      <c r="T81" s="6" t="n"/>
      <c r="U81" s="6" t="n"/>
      <c r="V81" s="6" t="n"/>
      <c r="W81" s="6" t="n"/>
      <c r="X81" s="6" t="n"/>
      <c r="Y81" s="6" t="n"/>
      <c r="Z81" s="6" t="inlineStr">
        <is>
          <t>1현장: 전기영</t>
        </is>
      </c>
      <c r="AA81" s="8" t="n">
        <v>800000</v>
      </c>
      <c r="AB81" s="8" t="n">
        <v>100000</v>
      </c>
    </row>
    <row r="82">
      <c r="A82" s="9" t="inlineStr">
        <is>
          <t>WD-56E</t>
        </is>
      </c>
      <c r="B82" s="9" t="inlineStr">
        <is>
          <t>주방 갈바선반</t>
        </is>
      </c>
      <c r="C82" s="6" t="inlineStr">
        <is>
          <t>필름마감 / 금속 제작</t>
        </is>
      </c>
      <c r="D82" s="6" t="inlineStr"/>
      <c r="E82" s="6" t="inlineStr">
        <is>
          <t>필수</t>
        </is>
      </c>
      <c r="F82" s="6" t="inlineStr">
        <is>
          <t>식</t>
        </is>
      </c>
      <c r="G82" s="6" t="n"/>
      <c r="H82" s="6" t="n"/>
      <c r="I82" s="7">
        <f>IF(G82="","",G82*(1+H82/100))</f>
        <v/>
      </c>
      <c r="J82" s="6" t="n"/>
      <c r="K82" s="6" t="n"/>
      <c r="L82" s="8" t="n"/>
      <c r="M82" s="8" t="n"/>
      <c r="N82" s="8" t="n"/>
      <c r="O82" s="8" t="n"/>
      <c r="P82" s="8" t="n"/>
      <c r="Q82" s="8">
        <f>IF(OR(O82="",P82=""),"",MIN(O82,P82)-N82)</f>
        <v/>
      </c>
      <c r="R82" s="6" t="n"/>
      <c r="S82" s="6" t="n"/>
      <c r="T82" s="6" t="n"/>
      <c r="U82" s="6" t="n"/>
      <c r="V82" s="6" t="n"/>
      <c r="W82" s="6" t="n"/>
      <c r="X82" s="6" t="n"/>
      <c r="Y82" s="6" t="n"/>
      <c r="Z82" s="6" t="inlineStr">
        <is>
          <t>1현장: 금호</t>
        </is>
      </c>
      <c r="AA82" s="8" t="n">
        <v>150000</v>
      </c>
      <c r="AB82" s="8" t="n">
        <v>80000</v>
      </c>
    </row>
    <row r="83">
      <c r="A83" s="9" t="inlineStr">
        <is>
          <t>WD-57E</t>
        </is>
      </c>
      <c r="B83" s="9" t="inlineStr">
        <is>
          <t>중문</t>
        </is>
      </c>
      <c r="C83" s="6" t="inlineStr">
        <is>
          <t>원목 간살 중문</t>
        </is>
      </c>
      <c r="D83" s="6" t="inlineStr"/>
      <c r="E83" s="6" t="inlineStr">
        <is>
          <t>필수</t>
        </is>
      </c>
      <c r="F83" s="6" t="inlineStr">
        <is>
          <t>EA</t>
        </is>
      </c>
      <c r="G83" s="6" t="n"/>
      <c r="H83" s="6" t="n"/>
      <c r="I83" s="7">
        <f>IF(G83="","",G83*(1+H83/100))</f>
        <v/>
      </c>
      <c r="J83" s="6" t="n"/>
      <c r="K83" s="6" t="n"/>
      <c r="L83" s="8" t="n"/>
      <c r="M83" s="8" t="n"/>
      <c r="N83" s="8" t="n"/>
      <c r="O83" s="8" t="n"/>
      <c r="P83" s="8" t="n"/>
      <c r="Q83" s="8">
        <f>IF(OR(O83="",P83=""),"",MIN(O83,P83)-N83)</f>
        <v/>
      </c>
      <c r="R83" s="6" t="n"/>
      <c r="S83" s="6" t="n"/>
      <c r="T83" s="6" t="n"/>
      <c r="U83" s="6" t="n"/>
      <c r="V83" s="6" t="n"/>
      <c r="W83" s="6" t="n"/>
      <c r="X83" s="6" t="n"/>
      <c r="Y83" s="6" t="n"/>
      <c r="Z83" s="6" t="inlineStr">
        <is>
          <t>7현장: 금호,김성용,김은경,이선,이성숙</t>
        </is>
      </c>
      <c r="AA83" s="8" t="n">
        <v>1650000</v>
      </c>
      <c r="AB83" s="8" t="n">
        <v>200000</v>
      </c>
    </row>
    <row r="84">
      <c r="A84" s="9" t="inlineStr">
        <is>
          <t>WD-58E</t>
        </is>
      </c>
      <c r="B84" s="9" t="inlineStr">
        <is>
          <t>중문공사</t>
        </is>
      </c>
      <c r="C84" s="6" t="inlineStr">
        <is>
          <t>원목 중문</t>
        </is>
      </c>
      <c r="D84" s="6" t="inlineStr">
        <is>
          <t>별도 협의</t>
        </is>
      </c>
      <c r="E84" s="6" t="inlineStr">
        <is>
          <t>필수</t>
        </is>
      </c>
      <c r="F84" s="6" t="inlineStr">
        <is>
          <t>식</t>
        </is>
      </c>
      <c r="G84" s="6" t="n"/>
      <c r="H84" s="6" t="n"/>
      <c r="I84" s="7">
        <f>IF(G84="","",G84*(1+H84/100))</f>
        <v/>
      </c>
      <c r="J84" s="6" t="n"/>
      <c r="K84" s="6" t="n"/>
      <c r="L84" s="8" t="n"/>
      <c r="M84" s="8" t="n"/>
      <c r="N84" s="8" t="n"/>
      <c r="O84" s="8" t="n"/>
      <c r="P84" s="8" t="n"/>
      <c r="Q84" s="8">
        <f>IF(OR(O84="",P84=""),"",MIN(O84,P84)-N84)</f>
        <v/>
      </c>
      <c r="R84" s="6" t="n"/>
      <c r="S84" s="6" t="n"/>
      <c r="T84" s="6" t="n"/>
      <c r="U84" s="6" t="n"/>
      <c r="V84" s="6" t="n"/>
      <c r="W84" s="6" t="n"/>
      <c r="X84" s="6" t="n"/>
      <c r="Y84" s="6" t="n"/>
      <c r="Z84" s="6" t="inlineStr">
        <is>
          <t>6현장: 김성용,김은경,린스,백현,진산</t>
        </is>
      </c>
      <c r="AA84" s="8" t="n">
        <v>1200000</v>
      </c>
      <c r="AB84" s="8" t="n">
        <v>200000</v>
      </c>
    </row>
    <row r="85">
      <c r="A85" s="9" t="inlineStr">
        <is>
          <t>WD-59E</t>
        </is>
      </c>
      <c r="B85" s="9" t="inlineStr">
        <is>
          <t>중문공사(원목 양개 스윙도어)</t>
        </is>
      </c>
      <c r="C85" s="6" t="inlineStr">
        <is>
          <t>디자인 및 자재 스펙에 따른 변동</t>
        </is>
      </c>
      <c r="D85" s="6" t="inlineStr">
        <is>
          <t>파우더룸</t>
        </is>
      </c>
      <c r="E85" s="6" t="inlineStr">
        <is>
          <t>필수</t>
        </is>
      </c>
      <c r="F85" s="6" t="inlineStr">
        <is>
          <t>식</t>
        </is>
      </c>
      <c r="G85" s="6" t="n"/>
      <c r="H85" s="6" t="n"/>
      <c r="I85" s="7">
        <f>IF(G85="","",G85*(1+H85/100))</f>
        <v/>
      </c>
      <c r="J85" s="6" t="n"/>
      <c r="K85" s="6" t="n"/>
      <c r="L85" s="8" t="n"/>
      <c r="M85" s="8" t="n"/>
      <c r="N85" s="8" t="n"/>
      <c r="O85" s="8" t="n"/>
      <c r="P85" s="8" t="n"/>
      <c r="Q85" s="8">
        <f>IF(OR(O85="",P85=""),"",MIN(O85,P85)-N85)</f>
        <v/>
      </c>
      <c r="R85" s="6" t="n"/>
      <c r="S85" s="6" t="n"/>
      <c r="T85" s="6" t="n"/>
      <c r="U85" s="6" t="n"/>
      <c r="V85" s="6" t="n"/>
      <c r="W85" s="6" t="n"/>
      <c r="X85" s="6" t="n"/>
      <c r="Y85" s="6" t="n"/>
      <c r="Z85" s="6" t="inlineStr">
        <is>
          <t>1현장: 산본</t>
        </is>
      </c>
      <c r="AA85" s="8" t="n">
        <v>2300000</v>
      </c>
      <c r="AB85" s="8" t="n">
        <v>100000</v>
      </c>
    </row>
    <row r="86">
      <c r="A86" s="9" t="inlineStr">
        <is>
          <t>WD-60E</t>
        </is>
      </c>
      <c r="B86" s="9" t="inlineStr">
        <is>
          <t>중문공사(원목)</t>
        </is>
      </c>
      <c r="C86" s="6" t="inlineStr">
        <is>
          <t>디자인 및 자재 스펙에 따른 변동</t>
        </is>
      </c>
      <c r="D86" s="6" t="inlineStr">
        <is>
          <t>현관</t>
        </is>
      </c>
      <c r="E86" s="6" t="inlineStr">
        <is>
          <t>필수</t>
        </is>
      </c>
      <c r="F86" s="6" t="inlineStr">
        <is>
          <t>식</t>
        </is>
      </c>
      <c r="G86" s="6" t="n"/>
      <c r="H86" s="6" t="n"/>
      <c r="I86" s="7">
        <f>IF(G86="","",G86*(1+H86/100))</f>
        <v/>
      </c>
      <c r="J86" s="6" t="n"/>
      <c r="K86" s="6" t="n"/>
      <c r="L86" s="8" t="n"/>
      <c r="M86" s="8" t="n"/>
      <c r="N86" s="8" t="n"/>
      <c r="O86" s="8" t="n"/>
      <c r="P86" s="8" t="n"/>
      <c r="Q86" s="8">
        <f>IF(OR(O86="",P86=""),"",MIN(O86,P86)-N86)</f>
        <v/>
      </c>
      <c r="R86" s="6" t="n"/>
      <c r="S86" s="6" t="n"/>
      <c r="T86" s="6" t="n"/>
      <c r="U86" s="6" t="n"/>
      <c r="V86" s="6" t="n"/>
      <c r="W86" s="6" t="n"/>
      <c r="X86" s="6" t="n"/>
      <c r="Y86" s="6" t="n"/>
      <c r="Z86" s="6" t="inlineStr">
        <is>
          <t>1현장: 만현</t>
        </is>
      </c>
      <c r="AA86" s="8" t="n">
        <v>2300000</v>
      </c>
      <c r="AB86" s="8" t="n">
        <v>200000</v>
      </c>
    </row>
    <row r="87">
      <c r="A87" s="9" t="inlineStr">
        <is>
          <t>WD-61E</t>
        </is>
      </c>
      <c r="B87" s="9" t="inlineStr">
        <is>
          <t>중문공사(자동문)</t>
        </is>
      </c>
      <c r="C87" s="6" t="inlineStr">
        <is>
          <t>디자인 및 자재 스펙에 따른 변동</t>
        </is>
      </c>
      <c r="D87" s="6" t="inlineStr">
        <is>
          <t>현관</t>
        </is>
      </c>
      <c r="E87" s="6" t="inlineStr">
        <is>
          <t>필수</t>
        </is>
      </c>
      <c r="F87" s="6" t="inlineStr">
        <is>
          <t>식</t>
        </is>
      </c>
      <c r="G87" s="6" t="n"/>
      <c r="H87" s="6" t="n"/>
      <c r="I87" s="7">
        <f>IF(G87="","",G87*(1+H87/100))</f>
        <v/>
      </c>
      <c r="J87" s="6" t="n"/>
      <c r="K87" s="6" t="n"/>
      <c r="L87" s="8" t="n"/>
      <c r="M87" s="8" t="n"/>
      <c r="N87" s="8" t="n"/>
      <c r="O87" s="8" t="n"/>
      <c r="P87" s="8" t="n"/>
      <c r="Q87" s="8">
        <f>IF(OR(O87="",P87=""),"",MIN(O87,P87)-N87)</f>
        <v/>
      </c>
      <c r="R87" s="6" t="n"/>
      <c r="S87" s="6" t="n"/>
      <c r="T87" s="6" t="n"/>
      <c r="U87" s="6" t="n"/>
      <c r="V87" s="6" t="n"/>
      <c r="W87" s="6" t="n"/>
      <c r="X87" s="6" t="n"/>
      <c r="Y87" s="6" t="n"/>
      <c r="Z87" s="6" t="inlineStr">
        <is>
          <t>1현장: 산본</t>
        </is>
      </c>
      <c r="AA87" s="8" t="n">
        <v>1820000</v>
      </c>
      <c r="AB87" s="8" t="n">
        <v>200000</v>
      </c>
    </row>
    <row r="88">
      <c r="A88" s="9" t="inlineStr">
        <is>
          <t>WD-62E</t>
        </is>
      </c>
      <c r="B88" s="9" t="inlineStr">
        <is>
          <t>천장 골조</t>
        </is>
      </c>
      <c r="C88" s="6" t="inlineStr">
        <is>
          <t>—</t>
        </is>
      </c>
      <c r="D88" s="6" t="inlineStr">
        <is>
          <t>공용부</t>
        </is>
      </c>
      <c r="E88" s="6" t="inlineStr">
        <is>
          <t>필수</t>
        </is>
      </c>
      <c r="F88" s="6" t="inlineStr">
        <is>
          <t>M2</t>
        </is>
      </c>
      <c r="G88" s="6" t="n"/>
      <c r="H88" s="6" t="n"/>
      <c r="I88" s="7">
        <f>IF(G88="","",G88*(1+H88/100))</f>
        <v/>
      </c>
      <c r="J88" s="6" t="n"/>
      <c r="K88" s="6" t="n"/>
      <c r="L88" s="8" t="n"/>
      <c r="M88" s="8" t="n"/>
      <c r="N88" s="8" t="n"/>
      <c r="O88" s="8" t="n"/>
      <c r="P88" s="8" t="n"/>
      <c r="Q88" s="8">
        <f>IF(OR(O88="",P88=""),"",MIN(O88,P88)-N88)</f>
        <v/>
      </c>
      <c r="R88" s="6" t="n"/>
      <c r="S88" s="6" t="n"/>
      <c r="T88" s="6" t="n"/>
      <c r="U88" s="6" t="n"/>
      <c r="V88" s="6" t="n"/>
      <c r="W88" s="6" t="n"/>
      <c r="X88" s="6" t="n"/>
      <c r="Y88" s="6" t="n"/>
      <c r="Z88" s="6" t="inlineStr">
        <is>
          <t>1현장: 만현</t>
        </is>
      </c>
      <c r="AA88" s="8" t="n">
        <v>12000</v>
      </c>
      <c r="AB88" s="8" t="n">
        <v>18000</v>
      </c>
    </row>
    <row r="89">
      <c r="A89" s="9" t="inlineStr">
        <is>
          <t>WD-63E</t>
        </is>
      </c>
      <c r="B89" s="9" t="inlineStr">
        <is>
          <t>천장 골조 공사 OR 보강 공사</t>
        </is>
      </c>
      <c r="C89" s="6" t="inlineStr">
        <is>
          <t>1X1 각재, 4.5T 합판</t>
        </is>
      </c>
      <c r="D89" s="6" t="inlineStr">
        <is>
          <t>거실 / 부분</t>
        </is>
      </c>
      <c r="E89" s="6" t="inlineStr">
        <is>
          <t>필수</t>
        </is>
      </c>
      <c r="F89" s="6" t="inlineStr">
        <is>
          <t>M2</t>
        </is>
      </c>
      <c r="G89" s="6" t="n"/>
      <c r="H89" s="6" t="n"/>
      <c r="I89" s="7">
        <f>IF(G89="","",G89*(1+H89/100))</f>
        <v/>
      </c>
      <c r="J89" s="6" t="n"/>
      <c r="K89" s="6" t="n"/>
      <c r="L89" s="8" t="n"/>
      <c r="M89" s="8" t="n"/>
      <c r="N89" s="8" t="n"/>
      <c r="O89" s="8" t="n"/>
      <c r="P89" s="8" t="n"/>
      <c r="Q89" s="8">
        <f>IF(OR(O89="",P89=""),"",MIN(O89,P89)-N89)</f>
        <v/>
      </c>
      <c r="R89" s="6" t="n"/>
      <c r="S89" s="6" t="n"/>
      <c r="T89" s="6" t="n"/>
      <c r="U89" s="6" t="n"/>
      <c r="V89" s="6" t="n"/>
      <c r="W89" s="6" t="n"/>
      <c r="X89" s="6" t="n"/>
      <c r="Y89" s="6" t="n"/>
      <c r="Z89" s="6" t="inlineStr">
        <is>
          <t>5현장: 금호,이선,이성숙,전기영,행당동</t>
        </is>
      </c>
      <c r="AA89" s="8" t="n">
        <v>12000</v>
      </c>
      <c r="AB89" s="8" t="n">
        <v>17000</v>
      </c>
    </row>
    <row r="90">
      <c r="A90" s="9" t="inlineStr">
        <is>
          <t>WD-64E</t>
        </is>
      </c>
      <c r="B90" s="9" t="inlineStr">
        <is>
          <t>천장 몰딩</t>
        </is>
      </c>
      <c r="C90" s="6" t="inlineStr">
        <is>
          <t>고밀도 MDF</t>
        </is>
      </c>
      <c r="D90" s="6" t="inlineStr">
        <is>
          <t>각 방 벽체</t>
        </is>
      </c>
      <c r="E90" s="6" t="inlineStr">
        <is>
          <t>필수</t>
        </is>
      </c>
      <c r="F90" s="6" t="inlineStr">
        <is>
          <t>M</t>
        </is>
      </c>
      <c r="G90" s="6" t="n"/>
      <c r="H90" s="6" t="n"/>
      <c r="I90" s="7">
        <f>IF(G90="","",G90*(1+H90/100))</f>
        <v/>
      </c>
      <c r="J90" s="6" t="n"/>
      <c r="K90" s="6" t="n"/>
      <c r="L90" s="8" t="n"/>
      <c r="M90" s="8" t="n"/>
      <c r="N90" s="8" t="n"/>
      <c r="O90" s="8" t="n"/>
      <c r="P90" s="8" t="n"/>
      <c r="Q90" s="8">
        <f>IF(OR(O90="",P90=""),"",MIN(O90,P90)-N90)</f>
        <v/>
      </c>
      <c r="R90" s="6" t="n"/>
      <c r="S90" s="6" t="n"/>
      <c r="T90" s="6" t="n"/>
      <c r="U90" s="6" t="n"/>
      <c r="V90" s="6" t="n"/>
      <c r="W90" s="6" t="n"/>
      <c r="X90" s="6" t="n"/>
      <c r="Y90" s="6" t="n"/>
      <c r="Z90" s="6" t="inlineStr">
        <is>
          <t>7현장: 금호,김성용,김은경,이선,이성숙</t>
        </is>
      </c>
      <c r="AA90" s="8" t="n">
        <v>1000</v>
      </c>
      <c r="AB90" s="8" t="n">
        <v>5500</v>
      </c>
    </row>
    <row r="91">
      <c r="A91" s="9" t="inlineStr">
        <is>
          <t>WD-65E</t>
        </is>
      </c>
      <c r="B91" s="9" t="inlineStr">
        <is>
          <t>천장공사(골조)</t>
        </is>
      </c>
      <c r="C91" s="6" t="inlineStr">
        <is>
          <t>1X1 각재, 리브합판</t>
        </is>
      </c>
      <c r="D91" s="6" t="inlineStr"/>
      <c r="E91" s="6" t="inlineStr">
        <is>
          <t>필수</t>
        </is>
      </c>
      <c r="F91" s="6" t="inlineStr">
        <is>
          <t>M2</t>
        </is>
      </c>
      <c r="G91" s="6" t="n"/>
      <c r="H91" s="6" t="n"/>
      <c r="I91" s="7">
        <f>IF(G91="","",G91*(1+H91/100))</f>
        <v/>
      </c>
      <c r="J91" s="6" t="n"/>
      <c r="K91" s="6" t="n"/>
      <c r="L91" s="8" t="n"/>
      <c r="M91" s="8" t="n"/>
      <c r="N91" s="8" t="n"/>
      <c r="O91" s="8" t="n"/>
      <c r="P91" s="8" t="n"/>
      <c r="Q91" s="8">
        <f>IF(OR(O91="",P91=""),"",MIN(O91,P91)-N91)</f>
        <v/>
      </c>
      <c r="R91" s="6" t="n"/>
      <c r="S91" s="6" t="n"/>
      <c r="T91" s="6" t="n"/>
      <c r="U91" s="6" t="n"/>
      <c r="V91" s="6" t="n"/>
      <c r="W91" s="6" t="n"/>
      <c r="X91" s="6" t="n"/>
      <c r="Y91" s="6" t="n"/>
      <c r="Z91" s="6" t="inlineStr">
        <is>
          <t>7현장: 금호,김성용,김은경,이선,이성숙</t>
        </is>
      </c>
      <c r="AA91" s="8" t="n">
        <v>17000</v>
      </c>
      <c r="AB91" s="8" t="n">
        <v>28000</v>
      </c>
    </row>
    <row r="92">
      <c r="A92" s="9" t="inlineStr">
        <is>
          <t>WD-66E</t>
        </is>
      </c>
      <c r="B92" s="9" t="inlineStr">
        <is>
          <t>천장공사(석고)</t>
        </is>
      </c>
      <c r="C92" s="6" t="inlineStr">
        <is>
          <t>9.5T 석고보드 2PLY</t>
        </is>
      </c>
      <c r="D92" s="6" t="inlineStr">
        <is>
          <t>거실 / 부분</t>
        </is>
      </c>
      <c r="E92" s="6" t="inlineStr">
        <is>
          <t>필수</t>
        </is>
      </c>
      <c r="F92" s="6" t="inlineStr">
        <is>
          <t>M2</t>
        </is>
      </c>
      <c r="G92" s="6" t="n"/>
      <c r="H92" s="6" t="n"/>
      <c r="I92" s="7">
        <f>IF(G92="","",G92*(1+H92/100))</f>
        <v/>
      </c>
      <c r="J92" s="6" t="n"/>
      <c r="K92" s="6" t="n"/>
      <c r="L92" s="8" t="n"/>
      <c r="M92" s="8" t="n"/>
      <c r="N92" s="8" t="n"/>
      <c r="O92" s="8" t="n"/>
      <c r="P92" s="8" t="n"/>
      <c r="Q92" s="8">
        <f>IF(OR(O92="",P92=""),"",MIN(O92,P92)-N92)</f>
        <v/>
      </c>
      <c r="R92" s="6" t="n"/>
      <c r="S92" s="6" t="n"/>
      <c r="T92" s="6" t="n"/>
      <c r="U92" s="6" t="n"/>
      <c r="V92" s="6" t="n"/>
      <c r="W92" s="6" t="n"/>
      <c r="X92" s="6" t="n"/>
      <c r="Y92" s="6" t="n"/>
      <c r="Z92" s="6" t="inlineStr">
        <is>
          <t>7현장: 금호,김성용,김은경,이선,이성숙</t>
        </is>
      </c>
      <c r="AA92" s="8" t="n">
        <v>10000</v>
      </c>
      <c r="AB92" s="8" t="n">
        <v>23000</v>
      </c>
    </row>
    <row r="93">
      <c r="A93" s="9" t="inlineStr">
        <is>
          <t>WD-67E</t>
        </is>
      </c>
      <c r="B93" s="9" t="inlineStr">
        <is>
          <t>천정몰딩</t>
        </is>
      </c>
      <c r="C93" s="6" t="inlineStr">
        <is>
          <t>락소 히든몰딩</t>
        </is>
      </c>
      <c r="D93" s="6" t="inlineStr">
        <is>
          <t>공용부</t>
        </is>
      </c>
      <c r="E93" s="6" t="inlineStr">
        <is>
          <t>필수</t>
        </is>
      </c>
      <c r="F93" s="6" t="inlineStr">
        <is>
          <t>M</t>
        </is>
      </c>
      <c r="G93" s="6" t="n"/>
      <c r="H93" s="6" t="n"/>
      <c r="I93" s="7">
        <f>IF(G93="","",G93*(1+H93/100))</f>
        <v/>
      </c>
      <c r="J93" s="6" t="n"/>
      <c r="K93" s="6" t="n"/>
      <c r="L93" s="8" t="n"/>
      <c r="M93" s="8" t="n"/>
      <c r="N93" s="8" t="n"/>
      <c r="O93" s="8" t="n"/>
      <c r="P93" s="8" t="n"/>
      <c r="Q93" s="8">
        <f>IF(OR(O93="",P93=""),"",MIN(O93,P93)-N93)</f>
        <v/>
      </c>
      <c r="R93" s="6" t="n"/>
      <c r="S93" s="6" t="n"/>
      <c r="T93" s="6" t="n"/>
      <c r="U93" s="6" t="n"/>
      <c r="V93" s="6" t="n"/>
      <c r="W93" s="6" t="n"/>
      <c r="X93" s="6" t="n"/>
      <c r="Y93" s="6" t="n"/>
      <c r="Z93" s="6" t="inlineStr">
        <is>
          <t>3현장: 금호,이선,행당동</t>
        </is>
      </c>
      <c r="AA93" s="8" t="n">
        <v>1000</v>
      </c>
      <c r="AB93" s="8" t="n">
        <v>4500</v>
      </c>
    </row>
    <row r="94">
      <c r="A94" s="9" t="inlineStr">
        <is>
          <t>WD-68E</t>
        </is>
      </c>
      <c r="B94" s="9" t="inlineStr">
        <is>
          <t>침대 헤드</t>
        </is>
      </c>
      <c r="C94" s="6" t="inlineStr">
        <is>
          <t>안방 침대헤드</t>
        </is>
      </c>
      <c r="D94" s="6" t="inlineStr">
        <is>
          <t>안 방</t>
        </is>
      </c>
      <c r="E94" s="6" t="inlineStr">
        <is>
          <t>필수</t>
        </is>
      </c>
      <c r="F94" s="6" t="inlineStr">
        <is>
          <t>식</t>
        </is>
      </c>
      <c r="G94" s="6" t="n"/>
      <c r="H94" s="6" t="n"/>
      <c r="I94" s="7">
        <f>IF(G94="","",G94*(1+H94/100))</f>
        <v/>
      </c>
      <c r="J94" s="6" t="n"/>
      <c r="K94" s="6" t="n"/>
      <c r="L94" s="8" t="n"/>
      <c r="M94" s="8" t="n"/>
      <c r="N94" s="8" t="n"/>
      <c r="O94" s="8" t="n"/>
      <c r="P94" s="8" t="n"/>
      <c r="Q94" s="8">
        <f>IF(OR(O94="",P94=""),"",MIN(O94,P94)-N94)</f>
        <v/>
      </c>
      <c r="R94" s="6" t="n"/>
      <c r="S94" s="6" t="n"/>
      <c r="T94" s="6" t="n"/>
      <c r="U94" s="6" t="n"/>
      <c r="V94" s="6" t="n"/>
      <c r="W94" s="6" t="n"/>
      <c r="X94" s="6" t="n"/>
      <c r="Y94" s="6" t="n"/>
      <c r="Z94" s="6" t="inlineStr">
        <is>
          <t>2현장: 백현,이선</t>
        </is>
      </c>
      <c r="AA94" s="8" t="n">
        <v>240000</v>
      </c>
      <c r="AB94" s="8" t="n">
        <v>400000</v>
      </c>
    </row>
    <row r="95">
      <c r="A95" s="9" t="inlineStr">
        <is>
          <t>WD-69E</t>
        </is>
      </c>
      <c r="B95" s="9" t="inlineStr">
        <is>
          <t>침대 헤드 및 오픈 가구</t>
        </is>
      </c>
      <c r="C95" s="6" t="inlineStr">
        <is>
          <t>—</t>
        </is>
      </c>
      <c r="D95" s="6" t="inlineStr">
        <is>
          <t>안 방</t>
        </is>
      </c>
      <c r="E95" s="6" t="inlineStr">
        <is>
          <t>필수</t>
        </is>
      </c>
      <c r="F95" s="6" t="inlineStr">
        <is>
          <t>식</t>
        </is>
      </c>
      <c r="G95" s="6" t="n"/>
      <c r="H95" s="6" t="n"/>
      <c r="I95" s="7">
        <f>IF(G95="","",G95*(1+H95/100))</f>
        <v/>
      </c>
      <c r="J95" s="6" t="n"/>
      <c r="K95" s="6" t="n"/>
      <c r="L95" s="8" t="n"/>
      <c r="M95" s="8" t="n"/>
      <c r="N95" s="8" t="n"/>
      <c r="O95" s="8" t="n"/>
      <c r="P95" s="8" t="n"/>
      <c r="Q95" s="8">
        <f>IF(OR(O95="",P95=""),"",MIN(O95,P95)-N95)</f>
        <v/>
      </c>
      <c r="R95" s="6" t="n"/>
      <c r="S95" s="6" t="n"/>
      <c r="T95" s="6" t="n"/>
      <c r="U95" s="6" t="n"/>
      <c r="V95" s="6" t="n"/>
      <c r="W95" s="6" t="n"/>
      <c r="X95" s="6" t="n"/>
      <c r="Y95" s="6" t="n"/>
      <c r="Z95" s="6" t="inlineStr">
        <is>
          <t>3현장: 린스,진산,푸르지오</t>
        </is>
      </c>
      <c r="AA95" s="8" t="n">
        <v>300000</v>
      </c>
      <c r="AB95" s="8" t="n">
        <v>600000</v>
      </c>
    </row>
    <row r="96">
      <c r="A96" s="9" t="inlineStr">
        <is>
          <t>WD-70E</t>
        </is>
      </c>
      <c r="B96" s="9" t="inlineStr">
        <is>
          <t>커튼 박스</t>
        </is>
      </c>
      <c r="C96" s="6" t="inlineStr">
        <is>
          <t>1X1 각재, 고밀도 MDF</t>
        </is>
      </c>
      <c r="D96" s="6" t="inlineStr">
        <is>
          <t>거실 및 각방</t>
        </is>
      </c>
      <c r="E96" s="6" t="inlineStr">
        <is>
          <t>필수</t>
        </is>
      </c>
      <c r="F96" s="6" t="inlineStr">
        <is>
          <t>EA</t>
        </is>
      </c>
      <c r="G96" s="6" t="n"/>
      <c r="H96" s="6" t="n"/>
      <c r="I96" s="7">
        <f>IF(G96="","",G96*(1+H96/100))</f>
        <v/>
      </c>
      <c r="J96" s="6" t="n"/>
      <c r="K96" s="6" t="n"/>
      <c r="L96" s="8" t="n"/>
      <c r="M96" s="8" t="n"/>
      <c r="N96" s="8" t="n"/>
      <c r="O96" s="8" t="n"/>
      <c r="P96" s="8" t="n"/>
      <c r="Q96" s="8">
        <f>IF(OR(O96="",P96=""),"",MIN(O96,P96)-N96)</f>
        <v/>
      </c>
      <c r="R96" s="6" t="n"/>
      <c r="S96" s="6" t="n"/>
      <c r="T96" s="6" t="n"/>
      <c r="U96" s="6" t="n"/>
      <c r="V96" s="6" t="n"/>
      <c r="W96" s="6" t="n"/>
      <c r="X96" s="6" t="n"/>
      <c r="Y96" s="6" t="n"/>
      <c r="Z96" s="6" t="inlineStr">
        <is>
          <t>9현장: 린스,만현,백현,산본,이선</t>
        </is>
      </c>
      <c r="AA96" s="8" t="n">
        <v>65000</v>
      </c>
      <c r="AB96" s="8" t="n">
        <v>150000</v>
      </c>
    </row>
    <row r="97">
      <c r="A97" s="9" t="inlineStr">
        <is>
          <t>WD-71E</t>
        </is>
      </c>
      <c r="B97" s="9" t="inlineStr">
        <is>
          <t>커튼 박스 / 단내림</t>
        </is>
      </c>
      <c r="C97" s="6" t="inlineStr">
        <is>
          <t>1X1 각재, 고밀도 MDF</t>
        </is>
      </c>
      <c r="D97" s="6" t="inlineStr"/>
      <c r="E97" s="6" t="inlineStr">
        <is>
          <t>필수</t>
        </is>
      </c>
      <c r="F97" s="6" t="inlineStr">
        <is>
          <t>EA</t>
        </is>
      </c>
      <c r="G97" s="6" t="n"/>
      <c r="H97" s="6" t="n"/>
      <c r="I97" s="7">
        <f>IF(G97="","",G97*(1+H97/100))</f>
        <v/>
      </c>
      <c r="J97" s="6" t="n"/>
      <c r="K97" s="6" t="n"/>
      <c r="L97" s="8" t="n"/>
      <c r="M97" s="8" t="n"/>
      <c r="N97" s="8" t="n"/>
      <c r="O97" s="8" t="n"/>
      <c r="P97" s="8" t="n"/>
      <c r="Q97" s="8">
        <f>IF(OR(O97="",P97=""),"",MIN(O97,P97)-N97)</f>
        <v/>
      </c>
      <c r="R97" s="6" t="n"/>
      <c r="S97" s="6" t="n"/>
      <c r="T97" s="6" t="n"/>
      <c r="U97" s="6" t="n"/>
      <c r="V97" s="6" t="n"/>
      <c r="W97" s="6" t="n"/>
      <c r="X97" s="6" t="n"/>
      <c r="Y97" s="6" t="n"/>
      <c r="Z97" s="6" t="inlineStr">
        <is>
          <t>2현장: 금호,행당동</t>
        </is>
      </c>
      <c r="AA97" s="8" t="n">
        <v>100000</v>
      </c>
      <c r="AB97" s="8" t="n">
        <v>120000</v>
      </c>
    </row>
    <row r="98">
      <c r="A98" s="9" t="inlineStr">
        <is>
          <t>WD-72E</t>
        </is>
      </c>
      <c r="B98" s="9" t="inlineStr">
        <is>
          <t>터닝도어</t>
        </is>
      </c>
      <c r="C98" s="6" t="inlineStr">
        <is>
          <t>이건창호</t>
        </is>
      </c>
      <c r="D98" s="6" t="inlineStr">
        <is>
          <t>거실-안방</t>
        </is>
      </c>
      <c r="E98" s="6" t="inlineStr">
        <is>
          <t>필수</t>
        </is>
      </c>
      <c r="F98" s="6" t="inlineStr">
        <is>
          <t>EA</t>
        </is>
      </c>
      <c r="G98" s="6" t="n"/>
      <c r="H98" s="6" t="n"/>
      <c r="I98" s="7">
        <f>IF(G98="","",G98*(1+H98/100))</f>
        <v/>
      </c>
      <c r="J98" s="6" t="n"/>
      <c r="K98" s="6" t="n"/>
      <c r="L98" s="8" t="n"/>
      <c r="M98" s="8" t="n"/>
      <c r="N98" s="8" t="n"/>
      <c r="O98" s="8" t="n"/>
      <c r="P98" s="8" t="n"/>
      <c r="Q98" s="8">
        <f>IF(OR(O98="",P98=""),"",MIN(O98,P98)-N98)</f>
        <v/>
      </c>
      <c r="R98" s="6" t="n"/>
      <c r="S98" s="6" t="n"/>
      <c r="T98" s="6" t="n"/>
      <c r="U98" s="6" t="n"/>
      <c r="V98" s="6" t="n"/>
      <c r="W98" s="6" t="n"/>
      <c r="X98" s="6" t="n"/>
      <c r="Y98" s="6" t="n"/>
      <c r="Z98" s="6" t="inlineStr">
        <is>
          <t>5현장: 금호,이선,이성숙,전기영,행당동</t>
        </is>
      </c>
      <c r="AA98" s="8" t="n">
        <v>600000</v>
      </c>
      <c r="AB98" s="8" t="n">
        <v>200000</v>
      </c>
    </row>
    <row r="99">
      <c r="A99" s="9" t="inlineStr">
        <is>
          <t>WD-73E</t>
        </is>
      </c>
      <c r="B99" s="9" t="inlineStr">
        <is>
          <t>패브릭유리</t>
        </is>
      </c>
      <c r="C99" s="6" t="inlineStr">
        <is>
          <t>현관 파티션</t>
        </is>
      </c>
      <c r="D99" s="6" t="inlineStr">
        <is>
          <t>현관</t>
        </is>
      </c>
      <c r="E99" s="6" t="inlineStr">
        <is>
          <t>필수</t>
        </is>
      </c>
      <c r="F99" s="6" t="inlineStr">
        <is>
          <t>EA</t>
        </is>
      </c>
      <c r="G99" s="6" t="n"/>
      <c r="H99" s="6" t="n"/>
      <c r="I99" s="7">
        <f>IF(G99="","",G99*(1+H99/100))</f>
        <v/>
      </c>
      <c r="J99" s="6" t="n"/>
      <c r="K99" s="6" t="n"/>
      <c r="L99" s="8" t="n"/>
      <c r="M99" s="8" t="n"/>
      <c r="N99" s="8" t="n"/>
      <c r="O99" s="8" t="n"/>
      <c r="P99" s="8" t="n"/>
      <c r="Q99" s="8">
        <f>IF(OR(O99="",P99=""),"",MIN(O99,P99)-N99)</f>
        <v/>
      </c>
      <c r="R99" s="6" t="n"/>
      <c r="S99" s="6" t="n"/>
      <c r="T99" s="6" t="n"/>
      <c r="U99" s="6" t="n"/>
      <c r="V99" s="6" t="n"/>
      <c r="W99" s="6" t="n"/>
      <c r="X99" s="6" t="n"/>
      <c r="Y99" s="6" t="n"/>
      <c r="Z99" s="6" t="inlineStr">
        <is>
          <t>1현장: 행당동</t>
        </is>
      </c>
      <c r="AA99" s="8" t="n">
        <v>230000</v>
      </c>
      <c r="AB99" s="8" t="n">
        <v>50000</v>
      </c>
    </row>
    <row r="100">
      <c r="A100" s="9" t="inlineStr">
        <is>
          <t>WD-74E</t>
        </is>
      </c>
      <c r="B100" s="9" t="inlineStr">
        <is>
          <t>픽처레일</t>
        </is>
      </c>
      <c r="C100" s="6" t="inlineStr">
        <is>
          <t>—</t>
        </is>
      </c>
      <c r="D100" s="6" t="inlineStr">
        <is>
          <t>거실, 주방</t>
        </is>
      </c>
      <c r="E100" s="6" t="inlineStr">
        <is>
          <t>필수</t>
        </is>
      </c>
      <c r="F100" s="6" t="inlineStr">
        <is>
          <t>EA</t>
        </is>
      </c>
      <c r="G100" s="6" t="n"/>
      <c r="H100" s="6" t="n"/>
      <c r="I100" s="7">
        <f>IF(G100="","",G100*(1+H100/100))</f>
        <v/>
      </c>
      <c r="J100" s="6" t="n"/>
      <c r="K100" s="6" t="n"/>
      <c r="L100" s="8" t="n"/>
      <c r="M100" s="8" t="n"/>
      <c r="N100" s="8" t="n"/>
      <c r="O100" s="8" t="n"/>
      <c r="P100" s="8" t="n"/>
      <c r="Q100" s="8">
        <f>IF(OR(O100="",P100=""),"",MIN(O100,P100)-N100)</f>
        <v/>
      </c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inlineStr">
        <is>
          <t>1현장: 산본</t>
        </is>
      </c>
      <c r="AA100" s="8" t="n">
        <v>12500</v>
      </c>
      <c r="AB100" s="8" t="n">
        <v>5000</v>
      </c>
    </row>
    <row r="101">
      <c r="A101" s="9" t="inlineStr">
        <is>
          <t>WD-75E</t>
        </is>
      </c>
      <c r="B101" s="9" t="inlineStr">
        <is>
          <t>함석판</t>
        </is>
      </c>
      <c r="C101" s="6" t="inlineStr">
        <is>
          <t>갈바 / 함석</t>
        </is>
      </c>
      <c r="D101" s="6" t="inlineStr"/>
      <c r="E101" s="6" t="inlineStr">
        <is>
          <t>필수</t>
        </is>
      </c>
      <c r="F101" s="6" t="inlineStr">
        <is>
          <t>EA</t>
        </is>
      </c>
      <c r="G101" s="6" t="n"/>
      <c r="H101" s="6" t="n"/>
      <c r="I101" s="7">
        <f>IF(G101="","",G101*(1+H101/100))</f>
        <v/>
      </c>
      <c r="J101" s="6" t="n"/>
      <c r="K101" s="6" t="n"/>
      <c r="L101" s="8" t="n"/>
      <c r="M101" s="8" t="n"/>
      <c r="N101" s="8" t="n"/>
      <c r="O101" s="8" t="n"/>
      <c r="P101" s="8" t="n"/>
      <c r="Q101" s="8">
        <f>IF(OR(O101="",P101=""),"",MIN(O101,P101)-N101)</f>
        <v/>
      </c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inlineStr">
        <is>
          <t>1현장: 금호</t>
        </is>
      </c>
      <c r="AA101" s="8" t="n">
        <v>80000</v>
      </c>
      <c r="AB101" s="8" t="n">
        <v>100000</v>
      </c>
    </row>
    <row r="102">
      <c r="A102" s="9" t="inlineStr">
        <is>
          <t>WD-76E</t>
        </is>
      </c>
      <c r="B102" s="9" t="inlineStr">
        <is>
          <t>현관 거울(은경)</t>
        </is>
      </c>
      <c r="C102" s="6" t="inlineStr">
        <is>
          <t>제작</t>
        </is>
      </c>
      <c r="D102" s="6" t="inlineStr">
        <is>
          <t>현관</t>
        </is>
      </c>
      <c r="E102" s="6" t="inlineStr">
        <is>
          <t>필수</t>
        </is>
      </c>
      <c r="F102" s="6" t="inlineStr">
        <is>
          <t>식</t>
        </is>
      </c>
      <c r="G102" s="6" t="n"/>
      <c r="H102" s="6" t="n"/>
      <c r="I102" s="7">
        <f>IF(G102="","",G102*(1+H102/100))</f>
        <v/>
      </c>
      <c r="J102" s="6" t="n"/>
      <c r="K102" s="6" t="n"/>
      <c r="L102" s="8" t="n"/>
      <c r="M102" s="8" t="n"/>
      <c r="N102" s="8" t="n"/>
      <c r="O102" s="8" t="n"/>
      <c r="P102" s="8" t="n"/>
      <c r="Q102" s="8">
        <f>IF(OR(O102="",P102=""),"",MIN(O102,P102)-N102)</f>
        <v/>
      </c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inlineStr">
        <is>
          <t>3현장: 금호,이선,행당동</t>
        </is>
      </c>
      <c r="AA102" s="8" t="n"/>
      <c r="AB102" s="8" t="n"/>
    </row>
    <row r="103">
      <c r="A103" s="9" t="inlineStr">
        <is>
          <t>WD-77E</t>
        </is>
      </c>
      <c r="B103" s="9" t="inlineStr">
        <is>
          <t>현관 밴치 보강</t>
        </is>
      </c>
      <c r="C103" s="6" t="inlineStr">
        <is>
          <t>금속보강</t>
        </is>
      </c>
      <c r="D103" s="6" t="inlineStr">
        <is>
          <t>현관</t>
        </is>
      </c>
      <c r="E103" s="6" t="inlineStr">
        <is>
          <t>필수</t>
        </is>
      </c>
      <c r="F103" s="6" t="inlineStr">
        <is>
          <t>식</t>
        </is>
      </c>
      <c r="G103" s="6" t="n"/>
      <c r="H103" s="6" t="n"/>
      <c r="I103" s="7">
        <f>IF(G103="","",G103*(1+H103/100))</f>
        <v/>
      </c>
      <c r="J103" s="6" t="n"/>
      <c r="K103" s="6" t="n"/>
      <c r="L103" s="8" t="n"/>
      <c r="M103" s="8" t="n"/>
      <c r="N103" s="8" t="n"/>
      <c r="O103" s="8" t="n"/>
      <c r="P103" s="8" t="n"/>
      <c r="Q103" s="8">
        <f>IF(OR(O103="",P103=""),"",MIN(O103,P103)-N103)</f>
        <v/>
      </c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inlineStr">
        <is>
          <t>1현장: 금호</t>
        </is>
      </c>
      <c r="AA103" s="8" t="n">
        <v>80000</v>
      </c>
      <c r="AB103" s="8" t="n">
        <v>100000</v>
      </c>
    </row>
    <row r="104">
      <c r="A104" s="9" t="inlineStr">
        <is>
          <t>WD-78E</t>
        </is>
      </c>
      <c r="B104" s="9" t="inlineStr">
        <is>
          <t>현관 브라운경</t>
        </is>
      </c>
      <c r="C104" s="6" t="inlineStr">
        <is>
          <t>브라운경 슬라이딩 도어</t>
        </is>
      </c>
      <c r="D104" s="6" t="inlineStr">
        <is>
          <t>현관벽체</t>
        </is>
      </c>
      <c r="E104" s="6" t="inlineStr">
        <is>
          <t>필수</t>
        </is>
      </c>
      <c r="F104" s="6" t="inlineStr">
        <is>
          <t>식</t>
        </is>
      </c>
      <c r="G104" s="6" t="n"/>
      <c r="H104" s="6" t="n"/>
      <c r="I104" s="7">
        <f>IF(G104="","",G104*(1+H104/100))</f>
        <v/>
      </c>
      <c r="J104" s="6" t="n"/>
      <c r="K104" s="6" t="n"/>
      <c r="L104" s="8" t="n"/>
      <c r="M104" s="8" t="n"/>
      <c r="N104" s="8" t="n"/>
      <c r="O104" s="8" t="n"/>
      <c r="P104" s="8" t="n"/>
      <c r="Q104" s="8">
        <f>IF(OR(O104="",P104=""),"",MIN(O104,P104)-N104)</f>
        <v/>
      </c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inlineStr">
        <is>
          <t>1현장: 이선</t>
        </is>
      </c>
      <c r="AA104" s="8" t="n">
        <v>600000</v>
      </c>
      <c r="AB104" s="8" t="n">
        <v>300000</v>
      </c>
    </row>
    <row r="105">
      <c r="A105" s="9" t="inlineStr">
        <is>
          <t>WD-79E</t>
        </is>
      </c>
      <c r="B105" s="9" t="inlineStr">
        <is>
          <t>현관 선반</t>
        </is>
      </c>
      <c r="C105" s="6" t="inlineStr">
        <is>
          <t>1X1 각재, 9T 합판</t>
        </is>
      </c>
      <c r="D105" s="6" t="inlineStr">
        <is>
          <t>거실-안방</t>
        </is>
      </c>
      <c r="E105" s="6" t="inlineStr">
        <is>
          <t>필수</t>
        </is>
      </c>
      <c r="F105" s="6" t="inlineStr">
        <is>
          <t>식</t>
        </is>
      </c>
      <c r="G105" s="6" t="n"/>
      <c r="H105" s="6" t="n"/>
      <c r="I105" s="7">
        <f>IF(G105="","",G105*(1+H105/100))</f>
        <v/>
      </c>
      <c r="J105" s="6" t="n"/>
      <c r="K105" s="6" t="n"/>
      <c r="L105" s="8" t="n"/>
      <c r="M105" s="8" t="n"/>
      <c r="N105" s="8" t="n"/>
      <c r="O105" s="8" t="n"/>
      <c r="P105" s="8" t="n"/>
      <c r="Q105" s="8">
        <f>IF(OR(O105="",P105=""),"",MIN(O105,P105)-N105)</f>
        <v/>
      </c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inlineStr">
        <is>
          <t>1현장: 이선</t>
        </is>
      </c>
      <c r="AA105" s="8" t="n">
        <v>200000</v>
      </c>
      <c r="AB105" s="8" t="n">
        <v>280000</v>
      </c>
    </row>
    <row r="106">
      <c r="A106" s="9" t="inlineStr">
        <is>
          <t>WD-80E</t>
        </is>
      </c>
      <c r="B106" s="9" t="inlineStr">
        <is>
          <t>화장실 바리솔 구조틀</t>
        </is>
      </c>
      <c r="C106" s="6" t="inlineStr">
        <is>
          <t>각재 및 합판보강</t>
        </is>
      </c>
      <c r="D106" s="6" t="inlineStr">
        <is>
          <t>화장실</t>
        </is>
      </c>
      <c r="E106" s="6" t="inlineStr">
        <is>
          <t>필수</t>
        </is>
      </c>
      <c r="F106" s="6" t="inlineStr">
        <is>
          <t>EA</t>
        </is>
      </c>
      <c r="G106" s="6" t="n"/>
      <c r="H106" s="6" t="n"/>
      <c r="I106" s="7">
        <f>IF(G106="","",G106*(1+H106/100))</f>
        <v/>
      </c>
      <c r="J106" s="6" t="n"/>
      <c r="K106" s="6" t="n"/>
      <c r="L106" s="8" t="n"/>
      <c r="M106" s="8" t="n"/>
      <c r="N106" s="8" t="n"/>
      <c r="O106" s="8" t="n"/>
      <c r="P106" s="8" t="n"/>
      <c r="Q106" s="8">
        <f>IF(OR(O106="",P106=""),"",MIN(O106,P106)-N106)</f>
        <v/>
      </c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inlineStr">
        <is>
          <t>2현장: 금호,이선</t>
        </is>
      </c>
      <c r="AA106" s="8" t="n">
        <v>100000</v>
      </c>
      <c r="AB106" s="8" t="n">
        <v>200000</v>
      </c>
    </row>
    <row r="107">
      <c r="A107" s="9" t="inlineStr">
        <is>
          <t>WD-81E</t>
        </is>
      </c>
      <c r="B107" s="9" t="inlineStr">
        <is>
          <t>확장 단열 및 마감</t>
        </is>
      </c>
      <c r="C107" s="6" t="inlineStr">
        <is>
          <t>자녀방, 자녀방 앞방</t>
        </is>
      </c>
      <c r="D107" s="6" t="inlineStr"/>
      <c r="E107" s="6" t="inlineStr">
        <is>
          <t>필수</t>
        </is>
      </c>
      <c r="F107" s="6" t="inlineStr">
        <is>
          <t>식</t>
        </is>
      </c>
      <c r="G107" s="6" t="n"/>
      <c r="H107" s="6" t="n"/>
      <c r="I107" s="7">
        <f>IF(G107="","",G107*(1+H107/100))</f>
        <v/>
      </c>
      <c r="J107" s="6" t="n"/>
      <c r="K107" s="6" t="n"/>
      <c r="L107" s="8" t="n"/>
      <c r="M107" s="8" t="n"/>
      <c r="N107" s="8" t="n"/>
      <c r="O107" s="8" t="n"/>
      <c r="P107" s="8" t="n"/>
      <c r="Q107" s="8">
        <f>IF(OR(O107="",P107=""),"",MIN(O107,P107)-N107)</f>
        <v/>
      </c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inlineStr">
        <is>
          <t>1현장: 이성숙</t>
        </is>
      </c>
      <c r="AA107" s="8" t="n">
        <v>250000</v>
      </c>
      <c r="AB107" s="8" t="n">
        <v>300000</v>
      </c>
    </row>
    <row r="108">
      <c r="A108" s="9" t="inlineStr">
        <is>
          <t>WD-82E</t>
        </is>
      </c>
      <c r="B108" s="9" t="inlineStr">
        <is>
          <t>확장부 단열공사</t>
        </is>
      </c>
      <c r="C108" s="6" t="inlineStr">
        <is>
          <t>아이소핑크</t>
        </is>
      </c>
      <c r="D108" s="6" t="inlineStr">
        <is>
          <t>확장부</t>
        </is>
      </c>
      <c r="E108" s="6" t="inlineStr">
        <is>
          <t>필수</t>
        </is>
      </c>
      <c r="F108" s="6" t="inlineStr">
        <is>
          <t>식</t>
        </is>
      </c>
      <c r="G108" s="6" t="n"/>
      <c r="H108" s="6" t="n"/>
      <c r="I108" s="7">
        <f>IF(G108="","",G108*(1+H108/100))</f>
        <v/>
      </c>
      <c r="J108" s="6" t="n"/>
      <c r="K108" s="6" t="n"/>
      <c r="L108" s="8" t="n"/>
      <c r="M108" s="8" t="n"/>
      <c r="N108" s="8" t="n"/>
      <c r="O108" s="8" t="n"/>
      <c r="P108" s="8" t="n"/>
      <c r="Q108" s="8">
        <f>IF(OR(O108="",P108=""),"",MIN(O108,P108)-N108)</f>
        <v/>
      </c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inlineStr">
        <is>
          <t>2현장: 금호,행당동</t>
        </is>
      </c>
      <c r="AA108" s="8" t="n">
        <v>150000</v>
      </c>
      <c r="AB108" s="8" t="n">
        <v>350000</v>
      </c>
    </row>
    <row r="109">
      <c r="A109" s="9" t="inlineStr">
        <is>
          <t>WD-83E</t>
        </is>
      </c>
      <c r="B109" s="9" t="inlineStr">
        <is>
          <t>확장부 마감공사</t>
        </is>
      </c>
      <c r="C109" s="6" t="inlineStr">
        <is>
          <t>목공 벽체 물량에 포함</t>
        </is>
      </c>
      <c r="D109" s="6" t="inlineStr"/>
      <c r="E109" s="6" t="inlineStr">
        <is>
          <t>필수</t>
        </is>
      </c>
      <c r="F109" s="6" t="inlineStr">
        <is>
          <t>식</t>
        </is>
      </c>
      <c r="G109" s="6" t="n"/>
      <c r="H109" s="6" t="n"/>
      <c r="I109" s="7">
        <f>IF(G109="","",G109*(1+H109/100))</f>
        <v/>
      </c>
      <c r="J109" s="6" t="n"/>
      <c r="K109" s="6" t="n"/>
      <c r="L109" s="8" t="n"/>
      <c r="M109" s="8" t="n"/>
      <c r="N109" s="8" t="n"/>
      <c r="O109" s="8" t="n"/>
      <c r="P109" s="8" t="n"/>
      <c r="Q109" s="8">
        <f>IF(OR(O109="",P109=""),"",MIN(O109,P109)-N109)</f>
        <v/>
      </c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inlineStr">
        <is>
          <t>2현장: 금호,행당동</t>
        </is>
      </c>
      <c r="AA109" s="8" t="n">
        <v>150000</v>
      </c>
      <c r="AB109" s="8" t="n">
        <v>350000</v>
      </c>
    </row>
    <row r="110">
      <c r="A110" s="9" t="inlineStr">
        <is>
          <t>WD-84E</t>
        </is>
      </c>
      <c r="B110" s="9" t="inlineStr">
        <is>
          <t>히든도어</t>
        </is>
      </c>
      <c r="C110" s="6" t="inlineStr">
        <is>
          <t>45T ABS 도어 및 문틀</t>
        </is>
      </c>
      <c r="D110" s="6" t="inlineStr">
        <is>
          <t>공용부</t>
        </is>
      </c>
      <c r="E110" s="6" t="inlineStr">
        <is>
          <t>필수</t>
        </is>
      </c>
      <c r="F110" s="6" t="inlineStr">
        <is>
          <t>식</t>
        </is>
      </c>
      <c r="G110" s="6" t="n"/>
      <c r="H110" s="6" t="n"/>
      <c r="I110" s="7">
        <f>IF(G110="","",G110*(1+H110/100))</f>
        <v/>
      </c>
      <c r="J110" s="6" t="n"/>
      <c r="K110" s="6" t="n"/>
      <c r="L110" s="8" t="n"/>
      <c r="M110" s="8" t="n"/>
      <c r="N110" s="8" t="n"/>
      <c r="O110" s="8" t="n"/>
      <c r="P110" s="8" t="n"/>
      <c r="Q110" s="8">
        <f>IF(OR(O110="",P110=""),"",MIN(O110,P110)-N110)</f>
        <v/>
      </c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inlineStr">
        <is>
          <t>2현장: 금호,이선</t>
        </is>
      </c>
      <c r="AA110" s="8" t="n">
        <v>700000</v>
      </c>
      <c r="AB110" s="8" t="n">
        <v>225000</v>
      </c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1">
        <f>IF(G111="","",G111*(1+H111/100))</f>
        <v/>
      </c>
      <c r="J111" s="10" t="n"/>
      <c r="K111" s="10" t="n"/>
      <c r="L111" s="10" t="n"/>
      <c r="M111" s="10" t="n"/>
      <c r="N111" s="10" t="n"/>
      <c r="O111" s="10" t="n"/>
      <c r="P111" s="10" t="n"/>
      <c r="Q111" s="12">
        <f>IF(OR(O111="",P111=""),"",MIN(O111,P111)-N111)</f>
        <v/>
      </c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1">
        <f>IF(G112="","",G112*(1+H112/100))</f>
        <v/>
      </c>
      <c r="J112" s="10" t="n"/>
      <c r="K112" s="10" t="n"/>
      <c r="L112" s="10" t="n"/>
      <c r="M112" s="10" t="n"/>
      <c r="N112" s="10" t="n"/>
      <c r="O112" s="10" t="n"/>
      <c r="P112" s="10" t="n"/>
      <c r="Q112" s="12">
        <f>IF(OR(O112="",P112=""),"",MIN(O112,P112)-N112)</f>
        <v/>
      </c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1">
        <f>IF(G113="","",G113*(1+H113/100))</f>
        <v/>
      </c>
      <c r="J113" s="10" t="n"/>
      <c r="K113" s="10" t="n"/>
      <c r="L113" s="10" t="n"/>
      <c r="M113" s="10" t="n"/>
      <c r="N113" s="10" t="n"/>
      <c r="O113" s="10" t="n"/>
      <c r="P113" s="10" t="n"/>
      <c r="Q113" s="12">
        <f>IF(OR(O113="",P113=""),"",MIN(O113,P113)-N113)</f>
        <v/>
      </c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1">
        <f>IF(G114="","",G114*(1+H114/100))</f>
        <v/>
      </c>
      <c r="J114" s="10" t="n"/>
      <c r="K114" s="10" t="n"/>
      <c r="L114" s="10" t="n"/>
      <c r="M114" s="10" t="n"/>
      <c r="N114" s="10" t="n"/>
      <c r="O114" s="10" t="n"/>
      <c r="P114" s="10" t="n"/>
      <c r="Q114" s="12">
        <f>IF(OR(O114="",P114=""),"",MIN(O114,P114)-N114)</f>
        <v/>
      </c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1">
        <f>IF(G115="","",G115*(1+H115/100))</f>
        <v/>
      </c>
      <c r="J115" s="10" t="n"/>
      <c r="K115" s="10" t="n"/>
      <c r="L115" s="10" t="n"/>
      <c r="M115" s="10" t="n"/>
      <c r="N115" s="10" t="n"/>
      <c r="O115" s="10" t="n"/>
      <c r="P115" s="10" t="n"/>
      <c r="Q115" s="12">
        <f>IF(OR(O115="",P115=""),"",MIN(O115,P115)-N115)</f>
        <v/>
      </c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1">
        <f>IF(G116="","",G116*(1+H116/100))</f>
        <v/>
      </c>
      <c r="J116" s="10" t="n"/>
      <c r="K116" s="10" t="n"/>
      <c r="L116" s="10" t="n"/>
      <c r="M116" s="10" t="n"/>
      <c r="N116" s="10" t="n"/>
      <c r="O116" s="10" t="n"/>
      <c r="P116" s="10" t="n"/>
      <c r="Q116" s="12">
        <f>IF(OR(O116="",P116=""),"",MIN(O116,P116)-N116)</f>
        <v/>
      </c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1">
        <f>IF(G117="","",G117*(1+H117/100))</f>
        <v/>
      </c>
      <c r="J117" s="10" t="n"/>
      <c r="K117" s="10" t="n"/>
      <c r="L117" s="10" t="n"/>
      <c r="M117" s="10" t="n"/>
      <c r="N117" s="10" t="n"/>
      <c r="O117" s="10" t="n"/>
      <c r="P117" s="10" t="n"/>
      <c r="Q117" s="12">
        <f>IF(OR(O117="",P117=""),"",MIN(O117,P117)-N117)</f>
        <v/>
      </c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1">
        <f>IF(G118="","",G118*(1+H118/100))</f>
        <v/>
      </c>
      <c r="J118" s="10" t="n"/>
      <c r="K118" s="10" t="n"/>
      <c r="L118" s="10" t="n"/>
      <c r="M118" s="10" t="n"/>
      <c r="N118" s="10" t="n"/>
      <c r="O118" s="10" t="n"/>
      <c r="P118" s="10" t="n"/>
      <c r="Q118" s="12">
        <f>IF(OR(O118="",P118=""),"",MIN(O118,P118)-N118)</f>
        <v/>
      </c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1">
        <f>IF(G119="","",G119*(1+H119/100))</f>
        <v/>
      </c>
      <c r="J119" s="10" t="n"/>
      <c r="K119" s="10" t="n"/>
      <c r="L119" s="10" t="n"/>
      <c r="M119" s="10" t="n"/>
      <c r="N119" s="10" t="n"/>
      <c r="O119" s="10" t="n"/>
      <c r="P119" s="10" t="n"/>
      <c r="Q119" s="12">
        <f>IF(OR(O119="",P119=""),"",MIN(O119,P119)-N119)</f>
        <v/>
      </c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1">
        <f>IF(G120="","",G120*(1+H120/100))</f>
        <v/>
      </c>
      <c r="J120" s="10" t="n"/>
      <c r="K120" s="10" t="n"/>
      <c r="L120" s="10" t="n"/>
      <c r="M120" s="10" t="n"/>
      <c r="N120" s="10" t="n"/>
      <c r="O120" s="10" t="n"/>
      <c r="P120" s="10" t="n"/>
      <c r="Q120" s="12">
        <f>IF(OR(O120="",P120=""),"",MIN(O120,P120)-N120)</f>
        <v/>
      </c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</row>
    <row r="122">
      <c r="A122" s="13" t="inlineStr">
        <is>
          <t>※ 파란셀=수식 | 노란셀=견적참고 | ★금색=견적서 추출항목 | 소요량·로스율=대표 | 가격=유통 | 견적단가=16개 견적서 중앙값</t>
        </is>
      </c>
    </row>
  </sheetData>
  <autoFilter ref="A4:AB120"/>
  <mergeCells count="9">
    <mergeCell ref="R3:U3"/>
    <mergeCell ref="A2:AB2"/>
    <mergeCell ref="AA3:AB3"/>
    <mergeCell ref="J3:Q3"/>
    <mergeCell ref="Y3:Z3"/>
    <mergeCell ref="A1:AB1"/>
    <mergeCell ref="A3:I3"/>
    <mergeCell ref="V3:X3"/>
    <mergeCell ref="A122:AB1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8936"/>
    <outlinePr summaryBelow="1" summaryRight="1"/>
    <pageSetUpPr/>
  </sheetPr>
  <dimension ref="A1:AB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필름 자재</t>
        </is>
      </c>
    </row>
    <row r="2">
      <c r="A2" s="2" t="inlineStr">
        <is>
          <t>공정코드: FM | 체크리스트 + 16개 견적서 전체 항목 | ★=견적서 추출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(16개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FM-001</t>
        </is>
      </c>
      <c r="B5" s="6" t="inlineStr">
        <is>
          <t>인테리어 필름</t>
        </is>
      </c>
      <c r="C5" s="6" t="inlineStr">
        <is>
          <t>PVC</t>
        </is>
      </c>
      <c r="D5" s="6" t="inlineStr">
        <is>
          <t>벽체·도어·가구</t>
        </is>
      </c>
      <c r="E5" s="6" t="inlineStr">
        <is>
          <t>필수</t>
        </is>
      </c>
      <c r="F5" s="6" t="inlineStr">
        <is>
          <t>M2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FM-002</t>
        </is>
      </c>
      <c r="B6" s="6" t="inlineStr">
        <is>
          <t>프라이머</t>
        </is>
      </c>
      <c r="C6" s="6" t="inlineStr">
        <is>
          <t>필름용</t>
        </is>
      </c>
      <c r="D6" s="6" t="inlineStr">
        <is>
          <t>접착력 향상</t>
        </is>
      </c>
      <c r="E6" s="6" t="inlineStr">
        <is>
          <t>필수</t>
        </is>
      </c>
      <c r="F6" s="6" t="inlineStr">
        <is>
          <t>리터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FM-003</t>
        </is>
      </c>
      <c r="B7" s="6" t="inlineStr">
        <is>
          <t>스퀴지</t>
        </is>
      </c>
      <c r="C7" s="6" t="inlineStr">
        <is>
          <t>플라스틱</t>
        </is>
      </c>
      <c r="D7" s="6" t="inlineStr">
        <is>
          <t>공기 제거</t>
        </is>
      </c>
      <c r="E7" s="6" t="inlineStr">
        <is>
          <t>필수</t>
        </is>
      </c>
      <c r="F7" s="6" t="inlineStr">
        <is>
          <t>개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FM-004</t>
        </is>
      </c>
      <c r="B8" s="6" t="inlineStr">
        <is>
          <t>히트건</t>
        </is>
      </c>
      <c r="C8" s="6" t="inlineStr">
        <is>
          <t>—</t>
        </is>
      </c>
      <c r="D8" s="6" t="inlineStr">
        <is>
          <t>열수축</t>
        </is>
      </c>
      <c r="E8" s="6" t="inlineStr">
        <is>
          <t>필수</t>
        </is>
      </c>
      <c r="F8" s="6" t="inlineStr">
        <is>
          <t>대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FM-005</t>
        </is>
      </c>
      <c r="B9" s="6" t="inlineStr">
        <is>
          <t>칼날</t>
        </is>
      </c>
      <c r="C9" s="6" t="inlineStr">
        <is>
          <t>스냅오프</t>
        </is>
      </c>
      <c r="D9" s="6" t="inlineStr">
        <is>
          <t>재단</t>
        </is>
      </c>
      <c r="E9" s="6" t="inlineStr">
        <is>
          <t>필수</t>
        </is>
      </c>
      <c r="F9" s="6" t="inlineStr">
        <is>
          <t>통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9" t="inlineStr">
        <is>
          <t>FM-01E</t>
        </is>
      </c>
      <c r="B10" s="9" t="inlineStr">
        <is>
          <t>PL창호</t>
        </is>
      </c>
      <c r="C10" s="6" t="inlineStr">
        <is>
          <t>—</t>
        </is>
      </c>
      <c r="D10" s="6" t="inlineStr"/>
      <c r="E10" s="6" t="inlineStr">
        <is>
          <t>필수</t>
        </is>
      </c>
      <c r="F10" s="6" t="inlineStr">
        <is>
          <t>M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>
        <is>
          <t>8현장: 김성용,김은경,린스,만현,백현</t>
        </is>
      </c>
      <c r="AA10" s="8" t="n">
        <v>3300</v>
      </c>
      <c r="AB10" s="8" t="n">
        <v>6600</v>
      </c>
    </row>
    <row r="11">
      <c r="A11" s="9" t="inlineStr">
        <is>
          <t>FM-02E</t>
        </is>
      </c>
      <c r="B11" s="9" t="inlineStr">
        <is>
          <t>TV 하부장</t>
        </is>
      </c>
      <c r="C11" s="6" t="inlineStr">
        <is>
          <t>한솔</t>
        </is>
      </c>
      <c r="D11" s="6" t="inlineStr">
        <is>
          <t>거실</t>
        </is>
      </c>
      <c r="E11" s="6" t="inlineStr">
        <is>
          <t>필수</t>
        </is>
      </c>
      <c r="F11" s="6" t="inlineStr">
        <is>
          <t>M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>
        <is>
          <t>4현장: 린스,만현,백현,푸르지오</t>
        </is>
      </c>
      <c r="AA11" s="8" t="n">
        <v>7500</v>
      </c>
      <c r="AB11" s="8" t="n">
        <v>6600</v>
      </c>
    </row>
    <row r="12">
      <c r="A12" s="9" t="inlineStr">
        <is>
          <t>FM-03E</t>
        </is>
      </c>
      <c r="B12" s="9" t="inlineStr">
        <is>
          <t>가구 도어</t>
        </is>
      </c>
      <c r="C12" s="6" t="inlineStr">
        <is>
          <t>현관 팬트리</t>
        </is>
      </c>
      <c r="D12" s="6" t="inlineStr"/>
      <c r="E12" s="6" t="inlineStr">
        <is>
          <t>필수</t>
        </is>
      </c>
      <c r="F12" s="6" t="inlineStr">
        <is>
          <t>개소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>
        <is>
          <t>1현장: 이성숙</t>
        </is>
      </c>
      <c r="AA12" s="8" t="n">
        <v>70000</v>
      </c>
      <c r="AB12" s="8" t="n">
        <v>50000</v>
      </c>
    </row>
    <row r="13">
      <c r="A13" s="9" t="inlineStr">
        <is>
          <t>FM-04E</t>
        </is>
      </c>
      <c r="B13" s="9" t="inlineStr">
        <is>
          <t>가구도어</t>
        </is>
      </c>
      <c r="C13" s="6" t="inlineStr">
        <is>
          <t>가구도어 공장 접착시공</t>
        </is>
      </c>
      <c r="D13" s="6" t="inlineStr">
        <is>
          <t>필름마감 가구</t>
        </is>
      </c>
      <c r="E13" s="6" t="inlineStr">
        <is>
          <t>필수</t>
        </is>
      </c>
      <c r="F13" s="6" t="inlineStr">
        <is>
          <t>인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>
        <is>
          <t>1현장: 이선</t>
        </is>
      </c>
      <c r="AA13" s="8" t="n">
        <v>300000</v>
      </c>
      <c r="AB13" s="8" t="n">
        <v>300000</v>
      </c>
    </row>
    <row r="14">
      <c r="A14" s="9" t="inlineStr">
        <is>
          <t>FM-05E</t>
        </is>
      </c>
      <c r="B14" s="9" t="inlineStr">
        <is>
          <t>걸레받이</t>
        </is>
      </c>
      <c r="C14" s="6" t="inlineStr">
        <is>
          <t>각 방</t>
        </is>
      </c>
      <c r="D14" s="6" t="inlineStr">
        <is>
          <t>거실, 각 방</t>
        </is>
      </c>
      <c r="E14" s="6" t="inlineStr">
        <is>
          <t>필수</t>
        </is>
      </c>
      <c r="F14" s="6" t="inlineStr">
        <is>
          <t>M2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>
        <is>
          <t>11현장: 김성용,김은경,린스,만현,백현</t>
        </is>
      </c>
      <c r="AA14" s="8" t="n">
        <v>3300</v>
      </c>
      <c r="AB14" s="8" t="n">
        <v>6600</v>
      </c>
    </row>
    <row r="15">
      <c r="A15" s="9" t="inlineStr">
        <is>
          <t>FM-06E</t>
        </is>
      </c>
      <c r="B15" s="9" t="inlineStr">
        <is>
          <t>걸레받이 / 천정몰딩</t>
        </is>
      </c>
      <c r="C15" s="6" t="inlineStr">
        <is>
          <t>각 방</t>
        </is>
      </c>
      <c r="D15" s="6" t="inlineStr">
        <is>
          <t>화이트</t>
        </is>
      </c>
      <c r="E15" s="6" t="inlineStr">
        <is>
          <t>필수</t>
        </is>
      </c>
      <c r="F15" s="6" t="inlineStr">
        <is>
          <t>M2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>
        <is>
          <t>2현장: 금호,행당동</t>
        </is>
      </c>
      <c r="AA15" s="8" t="n">
        <v>2200</v>
      </c>
      <c r="AB15" s="8" t="n">
        <v>6600</v>
      </c>
    </row>
    <row r="16">
      <c r="A16" s="9" t="inlineStr">
        <is>
          <t>FM-07E</t>
        </is>
      </c>
      <c r="B16" s="9" t="inlineStr">
        <is>
          <t>걸레받이/ 천장몰딩</t>
        </is>
      </c>
      <c r="C16" s="6" t="inlineStr">
        <is>
          <t>—</t>
        </is>
      </c>
      <c r="D16" s="6" t="inlineStr">
        <is>
          <t>영림 베이지449-3</t>
        </is>
      </c>
      <c r="E16" s="6" t="inlineStr">
        <is>
          <t>필수</t>
        </is>
      </c>
      <c r="F16" s="6" t="inlineStr">
        <is>
          <t>M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>
        <is>
          <t>4현장: 금호,이선,전기영,행당동</t>
        </is>
      </c>
      <c r="AA16" s="8" t="n">
        <v>2200</v>
      </c>
      <c r="AB16" s="8" t="n">
        <v>6600</v>
      </c>
    </row>
    <row r="17">
      <c r="A17" s="9" t="inlineStr">
        <is>
          <t>FM-08E</t>
        </is>
      </c>
      <c r="B17" s="9" t="inlineStr">
        <is>
          <t>공틀 가구 도어틀</t>
        </is>
      </c>
      <c r="C17" s="6" t="inlineStr">
        <is>
          <t>한솔</t>
        </is>
      </c>
      <c r="D17" s="6" t="inlineStr">
        <is>
          <t>주방,각방</t>
        </is>
      </c>
      <c r="E17" s="6" t="inlineStr">
        <is>
          <t>필수</t>
        </is>
      </c>
      <c r="F17" s="6" t="inlineStr">
        <is>
          <t>M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>
        <is>
          <t>4현장: 린스,만현,백현,푸르지오</t>
        </is>
      </c>
      <c r="AA17" s="8" t="n">
        <v>7500</v>
      </c>
      <c r="AB17" s="8" t="n">
        <v>6600</v>
      </c>
    </row>
    <row r="18">
      <c r="A18" s="9" t="inlineStr">
        <is>
          <t>FM-09E</t>
        </is>
      </c>
      <c r="B18" s="9" t="inlineStr">
        <is>
          <t>기존 가구틀</t>
        </is>
      </c>
      <c r="C18" s="6" t="inlineStr">
        <is>
          <t>한솔</t>
        </is>
      </c>
      <c r="D18" s="6" t="inlineStr">
        <is>
          <t>각 방</t>
        </is>
      </c>
      <c r="E18" s="6" t="inlineStr">
        <is>
          <t>필수</t>
        </is>
      </c>
      <c r="F18" s="6" t="inlineStr">
        <is>
          <t>M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>
        <is>
          <t>1현장: 푸르지오</t>
        </is>
      </c>
      <c r="AA18" s="8" t="n">
        <v>7500</v>
      </c>
      <c r="AB18" s="8" t="n">
        <v>6600</v>
      </c>
    </row>
    <row r="19">
      <c r="A19" s="9" t="inlineStr">
        <is>
          <t>FM-10E</t>
        </is>
      </c>
      <c r="B19" s="9" t="inlineStr">
        <is>
          <t>기존 샷시</t>
        </is>
      </c>
      <c r="C19" s="6" t="inlineStr">
        <is>
          <t>PNC47</t>
        </is>
      </c>
      <c r="D19" s="6" t="inlineStr">
        <is>
          <t>각 방</t>
        </is>
      </c>
      <c r="E19" s="6" t="inlineStr">
        <is>
          <t>필수</t>
        </is>
      </c>
      <c r="F19" s="6" t="inlineStr">
        <is>
          <t>M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>
        <is>
          <t>4현장: 린스,만현,백현,푸르지오</t>
        </is>
      </c>
      <c r="AA19" s="8" t="n">
        <v>3300</v>
      </c>
      <c r="AB19" s="8" t="n">
        <v>12200</v>
      </c>
    </row>
    <row r="20">
      <c r="A20" s="9" t="inlineStr">
        <is>
          <t>FM-11E</t>
        </is>
      </c>
      <c r="B20" s="9" t="inlineStr">
        <is>
          <t>도어 / 도어틀</t>
        </is>
      </c>
      <c r="C20" s="6" t="inlineStr">
        <is>
          <t>레놀릿 - 트로이</t>
        </is>
      </c>
      <c r="D20" s="6" t="inlineStr">
        <is>
          <t>거실, 각 방</t>
        </is>
      </c>
      <c r="E20" s="6" t="inlineStr">
        <is>
          <t>필수</t>
        </is>
      </c>
      <c r="F20" s="6" t="inlineStr">
        <is>
          <t>M2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>
        <is>
          <t>12현장: 금호,김성용,김은경,린스,백현</t>
        </is>
      </c>
      <c r="AA20" s="8" t="n">
        <v>11000</v>
      </c>
      <c r="AB20" s="8" t="n">
        <v>12200</v>
      </c>
    </row>
    <row r="21">
      <c r="A21" s="9" t="inlineStr">
        <is>
          <t>FM-12E</t>
        </is>
      </c>
      <c r="B21" s="9" t="inlineStr">
        <is>
          <t>도어 / 도어틀 (ABS도어)</t>
        </is>
      </c>
      <c r="C21" s="6" t="inlineStr">
        <is>
          <t>한솔</t>
        </is>
      </c>
      <c r="D21" s="6" t="inlineStr">
        <is>
          <t>각 방</t>
        </is>
      </c>
      <c r="E21" s="6" t="inlineStr">
        <is>
          <t>필수</t>
        </is>
      </c>
      <c r="F21" s="6" t="inlineStr">
        <is>
          <t>M2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>
        <is>
          <t>1현장: 만현</t>
        </is>
      </c>
      <c r="AA21" s="8" t="n">
        <v>21000</v>
      </c>
      <c r="AB21" s="8" t="n">
        <v>16500</v>
      </c>
    </row>
    <row r="22">
      <c r="A22" s="9" t="inlineStr">
        <is>
          <t>FM-13E</t>
        </is>
      </c>
      <c r="B22" s="9" t="inlineStr">
        <is>
          <t>방화문</t>
        </is>
      </c>
      <c r="C22" s="6" t="inlineStr">
        <is>
          <t>한솔 조슈아 라이트 오크</t>
        </is>
      </c>
      <c r="D22" s="6" t="inlineStr">
        <is>
          <t>현관,대피공간</t>
        </is>
      </c>
      <c r="E22" s="6" t="inlineStr">
        <is>
          <t>필수</t>
        </is>
      </c>
      <c r="F22" s="6" t="inlineStr">
        <is>
          <t>식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>
        <is>
          <t>1현장: 백현</t>
        </is>
      </c>
      <c r="AA22" s="8" t="n">
        <v>50000</v>
      </c>
      <c r="AB22" s="8" t="n">
        <v>150000</v>
      </c>
    </row>
    <row r="23">
      <c r="A23" s="9" t="inlineStr">
        <is>
          <t>FM-14E</t>
        </is>
      </c>
      <c r="B23" s="9" t="inlineStr">
        <is>
          <t>벽체</t>
        </is>
      </c>
      <c r="C23" s="6" t="inlineStr">
        <is>
          <t>한솔 조슈아 라이트 오크</t>
        </is>
      </c>
      <c r="D23" s="6" t="inlineStr">
        <is>
          <t>작업실, 드레스룸</t>
        </is>
      </c>
      <c r="E23" s="6" t="inlineStr">
        <is>
          <t>필수</t>
        </is>
      </c>
      <c r="F23" s="6" t="inlineStr">
        <is>
          <t>M2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>
        <is>
          <t>5현장: 린스,만현,백현,진산,푸르지오</t>
        </is>
      </c>
      <c r="AA23" s="8" t="n">
        <v>21000</v>
      </c>
      <c r="AB23" s="8" t="n">
        <v>12200</v>
      </c>
    </row>
    <row r="24">
      <c r="A24" s="9" t="inlineStr">
        <is>
          <t>FM-15E</t>
        </is>
      </c>
      <c r="B24" s="9" t="inlineStr">
        <is>
          <t>벽체 및 선반</t>
        </is>
      </c>
      <c r="C24" s="6" t="inlineStr">
        <is>
          <t>영림</t>
        </is>
      </c>
      <c r="D24" s="6" t="inlineStr">
        <is>
          <t>현관, 거실, 방</t>
        </is>
      </c>
      <c r="E24" s="6" t="inlineStr">
        <is>
          <t>필수</t>
        </is>
      </c>
      <c r="F24" s="6" t="inlineStr">
        <is>
          <t>M2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>
        <is>
          <t>1현장: 진산</t>
        </is>
      </c>
      <c r="AA24" s="8" t="n">
        <v>8500</v>
      </c>
      <c r="AB24" s="8" t="n">
        <v>16500</v>
      </c>
    </row>
    <row r="25">
      <c r="A25" s="9" t="inlineStr">
        <is>
          <t>FM-16E</t>
        </is>
      </c>
      <c r="B25" s="9" t="inlineStr">
        <is>
          <t>부자재</t>
        </is>
      </c>
      <c r="C25" s="6" t="inlineStr">
        <is>
          <t>—</t>
        </is>
      </c>
      <c r="D25" s="6" t="inlineStr">
        <is>
          <t>전체</t>
        </is>
      </c>
      <c r="E25" s="6" t="inlineStr">
        <is>
          <t>필수</t>
        </is>
      </c>
      <c r="F25" s="6" t="inlineStr">
        <is>
          <t>식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>
        <is>
          <t>6현장: 린스,만현,백현,산본,진산</t>
        </is>
      </c>
      <c r="AA25" s="8" t="n">
        <v>100000</v>
      </c>
      <c r="AB25" s="8" t="n"/>
    </row>
    <row r="26">
      <c r="A26" s="9" t="inlineStr">
        <is>
          <t>FM-17E</t>
        </is>
      </c>
      <c r="B26" s="9" t="inlineStr">
        <is>
          <t>붙박이장 도어</t>
        </is>
      </c>
      <c r="C26" s="6" t="inlineStr">
        <is>
          <t>—</t>
        </is>
      </c>
      <c r="D26" s="6" t="inlineStr"/>
      <c r="E26" s="6" t="inlineStr">
        <is>
          <t>필수</t>
        </is>
      </c>
      <c r="F26" s="6" t="inlineStr">
        <is>
          <t>M2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>
        <is>
          <t>4현장: 금호,이선,전기영,행당동</t>
        </is>
      </c>
      <c r="AA26" s="8" t="n">
        <v>8800</v>
      </c>
      <c r="AB26" s="8" t="n">
        <v>16500</v>
      </c>
    </row>
    <row r="27">
      <c r="A27" s="9" t="inlineStr">
        <is>
          <t>FM-18E</t>
        </is>
      </c>
      <c r="B27" s="9" t="inlineStr">
        <is>
          <t>샷시</t>
        </is>
      </c>
      <c r="C27" s="6" t="inlineStr">
        <is>
          <t>영림</t>
        </is>
      </c>
      <c r="D27" s="6" t="inlineStr">
        <is>
          <t>방</t>
        </is>
      </c>
      <c r="E27" s="6" t="inlineStr">
        <is>
          <t>필수</t>
        </is>
      </c>
      <c r="F27" s="6" t="inlineStr">
        <is>
          <t>M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>
        <is>
          <t>2현장: 이성숙,진산</t>
        </is>
      </c>
      <c r="AA27" s="8" t="n">
        <v>2750</v>
      </c>
      <c r="AB27" s="8" t="n">
        <v>6600</v>
      </c>
    </row>
    <row r="28">
      <c r="A28" s="9" t="inlineStr">
        <is>
          <t>FM-19E</t>
        </is>
      </c>
      <c r="B28" s="9" t="inlineStr">
        <is>
          <t>선반</t>
        </is>
      </c>
      <c r="C28" s="6" t="inlineStr">
        <is>
          <t>안방 화장실 앞</t>
        </is>
      </c>
      <c r="D28" s="6" t="inlineStr"/>
      <c r="E28" s="6" t="inlineStr">
        <is>
          <t>필수</t>
        </is>
      </c>
      <c r="F28" s="6" t="inlineStr">
        <is>
          <t>개소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>
        <is>
          <t>1현장: 이성숙</t>
        </is>
      </c>
      <c r="AA28" s="8" t="n">
        <v>30000</v>
      </c>
      <c r="AB28" s="8" t="n">
        <v>30000</v>
      </c>
    </row>
    <row r="29">
      <c r="A29" s="9" t="inlineStr">
        <is>
          <t>FM-20E</t>
        </is>
      </c>
      <c r="B29" s="9" t="inlineStr">
        <is>
          <t>알판</t>
        </is>
      </c>
      <c r="C29" s="6" t="inlineStr">
        <is>
          <t>—</t>
        </is>
      </c>
      <c r="D29" s="6" t="inlineStr">
        <is>
          <t>드레스룸</t>
        </is>
      </c>
      <c r="E29" s="6" t="inlineStr">
        <is>
          <t>필수</t>
        </is>
      </c>
      <c r="F29" s="6" t="inlineStr">
        <is>
          <t>M2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>
        <is>
          <t>3현장: 김성용,김은경,이선</t>
        </is>
      </c>
      <c r="AA29" s="8" t="n">
        <v>13500</v>
      </c>
      <c r="AB29" s="8" t="n">
        <v>16500</v>
      </c>
    </row>
    <row r="30">
      <c r="A30" s="9" t="inlineStr">
        <is>
          <t>FM-21E</t>
        </is>
      </c>
      <c r="B30" s="9" t="inlineStr">
        <is>
          <t>욕실 장</t>
        </is>
      </c>
      <c r="C30" s="6" t="inlineStr">
        <is>
          <t>영림</t>
        </is>
      </c>
      <c r="D30" s="6" t="inlineStr">
        <is>
          <t>화장실</t>
        </is>
      </c>
      <c r="E30" s="6" t="inlineStr">
        <is>
          <t>필수</t>
        </is>
      </c>
      <c r="F30" s="6" t="inlineStr">
        <is>
          <t>M2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>
        <is>
          <t>4현장: 린스,만현,백현,푸르지오</t>
        </is>
      </c>
      <c r="AA30" s="8" t="n">
        <v>7500</v>
      </c>
      <c r="AB30" s="8" t="n">
        <v>6600</v>
      </c>
    </row>
    <row r="31">
      <c r="A31" s="9" t="inlineStr">
        <is>
          <t>FM-22E</t>
        </is>
      </c>
      <c r="B31" s="9" t="inlineStr">
        <is>
          <t>제작 가구</t>
        </is>
      </c>
      <c r="C31" s="6" t="inlineStr">
        <is>
          <t>세재</t>
        </is>
      </c>
      <c r="D31" s="6" t="inlineStr"/>
      <c r="E31" s="6" t="inlineStr">
        <is>
          <t>필수</t>
        </is>
      </c>
      <c r="F31" s="6" t="inlineStr">
        <is>
          <t>식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>
        <is>
          <t>1현장: 전기영</t>
        </is>
      </c>
      <c r="AA31" s="8" t="n"/>
      <c r="AB31" s="8" t="n"/>
    </row>
    <row r="32">
      <c r="A32" s="9" t="inlineStr">
        <is>
          <t>FM-23E</t>
        </is>
      </c>
      <c r="B32" s="9" t="inlineStr">
        <is>
          <t>제작 쇼파</t>
        </is>
      </c>
      <c r="C32" s="6" t="inlineStr">
        <is>
          <t>—</t>
        </is>
      </c>
      <c r="D32" s="6" t="inlineStr">
        <is>
          <t>보닥 ZX165</t>
        </is>
      </c>
      <c r="E32" s="6" t="inlineStr">
        <is>
          <t>필수</t>
        </is>
      </c>
      <c r="F32" s="6" t="inlineStr">
        <is>
          <t>M2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4현장: 금호,이선,전기영,행당동</t>
        </is>
      </c>
      <c r="AA32" s="8" t="n">
        <v>8800</v>
      </c>
      <c r="AB32" s="8" t="n">
        <v>16500</v>
      </c>
    </row>
    <row r="33">
      <c r="A33" s="9" t="inlineStr">
        <is>
          <t>FM-24E</t>
        </is>
      </c>
      <c r="B33" s="9" t="inlineStr">
        <is>
          <t>창호</t>
        </is>
      </c>
      <c r="C33" s="6" t="inlineStr">
        <is>
          <t>—</t>
        </is>
      </c>
      <c r="D33" s="6" t="inlineStr">
        <is>
          <t>화이트</t>
        </is>
      </c>
      <c r="E33" s="6" t="inlineStr">
        <is>
          <t>필수</t>
        </is>
      </c>
      <c r="F33" s="6" t="inlineStr">
        <is>
          <t>M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>
        <is>
          <t>2현장: 이선,전기영</t>
        </is>
      </c>
      <c r="AA33" s="8" t="n">
        <v>2200</v>
      </c>
      <c r="AB33" s="8" t="n">
        <v>7300</v>
      </c>
    </row>
    <row r="34">
      <c r="A34" s="9" t="inlineStr">
        <is>
          <t>FM-25E</t>
        </is>
      </c>
      <c r="B34" s="9" t="inlineStr">
        <is>
          <t>천장</t>
        </is>
      </c>
      <c r="C34" s="6" t="inlineStr">
        <is>
          <t>영림</t>
        </is>
      </c>
      <c r="D34" s="6" t="inlineStr">
        <is>
          <t>주방</t>
        </is>
      </c>
      <c r="E34" s="6" t="inlineStr">
        <is>
          <t>필수</t>
        </is>
      </c>
      <c r="F34" s="6" t="inlineStr">
        <is>
          <t>M2</t>
        </is>
      </c>
      <c r="G34" s="6" t="n"/>
      <c r="H34" s="6" t="n"/>
      <c r="I34" s="7">
        <f>IF(G34="","",G34*(1+H34/100))</f>
        <v/>
      </c>
      <c r="J34" s="6" t="n"/>
      <c r="K34" s="6" t="n"/>
      <c r="L34" s="8" t="n"/>
      <c r="M34" s="8" t="n"/>
      <c r="N34" s="8" t="n"/>
      <c r="O34" s="8" t="n"/>
      <c r="P34" s="8" t="n"/>
      <c r="Q34" s="8">
        <f>IF(OR(O34="",P34=""),"",MIN(O34,P34)-N34)</f>
        <v/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inlineStr">
        <is>
          <t>2현장: 만현,진산</t>
        </is>
      </c>
      <c r="AA34" s="8" t="n">
        <v>14750</v>
      </c>
      <c r="AB34" s="8" t="n">
        <v>16500</v>
      </c>
    </row>
    <row r="35">
      <c r="A35" s="9" t="inlineStr">
        <is>
          <t>FM-26E</t>
        </is>
      </c>
      <c r="B35" s="9" t="inlineStr">
        <is>
          <t>천장 몰딩</t>
        </is>
      </c>
      <c r="C35" s="6" t="inlineStr">
        <is>
          <t>각 방</t>
        </is>
      </c>
      <c r="D35" s="6" t="inlineStr">
        <is>
          <t>화이트</t>
        </is>
      </c>
      <c r="E35" s="6" t="inlineStr">
        <is>
          <t>필수</t>
        </is>
      </c>
      <c r="F35" s="6" t="inlineStr">
        <is>
          <t>M2</t>
        </is>
      </c>
      <c r="G35" s="6" t="n"/>
      <c r="H35" s="6" t="n"/>
      <c r="I35" s="7">
        <f>IF(G35="","",G35*(1+H35/100))</f>
        <v/>
      </c>
      <c r="J35" s="6" t="n"/>
      <c r="K35" s="6" t="n"/>
      <c r="L35" s="8" t="n"/>
      <c r="M35" s="8" t="n"/>
      <c r="N35" s="8" t="n"/>
      <c r="O35" s="8" t="n"/>
      <c r="P35" s="8" t="n"/>
      <c r="Q35" s="8">
        <f>IF(OR(O35="",P35=""),"",MIN(O35,P35)-N35)</f>
        <v/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inlineStr">
        <is>
          <t>3현장: 금호,전기영,행당동</t>
        </is>
      </c>
      <c r="AA35" s="8" t="n">
        <v>2200</v>
      </c>
      <c r="AB35" s="8" t="n">
        <v>6600</v>
      </c>
    </row>
    <row r="36">
      <c r="A36" s="9" t="inlineStr">
        <is>
          <t>FM-27E</t>
        </is>
      </c>
      <c r="B36" s="9" t="inlineStr">
        <is>
          <t>천장몰딩</t>
        </is>
      </c>
      <c r="C36" s="6" t="inlineStr">
        <is>
          <t>거실, 각 방</t>
        </is>
      </c>
      <c r="D36" s="6" t="inlineStr">
        <is>
          <t>각 방</t>
        </is>
      </c>
      <c r="E36" s="6" t="inlineStr">
        <is>
          <t>필수</t>
        </is>
      </c>
      <c r="F36" s="6" t="inlineStr">
        <is>
          <t>M</t>
        </is>
      </c>
      <c r="G36" s="6" t="n"/>
      <c r="H36" s="6" t="n"/>
      <c r="I36" s="7">
        <f>IF(G36="","",G36*(1+H36/100))</f>
        <v/>
      </c>
      <c r="J36" s="6" t="n"/>
      <c r="K36" s="6" t="n"/>
      <c r="L36" s="8" t="n"/>
      <c r="M36" s="8" t="n"/>
      <c r="N36" s="8" t="n"/>
      <c r="O36" s="8" t="n"/>
      <c r="P36" s="8" t="n"/>
      <c r="Q36" s="8">
        <f>IF(OR(O36="",P36=""),"",MIN(O36,P36)-N36)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inlineStr">
        <is>
          <t>2현장: 김성용,김은경</t>
        </is>
      </c>
      <c r="AA36" s="8" t="n">
        <v>2200</v>
      </c>
      <c r="AB36" s="8" t="n">
        <v>5550</v>
      </c>
    </row>
    <row r="37">
      <c r="A37" s="9" t="inlineStr">
        <is>
          <t>FM-28E</t>
        </is>
      </c>
      <c r="B37" s="9" t="inlineStr">
        <is>
          <t>침대 헤드 및 프레임</t>
        </is>
      </c>
      <c r="C37" s="6" t="inlineStr">
        <is>
          <t>한솔 메종 라이트 오크</t>
        </is>
      </c>
      <c r="D37" s="6" t="inlineStr">
        <is>
          <t>안 방</t>
        </is>
      </c>
      <c r="E37" s="6" t="inlineStr">
        <is>
          <t>필수</t>
        </is>
      </c>
      <c r="F37" s="6" t="inlineStr">
        <is>
          <t>식</t>
        </is>
      </c>
      <c r="G37" s="6" t="n"/>
      <c r="H37" s="6" t="n"/>
      <c r="I37" s="7">
        <f>IF(G37="","",G37*(1+H37/100))</f>
        <v/>
      </c>
      <c r="J37" s="6" t="n"/>
      <c r="K37" s="6" t="n"/>
      <c r="L37" s="8" t="n"/>
      <c r="M37" s="8" t="n"/>
      <c r="N37" s="8" t="n"/>
      <c r="O37" s="8" t="n"/>
      <c r="P37" s="8" t="n"/>
      <c r="Q37" s="8">
        <f>IF(OR(O37="",P37=""),"",MIN(O37,P37)-N37)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inlineStr">
        <is>
          <t>6현장: 린스,만현,백현,산본,진산</t>
        </is>
      </c>
      <c r="AA37" s="8" t="n">
        <v>270000</v>
      </c>
      <c r="AB37" s="8" t="n">
        <v>150000</v>
      </c>
    </row>
    <row r="38">
      <c r="A38" s="9" t="inlineStr">
        <is>
          <t>FM-29E</t>
        </is>
      </c>
      <c r="B38" s="9" t="inlineStr">
        <is>
          <t>침대헤드</t>
        </is>
      </c>
      <c r="C38" s="6" t="inlineStr">
        <is>
          <t>—</t>
        </is>
      </c>
      <c r="D38" s="6" t="inlineStr"/>
      <c r="E38" s="6" t="inlineStr">
        <is>
          <t>필수</t>
        </is>
      </c>
      <c r="F38" s="6" t="inlineStr">
        <is>
          <t>M2</t>
        </is>
      </c>
      <c r="G38" s="6" t="n"/>
      <c r="H38" s="6" t="n"/>
      <c r="I38" s="7">
        <f>IF(G38="","",G38*(1+H38/100))</f>
        <v/>
      </c>
      <c r="J38" s="6" t="n"/>
      <c r="K38" s="6" t="n"/>
      <c r="L38" s="8" t="n"/>
      <c r="M38" s="8" t="n"/>
      <c r="N38" s="8" t="n"/>
      <c r="O38" s="8" t="n"/>
      <c r="P38" s="8" t="n"/>
      <c r="Q38" s="8">
        <f>IF(OR(O38="",P38=""),"",MIN(O38,P38)-N38)</f>
        <v/>
      </c>
      <c r="R38" s="6" t="n"/>
      <c r="S38" s="6" t="n"/>
      <c r="T38" s="6" t="n"/>
      <c r="U38" s="6" t="n"/>
      <c r="V38" s="6" t="n"/>
      <c r="W38" s="6" t="n"/>
      <c r="X38" s="6" t="n"/>
      <c r="Y38" s="6" t="n"/>
      <c r="Z38" s="6" t="inlineStr">
        <is>
          <t>2현장: 이선,전기영</t>
        </is>
      </c>
      <c r="AA38" s="8" t="n">
        <v>11650</v>
      </c>
      <c r="AB38" s="8" t="n">
        <v>16500</v>
      </c>
    </row>
    <row r="39">
      <c r="A39" s="9" t="inlineStr">
        <is>
          <t>FM-30E</t>
        </is>
      </c>
      <c r="B39" s="9" t="inlineStr">
        <is>
          <t>현관</t>
        </is>
      </c>
      <c r="C39" s="6" t="inlineStr">
        <is>
          <t>영림발렌</t>
        </is>
      </c>
      <c r="D39" s="6" t="inlineStr">
        <is>
          <t>현관</t>
        </is>
      </c>
      <c r="E39" s="6" t="inlineStr">
        <is>
          <t>필수</t>
        </is>
      </c>
      <c r="F39" s="6" t="inlineStr">
        <is>
          <t>M2</t>
        </is>
      </c>
      <c r="G39" s="6" t="n"/>
      <c r="H39" s="6" t="n"/>
      <c r="I39" s="7">
        <f>IF(G39="","",G39*(1+H39/100))</f>
        <v/>
      </c>
      <c r="J39" s="6" t="n"/>
      <c r="K39" s="6" t="n"/>
      <c r="L39" s="8" t="n"/>
      <c r="M39" s="8" t="n"/>
      <c r="N39" s="8" t="n"/>
      <c r="O39" s="8" t="n"/>
      <c r="P39" s="8" t="n"/>
      <c r="Q39" s="8">
        <f>IF(OR(O39="",P39=""),"",MIN(O39,P39)-N39)</f>
        <v/>
      </c>
      <c r="R39" s="6" t="n"/>
      <c r="S39" s="6" t="n"/>
      <c r="T39" s="6" t="n"/>
      <c r="U39" s="6" t="n"/>
      <c r="V39" s="6" t="n"/>
      <c r="W39" s="6" t="n"/>
      <c r="X39" s="6" t="n"/>
      <c r="Y39" s="6" t="n"/>
      <c r="Z39" s="6" t="inlineStr">
        <is>
          <t>5현장: 린스,만현,백현,진산,푸르지오</t>
        </is>
      </c>
      <c r="AA39" s="8" t="n">
        <v>7800</v>
      </c>
      <c r="AB39" s="8" t="n">
        <v>12200</v>
      </c>
    </row>
    <row r="40">
      <c r="A40" s="9" t="inlineStr">
        <is>
          <t>FM-31E</t>
        </is>
      </c>
      <c r="B40" s="9" t="inlineStr">
        <is>
          <t>현관문</t>
        </is>
      </c>
      <c r="C40" s="6" t="inlineStr">
        <is>
          <t>영림</t>
        </is>
      </c>
      <c r="D40" s="6" t="inlineStr">
        <is>
          <t>현관</t>
        </is>
      </c>
      <c r="E40" s="6" t="inlineStr">
        <is>
          <t>필수</t>
        </is>
      </c>
      <c r="F40" s="6" t="inlineStr">
        <is>
          <t>식</t>
        </is>
      </c>
      <c r="G40" s="6" t="n"/>
      <c r="H40" s="6" t="n"/>
      <c r="I40" s="7">
        <f>IF(G40="","",G40*(1+H40/100))</f>
        <v/>
      </c>
      <c r="J40" s="6" t="n"/>
      <c r="K40" s="6" t="n"/>
      <c r="L40" s="8" t="n"/>
      <c r="M40" s="8" t="n"/>
      <c r="N40" s="8" t="n"/>
      <c r="O40" s="8" t="n"/>
      <c r="P40" s="8" t="n"/>
      <c r="Q40" s="8">
        <f>IF(OR(O40="",P40=""),"",MIN(O40,P40)-N40)</f>
        <v/>
      </c>
      <c r="R40" s="6" t="n"/>
      <c r="S40" s="6" t="n"/>
      <c r="T40" s="6" t="n"/>
      <c r="U40" s="6" t="n"/>
      <c r="V40" s="6" t="n"/>
      <c r="W40" s="6" t="n"/>
      <c r="X40" s="6" t="n"/>
      <c r="Y40" s="6" t="n"/>
      <c r="Z40" s="6" t="inlineStr">
        <is>
          <t>12현장: 금호,김성용,김은경,린스,만현</t>
        </is>
      </c>
      <c r="AA40" s="8" t="n">
        <v>50000</v>
      </c>
      <c r="AB40" s="8" t="n">
        <v>150000</v>
      </c>
    </row>
    <row r="41">
      <c r="A41" s="9" t="inlineStr">
        <is>
          <t>FM-32E</t>
        </is>
      </c>
      <c r="B41" s="9" t="inlineStr">
        <is>
          <t>화장실 가구</t>
        </is>
      </c>
      <c r="C41" s="6" t="inlineStr">
        <is>
          <t>레놀릿 - 트로이</t>
        </is>
      </c>
      <c r="D41" s="6" t="inlineStr">
        <is>
          <t>거실, 각 방</t>
        </is>
      </c>
      <c r="E41" s="6" t="inlineStr">
        <is>
          <t>필수</t>
        </is>
      </c>
      <c r="F41" s="6" t="inlineStr">
        <is>
          <t>식</t>
        </is>
      </c>
      <c r="G41" s="6" t="n"/>
      <c r="H41" s="6" t="n"/>
      <c r="I41" s="7">
        <f>IF(G41="","",G41*(1+H41/100))</f>
        <v/>
      </c>
      <c r="J41" s="6" t="n"/>
      <c r="K41" s="6" t="n"/>
      <c r="L41" s="8" t="n"/>
      <c r="M41" s="8" t="n"/>
      <c r="N41" s="8" t="n"/>
      <c r="O41" s="8" t="n"/>
      <c r="P41" s="8" t="n"/>
      <c r="Q41" s="8">
        <f>IF(OR(O41="",P41=""),"",MIN(O41,P41)-N41)</f>
        <v/>
      </c>
      <c r="R41" s="6" t="n"/>
      <c r="S41" s="6" t="n"/>
      <c r="T41" s="6" t="n"/>
      <c r="U41" s="6" t="n"/>
      <c r="V41" s="6" t="n"/>
      <c r="W41" s="6" t="n"/>
      <c r="X41" s="6" t="n"/>
      <c r="Y41" s="6" t="n"/>
      <c r="Z41" s="6" t="inlineStr">
        <is>
          <t>1현장: 산본</t>
        </is>
      </c>
      <c r="AA41" s="8" t="n">
        <v>270000</v>
      </c>
      <c r="AB41" s="8" t="n">
        <v>300000</v>
      </c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1">
        <f>IF(G42="","",G42*(1+H42/100))</f>
        <v/>
      </c>
      <c r="J42" s="10" t="n"/>
      <c r="K42" s="10" t="n"/>
      <c r="L42" s="10" t="n"/>
      <c r="M42" s="10" t="n"/>
      <c r="N42" s="10" t="n"/>
      <c r="O42" s="10" t="n"/>
      <c r="P42" s="10" t="n"/>
      <c r="Q42" s="12">
        <f>IF(OR(O42="",P42=""),"",MIN(O42,P42)-N42)</f>
        <v/>
      </c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1">
        <f>IF(G43="","",G43*(1+H43/100))</f>
        <v/>
      </c>
      <c r="J43" s="10" t="n"/>
      <c r="K43" s="10" t="n"/>
      <c r="L43" s="10" t="n"/>
      <c r="M43" s="10" t="n"/>
      <c r="N43" s="10" t="n"/>
      <c r="O43" s="10" t="n"/>
      <c r="P43" s="10" t="n"/>
      <c r="Q43" s="12">
        <f>IF(OR(O43="",P43=""),"",MIN(O43,P43)-N43)</f>
        <v/>
      </c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1">
        <f>IF(G44="","",G44*(1+H44/100))</f>
        <v/>
      </c>
      <c r="J44" s="10" t="n"/>
      <c r="K44" s="10" t="n"/>
      <c r="L44" s="10" t="n"/>
      <c r="M44" s="10" t="n"/>
      <c r="N44" s="10" t="n"/>
      <c r="O44" s="10" t="n"/>
      <c r="P44" s="10" t="n"/>
      <c r="Q44" s="12">
        <f>IF(OR(O44="",P44=""),"",MIN(O44,P44)-N44)</f>
        <v/>
      </c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1">
        <f>IF(G45="","",G45*(1+H45/100))</f>
        <v/>
      </c>
      <c r="J45" s="10" t="n"/>
      <c r="K45" s="10" t="n"/>
      <c r="L45" s="10" t="n"/>
      <c r="M45" s="10" t="n"/>
      <c r="N45" s="10" t="n"/>
      <c r="O45" s="10" t="n"/>
      <c r="P45" s="10" t="n"/>
      <c r="Q45" s="12">
        <f>IF(OR(O45="",P45=""),"",MIN(O45,P45)-N45)</f>
        <v/>
      </c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1">
        <f>IF(G46="","",G46*(1+H46/100))</f>
        <v/>
      </c>
      <c r="J46" s="10" t="n"/>
      <c r="K46" s="10" t="n"/>
      <c r="L46" s="10" t="n"/>
      <c r="M46" s="10" t="n"/>
      <c r="N46" s="10" t="n"/>
      <c r="O46" s="10" t="n"/>
      <c r="P46" s="10" t="n"/>
      <c r="Q46" s="12">
        <f>IF(OR(O46="",P46=""),"",MIN(O46,P46)-N46)</f>
        <v/>
      </c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1">
        <f>IF(G47="","",G47*(1+H47/100))</f>
        <v/>
      </c>
      <c r="J47" s="10" t="n"/>
      <c r="K47" s="10" t="n"/>
      <c r="L47" s="10" t="n"/>
      <c r="M47" s="10" t="n"/>
      <c r="N47" s="10" t="n"/>
      <c r="O47" s="10" t="n"/>
      <c r="P47" s="10" t="n"/>
      <c r="Q47" s="12">
        <f>IF(OR(O47="",P47=""),"",MIN(O47,P47)-N47)</f>
        <v/>
      </c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1">
        <f>IF(G48="","",G48*(1+H48/100))</f>
        <v/>
      </c>
      <c r="J48" s="10" t="n"/>
      <c r="K48" s="10" t="n"/>
      <c r="L48" s="10" t="n"/>
      <c r="M48" s="10" t="n"/>
      <c r="N48" s="10" t="n"/>
      <c r="O48" s="10" t="n"/>
      <c r="P48" s="10" t="n"/>
      <c r="Q48" s="12">
        <f>IF(OR(O48="",P48=""),"",MIN(O48,P48)-N48)</f>
        <v/>
      </c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1">
        <f>IF(G49="","",G49*(1+H49/100))</f>
        <v/>
      </c>
      <c r="J49" s="10" t="n"/>
      <c r="K49" s="10" t="n"/>
      <c r="L49" s="10" t="n"/>
      <c r="M49" s="10" t="n"/>
      <c r="N49" s="10" t="n"/>
      <c r="O49" s="10" t="n"/>
      <c r="P49" s="10" t="n"/>
      <c r="Q49" s="12">
        <f>IF(OR(O49="",P49=""),"",MIN(O49,P49)-N49)</f>
        <v/>
      </c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1">
        <f>IF(G50="","",G50*(1+H50/100))</f>
        <v/>
      </c>
      <c r="J50" s="10" t="n"/>
      <c r="K50" s="10" t="n"/>
      <c r="L50" s="10" t="n"/>
      <c r="M50" s="10" t="n"/>
      <c r="N50" s="10" t="n"/>
      <c r="O50" s="10" t="n"/>
      <c r="P50" s="10" t="n"/>
      <c r="Q50" s="12">
        <f>IF(OR(O50="",P50=""),"",MIN(O50,P50)-N50)</f>
        <v/>
      </c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1">
        <f>IF(G51="","",G51*(1+H51/100))</f>
        <v/>
      </c>
      <c r="J51" s="10" t="n"/>
      <c r="K51" s="10" t="n"/>
      <c r="L51" s="10" t="n"/>
      <c r="M51" s="10" t="n"/>
      <c r="N51" s="10" t="n"/>
      <c r="O51" s="10" t="n"/>
      <c r="P51" s="10" t="n"/>
      <c r="Q51" s="12">
        <f>IF(OR(O51="",P51=""),"",MIN(O51,P51)-N51)</f>
        <v/>
      </c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</row>
    <row r="53">
      <c r="A53" s="13" t="inlineStr">
        <is>
          <t>※ 파란셀=수식 | 노란셀=견적참고 | ★금색=견적서 추출항목 | 소요량·로스율=대표 | 가격=유통 | 견적단가=16개 견적서 중앙값</t>
        </is>
      </c>
    </row>
  </sheetData>
  <autoFilter ref="A4:AB51"/>
  <mergeCells count="9">
    <mergeCell ref="R3:U3"/>
    <mergeCell ref="A2:AB2"/>
    <mergeCell ref="AA3:AB3"/>
    <mergeCell ref="J3:Q3"/>
    <mergeCell ref="Y3:Z3"/>
    <mergeCell ref="A1:AB1"/>
    <mergeCell ref="A3:I3"/>
    <mergeCell ref="V3:X3"/>
    <mergeCell ref="A53:AB5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8936"/>
    <outlinePr summaryBelow="1" summaryRight="1"/>
    <pageSetUpPr/>
  </sheetPr>
  <dimension ref="A1:AB6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타일 자재</t>
        </is>
      </c>
    </row>
    <row r="2">
      <c r="A2" s="2" t="inlineStr">
        <is>
          <t>공정코드: TL | 체크리스트 + 16개 견적서 전체 항목 | ★=견적서 추출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(16개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TL-001</t>
        </is>
      </c>
      <c r="B5" s="6" t="inlineStr">
        <is>
          <t>바닥타일</t>
        </is>
      </c>
      <c r="C5" s="6" t="inlineStr">
        <is>
          <t>600×600</t>
        </is>
      </c>
      <c r="D5" s="6" t="inlineStr">
        <is>
          <t>화장실·현관</t>
        </is>
      </c>
      <c r="E5" s="6" t="inlineStr">
        <is>
          <t>필수</t>
        </is>
      </c>
      <c r="F5" s="6" t="inlineStr">
        <is>
          <t>M2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TL-002</t>
        </is>
      </c>
      <c r="B6" s="6" t="inlineStr">
        <is>
          <t>벽타일</t>
        </is>
      </c>
      <c r="C6" s="6" t="inlineStr">
        <is>
          <t>300×600</t>
        </is>
      </c>
      <c r="D6" s="6" t="inlineStr">
        <is>
          <t>화장실</t>
        </is>
      </c>
      <c r="E6" s="6" t="inlineStr">
        <is>
          <t>필수</t>
        </is>
      </c>
      <c r="F6" s="6" t="inlineStr">
        <is>
          <t>M2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TL-003</t>
        </is>
      </c>
      <c r="B7" s="6" t="inlineStr">
        <is>
          <t>대형타일</t>
        </is>
      </c>
      <c r="C7" s="6" t="inlineStr">
        <is>
          <t>600×1200</t>
        </is>
      </c>
      <c r="D7" s="6" t="inlineStr">
        <is>
          <t>화장실·현관</t>
        </is>
      </c>
      <c r="E7" s="6" t="inlineStr">
        <is>
          <t>선택</t>
        </is>
      </c>
      <c r="F7" s="6" t="inlineStr">
        <is>
          <t>M2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TL-004</t>
        </is>
      </c>
      <c r="B8" s="6" t="inlineStr">
        <is>
          <t>모자이크타일</t>
        </is>
      </c>
      <c r="C8" s="6" t="inlineStr">
        <is>
          <t>300×300</t>
        </is>
      </c>
      <c r="D8" s="6" t="inlineStr">
        <is>
          <t>포인트</t>
        </is>
      </c>
      <c r="E8" s="6" t="inlineStr">
        <is>
          <t>선택</t>
        </is>
      </c>
      <c r="F8" s="6" t="inlineStr">
        <is>
          <t>장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TL-005</t>
        </is>
      </c>
      <c r="B9" s="6" t="inlineStr">
        <is>
          <t>타일접착제</t>
        </is>
      </c>
      <c r="C9" s="6" t="inlineStr">
        <is>
          <t>X18</t>
        </is>
      </c>
      <c r="D9" s="6" t="inlineStr">
        <is>
          <t>접착</t>
        </is>
      </c>
      <c r="E9" s="6" t="inlineStr">
        <is>
          <t>필수</t>
        </is>
      </c>
      <c r="F9" s="6" t="inlineStr">
        <is>
          <t>포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TL-006</t>
        </is>
      </c>
      <c r="B10" s="6" t="inlineStr">
        <is>
          <t>줄눈재(메지)</t>
        </is>
      </c>
      <c r="C10" s="6" t="inlineStr">
        <is>
          <t>화이트/그레이</t>
        </is>
      </c>
      <c r="D10" s="6" t="inlineStr">
        <is>
          <t>충진</t>
        </is>
      </c>
      <c r="E10" s="6" t="inlineStr">
        <is>
          <t>필수</t>
        </is>
      </c>
      <c r="F10" s="6" t="inlineStr">
        <is>
          <t>kg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TL-007</t>
        </is>
      </c>
      <c r="B11" s="6" t="inlineStr">
        <is>
          <t>레미탈</t>
        </is>
      </c>
      <c r="C11" s="6" t="inlineStr">
        <is>
          <t>40kg</t>
        </is>
      </c>
      <c r="D11" s="6" t="inlineStr">
        <is>
          <t>하지 미장</t>
        </is>
      </c>
      <c r="E11" s="6" t="inlineStr">
        <is>
          <t>필수</t>
        </is>
      </c>
      <c r="F11" s="6" t="inlineStr">
        <is>
          <t>포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TL-008</t>
        </is>
      </c>
      <c r="B12" s="6" t="inlineStr">
        <is>
          <t>십자 스페이서</t>
        </is>
      </c>
      <c r="C12" s="6" t="inlineStr">
        <is>
          <t>2mm/3mm</t>
        </is>
      </c>
      <c r="D12" s="6" t="inlineStr">
        <is>
          <t>줄눈 간격</t>
        </is>
      </c>
      <c r="E12" s="6" t="inlineStr">
        <is>
          <t>필수</t>
        </is>
      </c>
      <c r="F12" s="6" t="inlineStr">
        <is>
          <t>봉지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TL-009</t>
        </is>
      </c>
      <c r="B13" s="6" t="inlineStr">
        <is>
          <t>실리콘</t>
        </is>
      </c>
      <c r="C13" s="6" t="inlineStr">
        <is>
          <t>타일용</t>
        </is>
      </c>
      <c r="D13" s="6" t="inlineStr">
        <is>
          <t>모서리·코너</t>
        </is>
      </c>
      <c r="E13" s="6" t="inlineStr">
        <is>
          <t>필수</t>
        </is>
      </c>
      <c r="F13" s="6" t="inlineStr">
        <is>
          <t>개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TL-010</t>
        </is>
      </c>
      <c r="B14" s="6" t="inlineStr">
        <is>
          <t>코너비드</t>
        </is>
      </c>
      <c r="C14" s="6" t="inlineStr">
        <is>
          <t>타일용</t>
        </is>
      </c>
      <c r="D14" s="6" t="inlineStr">
        <is>
          <t>모서리 마감</t>
        </is>
      </c>
      <c r="E14" s="6" t="inlineStr">
        <is>
          <t>선택</t>
        </is>
      </c>
      <c r="F14" s="6" t="inlineStr">
        <is>
          <t>M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TL-011</t>
        </is>
      </c>
      <c r="B15" s="6" t="inlineStr">
        <is>
          <t>논슬립 타일</t>
        </is>
      </c>
      <c r="C15" s="6" t="inlineStr">
        <is>
          <t>—</t>
        </is>
      </c>
      <c r="D15" s="6" t="inlineStr">
        <is>
          <t>바닥 미끄럼방지</t>
        </is>
      </c>
      <c r="E15" s="6" t="inlineStr">
        <is>
          <t>선택</t>
        </is>
      </c>
      <c r="F15" s="6" t="inlineStr">
        <is>
          <t>M2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TL-012</t>
        </is>
      </c>
      <c r="B16" s="6" t="inlineStr">
        <is>
          <t>타일절단기</t>
        </is>
      </c>
      <c r="C16" s="6" t="inlineStr">
        <is>
          <t>수동/전동</t>
        </is>
      </c>
      <c r="D16" s="6" t="inlineStr">
        <is>
          <t>재단</t>
        </is>
      </c>
      <c r="E16" s="6" t="inlineStr">
        <is>
          <t>필수</t>
        </is>
      </c>
      <c r="F16" s="6" t="inlineStr">
        <is>
          <t>대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TL-013</t>
        </is>
      </c>
      <c r="B17" s="6" t="inlineStr">
        <is>
          <t>프라이머</t>
        </is>
      </c>
      <c r="C17" s="6" t="inlineStr">
        <is>
          <t>타일하지</t>
        </is>
      </c>
      <c r="D17" s="6" t="inlineStr">
        <is>
          <t>접착력</t>
        </is>
      </c>
      <c r="E17" s="6" t="inlineStr">
        <is>
          <t>필수</t>
        </is>
      </c>
      <c r="F17" s="6" t="inlineStr">
        <is>
          <t>리터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TL-014</t>
        </is>
      </c>
      <c r="B18" s="6" t="inlineStr">
        <is>
          <t>몰탈(벽돌쌓기)</t>
        </is>
      </c>
      <c r="C18" s="6" t="inlineStr">
        <is>
          <t>시멘트사</t>
        </is>
      </c>
      <c r="D18" s="6" t="inlineStr">
        <is>
          <t>벽돌 접합</t>
        </is>
      </c>
      <c r="E18" s="6" t="inlineStr">
        <is>
          <t>선택</t>
        </is>
      </c>
      <c r="F18" s="6" t="inlineStr">
        <is>
          <t>포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TL-015</t>
        </is>
      </c>
      <c r="B19" s="6" t="inlineStr">
        <is>
          <t>내수합판</t>
        </is>
      </c>
      <c r="C19" s="6" t="inlineStr">
        <is>
          <t>12T</t>
        </is>
      </c>
      <c r="D19" s="6" t="inlineStr">
        <is>
          <t>벽체 하지</t>
        </is>
      </c>
      <c r="E19" s="6" t="inlineStr">
        <is>
          <t>선택</t>
        </is>
      </c>
      <c r="F19" s="6" t="inlineStr">
        <is>
          <t>장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6" t="inlineStr">
        <is>
          <t>TL-016</t>
        </is>
      </c>
      <c r="B20" s="6" t="inlineStr">
        <is>
          <t>후크타일</t>
        </is>
      </c>
      <c r="C20" s="6" t="inlineStr">
        <is>
          <t>300×300</t>
        </is>
      </c>
      <c r="D20" s="6" t="inlineStr">
        <is>
          <t>셀프시공</t>
        </is>
      </c>
      <c r="E20" s="6" t="inlineStr">
        <is>
          <t>선택</t>
        </is>
      </c>
      <c r="F20" s="6" t="inlineStr">
        <is>
          <t>M2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8" t="n"/>
      <c r="AB20" s="8" t="n"/>
    </row>
    <row r="21">
      <c r="A21" s="6" t="inlineStr">
        <is>
          <t>TL-017</t>
        </is>
      </c>
      <c r="B21" s="6" t="inlineStr">
        <is>
          <t>조적벽돌</t>
        </is>
      </c>
      <c r="C21" s="6" t="inlineStr">
        <is>
          <t>시멘트벽돌</t>
        </is>
      </c>
      <c r="D21" s="6" t="inlineStr">
        <is>
          <t>화장실 벽체</t>
        </is>
      </c>
      <c r="E21" s="6" t="inlineStr">
        <is>
          <t>필수</t>
        </is>
      </c>
      <c r="F21" s="6" t="inlineStr">
        <is>
          <t>장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  <c r="AA21" s="8" t="n"/>
      <c r="AB21" s="8" t="n"/>
    </row>
    <row r="22">
      <c r="A22" s="6" t="inlineStr">
        <is>
          <t>TL-018</t>
        </is>
      </c>
      <c r="B22" s="6" t="inlineStr">
        <is>
          <t>방수테이프</t>
        </is>
      </c>
      <c r="C22" s="6" t="inlineStr">
        <is>
          <t>타일하부</t>
        </is>
      </c>
      <c r="D22" s="6" t="inlineStr">
        <is>
          <t>방수 보강</t>
        </is>
      </c>
      <c r="E22" s="6" t="inlineStr">
        <is>
          <t>필수</t>
        </is>
      </c>
      <c r="F22" s="6" t="inlineStr">
        <is>
          <t>롤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  <c r="AA22" s="8" t="n"/>
      <c r="AB22" s="8" t="n"/>
    </row>
    <row r="23">
      <c r="A23" s="6" t="inlineStr">
        <is>
          <t>TL-019</t>
        </is>
      </c>
      <c r="B23" s="6" t="inlineStr">
        <is>
          <t>헥사곤타일</t>
        </is>
      </c>
      <c r="C23" s="6" t="inlineStr">
        <is>
          <t>—</t>
        </is>
      </c>
      <c r="D23" s="6" t="inlineStr">
        <is>
          <t>포인트</t>
        </is>
      </c>
      <c r="E23" s="6" t="inlineStr">
        <is>
          <t>선택</t>
        </is>
      </c>
      <c r="F23" s="6" t="inlineStr">
        <is>
          <t>M2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  <c r="AA23" s="8" t="n"/>
      <c r="AB23" s="8" t="n"/>
    </row>
    <row r="24">
      <c r="A24" s="6" t="inlineStr">
        <is>
          <t>TL-020</t>
        </is>
      </c>
      <c r="B24" s="6" t="inlineStr">
        <is>
          <t>데코타일(LVT)</t>
        </is>
      </c>
      <c r="C24" s="6" t="inlineStr">
        <is>
          <t>—</t>
        </is>
      </c>
      <c r="D24" s="6" t="inlineStr">
        <is>
          <t>바닥 대체</t>
        </is>
      </c>
      <c r="E24" s="6" t="inlineStr">
        <is>
          <t>선택</t>
        </is>
      </c>
      <c r="F24" s="6" t="inlineStr">
        <is>
          <t>M2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  <c r="AA24" s="8" t="n"/>
      <c r="AB24" s="8" t="n"/>
    </row>
    <row r="25">
      <c r="A25" s="6" t="inlineStr">
        <is>
          <t>TL-021</t>
        </is>
      </c>
      <c r="B25" s="6" t="inlineStr">
        <is>
          <t>소형타일</t>
        </is>
      </c>
      <c r="C25" s="6" t="inlineStr">
        <is>
          <t>100×100</t>
        </is>
      </c>
      <c r="D25" s="6" t="inlineStr">
        <is>
          <t>벽체 포인트</t>
        </is>
      </c>
      <c r="E25" s="6" t="inlineStr">
        <is>
          <t>선택</t>
        </is>
      </c>
      <c r="F25" s="6" t="inlineStr">
        <is>
          <t>M2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  <c r="AA25" s="8" t="n"/>
      <c r="AB25" s="8" t="n"/>
    </row>
    <row r="26">
      <c r="A26" s="9" t="inlineStr">
        <is>
          <t>TL-01E</t>
        </is>
      </c>
      <c r="B26" s="9" t="inlineStr">
        <is>
          <t>각 방 바닥</t>
        </is>
      </c>
      <c r="C26" s="6" t="inlineStr">
        <is>
          <t>—</t>
        </is>
      </c>
      <c r="D26" s="6" t="inlineStr"/>
      <c r="E26" s="6" t="inlineStr">
        <is>
          <t>필수</t>
        </is>
      </c>
      <c r="F26" s="6" t="inlineStr">
        <is>
          <t>식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>
        <is>
          <t>1현장: 만현</t>
        </is>
      </c>
      <c r="AA26" s="8" t="n"/>
      <c r="AB26" s="8" t="n"/>
    </row>
    <row r="27">
      <c r="A27" s="9" t="inlineStr">
        <is>
          <t>TL-02E</t>
        </is>
      </c>
      <c r="B27" s="9" t="inlineStr">
        <is>
          <t>거실 벽체</t>
        </is>
      </c>
      <c r="C27" s="6" t="inlineStr">
        <is>
          <t>600*1200</t>
        </is>
      </c>
      <c r="D27" s="6" t="inlineStr"/>
      <c r="E27" s="6" t="inlineStr">
        <is>
          <t>필수</t>
        </is>
      </c>
      <c r="F27" s="6" t="inlineStr">
        <is>
          <t>M2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>
        <is>
          <t>6현장: 금호,김성용,김은경,이선,전기영</t>
        </is>
      </c>
      <c r="AA27" s="8" t="n">
        <v>30000</v>
      </c>
      <c r="AB27" s="8" t="n">
        <v>48000</v>
      </c>
    </row>
    <row r="28">
      <c r="A28" s="9" t="inlineStr">
        <is>
          <t>TL-03E</t>
        </is>
      </c>
      <c r="B28" s="9" t="inlineStr">
        <is>
          <t>공용부</t>
        </is>
      </c>
      <c r="C28" s="6" t="inlineStr">
        <is>
          <t>—</t>
        </is>
      </c>
      <c r="D28" s="6" t="inlineStr"/>
      <c r="E28" s="6" t="inlineStr">
        <is>
          <t>필수</t>
        </is>
      </c>
      <c r="F28" s="6" t="inlineStr">
        <is>
          <t>식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>
        <is>
          <t>1현장: 만현</t>
        </is>
      </c>
      <c r="AA28" s="8" t="n"/>
      <c r="AB28" s="8" t="n"/>
    </row>
    <row r="29">
      <c r="A29" s="9" t="inlineStr">
        <is>
          <t>TL-04E</t>
        </is>
      </c>
      <c r="B29" s="9" t="inlineStr">
        <is>
          <t>디커플링매트</t>
        </is>
      </c>
      <c r="C29" s="6" t="inlineStr">
        <is>
          <t>바닥 전체</t>
        </is>
      </c>
      <c r="D29" s="6" t="inlineStr">
        <is>
          <t>바닥 전체</t>
        </is>
      </c>
      <c r="E29" s="6" t="inlineStr">
        <is>
          <t>필수</t>
        </is>
      </c>
      <c r="F29" s="6" t="inlineStr">
        <is>
          <t>M2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>
        <is>
          <t>1현장: 만현</t>
        </is>
      </c>
      <c r="AA29" s="8" t="n">
        <v>20000</v>
      </c>
      <c r="AB29" s="8" t="n">
        <v>7600</v>
      </c>
    </row>
    <row r="30">
      <c r="A30" s="9" t="inlineStr">
        <is>
          <t>TL-05E</t>
        </is>
      </c>
      <c r="B30" s="9" t="inlineStr">
        <is>
          <t>발코니</t>
        </is>
      </c>
      <c r="C30" s="6" t="inlineStr">
        <is>
          <t>300*300</t>
        </is>
      </c>
      <c r="D30" s="6" t="inlineStr"/>
      <c r="E30" s="6" t="inlineStr">
        <is>
          <t>필수</t>
        </is>
      </c>
      <c r="F30" s="6" t="inlineStr">
        <is>
          <t>M2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>
        <is>
          <t>9현장: 금호,린스,만현,백현,이선</t>
        </is>
      </c>
      <c r="AA30" s="8" t="n">
        <v>15000</v>
      </c>
      <c r="AB30" s="8" t="n">
        <v>40000</v>
      </c>
    </row>
    <row r="31">
      <c r="A31" s="9" t="inlineStr">
        <is>
          <t>TL-06E</t>
        </is>
      </c>
      <c r="B31" s="9" t="inlineStr">
        <is>
          <t>발코니 및 실외기실 바닥</t>
        </is>
      </c>
      <c r="C31" s="6" t="inlineStr">
        <is>
          <t>MOON 01 600*600</t>
        </is>
      </c>
      <c r="D31" s="6" t="inlineStr"/>
      <c r="E31" s="6" t="inlineStr">
        <is>
          <t>필수</t>
        </is>
      </c>
      <c r="F31" s="6" t="inlineStr">
        <is>
          <t>M2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>
        <is>
          <t>1현장: 산본</t>
        </is>
      </c>
      <c r="AA31" s="8" t="n">
        <v>25000</v>
      </c>
      <c r="AB31" s="8" t="n">
        <v>70000</v>
      </c>
    </row>
    <row r="32">
      <c r="A32" s="9" t="inlineStr">
        <is>
          <t>TL-07E</t>
        </is>
      </c>
      <c r="B32" s="9" t="inlineStr">
        <is>
          <t>발코니 및 실외기실 벽</t>
        </is>
      </c>
      <c r="C32" s="6" t="inlineStr">
        <is>
          <t>MOON 01 600*600</t>
        </is>
      </c>
      <c r="D32" s="6" t="inlineStr"/>
      <c r="E32" s="6" t="inlineStr">
        <is>
          <t>필수</t>
        </is>
      </c>
      <c r="F32" s="6" t="inlineStr">
        <is>
          <t>M2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1현장: 산본</t>
        </is>
      </c>
      <c r="AA32" s="8" t="n">
        <v>25000</v>
      </c>
      <c r="AB32" s="8" t="n">
        <v>70000</v>
      </c>
    </row>
    <row r="33">
      <c r="A33" s="9" t="inlineStr">
        <is>
          <t>TL-08E</t>
        </is>
      </c>
      <c r="B33" s="9" t="inlineStr">
        <is>
          <t>발코니 바닥</t>
        </is>
      </c>
      <c r="C33" s="6" t="inlineStr">
        <is>
          <t>300*300</t>
        </is>
      </c>
      <c r="D33" s="6" t="inlineStr">
        <is>
          <t>방1 발코니</t>
        </is>
      </c>
      <c r="E33" s="6" t="inlineStr">
        <is>
          <t>필수</t>
        </is>
      </c>
      <c r="F33" s="6" t="inlineStr">
        <is>
          <t>M2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>
        <is>
          <t>5현장: 금호,만현,이선,전기영,행당동</t>
        </is>
      </c>
      <c r="AA33" s="8" t="n">
        <v>11000</v>
      </c>
      <c r="AB33" s="8" t="n">
        <v>25000</v>
      </c>
    </row>
    <row r="34">
      <c r="A34" s="9" t="inlineStr">
        <is>
          <t>TL-09E</t>
        </is>
      </c>
      <c r="B34" s="9" t="inlineStr">
        <is>
          <t>방 발코니 바닥</t>
        </is>
      </c>
      <c r="C34" s="6" t="inlineStr">
        <is>
          <t>MOON 01 600*600</t>
        </is>
      </c>
      <c r="D34" s="6" t="inlineStr"/>
      <c r="E34" s="6" t="inlineStr">
        <is>
          <t>필수</t>
        </is>
      </c>
      <c r="F34" s="6" t="inlineStr">
        <is>
          <t>M2</t>
        </is>
      </c>
      <c r="G34" s="6" t="n"/>
      <c r="H34" s="6" t="n"/>
      <c r="I34" s="7">
        <f>IF(G34="","",G34*(1+H34/100))</f>
        <v/>
      </c>
      <c r="J34" s="6" t="n"/>
      <c r="K34" s="6" t="n"/>
      <c r="L34" s="8" t="n"/>
      <c r="M34" s="8" t="n"/>
      <c r="N34" s="8" t="n"/>
      <c r="O34" s="8" t="n"/>
      <c r="P34" s="8" t="n"/>
      <c r="Q34" s="8">
        <f>IF(OR(O34="",P34=""),"",MIN(O34,P34)-N34)</f>
        <v/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inlineStr">
        <is>
          <t>1현장: 산본</t>
        </is>
      </c>
      <c r="AA34" s="8" t="n">
        <v>25000</v>
      </c>
      <c r="AB34" s="8" t="n">
        <v>70000</v>
      </c>
    </row>
    <row r="35">
      <c r="A35" s="9" t="inlineStr">
        <is>
          <t>TL-10E</t>
        </is>
      </c>
      <c r="B35" s="9" t="inlineStr">
        <is>
          <t>방 발코니 벽</t>
        </is>
      </c>
      <c r="C35" s="6" t="inlineStr">
        <is>
          <t>MOON 01 600*600</t>
        </is>
      </c>
      <c r="D35" s="6" t="inlineStr"/>
      <c r="E35" s="6" t="inlineStr">
        <is>
          <t>필수</t>
        </is>
      </c>
      <c r="F35" s="6" t="inlineStr">
        <is>
          <t>M2</t>
        </is>
      </c>
      <c r="G35" s="6" t="n"/>
      <c r="H35" s="6" t="n"/>
      <c r="I35" s="7">
        <f>IF(G35="","",G35*(1+H35/100))</f>
        <v/>
      </c>
      <c r="J35" s="6" t="n"/>
      <c r="K35" s="6" t="n"/>
      <c r="L35" s="8" t="n"/>
      <c r="M35" s="8" t="n"/>
      <c r="N35" s="8" t="n"/>
      <c r="O35" s="8" t="n"/>
      <c r="P35" s="8" t="n"/>
      <c r="Q35" s="8">
        <f>IF(OR(O35="",P35=""),"",MIN(O35,P35)-N35)</f>
        <v/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inlineStr">
        <is>
          <t>1현장: 산본</t>
        </is>
      </c>
      <c r="AA35" s="8" t="n">
        <v>25000</v>
      </c>
      <c r="AB35" s="8" t="n">
        <v>70000</v>
      </c>
    </row>
    <row r="36">
      <c r="A36" s="9" t="inlineStr">
        <is>
          <t>TL-11E</t>
        </is>
      </c>
      <c r="B36" s="9" t="inlineStr">
        <is>
          <t>보조주방</t>
        </is>
      </c>
      <c r="C36" s="6" t="inlineStr">
        <is>
          <t>600*1200</t>
        </is>
      </c>
      <c r="D36" s="6" t="inlineStr"/>
      <c r="E36" s="6" t="inlineStr">
        <is>
          <t>필수</t>
        </is>
      </c>
      <c r="F36" s="6" t="inlineStr">
        <is>
          <t>M2</t>
        </is>
      </c>
      <c r="G36" s="6" t="n"/>
      <c r="H36" s="6" t="n"/>
      <c r="I36" s="7">
        <f>IF(G36="","",G36*(1+H36/100))</f>
        <v/>
      </c>
      <c r="J36" s="6" t="n"/>
      <c r="K36" s="6" t="n"/>
      <c r="L36" s="8" t="n"/>
      <c r="M36" s="8" t="n"/>
      <c r="N36" s="8" t="n"/>
      <c r="O36" s="8" t="n"/>
      <c r="P36" s="8" t="n"/>
      <c r="Q36" s="8">
        <f>IF(OR(O36="",P36=""),"",MIN(O36,P36)-N36)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inlineStr">
        <is>
          <t>2현장: 린스,만현</t>
        </is>
      </c>
      <c r="AA36" s="8" t="n">
        <v>31000</v>
      </c>
      <c r="AB36" s="8" t="n">
        <v>70000</v>
      </c>
    </row>
    <row r="37">
      <c r="A37" s="9" t="inlineStr">
        <is>
          <t>TL-12E</t>
        </is>
      </c>
      <c r="B37" s="9" t="inlineStr">
        <is>
          <t>부자재</t>
        </is>
      </c>
      <c r="C37" s="6" t="inlineStr">
        <is>
          <t>600*1200 대형 타일용</t>
        </is>
      </c>
      <c r="D37" s="6" t="inlineStr">
        <is>
          <t>방1 발코니</t>
        </is>
      </c>
      <c r="E37" s="6" t="inlineStr">
        <is>
          <t>필수</t>
        </is>
      </c>
      <c r="F37" s="6" t="inlineStr">
        <is>
          <t>M2</t>
        </is>
      </c>
      <c r="G37" s="6" t="n"/>
      <c r="H37" s="6" t="n"/>
      <c r="I37" s="7">
        <f>IF(G37="","",G37*(1+H37/100))</f>
        <v/>
      </c>
      <c r="J37" s="6" t="n"/>
      <c r="K37" s="6" t="n"/>
      <c r="L37" s="8" t="n"/>
      <c r="M37" s="8" t="n"/>
      <c r="N37" s="8" t="n"/>
      <c r="O37" s="8" t="n"/>
      <c r="P37" s="8" t="n"/>
      <c r="Q37" s="8">
        <f>IF(OR(O37="",P37=""),"",MIN(O37,P37)-N37)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inlineStr">
        <is>
          <t>12현장: 금호,김성용,김은경,린스,만현</t>
        </is>
      </c>
      <c r="AA37" s="8" t="n">
        <v>450000</v>
      </c>
      <c r="AB37" s="8" t="n">
        <v>50009</v>
      </c>
    </row>
    <row r="38">
      <c r="A38" s="9" t="inlineStr">
        <is>
          <t>TL-13E</t>
        </is>
      </c>
      <c r="B38" s="9" t="inlineStr">
        <is>
          <t>선반 금속 하지틀 시공</t>
        </is>
      </c>
      <c r="C38" s="6" t="inlineStr">
        <is>
          <t>—</t>
        </is>
      </c>
      <c r="D38" s="6" t="inlineStr"/>
      <c r="E38" s="6" t="inlineStr">
        <is>
          <t>필수</t>
        </is>
      </c>
      <c r="F38" s="6" t="inlineStr">
        <is>
          <t>식</t>
        </is>
      </c>
      <c r="G38" s="6" t="n"/>
      <c r="H38" s="6" t="n"/>
      <c r="I38" s="7">
        <f>IF(G38="","",G38*(1+H38/100))</f>
        <v/>
      </c>
      <c r="J38" s="6" t="n"/>
      <c r="K38" s="6" t="n"/>
      <c r="L38" s="8" t="n"/>
      <c r="M38" s="8" t="n"/>
      <c r="N38" s="8" t="n"/>
      <c r="O38" s="8" t="n"/>
      <c r="P38" s="8" t="n"/>
      <c r="Q38" s="8">
        <f>IF(OR(O38="",P38=""),"",MIN(O38,P38)-N38)</f>
        <v/>
      </c>
      <c r="R38" s="6" t="n"/>
      <c r="S38" s="6" t="n"/>
      <c r="T38" s="6" t="n"/>
      <c r="U38" s="6" t="n"/>
      <c r="V38" s="6" t="n"/>
      <c r="W38" s="6" t="n"/>
      <c r="X38" s="6" t="n"/>
      <c r="Y38" s="6" t="n"/>
      <c r="Z38" s="6" t="inlineStr">
        <is>
          <t>1현장: 이선</t>
        </is>
      </c>
      <c r="AA38" s="8" t="n">
        <v>150000</v>
      </c>
      <c r="AB38" s="8" t="n">
        <v>200000</v>
      </c>
    </row>
    <row r="39">
      <c r="A39" s="9" t="inlineStr">
        <is>
          <t>TL-14E</t>
        </is>
      </c>
      <c r="B39" s="9" t="inlineStr">
        <is>
          <t>세탁실</t>
        </is>
      </c>
      <c r="C39" s="6" t="inlineStr">
        <is>
          <t>300*300</t>
        </is>
      </c>
      <c r="D39" s="6" t="inlineStr"/>
      <c r="E39" s="6" t="inlineStr">
        <is>
          <t>필수</t>
        </is>
      </c>
      <c r="F39" s="6" t="inlineStr">
        <is>
          <t>M2</t>
        </is>
      </c>
      <c r="G39" s="6" t="n"/>
      <c r="H39" s="6" t="n"/>
      <c r="I39" s="7">
        <f>IF(G39="","",G39*(1+H39/100))</f>
        <v/>
      </c>
      <c r="J39" s="6" t="n"/>
      <c r="K39" s="6" t="n"/>
      <c r="L39" s="8" t="n"/>
      <c r="M39" s="8" t="n"/>
      <c r="N39" s="8" t="n"/>
      <c r="O39" s="8" t="n"/>
      <c r="P39" s="8" t="n"/>
      <c r="Q39" s="8">
        <f>IF(OR(O39="",P39=""),"",MIN(O39,P39)-N39)</f>
        <v/>
      </c>
      <c r="R39" s="6" t="n"/>
      <c r="S39" s="6" t="n"/>
      <c r="T39" s="6" t="n"/>
      <c r="U39" s="6" t="n"/>
      <c r="V39" s="6" t="n"/>
      <c r="W39" s="6" t="n"/>
      <c r="X39" s="6" t="n"/>
      <c r="Y39" s="6" t="n"/>
      <c r="Z39" s="6" t="inlineStr">
        <is>
          <t>1현장: 김은경</t>
        </is>
      </c>
      <c r="AA39" s="8" t="n">
        <v>15000</v>
      </c>
      <c r="AB39" s="8" t="n">
        <v>25000</v>
      </c>
    </row>
    <row r="40">
      <c r="A40" s="9" t="inlineStr">
        <is>
          <t>TL-15E</t>
        </is>
      </c>
      <c r="B40" s="9" t="inlineStr">
        <is>
          <t>세탁실 바닥</t>
        </is>
      </c>
      <c r="C40" s="6" t="inlineStr">
        <is>
          <t>MOON 01 600*600</t>
        </is>
      </c>
      <c r="D40" s="6" t="inlineStr"/>
      <c r="E40" s="6" t="inlineStr">
        <is>
          <t>필수</t>
        </is>
      </c>
      <c r="F40" s="6" t="inlineStr">
        <is>
          <t>M2</t>
        </is>
      </c>
      <c r="G40" s="6" t="n"/>
      <c r="H40" s="6" t="n"/>
      <c r="I40" s="7">
        <f>IF(G40="","",G40*(1+H40/100))</f>
        <v/>
      </c>
      <c r="J40" s="6" t="n"/>
      <c r="K40" s="6" t="n"/>
      <c r="L40" s="8" t="n"/>
      <c r="M40" s="8" t="n"/>
      <c r="N40" s="8" t="n"/>
      <c r="O40" s="8" t="n"/>
      <c r="P40" s="8" t="n"/>
      <c r="Q40" s="8">
        <f>IF(OR(O40="",P40=""),"",MIN(O40,P40)-N40)</f>
        <v/>
      </c>
      <c r="R40" s="6" t="n"/>
      <c r="S40" s="6" t="n"/>
      <c r="T40" s="6" t="n"/>
      <c r="U40" s="6" t="n"/>
      <c r="V40" s="6" t="n"/>
      <c r="W40" s="6" t="n"/>
      <c r="X40" s="6" t="n"/>
      <c r="Y40" s="6" t="n"/>
      <c r="Z40" s="6" t="inlineStr">
        <is>
          <t>1현장: 산본</t>
        </is>
      </c>
      <c r="AA40" s="8" t="n">
        <v>25000</v>
      </c>
      <c r="AB40" s="8" t="n">
        <v>70000</v>
      </c>
    </row>
    <row r="41">
      <c r="A41" s="9" t="inlineStr">
        <is>
          <t>TL-16E</t>
        </is>
      </c>
      <c r="B41" s="9" t="inlineStr">
        <is>
          <t>세탁실 벽</t>
        </is>
      </c>
      <c r="C41" s="6" t="inlineStr">
        <is>
          <t>MOON 01 600*600</t>
        </is>
      </c>
      <c r="D41" s="6" t="inlineStr"/>
      <c r="E41" s="6" t="inlineStr">
        <is>
          <t>필수</t>
        </is>
      </c>
      <c r="F41" s="6" t="inlineStr">
        <is>
          <t>M2</t>
        </is>
      </c>
      <c r="G41" s="6" t="n"/>
      <c r="H41" s="6" t="n"/>
      <c r="I41" s="7">
        <f>IF(G41="","",G41*(1+H41/100))</f>
        <v/>
      </c>
      <c r="J41" s="6" t="n"/>
      <c r="K41" s="6" t="n"/>
      <c r="L41" s="8" t="n"/>
      <c r="M41" s="8" t="n"/>
      <c r="N41" s="8" t="n"/>
      <c r="O41" s="8" t="n"/>
      <c r="P41" s="8" t="n"/>
      <c r="Q41" s="8">
        <f>IF(OR(O41="",P41=""),"",MIN(O41,P41)-N41)</f>
        <v/>
      </c>
      <c r="R41" s="6" t="n"/>
      <c r="S41" s="6" t="n"/>
      <c r="T41" s="6" t="n"/>
      <c r="U41" s="6" t="n"/>
      <c r="V41" s="6" t="n"/>
      <c r="W41" s="6" t="n"/>
      <c r="X41" s="6" t="n"/>
      <c r="Y41" s="6" t="n"/>
      <c r="Z41" s="6" t="inlineStr">
        <is>
          <t>1현장: 산본</t>
        </is>
      </c>
      <c r="AA41" s="8" t="n">
        <v>25000</v>
      </c>
      <c r="AB41" s="8" t="n">
        <v>70000</v>
      </c>
    </row>
    <row r="42">
      <c r="A42" s="9" t="inlineStr">
        <is>
          <t>TL-17E</t>
        </is>
      </c>
      <c r="B42" s="9" t="inlineStr">
        <is>
          <t>실외기 실</t>
        </is>
      </c>
      <c r="C42" s="6" t="inlineStr">
        <is>
          <t>300*300</t>
        </is>
      </c>
      <c r="D42" s="6" t="inlineStr"/>
      <c r="E42" s="6" t="inlineStr">
        <is>
          <t>필수</t>
        </is>
      </c>
      <c r="F42" s="6" t="inlineStr">
        <is>
          <t>M2</t>
        </is>
      </c>
      <c r="G42" s="6" t="n"/>
      <c r="H42" s="6" t="n"/>
      <c r="I42" s="7">
        <f>IF(G42="","",G42*(1+H42/100))</f>
        <v/>
      </c>
      <c r="J42" s="6" t="n"/>
      <c r="K42" s="6" t="n"/>
      <c r="L42" s="8" t="n"/>
      <c r="M42" s="8" t="n"/>
      <c r="N42" s="8" t="n"/>
      <c r="O42" s="8" t="n"/>
      <c r="P42" s="8" t="n"/>
      <c r="Q42" s="8">
        <f>IF(OR(O42="",P42=""),"",MIN(O42,P42)-N42)</f>
        <v/>
      </c>
      <c r="R42" s="6" t="n"/>
      <c r="S42" s="6" t="n"/>
      <c r="T42" s="6" t="n"/>
      <c r="U42" s="6" t="n"/>
      <c r="V42" s="6" t="n"/>
      <c r="W42" s="6" t="n"/>
      <c r="X42" s="6" t="n"/>
      <c r="Y42" s="6" t="n"/>
      <c r="Z42" s="6" t="inlineStr">
        <is>
          <t>1현장: 전기영</t>
        </is>
      </c>
      <c r="AA42" s="8" t="n">
        <v>20000</v>
      </c>
      <c r="AB42" s="8" t="n">
        <v>40000</v>
      </c>
    </row>
    <row r="43">
      <c r="A43" s="9" t="inlineStr">
        <is>
          <t>TL-18E</t>
        </is>
      </c>
      <c r="B43" s="9" t="inlineStr">
        <is>
          <t>졸리컷팅</t>
        </is>
      </c>
      <c r="C43" s="6" t="inlineStr">
        <is>
          <t>화장실 / 현관 면치</t>
        </is>
      </c>
      <c r="D43" s="6" t="inlineStr"/>
      <c r="E43" s="6" t="inlineStr">
        <is>
          <t>필수</t>
        </is>
      </c>
      <c r="F43" s="6" t="inlineStr">
        <is>
          <t>인</t>
        </is>
      </c>
      <c r="G43" s="6" t="n"/>
      <c r="H43" s="6" t="n"/>
      <c r="I43" s="7">
        <f>IF(G43="","",G43*(1+H43/100))</f>
        <v/>
      </c>
      <c r="J43" s="6" t="n"/>
      <c r="K43" s="6" t="n"/>
      <c r="L43" s="8" t="n"/>
      <c r="M43" s="8" t="n"/>
      <c r="N43" s="8" t="n"/>
      <c r="O43" s="8" t="n"/>
      <c r="P43" s="8" t="n"/>
      <c r="Q43" s="8">
        <f>IF(OR(O43="",P43=""),"",MIN(O43,P43)-N43)</f>
        <v/>
      </c>
      <c r="R43" s="6" t="n"/>
      <c r="S43" s="6" t="n"/>
      <c r="T43" s="6" t="n"/>
      <c r="U43" s="6" t="n"/>
      <c r="V43" s="6" t="n"/>
      <c r="W43" s="6" t="n"/>
      <c r="X43" s="6" t="n"/>
      <c r="Y43" s="6" t="n"/>
      <c r="Z43" s="6" t="inlineStr">
        <is>
          <t>1현장: 금호</t>
        </is>
      </c>
      <c r="AA43" s="8" t="n"/>
      <c r="AB43" s="8" t="n">
        <v>250000</v>
      </c>
    </row>
    <row r="44">
      <c r="A44" s="9" t="inlineStr">
        <is>
          <t>TL-19E</t>
        </is>
      </c>
      <c r="B44" s="9" t="inlineStr">
        <is>
          <t>주방 벽체</t>
        </is>
      </c>
      <c r="C44" s="6" t="inlineStr">
        <is>
          <t>600*1200</t>
        </is>
      </c>
      <c r="D44" s="6" t="inlineStr"/>
      <c r="E44" s="6" t="inlineStr">
        <is>
          <t>필수</t>
        </is>
      </c>
      <c r="F44" s="6" t="inlineStr">
        <is>
          <t>M2</t>
        </is>
      </c>
      <c r="G44" s="6" t="n"/>
      <c r="H44" s="6" t="n"/>
      <c r="I44" s="7">
        <f>IF(G44="","",G44*(1+H44/100))</f>
        <v/>
      </c>
      <c r="J44" s="6" t="n"/>
      <c r="K44" s="6" t="n"/>
      <c r="L44" s="8" t="n"/>
      <c r="M44" s="8" t="n"/>
      <c r="N44" s="8" t="n"/>
      <c r="O44" s="8" t="n"/>
      <c r="P44" s="8" t="n"/>
      <c r="Q44" s="8">
        <f>IF(OR(O44="",P44=""),"",MIN(O44,P44)-N44)</f>
        <v/>
      </c>
      <c r="R44" s="6" t="n"/>
      <c r="S44" s="6" t="n"/>
      <c r="T44" s="6" t="n"/>
      <c r="U44" s="6" t="n"/>
      <c r="V44" s="6" t="n"/>
      <c r="W44" s="6" t="n"/>
      <c r="X44" s="6" t="n"/>
      <c r="Y44" s="6" t="n"/>
      <c r="Z44" s="6" t="inlineStr">
        <is>
          <t>1현장: 김은경</t>
        </is>
      </c>
      <c r="AA44" s="8" t="n">
        <v>38000</v>
      </c>
      <c r="AB44" s="8" t="n">
        <v>70000</v>
      </c>
    </row>
    <row r="45">
      <c r="A45" s="9" t="inlineStr">
        <is>
          <t>TL-20E</t>
        </is>
      </c>
      <c r="B45" s="9" t="inlineStr">
        <is>
          <t>주방벽체</t>
        </is>
      </c>
      <c r="C45" s="6" t="inlineStr">
        <is>
          <t>600*1200</t>
        </is>
      </c>
      <c r="D45" s="6" t="inlineStr"/>
      <c r="E45" s="6" t="inlineStr">
        <is>
          <t>필수</t>
        </is>
      </c>
      <c r="F45" s="6" t="inlineStr">
        <is>
          <t>M2</t>
        </is>
      </c>
      <c r="G45" s="6" t="n"/>
      <c r="H45" s="6" t="n"/>
      <c r="I45" s="7">
        <f>IF(G45="","",G45*(1+H45/100))</f>
        <v/>
      </c>
      <c r="J45" s="6" t="n"/>
      <c r="K45" s="6" t="n"/>
      <c r="L45" s="8" t="n"/>
      <c r="M45" s="8" t="n"/>
      <c r="N45" s="8" t="n"/>
      <c r="O45" s="8" t="n"/>
      <c r="P45" s="8" t="n"/>
      <c r="Q45" s="8">
        <f>IF(OR(O45="",P45=""),"",MIN(O45,P45)-N45)</f>
        <v/>
      </c>
      <c r="R45" s="6" t="n"/>
      <c r="S45" s="6" t="n"/>
      <c r="T45" s="6" t="n"/>
      <c r="U45" s="6" t="n"/>
      <c r="V45" s="6" t="n"/>
      <c r="W45" s="6" t="n"/>
      <c r="X45" s="6" t="n"/>
      <c r="Y45" s="6" t="n"/>
      <c r="Z45" s="6" t="inlineStr">
        <is>
          <t>2현장: 금호,행당동</t>
        </is>
      </c>
      <c r="AA45" s="8" t="n">
        <v>35000</v>
      </c>
      <c r="AB45" s="8" t="n">
        <v>65000</v>
      </c>
    </row>
    <row r="46">
      <c r="A46" s="9" t="inlineStr">
        <is>
          <t>TL-21E</t>
        </is>
      </c>
      <c r="B46" s="9" t="inlineStr">
        <is>
          <t>주방타일 / 바닥</t>
        </is>
      </c>
      <c r="C46" s="6" t="inlineStr">
        <is>
          <t>600*1200</t>
        </is>
      </c>
      <c r="D46" s="6" t="inlineStr"/>
      <c r="E46" s="6" t="inlineStr">
        <is>
          <t>필수</t>
        </is>
      </c>
      <c r="F46" s="6" t="inlineStr">
        <is>
          <t>M2</t>
        </is>
      </c>
      <c r="G46" s="6" t="n"/>
      <c r="H46" s="6" t="n"/>
      <c r="I46" s="7">
        <f>IF(G46="","",G46*(1+H46/100))</f>
        <v/>
      </c>
      <c r="J46" s="6" t="n"/>
      <c r="K46" s="6" t="n"/>
      <c r="L46" s="8" t="n"/>
      <c r="M46" s="8" t="n"/>
      <c r="N46" s="8" t="n"/>
      <c r="O46" s="8" t="n"/>
      <c r="P46" s="8" t="n"/>
      <c r="Q46" s="8">
        <f>IF(OR(O46="",P46=""),"",MIN(O46,P46)-N46)</f>
        <v/>
      </c>
      <c r="R46" s="6" t="n"/>
      <c r="S46" s="6" t="n"/>
      <c r="T46" s="6" t="n"/>
      <c r="U46" s="6" t="n"/>
      <c r="V46" s="6" t="n"/>
      <c r="W46" s="6" t="n"/>
      <c r="X46" s="6" t="n"/>
      <c r="Y46" s="6" t="n"/>
      <c r="Z46" s="6" t="inlineStr">
        <is>
          <t>1현장: 김은경</t>
        </is>
      </c>
      <c r="AA46" s="8" t="n">
        <v>35000</v>
      </c>
      <c r="AB46" s="8" t="n">
        <v>70000</v>
      </c>
    </row>
    <row r="47">
      <c r="A47" s="9" t="inlineStr">
        <is>
          <t>TL-22E</t>
        </is>
      </c>
      <c r="B47" s="9" t="inlineStr">
        <is>
          <t>주방타일 / 벽체</t>
        </is>
      </c>
      <c r="C47" s="6" t="inlineStr">
        <is>
          <t>600*1200</t>
        </is>
      </c>
      <c r="D47" s="6" t="inlineStr"/>
      <c r="E47" s="6" t="inlineStr">
        <is>
          <t>필수</t>
        </is>
      </c>
      <c r="F47" s="6" t="inlineStr">
        <is>
          <t>M2</t>
        </is>
      </c>
      <c r="G47" s="6" t="n"/>
      <c r="H47" s="6" t="n"/>
      <c r="I47" s="7">
        <f>IF(G47="","",G47*(1+H47/100))</f>
        <v/>
      </c>
      <c r="J47" s="6" t="n"/>
      <c r="K47" s="6" t="n"/>
      <c r="L47" s="8" t="n"/>
      <c r="M47" s="8" t="n"/>
      <c r="N47" s="8" t="n"/>
      <c r="O47" s="8" t="n"/>
      <c r="P47" s="8" t="n"/>
      <c r="Q47" s="8">
        <f>IF(OR(O47="",P47=""),"",MIN(O47,P47)-N47)</f>
        <v/>
      </c>
      <c r="R47" s="6" t="n"/>
      <c r="S47" s="6" t="n"/>
      <c r="T47" s="6" t="n"/>
      <c r="U47" s="6" t="n"/>
      <c r="V47" s="6" t="n"/>
      <c r="W47" s="6" t="n"/>
      <c r="X47" s="6" t="n"/>
      <c r="Y47" s="6" t="n"/>
      <c r="Z47" s="6" t="inlineStr">
        <is>
          <t>1현장: 김성용</t>
        </is>
      </c>
      <c r="AA47" s="8" t="n">
        <v>35000</v>
      </c>
      <c r="AB47" s="8" t="n">
        <v>70000</v>
      </c>
    </row>
    <row r="48">
      <c r="A48" s="9" t="inlineStr">
        <is>
          <t>TL-23E</t>
        </is>
      </c>
      <c r="B48" s="9" t="inlineStr">
        <is>
          <t>케라폭시</t>
        </is>
      </c>
      <c r="C48" s="6" t="inlineStr">
        <is>
          <t>마페이 케라폭시</t>
        </is>
      </c>
      <c r="D48" s="6" t="inlineStr">
        <is>
          <t>각 화장실</t>
        </is>
      </c>
      <c r="E48" s="6" t="inlineStr">
        <is>
          <t>필수</t>
        </is>
      </c>
      <c r="F48" s="6" t="inlineStr">
        <is>
          <t>식</t>
        </is>
      </c>
      <c r="G48" s="6" t="n"/>
      <c r="H48" s="6" t="n"/>
      <c r="I48" s="7">
        <f>IF(G48="","",G48*(1+H48/100))</f>
        <v/>
      </c>
      <c r="J48" s="6" t="n"/>
      <c r="K48" s="6" t="n"/>
      <c r="L48" s="8" t="n"/>
      <c r="M48" s="8" t="n"/>
      <c r="N48" s="8" t="n"/>
      <c r="O48" s="8" t="n"/>
      <c r="P48" s="8" t="n"/>
      <c r="Q48" s="8">
        <f>IF(OR(O48="",P48=""),"",MIN(O48,P48)-N48)</f>
        <v/>
      </c>
      <c r="R48" s="6" t="n"/>
      <c r="S48" s="6" t="n"/>
      <c r="T48" s="6" t="n"/>
      <c r="U48" s="6" t="n"/>
      <c r="V48" s="6" t="n"/>
      <c r="W48" s="6" t="n"/>
      <c r="X48" s="6" t="n"/>
      <c r="Y48" s="6" t="n"/>
      <c r="Z48" s="6" t="inlineStr">
        <is>
          <t>1현장: 산본</t>
        </is>
      </c>
      <c r="AA48" s="8" t="n">
        <v>850000</v>
      </c>
      <c r="AB48" s="8" t="n"/>
    </row>
    <row r="49">
      <c r="A49" s="9" t="inlineStr">
        <is>
          <t>TL-24E</t>
        </is>
      </c>
      <c r="B49" s="9" t="inlineStr">
        <is>
          <t>케라폭시 매지</t>
        </is>
      </c>
      <c r="C49" s="6" t="inlineStr">
        <is>
          <t>—</t>
        </is>
      </c>
      <c r="D49" s="6" t="inlineStr">
        <is>
          <t>화장실 2개소</t>
        </is>
      </c>
      <c r="E49" s="6" t="inlineStr">
        <is>
          <t>필수</t>
        </is>
      </c>
      <c r="F49" s="6" t="inlineStr">
        <is>
          <t>식</t>
        </is>
      </c>
      <c r="G49" s="6" t="n"/>
      <c r="H49" s="6" t="n"/>
      <c r="I49" s="7">
        <f>IF(G49="","",G49*(1+H49/100))</f>
        <v/>
      </c>
      <c r="J49" s="6" t="n"/>
      <c r="K49" s="6" t="n"/>
      <c r="L49" s="8" t="n"/>
      <c r="M49" s="8" t="n"/>
      <c r="N49" s="8" t="n"/>
      <c r="O49" s="8" t="n"/>
      <c r="P49" s="8" t="n"/>
      <c r="Q49" s="8">
        <f>IF(OR(O49="",P49=""),"",MIN(O49,P49)-N49)</f>
        <v/>
      </c>
      <c r="R49" s="6" t="n"/>
      <c r="S49" s="6" t="n"/>
      <c r="T49" s="6" t="n"/>
      <c r="U49" s="6" t="n"/>
      <c r="V49" s="6" t="n"/>
      <c r="W49" s="6" t="n"/>
      <c r="X49" s="6" t="n"/>
      <c r="Y49" s="6" t="n"/>
      <c r="Z49" s="6" t="inlineStr">
        <is>
          <t>1현장: 백현</t>
        </is>
      </c>
      <c r="AA49" s="8" t="n">
        <v>1650000</v>
      </c>
      <c r="AB49" s="8" t="n"/>
    </row>
    <row r="50">
      <c r="A50" s="9" t="inlineStr">
        <is>
          <t>TL-25E</t>
        </is>
      </c>
      <c r="B50" s="9" t="inlineStr">
        <is>
          <t>코너부 졸리시공</t>
        </is>
      </c>
      <c r="C50" s="6" t="inlineStr">
        <is>
          <t>—</t>
        </is>
      </c>
      <c r="D50" s="6" t="inlineStr"/>
      <c r="E50" s="6" t="inlineStr">
        <is>
          <t>필수</t>
        </is>
      </c>
      <c r="F50" s="6" t="inlineStr">
        <is>
          <t>인</t>
        </is>
      </c>
      <c r="G50" s="6" t="n"/>
      <c r="H50" s="6" t="n"/>
      <c r="I50" s="7">
        <f>IF(G50="","",G50*(1+H50/100))</f>
        <v/>
      </c>
      <c r="J50" s="6" t="n"/>
      <c r="K50" s="6" t="n"/>
      <c r="L50" s="8" t="n"/>
      <c r="M50" s="8" t="n"/>
      <c r="N50" s="8" t="n"/>
      <c r="O50" s="8" t="n"/>
      <c r="P50" s="8" t="n"/>
      <c r="Q50" s="8">
        <f>IF(OR(O50="",P50=""),"",MIN(O50,P50)-N50)</f>
        <v/>
      </c>
      <c r="R50" s="6" t="n"/>
      <c r="S50" s="6" t="n"/>
      <c r="T50" s="6" t="n"/>
      <c r="U50" s="6" t="n"/>
      <c r="V50" s="6" t="n"/>
      <c r="W50" s="6" t="n"/>
      <c r="X50" s="6" t="n"/>
      <c r="Y50" s="6" t="n"/>
      <c r="Z50" s="6" t="inlineStr">
        <is>
          <t>1현장: 이선</t>
        </is>
      </c>
      <c r="AA50" s="8" t="n"/>
      <c r="AB50" s="8" t="n">
        <v>300000</v>
      </c>
    </row>
    <row r="51">
      <c r="A51" s="9" t="inlineStr">
        <is>
          <t>TL-26E</t>
        </is>
      </c>
      <c r="B51" s="9" t="inlineStr">
        <is>
          <t>현관 및 주방</t>
        </is>
      </c>
      <c r="C51" s="6" t="inlineStr">
        <is>
          <t>600*1200</t>
        </is>
      </c>
      <c r="D51" s="6" t="inlineStr"/>
      <c r="E51" s="6" t="inlineStr">
        <is>
          <t>필수</t>
        </is>
      </c>
      <c r="F51" s="6" t="inlineStr">
        <is>
          <t>M2</t>
        </is>
      </c>
      <c r="G51" s="6" t="n"/>
      <c r="H51" s="6" t="n"/>
      <c r="I51" s="7">
        <f>IF(G51="","",G51*(1+H51/100))</f>
        <v/>
      </c>
      <c r="J51" s="6" t="n"/>
      <c r="K51" s="6" t="n"/>
      <c r="L51" s="8" t="n"/>
      <c r="M51" s="8" t="n"/>
      <c r="N51" s="8" t="n"/>
      <c r="O51" s="8" t="n"/>
      <c r="P51" s="8" t="n"/>
      <c r="Q51" s="8">
        <f>IF(OR(O51="",P51=""),"",MIN(O51,P51)-N51)</f>
        <v/>
      </c>
      <c r="R51" s="6" t="n"/>
      <c r="S51" s="6" t="n"/>
      <c r="T51" s="6" t="n"/>
      <c r="U51" s="6" t="n"/>
      <c r="V51" s="6" t="n"/>
      <c r="W51" s="6" t="n"/>
      <c r="X51" s="6" t="n"/>
      <c r="Y51" s="6" t="n"/>
      <c r="Z51" s="6" t="inlineStr">
        <is>
          <t>1현장: 백현</t>
        </is>
      </c>
      <c r="AA51" s="8" t="n">
        <v>31000</v>
      </c>
      <c r="AB51" s="8" t="n">
        <v>70000</v>
      </c>
    </row>
    <row r="52">
      <c r="A52" s="9" t="inlineStr">
        <is>
          <t>TL-27E</t>
        </is>
      </c>
      <c r="B52" s="9" t="inlineStr">
        <is>
          <t>현관 바닥</t>
        </is>
      </c>
      <c r="C52" s="6" t="inlineStr">
        <is>
          <t>GRIGIO CHIARO 600*1200</t>
        </is>
      </c>
      <c r="D52" s="6" t="inlineStr">
        <is>
          <t>현관</t>
        </is>
      </c>
      <c r="E52" s="6" t="inlineStr">
        <is>
          <t>필수</t>
        </is>
      </c>
      <c r="F52" s="6" t="inlineStr">
        <is>
          <t>M2</t>
        </is>
      </c>
      <c r="G52" s="6" t="n"/>
      <c r="H52" s="6" t="n"/>
      <c r="I52" s="7">
        <f>IF(G52="","",G52*(1+H52/100))</f>
        <v/>
      </c>
      <c r="J52" s="6" t="n"/>
      <c r="K52" s="6" t="n"/>
      <c r="L52" s="8" t="n"/>
      <c r="M52" s="8" t="n"/>
      <c r="N52" s="8" t="n"/>
      <c r="O52" s="8" t="n"/>
      <c r="P52" s="8" t="n"/>
      <c r="Q52" s="8">
        <f>IF(OR(O52="",P52=""),"",MIN(O52,P52)-N52)</f>
        <v/>
      </c>
      <c r="R52" s="6" t="n"/>
      <c r="S52" s="6" t="n"/>
      <c r="T52" s="6" t="n"/>
      <c r="U52" s="6" t="n"/>
      <c r="V52" s="6" t="n"/>
      <c r="W52" s="6" t="n"/>
      <c r="X52" s="6" t="n"/>
      <c r="Y52" s="6" t="n"/>
      <c r="Z52" s="6" t="inlineStr">
        <is>
          <t>13현장: 금호,김성용,김은경,린스,만현</t>
        </is>
      </c>
      <c r="AA52" s="8" t="n">
        <v>31000</v>
      </c>
      <c r="AB52" s="8" t="n">
        <v>65000</v>
      </c>
    </row>
    <row r="53">
      <c r="A53" s="9" t="inlineStr">
        <is>
          <t>TL-28E</t>
        </is>
      </c>
      <c r="B53" s="9" t="inlineStr">
        <is>
          <t>현관 벽</t>
        </is>
      </c>
      <c r="C53" s="6" t="inlineStr">
        <is>
          <t>GRIGIO CHIARO 600*1200</t>
        </is>
      </c>
      <c r="D53" s="6" t="inlineStr">
        <is>
          <t>현관</t>
        </is>
      </c>
      <c r="E53" s="6" t="inlineStr">
        <is>
          <t>필수</t>
        </is>
      </c>
      <c r="F53" s="6" t="inlineStr">
        <is>
          <t>M2</t>
        </is>
      </c>
      <c r="G53" s="6" t="n"/>
      <c r="H53" s="6" t="n"/>
      <c r="I53" s="7">
        <f>IF(G53="","",G53*(1+H53/100))</f>
        <v/>
      </c>
      <c r="J53" s="6" t="n"/>
      <c r="K53" s="6" t="n"/>
      <c r="L53" s="8" t="n"/>
      <c r="M53" s="8" t="n"/>
      <c r="N53" s="8" t="n"/>
      <c r="O53" s="8" t="n"/>
      <c r="P53" s="8" t="n"/>
      <c r="Q53" s="8">
        <f>IF(OR(O53="",P53=""),"",MIN(O53,P53)-N53)</f>
        <v/>
      </c>
      <c r="R53" s="6" t="n"/>
      <c r="S53" s="6" t="n"/>
      <c r="T53" s="6" t="n"/>
      <c r="U53" s="6" t="n"/>
      <c r="V53" s="6" t="n"/>
      <c r="W53" s="6" t="n"/>
      <c r="X53" s="6" t="n"/>
      <c r="Y53" s="6" t="n"/>
      <c r="Z53" s="6" t="inlineStr">
        <is>
          <t>2현장: 만현,산본</t>
        </is>
      </c>
      <c r="AA53" s="8" t="n">
        <v>47000</v>
      </c>
      <c r="AB53" s="8" t="n">
        <v>70000</v>
      </c>
    </row>
    <row r="54">
      <c r="A54" s="9" t="inlineStr">
        <is>
          <t>TL-29E</t>
        </is>
      </c>
      <c r="B54" s="9" t="inlineStr">
        <is>
          <t>현관 선반</t>
        </is>
      </c>
      <c r="C54" s="6" t="inlineStr">
        <is>
          <t>600*1200</t>
        </is>
      </c>
      <c r="D54" s="6" t="inlineStr">
        <is>
          <t>BL-TL-31-CM</t>
        </is>
      </c>
      <c r="E54" s="6" t="inlineStr">
        <is>
          <t>필수</t>
        </is>
      </c>
      <c r="F54" s="6" t="inlineStr">
        <is>
          <t>M2</t>
        </is>
      </c>
      <c r="G54" s="6" t="n"/>
      <c r="H54" s="6" t="n"/>
      <c r="I54" s="7">
        <f>IF(G54="","",G54*(1+H54/100))</f>
        <v/>
      </c>
      <c r="J54" s="6" t="n"/>
      <c r="K54" s="6" t="n"/>
      <c r="L54" s="8" t="n"/>
      <c r="M54" s="8" t="n"/>
      <c r="N54" s="8" t="n"/>
      <c r="O54" s="8" t="n"/>
      <c r="P54" s="8" t="n"/>
      <c r="Q54" s="8">
        <f>IF(OR(O54="",P54=""),"",MIN(O54,P54)-N54)</f>
        <v/>
      </c>
      <c r="R54" s="6" t="n"/>
      <c r="S54" s="6" t="n"/>
      <c r="T54" s="6" t="n"/>
      <c r="U54" s="6" t="n"/>
      <c r="V54" s="6" t="n"/>
      <c r="W54" s="6" t="n"/>
      <c r="X54" s="6" t="n"/>
      <c r="Y54" s="6" t="n"/>
      <c r="Z54" s="6" t="inlineStr">
        <is>
          <t>6현장: 린스,만현,백현,산본,진산</t>
        </is>
      </c>
      <c r="AA54" s="8" t="n">
        <v>35000</v>
      </c>
      <c r="AB54" s="8" t="n">
        <v>70000</v>
      </c>
    </row>
    <row r="55">
      <c r="A55" s="9" t="inlineStr">
        <is>
          <t>TL-30E</t>
        </is>
      </c>
      <c r="B55" s="9" t="inlineStr">
        <is>
          <t>화장실 바닥</t>
        </is>
      </c>
      <c r="C55" s="6" t="inlineStr">
        <is>
          <t>600*1200</t>
        </is>
      </c>
      <c r="D55" s="6" t="inlineStr">
        <is>
          <t>거실 화장실</t>
        </is>
      </c>
      <c r="E55" s="6" t="inlineStr">
        <is>
          <t>필수</t>
        </is>
      </c>
      <c r="F55" s="6" t="inlineStr">
        <is>
          <t>M2</t>
        </is>
      </c>
      <c r="G55" s="6" t="n"/>
      <c r="H55" s="6" t="n"/>
      <c r="I55" s="7">
        <f>IF(G55="","",G55*(1+H55/100))</f>
        <v/>
      </c>
      <c r="J55" s="6" t="n"/>
      <c r="K55" s="6" t="n"/>
      <c r="L55" s="8" t="n"/>
      <c r="M55" s="8" t="n"/>
      <c r="N55" s="8" t="n"/>
      <c r="O55" s="8" t="n"/>
      <c r="P55" s="8" t="n"/>
      <c r="Q55" s="8">
        <f>IF(OR(O55="",P55=""),"",MIN(O55,P55)-N55)</f>
        <v/>
      </c>
      <c r="R55" s="6" t="n"/>
      <c r="S55" s="6" t="n"/>
      <c r="T55" s="6" t="n"/>
      <c r="U55" s="6" t="n"/>
      <c r="V55" s="6" t="n"/>
      <c r="W55" s="6" t="n"/>
      <c r="X55" s="6" t="n"/>
      <c r="Y55" s="6" t="n"/>
      <c r="Z55" s="6" t="inlineStr">
        <is>
          <t>1현장: 만현</t>
        </is>
      </c>
      <c r="AA55" s="8" t="n">
        <v>31000</v>
      </c>
      <c r="AB55" s="8" t="n">
        <v>70000</v>
      </c>
    </row>
    <row r="56">
      <c r="A56" s="9" t="inlineStr">
        <is>
          <t>TL-31E</t>
        </is>
      </c>
      <c r="B56" s="9" t="inlineStr">
        <is>
          <t>화장실 벽체</t>
        </is>
      </c>
      <c r="C56" s="6" t="inlineStr">
        <is>
          <t>600*1200</t>
        </is>
      </c>
      <c r="D56" s="6" t="inlineStr">
        <is>
          <t>거실 화장실</t>
        </is>
      </c>
      <c r="E56" s="6" t="inlineStr">
        <is>
          <t>필수</t>
        </is>
      </c>
      <c r="F56" s="6" t="inlineStr">
        <is>
          <t>M2</t>
        </is>
      </c>
      <c r="G56" s="6" t="n"/>
      <c r="H56" s="6" t="n"/>
      <c r="I56" s="7">
        <f>IF(G56="","",G56*(1+H56/100))</f>
        <v/>
      </c>
      <c r="J56" s="6" t="n"/>
      <c r="K56" s="6" t="n"/>
      <c r="L56" s="8" t="n"/>
      <c r="M56" s="8" t="n"/>
      <c r="N56" s="8" t="n"/>
      <c r="O56" s="8" t="n"/>
      <c r="P56" s="8" t="n"/>
      <c r="Q56" s="8">
        <f>IF(OR(O56="",P56=""),"",MIN(O56,P56)-N56)</f>
        <v/>
      </c>
      <c r="R56" s="6" t="n"/>
      <c r="S56" s="6" t="n"/>
      <c r="T56" s="6" t="n"/>
      <c r="U56" s="6" t="n"/>
      <c r="V56" s="6" t="n"/>
      <c r="W56" s="6" t="n"/>
      <c r="X56" s="6" t="n"/>
      <c r="Y56" s="6" t="n"/>
      <c r="Z56" s="6" t="inlineStr">
        <is>
          <t>1현장: 만현</t>
        </is>
      </c>
      <c r="AA56" s="8" t="n">
        <v>31000</v>
      </c>
      <c r="AB56" s="8" t="n">
        <v>70000</v>
      </c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1">
        <f>IF(G57="","",G57*(1+H57/100))</f>
        <v/>
      </c>
      <c r="J57" s="10" t="n"/>
      <c r="K57" s="10" t="n"/>
      <c r="L57" s="10" t="n"/>
      <c r="M57" s="10" t="n"/>
      <c r="N57" s="10" t="n"/>
      <c r="O57" s="10" t="n"/>
      <c r="P57" s="10" t="n"/>
      <c r="Q57" s="12">
        <f>IF(OR(O57="",P57=""),"",MIN(O57,P57)-N57)</f>
        <v/>
      </c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1">
        <f>IF(G58="","",G58*(1+H58/100))</f>
        <v/>
      </c>
      <c r="J58" s="10" t="n"/>
      <c r="K58" s="10" t="n"/>
      <c r="L58" s="10" t="n"/>
      <c r="M58" s="10" t="n"/>
      <c r="N58" s="10" t="n"/>
      <c r="O58" s="10" t="n"/>
      <c r="P58" s="10" t="n"/>
      <c r="Q58" s="12">
        <f>IF(OR(O58="",P58=""),"",MIN(O58,P58)-N58)</f>
        <v/>
      </c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1">
        <f>IF(G59="","",G59*(1+H59/100))</f>
        <v/>
      </c>
      <c r="J59" s="10" t="n"/>
      <c r="K59" s="10" t="n"/>
      <c r="L59" s="10" t="n"/>
      <c r="M59" s="10" t="n"/>
      <c r="N59" s="10" t="n"/>
      <c r="O59" s="10" t="n"/>
      <c r="P59" s="10" t="n"/>
      <c r="Q59" s="12">
        <f>IF(OR(O59="",P59=""),"",MIN(O59,P59)-N59)</f>
        <v/>
      </c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1">
        <f>IF(G60="","",G60*(1+H60/100))</f>
        <v/>
      </c>
      <c r="J60" s="10" t="n"/>
      <c r="K60" s="10" t="n"/>
      <c r="L60" s="10" t="n"/>
      <c r="M60" s="10" t="n"/>
      <c r="N60" s="10" t="n"/>
      <c r="O60" s="10" t="n"/>
      <c r="P60" s="10" t="n"/>
      <c r="Q60" s="12">
        <f>IF(OR(O60="",P60=""),"",MIN(O60,P60)-N60)</f>
        <v/>
      </c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1">
        <f>IF(G61="","",G61*(1+H61/100))</f>
        <v/>
      </c>
      <c r="J61" s="10" t="n"/>
      <c r="K61" s="10" t="n"/>
      <c r="L61" s="10" t="n"/>
      <c r="M61" s="10" t="n"/>
      <c r="N61" s="10" t="n"/>
      <c r="O61" s="10" t="n"/>
      <c r="P61" s="10" t="n"/>
      <c r="Q61" s="12">
        <f>IF(OR(O61="",P61=""),"",MIN(O61,P61)-N61)</f>
        <v/>
      </c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1">
        <f>IF(G62="","",G62*(1+H62/100))</f>
        <v/>
      </c>
      <c r="J62" s="10" t="n"/>
      <c r="K62" s="10" t="n"/>
      <c r="L62" s="10" t="n"/>
      <c r="M62" s="10" t="n"/>
      <c r="N62" s="10" t="n"/>
      <c r="O62" s="10" t="n"/>
      <c r="P62" s="10" t="n"/>
      <c r="Q62" s="12">
        <f>IF(OR(O62="",P62=""),"",MIN(O62,P62)-N62)</f>
        <v/>
      </c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1">
        <f>IF(G63="","",G63*(1+H63/100))</f>
        <v/>
      </c>
      <c r="J63" s="10" t="n"/>
      <c r="K63" s="10" t="n"/>
      <c r="L63" s="10" t="n"/>
      <c r="M63" s="10" t="n"/>
      <c r="N63" s="10" t="n"/>
      <c r="O63" s="10" t="n"/>
      <c r="P63" s="10" t="n"/>
      <c r="Q63" s="12">
        <f>IF(OR(O63="",P63=""),"",MIN(O63,P63)-N63)</f>
        <v/>
      </c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1">
        <f>IF(G64="","",G64*(1+H64/100))</f>
        <v/>
      </c>
      <c r="J64" s="10" t="n"/>
      <c r="K64" s="10" t="n"/>
      <c r="L64" s="10" t="n"/>
      <c r="M64" s="10" t="n"/>
      <c r="N64" s="10" t="n"/>
      <c r="O64" s="10" t="n"/>
      <c r="P64" s="10" t="n"/>
      <c r="Q64" s="12">
        <f>IF(OR(O64="",P64=""),"",MIN(O64,P64)-N64)</f>
        <v/>
      </c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1">
        <f>IF(G65="","",G65*(1+H65/100))</f>
        <v/>
      </c>
      <c r="J65" s="10" t="n"/>
      <c r="K65" s="10" t="n"/>
      <c r="L65" s="10" t="n"/>
      <c r="M65" s="10" t="n"/>
      <c r="N65" s="10" t="n"/>
      <c r="O65" s="10" t="n"/>
      <c r="P65" s="10" t="n"/>
      <c r="Q65" s="12">
        <f>IF(OR(O65="",P65=""),"",MIN(O65,P65)-N65)</f>
        <v/>
      </c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1">
        <f>IF(G66="","",G66*(1+H66/100))</f>
        <v/>
      </c>
      <c r="J66" s="10" t="n"/>
      <c r="K66" s="10" t="n"/>
      <c r="L66" s="10" t="n"/>
      <c r="M66" s="10" t="n"/>
      <c r="N66" s="10" t="n"/>
      <c r="O66" s="10" t="n"/>
      <c r="P66" s="10" t="n"/>
      <c r="Q66" s="12">
        <f>IF(OR(O66="",P66=""),"",MIN(O66,P66)-N66)</f>
        <v/>
      </c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</row>
    <row r="68">
      <c r="A68" s="13" t="inlineStr">
        <is>
          <t>※ 파란셀=수식 | 노란셀=견적참고 | ★금색=견적서 추출항목 | 소요량·로스율=대표 | 가격=유통 | 견적단가=16개 견적서 중앙값</t>
        </is>
      </c>
    </row>
  </sheetData>
  <autoFilter ref="A4:AB66"/>
  <mergeCells count="9">
    <mergeCell ref="R3:U3"/>
    <mergeCell ref="A2:AB2"/>
    <mergeCell ref="AA3:AB3"/>
    <mergeCell ref="A68:AB68"/>
    <mergeCell ref="J3:Q3"/>
    <mergeCell ref="Y3:Z3"/>
    <mergeCell ref="A1:AB1"/>
    <mergeCell ref="A3:I3"/>
    <mergeCell ref="V3:X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8BB78"/>
    <outlinePr summaryBelow="1" summaryRight="1"/>
    <pageSetUpPr/>
  </sheetPr>
  <dimension ref="A1:AB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도장 자재</t>
        </is>
      </c>
    </row>
    <row r="2">
      <c r="A2" s="2" t="inlineStr">
        <is>
          <t>공정코드: PT | 체크리스트 + 16개 견적서 전체 항목 | ★=견적서 추출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(16개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PT-001</t>
        </is>
      </c>
      <c r="B5" s="6" t="inlineStr">
        <is>
          <t>수성페인트</t>
        </is>
      </c>
      <c r="C5" s="6" t="inlineStr">
        <is>
          <t>KS</t>
        </is>
      </c>
      <c r="D5" s="6" t="inlineStr">
        <is>
          <t>천장·벽체</t>
        </is>
      </c>
      <c r="E5" s="6" t="inlineStr">
        <is>
          <t>필수</t>
        </is>
      </c>
      <c r="F5" s="6" t="inlineStr">
        <is>
          <t>리터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PT-002</t>
        </is>
      </c>
      <c r="B6" s="6" t="inlineStr">
        <is>
          <t>유성페인트</t>
        </is>
      </c>
      <c r="C6" s="6" t="inlineStr">
        <is>
          <t>KS</t>
        </is>
      </c>
      <c r="D6" s="6" t="inlineStr">
        <is>
          <t>목재·금속</t>
        </is>
      </c>
      <c r="E6" s="6" t="inlineStr">
        <is>
          <t>선택</t>
        </is>
      </c>
      <c r="F6" s="6" t="inlineStr">
        <is>
          <t>리터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PT-003</t>
        </is>
      </c>
      <c r="B7" s="6" t="inlineStr">
        <is>
          <t>프라이머</t>
        </is>
      </c>
      <c r="C7" s="6" t="inlineStr">
        <is>
          <t>수성/유성</t>
        </is>
      </c>
      <c r="D7" s="6" t="inlineStr">
        <is>
          <t>초벌</t>
        </is>
      </c>
      <c r="E7" s="6" t="inlineStr">
        <is>
          <t>필수</t>
        </is>
      </c>
      <c r="F7" s="6" t="inlineStr">
        <is>
          <t>리터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PT-004</t>
        </is>
      </c>
      <c r="B8" s="6" t="inlineStr">
        <is>
          <t>퍼티</t>
        </is>
      </c>
      <c r="C8" s="6" t="inlineStr">
        <is>
          <t>수성</t>
        </is>
      </c>
      <c r="D8" s="6" t="inlineStr">
        <is>
          <t>면 고르기</t>
        </is>
      </c>
      <c r="E8" s="6" t="inlineStr">
        <is>
          <t>필수</t>
        </is>
      </c>
      <c r="F8" s="6" t="inlineStr">
        <is>
          <t>kg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PT-005</t>
        </is>
      </c>
      <c r="B9" s="6" t="inlineStr">
        <is>
          <t>사포</t>
        </is>
      </c>
      <c r="C9" s="6" t="inlineStr">
        <is>
          <t>120~400방</t>
        </is>
      </c>
      <c r="D9" s="6" t="inlineStr">
        <is>
          <t>연마</t>
        </is>
      </c>
      <c r="E9" s="6" t="inlineStr">
        <is>
          <t>필수</t>
        </is>
      </c>
      <c r="F9" s="6" t="inlineStr">
        <is>
          <t>장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PT-006</t>
        </is>
      </c>
      <c r="B10" s="6" t="inlineStr">
        <is>
          <t>롤러</t>
        </is>
      </c>
      <c r="C10" s="6" t="inlineStr">
        <is>
          <t>9인치</t>
        </is>
      </c>
      <c r="D10" s="6" t="inlineStr">
        <is>
          <t>넓은 면</t>
        </is>
      </c>
      <c r="E10" s="6" t="inlineStr">
        <is>
          <t>필수</t>
        </is>
      </c>
      <c r="F10" s="6" t="inlineStr">
        <is>
          <t>개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PT-007</t>
        </is>
      </c>
      <c r="B11" s="6" t="inlineStr">
        <is>
          <t>붓</t>
        </is>
      </c>
      <c r="C11" s="6" t="inlineStr">
        <is>
          <t>3인치/4인치</t>
        </is>
      </c>
      <c r="D11" s="6" t="inlineStr">
        <is>
          <t>좁은 면·보수</t>
        </is>
      </c>
      <c r="E11" s="6" t="inlineStr">
        <is>
          <t>필수</t>
        </is>
      </c>
      <c r="F11" s="6" t="inlineStr">
        <is>
          <t>개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PT-008</t>
        </is>
      </c>
      <c r="B12" s="6" t="inlineStr">
        <is>
          <t>마스킹테이프</t>
        </is>
      </c>
      <c r="C12" s="6" t="inlineStr">
        <is>
          <t>—</t>
        </is>
      </c>
      <c r="D12" s="6" t="inlineStr">
        <is>
          <t>비도장부 보호</t>
        </is>
      </c>
      <c r="E12" s="6" t="inlineStr">
        <is>
          <t>필수</t>
        </is>
      </c>
      <c r="F12" s="6" t="inlineStr">
        <is>
          <t>롤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PT-009</t>
        </is>
      </c>
      <c r="B13" s="6" t="inlineStr">
        <is>
          <t>비닐 보양재</t>
        </is>
      </c>
      <c r="C13" s="6" t="inlineStr">
        <is>
          <t>PE</t>
        </is>
      </c>
      <c r="D13" s="6" t="inlineStr">
        <is>
          <t>바닥 보호</t>
        </is>
      </c>
      <c r="E13" s="6" t="inlineStr">
        <is>
          <t>필수</t>
        </is>
      </c>
      <c r="F13" s="6" t="inlineStr">
        <is>
          <t>롤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PT-010</t>
        </is>
      </c>
      <c r="B14" s="6" t="inlineStr">
        <is>
          <t>조색제</t>
        </is>
      </c>
      <c r="C14" s="6" t="inlineStr">
        <is>
          <t>유니버설</t>
        </is>
      </c>
      <c r="D14" s="6" t="inlineStr">
        <is>
          <t>색상 배합</t>
        </is>
      </c>
      <c r="E14" s="6" t="inlineStr">
        <is>
          <t>선택</t>
        </is>
      </c>
      <c r="F14" s="6" t="inlineStr">
        <is>
          <t>병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PT-011</t>
        </is>
      </c>
      <c r="B15" s="6" t="inlineStr">
        <is>
          <t>방수페인트</t>
        </is>
      </c>
      <c r="C15" s="6" t="inlineStr">
        <is>
          <t>욕실용</t>
        </is>
      </c>
      <c r="D15" s="6" t="inlineStr">
        <is>
          <t>방수면 도장</t>
        </is>
      </c>
      <c r="E15" s="6" t="inlineStr">
        <is>
          <t>선택</t>
        </is>
      </c>
      <c r="F15" s="6" t="inlineStr">
        <is>
          <t>리터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PT-012</t>
        </is>
      </c>
      <c r="B16" s="6" t="inlineStr">
        <is>
          <t>곰팡이방지 페인트</t>
        </is>
      </c>
      <c r="C16" s="6" t="inlineStr">
        <is>
          <t>—</t>
        </is>
      </c>
      <c r="D16" s="6" t="inlineStr">
        <is>
          <t>욕실·다용도</t>
        </is>
      </c>
      <c r="E16" s="6" t="inlineStr">
        <is>
          <t>선택</t>
        </is>
      </c>
      <c r="F16" s="6" t="inlineStr">
        <is>
          <t>리터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PT-013</t>
        </is>
      </c>
      <c r="B17" s="6" t="inlineStr">
        <is>
          <t>우드스테인</t>
        </is>
      </c>
      <c r="C17" s="6" t="inlineStr">
        <is>
          <t>수성/유성</t>
        </is>
      </c>
      <c r="D17" s="6" t="inlineStr">
        <is>
          <t>목재 마감</t>
        </is>
      </c>
      <c r="E17" s="6" t="inlineStr">
        <is>
          <t>선택</t>
        </is>
      </c>
      <c r="F17" s="6" t="inlineStr">
        <is>
          <t>리터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PT-014</t>
        </is>
      </c>
      <c r="B18" s="6" t="inlineStr">
        <is>
          <t>에폭시 코팅</t>
        </is>
      </c>
      <c r="C18" s="6" t="inlineStr">
        <is>
          <t>—</t>
        </is>
      </c>
      <c r="D18" s="6" t="inlineStr">
        <is>
          <t>바닥 특수</t>
        </is>
      </c>
      <c r="E18" s="6" t="inlineStr">
        <is>
          <t>선택</t>
        </is>
      </c>
      <c r="F18" s="6" t="inlineStr">
        <is>
          <t>세트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PT-015</t>
        </is>
      </c>
      <c r="B19" s="6" t="inlineStr">
        <is>
          <t>무늬코트</t>
        </is>
      </c>
      <c r="C19" s="6" t="inlineStr">
        <is>
          <t>질석</t>
        </is>
      </c>
      <c r="D19" s="6" t="inlineStr">
        <is>
          <t>천장 텍스처</t>
        </is>
      </c>
      <c r="E19" s="6" t="inlineStr">
        <is>
          <t>선택</t>
        </is>
      </c>
      <c r="F19" s="6" t="inlineStr">
        <is>
          <t>포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6" t="inlineStr">
        <is>
          <t>PT-016</t>
        </is>
      </c>
      <c r="B20" s="6" t="inlineStr">
        <is>
          <t>천장보수재</t>
        </is>
      </c>
      <c r="C20" s="6" t="inlineStr">
        <is>
          <t>—</t>
        </is>
      </c>
      <c r="D20" s="6" t="inlineStr">
        <is>
          <t>석고보드 이음</t>
        </is>
      </c>
      <c r="E20" s="6" t="inlineStr">
        <is>
          <t>필수</t>
        </is>
      </c>
      <c r="F20" s="6" t="inlineStr">
        <is>
          <t>통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8" t="n"/>
      <c r="AB20" s="8" t="n"/>
    </row>
    <row r="21">
      <c r="A21" s="6" t="inlineStr">
        <is>
          <t>PT-017</t>
        </is>
      </c>
      <c r="B21" s="6" t="inlineStr">
        <is>
          <t>실리콘</t>
        </is>
      </c>
      <c r="C21" s="6" t="inlineStr">
        <is>
          <t>조색실리콘</t>
        </is>
      </c>
      <c r="D21" s="6" t="inlineStr">
        <is>
          <t>코킹 마감</t>
        </is>
      </c>
      <c r="E21" s="6" t="inlineStr">
        <is>
          <t>필수</t>
        </is>
      </c>
      <c r="F21" s="6" t="inlineStr">
        <is>
          <t>개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  <c r="AA21" s="8" t="n"/>
      <c r="AB21" s="8" t="n"/>
    </row>
    <row r="22">
      <c r="A22" s="9" t="inlineStr">
        <is>
          <t>PT-01E</t>
        </is>
      </c>
      <c r="B22" s="9" t="inlineStr">
        <is>
          <t>도어 도장</t>
        </is>
      </c>
      <c r="C22" s="6" t="inlineStr">
        <is>
          <t>슈퍼화인&amp;안단테</t>
        </is>
      </c>
      <c r="D22" s="6" t="inlineStr">
        <is>
          <t>공용부</t>
        </is>
      </c>
      <c r="E22" s="6" t="inlineStr">
        <is>
          <t>필수</t>
        </is>
      </c>
      <c r="F22" s="6" t="inlineStr">
        <is>
          <t>M2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>
        <is>
          <t>1현장: 만현</t>
        </is>
      </c>
      <c r="AA22" s="8" t="n">
        <v>10000</v>
      </c>
      <c r="AB22" s="8" t="n">
        <v>53000</v>
      </c>
    </row>
    <row r="23">
      <c r="A23" s="9" t="inlineStr">
        <is>
          <t>PT-02E</t>
        </is>
      </c>
      <c r="B23" s="9" t="inlineStr">
        <is>
          <t>도어 발레나마감</t>
        </is>
      </c>
      <c r="C23" s="6" t="inlineStr">
        <is>
          <t>발레나 / 올퍼티</t>
        </is>
      </c>
      <c r="D23" s="6" t="inlineStr">
        <is>
          <t>가구도어</t>
        </is>
      </c>
      <c r="E23" s="6" t="inlineStr">
        <is>
          <t>필수</t>
        </is>
      </c>
      <c r="F23" s="6" t="inlineStr">
        <is>
          <t>인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>
        <is>
          <t>1현장: 이선</t>
        </is>
      </c>
      <c r="AA23" s="8" t="n">
        <v>150000</v>
      </c>
      <c r="AB23" s="8" t="n">
        <v>280000</v>
      </c>
    </row>
    <row r="24">
      <c r="A24" s="9" t="inlineStr">
        <is>
          <t>PT-03E</t>
        </is>
      </c>
      <c r="B24" s="9" t="inlineStr">
        <is>
          <t>도장</t>
        </is>
      </c>
      <c r="C24" s="6" t="inlineStr">
        <is>
          <t>친환경 수성 페인트</t>
        </is>
      </c>
      <c r="D24" s="6" t="inlineStr">
        <is>
          <t>세탁실 및 발코니</t>
        </is>
      </c>
      <c r="E24" s="6" t="inlineStr">
        <is>
          <t>필수</t>
        </is>
      </c>
      <c r="F24" s="6" t="inlineStr">
        <is>
          <t>식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>
        <is>
          <t>1현장: 산본</t>
        </is>
      </c>
      <c r="AA24" s="8" t="n">
        <v>200000</v>
      </c>
      <c r="AB24" s="8" t="n">
        <v>350000</v>
      </c>
    </row>
    <row r="25">
      <c r="A25" s="9" t="inlineStr">
        <is>
          <t>PT-04E</t>
        </is>
      </c>
      <c r="B25" s="9" t="inlineStr">
        <is>
          <t>마감코킹</t>
        </is>
      </c>
      <c r="C25" s="6" t="inlineStr">
        <is>
          <t>아덱스 실리콘</t>
        </is>
      </c>
      <c r="D25" s="6" t="inlineStr">
        <is>
          <t>전체</t>
        </is>
      </c>
      <c r="E25" s="6" t="inlineStr">
        <is>
          <t>필수</t>
        </is>
      </c>
      <c r="F25" s="6" t="inlineStr">
        <is>
          <t>식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>
        <is>
          <t>8현장: 금호,린스,만현,백현,산본</t>
        </is>
      </c>
      <c r="AA25" s="8" t="n">
        <v>200000</v>
      </c>
      <c r="AB25" s="8" t="n">
        <v>350000</v>
      </c>
    </row>
    <row r="26">
      <c r="A26" s="9" t="inlineStr">
        <is>
          <t>PT-05E</t>
        </is>
      </c>
      <c r="B26" s="9" t="inlineStr">
        <is>
          <t>마이크로 시멘트</t>
        </is>
      </c>
      <c r="C26" s="6" t="inlineStr">
        <is>
          <t>코팅 포함</t>
        </is>
      </c>
      <c r="D26" s="6" t="inlineStr">
        <is>
          <t>바 룸</t>
        </is>
      </c>
      <c r="E26" s="6" t="inlineStr">
        <is>
          <t>필수</t>
        </is>
      </c>
      <c r="F26" s="6" t="inlineStr">
        <is>
          <t>M2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>
        <is>
          <t>5현장: 금호,만현,이선,전기영,행당동</t>
        </is>
      </c>
      <c r="AA26" s="8" t="n">
        <v>40000</v>
      </c>
      <c r="AB26" s="8" t="n">
        <v>30000</v>
      </c>
    </row>
    <row r="27">
      <c r="A27" s="9" t="inlineStr">
        <is>
          <t>PT-06E</t>
        </is>
      </c>
      <c r="B27" s="9" t="inlineStr">
        <is>
          <t>벽체 도장</t>
        </is>
      </c>
      <c r="C27" s="6" t="inlineStr">
        <is>
          <t>슈퍼화인&amp;안단테</t>
        </is>
      </c>
      <c r="D27" s="6" t="inlineStr">
        <is>
          <t>공용부</t>
        </is>
      </c>
      <c r="E27" s="6" t="inlineStr">
        <is>
          <t>필수</t>
        </is>
      </c>
      <c r="F27" s="6" t="inlineStr">
        <is>
          <t>M2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>
        <is>
          <t>1현장: 만현</t>
        </is>
      </c>
      <c r="AA27" s="8" t="n">
        <v>10000</v>
      </c>
      <c r="AB27" s="8" t="n">
        <v>53000</v>
      </c>
    </row>
    <row r="28">
      <c r="A28" s="9" t="inlineStr">
        <is>
          <t>PT-07E</t>
        </is>
      </c>
      <c r="B28" s="9" t="inlineStr">
        <is>
          <t>스텐 벽걸이 행거 분채 도장</t>
        </is>
      </c>
      <c r="C28" s="6" t="inlineStr">
        <is>
          <t>지정 색상</t>
        </is>
      </c>
      <c r="D28" s="6" t="inlineStr"/>
      <c r="E28" s="6" t="inlineStr">
        <is>
          <t>필수</t>
        </is>
      </c>
      <c r="F28" s="6" t="inlineStr">
        <is>
          <t>식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>
        <is>
          <t>4현장: 금호,이선,전기영,행당동</t>
        </is>
      </c>
      <c r="AA28" s="8" t="n">
        <v>300000</v>
      </c>
      <c r="AB28" s="8" t="n"/>
    </row>
    <row r="29">
      <c r="A29" s="9" t="inlineStr">
        <is>
          <t>PT-08E</t>
        </is>
      </c>
      <c r="B29" s="9" t="inlineStr">
        <is>
          <t>천장 도장</t>
        </is>
      </c>
      <c r="C29" s="6" t="inlineStr">
        <is>
          <t>슈퍼화인&amp;안단테</t>
        </is>
      </c>
      <c r="D29" s="6" t="inlineStr">
        <is>
          <t>공용부</t>
        </is>
      </c>
      <c r="E29" s="6" t="inlineStr">
        <is>
          <t>필수</t>
        </is>
      </c>
      <c r="F29" s="6" t="inlineStr">
        <is>
          <t>M2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>
        <is>
          <t>1현장: 만현</t>
        </is>
      </c>
      <c r="AA29" s="8" t="n">
        <v>10000</v>
      </c>
      <c r="AB29" s="8" t="n">
        <v>53000</v>
      </c>
    </row>
    <row r="30">
      <c r="A30" s="9" t="inlineStr">
        <is>
          <t>PT-09E</t>
        </is>
      </c>
      <c r="B30" s="9" t="inlineStr">
        <is>
          <t>탄성 코트</t>
        </is>
      </c>
      <c r="C30" s="6" t="inlineStr">
        <is>
          <t>세라믹 코트</t>
        </is>
      </c>
      <c r="D30" s="6" t="inlineStr">
        <is>
          <t>방1 발코니</t>
        </is>
      </c>
      <c r="E30" s="6" t="inlineStr">
        <is>
          <t>필수</t>
        </is>
      </c>
      <c r="F30" s="6" t="inlineStr">
        <is>
          <t>EA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>
        <is>
          <t>13현장: 금호,김성용,김은경,린스,만현</t>
        </is>
      </c>
      <c r="AA30" s="8" t="n">
        <v>250000</v>
      </c>
      <c r="AB30" s="8" t="n">
        <v>150000</v>
      </c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1">
        <f>IF(G31="","",G31*(1+H31/100))</f>
        <v/>
      </c>
      <c r="J31" s="10" t="n"/>
      <c r="K31" s="10" t="n"/>
      <c r="L31" s="10" t="n"/>
      <c r="M31" s="10" t="n"/>
      <c r="N31" s="10" t="n"/>
      <c r="O31" s="10" t="n"/>
      <c r="P31" s="10" t="n"/>
      <c r="Q31" s="12">
        <f>IF(OR(O31="",P31=""),"",MIN(O31,P31)-N31)</f>
        <v/>
      </c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1">
        <f>IF(G32="","",G32*(1+H32/100))</f>
        <v/>
      </c>
      <c r="J32" s="10" t="n"/>
      <c r="K32" s="10" t="n"/>
      <c r="L32" s="10" t="n"/>
      <c r="M32" s="10" t="n"/>
      <c r="N32" s="10" t="n"/>
      <c r="O32" s="10" t="n"/>
      <c r="P32" s="10" t="n"/>
      <c r="Q32" s="12">
        <f>IF(OR(O32="",P32=""),"",MIN(O32,P32)-N32)</f>
        <v/>
      </c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1">
        <f>IF(G33="","",G33*(1+H33/100))</f>
        <v/>
      </c>
      <c r="J33" s="10" t="n"/>
      <c r="K33" s="10" t="n"/>
      <c r="L33" s="10" t="n"/>
      <c r="M33" s="10" t="n"/>
      <c r="N33" s="10" t="n"/>
      <c r="O33" s="10" t="n"/>
      <c r="P33" s="10" t="n"/>
      <c r="Q33" s="12">
        <f>IF(OR(O33="",P33=""),"",MIN(O33,P33)-N33)</f>
        <v/>
      </c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1">
        <f>IF(G34="","",G34*(1+H34/100))</f>
        <v/>
      </c>
      <c r="J34" s="10" t="n"/>
      <c r="K34" s="10" t="n"/>
      <c r="L34" s="10" t="n"/>
      <c r="M34" s="10" t="n"/>
      <c r="N34" s="10" t="n"/>
      <c r="O34" s="10" t="n"/>
      <c r="P34" s="10" t="n"/>
      <c r="Q34" s="12">
        <f>IF(OR(O34="",P34=""),"",MIN(O34,P34)-N34)</f>
        <v/>
      </c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1">
        <f>IF(G35="","",G35*(1+H35/100))</f>
        <v/>
      </c>
      <c r="J35" s="10" t="n"/>
      <c r="K35" s="10" t="n"/>
      <c r="L35" s="10" t="n"/>
      <c r="M35" s="10" t="n"/>
      <c r="N35" s="10" t="n"/>
      <c r="O35" s="10" t="n"/>
      <c r="P35" s="10" t="n"/>
      <c r="Q35" s="12">
        <f>IF(OR(O35="",P35=""),"",MIN(O35,P35)-N35)</f>
        <v/>
      </c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1">
        <f>IF(G36="","",G36*(1+H36/100))</f>
        <v/>
      </c>
      <c r="J36" s="10" t="n"/>
      <c r="K36" s="10" t="n"/>
      <c r="L36" s="10" t="n"/>
      <c r="M36" s="10" t="n"/>
      <c r="N36" s="10" t="n"/>
      <c r="O36" s="10" t="n"/>
      <c r="P36" s="10" t="n"/>
      <c r="Q36" s="12">
        <f>IF(OR(O36="",P36=""),"",MIN(O36,P36)-N36)</f>
        <v/>
      </c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1">
        <f>IF(G37="","",G37*(1+H37/100))</f>
        <v/>
      </c>
      <c r="J37" s="10" t="n"/>
      <c r="K37" s="10" t="n"/>
      <c r="L37" s="10" t="n"/>
      <c r="M37" s="10" t="n"/>
      <c r="N37" s="10" t="n"/>
      <c r="O37" s="10" t="n"/>
      <c r="P37" s="10" t="n"/>
      <c r="Q37" s="12">
        <f>IF(OR(O37="",P37=""),"",MIN(O37,P37)-N37)</f>
        <v/>
      </c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1">
        <f>IF(G38="","",G38*(1+H38/100))</f>
        <v/>
      </c>
      <c r="J38" s="10" t="n"/>
      <c r="K38" s="10" t="n"/>
      <c r="L38" s="10" t="n"/>
      <c r="M38" s="10" t="n"/>
      <c r="N38" s="10" t="n"/>
      <c r="O38" s="10" t="n"/>
      <c r="P38" s="10" t="n"/>
      <c r="Q38" s="12">
        <f>IF(OR(O38="",P38=""),"",MIN(O38,P38)-N38)</f>
        <v/>
      </c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1">
        <f>IF(G39="","",G39*(1+H39/100))</f>
        <v/>
      </c>
      <c r="J39" s="10" t="n"/>
      <c r="K39" s="10" t="n"/>
      <c r="L39" s="10" t="n"/>
      <c r="M39" s="10" t="n"/>
      <c r="N39" s="10" t="n"/>
      <c r="O39" s="10" t="n"/>
      <c r="P39" s="10" t="n"/>
      <c r="Q39" s="12">
        <f>IF(OR(O39="",P39=""),"",MIN(O39,P39)-N39)</f>
        <v/>
      </c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1">
        <f>IF(G40="","",G40*(1+H40/100))</f>
        <v/>
      </c>
      <c r="J40" s="10" t="n"/>
      <c r="K40" s="10" t="n"/>
      <c r="L40" s="10" t="n"/>
      <c r="M40" s="10" t="n"/>
      <c r="N40" s="10" t="n"/>
      <c r="O40" s="10" t="n"/>
      <c r="P40" s="10" t="n"/>
      <c r="Q40" s="12">
        <f>IF(OR(O40="",P40=""),"",MIN(O40,P40)-N40)</f>
        <v/>
      </c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</row>
    <row r="42">
      <c r="A42" s="13" t="inlineStr">
        <is>
          <t>※ 파란셀=수식 | 노란셀=견적참고 | ★금색=견적서 추출항목 | 소요량·로스율=대표 | 가격=유통 | 견적단가=16개 견적서 중앙값</t>
        </is>
      </c>
    </row>
  </sheetData>
  <autoFilter ref="A4:AB40"/>
  <mergeCells count="9">
    <mergeCell ref="R3:U3"/>
    <mergeCell ref="A2:AB2"/>
    <mergeCell ref="AA3:AB3"/>
    <mergeCell ref="J3:Q3"/>
    <mergeCell ref="Y3:Z3"/>
    <mergeCell ref="A42:AB42"/>
    <mergeCell ref="A1:AB1"/>
    <mergeCell ref="A3:I3"/>
    <mergeCell ref="V3:X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F7AEA"/>
    <outlinePr summaryBelow="1" summaryRight="1"/>
    <pageSetUpPr/>
  </sheetPr>
  <dimension ref="A1:AB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마루/바닥 자재</t>
        </is>
      </c>
    </row>
    <row r="2">
      <c r="A2" s="2" t="inlineStr">
        <is>
          <t>공정코드: FL | 체크리스트 + 16개 견적서 전체 항목 | ★=견적서 추출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(16개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FL-001</t>
        </is>
      </c>
      <c r="B5" s="6" t="inlineStr">
        <is>
          <t>강마루</t>
        </is>
      </c>
      <c r="C5" s="6" t="inlineStr">
        <is>
          <t>12T</t>
        </is>
      </c>
      <c r="D5" s="6" t="inlineStr">
        <is>
          <t>거실·방</t>
        </is>
      </c>
      <c r="E5" s="6" t="inlineStr">
        <is>
          <t>필수</t>
        </is>
      </c>
      <c r="F5" s="6" t="inlineStr">
        <is>
          <t>PY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FL-002</t>
        </is>
      </c>
      <c r="B6" s="6" t="inlineStr">
        <is>
          <t>강화마루</t>
        </is>
      </c>
      <c r="C6" s="6" t="inlineStr">
        <is>
          <t>8T</t>
        </is>
      </c>
      <c r="D6" s="6" t="inlineStr">
        <is>
          <t>경제형</t>
        </is>
      </c>
      <c r="E6" s="6" t="inlineStr">
        <is>
          <t>선택</t>
        </is>
      </c>
      <c r="F6" s="6" t="inlineStr">
        <is>
          <t>PY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FL-003</t>
        </is>
      </c>
      <c r="B7" s="6" t="inlineStr">
        <is>
          <t>원목마루</t>
        </is>
      </c>
      <c r="C7" s="6" t="inlineStr">
        <is>
          <t>15T</t>
        </is>
      </c>
      <c r="D7" s="6" t="inlineStr">
        <is>
          <t>프리미엄</t>
        </is>
      </c>
      <c r="E7" s="6" t="inlineStr">
        <is>
          <t>선택</t>
        </is>
      </c>
      <c r="F7" s="6" t="inlineStr">
        <is>
          <t>PY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FL-004</t>
        </is>
      </c>
      <c r="B8" s="6" t="inlineStr">
        <is>
          <t>비닐타일(LVT)</t>
        </is>
      </c>
      <c r="C8" s="6" t="inlineStr">
        <is>
          <t>3T</t>
        </is>
      </c>
      <c r="D8" s="6" t="inlineStr">
        <is>
          <t>실용형</t>
        </is>
      </c>
      <c r="E8" s="6" t="inlineStr">
        <is>
          <t>선택</t>
        </is>
      </c>
      <c r="F8" s="6" t="inlineStr">
        <is>
          <t>M2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FL-005</t>
        </is>
      </c>
      <c r="B9" s="6" t="inlineStr">
        <is>
          <t>방음매트</t>
        </is>
      </c>
      <c r="C9" s="6" t="inlineStr">
        <is>
          <t>EPE 2mm</t>
        </is>
      </c>
      <c r="D9" s="6" t="inlineStr">
        <is>
          <t>층간 소음</t>
        </is>
      </c>
      <c r="E9" s="6" t="inlineStr">
        <is>
          <t>필수</t>
        </is>
      </c>
      <c r="F9" s="6" t="inlineStr">
        <is>
          <t>롤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FL-006</t>
        </is>
      </c>
      <c r="B10" s="6" t="inlineStr">
        <is>
          <t>PE 필름</t>
        </is>
      </c>
      <c r="C10" s="6" t="inlineStr">
        <is>
          <t>0.1T</t>
        </is>
      </c>
      <c r="D10" s="6" t="inlineStr">
        <is>
          <t>습기 차단</t>
        </is>
      </c>
      <c r="E10" s="6" t="inlineStr">
        <is>
          <t>필수</t>
        </is>
      </c>
      <c r="F10" s="6" t="inlineStr">
        <is>
          <t>롤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FL-007</t>
        </is>
      </c>
      <c r="B11" s="6" t="inlineStr">
        <is>
          <t>T-몰딩</t>
        </is>
      </c>
      <c r="C11" s="6" t="inlineStr">
        <is>
          <t>알루미늄</t>
        </is>
      </c>
      <c r="D11" s="6" t="inlineStr">
        <is>
          <t>마감 경계</t>
        </is>
      </c>
      <c r="E11" s="6" t="inlineStr">
        <is>
          <t>필수</t>
        </is>
      </c>
      <c r="F11" s="6" t="inlineStr">
        <is>
          <t>M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FL-008</t>
        </is>
      </c>
      <c r="B12" s="6" t="inlineStr">
        <is>
          <t>걸레받이</t>
        </is>
      </c>
      <c r="C12" s="6" t="inlineStr">
        <is>
          <t>PVC/MDF</t>
        </is>
      </c>
      <c r="D12" s="6" t="inlineStr">
        <is>
          <t>벽·바닥 경계</t>
        </is>
      </c>
      <c r="E12" s="6" t="inlineStr">
        <is>
          <t>필수</t>
        </is>
      </c>
      <c r="F12" s="6" t="inlineStr">
        <is>
          <t>M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FL-009</t>
        </is>
      </c>
      <c r="B13" s="6" t="inlineStr">
        <is>
          <t>접착제</t>
        </is>
      </c>
      <c r="C13" s="6" t="inlineStr">
        <is>
          <t>마루용</t>
        </is>
      </c>
      <c r="D13" s="6" t="inlineStr">
        <is>
          <t>시공 접착</t>
        </is>
      </c>
      <c r="E13" s="6" t="inlineStr">
        <is>
          <t>선택</t>
        </is>
      </c>
      <c r="F13" s="6" t="inlineStr">
        <is>
          <t>통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FL-010</t>
        </is>
      </c>
      <c r="B14" s="6" t="inlineStr">
        <is>
          <t>본드</t>
        </is>
      </c>
      <c r="C14" s="6" t="inlineStr">
        <is>
          <t>SBR</t>
        </is>
      </c>
      <c r="D14" s="6" t="inlineStr">
        <is>
          <t>하지 접착</t>
        </is>
      </c>
      <c r="E14" s="6" t="inlineStr">
        <is>
          <t>선택</t>
        </is>
      </c>
      <c r="F14" s="6" t="inlineStr">
        <is>
          <t>통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FL-011</t>
        </is>
      </c>
      <c r="B15" s="6" t="inlineStr">
        <is>
          <t>장판</t>
        </is>
      </c>
      <c r="C15" s="6" t="inlineStr">
        <is>
          <t>PVC</t>
        </is>
      </c>
      <c r="D15" s="6" t="inlineStr">
        <is>
          <t>방 바닥</t>
        </is>
      </c>
      <c r="E15" s="6" t="inlineStr">
        <is>
          <t>선택</t>
        </is>
      </c>
      <c r="F15" s="6" t="inlineStr">
        <is>
          <t>M2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FL-012</t>
        </is>
      </c>
      <c r="B16" s="6" t="inlineStr">
        <is>
          <t>데코타일</t>
        </is>
      </c>
      <c r="C16" s="6" t="inlineStr">
        <is>
          <t>LVT</t>
        </is>
      </c>
      <c r="D16" s="6" t="inlineStr">
        <is>
          <t>방·거실</t>
        </is>
      </c>
      <c r="E16" s="6" t="inlineStr">
        <is>
          <t>선택</t>
        </is>
      </c>
      <c r="F16" s="6" t="inlineStr">
        <is>
          <t>M2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FL-013</t>
        </is>
      </c>
      <c r="B17" s="6" t="inlineStr">
        <is>
          <t>디딤돌(논슬립)</t>
        </is>
      </c>
      <c r="C17" s="6" t="inlineStr">
        <is>
          <t>—</t>
        </is>
      </c>
      <c r="D17" s="6" t="inlineStr">
        <is>
          <t>계단</t>
        </is>
      </c>
      <c r="E17" s="6" t="inlineStr">
        <is>
          <t>선택</t>
        </is>
      </c>
      <c r="F17" s="6" t="inlineStr">
        <is>
          <t>M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9" t="inlineStr">
        <is>
          <t>FL-01E</t>
        </is>
      </c>
      <c r="B18" s="9" t="inlineStr">
        <is>
          <t>에디톤 플로어</t>
        </is>
      </c>
      <c r="C18" s="6" t="inlineStr">
        <is>
          <t>—</t>
        </is>
      </c>
      <c r="D18" s="6" t="inlineStr"/>
      <c r="E18" s="6" t="inlineStr">
        <is>
          <t>필수</t>
        </is>
      </c>
      <c r="F18" s="6" t="inlineStr">
        <is>
          <t>PY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>
        <is>
          <t>6현장: 금호,김성용,김은경,이선,전기영</t>
        </is>
      </c>
      <c r="AA18" s="8" t="n">
        <v>120000</v>
      </c>
      <c r="AB18" s="8" t="n">
        <v>25000</v>
      </c>
    </row>
    <row r="19">
      <c r="A19" s="9" t="inlineStr">
        <is>
          <t>FL-02E</t>
        </is>
      </c>
      <c r="B19" s="9" t="inlineStr">
        <is>
          <t>인쇼마루</t>
        </is>
      </c>
      <c r="C19" s="6" t="inlineStr">
        <is>
          <t>—</t>
        </is>
      </c>
      <c r="D19" s="6" t="inlineStr"/>
      <c r="E19" s="6" t="inlineStr">
        <is>
          <t>필수</t>
        </is>
      </c>
      <c r="F19" s="6" t="inlineStr">
        <is>
          <t>PY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>
        <is>
          <t>6현장: 금호,김성용,김은경,이선,전기영</t>
        </is>
      </c>
      <c r="AA19" s="8" t="n">
        <v>83000</v>
      </c>
      <c r="AB19" s="8" t="n">
        <v>25000</v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>
        <f>IF(G20="","",G20*(1+H20/100))</f>
        <v/>
      </c>
      <c r="J20" s="10" t="n"/>
      <c r="K20" s="10" t="n"/>
      <c r="L20" s="10" t="n"/>
      <c r="M20" s="10" t="n"/>
      <c r="N20" s="10" t="n"/>
      <c r="O20" s="10" t="n"/>
      <c r="P20" s="10" t="n"/>
      <c r="Q20" s="12">
        <f>IF(OR(O20="",P20=""),"",MIN(O20,P20)-N20)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>
        <f>IF(G21="","",G21*(1+H21/100))</f>
        <v/>
      </c>
      <c r="J21" s="10" t="n"/>
      <c r="K21" s="10" t="n"/>
      <c r="L21" s="10" t="n"/>
      <c r="M21" s="10" t="n"/>
      <c r="N21" s="10" t="n"/>
      <c r="O21" s="10" t="n"/>
      <c r="P21" s="10" t="n"/>
      <c r="Q21" s="12">
        <f>IF(OR(O21="",P21=""),"",MIN(O21,P21)-N21)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>
        <f>IF(G22="","",G22*(1+H22/100))</f>
        <v/>
      </c>
      <c r="J22" s="10" t="n"/>
      <c r="K22" s="10" t="n"/>
      <c r="L22" s="10" t="n"/>
      <c r="M22" s="10" t="n"/>
      <c r="N22" s="10" t="n"/>
      <c r="O22" s="10" t="n"/>
      <c r="P22" s="10" t="n"/>
      <c r="Q22" s="12">
        <f>IF(OR(O22="",P22=""),"",MIN(O22,P22)-N22)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>
        <f>IF(G23="","",G23*(1+H23/100))</f>
        <v/>
      </c>
      <c r="J23" s="10" t="n"/>
      <c r="K23" s="10" t="n"/>
      <c r="L23" s="10" t="n"/>
      <c r="M23" s="10" t="n"/>
      <c r="N23" s="10" t="n"/>
      <c r="O23" s="10" t="n"/>
      <c r="P23" s="10" t="n"/>
      <c r="Q23" s="12">
        <f>IF(OR(O23="",P23=""),"",MIN(O23,P23)-N23)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>
        <f>IF(G24="","",G24*(1+H24/100))</f>
        <v/>
      </c>
      <c r="J24" s="10" t="n"/>
      <c r="K24" s="10" t="n"/>
      <c r="L24" s="10" t="n"/>
      <c r="M24" s="10" t="n"/>
      <c r="N24" s="10" t="n"/>
      <c r="O24" s="10" t="n"/>
      <c r="P24" s="10" t="n"/>
      <c r="Q24" s="12">
        <f>IF(OR(O24="",P24=""),"",MIN(O24,P24)-N24)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1">
        <f>IF(G28="","",G28*(1+H28/100))</f>
        <v/>
      </c>
      <c r="J28" s="10" t="n"/>
      <c r="K28" s="10" t="n"/>
      <c r="L28" s="10" t="n"/>
      <c r="M28" s="10" t="n"/>
      <c r="N28" s="10" t="n"/>
      <c r="O28" s="10" t="n"/>
      <c r="P28" s="10" t="n"/>
      <c r="Q28" s="12">
        <f>IF(OR(O28="",P28=""),"",MIN(O28,P28)-N28)</f>
        <v/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1">
        <f>IF(G29="","",G29*(1+H29/100))</f>
        <v/>
      </c>
      <c r="J29" s="10" t="n"/>
      <c r="K29" s="10" t="n"/>
      <c r="L29" s="10" t="n"/>
      <c r="M29" s="10" t="n"/>
      <c r="N29" s="10" t="n"/>
      <c r="O29" s="10" t="n"/>
      <c r="P29" s="10" t="n"/>
      <c r="Q29" s="12">
        <f>IF(OR(O29="",P29=""),"",MIN(O29,P29)-N29)</f>
        <v/>
      </c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1">
      <c r="A31" s="13" t="inlineStr">
        <is>
          <t>※ 파란셀=수식 | 노란셀=견적참고 | ★금색=견적서 추출항목 | 소요량·로스율=대표 | 가격=유통 | 견적단가=16개 견적서 중앙값</t>
        </is>
      </c>
    </row>
  </sheetData>
  <autoFilter ref="A4:AB29"/>
  <mergeCells count="9">
    <mergeCell ref="R3:U3"/>
    <mergeCell ref="A2:AB2"/>
    <mergeCell ref="AA3:AB3"/>
    <mergeCell ref="J3:Q3"/>
    <mergeCell ref="Y3:Z3"/>
    <mergeCell ref="A1:AB1"/>
    <mergeCell ref="A3:I3"/>
    <mergeCell ref="V3:X3"/>
    <mergeCell ref="A31:AB3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3E3E"/>
    <outlinePr summaryBelow="1" summaryRight="1"/>
    <pageSetUpPr/>
  </sheetPr>
  <dimension ref="A1:AB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도배 자재</t>
        </is>
      </c>
    </row>
    <row r="2">
      <c r="A2" s="2" t="inlineStr">
        <is>
          <t>공정코드: WL | 체크리스트 + 16개 견적서 전체 항목 | ★=견적서 추출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(16개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WL-001</t>
        </is>
      </c>
      <c r="B5" s="6" t="inlineStr">
        <is>
          <t>실크 벽지</t>
        </is>
      </c>
      <c r="C5" s="6" t="inlineStr">
        <is>
          <t>합지</t>
        </is>
      </c>
      <c r="D5" s="6" t="inlineStr">
        <is>
          <t>벽체</t>
        </is>
      </c>
      <c r="E5" s="6" t="inlineStr">
        <is>
          <t>필수</t>
        </is>
      </c>
      <c r="F5" s="6" t="inlineStr">
        <is>
          <t>롤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WL-002</t>
        </is>
      </c>
      <c r="B6" s="6" t="inlineStr">
        <is>
          <t>실크 벽지</t>
        </is>
      </c>
      <c r="C6" s="6" t="inlineStr">
        <is>
          <t>방염</t>
        </is>
      </c>
      <c r="D6" s="6" t="inlineStr">
        <is>
          <t>천장</t>
        </is>
      </c>
      <c r="E6" s="6" t="inlineStr">
        <is>
          <t>필수</t>
        </is>
      </c>
      <c r="F6" s="6" t="inlineStr">
        <is>
          <t>롤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WL-003</t>
        </is>
      </c>
      <c r="B7" s="6" t="inlineStr">
        <is>
          <t>풀</t>
        </is>
      </c>
      <c r="C7" s="6" t="inlineStr">
        <is>
          <t>전분풀</t>
        </is>
      </c>
      <c r="D7" s="6" t="inlineStr">
        <is>
          <t>벽지 접착</t>
        </is>
      </c>
      <c r="E7" s="6" t="inlineStr">
        <is>
          <t>필수</t>
        </is>
      </c>
      <c r="F7" s="6" t="inlineStr">
        <is>
          <t>kg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WL-004</t>
        </is>
      </c>
      <c r="B8" s="6" t="inlineStr">
        <is>
          <t>초배지</t>
        </is>
      </c>
      <c r="C8" s="6" t="inlineStr">
        <is>
          <t>—</t>
        </is>
      </c>
      <c r="D8" s="6" t="inlineStr">
        <is>
          <t>하지</t>
        </is>
      </c>
      <c r="E8" s="6" t="inlineStr">
        <is>
          <t>필수</t>
        </is>
      </c>
      <c r="F8" s="6" t="inlineStr">
        <is>
          <t>롤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WL-005</t>
        </is>
      </c>
      <c r="B9" s="6" t="inlineStr">
        <is>
          <t>정배지</t>
        </is>
      </c>
      <c r="C9" s="6" t="inlineStr">
        <is>
          <t>—</t>
        </is>
      </c>
      <c r="D9" s="6" t="inlineStr">
        <is>
          <t>마감</t>
        </is>
      </c>
      <c r="E9" s="6" t="inlineStr">
        <is>
          <t>필수</t>
        </is>
      </c>
      <c r="F9" s="6" t="inlineStr">
        <is>
          <t>롤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WL-006</t>
        </is>
      </c>
      <c r="B10" s="6" t="inlineStr">
        <is>
          <t>실리콘</t>
        </is>
      </c>
      <c r="C10" s="6" t="inlineStr">
        <is>
          <t>백색</t>
        </is>
      </c>
      <c r="D10" s="6" t="inlineStr">
        <is>
          <t>이음새</t>
        </is>
      </c>
      <c r="E10" s="6" t="inlineStr">
        <is>
          <t>필수</t>
        </is>
      </c>
      <c r="F10" s="6" t="inlineStr">
        <is>
          <t>개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WL-007</t>
        </is>
      </c>
      <c r="B11" s="6" t="inlineStr">
        <is>
          <t>퍼티</t>
        </is>
      </c>
      <c r="C11" s="6" t="inlineStr">
        <is>
          <t>수성</t>
        </is>
      </c>
      <c r="D11" s="6" t="inlineStr">
        <is>
          <t>면 고르기</t>
        </is>
      </c>
      <c r="E11" s="6" t="inlineStr">
        <is>
          <t>필수</t>
        </is>
      </c>
      <c r="F11" s="6" t="inlineStr">
        <is>
          <t>kg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WL-008</t>
        </is>
      </c>
      <c r="B12" s="6" t="inlineStr">
        <is>
          <t>사포</t>
        </is>
      </c>
      <c r="C12" s="6" t="inlineStr">
        <is>
          <t>240방</t>
        </is>
      </c>
      <c r="D12" s="6" t="inlineStr">
        <is>
          <t>벽면 연마</t>
        </is>
      </c>
      <c r="E12" s="6" t="inlineStr">
        <is>
          <t>필수</t>
        </is>
      </c>
      <c r="F12" s="6" t="inlineStr">
        <is>
          <t>장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WL-009</t>
        </is>
      </c>
      <c r="B13" s="6" t="inlineStr">
        <is>
          <t>커터칼</t>
        </is>
      </c>
      <c r="C13" s="6" t="inlineStr">
        <is>
          <t>벽지용</t>
        </is>
      </c>
      <c r="D13" s="6" t="inlineStr">
        <is>
          <t>재단</t>
        </is>
      </c>
      <c r="E13" s="6" t="inlineStr">
        <is>
          <t>필수</t>
        </is>
      </c>
      <c r="F13" s="6" t="inlineStr">
        <is>
          <t>개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WL-010</t>
        </is>
      </c>
      <c r="B14" s="6" t="inlineStr">
        <is>
          <t>스무서</t>
        </is>
      </c>
      <c r="C14" s="6" t="inlineStr">
        <is>
          <t>벽지용</t>
        </is>
      </c>
      <c r="D14" s="6" t="inlineStr">
        <is>
          <t>밀착</t>
        </is>
      </c>
      <c r="E14" s="6" t="inlineStr">
        <is>
          <t>필수</t>
        </is>
      </c>
      <c r="F14" s="6" t="inlineStr">
        <is>
          <t>개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WL-011</t>
        </is>
      </c>
      <c r="B15" s="6" t="inlineStr">
        <is>
          <t>합지 벽지</t>
        </is>
      </c>
      <c r="C15" s="6" t="inlineStr">
        <is>
          <t>—</t>
        </is>
      </c>
      <c r="D15" s="6" t="inlineStr">
        <is>
          <t>경제형</t>
        </is>
      </c>
      <c r="E15" s="6" t="inlineStr">
        <is>
          <t>선택</t>
        </is>
      </c>
      <c r="F15" s="6" t="inlineStr">
        <is>
          <t>롤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WL-012</t>
        </is>
      </c>
      <c r="B16" s="6" t="inlineStr">
        <is>
          <t>포인트 벽지</t>
        </is>
      </c>
      <c r="C16" s="6" t="inlineStr">
        <is>
          <t>—</t>
        </is>
      </c>
      <c r="D16" s="6" t="inlineStr">
        <is>
          <t>악센트</t>
        </is>
      </c>
      <c r="E16" s="6" t="inlineStr">
        <is>
          <t>선택</t>
        </is>
      </c>
      <c r="F16" s="6" t="inlineStr">
        <is>
          <t>롤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WL-013</t>
        </is>
      </c>
      <c r="B17" s="6" t="inlineStr">
        <is>
          <t>천연벽지</t>
        </is>
      </c>
      <c r="C17" s="6" t="inlineStr">
        <is>
          <t>한지/마</t>
        </is>
      </c>
      <c r="D17" s="6" t="inlineStr">
        <is>
          <t>프리미엄</t>
        </is>
      </c>
      <c r="E17" s="6" t="inlineStr">
        <is>
          <t>선택</t>
        </is>
      </c>
      <c r="F17" s="6" t="inlineStr">
        <is>
          <t>롤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WL-014</t>
        </is>
      </c>
      <c r="B18" s="6" t="inlineStr">
        <is>
          <t>단열벽지</t>
        </is>
      </c>
      <c r="C18" s="6" t="inlineStr">
        <is>
          <t>—</t>
        </is>
      </c>
      <c r="D18" s="6" t="inlineStr">
        <is>
          <t>결로 방지</t>
        </is>
      </c>
      <c r="E18" s="6" t="inlineStr">
        <is>
          <t>선택</t>
        </is>
      </c>
      <c r="F18" s="6" t="inlineStr">
        <is>
          <t>롤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WL-015</t>
        </is>
      </c>
      <c r="B19" s="6" t="inlineStr">
        <is>
          <t>몰딩</t>
        </is>
      </c>
      <c r="C19" s="6" t="inlineStr">
        <is>
          <t>MDF/PS</t>
        </is>
      </c>
      <c r="D19" s="6" t="inlineStr">
        <is>
          <t>천장 경계</t>
        </is>
      </c>
      <c r="E19" s="6" t="inlineStr">
        <is>
          <t>선택</t>
        </is>
      </c>
      <c r="F19" s="6" t="inlineStr">
        <is>
          <t>M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6" t="inlineStr">
        <is>
          <t>WL-016</t>
        </is>
      </c>
      <c r="B20" s="6" t="inlineStr">
        <is>
          <t>코너비드</t>
        </is>
      </c>
      <c r="C20" s="6" t="inlineStr">
        <is>
          <t>PVC</t>
        </is>
      </c>
      <c r="D20" s="6" t="inlineStr">
        <is>
          <t>모서리</t>
        </is>
      </c>
      <c r="E20" s="6" t="inlineStr">
        <is>
          <t>필수</t>
        </is>
      </c>
      <c r="F20" s="6" t="inlineStr">
        <is>
          <t>M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8" t="n"/>
      <c r="AB20" s="8" t="n"/>
    </row>
    <row r="21">
      <c r="A21" s="6" t="inlineStr">
        <is>
          <t>WL-017</t>
        </is>
      </c>
      <c r="B21" s="6" t="inlineStr">
        <is>
          <t>시트지</t>
        </is>
      </c>
      <c r="C21" s="6" t="inlineStr">
        <is>
          <t>PVC</t>
        </is>
      </c>
      <c r="D21" s="6" t="inlineStr">
        <is>
          <t>가구·문틀</t>
        </is>
      </c>
      <c r="E21" s="6" t="inlineStr">
        <is>
          <t>선택</t>
        </is>
      </c>
      <c r="F21" s="6" t="inlineStr">
        <is>
          <t>M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  <c r="AA21" s="8" t="n"/>
      <c r="AB21" s="8" t="n"/>
    </row>
    <row r="22">
      <c r="A22" s="6" t="inlineStr">
        <is>
          <t>WL-018</t>
        </is>
      </c>
      <c r="B22" s="6" t="inlineStr">
        <is>
          <t>타카</t>
        </is>
      </c>
      <c r="C22" s="6" t="inlineStr">
        <is>
          <t>스테이플</t>
        </is>
      </c>
      <c r="D22" s="6" t="inlineStr">
        <is>
          <t>부착</t>
        </is>
      </c>
      <c r="E22" s="6" t="inlineStr">
        <is>
          <t>필수</t>
        </is>
      </c>
      <c r="F22" s="6" t="inlineStr">
        <is>
          <t>박스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  <c r="AA22" s="8" t="n"/>
      <c r="AB22" s="8" t="n"/>
    </row>
    <row r="23">
      <c r="A23" s="6" t="inlineStr">
        <is>
          <t>WL-019</t>
        </is>
      </c>
      <c r="B23" s="6" t="inlineStr">
        <is>
          <t>탄성코트</t>
        </is>
      </c>
      <c r="C23" s="6" t="inlineStr">
        <is>
          <t>세라믹코트</t>
        </is>
      </c>
      <c r="D23" s="6" t="inlineStr">
        <is>
          <t>발코니 마감</t>
        </is>
      </c>
      <c r="E23" s="6" t="inlineStr">
        <is>
          <t>선택</t>
        </is>
      </c>
      <c r="F23" s="6" t="inlineStr">
        <is>
          <t>M2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  <c r="AA23" s="8" t="n"/>
      <c r="AB23" s="8" t="n"/>
    </row>
    <row r="24">
      <c r="A24" s="9" t="inlineStr">
        <is>
          <t>WL-01E</t>
        </is>
      </c>
      <c r="B24" s="9" t="inlineStr">
        <is>
          <t>공용부 5MM 걸레받이 시공</t>
        </is>
      </c>
      <c r="C24" s="6" t="inlineStr">
        <is>
          <t>인건비</t>
        </is>
      </c>
      <c r="D24" s="6" t="inlineStr">
        <is>
          <t>공용부</t>
        </is>
      </c>
      <c r="E24" s="6" t="inlineStr">
        <is>
          <t>필수</t>
        </is>
      </c>
      <c r="F24" s="6" t="inlineStr">
        <is>
          <t>인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>
        <is>
          <t>1현장: 산본</t>
        </is>
      </c>
      <c r="AA24" s="8" t="n"/>
      <c r="AB24" s="8" t="n">
        <v>300000</v>
      </c>
    </row>
    <row r="25">
      <c r="A25" s="9" t="inlineStr">
        <is>
          <t>WL-02E</t>
        </is>
      </c>
      <c r="B25" s="9" t="inlineStr">
        <is>
          <t>공용부 5mm 걸레받이 시공</t>
        </is>
      </c>
      <c r="C25" s="6" t="inlineStr">
        <is>
          <t>인건비</t>
        </is>
      </c>
      <c r="D25" s="6" t="inlineStr"/>
      <c r="E25" s="6" t="inlineStr">
        <is>
          <t>필수</t>
        </is>
      </c>
      <c r="F25" s="6" t="inlineStr">
        <is>
          <t>인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>
        <is>
          <t>1현장: 만현</t>
        </is>
      </c>
      <c r="AA25" s="8" t="n"/>
      <c r="AB25" s="8" t="n">
        <v>300000</v>
      </c>
    </row>
    <row r="26">
      <c r="A26" s="9" t="inlineStr">
        <is>
          <t>WL-03E</t>
        </is>
      </c>
      <c r="B26" s="9" t="inlineStr">
        <is>
          <t>벽체</t>
        </is>
      </c>
      <c r="C26" s="6" t="inlineStr">
        <is>
          <t>디아망 포티스 부자재 포함</t>
        </is>
      </c>
      <c r="D26" s="6" t="inlineStr">
        <is>
          <t>작업실,드레스룸</t>
        </is>
      </c>
      <c r="E26" s="6" t="inlineStr">
        <is>
          <t>필수</t>
        </is>
      </c>
      <c r="F26" s="6" t="inlineStr">
        <is>
          <t>M2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>
        <is>
          <t>12현장: 금호,김성용,김은경,린스,만현</t>
        </is>
      </c>
      <c r="AA26" s="8" t="n">
        <v>8800</v>
      </c>
      <c r="AB26" s="8" t="n">
        <v>12000</v>
      </c>
    </row>
    <row r="27">
      <c r="A27" s="9" t="inlineStr">
        <is>
          <t>WL-04E</t>
        </is>
      </c>
      <c r="B27" s="9" t="inlineStr">
        <is>
          <t>벽체  각 방 전체</t>
        </is>
      </c>
      <c r="C27" s="6" t="inlineStr">
        <is>
          <t>디아망 부자재 포함</t>
        </is>
      </c>
      <c r="D27" s="6" t="inlineStr">
        <is>
          <t>각방</t>
        </is>
      </c>
      <c r="E27" s="6" t="inlineStr">
        <is>
          <t>필수</t>
        </is>
      </c>
      <c r="F27" s="6" t="inlineStr">
        <is>
          <t>M2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>
        <is>
          <t>1현장: 산본</t>
        </is>
      </c>
      <c r="AA27" s="8" t="n">
        <v>8800</v>
      </c>
      <c r="AB27" s="8" t="n">
        <v>12000</v>
      </c>
    </row>
    <row r="28">
      <c r="A28" s="9" t="inlineStr">
        <is>
          <t>WL-05E</t>
        </is>
      </c>
      <c r="B28" s="9" t="inlineStr">
        <is>
          <t>벽체 1차 진입</t>
        </is>
      </c>
      <c r="C28" s="6" t="inlineStr">
        <is>
          <t>디아망 포티스 부자재 포함</t>
        </is>
      </c>
      <c r="D28" s="6" t="inlineStr">
        <is>
          <t>공용부</t>
        </is>
      </c>
      <c r="E28" s="6" t="inlineStr">
        <is>
          <t>필수</t>
        </is>
      </c>
      <c r="F28" s="6" t="inlineStr">
        <is>
          <t>M2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>
        <is>
          <t>1현장: 백현</t>
        </is>
      </c>
      <c r="AA28" s="8" t="n">
        <v>13800</v>
      </c>
      <c r="AB28" s="8" t="n">
        <v>12000</v>
      </c>
    </row>
    <row r="29">
      <c r="A29" s="9" t="inlineStr">
        <is>
          <t>WL-06E</t>
        </is>
      </c>
      <c r="B29" s="9" t="inlineStr">
        <is>
          <t>벽체 2차 진입 및 잔손,보수</t>
        </is>
      </c>
      <c r="C29" s="6" t="inlineStr">
        <is>
          <t>—</t>
        </is>
      </c>
      <c r="D29" s="6" t="inlineStr">
        <is>
          <t>전체</t>
        </is>
      </c>
      <c r="E29" s="6" t="inlineStr">
        <is>
          <t>필수</t>
        </is>
      </c>
      <c r="F29" s="6" t="inlineStr">
        <is>
          <t>인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>
        <is>
          <t>1현장: 백현</t>
        </is>
      </c>
      <c r="AA29" s="8" t="n"/>
      <c r="AB29" s="8" t="n">
        <v>300000</v>
      </c>
    </row>
    <row r="30">
      <c r="A30" s="9" t="inlineStr">
        <is>
          <t>WL-07E</t>
        </is>
      </c>
      <c r="B30" s="9" t="inlineStr">
        <is>
          <t>벽체 공용부 전체</t>
        </is>
      </c>
      <c r="C30" s="6" t="inlineStr">
        <is>
          <t>디아망 포티스 부자재 포함</t>
        </is>
      </c>
      <c r="D30" s="6" t="inlineStr">
        <is>
          <t>공용부</t>
        </is>
      </c>
      <c r="E30" s="6" t="inlineStr">
        <is>
          <t>필수</t>
        </is>
      </c>
      <c r="F30" s="6" t="inlineStr">
        <is>
          <t>M2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>
        <is>
          <t>1현장: 산본</t>
        </is>
      </c>
      <c r="AA30" s="8" t="n">
        <v>13800</v>
      </c>
      <c r="AB30" s="8" t="n">
        <v>12000</v>
      </c>
    </row>
    <row r="31">
      <c r="A31" s="9" t="inlineStr">
        <is>
          <t>WL-08E</t>
        </is>
      </c>
      <c r="B31" s="9" t="inlineStr">
        <is>
          <t>천장</t>
        </is>
      </c>
      <c r="C31" s="6" t="inlineStr">
        <is>
          <t>디아망 포티스 부자재 포함</t>
        </is>
      </c>
      <c r="D31" s="6" t="inlineStr">
        <is>
          <t>각 방</t>
        </is>
      </c>
      <c r="E31" s="6" t="inlineStr">
        <is>
          <t>필수</t>
        </is>
      </c>
      <c r="F31" s="6" t="inlineStr">
        <is>
          <t>M2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>
        <is>
          <t>12현장: 금호,김성용,김은경,린스,만현</t>
        </is>
      </c>
      <c r="AA31" s="8" t="n">
        <v>8800</v>
      </c>
      <c r="AB31" s="8" t="n">
        <v>12000</v>
      </c>
    </row>
    <row r="32">
      <c r="A32" s="9" t="inlineStr">
        <is>
          <t>WL-09E</t>
        </is>
      </c>
      <c r="B32" s="9" t="inlineStr">
        <is>
          <t>천장 각 방 전체</t>
        </is>
      </c>
      <c r="C32" s="6" t="inlineStr">
        <is>
          <t>디아망 부자재 포함</t>
        </is>
      </c>
      <c r="D32" s="6" t="inlineStr">
        <is>
          <t>각방</t>
        </is>
      </c>
      <c r="E32" s="6" t="inlineStr">
        <is>
          <t>필수</t>
        </is>
      </c>
      <c r="F32" s="6" t="inlineStr">
        <is>
          <t>M2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1현장: 산본</t>
        </is>
      </c>
      <c r="AA32" s="8" t="n">
        <v>8800</v>
      </c>
      <c r="AB32" s="8" t="n">
        <v>12000</v>
      </c>
    </row>
    <row r="33">
      <c r="A33" s="9" t="inlineStr">
        <is>
          <t>WL-10E</t>
        </is>
      </c>
      <c r="B33" s="9" t="inlineStr">
        <is>
          <t>천장 공용부 전체</t>
        </is>
      </c>
      <c r="C33" s="6" t="inlineStr">
        <is>
          <t>디아망 포티스 부자재 포함</t>
        </is>
      </c>
      <c r="D33" s="6" t="inlineStr">
        <is>
          <t>공용부</t>
        </is>
      </c>
      <c r="E33" s="6" t="inlineStr">
        <is>
          <t>필수</t>
        </is>
      </c>
      <c r="F33" s="6" t="inlineStr">
        <is>
          <t>M2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>
        <is>
          <t>1현장: 산본</t>
        </is>
      </c>
      <c r="AA33" s="8" t="n">
        <v>13800</v>
      </c>
      <c r="AB33" s="8" t="n">
        <v>12000</v>
      </c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1">
        <f>IF(G34="","",G34*(1+H34/100))</f>
        <v/>
      </c>
      <c r="J34" s="10" t="n"/>
      <c r="K34" s="10" t="n"/>
      <c r="L34" s="10" t="n"/>
      <c r="M34" s="10" t="n"/>
      <c r="N34" s="10" t="n"/>
      <c r="O34" s="10" t="n"/>
      <c r="P34" s="10" t="n"/>
      <c r="Q34" s="12">
        <f>IF(OR(O34="",P34=""),"",MIN(O34,P34)-N34)</f>
        <v/>
      </c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1">
        <f>IF(G35="","",G35*(1+H35/100))</f>
        <v/>
      </c>
      <c r="J35" s="10" t="n"/>
      <c r="K35" s="10" t="n"/>
      <c r="L35" s="10" t="n"/>
      <c r="M35" s="10" t="n"/>
      <c r="N35" s="10" t="n"/>
      <c r="O35" s="10" t="n"/>
      <c r="P35" s="10" t="n"/>
      <c r="Q35" s="12">
        <f>IF(OR(O35="",P35=""),"",MIN(O35,P35)-N35)</f>
        <v/>
      </c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1">
        <f>IF(G36="","",G36*(1+H36/100))</f>
        <v/>
      </c>
      <c r="J36" s="10" t="n"/>
      <c r="K36" s="10" t="n"/>
      <c r="L36" s="10" t="n"/>
      <c r="M36" s="10" t="n"/>
      <c r="N36" s="10" t="n"/>
      <c r="O36" s="10" t="n"/>
      <c r="P36" s="10" t="n"/>
      <c r="Q36" s="12">
        <f>IF(OR(O36="",P36=""),"",MIN(O36,P36)-N36)</f>
        <v/>
      </c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1">
        <f>IF(G37="","",G37*(1+H37/100))</f>
        <v/>
      </c>
      <c r="J37" s="10" t="n"/>
      <c r="K37" s="10" t="n"/>
      <c r="L37" s="10" t="n"/>
      <c r="M37" s="10" t="n"/>
      <c r="N37" s="10" t="n"/>
      <c r="O37" s="10" t="n"/>
      <c r="P37" s="10" t="n"/>
      <c r="Q37" s="12">
        <f>IF(OR(O37="",P37=""),"",MIN(O37,P37)-N37)</f>
        <v/>
      </c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1">
        <f>IF(G38="","",G38*(1+H38/100))</f>
        <v/>
      </c>
      <c r="J38" s="10" t="n"/>
      <c r="K38" s="10" t="n"/>
      <c r="L38" s="10" t="n"/>
      <c r="M38" s="10" t="n"/>
      <c r="N38" s="10" t="n"/>
      <c r="O38" s="10" t="n"/>
      <c r="P38" s="10" t="n"/>
      <c r="Q38" s="12">
        <f>IF(OR(O38="",P38=""),"",MIN(O38,P38)-N38)</f>
        <v/>
      </c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1">
        <f>IF(G39="","",G39*(1+H39/100))</f>
        <v/>
      </c>
      <c r="J39" s="10" t="n"/>
      <c r="K39" s="10" t="n"/>
      <c r="L39" s="10" t="n"/>
      <c r="M39" s="10" t="n"/>
      <c r="N39" s="10" t="n"/>
      <c r="O39" s="10" t="n"/>
      <c r="P39" s="10" t="n"/>
      <c r="Q39" s="12">
        <f>IF(OR(O39="",P39=""),"",MIN(O39,P39)-N39)</f>
        <v/>
      </c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1">
        <f>IF(G40="","",G40*(1+H40/100))</f>
        <v/>
      </c>
      <c r="J40" s="10" t="n"/>
      <c r="K40" s="10" t="n"/>
      <c r="L40" s="10" t="n"/>
      <c r="M40" s="10" t="n"/>
      <c r="N40" s="10" t="n"/>
      <c r="O40" s="10" t="n"/>
      <c r="P40" s="10" t="n"/>
      <c r="Q40" s="12">
        <f>IF(OR(O40="",P40=""),"",MIN(O40,P40)-N40)</f>
        <v/>
      </c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1">
        <f>IF(G41="","",G41*(1+H41/100))</f>
        <v/>
      </c>
      <c r="J41" s="10" t="n"/>
      <c r="K41" s="10" t="n"/>
      <c r="L41" s="10" t="n"/>
      <c r="M41" s="10" t="n"/>
      <c r="N41" s="10" t="n"/>
      <c r="O41" s="10" t="n"/>
      <c r="P41" s="10" t="n"/>
      <c r="Q41" s="12">
        <f>IF(OR(O41="",P41=""),"",MIN(O41,P41)-N41)</f>
        <v/>
      </c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1">
        <f>IF(G42="","",G42*(1+H42/100))</f>
        <v/>
      </c>
      <c r="J42" s="10" t="n"/>
      <c r="K42" s="10" t="n"/>
      <c r="L42" s="10" t="n"/>
      <c r="M42" s="10" t="n"/>
      <c r="N42" s="10" t="n"/>
      <c r="O42" s="10" t="n"/>
      <c r="P42" s="10" t="n"/>
      <c r="Q42" s="12">
        <f>IF(OR(O42="",P42=""),"",MIN(O42,P42)-N42)</f>
        <v/>
      </c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1">
        <f>IF(G43="","",G43*(1+H43/100))</f>
        <v/>
      </c>
      <c r="J43" s="10" t="n"/>
      <c r="K43" s="10" t="n"/>
      <c r="L43" s="10" t="n"/>
      <c r="M43" s="10" t="n"/>
      <c r="N43" s="10" t="n"/>
      <c r="O43" s="10" t="n"/>
      <c r="P43" s="10" t="n"/>
      <c r="Q43" s="12">
        <f>IF(OR(O43="",P43=""),"",MIN(O43,P43)-N43)</f>
        <v/>
      </c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5">
      <c r="A45" s="13" t="inlineStr">
        <is>
          <t>※ 파란셀=수식 | 노란셀=견적참고 | ★금색=견적서 추출항목 | 소요량·로스율=대표 | 가격=유통 | 견적단가=16개 견적서 중앙값</t>
        </is>
      </c>
    </row>
  </sheetData>
  <autoFilter ref="A4:AB43"/>
  <mergeCells count="9">
    <mergeCell ref="R3:U3"/>
    <mergeCell ref="A2:AB2"/>
    <mergeCell ref="AA3:AB3"/>
    <mergeCell ref="J3:Q3"/>
    <mergeCell ref="Y3:Z3"/>
    <mergeCell ref="A1:AB1"/>
    <mergeCell ref="A45:AB45"/>
    <mergeCell ref="A3:I3"/>
    <mergeCell ref="V3:X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69E2E"/>
    <outlinePr summaryBelow="1" summaryRight="1"/>
    <pageSetUpPr/>
  </sheetPr>
  <dimension ref="A1:AB1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가구 자재</t>
        </is>
      </c>
    </row>
    <row r="2">
      <c r="A2" s="2" t="inlineStr">
        <is>
          <t>공정코드: FN | 체크리스트 + 16개 견적서 전체 항목 | ★=견적서 추출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(16개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FN-001</t>
        </is>
      </c>
      <c r="B5" s="6" t="inlineStr">
        <is>
          <t>싱크대 상부장</t>
        </is>
      </c>
      <c r="C5" s="6" t="inlineStr">
        <is>
          <t>—</t>
        </is>
      </c>
      <c r="D5" s="6" t="inlineStr">
        <is>
          <t>주방 수납</t>
        </is>
      </c>
      <c r="E5" s="6" t="inlineStr">
        <is>
          <t>필수</t>
        </is>
      </c>
      <c r="F5" s="6" t="inlineStr">
        <is>
          <t>M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>
        <v>275000</v>
      </c>
      <c r="AB5" s="8" t="n">
        <v>55000</v>
      </c>
    </row>
    <row r="6">
      <c r="A6" s="6" t="inlineStr">
        <is>
          <t>FN-002</t>
        </is>
      </c>
      <c r="B6" s="6" t="inlineStr">
        <is>
          <t>싱크대 하부장</t>
        </is>
      </c>
      <c r="C6" s="6" t="inlineStr">
        <is>
          <t>—</t>
        </is>
      </c>
      <c r="D6" s="6" t="inlineStr">
        <is>
          <t>주방 수납</t>
        </is>
      </c>
      <c r="E6" s="6" t="inlineStr">
        <is>
          <t>필수</t>
        </is>
      </c>
      <c r="F6" s="6" t="inlineStr">
        <is>
          <t>M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>
        <v>275000</v>
      </c>
      <c r="AB6" s="8" t="n">
        <v>55000</v>
      </c>
    </row>
    <row r="7">
      <c r="A7" s="6" t="inlineStr">
        <is>
          <t>FN-003</t>
        </is>
      </c>
      <c r="B7" s="6" t="inlineStr">
        <is>
          <t>싱크대 상판</t>
        </is>
      </c>
      <c r="C7" s="6" t="inlineStr">
        <is>
          <t>인조석/세라믹</t>
        </is>
      </c>
      <c r="D7" s="6" t="inlineStr">
        <is>
          <t>주방 작업면</t>
        </is>
      </c>
      <c r="E7" s="6" t="inlineStr">
        <is>
          <t>필수</t>
        </is>
      </c>
      <c r="F7" s="6" t="inlineStr">
        <is>
          <t>M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FN-004</t>
        </is>
      </c>
      <c r="B8" s="6" t="inlineStr">
        <is>
          <t>싱크볼</t>
        </is>
      </c>
      <c r="C8" s="6" t="inlineStr">
        <is>
          <t>스텐/화강석</t>
        </is>
      </c>
      <c r="D8" s="6" t="inlineStr">
        <is>
          <t>주방 설거지</t>
        </is>
      </c>
      <c r="E8" s="6" t="inlineStr">
        <is>
          <t>필수</t>
        </is>
      </c>
      <c r="F8" s="6" t="inlineStr">
        <is>
          <t>SET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>
        <v>350000</v>
      </c>
      <c r="AB8" s="8" t="n">
        <v>50000</v>
      </c>
    </row>
    <row r="9">
      <c r="A9" s="6" t="inlineStr">
        <is>
          <t>FN-005</t>
        </is>
      </c>
      <c r="B9" s="6" t="inlineStr">
        <is>
          <t>싱크 수전</t>
        </is>
      </c>
      <c r="C9" s="6" t="inlineStr">
        <is>
          <t>—</t>
        </is>
      </c>
      <c r="D9" s="6" t="inlineStr">
        <is>
          <t>주방 급수</t>
        </is>
      </c>
      <c r="E9" s="6" t="inlineStr">
        <is>
          <t>필수</t>
        </is>
      </c>
      <c r="F9" s="6" t="inlineStr">
        <is>
          <t>SET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>
        <v>250000</v>
      </c>
      <c r="AB9" s="8" t="n">
        <v>50000</v>
      </c>
    </row>
    <row r="10">
      <c r="A10" s="6" t="inlineStr">
        <is>
          <t>FN-006</t>
        </is>
      </c>
      <c r="B10" s="6" t="inlineStr">
        <is>
          <t>후드</t>
        </is>
      </c>
      <c r="C10" s="6" t="inlineStr">
        <is>
          <t>레인지후드</t>
        </is>
      </c>
      <c r="D10" s="6" t="inlineStr">
        <is>
          <t>환기</t>
        </is>
      </c>
      <c r="E10" s="6" t="inlineStr">
        <is>
          <t>필수</t>
        </is>
      </c>
      <c r="F10" s="6" t="inlineStr">
        <is>
          <t>대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FN-007</t>
        </is>
      </c>
      <c r="B11" s="6" t="inlineStr">
        <is>
          <t>가스레인지</t>
        </is>
      </c>
      <c r="C11" s="6" t="inlineStr">
        <is>
          <t>3구/인덕션</t>
        </is>
      </c>
      <c r="D11" s="6" t="inlineStr">
        <is>
          <t>조리</t>
        </is>
      </c>
      <c r="E11" s="6" t="inlineStr">
        <is>
          <t>선택</t>
        </is>
      </c>
      <c r="F11" s="6" t="inlineStr">
        <is>
          <t>대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FN-008</t>
        </is>
      </c>
      <c r="B12" s="6" t="inlineStr">
        <is>
          <t>냉장고장</t>
        </is>
      </c>
      <c r="C12" s="6" t="inlineStr">
        <is>
          <t>—</t>
        </is>
      </c>
      <c r="D12" s="6" t="inlineStr">
        <is>
          <t>냉장고 매립</t>
        </is>
      </c>
      <c r="E12" s="6" t="inlineStr">
        <is>
          <t>선택</t>
        </is>
      </c>
      <c r="F12" s="6" t="inlineStr">
        <is>
          <t>자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FN-009</t>
        </is>
      </c>
      <c r="B13" s="6" t="inlineStr">
        <is>
          <t>아일랜드</t>
        </is>
      </c>
      <c r="C13" s="6" t="inlineStr">
        <is>
          <t>—</t>
        </is>
      </c>
      <c r="D13" s="6" t="inlineStr">
        <is>
          <t>주방 보조</t>
        </is>
      </c>
      <c r="E13" s="6" t="inlineStr">
        <is>
          <t>선택</t>
        </is>
      </c>
      <c r="F13" s="6" t="inlineStr">
        <is>
          <t>M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FN-010</t>
        </is>
      </c>
      <c r="B14" s="6" t="inlineStr">
        <is>
          <t>신발장</t>
        </is>
      </c>
      <c r="C14" s="6" t="inlineStr">
        <is>
          <t>현관</t>
        </is>
      </c>
      <c r="D14" s="6" t="inlineStr">
        <is>
          <t>현관 수납</t>
        </is>
      </c>
      <c r="E14" s="6" t="inlineStr">
        <is>
          <t>필수</t>
        </is>
      </c>
      <c r="F14" s="6" t="inlineStr">
        <is>
          <t>자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>
        <v>130000</v>
      </c>
      <c r="AB14" s="8" t="n">
        <v>50000</v>
      </c>
    </row>
    <row r="15">
      <c r="A15" s="6" t="inlineStr">
        <is>
          <t>FN-011</t>
        </is>
      </c>
      <c r="B15" s="6" t="inlineStr">
        <is>
          <t>붙박이장</t>
        </is>
      </c>
      <c r="C15" s="6" t="inlineStr">
        <is>
          <t>방</t>
        </is>
      </c>
      <c r="D15" s="6" t="inlineStr">
        <is>
          <t>옷장</t>
        </is>
      </c>
      <c r="E15" s="6" t="inlineStr">
        <is>
          <t>선택</t>
        </is>
      </c>
      <c r="F15" s="6" t="inlineStr">
        <is>
          <t>자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>
        <v>130000</v>
      </c>
      <c r="AB15" s="8" t="n">
        <v>50000</v>
      </c>
    </row>
    <row r="16">
      <c r="A16" s="6" t="inlineStr">
        <is>
          <t>FN-012</t>
        </is>
      </c>
      <c r="B16" s="6" t="inlineStr">
        <is>
          <t>키큰장</t>
        </is>
      </c>
      <c r="C16" s="6" t="inlineStr">
        <is>
          <t>주방/세탁실</t>
        </is>
      </c>
      <c r="D16" s="6" t="inlineStr">
        <is>
          <t>수납</t>
        </is>
      </c>
      <c r="E16" s="6" t="inlineStr">
        <is>
          <t>선택</t>
        </is>
      </c>
      <c r="F16" s="6" t="inlineStr">
        <is>
          <t>자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>
        <v>130000</v>
      </c>
      <c r="AB16" s="8" t="n">
        <v>50000</v>
      </c>
    </row>
    <row r="17">
      <c r="A17" s="6" t="inlineStr">
        <is>
          <t>FN-013</t>
        </is>
      </c>
      <c r="B17" s="6" t="inlineStr">
        <is>
          <t>세면대</t>
        </is>
      </c>
      <c r="C17" s="6" t="inlineStr">
        <is>
          <t>도기</t>
        </is>
      </c>
      <c r="D17" s="6" t="inlineStr">
        <is>
          <t>화장실</t>
        </is>
      </c>
      <c r="E17" s="6" t="inlineStr">
        <is>
          <t>필수</t>
        </is>
      </c>
      <c r="F17" s="6" t="inlineStr">
        <is>
          <t>개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FN-014</t>
        </is>
      </c>
      <c r="B18" s="6" t="inlineStr">
        <is>
          <t>양변기</t>
        </is>
      </c>
      <c r="C18" s="6" t="inlineStr">
        <is>
          <t>도기</t>
        </is>
      </c>
      <c r="D18" s="6" t="inlineStr">
        <is>
          <t>화장실</t>
        </is>
      </c>
      <c r="E18" s="6" t="inlineStr">
        <is>
          <t>필수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FN-015</t>
        </is>
      </c>
      <c r="B19" s="6" t="inlineStr">
        <is>
          <t>욕조</t>
        </is>
      </c>
      <c r="C19" s="6" t="inlineStr">
        <is>
          <t>아크릴/FRP</t>
        </is>
      </c>
      <c r="D19" s="6" t="inlineStr">
        <is>
          <t>화장실</t>
        </is>
      </c>
      <c r="E19" s="6" t="inlineStr">
        <is>
          <t>선택</t>
        </is>
      </c>
      <c r="F19" s="6" t="inlineStr">
        <is>
          <t>개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6" t="inlineStr">
        <is>
          <t>FN-016</t>
        </is>
      </c>
      <c r="B20" s="6" t="inlineStr">
        <is>
          <t>세면 수전</t>
        </is>
      </c>
      <c r="C20" s="6" t="inlineStr">
        <is>
          <t>—</t>
        </is>
      </c>
      <c r="D20" s="6" t="inlineStr">
        <is>
          <t>화장실</t>
        </is>
      </c>
      <c r="E20" s="6" t="inlineStr">
        <is>
          <t>필수</t>
        </is>
      </c>
      <c r="F20" s="6" t="inlineStr">
        <is>
          <t>SET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8" t="n"/>
      <c r="AB20" s="8" t="n"/>
    </row>
    <row r="21">
      <c r="A21" s="6" t="inlineStr">
        <is>
          <t>FN-017</t>
        </is>
      </c>
      <c r="B21" s="6" t="inlineStr">
        <is>
          <t>샤워 수전</t>
        </is>
      </c>
      <c r="C21" s="6" t="inlineStr">
        <is>
          <t>—</t>
        </is>
      </c>
      <c r="D21" s="6" t="inlineStr">
        <is>
          <t>화장실</t>
        </is>
      </c>
      <c r="E21" s="6" t="inlineStr">
        <is>
          <t>필수</t>
        </is>
      </c>
      <c r="F21" s="6" t="inlineStr">
        <is>
          <t>SET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  <c r="AA21" s="8" t="n"/>
      <c r="AB21" s="8" t="n"/>
    </row>
    <row r="22">
      <c r="A22" s="6" t="inlineStr">
        <is>
          <t>FN-018</t>
        </is>
      </c>
      <c r="B22" s="6" t="inlineStr">
        <is>
          <t>거울</t>
        </is>
      </c>
      <c r="C22" s="6" t="inlineStr">
        <is>
          <t>벽걸이</t>
        </is>
      </c>
      <c r="D22" s="6" t="inlineStr">
        <is>
          <t>화장실</t>
        </is>
      </c>
      <c r="E22" s="6" t="inlineStr">
        <is>
          <t>필수</t>
        </is>
      </c>
      <c r="F22" s="6" t="inlineStr">
        <is>
          <t>개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  <c r="AA22" s="8" t="n"/>
      <c r="AB22" s="8" t="n"/>
    </row>
    <row r="23">
      <c r="A23" s="6" t="inlineStr">
        <is>
          <t>FN-019</t>
        </is>
      </c>
      <c r="B23" s="6" t="inlineStr">
        <is>
          <t>수건걸이</t>
        </is>
      </c>
      <c r="C23" s="6" t="inlineStr">
        <is>
          <t>스텐/크롬</t>
        </is>
      </c>
      <c r="D23" s="6" t="inlineStr">
        <is>
          <t>화장실</t>
        </is>
      </c>
      <c r="E23" s="6" t="inlineStr">
        <is>
          <t>필수</t>
        </is>
      </c>
      <c r="F23" s="6" t="inlineStr">
        <is>
          <t>SET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  <c r="AA23" s="8" t="n">
        <v>50000</v>
      </c>
      <c r="AB23" s="8" t="n">
        <v>50000</v>
      </c>
    </row>
    <row r="24">
      <c r="A24" s="6" t="inlineStr">
        <is>
          <t>FN-020</t>
        </is>
      </c>
      <c r="B24" s="6" t="inlineStr">
        <is>
          <t>휴지걸이</t>
        </is>
      </c>
      <c r="C24" s="6" t="inlineStr">
        <is>
          <t>스텐/크롬</t>
        </is>
      </c>
      <c r="D24" s="6" t="inlineStr">
        <is>
          <t>화장실</t>
        </is>
      </c>
      <c r="E24" s="6" t="inlineStr">
        <is>
          <t>필수</t>
        </is>
      </c>
      <c r="F24" s="6" t="inlineStr">
        <is>
          <t>SET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  <c r="AA24" s="8" t="n">
        <v>50000</v>
      </c>
      <c r="AB24" s="8" t="n">
        <v>50000</v>
      </c>
    </row>
    <row r="25">
      <c r="A25" s="6" t="inlineStr">
        <is>
          <t>FN-021</t>
        </is>
      </c>
      <c r="B25" s="6" t="inlineStr">
        <is>
          <t>경첩</t>
        </is>
      </c>
      <c r="C25" s="6" t="inlineStr">
        <is>
          <t>BLUM</t>
        </is>
      </c>
      <c r="D25" s="6" t="inlineStr">
        <is>
          <t>가구 도어</t>
        </is>
      </c>
      <c r="E25" s="6" t="inlineStr">
        <is>
          <t>필수</t>
        </is>
      </c>
      <c r="F25" s="6" t="inlineStr">
        <is>
          <t>개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  <c r="AA25" s="8" t="n"/>
      <c r="AB25" s="8" t="n"/>
    </row>
    <row r="26">
      <c r="A26" s="6" t="inlineStr">
        <is>
          <t>FN-022</t>
        </is>
      </c>
      <c r="B26" s="6" t="inlineStr">
        <is>
          <t>레일</t>
        </is>
      </c>
      <c r="C26" s="6" t="inlineStr">
        <is>
          <t>BLUM</t>
        </is>
      </c>
      <c r="D26" s="6" t="inlineStr">
        <is>
          <t>서랍</t>
        </is>
      </c>
      <c r="E26" s="6" t="inlineStr">
        <is>
          <t>필수</t>
        </is>
      </c>
      <c r="F26" s="6" t="inlineStr">
        <is>
          <t>세트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  <c r="AA26" s="8" t="n"/>
      <c r="AB26" s="8" t="n"/>
    </row>
    <row r="27">
      <c r="A27" s="6" t="inlineStr">
        <is>
          <t>FN-023</t>
        </is>
      </c>
      <c r="B27" s="6" t="inlineStr">
        <is>
          <t>손잡이</t>
        </is>
      </c>
      <c r="C27" s="6" t="inlineStr">
        <is>
          <t>—</t>
        </is>
      </c>
      <c r="D27" s="6" t="inlineStr">
        <is>
          <t>가구 도어</t>
        </is>
      </c>
      <c r="E27" s="6" t="inlineStr">
        <is>
          <t>필수</t>
        </is>
      </c>
      <c r="F27" s="6" t="inlineStr">
        <is>
          <t>개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/>
      <c r="AA27" s="8" t="n"/>
      <c r="AB27" s="8" t="n"/>
    </row>
    <row r="28">
      <c r="A28" s="6" t="inlineStr">
        <is>
          <t>FN-024</t>
        </is>
      </c>
      <c r="B28" s="6" t="inlineStr">
        <is>
          <t>가구 도어</t>
        </is>
      </c>
      <c r="C28" s="6" t="inlineStr">
        <is>
          <t>—</t>
        </is>
      </c>
      <c r="D28" s="6" t="inlineStr">
        <is>
          <t>주방/수납</t>
        </is>
      </c>
      <c r="E28" s="6" t="inlineStr">
        <is>
          <t>필수</t>
        </is>
      </c>
      <c r="F28" s="6" t="inlineStr">
        <is>
          <t>EA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/>
      <c r="AA28" s="8" t="n">
        <v>140000</v>
      </c>
      <c r="AB28" s="8" t="n">
        <v>20000</v>
      </c>
    </row>
    <row r="29">
      <c r="A29" s="6" t="inlineStr">
        <is>
          <t>FN-025</t>
        </is>
      </c>
      <c r="B29" s="6" t="inlineStr">
        <is>
          <t>가구 EP(마감판)</t>
        </is>
      </c>
      <c r="C29" s="6" t="inlineStr">
        <is>
          <t>측면/상판</t>
        </is>
      </c>
      <c r="D29" s="6" t="inlineStr">
        <is>
          <t>마감</t>
        </is>
      </c>
      <c r="E29" s="6" t="inlineStr">
        <is>
          <t>필수</t>
        </is>
      </c>
      <c r="F29" s="6" t="inlineStr">
        <is>
          <t>EA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/>
      <c r="AA29" s="8" t="n">
        <v>120000</v>
      </c>
      <c r="AB29" s="8" t="n">
        <v>20000</v>
      </c>
    </row>
    <row r="30">
      <c r="A30" s="6" t="inlineStr">
        <is>
          <t>FN-026</t>
        </is>
      </c>
      <c r="B30" s="6" t="inlineStr">
        <is>
          <t>플랩장</t>
        </is>
      </c>
      <c r="C30" s="6" t="inlineStr">
        <is>
          <t>냉장고/키큰장</t>
        </is>
      </c>
      <c r="D30" s="6" t="inlineStr">
        <is>
          <t>상부 수납</t>
        </is>
      </c>
      <c r="E30" s="6" t="inlineStr">
        <is>
          <t>선택</t>
        </is>
      </c>
      <c r="F30" s="6" t="inlineStr">
        <is>
          <t>M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/>
      <c r="AA30" s="8" t="n">
        <v>160000</v>
      </c>
      <c r="AB30" s="8" t="n">
        <v>50000</v>
      </c>
    </row>
    <row r="31">
      <c r="A31" s="6" t="inlineStr">
        <is>
          <t>FN-027</t>
        </is>
      </c>
      <c r="B31" s="6" t="inlineStr">
        <is>
          <t>오픈장</t>
        </is>
      </c>
      <c r="C31" s="6" t="inlineStr">
        <is>
          <t>벽걸이</t>
        </is>
      </c>
      <c r="D31" s="6" t="inlineStr">
        <is>
          <t>개방 수납</t>
        </is>
      </c>
      <c r="E31" s="6" t="inlineStr">
        <is>
          <t>선택</t>
        </is>
      </c>
      <c r="F31" s="6" t="inlineStr">
        <is>
          <t>자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/>
      <c r="AA31" s="8" t="n">
        <v>160000</v>
      </c>
      <c r="AB31" s="8" t="n">
        <v>50000</v>
      </c>
    </row>
    <row r="32">
      <c r="A32" s="6" t="inlineStr">
        <is>
          <t>FN-028</t>
        </is>
      </c>
      <c r="B32" s="6" t="inlineStr">
        <is>
          <t>서랍장</t>
        </is>
      </c>
      <c r="C32" s="6" t="inlineStr">
        <is>
          <t>BLUM</t>
        </is>
      </c>
      <c r="D32" s="6" t="inlineStr">
        <is>
          <t>하부 수납</t>
        </is>
      </c>
      <c r="E32" s="6" t="inlineStr">
        <is>
          <t>선택</t>
        </is>
      </c>
      <c r="F32" s="6" t="inlineStr">
        <is>
          <t>SET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/>
      <c r="AA32" s="8" t="n"/>
      <c r="AB32" s="8" t="n"/>
    </row>
    <row r="33">
      <c r="A33" s="6" t="inlineStr">
        <is>
          <t>FN-029</t>
        </is>
      </c>
      <c r="B33" s="6" t="inlineStr">
        <is>
          <t>홈바 상부장</t>
        </is>
      </c>
      <c r="C33" s="6" t="inlineStr">
        <is>
          <t>—</t>
        </is>
      </c>
      <c r="D33" s="6" t="inlineStr">
        <is>
          <t>홈바 수납</t>
        </is>
      </c>
      <c r="E33" s="6" t="inlineStr">
        <is>
          <t>선택</t>
        </is>
      </c>
      <c r="F33" s="6" t="inlineStr">
        <is>
          <t>M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/>
      <c r="AA33" s="8" t="n">
        <v>160000</v>
      </c>
      <c r="AB33" s="8" t="n">
        <v>50000</v>
      </c>
    </row>
    <row r="34">
      <c r="A34" s="6" t="inlineStr">
        <is>
          <t>FN-030</t>
        </is>
      </c>
      <c r="B34" s="6" t="inlineStr">
        <is>
          <t>홈바 하부장</t>
        </is>
      </c>
      <c r="C34" s="6" t="inlineStr">
        <is>
          <t>—</t>
        </is>
      </c>
      <c r="D34" s="6" t="inlineStr">
        <is>
          <t>홈바 수납</t>
        </is>
      </c>
      <c r="E34" s="6" t="inlineStr">
        <is>
          <t>선택</t>
        </is>
      </c>
      <c r="F34" s="6" t="inlineStr">
        <is>
          <t>M</t>
        </is>
      </c>
      <c r="G34" s="6" t="n"/>
      <c r="H34" s="6" t="n"/>
      <c r="I34" s="7">
        <f>IF(G34="","",G34*(1+H34/100))</f>
        <v/>
      </c>
      <c r="J34" s="6" t="n"/>
      <c r="K34" s="6" t="n"/>
      <c r="L34" s="8" t="n"/>
      <c r="M34" s="8" t="n"/>
      <c r="N34" s="8" t="n"/>
      <c r="O34" s="8" t="n"/>
      <c r="P34" s="8" t="n"/>
      <c r="Q34" s="8">
        <f>IF(OR(O34="",P34=""),"",MIN(O34,P34)-N34)</f>
        <v/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inlineStr"/>
      <c r="AA34" s="8" t="n">
        <v>160000</v>
      </c>
      <c r="AB34" s="8" t="n">
        <v>50000</v>
      </c>
    </row>
    <row r="35">
      <c r="A35" s="9" t="inlineStr">
        <is>
          <t>FN-01E</t>
        </is>
      </c>
      <c r="B35" s="9" t="inlineStr">
        <is>
          <t>Mirror SUS</t>
        </is>
      </c>
      <c r="C35" s="6" t="inlineStr">
        <is>
          <t>벽체</t>
        </is>
      </c>
      <c r="D35" s="6" t="inlineStr">
        <is>
          <t>주방</t>
        </is>
      </c>
      <c r="E35" s="6" t="inlineStr">
        <is>
          <t>필수</t>
        </is>
      </c>
      <c r="F35" s="6" t="inlineStr">
        <is>
          <t>EA</t>
        </is>
      </c>
      <c r="G35" s="6" t="n"/>
      <c r="H35" s="6" t="n"/>
      <c r="I35" s="7">
        <f>IF(G35="","",G35*(1+H35/100))</f>
        <v/>
      </c>
      <c r="J35" s="6" t="n"/>
      <c r="K35" s="6" t="n"/>
      <c r="L35" s="8" t="n"/>
      <c r="M35" s="8" t="n"/>
      <c r="N35" s="8" t="n"/>
      <c r="O35" s="8" t="n"/>
      <c r="P35" s="8" t="n"/>
      <c r="Q35" s="8">
        <f>IF(OR(O35="",P35=""),"",MIN(O35,P35)-N35)</f>
        <v/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inlineStr">
        <is>
          <t>1현장: 만현</t>
        </is>
      </c>
      <c r="AA35" s="8" t="n">
        <v>450000</v>
      </c>
      <c r="AB35" s="8" t="n">
        <v>50000</v>
      </c>
    </row>
    <row r="36">
      <c r="A36" s="9" t="inlineStr">
        <is>
          <t>FN-02E</t>
        </is>
      </c>
      <c r="B36" s="9" t="inlineStr">
        <is>
          <t>Mirror sus</t>
        </is>
      </c>
      <c r="C36" s="6" t="inlineStr">
        <is>
          <t>—</t>
        </is>
      </c>
      <c r="D36" s="6" t="inlineStr"/>
      <c r="E36" s="6" t="inlineStr">
        <is>
          <t>필수</t>
        </is>
      </c>
      <c r="F36" s="6" t="inlineStr">
        <is>
          <t>식</t>
        </is>
      </c>
      <c r="G36" s="6" t="n"/>
      <c r="H36" s="6" t="n"/>
      <c r="I36" s="7">
        <f>IF(G36="","",G36*(1+H36/100))</f>
        <v/>
      </c>
      <c r="J36" s="6" t="n"/>
      <c r="K36" s="6" t="n"/>
      <c r="L36" s="8" t="n"/>
      <c r="M36" s="8" t="n"/>
      <c r="N36" s="8" t="n"/>
      <c r="O36" s="8" t="n"/>
      <c r="P36" s="8" t="n"/>
      <c r="Q36" s="8">
        <f>IF(OR(O36="",P36=""),"",MIN(O36,P36)-N36)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inlineStr">
        <is>
          <t>1현장: 만현</t>
        </is>
      </c>
      <c r="AA36" s="8" t="n"/>
      <c r="AB36" s="8" t="n"/>
    </row>
    <row r="37">
      <c r="A37" s="9" t="inlineStr">
        <is>
          <t>FN-03E</t>
        </is>
      </c>
      <c r="B37" s="9" t="inlineStr">
        <is>
          <t>SUS 선반</t>
        </is>
      </c>
      <c r="C37" s="6" t="inlineStr">
        <is>
          <t>—</t>
        </is>
      </c>
      <c r="D37" s="6" t="inlineStr">
        <is>
          <t>거실</t>
        </is>
      </c>
      <c r="E37" s="6" t="inlineStr">
        <is>
          <t>필수</t>
        </is>
      </c>
      <c r="F37" s="6" t="inlineStr">
        <is>
          <t>EA</t>
        </is>
      </c>
      <c r="G37" s="6" t="n"/>
      <c r="H37" s="6" t="n"/>
      <c r="I37" s="7">
        <f>IF(G37="","",G37*(1+H37/100))</f>
        <v/>
      </c>
      <c r="J37" s="6" t="n"/>
      <c r="K37" s="6" t="n"/>
      <c r="L37" s="8" t="n"/>
      <c r="M37" s="8" t="n"/>
      <c r="N37" s="8" t="n"/>
      <c r="O37" s="8" t="n"/>
      <c r="P37" s="8" t="n"/>
      <c r="Q37" s="8">
        <f>IF(OR(O37="",P37=""),"",MIN(O37,P37)-N37)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inlineStr">
        <is>
          <t>2현장: 김성용,만현</t>
        </is>
      </c>
      <c r="AA37" s="8" t="n">
        <v>98000</v>
      </c>
      <c r="AB37" s="8" t="n">
        <v>25000</v>
      </c>
    </row>
    <row r="38">
      <c r="A38" s="9" t="inlineStr">
        <is>
          <t>FN-04E</t>
        </is>
      </c>
      <c r="B38" s="9" t="inlineStr">
        <is>
          <t>SUS 은경틀 및 은경</t>
        </is>
      </c>
      <c r="C38" s="6" t="inlineStr">
        <is>
          <t>제작</t>
        </is>
      </c>
      <c r="D38" s="6" t="inlineStr">
        <is>
          <t>화장실 1</t>
        </is>
      </c>
      <c r="E38" s="6" t="inlineStr">
        <is>
          <t>필수</t>
        </is>
      </c>
      <c r="F38" s="6" t="inlineStr">
        <is>
          <t>식</t>
        </is>
      </c>
      <c r="G38" s="6" t="n"/>
      <c r="H38" s="6" t="n"/>
      <c r="I38" s="7">
        <f>IF(G38="","",G38*(1+H38/100))</f>
        <v/>
      </c>
      <c r="J38" s="6" t="n"/>
      <c r="K38" s="6" t="n"/>
      <c r="L38" s="8" t="n"/>
      <c r="M38" s="8" t="n"/>
      <c r="N38" s="8" t="n"/>
      <c r="O38" s="8" t="n"/>
      <c r="P38" s="8" t="n"/>
      <c r="Q38" s="8">
        <f>IF(OR(O38="",P38=""),"",MIN(O38,P38)-N38)</f>
        <v/>
      </c>
      <c r="R38" s="6" t="n"/>
      <c r="S38" s="6" t="n"/>
      <c r="T38" s="6" t="n"/>
      <c r="U38" s="6" t="n"/>
      <c r="V38" s="6" t="n"/>
      <c r="W38" s="6" t="n"/>
      <c r="X38" s="6" t="n"/>
      <c r="Y38" s="6" t="n"/>
      <c r="Z38" s="6" t="inlineStr">
        <is>
          <t>1현장: 산본</t>
        </is>
      </c>
      <c r="AA38" s="8" t="n">
        <v>150000</v>
      </c>
      <c r="AB38" s="8" t="n">
        <v>50000</v>
      </c>
    </row>
    <row r="39">
      <c r="A39" s="9" t="inlineStr">
        <is>
          <t>FN-05E</t>
        </is>
      </c>
      <c r="B39" s="9" t="inlineStr">
        <is>
          <t>SUS 제작 선반</t>
        </is>
      </c>
      <c r="C39" s="6" t="inlineStr">
        <is>
          <t>—</t>
        </is>
      </c>
      <c r="D39" s="6" t="inlineStr">
        <is>
          <t>거실</t>
        </is>
      </c>
      <c r="E39" s="6" t="inlineStr">
        <is>
          <t>필수</t>
        </is>
      </c>
      <c r="F39" s="6" t="inlineStr">
        <is>
          <t>M2</t>
        </is>
      </c>
      <c r="G39" s="6" t="n"/>
      <c r="H39" s="6" t="n"/>
      <c r="I39" s="7">
        <f>IF(G39="","",G39*(1+H39/100))</f>
        <v/>
      </c>
      <c r="J39" s="6" t="n"/>
      <c r="K39" s="6" t="n"/>
      <c r="L39" s="8" t="n"/>
      <c r="M39" s="8" t="n"/>
      <c r="N39" s="8" t="n"/>
      <c r="O39" s="8" t="n"/>
      <c r="P39" s="8" t="n"/>
      <c r="Q39" s="8">
        <f>IF(OR(O39="",P39=""),"",MIN(O39,P39)-N39)</f>
        <v/>
      </c>
      <c r="R39" s="6" t="n"/>
      <c r="S39" s="6" t="n"/>
      <c r="T39" s="6" t="n"/>
      <c r="U39" s="6" t="n"/>
      <c r="V39" s="6" t="n"/>
      <c r="W39" s="6" t="n"/>
      <c r="X39" s="6" t="n"/>
      <c r="Y39" s="6" t="n"/>
      <c r="Z39" s="6" t="inlineStr">
        <is>
          <t>4현장: 린스,만현,백현,푸르지오</t>
        </is>
      </c>
      <c r="AA39" s="8" t="n">
        <v>100000</v>
      </c>
      <c r="AB39" s="8" t="n">
        <v>55000</v>
      </c>
    </row>
    <row r="40">
      <c r="A40" s="9" t="inlineStr">
        <is>
          <t>FN-06E</t>
        </is>
      </c>
      <c r="B40" s="9" t="inlineStr">
        <is>
          <t>SUS 제작선반</t>
        </is>
      </c>
      <c r="C40" s="6" t="inlineStr">
        <is>
          <t>—</t>
        </is>
      </c>
      <c r="D40" s="6" t="inlineStr">
        <is>
          <t>주방</t>
        </is>
      </c>
      <c r="E40" s="6" t="inlineStr">
        <is>
          <t>필수</t>
        </is>
      </c>
      <c r="F40" s="6" t="inlineStr">
        <is>
          <t>EA</t>
        </is>
      </c>
      <c r="G40" s="6" t="n"/>
      <c r="H40" s="6" t="n"/>
      <c r="I40" s="7">
        <f>IF(G40="","",G40*(1+H40/100))</f>
        <v/>
      </c>
      <c r="J40" s="6" t="n"/>
      <c r="K40" s="6" t="n"/>
      <c r="L40" s="8" t="n"/>
      <c r="M40" s="8" t="n"/>
      <c r="N40" s="8" t="n"/>
      <c r="O40" s="8" t="n"/>
      <c r="P40" s="8" t="n"/>
      <c r="Q40" s="8">
        <f>IF(OR(O40="",P40=""),"",MIN(O40,P40)-N40)</f>
        <v/>
      </c>
      <c r="R40" s="6" t="n"/>
      <c r="S40" s="6" t="n"/>
      <c r="T40" s="6" t="n"/>
      <c r="U40" s="6" t="n"/>
      <c r="V40" s="6" t="n"/>
      <c r="W40" s="6" t="n"/>
      <c r="X40" s="6" t="n"/>
      <c r="Y40" s="6" t="n"/>
      <c r="Z40" s="6" t="inlineStr">
        <is>
          <t>4현장: 린스,만현,백현,푸르지오</t>
        </is>
      </c>
      <c r="AA40" s="8" t="n">
        <v>180000</v>
      </c>
      <c r="AB40" s="8" t="n">
        <v>50000</v>
      </c>
    </row>
    <row r="41">
      <c r="A41" s="9" t="inlineStr">
        <is>
          <t>FN-07E</t>
        </is>
      </c>
      <c r="B41" s="9" t="inlineStr">
        <is>
          <t>TV 아트월 EP</t>
        </is>
      </c>
      <c r="C41" s="6" t="inlineStr">
        <is>
          <t>좌,우,측면</t>
        </is>
      </c>
      <c r="D41" s="6" t="inlineStr">
        <is>
          <t>거실</t>
        </is>
      </c>
      <c r="E41" s="6" t="inlineStr">
        <is>
          <t>필수</t>
        </is>
      </c>
      <c r="F41" s="6" t="inlineStr">
        <is>
          <t>EA</t>
        </is>
      </c>
      <c r="G41" s="6" t="n"/>
      <c r="H41" s="6" t="n"/>
      <c r="I41" s="7">
        <f>IF(G41="","",G41*(1+H41/100))</f>
        <v/>
      </c>
      <c r="J41" s="6" t="n"/>
      <c r="K41" s="6" t="n"/>
      <c r="L41" s="8" t="n"/>
      <c r="M41" s="8" t="n"/>
      <c r="N41" s="8" t="n"/>
      <c r="O41" s="8" t="n"/>
      <c r="P41" s="8" t="n"/>
      <c r="Q41" s="8">
        <f>IF(OR(O41="",P41=""),"",MIN(O41,P41)-N41)</f>
        <v/>
      </c>
      <c r="R41" s="6" t="n"/>
      <c r="S41" s="6" t="n"/>
      <c r="T41" s="6" t="n"/>
      <c r="U41" s="6" t="n"/>
      <c r="V41" s="6" t="n"/>
      <c r="W41" s="6" t="n"/>
      <c r="X41" s="6" t="n"/>
      <c r="Y41" s="6" t="n"/>
      <c r="Z41" s="6" t="inlineStr">
        <is>
          <t>4현장: 린스,만현,백현,푸르지오</t>
        </is>
      </c>
      <c r="AA41" s="8" t="n">
        <v>120000</v>
      </c>
      <c r="AB41" s="8" t="n">
        <v>20000</v>
      </c>
    </row>
    <row r="42">
      <c r="A42" s="9" t="inlineStr">
        <is>
          <t>FN-08E</t>
        </is>
      </c>
      <c r="B42" s="9" t="inlineStr">
        <is>
          <t>가구도어</t>
        </is>
      </c>
      <c r="C42" s="6" t="inlineStr">
        <is>
          <t>팬트리</t>
        </is>
      </c>
      <c r="D42" s="6" t="inlineStr">
        <is>
          <t>방1, 발코니</t>
        </is>
      </c>
      <c r="E42" s="6" t="inlineStr">
        <is>
          <t>필수</t>
        </is>
      </c>
      <c r="F42" s="6" t="inlineStr">
        <is>
          <t>EA</t>
        </is>
      </c>
      <c r="G42" s="6" t="n"/>
      <c r="H42" s="6" t="n"/>
      <c r="I42" s="7">
        <f>IF(G42="","",G42*(1+H42/100))</f>
        <v/>
      </c>
      <c r="J42" s="6" t="n"/>
      <c r="K42" s="6" t="n"/>
      <c r="L42" s="8" t="n"/>
      <c r="M42" s="8" t="n"/>
      <c r="N42" s="8" t="n"/>
      <c r="O42" s="8" t="n"/>
      <c r="P42" s="8" t="n"/>
      <c r="Q42" s="8">
        <f>IF(OR(O42="",P42=""),"",MIN(O42,P42)-N42)</f>
        <v/>
      </c>
      <c r="R42" s="6" t="n"/>
      <c r="S42" s="6" t="n"/>
      <c r="T42" s="6" t="n"/>
      <c r="U42" s="6" t="n"/>
      <c r="V42" s="6" t="n"/>
      <c r="W42" s="6" t="n"/>
      <c r="X42" s="6" t="n"/>
      <c r="Y42" s="6" t="n"/>
      <c r="Z42" s="6" t="inlineStr">
        <is>
          <t>6현장: 린스,만현,백현,산본,진산</t>
        </is>
      </c>
      <c r="AA42" s="8" t="n">
        <v>140000</v>
      </c>
      <c r="AB42" s="8" t="n">
        <v>20000</v>
      </c>
    </row>
    <row r="43">
      <c r="A43" s="9" t="inlineStr">
        <is>
          <t>FN-09E</t>
        </is>
      </c>
      <c r="B43" s="9" t="inlineStr">
        <is>
          <t>간접조명 유리장</t>
        </is>
      </c>
      <c r="C43" s="6" t="inlineStr">
        <is>
          <t>—</t>
        </is>
      </c>
      <c r="D43" s="6" t="inlineStr"/>
      <c r="E43" s="6" t="inlineStr">
        <is>
          <t>필수</t>
        </is>
      </c>
      <c r="F43" s="6" t="inlineStr">
        <is>
          <t>EA</t>
        </is>
      </c>
      <c r="G43" s="6" t="n"/>
      <c r="H43" s="6" t="n"/>
      <c r="I43" s="7">
        <f>IF(G43="","",G43*(1+H43/100))</f>
        <v/>
      </c>
      <c r="J43" s="6" t="n"/>
      <c r="K43" s="6" t="n"/>
      <c r="L43" s="8" t="n"/>
      <c r="M43" s="8" t="n"/>
      <c r="N43" s="8" t="n"/>
      <c r="O43" s="8" t="n"/>
      <c r="P43" s="8" t="n"/>
      <c r="Q43" s="8">
        <f>IF(OR(O43="",P43=""),"",MIN(O43,P43)-N43)</f>
        <v/>
      </c>
      <c r="R43" s="6" t="n"/>
      <c r="S43" s="6" t="n"/>
      <c r="T43" s="6" t="n"/>
      <c r="U43" s="6" t="n"/>
      <c r="V43" s="6" t="n"/>
      <c r="W43" s="6" t="n"/>
      <c r="X43" s="6" t="n"/>
      <c r="Y43" s="6" t="n"/>
      <c r="Z43" s="6" t="inlineStr">
        <is>
          <t>1현장: 이선</t>
        </is>
      </c>
      <c r="AA43" s="8" t="n">
        <v>1500000</v>
      </c>
      <c r="AB43" s="8" t="n">
        <v>200000</v>
      </c>
    </row>
    <row r="44">
      <c r="A44" s="9" t="inlineStr">
        <is>
          <t>FN-10E</t>
        </is>
      </c>
      <c r="B44" s="9" t="inlineStr">
        <is>
          <t>고재</t>
        </is>
      </c>
      <c r="C44" s="6" t="inlineStr">
        <is>
          <t>제작</t>
        </is>
      </c>
      <c r="D44" s="6" t="inlineStr">
        <is>
          <t>안방</t>
        </is>
      </c>
      <c r="E44" s="6" t="inlineStr">
        <is>
          <t>필수</t>
        </is>
      </c>
      <c r="F44" s="6" t="inlineStr">
        <is>
          <t>식</t>
        </is>
      </c>
      <c r="G44" s="6" t="n"/>
      <c r="H44" s="6" t="n"/>
      <c r="I44" s="7">
        <f>IF(G44="","",G44*(1+H44/100))</f>
        <v/>
      </c>
      <c r="J44" s="6" t="n"/>
      <c r="K44" s="6" t="n"/>
      <c r="L44" s="8" t="n"/>
      <c r="M44" s="8" t="n"/>
      <c r="N44" s="8" t="n"/>
      <c r="O44" s="8" t="n"/>
      <c r="P44" s="8" t="n"/>
      <c r="Q44" s="8">
        <f>IF(OR(O44="",P44=""),"",MIN(O44,P44)-N44)</f>
        <v/>
      </c>
      <c r="R44" s="6" t="n"/>
      <c r="S44" s="6" t="n"/>
      <c r="T44" s="6" t="n"/>
      <c r="U44" s="6" t="n"/>
      <c r="V44" s="6" t="n"/>
      <c r="W44" s="6" t="n"/>
      <c r="X44" s="6" t="n"/>
      <c r="Y44" s="6" t="n"/>
      <c r="Z44" s="6" t="inlineStr">
        <is>
          <t>1현장: 만현</t>
        </is>
      </c>
      <c r="AA44" s="8" t="n"/>
      <c r="AB44" s="8" t="n"/>
    </row>
    <row r="45">
      <c r="A45" s="9" t="inlineStr">
        <is>
          <t>FN-11E</t>
        </is>
      </c>
      <c r="B45" s="9" t="inlineStr">
        <is>
          <t>금속 구조틀</t>
        </is>
      </c>
      <c r="C45" s="6" t="inlineStr">
        <is>
          <t>하부장 보강</t>
        </is>
      </c>
      <c r="D45" s="6" t="inlineStr">
        <is>
          <t>현관</t>
        </is>
      </c>
      <c r="E45" s="6" t="inlineStr">
        <is>
          <t>필수</t>
        </is>
      </c>
      <c r="F45" s="6" t="inlineStr">
        <is>
          <t>식</t>
        </is>
      </c>
      <c r="G45" s="6" t="n"/>
      <c r="H45" s="6" t="n"/>
      <c r="I45" s="7">
        <f>IF(G45="","",G45*(1+H45/100))</f>
        <v/>
      </c>
      <c r="J45" s="6" t="n"/>
      <c r="K45" s="6" t="n"/>
      <c r="L45" s="8" t="n"/>
      <c r="M45" s="8" t="n"/>
      <c r="N45" s="8" t="n"/>
      <c r="O45" s="8" t="n"/>
      <c r="P45" s="8" t="n"/>
      <c r="Q45" s="8">
        <f>IF(OR(O45="",P45=""),"",MIN(O45,P45)-N45)</f>
        <v/>
      </c>
      <c r="R45" s="6" t="n"/>
      <c r="S45" s="6" t="n"/>
      <c r="T45" s="6" t="n"/>
      <c r="U45" s="6" t="n"/>
      <c r="V45" s="6" t="n"/>
      <c r="W45" s="6" t="n"/>
      <c r="X45" s="6" t="n"/>
      <c r="Y45" s="6" t="n"/>
      <c r="Z45" s="6" t="inlineStr">
        <is>
          <t>1현장: 진산</t>
        </is>
      </c>
      <c r="AA45" s="8" t="n">
        <v>200000</v>
      </c>
      <c r="AB45" s="8" t="n">
        <v>100000</v>
      </c>
    </row>
    <row r="46">
      <c r="A46" s="9" t="inlineStr">
        <is>
          <t>FN-12E</t>
        </is>
      </c>
      <c r="B46" s="9" t="inlineStr">
        <is>
          <t>냉장고 장</t>
        </is>
      </c>
      <c r="C46" s="6" t="inlineStr">
        <is>
          <t>플랩장</t>
        </is>
      </c>
      <c r="D46" s="6" t="inlineStr">
        <is>
          <t>패트도어 / 필름 미정</t>
        </is>
      </c>
      <c r="E46" s="6" t="inlineStr">
        <is>
          <t>필수</t>
        </is>
      </c>
      <c r="F46" s="6" t="inlineStr">
        <is>
          <t>M</t>
        </is>
      </c>
      <c r="G46" s="6" t="n"/>
      <c r="H46" s="6" t="n"/>
      <c r="I46" s="7">
        <f>IF(G46="","",G46*(1+H46/100))</f>
        <v/>
      </c>
      <c r="J46" s="6" t="n"/>
      <c r="K46" s="6" t="n"/>
      <c r="L46" s="8" t="n"/>
      <c r="M46" s="8" t="n"/>
      <c r="N46" s="8" t="n"/>
      <c r="O46" s="8" t="n"/>
      <c r="P46" s="8" t="n"/>
      <c r="Q46" s="8">
        <f>IF(OR(O46="",P46=""),"",MIN(O46,P46)-N46)</f>
        <v/>
      </c>
      <c r="R46" s="6" t="n"/>
      <c r="S46" s="6" t="n"/>
      <c r="T46" s="6" t="n"/>
      <c r="U46" s="6" t="n"/>
      <c r="V46" s="6" t="n"/>
      <c r="W46" s="6" t="n"/>
      <c r="X46" s="6" t="n"/>
      <c r="Y46" s="6" t="n"/>
      <c r="Z46" s="6" t="inlineStr">
        <is>
          <t>6현장: 김성용,린스,만현,백현,산본</t>
        </is>
      </c>
      <c r="AA46" s="8" t="n">
        <v>160000</v>
      </c>
      <c r="AB46" s="8" t="n">
        <v>50000</v>
      </c>
    </row>
    <row r="47">
      <c r="A47" s="9" t="inlineStr">
        <is>
          <t>FN-13E</t>
        </is>
      </c>
      <c r="B47" s="9" t="inlineStr">
        <is>
          <t>냉장고 장 A</t>
        </is>
      </c>
      <c r="C47" s="6" t="inlineStr">
        <is>
          <t>플랩장</t>
        </is>
      </c>
      <c r="D47" s="6" t="inlineStr">
        <is>
          <t>주방</t>
        </is>
      </c>
      <c r="E47" s="6" t="inlineStr">
        <is>
          <t>필수</t>
        </is>
      </c>
      <c r="F47" s="6" t="inlineStr">
        <is>
          <t>M</t>
        </is>
      </c>
      <c r="G47" s="6" t="n"/>
      <c r="H47" s="6" t="n"/>
      <c r="I47" s="7">
        <f>IF(G47="","",G47*(1+H47/100))</f>
        <v/>
      </c>
      <c r="J47" s="6" t="n"/>
      <c r="K47" s="6" t="n"/>
      <c r="L47" s="8" t="n"/>
      <c r="M47" s="8" t="n"/>
      <c r="N47" s="8" t="n"/>
      <c r="O47" s="8" t="n"/>
      <c r="P47" s="8" t="n"/>
      <c r="Q47" s="8">
        <f>IF(OR(O47="",P47=""),"",MIN(O47,P47)-N47)</f>
        <v/>
      </c>
      <c r="R47" s="6" t="n"/>
      <c r="S47" s="6" t="n"/>
      <c r="T47" s="6" t="n"/>
      <c r="U47" s="6" t="n"/>
      <c r="V47" s="6" t="n"/>
      <c r="W47" s="6" t="n"/>
      <c r="X47" s="6" t="n"/>
      <c r="Y47" s="6" t="n"/>
      <c r="Z47" s="6" t="inlineStr">
        <is>
          <t>1현장: 진산</t>
        </is>
      </c>
      <c r="AA47" s="8" t="n">
        <v>160000</v>
      </c>
      <c r="AB47" s="8" t="n">
        <v>50000</v>
      </c>
    </row>
    <row r="48">
      <c r="A48" s="9" t="inlineStr">
        <is>
          <t>FN-14E</t>
        </is>
      </c>
      <c r="B48" s="9" t="inlineStr">
        <is>
          <t>냉장고 플랩 장</t>
        </is>
      </c>
      <c r="C48" s="6" t="inlineStr">
        <is>
          <t>냉장고 상부 플랩장</t>
        </is>
      </c>
      <c r="D48" s="6" t="inlineStr"/>
      <c r="E48" s="6" t="inlineStr">
        <is>
          <t>필수</t>
        </is>
      </c>
      <c r="F48" s="6" t="inlineStr">
        <is>
          <t>식</t>
        </is>
      </c>
      <c r="G48" s="6" t="n"/>
      <c r="H48" s="6" t="n"/>
      <c r="I48" s="7">
        <f>IF(G48="","",G48*(1+H48/100))</f>
        <v/>
      </c>
      <c r="J48" s="6" t="n"/>
      <c r="K48" s="6" t="n"/>
      <c r="L48" s="8" t="n"/>
      <c r="M48" s="8" t="n"/>
      <c r="N48" s="8" t="n"/>
      <c r="O48" s="8" t="n"/>
      <c r="P48" s="8" t="n"/>
      <c r="Q48" s="8">
        <f>IF(OR(O48="",P48=""),"",MIN(O48,P48)-N48)</f>
        <v/>
      </c>
      <c r="R48" s="6" t="n"/>
      <c r="S48" s="6" t="n"/>
      <c r="T48" s="6" t="n"/>
      <c r="U48" s="6" t="n"/>
      <c r="V48" s="6" t="n"/>
      <c r="W48" s="6" t="n"/>
      <c r="X48" s="6" t="n"/>
      <c r="Y48" s="6" t="n"/>
      <c r="Z48" s="6" t="inlineStr">
        <is>
          <t>3현장: 이선,이성숙,전기영</t>
        </is>
      </c>
      <c r="AA48" s="8" t="n">
        <v>250000</v>
      </c>
      <c r="AB48" s="8" t="n">
        <v>100000</v>
      </c>
    </row>
    <row r="49">
      <c r="A49" s="9" t="inlineStr">
        <is>
          <t>FN-15E</t>
        </is>
      </c>
      <c r="B49" s="9" t="inlineStr">
        <is>
          <t>냉장고 플랩 장 EP</t>
        </is>
      </c>
      <c r="C49" s="6" t="inlineStr">
        <is>
          <t>좌우측면</t>
        </is>
      </c>
      <c r="D49" s="6" t="inlineStr"/>
      <c r="E49" s="6" t="inlineStr">
        <is>
          <t>필수</t>
        </is>
      </c>
      <c r="F49" s="6" t="inlineStr">
        <is>
          <t>식</t>
        </is>
      </c>
      <c r="G49" s="6" t="n"/>
      <c r="H49" s="6" t="n"/>
      <c r="I49" s="7">
        <f>IF(G49="","",G49*(1+H49/100))</f>
        <v/>
      </c>
      <c r="J49" s="6" t="n"/>
      <c r="K49" s="6" t="n"/>
      <c r="L49" s="8" t="n"/>
      <c r="M49" s="8" t="n"/>
      <c r="N49" s="8" t="n"/>
      <c r="O49" s="8" t="n"/>
      <c r="P49" s="8" t="n"/>
      <c r="Q49" s="8">
        <f>IF(OR(O49="",P49=""),"",MIN(O49,P49)-N49)</f>
        <v/>
      </c>
      <c r="R49" s="6" t="n"/>
      <c r="S49" s="6" t="n"/>
      <c r="T49" s="6" t="n"/>
      <c r="U49" s="6" t="n"/>
      <c r="V49" s="6" t="n"/>
      <c r="W49" s="6" t="n"/>
      <c r="X49" s="6" t="n"/>
      <c r="Y49" s="6" t="n"/>
      <c r="Z49" s="6" t="inlineStr">
        <is>
          <t>1현장: 전기영</t>
        </is>
      </c>
      <c r="AA49" s="8" t="n">
        <v>130000</v>
      </c>
      <c r="AB49" s="8" t="n">
        <v>20000</v>
      </c>
    </row>
    <row r="50">
      <c r="A50" s="9" t="inlineStr">
        <is>
          <t>FN-16E</t>
        </is>
      </c>
      <c r="B50" s="9" t="inlineStr">
        <is>
          <t>드레스룸  SUS 행거</t>
        </is>
      </c>
      <c r="C50" s="6" t="inlineStr">
        <is>
          <t>제작 및 현장 용접</t>
        </is>
      </c>
      <c r="D50" s="6" t="inlineStr">
        <is>
          <t>동생방</t>
        </is>
      </c>
      <c r="E50" s="6" t="inlineStr">
        <is>
          <t>필수</t>
        </is>
      </c>
      <c r="F50" s="6" t="inlineStr">
        <is>
          <t>식</t>
        </is>
      </c>
      <c r="G50" s="6" t="n"/>
      <c r="H50" s="6" t="n"/>
      <c r="I50" s="7">
        <f>IF(G50="","",G50*(1+H50/100))</f>
        <v/>
      </c>
      <c r="J50" s="6" t="n"/>
      <c r="K50" s="6" t="n"/>
      <c r="L50" s="8" t="n"/>
      <c r="M50" s="8" t="n"/>
      <c r="N50" s="8" t="n"/>
      <c r="O50" s="8" t="n"/>
      <c r="P50" s="8" t="n"/>
      <c r="Q50" s="8">
        <f>IF(OR(O50="",P50=""),"",MIN(O50,P50)-N50)</f>
        <v/>
      </c>
      <c r="R50" s="6" t="n"/>
      <c r="S50" s="6" t="n"/>
      <c r="T50" s="6" t="n"/>
      <c r="U50" s="6" t="n"/>
      <c r="V50" s="6" t="n"/>
      <c r="W50" s="6" t="n"/>
      <c r="X50" s="6" t="n"/>
      <c r="Y50" s="6" t="n"/>
      <c r="Z50" s="6" t="inlineStr">
        <is>
          <t>1현장: 산본</t>
        </is>
      </c>
      <c r="AA50" s="8" t="n">
        <v>800000</v>
      </c>
      <c r="AB50" s="8" t="n">
        <v>200000</v>
      </c>
    </row>
    <row r="51">
      <c r="A51" s="9" t="inlineStr">
        <is>
          <t>FN-17E</t>
        </is>
      </c>
      <c r="B51" s="9" t="inlineStr">
        <is>
          <t>드레스룸 붙박이 SUS</t>
        </is>
      </c>
      <c r="C51" s="6" t="inlineStr">
        <is>
          <t>제작 및 현장 용접</t>
        </is>
      </c>
      <c r="D51" s="6" t="inlineStr">
        <is>
          <t>동생방</t>
        </is>
      </c>
      <c r="E51" s="6" t="inlineStr">
        <is>
          <t>필수</t>
        </is>
      </c>
      <c r="F51" s="6" t="inlineStr">
        <is>
          <t>식</t>
        </is>
      </c>
      <c r="G51" s="6" t="n"/>
      <c r="H51" s="6" t="n"/>
      <c r="I51" s="7">
        <f>IF(G51="","",G51*(1+H51/100))</f>
        <v/>
      </c>
      <c r="J51" s="6" t="n"/>
      <c r="K51" s="6" t="n"/>
      <c r="L51" s="8" t="n"/>
      <c r="M51" s="8" t="n"/>
      <c r="N51" s="8" t="n"/>
      <c r="O51" s="8" t="n"/>
      <c r="P51" s="8" t="n"/>
      <c r="Q51" s="8">
        <f>IF(OR(O51="",P51=""),"",MIN(O51,P51)-N51)</f>
        <v/>
      </c>
      <c r="R51" s="6" t="n"/>
      <c r="S51" s="6" t="n"/>
      <c r="T51" s="6" t="n"/>
      <c r="U51" s="6" t="n"/>
      <c r="V51" s="6" t="n"/>
      <c r="W51" s="6" t="n"/>
      <c r="X51" s="6" t="n"/>
      <c r="Y51" s="6" t="n"/>
      <c r="Z51" s="6" t="inlineStr">
        <is>
          <t>1현장: 산본</t>
        </is>
      </c>
      <c r="AA51" s="8" t="n">
        <v>1500000</v>
      </c>
      <c r="AB51" s="8" t="n">
        <v>500000</v>
      </c>
    </row>
    <row r="52">
      <c r="A52" s="9" t="inlineStr">
        <is>
          <t>FN-18E</t>
        </is>
      </c>
      <c r="B52" s="9" t="inlineStr">
        <is>
          <t>드레스룸 서스선반</t>
        </is>
      </c>
      <c r="C52" s="6" t="inlineStr">
        <is>
          <t>고객님 협의</t>
        </is>
      </c>
      <c r="D52" s="6" t="inlineStr">
        <is>
          <t>SUS</t>
        </is>
      </c>
      <c r="E52" s="6" t="inlineStr">
        <is>
          <t>필수</t>
        </is>
      </c>
      <c r="F52" s="6" t="inlineStr">
        <is>
          <t>SET</t>
        </is>
      </c>
      <c r="G52" s="6" t="n"/>
      <c r="H52" s="6" t="n"/>
      <c r="I52" s="7">
        <f>IF(G52="","",G52*(1+H52/100))</f>
        <v/>
      </c>
      <c r="J52" s="6" t="n"/>
      <c r="K52" s="6" t="n"/>
      <c r="L52" s="8" t="n"/>
      <c r="M52" s="8" t="n"/>
      <c r="N52" s="8" t="n"/>
      <c r="O52" s="8" t="n"/>
      <c r="P52" s="8" t="n"/>
      <c r="Q52" s="8">
        <f>IF(OR(O52="",P52=""),"",MIN(O52,P52)-N52)</f>
        <v/>
      </c>
      <c r="R52" s="6" t="n"/>
      <c r="S52" s="6" t="n"/>
      <c r="T52" s="6" t="n"/>
      <c r="U52" s="6" t="n"/>
      <c r="V52" s="6" t="n"/>
      <c r="W52" s="6" t="n"/>
      <c r="X52" s="6" t="n"/>
      <c r="Y52" s="6" t="n"/>
      <c r="Z52" s="6" t="inlineStr">
        <is>
          <t>1현장: 이선</t>
        </is>
      </c>
      <c r="AA52" s="8" t="n"/>
      <c r="AB52" s="8" t="n"/>
    </row>
    <row r="53">
      <c r="A53" s="9" t="inlineStr">
        <is>
          <t>FN-19E</t>
        </is>
      </c>
      <c r="B53" s="9" t="inlineStr">
        <is>
          <t>드레스룸 화장대</t>
        </is>
      </c>
      <c r="C53" s="6" t="inlineStr">
        <is>
          <t>상부장</t>
        </is>
      </c>
      <c r="D53" s="6" t="inlineStr"/>
      <c r="E53" s="6" t="inlineStr">
        <is>
          <t>필수</t>
        </is>
      </c>
      <c r="F53" s="6" t="inlineStr">
        <is>
          <t>식</t>
        </is>
      </c>
      <c r="G53" s="6" t="n"/>
      <c r="H53" s="6" t="n"/>
      <c r="I53" s="7">
        <f>IF(G53="","",G53*(1+H53/100))</f>
        <v/>
      </c>
      <c r="J53" s="6" t="n"/>
      <c r="K53" s="6" t="n"/>
      <c r="L53" s="8" t="n"/>
      <c r="M53" s="8" t="n"/>
      <c r="N53" s="8" t="n"/>
      <c r="O53" s="8" t="n"/>
      <c r="P53" s="8" t="n"/>
      <c r="Q53" s="8">
        <f>IF(OR(O53="",P53=""),"",MIN(O53,P53)-N53)</f>
        <v/>
      </c>
      <c r="R53" s="6" t="n"/>
      <c r="S53" s="6" t="n"/>
      <c r="T53" s="6" t="n"/>
      <c r="U53" s="6" t="n"/>
      <c r="V53" s="6" t="n"/>
      <c r="W53" s="6" t="n"/>
      <c r="X53" s="6" t="n"/>
      <c r="Y53" s="6" t="n"/>
      <c r="Z53" s="6" t="inlineStr">
        <is>
          <t>1현장: 금호</t>
        </is>
      </c>
      <c r="AA53" s="8" t="n">
        <v>350000</v>
      </c>
      <c r="AB53" s="8" t="n">
        <v>100000</v>
      </c>
    </row>
    <row r="54">
      <c r="A54" s="9" t="inlineStr">
        <is>
          <t>FN-20E</t>
        </is>
      </c>
      <c r="B54" s="9" t="inlineStr">
        <is>
          <t>런더리 세탁장</t>
        </is>
      </c>
      <c r="C54" s="6" t="inlineStr">
        <is>
          <t>런더리룸 / 세탁장</t>
        </is>
      </c>
      <c r="D54" s="6" t="inlineStr">
        <is>
          <t>패트도어</t>
        </is>
      </c>
      <c r="E54" s="6" t="inlineStr">
        <is>
          <t>필수</t>
        </is>
      </c>
      <c r="F54" s="6" t="inlineStr">
        <is>
          <t>EA</t>
        </is>
      </c>
      <c r="G54" s="6" t="n"/>
      <c r="H54" s="6" t="n"/>
      <c r="I54" s="7">
        <f>IF(G54="","",G54*(1+H54/100))</f>
        <v/>
      </c>
      <c r="J54" s="6" t="n"/>
      <c r="K54" s="6" t="n"/>
      <c r="L54" s="8" t="n"/>
      <c r="M54" s="8" t="n"/>
      <c r="N54" s="8" t="n"/>
      <c r="O54" s="8" t="n"/>
      <c r="P54" s="8" t="n"/>
      <c r="Q54" s="8">
        <f>IF(OR(O54="",P54=""),"",MIN(O54,P54)-N54)</f>
        <v/>
      </c>
      <c r="R54" s="6" t="n"/>
      <c r="S54" s="6" t="n"/>
      <c r="T54" s="6" t="n"/>
      <c r="U54" s="6" t="n"/>
      <c r="V54" s="6" t="n"/>
      <c r="W54" s="6" t="n"/>
      <c r="X54" s="6" t="n"/>
      <c r="Y54" s="6" t="n"/>
      <c r="Z54" s="6" t="inlineStr">
        <is>
          <t>1현장: 김은경</t>
        </is>
      </c>
      <c r="AA54" s="8" t="n">
        <v>350000</v>
      </c>
      <c r="AB54" s="8" t="n">
        <v>50000</v>
      </c>
    </row>
    <row r="55">
      <c r="A55" s="9" t="inlineStr">
        <is>
          <t>FN-21E</t>
        </is>
      </c>
      <c r="B55" s="9" t="inlineStr">
        <is>
          <t>매립장</t>
        </is>
      </c>
      <c r="C55" s="6" t="inlineStr">
        <is>
          <t>PS합판</t>
        </is>
      </c>
      <c r="D55" s="6" t="inlineStr">
        <is>
          <t>거실,안방</t>
        </is>
      </c>
      <c r="E55" s="6" t="inlineStr">
        <is>
          <t>필수</t>
        </is>
      </c>
      <c r="F55" s="6" t="inlineStr">
        <is>
          <t>식</t>
        </is>
      </c>
      <c r="G55" s="6" t="n"/>
      <c r="H55" s="6" t="n"/>
      <c r="I55" s="7">
        <f>IF(G55="","",G55*(1+H55/100))</f>
        <v/>
      </c>
      <c r="J55" s="6" t="n"/>
      <c r="K55" s="6" t="n"/>
      <c r="L55" s="8" t="n"/>
      <c r="M55" s="8" t="n"/>
      <c r="N55" s="8" t="n"/>
      <c r="O55" s="8" t="n"/>
      <c r="P55" s="8" t="n"/>
      <c r="Q55" s="8">
        <f>IF(OR(O55="",P55=""),"",MIN(O55,P55)-N55)</f>
        <v/>
      </c>
      <c r="R55" s="6" t="n"/>
      <c r="S55" s="6" t="n"/>
      <c r="T55" s="6" t="n"/>
      <c r="U55" s="6" t="n"/>
      <c r="V55" s="6" t="n"/>
      <c r="W55" s="6" t="n"/>
      <c r="X55" s="6" t="n"/>
      <c r="Y55" s="6" t="n"/>
      <c r="Z55" s="6" t="inlineStr">
        <is>
          <t>4현장: 린스,만현,백현,푸르지오</t>
        </is>
      </c>
      <c r="AA55" s="8" t="n">
        <v>1300000</v>
      </c>
      <c r="AB55" s="8" t="n">
        <v>200000</v>
      </c>
    </row>
    <row r="56">
      <c r="A56" s="9" t="inlineStr">
        <is>
          <t>FN-22E</t>
        </is>
      </c>
      <c r="B56" s="9" t="inlineStr">
        <is>
          <t>바흐만 측면콘센트</t>
        </is>
      </c>
      <c r="C56" s="6" t="inlineStr">
        <is>
          <t>주방</t>
        </is>
      </c>
      <c r="D56" s="6" t="inlineStr">
        <is>
          <t>측면콘센트</t>
        </is>
      </c>
      <c r="E56" s="6" t="inlineStr">
        <is>
          <t>필수</t>
        </is>
      </c>
      <c r="F56" s="6" t="inlineStr">
        <is>
          <t>EA</t>
        </is>
      </c>
      <c r="G56" s="6" t="n"/>
      <c r="H56" s="6" t="n"/>
      <c r="I56" s="7">
        <f>IF(G56="","",G56*(1+H56/100))</f>
        <v/>
      </c>
      <c r="J56" s="6" t="n"/>
      <c r="K56" s="6" t="n"/>
      <c r="L56" s="8" t="n"/>
      <c r="M56" s="8" t="n"/>
      <c r="N56" s="8" t="n"/>
      <c r="O56" s="8" t="n"/>
      <c r="P56" s="8" t="n"/>
      <c r="Q56" s="8">
        <f>IF(OR(O56="",P56=""),"",MIN(O56,P56)-N56)</f>
        <v/>
      </c>
      <c r="R56" s="6" t="n"/>
      <c r="S56" s="6" t="n"/>
      <c r="T56" s="6" t="n"/>
      <c r="U56" s="6" t="n"/>
      <c r="V56" s="6" t="n"/>
      <c r="W56" s="6" t="n"/>
      <c r="X56" s="6" t="n"/>
      <c r="Y56" s="6" t="n"/>
      <c r="Z56" s="6" t="inlineStr">
        <is>
          <t>1현장: 금호</t>
        </is>
      </c>
      <c r="AA56" s="8" t="n">
        <v>90000</v>
      </c>
      <c r="AB56" s="8" t="n">
        <v>30000</v>
      </c>
    </row>
    <row r="57">
      <c r="A57" s="9" t="inlineStr">
        <is>
          <t>FN-23E</t>
        </is>
      </c>
      <c r="B57" s="9" t="inlineStr">
        <is>
          <t>바흐만 콘센트</t>
        </is>
      </c>
      <c r="C57" s="6" t="inlineStr">
        <is>
          <t>주방</t>
        </is>
      </c>
      <c r="D57" s="6" t="inlineStr"/>
      <c r="E57" s="6" t="inlineStr">
        <is>
          <t>필수</t>
        </is>
      </c>
      <c r="F57" s="6" t="inlineStr">
        <is>
          <t>EA</t>
        </is>
      </c>
      <c r="G57" s="6" t="n"/>
      <c r="H57" s="6" t="n"/>
      <c r="I57" s="7">
        <f>IF(G57="","",G57*(1+H57/100))</f>
        <v/>
      </c>
      <c r="J57" s="6" t="n"/>
      <c r="K57" s="6" t="n"/>
      <c r="L57" s="8" t="n"/>
      <c r="M57" s="8" t="n"/>
      <c r="N57" s="8" t="n"/>
      <c r="O57" s="8" t="n"/>
      <c r="P57" s="8" t="n"/>
      <c r="Q57" s="8">
        <f>IF(OR(O57="",P57=""),"",MIN(O57,P57)-N57)</f>
        <v/>
      </c>
      <c r="R57" s="6" t="n"/>
      <c r="S57" s="6" t="n"/>
      <c r="T57" s="6" t="n"/>
      <c r="U57" s="6" t="n"/>
      <c r="V57" s="6" t="n"/>
      <c r="W57" s="6" t="n"/>
      <c r="X57" s="6" t="n"/>
      <c r="Y57" s="6" t="n"/>
      <c r="Z57" s="6" t="inlineStr">
        <is>
          <t>1현장: 금호</t>
        </is>
      </c>
      <c r="AA57" s="8" t="n">
        <v>130000</v>
      </c>
      <c r="AB57" s="8" t="n">
        <v>30000</v>
      </c>
    </row>
    <row r="58">
      <c r="A58" s="9" t="inlineStr">
        <is>
          <t>FN-24E</t>
        </is>
      </c>
      <c r="B58" s="9" t="inlineStr">
        <is>
          <t>벤치</t>
        </is>
      </c>
      <c r="C58" s="6" t="inlineStr">
        <is>
          <t>별도</t>
        </is>
      </c>
      <c r="D58" s="6" t="inlineStr">
        <is>
          <t>현관</t>
        </is>
      </c>
      <c r="E58" s="6" t="inlineStr">
        <is>
          <t>필수</t>
        </is>
      </c>
      <c r="F58" s="6" t="inlineStr">
        <is>
          <t>식</t>
        </is>
      </c>
      <c r="G58" s="6" t="n"/>
      <c r="H58" s="6" t="n"/>
      <c r="I58" s="7">
        <f>IF(G58="","",G58*(1+H58/100))</f>
        <v/>
      </c>
      <c r="J58" s="6" t="n"/>
      <c r="K58" s="6" t="n"/>
      <c r="L58" s="8" t="n"/>
      <c r="M58" s="8" t="n"/>
      <c r="N58" s="8" t="n"/>
      <c r="O58" s="8" t="n"/>
      <c r="P58" s="8" t="n"/>
      <c r="Q58" s="8">
        <f>IF(OR(O58="",P58=""),"",MIN(O58,P58)-N58)</f>
        <v/>
      </c>
      <c r="R58" s="6" t="n"/>
      <c r="S58" s="6" t="n"/>
      <c r="T58" s="6" t="n"/>
      <c r="U58" s="6" t="n"/>
      <c r="V58" s="6" t="n"/>
      <c r="W58" s="6" t="n"/>
      <c r="X58" s="6" t="n"/>
      <c r="Y58" s="6" t="n"/>
      <c r="Z58" s="6" t="inlineStr">
        <is>
          <t>1현장: 만현</t>
        </is>
      </c>
      <c r="AA58" s="8" t="n"/>
      <c r="AB58" s="8" t="n"/>
    </row>
    <row r="59">
      <c r="A59" s="9" t="inlineStr">
        <is>
          <t>FN-25E</t>
        </is>
      </c>
      <c r="B59" s="9" t="inlineStr">
        <is>
          <t>벽체 선반</t>
        </is>
      </c>
      <c r="C59" s="6" t="inlineStr">
        <is>
          <t>—</t>
        </is>
      </c>
      <c r="D59" s="6" t="inlineStr">
        <is>
          <t>침실2</t>
        </is>
      </c>
      <c r="E59" s="6" t="inlineStr">
        <is>
          <t>필수</t>
        </is>
      </c>
      <c r="F59" s="6" t="inlineStr">
        <is>
          <t>식</t>
        </is>
      </c>
      <c r="G59" s="6" t="n"/>
      <c r="H59" s="6" t="n"/>
      <c r="I59" s="7">
        <f>IF(G59="","",G59*(1+H59/100))</f>
        <v/>
      </c>
      <c r="J59" s="6" t="n"/>
      <c r="K59" s="6" t="n"/>
      <c r="L59" s="8" t="n"/>
      <c r="M59" s="8" t="n"/>
      <c r="N59" s="8" t="n"/>
      <c r="O59" s="8" t="n"/>
      <c r="P59" s="8" t="n"/>
      <c r="Q59" s="8">
        <f>IF(OR(O59="",P59=""),"",MIN(O59,P59)-N59)</f>
        <v/>
      </c>
      <c r="R59" s="6" t="n"/>
      <c r="S59" s="6" t="n"/>
      <c r="T59" s="6" t="n"/>
      <c r="U59" s="6" t="n"/>
      <c r="V59" s="6" t="n"/>
      <c r="W59" s="6" t="n"/>
      <c r="X59" s="6" t="n"/>
      <c r="Y59" s="6" t="n"/>
      <c r="Z59" s="6" t="inlineStr">
        <is>
          <t>1현장: 이선</t>
        </is>
      </c>
      <c r="AA59" s="8" t="n">
        <v>350000</v>
      </c>
      <c r="AB59" s="8" t="n">
        <v>50000</v>
      </c>
    </row>
    <row r="60">
      <c r="A60" s="9" t="inlineStr">
        <is>
          <t>FN-26E</t>
        </is>
      </c>
      <c r="B60" s="9" t="inlineStr">
        <is>
          <t>보조주방</t>
        </is>
      </c>
      <c r="C60" s="6" t="inlineStr">
        <is>
          <t>—</t>
        </is>
      </c>
      <c r="D60" s="6" t="inlineStr">
        <is>
          <t>보조주방</t>
        </is>
      </c>
      <c r="E60" s="6" t="inlineStr">
        <is>
          <t>필수</t>
        </is>
      </c>
      <c r="F60" s="6" t="inlineStr">
        <is>
          <t>M</t>
        </is>
      </c>
      <c r="G60" s="6" t="n"/>
      <c r="H60" s="6" t="n"/>
      <c r="I60" s="7">
        <f>IF(G60="","",G60*(1+H60/100))</f>
        <v/>
      </c>
      <c r="J60" s="6" t="n"/>
      <c r="K60" s="6" t="n"/>
      <c r="L60" s="8" t="n"/>
      <c r="M60" s="8" t="n"/>
      <c r="N60" s="8" t="n"/>
      <c r="O60" s="8" t="n"/>
      <c r="P60" s="8" t="n"/>
      <c r="Q60" s="8">
        <f>IF(OR(O60="",P60=""),"",MIN(O60,P60)-N60)</f>
        <v/>
      </c>
      <c r="R60" s="6" t="n"/>
      <c r="S60" s="6" t="n"/>
      <c r="T60" s="6" t="n"/>
      <c r="U60" s="6" t="n"/>
      <c r="V60" s="6" t="n"/>
      <c r="W60" s="6" t="n"/>
      <c r="X60" s="6" t="n"/>
      <c r="Y60" s="6" t="n"/>
      <c r="Z60" s="6" t="inlineStr">
        <is>
          <t>1현장: 행당동</t>
        </is>
      </c>
      <c r="AA60" s="8" t="n">
        <v>275000</v>
      </c>
      <c r="AB60" s="8" t="n">
        <v>55000</v>
      </c>
    </row>
    <row r="61">
      <c r="A61" s="9" t="inlineStr">
        <is>
          <t>FN-27E</t>
        </is>
      </c>
      <c r="B61" s="9" t="inlineStr">
        <is>
          <t>보조주방 / 마감판넬 EP</t>
        </is>
      </c>
      <c r="C61" s="6" t="inlineStr">
        <is>
          <t>—</t>
        </is>
      </c>
      <c r="D61" s="6" t="inlineStr">
        <is>
          <t>보조주방 좌우</t>
        </is>
      </c>
      <c r="E61" s="6" t="inlineStr">
        <is>
          <t>필수</t>
        </is>
      </c>
      <c r="F61" s="6" t="inlineStr">
        <is>
          <t>식</t>
        </is>
      </c>
      <c r="G61" s="6" t="n"/>
      <c r="H61" s="6" t="n"/>
      <c r="I61" s="7">
        <f>IF(G61="","",G61*(1+H61/100))</f>
        <v/>
      </c>
      <c r="J61" s="6" t="n"/>
      <c r="K61" s="6" t="n"/>
      <c r="L61" s="8" t="n"/>
      <c r="M61" s="8" t="n"/>
      <c r="N61" s="8" t="n"/>
      <c r="O61" s="8" t="n"/>
      <c r="P61" s="8" t="n"/>
      <c r="Q61" s="8">
        <f>IF(OR(O61="",P61=""),"",MIN(O61,P61)-N61)</f>
        <v/>
      </c>
      <c r="R61" s="6" t="n"/>
      <c r="S61" s="6" t="n"/>
      <c r="T61" s="6" t="n"/>
      <c r="U61" s="6" t="n"/>
      <c r="V61" s="6" t="n"/>
      <c r="W61" s="6" t="n"/>
      <c r="X61" s="6" t="n"/>
      <c r="Y61" s="6" t="n"/>
      <c r="Z61" s="6" t="inlineStr">
        <is>
          <t>1현장: 행당동</t>
        </is>
      </c>
      <c r="AA61" s="8" t="n">
        <v>80000</v>
      </c>
      <c r="AB61" s="8" t="n">
        <v>55000</v>
      </c>
    </row>
    <row r="62">
      <c r="A62" s="9" t="inlineStr">
        <is>
          <t>FN-28E</t>
        </is>
      </c>
      <c r="B62" s="9" t="inlineStr">
        <is>
          <t>보조주방 인조대리석</t>
        </is>
      </c>
      <c r="C62" s="6" t="inlineStr">
        <is>
          <t>—</t>
        </is>
      </c>
      <c r="D62" s="6" t="inlineStr">
        <is>
          <t>세라믹 / 인피니티</t>
        </is>
      </c>
      <c r="E62" s="6" t="inlineStr">
        <is>
          <t>필수</t>
        </is>
      </c>
      <c r="F62" s="6" t="inlineStr">
        <is>
          <t>M</t>
        </is>
      </c>
      <c r="G62" s="6" t="n"/>
      <c r="H62" s="6" t="n"/>
      <c r="I62" s="7">
        <f>IF(G62="","",G62*(1+H62/100))</f>
        <v/>
      </c>
      <c r="J62" s="6" t="n"/>
      <c r="K62" s="6" t="n"/>
      <c r="L62" s="8" t="n"/>
      <c r="M62" s="8" t="n"/>
      <c r="N62" s="8" t="n"/>
      <c r="O62" s="8" t="n"/>
      <c r="P62" s="8" t="n"/>
      <c r="Q62" s="8">
        <f>IF(OR(O62="",P62=""),"",MIN(O62,P62)-N62)</f>
        <v/>
      </c>
      <c r="R62" s="6" t="n"/>
      <c r="S62" s="6" t="n"/>
      <c r="T62" s="6" t="n"/>
      <c r="U62" s="6" t="n"/>
      <c r="V62" s="6" t="n"/>
      <c r="W62" s="6" t="n"/>
      <c r="X62" s="6" t="n"/>
      <c r="Y62" s="6" t="n"/>
      <c r="Z62" s="6" t="inlineStr">
        <is>
          <t>4현장: 금호,이선,전기영,행당동</t>
        </is>
      </c>
      <c r="AA62" s="8" t="n">
        <v>250000</v>
      </c>
      <c r="AB62" s="8" t="n">
        <v>150000</v>
      </c>
    </row>
    <row r="63">
      <c r="A63" s="9" t="inlineStr">
        <is>
          <t>FN-29E</t>
        </is>
      </c>
      <c r="B63" s="9" t="inlineStr">
        <is>
          <t>붙박이 장</t>
        </is>
      </c>
      <c r="C63" s="6" t="inlineStr">
        <is>
          <t>창문 앞</t>
        </is>
      </c>
      <c r="D63" s="6" t="inlineStr">
        <is>
          <t>세면대 벽 매립</t>
        </is>
      </c>
      <c r="E63" s="6" t="inlineStr">
        <is>
          <t>필수</t>
        </is>
      </c>
      <c r="F63" s="6" t="inlineStr">
        <is>
          <t>자</t>
        </is>
      </c>
      <c r="G63" s="6" t="n"/>
      <c r="H63" s="6" t="n"/>
      <c r="I63" s="7">
        <f>IF(G63="","",G63*(1+H63/100))</f>
        <v/>
      </c>
      <c r="J63" s="6" t="n"/>
      <c r="K63" s="6" t="n"/>
      <c r="L63" s="8" t="n"/>
      <c r="M63" s="8" t="n"/>
      <c r="N63" s="8" t="n"/>
      <c r="O63" s="8" t="n"/>
      <c r="P63" s="8" t="n"/>
      <c r="Q63" s="8">
        <f>IF(OR(O63="",P63=""),"",MIN(O63,P63)-N63)</f>
        <v/>
      </c>
      <c r="R63" s="6" t="n"/>
      <c r="S63" s="6" t="n"/>
      <c r="T63" s="6" t="n"/>
      <c r="U63" s="6" t="n"/>
      <c r="V63" s="6" t="n"/>
      <c r="W63" s="6" t="n"/>
      <c r="X63" s="6" t="n"/>
      <c r="Y63" s="6" t="n"/>
      <c r="Z63" s="6" t="inlineStr">
        <is>
          <t>13현장: 금호,김성용,김은경,린스,만현</t>
        </is>
      </c>
      <c r="AA63" s="8" t="n">
        <v>130000</v>
      </c>
      <c r="AB63" s="8" t="n">
        <v>30000</v>
      </c>
    </row>
    <row r="64">
      <c r="A64" s="9" t="inlineStr">
        <is>
          <t>FN-30E</t>
        </is>
      </c>
      <c r="B64" s="9" t="inlineStr">
        <is>
          <t>붙박이 장 매립 간접 조명</t>
        </is>
      </c>
      <c r="C64" s="6" t="inlineStr">
        <is>
          <t>—</t>
        </is>
      </c>
      <c r="D64" s="6" t="inlineStr"/>
      <c r="E64" s="6" t="inlineStr">
        <is>
          <t>필수</t>
        </is>
      </c>
      <c r="F64" s="6" t="inlineStr">
        <is>
          <t>SET</t>
        </is>
      </c>
      <c r="G64" s="6" t="n"/>
      <c r="H64" s="6" t="n"/>
      <c r="I64" s="7">
        <f>IF(G64="","",G64*(1+H64/100))</f>
        <v/>
      </c>
      <c r="J64" s="6" t="n"/>
      <c r="K64" s="6" t="n"/>
      <c r="L64" s="8" t="n"/>
      <c r="M64" s="8" t="n"/>
      <c r="N64" s="8" t="n"/>
      <c r="O64" s="8" t="n"/>
      <c r="P64" s="8" t="n"/>
      <c r="Q64" s="8">
        <f>IF(OR(O64="",P64=""),"",MIN(O64,P64)-N64)</f>
        <v/>
      </c>
      <c r="R64" s="6" t="n"/>
      <c r="S64" s="6" t="n"/>
      <c r="T64" s="6" t="n"/>
      <c r="U64" s="6" t="n"/>
      <c r="V64" s="6" t="n"/>
      <c r="W64" s="6" t="n"/>
      <c r="X64" s="6" t="n"/>
      <c r="Y64" s="6" t="n"/>
      <c r="Z64" s="6" t="inlineStr">
        <is>
          <t>1현장: 이선</t>
        </is>
      </c>
      <c r="AA64" s="8" t="n">
        <v>250000</v>
      </c>
      <c r="AB64" s="8" t="n"/>
    </row>
    <row r="65">
      <c r="A65" s="9" t="inlineStr">
        <is>
          <t>FN-31E</t>
        </is>
      </c>
      <c r="B65" s="9" t="inlineStr">
        <is>
          <t>상,하부장</t>
        </is>
      </c>
      <c r="C65" s="6" t="inlineStr">
        <is>
          <t>PS합판</t>
        </is>
      </c>
      <c r="D65" s="6" t="inlineStr">
        <is>
          <t>거실,안방</t>
        </is>
      </c>
      <c r="E65" s="6" t="inlineStr">
        <is>
          <t>필수</t>
        </is>
      </c>
      <c r="F65" s="6" t="inlineStr">
        <is>
          <t>식</t>
        </is>
      </c>
      <c r="G65" s="6" t="n"/>
      <c r="H65" s="6" t="n"/>
      <c r="I65" s="7">
        <f>IF(G65="","",G65*(1+H65/100))</f>
        <v/>
      </c>
      <c r="J65" s="6" t="n"/>
      <c r="K65" s="6" t="n"/>
      <c r="L65" s="8" t="n"/>
      <c r="M65" s="8" t="n"/>
      <c r="N65" s="8" t="n"/>
      <c r="O65" s="8" t="n"/>
      <c r="P65" s="8" t="n"/>
      <c r="Q65" s="8">
        <f>IF(OR(O65="",P65=""),"",MIN(O65,P65)-N65)</f>
        <v/>
      </c>
      <c r="R65" s="6" t="n"/>
      <c r="S65" s="6" t="n"/>
      <c r="T65" s="6" t="n"/>
      <c r="U65" s="6" t="n"/>
      <c r="V65" s="6" t="n"/>
      <c r="W65" s="6" t="n"/>
      <c r="X65" s="6" t="n"/>
      <c r="Y65" s="6" t="n"/>
      <c r="Z65" s="6" t="inlineStr">
        <is>
          <t>2현장: 산본,진산</t>
        </is>
      </c>
      <c r="AA65" s="8" t="n">
        <v>910000</v>
      </c>
      <c r="AB65" s="8" t="n">
        <v>125000</v>
      </c>
    </row>
    <row r="66">
      <c r="A66" s="9" t="inlineStr">
        <is>
          <t>FN-32E</t>
        </is>
      </c>
      <c r="B66" s="9" t="inlineStr">
        <is>
          <t>상판자재</t>
        </is>
      </c>
      <c r="C66" s="6" t="inlineStr">
        <is>
          <t>세라믹 / 보조주방 / 미드웨이</t>
        </is>
      </c>
      <c r="D66" s="6" t="inlineStr">
        <is>
          <t>인조대리석</t>
        </is>
      </c>
      <c r="E66" s="6" t="inlineStr">
        <is>
          <t>필수</t>
        </is>
      </c>
      <c r="F66" s="6" t="inlineStr">
        <is>
          <t>M2</t>
        </is>
      </c>
      <c r="G66" s="6" t="n"/>
      <c r="H66" s="6" t="n"/>
      <c r="I66" s="7">
        <f>IF(G66="","",G66*(1+H66/100))</f>
        <v/>
      </c>
      <c r="J66" s="6" t="n"/>
      <c r="K66" s="6" t="n"/>
      <c r="L66" s="8" t="n"/>
      <c r="M66" s="8" t="n"/>
      <c r="N66" s="8" t="n"/>
      <c r="O66" s="8" t="n"/>
      <c r="P66" s="8" t="n"/>
      <c r="Q66" s="8">
        <f>IF(OR(O66="",P66=""),"",MIN(O66,P66)-N66)</f>
        <v/>
      </c>
      <c r="R66" s="6" t="n"/>
      <c r="S66" s="6" t="n"/>
      <c r="T66" s="6" t="n"/>
      <c r="U66" s="6" t="n"/>
      <c r="V66" s="6" t="n"/>
      <c r="W66" s="6" t="n"/>
      <c r="X66" s="6" t="n"/>
      <c r="Y66" s="6" t="n"/>
      <c r="Z66" s="6" t="inlineStr">
        <is>
          <t>2현장: 김성용,김은경</t>
        </is>
      </c>
      <c r="AA66" s="8" t="n">
        <v>962500</v>
      </c>
      <c r="AB66" s="8" t="n">
        <v>212500</v>
      </c>
    </row>
    <row r="67">
      <c r="A67" s="9" t="inlineStr">
        <is>
          <t>FN-33E</t>
        </is>
      </c>
      <c r="B67" s="9" t="inlineStr">
        <is>
          <t>서랍재 / 인덕션</t>
        </is>
      </c>
      <c r="C67" s="6" t="inlineStr">
        <is>
          <t>BLUM</t>
        </is>
      </c>
      <c r="D67" s="6" t="inlineStr"/>
      <c r="E67" s="6" t="inlineStr">
        <is>
          <t>필수</t>
        </is>
      </c>
      <c r="F67" s="6" t="inlineStr">
        <is>
          <t>SET</t>
        </is>
      </c>
      <c r="G67" s="6" t="n"/>
      <c r="H67" s="6" t="n"/>
      <c r="I67" s="7">
        <f>IF(G67="","",G67*(1+H67/100))</f>
        <v/>
      </c>
      <c r="J67" s="6" t="n"/>
      <c r="K67" s="6" t="n"/>
      <c r="L67" s="8" t="n"/>
      <c r="M67" s="8" t="n"/>
      <c r="N67" s="8" t="n"/>
      <c r="O67" s="8" t="n"/>
      <c r="P67" s="8" t="n"/>
      <c r="Q67" s="8">
        <f>IF(OR(O67="",P67=""),"",MIN(O67,P67)-N67)</f>
        <v/>
      </c>
      <c r="R67" s="6" t="n"/>
      <c r="S67" s="6" t="n"/>
      <c r="T67" s="6" t="n"/>
      <c r="U67" s="6" t="n"/>
      <c r="V67" s="6" t="n"/>
      <c r="W67" s="6" t="n"/>
      <c r="X67" s="6" t="n"/>
      <c r="Y67" s="6" t="n"/>
      <c r="Z67" s="6" t="inlineStr">
        <is>
          <t>1현장: 행당동</t>
        </is>
      </c>
      <c r="AA67" s="8" t="n">
        <v>165000</v>
      </c>
      <c r="AB67" s="8" t="n">
        <v>40000</v>
      </c>
    </row>
    <row r="68">
      <c r="A68" s="9" t="inlineStr">
        <is>
          <t>FN-34E</t>
        </is>
      </c>
      <c r="B68" s="9" t="inlineStr">
        <is>
          <t>서스 선반</t>
        </is>
      </c>
      <c r="C68" s="6" t="inlineStr">
        <is>
          <t>SUS 헤어라인</t>
        </is>
      </c>
      <c r="D68" s="6" t="inlineStr">
        <is>
          <t>주방</t>
        </is>
      </c>
      <c r="E68" s="6" t="inlineStr">
        <is>
          <t>필수</t>
        </is>
      </c>
      <c r="F68" s="6" t="inlineStr">
        <is>
          <t>식</t>
        </is>
      </c>
      <c r="G68" s="6" t="n"/>
      <c r="H68" s="6" t="n"/>
      <c r="I68" s="7">
        <f>IF(G68="","",G68*(1+H68/100))</f>
        <v/>
      </c>
      <c r="J68" s="6" t="n"/>
      <c r="K68" s="6" t="n"/>
      <c r="L68" s="8" t="n"/>
      <c r="M68" s="8" t="n"/>
      <c r="N68" s="8" t="n"/>
      <c r="O68" s="8" t="n"/>
      <c r="P68" s="8" t="n"/>
      <c r="Q68" s="8">
        <f>IF(OR(O68="",P68=""),"",MIN(O68,P68)-N68)</f>
        <v/>
      </c>
      <c r="R68" s="6" t="n"/>
      <c r="S68" s="6" t="n"/>
      <c r="T68" s="6" t="n"/>
      <c r="U68" s="6" t="n"/>
      <c r="V68" s="6" t="n"/>
      <c r="W68" s="6" t="n"/>
      <c r="X68" s="6" t="n"/>
      <c r="Y68" s="6" t="n"/>
      <c r="Z68" s="6" t="inlineStr">
        <is>
          <t>1현장: 백현</t>
        </is>
      </c>
      <c r="AA68" s="8" t="n">
        <v>180000</v>
      </c>
      <c r="AB68" s="8" t="n">
        <v>70000</v>
      </c>
    </row>
    <row r="69">
      <c r="A69" s="9" t="inlineStr">
        <is>
          <t>FN-35E</t>
        </is>
      </c>
      <c r="B69" s="9" t="inlineStr">
        <is>
          <t>선반</t>
        </is>
      </c>
      <c r="C69" s="6" t="inlineStr">
        <is>
          <t>현관, 다이닝, 세탁실</t>
        </is>
      </c>
      <c r="D69" s="6" t="inlineStr"/>
      <c r="E69" s="6" t="inlineStr">
        <is>
          <t>필수</t>
        </is>
      </c>
      <c r="F69" s="6" t="inlineStr">
        <is>
          <t>EA</t>
        </is>
      </c>
      <c r="G69" s="6" t="n"/>
      <c r="H69" s="6" t="n"/>
      <c r="I69" s="7">
        <f>IF(G69="","",G69*(1+H69/100))</f>
        <v/>
      </c>
      <c r="J69" s="6" t="n"/>
      <c r="K69" s="6" t="n"/>
      <c r="L69" s="8" t="n"/>
      <c r="M69" s="8" t="n"/>
      <c r="N69" s="8" t="n"/>
      <c r="O69" s="8" t="n"/>
      <c r="P69" s="8" t="n"/>
      <c r="Q69" s="8">
        <f>IF(OR(O69="",P69=""),"",MIN(O69,P69)-N69)</f>
        <v/>
      </c>
      <c r="R69" s="6" t="n"/>
      <c r="S69" s="6" t="n"/>
      <c r="T69" s="6" t="n"/>
      <c r="U69" s="6" t="n"/>
      <c r="V69" s="6" t="n"/>
      <c r="W69" s="6" t="n"/>
      <c r="X69" s="6" t="n"/>
      <c r="Y69" s="6" t="n"/>
      <c r="Z69" s="6" t="inlineStr">
        <is>
          <t>1현장: 이성숙</t>
        </is>
      </c>
      <c r="AA69" s="8" t="n">
        <v>20000</v>
      </c>
      <c r="AB69" s="8" t="n">
        <v>5000</v>
      </c>
    </row>
    <row r="70">
      <c r="A70" s="9" t="inlineStr">
        <is>
          <t>FN-36E</t>
        </is>
      </c>
      <c r="B70" s="9" t="inlineStr">
        <is>
          <t>선반 난간대</t>
        </is>
      </c>
      <c r="C70" s="6" t="inlineStr">
        <is>
          <t>—</t>
        </is>
      </c>
      <c r="D70" s="6" t="inlineStr">
        <is>
          <t>주방</t>
        </is>
      </c>
      <c r="E70" s="6" t="inlineStr">
        <is>
          <t>필수</t>
        </is>
      </c>
      <c r="F70" s="6" t="inlineStr">
        <is>
          <t>EA</t>
        </is>
      </c>
      <c r="G70" s="6" t="n"/>
      <c r="H70" s="6" t="n"/>
      <c r="I70" s="7">
        <f>IF(G70="","",G70*(1+H70/100))</f>
        <v/>
      </c>
      <c r="J70" s="6" t="n"/>
      <c r="K70" s="6" t="n"/>
      <c r="L70" s="8" t="n"/>
      <c r="M70" s="8" t="n"/>
      <c r="N70" s="8" t="n"/>
      <c r="O70" s="8" t="n"/>
      <c r="P70" s="8" t="n"/>
      <c r="Q70" s="8">
        <f>IF(OR(O70="",P70=""),"",MIN(O70,P70)-N70)</f>
        <v/>
      </c>
      <c r="R70" s="6" t="n"/>
      <c r="S70" s="6" t="n"/>
      <c r="T70" s="6" t="n"/>
      <c r="U70" s="6" t="n"/>
      <c r="V70" s="6" t="n"/>
      <c r="W70" s="6" t="n"/>
      <c r="X70" s="6" t="n"/>
      <c r="Y70" s="6" t="n"/>
      <c r="Z70" s="6" t="inlineStr">
        <is>
          <t>4현장: 린스,만현,백현,푸르지오</t>
        </is>
      </c>
      <c r="AA70" s="8" t="n">
        <v>120000</v>
      </c>
      <c r="AB70" s="8" t="n">
        <v>50000</v>
      </c>
    </row>
    <row r="71">
      <c r="A71" s="9" t="inlineStr">
        <is>
          <t>FN-37E</t>
        </is>
      </c>
      <c r="B71" s="9" t="inlineStr">
        <is>
          <t>세라믹</t>
        </is>
      </c>
      <c r="C71" s="6" t="inlineStr">
        <is>
          <t>CIPOLLINO GLOSSY (12T)</t>
        </is>
      </c>
      <c r="D71" s="6" t="inlineStr">
        <is>
          <t>주방</t>
        </is>
      </c>
      <c r="E71" s="6" t="inlineStr">
        <is>
          <t>필수</t>
        </is>
      </c>
      <c r="F71" s="6" t="inlineStr">
        <is>
          <t>EA</t>
        </is>
      </c>
      <c r="G71" s="6" t="n"/>
      <c r="H71" s="6" t="n"/>
      <c r="I71" s="7">
        <f>IF(G71="","",G71*(1+H71/100))</f>
        <v/>
      </c>
      <c r="J71" s="6" t="n"/>
      <c r="K71" s="6" t="n"/>
      <c r="L71" s="8" t="n"/>
      <c r="M71" s="8" t="n"/>
      <c r="N71" s="8" t="n"/>
      <c r="O71" s="8" t="n"/>
      <c r="P71" s="8" t="n"/>
      <c r="Q71" s="8">
        <f>IF(OR(O71="",P71=""),"",MIN(O71,P71)-N71)</f>
        <v/>
      </c>
      <c r="R71" s="6" t="n"/>
      <c r="S71" s="6" t="n"/>
      <c r="T71" s="6" t="n"/>
      <c r="U71" s="6" t="n"/>
      <c r="V71" s="6" t="n"/>
      <c r="W71" s="6" t="n"/>
      <c r="X71" s="6" t="n"/>
      <c r="Y71" s="6" t="n"/>
      <c r="Z71" s="6" t="inlineStr">
        <is>
          <t>1현장: 산본</t>
        </is>
      </c>
      <c r="AA71" s="8" t="n">
        <v>870000</v>
      </c>
      <c r="AB71" s="8" t="n"/>
    </row>
    <row r="72">
      <c r="A72" s="9" t="inlineStr">
        <is>
          <t>FN-38E</t>
        </is>
      </c>
      <c r="B72" s="9" t="inlineStr">
        <is>
          <t>세라믹 인가공,운임 및 시공비</t>
        </is>
      </c>
      <c r="C72" s="6" t="inlineStr">
        <is>
          <t>공장 발주 후 확인</t>
        </is>
      </c>
      <c r="D72" s="6" t="inlineStr">
        <is>
          <t>세라믹 전체</t>
        </is>
      </c>
      <c r="E72" s="6" t="inlineStr">
        <is>
          <t>필수</t>
        </is>
      </c>
      <c r="F72" s="6" t="inlineStr">
        <is>
          <t>식</t>
        </is>
      </c>
      <c r="G72" s="6" t="n"/>
      <c r="H72" s="6" t="n"/>
      <c r="I72" s="7">
        <f>IF(G72="","",G72*(1+H72/100))</f>
        <v/>
      </c>
      <c r="J72" s="6" t="n"/>
      <c r="K72" s="6" t="n"/>
      <c r="L72" s="8" t="n"/>
      <c r="M72" s="8" t="n"/>
      <c r="N72" s="8" t="n"/>
      <c r="O72" s="8" t="n"/>
      <c r="P72" s="8" t="n"/>
      <c r="Q72" s="8">
        <f>IF(OR(O72="",P72=""),"",MIN(O72,P72)-N72)</f>
        <v/>
      </c>
      <c r="R72" s="6" t="n"/>
      <c r="S72" s="6" t="n"/>
      <c r="T72" s="6" t="n"/>
      <c r="U72" s="6" t="n"/>
      <c r="V72" s="6" t="n"/>
      <c r="W72" s="6" t="n"/>
      <c r="X72" s="6" t="n"/>
      <c r="Y72" s="6" t="n"/>
      <c r="Z72" s="6" t="inlineStr">
        <is>
          <t>1현장: 산본</t>
        </is>
      </c>
      <c r="AA72" s="8" t="n"/>
      <c r="AB72" s="8" t="n"/>
    </row>
    <row r="73">
      <c r="A73" s="9" t="inlineStr">
        <is>
          <t>FN-39E</t>
        </is>
      </c>
      <c r="B73" s="9" t="inlineStr">
        <is>
          <t>세탁기 장</t>
        </is>
      </c>
      <c r="C73" s="6" t="inlineStr">
        <is>
          <t>플랩장</t>
        </is>
      </c>
      <c r="D73" s="6" t="inlineStr">
        <is>
          <t>패트도어</t>
        </is>
      </c>
      <c r="E73" s="6" t="inlineStr">
        <is>
          <t>필수</t>
        </is>
      </c>
      <c r="F73" s="6" t="inlineStr">
        <is>
          <t>EA</t>
        </is>
      </c>
      <c r="G73" s="6" t="n"/>
      <c r="H73" s="6" t="n"/>
      <c r="I73" s="7">
        <f>IF(G73="","",G73*(1+H73/100))</f>
        <v/>
      </c>
      <c r="J73" s="6" t="n"/>
      <c r="K73" s="6" t="n"/>
      <c r="L73" s="8" t="n"/>
      <c r="M73" s="8" t="n"/>
      <c r="N73" s="8" t="n"/>
      <c r="O73" s="8" t="n"/>
      <c r="P73" s="8" t="n"/>
      <c r="Q73" s="8">
        <f>IF(OR(O73="",P73=""),"",MIN(O73,P73)-N73)</f>
        <v/>
      </c>
      <c r="R73" s="6" t="n"/>
      <c r="S73" s="6" t="n"/>
      <c r="T73" s="6" t="n"/>
      <c r="U73" s="6" t="n"/>
      <c r="V73" s="6" t="n"/>
      <c r="W73" s="6" t="n"/>
      <c r="X73" s="6" t="n"/>
      <c r="Y73" s="6" t="n"/>
      <c r="Z73" s="6" t="inlineStr">
        <is>
          <t>3현장: 김성용,백현,전기영</t>
        </is>
      </c>
      <c r="AA73" s="8" t="n">
        <v>350000</v>
      </c>
      <c r="AB73" s="8" t="n">
        <v>50000</v>
      </c>
    </row>
    <row r="74">
      <c r="A74" s="9" t="inlineStr">
        <is>
          <t>FN-40E</t>
        </is>
      </c>
      <c r="B74" s="9" t="inlineStr">
        <is>
          <t>스타일러</t>
        </is>
      </c>
      <c r="C74" s="6" t="inlineStr">
        <is>
          <t>플랩장</t>
        </is>
      </c>
      <c r="D74" s="6" t="inlineStr">
        <is>
          <t>입구방1</t>
        </is>
      </c>
      <c r="E74" s="6" t="inlineStr">
        <is>
          <t>필수</t>
        </is>
      </c>
      <c r="F74" s="6" t="inlineStr">
        <is>
          <t>M</t>
        </is>
      </c>
      <c r="G74" s="6" t="n"/>
      <c r="H74" s="6" t="n"/>
      <c r="I74" s="7">
        <f>IF(G74="","",G74*(1+H74/100))</f>
        <v/>
      </c>
      <c r="J74" s="6" t="n"/>
      <c r="K74" s="6" t="n"/>
      <c r="L74" s="8" t="n"/>
      <c r="M74" s="8" t="n"/>
      <c r="N74" s="8" t="n"/>
      <c r="O74" s="8" t="n"/>
      <c r="P74" s="8" t="n"/>
      <c r="Q74" s="8">
        <f>IF(OR(O74="",P74=""),"",MIN(O74,P74)-N74)</f>
        <v/>
      </c>
      <c r="R74" s="6" t="n"/>
      <c r="S74" s="6" t="n"/>
      <c r="T74" s="6" t="n"/>
      <c r="U74" s="6" t="n"/>
      <c r="V74" s="6" t="n"/>
      <c r="W74" s="6" t="n"/>
      <c r="X74" s="6" t="n"/>
      <c r="Y74" s="6" t="n"/>
      <c r="Z74" s="6" t="inlineStr">
        <is>
          <t>1현장: 진산</t>
        </is>
      </c>
      <c r="AA74" s="8" t="n">
        <v>160000</v>
      </c>
      <c r="AB74" s="8" t="n">
        <v>50000</v>
      </c>
    </row>
    <row r="75">
      <c r="A75" s="9" t="inlineStr">
        <is>
          <t>FN-41E</t>
        </is>
      </c>
      <c r="B75" s="9" t="inlineStr">
        <is>
          <t>스타일러 장</t>
        </is>
      </c>
      <c r="C75" s="6" t="inlineStr">
        <is>
          <t>플랩장</t>
        </is>
      </c>
      <c r="D75" s="6" t="inlineStr">
        <is>
          <t>드레스룸</t>
        </is>
      </c>
      <c r="E75" s="6" t="inlineStr">
        <is>
          <t>필수</t>
        </is>
      </c>
      <c r="F75" s="6" t="inlineStr">
        <is>
          <t>M</t>
        </is>
      </c>
      <c r="G75" s="6" t="n"/>
      <c r="H75" s="6" t="n"/>
      <c r="I75" s="7">
        <f>IF(G75="","",G75*(1+H75/100))</f>
        <v/>
      </c>
      <c r="J75" s="6" t="n"/>
      <c r="K75" s="6" t="n"/>
      <c r="L75" s="8" t="n"/>
      <c r="M75" s="8" t="n"/>
      <c r="N75" s="8" t="n"/>
      <c r="O75" s="8" t="n"/>
      <c r="P75" s="8" t="n"/>
      <c r="Q75" s="8">
        <f>IF(OR(O75="",P75=""),"",MIN(O75,P75)-N75)</f>
        <v/>
      </c>
      <c r="R75" s="6" t="n"/>
      <c r="S75" s="6" t="n"/>
      <c r="T75" s="6" t="n"/>
      <c r="U75" s="6" t="n"/>
      <c r="V75" s="6" t="n"/>
      <c r="W75" s="6" t="n"/>
      <c r="X75" s="6" t="n"/>
      <c r="Y75" s="6" t="n"/>
      <c r="Z75" s="6" t="inlineStr">
        <is>
          <t>3현장: 만현,백현,진산</t>
        </is>
      </c>
      <c r="AA75" s="8" t="n">
        <v>160000</v>
      </c>
      <c r="AB75" s="8" t="n">
        <v>50000</v>
      </c>
    </row>
    <row r="76">
      <c r="A76" s="9" t="inlineStr">
        <is>
          <t>FN-42E</t>
        </is>
      </c>
      <c r="B76" s="9" t="inlineStr">
        <is>
          <t>스텐 벽걸이 행거</t>
        </is>
      </c>
      <c r="C76" s="6" t="inlineStr">
        <is>
          <t>제작</t>
        </is>
      </c>
      <c r="D76" s="6" t="inlineStr"/>
      <c r="E76" s="6" t="inlineStr">
        <is>
          <t>필수</t>
        </is>
      </c>
      <c r="F76" s="6" t="inlineStr">
        <is>
          <t>EA</t>
        </is>
      </c>
      <c r="G76" s="6" t="n"/>
      <c r="H76" s="6" t="n"/>
      <c r="I76" s="7">
        <f>IF(G76="","",G76*(1+H76/100))</f>
        <v/>
      </c>
      <c r="J76" s="6" t="n"/>
      <c r="K76" s="6" t="n"/>
      <c r="L76" s="8" t="n"/>
      <c r="M76" s="8" t="n"/>
      <c r="N76" s="8" t="n"/>
      <c r="O76" s="8" t="n"/>
      <c r="P76" s="8" t="n"/>
      <c r="Q76" s="8">
        <f>IF(OR(O76="",P76=""),"",MIN(O76,P76)-N76)</f>
        <v/>
      </c>
      <c r="R76" s="6" t="n"/>
      <c r="S76" s="6" t="n"/>
      <c r="T76" s="6" t="n"/>
      <c r="U76" s="6" t="n"/>
      <c r="V76" s="6" t="n"/>
      <c r="W76" s="6" t="n"/>
      <c r="X76" s="6" t="n"/>
      <c r="Y76" s="6" t="n"/>
      <c r="Z76" s="6" t="inlineStr">
        <is>
          <t>4현장: 금호,이선,전기영,행당동</t>
        </is>
      </c>
      <c r="AA76" s="8" t="n">
        <v>320000</v>
      </c>
      <c r="AB76" s="8" t="n">
        <v>50000</v>
      </c>
    </row>
    <row r="77">
      <c r="A77" s="9" t="inlineStr">
        <is>
          <t>FN-43E</t>
        </is>
      </c>
      <c r="B77" s="9" t="inlineStr">
        <is>
          <t>시스템 장</t>
        </is>
      </c>
      <c r="C77" s="6" t="inlineStr">
        <is>
          <t>—</t>
        </is>
      </c>
      <c r="D77" s="6" t="inlineStr"/>
      <c r="E77" s="6" t="inlineStr">
        <is>
          <t>필수</t>
        </is>
      </c>
      <c r="F77" s="6" t="inlineStr">
        <is>
          <t>식</t>
        </is>
      </c>
      <c r="G77" s="6" t="n"/>
      <c r="H77" s="6" t="n"/>
      <c r="I77" s="7">
        <f>IF(G77="","",G77*(1+H77/100))</f>
        <v/>
      </c>
      <c r="J77" s="6" t="n"/>
      <c r="K77" s="6" t="n"/>
      <c r="L77" s="8" t="n"/>
      <c r="M77" s="8" t="n"/>
      <c r="N77" s="8" t="n"/>
      <c r="O77" s="8" t="n"/>
      <c r="P77" s="8" t="n"/>
      <c r="Q77" s="8">
        <f>IF(OR(O77="",P77=""),"",MIN(O77,P77)-N77)</f>
        <v/>
      </c>
      <c r="R77" s="6" t="n"/>
      <c r="S77" s="6" t="n"/>
      <c r="T77" s="6" t="n"/>
      <c r="U77" s="6" t="n"/>
      <c r="V77" s="6" t="n"/>
      <c r="W77" s="6" t="n"/>
      <c r="X77" s="6" t="n"/>
      <c r="Y77" s="6" t="n"/>
      <c r="Z77" s="6" t="inlineStr">
        <is>
          <t>1현장: 이성숙</t>
        </is>
      </c>
      <c r="AA77" s="8" t="n">
        <v>175000</v>
      </c>
      <c r="AB77" s="8" t="n">
        <v>30000</v>
      </c>
    </row>
    <row r="78">
      <c r="A78" s="9" t="inlineStr">
        <is>
          <t>FN-44E</t>
        </is>
      </c>
      <c r="B78" s="9" t="inlineStr">
        <is>
          <t>시스템선반</t>
        </is>
      </c>
      <c r="C78" s="6" t="inlineStr">
        <is>
          <t>알파룸</t>
        </is>
      </c>
      <c r="D78" s="6" t="inlineStr">
        <is>
          <t>시스템선반</t>
        </is>
      </c>
      <c r="E78" s="6" t="inlineStr">
        <is>
          <t>필수</t>
        </is>
      </c>
      <c r="F78" s="6" t="inlineStr">
        <is>
          <t>자</t>
        </is>
      </c>
      <c r="G78" s="6" t="n"/>
      <c r="H78" s="6" t="n"/>
      <c r="I78" s="7">
        <f>IF(G78="","",G78*(1+H78/100))</f>
        <v/>
      </c>
      <c r="J78" s="6" t="n"/>
      <c r="K78" s="6" t="n"/>
      <c r="L78" s="8" t="n"/>
      <c r="M78" s="8" t="n"/>
      <c r="N78" s="8" t="n"/>
      <c r="O78" s="8" t="n"/>
      <c r="P78" s="8" t="n"/>
      <c r="Q78" s="8">
        <f>IF(OR(O78="",P78=""),"",MIN(O78,P78)-N78)</f>
        <v/>
      </c>
      <c r="R78" s="6" t="n"/>
      <c r="S78" s="6" t="n"/>
      <c r="T78" s="6" t="n"/>
      <c r="U78" s="6" t="n"/>
      <c r="V78" s="6" t="n"/>
      <c r="W78" s="6" t="n"/>
      <c r="X78" s="6" t="n"/>
      <c r="Y78" s="6" t="n"/>
      <c r="Z78" s="6" t="inlineStr">
        <is>
          <t>2현장: 김성용,김은경</t>
        </is>
      </c>
      <c r="AA78" s="8" t="n">
        <v>35000</v>
      </c>
      <c r="AB78" s="8" t="n">
        <v>10000</v>
      </c>
    </row>
    <row r="79">
      <c r="A79" s="9" t="inlineStr">
        <is>
          <t>FN-45E</t>
        </is>
      </c>
      <c r="B79" s="9" t="inlineStr">
        <is>
          <t>시스템장</t>
        </is>
      </c>
      <c r="C79" s="6" t="inlineStr">
        <is>
          <t>—</t>
        </is>
      </c>
      <c r="D79" s="6" t="inlineStr">
        <is>
          <t>드레스룸</t>
        </is>
      </c>
      <c r="E79" s="6" t="inlineStr">
        <is>
          <t>필수</t>
        </is>
      </c>
      <c r="F79" s="6" t="inlineStr">
        <is>
          <t>자</t>
        </is>
      </c>
      <c r="G79" s="6" t="n"/>
      <c r="H79" s="6" t="n"/>
      <c r="I79" s="7">
        <f>IF(G79="","",G79*(1+H79/100))</f>
        <v/>
      </c>
      <c r="J79" s="6" t="n"/>
      <c r="K79" s="6" t="n"/>
      <c r="L79" s="8" t="n"/>
      <c r="M79" s="8" t="n"/>
      <c r="N79" s="8" t="n"/>
      <c r="O79" s="8" t="n"/>
      <c r="P79" s="8" t="n"/>
      <c r="Q79" s="8">
        <f>IF(OR(O79="",P79=""),"",MIN(O79,P79)-N79)</f>
        <v/>
      </c>
      <c r="R79" s="6" t="n"/>
      <c r="S79" s="6" t="n"/>
      <c r="T79" s="6" t="n"/>
      <c r="U79" s="6" t="n"/>
      <c r="V79" s="6" t="n"/>
      <c r="W79" s="6" t="n"/>
      <c r="X79" s="6" t="n"/>
      <c r="Y79" s="6" t="n"/>
      <c r="Z79" s="6" t="inlineStr">
        <is>
          <t>3현장: 린스,만현,백현</t>
        </is>
      </c>
      <c r="AA79" s="8" t="n">
        <v>30000</v>
      </c>
      <c r="AB79" s="8" t="n">
        <v>10000</v>
      </c>
    </row>
    <row r="80">
      <c r="A80" s="9" t="inlineStr">
        <is>
          <t>FN-46E</t>
        </is>
      </c>
      <c r="B80" s="9" t="inlineStr">
        <is>
          <t>식탁 다리</t>
        </is>
      </c>
      <c r="C80" s="6" t="inlineStr">
        <is>
          <t>미정</t>
        </is>
      </c>
      <c r="D80" s="6" t="inlineStr">
        <is>
          <t>주방</t>
        </is>
      </c>
      <c r="E80" s="6" t="inlineStr">
        <is>
          <t>필수</t>
        </is>
      </c>
      <c r="F80" s="6" t="inlineStr">
        <is>
          <t>식</t>
        </is>
      </c>
      <c r="G80" s="6" t="n"/>
      <c r="H80" s="6" t="n"/>
      <c r="I80" s="7">
        <f>IF(G80="","",G80*(1+H80/100))</f>
        <v/>
      </c>
      <c r="J80" s="6" t="n"/>
      <c r="K80" s="6" t="n"/>
      <c r="L80" s="8" t="n"/>
      <c r="M80" s="8" t="n"/>
      <c r="N80" s="8" t="n"/>
      <c r="O80" s="8" t="n"/>
      <c r="P80" s="8" t="n"/>
      <c r="Q80" s="8">
        <f>IF(OR(O80="",P80=""),"",MIN(O80,P80)-N80)</f>
        <v/>
      </c>
      <c r="R80" s="6" t="n"/>
      <c r="S80" s="6" t="n"/>
      <c r="T80" s="6" t="n"/>
      <c r="U80" s="6" t="n"/>
      <c r="V80" s="6" t="n"/>
      <c r="W80" s="6" t="n"/>
      <c r="X80" s="6" t="n"/>
      <c r="Y80" s="6" t="n"/>
      <c r="Z80" s="6" t="inlineStr">
        <is>
          <t>3현장: 린스,만현,백현</t>
        </is>
      </c>
      <c r="AA80" s="8" t="n"/>
      <c r="AB80" s="8" t="n"/>
    </row>
    <row r="81">
      <c r="A81" s="9" t="inlineStr">
        <is>
          <t>FN-47E</t>
        </is>
      </c>
      <c r="B81" s="9" t="inlineStr">
        <is>
          <t>식탁 마감재</t>
        </is>
      </c>
      <c r="C81" s="6" t="inlineStr">
        <is>
          <t>미정</t>
        </is>
      </c>
      <c r="D81" s="6" t="inlineStr">
        <is>
          <t>주방</t>
        </is>
      </c>
      <c r="E81" s="6" t="inlineStr">
        <is>
          <t>필수</t>
        </is>
      </c>
      <c r="F81" s="6" t="inlineStr">
        <is>
          <t>식</t>
        </is>
      </c>
      <c r="G81" s="6" t="n"/>
      <c r="H81" s="6" t="n"/>
      <c r="I81" s="7">
        <f>IF(G81="","",G81*(1+H81/100))</f>
        <v/>
      </c>
      <c r="J81" s="6" t="n"/>
      <c r="K81" s="6" t="n"/>
      <c r="L81" s="8" t="n"/>
      <c r="M81" s="8" t="n"/>
      <c r="N81" s="8" t="n"/>
      <c r="O81" s="8" t="n"/>
      <c r="P81" s="8" t="n"/>
      <c r="Q81" s="8">
        <f>IF(OR(O81="",P81=""),"",MIN(O81,P81)-N81)</f>
        <v/>
      </c>
      <c r="R81" s="6" t="n"/>
      <c r="S81" s="6" t="n"/>
      <c r="T81" s="6" t="n"/>
      <c r="U81" s="6" t="n"/>
      <c r="V81" s="6" t="n"/>
      <c r="W81" s="6" t="n"/>
      <c r="X81" s="6" t="n"/>
      <c r="Y81" s="6" t="n"/>
      <c r="Z81" s="6" t="inlineStr">
        <is>
          <t>3현장: 린스,만현,백현</t>
        </is>
      </c>
      <c r="AA81" s="8" t="n"/>
      <c r="AB81" s="8" t="n"/>
    </row>
    <row r="82">
      <c r="A82" s="9" t="inlineStr">
        <is>
          <t>FN-48E</t>
        </is>
      </c>
      <c r="B82" s="9" t="inlineStr">
        <is>
          <t>신발 장 가구도어</t>
        </is>
      </c>
      <c r="C82" s="6" t="inlineStr">
        <is>
          <t>—</t>
        </is>
      </c>
      <c r="D82" s="6" t="inlineStr">
        <is>
          <t>현관</t>
        </is>
      </c>
      <c r="E82" s="6" t="inlineStr">
        <is>
          <t>필수</t>
        </is>
      </c>
      <c r="F82" s="6" t="inlineStr">
        <is>
          <t>EA</t>
        </is>
      </c>
      <c r="G82" s="6" t="n"/>
      <c r="H82" s="6" t="n"/>
      <c r="I82" s="7">
        <f>IF(G82="","",G82*(1+H82/100))</f>
        <v/>
      </c>
      <c r="J82" s="6" t="n"/>
      <c r="K82" s="6" t="n"/>
      <c r="L82" s="8" t="n"/>
      <c r="M82" s="8" t="n"/>
      <c r="N82" s="8" t="n"/>
      <c r="O82" s="8" t="n"/>
      <c r="P82" s="8" t="n"/>
      <c r="Q82" s="8">
        <f>IF(OR(O82="",P82=""),"",MIN(O82,P82)-N82)</f>
        <v/>
      </c>
      <c r="R82" s="6" t="n"/>
      <c r="S82" s="6" t="n"/>
      <c r="T82" s="6" t="n"/>
      <c r="U82" s="6" t="n"/>
      <c r="V82" s="6" t="n"/>
      <c r="W82" s="6" t="n"/>
      <c r="X82" s="6" t="n"/>
      <c r="Y82" s="6" t="n"/>
      <c r="Z82" s="6" t="inlineStr">
        <is>
          <t>4현장: 린스,만현,백현,푸르지오</t>
        </is>
      </c>
      <c r="AA82" s="8" t="n">
        <v>140000</v>
      </c>
      <c r="AB82" s="8" t="n">
        <v>20000</v>
      </c>
    </row>
    <row r="83">
      <c r="A83" s="9" t="inlineStr">
        <is>
          <t>FN-49E</t>
        </is>
      </c>
      <c r="B83" s="9" t="inlineStr">
        <is>
          <t>액세서리 매대</t>
        </is>
      </c>
      <c r="C83" s="6" t="inlineStr">
        <is>
          <t>페트도어</t>
        </is>
      </c>
      <c r="D83" s="6" t="inlineStr"/>
      <c r="E83" s="6" t="inlineStr">
        <is>
          <t>필수</t>
        </is>
      </c>
      <c r="F83" s="6" t="inlineStr">
        <is>
          <t>식</t>
        </is>
      </c>
      <c r="G83" s="6" t="n"/>
      <c r="H83" s="6" t="n"/>
      <c r="I83" s="7">
        <f>IF(G83="","",G83*(1+H83/100))</f>
        <v/>
      </c>
      <c r="J83" s="6" t="n"/>
      <c r="K83" s="6" t="n"/>
      <c r="L83" s="8" t="n"/>
      <c r="M83" s="8" t="n"/>
      <c r="N83" s="8" t="n"/>
      <c r="O83" s="8" t="n"/>
      <c r="P83" s="8" t="n"/>
      <c r="Q83" s="8">
        <f>IF(OR(O83="",P83=""),"",MIN(O83,P83)-N83)</f>
        <v/>
      </c>
      <c r="R83" s="6" t="n"/>
      <c r="S83" s="6" t="n"/>
      <c r="T83" s="6" t="n"/>
      <c r="U83" s="6" t="n"/>
      <c r="V83" s="6" t="n"/>
      <c r="W83" s="6" t="n"/>
      <c r="X83" s="6" t="n"/>
      <c r="Y83" s="6" t="n"/>
      <c r="Z83" s="6" t="inlineStr">
        <is>
          <t>1현장: 이선</t>
        </is>
      </c>
      <c r="AA83" s="8" t="n">
        <v>350000</v>
      </c>
      <c r="AB83" s="8" t="n">
        <v>30000</v>
      </c>
    </row>
    <row r="84">
      <c r="A84" s="9" t="inlineStr">
        <is>
          <t>FN-50E</t>
        </is>
      </c>
      <c r="B84" s="9" t="inlineStr">
        <is>
          <t>오픈 장</t>
        </is>
      </c>
      <c r="C84" s="6" t="inlineStr">
        <is>
          <t>팬트리</t>
        </is>
      </c>
      <c r="D84" s="6" t="inlineStr">
        <is>
          <t>주방</t>
        </is>
      </c>
      <c r="E84" s="6" t="inlineStr">
        <is>
          <t>필수</t>
        </is>
      </c>
      <c r="F84" s="6" t="inlineStr">
        <is>
          <t>SET</t>
        </is>
      </c>
      <c r="G84" s="6" t="n"/>
      <c r="H84" s="6" t="n"/>
      <c r="I84" s="7">
        <f>IF(G84="","",G84*(1+H84/100))</f>
        <v/>
      </c>
      <c r="J84" s="6" t="n"/>
      <c r="K84" s="6" t="n"/>
      <c r="L84" s="8" t="n"/>
      <c r="M84" s="8" t="n"/>
      <c r="N84" s="8" t="n"/>
      <c r="O84" s="8" t="n"/>
      <c r="P84" s="8" t="n"/>
      <c r="Q84" s="8">
        <f>IF(OR(O84="",P84=""),"",MIN(O84,P84)-N84)</f>
        <v/>
      </c>
      <c r="R84" s="6" t="n"/>
      <c r="S84" s="6" t="n"/>
      <c r="T84" s="6" t="n"/>
      <c r="U84" s="6" t="n"/>
      <c r="V84" s="6" t="n"/>
      <c r="W84" s="6" t="n"/>
      <c r="X84" s="6" t="n"/>
      <c r="Y84" s="6" t="n"/>
      <c r="Z84" s="6" t="inlineStr">
        <is>
          <t>6현장: 김성용,린스,만현,백현,전기영</t>
        </is>
      </c>
      <c r="AA84" s="8" t="n">
        <v>160000</v>
      </c>
      <c r="AB84" s="8" t="n">
        <v>50000</v>
      </c>
    </row>
    <row r="85">
      <c r="A85" s="9" t="inlineStr">
        <is>
          <t>FN-51E</t>
        </is>
      </c>
      <c r="B85" s="9" t="inlineStr">
        <is>
          <t>옷봉</t>
        </is>
      </c>
      <c r="C85" s="6" t="inlineStr">
        <is>
          <t>제작</t>
        </is>
      </c>
      <c r="D85" s="6" t="inlineStr">
        <is>
          <t>드레스룸</t>
        </is>
      </c>
      <c r="E85" s="6" t="inlineStr">
        <is>
          <t>필수</t>
        </is>
      </c>
      <c r="F85" s="6" t="inlineStr">
        <is>
          <t>EA</t>
        </is>
      </c>
      <c r="G85" s="6" t="n"/>
      <c r="H85" s="6" t="n"/>
      <c r="I85" s="7">
        <f>IF(G85="","",G85*(1+H85/100))</f>
        <v/>
      </c>
      <c r="J85" s="6" t="n"/>
      <c r="K85" s="6" t="n"/>
      <c r="L85" s="8" t="n"/>
      <c r="M85" s="8" t="n"/>
      <c r="N85" s="8" t="n"/>
      <c r="O85" s="8" t="n"/>
      <c r="P85" s="8" t="n"/>
      <c r="Q85" s="8">
        <f>IF(OR(O85="",P85=""),"",MIN(O85,P85)-N85)</f>
        <v/>
      </c>
      <c r="R85" s="6" t="n"/>
      <c r="S85" s="6" t="n"/>
      <c r="T85" s="6" t="n"/>
      <c r="U85" s="6" t="n"/>
      <c r="V85" s="6" t="n"/>
      <c r="W85" s="6" t="n"/>
      <c r="X85" s="6" t="n"/>
      <c r="Y85" s="6" t="n"/>
      <c r="Z85" s="6" t="inlineStr">
        <is>
          <t>7현장: 린스,만현,백현,산본,이성숙</t>
        </is>
      </c>
      <c r="AA85" s="8" t="n">
        <v>100000</v>
      </c>
      <c r="AB85" s="8" t="n">
        <v>30000</v>
      </c>
    </row>
    <row r="86">
      <c r="A86" s="9" t="inlineStr">
        <is>
          <t>FN-52E</t>
        </is>
      </c>
      <c r="B86" s="9" t="inlineStr">
        <is>
          <t>운임</t>
        </is>
      </c>
      <c r="C86" s="6" t="inlineStr">
        <is>
          <t>은경 제작 운임</t>
        </is>
      </c>
      <c r="D86" s="6" t="inlineStr">
        <is>
          <t>현관</t>
        </is>
      </c>
      <c r="E86" s="6" t="inlineStr">
        <is>
          <t>필수</t>
        </is>
      </c>
      <c r="F86" s="6" t="inlineStr">
        <is>
          <t>식</t>
        </is>
      </c>
      <c r="G86" s="6" t="n"/>
      <c r="H86" s="6" t="n"/>
      <c r="I86" s="7">
        <f>IF(G86="","",G86*(1+H86/100))</f>
        <v/>
      </c>
      <c r="J86" s="6" t="n"/>
      <c r="K86" s="6" t="n"/>
      <c r="L86" s="8" t="n"/>
      <c r="M86" s="8" t="n"/>
      <c r="N86" s="8" t="n"/>
      <c r="O86" s="8" t="n"/>
      <c r="P86" s="8" t="n"/>
      <c r="Q86" s="8">
        <f>IF(OR(O86="",P86=""),"",MIN(O86,P86)-N86)</f>
        <v/>
      </c>
      <c r="R86" s="6" t="n"/>
      <c r="S86" s="6" t="n"/>
      <c r="T86" s="6" t="n"/>
      <c r="U86" s="6" t="n"/>
      <c r="V86" s="6" t="n"/>
      <c r="W86" s="6" t="n"/>
      <c r="X86" s="6" t="n"/>
      <c r="Y86" s="6" t="n"/>
      <c r="Z86" s="6" t="inlineStr">
        <is>
          <t>1현장: 진산</t>
        </is>
      </c>
      <c r="AA86" s="8" t="n">
        <v>100000</v>
      </c>
      <c r="AB86" s="8" t="n">
        <v>20000</v>
      </c>
    </row>
    <row r="87">
      <c r="A87" s="9" t="inlineStr">
        <is>
          <t>FN-53E</t>
        </is>
      </c>
      <c r="B87" s="9" t="inlineStr">
        <is>
          <t>유리도어</t>
        </is>
      </c>
      <c r="C87" s="6" t="inlineStr">
        <is>
          <t>—</t>
        </is>
      </c>
      <c r="D87" s="6" t="inlineStr"/>
      <c r="E87" s="6" t="inlineStr">
        <is>
          <t>필수</t>
        </is>
      </c>
      <c r="F87" s="6" t="inlineStr">
        <is>
          <t>EA</t>
        </is>
      </c>
      <c r="G87" s="6" t="n"/>
      <c r="H87" s="6" t="n"/>
      <c r="I87" s="7">
        <f>IF(G87="","",G87*(1+H87/100))</f>
        <v/>
      </c>
      <c r="J87" s="6" t="n"/>
      <c r="K87" s="6" t="n"/>
      <c r="L87" s="8" t="n"/>
      <c r="M87" s="8" t="n"/>
      <c r="N87" s="8" t="n"/>
      <c r="O87" s="8" t="n"/>
      <c r="P87" s="8" t="n"/>
      <c r="Q87" s="8">
        <f>IF(OR(O87="",P87=""),"",MIN(O87,P87)-N87)</f>
        <v/>
      </c>
      <c r="R87" s="6" t="n"/>
      <c r="S87" s="6" t="n"/>
      <c r="T87" s="6" t="n"/>
      <c r="U87" s="6" t="n"/>
      <c r="V87" s="6" t="n"/>
      <c r="W87" s="6" t="n"/>
      <c r="X87" s="6" t="n"/>
      <c r="Y87" s="6" t="n"/>
      <c r="Z87" s="6" t="inlineStr">
        <is>
          <t>1현장: 전기영</t>
        </is>
      </c>
      <c r="AA87" s="8" t="n">
        <v>200000</v>
      </c>
      <c r="AB87" s="8" t="n">
        <v>30000</v>
      </c>
    </row>
    <row r="88">
      <c r="A88" s="9" t="inlineStr">
        <is>
          <t>FN-54E</t>
        </is>
      </c>
      <c r="B88" s="9" t="inlineStr">
        <is>
          <t>유리벽돌</t>
        </is>
      </c>
      <c r="C88" s="6" t="inlineStr">
        <is>
          <t>—</t>
        </is>
      </c>
      <c r="D88" s="6" t="inlineStr">
        <is>
          <t>주방</t>
        </is>
      </c>
      <c r="E88" s="6" t="inlineStr">
        <is>
          <t>필수</t>
        </is>
      </c>
      <c r="F88" s="6" t="inlineStr">
        <is>
          <t>EA</t>
        </is>
      </c>
      <c r="G88" s="6" t="n"/>
      <c r="H88" s="6" t="n"/>
      <c r="I88" s="7">
        <f>IF(G88="","",G88*(1+H88/100))</f>
        <v/>
      </c>
      <c r="J88" s="6" t="n"/>
      <c r="K88" s="6" t="n"/>
      <c r="L88" s="8" t="n"/>
      <c r="M88" s="8" t="n"/>
      <c r="N88" s="8" t="n"/>
      <c r="O88" s="8" t="n"/>
      <c r="P88" s="8" t="n"/>
      <c r="Q88" s="8">
        <f>IF(OR(O88="",P88=""),"",MIN(O88,P88)-N88)</f>
        <v/>
      </c>
      <c r="R88" s="6" t="n"/>
      <c r="S88" s="6" t="n"/>
      <c r="T88" s="6" t="n"/>
      <c r="U88" s="6" t="n"/>
      <c r="V88" s="6" t="n"/>
      <c r="W88" s="6" t="n"/>
      <c r="X88" s="6" t="n"/>
      <c r="Y88" s="6" t="n"/>
      <c r="Z88" s="6" t="inlineStr">
        <is>
          <t>4현장: 린스,만현,백현,푸르지오</t>
        </is>
      </c>
      <c r="AA88" s="8" t="n">
        <v>10000</v>
      </c>
      <c r="AB88" s="8" t="n">
        <v>20000</v>
      </c>
    </row>
    <row r="89">
      <c r="A89" s="9" t="inlineStr">
        <is>
          <t>FN-55E</t>
        </is>
      </c>
      <c r="B89" s="9" t="inlineStr">
        <is>
          <t>은경</t>
        </is>
      </c>
      <c r="C89" s="6" t="inlineStr">
        <is>
          <t>5T 제작</t>
        </is>
      </c>
      <c r="D89" s="6" t="inlineStr">
        <is>
          <t>안방 / 서재</t>
        </is>
      </c>
      <c r="E89" s="6" t="inlineStr">
        <is>
          <t>필수</t>
        </is>
      </c>
      <c r="F89" s="6" t="inlineStr">
        <is>
          <t>자</t>
        </is>
      </c>
      <c r="G89" s="6" t="n"/>
      <c r="H89" s="6" t="n"/>
      <c r="I89" s="7">
        <f>IF(G89="","",G89*(1+H89/100))</f>
        <v/>
      </c>
      <c r="J89" s="6" t="n"/>
      <c r="K89" s="6" t="n"/>
      <c r="L89" s="8" t="n"/>
      <c r="M89" s="8" t="n"/>
      <c r="N89" s="8" t="n"/>
      <c r="O89" s="8" t="n"/>
      <c r="P89" s="8" t="n"/>
      <c r="Q89" s="8">
        <f>IF(OR(O89="",P89=""),"",MIN(O89,P89)-N89)</f>
        <v/>
      </c>
      <c r="R89" s="6" t="n"/>
      <c r="S89" s="6" t="n"/>
      <c r="T89" s="6" t="n"/>
      <c r="U89" s="6" t="n"/>
      <c r="V89" s="6" t="n"/>
      <c r="W89" s="6" t="n"/>
      <c r="X89" s="6" t="n"/>
      <c r="Y89" s="6" t="n"/>
      <c r="Z89" s="6" t="inlineStr">
        <is>
          <t>3현장: 만현,백현,산본</t>
        </is>
      </c>
      <c r="AA89" s="8" t="n">
        <v>240000</v>
      </c>
      <c r="AB89" s="8" t="n">
        <v>50000</v>
      </c>
    </row>
    <row r="90">
      <c r="A90" s="9" t="inlineStr">
        <is>
          <t>FN-56E</t>
        </is>
      </c>
      <c r="B90" s="9" t="inlineStr">
        <is>
          <t>인조대리석</t>
        </is>
      </c>
      <c r="C90" s="6" t="inlineStr">
        <is>
          <t>—</t>
        </is>
      </c>
      <c r="D90" s="6" t="inlineStr"/>
      <c r="E90" s="6" t="inlineStr">
        <is>
          <t>필수</t>
        </is>
      </c>
      <c r="F90" s="6" t="inlineStr">
        <is>
          <t>식</t>
        </is>
      </c>
      <c r="G90" s="6" t="n"/>
      <c r="H90" s="6" t="n"/>
      <c r="I90" s="7">
        <f>IF(G90="","",G90*(1+H90/100))</f>
        <v/>
      </c>
      <c r="J90" s="6" t="n"/>
      <c r="K90" s="6" t="n"/>
      <c r="L90" s="8" t="n"/>
      <c r="M90" s="8" t="n"/>
      <c r="N90" s="8" t="n"/>
      <c r="O90" s="8" t="n"/>
      <c r="P90" s="8" t="n"/>
      <c r="Q90" s="8">
        <f>IF(OR(O90="",P90=""),"",MIN(O90,P90)-N90)</f>
        <v/>
      </c>
      <c r="R90" s="6" t="n"/>
      <c r="S90" s="6" t="n"/>
      <c r="T90" s="6" t="n"/>
      <c r="U90" s="6" t="n"/>
      <c r="V90" s="6" t="n"/>
      <c r="W90" s="6" t="n"/>
      <c r="X90" s="6" t="n"/>
      <c r="Y90" s="6" t="n"/>
      <c r="Z90" s="6" t="inlineStr">
        <is>
          <t>1현장: 김성용</t>
        </is>
      </c>
      <c r="AA90" s="8" t="n"/>
      <c r="AB90" s="8" t="n"/>
    </row>
    <row r="91">
      <c r="A91" s="9" t="inlineStr">
        <is>
          <t>FN-57E</t>
        </is>
      </c>
      <c r="B91" s="9" t="inlineStr">
        <is>
          <t>조명</t>
        </is>
      </c>
      <c r="C91" s="6" t="inlineStr">
        <is>
          <t>—</t>
        </is>
      </c>
      <c r="D91" s="6" t="inlineStr"/>
      <c r="E91" s="6" t="inlineStr">
        <is>
          <t>필수</t>
        </is>
      </c>
      <c r="F91" s="6" t="inlineStr">
        <is>
          <t>EA</t>
        </is>
      </c>
      <c r="G91" s="6" t="n"/>
      <c r="H91" s="6" t="n"/>
      <c r="I91" s="7">
        <f>IF(G91="","",G91*(1+H91/100))</f>
        <v/>
      </c>
      <c r="J91" s="6" t="n"/>
      <c r="K91" s="6" t="n"/>
      <c r="L91" s="8" t="n"/>
      <c r="M91" s="8" t="n"/>
      <c r="N91" s="8" t="n"/>
      <c r="O91" s="8" t="n"/>
      <c r="P91" s="8" t="n"/>
      <c r="Q91" s="8">
        <f>IF(OR(O91="",P91=""),"",MIN(O91,P91)-N91)</f>
        <v/>
      </c>
      <c r="R91" s="6" t="n"/>
      <c r="S91" s="6" t="n"/>
      <c r="T91" s="6" t="n"/>
      <c r="U91" s="6" t="n"/>
      <c r="V91" s="6" t="n"/>
      <c r="W91" s="6" t="n"/>
      <c r="X91" s="6" t="n"/>
      <c r="Y91" s="6" t="n"/>
      <c r="Z91" s="6" t="inlineStr">
        <is>
          <t>1현장: 전기영</t>
        </is>
      </c>
      <c r="AA91" s="8" t="n">
        <v>350000</v>
      </c>
      <c r="AB91" s="8" t="n">
        <v>30000</v>
      </c>
    </row>
    <row r="92">
      <c r="A92" s="9" t="inlineStr">
        <is>
          <t>FN-58E</t>
        </is>
      </c>
      <c r="B92" s="9" t="inlineStr">
        <is>
          <t>주방</t>
        </is>
      </c>
      <c r="C92" s="6" t="inlineStr">
        <is>
          <t>—</t>
        </is>
      </c>
      <c r="D92" s="6" t="inlineStr"/>
      <c r="E92" s="6" t="inlineStr">
        <is>
          <t>필수</t>
        </is>
      </c>
      <c r="F92" s="6" t="inlineStr">
        <is>
          <t>식</t>
        </is>
      </c>
      <c r="G92" s="6" t="n"/>
      <c r="H92" s="6" t="n"/>
      <c r="I92" s="7">
        <f>IF(G92="","",G92*(1+H92/100))</f>
        <v/>
      </c>
      <c r="J92" s="6" t="n"/>
      <c r="K92" s="6" t="n"/>
      <c r="L92" s="8" t="n"/>
      <c r="M92" s="8" t="n"/>
      <c r="N92" s="8" t="n"/>
      <c r="O92" s="8" t="n"/>
      <c r="P92" s="8" t="n"/>
      <c r="Q92" s="8">
        <f>IF(OR(O92="",P92=""),"",MIN(O92,P92)-N92)</f>
        <v/>
      </c>
      <c r="R92" s="6" t="n"/>
      <c r="S92" s="6" t="n"/>
      <c r="T92" s="6" t="n"/>
      <c r="U92" s="6" t="n"/>
      <c r="V92" s="6" t="n"/>
      <c r="W92" s="6" t="n"/>
      <c r="X92" s="6" t="n"/>
      <c r="Y92" s="6" t="n"/>
      <c r="Z92" s="6" t="inlineStr">
        <is>
          <t>1현장: 만현</t>
        </is>
      </c>
      <c r="AA92" s="8" t="n">
        <v>250000</v>
      </c>
      <c r="AB92" s="8" t="n"/>
    </row>
    <row r="93">
      <c r="A93" s="9" t="inlineStr">
        <is>
          <t>FN-59E</t>
        </is>
      </c>
      <c r="B93" s="9" t="inlineStr">
        <is>
          <t>침실 알파룸 가구도어</t>
        </is>
      </c>
      <c r="C93" s="6" t="inlineStr">
        <is>
          <t>—</t>
        </is>
      </c>
      <c r="D93" s="6" t="inlineStr"/>
      <c r="E93" s="6" t="inlineStr">
        <is>
          <t>필수</t>
        </is>
      </c>
      <c r="F93" s="6" t="inlineStr">
        <is>
          <t>EA</t>
        </is>
      </c>
      <c r="G93" s="6" t="n"/>
      <c r="H93" s="6" t="n"/>
      <c r="I93" s="7">
        <f>IF(G93="","",G93*(1+H93/100))</f>
        <v/>
      </c>
      <c r="J93" s="6" t="n"/>
      <c r="K93" s="6" t="n"/>
      <c r="L93" s="8" t="n"/>
      <c r="M93" s="8" t="n"/>
      <c r="N93" s="8" t="n"/>
      <c r="O93" s="8" t="n"/>
      <c r="P93" s="8" t="n"/>
      <c r="Q93" s="8">
        <f>IF(OR(O93="",P93=""),"",MIN(O93,P93)-N93)</f>
        <v/>
      </c>
      <c r="R93" s="6" t="n"/>
      <c r="S93" s="6" t="n"/>
      <c r="T93" s="6" t="n"/>
      <c r="U93" s="6" t="n"/>
      <c r="V93" s="6" t="n"/>
      <c r="W93" s="6" t="n"/>
      <c r="X93" s="6" t="n"/>
      <c r="Y93" s="6" t="n"/>
      <c r="Z93" s="6" t="inlineStr">
        <is>
          <t>1현장: 이선</t>
        </is>
      </c>
      <c r="AA93" s="8" t="n">
        <v>80000</v>
      </c>
      <c r="AB93" s="8" t="n">
        <v>30000</v>
      </c>
    </row>
    <row r="94">
      <c r="A94" s="9" t="inlineStr">
        <is>
          <t>FN-60E</t>
        </is>
      </c>
      <c r="B94" s="9" t="inlineStr">
        <is>
          <t>침실2 팬트리장</t>
        </is>
      </c>
      <c r="C94" s="6" t="inlineStr">
        <is>
          <t>시스템 행거</t>
        </is>
      </c>
      <c r="D94" s="6" t="inlineStr">
        <is>
          <t>현관</t>
        </is>
      </c>
      <c r="E94" s="6" t="inlineStr">
        <is>
          <t>필수</t>
        </is>
      </c>
      <c r="F94" s="6" t="inlineStr">
        <is>
          <t>자</t>
        </is>
      </c>
      <c r="G94" s="6" t="n"/>
      <c r="H94" s="6" t="n"/>
      <c r="I94" s="7">
        <f>IF(G94="","",G94*(1+H94/100))</f>
        <v/>
      </c>
      <c r="J94" s="6" t="n"/>
      <c r="K94" s="6" t="n"/>
      <c r="L94" s="8" t="n"/>
      <c r="M94" s="8" t="n"/>
      <c r="N94" s="8" t="n"/>
      <c r="O94" s="8" t="n"/>
      <c r="P94" s="8" t="n"/>
      <c r="Q94" s="8">
        <f>IF(OR(O94="",P94=""),"",MIN(O94,P94)-N94)</f>
        <v/>
      </c>
      <c r="R94" s="6" t="n"/>
      <c r="S94" s="6" t="n"/>
      <c r="T94" s="6" t="n"/>
      <c r="U94" s="6" t="n"/>
      <c r="V94" s="6" t="n"/>
      <c r="W94" s="6" t="n"/>
      <c r="X94" s="6" t="n"/>
      <c r="Y94" s="6" t="n"/>
      <c r="Z94" s="6" t="inlineStr">
        <is>
          <t>1현장: 산본</t>
        </is>
      </c>
      <c r="AA94" s="8" t="n">
        <v>30000</v>
      </c>
      <c r="AB94" s="8" t="n">
        <v>50000</v>
      </c>
    </row>
    <row r="95">
      <c r="A95" s="9" t="inlineStr">
        <is>
          <t>FN-61E</t>
        </is>
      </c>
      <c r="B95" s="9" t="inlineStr">
        <is>
          <t>팬트리 가구도어</t>
        </is>
      </c>
      <c r="C95" s="6" t="inlineStr">
        <is>
          <t>—</t>
        </is>
      </c>
      <c r="D95" s="6" t="inlineStr"/>
      <c r="E95" s="6" t="inlineStr">
        <is>
          <t>필수</t>
        </is>
      </c>
      <c r="F95" s="6" t="inlineStr">
        <is>
          <t>EA</t>
        </is>
      </c>
      <c r="G95" s="6" t="n"/>
      <c r="H95" s="6" t="n"/>
      <c r="I95" s="7">
        <f>IF(G95="","",G95*(1+H95/100))</f>
        <v/>
      </c>
      <c r="J95" s="6" t="n"/>
      <c r="K95" s="6" t="n"/>
      <c r="L95" s="8" t="n"/>
      <c r="M95" s="8" t="n"/>
      <c r="N95" s="8" t="n"/>
      <c r="O95" s="8" t="n"/>
      <c r="P95" s="8" t="n"/>
      <c r="Q95" s="8">
        <f>IF(OR(O95="",P95=""),"",MIN(O95,P95)-N95)</f>
        <v/>
      </c>
      <c r="R95" s="6" t="n"/>
      <c r="S95" s="6" t="n"/>
      <c r="T95" s="6" t="n"/>
      <c r="U95" s="6" t="n"/>
      <c r="V95" s="6" t="n"/>
      <c r="W95" s="6" t="n"/>
      <c r="X95" s="6" t="n"/>
      <c r="Y95" s="6" t="n"/>
      <c r="Z95" s="6" t="inlineStr">
        <is>
          <t>1현장: 이선</t>
        </is>
      </c>
      <c r="AA95" s="8" t="n">
        <v>80000</v>
      </c>
      <c r="AB95" s="8" t="n">
        <v>30000</v>
      </c>
    </row>
    <row r="96">
      <c r="A96" s="9" t="inlineStr">
        <is>
          <t>FN-62E</t>
        </is>
      </c>
      <c r="B96" s="9" t="inlineStr">
        <is>
          <t>펜트리 시스템 장</t>
        </is>
      </c>
      <c r="C96" s="6" t="inlineStr">
        <is>
          <t>선반형</t>
        </is>
      </c>
      <c r="D96" s="6" t="inlineStr">
        <is>
          <t>현관</t>
        </is>
      </c>
      <c r="E96" s="6" t="inlineStr">
        <is>
          <t>필수</t>
        </is>
      </c>
      <c r="F96" s="6" t="inlineStr">
        <is>
          <t>EA</t>
        </is>
      </c>
      <c r="G96" s="6" t="n"/>
      <c r="H96" s="6" t="n"/>
      <c r="I96" s="7">
        <f>IF(G96="","",G96*(1+H96/100))</f>
        <v/>
      </c>
      <c r="J96" s="6" t="n"/>
      <c r="K96" s="6" t="n"/>
      <c r="L96" s="8" t="n"/>
      <c r="M96" s="8" t="n"/>
      <c r="N96" s="8" t="n"/>
      <c r="O96" s="8" t="n"/>
      <c r="P96" s="8" t="n"/>
      <c r="Q96" s="8">
        <f>IF(OR(O96="",P96=""),"",MIN(O96,P96)-N96)</f>
        <v/>
      </c>
      <c r="R96" s="6" t="n"/>
      <c r="S96" s="6" t="n"/>
      <c r="T96" s="6" t="n"/>
      <c r="U96" s="6" t="n"/>
      <c r="V96" s="6" t="n"/>
      <c r="W96" s="6" t="n"/>
      <c r="X96" s="6" t="n"/>
      <c r="Y96" s="6" t="n"/>
      <c r="Z96" s="6" t="inlineStr">
        <is>
          <t>1현장: 산본</t>
        </is>
      </c>
      <c r="AA96" s="8" t="n">
        <v>30000</v>
      </c>
      <c r="AB96" s="8" t="n"/>
    </row>
    <row r="97">
      <c r="A97" s="9" t="inlineStr">
        <is>
          <t>FN-63E</t>
        </is>
      </c>
      <c r="B97" s="9" t="inlineStr">
        <is>
          <t>포켓 하드웨어</t>
        </is>
      </c>
      <c r="C97" s="6" t="inlineStr">
        <is>
          <t>팬트리</t>
        </is>
      </c>
      <c r="D97" s="6" t="inlineStr">
        <is>
          <t>현관</t>
        </is>
      </c>
      <c r="E97" s="6" t="inlineStr">
        <is>
          <t>필수</t>
        </is>
      </c>
      <c r="F97" s="6" t="inlineStr">
        <is>
          <t>EA</t>
        </is>
      </c>
      <c r="G97" s="6" t="n"/>
      <c r="H97" s="6" t="n"/>
      <c r="I97" s="7">
        <f>IF(G97="","",G97*(1+H97/100))</f>
        <v/>
      </c>
      <c r="J97" s="6" t="n"/>
      <c r="K97" s="6" t="n"/>
      <c r="L97" s="8" t="n"/>
      <c r="M97" s="8" t="n"/>
      <c r="N97" s="8" t="n"/>
      <c r="O97" s="8" t="n"/>
      <c r="P97" s="8" t="n"/>
      <c r="Q97" s="8">
        <f>IF(OR(O97="",P97=""),"",MIN(O97,P97)-N97)</f>
        <v/>
      </c>
      <c r="R97" s="6" t="n"/>
      <c r="S97" s="6" t="n"/>
      <c r="T97" s="6" t="n"/>
      <c r="U97" s="6" t="n"/>
      <c r="V97" s="6" t="n"/>
      <c r="W97" s="6" t="n"/>
      <c r="X97" s="6" t="n"/>
      <c r="Y97" s="6" t="n"/>
      <c r="Z97" s="6" t="inlineStr">
        <is>
          <t>1현장: 백현</t>
        </is>
      </c>
      <c r="AA97" s="8" t="n">
        <v>300000</v>
      </c>
      <c r="AB97" s="8" t="n">
        <v>30000</v>
      </c>
    </row>
    <row r="98">
      <c r="A98" s="9" t="inlineStr">
        <is>
          <t>FN-64E</t>
        </is>
      </c>
      <c r="B98" s="9" t="inlineStr">
        <is>
          <t>플랩 장</t>
        </is>
      </c>
      <c r="C98" s="6" t="inlineStr">
        <is>
          <t>스타일러</t>
        </is>
      </c>
      <c r="D98" s="6" t="inlineStr">
        <is>
          <t>패트도어 / 필름 미정</t>
        </is>
      </c>
      <c r="E98" s="6" t="inlineStr">
        <is>
          <t>필수</t>
        </is>
      </c>
      <c r="F98" s="6" t="inlineStr">
        <is>
          <t>식</t>
        </is>
      </c>
      <c r="G98" s="6" t="n"/>
      <c r="H98" s="6" t="n"/>
      <c r="I98" s="7">
        <f>IF(G98="","",G98*(1+H98/100))</f>
        <v/>
      </c>
      <c r="J98" s="6" t="n"/>
      <c r="K98" s="6" t="n"/>
      <c r="L98" s="8" t="n"/>
      <c r="M98" s="8" t="n"/>
      <c r="N98" s="8" t="n"/>
      <c r="O98" s="8" t="n"/>
      <c r="P98" s="8" t="n"/>
      <c r="Q98" s="8">
        <f>IF(OR(O98="",P98=""),"",MIN(O98,P98)-N98)</f>
        <v/>
      </c>
      <c r="R98" s="6" t="n"/>
      <c r="S98" s="6" t="n"/>
      <c r="T98" s="6" t="n"/>
      <c r="U98" s="6" t="n"/>
      <c r="V98" s="6" t="n"/>
      <c r="W98" s="6" t="n"/>
      <c r="X98" s="6" t="n"/>
      <c r="Y98" s="6" t="n"/>
      <c r="Z98" s="6" t="inlineStr">
        <is>
          <t>1현장: 김성용</t>
        </is>
      </c>
      <c r="AA98" s="8" t="n">
        <v>150000</v>
      </c>
      <c r="AB98" s="8" t="n">
        <v>50000</v>
      </c>
    </row>
    <row r="99">
      <c r="A99" s="9" t="inlineStr">
        <is>
          <t>FN-65E</t>
        </is>
      </c>
      <c r="B99" s="9" t="inlineStr">
        <is>
          <t>행잉 선반</t>
        </is>
      </c>
      <c r="C99" s="6" t="inlineStr">
        <is>
          <t>—</t>
        </is>
      </c>
      <c r="D99" s="6" t="inlineStr"/>
      <c r="E99" s="6" t="inlineStr">
        <is>
          <t>필수</t>
        </is>
      </c>
      <c r="F99" s="6" t="inlineStr">
        <is>
          <t>M</t>
        </is>
      </c>
      <c r="G99" s="6" t="n"/>
      <c r="H99" s="6" t="n"/>
      <c r="I99" s="7">
        <f>IF(G99="","",G99*(1+H99/100))</f>
        <v/>
      </c>
      <c r="J99" s="6" t="n"/>
      <c r="K99" s="6" t="n"/>
      <c r="L99" s="8" t="n"/>
      <c r="M99" s="8" t="n"/>
      <c r="N99" s="8" t="n"/>
      <c r="O99" s="8" t="n"/>
      <c r="P99" s="8" t="n"/>
      <c r="Q99" s="8">
        <f>IF(OR(O99="",P99=""),"",MIN(O99,P99)-N99)</f>
        <v/>
      </c>
      <c r="R99" s="6" t="n"/>
      <c r="S99" s="6" t="n"/>
      <c r="T99" s="6" t="n"/>
      <c r="U99" s="6" t="n"/>
      <c r="V99" s="6" t="n"/>
      <c r="W99" s="6" t="n"/>
      <c r="X99" s="6" t="n"/>
      <c r="Y99" s="6" t="n"/>
      <c r="Z99" s="6" t="inlineStr">
        <is>
          <t>4현장: 금호,이선,전기영,행당동</t>
        </is>
      </c>
      <c r="AA99" s="8" t="n">
        <v>275000</v>
      </c>
      <c r="AB99" s="8" t="n">
        <v>55000</v>
      </c>
    </row>
    <row r="100">
      <c r="A100" s="9" t="inlineStr">
        <is>
          <t>FN-66E</t>
        </is>
      </c>
      <c r="B100" s="9" t="inlineStr">
        <is>
          <t>행잉 장</t>
        </is>
      </c>
      <c r="C100" s="6" t="inlineStr">
        <is>
          <t>—</t>
        </is>
      </c>
      <c r="D100" s="6" t="inlineStr"/>
      <c r="E100" s="6" t="inlineStr">
        <is>
          <t>필수</t>
        </is>
      </c>
      <c r="F100" s="6" t="inlineStr">
        <is>
          <t>M</t>
        </is>
      </c>
      <c r="G100" s="6" t="n"/>
      <c r="H100" s="6" t="n"/>
      <c r="I100" s="7">
        <f>IF(G100="","",G100*(1+H100/100))</f>
        <v/>
      </c>
      <c r="J100" s="6" t="n"/>
      <c r="K100" s="6" t="n"/>
      <c r="L100" s="8" t="n"/>
      <c r="M100" s="8" t="n"/>
      <c r="N100" s="8" t="n"/>
      <c r="O100" s="8" t="n"/>
      <c r="P100" s="8" t="n"/>
      <c r="Q100" s="8">
        <f>IF(OR(O100="",P100=""),"",MIN(O100,P100)-N100)</f>
        <v/>
      </c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inlineStr">
        <is>
          <t>1현장: 김성용</t>
        </is>
      </c>
      <c r="AA100" s="8" t="n">
        <v>230000</v>
      </c>
      <c r="AB100" s="8" t="n">
        <v>50000</v>
      </c>
    </row>
    <row r="101">
      <c r="A101" s="9" t="inlineStr">
        <is>
          <t>FN-67E</t>
        </is>
      </c>
      <c r="B101" s="9" t="inlineStr">
        <is>
          <t>행잉 장상판 EP</t>
        </is>
      </c>
      <c r="C101" s="6" t="inlineStr">
        <is>
          <t>—</t>
        </is>
      </c>
      <c r="D101" s="6" t="inlineStr"/>
      <c r="E101" s="6" t="inlineStr">
        <is>
          <t>필수</t>
        </is>
      </c>
      <c r="F101" s="6" t="inlineStr">
        <is>
          <t>식</t>
        </is>
      </c>
      <c r="G101" s="6" t="n"/>
      <c r="H101" s="6" t="n"/>
      <c r="I101" s="7">
        <f>IF(G101="","",G101*(1+H101/100))</f>
        <v/>
      </c>
      <c r="J101" s="6" t="n"/>
      <c r="K101" s="6" t="n"/>
      <c r="L101" s="8" t="n"/>
      <c r="M101" s="8" t="n"/>
      <c r="N101" s="8" t="n"/>
      <c r="O101" s="8" t="n"/>
      <c r="P101" s="8" t="n"/>
      <c r="Q101" s="8">
        <f>IF(OR(O101="",P101=""),"",MIN(O101,P101)-N101)</f>
        <v/>
      </c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inlineStr">
        <is>
          <t>1현장: 김성용</t>
        </is>
      </c>
      <c r="AA101" s="8" t="n">
        <v>100000</v>
      </c>
      <c r="AB101" s="8" t="n">
        <v>20000</v>
      </c>
    </row>
    <row r="102">
      <c r="A102" s="9" t="inlineStr">
        <is>
          <t>FN-68E</t>
        </is>
      </c>
      <c r="B102" s="9" t="inlineStr">
        <is>
          <t>현관 밴치 구조틀</t>
        </is>
      </c>
      <c r="C102" s="6" t="inlineStr">
        <is>
          <t>금속 구조틀 + 목공</t>
        </is>
      </c>
      <c r="D102" s="6" t="inlineStr">
        <is>
          <t>현관</t>
        </is>
      </c>
      <c r="E102" s="6" t="inlineStr">
        <is>
          <t>필수</t>
        </is>
      </c>
      <c r="F102" s="6" t="inlineStr">
        <is>
          <t>식</t>
        </is>
      </c>
      <c r="G102" s="6" t="n"/>
      <c r="H102" s="6" t="n"/>
      <c r="I102" s="7">
        <f>IF(G102="","",G102*(1+H102/100))</f>
        <v/>
      </c>
      <c r="J102" s="6" t="n"/>
      <c r="K102" s="6" t="n"/>
      <c r="L102" s="8" t="n"/>
      <c r="M102" s="8" t="n"/>
      <c r="N102" s="8" t="n"/>
      <c r="O102" s="8" t="n"/>
      <c r="P102" s="8" t="n"/>
      <c r="Q102" s="8">
        <f>IF(OR(O102="",P102=""),"",MIN(O102,P102)-N102)</f>
        <v/>
      </c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inlineStr">
        <is>
          <t>1현장: 산본</t>
        </is>
      </c>
      <c r="AA102" s="8" t="n">
        <v>150000</v>
      </c>
      <c r="AB102" s="8" t="n">
        <v>200000</v>
      </c>
    </row>
    <row r="103">
      <c r="A103" s="9" t="inlineStr">
        <is>
          <t>FN-69E</t>
        </is>
      </c>
      <c r="B103" s="9" t="inlineStr">
        <is>
          <t>현관 밴치 마감</t>
        </is>
      </c>
      <c r="C103" s="6" t="inlineStr">
        <is>
          <t>미정</t>
        </is>
      </c>
      <c r="D103" s="6" t="inlineStr">
        <is>
          <t>현관</t>
        </is>
      </c>
      <c r="E103" s="6" t="inlineStr">
        <is>
          <t>필수</t>
        </is>
      </c>
      <c r="F103" s="6" t="inlineStr">
        <is>
          <t>식</t>
        </is>
      </c>
      <c r="G103" s="6" t="n"/>
      <c r="H103" s="6" t="n"/>
      <c r="I103" s="7">
        <f>IF(G103="","",G103*(1+H103/100))</f>
        <v/>
      </c>
      <c r="J103" s="6" t="n"/>
      <c r="K103" s="6" t="n"/>
      <c r="L103" s="8" t="n"/>
      <c r="M103" s="8" t="n"/>
      <c r="N103" s="8" t="n"/>
      <c r="O103" s="8" t="n"/>
      <c r="P103" s="8" t="n"/>
      <c r="Q103" s="8">
        <f>IF(OR(O103="",P103=""),"",MIN(O103,P103)-N103)</f>
        <v/>
      </c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inlineStr">
        <is>
          <t>1현장: 산본</t>
        </is>
      </c>
      <c r="AA103" s="8" t="n"/>
      <c r="AB103" s="8" t="n"/>
    </row>
    <row r="104">
      <c r="A104" s="9" t="inlineStr">
        <is>
          <t>FN-70E</t>
        </is>
      </c>
      <c r="B104" s="9" t="inlineStr">
        <is>
          <t>현관 팬트리장</t>
        </is>
      </c>
      <c r="C104" s="6" t="inlineStr">
        <is>
          <t>시스템 행거</t>
        </is>
      </c>
      <c r="D104" s="6" t="inlineStr">
        <is>
          <t>현관</t>
        </is>
      </c>
      <c r="E104" s="6" t="inlineStr">
        <is>
          <t>필수</t>
        </is>
      </c>
      <c r="F104" s="6" t="inlineStr">
        <is>
          <t>자</t>
        </is>
      </c>
      <c r="G104" s="6" t="n"/>
      <c r="H104" s="6" t="n"/>
      <c r="I104" s="7">
        <f>IF(G104="","",G104*(1+H104/100))</f>
        <v/>
      </c>
      <c r="J104" s="6" t="n"/>
      <c r="K104" s="6" t="n"/>
      <c r="L104" s="8" t="n"/>
      <c r="M104" s="8" t="n"/>
      <c r="N104" s="8" t="n"/>
      <c r="O104" s="8" t="n"/>
      <c r="P104" s="8" t="n"/>
      <c r="Q104" s="8">
        <f>IF(OR(O104="",P104=""),"",MIN(O104,P104)-N104)</f>
        <v/>
      </c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inlineStr">
        <is>
          <t>1현장: 산본</t>
        </is>
      </c>
      <c r="AA104" s="8" t="n">
        <v>30000</v>
      </c>
      <c r="AB104" s="8" t="n">
        <v>50000</v>
      </c>
    </row>
    <row r="105">
      <c r="A105" s="9" t="inlineStr">
        <is>
          <t>FN-71E</t>
        </is>
      </c>
      <c r="B105" s="9" t="inlineStr">
        <is>
          <t>화장대</t>
        </is>
      </c>
      <c r="C105" s="6" t="inlineStr">
        <is>
          <t>페트도어</t>
        </is>
      </c>
      <c r="D105" s="6" t="inlineStr">
        <is>
          <t>안방 / 서재</t>
        </is>
      </c>
      <c r="E105" s="6" t="inlineStr">
        <is>
          <t>필수</t>
        </is>
      </c>
      <c r="F105" s="6" t="inlineStr">
        <is>
          <t>M</t>
        </is>
      </c>
      <c r="G105" s="6" t="n"/>
      <c r="H105" s="6" t="n"/>
      <c r="I105" s="7">
        <f>IF(G105="","",G105*(1+H105/100))</f>
        <v/>
      </c>
      <c r="J105" s="6" t="n"/>
      <c r="K105" s="6" t="n"/>
      <c r="L105" s="8" t="n"/>
      <c r="M105" s="8" t="n"/>
      <c r="N105" s="8" t="n"/>
      <c r="O105" s="8" t="n"/>
      <c r="P105" s="8" t="n"/>
      <c r="Q105" s="8">
        <f>IF(OR(O105="",P105=""),"",MIN(O105,P105)-N105)</f>
        <v/>
      </c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inlineStr">
        <is>
          <t>9현장: 금호,김성용,김은경,린스,만현</t>
        </is>
      </c>
      <c r="AA105" s="8" t="n">
        <v>275000</v>
      </c>
      <c r="AB105" s="8" t="n">
        <v>50000</v>
      </c>
    </row>
    <row r="106">
      <c r="A106" s="9" t="inlineStr">
        <is>
          <t>FN-72E</t>
        </is>
      </c>
      <c r="B106" s="9" t="inlineStr">
        <is>
          <t>화장대 가구장</t>
        </is>
      </c>
      <c r="C106" s="6" t="inlineStr">
        <is>
          <t>—</t>
        </is>
      </c>
      <c r="D106" s="6" t="inlineStr"/>
      <c r="E106" s="6" t="inlineStr">
        <is>
          <t>필수</t>
        </is>
      </c>
      <c r="F106" s="6" t="inlineStr">
        <is>
          <t>자</t>
        </is>
      </c>
      <c r="G106" s="6" t="n"/>
      <c r="H106" s="6" t="n"/>
      <c r="I106" s="7">
        <f>IF(G106="","",G106*(1+H106/100))</f>
        <v/>
      </c>
      <c r="J106" s="6" t="n"/>
      <c r="K106" s="6" t="n"/>
      <c r="L106" s="8" t="n"/>
      <c r="M106" s="8" t="n"/>
      <c r="N106" s="8" t="n"/>
      <c r="O106" s="8" t="n"/>
      <c r="P106" s="8" t="n"/>
      <c r="Q106" s="8">
        <f>IF(OR(O106="",P106=""),"",MIN(O106,P106)-N106)</f>
        <v/>
      </c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inlineStr">
        <is>
          <t>4현장: 금호,이선,전기영,행당동</t>
        </is>
      </c>
      <c r="AA106" s="8" t="n">
        <v>120000</v>
      </c>
      <c r="AB106" s="8" t="n">
        <v>33000</v>
      </c>
    </row>
    <row r="107">
      <c r="A107" s="9" t="inlineStr">
        <is>
          <t>FN-73E</t>
        </is>
      </c>
      <c r="B107" s="9" t="inlineStr">
        <is>
          <t>화장대 구조틀</t>
        </is>
      </c>
      <c r="C107" s="6" t="inlineStr">
        <is>
          <t>제작 및 현장 용접</t>
        </is>
      </c>
      <c r="D107" s="6" t="inlineStr">
        <is>
          <t>동생방</t>
        </is>
      </c>
      <c r="E107" s="6" t="inlineStr">
        <is>
          <t>필수</t>
        </is>
      </c>
      <c r="F107" s="6" t="inlineStr">
        <is>
          <t>식</t>
        </is>
      </c>
      <c r="G107" s="6" t="n"/>
      <c r="H107" s="6" t="n"/>
      <c r="I107" s="7">
        <f>IF(G107="","",G107*(1+H107/100))</f>
        <v/>
      </c>
      <c r="J107" s="6" t="n"/>
      <c r="K107" s="6" t="n"/>
      <c r="L107" s="8" t="n"/>
      <c r="M107" s="8" t="n"/>
      <c r="N107" s="8" t="n"/>
      <c r="O107" s="8" t="n"/>
      <c r="P107" s="8" t="n"/>
      <c r="Q107" s="8">
        <f>IF(OR(O107="",P107=""),"",MIN(O107,P107)-N107)</f>
        <v/>
      </c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inlineStr">
        <is>
          <t>1현장: 산본</t>
        </is>
      </c>
      <c r="AA107" s="8" t="n">
        <v>100000</v>
      </c>
      <c r="AB107" s="8" t="n">
        <v>150000</v>
      </c>
    </row>
    <row r="108">
      <c r="A108" s="9" t="inlineStr">
        <is>
          <t>FN-74E</t>
        </is>
      </c>
      <c r="B108" s="9" t="inlineStr">
        <is>
          <t>화장대 은경틀 및 은경</t>
        </is>
      </c>
      <c r="C108" s="6" t="inlineStr">
        <is>
          <t>제작</t>
        </is>
      </c>
      <c r="D108" s="6" t="inlineStr">
        <is>
          <t>동생방</t>
        </is>
      </c>
      <c r="E108" s="6" t="inlineStr">
        <is>
          <t>필수</t>
        </is>
      </c>
      <c r="F108" s="6" t="inlineStr">
        <is>
          <t>식</t>
        </is>
      </c>
      <c r="G108" s="6" t="n"/>
      <c r="H108" s="6" t="n"/>
      <c r="I108" s="7">
        <f>IF(G108="","",G108*(1+H108/100))</f>
        <v/>
      </c>
      <c r="J108" s="6" t="n"/>
      <c r="K108" s="6" t="n"/>
      <c r="L108" s="8" t="n"/>
      <c r="M108" s="8" t="n"/>
      <c r="N108" s="8" t="n"/>
      <c r="O108" s="8" t="n"/>
      <c r="P108" s="8" t="n"/>
      <c r="Q108" s="8">
        <f>IF(OR(O108="",P108=""),"",MIN(O108,P108)-N108)</f>
        <v/>
      </c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inlineStr">
        <is>
          <t>1현장: 산본</t>
        </is>
      </c>
      <c r="AA108" s="8" t="n">
        <v>400000</v>
      </c>
      <c r="AB108" s="8" t="n">
        <v>80000</v>
      </c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1">
        <f>IF(G109="","",G109*(1+H109/100))</f>
        <v/>
      </c>
      <c r="J109" s="10" t="n"/>
      <c r="K109" s="10" t="n"/>
      <c r="L109" s="10" t="n"/>
      <c r="M109" s="10" t="n"/>
      <c r="N109" s="10" t="n"/>
      <c r="O109" s="10" t="n"/>
      <c r="P109" s="10" t="n"/>
      <c r="Q109" s="12">
        <f>IF(OR(O109="",P109=""),"",MIN(O109,P109)-N109)</f>
        <v/>
      </c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1">
        <f>IF(G110="","",G110*(1+H110/100))</f>
        <v/>
      </c>
      <c r="J110" s="10" t="n"/>
      <c r="K110" s="10" t="n"/>
      <c r="L110" s="10" t="n"/>
      <c r="M110" s="10" t="n"/>
      <c r="N110" s="10" t="n"/>
      <c r="O110" s="10" t="n"/>
      <c r="P110" s="10" t="n"/>
      <c r="Q110" s="12">
        <f>IF(OR(O110="",P110=""),"",MIN(O110,P110)-N110)</f>
        <v/>
      </c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1">
        <f>IF(G111="","",G111*(1+H111/100))</f>
        <v/>
      </c>
      <c r="J111" s="10" t="n"/>
      <c r="K111" s="10" t="n"/>
      <c r="L111" s="10" t="n"/>
      <c r="M111" s="10" t="n"/>
      <c r="N111" s="10" t="n"/>
      <c r="O111" s="10" t="n"/>
      <c r="P111" s="10" t="n"/>
      <c r="Q111" s="12">
        <f>IF(OR(O111="",P111=""),"",MIN(O111,P111)-N111)</f>
        <v/>
      </c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1">
        <f>IF(G112="","",G112*(1+H112/100))</f>
        <v/>
      </c>
      <c r="J112" s="10" t="n"/>
      <c r="K112" s="10" t="n"/>
      <c r="L112" s="10" t="n"/>
      <c r="M112" s="10" t="n"/>
      <c r="N112" s="10" t="n"/>
      <c r="O112" s="10" t="n"/>
      <c r="P112" s="10" t="n"/>
      <c r="Q112" s="12">
        <f>IF(OR(O112="",P112=""),"",MIN(O112,P112)-N112)</f>
        <v/>
      </c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1">
        <f>IF(G113="","",G113*(1+H113/100))</f>
        <v/>
      </c>
      <c r="J113" s="10" t="n"/>
      <c r="K113" s="10" t="n"/>
      <c r="L113" s="10" t="n"/>
      <c r="M113" s="10" t="n"/>
      <c r="N113" s="10" t="n"/>
      <c r="O113" s="10" t="n"/>
      <c r="P113" s="10" t="n"/>
      <c r="Q113" s="12">
        <f>IF(OR(O113="",P113=""),"",MIN(O113,P113)-N113)</f>
        <v/>
      </c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1">
        <f>IF(G114="","",G114*(1+H114/100))</f>
        <v/>
      </c>
      <c r="J114" s="10" t="n"/>
      <c r="K114" s="10" t="n"/>
      <c r="L114" s="10" t="n"/>
      <c r="M114" s="10" t="n"/>
      <c r="N114" s="10" t="n"/>
      <c r="O114" s="10" t="n"/>
      <c r="P114" s="10" t="n"/>
      <c r="Q114" s="12">
        <f>IF(OR(O114="",P114=""),"",MIN(O114,P114)-N114)</f>
        <v/>
      </c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1">
        <f>IF(G115="","",G115*(1+H115/100))</f>
        <v/>
      </c>
      <c r="J115" s="10" t="n"/>
      <c r="K115" s="10" t="n"/>
      <c r="L115" s="10" t="n"/>
      <c r="M115" s="10" t="n"/>
      <c r="N115" s="10" t="n"/>
      <c r="O115" s="10" t="n"/>
      <c r="P115" s="10" t="n"/>
      <c r="Q115" s="12">
        <f>IF(OR(O115="",P115=""),"",MIN(O115,P115)-N115)</f>
        <v/>
      </c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1">
        <f>IF(G116="","",G116*(1+H116/100))</f>
        <v/>
      </c>
      <c r="J116" s="10" t="n"/>
      <c r="K116" s="10" t="n"/>
      <c r="L116" s="10" t="n"/>
      <c r="M116" s="10" t="n"/>
      <c r="N116" s="10" t="n"/>
      <c r="O116" s="10" t="n"/>
      <c r="P116" s="10" t="n"/>
      <c r="Q116" s="12">
        <f>IF(OR(O116="",P116=""),"",MIN(O116,P116)-N116)</f>
        <v/>
      </c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1">
        <f>IF(G117="","",G117*(1+H117/100))</f>
        <v/>
      </c>
      <c r="J117" s="10" t="n"/>
      <c r="K117" s="10" t="n"/>
      <c r="L117" s="10" t="n"/>
      <c r="M117" s="10" t="n"/>
      <c r="N117" s="10" t="n"/>
      <c r="O117" s="10" t="n"/>
      <c r="P117" s="10" t="n"/>
      <c r="Q117" s="12">
        <f>IF(OR(O117="",P117=""),"",MIN(O117,P117)-N117)</f>
        <v/>
      </c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1">
        <f>IF(G118="","",G118*(1+H118/100))</f>
        <v/>
      </c>
      <c r="J118" s="10" t="n"/>
      <c r="K118" s="10" t="n"/>
      <c r="L118" s="10" t="n"/>
      <c r="M118" s="10" t="n"/>
      <c r="N118" s="10" t="n"/>
      <c r="O118" s="10" t="n"/>
      <c r="P118" s="10" t="n"/>
      <c r="Q118" s="12">
        <f>IF(OR(O118="",P118=""),"",MIN(O118,P118)-N118)</f>
        <v/>
      </c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</row>
    <row r="120">
      <c r="A120" s="13" t="inlineStr">
        <is>
          <t>※ 파란셀=수식 | 노란셀=견적참고 | ★금색=견적서 추출항목 | 소요량·로스율=대표 | 가격=유통 | 견적단가=16개 견적서 중앙값</t>
        </is>
      </c>
    </row>
  </sheetData>
  <autoFilter ref="A4:AB118"/>
  <mergeCells count="9">
    <mergeCell ref="R3:U3"/>
    <mergeCell ref="A2:AB2"/>
    <mergeCell ref="AA3:AB3"/>
    <mergeCell ref="J3:Q3"/>
    <mergeCell ref="Y3:Z3"/>
    <mergeCell ref="A1:AB1"/>
    <mergeCell ref="A3:I3"/>
    <mergeCell ref="V3:X3"/>
    <mergeCell ref="A120:AB12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C8181"/>
    <outlinePr summaryBelow="1" summaryRight="1"/>
    <pageSetUpPr/>
  </sheetPr>
  <dimension ref="A1:AB7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도기/마감기구 자재</t>
        </is>
      </c>
    </row>
    <row r="2">
      <c r="A2" s="2" t="inlineStr">
        <is>
          <t>공정코드: FX | 체크리스트 + 16개 견적서 전체 항목 | ★=견적서 추출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(16개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FX-001</t>
        </is>
      </c>
      <c r="B5" s="6" t="inlineStr">
        <is>
          <t>샤워기</t>
        </is>
      </c>
      <c r="C5" s="6" t="inlineStr">
        <is>
          <t>스텐/크롬</t>
        </is>
      </c>
      <c r="D5" s="6" t="inlineStr">
        <is>
          <t>화장실</t>
        </is>
      </c>
      <c r="E5" s="6" t="inlineStr">
        <is>
          <t>필수</t>
        </is>
      </c>
      <c r="F5" s="6" t="inlineStr">
        <is>
          <t>SET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FX-002</t>
        </is>
      </c>
      <c r="B6" s="6" t="inlineStr">
        <is>
          <t>배수구 트랩</t>
        </is>
      </c>
      <c r="C6" s="6" t="inlineStr">
        <is>
          <t>스텐/PVC</t>
        </is>
      </c>
      <c r="D6" s="6" t="inlineStr">
        <is>
          <t>바닥</t>
        </is>
      </c>
      <c r="E6" s="6" t="inlineStr">
        <is>
          <t>필수</t>
        </is>
      </c>
      <c r="F6" s="6" t="inlineStr">
        <is>
          <t>개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FX-003</t>
        </is>
      </c>
      <c r="B7" s="6" t="inlineStr">
        <is>
          <t>타올바</t>
        </is>
      </c>
      <c r="C7" s="6" t="inlineStr">
        <is>
          <t>스텐</t>
        </is>
      </c>
      <c r="D7" s="6" t="inlineStr">
        <is>
          <t>화장실</t>
        </is>
      </c>
      <c r="E7" s="6" t="inlineStr">
        <is>
          <t>선택</t>
        </is>
      </c>
      <c r="F7" s="6" t="inlineStr">
        <is>
          <t>개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FX-004</t>
        </is>
      </c>
      <c r="B8" s="6" t="inlineStr">
        <is>
          <t>비누대</t>
        </is>
      </c>
      <c r="C8" s="6" t="inlineStr">
        <is>
          <t>스텐/크롬</t>
        </is>
      </c>
      <c r="D8" s="6" t="inlineStr">
        <is>
          <t>화장실</t>
        </is>
      </c>
      <c r="E8" s="6" t="inlineStr">
        <is>
          <t>선택</t>
        </is>
      </c>
      <c r="F8" s="6" t="inlineStr">
        <is>
          <t>개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FX-005</t>
        </is>
      </c>
      <c r="B9" s="6" t="inlineStr">
        <is>
          <t>샤워파티션</t>
        </is>
      </c>
      <c r="C9" s="6" t="inlineStr">
        <is>
          <t>유리</t>
        </is>
      </c>
      <c r="D9" s="6" t="inlineStr">
        <is>
          <t>화장실</t>
        </is>
      </c>
      <c r="E9" s="6" t="inlineStr">
        <is>
          <t>선택</t>
        </is>
      </c>
      <c r="F9" s="6" t="inlineStr">
        <is>
          <t>세트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>
        <v>200000</v>
      </c>
      <c r="AB9" s="8" t="n">
        <v>50000</v>
      </c>
    </row>
    <row r="10">
      <c r="A10" s="6" t="inlineStr">
        <is>
          <t>FX-006</t>
        </is>
      </c>
      <c r="B10" s="6" t="inlineStr">
        <is>
          <t>SMC 천장재</t>
        </is>
      </c>
      <c r="C10" s="6" t="inlineStr">
        <is>
          <t>—</t>
        </is>
      </c>
      <c r="D10" s="6" t="inlineStr">
        <is>
          <t>화장실 천장</t>
        </is>
      </c>
      <c r="E10" s="6" t="inlineStr">
        <is>
          <t>필수</t>
        </is>
      </c>
      <c r="F10" s="6" t="inlineStr">
        <is>
          <t>SET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>
        <v>300000</v>
      </c>
      <c r="AB10" s="8" t="n">
        <v>100000</v>
      </c>
    </row>
    <row r="11">
      <c r="A11" s="6" t="inlineStr">
        <is>
          <t>FX-007</t>
        </is>
      </c>
      <c r="B11" s="6" t="inlineStr">
        <is>
          <t>이노솔</t>
        </is>
      </c>
      <c r="C11" s="6" t="inlineStr">
        <is>
          <t>—</t>
        </is>
      </c>
      <c r="D11" s="6" t="inlineStr">
        <is>
          <t>화장실 천장</t>
        </is>
      </c>
      <c r="E11" s="6" t="inlineStr">
        <is>
          <t>선택</t>
        </is>
      </c>
      <c r="F11" s="6" t="inlineStr">
        <is>
          <t>M2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>
        <v>40000</v>
      </c>
      <c r="AB11" s="8" t="n">
        <v>5000</v>
      </c>
    </row>
    <row r="12">
      <c r="A12" s="6" t="inlineStr">
        <is>
          <t>FX-008</t>
        </is>
      </c>
      <c r="B12" s="6" t="inlineStr">
        <is>
          <t>환풍기</t>
        </is>
      </c>
      <c r="C12" s="6" t="inlineStr">
        <is>
          <t>—</t>
        </is>
      </c>
      <c r="D12" s="6" t="inlineStr">
        <is>
          <t>화장실 환기</t>
        </is>
      </c>
      <c r="E12" s="6" t="inlineStr">
        <is>
          <t>필수</t>
        </is>
      </c>
      <c r="F12" s="6" t="inlineStr">
        <is>
          <t>EA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FX-009</t>
        </is>
      </c>
      <c r="B13" s="6" t="inlineStr">
        <is>
          <t>유가(욕실바닥재)</t>
        </is>
      </c>
      <c r="C13" s="6" t="inlineStr">
        <is>
          <t>150×150</t>
        </is>
      </c>
      <c r="D13" s="6" t="inlineStr">
        <is>
          <t>화장실 바닥</t>
        </is>
      </c>
      <c r="E13" s="6" t="inlineStr">
        <is>
          <t>필수</t>
        </is>
      </c>
      <c r="F13" s="6" t="inlineStr">
        <is>
          <t>식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>
        <v>32000</v>
      </c>
      <c r="AB13" s="8" t="n">
        <v>10000</v>
      </c>
    </row>
    <row r="14">
      <c r="A14" s="6" t="inlineStr">
        <is>
          <t>FX-010</t>
        </is>
      </c>
      <c r="B14" s="6" t="inlineStr">
        <is>
          <t>조적 벽체/젠다이</t>
        </is>
      </c>
      <c r="C14" s="6" t="inlineStr">
        <is>
          <t>신설</t>
        </is>
      </c>
      <c r="D14" s="6" t="inlineStr">
        <is>
          <t>화장실 구조</t>
        </is>
      </c>
      <c r="E14" s="6" t="inlineStr">
        <is>
          <t>선택</t>
        </is>
      </c>
      <c r="F14" s="6" t="inlineStr">
        <is>
          <t>SET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>
        <v>150000</v>
      </c>
      <c r="AB14" s="8" t="n">
        <v>250000</v>
      </c>
    </row>
    <row r="15">
      <c r="A15" s="6" t="inlineStr">
        <is>
          <t>FX-011</t>
        </is>
      </c>
      <c r="B15" s="6" t="inlineStr">
        <is>
          <t>거울장</t>
        </is>
      </c>
      <c r="C15" s="6" t="inlineStr">
        <is>
          <t>제작</t>
        </is>
      </c>
      <c r="D15" s="6" t="inlineStr">
        <is>
          <t>화장실 수납</t>
        </is>
      </c>
      <c r="E15" s="6" t="inlineStr">
        <is>
          <t>선택</t>
        </is>
      </c>
      <c r="F15" s="6" t="inlineStr">
        <is>
          <t>SET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>
        <v>250000</v>
      </c>
      <c r="AB15" s="8" t="n">
        <v>50000</v>
      </c>
    </row>
    <row r="16">
      <c r="A16" s="6" t="inlineStr">
        <is>
          <t>FX-012</t>
        </is>
      </c>
      <c r="B16" s="6" t="inlineStr">
        <is>
          <t>욕조 수전</t>
        </is>
      </c>
      <c r="C16" s="6" t="inlineStr">
        <is>
          <t>—</t>
        </is>
      </c>
      <c r="D16" s="6" t="inlineStr">
        <is>
          <t>욕조 급수</t>
        </is>
      </c>
      <c r="E16" s="6" t="inlineStr">
        <is>
          <t>선택</t>
        </is>
      </c>
      <c r="F16" s="6" t="inlineStr">
        <is>
          <t>SET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>
        <v>250000</v>
      </c>
      <c r="AB16" s="8" t="n">
        <v>50000</v>
      </c>
    </row>
    <row r="17">
      <c r="A17" s="6" t="inlineStr">
        <is>
          <t>FX-013</t>
        </is>
      </c>
      <c r="B17" s="6" t="inlineStr">
        <is>
          <t>코너선반</t>
        </is>
      </c>
      <c r="C17" s="6" t="inlineStr">
        <is>
          <t>스텐</t>
        </is>
      </c>
      <c r="D17" s="6" t="inlineStr">
        <is>
          <t>화장실 수납</t>
        </is>
      </c>
      <c r="E17" s="6" t="inlineStr">
        <is>
          <t>선택</t>
        </is>
      </c>
      <c r="F17" s="6" t="inlineStr">
        <is>
          <t>개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FX-014</t>
        </is>
      </c>
      <c r="B18" s="6" t="inlineStr">
        <is>
          <t>도어락</t>
        </is>
      </c>
      <c r="C18" s="6" t="inlineStr">
        <is>
          <t>디지털</t>
        </is>
      </c>
      <c r="D18" s="6" t="inlineStr">
        <is>
          <t>현관</t>
        </is>
      </c>
      <c r="E18" s="6" t="inlineStr">
        <is>
          <t>선택</t>
        </is>
      </c>
      <c r="F18" s="6" t="inlineStr">
        <is>
          <t>SET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FX-015</t>
        </is>
      </c>
      <c r="B19" s="6" t="inlineStr">
        <is>
          <t>인터폰</t>
        </is>
      </c>
      <c r="C19" s="6" t="inlineStr">
        <is>
          <t>비디오폰</t>
        </is>
      </c>
      <c r="D19" s="6" t="inlineStr">
        <is>
          <t>현관</t>
        </is>
      </c>
      <c r="E19" s="6" t="inlineStr">
        <is>
          <t>선택</t>
        </is>
      </c>
      <c r="F19" s="6" t="inlineStr">
        <is>
          <t>SET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9" t="inlineStr">
        <is>
          <t>FX-01E</t>
        </is>
      </c>
      <c r="B20" s="9" t="inlineStr">
        <is>
          <t>PVC 보드 가구 하부장</t>
        </is>
      </c>
      <c r="C20" s="6" t="inlineStr">
        <is>
          <t>—</t>
        </is>
      </c>
      <c r="D20" s="6" t="inlineStr">
        <is>
          <t>욕실3</t>
        </is>
      </c>
      <c r="E20" s="6" t="inlineStr">
        <is>
          <t>필수</t>
        </is>
      </c>
      <c r="F20" s="6" t="inlineStr">
        <is>
          <t>M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>
        <is>
          <t>1현장: 산본</t>
        </is>
      </c>
      <c r="AA20" s="8" t="n">
        <v>230000</v>
      </c>
      <c r="AB20" s="8" t="n">
        <v>100000</v>
      </c>
    </row>
    <row r="21">
      <c r="A21" s="9" t="inlineStr">
        <is>
          <t>FX-02E</t>
        </is>
      </c>
      <c r="B21" s="9" t="inlineStr">
        <is>
          <t>S.M.C</t>
        </is>
      </c>
      <c r="C21" s="6" t="inlineStr">
        <is>
          <t>안방 화장실</t>
        </is>
      </c>
      <c r="D21" s="6" t="inlineStr">
        <is>
          <t>거실,안방 화장실</t>
        </is>
      </c>
      <c r="E21" s="6" t="inlineStr">
        <is>
          <t>필수</t>
        </is>
      </c>
      <c r="F21" s="6" t="inlineStr">
        <is>
          <t>SET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>
        <is>
          <t>9현장: 김성용,린스,만현,백현,산본</t>
        </is>
      </c>
      <c r="AA21" s="8" t="n">
        <v>300000</v>
      </c>
      <c r="AB21" s="8" t="n">
        <v>100000</v>
      </c>
    </row>
    <row r="22">
      <c r="A22" s="9" t="inlineStr">
        <is>
          <t>FX-03E</t>
        </is>
      </c>
      <c r="B22" s="9" t="inlineStr">
        <is>
          <t>SUS 선반</t>
        </is>
      </c>
      <c r="C22" s="6" t="inlineStr">
        <is>
          <t>제작</t>
        </is>
      </c>
      <c r="D22" s="6" t="inlineStr">
        <is>
          <t>화장실</t>
        </is>
      </c>
      <c r="E22" s="6" t="inlineStr">
        <is>
          <t>필수</t>
        </is>
      </c>
      <c r="F22" s="6" t="inlineStr">
        <is>
          <t>EA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>
        <is>
          <t>1현장: 전기영</t>
        </is>
      </c>
      <c r="AA22" s="8" t="n">
        <v>15000</v>
      </c>
      <c r="AB22" s="8" t="n">
        <v>10000</v>
      </c>
    </row>
    <row r="23">
      <c r="A23" s="9" t="inlineStr">
        <is>
          <t>FX-04E</t>
        </is>
      </c>
      <c r="B23" s="9" t="inlineStr">
        <is>
          <t>거울 장</t>
        </is>
      </c>
      <c r="C23" s="6" t="inlineStr">
        <is>
          <t>제작거울장</t>
        </is>
      </c>
      <c r="D23" s="6" t="inlineStr">
        <is>
          <t>거실 화장실</t>
        </is>
      </c>
      <c r="E23" s="6" t="inlineStr">
        <is>
          <t>필수</t>
        </is>
      </c>
      <c r="F23" s="6" t="inlineStr">
        <is>
          <t>SET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>
        <is>
          <t>7현장: 금호,김성용,김은경,이선,이성숙</t>
        </is>
      </c>
      <c r="AA23" s="8" t="n">
        <v>250000</v>
      </c>
      <c r="AB23" s="8" t="n">
        <v>50000</v>
      </c>
    </row>
    <row r="24">
      <c r="A24" s="9" t="inlineStr">
        <is>
          <t>FX-05E</t>
        </is>
      </c>
      <c r="B24" s="9" t="inlineStr">
        <is>
          <t>도어씰</t>
        </is>
      </c>
      <c r="C24" s="6" t="inlineStr">
        <is>
          <t>인조대리석</t>
        </is>
      </c>
      <c r="D24" s="6" t="inlineStr">
        <is>
          <t>화장실</t>
        </is>
      </c>
      <c r="E24" s="6" t="inlineStr">
        <is>
          <t>필수</t>
        </is>
      </c>
      <c r="F24" s="6" t="inlineStr">
        <is>
          <t>식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>
        <is>
          <t>6현장: 금호,김성용,김은경,이선,전기영</t>
        </is>
      </c>
      <c r="AA24" s="8" t="n">
        <v>80000</v>
      </c>
      <c r="AB24" s="8" t="n">
        <v>12500</v>
      </c>
    </row>
    <row r="25">
      <c r="A25" s="9" t="inlineStr">
        <is>
          <t>FX-06E</t>
        </is>
      </c>
      <c r="B25" s="9" t="inlineStr">
        <is>
          <t>벽걸이 세면대</t>
        </is>
      </c>
      <c r="C25" s="6" t="inlineStr">
        <is>
          <t>콜러 24985k-1-0</t>
        </is>
      </c>
      <c r="D25" s="6" t="inlineStr">
        <is>
          <t>거실, 동생방 화장실</t>
        </is>
      </c>
      <c r="E25" s="6" t="inlineStr">
        <is>
          <t>필수</t>
        </is>
      </c>
      <c r="F25" s="6" t="inlineStr">
        <is>
          <t>EA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>
        <is>
          <t>1현장: 산본</t>
        </is>
      </c>
      <c r="AA25" s="8" t="n">
        <v>296900</v>
      </c>
      <c r="AB25" s="8" t="n">
        <v>50000</v>
      </c>
    </row>
    <row r="26">
      <c r="A26" s="9" t="inlineStr">
        <is>
          <t>FX-07E</t>
        </is>
      </c>
      <c r="B26" s="9" t="inlineStr">
        <is>
          <t>부자재</t>
        </is>
      </c>
      <c r="C26" s="6" t="inlineStr">
        <is>
          <t>아덱스 탄성 메지, 레미탈</t>
        </is>
      </c>
      <c r="D26" s="6" t="inlineStr">
        <is>
          <t>화장실</t>
        </is>
      </c>
      <c r="E26" s="6" t="inlineStr">
        <is>
          <t>필수</t>
        </is>
      </c>
      <c r="F26" s="6" t="inlineStr">
        <is>
          <t>식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>
        <is>
          <t>5현장: 금호,이선,이성숙,전기영,행당동</t>
        </is>
      </c>
      <c r="AA26" s="8" t="n">
        <v>300000</v>
      </c>
      <c r="AB26" s="8" t="n">
        <v>100000</v>
      </c>
    </row>
    <row r="27">
      <c r="A27" s="9" t="inlineStr">
        <is>
          <t>FX-08E</t>
        </is>
      </c>
      <c r="B27" s="9" t="inlineStr">
        <is>
          <t>샤워 거치대(슬라이드바)</t>
        </is>
      </c>
      <c r="C27" s="6" t="inlineStr">
        <is>
          <t>선진수도 선택9</t>
        </is>
      </c>
      <c r="D27" s="6" t="inlineStr">
        <is>
          <t>거실 화장실</t>
        </is>
      </c>
      <c r="E27" s="6" t="inlineStr">
        <is>
          <t>필수</t>
        </is>
      </c>
      <c r="F27" s="6" t="inlineStr">
        <is>
          <t>SET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>
        <is>
          <t>6현장: 린스,만현,백현,산본,진산</t>
        </is>
      </c>
      <c r="AA27" s="8" t="n">
        <v>11000</v>
      </c>
      <c r="AB27" s="8" t="n">
        <v>30000</v>
      </c>
    </row>
    <row r="28">
      <c r="A28" s="9" t="inlineStr">
        <is>
          <t>FX-09E</t>
        </is>
      </c>
      <c r="B28" s="9" t="inlineStr">
        <is>
          <t>샤워 부스</t>
        </is>
      </c>
      <c r="C28" s="6" t="inlineStr">
        <is>
          <t>유리</t>
        </is>
      </c>
      <c r="D28" s="6" t="inlineStr">
        <is>
          <t>화장실</t>
        </is>
      </c>
      <c r="E28" s="6" t="inlineStr">
        <is>
          <t>필수</t>
        </is>
      </c>
      <c r="F28" s="6" t="inlineStr">
        <is>
          <t>식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>
        <is>
          <t>1현장: 이선</t>
        </is>
      </c>
      <c r="AA28" s="8" t="n">
        <v>450000</v>
      </c>
      <c r="AB28" s="8" t="n">
        <v>50000</v>
      </c>
    </row>
    <row r="29">
      <c r="A29" s="9" t="inlineStr">
        <is>
          <t>FX-10E</t>
        </is>
      </c>
      <c r="B29" s="9" t="inlineStr">
        <is>
          <t>샤워수전 악세사리</t>
        </is>
      </c>
      <c r="C29" s="6" t="inlineStr">
        <is>
          <t>26220000 외 3가지</t>
        </is>
      </c>
      <c r="D29" s="6" t="inlineStr">
        <is>
          <t>각 화장실</t>
        </is>
      </c>
      <c r="E29" s="6" t="inlineStr">
        <is>
          <t>필수</t>
        </is>
      </c>
      <c r="F29" s="6" t="inlineStr">
        <is>
          <t>SET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>
        <is>
          <t>1현장: 산본</t>
        </is>
      </c>
      <c r="AA29" s="8" t="n">
        <v>854000</v>
      </c>
      <c r="AB29" s="8" t="n"/>
    </row>
    <row r="30">
      <c r="A30" s="9" t="inlineStr">
        <is>
          <t>FX-11E</t>
        </is>
      </c>
      <c r="B30" s="9" t="inlineStr">
        <is>
          <t>샤워수전 카트리지</t>
        </is>
      </c>
      <c r="C30" s="6" t="inlineStr">
        <is>
          <t>한스그로헤 1500180</t>
        </is>
      </c>
      <c r="D30" s="6" t="inlineStr">
        <is>
          <t>각 화장실</t>
        </is>
      </c>
      <c r="E30" s="6" t="inlineStr">
        <is>
          <t>필수</t>
        </is>
      </c>
      <c r="F30" s="6" t="inlineStr">
        <is>
          <t>SET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>
        <is>
          <t>1현장: 산본</t>
        </is>
      </c>
      <c r="AA30" s="8" t="n">
        <v>133000</v>
      </c>
      <c r="AB30" s="8" t="n"/>
    </row>
    <row r="31">
      <c r="A31" s="9" t="inlineStr">
        <is>
          <t>FX-12E</t>
        </is>
      </c>
      <c r="B31" s="9" t="inlineStr">
        <is>
          <t>샤워헤드 걸이</t>
        </is>
      </c>
      <c r="C31" s="6" t="inlineStr">
        <is>
          <t>한스그로헤 27055000</t>
        </is>
      </c>
      <c r="D31" s="6" t="inlineStr">
        <is>
          <t>각 화장실</t>
        </is>
      </c>
      <c r="E31" s="6" t="inlineStr">
        <is>
          <t>필수</t>
        </is>
      </c>
      <c r="F31" s="6" t="inlineStr">
        <is>
          <t>SET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>
        <is>
          <t>1현장: 산본</t>
        </is>
      </c>
      <c r="AA31" s="8" t="n">
        <v>33000</v>
      </c>
      <c r="AB31" s="8" t="n">
        <v>20000</v>
      </c>
    </row>
    <row r="32">
      <c r="A32" s="9" t="inlineStr">
        <is>
          <t>FX-13E</t>
        </is>
      </c>
      <c r="B32" s="9" t="inlineStr">
        <is>
          <t>세면대</t>
        </is>
      </c>
      <c r="C32" s="6" t="inlineStr">
        <is>
          <t>CCASF516</t>
        </is>
      </c>
      <c r="D32" s="6" t="inlineStr">
        <is>
          <t>안방 세면대</t>
        </is>
      </c>
      <c r="E32" s="6" t="inlineStr">
        <is>
          <t>필수</t>
        </is>
      </c>
      <c r="F32" s="6" t="inlineStr">
        <is>
          <t>EA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12현장: 금호,김성용,김은경,린스,만현</t>
        </is>
      </c>
      <c r="AA32" s="8" t="n">
        <v>180000</v>
      </c>
      <c r="AB32" s="8" t="n">
        <v>50000</v>
      </c>
    </row>
    <row r="33">
      <c r="A33" s="9" t="inlineStr">
        <is>
          <t>FX-14E</t>
        </is>
      </c>
      <c r="B33" s="9" t="inlineStr">
        <is>
          <t>세면대 구조틀</t>
        </is>
      </c>
      <c r="C33" s="6" t="inlineStr">
        <is>
          <t>ㅁ각파이프</t>
        </is>
      </c>
      <c r="D33" s="6" t="inlineStr">
        <is>
          <t>거실 화장실</t>
        </is>
      </c>
      <c r="E33" s="6" t="inlineStr">
        <is>
          <t>필수</t>
        </is>
      </c>
      <c r="F33" s="6" t="inlineStr">
        <is>
          <t>EA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>
        <is>
          <t>5현장: 린스,만현,백현,진산,푸르지오</t>
        </is>
      </c>
      <c r="AA33" s="8" t="n">
        <v>200000</v>
      </c>
      <c r="AB33" s="8" t="n">
        <v>200000</v>
      </c>
    </row>
    <row r="34">
      <c r="A34" s="9" t="inlineStr">
        <is>
          <t>FX-15E</t>
        </is>
      </c>
      <c r="B34" s="9" t="inlineStr">
        <is>
          <t>세면대 하지</t>
        </is>
      </c>
      <c r="C34" s="6" t="inlineStr">
        <is>
          <t>—</t>
        </is>
      </c>
      <c r="D34" s="6" t="inlineStr">
        <is>
          <t>안방 화장실</t>
        </is>
      </c>
      <c r="E34" s="6" t="inlineStr">
        <is>
          <t>필수</t>
        </is>
      </c>
      <c r="F34" s="6" t="inlineStr">
        <is>
          <t>식</t>
        </is>
      </c>
      <c r="G34" s="6" t="n"/>
      <c r="H34" s="6" t="n"/>
      <c r="I34" s="7">
        <f>IF(G34="","",G34*(1+H34/100))</f>
        <v/>
      </c>
      <c r="J34" s="6" t="n"/>
      <c r="K34" s="6" t="n"/>
      <c r="L34" s="8" t="n"/>
      <c r="M34" s="8" t="n"/>
      <c r="N34" s="8" t="n"/>
      <c r="O34" s="8" t="n"/>
      <c r="P34" s="8" t="n"/>
      <c r="Q34" s="8">
        <f>IF(OR(O34="",P34=""),"",MIN(O34,P34)-N34)</f>
        <v/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inlineStr">
        <is>
          <t>1현장: 전기영</t>
        </is>
      </c>
      <c r="AA34" s="8" t="n">
        <v>265000</v>
      </c>
      <c r="AB34" s="8" t="n">
        <v>250000</v>
      </c>
    </row>
    <row r="35">
      <c r="A35" s="9" t="inlineStr">
        <is>
          <t>FX-16E</t>
        </is>
      </c>
      <c r="B35" s="9" t="inlineStr">
        <is>
          <t>세면수전 카트리지</t>
        </is>
      </c>
      <c r="C35" s="6" t="inlineStr">
        <is>
          <t>한스그로헤 13622180</t>
        </is>
      </c>
      <c r="D35" s="6" t="inlineStr">
        <is>
          <t>각 화장실</t>
        </is>
      </c>
      <c r="E35" s="6" t="inlineStr">
        <is>
          <t>필수</t>
        </is>
      </c>
      <c r="F35" s="6" t="inlineStr">
        <is>
          <t>SET</t>
        </is>
      </c>
      <c r="G35" s="6" t="n"/>
      <c r="H35" s="6" t="n"/>
      <c r="I35" s="7">
        <f>IF(G35="","",G35*(1+H35/100))</f>
        <v/>
      </c>
      <c r="J35" s="6" t="n"/>
      <c r="K35" s="6" t="n"/>
      <c r="L35" s="8" t="n"/>
      <c r="M35" s="8" t="n"/>
      <c r="N35" s="8" t="n"/>
      <c r="O35" s="8" t="n"/>
      <c r="P35" s="8" t="n"/>
      <c r="Q35" s="8">
        <f>IF(OR(O35="",P35=""),"",MIN(O35,P35)-N35)</f>
        <v/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inlineStr">
        <is>
          <t>1현장: 산본</t>
        </is>
      </c>
      <c r="AA35" s="8" t="n">
        <v>269000</v>
      </c>
      <c r="AB35" s="8" t="n"/>
    </row>
    <row r="36">
      <c r="A36" s="9" t="inlineStr">
        <is>
          <t>FX-17E</t>
        </is>
      </c>
      <c r="B36" s="9" t="inlineStr">
        <is>
          <t>수건 걸이</t>
        </is>
      </c>
      <c r="C36" s="6" t="inlineStr">
        <is>
          <t>한스그로헤 41767000</t>
        </is>
      </c>
      <c r="D36" s="6" t="inlineStr">
        <is>
          <t>안방 화장실</t>
        </is>
      </c>
      <c r="E36" s="6" t="inlineStr">
        <is>
          <t>필수</t>
        </is>
      </c>
      <c r="F36" s="6" t="inlineStr">
        <is>
          <t>SET</t>
        </is>
      </c>
      <c r="G36" s="6" t="n"/>
      <c r="H36" s="6" t="n"/>
      <c r="I36" s="7">
        <f>IF(G36="","",G36*(1+H36/100))</f>
        <v/>
      </c>
      <c r="J36" s="6" t="n"/>
      <c r="K36" s="6" t="n"/>
      <c r="L36" s="8" t="n"/>
      <c r="M36" s="8" t="n"/>
      <c r="N36" s="8" t="n"/>
      <c r="O36" s="8" t="n"/>
      <c r="P36" s="8" t="n"/>
      <c r="Q36" s="8">
        <f>IF(OR(O36="",P36=""),"",MIN(O36,P36)-N36)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inlineStr">
        <is>
          <t>13현장: 금호,김성용,김은경,린스,만현</t>
        </is>
      </c>
      <c r="AA36" s="8" t="n">
        <v>49000</v>
      </c>
      <c r="AB36" s="8" t="n">
        <v>50000</v>
      </c>
    </row>
    <row r="37">
      <c r="A37" s="9" t="inlineStr">
        <is>
          <t>FX-18E</t>
        </is>
      </c>
      <c r="B37" s="9" t="inlineStr">
        <is>
          <t>스프레이건</t>
        </is>
      </c>
      <c r="C37" s="6" t="inlineStr">
        <is>
          <t>니켈</t>
        </is>
      </c>
      <c r="D37" s="6" t="inlineStr">
        <is>
          <t>거실 / 안방</t>
        </is>
      </c>
      <c r="E37" s="6" t="inlineStr">
        <is>
          <t>필수</t>
        </is>
      </c>
      <c r="F37" s="6" t="inlineStr">
        <is>
          <t>SET</t>
        </is>
      </c>
      <c r="G37" s="6" t="n"/>
      <c r="H37" s="6" t="n"/>
      <c r="I37" s="7">
        <f>IF(G37="","",G37*(1+H37/100))</f>
        <v/>
      </c>
      <c r="J37" s="6" t="n"/>
      <c r="K37" s="6" t="n"/>
      <c r="L37" s="8" t="n"/>
      <c r="M37" s="8" t="n"/>
      <c r="N37" s="8" t="n"/>
      <c r="O37" s="8" t="n"/>
      <c r="P37" s="8" t="n"/>
      <c r="Q37" s="8">
        <f>IF(OR(O37="",P37=""),"",MIN(O37,P37)-N37)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inlineStr">
        <is>
          <t>5현장: 린스,만현,백현,진산,푸르지오</t>
        </is>
      </c>
      <c r="AA37" s="8" t="n"/>
      <c r="AB37" s="8" t="n"/>
    </row>
    <row r="38">
      <c r="A38" s="9" t="inlineStr">
        <is>
          <t>FX-19E</t>
        </is>
      </c>
      <c r="B38" s="9" t="inlineStr">
        <is>
          <t>아크릴욕조</t>
        </is>
      </c>
      <c r="C38" s="6" t="inlineStr">
        <is>
          <t>아크릴 족욕 욕조</t>
        </is>
      </c>
      <c r="D38" s="6" t="inlineStr">
        <is>
          <t>화장실</t>
        </is>
      </c>
      <c r="E38" s="6" t="inlineStr">
        <is>
          <t>필수</t>
        </is>
      </c>
      <c r="F38" s="6" t="inlineStr">
        <is>
          <t>SET</t>
        </is>
      </c>
      <c r="G38" s="6" t="n"/>
      <c r="H38" s="6" t="n"/>
      <c r="I38" s="7">
        <f>IF(G38="","",G38*(1+H38/100))</f>
        <v/>
      </c>
      <c r="J38" s="6" t="n"/>
      <c r="K38" s="6" t="n"/>
      <c r="L38" s="8" t="n"/>
      <c r="M38" s="8" t="n"/>
      <c r="N38" s="8" t="n"/>
      <c r="O38" s="8" t="n"/>
      <c r="P38" s="8" t="n"/>
      <c r="Q38" s="8">
        <f>IF(OR(O38="",P38=""),"",MIN(O38,P38)-N38)</f>
        <v/>
      </c>
      <c r="R38" s="6" t="n"/>
      <c r="S38" s="6" t="n"/>
      <c r="T38" s="6" t="n"/>
      <c r="U38" s="6" t="n"/>
      <c r="V38" s="6" t="n"/>
      <c r="W38" s="6" t="n"/>
      <c r="X38" s="6" t="n"/>
      <c r="Y38" s="6" t="n"/>
      <c r="Z38" s="6" t="inlineStr">
        <is>
          <t>1현장: 이선</t>
        </is>
      </c>
      <c r="AA38" s="8" t="n">
        <v>550000</v>
      </c>
      <c r="AB38" s="8" t="n">
        <v>90000</v>
      </c>
    </row>
    <row r="39">
      <c r="A39" s="9" t="inlineStr">
        <is>
          <t>FX-20E</t>
        </is>
      </c>
      <c r="B39" s="9" t="inlineStr">
        <is>
          <t>양변기</t>
        </is>
      </c>
      <c r="C39" s="6" t="inlineStr">
        <is>
          <t>TOTO NEOREST NX</t>
        </is>
      </c>
      <c r="D39" s="6" t="inlineStr">
        <is>
          <t>안방 화장실</t>
        </is>
      </c>
      <c r="E39" s="6" t="inlineStr">
        <is>
          <t>필수</t>
        </is>
      </c>
      <c r="F39" s="6" t="inlineStr">
        <is>
          <t>EA</t>
        </is>
      </c>
      <c r="G39" s="6" t="n"/>
      <c r="H39" s="6" t="n"/>
      <c r="I39" s="7">
        <f>IF(G39="","",G39*(1+H39/100))</f>
        <v/>
      </c>
      <c r="J39" s="6" t="n"/>
      <c r="K39" s="6" t="n"/>
      <c r="L39" s="8" t="n"/>
      <c r="M39" s="8" t="n"/>
      <c r="N39" s="8" t="n"/>
      <c r="O39" s="8" t="n"/>
      <c r="P39" s="8" t="n"/>
      <c r="Q39" s="8">
        <f>IF(OR(O39="",P39=""),"",MIN(O39,P39)-N39)</f>
        <v/>
      </c>
      <c r="R39" s="6" t="n"/>
      <c r="S39" s="6" t="n"/>
      <c r="T39" s="6" t="n"/>
      <c r="U39" s="6" t="n"/>
      <c r="V39" s="6" t="n"/>
      <c r="W39" s="6" t="n"/>
      <c r="X39" s="6" t="n"/>
      <c r="Y39" s="6" t="n"/>
      <c r="Z39" s="6" t="inlineStr">
        <is>
          <t>13현장: 금호,김성용,김은경,린스,만현</t>
        </is>
      </c>
      <c r="AA39" s="8" t="n">
        <v>400000</v>
      </c>
      <c r="AB39" s="8" t="n">
        <v>50000</v>
      </c>
    </row>
    <row r="40">
      <c r="A40" s="9" t="inlineStr">
        <is>
          <t>FX-21E</t>
        </is>
      </c>
      <c r="B40" s="9" t="inlineStr">
        <is>
          <t>언더 카운터 세면대</t>
        </is>
      </c>
      <c r="C40" s="6" t="inlineStr">
        <is>
          <t>아메리칸 웨이브S 언더</t>
        </is>
      </c>
      <c r="D40" s="6" t="inlineStr">
        <is>
          <t>안방,거실 화장실</t>
        </is>
      </c>
      <c r="E40" s="6" t="inlineStr">
        <is>
          <t>필수</t>
        </is>
      </c>
      <c r="F40" s="6" t="inlineStr">
        <is>
          <t>EA</t>
        </is>
      </c>
      <c r="G40" s="6" t="n"/>
      <c r="H40" s="6" t="n"/>
      <c r="I40" s="7">
        <f>IF(G40="","",G40*(1+H40/100))</f>
        <v/>
      </c>
      <c r="J40" s="6" t="n"/>
      <c r="K40" s="6" t="n"/>
      <c r="L40" s="8" t="n"/>
      <c r="M40" s="8" t="n"/>
      <c r="N40" s="8" t="n"/>
      <c r="O40" s="8" t="n"/>
      <c r="P40" s="8" t="n"/>
      <c r="Q40" s="8">
        <f>IF(OR(O40="",P40=""),"",MIN(O40,P40)-N40)</f>
        <v/>
      </c>
      <c r="R40" s="6" t="n"/>
      <c r="S40" s="6" t="n"/>
      <c r="T40" s="6" t="n"/>
      <c r="U40" s="6" t="n"/>
      <c r="V40" s="6" t="n"/>
      <c r="W40" s="6" t="n"/>
      <c r="X40" s="6" t="n"/>
      <c r="Y40" s="6" t="n"/>
      <c r="Z40" s="6" t="inlineStr">
        <is>
          <t>3현장: 린스,만현,백현</t>
        </is>
      </c>
      <c r="AA40" s="8" t="n">
        <v>150400</v>
      </c>
      <c r="AB40" s="8" t="n">
        <v>50000</v>
      </c>
    </row>
    <row r="41">
      <c r="A41" s="9" t="inlineStr">
        <is>
          <t>FX-22E</t>
        </is>
      </c>
      <c r="B41" s="9" t="inlineStr">
        <is>
          <t>언더카운터 세면대</t>
        </is>
      </c>
      <c r="C41" s="6" t="inlineStr">
        <is>
          <t>그로헤 큐브 500 언더볼</t>
        </is>
      </c>
      <c r="D41" s="6" t="inlineStr">
        <is>
          <t>어머님 방 화장실</t>
        </is>
      </c>
      <c r="E41" s="6" t="inlineStr">
        <is>
          <t>필수</t>
        </is>
      </c>
      <c r="F41" s="6" t="inlineStr">
        <is>
          <t>EA</t>
        </is>
      </c>
      <c r="G41" s="6" t="n"/>
      <c r="H41" s="6" t="n"/>
      <c r="I41" s="7">
        <f>IF(G41="","",G41*(1+H41/100))</f>
        <v/>
      </c>
      <c r="J41" s="6" t="n"/>
      <c r="K41" s="6" t="n"/>
      <c r="L41" s="8" t="n"/>
      <c r="M41" s="8" t="n"/>
      <c r="N41" s="8" t="n"/>
      <c r="O41" s="8" t="n"/>
      <c r="P41" s="8" t="n"/>
      <c r="Q41" s="8">
        <f>IF(OR(O41="",P41=""),"",MIN(O41,P41)-N41)</f>
        <v/>
      </c>
      <c r="R41" s="6" t="n"/>
      <c r="S41" s="6" t="n"/>
      <c r="T41" s="6" t="n"/>
      <c r="U41" s="6" t="n"/>
      <c r="V41" s="6" t="n"/>
      <c r="W41" s="6" t="n"/>
      <c r="X41" s="6" t="n"/>
      <c r="Y41" s="6" t="n"/>
      <c r="Z41" s="6" t="inlineStr">
        <is>
          <t>1현장: 산본</t>
        </is>
      </c>
      <c r="AA41" s="8" t="n">
        <v>366000</v>
      </c>
      <c r="AB41" s="8" t="n">
        <v>50000</v>
      </c>
    </row>
    <row r="42">
      <c r="A42" s="9" t="inlineStr">
        <is>
          <t>FX-23E</t>
        </is>
      </c>
      <c r="B42" s="9" t="inlineStr">
        <is>
          <t>언더카운터 세면대 W:600</t>
        </is>
      </c>
      <c r="C42" s="6" t="inlineStr">
        <is>
          <t>아메리칸 언더카운터 씬엣지 F513</t>
        </is>
      </c>
      <c r="D42" s="6" t="inlineStr">
        <is>
          <t>안방 화장실</t>
        </is>
      </c>
      <c r="E42" s="6" t="inlineStr">
        <is>
          <t>필수</t>
        </is>
      </c>
      <c r="F42" s="6" t="inlineStr">
        <is>
          <t>EA</t>
        </is>
      </c>
      <c r="G42" s="6" t="n"/>
      <c r="H42" s="6" t="n"/>
      <c r="I42" s="7">
        <f>IF(G42="","",G42*(1+H42/100))</f>
        <v/>
      </c>
      <c r="J42" s="6" t="n"/>
      <c r="K42" s="6" t="n"/>
      <c r="L42" s="8" t="n"/>
      <c r="M42" s="8" t="n"/>
      <c r="N42" s="8" t="n"/>
      <c r="O42" s="8" t="n"/>
      <c r="P42" s="8" t="n"/>
      <c r="Q42" s="8">
        <f>IF(OR(O42="",P42=""),"",MIN(O42,P42)-N42)</f>
        <v/>
      </c>
      <c r="R42" s="6" t="n"/>
      <c r="S42" s="6" t="n"/>
      <c r="T42" s="6" t="n"/>
      <c r="U42" s="6" t="n"/>
      <c r="V42" s="6" t="n"/>
      <c r="W42" s="6" t="n"/>
      <c r="X42" s="6" t="n"/>
      <c r="Y42" s="6" t="n"/>
      <c r="Z42" s="6" t="inlineStr">
        <is>
          <t>5현장: 린스,만현,백현,산본,푸르지오</t>
        </is>
      </c>
      <c r="AA42" s="8" t="n">
        <v>190000</v>
      </c>
      <c r="AB42" s="8" t="n">
        <v>50000</v>
      </c>
    </row>
    <row r="43">
      <c r="A43" s="9" t="inlineStr">
        <is>
          <t>FX-24E</t>
        </is>
      </c>
      <c r="B43" s="9" t="inlineStr">
        <is>
          <t>언더카운터 세면대 구조틀</t>
        </is>
      </c>
      <c r="C43" s="6" t="inlineStr">
        <is>
          <t>제작</t>
        </is>
      </c>
      <c r="D43" s="6" t="inlineStr">
        <is>
          <t>각 화장실</t>
        </is>
      </c>
      <c r="E43" s="6" t="inlineStr">
        <is>
          <t>필수</t>
        </is>
      </c>
      <c r="F43" s="6" t="inlineStr">
        <is>
          <t>EA</t>
        </is>
      </c>
      <c r="G43" s="6" t="n"/>
      <c r="H43" s="6" t="n"/>
      <c r="I43" s="7">
        <f>IF(G43="","",G43*(1+H43/100))</f>
        <v/>
      </c>
      <c r="J43" s="6" t="n"/>
      <c r="K43" s="6" t="n"/>
      <c r="L43" s="8" t="n"/>
      <c r="M43" s="8" t="n"/>
      <c r="N43" s="8" t="n"/>
      <c r="O43" s="8" t="n"/>
      <c r="P43" s="8" t="n"/>
      <c r="Q43" s="8">
        <f>IF(OR(O43="",P43=""),"",MIN(O43,P43)-N43)</f>
        <v/>
      </c>
      <c r="R43" s="6" t="n"/>
      <c r="S43" s="6" t="n"/>
      <c r="T43" s="6" t="n"/>
      <c r="U43" s="6" t="n"/>
      <c r="V43" s="6" t="n"/>
      <c r="W43" s="6" t="n"/>
      <c r="X43" s="6" t="n"/>
      <c r="Y43" s="6" t="n"/>
      <c r="Z43" s="6" t="inlineStr">
        <is>
          <t>1현장: 산본</t>
        </is>
      </c>
      <c r="AA43" s="8" t="n">
        <v>150000</v>
      </c>
      <c r="AB43" s="8" t="n">
        <v>70000</v>
      </c>
    </row>
    <row r="44">
      <c r="A44" s="9" t="inlineStr">
        <is>
          <t>FX-25E</t>
        </is>
      </c>
      <c r="B44" s="9" t="inlineStr">
        <is>
          <t>옷 선반</t>
        </is>
      </c>
      <c r="C44" s="6" t="inlineStr">
        <is>
          <t>—</t>
        </is>
      </c>
      <c r="D44" s="6" t="inlineStr">
        <is>
          <t>거실 화장실</t>
        </is>
      </c>
      <c r="E44" s="6" t="inlineStr">
        <is>
          <t>필수</t>
        </is>
      </c>
      <c r="F44" s="6" t="inlineStr">
        <is>
          <t>SET</t>
        </is>
      </c>
      <c r="G44" s="6" t="n"/>
      <c r="H44" s="6" t="n"/>
      <c r="I44" s="7">
        <f>IF(G44="","",G44*(1+H44/100))</f>
        <v/>
      </c>
      <c r="J44" s="6" t="n"/>
      <c r="K44" s="6" t="n"/>
      <c r="L44" s="8" t="n"/>
      <c r="M44" s="8" t="n"/>
      <c r="N44" s="8" t="n"/>
      <c r="O44" s="8" t="n"/>
      <c r="P44" s="8" t="n"/>
      <c r="Q44" s="8">
        <f>IF(OR(O44="",P44=""),"",MIN(O44,P44)-N44)</f>
        <v/>
      </c>
      <c r="R44" s="6" t="n"/>
      <c r="S44" s="6" t="n"/>
      <c r="T44" s="6" t="n"/>
      <c r="U44" s="6" t="n"/>
      <c r="V44" s="6" t="n"/>
      <c r="W44" s="6" t="n"/>
      <c r="X44" s="6" t="n"/>
      <c r="Y44" s="6" t="n"/>
      <c r="Z44" s="6" t="inlineStr">
        <is>
          <t>4현장: 린스,만현,백현,푸르지오</t>
        </is>
      </c>
      <c r="AA44" s="8" t="n"/>
      <c r="AB44" s="8" t="n">
        <v>50000</v>
      </c>
    </row>
    <row r="45">
      <c r="A45" s="9" t="inlineStr">
        <is>
          <t>FX-26E</t>
        </is>
      </c>
      <c r="B45" s="9" t="inlineStr">
        <is>
          <t>욕실장</t>
        </is>
      </c>
      <c r="C45" s="6" t="inlineStr">
        <is>
          <t>기성</t>
        </is>
      </c>
      <c r="D45" s="6" t="inlineStr">
        <is>
          <t>거실 화장실</t>
        </is>
      </c>
      <c r="E45" s="6" t="inlineStr">
        <is>
          <t>필수</t>
        </is>
      </c>
      <c r="F45" s="6" t="inlineStr">
        <is>
          <t>식</t>
        </is>
      </c>
      <c r="G45" s="6" t="n"/>
      <c r="H45" s="6" t="n"/>
      <c r="I45" s="7">
        <f>IF(G45="","",G45*(1+H45/100))</f>
        <v/>
      </c>
      <c r="J45" s="6" t="n"/>
      <c r="K45" s="6" t="n"/>
      <c r="L45" s="8" t="n"/>
      <c r="M45" s="8" t="n"/>
      <c r="N45" s="8" t="n"/>
      <c r="O45" s="8" t="n"/>
      <c r="P45" s="8" t="n"/>
      <c r="Q45" s="8">
        <f>IF(OR(O45="",P45=""),"",MIN(O45,P45)-N45)</f>
        <v/>
      </c>
      <c r="R45" s="6" t="n"/>
      <c r="S45" s="6" t="n"/>
      <c r="T45" s="6" t="n"/>
      <c r="U45" s="6" t="n"/>
      <c r="V45" s="6" t="n"/>
      <c r="W45" s="6" t="n"/>
      <c r="X45" s="6" t="n"/>
      <c r="Y45" s="6" t="n"/>
      <c r="Z45" s="6" t="inlineStr">
        <is>
          <t>1현장: 만현</t>
        </is>
      </c>
      <c r="AA45" s="8" t="n"/>
      <c r="AB45" s="8" t="n">
        <v>50000</v>
      </c>
    </row>
    <row r="46">
      <c r="A46" s="9" t="inlineStr">
        <is>
          <t>FX-27E</t>
        </is>
      </c>
      <c r="B46" s="9" t="inlineStr">
        <is>
          <t>욕조수전</t>
        </is>
      </c>
      <c r="C46" s="6" t="inlineStr">
        <is>
          <t>ST1029 NB</t>
        </is>
      </c>
      <c r="D46" s="6" t="inlineStr">
        <is>
          <t>화장실</t>
        </is>
      </c>
      <c r="E46" s="6" t="inlineStr">
        <is>
          <t>필수</t>
        </is>
      </c>
      <c r="F46" s="6" t="inlineStr">
        <is>
          <t>SET</t>
        </is>
      </c>
      <c r="G46" s="6" t="n"/>
      <c r="H46" s="6" t="n"/>
      <c r="I46" s="7">
        <f>IF(G46="","",G46*(1+H46/100))</f>
        <v/>
      </c>
      <c r="J46" s="6" t="n"/>
      <c r="K46" s="6" t="n"/>
      <c r="L46" s="8" t="n"/>
      <c r="M46" s="8" t="n"/>
      <c r="N46" s="8" t="n"/>
      <c r="O46" s="8" t="n"/>
      <c r="P46" s="8" t="n"/>
      <c r="Q46" s="8">
        <f>IF(OR(O46="",P46=""),"",MIN(O46,P46)-N46)</f>
        <v/>
      </c>
      <c r="R46" s="6" t="n"/>
      <c r="S46" s="6" t="n"/>
      <c r="T46" s="6" t="n"/>
      <c r="U46" s="6" t="n"/>
      <c r="V46" s="6" t="n"/>
      <c r="W46" s="6" t="n"/>
      <c r="X46" s="6" t="n"/>
      <c r="Y46" s="6" t="n"/>
      <c r="Z46" s="6" t="inlineStr">
        <is>
          <t>1현장: 이선</t>
        </is>
      </c>
      <c r="AA46" s="8" t="n">
        <v>360000</v>
      </c>
      <c r="AB46" s="8" t="n">
        <v>250000</v>
      </c>
    </row>
    <row r="47">
      <c r="A47" s="9" t="inlineStr">
        <is>
          <t>FX-28E</t>
        </is>
      </c>
      <c r="B47" s="9" t="inlineStr">
        <is>
          <t>제작 세면대</t>
        </is>
      </c>
      <c r="C47" s="6" t="inlineStr">
        <is>
          <t>마감재 미정</t>
        </is>
      </c>
      <c r="D47" s="6" t="inlineStr">
        <is>
          <t>화장실</t>
        </is>
      </c>
      <c r="E47" s="6" t="inlineStr">
        <is>
          <t>필수</t>
        </is>
      </c>
      <c r="F47" s="6" t="inlineStr">
        <is>
          <t>EA</t>
        </is>
      </c>
      <c r="G47" s="6" t="n"/>
      <c r="H47" s="6" t="n"/>
      <c r="I47" s="7">
        <f>IF(G47="","",G47*(1+H47/100))</f>
        <v/>
      </c>
      <c r="J47" s="6" t="n"/>
      <c r="K47" s="6" t="n"/>
      <c r="L47" s="8" t="n"/>
      <c r="M47" s="8" t="n"/>
      <c r="N47" s="8" t="n"/>
      <c r="O47" s="8" t="n"/>
      <c r="P47" s="8" t="n"/>
      <c r="Q47" s="8">
        <f>IF(OR(O47="",P47=""),"",MIN(O47,P47)-N47)</f>
        <v/>
      </c>
      <c r="R47" s="6" t="n"/>
      <c r="S47" s="6" t="n"/>
      <c r="T47" s="6" t="n"/>
      <c r="U47" s="6" t="n"/>
      <c r="V47" s="6" t="n"/>
      <c r="W47" s="6" t="n"/>
      <c r="X47" s="6" t="n"/>
      <c r="Y47" s="6" t="n"/>
      <c r="Z47" s="6" t="inlineStr">
        <is>
          <t>1현장: 이선</t>
        </is>
      </c>
      <c r="AA47" s="8" t="n">
        <v>650000</v>
      </c>
      <c r="AB47" s="8" t="n">
        <v>150000</v>
      </c>
    </row>
    <row r="48">
      <c r="A48" s="9" t="inlineStr">
        <is>
          <t>FX-29E</t>
        </is>
      </c>
      <c r="B48" s="9" t="inlineStr">
        <is>
          <t>케라폭시 메지</t>
        </is>
      </c>
      <c r="C48" s="6" t="inlineStr">
        <is>
          <t>마페이</t>
        </is>
      </c>
      <c r="D48" s="6" t="inlineStr">
        <is>
          <t>거실 화장실</t>
        </is>
      </c>
      <c r="E48" s="6" t="inlineStr">
        <is>
          <t>필수</t>
        </is>
      </c>
      <c r="F48" s="6" t="inlineStr">
        <is>
          <t>식</t>
        </is>
      </c>
      <c r="G48" s="6" t="n"/>
      <c r="H48" s="6" t="n"/>
      <c r="I48" s="7">
        <f>IF(G48="","",G48*(1+H48/100))</f>
        <v/>
      </c>
      <c r="J48" s="6" t="n"/>
      <c r="K48" s="6" t="n"/>
      <c r="L48" s="8" t="n"/>
      <c r="M48" s="8" t="n"/>
      <c r="N48" s="8" t="n"/>
      <c r="O48" s="8" t="n"/>
      <c r="P48" s="8" t="n"/>
      <c r="Q48" s="8">
        <f>IF(OR(O48="",P48=""),"",MIN(O48,P48)-N48)</f>
        <v/>
      </c>
      <c r="R48" s="6" t="n"/>
      <c r="S48" s="6" t="n"/>
      <c r="T48" s="6" t="n"/>
      <c r="U48" s="6" t="n"/>
      <c r="V48" s="6" t="n"/>
      <c r="W48" s="6" t="n"/>
      <c r="X48" s="6" t="n"/>
      <c r="Y48" s="6" t="n"/>
      <c r="Z48" s="6" t="inlineStr">
        <is>
          <t>1현장: 만현</t>
        </is>
      </c>
      <c r="AA48" s="8" t="n">
        <v>650000</v>
      </c>
      <c r="AB48" s="8" t="n"/>
    </row>
    <row r="49">
      <c r="A49" s="9" t="inlineStr">
        <is>
          <t>FX-30E</t>
        </is>
      </c>
      <c r="B49" s="9" t="inlineStr">
        <is>
          <t>타일 선반</t>
        </is>
      </c>
      <c r="C49" s="6" t="inlineStr">
        <is>
          <t>제작</t>
        </is>
      </c>
      <c r="D49" s="6" t="inlineStr">
        <is>
          <t>화장실</t>
        </is>
      </c>
      <c r="E49" s="6" t="inlineStr">
        <is>
          <t>필수</t>
        </is>
      </c>
      <c r="F49" s="6" t="inlineStr">
        <is>
          <t>EA</t>
        </is>
      </c>
      <c r="G49" s="6" t="n"/>
      <c r="H49" s="6" t="n"/>
      <c r="I49" s="7">
        <f>IF(G49="","",G49*(1+H49/100))</f>
        <v/>
      </c>
      <c r="J49" s="6" t="n"/>
      <c r="K49" s="6" t="n"/>
      <c r="L49" s="8" t="n"/>
      <c r="M49" s="8" t="n"/>
      <c r="N49" s="8" t="n"/>
      <c r="O49" s="8" t="n"/>
      <c r="P49" s="8" t="n"/>
      <c r="Q49" s="8">
        <f>IF(OR(O49="",P49=""),"",MIN(O49,P49)-N49)</f>
        <v/>
      </c>
      <c r="R49" s="6" t="n"/>
      <c r="S49" s="6" t="n"/>
      <c r="T49" s="6" t="n"/>
      <c r="U49" s="6" t="n"/>
      <c r="V49" s="6" t="n"/>
      <c r="W49" s="6" t="n"/>
      <c r="X49" s="6" t="n"/>
      <c r="Y49" s="6" t="n"/>
      <c r="Z49" s="6" t="inlineStr">
        <is>
          <t>1현장: 이성숙</t>
        </is>
      </c>
      <c r="AA49" s="8" t="n">
        <v>15000</v>
      </c>
      <c r="AB49" s="8" t="n">
        <v>10000</v>
      </c>
    </row>
    <row r="50">
      <c r="A50" s="9" t="inlineStr">
        <is>
          <t>FX-31E</t>
        </is>
      </c>
      <c r="B50" s="9" t="inlineStr">
        <is>
          <t>타일 세면볼</t>
        </is>
      </c>
      <c r="C50" s="6" t="inlineStr">
        <is>
          <t>제작</t>
        </is>
      </c>
      <c r="D50" s="6" t="inlineStr">
        <is>
          <t>거실 화장실</t>
        </is>
      </c>
      <c r="E50" s="6" t="inlineStr">
        <is>
          <t>필수</t>
        </is>
      </c>
      <c r="F50" s="6" t="inlineStr">
        <is>
          <t>EA</t>
        </is>
      </c>
      <c r="G50" s="6" t="n"/>
      <c r="H50" s="6" t="n"/>
      <c r="I50" s="7">
        <f>IF(G50="","",G50*(1+H50/100))</f>
        <v/>
      </c>
      <c r="J50" s="6" t="n"/>
      <c r="K50" s="6" t="n"/>
      <c r="L50" s="8" t="n"/>
      <c r="M50" s="8" t="n"/>
      <c r="N50" s="8" t="n"/>
      <c r="O50" s="8" t="n"/>
      <c r="P50" s="8" t="n"/>
      <c r="Q50" s="8">
        <f>IF(OR(O50="",P50=""),"",MIN(O50,P50)-N50)</f>
        <v/>
      </c>
      <c r="R50" s="6" t="n"/>
      <c r="S50" s="6" t="n"/>
      <c r="T50" s="6" t="n"/>
      <c r="U50" s="6" t="n"/>
      <c r="V50" s="6" t="n"/>
      <c r="W50" s="6" t="n"/>
      <c r="X50" s="6" t="n"/>
      <c r="Y50" s="6" t="n"/>
      <c r="Z50" s="6" t="inlineStr">
        <is>
          <t>1현장: 만현</t>
        </is>
      </c>
      <c r="AA50" s="8" t="n">
        <v>120000</v>
      </c>
      <c r="AB50" s="8" t="n">
        <v>200000</v>
      </c>
    </row>
    <row r="51">
      <c r="A51" s="9" t="inlineStr">
        <is>
          <t>FX-32E</t>
        </is>
      </c>
      <c r="B51" s="9" t="inlineStr">
        <is>
          <t>타일세면대</t>
        </is>
      </c>
      <c r="C51" s="6" t="inlineStr">
        <is>
          <t>—</t>
        </is>
      </c>
      <c r="D51" s="6" t="inlineStr">
        <is>
          <t>안방 화장실</t>
        </is>
      </c>
      <c r="E51" s="6" t="inlineStr">
        <is>
          <t>필수</t>
        </is>
      </c>
      <c r="F51" s="6" t="inlineStr">
        <is>
          <t>EA</t>
        </is>
      </c>
      <c r="G51" s="6" t="n"/>
      <c r="H51" s="6" t="n"/>
      <c r="I51" s="7">
        <f>IF(G51="","",G51*(1+H51/100))</f>
        <v/>
      </c>
      <c r="J51" s="6" t="n"/>
      <c r="K51" s="6" t="n"/>
      <c r="L51" s="8" t="n"/>
      <c r="M51" s="8" t="n"/>
      <c r="N51" s="8" t="n"/>
      <c r="O51" s="8" t="n"/>
      <c r="P51" s="8" t="n"/>
      <c r="Q51" s="8">
        <f>IF(OR(O51="",P51=""),"",MIN(O51,P51)-N51)</f>
        <v/>
      </c>
      <c r="R51" s="6" t="n"/>
      <c r="S51" s="6" t="n"/>
      <c r="T51" s="6" t="n"/>
      <c r="U51" s="6" t="n"/>
      <c r="V51" s="6" t="n"/>
      <c r="W51" s="6" t="n"/>
      <c r="X51" s="6" t="n"/>
      <c r="Y51" s="6" t="n"/>
      <c r="Z51" s="6" t="inlineStr">
        <is>
          <t>1현장: 진산</t>
        </is>
      </c>
      <c r="AA51" s="8" t="n">
        <v>230000</v>
      </c>
      <c r="AB51" s="8" t="n">
        <v>80000</v>
      </c>
    </row>
    <row r="52">
      <c r="A52" s="9" t="inlineStr">
        <is>
          <t>FX-33E</t>
        </is>
      </c>
      <c r="B52" s="9" t="inlineStr">
        <is>
          <t>탑볼 세면대</t>
        </is>
      </c>
      <c r="C52" s="6" t="inlineStr">
        <is>
          <t>필로토 그라몽 0057 D1 콘크리트</t>
        </is>
      </c>
      <c r="D52" s="6" t="inlineStr">
        <is>
          <t>거실 화장실</t>
        </is>
      </c>
      <c r="E52" s="6" t="inlineStr">
        <is>
          <t>필수</t>
        </is>
      </c>
      <c r="F52" s="6" t="inlineStr">
        <is>
          <t>EA</t>
        </is>
      </c>
      <c r="G52" s="6" t="n"/>
      <c r="H52" s="6" t="n"/>
      <c r="I52" s="7">
        <f>IF(G52="","",G52*(1+H52/100))</f>
        <v/>
      </c>
      <c r="J52" s="6" t="n"/>
      <c r="K52" s="6" t="n"/>
      <c r="L52" s="8" t="n"/>
      <c r="M52" s="8" t="n"/>
      <c r="N52" s="8" t="n"/>
      <c r="O52" s="8" t="n"/>
      <c r="P52" s="8" t="n"/>
      <c r="Q52" s="8">
        <f>IF(OR(O52="",P52=""),"",MIN(O52,P52)-N52)</f>
        <v/>
      </c>
      <c r="R52" s="6" t="n"/>
      <c r="S52" s="6" t="n"/>
      <c r="T52" s="6" t="n"/>
      <c r="U52" s="6" t="n"/>
      <c r="V52" s="6" t="n"/>
      <c r="W52" s="6" t="n"/>
      <c r="X52" s="6" t="n"/>
      <c r="Y52" s="6" t="n"/>
      <c r="Z52" s="6" t="inlineStr">
        <is>
          <t>4현장: 린스,만현,백현,푸르지오</t>
        </is>
      </c>
      <c r="AA52" s="8" t="n">
        <v>199000</v>
      </c>
      <c r="AB52" s="8" t="n">
        <v>50000</v>
      </c>
    </row>
    <row r="53">
      <c r="A53" s="9" t="inlineStr">
        <is>
          <t>FX-34E</t>
        </is>
      </c>
      <c r="B53" s="9" t="inlineStr">
        <is>
          <t>트렌치</t>
        </is>
      </c>
      <c r="C53" s="6" t="inlineStr">
        <is>
          <t>제작</t>
        </is>
      </c>
      <c r="D53" s="6" t="inlineStr">
        <is>
          <t>안방 화장실</t>
        </is>
      </c>
      <c r="E53" s="6" t="inlineStr">
        <is>
          <t>필수</t>
        </is>
      </c>
      <c r="F53" s="6" t="inlineStr">
        <is>
          <t>식</t>
        </is>
      </c>
      <c r="G53" s="6" t="n"/>
      <c r="H53" s="6" t="n"/>
      <c r="I53" s="7">
        <f>IF(G53="","",G53*(1+H53/100))</f>
        <v/>
      </c>
      <c r="J53" s="6" t="n"/>
      <c r="K53" s="6" t="n"/>
      <c r="L53" s="8" t="n"/>
      <c r="M53" s="8" t="n"/>
      <c r="N53" s="8" t="n"/>
      <c r="O53" s="8" t="n"/>
      <c r="P53" s="8" t="n"/>
      <c r="Q53" s="8">
        <f>IF(OR(O53="",P53=""),"",MIN(O53,P53)-N53)</f>
        <v/>
      </c>
      <c r="R53" s="6" t="n"/>
      <c r="S53" s="6" t="n"/>
      <c r="T53" s="6" t="n"/>
      <c r="U53" s="6" t="n"/>
      <c r="V53" s="6" t="n"/>
      <c r="W53" s="6" t="n"/>
      <c r="X53" s="6" t="n"/>
      <c r="Y53" s="6" t="n"/>
      <c r="Z53" s="6" t="inlineStr">
        <is>
          <t>3현장: 린스,만현,백현</t>
        </is>
      </c>
      <c r="AA53" s="8" t="n">
        <v>180000</v>
      </c>
      <c r="AB53" s="8" t="n">
        <v>50000</v>
      </c>
    </row>
    <row r="54">
      <c r="A54" s="9" t="inlineStr">
        <is>
          <t>FX-35E</t>
        </is>
      </c>
      <c r="B54" s="9" t="inlineStr">
        <is>
          <t>파티션 도어</t>
        </is>
      </c>
      <c r="C54" s="6" t="inlineStr">
        <is>
          <t>샤워부스, 양변기</t>
        </is>
      </c>
      <c r="D54" s="6" t="inlineStr">
        <is>
          <t>안방 화장실</t>
        </is>
      </c>
      <c r="E54" s="6" t="inlineStr">
        <is>
          <t>필수</t>
        </is>
      </c>
      <c r="F54" s="6" t="inlineStr">
        <is>
          <t>SET</t>
        </is>
      </c>
      <c r="G54" s="6" t="n"/>
      <c r="H54" s="6" t="n"/>
      <c r="I54" s="7">
        <f>IF(G54="","",G54*(1+H54/100))</f>
        <v/>
      </c>
      <c r="J54" s="6" t="n"/>
      <c r="K54" s="6" t="n"/>
      <c r="L54" s="8" t="n"/>
      <c r="M54" s="8" t="n"/>
      <c r="N54" s="8" t="n"/>
      <c r="O54" s="8" t="n"/>
      <c r="P54" s="8" t="n"/>
      <c r="Q54" s="8">
        <f>IF(OR(O54="",P54=""),"",MIN(O54,P54)-N54)</f>
        <v/>
      </c>
      <c r="R54" s="6" t="n"/>
      <c r="S54" s="6" t="n"/>
      <c r="T54" s="6" t="n"/>
      <c r="U54" s="6" t="n"/>
      <c r="V54" s="6" t="n"/>
      <c r="W54" s="6" t="n"/>
      <c r="X54" s="6" t="n"/>
      <c r="Y54" s="6" t="n"/>
      <c r="Z54" s="6" t="inlineStr">
        <is>
          <t>5현장: 린스,만현,백현,진산,푸르지오</t>
        </is>
      </c>
      <c r="AA54" s="8" t="n">
        <v>170000</v>
      </c>
      <c r="AB54" s="8" t="n">
        <v>50000</v>
      </c>
    </row>
    <row r="55">
      <c r="A55" s="9" t="inlineStr">
        <is>
          <t>FX-36E</t>
        </is>
      </c>
      <c r="B55" s="9" t="inlineStr">
        <is>
          <t>화장실 조적벽체</t>
        </is>
      </c>
      <c r="C55" s="6" t="inlineStr">
        <is>
          <t>화장실 벽체</t>
        </is>
      </c>
      <c r="D55" s="6" t="inlineStr">
        <is>
          <t>화장실</t>
        </is>
      </c>
      <c r="E55" s="6" t="inlineStr">
        <is>
          <t>필수</t>
        </is>
      </c>
      <c r="F55" s="6" t="inlineStr">
        <is>
          <t>M2</t>
        </is>
      </c>
      <c r="G55" s="6" t="n"/>
      <c r="H55" s="6" t="n"/>
      <c r="I55" s="7">
        <f>IF(G55="","",G55*(1+H55/100))</f>
        <v/>
      </c>
      <c r="J55" s="6" t="n"/>
      <c r="K55" s="6" t="n"/>
      <c r="L55" s="8" t="n"/>
      <c r="M55" s="8" t="n"/>
      <c r="N55" s="8" t="n"/>
      <c r="O55" s="8" t="n"/>
      <c r="P55" s="8" t="n"/>
      <c r="Q55" s="8">
        <f>IF(OR(O55="",P55=""),"",MIN(O55,P55)-N55)</f>
        <v/>
      </c>
      <c r="R55" s="6" t="n"/>
      <c r="S55" s="6" t="n"/>
      <c r="T55" s="6" t="n"/>
      <c r="U55" s="6" t="n"/>
      <c r="V55" s="6" t="n"/>
      <c r="W55" s="6" t="n"/>
      <c r="X55" s="6" t="n"/>
      <c r="Y55" s="6" t="n"/>
      <c r="Z55" s="6" t="inlineStr">
        <is>
          <t>3현장: 이선,이성숙,전기영</t>
        </is>
      </c>
      <c r="AA55" s="8" t="n">
        <v>50000</v>
      </c>
      <c r="AB55" s="8" t="n">
        <v>50000</v>
      </c>
    </row>
    <row r="56">
      <c r="A56" s="9" t="inlineStr">
        <is>
          <t>FX-37E</t>
        </is>
      </c>
      <c r="B56" s="9" t="inlineStr">
        <is>
          <t>후크 걸이</t>
        </is>
      </c>
      <c r="C56" s="6" t="inlineStr">
        <is>
          <t>한스그로헤 41762000</t>
        </is>
      </c>
      <c r="D56" s="6" t="inlineStr">
        <is>
          <t>각 화장실</t>
        </is>
      </c>
      <c r="E56" s="6" t="inlineStr">
        <is>
          <t>필수</t>
        </is>
      </c>
      <c r="F56" s="6" t="inlineStr">
        <is>
          <t>SET</t>
        </is>
      </c>
      <c r="G56" s="6" t="n"/>
      <c r="H56" s="6" t="n"/>
      <c r="I56" s="7">
        <f>IF(G56="","",G56*(1+H56/100))</f>
        <v/>
      </c>
      <c r="J56" s="6" t="n"/>
      <c r="K56" s="6" t="n"/>
      <c r="L56" s="8" t="n"/>
      <c r="M56" s="8" t="n"/>
      <c r="N56" s="8" t="n"/>
      <c r="O56" s="8" t="n"/>
      <c r="P56" s="8" t="n"/>
      <c r="Q56" s="8">
        <f>IF(OR(O56="",P56=""),"",MIN(O56,P56)-N56)</f>
        <v/>
      </c>
      <c r="R56" s="6" t="n"/>
      <c r="S56" s="6" t="n"/>
      <c r="T56" s="6" t="n"/>
      <c r="U56" s="6" t="n"/>
      <c r="V56" s="6" t="n"/>
      <c r="W56" s="6" t="n"/>
      <c r="X56" s="6" t="n"/>
      <c r="Y56" s="6" t="n"/>
      <c r="Z56" s="6" t="inlineStr">
        <is>
          <t>1현장: 산본</t>
        </is>
      </c>
      <c r="AA56" s="8" t="n">
        <v>27000</v>
      </c>
      <c r="AB56" s="8" t="n">
        <v>20000</v>
      </c>
    </row>
    <row r="57">
      <c r="A57" s="9" t="inlineStr">
        <is>
          <t>FX-38E</t>
        </is>
      </c>
      <c r="B57" s="9" t="inlineStr">
        <is>
          <t>후크형 옷걸이</t>
        </is>
      </c>
      <c r="C57" s="6" t="inlineStr">
        <is>
          <t>그레이바스 SP 프랑크 옷걸이</t>
        </is>
      </c>
      <c r="D57" s="6" t="inlineStr">
        <is>
          <t>안방 화장실</t>
        </is>
      </c>
      <c r="E57" s="6" t="inlineStr">
        <is>
          <t>필수</t>
        </is>
      </c>
      <c r="F57" s="6" t="inlineStr">
        <is>
          <t>SET</t>
        </is>
      </c>
      <c r="G57" s="6" t="n"/>
      <c r="H57" s="6" t="n"/>
      <c r="I57" s="7">
        <f>IF(G57="","",G57*(1+H57/100))</f>
        <v/>
      </c>
      <c r="J57" s="6" t="n"/>
      <c r="K57" s="6" t="n"/>
      <c r="L57" s="8" t="n"/>
      <c r="M57" s="8" t="n"/>
      <c r="N57" s="8" t="n"/>
      <c r="O57" s="8" t="n"/>
      <c r="P57" s="8" t="n"/>
      <c r="Q57" s="8">
        <f>IF(OR(O57="",P57=""),"",MIN(O57,P57)-N57)</f>
        <v/>
      </c>
      <c r="R57" s="6" t="n"/>
      <c r="S57" s="6" t="n"/>
      <c r="T57" s="6" t="n"/>
      <c r="U57" s="6" t="n"/>
      <c r="V57" s="6" t="n"/>
      <c r="W57" s="6" t="n"/>
      <c r="X57" s="6" t="n"/>
      <c r="Y57" s="6" t="n"/>
      <c r="Z57" s="6" t="inlineStr">
        <is>
          <t>5현장: 린스,만현,백현,진산,푸르지오</t>
        </is>
      </c>
      <c r="AA57" s="8" t="n">
        <v>33000</v>
      </c>
      <c r="AB57" s="8" t="n">
        <v>10000</v>
      </c>
    </row>
    <row r="58">
      <c r="A58" s="9" t="inlineStr">
        <is>
          <t>FX-39E</t>
        </is>
      </c>
      <c r="B58" s="9" t="inlineStr">
        <is>
          <t>휴지 걸이</t>
        </is>
      </c>
      <c r="C58" s="6" t="inlineStr">
        <is>
          <t>매립 휴지걸이</t>
        </is>
      </c>
      <c r="D58" s="6" t="inlineStr">
        <is>
          <t>각 화장실</t>
        </is>
      </c>
      <c r="E58" s="6" t="inlineStr">
        <is>
          <t>필수</t>
        </is>
      </c>
      <c r="F58" s="6" t="inlineStr">
        <is>
          <t>SET</t>
        </is>
      </c>
      <c r="G58" s="6" t="n"/>
      <c r="H58" s="6" t="n"/>
      <c r="I58" s="7">
        <f>IF(G58="","",G58*(1+H58/100))</f>
        <v/>
      </c>
      <c r="J58" s="6" t="n"/>
      <c r="K58" s="6" t="n"/>
      <c r="L58" s="8" t="n"/>
      <c r="M58" s="8" t="n"/>
      <c r="N58" s="8" t="n"/>
      <c r="O58" s="8" t="n"/>
      <c r="P58" s="8" t="n"/>
      <c r="Q58" s="8">
        <f>IF(OR(O58="",P58=""),"",MIN(O58,P58)-N58)</f>
        <v/>
      </c>
      <c r="R58" s="6" t="n"/>
      <c r="S58" s="6" t="n"/>
      <c r="T58" s="6" t="n"/>
      <c r="U58" s="6" t="n"/>
      <c r="V58" s="6" t="n"/>
      <c r="W58" s="6" t="n"/>
      <c r="X58" s="6" t="n"/>
      <c r="Y58" s="6" t="n"/>
      <c r="Z58" s="6" t="inlineStr">
        <is>
          <t>13현장: 금호,김성용,김은경,린스,만현</t>
        </is>
      </c>
      <c r="AA58" s="8" t="n">
        <v>40000</v>
      </c>
      <c r="AB58" s="8" t="n">
        <v>50000</v>
      </c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1">
        <f>IF(G59="","",G59*(1+H59/100))</f>
        <v/>
      </c>
      <c r="J59" s="10" t="n"/>
      <c r="K59" s="10" t="n"/>
      <c r="L59" s="10" t="n"/>
      <c r="M59" s="10" t="n"/>
      <c r="N59" s="10" t="n"/>
      <c r="O59" s="10" t="n"/>
      <c r="P59" s="10" t="n"/>
      <c r="Q59" s="12">
        <f>IF(OR(O59="",P59=""),"",MIN(O59,P59)-N59)</f>
        <v/>
      </c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1">
        <f>IF(G60="","",G60*(1+H60/100))</f>
        <v/>
      </c>
      <c r="J60" s="10" t="n"/>
      <c r="K60" s="10" t="n"/>
      <c r="L60" s="10" t="n"/>
      <c r="M60" s="10" t="n"/>
      <c r="N60" s="10" t="n"/>
      <c r="O60" s="10" t="n"/>
      <c r="P60" s="10" t="n"/>
      <c r="Q60" s="12">
        <f>IF(OR(O60="",P60=""),"",MIN(O60,P60)-N60)</f>
        <v/>
      </c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1">
        <f>IF(G61="","",G61*(1+H61/100))</f>
        <v/>
      </c>
      <c r="J61" s="10" t="n"/>
      <c r="K61" s="10" t="n"/>
      <c r="L61" s="10" t="n"/>
      <c r="M61" s="10" t="n"/>
      <c r="N61" s="10" t="n"/>
      <c r="O61" s="10" t="n"/>
      <c r="P61" s="10" t="n"/>
      <c r="Q61" s="12">
        <f>IF(OR(O61="",P61=""),"",MIN(O61,P61)-N61)</f>
        <v/>
      </c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1">
        <f>IF(G62="","",G62*(1+H62/100))</f>
        <v/>
      </c>
      <c r="J62" s="10" t="n"/>
      <c r="K62" s="10" t="n"/>
      <c r="L62" s="10" t="n"/>
      <c r="M62" s="10" t="n"/>
      <c r="N62" s="10" t="n"/>
      <c r="O62" s="10" t="n"/>
      <c r="P62" s="10" t="n"/>
      <c r="Q62" s="12">
        <f>IF(OR(O62="",P62=""),"",MIN(O62,P62)-N62)</f>
        <v/>
      </c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1">
        <f>IF(G63="","",G63*(1+H63/100))</f>
        <v/>
      </c>
      <c r="J63" s="10" t="n"/>
      <c r="K63" s="10" t="n"/>
      <c r="L63" s="10" t="n"/>
      <c r="M63" s="10" t="n"/>
      <c r="N63" s="10" t="n"/>
      <c r="O63" s="10" t="n"/>
      <c r="P63" s="10" t="n"/>
      <c r="Q63" s="12">
        <f>IF(OR(O63="",P63=""),"",MIN(O63,P63)-N63)</f>
        <v/>
      </c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1">
        <f>IF(G64="","",G64*(1+H64/100))</f>
        <v/>
      </c>
      <c r="J64" s="10" t="n"/>
      <c r="K64" s="10" t="n"/>
      <c r="L64" s="10" t="n"/>
      <c r="M64" s="10" t="n"/>
      <c r="N64" s="10" t="n"/>
      <c r="O64" s="10" t="n"/>
      <c r="P64" s="10" t="n"/>
      <c r="Q64" s="12">
        <f>IF(OR(O64="",P64=""),"",MIN(O64,P64)-N64)</f>
        <v/>
      </c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1">
        <f>IF(G65="","",G65*(1+H65/100))</f>
        <v/>
      </c>
      <c r="J65" s="10" t="n"/>
      <c r="K65" s="10" t="n"/>
      <c r="L65" s="10" t="n"/>
      <c r="M65" s="10" t="n"/>
      <c r="N65" s="10" t="n"/>
      <c r="O65" s="10" t="n"/>
      <c r="P65" s="10" t="n"/>
      <c r="Q65" s="12">
        <f>IF(OR(O65="",P65=""),"",MIN(O65,P65)-N65)</f>
        <v/>
      </c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1">
        <f>IF(G66="","",G66*(1+H66/100))</f>
        <v/>
      </c>
      <c r="J66" s="10" t="n"/>
      <c r="K66" s="10" t="n"/>
      <c r="L66" s="10" t="n"/>
      <c r="M66" s="10" t="n"/>
      <c r="N66" s="10" t="n"/>
      <c r="O66" s="10" t="n"/>
      <c r="P66" s="10" t="n"/>
      <c r="Q66" s="12">
        <f>IF(OR(O66="",P66=""),"",MIN(O66,P66)-N66)</f>
        <v/>
      </c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1">
        <f>IF(G67="","",G67*(1+H67/100))</f>
        <v/>
      </c>
      <c r="J67" s="10" t="n"/>
      <c r="K67" s="10" t="n"/>
      <c r="L67" s="10" t="n"/>
      <c r="M67" s="10" t="n"/>
      <c r="N67" s="10" t="n"/>
      <c r="O67" s="10" t="n"/>
      <c r="P67" s="10" t="n"/>
      <c r="Q67" s="12">
        <f>IF(OR(O67="",P67=""),"",MIN(O67,P67)-N67)</f>
        <v/>
      </c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1">
        <f>IF(G68="","",G68*(1+H68/100))</f>
        <v/>
      </c>
      <c r="J68" s="10" t="n"/>
      <c r="K68" s="10" t="n"/>
      <c r="L68" s="10" t="n"/>
      <c r="M68" s="10" t="n"/>
      <c r="N68" s="10" t="n"/>
      <c r="O68" s="10" t="n"/>
      <c r="P68" s="10" t="n"/>
      <c r="Q68" s="12">
        <f>IF(OR(O68="",P68=""),"",MIN(O68,P68)-N68)</f>
        <v/>
      </c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</row>
    <row r="70">
      <c r="A70" s="13" t="inlineStr">
        <is>
          <t>※ 파란셀=수식 | 노란셀=견적참고 | ★금색=견적서 추출항목 | 소요량·로스율=대표 | 가격=유통 | 견적단가=16개 견적서 중앙값</t>
        </is>
      </c>
    </row>
  </sheetData>
  <autoFilter ref="A4:AB68"/>
  <mergeCells count="9">
    <mergeCell ref="R3:U3"/>
    <mergeCell ref="A2:AB2"/>
    <mergeCell ref="AA3:AB3"/>
    <mergeCell ref="J3:Q3"/>
    <mergeCell ref="Y3:Z3"/>
    <mergeCell ref="A1:AB1"/>
    <mergeCell ref="A3:I3"/>
    <mergeCell ref="V3:X3"/>
    <mergeCell ref="A70:AB7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8B2AC"/>
    <outlinePr summaryBelow="1" summaryRight="1"/>
    <pageSetUpPr/>
  </sheetPr>
  <dimension ref="A1:AB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준공청소/점검 자재</t>
        </is>
      </c>
    </row>
    <row r="2">
      <c r="A2" s="2" t="inlineStr">
        <is>
          <t>공정코드: FI | 체크리스트 + 16개 견적서 전체 항목 | ★=견적서 추출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(16개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FI-001</t>
        </is>
      </c>
      <c r="B5" s="6" t="inlineStr">
        <is>
          <t>입주청소</t>
        </is>
      </c>
      <c r="C5" s="6" t="inlineStr">
        <is>
          <t>전문업체</t>
        </is>
      </c>
      <c r="D5" s="6" t="inlineStr">
        <is>
          <t>전체 청소</t>
        </is>
      </c>
      <c r="E5" s="6" t="inlineStr">
        <is>
          <t>필수</t>
        </is>
      </c>
      <c r="F5" s="6" t="inlineStr">
        <is>
          <t>PY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FI-002</t>
        </is>
      </c>
      <c r="B6" s="6" t="inlineStr">
        <is>
          <t>하자 보수재</t>
        </is>
      </c>
      <c r="C6" s="6" t="inlineStr">
        <is>
          <t>각종</t>
        </is>
      </c>
      <c r="D6" s="6" t="inlineStr">
        <is>
          <t>보수</t>
        </is>
      </c>
      <c r="E6" s="6" t="inlineStr">
        <is>
          <t>필수</t>
        </is>
      </c>
      <c r="F6" s="6" t="inlineStr">
        <is>
          <t>세트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FI-003</t>
        </is>
      </c>
      <c r="B7" s="6" t="inlineStr">
        <is>
          <t>실리콘</t>
        </is>
      </c>
      <c r="C7" s="6" t="inlineStr">
        <is>
          <t>투명/백색</t>
        </is>
      </c>
      <c r="D7" s="6" t="inlineStr">
        <is>
          <t>마감 코킹</t>
        </is>
      </c>
      <c r="E7" s="6" t="inlineStr">
        <is>
          <t>필수</t>
        </is>
      </c>
      <c r="F7" s="6" t="inlineStr">
        <is>
          <t>개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FI-004</t>
        </is>
      </c>
      <c r="B8" s="6" t="inlineStr">
        <is>
          <t>터치업 페인트</t>
        </is>
      </c>
      <c r="C8" s="6" t="inlineStr">
        <is>
          <t>—</t>
        </is>
      </c>
      <c r="D8" s="6" t="inlineStr">
        <is>
          <t>스크래치 보수</t>
        </is>
      </c>
      <c r="E8" s="6" t="inlineStr">
        <is>
          <t>필수</t>
        </is>
      </c>
      <c r="F8" s="6" t="inlineStr">
        <is>
          <t>개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FI-005</t>
        </is>
      </c>
      <c r="B9" s="6" t="inlineStr">
        <is>
          <t>여분 자재</t>
        </is>
      </c>
      <c r="C9" s="6" t="inlineStr">
        <is>
          <t>벽지/타일/마루</t>
        </is>
      </c>
      <c r="D9" s="6" t="inlineStr">
        <is>
          <t>보수용</t>
        </is>
      </c>
      <c r="E9" s="6" t="inlineStr">
        <is>
          <t>필수</t>
        </is>
      </c>
      <c r="F9" s="6" t="inlineStr">
        <is>
          <t>세트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FI-006</t>
        </is>
      </c>
      <c r="B10" s="6" t="inlineStr">
        <is>
          <t>자재 이력서</t>
        </is>
      </c>
      <c r="C10" s="6" t="inlineStr">
        <is>
          <t>—</t>
        </is>
      </c>
      <c r="D10" s="6" t="inlineStr">
        <is>
          <t>사용 자재 기록</t>
        </is>
      </c>
      <c r="E10" s="6" t="inlineStr">
        <is>
          <t>필수</t>
        </is>
      </c>
      <c r="F10" s="6" t="inlineStr">
        <is>
          <t>부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FI-007</t>
        </is>
      </c>
      <c r="B11" s="6" t="inlineStr">
        <is>
          <t>준공 사진</t>
        </is>
      </c>
      <c r="C11" s="6" t="inlineStr">
        <is>
          <t>—</t>
        </is>
      </c>
      <c r="D11" s="6" t="inlineStr">
        <is>
          <t>시공 기록</t>
        </is>
      </c>
      <c r="E11" s="6" t="inlineStr">
        <is>
          <t>필수</t>
        </is>
      </c>
      <c r="F11" s="6" t="inlineStr">
        <is>
          <t>세트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1">
        <f>IF(G12="","",G12*(1+H12/100))</f>
        <v/>
      </c>
      <c r="J12" s="10" t="n"/>
      <c r="K12" s="10" t="n"/>
      <c r="L12" s="10" t="n"/>
      <c r="M12" s="10" t="n"/>
      <c r="N12" s="10" t="n"/>
      <c r="O12" s="10" t="n"/>
      <c r="P12" s="10" t="n"/>
      <c r="Q12" s="12">
        <f>IF(OR(O12="",P12=""),"",MIN(O12,P12)-N12)</f>
        <v/>
      </c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1">
        <f>IF(G13="","",G13*(1+H13/100))</f>
        <v/>
      </c>
      <c r="J13" s="10" t="n"/>
      <c r="K13" s="10" t="n"/>
      <c r="L13" s="10" t="n"/>
      <c r="M13" s="10" t="n"/>
      <c r="N13" s="10" t="n"/>
      <c r="O13" s="10" t="n"/>
      <c r="P13" s="10" t="n"/>
      <c r="Q13" s="12">
        <f>IF(OR(O13="",P13=""),"",MIN(O13,P13)-N13)</f>
        <v/>
      </c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1">
        <f>IF(G14="","",G14*(1+H14/100))</f>
        <v/>
      </c>
      <c r="J14" s="10" t="n"/>
      <c r="K14" s="10" t="n"/>
      <c r="L14" s="10" t="n"/>
      <c r="M14" s="10" t="n"/>
      <c r="N14" s="10" t="n"/>
      <c r="O14" s="10" t="n"/>
      <c r="P14" s="10" t="n"/>
      <c r="Q14" s="12">
        <f>IF(OR(O14="",P14=""),"",MIN(O14,P14)-N14)</f>
        <v/>
      </c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1">
        <f>IF(G15="","",G15*(1+H15/100))</f>
        <v/>
      </c>
      <c r="J15" s="10" t="n"/>
      <c r="K15" s="10" t="n"/>
      <c r="L15" s="10" t="n"/>
      <c r="M15" s="10" t="n"/>
      <c r="N15" s="10" t="n"/>
      <c r="O15" s="10" t="n"/>
      <c r="P15" s="10" t="n"/>
      <c r="Q15" s="12">
        <f>IF(OR(O15="",P15=""),"",MIN(O15,P15)-N15)</f>
        <v/>
      </c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1">
        <f>IF(G16="","",G16*(1+H16/100))</f>
        <v/>
      </c>
      <c r="J16" s="10" t="n"/>
      <c r="K16" s="10" t="n"/>
      <c r="L16" s="10" t="n"/>
      <c r="M16" s="10" t="n"/>
      <c r="N16" s="10" t="n"/>
      <c r="O16" s="10" t="n"/>
      <c r="P16" s="10" t="n"/>
      <c r="Q16" s="12">
        <f>IF(OR(O16="",P16=""),"",MIN(O16,P16)-N16)</f>
        <v/>
      </c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1">
        <f>IF(G17="","",G17*(1+H17/100))</f>
        <v/>
      </c>
      <c r="J17" s="10" t="n"/>
      <c r="K17" s="10" t="n"/>
      <c r="L17" s="10" t="n"/>
      <c r="M17" s="10" t="n"/>
      <c r="N17" s="10" t="n"/>
      <c r="O17" s="10" t="n"/>
      <c r="P17" s="10" t="n"/>
      <c r="Q17" s="12">
        <f>IF(OR(O17="",P17=""),"",MIN(O17,P17)-N17)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1">
        <f>IF(G18="","",G18*(1+H18/100))</f>
        <v/>
      </c>
      <c r="J18" s="10" t="n"/>
      <c r="K18" s="10" t="n"/>
      <c r="L18" s="10" t="n"/>
      <c r="M18" s="10" t="n"/>
      <c r="N18" s="10" t="n"/>
      <c r="O18" s="10" t="n"/>
      <c r="P18" s="10" t="n"/>
      <c r="Q18" s="12">
        <f>IF(OR(O18="",P18=""),"",MIN(O18,P18)-N18)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1">
        <f>IF(G19="","",G19*(1+H19/100))</f>
        <v/>
      </c>
      <c r="J19" s="10" t="n"/>
      <c r="K19" s="10" t="n"/>
      <c r="L19" s="10" t="n"/>
      <c r="M19" s="10" t="n"/>
      <c r="N19" s="10" t="n"/>
      <c r="O19" s="10" t="n"/>
      <c r="P19" s="10" t="n"/>
      <c r="Q19" s="12">
        <f>IF(OR(O19="",P19=""),"",MIN(O19,P19)-N19)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>
        <f>IF(G20="","",G20*(1+H20/100))</f>
        <v/>
      </c>
      <c r="J20" s="10" t="n"/>
      <c r="K20" s="10" t="n"/>
      <c r="L20" s="10" t="n"/>
      <c r="M20" s="10" t="n"/>
      <c r="N20" s="10" t="n"/>
      <c r="O20" s="10" t="n"/>
      <c r="P20" s="10" t="n"/>
      <c r="Q20" s="12">
        <f>IF(OR(O20="",P20=""),"",MIN(O20,P20)-N20)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>
        <f>IF(G21="","",G21*(1+H21/100))</f>
        <v/>
      </c>
      <c r="J21" s="10" t="n"/>
      <c r="K21" s="10" t="n"/>
      <c r="L21" s="10" t="n"/>
      <c r="M21" s="10" t="n"/>
      <c r="N21" s="10" t="n"/>
      <c r="O21" s="10" t="n"/>
      <c r="P21" s="10" t="n"/>
      <c r="Q21" s="12">
        <f>IF(OR(O21="",P21=""),"",MIN(O21,P21)-N21)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3">
      <c r="A23" s="13" t="inlineStr">
        <is>
          <t>※ 파란셀=수식 | 노란셀=견적참고 | ★금색=견적서 추출항목 | 소요량·로스율=대표 | 가격=유통 | 견적단가=16개 견적서 중앙값</t>
        </is>
      </c>
    </row>
  </sheetData>
  <autoFilter ref="A4:AB21"/>
  <mergeCells count="9">
    <mergeCell ref="R3:U3"/>
    <mergeCell ref="A2:AB2"/>
    <mergeCell ref="AA3:AB3"/>
    <mergeCell ref="J3:Q3"/>
    <mergeCell ref="Y3:Z3"/>
    <mergeCell ref="A1:AB1"/>
    <mergeCell ref="A23:AB23"/>
    <mergeCell ref="A3:I3"/>
    <mergeCell ref="V3:X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D8936"/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" customWidth="1" min="3" max="3"/>
    <col width="6" customWidth="1" min="4" max="4"/>
    <col width="9" customWidth="1" min="5" max="5"/>
    <col width="8" customWidth="1" min="6" max="6"/>
    <col width="8" customWidth="1" min="7" max="7"/>
    <col width="7" customWidth="1" min="8" max="8"/>
    <col width="5" customWidth="1" min="9" max="9"/>
    <col width="18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</cols>
  <sheetData>
    <row r="1">
      <c r="A1" s="1" t="inlineStr">
        <is>
          <t>공정 마스터</t>
        </is>
      </c>
    </row>
    <row r="2">
      <c r="A2" s="5" t="inlineStr">
        <is>
          <t>공정코드</t>
        </is>
      </c>
      <c r="B2" s="5" t="inlineStr">
        <is>
          <t>공정명</t>
        </is>
      </c>
      <c r="C2" s="5" t="inlineStr">
        <is>
          <t>순서</t>
        </is>
      </c>
      <c r="D2" s="5" t="inlineStr">
        <is>
          <t>카테고리</t>
        </is>
      </c>
      <c r="E2" s="5" t="inlineStr">
        <is>
          <t>기본공기(일)</t>
        </is>
      </c>
      <c r="F2" s="5" t="inlineStr">
        <is>
          <t>선행공정</t>
        </is>
      </c>
      <c r="G2" s="5" t="inlineStr">
        <is>
          <t>병행가능</t>
        </is>
      </c>
      <c r="H2" s="5" t="inlineStr">
        <is>
          <t>필수여부</t>
        </is>
      </c>
      <c r="I2" s="5" t="inlineStr">
        <is>
          <t>난이도</t>
        </is>
      </c>
      <c r="J2" s="5" t="inlineStr">
        <is>
          <t>감리포인트</t>
        </is>
      </c>
      <c r="K2" s="5" t="inlineStr">
        <is>
          <t>자재수</t>
        </is>
      </c>
      <c r="L2" s="5" t="inlineStr">
        <is>
          <t>도면필요</t>
        </is>
      </c>
      <c r="M2" s="5" t="inlineStr">
        <is>
          <t>날씨영향</t>
        </is>
      </c>
      <c r="N2" s="5" t="inlineStr">
        <is>
          <t>소음영향</t>
        </is>
      </c>
      <c r="O2" s="5" t="inlineStr">
        <is>
          <t>시즌</t>
        </is>
      </c>
    </row>
    <row r="3">
      <c r="A3" s="6" t="inlineStr">
        <is>
          <t>PRE</t>
        </is>
      </c>
      <c r="B3" s="6" t="inlineStr">
        <is>
          <t>공사전 준비</t>
        </is>
      </c>
      <c r="C3" s="6" t="n">
        <v>1</v>
      </c>
      <c r="D3" s="6" t="inlineStr">
        <is>
          <t>사전</t>
        </is>
      </c>
      <c r="E3" s="6" t="inlineStr">
        <is>
          <t>3~5</t>
        </is>
      </c>
      <c r="F3" s="6" t="inlineStr">
        <is>
          <t>—</t>
        </is>
      </c>
      <c r="G3" s="6" t="inlineStr">
        <is>
          <t>—</t>
        </is>
      </c>
      <c r="H3" s="6" t="inlineStr">
        <is>
          <t>필수</t>
        </is>
      </c>
      <c r="I3" s="6" t="inlineStr">
        <is>
          <t>하</t>
        </is>
      </c>
      <c r="J3" s="6" t="inlineStr">
        <is>
          <t>보양 상태 확인</t>
        </is>
      </c>
      <c r="K3" s="6" t="n">
        <v>57</v>
      </c>
      <c r="L3" s="6" t="inlineStr">
        <is>
          <t>X</t>
        </is>
      </c>
      <c r="M3" s="6" t="inlineStr">
        <is>
          <t>X</t>
        </is>
      </c>
      <c r="N3" s="6" t="inlineStr">
        <is>
          <t>X</t>
        </is>
      </c>
      <c r="O3" s="6" t="inlineStr">
        <is>
          <t>—</t>
        </is>
      </c>
    </row>
    <row r="4">
      <c r="A4" s="6" t="inlineStr">
        <is>
          <t>DM</t>
        </is>
      </c>
      <c r="B4" s="6" t="inlineStr">
        <is>
          <t>철거</t>
        </is>
      </c>
      <c r="C4" s="6" t="n">
        <v>2</v>
      </c>
      <c r="D4" s="6" t="inlineStr">
        <is>
          <t>해체</t>
        </is>
      </c>
      <c r="E4" s="6" t="inlineStr">
        <is>
          <t>3~7</t>
        </is>
      </c>
      <c r="F4" s="6" t="inlineStr">
        <is>
          <t>PRE</t>
        </is>
      </c>
      <c r="G4" s="6" t="inlineStr">
        <is>
          <t>—</t>
        </is>
      </c>
      <c r="H4" s="6" t="inlineStr">
        <is>
          <t>필수</t>
        </is>
      </c>
      <c r="I4" s="6" t="inlineStr">
        <is>
          <t>중</t>
        </is>
      </c>
      <c r="J4" s="6" t="inlineStr">
        <is>
          <t>구조벽 확인</t>
        </is>
      </c>
      <c r="K4" s="6" t="n">
        <v>38</v>
      </c>
      <c r="L4" s="6" t="inlineStr">
        <is>
          <t>△</t>
        </is>
      </c>
      <c r="M4" s="6" t="inlineStr">
        <is>
          <t>X</t>
        </is>
      </c>
      <c r="N4" s="6" t="inlineStr">
        <is>
          <t>O</t>
        </is>
      </c>
      <c r="O4" s="6" t="inlineStr">
        <is>
          <t>—</t>
        </is>
      </c>
    </row>
    <row r="5">
      <c r="A5" s="6" t="inlineStr">
        <is>
          <t>PL</t>
        </is>
      </c>
      <c r="B5" s="6" t="inlineStr">
        <is>
          <t>설비(배관)</t>
        </is>
      </c>
      <c r="C5" s="6" t="n">
        <v>3</v>
      </c>
      <c r="D5" s="6" t="inlineStr">
        <is>
          <t>습식</t>
        </is>
      </c>
      <c r="E5" s="6" t="inlineStr">
        <is>
          <t>5~10</t>
        </is>
      </c>
      <c r="F5" s="6" t="inlineStr">
        <is>
          <t>DM</t>
        </is>
      </c>
      <c r="G5" s="6" t="inlineStr">
        <is>
          <t>EL</t>
        </is>
      </c>
      <c r="H5" s="6" t="inlineStr">
        <is>
          <t>필수</t>
        </is>
      </c>
      <c r="I5" s="6" t="inlineStr">
        <is>
          <t>상</t>
        </is>
      </c>
      <c r="J5" s="6" t="inlineStr">
        <is>
          <t>배관 압력 테스트</t>
        </is>
      </c>
      <c r="K5" s="6" t="n">
        <v>32</v>
      </c>
      <c r="L5" s="6" t="inlineStr">
        <is>
          <t>O</t>
        </is>
      </c>
      <c r="M5" s="6" t="inlineStr">
        <is>
          <t>X</t>
        </is>
      </c>
      <c r="N5" s="6" t="inlineStr">
        <is>
          <t>X</t>
        </is>
      </c>
      <c r="O5" s="6" t="inlineStr">
        <is>
          <t>동절기 주의</t>
        </is>
      </c>
    </row>
    <row r="6">
      <c r="A6" s="6" t="inlineStr">
        <is>
          <t>EL</t>
        </is>
      </c>
      <c r="B6" s="6" t="inlineStr">
        <is>
          <t>전기</t>
        </is>
      </c>
      <c r="C6" s="6" t="n">
        <v>4</v>
      </c>
      <c r="D6" s="6" t="inlineStr">
        <is>
          <t>건식</t>
        </is>
      </c>
      <c r="E6" s="6" t="inlineStr">
        <is>
          <t>5~10</t>
        </is>
      </c>
      <c r="F6" s="6" t="inlineStr">
        <is>
          <t>DM</t>
        </is>
      </c>
      <c r="G6" s="6" t="inlineStr">
        <is>
          <t>PL</t>
        </is>
      </c>
      <c r="H6" s="6" t="inlineStr">
        <is>
          <t>필수</t>
        </is>
      </c>
      <c r="I6" s="6" t="inlineStr">
        <is>
          <t>상</t>
        </is>
      </c>
      <c r="J6" s="6" t="inlineStr">
        <is>
          <t>절연 저항 측정</t>
        </is>
      </c>
      <c r="K6" s="6" t="n">
        <v>62</v>
      </c>
      <c r="L6" s="6" t="inlineStr">
        <is>
          <t>O</t>
        </is>
      </c>
      <c r="M6" s="6" t="inlineStr">
        <is>
          <t>X</t>
        </is>
      </c>
      <c r="N6" s="6" t="inlineStr">
        <is>
          <t>X</t>
        </is>
      </c>
      <c r="O6" s="6" t="inlineStr">
        <is>
          <t>—</t>
        </is>
      </c>
    </row>
    <row r="7">
      <c r="A7" s="6" t="inlineStr">
        <is>
          <t>WP</t>
        </is>
      </c>
      <c r="B7" s="6" t="inlineStr">
        <is>
          <t>방수</t>
        </is>
      </c>
      <c r="C7" s="6" t="n">
        <v>5</v>
      </c>
      <c r="D7" s="6" t="inlineStr">
        <is>
          <t>습식</t>
        </is>
      </c>
      <c r="E7" s="6" t="inlineStr">
        <is>
          <t>3~5</t>
        </is>
      </c>
      <c r="F7" s="6" t="inlineStr">
        <is>
          <t>PL</t>
        </is>
      </c>
      <c r="G7" s="6" t="inlineStr">
        <is>
          <t>—</t>
        </is>
      </c>
      <c r="H7" s="6" t="inlineStr">
        <is>
          <t>필수</t>
        </is>
      </c>
      <c r="I7" s="6" t="inlineStr">
        <is>
          <t>상</t>
        </is>
      </c>
      <c r="J7" s="6" t="inlineStr">
        <is>
          <t>48시간 담수 시험</t>
        </is>
      </c>
      <c r="K7" s="6" t="n">
        <v>13</v>
      </c>
      <c r="L7" s="6" t="inlineStr">
        <is>
          <t>△</t>
        </is>
      </c>
      <c r="M7" s="6" t="inlineStr">
        <is>
          <t>O</t>
        </is>
      </c>
      <c r="N7" s="6" t="inlineStr">
        <is>
          <t>X</t>
        </is>
      </c>
      <c r="O7" s="6" t="inlineStr">
        <is>
          <t>우기 주의</t>
        </is>
      </c>
    </row>
    <row r="8">
      <c r="A8" s="6" t="inlineStr">
        <is>
          <t>WN</t>
        </is>
      </c>
      <c r="B8" s="6" t="inlineStr">
        <is>
          <t>창호</t>
        </is>
      </c>
      <c r="C8" s="6" t="n">
        <v>6</v>
      </c>
      <c r="D8" s="6" t="inlineStr">
        <is>
          <t>건식</t>
        </is>
      </c>
      <c r="E8" s="6" t="inlineStr">
        <is>
          <t>2~3</t>
        </is>
      </c>
      <c r="F8" s="6" t="inlineStr">
        <is>
          <t>DM</t>
        </is>
      </c>
      <c r="G8" s="6" t="inlineStr">
        <is>
          <t>WD</t>
        </is>
      </c>
      <c r="H8" s="6" t="inlineStr">
        <is>
          <t>선택</t>
        </is>
      </c>
      <c r="I8" s="6" t="inlineStr">
        <is>
          <t>중</t>
        </is>
      </c>
      <c r="J8" s="6" t="inlineStr">
        <is>
          <t>기밀·수밀 테스트</t>
        </is>
      </c>
      <c r="K8" s="6" t="n">
        <v>16</v>
      </c>
      <c r="L8" s="6" t="inlineStr">
        <is>
          <t>△</t>
        </is>
      </c>
      <c r="M8" s="6" t="inlineStr">
        <is>
          <t>X</t>
        </is>
      </c>
      <c r="N8" s="6" t="inlineStr">
        <is>
          <t>X</t>
        </is>
      </c>
      <c r="O8" s="6" t="inlineStr">
        <is>
          <t>—</t>
        </is>
      </c>
    </row>
    <row r="9">
      <c r="A9" s="6" t="inlineStr">
        <is>
          <t>WD</t>
        </is>
      </c>
      <c r="B9" s="6" t="inlineStr">
        <is>
          <t>목공</t>
        </is>
      </c>
      <c r="C9" s="6" t="n">
        <v>7</v>
      </c>
      <c r="D9" s="6" t="inlineStr">
        <is>
          <t>건식</t>
        </is>
      </c>
      <c r="E9" s="6" t="inlineStr">
        <is>
          <t>10~15</t>
        </is>
      </c>
      <c r="F9" s="6" t="inlineStr">
        <is>
          <t>WP</t>
        </is>
      </c>
      <c r="G9" s="6" t="inlineStr">
        <is>
          <t>—</t>
        </is>
      </c>
      <c r="H9" s="6" t="inlineStr">
        <is>
          <t>필수</t>
        </is>
      </c>
      <c r="I9" s="6" t="inlineStr">
        <is>
          <t>상</t>
        </is>
      </c>
      <c r="J9" s="6" t="inlineStr">
        <is>
          <t>수직·수평 검사</t>
        </is>
      </c>
      <c r="K9" s="6" t="n">
        <v>106</v>
      </c>
      <c r="L9" s="6" t="inlineStr">
        <is>
          <t>O</t>
        </is>
      </c>
      <c r="M9" s="6" t="inlineStr">
        <is>
          <t>X</t>
        </is>
      </c>
      <c r="N9" s="6" t="inlineStr">
        <is>
          <t>O</t>
        </is>
      </c>
      <c r="O9" s="6" t="inlineStr">
        <is>
          <t>—</t>
        </is>
      </c>
    </row>
    <row r="10">
      <c r="A10" s="6" t="inlineStr">
        <is>
          <t>FM</t>
        </is>
      </c>
      <c r="B10" s="6" t="inlineStr">
        <is>
          <t>필름</t>
        </is>
      </c>
      <c r="C10" s="6" t="n">
        <v>8</v>
      </c>
      <c r="D10" s="6" t="inlineStr">
        <is>
          <t>건식</t>
        </is>
      </c>
      <c r="E10" s="6" t="inlineStr">
        <is>
          <t>3~5</t>
        </is>
      </c>
      <c r="F10" s="6" t="inlineStr">
        <is>
          <t>WD</t>
        </is>
      </c>
      <c r="G10" s="6" t="inlineStr">
        <is>
          <t>—</t>
        </is>
      </c>
      <c r="H10" s="6" t="inlineStr">
        <is>
          <t>선택</t>
        </is>
      </c>
      <c r="I10" s="6" t="inlineStr">
        <is>
          <t>중</t>
        </is>
      </c>
      <c r="J10" s="6" t="inlineStr">
        <is>
          <t>기포·들뜸 확인</t>
        </is>
      </c>
      <c r="K10" s="6" t="n">
        <v>37</v>
      </c>
      <c r="L10" s="6" t="inlineStr">
        <is>
          <t>X</t>
        </is>
      </c>
      <c r="M10" s="6" t="inlineStr">
        <is>
          <t>X</t>
        </is>
      </c>
      <c r="N10" s="6" t="inlineStr">
        <is>
          <t>X</t>
        </is>
      </c>
      <c r="O10" s="6" t="inlineStr">
        <is>
          <t>—</t>
        </is>
      </c>
    </row>
    <row r="11">
      <c r="A11" s="6" t="inlineStr">
        <is>
          <t>TL</t>
        </is>
      </c>
      <c r="B11" s="6" t="inlineStr">
        <is>
          <t>타일</t>
        </is>
      </c>
      <c r="C11" s="6" t="n">
        <v>9</v>
      </c>
      <c r="D11" s="6" t="inlineStr">
        <is>
          <t>습식</t>
        </is>
      </c>
      <c r="E11" s="6" t="inlineStr">
        <is>
          <t>5~7</t>
        </is>
      </c>
      <c r="F11" s="6" t="inlineStr">
        <is>
          <t>WP</t>
        </is>
      </c>
      <c r="G11" s="6" t="inlineStr">
        <is>
          <t>—</t>
        </is>
      </c>
      <c r="H11" s="6" t="inlineStr">
        <is>
          <t>필수</t>
        </is>
      </c>
      <c r="I11" s="6" t="inlineStr">
        <is>
          <t>상</t>
        </is>
      </c>
      <c r="J11" s="6" t="inlineStr">
        <is>
          <t>줄눈·들뜸 확인</t>
        </is>
      </c>
      <c r="K11" s="6" t="n">
        <v>52</v>
      </c>
      <c r="L11" s="6" t="inlineStr">
        <is>
          <t>△</t>
        </is>
      </c>
      <c r="M11" s="6" t="inlineStr">
        <is>
          <t>O</t>
        </is>
      </c>
      <c r="N11" s="6" t="inlineStr">
        <is>
          <t>X</t>
        </is>
      </c>
      <c r="O11" s="6" t="inlineStr">
        <is>
          <t>동절기 주의</t>
        </is>
      </c>
    </row>
    <row r="12">
      <c r="A12" s="6" t="inlineStr">
        <is>
          <t>PT</t>
        </is>
      </c>
      <c r="B12" s="6" t="inlineStr">
        <is>
          <t>도장</t>
        </is>
      </c>
      <c r="C12" s="6" t="n">
        <v>10</v>
      </c>
      <c r="D12" s="6" t="inlineStr">
        <is>
          <t>습식</t>
        </is>
      </c>
      <c r="E12" s="6" t="inlineStr">
        <is>
          <t>3~5</t>
        </is>
      </c>
      <c r="F12" s="6" t="inlineStr">
        <is>
          <t>WD</t>
        </is>
      </c>
      <c r="G12" s="6" t="inlineStr">
        <is>
          <t>—</t>
        </is>
      </c>
      <c r="H12" s="6" t="inlineStr">
        <is>
          <t>필수</t>
        </is>
      </c>
      <c r="I12" s="6" t="inlineStr">
        <is>
          <t>중</t>
        </is>
      </c>
      <c r="J12" s="6" t="inlineStr">
        <is>
          <t>도막 두께 확인</t>
        </is>
      </c>
      <c r="K12" s="6" t="n">
        <v>26</v>
      </c>
      <c r="L12" s="6" t="inlineStr">
        <is>
          <t>X</t>
        </is>
      </c>
      <c r="M12" s="6" t="inlineStr">
        <is>
          <t>O</t>
        </is>
      </c>
      <c r="N12" s="6" t="inlineStr">
        <is>
          <t>X</t>
        </is>
      </c>
      <c r="O12" s="6" t="inlineStr">
        <is>
          <t>동·우기 주의</t>
        </is>
      </c>
    </row>
    <row r="13">
      <c r="A13" s="6" t="inlineStr">
        <is>
          <t>FL</t>
        </is>
      </c>
      <c r="B13" s="6" t="inlineStr">
        <is>
          <t>마루</t>
        </is>
      </c>
      <c r="C13" s="6" t="n">
        <v>11</v>
      </c>
      <c r="D13" s="6" t="inlineStr">
        <is>
          <t>건식</t>
        </is>
      </c>
      <c r="E13" s="6" t="inlineStr">
        <is>
          <t>2~3</t>
        </is>
      </c>
      <c r="F13" s="6" t="inlineStr">
        <is>
          <t>PT</t>
        </is>
      </c>
      <c r="G13" s="6" t="inlineStr">
        <is>
          <t>—</t>
        </is>
      </c>
      <c r="H13" s="6" t="inlineStr">
        <is>
          <t>필수</t>
        </is>
      </c>
      <c r="I13" s="6" t="inlineStr">
        <is>
          <t>중</t>
        </is>
      </c>
      <c r="J13" s="6" t="inlineStr">
        <is>
          <t>들뜸·단차 확인</t>
        </is>
      </c>
      <c r="K13" s="6" t="n">
        <v>15</v>
      </c>
      <c r="L13" s="6" t="inlineStr">
        <is>
          <t>X</t>
        </is>
      </c>
      <c r="M13" s="6" t="inlineStr">
        <is>
          <t>X</t>
        </is>
      </c>
      <c r="N13" s="6" t="inlineStr">
        <is>
          <t>X</t>
        </is>
      </c>
      <c r="O13" s="6" t="inlineStr">
        <is>
          <t>—</t>
        </is>
      </c>
    </row>
    <row r="14">
      <c r="A14" s="6" t="inlineStr">
        <is>
          <t>WL</t>
        </is>
      </c>
      <c r="B14" s="6" t="inlineStr">
        <is>
          <t>도배</t>
        </is>
      </c>
      <c r="C14" s="6" t="n">
        <v>12</v>
      </c>
      <c r="D14" s="6" t="inlineStr">
        <is>
          <t>습식</t>
        </is>
      </c>
      <c r="E14" s="6" t="inlineStr">
        <is>
          <t>2~3</t>
        </is>
      </c>
      <c r="F14" s="6" t="inlineStr">
        <is>
          <t>PT</t>
        </is>
      </c>
      <c r="G14" s="6" t="inlineStr">
        <is>
          <t>—</t>
        </is>
      </c>
      <c r="H14" s="6" t="inlineStr">
        <is>
          <t>필수</t>
        </is>
      </c>
      <c r="I14" s="6" t="inlineStr">
        <is>
          <t>중</t>
        </is>
      </c>
      <c r="J14" s="6" t="inlineStr">
        <is>
          <t>이음매·기포 확인</t>
        </is>
      </c>
      <c r="K14" s="6" t="n">
        <v>29</v>
      </c>
      <c r="L14" s="6" t="inlineStr">
        <is>
          <t>X</t>
        </is>
      </c>
      <c r="M14" s="6" t="inlineStr">
        <is>
          <t>O</t>
        </is>
      </c>
      <c r="N14" s="6" t="inlineStr">
        <is>
          <t>X</t>
        </is>
      </c>
      <c r="O14" s="6" t="inlineStr">
        <is>
          <t>동절기 주의</t>
        </is>
      </c>
    </row>
    <row r="15">
      <c r="A15" s="6" t="inlineStr">
        <is>
          <t>FN</t>
        </is>
      </c>
      <c r="B15" s="6" t="inlineStr">
        <is>
          <t>가구</t>
        </is>
      </c>
      <c r="C15" s="6" t="n">
        <v>13</v>
      </c>
      <c r="D15" s="6" t="inlineStr">
        <is>
          <t>건식</t>
        </is>
      </c>
      <c r="E15" s="6" t="inlineStr">
        <is>
          <t>5~10</t>
        </is>
      </c>
      <c r="F15" s="6" t="inlineStr">
        <is>
          <t>WD</t>
        </is>
      </c>
      <c r="G15" s="6" t="inlineStr">
        <is>
          <t>—</t>
        </is>
      </c>
      <c r="H15" s="6" t="inlineStr">
        <is>
          <t>필수</t>
        </is>
      </c>
      <c r="I15" s="6" t="inlineStr">
        <is>
          <t>중</t>
        </is>
      </c>
      <c r="J15" s="6" t="inlineStr">
        <is>
          <t>수평·여닫힘 확인</t>
        </is>
      </c>
      <c r="K15" s="6" t="n">
        <v>104</v>
      </c>
      <c r="L15" s="6" t="inlineStr">
        <is>
          <t>O</t>
        </is>
      </c>
      <c r="M15" s="6" t="inlineStr">
        <is>
          <t>X</t>
        </is>
      </c>
      <c r="N15" s="6" t="inlineStr">
        <is>
          <t>X</t>
        </is>
      </c>
      <c r="O15" s="6" t="inlineStr">
        <is>
          <t>—</t>
        </is>
      </c>
    </row>
    <row r="16">
      <c r="A16" s="6" t="inlineStr">
        <is>
          <t>FX</t>
        </is>
      </c>
      <c r="B16" s="6" t="inlineStr">
        <is>
          <t>도기/마감</t>
        </is>
      </c>
      <c r="C16" s="6" t="n">
        <v>14</v>
      </c>
      <c r="D16" s="6" t="inlineStr">
        <is>
          <t>건식</t>
        </is>
      </c>
      <c r="E16" s="6" t="inlineStr">
        <is>
          <t>2~3</t>
        </is>
      </c>
      <c r="F16" s="6" t="inlineStr">
        <is>
          <t>TL</t>
        </is>
      </c>
      <c r="G16" s="6" t="inlineStr">
        <is>
          <t>—</t>
        </is>
      </c>
      <c r="H16" s="6" t="inlineStr">
        <is>
          <t>필수</t>
        </is>
      </c>
      <c r="I16" s="6" t="inlineStr">
        <is>
          <t>중</t>
        </is>
      </c>
      <c r="J16" s="6" t="inlineStr">
        <is>
          <t>고정·누수 확인</t>
        </is>
      </c>
      <c r="K16" s="6" t="n">
        <v>54</v>
      </c>
      <c r="L16" s="6" t="inlineStr">
        <is>
          <t>X</t>
        </is>
      </c>
      <c r="M16" s="6" t="inlineStr">
        <is>
          <t>X</t>
        </is>
      </c>
      <c r="N16" s="6" t="inlineStr">
        <is>
          <t>X</t>
        </is>
      </c>
      <c r="O16" s="6" t="inlineStr">
        <is>
          <t>—</t>
        </is>
      </c>
    </row>
    <row r="17">
      <c r="A17" s="6" t="inlineStr">
        <is>
          <t>FI</t>
        </is>
      </c>
      <c r="B17" s="6" t="inlineStr">
        <is>
          <t>준공</t>
        </is>
      </c>
      <c r="C17" s="6" t="n">
        <v>15</v>
      </c>
      <c r="D17" s="6" t="inlineStr">
        <is>
          <t>—</t>
        </is>
      </c>
      <c r="E17" s="6" t="inlineStr">
        <is>
          <t>1~2</t>
        </is>
      </c>
      <c r="F17" s="6" t="inlineStr">
        <is>
          <t>ALL</t>
        </is>
      </c>
      <c r="G17" s="6" t="inlineStr">
        <is>
          <t>—</t>
        </is>
      </c>
      <c r="H17" s="6" t="inlineStr">
        <is>
          <t>필수</t>
        </is>
      </c>
      <c r="I17" s="6" t="inlineStr">
        <is>
          <t>하</t>
        </is>
      </c>
      <c r="J17" s="6" t="inlineStr">
        <is>
          <t>전체 하자 점검</t>
        </is>
      </c>
      <c r="K17" s="6" t="n">
        <v>7</v>
      </c>
      <c r="L17" s="6" t="inlineStr">
        <is>
          <t>X</t>
        </is>
      </c>
      <c r="M17" s="6" t="inlineStr">
        <is>
          <t>X</t>
        </is>
      </c>
      <c r="N17" s="6" t="inlineStr">
        <is>
          <t>X</t>
        </is>
      </c>
      <c r="O17" s="6" t="inlineStr">
        <is>
          <t>—</t>
        </is>
      </c>
    </row>
  </sheetData>
  <mergeCells count="1">
    <mergeCell ref="A1:O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8B2AC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브랜드 호환성</t>
        </is>
      </c>
    </row>
    <row r="2">
      <c r="A2" s="5" t="inlineStr">
        <is>
          <t>브랜드</t>
        </is>
      </c>
      <c r="B2" s="5" t="inlineStr">
        <is>
          <t>호환 브랜드</t>
        </is>
      </c>
      <c r="C2" s="5" t="inlineStr">
        <is>
          <t>카테고리</t>
        </is>
      </c>
      <c r="D2" s="5" t="inlineStr">
        <is>
          <t>호환 등급</t>
        </is>
      </c>
      <c r="E2" s="5" t="inlineStr">
        <is>
          <t>비고</t>
        </is>
      </c>
    </row>
    <row r="3">
      <c r="A3" s="6" t="inlineStr">
        <is>
          <t>LX하우시스</t>
        </is>
      </c>
      <c r="B3" s="6" t="inlineStr">
        <is>
          <t>한화 L&amp;C</t>
        </is>
      </c>
      <c r="C3" s="6" t="inlineStr">
        <is>
          <t>바닥재</t>
        </is>
      </c>
      <c r="D3" s="6" t="inlineStr">
        <is>
          <t>A</t>
        </is>
      </c>
      <c r="E3" s="6" t="inlineStr">
        <is>
          <t>두께·클릭 호환</t>
        </is>
      </c>
    </row>
    <row r="4">
      <c r="A4" s="6" t="inlineStr">
        <is>
          <t>한샘</t>
        </is>
      </c>
      <c r="B4" s="6" t="inlineStr">
        <is>
          <t>리바트</t>
        </is>
      </c>
      <c r="C4" s="6" t="inlineStr">
        <is>
          <t>가구</t>
        </is>
      </c>
      <c r="D4" s="6" t="inlineStr">
        <is>
          <t>B</t>
        </is>
      </c>
      <c r="E4" s="6" t="inlineStr">
        <is>
          <t>하드웨어 유사</t>
        </is>
      </c>
    </row>
    <row r="5">
      <c r="A5" s="6" t="inlineStr">
        <is>
          <t>대림</t>
        </is>
      </c>
      <c r="B5" s="6" t="inlineStr">
        <is>
          <t>아메리칸 스탠다드</t>
        </is>
      </c>
      <c r="C5" s="6" t="inlineStr">
        <is>
          <t>도기</t>
        </is>
      </c>
      <c r="D5" s="6" t="inlineStr">
        <is>
          <t>A</t>
        </is>
      </c>
      <c r="E5" s="6" t="inlineStr">
        <is>
          <t>배관 규격 동일</t>
        </is>
      </c>
    </row>
    <row r="6">
      <c r="A6" s="6" t="inlineStr">
        <is>
          <t>KCC</t>
        </is>
      </c>
      <c r="B6" s="6" t="inlineStr">
        <is>
          <t>LX Z:IN</t>
        </is>
      </c>
      <c r="C6" s="6" t="inlineStr">
        <is>
          <t>창호</t>
        </is>
      </c>
      <c r="D6" s="6" t="inlineStr">
        <is>
          <t>B</t>
        </is>
      </c>
      <c r="E6" s="6" t="inlineStr">
        <is>
          <t>프로파일 유사</t>
        </is>
      </c>
    </row>
    <row r="7">
      <c r="A7" s="6" t="inlineStr">
        <is>
          <t>영림</t>
        </is>
      </c>
      <c r="B7" s="6" t="inlineStr">
        <is>
          <t>한솔</t>
        </is>
      </c>
      <c r="C7" s="6" t="inlineStr">
        <is>
          <t>필름</t>
        </is>
      </c>
      <c r="D7" s="6" t="inlineStr">
        <is>
          <t>A</t>
        </is>
      </c>
      <c r="E7" s="6" t="inlineStr">
        <is>
          <t>폭·두께 호환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38B2AC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38B2AC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표준 면적 참조</t>
        </is>
      </c>
    </row>
    <row r="2">
      <c r="A2" s="5" t="inlineStr">
        <is>
          <t>공간</t>
        </is>
      </c>
      <c r="B2" s="5" t="inlineStr">
        <is>
          <t>면적(㎡)</t>
        </is>
      </c>
      <c r="C2" s="5" t="inlineStr">
        <is>
          <t>바닥</t>
        </is>
      </c>
      <c r="D2" s="5" t="inlineStr">
        <is>
          <t>벽체</t>
        </is>
      </c>
      <c r="E2" s="5" t="inlineStr">
        <is>
          <t>천장</t>
        </is>
      </c>
      <c r="F2" s="5" t="inlineStr">
        <is>
          <t>비고</t>
        </is>
      </c>
    </row>
    <row r="3">
      <c r="A3" s="6" t="inlineStr">
        <is>
          <t>거실</t>
        </is>
      </c>
      <c r="B3" s="6" t="n">
        <v>20</v>
      </c>
      <c r="C3" s="6" t="inlineStr">
        <is>
          <t>O</t>
        </is>
      </c>
      <c r="D3" s="6" t="inlineStr">
        <is>
          <t>O</t>
        </is>
      </c>
      <c r="E3" s="6" t="inlineStr">
        <is>
          <t>O</t>
        </is>
      </c>
      <c r="F3" s="6" t="inlineStr"/>
    </row>
    <row r="4">
      <c r="A4" s="6" t="inlineStr">
        <is>
          <t>안방</t>
        </is>
      </c>
      <c r="B4" s="6" t="n">
        <v>12</v>
      </c>
      <c r="C4" s="6" t="inlineStr">
        <is>
          <t>O</t>
        </is>
      </c>
      <c r="D4" s="6" t="inlineStr">
        <is>
          <t>O</t>
        </is>
      </c>
      <c r="E4" s="6" t="inlineStr">
        <is>
          <t>O</t>
        </is>
      </c>
      <c r="F4" s="6" t="inlineStr"/>
    </row>
    <row r="5">
      <c r="A5" s="6" t="inlineStr">
        <is>
          <t>방1</t>
        </is>
      </c>
      <c r="B5" s="6" t="n">
        <v>8</v>
      </c>
      <c r="C5" s="6" t="inlineStr">
        <is>
          <t>O</t>
        </is>
      </c>
      <c r="D5" s="6" t="inlineStr">
        <is>
          <t>O</t>
        </is>
      </c>
      <c r="E5" s="6" t="inlineStr">
        <is>
          <t>O</t>
        </is>
      </c>
      <c r="F5" s="6" t="inlineStr"/>
    </row>
    <row r="6">
      <c r="A6" s="6" t="inlineStr">
        <is>
          <t>주방</t>
        </is>
      </c>
      <c r="B6" s="6" t="n">
        <v>6</v>
      </c>
      <c r="C6" s="6" t="inlineStr">
        <is>
          <t>O</t>
        </is>
      </c>
      <c r="D6" s="6" t="inlineStr">
        <is>
          <t>O</t>
        </is>
      </c>
      <c r="E6" s="6" t="inlineStr">
        <is>
          <t>O</t>
        </is>
      </c>
      <c r="F6" s="6" t="inlineStr"/>
    </row>
    <row r="7">
      <c r="A7" s="6" t="inlineStr">
        <is>
          <t>화장실(거실)</t>
        </is>
      </c>
      <c r="B7" s="6" t="n">
        <v>3.5</v>
      </c>
      <c r="C7" s="6" t="inlineStr">
        <is>
          <t>O</t>
        </is>
      </c>
      <c r="D7" s="6" t="inlineStr">
        <is>
          <t>O</t>
        </is>
      </c>
      <c r="E7" s="6" t="inlineStr">
        <is>
          <t>O</t>
        </is>
      </c>
      <c r="F7" s="6" t="inlineStr"/>
    </row>
    <row r="8">
      <c r="A8" s="6" t="inlineStr">
        <is>
          <t>현관</t>
        </is>
      </c>
      <c r="B8" s="6" t="n">
        <v>2</v>
      </c>
      <c r="C8" s="6" t="inlineStr">
        <is>
          <t>O</t>
        </is>
      </c>
      <c r="D8" s="6" t="inlineStr">
        <is>
          <t>X</t>
        </is>
      </c>
      <c r="E8" s="6" t="inlineStr">
        <is>
          <t>O</t>
        </is>
      </c>
      <c r="F8" s="6" t="inlineStr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69E2E"/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6" customWidth="1" min="4" max="4"/>
    <col width="7" customWidth="1" min="5" max="5"/>
    <col width="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5" customWidth="1" min="18" max="18"/>
  </cols>
  <sheetData>
    <row r="1">
      <c r="A1" s="1" t="inlineStr">
        <is>
          <t>17개 견적서 프로젝트 비교</t>
        </is>
      </c>
    </row>
    <row r="2">
      <c r="A2" s="5" t="inlineStr">
        <is>
          <t>프로젝트</t>
        </is>
      </c>
      <c r="B2" s="5" t="inlineStr">
        <is>
          <t>총액(만원)</t>
        </is>
      </c>
      <c r="C2" s="5" t="inlineStr">
        <is>
          <t>평당가(만원)</t>
        </is>
      </c>
      <c r="D2" s="5" t="inlineStr">
        <is>
          <t>평수</t>
        </is>
      </c>
      <c r="E2" s="5" t="inlineStr">
        <is>
          <t>가설</t>
        </is>
      </c>
      <c r="F2" s="5" t="inlineStr">
        <is>
          <t>철거/설비</t>
        </is>
      </c>
      <c r="G2" s="5" t="inlineStr">
        <is>
          <t>필름</t>
        </is>
      </c>
      <c r="H2" s="5" t="inlineStr">
        <is>
          <t>가구</t>
        </is>
      </c>
      <c r="I2" s="5" t="inlineStr">
        <is>
          <t>전기</t>
        </is>
      </c>
      <c r="J2" s="5" t="inlineStr">
        <is>
          <t>화장실</t>
        </is>
      </c>
      <c r="K2" s="5" t="inlineStr">
        <is>
          <t>타일</t>
        </is>
      </c>
      <c r="L2" s="5" t="inlineStr">
        <is>
          <t>도배</t>
        </is>
      </c>
      <c r="M2" s="5" t="inlineStr">
        <is>
          <t>도장</t>
        </is>
      </c>
      <c r="N2" s="5" t="inlineStr">
        <is>
          <t>마루</t>
        </is>
      </c>
      <c r="O2" s="5" t="inlineStr">
        <is>
          <t>목공</t>
        </is>
      </c>
      <c r="P2" s="5" t="inlineStr">
        <is>
          <t>금속</t>
        </is>
      </c>
      <c r="Q2" s="5" t="inlineStr">
        <is>
          <t>기타</t>
        </is>
      </c>
      <c r="R2" s="5" t="inlineStr">
        <is>
          <t>비고</t>
        </is>
      </c>
    </row>
    <row r="3">
      <c r="A3" s="6" t="inlineStr">
        <is>
          <t>푸르지오 월드마크(본)</t>
        </is>
      </c>
      <c r="B3" s="8" t="n">
        <v>13370</v>
      </c>
      <c r="C3" s="8" t="n">
        <v>256</v>
      </c>
      <c r="D3" s="8" t="n">
        <v>52</v>
      </c>
      <c r="E3" s="8" t="inlineStr">
        <is>
          <t>701</t>
        </is>
      </c>
      <c r="F3" s="8" t="inlineStr">
        <is>
          <t>1366</t>
        </is>
      </c>
      <c r="G3" s="8" t="inlineStr">
        <is>
          <t>342</t>
        </is>
      </c>
      <c r="H3" s="8" t="inlineStr">
        <is>
          <t>1997</t>
        </is>
      </c>
      <c r="I3" s="8" t="inlineStr">
        <is>
          <t>700</t>
        </is>
      </c>
      <c r="J3" s="8" t="inlineStr">
        <is>
          <t>826</t>
        </is>
      </c>
      <c r="K3" s="8" t="inlineStr">
        <is>
          <t>1137</t>
        </is>
      </c>
      <c r="L3" s="8" t="inlineStr">
        <is>
          <t>895</t>
        </is>
      </c>
      <c r="M3" s="8" t="inlineStr">
        <is>
          <t>120</t>
        </is>
      </c>
      <c r="N3" s="8" t="inlineStr">
        <is>
          <t>759</t>
        </is>
      </c>
      <c r="O3" s="8" t="inlineStr">
        <is>
          <t>1870</t>
        </is>
      </c>
      <c r="P3" s="8" t="inlineStr">
        <is>
          <t>0</t>
        </is>
      </c>
      <c r="Q3" s="8" t="inlineStr">
        <is>
          <t>0</t>
        </is>
      </c>
      <c r="R3" s="6" t="inlineStr"/>
    </row>
    <row r="4">
      <c r="A4" s="6" t="inlineStr">
        <is>
          <t>푸르지오 월드마크(추가)</t>
        </is>
      </c>
      <c r="B4" s="8" t="n">
        <v>39</v>
      </c>
      <c r="C4" s="8" t="n">
        <v>0</v>
      </c>
      <c r="D4" s="8" t="n">
        <v>0</v>
      </c>
      <c r="E4" s="8" t="inlineStr">
        <is>
          <t>0</t>
        </is>
      </c>
      <c r="F4" s="8" t="inlineStr">
        <is>
          <t>0</t>
        </is>
      </c>
      <c r="G4" s="8" t="inlineStr">
        <is>
          <t>0</t>
        </is>
      </c>
      <c r="H4" s="8" t="inlineStr">
        <is>
          <t>21</t>
        </is>
      </c>
      <c r="I4" s="8" t="inlineStr">
        <is>
          <t>0</t>
        </is>
      </c>
      <c r="J4" s="8" t="inlineStr">
        <is>
          <t>10</t>
        </is>
      </c>
      <c r="K4" s="8" t="inlineStr">
        <is>
          <t>0</t>
        </is>
      </c>
      <c r="L4" s="8" t="inlineStr">
        <is>
          <t>0</t>
        </is>
      </c>
      <c r="M4" s="8" t="inlineStr">
        <is>
          <t>0</t>
        </is>
      </c>
      <c r="N4" s="8" t="inlineStr">
        <is>
          <t>0</t>
        </is>
      </c>
      <c r="O4" s="8" t="inlineStr">
        <is>
          <t>0</t>
        </is>
      </c>
      <c r="P4" s="8" t="inlineStr">
        <is>
          <t>0</t>
        </is>
      </c>
      <c r="Q4" s="8" t="inlineStr">
        <is>
          <t>0</t>
        </is>
      </c>
      <c r="R4" s="6" t="inlineStr">
        <is>
          <t>변동분</t>
        </is>
      </c>
    </row>
    <row r="5">
      <c r="A5" s="6" t="inlineStr">
        <is>
          <t>만현마을 9단지(타일ver)</t>
        </is>
      </c>
      <c r="B5" s="8" t="n">
        <v>18476</v>
      </c>
      <c r="C5" s="8" t="n">
        <v>430</v>
      </c>
      <c r="D5" s="8" t="n">
        <v>43</v>
      </c>
      <c r="E5" s="8" t="inlineStr">
        <is>
          <t>585</t>
        </is>
      </c>
      <c r="F5" s="8" t="inlineStr">
        <is>
          <t>1758</t>
        </is>
      </c>
      <c r="G5" s="8" t="inlineStr">
        <is>
          <t>263</t>
        </is>
      </c>
      <c r="H5" s="8" t="inlineStr">
        <is>
          <t>2227</t>
        </is>
      </c>
      <c r="I5" s="8" t="inlineStr">
        <is>
          <t>1116</t>
        </is>
      </c>
      <c r="J5" s="8" t="inlineStr">
        <is>
          <t>981</t>
        </is>
      </c>
      <c r="K5" s="8" t="inlineStr">
        <is>
          <t>4263</t>
        </is>
      </c>
      <c r="L5" s="8" t="inlineStr">
        <is>
          <t>657</t>
        </is>
      </c>
      <c r="M5" s="8" t="inlineStr">
        <is>
          <t>160</t>
        </is>
      </c>
      <c r="N5" s="8" t="inlineStr">
        <is>
          <t>0</t>
        </is>
      </c>
      <c r="O5" s="8" t="inlineStr">
        <is>
          <t>2764</t>
        </is>
      </c>
      <c r="P5" s="8" t="inlineStr">
        <is>
          <t>0</t>
        </is>
      </c>
      <c r="Q5" s="8" t="inlineStr">
        <is>
          <t>0</t>
        </is>
      </c>
      <c r="R5" s="6" t="inlineStr">
        <is>
          <t>전면 타일</t>
        </is>
      </c>
    </row>
    <row r="6">
      <c r="A6" s="6" t="inlineStr">
        <is>
          <t>만현마을 9단지(필름ver)</t>
        </is>
      </c>
      <c r="B6" s="8" t="n">
        <v>17494</v>
      </c>
      <c r="C6" s="8" t="n">
        <v>407</v>
      </c>
      <c r="D6" s="8" t="n">
        <v>43</v>
      </c>
      <c r="E6" s="8" t="inlineStr">
        <is>
          <t>585</t>
        </is>
      </c>
      <c r="F6" s="8" t="inlineStr">
        <is>
          <t>1758</t>
        </is>
      </c>
      <c r="G6" s="8" t="inlineStr">
        <is>
          <t>720</t>
        </is>
      </c>
      <c r="H6" s="8" t="inlineStr">
        <is>
          <t>2333</t>
        </is>
      </c>
      <c r="I6" s="8" t="inlineStr">
        <is>
          <t>1116</t>
        </is>
      </c>
      <c r="J6" s="8" t="inlineStr">
        <is>
          <t>981</t>
        </is>
      </c>
      <c r="K6" s="8" t="inlineStr">
        <is>
          <t>1082</t>
        </is>
      </c>
      <c r="L6" s="8" t="inlineStr">
        <is>
          <t>657</t>
        </is>
      </c>
      <c r="M6" s="8" t="inlineStr">
        <is>
          <t>160</t>
        </is>
      </c>
      <c r="N6" s="8" t="inlineStr">
        <is>
          <t>973</t>
        </is>
      </c>
      <c r="O6" s="8" t="inlineStr">
        <is>
          <t>3700</t>
        </is>
      </c>
      <c r="P6" s="8" t="inlineStr">
        <is>
          <t>0</t>
        </is>
      </c>
      <c r="Q6" s="8" t="inlineStr">
        <is>
          <t>0</t>
        </is>
      </c>
      <c r="R6" s="6" t="inlineStr">
        <is>
          <t>필름+마루</t>
        </is>
      </c>
    </row>
    <row r="7">
      <c r="A7" s="6" t="inlineStr">
        <is>
          <t>금호어울림</t>
        </is>
      </c>
      <c r="B7" s="8" t="n">
        <v>10270</v>
      </c>
      <c r="C7" s="8" t="n">
        <v>320</v>
      </c>
      <c r="D7" s="8" t="n">
        <v>32</v>
      </c>
      <c r="E7" s="8" t="inlineStr">
        <is>
          <t>497</t>
        </is>
      </c>
      <c r="F7" s="8" t="inlineStr">
        <is>
          <t>830</t>
        </is>
      </c>
      <c r="G7" s="8" t="inlineStr">
        <is>
          <t>420</t>
        </is>
      </c>
      <c r="H7" s="8" t="inlineStr">
        <is>
          <t>1495</t>
        </is>
      </c>
      <c r="I7" s="8" t="inlineStr">
        <is>
          <t>461</t>
        </is>
      </c>
      <c r="J7" s="8" t="inlineStr">
        <is>
          <t>465</t>
        </is>
      </c>
      <c r="K7" s="8" t="inlineStr">
        <is>
          <t>668</t>
        </is>
      </c>
      <c r="L7" s="8" t="inlineStr">
        <is>
          <t>484</t>
        </is>
      </c>
      <c r="M7" s="8" t="inlineStr">
        <is>
          <t>119</t>
        </is>
      </c>
      <c r="N7" s="8" t="inlineStr">
        <is>
          <t>322</t>
        </is>
      </c>
      <c r="O7" s="8" t="inlineStr">
        <is>
          <t>1251</t>
        </is>
      </c>
      <c r="P7" s="8" t="inlineStr">
        <is>
          <t>0</t>
        </is>
      </c>
      <c r="Q7" s="8" t="inlineStr">
        <is>
          <t>0</t>
        </is>
      </c>
      <c r="R7" s="6" t="inlineStr"/>
    </row>
    <row r="8">
      <c r="A8" s="6" t="inlineStr">
        <is>
          <t>김성용 태영데시앙</t>
        </is>
      </c>
      <c r="B8" s="8" t="n">
        <v>12240</v>
      </c>
      <c r="C8" s="8" t="n">
        <v>374</v>
      </c>
      <c r="D8" s="8" t="n">
        <v>33</v>
      </c>
      <c r="E8" s="8" t="inlineStr">
        <is>
          <t>612</t>
        </is>
      </c>
      <c r="F8" s="8" t="inlineStr">
        <is>
          <t>1052</t>
        </is>
      </c>
      <c r="G8" s="8" t="inlineStr">
        <is>
          <t>373</t>
        </is>
      </c>
      <c r="H8" s="8" t="inlineStr">
        <is>
          <t>2154</t>
        </is>
      </c>
      <c r="I8" s="8" t="inlineStr">
        <is>
          <t>778</t>
        </is>
      </c>
      <c r="J8" s="8" t="inlineStr">
        <is>
          <t>710</t>
        </is>
      </c>
      <c r="K8" s="8" t="inlineStr">
        <is>
          <t>718</t>
        </is>
      </c>
      <c r="L8" s="8" t="inlineStr">
        <is>
          <t>552</t>
        </is>
      </c>
      <c r="M8" s="8" t="inlineStr">
        <is>
          <t>110</t>
        </is>
      </c>
      <c r="N8" s="8" t="inlineStr">
        <is>
          <t>550</t>
        </is>
      </c>
      <c r="O8" s="8" t="inlineStr">
        <is>
          <t>2019</t>
        </is>
      </c>
      <c r="P8" s="8" t="inlineStr">
        <is>
          <t>0</t>
        </is>
      </c>
      <c r="Q8" s="8" t="inlineStr">
        <is>
          <t>0</t>
        </is>
      </c>
      <c r="R8" s="6" t="inlineStr">
        <is>
          <t>에어컨 포함</t>
        </is>
      </c>
    </row>
    <row r="9">
      <c r="A9" s="6" t="inlineStr">
        <is>
          <t>김은경</t>
        </is>
      </c>
      <c r="B9" s="8" t="n">
        <v>11848</v>
      </c>
      <c r="C9" s="8" t="n">
        <v>406</v>
      </c>
      <c r="D9" s="8" t="n">
        <v>29</v>
      </c>
      <c r="E9" s="8" t="inlineStr">
        <is>
          <t>443</t>
        </is>
      </c>
      <c r="F9" s="8" t="inlineStr">
        <is>
          <t>930</t>
        </is>
      </c>
      <c r="G9" s="8" t="inlineStr">
        <is>
          <t>355</t>
        </is>
      </c>
      <c r="H9" s="8" t="inlineStr">
        <is>
          <t>1816</t>
        </is>
      </c>
      <c r="I9" s="8" t="inlineStr">
        <is>
          <t>671</t>
        </is>
      </c>
      <c r="J9" s="8" t="inlineStr">
        <is>
          <t>653</t>
        </is>
      </c>
      <c r="K9" s="8" t="inlineStr">
        <is>
          <t>689</t>
        </is>
      </c>
      <c r="L9" s="8" t="inlineStr">
        <is>
          <t>469</t>
        </is>
      </c>
      <c r="M9" s="8" t="inlineStr">
        <is>
          <t>120</t>
        </is>
      </c>
      <c r="N9" s="8" t="inlineStr">
        <is>
          <t>498</t>
        </is>
      </c>
      <c r="O9" s="8" t="inlineStr">
        <is>
          <t>1760</t>
        </is>
      </c>
      <c r="P9" s="8" t="inlineStr">
        <is>
          <t>0</t>
        </is>
      </c>
      <c r="Q9" s="8" t="inlineStr">
        <is>
          <t>0</t>
        </is>
      </c>
      <c r="R9" s="6" t="inlineStr"/>
    </row>
    <row r="10">
      <c r="A10" s="6" t="inlineStr">
        <is>
          <t>린스트라우스</t>
        </is>
      </c>
      <c r="B10" s="8" t="n">
        <v>18564</v>
      </c>
      <c r="C10" s="8" t="n">
        <v>420</v>
      </c>
      <c r="D10" s="8" t="n">
        <v>44</v>
      </c>
      <c r="E10" s="8" t="inlineStr">
        <is>
          <t>695</t>
        </is>
      </c>
      <c r="F10" s="8" t="inlineStr">
        <is>
          <t>1770</t>
        </is>
      </c>
      <c r="G10" s="8" t="inlineStr">
        <is>
          <t>345</t>
        </is>
      </c>
      <c r="H10" s="8" t="inlineStr">
        <is>
          <t>2697</t>
        </is>
      </c>
      <c r="I10" s="8" t="inlineStr">
        <is>
          <t>851</t>
        </is>
      </c>
      <c r="J10" s="8" t="inlineStr">
        <is>
          <t>826</t>
        </is>
      </c>
      <c r="K10" s="8" t="inlineStr">
        <is>
          <t>1137</t>
        </is>
      </c>
      <c r="L10" s="8" t="inlineStr">
        <is>
          <t>853</t>
        </is>
      </c>
      <c r="M10" s="8" t="inlineStr">
        <is>
          <t>120</t>
        </is>
      </c>
      <c r="N10" s="8" t="inlineStr">
        <is>
          <t>1449</t>
        </is>
      </c>
      <c r="O10" s="8" t="inlineStr">
        <is>
          <t>3050</t>
        </is>
      </c>
      <c r="P10" s="8" t="inlineStr">
        <is>
          <t>0</t>
        </is>
      </c>
      <c r="Q10" s="8" t="inlineStr">
        <is>
          <t>0</t>
        </is>
      </c>
      <c r="R10" s="6" t="inlineStr"/>
    </row>
    <row r="11">
      <c r="A11" s="6" t="inlineStr">
        <is>
          <t>백현마을</t>
        </is>
      </c>
      <c r="B11" s="8" t="n">
        <v>16700</v>
      </c>
      <c r="C11" s="8" t="n">
        <v>390</v>
      </c>
      <c r="D11" s="8" t="n">
        <v>43</v>
      </c>
      <c r="E11" s="8" t="inlineStr">
        <is>
          <t>620</t>
        </is>
      </c>
      <c r="F11" s="8" t="inlineStr">
        <is>
          <t>1700</t>
        </is>
      </c>
      <c r="G11" s="8" t="inlineStr">
        <is>
          <t>400</t>
        </is>
      </c>
      <c r="H11" s="8" t="inlineStr">
        <is>
          <t>2500</t>
        </is>
      </c>
      <c r="I11" s="8" t="inlineStr">
        <is>
          <t>850</t>
        </is>
      </c>
      <c r="J11" s="8" t="inlineStr">
        <is>
          <t>800</t>
        </is>
      </c>
      <c r="K11" s="8" t="inlineStr">
        <is>
          <t>1100</t>
        </is>
      </c>
      <c r="L11" s="8" t="inlineStr">
        <is>
          <t>800</t>
        </is>
      </c>
      <c r="M11" s="8" t="inlineStr">
        <is>
          <t>120</t>
        </is>
      </c>
      <c r="N11" s="8" t="inlineStr">
        <is>
          <t>1200</t>
        </is>
      </c>
      <c r="O11" s="8" t="inlineStr">
        <is>
          <t>2800</t>
        </is>
      </c>
      <c r="P11" s="8" t="inlineStr">
        <is>
          <t>0</t>
        </is>
      </c>
      <c r="Q11" s="8" t="inlineStr">
        <is>
          <t>0</t>
        </is>
      </c>
      <c r="R11" s="6" t="inlineStr"/>
    </row>
    <row r="12">
      <c r="A12" s="6" t="inlineStr">
        <is>
          <t>산본하이어스</t>
        </is>
      </c>
      <c r="B12" s="8" t="n">
        <v>13200</v>
      </c>
      <c r="C12" s="8" t="n">
        <v>380</v>
      </c>
      <c r="D12" s="8" t="n">
        <v>35</v>
      </c>
      <c r="E12" s="8" t="inlineStr">
        <is>
          <t>550</t>
        </is>
      </c>
      <c r="F12" s="8" t="inlineStr">
        <is>
          <t>1200</t>
        </is>
      </c>
      <c r="G12" s="8" t="inlineStr">
        <is>
          <t>300</t>
        </is>
      </c>
      <c r="H12" s="8" t="inlineStr">
        <is>
          <t>2200</t>
        </is>
      </c>
      <c r="I12" s="8" t="inlineStr">
        <is>
          <t>750</t>
        </is>
      </c>
      <c r="J12" s="8" t="inlineStr">
        <is>
          <t>750</t>
        </is>
      </c>
      <c r="K12" s="8" t="inlineStr">
        <is>
          <t>900</t>
        </is>
      </c>
      <c r="L12" s="8" t="inlineStr">
        <is>
          <t>600</t>
        </is>
      </c>
      <c r="M12" s="8" t="inlineStr">
        <is>
          <t>100</t>
        </is>
      </c>
      <c r="N12" s="8" t="inlineStr">
        <is>
          <t>800</t>
        </is>
      </c>
      <c r="O12" s="8" t="inlineStr">
        <is>
          <t>2500</t>
        </is>
      </c>
      <c r="P12" s="8" t="inlineStr">
        <is>
          <t>0</t>
        </is>
      </c>
      <c r="Q12" s="8" t="inlineStr">
        <is>
          <t>0</t>
        </is>
      </c>
      <c r="R12" s="6" t="inlineStr"/>
    </row>
    <row r="13">
      <c r="A13" s="6" t="inlineStr">
        <is>
          <t>이선</t>
        </is>
      </c>
      <c r="B13" s="8" t="n">
        <v>12800</v>
      </c>
      <c r="C13" s="8" t="n">
        <v>370</v>
      </c>
      <c r="D13" s="8" t="n">
        <v>35</v>
      </c>
      <c r="E13" s="8" t="inlineStr">
        <is>
          <t>580</t>
        </is>
      </c>
      <c r="F13" s="8" t="inlineStr">
        <is>
          <t>1100</t>
        </is>
      </c>
      <c r="G13" s="8" t="inlineStr">
        <is>
          <t>350</t>
        </is>
      </c>
      <c r="H13" s="8" t="inlineStr">
        <is>
          <t>2100</t>
        </is>
      </c>
      <c r="I13" s="8" t="inlineStr">
        <is>
          <t>700</t>
        </is>
      </c>
      <c r="J13" s="8" t="inlineStr">
        <is>
          <t>700</t>
        </is>
      </c>
      <c r="K13" s="8" t="inlineStr">
        <is>
          <t>850</t>
        </is>
      </c>
      <c r="L13" s="8" t="inlineStr">
        <is>
          <t>550</t>
        </is>
      </c>
      <c r="M13" s="8" t="inlineStr">
        <is>
          <t>120</t>
        </is>
      </c>
      <c r="N13" s="8" t="inlineStr">
        <is>
          <t>700</t>
        </is>
      </c>
      <c r="O13" s="8" t="inlineStr">
        <is>
          <t>2400</t>
        </is>
      </c>
      <c r="P13" s="8" t="inlineStr">
        <is>
          <t>100</t>
        </is>
      </c>
      <c r="Q13" s="8" t="inlineStr">
        <is>
          <t>0</t>
        </is>
      </c>
      <c r="R13" s="6" t="inlineStr">
        <is>
          <t>금속공사 포함</t>
        </is>
      </c>
    </row>
    <row r="14">
      <c r="A14" s="6" t="inlineStr">
        <is>
          <t>이성숙</t>
        </is>
      </c>
      <c r="B14" s="8" t="n">
        <v>8500</v>
      </c>
      <c r="C14" s="8" t="n">
        <v>330</v>
      </c>
      <c r="D14" s="8" t="n">
        <v>26</v>
      </c>
      <c r="E14" s="8" t="inlineStr">
        <is>
          <t>400</t>
        </is>
      </c>
      <c r="F14" s="8" t="inlineStr">
        <is>
          <t>700</t>
        </is>
      </c>
      <c r="G14" s="8" t="inlineStr">
        <is>
          <t>200</t>
        </is>
      </c>
      <c r="H14" s="8" t="inlineStr">
        <is>
          <t>1500</t>
        </is>
      </c>
      <c r="I14" s="8" t="inlineStr">
        <is>
          <t>500</t>
        </is>
      </c>
      <c r="J14" s="8" t="inlineStr">
        <is>
          <t>550</t>
        </is>
      </c>
      <c r="K14" s="8" t="inlineStr">
        <is>
          <t>500</t>
        </is>
      </c>
      <c r="L14" s="8" t="inlineStr">
        <is>
          <t>350</t>
        </is>
      </c>
      <c r="M14" s="8" t="inlineStr">
        <is>
          <t>80</t>
        </is>
      </c>
      <c r="N14" s="8" t="inlineStr">
        <is>
          <t>450</t>
        </is>
      </c>
      <c r="O14" s="8" t="inlineStr">
        <is>
          <t>1600</t>
        </is>
      </c>
      <c r="P14" s="8" t="inlineStr">
        <is>
          <t>0</t>
        </is>
      </c>
      <c r="Q14" s="8" t="inlineStr">
        <is>
          <t>0</t>
        </is>
      </c>
      <c r="R14" s="6" t="inlineStr"/>
    </row>
    <row r="15">
      <c r="A15" s="6" t="inlineStr">
        <is>
          <t>전기영 판교해링턴</t>
        </is>
      </c>
      <c r="B15" s="8" t="n">
        <v>7150</v>
      </c>
      <c r="C15" s="8" t="n">
        <v>310</v>
      </c>
      <c r="D15" s="8" t="n">
        <v>23</v>
      </c>
      <c r="E15" s="8" t="inlineStr">
        <is>
          <t>215</t>
        </is>
      </c>
      <c r="F15" s="8" t="inlineStr">
        <is>
          <t>468</t>
        </is>
      </c>
      <c r="G15" s="8" t="inlineStr">
        <is>
          <t>382</t>
        </is>
      </c>
      <c r="H15" s="8" t="inlineStr">
        <is>
          <t>1048</t>
        </is>
      </c>
      <c r="I15" s="8" t="inlineStr">
        <is>
          <t>492</t>
        </is>
      </c>
      <c r="J15" s="8" t="inlineStr">
        <is>
          <t>410</t>
        </is>
      </c>
      <c r="K15" s="8" t="inlineStr">
        <is>
          <t>435</t>
        </is>
      </c>
      <c r="L15" s="8" t="inlineStr">
        <is>
          <t>310</t>
        </is>
      </c>
      <c r="M15" s="8" t="inlineStr">
        <is>
          <t>102</t>
        </is>
      </c>
      <c r="N15" s="8" t="inlineStr">
        <is>
          <t>426</t>
        </is>
      </c>
      <c r="O15" s="8" t="inlineStr">
        <is>
          <t>1649</t>
        </is>
      </c>
      <c r="P15" s="8" t="inlineStr">
        <is>
          <t>0</t>
        </is>
      </c>
      <c r="Q15" s="8" t="inlineStr">
        <is>
          <t>0</t>
        </is>
      </c>
      <c r="R15" s="6" t="inlineStr"/>
    </row>
    <row r="16">
      <c r="A16" s="6" t="inlineStr">
        <is>
          <t>진산마을 삼성레미안</t>
        </is>
      </c>
      <c r="B16" s="8" t="n">
        <v>18607</v>
      </c>
      <c r="C16" s="8" t="n">
        <v>447</v>
      </c>
      <c r="D16" s="8" t="n">
        <v>42</v>
      </c>
      <c r="E16" s="8" t="inlineStr">
        <is>
          <t>1471</t>
        </is>
      </c>
      <c r="F16" s="8" t="inlineStr">
        <is>
          <t>2173</t>
        </is>
      </c>
      <c r="G16" s="8" t="inlineStr">
        <is>
          <t>383</t>
        </is>
      </c>
      <c r="H16" s="8" t="inlineStr">
        <is>
          <t>2868</t>
        </is>
      </c>
      <c r="I16" s="8" t="inlineStr">
        <is>
          <t>996</t>
        </is>
      </c>
      <c r="J16" s="8" t="inlineStr">
        <is>
          <t>1004</t>
        </is>
      </c>
      <c r="K16" s="8" t="inlineStr">
        <is>
          <t>989</t>
        </is>
      </c>
      <c r="L16" s="8" t="inlineStr">
        <is>
          <t>657</t>
        </is>
      </c>
      <c r="M16" s="8" t="inlineStr">
        <is>
          <t>168</t>
        </is>
      </c>
      <c r="N16" s="8" t="inlineStr">
        <is>
          <t>1338</t>
        </is>
      </c>
      <c r="O16" s="8" t="inlineStr">
        <is>
          <t>2955</t>
        </is>
      </c>
      <c r="P16" s="8" t="inlineStr">
        <is>
          <t>500</t>
        </is>
      </c>
      <c r="Q16" s="8" t="inlineStr">
        <is>
          <t>0</t>
        </is>
      </c>
      <c r="R16" s="6" t="inlineStr">
        <is>
          <t>금속공사 포함</t>
        </is>
      </c>
    </row>
    <row r="17">
      <c r="A17" s="6" t="inlineStr">
        <is>
          <t>행당동 대림</t>
        </is>
      </c>
      <c r="B17" s="8" t="n">
        <v>7918</v>
      </c>
      <c r="C17" s="8" t="n">
        <v>344</v>
      </c>
      <c r="D17" s="8" t="n">
        <v>23</v>
      </c>
      <c r="E17" s="8" t="inlineStr">
        <is>
          <t>437</t>
        </is>
      </c>
      <c r="F17" s="8" t="inlineStr">
        <is>
          <t>491</t>
        </is>
      </c>
      <c r="G17" s="8" t="inlineStr">
        <is>
          <t>298</t>
        </is>
      </c>
      <c r="H17" s="8" t="inlineStr">
        <is>
          <t>951</t>
        </is>
      </c>
      <c r="I17" s="8" t="inlineStr">
        <is>
          <t>461</t>
        </is>
      </c>
      <c r="J17" s="8" t="inlineStr">
        <is>
          <t>465</t>
        </is>
      </c>
      <c r="K17" s="8" t="inlineStr">
        <is>
          <t>668</t>
        </is>
      </c>
      <c r="L17" s="8" t="inlineStr">
        <is>
          <t>484</t>
        </is>
      </c>
      <c r="M17" s="8" t="inlineStr">
        <is>
          <t>135</t>
        </is>
      </c>
      <c r="N17" s="8" t="inlineStr">
        <is>
          <t>322</t>
        </is>
      </c>
      <c r="O17" s="8" t="inlineStr">
        <is>
          <t>1251</t>
        </is>
      </c>
      <c r="P17" s="8" t="inlineStr">
        <is>
          <t>0</t>
        </is>
      </c>
      <c r="Q17" s="8" t="inlineStr">
        <is>
          <t>0</t>
        </is>
      </c>
      <c r="R17" s="6" t="inlineStr"/>
    </row>
    <row r="18">
      <c r="A18" s="6" t="inlineStr">
        <is>
          <t>전기영 해링턴</t>
        </is>
      </c>
      <c r="B18" s="8" t="n">
        <v>7150</v>
      </c>
      <c r="C18" s="8" t="n">
        <v>310</v>
      </c>
      <c r="D18" s="8" t="n">
        <v>23</v>
      </c>
      <c r="E18" s="8" t="inlineStr">
        <is>
          <t>215</t>
        </is>
      </c>
      <c r="F18" s="8" t="inlineStr">
        <is>
          <t>468</t>
        </is>
      </c>
      <c r="G18" s="8" t="inlineStr">
        <is>
          <t>382</t>
        </is>
      </c>
      <c r="H18" s="8" t="inlineStr">
        <is>
          <t>1048</t>
        </is>
      </c>
      <c r="I18" s="8" t="inlineStr">
        <is>
          <t>492</t>
        </is>
      </c>
      <c r="J18" s="8" t="inlineStr">
        <is>
          <t>410</t>
        </is>
      </c>
      <c r="K18" s="8" t="inlineStr">
        <is>
          <t>435</t>
        </is>
      </c>
      <c r="L18" s="8" t="inlineStr">
        <is>
          <t>310</t>
        </is>
      </c>
      <c r="M18" s="8" t="inlineStr">
        <is>
          <t>102</t>
        </is>
      </c>
      <c r="N18" s="8" t="inlineStr">
        <is>
          <t>426</t>
        </is>
      </c>
      <c r="O18" s="8" t="inlineStr">
        <is>
          <t>1649</t>
        </is>
      </c>
      <c r="P18" s="8" t="inlineStr">
        <is>
          <t>0</t>
        </is>
      </c>
      <c r="Q18" s="8" t="inlineStr">
        <is>
          <t>0</t>
        </is>
      </c>
      <c r="R18" s="6" t="inlineStr"/>
    </row>
    <row r="19">
      <c r="A19" s="6" t="inlineStr">
        <is>
          <t>신봉동 삼성쉐르빌</t>
        </is>
      </c>
      <c r="B19" s="8" t="n">
        <v>23000</v>
      </c>
      <c r="C19" s="8" t="n">
        <v>442</v>
      </c>
      <c r="D19" s="8" t="n">
        <v>52</v>
      </c>
      <c r="E19" s="8" t="inlineStr">
        <is>
          <t>4476</t>
        </is>
      </c>
      <c r="F19" s="8" t="inlineStr">
        <is>
          <t>2252</t>
        </is>
      </c>
      <c r="G19" s="8" t="inlineStr">
        <is>
          <t>562</t>
        </is>
      </c>
      <c r="H19" s="8" t="inlineStr">
        <is>
          <t>1903</t>
        </is>
      </c>
      <c r="I19" s="8" t="inlineStr">
        <is>
          <t>1180</t>
        </is>
      </c>
      <c r="J19" s="8" t="inlineStr">
        <is>
          <t>1093</t>
        </is>
      </c>
      <c r="K19" s="8" t="inlineStr">
        <is>
          <t>1333</t>
        </is>
      </c>
      <c r="L19" s="8" t="inlineStr">
        <is>
          <t>900</t>
        </is>
      </c>
      <c r="M19" s="8" t="inlineStr">
        <is>
          <t>208</t>
        </is>
      </c>
      <c r="N19" s="8" t="inlineStr">
        <is>
          <t>1310</t>
        </is>
      </c>
      <c r="O19" s="8" t="inlineStr">
        <is>
          <t>3414</t>
        </is>
      </c>
      <c r="P19" s="8" t="inlineStr">
        <is>
          <t>0</t>
        </is>
      </c>
      <c r="Q19" s="8" t="inlineStr">
        <is>
          <t>0</t>
        </is>
      </c>
      <c r="R19" s="6" t="inlineStr">
        <is>
          <t>PDF 견적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2026-03-31T09:57:24Z</dcterms:created>
  <dcterms:modified xmlns:dcterms="http://purl.org/dc/terms/" xmlns:xsi="http://www.w3.org/2001/XMLSchema-instance" xsi:type="dcterms:W3CDTF">2026-03-31T09:57:25Z</dcterms:modified>
</cp:coreProperties>
</file>