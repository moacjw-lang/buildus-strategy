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-120" yWindow="-120" windowWidth="23160" windowHeight="8385" tabRatio="680"/>
  </bookViews>
  <sheets>
    <sheet name="갑지" sheetId="23312" r:id="rId1"/>
    <sheet name=" 갑지-1" sheetId="23309" r:id="rId2"/>
    <sheet name="상세" sheetId="2331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" localSheetId="1" hidden="1">[1]공문!#REF!</definedName>
    <definedName name="_" localSheetId="0" hidden="1">[1]공문!#REF!</definedName>
    <definedName name="_" localSheetId="2" hidden="1">[1]공문!#REF!</definedName>
    <definedName name="_" hidden="1">[1]공문!#REF!</definedName>
    <definedName name="____WRM1" localSheetId="0" hidden="1">{#N/A,#N/A,TRUE,"TITLE"}</definedName>
    <definedName name="____WRM1" hidden="1">{#N/A,#N/A,TRUE,"TITLE"}</definedName>
    <definedName name="___key2" localSheetId="1" hidden="1">#REF!</definedName>
    <definedName name="___key2" localSheetId="0" hidden="1">#REF!</definedName>
    <definedName name="___key2" localSheetId="2" hidden="1">#REF!</definedName>
    <definedName name="___key2" hidden="1">#REF!</definedName>
    <definedName name="__123Graph_A" localSheetId="1" hidden="1">[2]금융!#REF!</definedName>
    <definedName name="__123Graph_A" localSheetId="0" hidden="1">[2]금융!#REF!</definedName>
    <definedName name="__123Graph_A" localSheetId="2" hidden="1">[2]금융!#REF!</definedName>
    <definedName name="__123Graph_A" hidden="1">[2]금융!#REF!</definedName>
    <definedName name="__123Graph_ACHART1" localSheetId="1" hidden="1">'[3]입찰내역 발주처 양식'!#REF!</definedName>
    <definedName name="__123Graph_ACHART1" localSheetId="0" hidden="1">'[3]입찰내역 발주처 양식'!#REF!</definedName>
    <definedName name="__123Graph_ACHART1" localSheetId="2" hidden="1">'[3]입찰내역 발주처 양식'!#REF!</definedName>
    <definedName name="__123Graph_ACHART1" hidden="1">'[3]입찰내역 발주처 양식'!#REF!</definedName>
    <definedName name="__123Graph_ACURRENT" localSheetId="1" hidden="1">'[3]입찰내역 발주처 양식'!#REF!</definedName>
    <definedName name="__123Graph_ACURRENT" localSheetId="0" hidden="1">'[3]입찰내역 발주처 양식'!#REF!</definedName>
    <definedName name="__123Graph_ACURRENT" localSheetId="2" hidden="1">'[3]입찰내역 발주처 양식'!#REF!</definedName>
    <definedName name="__123Graph_ACURRENT" hidden="1">'[3]입찰내역 발주처 양식'!#REF!</definedName>
    <definedName name="__123Graph_APOWERSAV" hidden="1">[4]CAL1!$G$10:$G$38</definedName>
    <definedName name="__123Graph_B" localSheetId="1" hidden="1">[5]목표세부명세!#REF!</definedName>
    <definedName name="__123Graph_B" localSheetId="0" hidden="1">[5]목표세부명세!#REF!</definedName>
    <definedName name="__123Graph_B" localSheetId="2" hidden="1">[5]목표세부명세!#REF!</definedName>
    <definedName name="__123Graph_B" hidden="1">[5]목표세부명세!#REF!</definedName>
    <definedName name="__123Graph_BPOWERSAV" hidden="1">[4]CAL1!$F$10:$F$38</definedName>
    <definedName name="__123Graph_C" hidden="1">[4]CAL1!$I$36:$I$37</definedName>
    <definedName name="__123Graph_CPOWERSAV" localSheetId="1" hidden="1">'[6]VS P-Q'!#REF!</definedName>
    <definedName name="__123Graph_CPOWERSAV" localSheetId="0" hidden="1">'[6]VS P-Q'!#REF!</definedName>
    <definedName name="__123Graph_CPOWERSAV" localSheetId="2" hidden="1">'[6]VS P-Q'!#REF!</definedName>
    <definedName name="__123Graph_CPOWERSAV" hidden="1">'[6]VS P-Q'!#REF!</definedName>
    <definedName name="__123Graph_D" localSheetId="1" hidden="1">'[7]0226'!#REF!</definedName>
    <definedName name="__123Graph_D" localSheetId="0" hidden="1">'[7]0226'!#REF!</definedName>
    <definedName name="__123Graph_D" localSheetId="2" hidden="1">'[7]0226'!#REF!</definedName>
    <definedName name="__123Graph_D" hidden="1">'[7]0226'!#REF!</definedName>
    <definedName name="__123Graph_DPOWERSAV" localSheetId="1" hidden="1">'[6]VS P-Q'!#REF!</definedName>
    <definedName name="__123Graph_DPOWERSAV" localSheetId="0" hidden="1">'[6]VS P-Q'!#REF!</definedName>
    <definedName name="__123Graph_DPOWERSAV" localSheetId="2" hidden="1">'[6]VS P-Q'!#REF!</definedName>
    <definedName name="__123Graph_DPOWERSAV" hidden="1">'[6]VS P-Q'!#REF!</definedName>
    <definedName name="__123Graph_E" hidden="1">[4]CAL1!$U$10:$U$37</definedName>
    <definedName name="__123Graph_LBL_APOWERSAV" localSheetId="1" hidden="1">'[6]VS P-Q'!#REF!</definedName>
    <definedName name="__123Graph_LBL_APOWERSAV" localSheetId="0" hidden="1">'[6]VS P-Q'!#REF!</definedName>
    <definedName name="__123Graph_LBL_APOWERSAV" localSheetId="2" hidden="1">'[6]VS P-Q'!#REF!</definedName>
    <definedName name="__123Graph_LBL_APOWERSAV" hidden="1">'[6]VS P-Q'!#REF!</definedName>
    <definedName name="__123Graph_LBL_B" localSheetId="1" hidden="1">'[6]VS P-Q'!#REF!</definedName>
    <definedName name="__123Graph_LBL_B" localSheetId="0" hidden="1">'[6]VS P-Q'!#REF!</definedName>
    <definedName name="__123Graph_LBL_B" localSheetId="2" hidden="1">'[6]VS P-Q'!#REF!</definedName>
    <definedName name="__123Graph_LBL_B" hidden="1">'[6]VS P-Q'!#REF!</definedName>
    <definedName name="__123Graph_LBL_BPOWERSAV" localSheetId="1" hidden="1">'[6]VS P-Q'!#REF!</definedName>
    <definedName name="__123Graph_LBL_BPOWERSAV" localSheetId="0" hidden="1">'[6]VS P-Q'!#REF!</definedName>
    <definedName name="__123Graph_LBL_BPOWERSAV" localSheetId="2" hidden="1">'[6]VS P-Q'!#REF!</definedName>
    <definedName name="__123Graph_LBL_BPOWERSAV" hidden="1">'[6]VS P-Q'!#REF!</definedName>
    <definedName name="__123Graph_LBL_C" localSheetId="1" hidden="1">'[6]VS P-Q'!#REF!</definedName>
    <definedName name="__123Graph_LBL_C" localSheetId="0" hidden="1">'[6]VS P-Q'!#REF!</definedName>
    <definedName name="__123Graph_LBL_C" localSheetId="2" hidden="1">'[6]VS P-Q'!#REF!</definedName>
    <definedName name="__123Graph_LBL_C" hidden="1">'[6]VS P-Q'!#REF!</definedName>
    <definedName name="__123Graph_LBL_CPOWERSAV" localSheetId="1" hidden="1">'[6]VS P-Q'!#REF!</definedName>
    <definedName name="__123Graph_LBL_CPOWERSAV" localSheetId="0" hidden="1">'[6]VS P-Q'!#REF!</definedName>
    <definedName name="__123Graph_LBL_CPOWERSAV" localSheetId="2" hidden="1">'[6]VS P-Q'!#REF!</definedName>
    <definedName name="__123Graph_LBL_CPOWERSAV" hidden="1">'[6]VS P-Q'!#REF!</definedName>
    <definedName name="__123Graph_LBL_D" localSheetId="1" hidden="1">'[6]VS P-Q'!#REF!</definedName>
    <definedName name="__123Graph_LBL_D" localSheetId="0" hidden="1">'[6]VS P-Q'!#REF!</definedName>
    <definedName name="__123Graph_LBL_D" localSheetId="2" hidden="1">'[6]VS P-Q'!#REF!</definedName>
    <definedName name="__123Graph_LBL_D" hidden="1">'[6]VS P-Q'!#REF!</definedName>
    <definedName name="__123Graph_LBL_DPOWERSAV" localSheetId="1" hidden="1">'[6]VS P-Q'!#REF!</definedName>
    <definedName name="__123Graph_LBL_DPOWERSAV" localSheetId="0" hidden="1">'[6]VS P-Q'!#REF!</definedName>
    <definedName name="__123Graph_LBL_DPOWERSAV" localSheetId="2" hidden="1">'[6]VS P-Q'!#REF!</definedName>
    <definedName name="__123Graph_LBL_DPOWERSAV" hidden="1">'[6]VS P-Q'!#REF!</definedName>
    <definedName name="__123Graph_LBL_E" hidden="1">[4]CAL1!$V$10:$V$37</definedName>
    <definedName name="__123Graph_X" localSheetId="1" hidden="1">[2]금융!#REF!</definedName>
    <definedName name="__123Graph_X" localSheetId="0" hidden="1">[2]금융!#REF!</definedName>
    <definedName name="__123Graph_X" localSheetId="2" hidden="1">[2]금융!#REF!</definedName>
    <definedName name="__123Graph_X" hidden="1">[2]금융!#REF!</definedName>
    <definedName name="__123Graph_XCHART1" localSheetId="1" hidden="1">'[3]입찰내역 발주처 양식'!#REF!</definedName>
    <definedName name="__123Graph_XCHART1" localSheetId="0" hidden="1">'[3]입찰내역 발주처 양식'!#REF!</definedName>
    <definedName name="__123Graph_XCHART1" localSheetId="2" hidden="1">'[3]입찰내역 발주처 양식'!#REF!</definedName>
    <definedName name="__123Graph_XCHART1" hidden="1">'[3]입찰내역 발주처 양식'!#REF!</definedName>
    <definedName name="__123Graph_XCURRENT" localSheetId="1" hidden="1">'[3]입찰내역 발주처 양식'!#REF!</definedName>
    <definedName name="__123Graph_XCURRENT" localSheetId="0" hidden="1">'[3]입찰내역 발주처 양식'!#REF!</definedName>
    <definedName name="__123Graph_XCURRENT" localSheetId="2" hidden="1">'[3]입찰내역 발주처 양식'!#REF!</definedName>
    <definedName name="__123Graph_XCURRENT" hidden="1">'[3]입찰내역 발주처 양식'!#REF!</definedName>
    <definedName name="__123Graph_XPOWERSAV" hidden="1">[4]CAL1!$B$10:$B$39</definedName>
    <definedName name="__IntlFixup" hidden="1">TRUE</definedName>
    <definedName name="__key2" localSheetId="1" hidden="1">#REF!</definedName>
    <definedName name="__key2" localSheetId="0" hidden="1">#REF!</definedName>
    <definedName name="__key2" localSheetId="2" hidden="1">#REF!</definedName>
    <definedName name="__key2" hidden="1">#REF!</definedName>
    <definedName name="__WRM1" localSheetId="0" hidden="1">{#N/A,#N/A,TRUE,"TITLE"}</definedName>
    <definedName name="__WRM1" hidden="1">{#N/A,#N/A,TRUE,"TITLE"}</definedName>
    <definedName name="_10000" localSheetId="1" hidden="1">#REF!</definedName>
    <definedName name="_10000" localSheetId="0" hidden="1">#REF!</definedName>
    <definedName name="_10000" localSheetId="2" hidden="1">#REF!</definedName>
    <definedName name="_10000" hidden="1">#REF!</definedName>
    <definedName name="_3_0__123Grap" localSheetId="1" hidden="1">[2]금융!#REF!</definedName>
    <definedName name="_3_0__123Grap" localSheetId="0" hidden="1">[2]금융!#REF!</definedName>
    <definedName name="_3_0__123Grap" localSheetId="2" hidden="1">[2]금융!#REF!</definedName>
    <definedName name="_3_0__123Grap" hidden="1">[2]금융!#REF!</definedName>
    <definedName name="_7_0__123Grap" localSheetId="1" hidden="1">#REF!</definedName>
    <definedName name="_7_0__123Grap" localSheetId="0" hidden="1">#REF!</definedName>
    <definedName name="_7_0__123Grap" localSheetId="2" hidden="1">#REF!</definedName>
    <definedName name="_7_0__123Grap" hidden="1">#REF!</definedName>
    <definedName name="_Dist_Bin" localSheetId="1" hidden="1">#REF!</definedName>
    <definedName name="_Dist_Bin" localSheetId="0" hidden="1">#REF!</definedName>
    <definedName name="_Dist_Bin" localSheetId="2" hidden="1">#REF!</definedName>
    <definedName name="_Dist_Bin" hidden="1">#REF!</definedName>
    <definedName name="_Dist_Values" localSheetId="1" hidden="1">#REF!</definedName>
    <definedName name="_Dist_Values" localSheetId="0" hidden="1">#REF!</definedName>
    <definedName name="_Dist_Values" localSheetId="2" hidden="1">#REF!</definedName>
    <definedName name="_Dist_Values" hidden="1">#REF!</definedName>
    <definedName name="_Fill" localSheetId="1" hidden="1">#REF!</definedName>
    <definedName name="_Fill" localSheetId="0" hidden="1">#REF!</definedName>
    <definedName name="_Fill" localSheetId="2" hidden="1">#REF!</definedName>
    <definedName name="_Fill" hidden="1">#REF!</definedName>
    <definedName name="_fill2" localSheetId="1" hidden="1">[8]음료실행!#REF!</definedName>
    <definedName name="_fill2" localSheetId="0" hidden="1">[8]음료실행!#REF!</definedName>
    <definedName name="_fill2" localSheetId="2" hidden="1">[8]음료실행!#REF!</definedName>
    <definedName name="_fill2" hidden="1">[8]음료실행!#REF!</definedName>
    <definedName name="_xlnm._FilterDatabase" localSheetId="1" hidden="1">' 갑지-1'!$A$6:$M$32</definedName>
    <definedName name="_xlnm._FilterDatabase" localSheetId="0" hidden="1">[9]인사자료총집계!#REF!</definedName>
    <definedName name="_xlnm._FilterDatabase" localSheetId="2" hidden="1">상세!$A$4:$M$264</definedName>
    <definedName name="_xlnm._FilterDatabase" hidden="1">[9]인사자료총집계!#REF!</definedName>
    <definedName name="_Key1" localSheetId="1" hidden="1">#REF!</definedName>
    <definedName name="_Key1" localSheetId="0" hidden="1">#REF!</definedName>
    <definedName name="_Key1" localSheetId="2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localSheetId="2" hidden="1">#REF!</definedName>
    <definedName name="_Key2" hidden="1">#REF!</definedName>
    <definedName name="_kfkf" localSheetId="1" hidden="1">#REF!</definedName>
    <definedName name="_kfkf" localSheetId="0" hidden="1">#REF!</definedName>
    <definedName name="_kfkf" localSheetId="2" hidden="1">#REF!</definedName>
    <definedName name="_kfkf" hidden="1">#REF!</definedName>
    <definedName name="_MatInverse_In" localSheetId="1" hidden="1">#REF!</definedName>
    <definedName name="_MatInverse_In" localSheetId="0" hidden="1">#REF!</definedName>
    <definedName name="_MatInverse_In" localSheetId="2" hidden="1">#REF!</definedName>
    <definedName name="_MatInverse_In" hidden="1">#REF!</definedName>
    <definedName name="_MatMult_A" localSheetId="1" hidden="1">#REF!</definedName>
    <definedName name="_MatMult_A" localSheetId="0" hidden="1">#REF!</definedName>
    <definedName name="_MatMult_A" localSheetId="2" hidden="1">#REF!</definedName>
    <definedName name="_MatMult_A" hidden="1">#REF!</definedName>
    <definedName name="_MatMult_AxB" localSheetId="1" hidden="1">#REF!</definedName>
    <definedName name="_MatMult_AxB" localSheetId="0" hidden="1">#REF!</definedName>
    <definedName name="_MatMult_AxB" localSheetId="2" hidden="1">#REF!</definedName>
    <definedName name="_MatMult_AxB" hidden="1">#REF!</definedName>
    <definedName name="_MatMult_B" localSheetId="1" hidden="1">#REF!</definedName>
    <definedName name="_MatMult_B" localSheetId="0" hidden="1">#REF!</definedName>
    <definedName name="_MatMult_B" localSheetId="2" hidden="1">#REF!</definedName>
    <definedName name="_MatMult_B" hidden="1">#REF!</definedName>
    <definedName name="_Order1" hidden="1">0</definedName>
    <definedName name="_Order2" hidden="1">255</definedName>
    <definedName name="_Parse_Out" localSheetId="1" hidden="1">#REF!</definedName>
    <definedName name="_Parse_Out" localSheetId="0" hidden="1">#REF!</definedName>
    <definedName name="_Parse_Out" localSheetId="2" hidden="1">#REF!</definedName>
    <definedName name="_Parse_Out" hidden="1">#REF!</definedName>
    <definedName name="_Regression_Int" hidden="1">1</definedName>
    <definedName name="_Sort" localSheetId="1" hidden="1">#REF!</definedName>
    <definedName name="_Sort" localSheetId="0" hidden="1">#REF!</definedName>
    <definedName name="_Sort" localSheetId="2" hidden="1">#REF!</definedName>
    <definedName name="_Sort" hidden="1">#REF!</definedName>
    <definedName name="_Table1_In1" localSheetId="1" hidden="1">#REF!</definedName>
    <definedName name="_Table1_In1" localSheetId="0" hidden="1">#REF!</definedName>
    <definedName name="_Table1_In1" localSheetId="2" hidden="1">#REF!</definedName>
    <definedName name="_Table1_In1" hidden="1">#REF!</definedName>
    <definedName name="_Table1_Out" localSheetId="1" hidden="1">#REF!</definedName>
    <definedName name="_Table1_Out" localSheetId="0" hidden="1">#REF!</definedName>
    <definedName name="_Table1_Out" localSheetId="2" hidden="1">#REF!</definedName>
    <definedName name="_Table1_Out" hidden="1">#REF!</definedName>
    <definedName name="_woogi" localSheetId="1" hidden="1">#REF!</definedName>
    <definedName name="_woogi" localSheetId="0" hidden="1">#REF!</definedName>
    <definedName name="_woogi" localSheetId="2" hidden="1">#REF!</definedName>
    <definedName name="_woogi" hidden="1">#REF!</definedName>
    <definedName name="_woogi2" localSheetId="1" hidden="1">#REF!</definedName>
    <definedName name="_woogi2" localSheetId="0" hidden="1">#REF!</definedName>
    <definedName name="_woogi2" localSheetId="2" hidden="1">#REF!</definedName>
    <definedName name="_woogi2" hidden="1">#REF!</definedName>
    <definedName name="_woogi24" localSheetId="1" hidden="1">#REF!</definedName>
    <definedName name="_woogi24" localSheetId="0" hidden="1">#REF!</definedName>
    <definedName name="_woogi24" localSheetId="2" hidden="1">#REF!</definedName>
    <definedName name="_woogi24" hidden="1">#REF!</definedName>
    <definedName name="_woogi3" localSheetId="1" hidden="1">#REF!</definedName>
    <definedName name="_woogi3" localSheetId="0" hidden="1">#REF!</definedName>
    <definedName name="_woogi3" localSheetId="2" hidden="1">#REF!</definedName>
    <definedName name="_woogi3" hidden="1">#REF!</definedName>
    <definedName name="_재ㅐ햐" localSheetId="1" hidden="1">#REF!</definedName>
    <definedName name="_재ㅐ햐" localSheetId="0" hidden="1">#REF!</definedName>
    <definedName name="_재ㅐ햐" localSheetId="2" hidden="1">#REF!</definedName>
    <definedName name="_재ㅐ햐" hidden="1">#REF!</definedName>
    <definedName name="ab" hidden="1">1</definedName>
    <definedName name="abcd" localSheetId="1" hidden="1">[10]노임이!#REF!</definedName>
    <definedName name="abcd" localSheetId="0" hidden="1">[10]노임이!#REF!</definedName>
    <definedName name="abcd" localSheetId="2" hidden="1">[10]노임이!#REF!</definedName>
    <definedName name="abcd" hidden="1">[10]노임이!#REF!</definedName>
    <definedName name="Access_Button" hidden="1">"민족문화관내역_건축__KDF_List"</definedName>
    <definedName name="AccessDatabase" hidden="1">"D:\공무jaje\98년품의-수불\98146.mdb"</definedName>
    <definedName name="ACDA" localSheetId="1" hidden="1">[11]GAEYO!#REF!</definedName>
    <definedName name="ACDA" localSheetId="0" hidden="1">[11]GAEYO!#REF!</definedName>
    <definedName name="ACDA" localSheetId="2" hidden="1">[11]GAEYO!#REF!</definedName>
    <definedName name="ACDA" hidden="1">[11]GAEYO!#REF!</definedName>
    <definedName name="ADC" localSheetId="1" hidden="1">#REF!</definedName>
    <definedName name="ADC" localSheetId="0" hidden="1">#REF!</definedName>
    <definedName name="ADC" localSheetId="2" hidden="1">#REF!</definedName>
    <definedName name="ADC" hidden="1">#REF!</definedName>
    <definedName name="A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nscount" hidden="1">1</definedName>
    <definedName name="aq" localSheetId="0" hidden="1">{#N/A,#N/A,FALSE,"CCTV"}</definedName>
    <definedName name="aq" hidden="1">{#N/A,#N/A,FALSE,"CCTV"}</definedName>
    <definedName name="ASDA" localSheetId="1" hidden="1">#REF!</definedName>
    <definedName name="ASDA" localSheetId="0" hidden="1">#REF!</definedName>
    <definedName name="ASDA" localSheetId="2" hidden="1">#REF!</definedName>
    <definedName name="ASDA" hidden="1">#REF!</definedName>
    <definedName name="asdc" localSheetId="0" hidden="1">{#N/A,#N/A,FALSE,"변경관리예산";#N/A,#N/A,FALSE,"변경장비예산";#N/A,#N/A,FALSE,"변경준설예산";#N/A,#N/A,FALSE,"변경철구예산"}</definedName>
    <definedName name="asdc" hidden="1">{#N/A,#N/A,FALSE,"변경관리예산";#N/A,#N/A,FALSE,"변경장비예산";#N/A,#N/A,FALSE,"변경준설예산";#N/A,#N/A,FALSE,"변경철구예산"}</definedName>
    <definedName name="asdf" localSheetId="0" hidden="1">{#N/A,#N/A,FALSE,"Sheet1"}</definedName>
    <definedName name="asdf" hidden="1">{#N/A,#N/A,FALSE,"Sheet1"}</definedName>
    <definedName name="AS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HJ" localSheetId="0" hidden="1">{#N/A,#N/A,FALSE,"Sheet6"}</definedName>
    <definedName name="BHJ" hidden="1">{#N/A,#N/A,FALSE,"Sheet6"}</definedName>
    <definedName name="BI" localSheetId="0" hidden="1">{#N/A,#N/A,FALSE,"이태원철근"}</definedName>
    <definedName name="BI" hidden="1">{#N/A,#N/A,FALSE,"이태원철근"}</definedName>
    <definedName name="BM" localSheetId="1" hidden="1">#REF!</definedName>
    <definedName name="BM" localSheetId="0" hidden="1">#REF!</definedName>
    <definedName name="BM" localSheetId="2" hidden="1">#REF!</definedName>
    <definedName name="BM" hidden="1">#REF!</definedName>
    <definedName name="BTHRT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THRT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vx" localSheetId="0" hidden="1">{#N/A,#N/A,FALSE,"토공2"}</definedName>
    <definedName name="bvx" hidden="1">{#N/A,#N/A,FALSE,"토공2"}</definedName>
    <definedName name="CC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F요인" localSheetId="1" hidden="1">#REF!</definedName>
    <definedName name="CF요인" localSheetId="0" hidden="1">#REF!</definedName>
    <definedName name="CF요인" localSheetId="2" hidden="1">#REF!</definedName>
    <definedName name="CF요인" hidden="1">#REF!</definedName>
    <definedName name="CH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vc" localSheetId="1" hidden="1">#REF!</definedName>
    <definedName name="cvc" localSheetId="0" hidden="1">#REF!</definedName>
    <definedName name="cvc" localSheetId="2" hidden="1">#REF!</definedName>
    <definedName name="cvc" hidden="1">#REF!</definedName>
    <definedName name="d" localSheetId="0" hidden="1">{#N/A,#N/A,FALSE,"지침";#N/A,#N/A,FALSE,"환경분석";#N/A,#N/A,FALSE,"Sheet16"}</definedName>
    <definedName name="d" hidden="1">{#N/A,#N/A,FALSE,"지침";#N/A,#N/A,FALSE,"환경분석";#N/A,#N/A,FALSE,"Sheet16"}</definedName>
    <definedName name="D021161명지남양주" localSheetId="1" hidden="1">#REF!</definedName>
    <definedName name="D021161명지남양주" localSheetId="0" hidden="1">#REF!</definedName>
    <definedName name="D021161명지남양주" localSheetId="2" hidden="1">#REF!</definedName>
    <definedName name="D021161명지남양주" hidden="1">#REF!</definedName>
    <definedName name="DAS" localSheetId="0" hidden="1">{#N/A,#N/A,FALSE,"지침";#N/A,#N/A,FALSE,"환경분석";#N/A,#N/A,FALSE,"Sheet16"}</definedName>
    <definedName name="DAS" hidden="1">{#N/A,#N/A,FALSE,"지침";#N/A,#N/A,FALSE,"환경분석";#N/A,#N/A,FALSE,"Sheet16"}</definedName>
    <definedName name="dataww" localSheetId="1" hidden="1">#REF!</definedName>
    <definedName name="dataww" localSheetId="0" hidden="1">#REF!</definedName>
    <definedName name="dataww" localSheetId="2" hidden="1">#REF!</definedName>
    <definedName name="dataww" hidden="1">#REF!</definedName>
    <definedName name="dc" localSheetId="0" hidden="1">{#N/A,#N/A,FALSE,"사업총괄";#N/A,#N/A,FALSE,"장비사업";#N/A,#N/A,FALSE,"철구사업";#N/A,#N/A,FALSE,"준설사업"}</definedName>
    <definedName name="dc" hidden="1">{#N/A,#N/A,FALSE,"사업총괄";#N/A,#N/A,FALSE,"장비사업";#N/A,#N/A,FALSE,"철구사업";#N/A,#N/A,FALSE,"준설사업"}</definedName>
    <definedName name="DD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d" localSheetId="0" hidden="1">{#N/A,#N/A,FALSE,"CCTV"}</definedName>
    <definedName name="dddd" hidden="1">{#N/A,#N/A,FALSE,"CCTV"}</definedName>
    <definedName name="ddddd" localSheetId="1" hidden="1">#REF!</definedName>
    <definedName name="ddddd" localSheetId="0" hidden="1">#REF!</definedName>
    <definedName name="ddddd" localSheetId="2" hidden="1">#REF!</definedName>
    <definedName name="ddddd" hidden="1">#REF!</definedName>
    <definedName name="dddddddd" localSheetId="1" hidden="1">#REF!</definedName>
    <definedName name="dddddddd" localSheetId="0" hidden="1">#REF!</definedName>
    <definedName name="dddddddd" localSheetId="2" hidden="1">#REF!</definedName>
    <definedName name="dddddddd" hidden="1">#REF!</definedName>
    <definedName name="DDFR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" localSheetId="1" hidden="1">#REF!</definedName>
    <definedName name="DF" localSheetId="0" hidden="1">#REF!</definedName>
    <definedName name="DF" localSheetId="2" hidden="1">#REF!</definedName>
    <definedName name="DF" hidden="1">#REF!</definedName>
    <definedName name="DFEE" localSheetId="1" hidden="1">#REF!</definedName>
    <definedName name="DFEE" localSheetId="0" hidden="1">#REF!</definedName>
    <definedName name="DFEE" localSheetId="2" hidden="1">#REF!</definedName>
    <definedName name="DFEE" hidden="1">#REF!</definedName>
    <definedName name="DFG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jdlof" localSheetId="0" hidden="1">{#N/A,#N/A,FALSE,"지침";#N/A,#N/A,FALSE,"환경분석";#N/A,#N/A,FALSE,"Sheet16"}</definedName>
    <definedName name="djdlof" hidden="1">{#N/A,#N/A,FALSE,"지침";#N/A,#N/A,FALSE,"환경분석";#N/A,#N/A,FALSE,"Sheet16"}</definedName>
    <definedName name="djnf" localSheetId="0" hidden="1">{#N/A,#N/A,FALSE,"지침";#N/A,#N/A,FALSE,"환경분석";#N/A,#N/A,FALSE,"Sheet16"}</definedName>
    <definedName name="djnf" hidden="1">{#N/A,#N/A,FALSE,"지침";#N/A,#N/A,FALSE,"환경분석";#N/A,#N/A,FALSE,"Sheet16"}</definedName>
    <definedName name="DK" localSheetId="0" hidden="1">{#N/A,#N/A,FALSE,"주간공정";#N/A,#N/A,FALSE,"주간보고";#N/A,#N/A,FALSE,"주간공정표"}</definedName>
    <definedName name="DK" hidden="1">{#N/A,#N/A,FALSE,"주간공정";#N/A,#N/A,FALSE,"주간보고";#N/A,#N/A,FALSE,"주간공정표"}</definedName>
    <definedName name="DKD" localSheetId="0" hidden="1">{#N/A,#N/A,FALSE,"주간공정";#N/A,#N/A,FALSE,"주간보고";#N/A,#N/A,FALSE,"주간공정표"}</definedName>
    <definedName name="DKD" hidden="1">{#N/A,#N/A,FALSE,"주간공정";#N/A,#N/A,FALSE,"주간보고";#N/A,#N/A,FALSE,"주간공정표"}</definedName>
    <definedName name="dkdkjf" localSheetId="1" hidden="1">[12]노임이!#REF!</definedName>
    <definedName name="dkdkjf" localSheetId="0" hidden="1">[12]노임이!#REF!</definedName>
    <definedName name="dkdkjf" localSheetId="2" hidden="1">[12]노임이!#REF!</definedName>
    <definedName name="dkdkjf" hidden="1">[12]노임이!#REF!</definedName>
    <definedName name="DKSG" localSheetId="1" hidden="1">#REF!</definedName>
    <definedName name="DKSG" localSheetId="0" hidden="1">#REF!</definedName>
    <definedName name="DKSG" localSheetId="2" hidden="1">#REF!</definedName>
    <definedName name="DKSG" hidden="1">#REF!</definedName>
    <definedName name="DKSGMLWJD" localSheetId="1" hidden="1">#REF!</definedName>
    <definedName name="DKSGMLWJD" localSheetId="0" hidden="1">#REF!</definedName>
    <definedName name="DKSGMLWJD" localSheetId="2" hidden="1">#REF!</definedName>
    <definedName name="DKSGMLWJD" hidden="1">#REF!</definedName>
    <definedName name="dks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" localSheetId="0" hidden="1">{#N/A,#N/A,FALSE,"예상손익";#N/A,#N/A,FALSE,"관리분석";#N/A,#N/A,FALSE,"장비분석";#N/A,#N/A,FALSE,"준설분석";#N/A,#N/A,FALSE,"철구분석"}</definedName>
    <definedName name="DL" hidden="1">{#N/A,#N/A,FALSE,"예상손익";#N/A,#N/A,FALSE,"관리분석";#N/A,#N/A,FALSE,"장비분석";#N/A,#N/A,FALSE,"준설분석";#N/A,#N/A,FALSE,"철구분석"}</definedName>
    <definedName name="DLD" localSheetId="0" hidden="1">{#N/A,#N/A,FALSE,"주간공정";#N/A,#N/A,FALSE,"주간보고";#N/A,#N/A,FALSE,"주간공정표"}</definedName>
    <definedName name="DLD" hidden="1">{#N/A,#N/A,FALSE,"주간공정";#N/A,#N/A,FALSE,"주간보고";#N/A,#N/A,FALSE,"주간공정표"}</definedName>
    <definedName name="dldld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ld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yddn" localSheetId="0" hidden="1">{"'별표'!$N$220"}</definedName>
    <definedName name="dldyddn" hidden="1">{"'별표'!$N$220"}</definedName>
    <definedName name="dlff" localSheetId="0" hidden="1">{#N/A,#N/A,FALSE,"운반시간"}</definedName>
    <definedName name="dlff" hidden="1">{#N/A,#N/A,FALSE,"운반시간"}</definedName>
    <definedName name="dn" localSheetId="0" hidden="1">{#N/A,#N/A,FALSE,"혼합골재"}</definedName>
    <definedName name="dn" hidden="1">{#N/A,#N/A,FALSE,"혼합골재"}</definedName>
    <definedName name="Dp" localSheetId="1" hidden="1">#REF!</definedName>
    <definedName name="Dp" localSheetId="0" hidden="1">#REF!</definedName>
    <definedName name="Dp" localSheetId="2" hidden="1">#REF!</definedName>
    <definedName name="Dp" hidden="1">#REF!</definedName>
    <definedName name="dsdsd" localSheetId="0" hidden="1">{#N/A,#N/A,FALSE,"운반시간"}</definedName>
    <definedName name="dsdsd" hidden="1">{#N/A,#N/A,FALSE,"운반시간"}</definedName>
    <definedName name="DSFG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G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gfggg" localSheetId="1" hidden="1">#REF!</definedName>
    <definedName name="dsgfggg" localSheetId="0" hidden="1">#REF!</definedName>
    <definedName name="dsgfggg" localSheetId="2" hidden="1">#REF!</definedName>
    <definedName name="dsgfggg" hidden="1">#REF!</definedName>
    <definedName name="dtㅕㅏㅡㅕㅛ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ㅕㅏㅡㅕㅛ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udwhd" localSheetId="0" hidden="1">{#N/A,#N/A,FALSE,"CCTV"}</definedName>
    <definedName name="dudwhd" hidden="1">{#N/A,#N/A,FALSE,"CCTV"}</definedName>
    <definedName name="ED" localSheetId="1" hidden="1">#REF!</definedName>
    <definedName name="ED" localSheetId="0" hidden="1">#REF!</definedName>
    <definedName name="ED" localSheetId="2" hidden="1">#REF!</definedName>
    <definedName name="ED" hidden="1">#REF!</definedName>
    <definedName name="edssqq" localSheetId="0" hidden="1">{#N/A,#N/A,FALSE,"혼합골재"}</definedName>
    <definedName name="edssqq" hidden="1">{#N/A,#N/A,FALSE,"혼합골재"}</definedName>
    <definedName name="ee" localSheetId="0" hidden="1">{#N/A,#N/A,FALSE,"단가표지"}</definedName>
    <definedName name="ee" hidden="1">{#N/A,#N/A,FALSE,"단가표지"}</definedName>
    <definedName name="ee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.송운" localSheetId="0" hidden="1">{#N/A,#N/A,FALSE,"운반시간"}</definedName>
    <definedName name="eee.송운" hidden="1">{#N/A,#N/A,FALSE,"운반시간"}</definedName>
    <definedName name="eeee" localSheetId="0" hidden="1">{#N/A,#N/A,FALSE,"사업총괄";#N/A,#N/A,FALSE,"장비사업";#N/A,#N/A,FALSE,"철구사업";#N/A,#N/A,FALSE,"준설사업"}</definedName>
    <definedName name="eeee" hidden="1">{#N/A,#N/A,FALSE,"사업총괄";#N/A,#N/A,FALSE,"장비사업";#N/A,#N/A,FALSE,"철구사업";#N/A,#N/A,FALSE,"준설사업"}</definedName>
    <definedName name="EII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II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K" localSheetId="1" hidden="1">#REF!</definedName>
    <definedName name="EK" localSheetId="0" hidden="1">#REF!</definedName>
    <definedName name="EK" localSheetId="2" hidden="1">#REF!</definedName>
    <definedName name="EK" hidden="1">#REF!</definedName>
    <definedName name="ELELLELEELE" localSheetId="0" hidden="1">{#N/A,#N/A,FALSE,"주간공정";#N/A,#N/A,FALSE,"주간보고";#N/A,#N/A,FALSE,"주간공정표"}</definedName>
    <definedName name="ELELLELEELE" hidden="1">{#N/A,#N/A,FALSE,"주간공정";#N/A,#N/A,FALSE,"주간보고";#N/A,#N/A,FALSE,"주간공정표"}</definedName>
    <definedName name="en" localSheetId="0" hidden="1">{#N/A,#N/A,FALSE,"변경관리예산";#N/A,#N/A,FALSE,"변경장비예산";#N/A,#N/A,FALSE,"변경준설예산";#N/A,#N/A,FALSE,"변경철구예산"}</definedName>
    <definedName name="en" hidden="1">{#N/A,#N/A,FALSE,"변경관리예산";#N/A,#N/A,FALSE,"변경장비예산";#N/A,#N/A,FALSE,"변경준설예산";#N/A,#N/A,FALSE,"변경철구예산"}</definedName>
    <definedName name="ENJ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otkd" localSheetId="1" hidden="1">#REF!</definedName>
    <definedName name="eotkd" localSheetId="0" hidden="1">#REF!</definedName>
    <definedName name="eotkd" localSheetId="2" hidden="1">#REF!</definedName>
    <definedName name="eotkd" hidden="1">#REF!</definedName>
    <definedName name="ERQ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Q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WE" localSheetId="0" hidden="1">{#N/A,#N/A,FALSE,"Sheet6"}</definedName>
    <definedName name="ETWE" hidden="1">{#N/A,#N/A,FALSE,"Sheet6"}</definedName>
    <definedName name="ETWEGF" localSheetId="0" hidden="1">{#N/A,#N/A,FALSE,"Sheet6"}</definedName>
    <definedName name="ETWEGF" hidden="1">{#N/A,#N/A,FALSE,"Sheet6"}</definedName>
    <definedName name="EW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TWV" localSheetId="0" hidden="1">{#N/A,#N/A,FALSE,"Sheet6"}</definedName>
    <definedName name="EWTWV" hidden="1">{#N/A,#N/A,FALSE,"Sheet6"}</definedName>
    <definedName name="EYITT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YITT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afs" localSheetId="0" hidden="1">{#N/A,#N/A,FALSE,"교리2"}</definedName>
    <definedName name="fafs" hidden="1">{#N/A,#N/A,FALSE,"교리2"}</definedName>
    <definedName name="ff" hidden="1">0</definedName>
    <definedName name="FFF" localSheetId="0" hidden="1">{#N/A,#N/A,FALSE,"교리2"}</definedName>
    <definedName name="FFF" hidden="1">{#N/A,#N/A,FALSE,"교리2"}</definedName>
    <definedName name="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" localSheetId="1" hidden="1">#REF!</definedName>
    <definedName name="fg" localSheetId="0" hidden="1">#REF!</definedName>
    <definedName name="fg" localSheetId="2" hidden="1">#REF!</definedName>
    <definedName name="fg" hidden="1">#REF!</definedName>
    <definedName name="FGASDR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ASDR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ds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jft" localSheetId="0" hidden="1">{#N/A,#N/A,FALSE,"Sheet6"}</definedName>
    <definedName name="fgjft" hidden="1">{#N/A,#N/A,FALSE,"Sheet6"}</definedName>
    <definedName name="fgㅗ" localSheetId="0" hidden="1">{#N/A,#N/A,FALSE,"집계표"}</definedName>
    <definedName name="fgㅗ" hidden="1">{#N/A,#N/A,FALSE,"집계표"}</definedName>
    <definedName name="FKFKFKFKF" localSheetId="0" hidden="1">{#N/A,#N/A,FALSE,"주간공정";#N/A,#N/A,FALSE,"주간보고";#N/A,#N/A,FALSE,"주간공정표"}</definedName>
    <definedName name="FKFKFKFKF" hidden="1">{#N/A,#N/A,FALSE,"주간공정";#N/A,#N/A,FALSE,"주간보고";#N/A,#N/A,FALSE,"주간공정표"}</definedName>
    <definedName name="FKGJASDL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KGJASDL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EMCO" localSheetId="1" hidden="1">#REF!</definedName>
    <definedName name="GEMCO" localSheetId="0" hidden="1">#REF!</definedName>
    <definedName name="GEMCO" localSheetId="2" hidden="1">#REF!</definedName>
    <definedName name="GEMCO" hidden="1">#REF!</definedName>
    <definedName name="GEMCO1" localSheetId="1" hidden="1">#REF!</definedName>
    <definedName name="GEMCO1" localSheetId="0" hidden="1">#REF!</definedName>
    <definedName name="GEMCO1" localSheetId="2" hidden="1">#REF!</definedName>
    <definedName name="GEMCO1" hidden="1">#REF!</definedName>
    <definedName name="gfgdfg" localSheetId="1" hidden="1">[13]차액보증!#REF!</definedName>
    <definedName name="gfgdfg" localSheetId="0" hidden="1">[13]차액보증!#REF!</definedName>
    <definedName name="gfgdfg" localSheetId="2" hidden="1">[13]차액보증!#REF!</definedName>
    <definedName name="gfgdfg" hidden="1">[13]차액보증!#REF!</definedName>
    <definedName name="G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jf" localSheetId="0" hidden="1">{#N/A,#N/A,FALSE,"Sheet6"}</definedName>
    <definedName name="gfjf" hidden="1">{#N/A,#N/A,FALSE,"Sheet6"}</definedName>
    <definedName name="GFㄹ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ㄹ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er" localSheetId="0" hidden="1">{#N/A,#N/A,FALSE,"지침";#N/A,#N/A,FALSE,"환경분석";#N/A,#N/A,FALSE,"Sheet16"}</definedName>
    <definedName name="ggger" hidden="1">{#N/A,#N/A,FALSE,"지침";#N/A,#N/A,FALSE,"환경분석";#N/A,#N/A,FALSE,"Sheet16"}</definedName>
    <definedName name="gggg" localSheetId="0" hidden="1">{#N/A,#N/A,FALSE,"지침";#N/A,#N/A,FALSE,"환경분석";#N/A,#N/A,FALSE,"Sheet16"}</definedName>
    <definedName name="gggg" hidden="1">{#N/A,#N/A,FALSE,"지침";#N/A,#N/A,FALSE,"환경분석";#N/A,#N/A,FALSE,"Sheet16"}</definedName>
    <definedName name="ggggggg" localSheetId="0" hidden="1">{#N/A,#N/A,FALSE,"전력간선"}</definedName>
    <definedName name="ggggggg" hidden="1">{#N/A,#N/A,FALSE,"전력간선"}</definedName>
    <definedName name="GGGT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j" localSheetId="0" hidden="1">{#N/A,#N/A,FALSE,"Sheet6"}</definedName>
    <definedName name="ghfj" hidden="1">{#N/A,#N/A,FALSE,"Sheet6"}</definedName>
    <definedName name="GHFSD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SD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F" localSheetId="0" hidden="1">{#N/A,#N/A,FALSE,"Sheet6"}</definedName>
    <definedName name="GHGF" hidden="1">{#N/A,#N/A,FALSE,"Sheet6"}</definedName>
    <definedName name="GHK" localSheetId="0" hidden="1">{"'용역비'!$A$4:$C$8"}</definedName>
    <definedName name="GHK" hidden="1">{"'용역비'!$A$4:$C$8"}</definedName>
    <definedName name="GHTRH" localSheetId="0" hidden="1">{#N/A,#N/A,FALSE,"Sheet6"}</definedName>
    <definedName name="GHTRH" hidden="1">{#N/A,#N/A,FALSE,"Sheet6"}</definedName>
    <definedName name="GHㅓㅇ허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ㅓㅇ허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MLWD" localSheetId="1" hidden="1">#REF!</definedName>
    <definedName name="GMLWD" localSheetId="0" hidden="1">#REF!</definedName>
    <definedName name="GMLWD" localSheetId="2" hidden="1">#REF!</definedName>
    <definedName name="GMLWD" hidden="1">#REF!</definedName>
    <definedName name="grew" localSheetId="1" hidden="1">#REF!</definedName>
    <definedName name="grew" localSheetId="0" hidden="1">#REF!</definedName>
    <definedName name="grew" localSheetId="2" hidden="1">#REF!</definedName>
    <definedName name="grew" hidden="1">#REF!</definedName>
    <definedName name="gsda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d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ETGS" localSheetId="0" hidden="1">{#N/A,#N/A,FALSE,"Sheet6"}</definedName>
    <definedName name="GSETGS" hidden="1">{#N/A,#N/A,FALSE,"Sheet6"}</definedName>
    <definedName name="gshsdgf" localSheetId="0" hidden="1">{#N/A,#N/A,FALSE,"부대2"}</definedName>
    <definedName name="gshsdgf" hidden="1">{#N/A,#N/A,FALSE,"부대2"}</definedName>
    <definedName name="guo" localSheetId="0" hidden="1">{#N/A,#N/A,FALSE,"Sheet6"}</definedName>
    <definedName name="guo" hidden="1">{#N/A,#N/A,FALSE,"Sheet6"}</definedName>
    <definedName name="GUSTLS" localSheetId="1" hidden="1">#REF!</definedName>
    <definedName name="GUSTLS" localSheetId="0" hidden="1">#REF!</definedName>
    <definedName name="GUSTLS" localSheetId="2" hidden="1">#REF!</definedName>
    <definedName name="GUSTLS" hidden="1">#REF!</definedName>
    <definedName name="ha" localSheetId="0" hidden="1">{#N/A,#N/A,FALSE,"지침";#N/A,#N/A,FALSE,"환경분석";#N/A,#N/A,FALSE,"Sheet16"}</definedName>
    <definedName name="ha" hidden="1">{#N/A,#N/A,FALSE,"지침";#N/A,#N/A,FALSE,"환경분석";#N/A,#N/A,FALSE,"Sheet16"}</definedName>
    <definedName name="han" localSheetId="1" hidden="1">#REF!</definedName>
    <definedName name="han" localSheetId="0" hidden="1">#REF!</definedName>
    <definedName name="han" localSheetId="2" hidden="1">#REF!</definedName>
    <definedName name="han" hidden="1">#REF!</definedName>
    <definedName name="hardwar" localSheetId="1" hidden="1">#REF!</definedName>
    <definedName name="hardwar" localSheetId="0" hidden="1">#REF!</definedName>
    <definedName name="hardwar" localSheetId="2" hidden="1">#REF!</definedName>
    <definedName name="hardwar" hidden="1">#REF!</definedName>
    <definedName name="HARDWAR1" localSheetId="1" hidden="1">#REF!</definedName>
    <definedName name="HARDWAR1" localSheetId="0" hidden="1">#REF!</definedName>
    <definedName name="HARDWAR1" localSheetId="2" hidden="1">#REF!</definedName>
    <definedName name="HARDWAR1" hidden="1">#REF!</definedName>
    <definedName name="hardwar2" localSheetId="1" hidden="1">#REF!</definedName>
    <definedName name="hardwar2" localSheetId="0" hidden="1">#REF!</definedName>
    <definedName name="hardwar2" localSheetId="2" hidden="1">#REF!</definedName>
    <definedName name="hardwar2" hidden="1">#REF!</definedName>
    <definedName name="hdghndgnhg" localSheetId="1" hidden="1">#REF!</definedName>
    <definedName name="hdghndgnhg" localSheetId="0" hidden="1">#REF!</definedName>
    <definedName name="hdghndgnhg" localSheetId="2" hidden="1">#REF!</definedName>
    <definedName name="hdghndgnhg" hidden="1">#REF!</definedName>
    <definedName name="H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j" localSheetId="0" hidden="1">{#N/A,#N/A,FALSE,"Sheet6"}</definedName>
    <definedName name="hgj" hidden="1">{#N/A,#N/A,FALSE,"Sheet6"}</definedName>
    <definedName name="hj" localSheetId="0" hidden="1">{#N/A,#N/A,FALSE,"Sheet6"}</definedName>
    <definedName name="hj" hidden="1">{#N/A,#N/A,FALSE,"Sheet6"}</definedName>
    <definedName name="HTML_CodePage" hidden="1">949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HTR" localSheetId="0" hidden="1">{#N/A,#N/A,FALSE,"이태원철근"}</definedName>
    <definedName name="HTR" hidden="1">{#N/A,#N/A,FALSE,"이태원철근"}</definedName>
    <definedName name="Hㅜㄳㄹ허ㅗ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ㅜㄳㄹ허ㅗ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" localSheetId="0" hidden="1">{#N/A,#N/A,FALSE,"지침";#N/A,#N/A,FALSE,"환경분석";#N/A,#N/A,FALSE,"Sheet16"}</definedName>
    <definedName name="ii" hidden="1">{#N/A,#N/A,FALSE,"지침";#N/A,#N/A,FALSE,"환경분석";#N/A,#N/A,FALSE,"Sheet16"}</definedName>
    <definedName name="iiiiiiiii" localSheetId="0" hidden="1">{#N/A,#N/A,FALSE,"지침";#N/A,#N/A,FALSE,"환경분석";#N/A,#N/A,FALSE,"Sheet16"}</definedName>
    <definedName name="iiiiiiiii" hidden="1">{#N/A,#N/A,FALSE,"지침";#N/A,#N/A,FALSE,"환경분석";#N/A,#N/A,FALSE,"Sheet16"}</definedName>
    <definedName name="IIJELL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0" hidden="1">{#N/A,#N/A,FALSE,"단가표지"}</definedName>
    <definedName name="jjjj" hidden="1">{#N/A,#N/A,FALSE,"단가표지"}</definedName>
    <definedName name="JJSU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tf" localSheetId="1" hidden="1">#REF!</definedName>
    <definedName name="ktf" localSheetId="0" hidden="1">#REF!</definedName>
    <definedName name="ktf" localSheetId="2" hidden="1">#REF!</definedName>
    <definedName name="ktf" hidden="1">#REF!</definedName>
    <definedName name="kty" localSheetId="1" hidden="1">#REF!</definedName>
    <definedName name="kty" localSheetId="0" hidden="1">#REF!</definedName>
    <definedName name="kty" localSheetId="2" hidden="1">#REF!</definedName>
    <definedName name="kty" hidden="1">#REF!</definedName>
    <definedName name="l.w일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.w일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C산출" localSheetId="0" hidden="1">{#N/A,#N/A,FALSE,"사업총괄";#N/A,#N/A,FALSE,"장비사업";#N/A,#N/A,FALSE,"철구사업";#N/A,#N/A,FALSE,"준설사업"}</definedName>
    <definedName name="LC산출" hidden="1">{#N/A,#N/A,FALSE,"사업총괄";#N/A,#N/A,FALSE,"장비사업";#N/A,#N/A,FALSE,"철구사업";#N/A,#N/A,FALSE,"준설사업"}</definedName>
    <definedName name="LIUJHG" localSheetId="1" hidden="1">#REF!</definedName>
    <definedName name="LIUJHG" localSheetId="0" hidden="1">#REF!</definedName>
    <definedName name="LIUJHG" localSheetId="2" hidden="1">#REF!</definedName>
    <definedName name="LIUJHG" hidden="1">#REF!</definedName>
    <definedName name="LJH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j" localSheetId="0" hidden="1">{#N/A,#N/A,FALSE,"표지"}</definedName>
    <definedName name="mj" hidden="1">{#N/A,#N/A,FALSE,"표지"}</definedName>
    <definedName name="MMM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m" localSheetId="0" hidden="1">{#N/A,#N/A,FALSE,"포장단가"}</definedName>
    <definedName name="mmmm" hidden="1">{#N/A,#N/A,FALSE,"포장단가"}</definedName>
    <definedName name="nego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NAME" localSheetId="0" hidden="1">{#N/A,#N/A,FALSE,"CCTV"}</definedName>
    <definedName name="NEWNAME" hidden="1">{#N/A,#N/A,FALSE,"CCTV"}</definedName>
    <definedName name="ocf" localSheetId="1" hidden="1">#REF!</definedName>
    <definedName name="ocf" localSheetId="0" hidden="1">#REF!</definedName>
    <definedName name="ocf" localSheetId="2" hidden="1">#REF!</definedName>
    <definedName name="ocf" hidden="1">#REF!</definedName>
    <definedName name="oiy" localSheetId="0" hidden="1">{#N/A,#N/A,FALSE,"포장2"}</definedName>
    <definedName name="oiy" hidden="1">{#N/A,#N/A,FALSE,"포장2"}</definedName>
    <definedName name="ONP" localSheetId="1" hidden="1">#REF!</definedName>
    <definedName name="ONP" localSheetId="0" hidden="1">#REF!</definedName>
    <definedName name="ONP" localSheetId="2" hidden="1">#REF!</definedName>
    <definedName name="ONP" hidden="1">#REF!</definedName>
    <definedName name="OP" localSheetId="1" hidden="1">#REF!</definedName>
    <definedName name="OP" localSheetId="0" hidden="1">#REF!</definedName>
    <definedName name="OP" localSheetId="2" hidden="1">#REF!</definedName>
    <definedName name="OP" hidden="1">#REF!</definedName>
    <definedName name="opo" localSheetId="0" hidden="1">{#N/A,#N/A,FALSE,"지침";#N/A,#N/A,FALSE,"환경분석";#N/A,#N/A,FALSE,"Sheet16"}</definedName>
    <definedName name="opo" hidden="1">{#N/A,#N/A,FALSE,"지침";#N/A,#N/A,FALSE,"환경분석";#N/A,#N/A,FALSE,"Sheet16"}</definedName>
    <definedName name="order2" hidden="1">0</definedName>
    <definedName name="P.R.D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.R.D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pppp" localSheetId="0" hidden="1">{#N/A,#N/A,FALSE,"지침";#N/A,#N/A,FALSE,"환경분석";#N/A,#N/A,FALSE,"Sheet16"}</definedName>
    <definedName name="ppppp" hidden="1">{#N/A,#N/A,FALSE,"지침";#N/A,#N/A,FALSE,"환경분석";#N/A,#N/A,FALSE,"Sheet16"}</definedName>
    <definedName name="_xlnm.Print_Area" localSheetId="1">' 갑지-1'!$A$1:$M$32</definedName>
    <definedName name="_xlnm.Print_Area" localSheetId="2">상세!$A$1:$O$264</definedName>
    <definedName name="_xlnm.Print_Titles" localSheetId="1">' 갑지-1'!$4:$5</definedName>
    <definedName name="_xlnm.Print_Titles" localSheetId="2">상세!$2:$3</definedName>
    <definedName name="QA" localSheetId="1" hidden="1">#REF!</definedName>
    <definedName name="QA" localSheetId="0" hidden="1">#REF!</definedName>
    <definedName name="QA" localSheetId="2" hidden="1">#REF!</definedName>
    <definedName name="QA" hidden="1">#REF!</definedName>
    <definedName name="QFFGGB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FFGGB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ncjstkdehdwhrud" localSheetId="0" hidden="1">{#N/A,#N/A,TRUE,"1";#N/A,#N/A,TRUE,"2";#N/A,#N/A,TRUE,"3";#N/A,#N/A,TRUE,"4";#N/A,#N/A,TRUE,"5";#N/A,#N/A,TRUE,"6";#N/A,#N/A,TRUE,"7"}</definedName>
    <definedName name="qncjstkdehdwhrud" hidden="1">{#N/A,#N/A,TRUE,"1";#N/A,#N/A,TRUE,"2";#N/A,#N/A,TRUE,"3";#N/A,#N/A,TRUE,"4";#N/A,#N/A,TRUE,"5";#N/A,#N/A,TRUE,"6";#N/A,#N/A,TRUE,"7"}</definedName>
    <definedName name="qor" hidden="1">[14]실행철강하도!$A$1:$A$4</definedName>
    <definedName name="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" localSheetId="0" hidden="1">{#N/A,#N/A,FALSE,"단가표지"}</definedName>
    <definedName name="qw" hidden="1">{#N/A,#N/A,FALSE,"단가표지"}</definedName>
    <definedName name="QW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H" localSheetId="0" hidden="1">{#N/A,#N/A,FALSE,"주간공정";#N/A,#N/A,FALSE,"주간보고";#N/A,#N/A,FALSE,"주간공정표"}</definedName>
    <definedName name="RH" hidden="1">{#N/A,#N/A,FALSE,"주간공정";#N/A,#N/A,FALSE,"주간보고";#N/A,#N/A,FALSE,"주간공정표"}</definedName>
    <definedName name="RJJRJR" localSheetId="0" hidden="1">{#N/A,#N/A,FALSE,"주간공정";#N/A,#N/A,FALSE,"주간보고";#N/A,#N/A,FALSE,"주간공정표"}</definedName>
    <definedName name="RJJRJR" hidden="1">{#N/A,#N/A,FALSE,"주간공정";#N/A,#N/A,FALSE,"주간보고";#N/A,#N/A,FALSE,"주간공정표"}</definedName>
    <definedName name="rkdkd" localSheetId="0" hidden="1">{#N/A,#N/A,FALSE,"2~8번"}</definedName>
    <definedName name="rkdkd" hidden="1">{#N/A,#N/A,FALSE,"2~8번"}</definedName>
    <definedName name="RKRKRKRK" localSheetId="0" hidden="1">{#N/A,#N/A,FALSE,"주간공정";#N/A,#N/A,FALSE,"주간보고";#N/A,#N/A,FALSE,"주간공정표"}</definedName>
    <definedName name="RKRKRKRK" hidden="1">{#N/A,#N/A,FALSE,"주간공정";#N/A,#N/A,FALSE,"주간보고";#N/A,#N/A,FALSE,"주간공정표"}</definedName>
    <definedName name="Royalty" localSheetId="0" hidden="1">{#N/A,#N/A,FALSE,"Sheet1"}</definedName>
    <definedName name="Royalty" hidden="1">{#N/A,#N/A,FALSE,"Sheet1"}</definedName>
    <definedName name="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YU" localSheetId="0" hidden="1">{#N/A,#N/A,FALSE,"현장 NCR 분석";#N/A,#N/A,FALSE,"현장품질감사";#N/A,#N/A,FALSE,"현장품질감사"}</definedName>
    <definedName name="RYU" hidden="1">{#N/A,#N/A,FALSE,"현장 NCR 분석";#N/A,#N/A,FALSE,"현장품질감사";#N/A,#N/A,FALSE,"현장품질감사"}</definedName>
    <definedName name="R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" localSheetId="0" hidden="1">{#N/A,#N/A,FALSE,"사업총괄";#N/A,#N/A,FALSE,"장비사업";#N/A,#N/A,FALSE,"철구사업";#N/A,#N/A,FALSE,"준설사업"}</definedName>
    <definedName name="s" hidden="1">{#N/A,#N/A,FALSE,"사업총괄";#N/A,#N/A,FALSE,"장비사업";#N/A,#N/A,FALSE,"철구사업";#N/A,#N/A,FALSE,"준설사업"}</definedName>
    <definedName name="sae" localSheetId="0" hidden="1">{#N/A,#N/A,TRUE,"TITLE"}</definedName>
    <definedName name="sae" hidden="1">{#N/A,#N/A,TRUE,"TITLE"}</definedName>
    <definedName name="SAF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AF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s" localSheetId="0" hidden="1">{#N/A,#N/A,FALSE,"Sheet1"}</definedName>
    <definedName name="sdas" hidden="1">{#N/A,#N/A,FALSE,"Sheet1"}</definedName>
    <definedName name="SDF" localSheetId="1" hidden="1">#REF!</definedName>
    <definedName name="SDF" localSheetId="0" hidden="1">#REF!</definedName>
    <definedName name="SDF" localSheetId="2" hidden="1">#REF!</definedName>
    <definedName name="SDF" hidden="1">#REF!</definedName>
    <definedName name="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g" localSheetId="1" hidden="1">#REF!</definedName>
    <definedName name="sdg" localSheetId="0" hidden="1">#REF!</definedName>
    <definedName name="sdg" localSheetId="2" hidden="1">#REF!</definedName>
    <definedName name="sdg" hidden="1">#REF!</definedName>
    <definedName name="S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VICE" localSheetId="0" hidden="1">{#N/A,#N/A,FALSE,"이태원철근"}</definedName>
    <definedName name="SERVICE" hidden="1">{#N/A,#N/A,FALSE,"이태원철근"}</definedName>
    <definedName name="sfdgn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100" localSheetId="1" hidden="1">#REF!</definedName>
    <definedName name="SHEET100" localSheetId="0" hidden="1">#REF!</definedName>
    <definedName name="SHEET100" localSheetId="2" hidden="1">#REF!</definedName>
    <definedName name="SHEET100" hidden="1">#REF!</definedName>
    <definedName name="sj" localSheetId="1" hidden="1">#REF!</definedName>
    <definedName name="sj" localSheetId="0" hidden="1">#REF!</definedName>
    <definedName name="sj" localSheetId="2" hidden="1">#REF!</definedName>
    <definedName name="sj" hidden="1">#REF!</definedName>
    <definedName name="skskksksks" localSheetId="0" hidden="1">{#N/A,#N/A,FALSE,"주간공정";#N/A,#N/A,FALSE,"주간보고";#N/A,#N/A,FALSE,"주간공정표"}</definedName>
    <definedName name="skskksksks" hidden="1">{#N/A,#N/A,FALSE,"주간공정";#N/A,#N/A,FALSE,"주간보고";#N/A,#N/A,FALSE,"주간공정표"}</definedName>
    <definedName name="SL" localSheetId="0" hidden="1">{#N/A,#N/A,FALSE,"주간공정";#N/A,#N/A,FALSE,"주간보고";#N/A,#N/A,FALSE,"주간공정표"}</definedName>
    <definedName name="SL" hidden="1">{#N/A,#N/A,FALSE,"주간공정";#N/A,#N/A,FALSE,"주간보고";#N/A,#N/A,FALSE,"주간공정표"}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opt" localSheetId="1" hidden="1">#REF!</definedName>
    <definedName name="solver_opt" localSheetId="0" hidden="1">#REF!</definedName>
    <definedName name="solver_opt" localSheetId="2" hidden="1">#REF!</definedName>
    <definedName name="solver_opt" hidden="1">#REF!</definedName>
    <definedName name="solver_pre" hidden="1">0.000001</definedName>
    <definedName name="solver_rel1" hidden="1">1</definedName>
    <definedName name="solver_rhs1" hidden="1">500000000</definedName>
    <definedName name="solver_scl" hidden="1">2</definedName>
    <definedName name="solver_sho" hidden="1">2</definedName>
    <definedName name="solver_tim" hidden="1">100</definedName>
    <definedName name="solver_tmp" hidden="1">500000000</definedName>
    <definedName name="solver_tol" hidden="1">0.05</definedName>
    <definedName name="solver_typ" hidden="1">1</definedName>
    <definedName name="solver_val" hidden="1">0</definedName>
    <definedName name="srtjuryujr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rtjuryujr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asa" localSheetId="0" hidden="1">{#N/A,#N/A,FALSE,"교리2"}</definedName>
    <definedName name="ssasa" hidden="1">{#N/A,#N/A,FALSE,"교리2"}</definedName>
    <definedName name="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WS" localSheetId="1" hidden="1">#REF!</definedName>
    <definedName name="SWS" localSheetId="0" hidden="1">#REF!</definedName>
    <definedName name="SWS" localSheetId="2" hidden="1">#REF!</definedName>
    <definedName name="SWS" hidden="1">#REF!</definedName>
    <definedName name="swㅗ" localSheetId="0" hidden="1">{#N/A,#N/A,FALSE,"집계표"}</definedName>
    <definedName name="swㅗ" hidden="1">{#N/A,#N/A,FALSE,"집계표"}</definedName>
    <definedName name="TANK" localSheetId="0" hidden="1">{#N/A,#N/A,FALSE,"CCTV"}</definedName>
    <definedName name="TANK" hidden="1">{#N/A,#N/A,FALSE,"CCTV"}</definedName>
    <definedName name="tdrutru" localSheetId="0" hidden="1">{#N/A,#N/A,FALSE,"Sheet6"}</definedName>
    <definedName name="tdrutru" hidden="1">{#N/A,#N/A,FALSE,"Sheet6"}</definedName>
    <definedName name="temporary" localSheetId="0" hidden="1">{#N/A,#N/A,FALSE,"CCTV"}</definedName>
    <definedName name="temporary" hidden="1">{#N/A,#N/A,FALSE,"CCTV"}</definedName>
    <definedName name="tg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g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N" localSheetId="1" hidden="1">#REF!</definedName>
    <definedName name="TN" localSheetId="0" hidden="1">#REF!</definedName>
    <definedName name="TN" localSheetId="2" hidden="1">#REF!</definedName>
    <definedName name="TN" hidden="1">#REF!</definedName>
    <definedName name="tree수정" localSheetId="0" hidden="1">{#N/A,#N/A,FALSE,"지침";#N/A,#N/A,FALSE,"환경분석";#N/A,#N/A,FALSE,"Sheet16"}</definedName>
    <definedName name="tree수정" hidden="1">{#N/A,#N/A,FALSE,"지침";#N/A,#N/A,FALSE,"환경분석";#N/A,#N/A,FALSE,"Sheet16"}</definedName>
    <definedName name="TRHEE" localSheetId="0" hidden="1">{#N/A,#N/A,FALSE,"Sheet6"}</definedName>
    <definedName name="TRHEE" hidden="1">{#N/A,#N/A,FALSE,"Sheet6"}</definedName>
    <definedName name="TR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R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t" localSheetId="0" hidden="1">{#N/A,#N/A,FALSE,"단가표지"}</definedName>
    <definedName name="tt" hidden="1">{#N/A,#N/A,FALSE,"단가표지"}</definedName>
    <definedName name="ttr" localSheetId="0" hidden="1">{#N/A,#N/A,FALSE,"Sheet6"}</definedName>
    <definedName name="ttr" hidden="1">{#N/A,#N/A,FALSE,"Sheet6"}</definedName>
    <definedName name="ttttt" localSheetId="0" hidden="1">{#N/A,#N/A,FALSE,"지침";#N/A,#N/A,FALSE,"환경분석";#N/A,#N/A,FALSE,"Sheet16"}</definedName>
    <definedName name="ttttt" hidden="1">{#N/A,#N/A,FALSE,"지침";#N/A,#N/A,FALSE,"환경분석";#N/A,#N/A,FALSE,"Sheet16"}</definedName>
    <definedName name="TWAHTR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WAHTR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utyui" localSheetId="0" hidden="1">{#N/A,#N/A,FALSE,"Sheet6"}</definedName>
    <definedName name="tyiutyui" hidden="1">{#N/A,#N/A,FALSE,"Sheet6"}</definedName>
    <definedName name="t뎌ㅓㅜㅅㄷ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뎌ㅓㅜㅅㄷ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jdffdf" localSheetId="0" hidden="1">{#N/A,#N/A,FALSE,"단가표지"}</definedName>
    <definedName name="ujdffdf" hidden="1">{#N/A,#N/A,FALSE,"단가표지"}</definedName>
    <definedName name="ukj" localSheetId="0" hidden="1">{#N/A,#N/A,FALSE,"전력간선"}</definedName>
    <definedName name="ukj" hidden="1">{#N/A,#N/A,FALSE,"전력간선"}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" localSheetId="0" hidden="1">{#N/A,#N/A,FALSE,"지침";#N/A,#N/A,FALSE,"환경분석";#N/A,#N/A,FALSE,"Sheet16"}</definedName>
    <definedName name="up" hidden="1">{#N/A,#N/A,FALSE,"지침";#N/A,#N/A,FALSE,"환경분석";#N/A,#N/A,FALSE,"Sheet16"}</definedName>
    <definedName name="uuuu" localSheetId="0" hidden="1">{#N/A,#N/A,FALSE,"단가표지"}</definedName>
    <definedName name="uuuu" hidden="1">{#N/A,#N/A,FALSE,"단가표지"}</definedName>
    <definedName name="UY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eyj" localSheetId="1" hidden="1">#REF!</definedName>
    <definedName name="uyteyj" localSheetId="0" hidden="1">#REF!</definedName>
    <definedName name="uyteyj" localSheetId="2" hidden="1">#REF!</definedName>
    <definedName name="uyteyj" hidden="1">#REF!</definedName>
    <definedName name="VB" localSheetId="0" hidden="1">{#N/A,#N/A,FALSE,"이태원철근"}</definedName>
    <definedName name="VB" hidden="1">{#N/A,#N/A,FALSE,"이태원철근"}</definedName>
    <definedName name="vbnhj" localSheetId="0" hidden="1">{#N/A,#N/A,FALSE,"Sheet6"}</definedName>
    <definedName name="vbnhj" hidden="1">{#N/A,#N/A,FALSE,"Sheet6"}</definedName>
    <definedName name="vcc" localSheetId="0" hidden="1">{#N/A,#N/A,FALSE,"구조1"}</definedName>
    <definedName name="vcc" hidden="1">{#N/A,#N/A,FALSE,"구조1"}</definedName>
    <definedName name="weq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q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err" localSheetId="0" hidden="1">{#N/A,#N/A,FALSE,"운반시간"}</definedName>
    <definedName name="wererr" hidden="1">{#N/A,#N/A,FALSE,"운반시간"}</definedName>
    <definedName name="werewr" localSheetId="0" hidden="1">{#N/A,#N/A,FALSE,"골재소요량";#N/A,#N/A,FALSE,"골재소요량"}</definedName>
    <definedName name="werewr" hidden="1">{#N/A,#N/A,FALSE,"골재소요량";#N/A,#N/A,FALSE,"골재소요량"}</definedName>
    <definedName name="werq" localSheetId="0" hidden="1">{"'별표'!$N$220"}</definedName>
    <definedName name="werq" hidden="1">{"'별표'!$N$220"}</definedName>
    <definedName name="W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lqrp" hidden="1">0</definedName>
    <definedName name="wm.조골재1" localSheetId="0" hidden="1">{#N/A,#N/A,FALSE,"조골재"}</definedName>
    <definedName name="wm.조골재1" hidden="1">{#N/A,#N/A,FALSE,"조골재"}</definedName>
    <definedName name="WPWPPW" localSheetId="0" hidden="1">{#N/A,#N/A,FALSE,"주간공정";#N/A,#N/A,FALSE,"주간보고";#N/A,#N/A,FALSE,"주간공정표"}</definedName>
    <definedName name="WPWPPW" hidden="1">{#N/A,#N/A,FALSE,"주간공정";#N/A,#N/A,FALSE,"주간보고";#N/A,#N/A,FALSE,"주간공정표"}</definedName>
    <definedName name="WQ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R" localSheetId="0" hidden="1">{#N/A,#N/A,FALSE,"Sheet1"}</definedName>
    <definedName name="WQR" hidden="1">{#N/A,#N/A,FALSE,"Sheet1"}</definedName>
    <definedName name="WRITE" localSheetId="0" hidden="1">{#N/A,#N/A,FALSE,"CCTV"}</definedName>
    <definedName name="WRITE" hidden="1">{#N/A,#N/A,FALSE,"CCTV"}</definedName>
    <definedName name="WRM" localSheetId="0" hidden="1">{#N/A,#N/A,FALSE,"전력간선"}</definedName>
    <definedName name="WRM" hidden="1">{#N/A,#N/A,FALSE,"전력간선"}</definedName>
    <definedName name="wrn.0812ESC.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localSheetId="0" hidden="1">{#N/A,#N/A,FALSE,"2~8번"}</definedName>
    <definedName name="wrn.2번." hidden="1">{#N/A,#N/A,FALSE,"2~8번"}</definedName>
    <definedName name="wrn.34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97." localSheetId="0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7년._.사업계획._.및._.예산지침." localSheetId="0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localSheetId="0" hidden="1">{#N/A,#N/A,FALSE,"지침";#N/A,#N/A,FALSE,"환경분석";#N/A,#N/A,FALSE,"Sheet16"}</definedName>
    <definedName name="WRN.98." hidden="1">{#N/A,#N/A,FALSE,"지침";#N/A,#N/A,FALSE,"환경분석";#N/A,#N/A,FALSE,"Sheet16"}</definedName>
    <definedName name="wrn.ac30prn." localSheetId="0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localSheetId="0" hidden="1">{#N/A,#N/A,FALSE,"CCTV"}</definedName>
    <definedName name="wrn.BM." hidden="1">{#N/A,#N/A,FALSE,"CCTV"}</definedName>
    <definedName name="wrn.FIII._.HOOK._.UP._.견적서." localSheetId="0" hidden="1">{#N/A,#N/A,TRUE,"960318-1";#N/A,#N/A,TRUE,"960318-2";#N/A,#N/A,TRUE,"960318-3"}</definedName>
    <definedName name="wrn.FIII._.HOOK._.UP._.견적서." hidden="1">{#N/A,#N/A,TRUE,"960318-1";#N/A,#N/A,TRUE,"960318-2";#N/A,#N/A,TRUE,"960318-3"}</definedName>
    <definedName name="wrn.test1." localSheetId="0" hidden="1">{#N/A,#N/A,FALSE,"명세표"}</definedName>
    <definedName name="wrn.test1." hidden="1">{#N/A,#N/A,FALSE,"명세표"}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고희석." localSheetId="0" hidden="1">{#N/A,#N/A,FALSE,"교리2"}</definedName>
    <definedName name="wrn.고희석." hidden="1">{#N/A,#N/A,FALSE,"교리2"}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기성." localSheetId="0" hidden="1">{#N/A,#N/A,FALSE,"신청통보";#N/A,#N/A,FALSE,"기성확인서";#N/A,#N/A,FALSE,"기성내역서"}</definedName>
    <definedName name="wrn.기성." hidden="1">{#N/A,#N/A,FALSE,"신청통보";#N/A,#N/A,FALSE,"기성확인서";#N/A,#N/A,FALSE,"기성내역서"}</definedName>
    <definedName name="wrn.기초." localSheetId="0" hidden="1">{#N/A,#N/A,FALSE,"터빈집계";#N/A,#N/A,FALSE,"터빈내역";#N/A,#N/A,FALSE,"보일러집계";#N/A,#N/A,FALSE,"보일러내역"}</definedName>
    <definedName name="wrn.기초." hidden="1">{#N/A,#N/A,FALSE,"터빈집계";#N/A,#N/A,FALSE,"터빈내역";#N/A,#N/A,FALSE,"보일러집계";#N/A,#N/A,FALSE,"보일러내역"}</definedName>
    <definedName name="wrn.단가표지." localSheetId="0" hidden="1">{#N/A,#N/A,FALSE,"단가표지"}</definedName>
    <definedName name="wrn.단가표지." hidden="1">{#N/A,#N/A,FALSE,"단가표지"}</definedName>
    <definedName name="wrn.담배인삼공사._.실행품의." localSheetId="0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리스현황." localSheetId="0" hidden="1">{#N/A,#N/A,FALSE,"집계표"}</definedName>
    <definedName name="wrn.리스현황." hidden="1">{#N/A,#N/A,FALSE,"집계표"}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변경예산." localSheetId="0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보일러마감." localSheetId="0" hidden="1">{#N/A,#N/A,FALSE,"물가변동 (2)";#N/A,#N/A,FALSE,"공사비";#N/A,#N/A,FALSE,"사급";#N/A,#N/A,FALSE,"도급집계";#N/A,#N/A,FALSE,"재료비";#N/A,#N/A,FALSE,"노무비";#N/A,#N/A,FALSE,"경비"}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0" hidden="1">{#N/A,#N/A,FALSE,"속도"}</definedName>
    <definedName name="wrn.속도." hidden="1">{#N/A,#N/A,FALSE,"속도"}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localSheetId="0" hidden="1">{#N/A,#N/A,FALSE,"도급대비시행율";#N/A,#N/A,FALSE,"결의서";#N/A,#N/A,FALSE,"내역서";#N/A,#N/A,FALSE,"도급예상"}</definedName>
    <definedName name="wrn.시행결의." hidden="1">{#N/A,#N/A,FALSE,"도급대비시행율";#N/A,#N/A,FALSE,"결의서";#N/A,#N/A,FALSE,"내역서";#N/A,#N/A,FALSE,"도급예상"}</definedName>
    <definedName name="wrn.신용찬." localSheetId="0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실행품의." localSheetId="0" hidden="1">{#N/A,#N/A,FALSE,"갑지";#N/A,#N/A,FALSE,"개요";#N/A,#N/A,FALSE,"비목별";#N/A,#N/A,FALSE,"건물별";#N/A,#N/A,FALSE,"기구표";#N/A,#N/A,FALSE,"직원투입"}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localSheetId="0" hidden="1">{#N/A,#N/A,FALSE,"신청통보";#N/A,#N/A,FALSE,"기성확인서";#N/A,#N/A,FALSE,"기성내역서"}</definedName>
    <definedName name="wrn.외주기성." hidden="1">{#N/A,#N/A,FALSE,"신청통보";#N/A,#N/A,FALSE,"기성확인서";#N/A,#N/A,FALSE,"기성내역서"}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이태원._.철근." localSheetId="0" hidden="1">{#N/A,#N/A,FALSE,"이태원철근"}</definedName>
    <definedName name="wrn.이태원._.철근." hidden="1">{#N/A,#N/A,FALSE,"이태원철근"}</definedName>
    <definedName name="wrn.조골재." localSheetId="0" hidden="1">{#N/A,#N/A,FALSE,"조골재"}</definedName>
    <definedName name="wrn.조골재." hidden="1">{#N/A,#N/A,FALSE,"조골재"}</definedName>
    <definedName name="wrn.종점1" localSheetId="0" hidden="1">{#N/A,#N/A,FALSE,"이정표"}</definedName>
    <definedName name="wrn.종점1" hidden="1">{#N/A,#N/A,FALSE,"이정표"}</definedName>
    <definedName name="wrn.주간보고." localSheetId="0" hidden="1">{#N/A,#N/A,FALSE,"주간공정";#N/A,#N/A,FALSE,"주간보고";#N/A,#N/A,FALSE,"주간공정표"}</definedName>
    <definedName name="wrn.주간보고." hidden="1">{#N/A,#N/A,FALSE,"주간공정";#N/A,#N/A,FALSE,"주간보고";#N/A,#N/A,FALSE,"주간공정표"}</definedName>
    <definedName name="wrn.주보." localSheetId="0" hidden="1">{#N/A,#N/A,TRUE,"TITLE"}</definedName>
    <definedName name="wrn.주보." hidden="1">{#N/A,#N/A,TRUE,"TITLE"}</definedName>
    <definedName name="wrn.진각빌딩." localSheetId="0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집기비품보고서._.품목별._.및._.현장별._.집계표." localSheetId="0" hidden="1">{#N/A,#N/A,FALSE,"Sheet6"}</definedName>
    <definedName name="wrn.집기비품보고서._.품목별._.및._.현장별._.집계표." hidden="1">{#N/A,#N/A,FALSE,"Sheet6"}</definedName>
    <definedName name="wrn.철골집계표._.5칸." localSheetId="0" hidden="1">{#N/A,#N/A,FALSE,"Sheet1"}</definedName>
    <definedName name="wrn.철골집계표._.5칸." hidden="1">{#N/A,#N/A,FALSE,"Sheet1"}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통신지." localSheetId="0" hidden="1">{#N/A,#N/A,FALSE,"기안지";#N/A,#N/A,FALSE,"통신지"}</definedName>
    <definedName name="wrn.통신지." hidden="1">{#N/A,#N/A,FALSE,"기안지";#N/A,#N/A,FALSE,"통신지"}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포장단가." localSheetId="0" hidden="1">{#N/A,#N/A,FALSE,"포장단가"}</definedName>
    <definedName name="wrn.포장단가." hidden="1">{#N/A,#N/A,FALSE,"포장단가"}</definedName>
    <definedName name="wrn.표준공종단가.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." localSheetId="0" hidden="1">{#N/A,#N/A,FALSE,"표지"}</definedName>
    <definedName name="wrn.표지." hidden="1">{#N/A,#N/A,FALSE,"표지"}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rn1.주보1." localSheetId="0" hidden="1">{#N/A,#N/A,TRUE,"TITLE"}</definedName>
    <definedName name="wrn1.주보1." hidden="1">{#N/A,#N/A,TRUE,"TITLE"}</definedName>
    <definedName name="wrn2.주보2." localSheetId="0" hidden="1">{#N/A,#N/A,TRUE,"TITLE"}</definedName>
    <definedName name="wrn2.주보2." hidden="1">{#N/A,#N/A,TRUE,"TITLE"}</definedName>
    <definedName name="wrn2.주보3." localSheetId="0" hidden="1">{#N/A,#N/A,TRUE,"TITLE"}</definedName>
    <definedName name="wrn2.주보3." hidden="1">{#N/A,#N/A,TRUE,"TITLE"}</definedName>
    <definedName name="WR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w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CB" localSheetId="0" hidden="1">{#N/A,#N/A,FALSE,"Sheet6"}</definedName>
    <definedName name="XCB" hidden="1">{#N/A,#N/A,FALSE,"Sheet6"}</definedName>
    <definedName name="xcvc" localSheetId="1" hidden="1">#REF!</definedName>
    <definedName name="xcvc" localSheetId="0" hidden="1">#REF!</definedName>
    <definedName name="xcvc" localSheetId="2" hidden="1">#REF!</definedName>
    <definedName name="xcvc" hidden="1">#REF!</definedName>
    <definedName name="xf" localSheetId="0" hidden="1">{#N/A,#N/A,FALSE,"Sheet6"}</definedName>
    <definedName name="xf" hidden="1">{#N/A,#N/A,FALSE,"Sheet6"}</definedName>
    <definedName name="xmrrlwhrjs" localSheetId="0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x" localSheetId="1" hidden="1">#REF!</definedName>
    <definedName name="xx" localSheetId="0" hidden="1">#REF!</definedName>
    <definedName name="xx" localSheetId="2" hidden="1">#REF!</definedName>
    <definedName name="xx" hidden="1">#REF!</definedName>
    <definedName name="YERU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ERU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u" localSheetId="0" hidden="1">{#N/A,#N/A,FALSE,"Sheet6"}</definedName>
    <definedName name="yu" hidden="1">{#N/A,#N/A,FALSE,"Sheet6"}</definedName>
    <definedName name="yuj" localSheetId="0" hidden="1">{#N/A,#N/A,TRUE,"1";#N/A,#N/A,TRUE,"2";#N/A,#N/A,TRUE,"3";#N/A,#N/A,TRUE,"4";#N/A,#N/A,TRUE,"5";#N/A,#N/A,TRUE,"6";#N/A,#N/A,TRUE,"7"}</definedName>
    <definedName name="yuj" hidden="1">{#N/A,#N/A,TRUE,"1";#N/A,#N/A,TRUE,"2";#N/A,#N/A,TRUE,"3";#N/A,#N/A,TRUE,"4";#N/A,#N/A,TRUE,"5";#N/A,#N/A,TRUE,"6";#N/A,#N/A,TRUE,"7"}</definedName>
    <definedName name="YUTY" localSheetId="0" hidden="1">{#N/A,#N/A,FALSE,"Sheet6"}</definedName>
    <definedName name="YUTY" hidden="1">{#N/A,#N/A,FALSE,"Sheet6"}</definedName>
    <definedName name="yyy" localSheetId="0" hidden="1">{#N/A,#N/A,FALSE,"지침";#N/A,#N/A,FALSE,"환경분석";#N/A,#N/A,FALSE,"Sheet16"}</definedName>
    <definedName name="yyy" hidden="1">{#N/A,#N/A,FALSE,"지침";#N/A,#N/A,FALSE,"환경분석";#N/A,#N/A,FALSE,"Sheet16"}</definedName>
    <definedName name="yyyyy" localSheetId="0" hidden="1">{#N/A,#N/A,FALSE,"이정표"}</definedName>
    <definedName name="yyyyy" hidden="1">{#N/A,#N/A,FALSE,"이정표"}</definedName>
    <definedName name="y거ㅛ거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거ㅛ거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_1F713D72_E6F4_11D3_8E1E_00A0244E179B_.wvu.Cols" localSheetId="1" hidden="1">#REF!</definedName>
    <definedName name="Z_1F713D72_E6F4_11D3_8E1E_00A0244E179B_.wvu.Cols" localSheetId="0" hidden="1">#REF!</definedName>
    <definedName name="Z_1F713D72_E6F4_11D3_8E1E_00A0244E179B_.wvu.Cols" localSheetId="2" hidden="1">#REF!</definedName>
    <definedName name="Z_1F713D72_E6F4_11D3_8E1E_00A0244E179B_.wvu.Cols" hidden="1">#REF!</definedName>
    <definedName name="Z_1F713D72_E6F4_11D3_8E1E_00A0244E179B_.wvu.PrintArea" localSheetId="1" hidden="1">#REF!</definedName>
    <definedName name="Z_1F713D72_E6F4_11D3_8E1E_00A0244E179B_.wvu.PrintArea" localSheetId="0" hidden="1">#REF!</definedName>
    <definedName name="Z_1F713D72_E6F4_11D3_8E1E_00A0244E179B_.wvu.PrintArea" localSheetId="2" hidden="1">#REF!</definedName>
    <definedName name="Z_1F713D72_E6F4_11D3_8E1E_00A0244E179B_.wvu.PrintArea" hidden="1">#REF!</definedName>
    <definedName name="Z_BFEEB821_E6AD_11D3_88E4_00E09870C276_.wvu.PrintArea" localSheetId="1" hidden="1">#REF!</definedName>
    <definedName name="Z_BFEEB821_E6AD_11D3_88E4_00E09870C276_.wvu.PrintArea" localSheetId="0" hidden="1">#REF!</definedName>
    <definedName name="Z_BFEEB821_E6AD_11D3_88E4_00E09870C276_.wvu.PrintArea" localSheetId="2" hidden="1">#REF!</definedName>
    <definedName name="Z_BFEEB821_E6AD_11D3_88E4_00E09870C276_.wvu.PrintArea" hidden="1">#REF!</definedName>
    <definedName name="Z_F6AB6A24_E5D5_11D3_B573_00104BA1686B_.wvu.Cols" localSheetId="1" hidden="1">#REF!,#REF!,#REF!</definedName>
    <definedName name="Z_F6AB6A24_E5D5_11D3_B573_00104BA1686B_.wvu.Cols" localSheetId="0" hidden="1">#REF!,#REF!,#REF!</definedName>
    <definedName name="Z_F6AB6A24_E5D5_11D3_B573_00104BA1686B_.wvu.Cols" localSheetId="2" hidden="1">#REF!,#REF!,#REF!</definedName>
    <definedName name="Z_F6AB6A24_E5D5_11D3_B573_00104BA1686B_.wvu.Cols" hidden="1">#REF!,#REF!,#REF!</definedName>
    <definedName name="za" hidden="1">[15]실행철강하도!$A$1:$A$4</definedName>
    <definedName name="ZGCAGAD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GCAGAD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ㄱㄱ" localSheetId="0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ㄱㄱㄱㄱ" localSheetId="0" hidden="1">{#N/A,#N/A,FALSE,"교리2"}</definedName>
    <definedName name="ㄱㄱㄱㄱㄱ" hidden="1">{#N/A,#N/A,FALSE,"교리2"}</definedName>
    <definedName name="ㄱㄱㄱㅎ" localSheetId="0" hidden="1">{#N/A,#N/A,FALSE,"Sheet6"}</definedName>
    <definedName name="ㄱㄱㄱㅎ" hidden="1">{#N/A,#N/A,FALSE,"Sheet6"}</definedName>
    <definedName name="ㄱㄱ숃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숃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" localSheetId="0" hidden="1">{#N/A,#N/A,FALSE,"Sheet6"}</definedName>
    <definedName name="ㄱㄷㄱ" hidden="1">{#N/A,#N/A,FALSE,"Sheet6"}</definedName>
    <definedName name="ㄱㄷㄱㄷㄱ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ㄷㄱ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ㅅ" localSheetId="0" hidden="1">{#N/A,#N/A,FALSE,"Sheet6"}</definedName>
    <definedName name="ㄱㄷㅅ" hidden="1">{#N/A,#N/A,FALSE,"Sheet6"}</definedName>
    <definedName name="ㄱㄷㅅ히ㅏ" localSheetId="0" hidden="1">{#N/A,#N/A,FALSE,"지침";#N/A,#N/A,FALSE,"환경분석";#N/A,#N/A,FALSE,"Sheet16"}</definedName>
    <definedName name="ㄱㄷㅅ히ㅏ" hidden="1">{#N/A,#N/A,FALSE,"지침";#N/A,#N/A,FALSE,"환경분석";#N/A,#N/A,FALSE,"Sheet16"}</definedName>
    <definedName name="ㄱㄷㅈㄱㄷㅈㄱㅈㄷ" localSheetId="0" hidden="1">{#N/A,#N/A,FALSE,"혼합골재"}</definedName>
    <definedName name="ㄱㄷㅈㄱㄷㅈㄱㅈㄷ" hidden="1">{#N/A,#N/A,FALSE,"혼합골재"}</definedName>
    <definedName name="ㄱ둊셔교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둊셔교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ㄹ홍ㄱ호" localSheetId="0" hidden="1">{#N/A,#N/A,FALSE,"Sheet6"}</definedName>
    <definedName name="ㄱㄹ홍ㄱ호" hidden="1">{#N/A,#N/A,FALSE,"Sheet6"}</definedName>
    <definedName name="ㄱ려ㅓㅛ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려ㅓㅛ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ㅇ" localSheetId="0" hidden="1">{#N/A,#N/A,FALSE,"집계표"}</definedName>
    <definedName name="ㄱ서ㅗㅇ" hidden="1">{#N/A,#N/A,FALSE,"집계표"}</definedName>
    <definedName name="ㄱ서ㅗ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솧" localSheetId="0" hidden="1">{#N/A,#N/A,FALSE,"집계표"}</definedName>
    <definedName name="ㄱ솧" hidden="1">{#N/A,#N/A,FALSE,"집계표"}</definedName>
    <definedName name="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쇽" localSheetId="0" hidden="1">{#N/A,#N/A,FALSE,"Sheet6"}</definedName>
    <definedName name="ㄱ쇽" hidden="1">{#N/A,#N/A,FALSE,"Sheet6"}</definedName>
    <definedName name="ㄱㅈ셪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셪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ㅎ" localSheetId="1" hidden="1">#REF!</definedName>
    <definedName name="ㄱㅈㅎ" localSheetId="0" hidden="1">#REF!</definedName>
    <definedName name="ㄱㅈㅎ" localSheetId="2" hidden="1">#REF!</definedName>
    <definedName name="ㄱㅈㅎ" hidden="1">#REF!</definedName>
    <definedName name="ㄱ젖굑고고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젖굑고고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홍" localSheetId="0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ㄱ효ㅕ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효ㅕ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로등" localSheetId="0" hidden="1">{#N/A,#N/A,FALSE,"전력간선"}</definedName>
    <definedName name="가로등" hidden="1">{#N/A,#N/A,FALSE,"전력간선"}</definedName>
    <definedName name="가리" localSheetId="1" hidden="1">[12]노임이!#REF!</definedName>
    <definedName name="가리" localSheetId="0" hidden="1">[12]노임이!#REF!</definedName>
    <definedName name="가리" localSheetId="2" hidden="1">[12]노임이!#REF!</definedName>
    <definedName name="가리" hidden="1">[12]노임이!#REF!</definedName>
    <definedName name="가설건물면적산정" localSheetId="0" hidden="1">{#N/A,#N/A,FALSE,"사업총괄";#N/A,#N/A,FALSE,"장비사업";#N/A,#N/A,FALSE,"철구사업";#N/A,#N/A,FALSE,"준설사업"}</definedName>
    <definedName name="가설건물면적산정" hidden="1">{#N/A,#N/A,FALSE,"사업총괄";#N/A,#N/A,FALSE,"장비사업";#N/A,#N/A,FALSE,"철구사업";#N/A,#N/A,FALSE,"준설사업"}</definedName>
    <definedName name="가실행1" localSheetId="0" hidden="1">{#N/A,#N/A,FALSE,"배수1"}</definedName>
    <definedName name="가실행1" hidden="1">{#N/A,#N/A,FALSE,"배수1"}</definedName>
    <definedName name="가재가시설" localSheetId="0" hidden="1">{#N/A,#N/A,FALSE,"Sheet6"}</definedName>
    <definedName name="가재가시설" hidden="1">{#N/A,#N/A,FALSE,"Sheet6"}</definedName>
    <definedName name="간접비" localSheetId="0" hidden="1">{#N/A,#N/A,FALSE,"갑지";#N/A,#N/A,FALSE,"개요";#N/A,#N/A,FALSE,"비목별";#N/A,#N/A,FALSE,"건물별";#N/A,#N/A,FALSE,"기구표";#N/A,#N/A,FALSE,"직원투입"}</definedName>
    <definedName name="간접비" hidden="1">{#N/A,#N/A,FALSE,"갑지";#N/A,#N/A,FALSE,"개요";#N/A,#N/A,FALSE,"비목별";#N/A,#N/A,FALSE,"건물별";#N/A,#N/A,FALSE,"기구표";#N/A,#N/A,FALSE,"직원투입"}</definedName>
    <definedName name="간접비1" localSheetId="0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감리상주" localSheetId="0" hidden="1">{#N/A,#N/A,FALSE,"지침";#N/A,#N/A,FALSE,"환경분석";#N/A,#N/A,FALSE,"Sheet16"}</definedName>
    <definedName name="감리상주" hidden="1">{#N/A,#N/A,FALSE,"지침";#N/A,#N/A,FALSE,"환경분석";#N/A,#N/A,FALSE,"Sheet16"}</definedName>
    <definedName name="감복만" localSheetId="0" hidden="1">{#N/A,#N/A,FALSE,"교리2"}</definedName>
    <definedName name="감복만" hidden="1">{#N/A,#N/A,FALSE,"교리2"}</definedName>
    <definedName name="감승주" localSheetId="0" hidden="1">{#N/A,#N/A,FALSE,"교리2"}</definedName>
    <definedName name="감승주" hidden="1">{#N/A,#N/A,FALSE,"교리2"}</definedName>
    <definedName name="강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교" localSheetId="0" hidden="1">{#N/A,#N/A,FALSE,"포장2"}</definedName>
    <definedName name="강교" hidden="1">{#N/A,#N/A,FALSE,"포장2"}</definedName>
    <definedName name="강구조물" localSheetId="0" hidden="1">{#N/A,#N/A,FALSE,"포장1";#N/A,#N/A,FALSE,"포장1"}</definedName>
    <definedName name="강구조물" hidden="1">{#N/A,#N/A,FALSE,"포장1";#N/A,#N/A,FALSE,"포장1"}</definedName>
    <definedName name="강릉교동" localSheetId="1" hidden="1">#REF!</definedName>
    <definedName name="강릉교동" localSheetId="0" hidden="1">#REF!</definedName>
    <definedName name="강릉교동" localSheetId="2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localSheetId="2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localSheetId="2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localSheetId="2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localSheetId="2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localSheetId="2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localSheetId="2" hidden="1">#REF!</definedName>
    <definedName name="강릉토목임" hidden="1">#REF!</definedName>
    <definedName name="강봉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봉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개산견적" localSheetId="0" hidden="1">{#N/A,#N/A,FALSE,"갑지";#N/A,#N/A,FALSE,"개요";#N/A,#N/A,FALSE,"비목별";#N/A,#N/A,FALSE,"건물별";#N/A,#N/A,FALSE,"기구표";#N/A,#N/A,FALSE,"직원투입"}</definedName>
    <definedName name="개산견적" hidden="1">{#N/A,#N/A,FALSE,"갑지";#N/A,#N/A,FALSE,"개요";#N/A,#N/A,FALSE,"비목별";#N/A,#N/A,FALSE,"건물별";#N/A,#N/A,FALSE,"기구표";#N/A,#N/A,FALSE,"직원투입"}</definedName>
    <definedName name="갸" localSheetId="0" hidden="1">{#N/A,#N/A,FALSE,"예상손익";#N/A,#N/A,FALSE,"관리분석";#N/A,#N/A,FALSE,"장비분석";#N/A,#N/A,FALSE,"준설분석";#N/A,#N/A,FALSE,"철구분석"}</definedName>
    <definedName name="갸" hidden="1">{#N/A,#N/A,FALSE,"예상손익";#N/A,#N/A,FALSE,"관리분석";#N/A,#N/A,FALSE,"장비분석";#N/A,#N/A,FALSE,"준설분석";#N/A,#N/A,FALSE,"철구분석"}</definedName>
    <definedName name="거소" localSheetId="0" hidden="1">{#N/A,#N/A,FALSE,"집계표"}</definedName>
    <definedName name="거소" hidden="1">{#N/A,#N/A,FALSE,"집계표"}</definedName>
    <definedName name="건" localSheetId="0" hidden="1">{#N/A,#N/A,FALSE,"기안지";#N/A,#N/A,FALSE,"통신지"}</definedName>
    <definedName name="건" hidden="1">{#N/A,#N/A,FALSE,"기안지";#N/A,#N/A,FALSE,"통신지"}</definedName>
    <definedName name="건축가실" localSheetId="1" hidden="1">#REF!</definedName>
    <definedName name="건축가실" localSheetId="0" hidden="1">#REF!</definedName>
    <definedName name="건축가실" localSheetId="2" hidden="1">#REF!</definedName>
    <definedName name="건축가실" hidden="1">#REF!</definedName>
    <definedName name="건축내역2" localSheetId="0" hidden="1">{#N/A,#N/A,FALSE,"기안지";#N/A,#N/A,FALSE,"통신지"}</definedName>
    <definedName name="건축내역2" hidden="1">{#N/A,#N/A,FALSE,"기안지";#N/A,#N/A,FALSE,"통신지"}</definedName>
    <definedName name="건축비목집계" localSheetId="0" hidden="1">{#N/A,#N/A,FALSE,"표지"}</definedName>
    <definedName name="건축비목집계" hidden="1">{#N/A,#N/A,FALSE,"표지"}</definedName>
    <definedName name="건축원가" hidden="1">[16]전기!$B$4:$B$163</definedName>
    <definedName name="건축토공" localSheetId="0" hidden="1">{#N/A,#N/A,FALSE,"기안지";#N/A,#N/A,FALSE,"통신지"}</definedName>
    <definedName name="건축토공" hidden="1">{#N/A,#N/A,FALSE,"기안지";#N/A,#N/A,FALSE,"통신지"}</definedName>
    <definedName name="건축토공2" localSheetId="0" hidden="1">{#N/A,#N/A,FALSE,"기안지";#N/A,#N/A,FALSE,"통신지"}</definedName>
    <definedName name="건축토공2" hidden="1">{#N/A,#N/A,FALSE,"기안지";#N/A,#N/A,FALSE,"통신지"}</definedName>
    <definedName name="건축팀별" localSheetId="0" hidden="1">{#N/A,#N/A,FALSE,"지침";#N/A,#N/A,FALSE,"환경분석";#N/A,#N/A,FALSE,"Sheet16"}</definedName>
    <definedName name="건축팀별" hidden="1">{#N/A,#N/A,FALSE,"지침";#N/A,#N/A,FALSE,"환경분석";#N/A,#N/A,FALSE,"Sheet16"}</definedName>
    <definedName name="검ㄴ" localSheetId="0" hidden="1">{#N/A,#N/A,FALSE,"이정표"}</definedName>
    <definedName name="검ㄴ" hidden="1">{#N/A,#N/A,FALSE,"이정표"}</definedName>
    <definedName name="견본갑을" localSheetId="0" hidden="1">{#N/A,#N/A,FALSE,"Sheet1"}</definedName>
    <definedName name="견본갑을" hidden="1">{#N/A,#N/A,FALSE,"Sheet1"}</definedName>
    <definedName name="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SHEET" localSheetId="0" hidden="1">{#N/A,#N/A,FALSE,"CCTV"}</definedName>
    <definedName name="견적SHEET" hidden="1">{#N/A,#N/A,FALSE,"CCTV"}</definedName>
    <definedName name="견적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내역" localSheetId="0" hidden="1">{#N/A,#N/A,FALSE,"CCTV"}</definedName>
    <definedName name="견적내역" hidden="1">{#N/A,#N/A,FALSE,"CCTV"}</definedName>
    <definedName name="견적대비" localSheetId="0" hidden="1">{#N/A,#N/A,FALSE,"포장2"}</definedName>
    <definedName name="견적대비" hidden="1">{#N/A,#N/A,FALSE,"포장2"}</definedName>
    <definedName name="견적대비표" localSheetId="1" hidden="1">#REF!</definedName>
    <definedName name="견적대비표" localSheetId="0" hidden="1">#REF!</definedName>
    <definedName name="견적대비표" localSheetId="2" hidden="1">#REF!</definedName>
    <definedName name="견적대비표" hidden="1">#REF!</definedName>
    <definedName name="견적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조건" localSheetId="0" hidden="1">{#N/A,#N/A,FALSE,"CCTV"}</definedName>
    <definedName name="견적조건" hidden="1">{#N/A,#N/A,FALSE,"CCTV"}</definedName>
    <definedName name="견적조건8" localSheetId="0" hidden="1">{#N/A,#N/A,FALSE,"CCTV"}</definedName>
    <definedName name="견적조건8" hidden="1">{#N/A,#N/A,FALSE,"CCTV"}</definedName>
    <definedName name="결" localSheetId="0" hidden="1">{#N/A,#N/A,FALSE,"포장2"}</definedName>
    <definedName name="결" hidden="1">{#N/A,#N/A,FALSE,"포장2"}</definedName>
    <definedName name="결과" localSheetId="0" hidden="1">{#N/A,#N/A,FALSE,"포장2"}</definedName>
    <definedName name="결과" hidden="1">{#N/A,#N/A,FALSE,"포장2"}</definedName>
    <definedName name="경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비1" localSheetId="1" hidden="1">#REF!</definedName>
    <definedName name="경비1" localSheetId="0" hidden="1">#REF!</definedName>
    <definedName name="경비1" localSheetId="2" hidden="1">#REF!</definedName>
    <definedName name="경비1" hidden="1">#REF!</definedName>
    <definedName name="경수" localSheetId="0" hidden="1">{#N/A,#N/A,FALSE,"도급대비시행율";#N/A,#N/A,FALSE,"결의서";#N/A,#N/A,FALSE,"내역서";#N/A,#N/A,FALSE,"도급예상"}</definedName>
    <definedName name="경수" hidden="1">{#N/A,#N/A,FALSE,"도급대비시행율";#N/A,#N/A,FALSE,"결의서";#N/A,#N/A,FALSE,"내역서";#N/A,#N/A,FALSE,"도급예상"}</definedName>
    <definedName name="경수을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계수" localSheetId="0" hidden="1">{#N/A,#N/A,FALSE,"지침";#N/A,#N/A,FALSE,"환경분석";#N/A,#N/A,FALSE,"Sheet16"}</definedName>
    <definedName name="계수" hidden="1">{#N/A,#N/A,FALSE,"지침";#N/A,#N/A,FALSE,"환경분석";#N/A,#N/A,FALSE,"Sheet16"}</definedName>
    <definedName name="계약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의뢰" localSheetId="1" hidden="1">[17]프랜트면허!#REF!</definedName>
    <definedName name="계약의뢰" localSheetId="0" hidden="1">[17]프랜트면허!#REF!</definedName>
    <definedName name="계약의뢰" localSheetId="2" hidden="1">[17]프랜트면허!#REF!</definedName>
    <definedName name="계약의뢰" hidden="1">[17]프랜트면허!#REF!</definedName>
    <definedName name="계전2" localSheetId="1" hidden="1">#REF!</definedName>
    <definedName name="계전2" localSheetId="0" hidden="1">#REF!</definedName>
    <definedName name="계전2" localSheetId="2" hidden="1">#REF!</definedName>
    <definedName name="계전2" hidden="1">#REF!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localSheetId="0" hidden="1">{#N/A,#N/A,FALSE,"조골재"}</definedName>
    <definedName name="고" hidden="1">{#N/A,#N/A,FALSE,"조골재"}</definedName>
    <definedName name="곤ㅇ" localSheetId="0" hidden="1">{#N/A,#N/A,FALSE,"전력간선"}</definedName>
    <definedName name="곤ㅇ" hidden="1">{#N/A,#N/A,FALSE,"전력간선"}</definedName>
    <definedName name="곧ㄱ" localSheetId="0" hidden="1">{#N/A,#N/A,FALSE,"Sheet6"}</definedName>
    <definedName name="곧ㄱ" hidden="1">{#N/A,#N/A,FALSE,"Sheet6"}</definedName>
    <definedName name="골조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골조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곰" localSheetId="0" hidden="1">{#N/A,#N/A,FALSE,"구조1"}</definedName>
    <definedName name="곰" hidden="1">{#N/A,#N/A,FALSE,"구조1"}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1" localSheetId="1" hidden="1">[18]설계내역서!#REF!</definedName>
    <definedName name="공기1" localSheetId="0" hidden="1">[18]설계내역서!#REF!</definedName>
    <definedName name="공기1" localSheetId="2" hidden="1">[18]설계내역서!#REF!</definedName>
    <definedName name="공기1" hidden="1">[18]설계내역서!#REF!</definedName>
    <definedName name="공내역ㅇ" localSheetId="0" hidden="1">{#N/A,#N/A,FALSE,"Sheet6"}</definedName>
    <definedName name="공내역ㅇ" hidden="1">{#N/A,#N/A,FALSE,"Sheet6"}</definedName>
    <definedName name="공동구토공" localSheetId="0" hidden="1">{#N/A,#N/A,FALSE,"기안지";#N/A,#N/A,FALSE,"통신지"}</definedName>
    <definedName name="공동구토공" hidden="1">{#N/A,#N/A,FALSE,"기안지";#N/A,#N/A,FALSE,"통신지"}</definedName>
    <definedName name="공동구토공2" localSheetId="0" hidden="1">{#N/A,#N/A,FALSE,"기안지";#N/A,#N/A,FALSE,"통신지"}</definedName>
    <definedName name="공동구토공2" hidden="1">{#N/A,#N/A,FALSE,"기안지";#N/A,#N/A,FALSE,"통신지"}</definedName>
    <definedName name="공사원가계산서" localSheetId="0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공양식" localSheetId="0" hidden="1">{#N/A,#N/A,FALSE,"교리2"}</definedName>
    <definedName name="공양식" hidden="1">{#N/A,#N/A,FALSE,"교리2"}</definedName>
    <definedName name="공원등기초" localSheetId="0" hidden="1">{#N/A,#N/A,FALSE,"골재소요량";#N/A,#N/A,FALSE,"골재소요량"}</definedName>
    <definedName name="공원등기초" hidden="1">{#N/A,#N/A,FALSE,"골재소요량";#N/A,#N/A,FALSE,"골재소요량"}</definedName>
    <definedName name="공통가설현장" localSheetId="1" hidden="1">#REF!</definedName>
    <definedName name="공통가설현장" localSheetId="0" hidden="1">#REF!</definedName>
    <definedName name="공통가설현장" localSheetId="2" hidden="1">#REF!</definedName>
    <definedName name="공통가설현장" hidden="1">#REF!</definedName>
    <definedName name="공통비" localSheetId="1" hidden="1">[19]유림골조!#REF!</definedName>
    <definedName name="공통비" localSheetId="0" hidden="1">[19]유림골조!#REF!</definedName>
    <definedName name="공통비" localSheetId="2" hidden="1">[19]유림골조!#REF!</definedName>
    <definedName name="공통비" hidden="1">[19]유림골조!#REF!</definedName>
    <definedName name="관리" localSheetId="0" hidden="1">{#N/A,#N/A,FALSE,"포장2"}</definedName>
    <definedName name="관리" hidden="1">{#N/A,#N/A,FALSE,"포장2"}</definedName>
    <definedName name="관리비2" localSheetId="0" hidden="1">{#N/A,#N/A,FALSE,"갑지";#N/A,#N/A,FALSE,"개요";#N/A,#N/A,FALSE,"비목별";#N/A,#N/A,FALSE,"건물별";#N/A,#N/A,FALSE,"기구표";#N/A,#N/A,FALSE,"직원투입"}</definedName>
    <definedName name="관리비2" hidden="1">{#N/A,#N/A,FALSE,"갑지";#N/A,#N/A,FALSE,"개요";#N/A,#N/A,FALSE,"비목별";#N/A,#N/A,FALSE,"건물별";#N/A,#N/A,FALSE,"기구표";#N/A,#N/A,FALSE,"직원투입"}</definedName>
    <definedName name="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동토" localSheetId="1" hidden="1">#REF!</definedName>
    <definedName name="교동토" localSheetId="0" hidden="1">#REF!</definedName>
    <definedName name="교동토" localSheetId="2" hidden="1">#REF!</definedName>
    <definedName name="교동토" hidden="1">#REF!</definedName>
    <definedName name="교동토목공사" localSheetId="0" hidden="1">{#N/A,#N/A,FALSE,"이태원철근"}</definedName>
    <definedName name="교동토목공사" hidden="1">{#N/A,#N/A,FALSE,"이태원철근"}</definedName>
    <definedName name="교저ㅕㅛㅈㄷㅈ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저ㅕㅛㅈㄷㅈ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좌" localSheetId="0" hidden="1">{#N/A,#N/A,FALSE,"포장2"}</definedName>
    <definedName name="교좌" hidden="1">{#N/A,#N/A,FALSE,"포장2"}</definedName>
    <definedName name="교ㅑㅐㅐㅑ겨ㅔ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ㅑㅐㅐㅑ겨ㅔ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굗ㄱ" localSheetId="0" hidden="1">{#N/A,#N/A,FALSE,"Sheet6"}</definedName>
    <definedName name="굗ㄱ" hidden="1">{#N/A,#N/A,FALSE,"Sheet6"}</definedName>
    <definedName name="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구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본" localSheetId="0" hidden="1">{#N/A,#N/A,FALSE,"Sheet6"}</definedName>
    <definedName name="구본" hidden="1">{#N/A,#N/A,FALSE,"Sheet6"}</definedName>
    <definedName name="구산갑지" localSheetId="1" hidden="1">#REF!</definedName>
    <definedName name="구산갑지" localSheetId="0" hidden="1">#REF!</definedName>
    <definedName name="구산갑지" localSheetId="2" hidden="1">#REF!</definedName>
    <definedName name="구산갑지" hidden="1">#REF!</definedName>
    <definedName name="구자관" localSheetId="0" hidden="1">{#N/A,#N/A,FALSE,"신청통보";#N/A,#N/A,FALSE,"기성확인서";#N/A,#N/A,FALSE,"기성내역서"}</definedName>
    <definedName name="구자관" hidden="1">{#N/A,#N/A,FALSE,"신청통보";#N/A,#N/A,FALSE,"기성확인서";#N/A,#N/A,FALSE,"기성내역서"}</definedName>
    <definedName name="권대협" localSheetId="0" hidden="1">{#N/A,#N/A,FALSE,"CCTV"}</definedName>
    <definedName name="권대협" hidden="1">{#N/A,#N/A,FALSE,"CCTV"}</definedName>
    <definedName name="균" localSheetId="0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0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근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광추정" localSheetId="0" hidden="1">{#N/A,#N/A,FALSE,"포장2"}</definedName>
    <definedName name="금광추정" hidden="1">{#N/A,#N/A,FALSE,"포장2"}</definedName>
    <definedName name="금속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속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게실" localSheetId="0" hidden="1">{#N/A,#N/A,FALSE,"지침";#N/A,#N/A,FALSE,"환경분석";#N/A,#N/A,FALSE,"Sheet16"}</definedName>
    <definedName name="기게실" hidden="1">{#N/A,#N/A,FALSE,"지침";#N/A,#N/A,FALSE,"환경분석";#N/A,#N/A,FALSE,"Sheet16"}</definedName>
    <definedName name="기공" localSheetId="1" hidden="1">[20]노임이!#REF!</definedName>
    <definedName name="기공" localSheetId="0" hidden="1">[20]노임이!#REF!</definedName>
    <definedName name="기공" localSheetId="2" hidden="1">[20]노임이!#REF!</definedName>
    <definedName name="기공" hidden="1">[20]노임이!#REF!</definedName>
    <definedName name="기구본사" localSheetId="0" hidden="1">{#N/A,#N/A,FALSE,"갑지";#N/A,#N/A,FALSE,"개요";#N/A,#N/A,FALSE,"비목별";#N/A,#N/A,FALSE,"건물별";#N/A,#N/A,FALSE,"기구표";#N/A,#N/A,FALSE,"직원투입"}</definedName>
    <definedName name="기구본사" hidden="1">{#N/A,#N/A,FALSE,"갑지";#N/A,#N/A,FALSE,"개요";#N/A,#N/A,FALSE,"비목별";#N/A,#N/A,FALSE,"건물별";#N/A,#N/A,FALSE,"기구표";#N/A,#N/A,FALSE,"직원투입"}</definedName>
    <definedName name="기구조직표" localSheetId="0" hidden="1">{#N/A,#N/A,FALSE,"갑지";#N/A,#N/A,FALSE,"개요";#N/A,#N/A,FALSE,"비목별";#N/A,#N/A,FALSE,"건물별";#N/A,#N/A,FALSE,"기구표";#N/A,#N/A,FALSE,"직원투입"}</definedName>
    <definedName name="기구조직표" hidden="1">{#N/A,#N/A,FALSE,"갑지";#N/A,#N/A,FALSE,"개요";#N/A,#N/A,FALSE,"비목별";#N/A,#N/A,FALSE,"건물별";#N/A,#N/A,FALSE,"기구표";#N/A,#N/A,FALSE,"직원투입"}</definedName>
    <definedName name="기구표2" localSheetId="0" hidden="1">{#N/A,#N/A,FALSE,"갑지";#N/A,#N/A,FALSE,"개요";#N/A,#N/A,FALSE,"비목별";#N/A,#N/A,FALSE,"건물별";#N/A,#N/A,FALSE,"기구표";#N/A,#N/A,FALSE,"직원투입"}</definedName>
    <definedName name="기구표2" hidden="1">{#N/A,#N/A,FALSE,"갑지";#N/A,#N/A,FALSE,"개요";#N/A,#N/A,FALSE,"비목별";#N/A,#N/A,FALSE,"건물별";#N/A,#N/A,FALSE,"기구표";#N/A,#N/A,FALSE,"직원투입"}</definedName>
    <definedName name="기기기" localSheetId="1" hidden="1">#REF!</definedName>
    <definedName name="기기기" localSheetId="0" hidden="1">#REF!</definedName>
    <definedName name="기기기" localSheetId="2" hidden="1">#REF!</definedName>
    <definedName name="기기기" hidden="1">#REF!</definedName>
    <definedName name="기성3" localSheetId="0" hidden="1">{#N/A,#N/A,FALSE,"CCTV"}</definedName>
    <definedName name="기성3" hidden="1">{#N/A,#N/A,FALSE,"CCTV"}</definedName>
    <definedName name="기성갑" localSheetId="1" hidden="1">#REF!</definedName>
    <definedName name="기성갑" localSheetId="0" hidden="1">#REF!</definedName>
    <definedName name="기성갑" localSheetId="2" hidden="1">#REF!</definedName>
    <definedName name="기성갑" hidden="1">#REF!</definedName>
    <definedName name="기술" localSheetId="0" hidden="1">{#N/A,#N/A,FALSE,"부대1"}</definedName>
    <definedName name="기술" hidden="1">{#N/A,#N/A,FALSE,"부대1"}</definedName>
    <definedName name="기준일" localSheetId="0" hidden="1">{#N/A,#N/A,FALSE,"지침";#N/A,#N/A,FALSE,"환경분석";#N/A,#N/A,FALSE,"Sheet16"}</definedName>
    <definedName name="기준일" hidden="1">{#N/A,#N/A,FALSE,"지침";#N/A,#N/A,FALSE,"환경분석";#N/A,#N/A,FALSE,"Sheet16"}</definedName>
    <definedName name="길화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localSheetId="0" hidden="1">{#N/A,#N/A,FALSE,"도급대비시행율";#N/A,#N/A,FALSE,"결의서";#N/A,#N/A,FALSE,"내역서";#N/A,#N/A,FALSE,"도급예상"}</definedName>
    <definedName name="길화건" hidden="1">{#N/A,#N/A,FALSE,"도급대비시행율";#N/A,#N/A,FALSE,"결의서";#N/A,#N/A,FALSE,"내역서";#N/A,#N/A,FALSE,"도급예상"}</definedName>
    <definedName name="길화건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localSheetId="1" hidden="1">#REF!</definedName>
    <definedName name="김" localSheetId="0" hidden="1">#REF!</definedName>
    <definedName name="김" localSheetId="2" hidden="1">#REF!</definedName>
    <definedName name="김" hidden="1">#REF!</definedName>
    <definedName name="김1" localSheetId="0" hidden="1">{"'Firr(선)'!$AS$1:$AY$62","'Firr(사)'!$AS$1:$AY$62","'Firr(회)'!$AS$1:$AY$62","'Firr(선)'!$L$1:$V$62","'Firr(사)'!$L$1:$V$62","'Firr(회)'!$L$1:$V$62"}</definedName>
    <definedName name="김1" hidden="1">{"'Firr(선)'!$AS$1:$AY$62","'Firr(사)'!$AS$1:$AY$62","'Firr(회)'!$AS$1:$AY$62","'Firr(선)'!$L$1:$V$62","'Firr(사)'!$L$1:$V$62","'Firr(회)'!$L$1:$V$62"}</definedName>
    <definedName name="김병국임" localSheetId="0" hidden="1">{#N/A,#N/A,FALSE,"단가표지"}</definedName>
    <definedName name="김병국임" hidden="1">{#N/A,#N/A,FALSE,"단가표지"}</definedName>
    <definedName name="김봉만" localSheetId="0" hidden="1">{#N/A,#N/A,FALSE,"교리2"}</definedName>
    <definedName name="김봉만" hidden="1">{#N/A,#N/A,FALSE,"교리2"}</definedName>
    <definedName name="김승주" localSheetId="0" hidden="1">{#N/A,#N/A,FALSE,"교리2"}</definedName>
    <definedName name="김승주" hidden="1">{#N/A,#N/A,FALSE,"교리2"}</definedName>
    <definedName name="김영훈" localSheetId="0" hidden="1">{#N/A,#N/A,FALSE,"변경관리예산";#N/A,#N/A,FALSE,"변경장비예산";#N/A,#N/A,FALSE,"변경준설예산";#N/A,#N/A,FALSE,"변경철구예산"}</definedName>
    <definedName name="김영훈" hidden="1">{#N/A,#N/A,FALSE,"변경관리예산";#N/A,#N/A,FALSE,"변경장비예산";#N/A,#N/A,FALSE,"변경준설예산";#N/A,#N/A,FALSE,"변경철구예산"}</definedName>
    <definedName name="껍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껍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꽥" localSheetId="0" hidden="1">{#N/A,#N/A,TRUE,"960318-1";#N/A,#N/A,TRUE,"960318-2";#N/A,#N/A,TRUE,"960318-3"}</definedName>
    <definedName name="꽥" hidden="1">{#N/A,#N/A,TRUE,"960318-1";#N/A,#N/A,TRUE,"960318-2";#N/A,#N/A,TRUE,"960318-3"}</definedName>
    <definedName name="ㄳㄳㄳㄳ" localSheetId="0" hidden="1">{"'용역비'!$A$4:$C$8"}</definedName>
    <definedName name="ㄳㄳㄳㄳ" hidden="1">{"'용역비'!$A$4:$C$8"}</definedName>
    <definedName name="ㄳㄷ" localSheetId="0" hidden="1">{#N/A,#N/A,FALSE,"Sheet6"}</definedName>
    <definedName name="ㄳㄷ" hidden="1">{#N/A,#N/A,FALSE,"Sheet6"}</definedName>
    <definedName name="ㄳ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ㄱㄹ" localSheetId="1" hidden="1">#REF!</definedName>
    <definedName name="ㄴㄱㄹ" localSheetId="0" hidden="1">#REF!</definedName>
    <definedName name="ㄴㄱㄹ" localSheetId="2" hidden="1">#REF!</definedName>
    <definedName name="ㄴㄱㄹ" hidden="1">#REF!</definedName>
    <definedName name="ㄴㄱ솥ㅀ" localSheetId="0" hidden="1">{#N/A,#N/A,FALSE,"집계표"}</definedName>
    <definedName name="ㄴㄱ솥ㅀ" hidden="1">{#N/A,#N/A,FALSE,"집계표"}</definedName>
    <definedName name="ㄴ거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거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ㄴㄴ" localSheetId="0" hidden="1">{#N/A,#N/A,FALSE,"부대2"}</definedName>
    <definedName name="ㄴㄴㄴ" hidden="1">{#N/A,#N/A,FALSE,"부대2"}</definedName>
    <definedName name="ㄴㄴㄴㄴㄴㄴ" localSheetId="0" hidden="1">{#N/A,#N/A,FALSE,"포장2"}</definedName>
    <definedName name="ㄴㄴㄴㄴㄴㄴ" hidden="1">{#N/A,#N/A,FALSE,"포장2"}</definedName>
    <definedName name="ㄴㄴㅎ" localSheetId="0" hidden="1">{#N/A,#N/A,FALSE,"집계표"}</definedName>
    <definedName name="ㄴㄴㅎ" hidden="1">{#N/A,#N/A,FALSE,"집계표"}</definedName>
    <definedName name="ㄴ너넌ㄱㅎ" localSheetId="0" hidden="1">{#N/A,#N/A,FALSE,"집계표"}</definedName>
    <definedName name="ㄴ너넌ㄱㅎ" hidden="1">{#N/A,#N/A,FALSE,"집계표"}</definedName>
    <definedName name="ㄴ눀너노" localSheetId="0" hidden="1">{#N/A,#N/A,FALSE,"집계표"}</definedName>
    <definedName name="ㄴ눀너노" hidden="1">{#N/A,#N/A,FALSE,"집계표"}</definedName>
    <definedName name="ㄴㄶ" localSheetId="0" hidden="1">{#N/A,#N/A,FALSE,"집계표"}</definedName>
    <definedName name="ㄴㄶ" hidden="1">{#N/A,#N/A,FALSE,"집계표"}</definedName>
    <definedName name="ㄴㄷㄱㅈ" localSheetId="0" hidden="1">{#N/A,#N/A,FALSE,"Sheet6"}</definedName>
    <definedName name="ㄴㄷㄱㅈ" hidden="1">{#N/A,#N/A,FALSE,"Sheet6"}</definedName>
    <definedName name="ㄴㄹ" localSheetId="0" hidden="1">{#N/A,#N/A,FALSE,"집계표"}</definedName>
    <definedName name="ㄴㄹ" hidden="1">{#N/A,#N/A,FALSE,"집계표"}</definedName>
    <definedName name="ㄴㄹㄴ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ㄴ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ㅇ호" localSheetId="0" hidden="1">{#N/A,#N/A,FALSE,"집계표"}</definedName>
    <definedName name="ㄴㄹㅇ호" hidden="1">{#N/A,#N/A,FALSE,"집계표"}</definedName>
    <definedName name="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ㄺㄷ" localSheetId="0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ㅀ" localSheetId="1" hidden="1">#REF!</definedName>
    <definedName name="ㄴㅀ" localSheetId="0" hidden="1">#REF!</definedName>
    <definedName name="ㄴㅀ" localSheetId="2" hidden="1">#REF!</definedName>
    <definedName name="ㄴㅀ" hidden="1">#REF!</definedName>
    <definedName name="ㄴㅁ" localSheetId="1" hidden="1">#REF!</definedName>
    <definedName name="ㄴㅁ" localSheetId="0" hidden="1">#REF!</definedName>
    <definedName name="ㄴㅁ" localSheetId="2" hidden="1">#REF!</definedName>
    <definedName name="ㄴㅁ" hidden="1">#REF!</definedName>
    <definedName name="ㄴㅁㄴㅇㄹ" localSheetId="0" hidden="1">{#N/A,#N/A,FALSE,"집계표"}</definedName>
    <definedName name="ㄴㅁㄴㅇㄹ" hidden="1">{#N/A,#N/A,FALSE,"집계표"}</definedName>
    <definedName name="ㄴㅁㄹ아ㅣㅏ" localSheetId="0" hidden="1">{#N/A,#N/A,FALSE,"집계표"}</definedName>
    <definedName name="ㄴㅁㄹ아ㅣㅏ" hidden="1">{#N/A,#N/A,FALSE,"집계표"}</definedName>
    <definedName name="ㄴㅁㅇㄹ" localSheetId="0" hidden="1">{#N/A,#N/A,FALSE,"집계표"}</definedName>
    <definedName name="ㄴㅁㅇㄹ" hidden="1">{#N/A,#N/A,FALSE,"집계표"}</definedName>
    <definedName name="ㄴㅁㅇ라ㅓ" localSheetId="0" hidden="1">{#N/A,#N/A,FALSE,"집계표"}</definedName>
    <definedName name="ㄴㅁㅇ라ㅓ" hidden="1">{#N/A,#N/A,FALSE,"집계표"}</definedName>
    <definedName name="ㄴㅁ아겈" localSheetId="0" hidden="1">{#N/A,#N/A,FALSE,"집계표"}</definedName>
    <definedName name="ㄴㅁ아겈" hidden="1">{#N/A,#N/A,FALSE,"집계표"}</definedName>
    <definedName name="ㄴㅁ아ㅓ린ㅁ" localSheetId="0" hidden="1">{#N/A,#N/A,FALSE,"집계표"}</definedName>
    <definedName name="ㄴㅁ아ㅓ린ㅁ" hidden="1">{#N/A,#N/A,FALSE,"집계표"}</definedName>
    <definedName name="ㄴㅁ허ㅗ러ㅏ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ㅁ허ㅗ러ㅏ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마ㅓㅇㅎ리ㅏㅇㄴ" localSheetId="0" hidden="1">{#N/A,#N/A,FALSE,"집계표"}</definedName>
    <definedName name="ㄴ마ㅓㅇㅎ리ㅏㅇㄴ" hidden="1">{#N/A,#N/A,FALSE,"집계표"}</definedName>
    <definedName name="ㄴ뫃ㄴ오" localSheetId="0" hidden="1">{#N/A,#N/A,FALSE,"집계표"}</definedName>
    <definedName name="ㄴ뫃ㄴ오" hidden="1">{#N/A,#N/A,FALSE,"집계표"}</definedName>
    <definedName name="ㄴㅅ교ㅑㅕ쇼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ㅅ교ㅑㅕ쇼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" localSheetId="1" hidden="1">#REF!</definedName>
    <definedName name="ㄴㅇ" localSheetId="0" hidden="1">#REF!</definedName>
    <definedName name="ㄴㅇ" localSheetId="2" hidden="1">#REF!</definedName>
    <definedName name="ㄴㅇ" hidden="1">#REF!</definedName>
    <definedName name="ㄴㅇ다ㅓㅀㅌ" localSheetId="0" hidden="1">{#N/A,#N/A,FALSE,"집계표"}</definedName>
    <definedName name="ㄴㅇ다ㅓㅀㅌ" hidden="1">{#N/A,#N/A,FALSE,"집계표"}</definedName>
    <definedName name="ㄴㅇ닳ㅌ처" localSheetId="0" hidden="1">{#N/A,#N/A,FALSE,"집계표"}</definedName>
    <definedName name="ㄴㅇ닳ㅌ처" hidden="1">{#N/A,#N/A,FALSE,"집계표"}</definedName>
    <definedName name="ㄴㅇㄹ" localSheetId="1" hidden="1">#REF!</definedName>
    <definedName name="ㄴㅇㄹ" localSheetId="0" hidden="1">#REF!</definedName>
    <definedName name="ㄴㅇㄹ" localSheetId="2" hidden="1">#REF!</definedName>
    <definedName name="ㄴㅇㄹ" hidden="1">#REF!</definedName>
    <definedName name="ㄴㅇㄹㄴ" localSheetId="0" hidden="1">{#N/A,#N/A,FALSE,"사업총괄";#N/A,#N/A,FALSE,"장비사업";#N/A,#N/A,FALSE,"철구사업";#N/A,#N/A,FALSE,"준설사업"}</definedName>
    <definedName name="ㄴㅇㄹㄴ" hidden="1">{#N/A,#N/A,FALSE,"사업총괄";#N/A,#N/A,FALSE,"장비사업";#N/A,#N/A,FALSE,"철구사업";#N/A,#N/A,FALSE,"준설사업"}</definedName>
    <definedName name="ㄴㅇㄹㅇㄴ" localSheetId="1" hidden="1">#REF!</definedName>
    <definedName name="ㄴㅇㄹㅇㄴ" localSheetId="0" hidden="1">#REF!</definedName>
    <definedName name="ㄴㅇㄹㅇㄴ" localSheetId="2" hidden="1">#REF!</definedName>
    <definedName name="ㄴㅇㄹㅇㄴ" hidden="1">#REF!</definedName>
    <definedName name="ㄴㅇㄹ하ㅓ" localSheetId="0" hidden="1">{#N/A,#N/A,FALSE,"집계표"}</definedName>
    <definedName name="ㄴㅇㄹ하ㅓ" hidden="1">{#N/A,#N/A,FALSE,"집계표"}</definedName>
    <definedName name="ㄴㅇ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헤ㅐㅇㅅㄱㄷ" localSheetId="0" hidden="1">{#N/A,#N/A,FALSE,"집계표"}</definedName>
    <definedName name="ㄴㅇㄹ헤ㅐㅇㅅㄱㄷ" hidden="1">{#N/A,#N/A,FALSE,"집계표"}</definedName>
    <definedName name="ㄴㅇㄹ호" localSheetId="0" hidden="1">{#N/A,#N/A,FALSE,"집계표"}</definedName>
    <definedName name="ㄴㅇㄹ호" hidden="1">{#N/A,#N/A,FALSE,"집계표"}</definedName>
    <definedName name="ㄴㅇㄹ히ㅏㅓ" localSheetId="0" hidden="1">{#N/A,#N/A,FALSE,"집계표"}</definedName>
    <definedName name="ㄴㅇㄹ히ㅏㅓ" hidden="1">{#N/A,#N/A,FALSE,"집계표"}</definedName>
    <definedName name="ㄴㅇㄹ히ㅏㅓㄴㅇㄹ하ㅓ" localSheetId="0" hidden="1">{#N/A,#N/A,FALSE,"집계표"}</definedName>
    <definedName name="ㄴㅇㄹ히ㅏㅓㄴㅇㄹ하ㅓ" hidden="1">{#N/A,#N/A,FALSE,"집계표"}</definedName>
    <definedName name="ㄴㅇ레ㅔㅔ" localSheetId="0" hidden="1">{#N/A,#N/A,FALSE,"집계표"}</definedName>
    <definedName name="ㄴㅇ레ㅔㅔ" hidden="1">{#N/A,#N/A,FALSE,"집계표"}</definedName>
    <definedName name="ㄴㅇ로" localSheetId="0" hidden="1">{#N/A,#N/A,FALSE,"집계표"}</definedName>
    <definedName name="ㄴㅇ로" hidden="1">{#N/A,#N/A,FALSE,"집계표"}</definedName>
    <definedName name="ㄴㅇㄻㅇㄴ" localSheetId="0" hidden="1">{#N/A,#N/A,FALSE,"집계표"}</definedName>
    <definedName name="ㄴㅇㄻㅇㄴ" hidden="1">{#N/A,#N/A,FALSE,"집계표"}</definedName>
    <definedName name="ㄴㅇㅀㄴ" localSheetId="0" hidden="1">{#N/A,#N/A,FALSE,"집계표"}</definedName>
    <definedName name="ㄴㅇㅀㄴ" hidden="1">{#N/A,#N/A,FALSE,"집계표"}</definedName>
    <definedName name="ㄴㅇㅀㄴㅇㅀ" localSheetId="1" hidden="1">#REF!</definedName>
    <definedName name="ㄴㅇㅀㄴㅇㅀ" localSheetId="0" hidden="1">#REF!</definedName>
    <definedName name="ㄴㅇㅀㄴㅇㅀ" localSheetId="2" hidden="1">#REF!</definedName>
    <definedName name="ㄴㅇㅀㄴㅇㅀ" hidden="1">#REF!</definedName>
    <definedName name="ㄴㅇㅀㄹ" localSheetId="0" hidden="1">{#N/A,#N/A,FALSE,"집계표"}</definedName>
    <definedName name="ㄴㅇㅀㄹ" hidden="1">{#N/A,#N/A,FALSE,"집계표"}</definedName>
    <definedName name="ㄴㅇㅀㅇ" localSheetId="0" hidden="1">{#N/A,#N/A,FALSE,"집계표"}</definedName>
    <definedName name="ㄴㅇㅀㅇ" hidden="1">{#N/A,#N/A,FALSE,"집계표"}</definedName>
    <definedName name="ㄴㅇㅀㅇㄶ" localSheetId="0" hidden="1">{#N/A,#N/A,FALSE,"집계표"}</definedName>
    <definedName name="ㄴㅇㅀㅇㄶ" hidden="1">{#N/A,#N/A,FALSE,"집계표"}</definedName>
    <definedName name="ㄴㅇㅁㅎ리ㅏㅓㅣ" localSheetId="0" hidden="1">{#N/A,#N/A,FALSE,"집계표"}</definedName>
    <definedName name="ㄴㅇㅁㅎ리ㅏㅓㅣ" hidden="1">{#N/A,#N/A,FALSE,"집계표"}</definedName>
    <definedName name="ㄴㅇㅅ" localSheetId="0" hidden="1">{#N/A,#N/A,FALSE,"집계표"}</definedName>
    <definedName name="ㄴㅇㅅ" hidden="1">{#N/A,#N/A,FALSE,"집계표"}</definedName>
    <definedName name="ㄴㅇㅇㄴ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ㅇㄴ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ㅎ" localSheetId="0" hidden="1">{#N/A,#N/A,FALSE,"현장 NCR 분석";#N/A,#N/A,FALSE,"현장품질감사";#N/A,#N/A,FALSE,"현장품질감사"}</definedName>
    <definedName name="ㄴㅇㅎ" hidden="1">{#N/A,#N/A,FALSE,"현장 NCR 분석";#N/A,#N/A,FALSE,"현장품질감사";#N/A,#N/A,FALSE,"현장품질감사"}</definedName>
    <definedName name="ㄴㅇㅎㄴㄹㅇ" localSheetId="1" hidden="1">#REF!</definedName>
    <definedName name="ㄴㅇㅎㄴㄹㅇ" localSheetId="0" hidden="1">#REF!</definedName>
    <definedName name="ㄴㅇㅎㄴㄹㅇ" localSheetId="2" hidden="1">#REF!</definedName>
    <definedName name="ㄴㅇㅎㄴㄹㅇ" hidden="1">#REF!</definedName>
    <definedName name="ㄴㅇㅎㄹ" localSheetId="0" hidden="1">{#N/A,#N/A,FALSE,"집계표"}</definedName>
    <definedName name="ㄴㅇㅎㄹ" hidden="1">{#N/A,#N/A,FALSE,"집계표"}</definedName>
    <definedName name="ㄴㅇㅎ리ㅏ" localSheetId="0" hidden="1">{#N/A,#N/A,FALSE,"집계표"}</definedName>
    <definedName name="ㄴㅇㅎ리ㅏ" hidden="1">{#N/A,#N/A,FALSE,"집계표"}</definedName>
    <definedName name="ㄴㅇㅎ리ㅏㅓㅊㅌ" localSheetId="0" hidden="1">{#N/A,#N/A,FALSE,"집계표"}</definedName>
    <definedName name="ㄴㅇㅎ리ㅏㅓㅊㅌ" hidden="1">{#N/A,#N/A,FALSE,"집계표"}</definedName>
    <definedName name="ㄴㅇ홎ㅁㄱ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홎ㅁㄱ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어" localSheetId="0" hidden="1">{#N/A,#N/A,FALSE,"집계표"}</definedName>
    <definedName name="ㄴ어" hidden="1">{#N/A,#N/A,FALSE,"집계표"}</definedName>
    <definedName name="ㄴ어ㅏ엉ㄹ" localSheetId="0" hidden="1">{#N/A,#N/A,FALSE,"집계표"}</definedName>
    <definedName name="ㄴ어ㅏ엉ㄹ" hidden="1">{#N/A,#N/A,FALSE,"집계표"}</definedName>
    <definedName name="ㄴ온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온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옿ㅅㄴㅇ" localSheetId="0" hidden="1">{#N/A,#N/A,FALSE,"집계표"}</definedName>
    <definedName name="ㄴ옿ㅅㄴㅇ" hidden="1">{#N/A,#N/A,FALSE,"집계표"}</definedName>
    <definedName name="ㄴ이라ㅓㅎ" localSheetId="0" hidden="1">{#N/A,#N/A,FALSE,"집계표"}</definedName>
    <definedName name="ㄴ이라ㅓㅎ" hidden="1">{#N/A,#N/A,FALSE,"집계표"}</definedName>
    <definedName name="ㄴ이ㅏ렇" localSheetId="0" hidden="1">{#N/A,#N/A,FALSE,"집계표"}</definedName>
    <definedName name="ㄴ이ㅏ렇" hidden="1">{#N/A,#N/A,FALSE,"집계표"}</definedName>
    <definedName name="ㄴ이ㅏㅎ러" localSheetId="0" hidden="1">{#N/A,#N/A,FALSE,"집계표"}</definedName>
    <definedName name="ㄴ이ㅏㅎ러" hidden="1">{#N/A,#N/A,FALSE,"집계표"}</definedName>
    <definedName name="ㄴ이ㅏㅎ러ㅗ" localSheetId="0" hidden="1">{#N/A,#N/A,FALSE,"집계표"}</definedName>
    <definedName name="ㄴ이ㅏㅎ러ㅗ" hidden="1">{#N/A,#N/A,FALSE,"집계표"}</definedName>
    <definedName name="ㄴ잏라ㅓ" localSheetId="0" hidden="1">{#N/A,#N/A,FALSE,"집계표"}</definedName>
    <definedName name="ㄴ잏라ㅓ" hidden="1">{#N/A,#N/A,FALSE,"집계표"}</definedName>
    <definedName name="ㄴ잏라ㅓㅣㅏㅇㄴㅀ" localSheetId="0" hidden="1">{#N/A,#N/A,FALSE,"집계표"}</definedName>
    <definedName name="ㄴ잏라ㅓㅣㅏㅇㄴㅀ" hidden="1">{#N/A,#N/A,FALSE,"집계표"}</definedName>
    <definedName name="ㄴ젖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젖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ㅊㅌㅇㅍ" localSheetId="0" hidden="1">{#N/A,#N/A,FALSE,"집계표"}</definedName>
    <definedName name="ㄴㅊㅌㅇㅍ" hidden="1">{#N/A,#N/A,FALSE,"집계표"}</definedName>
    <definedName name="ㄴ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ㅗㅎ" localSheetId="0" hidden="1">{#N/A,#N/A,FALSE,"집계표"}</definedName>
    <definedName name="ㄴㅗㅎ" hidden="1">{#N/A,#N/A,FALSE,"집계표"}</definedName>
    <definedName name="나" localSheetId="0" hidden="1">{#N/A,#N/A,FALSE,"교리2"}</definedName>
    <definedName name="나" hidden="1">{#N/A,#N/A,FALSE,"교리2"}</definedName>
    <definedName name="나나너넌너" localSheetId="0" hidden="1">{#N/A,#N/A,FALSE,"집계표"}</definedName>
    <definedName name="나나너넌너" hidden="1">{#N/A,#N/A,FALSE,"집계표"}</definedName>
    <definedName name="나난" localSheetId="0" hidden="1">{#N/A,#N/A,FALSE,"주간공정";#N/A,#N/A,FALSE,"주간보고";#N/A,#N/A,FALSE,"주간공정표"}</definedName>
    <definedName name="나난" hidden="1">{#N/A,#N/A,FALSE,"주간공정";#N/A,#N/A,FALSE,"주간보고";#N/A,#N/A,FALSE,"주간공정표"}</definedName>
    <definedName name="나는" localSheetId="0" hidden="1">{#N/A,#N/A,FALSE,"집계표"}</definedName>
    <definedName name="나는" hidden="1">{#N/A,#N/A,FALSE,"집계표"}</definedName>
    <definedName name="나ㅏㅓ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난ㄴ난나ㅏ난" localSheetId="0" hidden="1">{#N/A,#N/A,FALSE,"집계표"}</definedName>
    <definedName name="난ㄴ난나ㅏ난" hidden="1">{#N/A,#N/A,FALSE,"집계표"}</definedName>
    <definedName name="난나ㅏㄴ" localSheetId="0" hidden="1">{#N/A,#N/A,FALSE,"집계표"}</definedName>
    <definedName name="난나ㅏㄴ" hidden="1">{#N/A,#N/A,FALSE,"집계표"}</definedName>
    <definedName name="난느오늘" localSheetId="0" hidden="1">{#N/A,#N/A,FALSE,"집계표"}</definedName>
    <definedName name="난느오늘" hidden="1">{#N/A,#N/A,FALSE,"집계표"}</definedName>
    <definedName name="남남" localSheetId="1" hidden="1">#REF!</definedName>
    <definedName name="남남" localSheetId="0" hidden="1">#REF!</definedName>
    <definedName name="남남" localSheetId="2" hidden="1">#REF!</definedName>
    <definedName name="남남" hidden="1">#REF!</definedName>
    <definedName name="내역" localSheetId="1" hidden="1">[2]금융!#REF!</definedName>
    <definedName name="내역" localSheetId="0" hidden="1">[2]금융!#REF!</definedName>
    <definedName name="내역" localSheetId="2" hidden="1">[2]금융!#REF!</definedName>
    <definedName name="내역" hidden="1">[2]금융!#REF!</definedName>
    <definedName name="내역산출근거" localSheetId="0" hidden="1">{#N/A,#N/A,TRUE,"1";#N/A,#N/A,TRUE,"2";#N/A,#N/A,TRUE,"3";#N/A,#N/A,TRUE,"4";#N/A,#N/A,TRUE,"5";#N/A,#N/A,TRUE,"6";#N/A,#N/A,TRUE,"7"}</definedName>
    <definedName name="내역산출근거" hidden="1">{#N/A,#N/A,TRUE,"1";#N/A,#N/A,TRUE,"2";#N/A,#N/A,TRUE,"3";#N/A,#N/A,TRUE,"4";#N/A,#N/A,TRUE,"5";#N/A,#N/A,TRUE,"6";#N/A,#N/A,TRUE,"7"}</definedName>
    <definedName name="내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를" localSheetId="0" hidden="1">{#N/A,#N/A,FALSE,"집계표"}</definedName>
    <definedName name="너를" hidden="1">{#N/A,#N/A,FALSE,"집계표"}</definedName>
    <definedName name="너호라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호라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논현동외" localSheetId="0" hidden="1">{#N/A,#N/A,FALSE,"Sheet6"}</definedName>
    <definedName name="논현동외" hidden="1">{#N/A,#N/A,FALSE,"Sheet6"}</definedName>
    <definedName name="놓ㄹㅇ" localSheetId="0" hidden="1">{#N/A,#N/A,FALSE,"집계표"}</definedName>
    <definedName name="놓ㄹㅇ" hidden="1">{#N/A,#N/A,FALSE,"집계표"}</definedName>
    <definedName name="뇫" localSheetId="0" hidden="1">{#N/A,#N/A,FALSE,"집계표"}</definedName>
    <definedName name="뇫" hidden="1">{#N/A,#N/A,FALSE,"집계표"}</definedName>
    <definedName name="니기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기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니ㅣㄴ" localSheetId="0" hidden="1">{#N/A,#N/A,FALSE,"주간공정";#N/A,#N/A,FALSE,"주간보고";#N/A,#N/A,FALSE,"주간공정표"}</definedName>
    <definedName name="니니ㅣㄴ" hidden="1">{#N/A,#N/A,FALSE,"주간공정";#N/A,#N/A,FALSE,"주간보고";#N/A,#N/A,FALSE,"주간공정표"}</definedName>
    <definedName name="ㄶ" localSheetId="0" hidden="1">{#N/A,#N/A,FALSE,"집계표"}</definedName>
    <definedName name="ㄶ" hidden="1">{#N/A,#N/A,FALSE,"집계표"}</definedName>
    <definedName name="ㄷㄱ" localSheetId="0" hidden="1">{#N/A,#N/A,FALSE,"포장2"}</definedName>
    <definedName name="ㄷㄱ" hidden="1">{#N/A,#N/A,FALSE,"포장2"}</definedName>
    <definedName name="ㄷ교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교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ㄹ햐" localSheetId="0" hidden="1">{#N/A,#N/A,FALSE,"지침";#N/A,#N/A,FALSE,"환경분석";#N/A,#N/A,FALSE,"Sheet16"}</definedName>
    <definedName name="ㄷㄹ햐" hidden="1">{#N/A,#N/A,FALSE,"지침";#N/A,#N/A,FALSE,"환경분석";#N/A,#N/A,FALSE,"Sheet16"}</definedName>
    <definedName name="ㄷㅁㄱ혿호ㄷㅂ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ㅁㄱ혿호ㄷㅂ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ㅊ" localSheetId="0" hidden="1">{#N/A,#N/A,FALSE,"집계표"}</definedName>
    <definedName name="ㄷㅇㅊ" hidden="1">{#N/A,#N/A,FALSE,"집계표"}</definedName>
    <definedName name="ㄷㅈ" localSheetId="0" hidden="1">{#N/A,#N/A,FALSE,"전력간선"}</definedName>
    <definedName name="ㄷㅈ" hidden="1">{#N/A,#N/A,FALSE,"전력간선"}</definedName>
    <definedName name="ㄷㅈㄱ" localSheetId="0" hidden="1">{#N/A,#N/A,FALSE,"포장1";#N/A,#N/A,FALSE,"포장1"}</definedName>
    <definedName name="ㄷㅈㄱ" hidden="1">{#N/A,#N/A,FALSE,"포장1";#N/A,#N/A,FALSE,"포장1"}</definedName>
    <definedName name="ㄷㅈ거" localSheetId="0" hidden="1">{#N/A,#N/A,FALSE,"집계표"}</definedName>
    <definedName name="ㄷㅈ거" hidden="1">{#N/A,#N/A,FALSE,"집계표"}</definedName>
    <definedName name="ㄷㅈ쇼ㅗ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ㅈ쇼ㅗ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ㅎㄹㅇ" localSheetId="1" hidden="1">#REF!</definedName>
    <definedName name="ㄷㅎㄹㅇ" localSheetId="0" hidden="1">#REF!</definedName>
    <definedName name="ㄷㅎㄹㅇ" localSheetId="2" hidden="1">#REF!</definedName>
    <definedName name="ㄷㅎㄹㅇ" hidden="1">#REF!</definedName>
    <definedName name="다라" localSheetId="0" hidden="1">{#N/A,#N/A,FALSE,"표지목차"}</definedName>
    <definedName name="다라" hidden="1">{#N/A,#N/A,FALSE,"표지목차"}</definedName>
    <definedName name="단가대" localSheetId="1" hidden="1">#REF!</definedName>
    <definedName name="단가대" localSheetId="0" hidden="1">#REF!</definedName>
    <definedName name="단가대" localSheetId="2" hidden="1">#REF!</definedName>
    <definedName name="단가대" hidden="1">#REF!</definedName>
    <definedName name="단가조사자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대대대대" localSheetId="0" hidden="1">{#N/A,#N/A,FALSE,"주간공정";#N/A,#N/A,FALSE,"주간보고";#N/A,#N/A,FALSE,"주간공정표"}</definedName>
    <definedName name="대대대대대" hidden="1">{#N/A,#N/A,FALSE,"주간공정";#N/A,#N/A,FALSE,"주간보고";#N/A,#N/A,FALSE,"주간공정표"}</definedName>
    <definedName name="대덕" localSheetId="0" hidden="1">{#N/A,#N/A,FALSE,"CCTV"}</definedName>
    <definedName name="대덕" hidden="1">{#N/A,#N/A,FALSE,"CCTV"}</definedName>
    <definedName name="대비" localSheetId="0" hidden="1">{#N/A,#N/A,FALSE,"CCTV"}</definedName>
    <definedName name="대비" hidden="1">{#N/A,#N/A,FALSE,"CCTV"}</definedName>
    <definedName name="대상" localSheetId="0" hidden="1">{"'용역비'!$A$4:$C$8"}</definedName>
    <definedName name="대상" hidden="1">{"'용역비'!$A$4:$C$8"}</definedName>
    <definedName name="대표회의" localSheetId="0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댜ㅕㅑㅕ셪ㄷ둇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댜ㅕㅑㅕ셪ㄷ둇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덕" localSheetId="0" hidden="1">{#N/A,#N/A,FALSE,"포장2"}</definedName>
    <definedName name="덕" hidden="1">{#N/A,#N/A,FALSE,"포장2"}</definedName>
    <definedName name="덕진" localSheetId="0" hidden="1">{#N/A,#N/A,FALSE,"포장2"}</definedName>
    <definedName name="덕진" hidden="1">{#N/A,#N/A,FALSE,"포장2"}</definedName>
    <definedName name="덕호" localSheetId="0" hidden="1">{#N/A,#N/A,FALSE,"포장2"}</definedName>
    <definedName name="덕호" hidden="1">{#N/A,#N/A,FALSE,"포장2"}</definedName>
    <definedName name="뎌ㅐㄷ쇼ㅕ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뎌ㅐㄷ쇼ㅕ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용" localSheetId="1" hidden="1">#REF!</definedName>
    <definedName name="도용" localSheetId="0" hidden="1">#REF!</definedName>
    <definedName name="도용" localSheetId="2" hidden="1">#REF!</definedName>
    <definedName name="도용" hidden="1">#REF!</definedName>
    <definedName name="도장" localSheetId="0" hidden="1">{#N/A,#N/A,FALSE,"Sheet1"}</definedName>
    <definedName name="도장" hidden="1">{#N/A,#N/A,FALSE,"Sheet1"}</definedName>
    <definedName name="독립기초" localSheetId="0" hidden="1">{#N/A,#N/A,FALSE,"기안지";#N/A,#N/A,FALSE,"통신지"}</definedName>
    <definedName name="독립기초" hidden="1">{#N/A,#N/A,FALSE,"기안지";#N/A,#N/A,FALSE,"통신지"}</definedName>
    <definedName name="독립기초토공수량산출" localSheetId="0" hidden="1">{#N/A,#N/A,FALSE,"기안지";#N/A,#N/A,FALSE,"통신지"}</definedName>
    <definedName name="독립기초토공수량산출" hidden="1">{#N/A,#N/A,FALSE,"기안지";#N/A,#N/A,FALSE,"통신지"}</definedName>
    <definedName name="동력및간선" localSheetId="0" hidden="1">{#N/A,#N/A,FALSE,"전력간선"}</definedName>
    <definedName name="동력및간선" hidden="1">{#N/A,#N/A,FALSE,"전력간선"}</definedName>
    <definedName name="동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ㅇㄹㄴㅇㄹㄴㄱㄴㅇ" localSheetId="0" hidden="1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ㄹㄴ헛혀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헛혀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ㄶㅗ" localSheetId="0" hidden="1">{#N/A,#N/A,FALSE,"집계표"}</definedName>
    <definedName name="ㄹㄶㅗ" hidden="1">{#N/A,#N/A,FALSE,"집계표"}</definedName>
    <definedName name="ㄹㄷㅅ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ㄷㅅ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0" hidden="1">{#N/A,#N/A,FALSE,"Sheet1"}</definedName>
    <definedName name="ㄹㄹ" hidden="1">{#N/A,#N/A,FALSE,"Sheet1"}</definedName>
    <definedName name="ㄹㄹㄹ" localSheetId="1" hidden="1">#REF!</definedName>
    <definedName name="ㄹㄹㄹ" localSheetId="0" hidden="1">#REF!</definedName>
    <definedName name="ㄹㄹㄹ" localSheetId="2" hidden="1">#REF!</definedName>
    <definedName name="ㄹㄹㄹ" hidden="1">#REF!</definedName>
    <definedName name="ㄹㄹㅇㄴ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ㄹㄹㅇㄴㄹㅇㄶㅀ" localSheetId="0" hidden="1">{#N/A,#N/A,FALSE,"집계표"}</definedName>
    <definedName name="ㄹㄹㅇㄴㄹㄹㅇㄴㄹㅇㄶㅀ" hidden="1">{#N/A,#N/A,FALSE,"집계표"}</definedName>
    <definedName name="ㄹㅇ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ㅁ" localSheetId="0" hidden="1">{#N/A,#N/A,TRUE,"1";#N/A,#N/A,TRUE,"2";#N/A,#N/A,TRUE,"3";#N/A,#N/A,TRUE,"4";#N/A,#N/A,TRUE,"5";#N/A,#N/A,TRUE,"6";#N/A,#N/A,TRUE,"7"}</definedName>
    <definedName name="ㄹㅇㄴㅁ" hidden="1">{#N/A,#N/A,TRUE,"1";#N/A,#N/A,TRUE,"2";#N/A,#N/A,TRUE,"3";#N/A,#N/A,TRUE,"4";#N/A,#N/A,TRUE,"5";#N/A,#N/A,TRUE,"6";#N/A,#N/A,TRUE,"7"}</definedName>
    <definedName name="ㄹㅇㄴㅇㄴㅇㄹㅇ" localSheetId="0" hidden="1">{#N/A,#N/A,FALSE,"집계표"}</definedName>
    <definedName name="ㄹㅇㄴㅇㄴㅇㄹㅇ" hidden="1">{#N/A,#N/A,FALSE,"집계표"}</definedName>
    <definedName name="ㄹㅇ넛교ㅗ" localSheetId="0" hidden="1">{#N/A,#N/A,FALSE,"집계표"}</definedName>
    <definedName name="ㄹㅇ넛교ㅗ" hidden="1">{#N/A,#N/A,FALSE,"집계표"}</definedName>
    <definedName name="ㄹㅇ노ㅎ" localSheetId="0" hidden="1">{#N/A,#N/A,FALSE,"집계표"}</definedName>
    <definedName name="ㄹㅇ노ㅎ" hidden="1">{#N/A,#N/A,FALSE,"집계표"}</definedName>
    <definedName name="ㄹㅇㄶㄴㅅ" localSheetId="0" hidden="1">{#N/A,#N/A,FALSE,"집계표"}</definedName>
    <definedName name="ㄹㅇㄶㄴㅅ" hidden="1">{#N/A,#N/A,FALSE,"집계표"}</definedName>
    <definedName name="ㄹㅇㄶㅎㅇㄶㅇㅎㄹㅇ" localSheetId="0" hidden="1">{#N/A,#N/A,FALSE,"집계표"}</definedName>
    <definedName name="ㄹㅇㄶㅎㅇㄶㅇㅎㄹㅇ" hidden="1">{#N/A,#N/A,FALSE,"집계표"}</definedName>
    <definedName name="ㄹㅇ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서ㅗ" localSheetId="0" hidden="1">{#N/A,#N/A,FALSE,"집계표"}</definedName>
    <definedName name="ㄹㅇ서ㅗ" hidden="1">{#N/A,#N/A,FALSE,"집계표"}</definedName>
    <definedName name="ㄹㅇ소ㅛ" localSheetId="0" hidden="1">{#N/A,#N/A,FALSE,"집계표"}</definedName>
    <definedName name="ㄹㅇ소ㅛ" hidden="1">{#N/A,#N/A,FALSE,"집계표"}</definedName>
    <definedName name="ㄹㅇㅇㅇㅇㅇㅇ" localSheetId="0" hidden="1">{#N/A,#N/A,FALSE,"집계표"}</definedName>
    <definedName name="ㄹㅇㅇㅇㅇㅇㅇ" hidden="1">{#N/A,#N/A,FALSE,"집계표"}</definedName>
    <definedName name="ㄹㅇㅇㅇㅇㅇㅇㅇㅇㅇㅇ" localSheetId="0" hidden="1">{#N/A,#N/A,FALSE,"집계표"}</definedName>
    <definedName name="ㄹㅇㅇㅇㅇㅇㅇㅇㅇㅇㅇ" hidden="1">{#N/A,#N/A,FALSE,"집계표"}</definedName>
    <definedName name="ㄹㅇ옷" localSheetId="0" hidden="1">{#N/A,#N/A,FALSE,"집계표"}</definedName>
    <definedName name="ㄹㅇ옷" hidden="1">{#N/A,#N/A,FALSE,"집계표"}</definedName>
    <definedName name="ㄹㅇㅌㅇㄴㄱㄷ" localSheetId="0" hidden="1">{#N/A,#N/A,FALSE,"포장2"}</definedName>
    <definedName name="ㄹㅇㅌㅇㄴㄱㄷ" hidden="1">{#N/A,#N/A,FALSE,"포장2"}</definedName>
    <definedName name="ㄹㅇㅌㅎㅎㅎㅎㅎ" localSheetId="0" hidden="1">{#N/A,#N/A,FALSE,"집계표"}</definedName>
    <definedName name="ㄹㅇㅌㅎㅎㅎㅎㅎ" hidden="1">{#N/A,#N/A,FALSE,"집계표"}</definedName>
    <definedName name="ㄹㅇㅎ" localSheetId="0" hidden="1">{#N/A,#N/A,FALSE,"집계표"}</definedName>
    <definedName name="ㄹㅇㅎ" hidden="1">{#N/A,#N/A,FALSE,"집계표"}</definedName>
    <definedName name="ㄹㅇㅎㅊㅌㅍㅍ" localSheetId="0" hidden="1">{#N/A,#N/A,FALSE,"집계표"}</definedName>
    <definedName name="ㄹㅇㅎㅊㅌㅍㅍ" hidden="1">{#N/A,#N/A,FALSE,"집계표"}</definedName>
    <definedName name="ㄹㅇㅎㅎㅎㅎㅎㅎㅎㅎㅎ" localSheetId="0" hidden="1">{#N/A,#N/A,FALSE,"집계표"}</definedName>
    <definedName name="ㄹㅇㅎㅎㅎㅎㅎㅎㅎㅎㅎ" hidden="1">{#N/A,#N/A,FALSE,"집계표"}</definedName>
    <definedName name="ㄹㅇ허ㅗ" localSheetId="0" hidden="1">{#N/A,#N/A,FALSE,"집계표"}</definedName>
    <definedName name="ㄹㅇ허ㅗ" hidden="1">{#N/A,#N/A,FALSE,"집계표"}</definedName>
    <definedName name="ㄹㅇ효" localSheetId="0" hidden="1">{#N/A,#N/A,FALSE,"집계표"}</definedName>
    <definedName name="ㄹㅇ효" hidden="1">{#N/A,#N/A,FALSE,"집계표"}</definedName>
    <definedName name="ㄹ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호" localSheetId="0" hidden="1">{#N/A,#N/A,FALSE,"집계표"}</definedName>
    <definedName name="ㄹ어호" hidden="1">{#N/A,#N/A,FALSE,"집계표"}</definedName>
    <definedName name="ㄹ어ㅏ요ㅕ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ㅏ요ㅕ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" localSheetId="0" hidden="1">{#N/A,#N/A,FALSE,"집계표"}</definedName>
    <definedName name="ㄹ오" hidden="1">{#N/A,#N/A,FALSE,"집계표"}</definedName>
    <definedName name="ㄹ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ㅛ" localSheetId="0" hidden="1">{#N/A,#N/A,FALSE,"집계표"}</definedName>
    <definedName name="ㄹ오ㅛ" hidden="1">{#N/A,#N/A,FALSE,"집계표"}</definedName>
    <definedName name="ㄹ옿" localSheetId="0" hidden="1">{#N/A,#N/A,FALSE,"집계표"}</definedName>
    <definedName name="ㄹ옿" hidden="1">{#N/A,#N/A,FALSE,"집계표"}</definedName>
    <definedName name="ㄹ옿ㄴㄴㄴ노" localSheetId="0" hidden="1">{#N/A,#N/A,FALSE,"집계표"}</definedName>
    <definedName name="ㄹ옿ㄴㄴㄴ노" hidden="1">{#N/A,#N/A,FALSE,"집계표"}</definedName>
    <definedName name="ㄹ옿ㅇㄹ" localSheetId="0" hidden="1">{#N/A,#N/A,FALSE,"집계표"}</definedName>
    <definedName name="ㄹ옿ㅇㄹ" hidden="1">{#N/A,#N/A,FALSE,"집계표"}</definedName>
    <definedName name="ㄹ옿ㅎㅎㅎㅎㅎㅎㅎ" localSheetId="0" hidden="1">{#N/A,#N/A,FALSE,"집계표"}</definedName>
    <definedName name="ㄹ옿ㅎㅎㅎㅎㅎㅎㅎ" hidden="1">{#N/A,#N/A,FALSE,"집계표"}</definedName>
    <definedName name="ㄹㅎㄹㅎㅀ" localSheetId="1" hidden="1">#REF!</definedName>
    <definedName name="ㄹㅎㄹㅎㅀ" localSheetId="0" hidden="1">#REF!</definedName>
    <definedName name="ㄹㅎㄹㅎㅀ" localSheetId="2" hidden="1">#REF!</definedName>
    <definedName name="ㄹㅎㄹㅎㅀ" hidden="1">#REF!</definedName>
    <definedName name="ㄹ하ㅏㅏㅏㅏㅏ" localSheetId="0" hidden="1">{#N/A,#N/A,FALSE,"집계표"}</definedName>
    <definedName name="ㄹ하ㅏㅏㅏㅏㅏ" hidden="1">{#N/A,#N/A,FALSE,"집계표"}</definedName>
    <definedName name="ㄹ허ㅓ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ㅓ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ㅗ" localSheetId="0" hidden="1">{#N/A,#N/A,FALSE,"집계표"}</definedName>
    <definedName name="ㄹ허ㅗ" hidden="1">{#N/A,#N/A,FALSE,"집계표"}</definedName>
    <definedName name="ㄹ허ㅛㅛㅛㅛㅛㅛ" localSheetId="0" hidden="1">{#N/A,#N/A,FALSE,"집계표"}</definedName>
    <definedName name="ㄹ허ㅛㅛㅛㅛㅛㅛ" hidden="1">{#N/A,#N/A,FALSE,"집계표"}</definedName>
    <definedName name="ㄹ헐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헐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혀퍼ㅜㅠ" localSheetId="0" hidden="1">{#N/A,#N/A,FALSE,"집계표"}</definedName>
    <definedName name="ㄹ혀퍼ㅜㅠ" hidden="1">{#N/A,#N/A,FALSE,"집계표"}</definedName>
    <definedName name="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ㅓㅛ" localSheetId="0" hidden="1">{#N/A,#N/A,FALSE,"집계표"}</definedName>
    <definedName name="ㄹ호ㅓㅛ" hidden="1">{#N/A,#N/A,FALSE,"집계표"}</definedName>
    <definedName name="ㄹ호ㅗㅎ" localSheetId="0" hidden="1">{#N/A,#N/A,FALSE,"집계표"}</definedName>
    <definedName name="ㄹ호ㅗㅎ" hidden="1">{#N/A,#N/A,FALSE,"집계표"}</definedName>
    <definedName name="ㄹ혼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혼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홀ㅅ" localSheetId="0" hidden="1">{#N/A,#N/A,FALSE,"집계표"}</definedName>
    <definedName name="ㄹ홀ㅅ" hidden="1">{#N/A,#N/A,FALSE,"집계표"}</definedName>
    <definedName name="ㄹ홓ㄹ로ㅗㅗㅗㅗㅗㅗㅗ" localSheetId="0" hidden="1">{#N/A,#N/A,FALSE,"집계표"}</definedName>
    <definedName name="ㄹ홓ㄹ로ㅗㅗㅗㅗㅗㅗㅗ" hidden="1">{#N/A,#N/A,FALSE,"집계표"}</definedName>
    <definedName name="ㄹ효ㅓㅕ" localSheetId="0" hidden="1">{#N/A,#N/A,FALSE,"집계표"}</definedName>
    <definedName name="ㄹ효ㅓㅕ" hidden="1">{#N/A,#N/A,FALSE,"집계표"}</definedName>
    <definedName name="ㄹ후ㅗㄴ러ㅡ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ㄴ러ㅡ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라라ㅏㄹ" localSheetId="0" hidden="1">{#N/A,#N/A,FALSE,"집계표"}</definedName>
    <definedName name="라라라ㅏㄹ" hidden="1">{#N/A,#N/A,FALSE,"집계표"}</definedName>
    <definedName name="라아라라ㅏ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아라라ㅏ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ㅏㅏ" localSheetId="0" hidden="1">{#N/A,#N/A,FALSE,"집계표"}</definedName>
    <definedName name="라ㅏㅏ" hidden="1">{#N/A,#N/A,FALSE,"집계표"}</definedName>
    <definedName name="라ㅓ셔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셔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랏구" localSheetId="0" hidden="1">{#N/A,#N/A,FALSE,"집계표"}</definedName>
    <definedName name="랏구" hidden="1">{#N/A,#N/A,FALSE,"집계표"}</definedName>
    <definedName name="랑" localSheetId="0" hidden="1">{#N/A,#N/A,FALSE,"지침";#N/A,#N/A,FALSE,"환경분석";#N/A,#N/A,FALSE,"Sheet16"}</definedName>
    <definedName name="랑" hidden="1">{#N/A,#N/A,FALSE,"지침";#N/A,#N/A,FALSE,"환경분석";#N/A,#N/A,FALSE,"Sheet16"}</definedName>
    <definedName name="래" localSheetId="0" hidden="1">{#N/A,#N/A,FALSE,"변경관리예산";#N/A,#N/A,FALSE,"변경장비예산";#N/A,#N/A,FALSE,"변경준설예산";#N/A,#N/A,FALSE,"변경철구예산"}</definedName>
    <definedName name="래" hidden="1">{#N/A,#N/A,FALSE,"변경관리예산";#N/A,#N/A,FALSE,"변경장비예산";#N/A,#N/A,FALSE,"변경준설예산";#N/A,#N/A,FALSE,"변경철구예산"}</definedName>
    <definedName name="랴" localSheetId="0" hidden="1">{#N/A,#N/A,FALSE,"예상손익";#N/A,#N/A,FALSE,"관리분석";#N/A,#N/A,FALSE,"장비분석";#N/A,#N/A,FALSE,"준설분석";#N/A,#N/A,FALSE,"철구분석"}</definedName>
    <definedName name="랴" hidden="1">{#N/A,#N/A,FALSE,"예상손익";#N/A,#N/A,FALSE,"관리분석";#N/A,#N/A,FALSE,"장비분석";#N/A,#N/A,FALSE,"준설분석";#N/A,#N/A,FALSE,"철구분석"}</definedName>
    <definedName name="러러럴" localSheetId="0" hidden="1">{#N/A,#N/A,FALSE,"주간공정";#N/A,#N/A,FALSE,"주간보고";#N/A,#N/A,FALSE,"주간공정표"}</definedName>
    <definedName name="러러럴" hidden="1">{#N/A,#N/A,FALSE,"주간공정";#N/A,#N/A,FALSE,"주간보고";#N/A,#N/A,FALSE,"주간공정표"}</definedName>
    <definedName name="러헐" localSheetId="0" hidden="1">{#N/A,#N/A,FALSE,"도급대비시행율";#N/A,#N/A,FALSE,"결의서";#N/A,#N/A,FALSE,"내역서";#N/A,#N/A,FALSE,"도급예상"}</definedName>
    <definedName name="러헐" hidden="1">{#N/A,#N/A,FALSE,"도급대비시행율";#N/A,#N/A,FALSE,"결의서";#N/A,#N/A,FALSE,"내역서";#N/A,#N/A,FALSE,"도급예상"}</definedName>
    <definedName name="러ㅏㄹ" localSheetId="0" hidden="1">{#N/A,#N/A,FALSE,"주간공정";#N/A,#N/A,FALSE,"주간보고";#N/A,#N/A,FALSE,"주간공정표"}</definedName>
    <definedName name="러ㅏㄹ" hidden="1">{#N/A,#N/A,FALSE,"주간공정";#N/A,#N/A,FALSE,"주간보고";#N/A,#N/A,FALSE,"주간공정표"}</definedName>
    <definedName name="러ㅛㄷ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ㅛㄷ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렃퍼ㅗ" localSheetId="0" hidden="1">{#N/A,#N/A,FALSE,"집계표"}</definedName>
    <definedName name="렃퍼ㅗ" hidden="1">{#N/A,#N/A,FALSE,"집계표"}</definedName>
    <definedName name="련" localSheetId="0" hidden="1">{#N/A,#N/A,FALSE,"변경관리예산";#N/A,#N/A,FALSE,"변경장비예산";#N/A,#N/A,FALSE,"변경준설예산";#N/A,#N/A,FALSE,"변경철구예산"}</definedName>
    <definedName name="련" hidden="1">{#N/A,#N/A,FALSE,"변경관리예산";#N/A,#N/A,FALSE,"변경장비예산";#N/A,#N/A,FALSE,"변경준설예산";#N/A,#N/A,FALSE,"변경철구예산"}</definedName>
    <definedName name="로헝ㄱ" localSheetId="0" hidden="1">{#N/A,#N/A,FALSE,"집계표"}</definedName>
    <definedName name="로헝ㄱ" hidden="1">{#N/A,#N/A,FALSE,"집계표"}</definedName>
    <definedName name="로ㅓㄷ쇼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ㄷ쇼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롤" localSheetId="0" hidden="1">{#N/A,#N/A,TRUE,"960318-1";#N/A,#N/A,TRUE,"960318-2";#N/A,#N/A,TRUE,"960318-3"}</definedName>
    <definedName name="롤" hidden="1">{#N/A,#N/A,TRUE,"960318-1";#N/A,#N/A,TRUE,"960318-2";#N/A,#N/A,TRUE,"960318-3"}</definedName>
    <definedName name="롱" localSheetId="0" hidden="1">{#N/A,#N/A,TRUE,"960318-1";#N/A,#N/A,TRUE,"960318-2";#N/A,#N/A,TRUE,"960318-3"}</definedName>
    <definedName name="롱" hidden="1">{#N/A,#N/A,TRUE,"960318-1";#N/A,#N/A,TRUE,"960318-2";#N/A,#N/A,TRUE,"960318-3"}</definedName>
    <definedName name="롷ㅎㅎㅎㅎ" localSheetId="0" hidden="1">{#N/A,#N/A,FALSE,"집계표"}</definedName>
    <definedName name="롷ㅎㅎㅎㅎ" hidden="1">{#N/A,#N/A,FALSE,"집계표"}</definedName>
    <definedName name="료ㅏㅓ사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ㅏㅓ사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룰" localSheetId="0" hidden="1">{#N/A,#N/A,TRUE,"960318-1";#N/A,#N/A,TRUE,"960318-2";#N/A,#N/A,TRUE,"960318-3"}</definedName>
    <definedName name="룰" hidden="1">{#N/A,#N/A,TRUE,"960318-1";#N/A,#N/A,TRUE,"960318-2";#N/A,#N/A,TRUE,"960318-3"}</definedName>
    <definedName name="룸" localSheetId="0" hidden="1">{#N/A,#N/A,FALSE,"사업총괄";#N/A,#N/A,FALSE,"장비사업";#N/A,#N/A,FALSE,"철구사업";#N/A,#N/A,FALSE,"준설사업"}</definedName>
    <definedName name="룸" hidden="1">{#N/A,#N/A,FALSE,"사업총괄";#N/A,#N/A,FALSE,"장비사업";#N/A,#N/A,FALSE,"철구사업";#N/A,#N/A,FALSE,"준설사업"}</definedName>
    <definedName name="류ㅣㅏ" localSheetId="0" hidden="1">{#N/A,#N/A,FALSE,"집계표"}</definedName>
    <definedName name="류ㅣㅏ" hidden="1">{#N/A,#N/A,FALSE,"집계표"}</definedName>
    <definedName name="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ㄿ호ㅗㅗ" localSheetId="0" hidden="1">{#N/A,#N/A,FALSE,"집계표"}</definedName>
    <definedName name="ㄿ호ㅗㅗ" hidden="1">{#N/A,#N/A,FALSE,"집계표"}</definedName>
    <definedName name="ㅀㅅㄱ" localSheetId="0" hidden="1">{#N/A,#N/A,FALSE,"Sheet6"}</definedName>
    <definedName name="ㅀㅅㄱ" hidden="1">{#N/A,#N/A,FALSE,"Sheet6"}</definedName>
    <definedName name="ㅀㅇ" localSheetId="0" hidden="1">{#N/A,#N/A,FALSE,"집계표"}</definedName>
    <definedName name="ㅀㅇ" hidden="1">{#N/A,#N/A,FALSE,"집계표"}</definedName>
    <definedName name="ㅀ오ㅓㅎ롱ㄶㄹㄴ" localSheetId="0" hidden="1">{#N/A,#N/A,FALSE,"2~8번"}</definedName>
    <definedName name="ㅀ오ㅓㅎ롱ㄶㄹㄴ" hidden="1">{#N/A,#N/A,FALSE,"2~8번"}</definedName>
    <definedName name="ㅀㅎㅎㅇㅁㅎ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ㅎㅎㅇㅁㅎ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허" localSheetId="0" hidden="1">{#N/A,#N/A,FALSE,"CCTV"}</definedName>
    <definedName name="ㅀ허" hidden="1">{#N/A,#N/A,FALSE,"CCTV"}</definedName>
    <definedName name="ㅁㄱㄷㅋㄴㅇ" localSheetId="0" hidden="1">{#N/A,#N/A,FALSE,"집계표"}</definedName>
    <definedName name="ㅁㄱㄷㅋㄴㅇ" hidden="1">{#N/A,#N/A,FALSE,"집계표"}</definedName>
    <definedName name="ㅁㄱ솢ㅁ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ㄱ솢ㅁ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ㄹ" localSheetId="0" hidden="1">{#N/A,#N/A,FALSE,"집계표"}</definedName>
    <definedName name="ㅁㄴㄹ" hidden="1">{#N/A,#N/A,FALSE,"집계표"}</definedName>
    <definedName name="ㅁㄴㅁㅇ" localSheetId="1" hidden="1">[21]유림골조!#REF!</definedName>
    <definedName name="ㅁㄴㅁㅇ" localSheetId="0" hidden="1">[21]유림골조!#REF!</definedName>
    <definedName name="ㅁㄴㅁㅇ" localSheetId="2" hidden="1">[21]유림골조!#REF!</definedName>
    <definedName name="ㅁㄴㅁㅇ" hidden="1">[21]유림골조!#REF!</definedName>
    <definedName name="ㅁ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ㄹ" localSheetId="0" hidden="1">{#N/A,#N/A,FALSE,"집계표"}</definedName>
    <definedName name="ㅁㄴㅇㄹ" hidden="1">{#N/A,#N/A,FALSE,"집계표"}</definedName>
    <definedName name="ㅁㄴㅇㄻㄴㅇㄻㄴㄹ" localSheetId="0" hidden="1">{#N/A,#N/A,FALSE,"명세표"}</definedName>
    <definedName name="ㅁㄴㅇㄻㄴㅇㄻㄴㄹ" hidden="1">{#N/A,#N/A,FALSE,"명세표"}</definedName>
    <definedName name="ㅁㄴㅇㅀ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ㅀ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ㅁㄴㅇ" localSheetId="1" hidden="1">#REF!</definedName>
    <definedName name="ㅁㄴㅇㅁㄴㅇ" localSheetId="0" hidden="1">#REF!</definedName>
    <definedName name="ㅁㄴㅇㅁㄴㅇ" localSheetId="2" hidden="1">#REF!</definedName>
    <definedName name="ㅁㄴㅇㅁㄴㅇ" hidden="1">#REF!</definedName>
    <definedName name="ㅁㄴㅇㅁㅌㅋ" localSheetId="0" hidden="1">{#N/A,#N/A,FALSE,"집계표"}</definedName>
    <definedName name="ㅁㄴㅇㅁㅌㅋ" hidden="1">{#N/A,#N/A,FALSE,"집계표"}</definedName>
    <definedName name="ㅁㄴ아랴" localSheetId="0" hidden="1">{#N/A,#N/A,FALSE,"집계표"}</definedName>
    <definedName name="ㅁㄴ아랴" hidden="1">{#N/A,#N/A,FALSE,"집계표"}</definedName>
    <definedName name="ㅁㄴ아ㅓㄹ킽" localSheetId="0" hidden="1">{#N/A,#N/A,FALSE,"집계표"}</definedName>
    <definedName name="ㅁㄴ아ㅓㄹ킽" hidden="1">{#N/A,#N/A,FALSE,"집계표"}</definedName>
    <definedName name="ㅁㄴ아ㅓㅎ" localSheetId="0" hidden="1">{#N/A,#N/A,FALSE,"집계표"}</definedName>
    <definedName name="ㅁㄴ아ㅓㅎ" hidden="1">{#N/A,#N/A,FALSE,"집계표"}</definedName>
    <definedName name="ㅁㄴ얼" localSheetId="0" hidden="1">{#N/A,#N/A,FALSE,"집계표"}</definedName>
    <definedName name="ㅁㄴ얼" hidden="1">{#N/A,#N/A,FALSE,"집계표"}</definedName>
    <definedName name="ㅁ날어" localSheetId="0" hidden="1">{#N/A,#N/A,FALSE,"집계표"}</definedName>
    <definedName name="ㅁ날어" hidden="1">{#N/A,#N/A,FALSE,"집계표"}</definedName>
    <definedName name="ㅁ널머밀ㅇㄴ" localSheetId="0" hidden="1">{#N/A,#N/A,FALSE,"집계표"}</definedName>
    <definedName name="ㅁ널머밀ㅇㄴ" hidden="1">{#N/A,#N/A,FALSE,"집계표"}</definedName>
    <definedName name="ㅁ널이ㅏㅓㄴ" localSheetId="0" hidden="1">{#N/A,#N/A,FALSE,"집계표"}</definedName>
    <definedName name="ㅁ널이ㅏㅓㄴ" hidden="1">{#N/A,#N/A,FALSE,"집계표"}</definedName>
    <definedName name="ㅁ니ㅏㅎㅋㅇ" localSheetId="0" hidden="1">{#N/A,#N/A,FALSE,"집계표"}</definedName>
    <definedName name="ㅁ니ㅏㅎㅋㅇ" hidden="1">{#N/A,#N/A,FALSE,"집계표"}</definedName>
    <definedName name="ㅁㄶ리ㅏㅓ" localSheetId="0" hidden="1">{#N/A,#N/A,FALSE,"집계표"}</definedName>
    <definedName name="ㅁㄶ리ㅏㅓ" hidden="1">{#N/A,#N/A,FALSE,"집계표"}</definedName>
    <definedName name="ㅁㄶㅇ" localSheetId="0" hidden="1">{#N/A,#N/A,FALSE,"집계표"}</definedName>
    <definedName name="ㅁㄶㅇ" hidden="1">{#N/A,#N/A,FALSE,"집계표"}</definedName>
    <definedName name="ㅁㄷ고ㅠ모륟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고ㅠ모륟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나ㅓㅇㅇㅌ" localSheetId="0" hidden="1">{#N/A,#N/A,FALSE,"집계표"}</definedName>
    <definedName name="ㅁㄷ나ㅓㅇㅇㅌ" hidden="1">{#N/A,#N/A,FALSE,"집계표"}</definedName>
    <definedName name="ㅁㅁ" localSheetId="1" hidden="1">#REF!</definedName>
    <definedName name="ㅁㅁ" localSheetId="0" hidden="1">#REF!</definedName>
    <definedName name="ㅁㅁ" localSheetId="2" hidden="1">#REF!</definedName>
    <definedName name="ㅁㅁ" hidden="1">#REF!</definedName>
    <definedName name="ㅁㅁㅁ" localSheetId="0" hidden="1">{#N/A,#N/A,FALSE,"지침";#N/A,#N/A,FALSE,"환경분석";#N/A,#N/A,FALSE,"Sheet16"}</definedName>
    <definedName name="ㅁㅁㅁ" hidden="1">{#N/A,#N/A,FALSE,"지침";#N/A,#N/A,FALSE,"환경분석";#N/A,#N/A,FALSE,"Sheet16"}</definedName>
    <definedName name="ㅁㅁㅁㅁ" localSheetId="0" hidden="1">{#N/A,#N/A,FALSE,"지침";#N/A,#N/A,FALSE,"환경분석";#N/A,#N/A,FALSE,"Sheet16"}</definedName>
    <definedName name="ㅁㅁㅁㅁ" hidden="1">{#N/A,#N/A,FALSE,"지침";#N/A,#N/A,FALSE,"환경분석";#N/A,#N/A,FALSE,"Sheet16"}</definedName>
    <definedName name="ㅁㅁㅁㅁㅁ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ㅁ" localSheetId="1" hidden="1">#REF!</definedName>
    <definedName name="ㅁㅁㅁㅁㅁㅁ" localSheetId="0" hidden="1">#REF!</definedName>
    <definedName name="ㅁㅁㅁㅁㅁㅁ" localSheetId="2" hidden="1">#REF!</definedName>
    <definedName name="ㅁㅁㅁㅁㅁㅁ" hidden="1">#REF!</definedName>
    <definedName name="ㅁㅅㅅㅁㄱ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나ㅓ키ㅏㄴ" localSheetId="0" hidden="1">{#N/A,#N/A,FALSE,"집계표"}</definedName>
    <definedName name="ㅁㅇ나ㅓ키ㅏㄴ" hidden="1">{#N/A,#N/A,FALSE,"집계표"}</definedName>
    <definedName name="ㅁㅇㄹㅇㅎㄻㅍ" localSheetId="0" hidden="1">{#N/A,#N/A,FALSE,"집계표"}</definedName>
    <definedName name="ㅁㅇㄹㅇㅎㄻㅍ" hidden="1">{#N/A,#N/A,FALSE,"집계표"}</definedName>
    <definedName name="ㅁㅇㅀㅂ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ㅀㅂ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ㅇ" localSheetId="0" hidden="1">{#N/A,#N/A,FALSE,"Sheet1"}</definedName>
    <definedName name="ㅁㅇㅇ" hidden="1">{#N/A,#N/A,FALSE,"Sheet1"}</definedName>
    <definedName name="ㅁㅈㄷ" localSheetId="0" hidden="1">{#N/A,#N/A,FALSE,"배수1"}</definedName>
    <definedName name="ㅁㅈㄷ" hidden="1">{#N/A,#N/A,FALSE,"배수1"}</definedName>
    <definedName name="ㅁㅈㅂㄷㄺㅂ" localSheetId="0" hidden="1">{#N/A,#N/A,FALSE,"집계표"}</definedName>
    <definedName name="ㅁㅈㅂㄷㄺㅂ" hidden="1">{#N/A,#N/A,FALSE,"집계표"}</definedName>
    <definedName name="ㅁㅈ뱔ㅇ" localSheetId="0" hidden="1">{#N/A,#N/A,FALSE,"집계표"}</definedName>
    <definedName name="ㅁㅈ뱔ㅇ" hidden="1">{#N/A,#N/A,FALSE,"집계표"}</definedName>
    <definedName name="ㅁㅋㄴ이ㅏㄹ" localSheetId="0" hidden="1">{#N/A,#N/A,FALSE,"집계표"}</definedName>
    <definedName name="ㅁㅋㄴ이ㅏㄹ" hidden="1">{#N/A,#N/A,FALSE,"집계표"}</definedName>
    <definedName name="ㅁㅎ이ㅏ" localSheetId="0" hidden="1">{#N/A,#N/A,FALSE,"집계표"}</definedName>
    <definedName name="ㅁㅎ이ㅏ" hidden="1">{#N/A,#N/A,FALSE,"집계표"}</definedName>
    <definedName name="ㅁㅎㅎ" localSheetId="1" hidden="1">#REF!</definedName>
    <definedName name="ㅁㅎㅎ" localSheetId="0" hidden="1">#REF!</definedName>
    <definedName name="ㅁㅎㅎ" localSheetId="2" hidden="1">#REF!</definedName>
    <definedName name="ㅁㅎㅎ" hidden="1">#REF!</definedName>
    <definedName name="마널이ㅏ" localSheetId="0" hidden="1">{#N/A,#N/A,FALSE,"집계표"}</definedName>
    <definedName name="마널이ㅏ" hidden="1">{#N/A,#N/A,FALSE,"집계표"}</definedName>
    <definedName name="마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만득이" localSheetId="0" hidden="1">{#N/A,#N/A,FALSE,"2~8번"}</definedName>
    <definedName name="만득이" hidden="1">{#N/A,#N/A,FALSE,"2~8번"}</definedName>
    <definedName name="매입세액" localSheetId="0" hidden="1">{#N/A,#N/A,FALSE,"예상손익";#N/A,#N/A,FALSE,"관리분석";#N/A,#N/A,FALSE,"장비분석";#N/A,#N/A,FALSE,"준설분석";#N/A,#N/A,FALSE,"철구분석"}</definedName>
    <definedName name="매입세액" hidden="1">{#N/A,#N/A,FALSE,"예상손익";#N/A,#N/A,FALSE,"관리분석";#N/A,#N/A,FALSE,"장비분석";#N/A,#N/A,FALSE,"준설분석";#N/A,#N/A,FALSE,"철구분석"}</definedName>
    <definedName name="매출3" localSheetId="0" hidden="1">{#N/A,#N/A,FALSE,"지침";#N/A,#N/A,FALSE,"환경분석";#N/A,#N/A,FALSE,"Sheet16"}</definedName>
    <definedName name="매출3" hidden="1">{#N/A,#N/A,FALSE,"지침";#N/A,#N/A,FALSE,"환경분석";#N/A,#N/A,FALSE,"Sheet16"}</definedName>
    <definedName name="맨홀집계표" localSheetId="0" hidden="1">{#N/A,#N/A,FALSE,"포장단가"}</definedName>
    <definedName name="맨홀집계표" hidden="1">{#N/A,#N/A,FALSE,"포장단가"}</definedName>
    <definedName name="며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며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명일" localSheetId="0" hidden="1">{#N/A,#N/A,FALSE,"속도"}</definedName>
    <definedName name="명일" hidden="1">{#N/A,#N/A,FALSE,"속도"}</definedName>
    <definedName name="모" localSheetId="0" hidden="1">{#N/A,#N/A,FALSE,"변경관리예산";#N/A,#N/A,FALSE,"변경장비예산";#N/A,#N/A,FALSE,"변경준설예산";#N/A,#N/A,FALSE,"변경철구예산"}</definedName>
    <definedName name="모" hidden="1">{#N/A,#N/A,FALSE,"변경관리예산";#N/A,#N/A,FALSE,"변경장비예산";#N/A,#N/A,FALSE,"변경준설예산";#N/A,#N/A,FALSE,"변경철구예산"}</definedName>
    <definedName name="몬난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몬난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문서" localSheetId="0" hidden="1">{#N/A,#N/A,FALSE,"현장 NCR 분석";#N/A,#N/A,FALSE,"현장품질감사";#N/A,#N/A,FALSE,"현장품질감사"}</definedName>
    <definedName name="문서" hidden="1">{#N/A,#N/A,FALSE,"현장 NCR 분석";#N/A,#N/A,FALSE,"현장품질감사";#N/A,#N/A,FALSE,"현장품질감사"}</definedName>
    <definedName name="물" localSheetId="0" hidden="1">{#N/A,#N/A,FALSE,"이태원철근"}</definedName>
    <definedName name="물" hidden="1">{#N/A,#N/A,FALSE,"이태원철근"}</definedName>
    <definedName name="물가변동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량산출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근거" localSheetId="0" hidden="1">{#N/A,#N/A,FALSE,"도급대비시행율";#N/A,#N/A,FALSE,"결의서";#N/A,#N/A,FALSE,"내역서";#N/A,#N/A,FALSE,"도급예상"}</definedName>
    <definedName name="물량산출근거" hidden="1">{#N/A,#N/A,FALSE,"도급대비시행율";#N/A,#N/A,FALSE,"결의서";#N/A,#N/A,FALSE,"내역서";#N/A,#N/A,FALSE,"도급예상"}</definedName>
    <definedName name="물량산출랍" localSheetId="0" hidden="1">{#N/A,#N/A,FALSE,"Sheet1"}</definedName>
    <definedName name="물량산출랍" hidden="1">{#N/A,#N/A,FALSE,"Sheet1"}</definedName>
    <definedName name="뭐가이태원이야" localSheetId="0" hidden="1">{#N/A,#N/A,FALSE,"이태원철근"}</definedName>
    <definedName name="뭐가이태원이야" hidden="1">{#N/A,#N/A,FALSE,"이태원철근"}</definedName>
    <definedName name="므ㅓ" localSheetId="0" hidden="1">{#N/A,#N/A,FALSE,"집계표"}</definedName>
    <definedName name="므ㅓ" hidden="1">{#N/A,#N/A,FALSE,"집계표"}</definedName>
    <definedName name="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장물량" localSheetId="0" hidden="1">{#N/A,#N/A,FALSE,"Sheet1"}</definedName>
    <definedName name="미장물량" hidden="1">{#N/A,#N/A,FALSE,"Sheet1"}</definedName>
    <definedName name="미ㅣㅁ" localSheetId="0" hidden="1">{#N/A,#N/A,FALSE,"집계표"}</definedName>
    <definedName name="미ㅣㅁ" hidden="1">{#N/A,#N/A,FALSE,"집계표"}</definedName>
    <definedName name="민원관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관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품의" localSheetId="0" hidden="1">{#N/A,#N/A,FALSE,"변경관리예산";#N/A,#N/A,FALSE,"변경장비예산";#N/A,#N/A,FALSE,"변경준설예산";#N/A,#N/A,FALSE,"변경철구예산"}</definedName>
    <definedName name="민원품의" hidden="1">{#N/A,#N/A,FALSE,"변경관리예산";#N/A,#N/A,FALSE,"변경장비예산";#N/A,#N/A,FALSE,"변경준설예산";#N/A,#N/A,FALSE,"변경철구예산"}</definedName>
    <definedName name="민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민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2ㅂ2" localSheetId="0" hidden="1">{#N/A,#N/A,FALSE,"배수1"}</definedName>
    <definedName name="ㅂ2ㅂ2" hidden="1">{#N/A,#N/A,FALSE,"배수1"}</definedName>
    <definedName name="ㅂㄳ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ㄳ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ㄷㅂㄱ" localSheetId="1" hidden="1">#REF!</definedName>
    <definedName name="ㅂㄷㄳㄷㅂㄱ" localSheetId="0" hidden="1">#REF!</definedName>
    <definedName name="ㅂㄷㄳㄷㅂㄱ" localSheetId="2" hidden="1">#REF!</definedName>
    <definedName name="ㅂㄷㄳㄷㅂㄱ" hidden="1">#REF!</definedName>
    <definedName name="ㅂㄷㅅㅄ" localSheetId="1" hidden="1">#REF!</definedName>
    <definedName name="ㅂㄷㅅㅄ" localSheetId="0" hidden="1">#REF!</definedName>
    <definedName name="ㅂㄷㅅㅄ" localSheetId="2" hidden="1">#REF!</definedName>
    <definedName name="ㅂㄷㅅㅄ" hidden="1">#REF!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localSheetId="0" hidden="1">{"'용역비'!$A$4:$C$8"}</definedName>
    <definedName name="ㅂㅂㅂ" hidden="1">{"'용역비'!$A$4:$C$8"}</definedName>
    <definedName name="ㅂㅂㅂㅂㅂ" localSheetId="0" hidden="1">{"'별표'!$N$220"}</definedName>
    <definedName name="ㅂㅂㅂㅂㅂ" hidden="1">{"'별표'!$N$220"}</definedName>
    <definedName name="ㅂㅂㅂㅂㅂㅂ" localSheetId="0" hidden="1">{#N/A,#N/A,FALSE,"지침";#N/A,#N/A,FALSE,"환경분석";#N/A,#N/A,FALSE,"Sheet16"}</definedName>
    <definedName name="ㅂㅂㅂㅂㅂㅂ" hidden="1">{#N/A,#N/A,FALSE,"지침";#N/A,#N/A,FALSE,"환경분석";#N/A,#N/A,FALSE,"Sheet16"}</definedName>
    <definedName name="ㅂㅈ" localSheetId="0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ㅂㅈㄷㄱ" localSheetId="0" hidden="1">{#N/A,#N/A,FALSE,"지침";#N/A,#N/A,FALSE,"환경분석";#N/A,#N/A,FALSE,"Sheet16"}</definedName>
    <definedName name="ㅂㅈㄷㄱ" hidden="1">{#N/A,#N/A,FALSE,"지침";#N/A,#N/A,FALSE,"환경분석";#N/A,#N/A,FALSE,"Sheet16"}</definedName>
    <definedName name="ㅂㅈㄷ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ㄷ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쟈ㅕㅑㅂ1" localSheetId="0" hidden="1">{#N/A,#N/A,FALSE,"배수1"}</definedName>
    <definedName name="ㅂ쟈ㅕㅑㅂ1" hidden="1">{#N/A,#N/A,FALSE,"배수1"}</definedName>
    <definedName name="바부" localSheetId="0" hidden="1">{"'용역비'!$A$4:$C$8"}</definedName>
    <definedName name="바부" hidden="1">{"'용역비'!$A$4:$C$8"}</definedName>
    <definedName name="박" localSheetId="0" hidden="1">{#N/A,#N/A,FALSE,"구조1"}</definedName>
    <definedName name="박" hidden="1">{#N/A,#N/A,FALSE,"구조1"}</definedName>
    <definedName name="박상열" localSheetId="0" hidden="1">{#N/A,#N/A,FALSE,"현장 NCR 분석";#N/A,#N/A,FALSE,"현장품질감사";#N/A,#N/A,FALSE,"현장품질감사"}</definedName>
    <definedName name="박상열" hidden="1">{#N/A,#N/A,FALSE,"현장 NCR 분석";#N/A,#N/A,FALSE,"현장품질감사";#N/A,#N/A,FALSE,"현장품질감사"}</definedName>
    <definedName name="방" localSheetId="0" hidden="1">{#N/A,#N/A,TRUE,"960318-1";#N/A,#N/A,TRUE,"960318-2";#N/A,#N/A,TRUE,"960318-3"}</definedName>
    <definedName name="방" hidden="1">{#N/A,#N/A,TRUE,"960318-1";#N/A,#N/A,TRUE,"960318-2";#N/A,#N/A,TRUE,"960318-3"}</definedName>
    <definedName name="방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시방1" localSheetId="0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배수공집계_주요자재" localSheetId="0" hidden="1">{#N/A,#N/A,FALSE,"포장단가"}</definedName>
    <definedName name="배수공집계_주요자재" hidden="1">{#N/A,#N/A,FALSE,"포장단가"}</definedName>
    <definedName name="벙" localSheetId="0" hidden="1">{#N/A,#N/A,FALSE,"Sheet6"}</definedName>
    <definedName name="벙" hidden="1">{#N/A,#N/A,FALSE,"Sheet6"}</definedName>
    <definedName name="벽체" localSheetId="0" hidden="1">{#N/A,#N/A,FALSE,"혼합골재"}</definedName>
    <definedName name="벽체" hidden="1">{#N/A,#N/A,FALSE,"혼합골재"}</definedName>
    <definedName name="변경2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변경2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보고자료" localSheetId="0" hidden="1">{#N/A,#N/A,FALSE,"집계표"}</definedName>
    <definedName name="보고자료" hidden="1">{#N/A,#N/A,FALSE,"집계표"}</definedName>
    <definedName name="보링" localSheetId="0" hidden="1">{#N/A,#N/A,FALSE,"포장2"}</definedName>
    <definedName name="보링" hidden="1">{#N/A,#N/A,FALSE,"포장2"}</definedName>
    <definedName name="보오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평" localSheetId="0" hidden="1">{#N/A,#N/A,FALSE,"전력간선"}</definedName>
    <definedName name="보평" hidden="1">{#N/A,#N/A,FALSE,"전력간선"}</definedName>
    <definedName name="보평1" localSheetId="0" hidden="1">{#N/A,#N/A,FALSE,"전력간선"}</definedName>
    <definedName name="보평1" hidden="1">{#N/A,#N/A,FALSE,"전력간선"}</definedName>
    <definedName name="복사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사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ㅇ" localSheetId="0" hidden="1">{#N/A,#N/A,FALSE,"부대2"}</definedName>
    <definedName name="복ㅇ" hidden="1">{#N/A,#N/A,FALSE,"부대2"}</definedName>
    <definedName name="복지" localSheetId="1" hidden="1">#REF!</definedName>
    <definedName name="복지" localSheetId="0" hidden="1">#REF!</definedName>
    <definedName name="복지" localSheetId="2" hidden="1">#REF!</definedName>
    <definedName name="복지" hidden="1">#REF!</definedName>
    <definedName name="봉" localSheetId="0" hidden="1">{#N/A,#N/A,TRUE,"960318-1";#N/A,#N/A,TRUE,"960318-2";#N/A,#N/A,TRUE,"960318-3"}</definedName>
    <definedName name="봉" hidden="1">{#N/A,#N/A,TRUE,"960318-1";#N/A,#N/A,TRUE,"960318-2";#N/A,#N/A,TRUE,"960318-3"}</definedName>
    <definedName name="뵤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뵤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" localSheetId="0" hidden="1">{#N/A,#N/A,FALSE,"현장 NCR 분석";#N/A,#N/A,FALSE,"현장품질감사";#N/A,#N/A,FALSE,"현장품질감사"}</definedName>
    <definedName name="부" hidden="1">{#N/A,#N/A,FALSE,"현장 NCR 분석";#N/A,#N/A,FALSE,"현장품질감사";#N/A,#N/A,FALSE,"현장품질감사"}</definedName>
    <definedName name="부대a" localSheetId="0" hidden="1">{#N/A,#N/A,FALSE,"골재소요량";#N/A,#N/A,FALSE,"골재소요량"}</definedName>
    <definedName name="부대a" hidden="1">{#N/A,#N/A,FALSE,"골재소요량";#N/A,#N/A,FALSE,"골재소요량"}</definedName>
    <definedName name="부대건축2" localSheetId="1" hidden="1">[22]유림골조!#REF!</definedName>
    <definedName name="부대건축2" localSheetId="0" hidden="1">[22]유림골조!#REF!</definedName>
    <definedName name="부대건축2" localSheetId="2" hidden="1">[22]유림골조!#REF!</definedName>
    <definedName name="부대건축2" hidden="1">[22]유림골조!#REF!</definedName>
    <definedName name="부대구조" localSheetId="0" hidden="1">{#N/A,#N/A,FALSE,"골재소요량";#N/A,#N/A,FALSE,"골재소요량"}</definedName>
    <definedName name="부대구조" hidden="1">{#N/A,#N/A,FALSE,"골재소요량";#N/A,#N/A,FALSE,"골재소요량"}</definedName>
    <definedName name="부대방안" localSheetId="0" hidden="1">{#N/A,#N/A,FALSE,"단가표지"}</definedName>
    <definedName name="부대방안" hidden="1">{#N/A,#N/A,FALSE,"단가표지"}</definedName>
    <definedName name="부대실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실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원가" localSheetId="0" hidden="1">{#N/A,#N/A,FALSE,"배수2"}</definedName>
    <definedName name="부대원가" hidden="1">{#N/A,#N/A,FALSE,"배수2"}</definedName>
    <definedName name="부대원본" localSheetId="0" hidden="1">{#N/A,#N/A,FALSE,"토공2"}</definedName>
    <definedName name="부대원본" hidden="1">{#N/A,#N/A,FALSE,"토공2"}</definedName>
    <definedName name="부대철콘" localSheetId="0" hidden="1">{#N/A,#N/A,FALSE,"배수1"}</definedName>
    <definedName name="부대철콘" hidden="1">{#N/A,#N/A,FALSE,"배수1"}</definedName>
    <definedName name="부대토공" localSheetId="0" hidden="1">{#N/A,#N/A,FALSE,"구조2"}</definedName>
    <definedName name="부대토공" hidden="1">{#N/A,#N/A,FALSE,"구조2"}</definedName>
    <definedName name="부대토공2" localSheetId="0" hidden="1">{#N/A,#N/A,FALSE,"구조2"}</definedName>
    <definedName name="부대토공2" hidden="1">{#N/A,#N/A,FALSE,"구조2"}</definedName>
    <definedName name="부산주경기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천상동조경" localSheetId="0" hidden="1">{#N/A,#N/A,FALSE,"표지"}</definedName>
    <definedName name="부천상동조경" hidden="1">{#N/A,#N/A,FALSE,"표지"}</definedName>
    <definedName name="분" localSheetId="0" hidden="1">{#N/A,#N/A,FALSE,"이태원철근"}</definedName>
    <definedName name="분" hidden="1">{#N/A,#N/A,FALSE,"이태원철근"}</definedName>
    <definedName name="분당공" localSheetId="1" hidden="1">#REF!</definedName>
    <definedName name="분당공" localSheetId="0" hidden="1">#REF!</definedName>
    <definedName name="분당공" localSheetId="2" hidden="1">#REF!</definedName>
    <definedName name="분당공" hidden="1">#REF!</definedName>
    <definedName name="분당물가" localSheetId="1" hidden="1">#REF!</definedName>
    <definedName name="분당물가" localSheetId="0" hidden="1">#REF!</definedName>
    <definedName name="분당물가" localSheetId="2" hidden="1">#REF!</definedName>
    <definedName name="분당물가" hidden="1">#REF!</definedName>
    <definedName name="분당코아" localSheetId="1" hidden="1">#REF!</definedName>
    <definedName name="분당코아" localSheetId="0" hidden="1">#REF!</definedName>
    <definedName name="분당코아" localSheetId="2" hidden="1">#REF!</definedName>
    <definedName name="분당코아" hidden="1">#REF!</definedName>
    <definedName name="분당협조" localSheetId="0" hidden="1">{#N/A,#N/A,FALSE,"이태원철근"}</definedName>
    <definedName name="분당협조" hidden="1">{#N/A,#N/A,FALSE,"이태원철근"}</definedName>
    <definedName name="분석" localSheetId="0" hidden="1">{#N/A,#N/A,FALSE,"예상손익";#N/A,#N/A,FALSE,"관리분석";#N/A,#N/A,FALSE,"장비분석";#N/A,#N/A,FALSE,"준설분석";#N/A,#N/A,FALSE,"철구분석"}</definedName>
    <definedName name="분석" hidden="1">{#N/A,#N/A,FALSE,"예상손익";#N/A,#N/A,FALSE,"관리분석";#N/A,#N/A,FALSE,"장비분석";#N/A,#N/A,FALSE,"준설분석";#N/A,#N/A,FALSE,"철구분석"}</definedName>
    <definedName name="분석변경" localSheetId="0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분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비과세" localSheetId="1" hidden="1">#REF!</definedName>
    <definedName name="비과세" localSheetId="0" hidden="1">#REF!</definedName>
    <definedName name="비과세" localSheetId="2" hidden="1">#REF!</definedName>
    <definedName name="비과세" hidden="1">#REF!</definedName>
    <definedName name="뽕" localSheetId="0" hidden="1">{#N/A,#N/A,TRUE,"960318-1";#N/A,#N/A,TRUE,"960318-2";#N/A,#N/A,TRUE,"960318-3"}</definedName>
    <definedName name="뽕" hidden="1">{#N/A,#N/A,TRUE,"960318-1";#N/A,#N/A,TRUE,"960318-2";#N/A,#N/A,TRUE,"960318-3"}</definedName>
    <definedName name="ㅄ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ㅄ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54ㅛㄳ" localSheetId="1" hidden="1">#REF!</definedName>
    <definedName name="ㅅ54ㅛㄳ" localSheetId="0" hidden="1">#REF!</definedName>
    <definedName name="ㅅ54ㅛㄳ" localSheetId="2" hidden="1">#REF!</definedName>
    <definedName name="ㅅ54ㅛㄳ" hidden="1">#REF!</definedName>
    <definedName name="ㅅㄱ" localSheetId="1" hidden="1">[23]내역서!#REF!</definedName>
    <definedName name="ㅅㄱ" localSheetId="0" hidden="1">[23]내역서!#REF!</definedName>
    <definedName name="ㅅㄱ" localSheetId="2" hidden="1">[23]내역서!#REF!</definedName>
    <definedName name="ㅅㄱ" hidden="1">[23]내역서!#REF!</definedName>
    <definedName name="ㅅㄱㄱㄷ" localSheetId="0" hidden="1">{#N/A,#N/A,FALSE,"집계표"}</definedName>
    <definedName name="ㅅㄱㄱㄷ" hidden="1">{#N/A,#N/A,FALSE,"집계표"}</definedName>
    <definedName name="ㅅㄱㄷㅅㄱㄷ" localSheetId="0" hidden="1">{#N/A,#N/A,FALSE,"구조2"}</definedName>
    <definedName name="ㅅㄱㄷㅅㄱㄷ" hidden="1">{#N/A,#N/A,FALSE,"구조2"}</definedName>
    <definedName name="ㅅㄱㄷㅅㄷㄱ" localSheetId="0" hidden="1">{#N/A,#N/A,FALSE,"단가표지"}</definedName>
    <definedName name="ㅅㄱㄷㅅㄷㄱ" hidden="1">{#N/A,#N/A,FALSE,"단가표지"}</definedName>
    <definedName name="ㅅㄱㄷㅅㄷㄳ" localSheetId="0" hidden="1">{#N/A,#N/A,FALSE,"골재소요량";#N/A,#N/A,FALSE,"골재소요량"}</definedName>
    <definedName name="ㅅㄱㄷㅅㄷㄳ" hidden="1">{#N/A,#N/A,FALSE,"골재소요량";#N/A,#N/A,FALSE,"골재소요량"}</definedName>
    <definedName name="ㅅㄱ혿ㄱㅎ" localSheetId="0" hidden="1">{#N/A,#N/A,FALSE,"Sheet6"}</definedName>
    <definedName name="ㅅㄱ혿ㄱㅎ" hidden="1">{#N/A,#N/A,FALSE,"Sheet6"}</definedName>
    <definedName name="ㅅ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곣ㅈ궈ㅕ" localSheetId="1" hidden="1">#REF!</definedName>
    <definedName name="ㅅ곣ㅈ궈ㅕ" localSheetId="0" hidden="1">#REF!</definedName>
    <definedName name="ㅅ곣ㅈ궈ㅕ" localSheetId="2" hidden="1">#REF!</definedName>
    <definedName name="ㅅ곣ㅈ궈ㅕ" hidden="1">#REF!</definedName>
    <definedName name="ㅅ굔ㄱㄷ" localSheetId="0" hidden="1">{#N/A,#N/A,FALSE,"Sheet6"}</definedName>
    <definedName name="ㅅ굔ㄱㄷ" hidden="1">{#N/A,#N/A,FALSE,"Sheet6"}</definedName>
    <definedName name="ㅅ굦ㄷㄱ" localSheetId="0" hidden="1">{#N/A,#N/A,FALSE,"집계표"}</definedName>
    <definedName name="ㅅ굦ㄷㄱ" hidden="1">{#N/A,#N/A,FALSE,"집계표"}</definedName>
    <definedName name="ㅅ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ㅅ" localSheetId="1" hidden="1">#REF!</definedName>
    <definedName name="ㅅㅅ" localSheetId="0" hidden="1">#REF!</definedName>
    <definedName name="ㅅㅅ" localSheetId="2" hidden="1">#REF!</definedName>
    <definedName name="ㅅㅅ" hidden="1">#REF!</definedName>
    <definedName name="ㅅㅅㅅㅅ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ㅅㅅㅅ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숃쇼됻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숃쇼됻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ㅎㅌㅇ료" localSheetId="0" hidden="1">{#N/A,#N/A,FALSE,"집계표"}</definedName>
    <definedName name="ㅅㅎㅌㅇ료" hidden="1">{#N/A,#N/A,FALSE,"집계표"}</definedName>
    <definedName name="ㅅㅓ" localSheetId="1" hidden="1">#REF!</definedName>
    <definedName name="ㅅㅓ" localSheetId="0" hidden="1">#REF!</definedName>
    <definedName name="ㅅㅓ" localSheetId="2" hidden="1">#REF!</definedName>
    <definedName name="ㅅㅓ" hidden="1">#REF!</definedName>
    <definedName name="사" localSheetId="1" hidden="1">#REF!</definedName>
    <definedName name="사" localSheetId="0" hidden="1">#REF!</definedName>
    <definedName name="사" localSheetId="2" hidden="1">#REF!</definedName>
    <definedName name="사" hidden="1">#REF!</definedName>
    <definedName name="사1" localSheetId="0" hidden="1">{#N/A,#N/A,FALSE,"지침";#N/A,#N/A,FALSE,"환경분석";#N/A,#N/A,FALSE,"Sheet16"}</definedName>
    <definedName name="사1" hidden="1">{#N/A,#N/A,FALSE,"지침";#N/A,#N/A,FALSE,"환경분석";#N/A,#N/A,FALSE,"Sheet16"}</definedName>
    <definedName name="사급" localSheetId="0" hidden="1">{#N/A,#N/A,FALSE,"배수2"}</definedName>
    <definedName name="사급" hidden="1">{#N/A,#N/A,FALSE,"배수2"}</definedName>
    <definedName name="사면녹화공" localSheetId="0" hidden="1">{#N/A,#N/A,FALSE,"CCTV"}</definedName>
    <definedName name="사면녹화공" hidden="1">{#N/A,#N/A,FALSE,"CCTV"}</definedName>
    <definedName name="사ㅓ다ㅓ더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ㅓ다ㅓ더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갑" localSheetId="0" hidden="1">{#N/A,#N/A,FALSE,"구조2"}</definedName>
    <definedName name="산출갑" hidden="1">{#N/A,#N/A,FALSE,"구조2"}</definedName>
    <definedName name="산출근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근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호" localSheetId="0" hidden="1">{#N/A,#N/A,FALSE,"배수2"}</definedName>
    <definedName name="삼호" hidden="1">{#N/A,#N/A,FALSE,"배수2"}</definedName>
    <definedName name="삽" localSheetId="0" hidden="1">{#N/A,#N/A,FALSE,"Sheet6"}</definedName>
    <definedName name="삽" hidden="1">{#N/A,#N/A,FALSE,"Sheet6"}</definedName>
    <definedName name="상봉" localSheetId="0" hidden="1">{#N/A,#N/A,TRUE,"960318-1";#N/A,#N/A,TRUE,"960318-2";#N/A,#N/A,TRUE,"960318-3"}</definedName>
    <definedName name="상봉" hidden="1">{#N/A,#N/A,TRUE,"960318-1";#N/A,#N/A,TRUE,"960318-2";#N/A,#N/A,TRUE,"960318-3"}</definedName>
    <definedName name="상주" localSheetId="0" hidden="1">{#N/A,#N/A,FALSE,"지침";#N/A,#N/A,FALSE,"환경분석";#N/A,#N/A,FALSE,"Sheet16"}</definedName>
    <definedName name="상주" hidden="1">{#N/A,#N/A,FALSE,"지침";#N/A,#N/A,FALSE,"환경분석";#N/A,#N/A,FALSE,"Sheet16"}</definedName>
    <definedName name="상주감리" localSheetId="0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새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공통" localSheetId="0" hidden="1">{#N/A,#N/A,FALSE,"이태원철근"}</definedName>
    <definedName name="새공통" hidden="1">{#N/A,#N/A,FALSE,"이태원철근"}</definedName>
    <definedName name="새내역서" localSheetId="0" hidden="1">{#N/A,#N/A,FALSE,"Sheet1"}</definedName>
    <definedName name="새내역서" hidden="1">{#N/A,#N/A,FALSE,"Sheet1"}</definedName>
    <definedName name="서거ㅜㅛㅛ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거ㅜㅛㅛ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아" localSheetId="0" hidden="1">{#N/A,#N/A,FALSE,"집계표"}</definedName>
    <definedName name="서아" hidden="1">{#N/A,#N/A,FALSE,"집계표"}</definedName>
    <definedName name="서ㅛ거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ㅛ거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석" localSheetId="0" hidden="1">{#N/A,#N/A,FALSE,"지침";#N/A,#N/A,FALSE,"환경분석";#N/A,#N/A,FALSE,"Sheet16"}</definedName>
    <definedName name="석" hidden="1">{#N/A,#N/A,FALSE,"지침";#N/A,#N/A,FALSE,"환경분석";#N/A,#N/A,FALSE,"Sheet16"}</definedName>
    <definedName name="석재받은의뢰업체" hidden="1">255</definedName>
    <definedName name="선택" localSheetId="0" hidden="1">{#N/A,#N/A,FALSE,"지침";#N/A,#N/A,FALSE,"환경분석";#N/A,#N/A,FALSE,"Sheet16"}</definedName>
    <definedName name="선택" hidden="1">{#N/A,#N/A,FALSE,"지침";#N/A,#N/A,FALSE,"환경분석";#N/A,#N/A,FALSE,"Sheet16"}</definedName>
    <definedName name="설계서" localSheetId="0" hidden="1">{#N/A,#N/A,FALSE,"전력간선"}</definedName>
    <definedName name="설계서" hidden="1">{#N/A,#N/A,FALSE,"전력간선"}</definedName>
    <definedName name="설명" localSheetId="0" hidden="1">{#N/A,#N/A,FALSE,"부대1"}</definedName>
    <definedName name="설명" hidden="1">{#N/A,#N/A,FALSE,"부대1"}</definedName>
    <definedName name="설명서" localSheetId="0" hidden="1">{#N/A,#N/A,FALSE,"포장1";#N/A,#N/A,FALSE,"포장1"}</definedName>
    <definedName name="설명서" hidden="1">{#N/A,#N/A,FALSE,"포장1";#N/A,#N/A,FALSE,"포장1"}</definedName>
    <definedName name="성도" localSheetId="0" hidden="1">{#N/A,#N/A,TRUE,"960318-1";#N/A,#N/A,TRUE,"960318-2";#N/A,#N/A,TRUE,"960318-3"}</definedName>
    <definedName name="성도" hidden="1">{#N/A,#N/A,TRUE,"960318-1";#N/A,#N/A,TRUE,"960318-2";#N/A,#N/A,TRUE,"960318-3"}</definedName>
    <definedName name="세전익익" localSheetId="0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셔다뎌ㅕㅕ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뎌ㅕㅕ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요계획2" localSheetId="0" hidden="1">{#N/A,#N/A,FALSE,"예상손익";#N/A,#N/A,FALSE,"관리분석";#N/A,#N/A,FALSE,"장비분석";#N/A,#N/A,FALSE,"준설분석";#N/A,#N/A,FALSE,"철구분석"}</definedName>
    <definedName name="소요계획2" hidden="1">{#N/A,#N/A,FALSE,"예상손익";#N/A,#N/A,FALSE,"관리분석";#N/A,#N/A,FALSE,"장비분석";#N/A,#N/A,FALSE,"준설분석";#N/A,#N/A,FALSE,"철구분석"}</definedName>
    <definedName name="소화갑지" localSheetId="0" hidden="1">{#N/A,#N/A,FALSE,"CCTV"}</definedName>
    <definedName name="소화갑지" hidden="1">{#N/A,#N/A,FALSE,"CCTV"}</definedName>
    <definedName name="소ㅓㅏㅈㄴ서ㅡㅜㅊ크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ㅓㅏㅈㄴ서ㅡㅜㅊ크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손익변경" localSheetId="0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솓소돋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솓소돋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" localSheetId="0" hidden="1">{#N/A,#N/A,FALSE,"포장1";#N/A,#N/A,FALSE,"포장1"}</definedName>
    <definedName name="쇼" hidden="1">{#N/A,#N/A,FALSE,"포장1";#N/A,#N/A,FALSE,"포장1"}</definedName>
    <definedName name="쇼더ㅕ뎌ㅛ더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뎌ㅛ더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ㅅ" localSheetId="0" hidden="1">{#N/A,#N/A,FALSE,"Sheet6"}</definedName>
    <definedName name="쇼ㅏㅅ" hidden="1">{#N/A,#N/A,FALSE,"Sheet6"}</definedName>
    <definedName name="쇼ㅏㅕ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ㅕ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ㄹ" localSheetId="0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쇼ㅓㅅ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ㅅ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ㅎㄹ" localSheetId="0" hidden="1">{#N/A,#N/A,FALSE,"집계표"}</definedName>
    <definedName name="쇼ㅓㅎㄹ" hidden="1">{#N/A,#N/A,FALSE,"집계표"}</definedName>
    <definedName name="쇼ㅓㅏ뎌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뎌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숏교" localSheetId="0" hidden="1">{#N/A,#N/A,FALSE,"Sheet6"}</definedName>
    <definedName name="숏교" hidden="1">{#N/A,#N/A,FALSE,"Sheet6"}</definedName>
    <definedName name="수" localSheetId="1" hidden="1">#REF!</definedName>
    <definedName name="수" localSheetId="0" hidden="1">#REF!</definedName>
    <definedName name="수" localSheetId="2" hidden="1">#REF!</definedName>
    <definedName name="수" hidden="1">#REF!</definedName>
    <definedName name="수량산출근거" localSheetId="0" hidden="1">{#N/A,#N/A,FALSE,"표지"}</definedName>
    <definedName name="수량산출근거" hidden="1">{#N/A,#N/A,FALSE,"표지"}</definedName>
    <definedName name="수량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량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정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정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ㅗ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ㅗ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ㅠㅁ" localSheetId="0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순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숱" localSheetId="0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승" localSheetId="0" hidden="1">{#N/A,#N/A,FALSE,"지침";#N/A,#N/A,FALSE,"환경분석";#N/A,#N/A,FALSE,"Sheet16"}</definedName>
    <definedName name="승" hidden="1">{#N/A,#N/A,FALSE,"지침";#N/A,#N/A,FALSE,"환경분석";#N/A,#N/A,FALSE,"Sheet16"}</definedName>
    <definedName name="시행" localSheetId="0" hidden="1">{#N/A,#N/A,FALSE,"이태원철근"}</definedName>
    <definedName name="시행" hidden="1">{#N/A,#N/A,FALSE,"이태원철근"}</definedName>
    <definedName name="시험실과식당" localSheetId="0" hidden="1">{#N/A,#N/A,FALSE,"사업총괄";#N/A,#N/A,FALSE,"장비사업";#N/A,#N/A,FALSE,"철구사업";#N/A,#N/A,FALSE,"준설사업"}</definedName>
    <definedName name="시험실과식당" hidden="1">{#N/A,#N/A,FALSE,"사업총괄";#N/A,#N/A,FALSE,"장비사업";#N/A,#N/A,FALSE,"철구사업";#N/A,#N/A,FALSE,"준설사업"}</definedName>
    <definedName name="신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안" localSheetId="0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신화" localSheetId="0" hidden="1">{#N/A,#N/A,TRUE,"960318-1";#N/A,#N/A,TRUE,"960318-2";#N/A,#N/A,TRUE,"960318-3"}</definedName>
    <definedName name="신화" hidden="1">{#N/A,#N/A,TRUE,"960318-1";#N/A,#N/A,TRUE,"960318-2";#N/A,#N/A,TRUE,"960318-3"}</definedName>
    <definedName name="실행금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실행금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ㄱ로ㅕㅛ" localSheetId="0" hidden="1">{#N/A,#N/A,FALSE,"집계표"}</definedName>
    <definedName name="ㅇㄱ로ㅕㅛ" hidden="1">{#N/A,#N/A,FALSE,"집계표"}</definedName>
    <definedName name="ㅇ거" localSheetId="0" hidden="1">{#N/A,#N/A,FALSE,"집계표"}</definedName>
    <definedName name="ㅇ거" hidden="1">{#N/A,#N/A,FALSE,"집계표"}</definedName>
    <definedName name="ㅇㄳㄹ호" localSheetId="0" hidden="1">{#N/A,#N/A,FALSE,"집계표"}</definedName>
    <definedName name="ㅇㄳㄹ호" hidden="1">{#N/A,#N/A,FALSE,"집계표"}</definedName>
    <definedName name="ㅇㄴㄱ숖ㅊ" localSheetId="0" hidden="1">{#N/A,#N/A,FALSE,"집계표"}</definedName>
    <definedName name="ㅇㄴㄱ숖ㅊ" hidden="1">{#N/A,#N/A,FALSE,"집계표"}</definedName>
    <definedName name="ㅇㄴ굫ㅅ" localSheetId="0" hidden="1">{#N/A,#N/A,FALSE,"집계표"}</definedName>
    <definedName name="ㅇㄴ굫ㅅ" hidden="1">{#N/A,#N/A,FALSE,"집계표"}</definedName>
    <definedName name="ㅇㄴㄴㄴㄴㄴㄴㄴㄴ" localSheetId="0" hidden="1">{#N/A,#N/A,FALSE,"집계표"}</definedName>
    <definedName name="ㅇㄴㄴㄴㄴㄴㄴㄴㄴ" hidden="1">{#N/A,#N/A,FALSE,"집계표"}</definedName>
    <definedName name="ㅇㄴㄹㅎ" localSheetId="0" hidden="1">{#N/A,#N/A,FALSE,"집계표"}</definedName>
    <definedName name="ㅇㄴㄹㅎ" hidden="1">{#N/A,#N/A,FALSE,"집계표"}</definedName>
    <definedName name="ㅇㄴㄹ해" localSheetId="0" hidden="1">{#N/A,#N/A,FALSE,"집계표"}</definedName>
    <definedName name="ㅇㄴㄹ해" hidden="1">{#N/A,#N/A,FALSE,"집계표"}</definedName>
    <definedName name="ㅇㄴㄹ혼" localSheetId="0" hidden="1">{#N/A,#N/A,FALSE,"집계표"}</definedName>
    <definedName name="ㅇㄴㄹ혼" hidden="1">{#N/A,#N/A,FALSE,"집계표"}</definedName>
    <definedName name="ㅇㄴㄹ히ㅑㅓ" localSheetId="0" hidden="1">{#N/A,#N/A,FALSE,"집계표"}</definedName>
    <definedName name="ㅇㄴㄹ히ㅑㅓ" hidden="1">{#N/A,#N/A,FALSE,"집계표"}</definedName>
    <definedName name="ㅇㄴ라ㅔㅐ" localSheetId="0" hidden="1">{#N/A,#N/A,FALSE,"집계표"}</definedName>
    <definedName name="ㅇㄴ라ㅔㅐ" hidden="1">{#N/A,#N/A,FALSE,"집계표"}</definedName>
    <definedName name="ㅇㄴ로" localSheetId="0" hidden="1">{#N/A,#N/A,FALSE,"집계표"}</definedName>
    <definedName name="ㅇㄴ로" hidden="1">{#N/A,#N/A,FALSE,"집계표"}</definedName>
    <definedName name="ㅇㄴ로ㅗㅗㅗㅗㅗㅗㅗㅗ" localSheetId="0" hidden="1">{#N/A,#N/A,FALSE,"집계표"}</definedName>
    <definedName name="ㅇㄴ로ㅗㅗㅗㅗㅗㅗㅗㅗ" hidden="1">{#N/A,#N/A,FALSE,"집계표"}</definedName>
    <definedName name="ㅇㄴ롷" localSheetId="0" hidden="1">{#N/A,#N/A,FALSE,"집계표"}</definedName>
    <definedName name="ㅇㄴ롷" hidden="1">{#N/A,#N/A,FALSE,"집계표"}</definedName>
    <definedName name="ㅇㄴ롷ㄴ" localSheetId="0" hidden="1">{#N/A,#N/A,FALSE,"집계표"}</definedName>
    <definedName name="ㅇㄴ롷ㄴ" hidden="1">{#N/A,#N/A,FALSE,"집계표"}</definedName>
    <definedName name="ㅇㄴ롷ㅇㄴ롷ㄴ" localSheetId="0" hidden="1">{#N/A,#N/A,FALSE,"집계표"}</definedName>
    <definedName name="ㅇㄴ롷ㅇㄴ롷ㄴ" hidden="1">{#N/A,#N/A,FALSE,"집계표"}</definedName>
    <definedName name="ㅇㄴ리ㅏ허ㅣ" localSheetId="0" hidden="1">{#N/A,#N/A,FALSE,"집계표"}</definedName>
    <definedName name="ㅇㄴ리ㅏ허ㅣ" hidden="1">{#N/A,#N/A,FALSE,"집계표"}</definedName>
    <definedName name="ㅇㄴㅀㄴㄿㅊ" localSheetId="0" hidden="1">{#N/A,#N/A,FALSE,"집계표"}</definedName>
    <definedName name="ㅇㄴㅀㄴㄿㅊ" hidden="1">{#N/A,#N/A,FALSE,"집계표"}</definedName>
    <definedName name="ㅇㄴㅀㄴㅇㄱ" localSheetId="0" hidden="1">{#N/A,#N/A,FALSE,"집계표"}</definedName>
    <definedName name="ㅇㄴㅀㄴㅇㄱ" hidden="1">{#N/A,#N/A,FALSE,"집계표"}</definedName>
    <definedName name="ㅇㄴㅀㅁㄱㄷㅎ" localSheetId="0" hidden="1">{#N/A,#N/A,FALSE,"집계표"}</definedName>
    <definedName name="ㅇㄴㅀㅁㄱㄷㅎ" hidden="1">{#N/A,#N/A,FALSE,"집계표"}</definedName>
    <definedName name="ㅇㄴㅀ쇼ㅗㅗㅗㅗㅗ" localSheetId="0" hidden="1">{#N/A,#N/A,FALSE,"집계표"}</definedName>
    <definedName name="ㅇㄴㅀ쇼ㅗㅗㅗㅗㅗ" hidden="1">{#N/A,#N/A,FALSE,"집계표"}</definedName>
    <definedName name="ㅇㄴㅀㅇㄴ" localSheetId="0" hidden="1">{#N/A,#N/A,FALSE,"집계표"}</definedName>
    <definedName name="ㅇㄴㅀㅇㄴ" hidden="1">{#N/A,#N/A,FALSE,"집계표"}</definedName>
    <definedName name="ㅇㄴㅁ" hidden="1">[24]실행철강하도!$A$1:$A$4</definedName>
    <definedName name="ㅇㄴㅁ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ㅎㄹ" localSheetId="0" hidden="1">{#N/A,#N/A,FALSE,"집계표"}</definedName>
    <definedName name="ㅇㄴㅁㅎㄹ" hidden="1">{#N/A,#N/A,FALSE,"집계표"}</definedName>
    <definedName name="ㅇ낳리ㅓ" localSheetId="0" hidden="1">{#N/A,#N/A,FALSE,"집계표"}</definedName>
    <definedName name="ㅇ낳리ㅓ" hidden="1">{#N/A,#N/A,FALSE,"집계표"}</definedName>
    <definedName name="ㅇ낸에네ㅔ" localSheetId="0" hidden="1">{#N/A,#N/A,FALSE,"집계표"}</definedName>
    <definedName name="ㅇ낸에네ㅔ" hidden="1">{#N/A,#N/A,FALSE,"집계표"}</definedName>
    <definedName name="ㅇ놓ㄹㄹㄹㄹㄹ" localSheetId="0" hidden="1">{#N/A,#N/A,FALSE,"집계표"}</definedName>
    <definedName name="ㅇ놓ㄹㄹㄹㄹㄹ" hidden="1">{#N/A,#N/A,FALSE,"집계표"}</definedName>
    <definedName name="ㅇ놓로횻ㅅ" localSheetId="0" hidden="1">{#N/A,#N/A,FALSE,"집계표"}</definedName>
    <definedName name="ㅇ놓로횻ㅅ" hidden="1">{#N/A,#N/A,FALSE,"집계표"}</definedName>
    <definedName name="ㅇ니ㅏㅎ러" localSheetId="0" hidden="1">{#N/A,#N/A,FALSE,"집계표"}</definedName>
    <definedName name="ㅇ니ㅏㅎ러" hidden="1">{#N/A,#N/A,FALSE,"집계표"}</definedName>
    <definedName name="ㅇ니ㅏㅓㄹ힝니ㅏㅎㄹ" localSheetId="0" hidden="1">{#N/A,#N/A,FALSE,"집계표"}</definedName>
    <definedName name="ㅇ니ㅏㅓㄹ힝니ㅏㅎㄹ" hidden="1">{#N/A,#N/A,FALSE,"집계표"}</definedName>
    <definedName name="ㅇ니ㅏㅓ로히ㅏ" localSheetId="0" hidden="1">{#N/A,#N/A,FALSE,"집계표"}</definedName>
    <definedName name="ㅇ니ㅏㅓ로히ㅏ" hidden="1">{#N/A,#N/A,FALSE,"집계표"}</definedName>
    <definedName name="ㅇ니ㅓㅎ로" localSheetId="0" hidden="1">{#N/A,#N/A,FALSE,"집계표"}</definedName>
    <definedName name="ㅇ니ㅓㅎ로" hidden="1">{#N/A,#N/A,FALSE,"집계표"}</definedName>
    <definedName name="ㅇㄶ" localSheetId="0" hidden="1">{#N/A,#N/A,FALSE,"표지"}</definedName>
    <definedName name="ㅇㄶ" hidden="1">{#N/A,#N/A,FALSE,"표지"}</definedName>
    <definedName name="ㅇㄷㄱㅎㄴㅇ" localSheetId="0" hidden="1">{#N/A,#N/A,FALSE,"집계표"}</definedName>
    <definedName name="ㅇㄷㄱㅎㄴㅇ" hidden="1">{#N/A,#N/A,FALSE,"집계표"}</definedName>
    <definedName name="ㅇ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더퍼" localSheetId="0" hidden="1">{#N/A,#N/A,FALSE,"집계표"}</definedName>
    <definedName name="ㅇ더퍼" hidden="1">{#N/A,#N/A,FALSE,"집계표"}</definedName>
    <definedName name="ㅇㄹ" localSheetId="1" hidden="1">#REF!</definedName>
    <definedName name="ㅇㄹ" localSheetId="0" hidden="1">#REF!</definedName>
    <definedName name="ㅇㄹ" localSheetId="2" hidden="1">#REF!</definedName>
    <definedName name="ㅇㄹ" hidden="1">#REF!</definedName>
    <definedName name="ㅇㄹ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호" localSheetId="0" hidden="1">{#N/A,#N/A,FALSE,"집계표"}</definedName>
    <definedName name="ㅇㄹㄴ호" hidden="1">{#N/A,#N/A,FALSE,"집계표"}</definedName>
    <definedName name="ㅇㄹㄹ" localSheetId="1" hidden="1">#REF!</definedName>
    <definedName name="ㅇㄹㄹ" localSheetId="0" hidden="1">#REF!</definedName>
    <definedName name="ㅇㄹㄹ" localSheetId="2" hidden="1">#REF!</definedName>
    <definedName name="ㅇㄹㄹ" hidden="1">#REF!</definedName>
    <definedName name="ㅇㄹㄹㄹㄹ" localSheetId="0" hidden="1">{#N/A,#N/A,FALSE,"전력간선"}</definedName>
    <definedName name="ㅇㄹㄹㄹㄹ" hidden="1">{#N/A,#N/A,FALSE,"전력간선"}</definedName>
    <definedName name="ㅇㄹㄹㅀㅎㅎㅎㅎㅎㅎㅎㅎㅎㅎ" localSheetId="0" hidden="1">{#N/A,#N/A,FALSE,"집계표"}</definedName>
    <definedName name="ㅇㄹㄹㅀㅎㅎㅎㅎㅎㅎㅎㅎㅎㅎ" hidden="1">{#N/A,#N/A,FALSE,"집계표"}</definedName>
    <definedName name="ㅇㄹㅀ" localSheetId="1" hidden="1">#REF!</definedName>
    <definedName name="ㅇㄹㅀ" localSheetId="0" hidden="1">#REF!</definedName>
    <definedName name="ㅇㄹㅀ" localSheetId="2" hidden="1">#REF!</definedName>
    <definedName name="ㅇㄹㅀ" hidden="1">#REF!</definedName>
    <definedName name="ㅇㄹㅇㄹ" localSheetId="1" hidden="1">#REF!</definedName>
    <definedName name="ㅇㄹㅇㄹ" localSheetId="0" hidden="1">#REF!</definedName>
    <definedName name="ㅇㄹㅇㄹ" localSheetId="2" hidden="1">#REF!</definedName>
    <definedName name="ㅇㄹㅇㄹ" hidden="1">#REF!</definedName>
    <definedName name="ㅇㄹㅎ" localSheetId="0" hidden="1">{#N/A,#N/A,FALSE,"집계표"}</definedName>
    <definedName name="ㅇㄹㅎ" hidden="1">{#N/A,#N/A,FALSE,"집계표"}</definedName>
    <definedName name="ㅇㄹ허ㅗ" localSheetId="0" hidden="1">{#N/A,#N/A,FALSE,"집계표"}</definedName>
    <definedName name="ㅇㄹ허ㅗ" hidden="1">{#N/A,#N/A,FALSE,"집계표"}</definedName>
    <definedName name="ㅇㄹ호" localSheetId="0" hidden="1">{#N/A,#N/A,FALSE,"집계표"}</definedName>
    <definedName name="ㅇㄹ호" hidden="1">{#N/A,#N/A,FALSE,"집계표"}</definedName>
    <definedName name="ㅇㄹ호ㄹ옿" localSheetId="0" hidden="1">{#N/A,#N/A,FALSE,"집계표"}</definedName>
    <definedName name="ㅇㄹ호ㄹ옿" hidden="1">{#N/A,#N/A,FALSE,"집계표"}</definedName>
    <definedName name="ㅇㄹ호옿ㅎㄹ오" localSheetId="0" hidden="1">{#N/A,#N/A,FALSE,"집계표"}</definedName>
    <definedName name="ㅇㄹ호옿ㅎㄹ오" hidden="1">{#N/A,#N/A,FALSE,"집계표"}</definedName>
    <definedName name="ㅇㄹ호허ㅗㅓㅓ" localSheetId="0" hidden="1">{#N/A,#N/A,FALSE,"집계표"}</definedName>
    <definedName name="ㅇㄹ호허ㅗㅓㅓ" hidden="1">{#N/A,#N/A,FALSE,"집계표"}</definedName>
    <definedName name="ㅇㄹ호ㅗㅗㅗ" localSheetId="0" hidden="1">{#N/A,#N/A,FALSE,"집계표"}</definedName>
    <definedName name="ㅇㄹ호ㅗㅗㅗ" hidden="1">{#N/A,#N/A,FALSE,"집계표"}</definedName>
    <definedName name="ㅇㄹㅗㅎ" localSheetId="0" hidden="1">{#N/A,#N/A,FALSE,"집계표"}</definedName>
    <definedName name="ㅇㄹㅗㅎ" hidden="1">{#N/A,#N/A,FALSE,"집계표"}</definedName>
    <definedName name="ㅇ라ㅓㅎ킥" localSheetId="0" hidden="1">{#N/A,#N/A,FALSE,"집계표"}</definedName>
    <definedName name="ㅇ라ㅓㅎ킥" hidden="1">{#N/A,#N/A,FALSE,"집계표"}</definedName>
    <definedName name="ㅇ라ㅓㅏ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" localSheetId="0" hidden="1">{#N/A,#N/A,FALSE,"집계표"}</definedName>
    <definedName name="ㅇ러" hidden="1">{#N/A,#N/A,FALSE,"집계표"}</definedName>
    <definedName name="ㅇ러ㅗㅎ" localSheetId="0" hidden="1">{#N/A,#N/A,FALSE,"집계표"}</definedName>
    <definedName name="ㅇ러ㅗㅎ" hidden="1">{#N/A,#N/A,FALSE,"집계표"}</definedName>
    <definedName name="ㅇ렇ㅇ" localSheetId="0" hidden="1">{#N/A,#N/A,FALSE,"집계표"}</definedName>
    <definedName name="ㅇ렇ㅇ" hidden="1">{#N/A,#N/A,FALSE,"집계표"}</definedName>
    <definedName name="ㅇ로ㅓ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로ㅓ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롷" localSheetId="0" hidden="1">{#N/A,#N/A,FALSE,"집계표"}</definedName>
    <definedName name="ㅇ롷" hidden="1">{#N/A,#N/A,FALSE,"집계표"}</definedName>
    <definedName name="ㅇㅀㅁ" localSheetId="0" hidden="1">{#N/A,#N/A,FALSE,"집계표"}</definedName>
    <definedName name="ㅇㅀㅁ" hidden="1">{#N/A,#N/A,FALSE,"집계표"}</definedName>
    <definedName name="ㅇㅀㅇㄱ" localSheetId="0" hidden="1">{#N/A,#N/A,FALSE,"집계표"}</definedName>
    <definedName name="ㅇㅀㅇㄱ" hidden="1">{#N/A,#N/A,FALSE,"집계표"}</definedName>
    <definedName name="ㅇㅀㅈㅅㄷ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ㅈㅅㄷ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ㄱ" localSheetId="0" hidden="1">{#N/A,#N/A,FALSE,"집계표"}</definedName>
    <definedName name="ㅇㅇㄱ" hidden="1">{#N/A,#N/A,FALSE,"집계표"}</definedName>
    <definedName name="ㅇㅇㄹ" localSheetId="1" hidden="1">#REF!</definedName>
    <definedName name="ㅇㅇㄹ" localSheetId="0" hidden="1">#REF!</definedName>
    <definedName name="ㅇㅇㄹ" localSheetId="2" hidden="1">#REF!</definedName>
    <definedName name="ㅇㅇㄹ" hidden="1">#REF!</definedName>
    <definedName name="ㅇㅇㄹㅇㄹ" localSheetId="0" hidden="1">{#N/A,#N/A,FALSE,"집계표"}</definedName>
    <definedName name="ㅇㅇㄹㅇㄹ" hidden="1">{#N/A,#N/A,FALSE,"집계표"}</definedName>
    <definedName name="ㅇㅇㅇ" localSheetId="0" hidden="1">{#N/A,#N/A,FALSE,"주간공정";#N/A,#N/A,FALSE,"주간보고";#N/A,#N/A,FALSE,"주간공정표"}</definedName>
    <definedName name="ㅇㅇㅇ" hidden="1">{#N/A,#N/A,FALSE,"주간공정";#N/A,#N/A,FALSE,"주간보고";#N/A,#N/A,FALSE,"주간공정표"}</definedName>
    <definedName name="ㅇㅇㅇㅇ" localSheetId="0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ㅇ" localSheetId="0" hidden="1">{#N/A,#N/A,FALSE,"주간공정";#N/A,#N/A,FALSE,"주간보고";#N/A,#N/A,FALSE,"주간공정표"}</definedName>
    <definedName name="ㅇㅇㅇㅇㅇ" hidden="1">{#N/A,#N/A,FALSE,"주간공정";#N/A,#N/A,FALSE,"주간보고";#N/A,#N/A,FALSE,"주간공정표"}</definedName>
    <definedName name="ㅇㅇㅇㅇㅇㅇ" localSheetId="0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ㅇㅇㅎ" localSheetId="0" hidden="1">{#N/A,#N/A,FALSE,"집계표"}</definedName>
    <definedName name="ㅇㅇㅎ" hidden="1">{#N/A,#N/A,FALSE,"집계표"}</definedName>
    <definedName name="ㅇ아ㅏㄹ" localSheetId="0" hidden="1">{#N/A,#N/A,FALSE,"지침";#N/A,#N/A,FALSE,"환경분석";#N/A,#N/A,FALSE,"Sheet16"}</definedName>
    <definedName name="ㅇ아ㅏㄹ" hidden="1">{#N/A,#N/A,FALSE,"지침";#N/A,#N/A,FALSE,"환경분석";#N/A,#N/A,FALSE,"Sheet16"}</definedName>
    <definedName name="ㅇ이리" localSheetId="0" hidden="1">{#N/A,#N/A,FALSE,"지침";#N/A,#N/A,FALSE,"환경분석";#N/A,#N/A,FALSE,"Sheet16"}</definedName>
    <definedName name="ㅇ이리" hidden="1">{#N/A,#N/A,FALSE,"지침";#N/A,#N/A,FALSE,"환경분석";#N/A,#N/A,FALSE,"Sheet16"}</definedName>
    <definedName name="ㅇㅎ" localSheetId="0" hidden="1">{#N/A,#N/A,FALSE,"부대1"}</definedName>
    <definedName name="ㅇㅎ" hidden="1">{#N/A,#N/A,FALSE,"부대1"}</definedName>
    <definedName name="ㅇㅎㄷ" localSheetId="0" hidden="1">{#N/A,#N/A,FALSE,"집계표"}</definedName>
    <definedName name="ㅇㅎㄷ" hidden="1">{#N/A,#N/A,FALSE,"집계표"}</definedName>
    <definedName name="ㅇㅎ러ㅗㅇ" localSheetId="0" hidden="1">{#N/A,#N/A,FALSE,"집계표"}</definedName>
    <definedName name="ㅇㅎ러ㅗㅇ" hidden="1">{#N/A,#N/A,FALSE,"집계표"}</definedName>
    <definedName name="ㅇㅎㄻㄴㅇㅀ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ㅀ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ㅁㅎㄴㅀㅁㄴㅇㅎㄴ" localSheetId="0" hidden="1">{#N/A,#N/A,FALSE,"Sheet6"}</definedName>
    <definedName name="ㅇㅎㄻㄴㅇㅁㅎㄴㅀㅁㄴㅇㅎㄴ" hidden="1">{#N/A,#N/A,FALSE,"Sheet6"}</definedName>
    <definedName name="ㅇ하어ㅣ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하어ㅣ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" localSheetId="0" hidden="1">{#N/A,#N/A,FALSE,"주간공정";#N/A,#N/A,FALSE,"주간보고";#N/A,#N/A,FALSE,"주간공정표"}</definedName>
    <definedName name="아" hidden="1">{#N/A,#N/A,FALSE,"주간공정";#N/A,#N/A,FALSE,"주간보고";#N/A,#N/A,FALSE,"주간공정표"}</definedName>
    <definedName name="아름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름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무" localSheetId="0" hidden="1">{#N/A,#N/A,FALSE,"배수2"}</definedName>
    <definedName name="아무" hidden="1">{#N/A,#N/A,FALSE,"배수2"}</definedName>
    <definedName name="아무거나" localSheetId="1" hidden="1">#REF!</definedName>
    <definedName name="아무거나" localSheetId="0" hidden="1">#REF!</definedName>
    <definedName name="아무거나" localSheetId="2" hidden="1">#REF!</definedName>
    <definedName name="아무거나" hidden="1">#REF!</definedName>
    <definedName name="아아아앙" localSheetId="0" hidden="1">{#N/A,#N/A,FALSE,"주간공정";#N/A,#N/A,FALSE,"주간보고";#N/A,#N/A,FALSE,"주간공정표"}</definedName>
    <definedName name="아아아앙" hidden="1">{#N/A,#N/A,FALSE,"주간공정";#N/A,#N/A,FALSE,"주간보고";#N/A,#N/A,FALSE,"주간공정표"}</definedName>
    <definedName name="아아ㅏ앙" localSheetId="0" hidden="1">{#N/A,#N/A,FALSE,"주간공정";#N/A,#N/A,FALSE,"주간보고";#N/A,#N/A,FALSE,"주간공정표"}</definedName>
    <definedName name="아아ㅏ앙" hidden="1">{#N/A,#N/A,FALSE,"주간공정";#N/A,#N/A,FALSE,"주간보고";#N/A,#N/A,FALSE,"주간공정표"}</definedName>
    <definedName name="아파트내역2" localSheetId="0" hidden="1">{"'Sheet1'!$A$4:$M$21","'Sheet1'!$J$17:$K$19"}</definedName>
    <definedName name="아파트내역2" hidden="1">{"'Sheet1'!$A$4:$M$21","'Sheet1'!$J$17:$K$19"}</definedName>
    <definedName name="아ㅏㅓ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림" localSheetId="0" hidden="1">{#N/A,#N/A,FALSE,"포장1";#N/A,#N/A,FALSE,"포장1"}</definedName>
    <definedName name="아ㅓ림" hidden="1">{#N/A,#N/A,FALSE,"포장1";#N/A,#N/A,FALSE,"포장1"}</definedName>
    <definedName name="악" localSheetId="0" hidden="1">{#N/A,#N/A,TRUE,"960318-1";#N/A,#N/A,TRUE,"960318-2";#N/A,#N/A,TRUE,"960318-3"}</definedName>
    <definedName name="악" hidden="1">{#N/A,#N/A,TRUE,"960318-1";#N/A,#N/A,TRUE,"960318-2";#N/A,#N/A,TRUE,"960318-3"}</definedName>
    <definedName name="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야간" localSheetId="0" hidden="1">{#N/A,#N/A,FALSE,"지침";#N/A,#N/A,FALSE,"환경분석";#N/A,#N/A,FALSE,"Sheet16"}</definedName>
    <definedName name="야간" hidden="1">{#N/A,#N/A,FALSE,"지침";#N/A,#N/A,FALSE,"환경분석";#N/A,#N/A,FALSE,"Sheet16"}</definedName>
    <definedName name="어러리" localSheetId="0" hidden="1">{#N/A,#N/A,FALSE,"지침";#N/A,#N/A,FALSE,"환경분석";#N/A,#N/A,FALSE,"Sheet16"}</definedName>
    <definedName name="어러리" hidden="1">{#N/A,#N/A,FALSE,"지침";#N/A,#N/A,FALSE,"환경분석";#N/A,#N/A,FALSE,"Sheet16"}</definedName>
    <definedName name="어어엉" localSheetId="0" hidden="1">{#N/A,#N/A,FALSE,"주간공정";#N/A,#N/A,FALSE,"주간보고";#N/A,#N/A,FALSE,"주간공정표"}</definedName>
    <definedName name="어어엉" hidden="1">{#N/A,#N/A,FALSE,"주간공정";#N/A,#N/A,FALSE,"주간보고";#N/A,#N/A,FALSE,"주간공정표"}</definedName>
    <definedName name="어쭈구리" localSheetId="0" hidden="1">{#N/A,#N/A,FALSE,"교리2"}</definedName>
    <definedName name="어쭈구리" hidden="1">{#N/A,#N/A,FALSE,"교리2"}</definedName>
    <definedName name="어ㅏㄴ강ㄹ혼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ㅏㄴ강ㄹ혼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ㄹ" localSheetId="0" hidden="1">{#N/A,#N/A,FALSE,"지침";#N/A,#N/A,FALSE,"환경분석";#N/A,#N/A,FALSE,"Sheet16"}</definedName>
    <definedName name="어ㅓㄹ" hidden="1">{#N/A,#N/A,FALSE,"지침";#N/A,#N/A,FALSE,"환경분석";#N/A,#N/A,FALSE,"Sheet16"}</definedName>
    <definedName name="어ㅓ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localSheetId="0" hidden="1">{#N/A,#N/A,FALSE,"2~8번"}</definedName>
    <definedName name="억이상" hidden="1">{#N/A,#N/A,FALSE,"2~8번"}</definedName>
    <definedName name="언" localSheetId="1" hidden="1">#REF!</definedName>
    <definedName name="언" localSheetId="0" hidden="1">#REF!</definedName>
    <definedName name="언" localSheetId="2" hidden="1">#REF!</definedName>
    <definedName name="언" hidden="1">#REF!</definedName>
    <definedName name="얻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얻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종" localSheetId="0" hidden="1">{#N/A,#N/A,FALSE,"포장2"}</definedName>
    <definedName name="업종" hidden="1">{#N/A,#N/A,FALSE,"포장2"}</definedName>
    <definedName name="업체" localSheetId="1" hidden="1">#REF!</definedName>
    <definedName name="업체" localSheetId="0" hidden="1">#REF!</definedName>
    <definedName name="업체" localSheetId="2" hidden="1">#REF!</definedName>
    <definedName name="업체" hidden="1">#REF!</definedName>
    <definedName name="업체벼래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벼래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순위" localSheetId="0" hidden="1">{#N/A,#N/A,FALSE,"배수2"}</definedName>
    <definedName name="업체순위" hidden="1">{#N/A,#N/A,FALSE,"배수2"}</definedName>
    <definedName name="여의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의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상" localSheetId="0" hidden="1">{#N/A,#N/A,TRUE,"960318-1";#N/A,#N/A,TRUE,"960318-2";#N/A,#N/A,TRUE,"960318-3"}</definedName>
    <definedName name="영상" hidden="1">{#N/A,#N/A,TRUE,"960318-1";#N/A,#N/A,TRUE,"960318-2";#N/A,#N/A,TRUE,"960318-3"}</definedName>
    <definedName name="영상1" localSheetId="0" hidden="1">{#N/A,#N/A,TRUE,"960318-1";#N/A,#N/A,TRUE,"960318-2";#N/A,#N/A,TRUE,"960318-3"}</definedName>
    <definedName name="영상1" hidden="1">{#N/A,#N/A,TRUE,"960318-1";#N/A,#N/A,TRUE,"960318-2";#N/A,#N/A,TRUE,"960318-3"}</definedName>
    <definedName name="영상hw집계" localSheetId="0" hidden="1">{"'용역비'!$A$4:$C$8"}</definedName>
    <definedName name="영상hw집계" hidden="1">{"'용역비'!$A$4:$C$8"}</definedName>
    <definedName name="영암실행" localSheetId="0" hidden="1">{#N/A,#N/A,FALSE,"전력간선"}</definedName>
    <definedName name="영암실행" hidden="1">{#N/A,#N/A,FALSE,"전력간선"}</definedName>
    <definedName name="영업" localSheetId="0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외" localSheetId="1" hidden="1">[25]추가예산!#REF!</definedName>
    <definedName name="영업외" localSheetId="0" hidden="1">[25]추가예산!#REF!</definedName>
    <definedName name="영업외" localSheetId="2" hidden="1">[25]추가예산!#REF!</definedName>
    <definedName name="영업외" hidden="1">[25]추가예산!#REF!</definedName>
    <definedName name="영업외수" localSheetId="1" hidden="1">[25]추가예산!#REF!</definedName>
    <definedName name="영업외수" localSheetId="0" hidden="1">[25]추가예산!#REF!</definedName>
    <definedName name="영업외수" localSheetId="2" hidden="1">[25]추가예산!#REF!</definedName>
    <definedName name="영업외수" hidden="1">[25]추가예산!#REF!</definedName>
    <definedName name="영업이익" localSheetId="0" hidden="1">{#N/A,#N/A,FALSE,"지침";#N/A,#N/A,FALSE,"환경분석";#N/A,#N/A,FALSE,"Sheet16"}</definedName>
    <definedName name="영업이익" hidden="1">{#N/A,#N/A,FALSE,"지침";#N/A,#N/A,FALSE,"환경분석";#N/A,#N/A,FALSE,"Sheet16"}</definedName>
    <definedName name="영업현금" localSheetId="0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영종" localSheetId="0" hidden="1">{#N/A,#N/A,FALSE,"CCTV"}</definedName>
    <definedName name="영종" hidden="1">{#N/A,#N/A,FALSE,"CCTV"}</definedName>
    <definedName name="예상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계획" localSheetId="0" hidden="1">{#N/A,#N/A,FALSE,"집계표"}</definedName>
    <definedName name="예상계획" hidden="1">{#N/A,#N/A,FALSE,"집계표"}</definedName>
    <definedName name="예정가" localSheetId="0" hidden="1">{#N/A,#N/A,FALSE,"포장2"}</definedName>
    <definedName name="예정가" hidden="1">{#N/A,#N/A,FALSE,"포장2"}</definedName>
    <definedName name="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됴" localSheetId="0" hidden="1">{#N/A,#N/A,FALSE,"집계표"}</definedName>
    <definedName name="오됴" hidden="1">{#N/A,#N/A,FALSE,"집계표"}</definedName>
    <definedName name="오수토공" localSheetId="0" hidden="1">{#N/A,#N/A,FALSE,"기안지";#N/A,#N/A,FALSE,"통신지"}</definedName>
    <definedName name="오수토공" hidden="1">{#N/A,#N/A,FALSE,"기안지";#N/A,#N/A,FALSE,"통신지"}</definedName>
    <definedName name="오ㅗㅓ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ㅗㅓ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외공사" localSheetId="0" hidden="1">{#N/A,#N/A,FALSE,"이태원철근"}</definedName>
    <definedName name="옥외공사" hidden="1">{#N/A,#N/A,FALSE,"이태원철근"}</definedName>
    <definedName name="옥외대비" localSheetId="0" hidden="1">{#N/A,#N/A,FALSE,"이태원철근"}</definedName>
    <definedName name="옥외대비" hidden="1">{#N/A,#N/A,FALSE,"이태원철근"}</definedName>
    <definedName name="옥탑층" localSheetId="0" hidden="1">{#N/A,#N/A,FALSE,"Sheet1"}</definedName>
    <definedName name="옥탑층" hidden="1">{#N/A,#N/A,FALSE,"Sheet1"}</definedName>
    <definedName name="온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온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옹" localSheetId="0" hidden="1">{#N/A,#N/A,FALSE,"골재소요량";#N/A,#N/A,FALSE,"골재소요량"}</definedName>
    <definedName name="옹" hidden="1">{#N/A,#N/A,FALSE,"골재소요량";#N/A,#N/A,FALSE,"골재소요량"}</definedName>
    <definedName name="옹벽수량집계표" localSheetId="0" hidden="1">{#N/A,#N/A,FALSE,"2~8번"}</definedName>
    <definedName name="옹벽수량집계표" hidden="1">{#N/A,#N/A,FALSE,"2~8번"}</definedName>
    <definedName name="옹벽수량집계표총괄" localSheetId="0" hidden="1">{#N/A,#N/A,FALSE,"혼합골재"}</definedName>
    <definedName name="옹벽수량집계표총괄" hidden="1">{#N/A,#N/A,FALSE,"혼합골재"}</definedName>
    <definedName name="옿" localSheetId="0" hidden="1">{#N/A,#N/A,FALSE,"집계표"}</definedName>
    <definedName name="옿" hidden="1">{#N/A,#N/A,FALSE,"집계표"}</definedName>
    <definedName name="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완공3" localSheetId="1" hidden="1">#REF!</definedName>
    <definedName name="완공3" localSheetId="0" hidden="1">#REF!</definedName>
    <definedName name="완공3" localSheetId="2" hidden="1">#REF!</definedName>
    <definedName name="완공3" hidden="1">#REF!</definedName>
    <definedName name="완도" localSheetId="0" hidden="1">{#N/A,#N/A,FALSE,"포장2"}</definedName>
    <definedName name="완도" hidden="1">{#N/A,#N/A,FALSE,"포장2"}</definedName>
    <definedName name="요샤ㅏ아히ㅏㅐㅛ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요샤ㅏ아히ㅏㅐㅛ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용용" localSheetId="0" hidden="1">{#N/A,#N/A,FALSE,"포장2"}</definedName>
    <definedName name="용용" hidden="1">{#N/A,#N/A,FALSE,"포장2"}</definedName>
    <definedName name="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리" localSheetId="0" hidden="1">{#N/A,#N/A,FALSE,"사업총괄";#N/A,#N/A,FALSE,"장비사업";#N/A,#N/A,FALSE,"철구사업";#N/A,#N/A,FALSE,"준설사업"}</definedName>
    <definedName name="우리" hidden="1">{#N/A,#N/A,FALSE,"사업총괄";#N/A,#N/A,FALSE,"장비사업";#N/A,#N/A,FALSE,"철구사업";#N/A,#N/A,FALSE,"준설사업"}</definedName>
    <definedName name="우후" localSheetId="0" hidden="1">{"'별표'!$N$220"}</definedName>
    <definedName name="우후" hidden="1">{"'별표'!$N$220"}</definedName>
    <definedName name="원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12" localSheetId="0" hidden="1">{#N/A,#N/A,FALSE,"운반시간"}</definedName>
    <definedName name="원가12" hidden="1">{#N/A,#N/A,FALSE,"운반시간"}</definedName>
    <definedName name="원가계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계획대비" localSheetId="0" hidden="1">{#N/A,#N/A,FALSE,"지침";#N/A,#N/A,FALSE,"환경분석";#N/A,#N/A,FALSE,"Sheet16"}</definedName>
    <definedName name="원계획대비" hidden="1">{#N/A,#N/A,FALSE,"지침";#N/A,#N/A,FALSE,"환경분석";#N/A,#N/A,FALSE,"Sheet16"}</definedName>
    <definedName name="원기기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[26]실행철강하도!$A$1:$A$4</definedName>
    <definedName name="월별투입" localSheetId="0" hidden="1">{#N/A,#N/A,FALSE,"지침";#N/A,#N/A,FALSE,"환경분석";#N/A,#N/A,FALSE,"Sheet16"}</definedName>
    <definedName name="월별투입" hidden="1">{#N/A,#N/A,FALSE,"지침";#N/A,#N/A,FALSE,"환경분석";#N/A,#N/A,FALSE,"Sheet16"}</definedName>
    <definedName name="유지관리비" localSheetId="1" hidden="1">#REF!</definedName>
    <definedName name="유지관리비" localSheetId="0" hidden="1">#REF!</definedName>
    <definedName name="유지관리비" localSheetId="2" hidden="1">#REF!</definedName>
    <definedName name="유지관리비" hidden="1">#REF!</definedName>
    <definedName name="으악" localSheetId="0" hidden="1">{#N/A,#N/A,TRUE,"960318-1";#N/A,#N/A,TRUE,"960318-2";#N/A,#N/A,TRUE,"960318-3"}</definedName>
    <definedName name="으악" hidden="1">{#N/A,#N/A,TRUE,"960318-1";#N/A,#N/A,TRUE,"960318-2";#N/A,#N/A,TRUE,"960318-3"}</definedName>
    <definedName name="을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응" localSheetId="0" hidden="1">{#N/A,#N/A,TRUE,"960318-1";#N/A,#N/A,TRUE,"960318-2";#N/A,#N/A,TRUE,"960318-3"}</definedName>
    <definedName name="응" hidden="1">{#N/A,#N/A,TRUE,"960318-1";#N/A,#N/A,TRUE,"960318-2";#N/A,#N/A,TRUE,"960318-3"}</definedName>
    <definedName name="의" localSheetId="0" hidden="1">{#N/A,#N/A,FALSE,"운반시간"}</definedName>
    <definedName name="의" hidden="1">{#N/A,#N/A,FALSE,"운반시간"}</definedName>
    <definedName name="이름표" localSheetId="0" hidden="1">{#N/A,#N/A,FALSE,"단가표지"}</definedName>
    <definedName name="이름표" hidden="1">{#N/A,#N/A,FALSE,"단가표지"}</definedName>
    <definedName name="이릉" localSheetId="1" hidden="1">#REF!</definedName>
    <definedName name="이릉" localSheetId="0" hidden="1">#REF!</definedName>
    <definedName name="이릉" localSheetId="2" hidden="1">#REF!</definedName>
    <definedName name="이릉" hidden="1">#REF!</definedName>
    <definedName name="이릴" localSheetId="0" hidden="1">{#N/A,#N/A,FALSE,"지침";#N/A,#N/A,FALSE,"환경분석";#N/A,#N/A,FALSE,"Sheet16"}</definedName>
    <definedName name="이릴" hidden="1">{#N/A,#N/A,FALSE,"지침";#N/A,#N/A,FALSE,"환경분석";#N/A,#N/A,FALSE,"Sheet16"}</definedName>
    <definedName name="이수건설여의도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수건설여의도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슈" localSheetId="0" hidden="1">{#N/A,#N/A,FALSE,"지침";#N/A,#N/A,FALSE,"환경분석";#N/A,#N/A,FALSE,"Sheet16"}</definedName>
    <definedName name="이슈" hidden="1">{#N/A,#N/A,FALSE,"지침";#N/A,#N/A,FALSE,"환경분석";#N/A,#N/A,FALSE,"Sheet16"}</definedName>
    <definedName name="이일" localSheetId="1" hidden="1">#REF!</definedName>
    <definedName name="이일" localSheetId="0" hidden="1">#REF!</definedName>
    <definedName name="이일" localSheetId="2" hidden="1">#REF!</definedName>
    <definedName name="이일" hidden="1">#REF!</definedName>
    <definedName name="이종훈" hidden="1">[16]전기!$A$4:$A$163</definedName>
    <definedName name="이효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효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localSheetId="0" hidden="1">{#N/A,#N/A,FALSE,"도급대비시행율";#N/A,#N/A,FALSE,"결의서";#N/A,#N/A,FALSE,"내역서";#N/A,#N/A,FALSE,"도급예상"}</definedName>
    <definedName name="일" hidden="1">{#N/A,#N/A,FALSE,"도급대비시행율";#N/A,#N/A,FALSE,"결의서";#N/A,#N/A,FALSE,"내역서";#N/A,#N/A,FALSE,"도급예상"}</definedName>
    <definedName name="일위대가" localSheetId="1" hidden="1">#REF!</definedName>
    <definedName name="일위대가" localSheetId="0" hidden="1">#REF!</definedName>
    <definedName name="일위대가" localSheetId="2" hidden="1">#REF!</definedName>
    <definedName name="일위대가" hidden="1">#REF!</definedName>
    <definedName name="임시" localSheetId="0" hidden="1">{#N/A,#N/A,FALSE,"현장 NCR 분석";#N/A,#N/A,FALSE,"현장품질감사";#N/A,#N/A,FALSE,"현장품질감사"}</definedName>
    <definedName name="임시" hidden="1">{#N/A,#N/A,FALSE,"현장 NCR 분석";#N/A,#N/A,FALSE,"현장품질감사";#N/A,#N/A,FALSE,"현장품질감사"}</definedName>
    <definedName name="임직" localSheetId="1" hidden="1">#REF!</definedName>
    <definedName name="임직" localSheetId="0" hidden="1">#REF!</definedName>
    <definedName name="임직" localSheetId="2" hidden="1">#REF!</definedName>
    <definedName name="임직" hidden="1">#REF!</definedName>
    <definedName name="임형" localSheetId="0" hidden="1">{#N/A,#N/A,FALSE,"포장2"}</definedName>
    <definedName name="임형" hidden="1">{#N/A,#N/A,FALSE,"포장2"}</definedName>
    <definedName name="입찰" localSheetId="0" hidden="1">{#N/A,#N/A,FALSE,"구조2"}</definedName>
    <definedName name="입찰" hidden="1">{#N/A,#N/A,FALSE,"구조2"}</definedName>
    <definedName name="입찰금액안" localSheetId="1" hidden="1">[27]집계표!#REF!</definedName>
    <definedName name="입찰금액안" localSheetId="0" hidden="1">[27]집계표!#REF!</definedName>
    <definedName name="입찰금액안" localSheetId="2" hidden="1">[27]집계표!#REF!</definedName>
    <definedName name="입찰금액안" hidden="1">[27]집계표!#REF!</definedName>
    <definedName name="ㅈㄱ셔ㅛㅈ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셔ㅛㅈ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ㄳㅎㅍㅊㅊ" localSheetId="0" hidden="1">{#N/A,#N/A,FALSE,"집계표"}</definedName>
    <definedName name="ㅈㄳㅎㅍㅊㅊ" hidden="1">{#N/A,#N/A,FALSE,"집계표"}</definedName>
    <definedName name="ㅈ너ㅗ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ㅗ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ㄷㄱㄷ" localSheetId="0" hidden="1">{"'용역비'!$A$4:$C$8"}</definedName>
    <definedName name="ㅈㄷㄱㄷㄱㄷ" hidden="1">{"'용역비'!$A$4:$C$8"}</definedName>
    <definedName name="ㅈㄷㄱㅈ" localSheetId="0" hidden="1">{#N/A,#N/A,FALSE,"Sheet6"}</definedName>
    <definedName name="ㅈㄷㄱㅈ" hidden="1">{#N/A,#N/A,FALSE,"Sheet6"}</definedName>
    <definedName name="ㅈㄷ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ㄳㅈㄷ" localSheetId="0" hidden="1">{#N/A,#N/A,FALSE,"Sheet6"}</definedName>
    <definedName name="ㅈㄷㄳㅈㄷ" hidden="1">{#N/A,#N/A,FALSE,"Sheet6"}</definedName>
    <definedName name="ㅈㄷㅅ교" localSheetId="0" hidden="1">{#N/A,#N/A,FALSE,"집계표"}</definedName>
    <definedName name="ㅈㄷㅅ교" hidden="1">{#N/A,#N/A,FALSE,"집계표"}</definedName>
    <definedName name="ㅈㄷㅅㅁㅇㄴㄹ" localSheetId="0" hidden="1">{#N/A,#N/A,FALSE,"집계표"}</definedName>
    <definedName name="ㅈㄷㅅㅁㅇㄴㄹ" hidden="1">{#N/A,#N/A,FALSE,"집계표"}</definedName>
    <definedName name="ㅈㅂㄹㅇㅁㄴㅇㅍㅌㅋㅁㄴㅇㄻㅎㅁ" localSheetId="0" hidden="1">{#N/A,#N/A,FALSE,"집계표"}</definedName>
    <definedName name="ㅈㅂㄹㅇㅁㄴㅇㅍㅌㅋㅁㄴㅇㄻㅎㅁ" hidden="1">{#N/A,#N/A,FALSE,"집계표"}</definedName>
    <definedName name="ㅈ셪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ㄷㅈㅇ" localSheetId="0" hidden="1">{#N/A,#N/A,FALSE,"집계표"}</definedName>
    <definedName name="ㅈㅈㄷㅈㅇ" hidden="1">{#N/A,#N/A,FALSE,"집계표"}</definedName>
    <definedName name="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야" localSheetId="0" hidden="1">{#N/A,#N/A,FALSE,"집계표"}</definedName>
    <definedName name="자야" hidden="1">{#N/A,#N/A,FALSE,"집계표"}</definedName>
    <definedName name="자재1" localSheetId="0" hidden="1">{#N/A,#N/A,FALSE,"포장2"}</definedName>
    <definedName name="자재1" hidden="1">{#N/A,#N/A,FALSE,"포장2"}</definedName>
    <definedName name="자재2" localSheetId="0" hidden="1">{#N/A,#N/A,FALSE,"구조2"}</definedName>
    <definedName name="자재2" hidden="1">{#N/A,#N/A,FALSE,"구조2"}</definedName>
    <definedName name="자ㅓㅏ" localSheetId="0" hidden="1">{#N/A,#N/A,FALSE,"집계표"}</definedName>
    <definedName name="자ㅓㅏ" hidden="1">{#N/A,#N/A,FALSE,"집계표"}</definedName>
    <definedName name="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구" localSheetId="0" hidden="1">{#N/A,#N/A,FALSE,"Sheet6"}</definedName>
    <definedName name="장구" hidden="1">{#N/A,#N/A,FALSE,"Sheet6"}</definedName>
    <definedName name="장위" localSheetId="1" hidden="1">#REF!</definedName>
    <definedName name="장위" localSheetId="0" hidden="1">#REF!</definedName>
    <definedName name="장위" localSheetId="2" hidden="1">#REF!</definedName>
    <definedName name="장위" hidden="1">#REF!</definedName>
    <definedName name="장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전기내역" localSheetId="0" hidden="1">{#N/A,#N/A,FALSE,"CCTV"}</definedName>
    <definedName name="전기내역" hidden="1">{#N/A,#N/A,FALSE,"CCTV"}</definedName>
    <definedName name="전기설계" localSheetId="0" hidden="1">{#N/A,#N/A,FALSE,"Sheet1"}</definedName>
    <definedName name="전기설계" hidden="1">{#N/A,#N/A,FALSE,"Sheet1"}</definedName>
    <definedName name="전기설비표지" localSheetId="0" hidden="1">{#N/A,#N/A,FALSE,"전력간선"}</definedName>
    <definedName name="전기설비표지" hidden="1">{#N/A,#N/A,FALSE,"전력간선"}</definedName>
    <definedName name="전기특기조건" localSheetId="0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기표지" localSheetId="0" hidden="1">{#N/A,#N/A,FALSE,"전력간선"}</definedName>
    <definedName name="전기표지" hidden="1">{#N/A,#N/A,FALSE,"전력간선"}</definedName>
    <definedName name="전등1" localSheetId="0" hidden="1">{#N/A,#N/A,FALSE,"전력간선"}</definedName>
    <definedName name="전등1" hidden="1">{#N/A,#N/A,FALSE,"전력간선"}</definedName>
    <definedName name="전열" localSheetId="0" hidden="1">{#N/A,#N/A,FALSE,"전력간선"}</definedName>
    <definedName name="전열" hidden="1">{#N/A,#N/A,FALSE,"전력간선"}</definedName>
    <definedName name="전열1" localSheetId="0" hidden="1">{#N/A,#N/A,FALSE,"전력간선"}</definedName>
    <definedName name="전열1" hidden="1">{#N/A,#N/A,FALSE,"전력간선"}</definedName>
    <definedName name="전자CF" localSheetId="0" hidden="1">{#N/A,#N/A,FALSE,"지침";#N/A,#N/A,FALSE,"환경분석";#N/A,#N/A,FALSE,"Sheet16"}</definedName>
    <definedName name="전자CF" hidden="1">{#N/A,#N/A,FALSE,"지침";#N/A,#N/A,FALSE,"환경분석";#N/A,#N/A,FALSE,"Sheet16"}</definedName>
    <definedName name="젇주ㅠㅜㅇㄴ" localSheetId="0" hidden="1">{#N/A,#N/A,FALSE,"집계표"}</definedName>
    <definedName name="젇주ㅠㅜㅇㄴ" hidden="1">{#N/A,#N/A,FALSE,"집계표"}</definedName>
    <definedName name="접지" localSheetId="0" hidden="1">{#N/A,#N/A,FALSE,"전력간선"}</definedName>
    <definedName name="접지" hidden="1">{#N/A,#N/A,FALSE,"전력간선"}</definedName>
    <definedName name="정보통신" localSheetId="0" hidden="1">{#N/A,#N/A,FALSE,"전력간선"}</definedName>
    <definedName name="정보통신" hidden="1">{#N/A,#N/A,FALSE,"전력간선"}</definedName>
    <definedName name="정산표" localSheetId="0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2짱" localSheetId="0" hidden="1">{#N/A,#N/A,FALSE,"운반시간"}</definedName>
    <definedName name="제2짱" hidden="1">{#N/A,#N/A,FALSE,"운반시간"}</definedName>
    <definedName name="제외공사" localSheetId="0" hidden="1">{#N/A,#N/A,FALSE,"지침";#N/A,#N/A,FALSE,"환경분석";#N/A,#N/A,FALSE,"Sheet16"}</definedName>
    <definedName name="제외공사" hidden="1">{#N/A,#N/A,FALSE,"지침";#N/A,#N/A,FALSE,"환경분석";#N/A,#N/A,FALSE,"Sheet16"}</definedName>
    <definedName name="제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경공사" localSheetId="0" hidden="1">{#N/A,#N/A,FALSE,"표지"}</definedName>
    <definedName name="조경공사" hidden="1">{#N/A,#N/A,FALSE,"표지"}</definedName>
    <definedName name="조경사본" localSheetId="0" hidden="1">{#N/A,#N/A,FALSE,"표지"}</definedName>
    <definedName name="조경사본" hidden="1">{#N/A,#N/A,FALSE,"표지"}</definedName>
    <definedName name="조사가" localSheetId="1" hidden="1">[28]입찰안!#REF!</definedName>
    <definedName name="조사가" localSheetId="0" hidden="1">[28]입찰안!#REF!</definedName>
    <definedName name="조사가" localSheetId="2" hidden="1">[28]입찰안!#REF!</definedName>
    <definedName name="조사가" hidden="1">[28]입찰안!#REF!</definedName>
    <definedName name="조정1" localSheetId="1" hidden="1">#REF!</definedName>
    <definedName name="조정1" localSheetId="0" hidden="1">#REF!</definedName>
    <definedName name="조정1" localSheetId="2" hidden="1">#REF!</definedName>
    <definedName name="조정1" hidden="1">#REF!</definedName>
    <definedName name="조직" localSheetId="0" hidden="1">{#N/A,#N/A,FALSE,"변경관리예산";#N/A,#N/A,FALSE,"변경장비예산";#N/A,#N/A,FALSE,"변경준설예산";#N/A,#N/A,FALSE,"변경철구예산"}</definedName>
    <definedName name="조직" hidden="1">{#N/A,#N/A,FALSE,"변경관리예산";#N/A,#N/A,FALSE,"변경장비예산";#N/A,#N/A,FALSE,"변경준설예산";#N/A,#N/A,FALSE,"변경철구예산"}</definedName>
    <definedName name="조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4" localSheetId="0" hidden="1">{#N/A,#N/A,FALSE,"사업총괄";#N/A,#N/A,FALSE,"장비사업";#N/A,#N/A,FALSE,"철구사업";#N/A,#N/A,FALSE,"준설사업"}</definedName>
    <definedName name="조직4" hidden="1">{#N/A,#N/A,FALSE,"사업총괄";#N/A,#N/A,FALSE,"장비사업";#N/A,#N/A,FALSE,"철구사업";#N/A,#N/A,FALSE,"준설사업"}</definedName>
    <definedName name="조직4.2" localSheetId="0" hidden="1">{#N/A,#N/A,FALSE,"예상손익";#N/A,#N/A,FALSE,"관리분석";#N/A,#N/A,FALSE,"장비분석";#N/A,#N/A,FALSE,"준설분석";#N/A,#N/A,FALSE,"철구분석"}</definedName>
    <definedName name="조직4.2" hidden="1">{#N/A,#N/A,FALSE,"예상손익";#N/A,#N/A,FALSE,"관리분석";#N/A,#N/A,FALSE,"장비분석";#N/A,#N/A,FALSE,"준설분석";#N/A,#N/A,FALSE,"철구분석"}</definedName>
    <definedName name="조차장" localSheetId="0" hidden="1">{#N/A,#N/A,FALSE,"명세표"}</definedName>
    <definedName name="조차장" hidden="1">{#N/A,#N/A,FALSE,"명세표"}</definedName>
    <definedName name="조창현" localSheetId="0" hidden="1">{#N/A,#N/A,FALSE,"교리2"}</definedName>
    <definedName name="조창현" hidden="1">{#N/A,#N/A,FALSE,"교리2"}</definedName>
    <definedName name="조후" localSheetId="0" hidden="1">{#N/A,#N/A,FALSE,"예상손익";#N/A,#N/A,FALSE,"관리분석";#N/A,#N/A,FALSE,"장비분석";#N/A,#N/A,FALSE,"준설분석";#N/A,#N/A,FALSE,"철구분석"}</definedName>
    <definedName name="조후" hidden="1">{#N/A,#N/A,FALSE,"예상손익";#N/A,#N/A,FALSE,"관리분석";#N/A,#N/A,FALSE,"장비분석";#N/A,#N/A,FALSE,"준설분석";#N/A,#N/A,FALSE,"철구분석"}</definedName>
    <definedName name="졷ㅂ숃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졷ㅂ숃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" localSheetId="0" hidden="1">{#N/A,#N/A,FALSE,"지침";#N/A,#N/A,FALSE,"환경분석";#N/A,#N/A,FALSE,"Sheet16"}</definedName>
    <definedName name="주" hidden="1">{#N/A,#N/A,FALSE,"지침";#N/A,#N/A,FALSE,"환경분석";#N/A,#N/A,FALSE,"Sheet16"}</definedName>
    <definedName name="주차장" localSheetId="0" hidden="1">{#N/A,#N/A,FALSE,"표지"}</definedName>
    <definedName name="주차장" hidden="1">{#N/A,#N/A,FALSE,"표지"}</definedName>
    <definedName name="중공업인원인건비" localSheetId="0" hidden="1">{#N/A,#N/A,FALSE,"지침";#N/A,#N/A,FALSE,"환경분석";#N/A,#N/A,FALSE,"Sheet16"}</definedName>
    <definedName name="중공업인원인건비" hidden="1">{#N/A,#N/A,FALSE,"지침";#N/A,#N/A,FALSE,"환경분석";#N/A,#N/A,FALSE,"Sheet16"}</definedName>
    <definedName name="증감내역" localSheetId="1" hidden="1">#REF!</definedName>
    <definedName name="증감내역" localSheetId="0" hidden="1">#REF!</definedName>
    <definedName name="증감내역" localSheetId="2" hidden="1">#REF!</definedName>
    <definedName name="증감내역" hidden="1">#REF!</definedName>
    <definedName name="지" localSheetId="0" hidden="1">{#N/A,#N/A,FALSE,"배수2"}</definedName>
    <definedName name="지" hidden="1">{#N/A,#N/A,FALSE,"배수2"}</definedName>
    <definedName name="지역" localSheetId="0" hidden="1">{#N/A,#N/A,FALSE,"포장2"}</definedName>
    <definedName name="지역" hidden="1">{#N/A,#N/A,FALSE,"포장2"}</definedName>
    <definedName name="지역업체" localSheetId="0" hidden="1">{#N/A,#N/A,FALSE,"배수2"}</definedName>
    <definedName name="지역업체" hidden="1">{#N/A,#N/A,FALSE,"배수2"}</definedName>
    <definedName name="지철" localSheetId="0" hidden="1">{#N/A,#N/A,FALSE,"포장2"}</definedName>
    <definedName name="지철" hidden="1">{#N/A,#N/A,FALSE,"포장2"}</definedName>
    <definedName name="지철자재" localSheetId="0" hidden="1">{#N/A,#N/A,FALSE,"포장2"}</definedName>
    <definedName name="지철자재" hidden="1">{#N/A,#N/A,FALSE,"포장2"}</definedName>
    <definedName name="지토" localSheetId="0" hidden="1">{#N/A,#N/A,FALSE,"포장1";#N/A,#N/A,FALSE,"포장1"}</definedName>
    <definedName name="지토" hidden="1">{#N/A,#N/A,FALSE,"포장1";#N/A,#N/A,FALSE,"포장1"}</definedName>
    <definedName name="지토자재" localSheetId="0" hidden="1">{#N/A,#N/A,FALSE,"포장2"}</definedName>
    <definedName name="지토자재" hidden="1">{#N/A,#N/A,FALSE,"포장2"}</definedName>
    <definedName name="직매54P" localSheetId="0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진짜원가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짠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짠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쩝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쩝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쩨" localSheetId="0" hidden="1">{#N/A,#N/A,FALSE,"변경관리예산";#N/A,#N/A,FALSE,"변경장비예산";#N/A,#N/A,FALSE,"변경준설예산";#N/A,#N/A,FALSE,"변경철구예산"}</definedName>
    <definedName name="쩨" hidden="1">{#N/A,#N/A,FALSE,"변경관리예산";#N/A,#N/A,FALSE,"변경장비예산";#N/A,#N/A,FALSE,"변경준설예산";#N/A,#N/A,FALSE,"변경철구예산"}</definedName>
    <definedName name="ㅊ노ㅜ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노ㅜ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ㄹㅎ" localSheetId="0" hidden="1">{#N/A,#N/A,FALSE,"집계표"}</definedName>
    <definedName name="ㅊㄹㅎ" hidden="1">{#N/A,#N/A,FALSE,"집계표"}</definedName>
    <definedName name="ㅊㄹ헝ㅇ" localSheetId="0" hidden="1">{#N/A,#N/A,FALSE,"집계표"}</definedName>
    <definedName name="ㅊㄹ헝ㅇ" hidden="1">{#N/A,#N/A,FALSE,"집계표"}</definedName>
    <definedName name="ㅊㄹ호" localSheetId="0" hidden="1">{#N/A,#N/A,FALSE,"집계표"}</definedName>
    <definedName name="ㅊㄹ호" hidden="1">{#N/A,#N/A,FALSE,"집계표"}</definedName>
    <definedName name="ㅊㅀㅎㅎㅎㅎㅎㅎㅎㅎ" localSheetId="0" hidden="1">{#N/A,#N/A,FALSE,"집계표"}</definedName>
    <definedName name="ㅊㅀㅎㅎㅎㅎㅎㅎㅎㅎ" hidden="1">{#N/A,#N/A,FALSE,"집계표"}</definedName>
    <definedName name="ㅊㅇ" localSheetId="0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ㅊㅊㅊㅊ" localSheetId="0" hidden="1">{#N/A,#N/A,FALSE,"단가표지"}</definedName>
    <definedName name="ㅊㅊㅊㅊ" hidden="1">{#N/A,#N/A,FALSE,"단가표지"}</definedName>
    <definedName name="ㅊㅌㅅ" localSheetId="0" hidden="1">{#N/A,#N/A,FALSE,"집계표"}</definedName>
    <definedName name="ㅊㅌㅅ" hidden="1">{#N/A,#N/A,FALSE,"집계표"}</definedName>
    <definedName name="ㅊㅌ포촣" localSheetId="0" hidden="1">{#N/A,#N/A,FALSE,"집계표"}</definedName>
    <definedName name="ㅊㅌ포촣" hidden="1">{#N/A,#N/A,FALSE,"집계표"}</definedName>
    <definedName name="ㅊㅌㅎㄹ쇼" localSheetId="0" hidden="1">{#N/A,#N/A,FALSE,"집계표"}</definedName>
    <definedName name="ㅊㅌㅎㄹ쇼" hidden="1">{#N/A,#N/A,FALSE,"집계표"}</definedName>
    <definedName name="ㅊ튶" localSheetId="0" hidden="1">{#N/A,#N/A,FALSE,"집계표"}</definedName>
    <definedName name="ㅊ튶" hidden="1">{#N/A,#N/A,FALSE,"집계표"}</definedName>
    <definedName name="ㅊㅍ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허ㅓㅗ효" localSheetId="0" hidden="1">{#N/A,#N/A,FALSE,"집계표"}</definedName>
    <definedName name="ㅊㅍ허ㅓㅗ효" hidden="1">{#N/A,#N/A,FALSE,"집계표"}</definedName>
    <definedName name="ㅊ퍼ㅗㅗㅗㅗㅗ" localSheetId="0" hidden="1">{#N/A,#N/A,FALSE,"집계표"}</definedName>
    <definedName name="ㅊ퍼ㅗㅗㅗㅗㅗ" hidden="1">{#N/A,#N/A,FALSE,"집계표"}</definedName>
    <definedName name="ㅊ포ㅓㅊㅊㅊㅊㅊㅊㅊㅊㅊㅊ" localSheetId="0" hidden="1">{#N/A,#N/A,FALSE,"집계표"}</definedName>
    <definedName name="ㅊ포ㅓㅊㅊㅊㅊㅊㅊㅊㅊㅊㅊ" hidden="1">{#N/A,#N/A,FALSE,"집계표"}</definedName>
    <definedName name="ㅊ포ㅓㅓㅓㅓㅓㅓㅓㅓㅓㅓ" localSheetId="0" hidden="1">{#N/A,#N/A,FALSE,"집계표"}</definedName>
    <definedName name="ㅊ포ㅓㅓㅓㅓㅓㅓㅓㅓㅓㅓ" hidden="1">{#N/A,#N/A,FALSE,"집계표"}</definedName>
    <definedName name="ㅊ폴" localSheetId="0" hidden="1">{#N/A,#N/A,FALSE,"Sheet6"}</definedName>
    <definedName name="ㅊ폴" hidden="1">{#N/A,#N/A,FALSE,"Sheet6"}</definedName>
    <definedName name="ㅊ푸ㅡ" localSheetId="0" hidden="1">{#N/A,#N/A,FALSE,"집계표"}</definedName>
    <definedName name="ㅊ푸ㅡ" hidden="1">{#N/A,#N/A,FALSE,"집계표"}</definedName>
    <definedName name="ㅊ퓨ㅗ" localSheetId="0" hidden="1">{#N/A,#N/A,FALSE,"집계표"}</definedName>
    <definedName name="ㅊ퓨ㅗ" hidden="1">{#N/A,#N/A,FALSE,"집계표"}</definedName>
    <definedName name="ㅊㅎㄹㄹ" localSheetId="0" hidden="1">{#N/A,#N/A,FALSE,"집계표"}</definedName>
    <definedName name="ㅊㅎㄹㄹ" hidden="1">{#N/A,#N/A,FALSE,"집계표"}</definedName>
    <definedName name="ㅊ허ㅗㅗㅗㅗㅗ" localSheetId="0" hidden="1">{#N/A,#N/A,FALSE,"집계표"}</definedName>
    <definedName name="ㅊ허ㅗㅗㅗㅗㅗ" hidden="1">{#N/A,#N/A,FALSE,"집계표"}</definedName>
    <definedName name="ㅊ호ㅓㅗ" localSheetId="0" hidden="1">{#N/A,#N/A,FALSE,"집계표"}</definedName>
    <definedName name="ㅊ호ㅓㅗ" hidden="1">{#N/A,#N/A,FALSE,"집계표"}</definedName>
    <definedName name="차ㅑ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차ㅑ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석자" localSheetId="0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참조" localSheetId="0" hidden="1">{"'Sheet1'!$A$1:$E$59"}</definedName>
    <definedName name="참조" hidden="1">{"'Sheet1'!$A$1:$E$59"}</definedName>
    <definedName name="처ㅗㅗㅗㅗㅗㅗㅗㅗㅗ" localSheetId="0" hidden="1">{#N/A,#N/A,FALSE,"집계표"}</definedName>
    <definedName name="처ㅗㅗㅗㅗㅗㅗㅗㅗㅗ" hidden="1">{#N/A,#N/A,FALSE,"집계표"}</definedName>
    <definedName name="철2" localSheetId="0" hidden="1">{#N/A,#N/A,FALSE,"혼합골재"}</definedName>
    <definedName name="철2" hidden="1">{#N/A,#N/A,FALSE,"혼합골재"}</definedName>
    <definedName name="철거단가" localSheetId="0" hidden="1">{#N/A,#N/A,FALSE,"조골재"}</definedName>
    <definedName name="철거단가" hidden="1">{#N/A,#N/A,FALSE,"조골재"}</definedName>
    <definedName name="철골협의" localSheetId="0" hidden="1">{#N/A,#N/A,FALSE,"현장 NCR 분석";#N/A,#N/A,FALSE,"현장품질감사";#N/A,#N/A,FALSE,"현장품질감사"}</definedName>
    <definedName name="철골협의" hidden="1">{#N/A,#N/A,FALSE,"현장 NCR 분석";#N/A,#N/A,FALSE,"현장품질감사";#N/A,#N/A,FALSE,"현장품질감사"}</definedName>
    <definedName name="철콘부대외" localSheetId="0" hidden="1">{#N/A,#N/A,FALSE,"Sheet1"}</definedName>
    <definedName name="철콘부대외" hidden="1">{#N/A,#N/A,FALSE,"Sheet1"}</definedName>
    <definedName name="첨부" hidden="1">0</definedName>
    <definedName name="초" localSheetId="0" hidden="1">{#N/A,#N/A,TRUE,"960318-1";#N/A,#N/A,TRUE,"960318-2";#N/A,#N/A,TRUE,"960318-3"}</definedName>
    <definedName name="초" hidden="1">{#N/A,#N/A,TRUE,"960318-1";#N/A,#N/A,TRUE,"960318-2";#N/A,#N/A,TRUE,"960318-3"}</definedName>
    <definedName name="총공" localSheetId="0" hidden="1">{#N/A,#N/A,FALSE,"운반시간"}</definedName>
    <definedName name="총공" hidden="1">{#N/A,#N/A,FALSE,"운반시간"}</definedName>
    <definedName name="총괄내역" localSheetId="1" hidden="1">#REF!</definedName>
    <definedName name="총괄내역" localSheetId="0" hidden="1">#REF!</definedName>
    <definedName name="총괄내역" localSheetId="2" hidden="1">#REF!</definedName>
    <definedName name="총괄내역" hidden="1">#REF!</definedName>
    <definedName name="총설계서" localSheetId="0" hidden="1">{#N/A,#N/A,FALSE,"전력간선"}</definedName>
    <definedName name="총설계서" hidden="1">{#N/A,#N/A,FALSE,"전력간선"}</definedName>
    <definedName name="최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최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추가기성" localSheetId="0" hidden="1">{#N/A,#N/A,FALSE,"집계표"}</definedName>
    <definedName name="추가기성" hidden="1">{#N/A,#N/A,FALSE,"집계표"}</definedName>
    <definedName name="추정" localSheetId="0" hidden="1">{#N/A,#N/A,FALSE,"포장2"}</definedName>
    <definedName name="추정" hidden="1">{#N/A,#N/A,FALSE,"포장2"}</definedName>
    <definedName name="출판" localSheetId="0" hidden="1">{#N/A,#N/A,FALSE,"지침";#N/A,#N/A,FALSE,"환경분석";#N/A,#N/A,FALSE,"Sheet16"}</definedName>
    <definedName name="출판" hidden="1">{#N/A,#N/A,FALSE,"지침";#N/A,#N/A,FALSE,"환경분석";#N/A,#N/A,FALSE,"Sheet16"}</definedName>
    <definedName name="충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주" localSheetId="1" hidden="1">[29]설계내역서!#REF!</definedName>
    <definedName name="충주" localSheetId="0" hidden="1">[29]설계내역서!#REF!</definedName>
    <definedName name="충주" localSheetId="2" hidden="1">[29]설계내역서!#REF!</definedName>
    <definedName name="충주" hidden="1">[29]설계내역서!#REF!</definedName>
    <definedName name="츄" localSheetId="0" hidden="1">{#N/A,#N/A,FALSE,"집계표"}</definedName>
    <definedName name="츄" hidden="1">{#N/A,#N/A,FALSE,"집계표"}</definedName>
    <definedName name="츄ㅗㄹㅊㄹ초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ㅜ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ㅜ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" localSheetId="0" hidden="1">{#N/A,#N/A,FALSE,"전력간선"}</definedName>
    <definedName name="ㅋㅋㅋ" hidden="1">{#N/A,#N/A,FALSE,"전력간선"}</definedName>
    <definedName name="ㅋㅋㅋㅋㅋ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ㅋㅋ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ㅌ" localSheetId="0" hidden="1">{#N/A,#N/A,FALSE,"구조1"}</definedName>
    <definedName name="ㅋㅌ" hidden="1">{#N/A,#N/A,FALSE,"구조1"}</definedName>
    <definedName name="ㅋㅌ애ㅑㅓㅎㄹ" localSheetId="0" hidden="1">{#N/A,#N/A,FALSE,"집계표"}</definedName>
    <definedName name="ㅋㅌ애ㅑㅓㅎㄹ" hidden="1">{#N/A,#N/A,FALSE,"집계표"}</definedName>
    <definedName name="ㅋ타ㅓㄹㅇ" localSheetId="0" hidden="1">{#N/A,#N/A,FALSE,"집계표"}</definedName>
    <definedName name="ㅋ타ㅓㄹㅇ" hidden="1">{#N/A,#N/A,FALSE,"집계표"}</definedName>
    <definedName name="ㅋ텋리ㅏㄴㅁㄱ" localSheetId="0" hidden="1">{#N/A,#N/A,FALSE,"집계표"}</definedName>
    <definedName name="ㅋ텋리ㅏㄴㅁㄱ" hidden="1">{#N/A,#N/A,FALSE,"집계표"}</definedName>
    <definedName name="ㅋ하ㅓㅈㄴㄷㄱㅎ" localSheetId="0" hidden="1">{#N/A,#N/A,FALSE,"집계표"}</definedName>
    <definedName name="ㅋ하ㅓㅈㄴㄷㄱㅎ" hidden="1">{#N/A,#N/A,FALSE,"집계표"}</definedName>
    <definedName name="캐쉬" localSheetId="0" hidden="1">{#N/A,#N/A,FALSE,"지침";#N/A,#N/A,FALSE,"환경분석";#N/A,#N/A,FALSE,"Sheet16"}</definedName>
    <definedName name="캐쉬" hidden="1">{#N/A,#N/A,FALSE,"지침";#N/A,#N/A,FALSE,"환경분석";#N/A,#N/A,FALSE,"Sheet16"}</definedName>
    <definedName name="캬ㅓ래ㅑㅣㅏ" localSheetId="0" hidden="1">{#N/A,#N/A,FALSE,"집계표"}</definedName>
    <definedName name="캬ㅓ래ㅑㅣㅏ" hidden="1">{#N/A,#N/A,FALSE,"집계표"}</definedName>
    <definedName name="케이블간지" localSheetId="0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콩" localSheetId="0" hidden="1">{#N/A,#N/A,FALSE,"구조1"}</definedName>
    <definedName name="콩" hidden="1">{#N/A,#N/A,FALSE,"구조1"}</definedName>
    <definedName name="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키ㅏㄴ어리ㅑㅁㅈㄷ" localSheetId="0" hidden="1">{#N/A,#N/A,FALSE,"집계표"}</definedName>
    <definedName name="키ㅏㄴ어리ㅑㅁㅈㄷ" hidden="1">{#N/A,#N/A,FALSE,"집계표"}</definedName>
    <definedName name="ㅌㄹ요" localSheetId="0" hidden="1">{#N/A,#N/A,FALSE,"집계표"}</definedName>
    <definedName name="ㅌㄹ요" hidden="1">{#N/A,#N/A,FALSE,"집계표"}</definedName>
    <definedName name="ㅌㄹ호" localSheetId="0" hidden="1">{#N/A,#N/A,FALSE,"집계표"}</definedName>
    <definedName name="ㅌㄹ호" hidden="1">{#N/A,#N/A,FALSE,"집계표"}</definedName>
    <definedName name="ㅌ롷" localSheetId="0" hidden="1">{#N/A,#N/A,FALSE,"집계표"}</definedName>
    <definedName name="ㅌ롷" hidden="1">{#N/A,#N/A,FALSE,"집계표"}</definedName>
    <definedName name="ㅌㄾㅎ" localSheetId="0" hidden="1">{#N/A,#N/A,FALSE,"집계표"}</definedName>
    <definedName name="ㅌㄾㅎ" hidden="1">{#N/A,#N/A,FALSE,"집계표"}</definedName>
    <definedName name="ㅌㅅㅊㅌ" localSheetId="0" hidden="1">{#N/A,#N/A,FALSE,"집계표"}</definedName>
    <definedName name="ㅌㅅㅊㅌ" hidden="1">{#N/A,#N/A,FALSE,"집계표"}</definedName>
    <definedName name="ㅌ쇼ㅏ" localSheetId="0" hidden="1">{#N/A,#N/A,FALSE,"집계표"}</definedName>
    <definedName name="ㅌ쇼ㅏ" hidden="1">{#N/A,#N/A,FALSE,"집계표"}</definedName>
    <definedName name="ㅌㅇㄱㄱ" localSheetId="0" hidden="1">{#N/A,#N/A,FALSE,"집계표"}</definedName>
    <definedName name="ㅌㅇㄱㄱ" hidden="1">{#N/A,#N/A,FALSE,"집계표"}</definedName>
    <definedName name="ㅌㅇ려ㅛㄴㅇㅀ" localSheetId="0" hidden="1">{#N/A,#N/A,FALSE,"집계표"}</definedName>
    <definedName name="ㅌㅇ려ㅛㄴㅇㅀ" hidden="1">{#N/A,#N/A,FALSE,"집계표"}</definedName>
    <definedName name="ㅌㅇ롷ㄴㄱㄷ" localSheetId="0" hidden="1">{#N/A,#N/A,FALSE,"집계표"}</definedName>
    <definedName name="ㅌㅇ롷ㄴㄱㄷ" hidden="1">{#N/A,#N/A,FALSE,"집계표"}</definedName>
    <definedName name="ㅌㅇ료" localSheetId="0" hidden="1">{#N/A,#N/A,FALSE,"집계표"}</definedName>
    <definedName name="ㅌㅇ료" hidden="1">{#N/A,#N/A,FALSE,"집계표"}</definedName>
    <definedName name="ㅌㅊㄹ오" localSheetId="0" hidden="1">{#N/A,#N/A,FALSE,"집계표"}</definedName>
    <definedName name="ㅌㅊㄹ오" hidden="1">{#N/A,#N/A,FALSE,"집계표"}</definedName>
    <definedName name="ㅌㅊㄹ호" localSheetId="0" hidden="1">{#N/A,#N/A,FALSE,"집계표"}</definedName>
    <definedName name="ㅌㅊㄹ호" hidden="1">{#N/A,#N/A,FALSE,"집계표"}</definedName>
    <definedName name="ㅌㅊ룟" localSheetId="0" hidden="1">{#N/A,#N/A,FALSE,"집계표"}</definedName>
    <definedName name="ㅌㅊ룟" hidden="1">{#N/A,#N/A,FALSE,"집계표"}</definedName>
    <definedName name="ㅌ처히ㅏㅓㄹㅇ하" localSheetId="0" hidden="1">{#N/A,#N/A,FALSE,"집계표"}</definedName>
    <definedName name="ㅌ처히ㅏㅓㄹㅇ하" hidden="1">{#N/A,#N/A,FALSE,"집계표"}</definedName>
    <definedName name="ㅌㅋㅀ" localSheetId="0" hidden="1">{#N/A,#N/A,FALSE,"집계표"}</definedName>
    <definedName name="ㅌㅋㅀ" hidden="1">{#N/A,#N/A,FALSE,"집계표"}</definedName>
    <definedName name="ㅌㅋ퍼ㅣㅏㄴㅇ" localSheetId="0" hidden="1">{#N/A,#N/A,FALSE,"집계표"}</definedName>
    <definedName name="ㅌㅋ퍼ㅣㅏㄴㅇ" hidden="1">{#N/A,#N/A,FALSE,"집계표"}</definedName>
    <definedName name="ㅌ카ㅓ낭렇" localSheetId="0" hidden="1">{#N/A,#N/A,FALSE,"집계표"}</definedName>
    <definedName name="ㅌ카ㅓ낭렇" hidden="1">{#N/A,#N/A,FALSE,"집계표"}</definedName>
    <definedName name="ㅌㅌ" localSheetId="0" hidden="1">{#N/A,#N/A,FALSE,"표지"}</definedName>
    <definedName name="ㅌㅌ" hidden="1">{#N/A,#N/A,FALSE,"표지"}</definedName>
    <definedName name="ㅌㅍ" localSheetId="0" hidden="1">{#N/A,#N/A,FALSE,"부대2"}</definedName>
    <definedName name="ㅌㅍ" hidden="1">{#N/A,#N/A,FALSE,"부대2"}</definedName>
    <definedName name="ㅌㅍㅊㅇㅌㅎ" localSheetId="0" hidden="1">{#N/A,#N/A,FALSE,"도급대비시행율";#N/A,#N/A,FALSE,"결의서";#N/A,#N/A,FALSE,"내역서";#N/A,#N/A,FALSE,"도급예상"}</definedName>
    <definedName name="ㅌㅍㅊㅇㅌㅎ" hidden="1">{#N/A,#N/A,FALSE,"도급대비시행율";#N/A,#N/A,FALSE,"결의서";#N/A,#N/A,FALSE,"내역서";#N/A,#N/A,FALSE,"도급예상"}</definedName>
    <definedName name="타히ㅓㅇ" localSheetId="0" hidden="1">{#N/A,#N/A,FALSE,"집계표"}</definedName>
    <definedName name="타히ㅓㅇ" hidden="1">{#N/A,#N/A,FALSE,"집계표"}</definedName>
    <definedName name="태영지급" localSheetId="0" hidden="1">{#N/A,#N/A,FALSE,"부대1"}</definedName>
    <definedName name="태영지급" hidden="1">{#N/A,#N/A,FALSE,"부대1"}</definedName>
    <definedName name="택배" localSheetId="0" hidden="1">{#N/A,#N/A,TRUE,"TITLE"}</definedName>
    <definedName name="택배" hidden="1">{#N/A,#N/A,TRUE,"TITLE"}</definedName>
    <definedName name="텨러" localSheetId="0" hidden="1">{#N/A,#N/A,FALSE,"집계표"}</definedName>
    <definedName name="텨러" hidden="1">{#N/A,#N/A,FALSE,"집계표"}</definedName>
    <definedName name="토" localSheetId="1" hidden="1">#REF!</definedName>
    <definedName name="토" localSheetId="0" hidden="1">#REF!</definedName>
    <definedName name="토" localSheetId="2" hidden="1">#REF!</definedName>
    <definedName name="토" hidden="1">#REF!</definedName>
    <definedName name="토\40" localSheetId="0" hidden="1">{#N/A,#N/A,FALSE,"토공2"}</definedName>
    <definedName name="토\40" hidden="1">{#N/A,#N/A,FALSE,"토공2"}</definedName>
    <definedName name="토1" localSheetId="0" hidden="1">{#N/A,#N/A,FALSE,"이정표"}</definedName>
    <definedName name="토1" hidden="1">{#N/A,#N/A,FALSE,"이정표"}</definedName>
    <definedName name="토2" localSheetId="0" hidden="1">{#N/A,#N/A,FALSE,"조골재"}</definedName>
    <definedName name="토2" hidden="1">{#N/A,#N/A,FALSE,"조골재"}</definedName>
    <definedName name="토3" localSheetId="0" hidden="1">{#N/A,#N/A,FALSE,"구조1"}</definedName>
    <definedName name="토3" hidden="1">{#N/A,#N/A,FALSE,"구조1"}</definedName>
    <definedName name="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1" localSheetId="0" hidden="1">{#N/A,#N/A,FALSE,"포장2"}</definedName>
    <definedName name="토공11" hidden="1">{#N/A,#N/A,FALSE,"포장2"}</definedName>
    <definedName name="토공2" localSheetId="0" hidden="1">{#N/A,#N/A,FALSE,"2~8번"}</definedName>
    <definedName name="토공2" hidden="1">{#N/A,#N/A,FALSE,"2~8번"}</definedName>
    <definedName name="토공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전체" localSheetId="0" hidden="1">{#N/A,#N/A,FALSE,"운반시간"}</definedName>
    <definedName name="토공전체" hidden="1">{#N/A,#N/A,FALSE,"운반시간"}</definedName>
    <definedName name="토목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사" localSheetId="0" hidden="1">{#N/A,#N/A,FALSE,"이태원철근"}</definedName>
    <definedName name="토목공사" hidden="1">{#N/A,#N/A,FALSE,"이태원철근"}</definedName>
    <definedName name="토목공사강릉" localSheetId="1" hidden="1">#REF!</definedName>
    <definedName name="토목공사강릉" localSheetId="0" hidden="1">#REF!</definedName>
    <definedName name="토목공사강릉" localSheetId="2" hidden="1">#REF!</definedName>
    <definedName name="토목공사강릉" hidden="1">#REF!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실견적" localSheetId="0" hidden="1">{#N/A,#N/A,FALSE,"이태원철근"}</definedName>
    <definedName name="토목실견적" hidden="1">{#N/A,#N/A,FALSE,"이태원철근"}</definedName>
    <definedName name="투3" localSheetId="0" hidden="1">{#N/A,#N/A,FALSE,"배수2"}</definedName>
    <definedName name="투3" hidden="1">{#N/A,#N/A,FALSE,"배수2"}</definedName>
    <definedName name="투입대비표갑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투입대비표갑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툿" localSheetId="0" hidden="1">{#N/A,#N/A,FALSE,"사업총괄";#N/A,#N/A,FALSE,"장비사업";#N/A,#N/A,FALSE,"철구사업";#N/A,#N/A,FALSE,"준설사업"}</definedName>
    <definedName name="툿" hidden="1">{#N/A,#N/A,FALSE,"사업총괄";#N/A,#N/A,FALSE,"장비사업";#N/A,#N/A,FALSE,"철구사업";#N/A,#N/A,FALSE,"준설사업"}</definedName>
    <definedName name="특수조건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특수조건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티" localSheetId="0" hidden="1">{#N/A,#N/A,FALSE,"예상손익";#N/A,#N/A,FALSE,"관리분석";#N/A,#N/A,FALSE,"장비분석";#N/A,#N/A,FALSE,"준설분석";#N/A,#N/A,FALSE,"철구분석"}</definedName>
    <definedName name="티" hidden="1">{#N/A,#N/A,FALSE,"예상손익";#N/A,#N/A,FALSE,"관리분석";#N/A,#N/A,FALSE,"장비분석";#N/A,#N/A,FALSE,"준설분석";#N/A,#N/A,FALSE,"철구분석"}</definedName>
    <definedName name="ㅍㄴㅇㄷ" localSheetId="0" hidden="1">{#N/A,#N/A,FALSE,"집계표"}</definedName>
    <definedName name="ㅍㄴㅇㄷ" hidden="1">{#N/A,#N/A,FALSE,"집계표"}</definedName>
    <definedName name="ㅍㅊㅇㅍㅊ" localSheetId="0" hidden="1">{#N/A,#N/A,FALSE,"집계표"}</definedName>
    <definedName name="ㅍㅊㅇㅍㅊ" hidden="1">{#N/A,#N/A,FALSE,"집계표"}</definedName>
    <definedName name="ㅍ초ㅓㅓㅓㅓㅓㅓㅓ" localSheetId="0" hidden="1">{#N/A,#N/A,FALSE,"집계표"}</definedName>
    <definedName name="ㅍ초ㅓㅓㅓㅓㅓㅓㅓ" hidden="1">{#N/A,#N/A,FALSE,"집계표"}</definedName>
    <definedName name="ㅍ츄ㅗ" localSheetId="0" hidden="1">{#N/A,#N/A,FALSE,"집계표"}</definedName>
    <definedName name="ㅍ츄ㅗ" hidden="1">{#N/A,#N/A,FALSE,"집계표"}</definedName>
    <definedName name="ㅍㅌㅋ이ㅏ" localSheetId="0" hidden="1">{#N/A,#N/A,FALSE,"집계표"}</definedName>
    <definedName name="ㅍㅌㅋ이ㅏ" hidden="1">{#N/A,#N/A,FALSE,"집계표"}</definedName>
    <definedName name="ㅍㅍ" localSheetId="0" hidden="1">{#N/A,#N/A,TRUE,"토적및재료집계";#N/A,#N/A,TRUE,"토적및재료집계";#N/A,#N/A,TRUE,"단위량"}</definedName>
    <definedName name="ㅍㅍ" hidden="1">{#N/A,#N/A,TRUE,"토적및재료집계";#N/A,#N/A,TRUE,"토적및재료집계";#N/A,#N/A,TRUE,"단위량"}</definedName>
    <definedName name="ㅍ햐ㅐㅣㅏ" localSheetId="0" hidden="1">{#N/A,#N/A,FALSE,"집계표"}</definedName>
    <definedName name="ㅍ햐ㅐㅣㅏ" hidden="1">{#N/A,#N/A,FALSE,"집계표"}</definedName>
    <definedName name="ㅍ화ㅓ" localSheetId="0" hidden="1">{#N/A,#N/A,FALSE,"집계표"}</definedName>
    <definedName name="ㅍ화ㅓ" hidden="1">{#N/A,#N/A,FALSE,"집계표"}</definedName>
    <definedName name="파일산출3" localSheetId="1" hidden="1">#REF!</definedName>
    <definedName name="파일산출3" localSheetId="0" hidden="1">#REF!</definedName>
    <definedName name="파일산출3" localSheetId="2" hidden="1">#REF!</definedName>
    <definedName name="파일산출3" hidden="1">#REF!</definedName>
    <definedName name="팔" localSheetId="1" hidden="1">#REF!</definedName>
    <definedName name="팔" localSheetId="0" hidden="1">#REF!</definedName>
    <definedName name="팔" localSheetId="2" hidden="1">#REF!</definedName>
    <definedName name="팔" hidden="1">#REF!</definedName>
    <definedName name="페기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페기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장2월ocf" localSheetId="0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localSheetId="0" hidden="1">{#N/A,#N/A,FALSE,"지침";#N/A,#N/A,FALSE,"환경분석";#N/A,#N/A,FALSE,"Sheet16"}</definedName>
    <definedName name="포장ocf" hidden="1">{#N/A,#N/A,FALSE,"지침";#N/A,#N/A,FALSE,"환경분석";#N/A,#N/A,FALSE,"Sheet16"}</definedName>
    <definedName name="포지머ㅗㄱㄷㅌ킹1" localSheetId="0" hidden="1">{#N/A,#N/A,FALSE,"표지목차"}</definedName>
    <definedName name="포지머ㅗㄱㄷㅌ킹1" hidden="1">{#N/A,#N/A,FALSE,"표지목차"}</definedName>
    <definedName name="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폽장2" localSheetId="0" hidden="1">{#N/A,#N/A,FALSE,"포장1";#N/A,#N/A,FALSE,"포장1"}</definedName>
    <definedName name="폽장2" hidden="1">{#N/A,#N/A,FALSE,"포장1";#N/A,#N/A,FALSE,"포장1"}</definedName>
    <definedName name="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localSheetId="1" hidden="1">#REF!</definedName>
    <definedName name="표지" localSheetId="0" hidden="1">#REF!</definedName>
    <definedName name="표지" localSheetId="2" hidden="1">#REF!</definedName>
    <definedName name="표지" hidden="1">#REF!</definedName>
    <definedName name="표지1" localSheetId="0" hidden="1">{"'용역비'!$A$4:$C$8"}</definedName>
    <definedName name="표지1" hidden="1">{"'용역비'!$A$4:$C$8"}</definedName>
    <definedName name="표지2" localSheetId="1" hidden="1">#REF!</definedName>
    <definedName name="표지2" localSheetId="0" hidden="1">#REF!</definedName>
    <definedName name="표지2" localSheetId="2" hidden="1">#REF!</definedName>
    <definedName name="표지2" hidden="1">#REF!</definedName>
    <definedName name="표지3" localSheetId="0" hidden="1">{#N/A,#N/A,FALSE,"이정표"}</definedName>
    <definedName name="표지3" hidden="1">{#N/A,#N/A,FALSE,"이정표"}</definedName>
    <definedName name="품의민원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민원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서1" localSheetId="1" hidden="1">#REF!</definedName>
    <definedName name="품의서1" localSheetId="0" hidden="1">#REF!</definedName>
    <definedName name="품의서1" localSheetId="2" hidden="1">#REF!</definedName>
    <definedName name="품의서1" hidden="1">#REF!</definedName>
    <definedName name="풍납동" localSheetId="1" hidden="1">#REF!</definedName>
    <definedName name="풍납동" localSheetId="0" hidden="1">#REF!</definedName>
    <definedName name="풍납동" localSheetId="2" hidden="1">#REF!</definedName>
    <definedName name="풍납동" hidden="1">#REF!</definedName>
    <definedName name="풍납동아파트" localSheetId="1" hidden="1">#REF!</definedName>
    <definedName name="풍납동아파트" localSheetId="0" hidden="1">#REF!</definedName>
    <definedName name="풍납동아파트" localSheetId="2" hidden="1">#REF!</definedName>
    <definedName name="풍납동아파트" hidden="1">#REF!</definedName>
    <definedName name="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ㅗ허" localSheetId="0" hidden="1">{#N/A,#N/A,FALSE,"집계표"}</definedName>
    <definedName name="퓨ㅗ허" hidden="1">{#N/A,#N/A,FALSE,"집계표"}</definedName>
    <definedName name="퓸" localSheetId="0" hidden="1">{#N/A,#N/A,FALSE,"사업총괄";#N/A,#N/A,FALSE,"장비사업";#N/A,#N/A,FALSE,"철구사업";#N/A,#N/A,FALSE,"준설사업"}</definedName>
    <definedName name="퓸" hidden="1">{#N/A,#N/A,FALSE,"사업총괄";#N/A,#N/A,FALSE,"장비사업";#N/A,#N/A,FALSE,"철구사업";#N/A,#N/A,FALSE,"준설사업"}</definedName>
    <definedName name="피로티" localSheetId="0" hidden="1">{#N/A,#N/A,FALSE,"이태원철근"}</definedName>
    <definedName name="피로티" hidden="1">{#N/A,#N/A,FALSE,"이태원철근"}</definedName>
    <definedName name="피로티1" localSheetId="0" hidden="1">{#N/A,#N/A,FALSE,"이태원철근"}</definedName>
    <definedName name="피로티1" hidden="1">{#N/A,#N/A,FALSE,"이태원철근"}</definedName>
    <definedName name="ㅎㄴㅇㅀㄴ" localSheetId="0" hidden="1">{#N/A,#N/A,FALSE,"집계표"}</definedName>
    <definedName name="ㅎㄴㅇㅀㄴ" hidden="1">{#N/A,#N/A,FALSE,"집계표"}</definedName>
    <definedName name="ㅎㄹ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ㅇㄴㅇ" localSheetId="0" hidden="1">{#N/A,#N/A,FALSE,"집계표"}</definedName>
    <definedName name="ㅎㄹㅇㄴㅇ" hidden="1">{#N/A,#N/A,FALSE,"집계표"}</definedName>
    <definedName name="ㅎㄹㅇ솔요" localSheetId="0" hidden="1">{#N/A,#N/A,FALSE,"집계표"}</definedName>
    <definedName name="ㅎㄹㅇ솔요" hidden="1">{#N/A,#N/A,FALSE,"집계표"}</definedName>
    <definedName name="ㅎㄹ어" localSheetId="0" hidden="1">{#N/A,#N/A,FALSE,"집계표"}</definedName>
    <definedName name="ㅎㄹ어" hidden="1">{#N/A,#N/A,FALSE,"집계표"}</definedName>
    <definedName name="ㅎㄹ오" localSheetId="0" hidden="1">{#N/A,#N/A,FALSE,"집계표"}</definedName>
    <definedName name="ㅎㄹ오" hidden="1">{#N/A,#N/A,FALSE,"집계표"}</definedName>
    <definedName name="ㅎㄹ요서ㅗㅎㄹㅇ" localSheetId="0" hidden="1">{#N/A,#N/A,FALSE,"집계표"}</definedName>
    <definedName name="ㅎㄹ요서ㅗㅎㄹㅇ" hidden="1">{#N/A,#N/A,FALSE,"집계표"}</definedName>
    <definedName name="ㅎ러ㅏ료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ㅏ료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ㅗㅇ러" localSheetId="0" hidden="1">{#N/A,#N/A,FALSE,"집계표"}</definedName>
    <definedName name="ㅎ러ㅗㅇ러" hidden="1">{#N/A,#N/A,FALSE,"집계표"}</definedName>
    <definedName name="ㅎ러ㅘㅍㅊ" localSheetId="0" hidden="1">{#N/A,#N/A,FALSE,"집계표"}</definedName>
    <definedName name="ㅎ러ㅘㅍㅊ" hidden="1">{#N/A,#N/A,FALSE,"집계표"}</definedName>
    <definedName name="ㅎ러ㅡㅜ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ㅡㅜ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려ㅑㅓㅏㄹ셔ㅛ" localSheetId="0" hidden="1">{#N/A,#N/A,FALSE,"집계표"}</definedName>
    <definedName name="ㅎ려ㅑㅓㅏㄹ셔ㅛ" hidden="1">{#N/A,#N/A,FALSE,"집계표"}</definedName>
    <definedName name="ㅎ로" localSheetId="0" hidden="1">{#N/A,#N/A,FALSE,"집계표"}</definedName>
    <definedName name="ㅎ로" hidden="1">{#N/A,#N/A,FALSE,"집계표"}</definedName>
    <definedName name="ㅎ로낟안" localSheetId="0" hidden="1">{#N/A,#N/A,FALSE,"혼합골재"}</definedName>
    <definedName name="ㅎ로낟안" hidden="1">{#N/A,#N/A,FALSE,"혼합골재"}</definedName>
    <definedName name="ㅎ로ㅓㅅㄱㄷ" localSheetId="0" hidden="1">{#N/A,#N/A,FALSE,"집계표"}</definedName>
    <definedName name="ㅎ로ㅓㅅㄱㄷ" hidden="1">{#N/A,#N/A,FALSE,"집계표"}</definedName>
    <definedName name="ㅎ로ㅓㅇ" localSheetId="0" hidden="1">{#N/A,#N/A,FALSE,"집계표"}</definedName>
    <definedName name="ㅎ로ㅓㅇ" hidden="1">{#N/A,#N/A,FALSE,"집계표"}</definedName>
    <definedName name="ㅎ로ㅓㅓㅓㅓㅓㅓㅓㅓㅓㅓ" localSheetId="0" hidden="1">{#N/A,#N/A,FALSE,"집계표"}</definedName>
    <definedName name="ㅎ로ㅓㅓㅓㅓㅓㅓㅓㅓㅓㅓ" hidden="1">{#N/A,#N/A,FALSE,"집계표"}</definedName>
    <definedName name="ㅎ롤ㅇㄴㄳㄱ" localSheetId="0" hidden="1">{#N/A,#N/A,FALSE,"집계표"}</definedName>
    <definedName name="ㅎ롤ㅇㄴㄳㄱ" hidden="1">{#N/A,#N/A,FALSE,"집계표"}</definedName>
    <definedName name="ㅎ롯ㅅ" localSheetId="0" hidden="1">{#N/A,#N/A,FALSE,"집계표"}</definedName>
    <definedName name="ㅎ롯ㅅ" hidden="1">{#N/A,#N/A,FALSE,"집계표"}</definedName>
    <definedName name="ㅎㅀㅀ" localSheetId="1" hidden="1">#REF!</definedName>
    <definedName name="ㅎㅀㅀ" localSheetId="0" hidden="1">#REF!</definedName>
    <definedName name="ㅎㅀㅀ" localSheetId="2" hidden="1">#REF!</definedName>
    <definedName name="ㅎㅀㅀ" hidden="1">#REF!</definedName>
    <definedName name="ㅎㅀㅇ" localSheetId="1" hidden="1">#REF!</definedName>
    <definedName name="ㅎㅀㅇ" localSheetId="0" hidden="1">#REF!</definedName>
    <definedName name="ㅎㅀㅇ" localSheetId="2" hidden="1">#REF!</definedName>
    <definedName name="ㅎㅀㅇ" hidden="1">#REF!</definedName>
    <definedName name="ㅎㅁ" localSheetId="0" hidden="1">{#N/A,#N/A,FALSE,"집계표"}</definedName>
    <definedName name="ㅎㅁ" hidden="1">{#N/A,#N/A,FALSE,"집계표"}</definedName>
    <definedName name="ㅎㅁㄴ" localSheetId="1" hidden="1">#REF!</definedName>
    <definedName name="ㅎㅁㄴ" localSheetId="0" hidden="1">#REF!</definedName>
    <definedName name="ㅎㅁㄴ" localSheetId="2" hidden="1">#REF!</definedName>
    <definedName name="ㅎㅁㄴ" hidden="1">#REF!</definedName>
    <definedName name="ㅎ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처ㅗㅅㄹ요" localSheetId="0" hidden="1">{#N/A,#N/A,FALSE,"집계표"}</definedName>
    <definedName name="ㅎ처ㅗㅅㄹ요" hidden="1">{#N/A,#N/A,FALSE,"집계표"}</definedName>
    <definedName name="ㅎㅎ" localSheetId="1" hidden="1">#REF!</definedName>
    <definedName name="ㅎㅎ" localSheetId="0" hidden="1">#REF!</definedName>
    <definedName name="ㅎㅎ" localSheetId="2" hidden="1">#REF!</definedName>
    <definedName name="ㅎㅎ" hidden="1">#REF!</definedName>
    <definedName name="ㅎㅎㅎ" localSheetId="1" hidden="1">#REF!</definedName>
    <definedName name="ㅎㅎㅎ" localSheetId="0" hidden="1">#REF!</definedName>
    <definedName name="ㅎㅎㅎ" localSheetId="2" hidden="1">#REF!</definedName>
    <definedName name="ㅎㅎㅎ" hidden="1">#REF!</definedName>
    <definedName name="ㅎㅎㅎ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ㅎㅎㅎ" localSheetId="0" hidden="1">{#N/A,#N/A,FALSE,"교리2"}</definedName>
    <definedName name="ㅎㅎㅎㅎㅎㅎㅎ" hidden="1">{#N/A,#N/A,FALSE,"교리2"}</definedName>
    <definedName name="ㅎㅕㅓ" localSheetId="0" hidden="1">{#N/A,#N/A,FALSE,"집계표"}</definedName>
    <definedName name="ㅎㅕㅓ" hidden="1">{#N/A,#N/A,FALSE,"집계표"}</definedName>
    <definedName name="하" localSheetId="0" hidden="1">{#N/A,#N/A,TRUE,"960318-1";#N/A,#N/A,TRUE,"960318-2";#N/A,#N/A,TRUE,"960318-3"}</definedName>
    <definedName name="하" hidden="1">{#N/A,#N/A,TRUE,"960318-1";#N/A,#N/A,TRUE,"960318-2";#N/A,#N/A,TRUE,"960318-3"}</definedName>
    <definedName name="하나" localSheetId="0" hidden="1">{#N/A,#N/A,FALSE,"Sheet1"}</definedName>
    <definedName name="하나" hidden="1">{#N/A,#N/A,FALSE,"Sheet1"}</definedName>
    <definedName name="하도급" localSheetId="0" hidden="1">{#N/A,#N/A,FALSE,"사업총괄";#N/A,#N/A,FALSE,"장비사업";#N/A,#N/A,FALSE,"철구사업";#N/A,#N/A,FALSE,"준설사업"}</definedName>
    <definedName name="하도급" hidden="1">{#N/A,#N/A,FALSE,"사업총괄";#N/A,#N/A,FALSE,"장비사업";#N/A,#N/A,FALSE,"철구사업";#N/A,#N/A,FALSE,"준설사업"}</definedName>
    <definedName name="하도급사항" localSheetId="1" hidden="1">#REF!</definedName>
    <definedName name="하도급사항" localSheetId="0" hidden="1">#REF!</definedName>
    <definedName name="하도급사항" localSheetId="2" hidden="1">#REF!</definedName>
    <definedName name="하도급사항" hidden="1">#REF!</definedName>
    <definedName name="하도대상" localSheetId="0" hidden="1">{#N/A,#N/A,FALSE,"골재소요량";#N/A,#N/A,FALSE,"골재소요량"}</definedName>
    <definedName name="하도대상" hidden="1">{#N/A,#N/A,FALSE,"골재소요량";#N/A,#N/A,FALSE,"골재소요량"}</definedName>
    <definedName name="하도발주용공내역서" localSheetId="0" hidden="1">{#N/A,#N/A,FALSE,"사업총괄";#N/A,#N/A,FALSE,"장비사업";#N/A,#N/A,FALSE,"철구사업";#N/A,#N/A,FALSE,"준설사업"}</definedName>
    <definedName name="하도발주용공내역서" hidden="1">{#N/A,#N/A,FALSE,"사업총괄";#N/A,#N/A,FALSE,"장비사업";#N/A,#N/A,FALSE,"철구사업";#N/A,#N/A,FALSE,"준설사업"}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하" localSheetId="0" hidden="1">{#N/A,#N/A,FALSE,"단가표지"}</definedName>
    <definedName name="하하하" hidden="1">{#N/A,#N/A,FALSE,"단가표지"}</definedName>
    <definedName name="하한선" localSheetId="0" hidden="1">{#N/A,#N/A,FALSE,"배수2"}</definedName>
    <definedName name="하한선" hidden="1">{#N/A,#N/A,FALSE,"배수2"}</definedName>
    <definedName name="하ㅓ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ㅓ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학" localSheetId="0" hidden="1">{#N/A,#N/A,TRUE,"960318-1";#N/A,#N/A,TRUE,"960318-2";#N/A,#N/A,TRUE,"960318-3"}</definedName>
    <definedName name="학" hidden="1">{#N/A,#N/A,TRUE,"960318-1";#N/A,#N/A,TRUE,"960318-2";#N/A,#N/A,TRUE,"960318-3"}</definedName>
    <definedName name="한" localSheetId="1" hidden="1">#REF!</definedName>
    <definedName name="한" localSheetId="0" hidden="1">#REF!</definedName>
    <definedName name="한" localSheetId="2" hidden="1">#REF!</definedName>
    <definedName name="한" hidden="1">#REF!</definedName>
    <definedName name="한동" localSheetId="0" hidden="1">{#N/A,#N/A,FALSE,"단가표지"}</definedName>
    <definedName name="한동" hidden="1">{#N/A,#N/A,FALSE,"단가표지"}</definedName>
    <definedName name="한동1" localSheetId="0" hidden="1">{#N/A,#N/A,FALSE,"단가표지"}</definedName>
    <definedName name="한동1" hidden="1">{#N/A,#N/A,FALSE,"단가표지"}</definedName>
    <definedName name="핟" localSheetId="0" hidden="1">{#N/A,#N/A,TRUE,"960318-1";#N/A,#N/A,TRUE,"960318-2";#N/A,#N/A,TRUE,"960318-3"}</definedName>
    <definedName name="핟" hidden="1">{#N/A,#N/A,TRUE,"960318-1";#N/A,#N/A,TRUE,"960318-2";#N/A,#N/A,TRUE,"960318-3"}</definedName>
    <definedName name="할" localSheetId="0" hidden="1">{#N/A,#N/A,TRUE,"960318-1";#N/A,#N/A,TRUE,"960318-2";#N/A,#N/A,TRUE,"960318-3"}</definedName>
    <definedName name="할" hidden="1">{#N/A,#N/A,TRUE,"960318-1";#N/A,#N/A,TRUE,"960318-2";#N/A,#N/A,TRUE,"960318-3"}</definedName>
    <definedName name="할ㅇㅎㅎ랄ㄴㅇ험ㄴ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할ㅇㅎㅎ랄ㄴㅇ험ㄴ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함" localSheetId="0" hidden="1">{#N/A,#N/A,TRUE,"960318-1";#N/A,#N/A,TRUE,"960318-2";#N/A,#N/A,TRUE,"960318-3"}</definedName>
    <definedName name="함" hidden="1">{#N/A,#N/A,TRUE,"960318-1";#N/A,#N/A,TRUE,"960318-2";#N/A,#N/A,TRUE,"960318-3"}</definedName>
    <definedName name="합" localSheetId="0" hidden="1">{#N/A,#N/A,TRUE,"960318-1";#N/A,#N/A,TRUE,"960318-2";#N/A,#N/A,TRUE,"960318-3"}</definedName>
    <definedName name="합" hidden="1">{#N/A,#N/A,TRUE,"960318-1";#N/A,#N/A,TRUE,"960318-2";#N/A,#N/A,TRUE,"960318-3"}</definedName>
    <definedName name="핫" localSheetId="0" hidden="1">{#N/A,#N/A,TRUE,"960318-1";#N/A,#N/A,TRUE,"960318-2";#N/A,#N/A,TRUE,"960318-3"}</definedName>
    <definedName name="핫" hidden="1">{#N/A,#N/A,TRUE,"960318-1";#N/A,#N/A,TRUE,"960318-2";#N/A,#N/A,TRUE,"960318-3"}</definedName>
    <definedName name="항" localSheetId="0" hidden="1">{#N/A,#N/A,TRUE,"960318-1";#N/A,#N/A,TRUE,"960318-2";#N/A,#N/A,TRUE,"960318-3"}</definedName>
    <definedName name="항" hidden="1">{#N/A,#N/A,TRUE,"960318-1";#N/A,#N/A,TRUE,"960318-2";#N/A,#N/A,TRUE,"960318-3"}</definedName>
    <definedName name="핳" localSheetId="0" hidden="1">{#N/A,#N/A,TRUE,"960318-1";#N/A,#N/A,TRUE,"960318-2";#N/A,#N/A,TRUE,"960318-3"}</definedName>
    <definedName name="핳" hidden="1">{#N/A,#N/A,TRUE,"960318-1";#N/A,#N/A,TRUE,"960318-2";#N/A,#N/A,TRUE,"960318-3"}</definedName>
    <definedName name="햐" localSheetId="0" hidden="1">{#N/A,#N/A,FALSE,"사업총괄";#N/A,#N/A,FALSE,"장비사업";#N/A,#N/A,FALSE,"철구사업";#N/A,#N/A,FALSE,"준설사업"}</definedName>
    <definedName name="햐" hidden="1">{#N/A,#N/A,FALSE,"사업총괄";#N/A,#N/A,FALSE,"장비사업";#N/A,#N/A,FALSE,"철구사업";#N/A,#N/A,FALSE,"준설사업"}</definedName>
    <definedName name="햐러" localSheetId="0" hidden="1">{#N/A,#N/A,FALSE,"변경관리예산";#N/A,#N/A,FALSE,"변경장비예산";#N/A,#N/A,FALSE,"변경준설예산";#N/A,#N/A,FALSE,"변경철구예산"}</definedName>
    <definedName name="햐러" hidden="1">{#N/A,#N/A,FALSE,"변경관리예산";#N/A,#N/A,FALSE,"변경장비예산";#N/A,#N/A,FALSE,"변경준설예산";#N/A,#N/A,FALSE,"변경철구예산"}</definedName>
    <definedName name="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아ㅏㅇ" localSheetId="0" hidden="1">{#N/A,#N/A,FALSE,"집계표"}</definedName>
    <definedName name="허아ㅏㅇ" hidden="1">{#N/A,#N/A,FALSE,"집계표"}</definedName>
    <definedName name="허저터" localSheetId="0" hidden="1">{#N/A,#N/A,FALSE,"집계표"}</definedName>
    <definedName name="허저터" hidden="1">{#N/A,#N/A,FALSE,"집계표"}</definedName>
    <definedName name="허허헣ㅎ" localSheetId="0" hidden="1">{#N/A,#N/A,FALSE,"집계표"}</definedName>
    <definedName name="허허헣ㅎ" hidden="1">{#N/A,#N/A,FALSE,"집계표"}</definedName>
    <definedName name="허헣" localSheetId="0" hidden="1">{#N/A,#N/A,FALSE,"집계표"}</definedName>
    <definedName name="허헣" hidden="1">{#N/A,#N/A,FALSE,"집계표"}</definedName>
    <definedName name="허ㅏ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ㅏ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ㅅ됴" localSheetId="0" hidden="1">{#N/A,#N/A,FALSE,"집계표"}</definedName>
    <definedName name="허ㅗㅅ됴" hidden="1">{#N/A,#N/A,FALSE,"집계표"}</definedName>
    <definedName name="허ㅗㅈ거ㅛㅛ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ㅈ거ㅛㅛ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ㅚㅎ" localSheetId="0" hidden="1">{#N/A,#N/A,FALSE,"집계표"}</definedName>
    <definedName name="허ㅚㅎ" hidden="1">{#N/A,#N/A,FALSE,"집계표"}</definedName>
    <definedName name="헌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현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장" localSheetId="1" hidden="1">#REF!</definedName>
    <definedName name="현장" localSheetId="0" hidden="1">#REF!</definedName>
    <definedName name="현장" localSheetId="2" hidden="1">#REF!</definedName>
    <definedName name="현장" hidden="1">#REF!</definedName>
    <definedName name="현장설명" localSheetId="0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0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현조" localSheetId="1" hidden="1">#REF!</definedName>
    <definedName name="현조" localSheetId="0" hidden="1">#REF!</definedName>
    <definedName name="현조" localSheetId="2" hidden="1">#REF!</definedName>
    <definedName name="현조" hidden="1">#REF!</definedName>
    <definedName name="협" localSheetId="0" hidden="1">{#N/A,#N/A,FALSE,"배수2"}</definedName>
    <definedName name="협" hidden="1">{#N/A,#N/A,FALSE,"배수2"}</definedName>
    <definedName name="협력" localSheetId="0" hidden="1">{#N/A,#N/A,FALSE,"포장2"}</definedName>
    <definedName name="협력" hidden="1">{#N/A,#N/A,FALSE,"포장2"}</definedName>
    <definedName name="협력업체" localSheetId="0" hidden="1">{#N/A,#N/A,FALSE,"포장2"}</definedName>
    <definedName name="협력업체" hidden="1">{#N/A,#N/A,FALSE,"포장2"}</definedName>
    <definedName name="협조전" localSheetId="1" hidden="1">#REF!</definedName>
    <definedName name="협조전" localSheetId="0" hidden="1">#REF!</definedName>
    <definedName name="협조전" localSheetId="2" hidden="1">#REF!</definedName>
    <definedName name="협조전" hidden="1">#REF!</definedName>
    <definedName name="협철" localSheetId="0" hidden="1">{#N/A,#N/A,FALSE,"포장2"}</definedName>
    <definedName name="협철" hidden="1">{#N/A,#N/A,FALSE,"포장2"}</definedName>
    <definedName name="협토" localSheetId="0" hidden="1">{#N/A,#N/A,FALSE,"포장1";#N/A,#N/A,FALSE,"포장1"}</definedName>
    <definedName name="협토" hidden="1">{#N/A,#N/A,FALSE,"포장1";#N/A,#N/A,FALSE,"포장1"}</definedName>
    <definedName name="협토1" localSheetId="0" hidden="1">{#N/A,#N/A,FALSE,"포장2"}</definedName>
    <definedName name="협토1" hidden="1">{#N/A,#N/A,FALSE,"포장2"}</definedName>
    <definedName name="협토자재" localSheetId="0" hidden="1">{#N/A,#N/A,FALSE,"포장2"}</definedName>
    <definedName name="협토자재" hidden="1">{#N/A,#N/A,FALSE,"포장2"}</definedName>
    <definedName name="형제" localSheetId="0" hidden="1">{#N/A,#N/A,FALSE,"포장2"}</definedName>
    <definedName name="형제" hidden="1">{#N/A,#N/A,FALSE,"포장2"}</definedName>
    <definedName name="호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러ㅓㅓㅓㅓㅓㅓㅓ" localSheetId="0" hidden="1">{#N/A,#N/A,FALSE,"집계표"}</definedName>
    <definedName name="호러ㅓㅓㅓㅓㅓㅓㅓ" hidden="1">{#N/A,#N/A,FALSE,"집계표"}</definedName>
    <definedName name="호하ㅓ" localSheetId="0" hidden="1">{#N/A,#N/A,FALSE,"집계표"}</definedName>
    <definedName name="호하ㅓ" hidden="1">{#N/A,#N/A,FALSE,"집계표"}</definedName>
    <definedName name="호호" localSheetId="0" hidden="1">{#N/A,#N/A,FALSE,"포장1";#N/A,#N/A,FALSE,"포장1"}</definedName>
    <definedName name="호호" hidden="1">{#N/A,#N/A,FALSE,"포장1";#N/A,#N/A,FALSE,"포장1"}</definedName>
    <definedName name="호ㅓ" localSheetId="0" hidden="1">{#N/A,#N/A,FALSE,"집계표"}</definedName>
    <definedName name="호ㅓ" hidden="1">{#N/A,#N/A,FALSE,"집계표"}</definedName>
    <definedName name="호ㅓㅏ" localSheetId="0" hidden="1">{#N/A,#N/A,FALSE,"집계표"}</definedName>
    <definedName name="호ㅓㅏ" hidden="1">{#N/A,#N/A,FALSE,"집계표"}</definedName>
    <definedName name="호ㅓㅕㅏ6ㅅ서ㅛㅓ" localSheetId="1" hidden="1">[30]입찰안!#REF!</definedName>
    <definedName name="호ㅓㅕㅏ6ㅅ서ㅛㅓ" localSheetId="0" hidden="1">[30]입찰안!#REF!</definedName>
    <definedName name="호ㅓㅕㅏ6ㅅ서ㅛㅓ" localSheetId="2" hidden="1">[30]입찰안!#REF!</definedName>
    <definedName name="호ㅓㅕㅏ6ㅅ서ㅛㅓ" hidden="1">[30]입찰안!#REF!</definedName>
    <definedName name="혼ㄹ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혼ㄹ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혿" localSheetId="0" hidden="1">{#N/A,#N/A,TRUE,"960318-1";#N/A,#N/A,TRUE,"960318-2";#N/A,#N/A,TRUE,"960318-3"}</definedName>
    <definedName name="혿" hidden="1">{#N/A,#N/A,TRUE,"960318-1";#N/A,#N/A,TRUE,"960318-2";#N/A,#N/A,TRUE,"960318-3"}</definedName>
    <definedName name="홀" localSheetId="0" hidden="1">{#N/A,#N/A,TRUE,"960318-1";#N/A,#N/A,TRUE,"960318-2";#N/A,#N/A,TRUE,"960318-3"}</definedName>
    <definedName name="홀" hidden="1">{#N/A,#N/A,TRUE,"960318-1";#N/A,#N/A,TRUE,"960318-2";#N/A,#N/A,TRUE,"960318-3"}</definedName>
    <definedName name="홇" localSheetId="0" hidden="1">{#N/A,#N/A,FALSE,"Sheet6"}</definedName>
    <definedName name="홇" hidden="1">{#N/A,#N/A,FALSE,"Sheet6"}</definedName>
    <definedName name="홈" localSheetId="0" hidden="1">{#N/A,#N/A,TRUE,"960318-1";#N/A,#N/A,TRUE,"960318-2";#N/A,#N/A,TRUE,"960318-3"}</definedName>
    <definedName name="홈" hidden="1">{#N/A,#N/A,TRUE,"960318-1";#N/A,#N/A,TRUE,"960318-2";#N/A,#N/A,TRUE,"960318-3"}</definedName>
    <definedName name="홉" localSheetId="0" hidden="1">{#N/A,#N/A,TRUE,"960318-1";#N/A,#N/A,TRUE,"960318-2";#N/A,#N/A,TRUE,"960318-3"}</definedName>
    <definedName name="홉" hidden="1">{#N/A,#N/A,TRUE,"960318-1";#N/A,#N/A,TRUE,"960318-2";#N/A,#N/A,TRUE,"960318-3"}</definedName>
    <definedName name="홋" localSheetId="0" hidden="1">{#N/A,#N/A,TRUE,"960318-1";#N/A,#N/A,TRUE,"960318-2";#N/A,#N/A,TRUE,"960318-3"}</definedName>
    <definedName name="홋" hidden="1">{#N/A,#N/A,TRUE,"960318-1";#N/A,#N/A,TRUE,"960318-2";#N/A,#N/A,TRUE,"960318-3"}</definedName>
    <definedName name="홋ㄱ" localSheetId="0" hidden="1">{#N/A,#N/A,FALSE,"Sheet6"}</definedName>
    <definedName name="홋ㄱ" hidden="1">{#N/A,#N/A,FALSE,"Sheet6"}</definedName>
    <definedName name="홎" localSheetId="0" hidden="1">{#N/A,#N/A,TRUE,"960318-1";#N/A,#N/A,TRUE,"960318-2";#N/A,#N/A,TRUE,"960318-3"}</definedName>
    <definedName name="홎" hidden="1">{#N/A,#N/A,TRUE,"960318-1";#N/A,#N/A,TRUE,"960318-2";#N/A,#N/A,TRUE,"960318-3"}</definedName>
    <definedName name="홎ㄴ홓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홎ㄴ홓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홏" localSheetId="0" hidden="1">{#N/A,#N/A,TRUE,"960318-1";#N/A,#N/A,TRUE,"960318-2";#N/A,#N/A,TRUE,"960318-3"}</definedName>
    <definedName name="홏" hidden="1">{#N/A,#N/A,TRUE,"960318-1";#N/A,#N/A,TRUE,"960318-2";#N/A,#N/A,TRUE,"960318-3"}</definedName>
    <definedName name="홓" localSheetId="0" hidden="1">{#N/A,#N/A,TRUE,"960318-1";#N/A,#N/A,TRUE,"960318-2";#N/A,#N/A,TRUE,"960318-3"}</definedName>
    <definedName name="홓" hidden="1">{#N/A,#N/A,TRUE,"960318-1";#N/A,#N/A,TRUE,"960318-2";#N/A,#N/A,TRUE,"960318-3"}</definedName>
    <definedName name="화" localSheetId="0" hidden="1">{"'Sheet1'!$A$1:$E$59"}</definedName>
    <definedName name="화" hidden="1">{"'Sheet1'!$A$1:$E$59"}</definedName>
    <definedName name="환경분석청주" localSheetId="0" hidden="1">{#N/A,#N/A,FALSE,"지침";#N/A,#N/A,FALSE,"환경분석";#N/A,#N/A,FALSE,"Sheet16"}</definedName>
    <definedName name="환경분석청주" hidden="1">{#N/A,#N/A,FALSE,"지침";#N/A,#N/A,FALSE,"환경분석";#N/A,#N/A,FALSE,"Sheet16"}</definedName>
    <definedName name="환경소주2" localSheetId="0" hidden="1">{#N/A,#N/A,FALSE,"지침";#N/A,#N/A,FALSE,"환경분석";#N/A,#N/A,FALSE,"Sheet16"}</definedName>
    <definedName name="환경소주2" hidden="1">{#N/A,#N/A,FALSE,"지침";#N/A,#N/A,FALSE,"환경분석";#N/A,#N/A,FALSE,"Sheet16"}</definedName>
    <definedName name="홧" localSheetId="0" hidden="1">{#N/A,#N/A,TRUE,"960318-1";#N/A,#N/A,TRUE,"960318-2";#N/A,#N/A,TRUE,"960318-3"}</definedName>
    <definedName name="홧" hidden="1">{#N/A,#N/A,TRUE,"960318-1";#N/A,#N/A,TRUE,"960318-2";#N/A,#N/A,TRUE,"960318-3"}</definedName>
    <definedName name="회ㅓㅗ허" localSheetId="0" hidden="1">{#N/A,#N/A,FALSE,"집계표"}</definedName>
    <definedName name="회ㅓㅗ허" hidden="1">{#N/A,#N/A,FALSE,"집계표"}</definedName>
    <definedName name="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훃" localSheetId="0" hidden="1">{#N/A,#N/A,FALSE,"예상손익";#N/A,#N/A,FALSE,"관리분석";#N/A,#N/A,FALSE,"장비분석";#N/A,#N/A,FALSE,"준설분석";#N/A,#N/A,FALSE,"철구분석"}</definedName>
    <definedName name="훃" hidden="1">{#N/A,#N/A,FALSE,"예상손익";#N/A,#N/A,FALSE,"관리분석";#N/A,#N/A,FALSE,"장비분석";#N/A,#N/A,FALSE,"준설분석";#N/A,#N/A,FALSE,"철구분석"}</definedName>
    <definedName name="훈" hidden="1">255</definedName>
    <definedName name="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히" localSheetId="0" hidden="1">{#N/A,#N/A,FALSE,"집계표"}</definedName>
    <definedName name="히" hidden="1">{#N/A,#N/A,FALSE,"집계표"}</definedName>
    <definedName name="힙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힙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ㅏㄱㄷ" localSheetId="0" hidden="1">{#N/A,#N/A,FALSE,"집계표"}</definedName>
    <definedName name="ㅏㄱㄷ" hidden="1">{#N/A,#N/A,FALSE,"집계표"}</definedName>
    <definedName name="ㅏ셔ㅏ셔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셔ㅏ셔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이이ㅏ리" localSheetId="0" hidden="1">{#N/A,#N/A,FALSE,"주간공정";#N/A,#N/A,FALSE,"주간보고";#N/A,#N/A,FALSE,"주간공정표"}</definedName>
    <definedName name="ㅏ이이ㅏ리" hidden="1">{#N/A,#N/A,FALSE,"주간공정";#N/A,#N/A,FALSE,"주간보고";#N/A,#N/A,FALSE,"주간공정표"}</definedName>
    <definedName name="ㅏㅏㅏ" localSheetId="0" hidden="1">{#N/A,#N/A,FALSE,"주간공정";#N/A,#N/A,FALSE,"주간보고";#N/A,#N/A,FALSE,"주간공정표"}</definedName>
    <definedName name="ㅏㅏㅏ" hidden="1">{#N/A,#N/A,FALSE,"주간공정";#N/A,#N/A,FALSE,"주간보고";#N/A,#N/A,FALSE,"주간공정표"}</definedName>
    <definedName name="ㅏㅏㅏ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ㅑㅁㄴㅇ랜ㅇㄹ" localSheetId="0" hidden="1">{#N/A,#N/A,FALSE,"지침";#N/A,#N/A,FALSE,"환경분석";#N/A,#N/A,FALSE,"Sheet16"}</definedName>
    <definedName name="ㅏㅑㅁㄴㅇ랜ㅇㄹ" hidden="1">{#N/A,#N/A,FALSE,"지침";#N/A,#N/A,FALSE,"환경분석";#N/A,#N/A,FALSE,"Sheet16"}</definedName>
    <definedName name="ㅏㅓ" localSheetId="0" hidden="1">{#N/A,#N/A,FALSE,"집계표"}</definedName>
    <definedName name="ㅏㅓ" hidden="1">{#N/A,#N/A,FALSE,"집계표"}</definedName>
    <definedName name="ㅏㅓㅏ" localSheetId="0" hidden="1">{#N/A,#N/A,FALSE,"물가변동 (2)";#N/A,#N/A,FALSE,"공사비";#N/A,#N/A,FALSE,"사급";#N/A,#N/A,FALSE,"도급집계";#N/A,#N/A,FALSE,"재료비";#N/A,#N/A,FALSE,"노무비";#N/A,#N/A,FALSE,"경비"}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ㅏㅓㅏㅓㅏㅓ" localSheetId="0" hidden="1">{#N/A,#N/A,FALSE,"집계표"}</definedName>
    <definedName name="ㅏㅓㅏㅓㅏㅓ" hidden="1">{#N/A,#N/A,FALSE,"집계표"}</definedName>
    <definedName name="ㅏㅓㅓㅛㅑ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ㅓㅛㅑ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ㅗ" localSheetId="0" hidden="1">{#N/A,#N/A,FALSE,"집계표"}</definedName>
    <definedName name="ㅏㅗ" hidden="1">{#N/A,#N/A,FALSE,"집계표"}</definedName>
    <definedName name="ㅐ" localSheetId="0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ㅑㅑㅑ" localSheetId="0" hidden="1">{#N/A,#N/A,FALSE,"Sheet6"}</definedName>
    <definedName name="ㅑㅑㅑㅑㅑㅑㅑ" hidden="1">{#N/A,#N/A,FALSE,"Sheet6"}</definedName>
    <definedName name="ㅑㅕ" localSheetId="0" hidden="1">{#N/A,#N/A,FALSE,"이정표"}</definedName>
    <definedName name="ㅑㅕ" hidden="1">{#N/A,#N/A,FALSE,"이정표"}</definedName>
    <definedName name="ㅑㅕㅛㅐ" localSheetId="0" hidden="1">{#N/A,#N/A,FALSE,"집계표"}</definedName>
    <definedName name="ㅑㅕㅛㅐ" hidden="1">{#N/A,#N/A,FALSE,"집계표"}</definedName>
    <definedName name="ㅑㅣㅛ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ㅛ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ㄱ" hidden="1">[24]실행철강하도!$A$1:$A$4</definedName>
    <definedName name="ㅓㄴ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ㅅㄱㄴㄹㅇㄴ" localSheetId="0" hidden="1">{#N/A,#N/A,FALSE,"집계표"}</definedName>
    <definedName name="ㅓㅅㄱㄴㄹㅇㄴ" hidden="1">{#N/A,#N/A,FALSE,"집계표"}</definedName>
    <definedName name="ㅓㅇ" localSheetId="0" hidden="1">{#N/A,#N/A,FALSE,"집계표"}</definedName>
    <definedName name="ㅓㅇ" hidden="1">{#N/A,#N/A,FALSE,"집계표"}</definedName>
    <definedName name="ㅓㅇㄹ" localSheetId="0" hidden="1">{#N/A,#N/A,FALSE,"집계표"}</definedName>
    <definedName name="ㅓㅇㄹ" hidden="1">{#N/A,#N/A,FALSE,"집계표"}</definedName>
    <definedName name="ㅓ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치ㅏ헐ㅇ" localSheetId="0" hidden="1">{#N/A,#N/A,FALSE,"집계표"}</definedName>
    <definedName name="ㅓ치ㅏ헐ㅇ" hidden="1">{#N/A,#N/A,FALSE,"집계표"}</definedName>
    <definedName name="ㅓㅎㄹㅇ" localSheetId="0" hidden="1">{#N/A,#N/A,FALSE,"집계표"}</definedName>
    <definedName name="ㅓㅎㄹㅇ" hidden="1">{#N/A,#N/A,FALSE,"집계표"}</definedName>
    <definedName name="ㅓ호" localSheetId="0" hidden="1">{#N/A,#N/A,FALSE,"집계표"}</definedName>
    <definedName name="ㅓ호" hidden="1">{#N/A,#N/A,FALSE,"집계표"}</definedName>
    <definedName name="ㅓㅏㅅㅈ나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ㅅㅈ나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ㅕㅏ" localSheetId="0" hidden="1">{#N/A,#N/A,FALSE,"Sheet6"}</definedName>
    <definedName name="ㅓㅕㅏ" hidden="1">{#N/A,#N/A,FALSE,"Sheet6"}</definedName>
    <definedName name="ㅓㅗ" localSheetId="0" hidden="1">{#N/A,#N/A,FALSE,"집계표"}</definedName>
    <definedName name="ㅓㅗ" hidden="1">{#N/A,#N/A,FALSE,"집계표"}</definedName>
    <definedName name="ㅓㅗㄹ허" localSheetId="0" hidden="1">{#N/A,#N/A,FALSE,"집계표"}</definedName>
    <definedName name="ㅓㅗㄹ허" hidden="1">{#N/A,#N/A,FALSE,"집계표"}</definedName>
    <definedName name="ㅓㅗㅎㄹㅇㅇ" localSheetId="0" hidden="1">{#N/A,#N/A,FALSE,"집계표"}</definedName>
    <definedName name="ㅓㅗㅎㄹㅇㅇ" hidden="1">{#N/A,#N/A,FALSE,"집계표"}</definedName>
    <definedName name="ㅓㅗㅎㅍ" localSheetId="0" hidden="1">{#N/A,#N/A,FALSE,"집계표"}</definedName>
    <definedName name="ㅓㅗㅎㅍ" hidden="1">{#N/A,#N/A,FALSE,"집계표"}</definedName>
    <definedName name="ㅓㅗ하ㅗㅎ" localSheetId="0" hidden="1">{#N/A,#N/A,FALSE,"집계표"}</definedName>
    <definedName name="ㅓㅗ하ㅗㅎ" hidden="1">{#N/A,#N/A,FALSE,"집계표"}</definedName>
    <definedName name="ㅓㅗㅕ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ㅕ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ㅎ" localSheetId="0" hidden="1">{#N/A,#N/A,FALSE,"집계표"}</definedName>
    <definedName name="ㅓㅘㅎ" hidden="1">{#N/A,#N/A,FALSE,"집계표"}</definedName>
    <definedName name="ㅓㅛㅈㄱ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ㄱ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ㅣㅏㅗ" localSheetId="0" hidden="1">{#N/A,#N/A,FALSE,"집계표"}</definedName>
    <definedName name="ㅓㅣㅏㅗ" hidden="1">{#N/A,#N/A,FALSE,"집계표"}</definedName>
    <definedName name="ㅔㅐ" localSheetId="1" hidden="1">#REF!</definedName>
    <definedName name="ㅔㅐ" localSheetId="0" hidden="1">#REF!</definedName>
    <definedName name="ㅔㅐ" localSheetId="2" hidden="1">#REF!</definedName>
    <definedName name="ㅔㅐ" hidden="1">#REF!</definedName>
    <definedName name="ㅔㅐㄴ애ㅔㅐ" localSheetId="0" hidden="1">{#N/A,#N/A,FALSE,"집계표"}</definedName>
    <definedName name="ㅔㅐㄴ애ㅔㅐ" hidden="1">{#N/A,#N/A,FALSE,"집계표"}</definedName>
    <definedName name="ㅔㅔ" localSheetId="1" hidden="1">[31]집계표!#REF!</definedName>
    <definedName name="ㅔㅔ" localSheetId="0" hidden="1">[31]집계표!#REF!</definedName>
    <definedName name="ㅔㅔ" localSheetId="2" hidden="1">[31]집계표!#REF!</definedName>
    <definedName name="ㅔㅔ" hidden="1">[31]집계표!#REF!</definedName>
    <definedName name="ㅕ겨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해" localSheetId="0" hidden="1">{#N/A,#N/A,FALSE,"지침";#N/A,#N/A,FALSE,"환경분석";#N/A,#N/A,FALSE,"Sheet16"}</definedName>
    <definedName name="ㅕ해" hidden="1">{#N/A,#N/A,FALSE,"지침";#N/A,#N/A,FALSE,"환경분석";#N/A,#N/A,FALSE,"Sheet16"}</definedName>
    <definedName name="ㅕㅏㄷ쇼ㅏ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ㄷ쇼ㅏ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쇼" localSheetId="0" hidden="1">{#N/A,#N/A,FALSE,"Sheet6"}</definedName>
    <definedName name="ㅕㅏ쇼" hidden="1">{#N/A,#N/A,FALSE,"Sheet6"}</definedName>
    <definedName name="ㅕㅏㅛㅕㅏ" localSheetId="0" hidden="1">{#N/A,#N/A,FALSE,"Sheet6"}</definedName>
    <definedName name="ㅕㅏㅛㅕㅏ" hidden="1">{#N/A,#N/A,FALSE,"Sheet6"}</definedName>
    <definedName name="ㅕㅏㅛㅕ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ㅛㅕ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" localSheetId="1" hidden="1">#REF!</definedName>
    <definedName name="ㅕㅑ" localSheetId="0" hidden="1">#REF!</definedName>
    <definedName name="ㅕㅑ" localSheetId="2" hidden="1">#REF!</definedName>
    <definedName name="ㅕㅑ" hidden="1">#REF!</definedName>
    <definedName name="ㅕㅑㅐ" localSheetId="0" hidden="1">{#N/A,#N/A,FALSE,"Sheet6"}</definedName>
    <definedName name="ㅕㅑㅐ" hidden="1">{#N/A,#N/A,FALSE,"Sheet6"}</definedName>
    <definedName name="ㅕㅑㅐㅐ댜ㅛㅅ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ㅐ댜ㅛㅅ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ㅔ" localSheetId="1" hidden="1">#REF!</definedName>
    <definedName name="ㅕㅑㅐㅔ" localSheetId="0" hidden="1">#REF!</definedName>
    <definedName name="ㅕㅑㅐㅔ" localSheetId="2" hidden="1">#REF!</definedName>
    <definedName name="ㅕㅑㅐㅔ" hidden="1">#REF!</definedName>
    <definedName name="ㅕㅑㅛㅛㅛ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ㅛㅛㅛ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" localSheetId="0" hidden="1">{#N/A,#N/A,FALSE,"지침";#N/A,#N/A,FALSE,"환경분석";#N/A,#N/A,FALSE,"Sheet16"}</definedName>
    <definedName name="ㅕㅛ" hidden="1">{#N/A,#N/A,FALSE,"지침";#N/A,#N/A,FALSE,"환경분석";#N/A,#N/A,FALSE,"Sheet16"}</definedName>
    <definedName name="ㅕ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ㄴㅇ" localSheetId="0" hidden="1">{#N/A,#N/A,FALSE,"집계표"}</definedName>
    <definedName name="ㅗㄴㅇ" hidden="1">{#N/A,#N/A,FALSE,"집계표"}</definedName>
    <definedName name="ㅗㄹㅇ오" localSheetId="0" hidden="1">{#N/A,#N/A,FALSE,"집계표"}</definedName>
    <definedName name="ㅗㄹㅇ오" hidden="1">{#N/A,#N/A,FALSE,"집계표"}</definedName>
    <definedName name="ㅗㄹㅇㅎ" localSheetId="0" hidden="1">{#N/A,#N/A,FALSE,"집계표"}</definedName>
    <definedName name="ㅗㄹㅇㅎ" hidden="1">{#N/A,#N/A,FALSE,"집계표"}</definedName>
    <definedName name="ㅗㄹㅎ라ㅗ" localSheetId="0" hidden="1">{#N/A,#N/A,FALSE,"집계표"}</definedName>
    <definedName name="ㅗㄹㅎ라ㅗ" hidden="1">{#N/A,#N/A,FALSE,"집계표"}</definedName>
    <definedName name="ㅗ마ㅓ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ㅇㄴㄴ" localSheetId="0" hidden="1">{#N/A,#N/A,FALSE,"집계표"}</definedName>
    <definedName name="ㅗㅇㄴㄴ" hidden="1">{#N/A,#N/A,FALSE,"집계표"}</definedName>
    <definedName name="ㅗㅈ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ㅈ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" localSheetId="0" hidden="1">{#N/A,#N/A,FALSE,"집계표"}</definedName>
    <definedName name="ㅗㅎㄹ" hidden="1">{#N/A,#N/A,FALSE,"집계표"}</definedName>
    <definedName name="ㅗㅎㄹ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렇ㄹㅊㅇㅇ" localSheetId="0" hidden="1">{#N/A,#N/A,FALSE,"집계표"}</definedName>
    <definedName name="ㅗㅎ렇ㄹㅊㅇㅇ" hidden="1">{#N/A,#N/A,FALSE,"집계표"}</definedName>
    <definedName name="ㅗㅎㅇㄹ" localSheetId="0" hidden="1">{#N/A,#N/A,FALSE,"집계표"}</definedName>
    <definedName name="ㅗㅎㅇㄹ" hidden="1">{#N/A,#N/A,FALSE,"집계표"}</definedName>
    <definedName name="ㅗㅎㅈ" localSheetId="0" hidden="1">{#N/A,#N/A,FALSE,"집계표"}</definedName>
    <definedName name="ㅗㅎㅈ" hidden="1">{#N/A,#N/A,FALSE,"집계표"}</definedName>
    <definedName name="ㅗㅎㅊㅌㅎ" localSheetId="0" hidden="1">{#N/A,#N/A,FALSE,"집계표"}</definedName>
    <definedName name="ㅗㅎㅊㅌㅎ" hidden="1">{#N/A,#N/A,FALSE,"집계표"}</definedName>
    <definedName name="ㅗ하ㅓ" localSheetId="0" hidden="1">{#N/A,#N/A,FALSE,"집계표"}</definedName>
    <definedName name="ㅗ하ㅓ" hidden="1">{#N/A,#N/A,FALSE,"집계표"}</definedName>
    <definedName name="ㅗ허" localSheetId="0" hidden="1">{#N/A,#N/A,FALSE,"집계표"}</definedName>
    <definedName name="ㅗ허" hidden="1">{#N/A,#N/A,FALSE,"집계표"}</definedName>
    <definedName name="ㅗ허ㅜ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허ㅜ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혀ㅏㄹ" localSheetId="0" hidden="1">{#N/A,#N/A,FALSE,"집계표"}</definedName>
    <definedName name="ㅗ혀ㅏㄹ" hidden="1">{#N/A,#N/A,FALSE,"집계표"}</definedName>
    <definedName name="ㅗㅓ" localSheetId="0" hidden="1">{#N/A,#N/A,FALSE,"부대2"}</definedName>
    <definedName name="ㅗㅓ" hidden="1">{#N/A,#N/A,FALSE,"부대2"}</definedName>
    <definedName name="ㅗㅓㅀㅅ" localSheetId="0" hidden="1">{#N/A,#N/A,FALSE,"집계표"}</definedName>
    <definedName name="ㅗㅓㅀㅅ" hidden="1">{#N/A,#N/A,FALSE,"집계표"}</definedName>
    <definedName name="ㅗㅓㅅ됴ㅑㅏ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ㅅ됴ㅑㅏ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ㅕㅑㅕ" localSheetId="0" hidden="1">{#N/A,#N/A,FALSE,"Sheet6"}</definedName>
    <definedName name="ㅗㅓㅕㅑㅕ" hidden="1">{#N/A,#N/A,FALSE,"Sheet6"}</definedName>
    <definedName name="ㅗㅓㅛㅎ" localSheetId="0" hidden="1">{#N/A,#N/A,FALSE,"Sheet6"}</definedName>
    <definedName name="ㅗㅓㅛㅎ" hidden="1">{#N/A,#N/A,FALSE,"Sheet6"}</definedName>
    <definedName name="ㅗㅕ" localSheetId="0" hidden="1">{#N/A,#N/A,FALSE,"배수2"}</definedName>
    <definedName name="ㅗㅕ" hidden="1">{#N/A,#N/A,FALSE,"배수2"}</definedName>
    <definedName name="ㅗ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ㅠ" localSheetId="0" hidden="1">{#N/A,#N/A,FALSE,"집계표"}</definedName>
    <definedName name="ㅗㅠ" hidden="1">{#N/A,#N/A,FALSE,"집계표"}</definedName>
    <definedName name="ㅘ여ㅛ타숀ㅡㅜㅊ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여ㅛ타숀ㅡㅜㅊ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" localSheetId="0" hidden="1">{#N/A,#N/A,FALSE,"속도"}</definedName>
    <definedName name="ㅛㅅ" hidden="1">{#N/A,#N/A,FALSE,"속도"}</definedName>
    <definedName name="ㅛㅅ겨ㅑㅛㅅ" localSheetId="0" hidden="1">{#N/A,#N/A,FALSE,"집계표"}</definedName>
    <definedName name="ㅛㅅ겨ㅑㅛㅅ" hidden="1">{#N/A,#N/A,FALSE,"집계표"}</definedName>
    <definedName name="ㅛ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셔쇼ㅕ" localSheetId="0" hidden="1">{#N/A,#N/A,FALSE,"Sheet6"}</definedName>
    <definedName name="ㅛ셔쇼ㅕ" hidden="1">{#N/A,#N/A,FALSE,"Sheet6"}</definedName>
    <definedName name="ㅛㅈ거ㅏ쇼ㅏ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거ㅏ쇼ㅏ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" localSheetId="0" hidden="1">{#N/A,#N/A,FALSE,"구조1"}</definedName>
    <definedName name="ㅛㅑㅐ" hidden="1">{#N/A,#N/A,FALSE,"구조1"}</definedName>
    <definedName name="ㅛㅑㅐ교ㅐ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교ㅐ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쇼" localSheetId="0" hidden="1">{#N/A,#N/A,FALSE,"Sheet6"}</definedName>
    <definedName name="ㅛㅓ쇼" hidden="1">{#N/A,#N/A,FALSE,"Sheet6"}</definedName>
    <definedName name="ㅛㅓㅓㅛㅛㅓㅛㅓ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ㅓㅛㅛㅓㅛㅓ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ㅎㄹ" localSheetId="0" hidden="1">{#N/A,#N/A,FALSE,"부대2"}</definedName>
    <definedName name="ㅜㅎㄹ" hidden="1">{#N/A,#N/A,FALSE,"부대2"}</definedName>
    <definedName name="ㅜㅜ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ㅜ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ㅠ" localSheetId="0" hidden="1">{#N/A,#N/A,FALSE,"토공2"}</definedName>
    <definedName name="ㅜㅠ" hidden="1">{#N/A,#N/A,FALSE,"토공2"}</definedName>
    <definedName name="ㅜㅠㅍ" localSheetId="0" hidden="1">{#N/A,#N/A,FALSE,"전력간선"}</definedName>
    <definedName name="ㅜㅠㅍ" hidden="1">{#N/A,#N/A,FALSE,"전력간선"}</definedName>
    <definedName name="ㅜ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뮤ㅐ" localSheetId="1" hidden="1">#REF!</definedName>
    <definedName name="ㅠ뮤ㅐ" localSheetId="0" hidden="1">#REF!</definedName>
    <definedName name="ㅠ뮤ㅐ" localSheetId="2" hidden="1">#REF!</definedName>
    <definedName name="ㅠ뮤ㅐ" hidden="1">#REF!</definedName>
    <definedName name="ㅠㅍㅎ" localSheetId="0" hidden="1">{#N/A,#N/A,FALSE,"집계표"}</definedName>
    <definedName name="ㅠㅍㅎ" hidden="1">{#N/A,#N/A,FALSE,"집계표"}</definedName>
    <definedName name="ㅠ포ㅓㅓㅓㅓㅓㅓ" localSheetId="0" hidden="1">{#N/A,#N/A,FALSE,"집계표"}</definedName>
    <definedName name="ㅠ포ㅓㅓㅓㅓㅓㅓ" hidden="1">{#N/A,#N/A,FALSE,"집계표"}</definedName>
    <definedName name="ㅠㅎㅇㄴ" localSheetId="0" hidden="1">{#N/A,#N/A,FALSE,"지침";#N/A,#N/A,FALSE,"환경분석";#N/A,#N/A,FALSE,"Sheet16"}</definedName>
    <definedName name="ㅠㅎㅇㄴ" hidden="1">{#N/A,#N/A,FALSE,"지침";#N/A,#N/A,FALSE,"환경분석";#N/A,#N/A,FALSE,"Sheet16"}</definedName>
    <definedName name="ㅠ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ㅛ" localSheetId="0" hidden="1">{#N/A,#N/A,FALSE,"Sheet6"}</definedName>
    <definedName name="ㅠㅜㅛ" hidden="1">{#N/A,#N/A,FALSE,"Sheet6"}</definedName>
    <definedName name="ㅠㅠㅠ" localSheetId="0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" localSheetId="1" hidden="1">#REF!</definedName>
    <definedName name="ㅡ" localSheetId="0" hidden="1">#REF!</definedName>
    <definedName name="ㅡ" localSheetId="2" hidden="1">#REF!</definedName>
    <definedName name="ㅡ" hidden="1">#REF!</definedName>
    <definedName name="ㅡ므" localSheetId="0" hidden="1">{#N/A,#N/A,FALSE,"집계표"}</definedName>
    <definedName name="ㅡ므" hidden="1">{#N/A,#N/A,FALSE,"집계표"}</definedName>
    <definedName name="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ㅡ" localSheetId="0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ㄴ아ㅓㄹ" localSheetId="0" hidden="1">{#N/A,#N/A,FALSE,"집계표"}</definedName>
    <definedName name="ㅣㄴ아ㅓㄹ" hidden="1">{#N/A,#N/A,FALSE,"집계표"}</definedName>
    <definedName name="ㅣㅁㄴ" localSheetId="0" hidden="1">{#N/A,#N/A,FALSE,"집계표"}</definedName>
    <definedName name="ㅣㅁㄴ" hidden="1">{#N/A,#N/A,FALSE,"집계표"}</definedName>
    <definedName name="ㅣㅁㄴ러ㅑㄱ" localSheetId="0" hidden="1">{#N/A,#N/A,FALSE,"집계표"}</definedName>
    <definedName name="ㅣㅁㄴ러ㅑㄱ" hidden="1">{#N/A,#N/A,FALSE,"집계표"}</definedName>
    <definedName name="ㅣㅏㄴ아ㅓ리ㅏ허" localSheetId="0" hidden="1">{#N/A,#N/A,FALSE,"집계표"}</definedName>
    <definedName name="ㅣㅏㄴ아ㅓ리ㅏ허" hidden="1">{#N/A,#N/A,FALSE,"집계표"}</definedName>
    <definedName name="ㅣㅏ넝리ㅏㅓㅎ" localSheetId="0" hidden="1">{#N/A,#N/A,FALSE,"집계표"}</definedName>
    <definedName name="ㅣㅏ넝리ㅏㅓㅎ" hidden="1">{#N/A,#N/A,FALSE,"집계표"}</definedName>
    <definedName name="ㅣㅏㅇ널" localSheetId="0" hidden="1">{#N/A,#N/A,FALSE,"집계표"}</definedName>
    <definedName name="ㅣㅏㅇ널" hidden="1">{#N/A,#N/A,FALSE,"집계표"}</definedName>
    <definedName name="ㅣㅏ아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ㅑㅓㄴ이ㅏㅎㄹ" localSheetId="0" hidden="1">{#N/A,#N/A,FALSE,"집계표"}</definedName>
    <definedName name="ㅣㅏㅑㅓㄴ이ㅏㅎㄹ" hidden="1">{#N/A,#N/A,FALSE,"집계표"}</definedName>
    <definedName name="ㅣㅏㅓㅏㅑㅓㅘㅐ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ㅏㅑㅓㅘㅐ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ㅑ" localSheetId="0" hidden="1">{#N/A,#N/A,FALSE,"단가표지"}</definedName>
    <definedName name="ㅣㅑㅑ" hidden="1">{#N/A,#N/A,FALSE,"단가표지"}</definedName>
    <definedName name="ㅣㅑㅕㅛ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ㅕㅛ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ㅓㅏ" localSheetId="0" hidden="1">{#N/A,#N/A,FALSE,"전력간선"}</definedName>
    <definedName name="ㅣㅓㅏ" hidden="1">{#N/A,#N/A,FALSE,"전력간선"}</definedName>
    <definedName name="ㅣㅗㄾㅇ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ㅗㄾ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0" hidden="1">{#N/A,#N/A,FALSE,"주간공정";#N/A,#N/A,FALSE,"주간보고";#N/A,#N/A,FALSE,"주간공정표"}</definedName>
    <definedName name="ㅣㅣㅣ" hidden="1">{#N/A,#N/A,FALSE,"주간공정";#N/A,#N/A,FALSE,"주간보고";#N/A,#N/A,FALSE,"주간공정표"}</definedName>
    <definedName name="ㅣㅣㅣ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ㅣ" localSheetId="0" hidden="1">{#N/A,#N/A,FALSE,"주간공정";#N/A,#N/A,FALSE,"주간보고";#N/A,#N/A,FALSE,"주간공정표"}</definedName>
    <definedName name="ㅣㅣㅣㅣㅣ" hidden="1">{#N/A,#N/A,FALSE,"주간공정";#N/A,#N/A,FALSE,"주간보고";#N/A,#N/A,FALSE,"주간공정표"}</definedName>
  </definedNames>
  <calcPr calcId="162913"/>
</workbook>
</file>

<file path=xl/calcChain.xml><?xml version="1.0" encoding="utf-8"?>
<calcChain xmlns="http://schemas.openxmlformats.org/spreadsheetml/2006/main">
  <c r="S68" i="23313" l="1"/>
  <c r="L13" i="23309"/>
  <c r="L17" i="23309" l="1"/>
  <c r="K99" i="23313" l="1"/>
  <c r="L99" i="23313" s="1"/>
  <c r="J99" i="23313"/>
  <c r="H99" i="23313"/>
  <c r="K84" i="23313"/>
  <c r="L84" i="23313" s="1"/>
  <c r="H84" i="23313"/>
  <c r="S69" i="23313"/>
  <c r="S73" i="23313" s="1"/>
  <c r="S76" i="23313" l="1"/>
  <c r="S75" i="23313"/>
  <c r="S74" i="23313"/>
  <c r="T74" i="23313" s="1"/>
  <c r="S70" i="23313"/>
  <c r="K29" i="23313"/>
  <c r="L29" i="23313" s="1"/>
  <c r="J29" i="23313"/>
  <c r="K81" i="23313"/>
  <c r="J81" i="23313"/>
  <c r="H81" i="23313"/>
  <c r="K109" i="23313"/>
  <c r="L109" i="23313" s="1"/>
  <c r="J109" i="23313"/>
  <c r="H109" i="23313"/>
  <c r="J106" i="23313"/>
  <c r="K106" i="23313"/>
  <c r="L106" i="23313" s="1"/>
  <c r="H106" i="23313"/>
  <c r="J85" i="23313"/>
  <c r="K85" i="23313"/>
  <c r="L85" i="23313" s="1"/>
  <c r="H85" i="23313"/>
  <c r="H29" i="23313" l="1"/>
  <c r="F182" i="23313"/>
  <c r="K105" i="23313" l="1"/>
  <c r="L105" i="23313" s="1"/>
  <c r="J105" i="23313"/>
  <c r="H105" i="23313"/>
  <c r="J138" i="23313"/>
  <c r="K138" i="23313"/>
  <c r="L138" i="23313" s="1"/>
  <c r="H138" i="23313"/>
  <c r="J129" i="23313"/>
  <c r="J137" i="23313"/>
  <c r="K137" i="23313"/>
  <c r="L137" i="23313" s="1"/>
  <c r="H137" i="23313"/>
  <c r="K102" i="23313"/>
  <c r="L102" i="23313" s="1"/>
  <c r="J102" i="23313"/>
  <c r="H102" i="23313"/>
  <c r="F208" i="23313" l="1"/>
  <c r="K241" i="23313"/>
  <c r="L241" i="23313" s="1"/>
  <c r="J241" i="23313"/>
  <c r="H241" i="23313"/>
  <c r="K111" i="23313" l="1"/>
  <c r="L111" i="23313" s="1"/>
  <c r="J111" i="23313"/>
  <c r="H111" i="23313"/>
  <c r="F96" i="23313"/>
  <c r="K57" i="23313" l="1"/>
  <c r="L57" i="23313" s="1"/>
  <c r="J57" i="23313"/>
  <c r="H57" i="23313"/>
  <c r="J252" i="23313" l="1"/>
  <c r="K252" i="23313"/>
  <c r="L252" i="23313" s="1"/>
  <c r="H252" i="23313"/>
  <c r="K156" i="23313"/>
  <c r="L156" i="23313" s="1"/>
  <c r="J156" i="23313"/>
  <c r="H156" i="23313"/>
  <c r="J136" i="23313" l="1"/>
  <c r="K136" i="23313"/>
  <c r="L136" i="23313" s="1"/>
  <c r="H136" i="23313"/>
  <c r="K249" i="23313"/>
  <c r="L249" i="23313" s="1"/>
  <c r="J249" i="23313"/>
  <c r="K250" i="23313"/>
  <c r="L250" i="23313" s="1"/>
  <c r="J250" i="23313"/>
  <c r="K251" i="23313"/>
  <c r="L251" i="23313" s="1"/>
  <c r="J251" i="23313"/>
  <c r="H249" i="23313"/>
  <c r="H250" i="23313"/>
  <c r="H251" i="23313"/>
  <c r="K242" i="23313"/>
  <c r="L242" i="23313" s="1"/>
  <c r="J242" i="23313"/>
  <c r="H242" i="23313"/>
  <c r="K114" i="23313"/>
  <c r="L114" i="23313" s="1"/>
  <c r="J114" i="23313"/>
  <c r="H114" i="23313"/>
  <c r="K147" i="23313"/>
  <c r="L147" i="23313" s="1"/>
  <c r="J147" i="23313"/>
  <c r="H147" i="23313"/>
  <c r="J135" i="23313"/>
  <c r="K135" i="23313"/>
  <c r="L135" i="23313" s="1"/>
  <c r="H135" i="23313"/>
  <c r="F189" i="23313"/>
  <c r="F187" i="23313"/>
  <c r="H187" i="23313" s="1"/>
  <c r="V200" i="23313"/>
  <c r="K110" i="23313"/>
  <c r="L110" i="23313" s="1"/>
  <c r="J110" i="23313"/>
  <c r="H110" i="23313"/>
  <c r="J74" i="23313"/>
  <c r="J75" i="23313"/>
  <c r="H75" i="23313"/>
  <c r="K75" i="23313"/>
  <c r="L75" i="23313" s="1"/>
  <c r="K74" i="23313"/>
  <c r="L74" i="23313" s="1"/>
  <c r="H74" i="23313"/>
  <c r="H72" i="23313"/>
  <c r="K72" i="23313"/>
  <c r="L72" i="23313" s="1"/>
  <c r="J72" i="23313"/>
  <c r="O123" i="23313" l="1"/>
  <c r="K123" i="23313"/>
  <c r="L123" i="23313" s="1"/>
  <c r="J123" i="23313"/>
  <c r="H123" i="23313"/>
  <c r="O120" i="23313"/>
  <c r="K120" i="23313"/>
  <c r="L120" i="23313" s="1"/>
  <c r="J120" i="23313"/>
  <c r="H120" i="23313"/>
  <c r="O117" i="23313"/>
  <c r="K117" i="23313"/>
  <c r="L117" i="23313" s="1"/>
  <c r="J117" i="23313"/>
  <c r="H117" i="23313"/>
  <c r="K91" i="23313" l="1"/>
  <c r="L91" i="23313" s="1"/>
  <c r="J91" i="23313"/>
  <c r="H91" i="23313"/>
  <c r="K157" i="23313" l="1"/>
  <c r="L157" i="23313" s="1"/>
  <c r="J157" i="23313"/>
  <c r="H157" i="23313"/>
  <c r="J228" i="23313" l="1"/>
  <c r="K228" i="23313"/>
  <c r="J145" i="23313"/>
  <c r="H145" i="23313"/>
  <c r="K145" i="23313"/>
  <c r="L145" i="23313" s="1"/>
  <c r="H228" i="23313" l="1"/>
  <c r="L228" i="23313"/>
  <c r="Q55" i="23313"/>
  <c r="F3" i="23312" l="1"/>
  <c r="K244" i="23313"/>
  <c r="L244" i="23313" s="1"/>
  <c r="J244" i="23313"/>
  <c r="H244" i="23313"/>
  <c r="K19" i="23313"/>
  <c r="L19" i="23313" s="1"/>
  <c r="J19" i="23313"/>
  <c r="H19" i="23313"/>
  <c r="K96" i="23313"/>
  <c r="L96" i="23313" s="1"/>
  <c r="J96" i="23313"/>
  <c r="H96" i="23313"/>
  <c r="K239" i="23313"/>
  <c r="L239" i="23313" s="1"/>
  <c r="J239" i="23313"/>
  <c r="H239" i="23313"/>
  <c r="K18" i="23313"/>
  <c r="L18" i="23313" s="1"/>
  <c r="J18" i="23313"/>
  <c r="H18" i="23313"/>
  <c r="K175" i="23313"/>
  <c r="L175" i="23313" s="1"/>
  <c r="J175" i="23313"/>
  <c r="H175" i="23313"/>
  <c r="J150" i="23313"/>
  <c r="K150" i="23313"/>
  <c r="L150" i="23313" s="1"/>
  <c r="H150" i="23313"/>
  <c r="K167" i="23313"/>
  <c r="L167" i="23313" s="1"/>
  <c r="J167" i="23313"/>
  <c r="H167" i="23313"/>
  <c r="K168" i="23313"/>
  <c r="L168" i="23313" s="1"/>
  <c r="J168" i="23313"/>
  <c r="H168" i="23313"/>
  <c r="K155" i="23313"/>
  <c r="L155" i="23313" s="1"/>
  <c r="J155" i="23313"/>
  <c r="H155" i="23313"/>
  <c r="K247" i="23313"/>
  <c r="L247" i="23313" s="1"/>
  <c r="R247" i="23313" s="1"/>
  <c r="J247" i="23313"/>
  <c r="H247" i="23313"/>
  <c r="K56" i="23313" l="1"/>
  <c r="L56" i="23313" s="1"/>
  <c r="J56" i="23313"/>
  <c r="H56" i="23313"/>
  <c r="J246" i="23313" l="1"/>
  <c r="K246" i="23313"/>
  <c r="L246" i="23313" s="1"/>
  <c r="H246" i="23313"/>
  <c r="H27" i="23313" l="1"/>
  <c r="J27" i="23313"/>
  <c r="K27" i="23313"/>
  <c r="L27" i="23313" s="1"/>
  <c r="H28" i="23313"/>
  <c r="J28" i="23313"/>
  <c r="K28" i="23313"/>
  <c r="L28" i="23313" s="1"/>
  <c r="J127" i="23313" l="1"/>
  <c r="K127" i="23313"/>
  <c r="L127" i="23313" s="1"/>
  <c r="H127" i="23313"/>
  <c r="L222" i="23313"/>
  <c r="J222" i="23313"/>
  <c r="J223" i="23313"/>
  <c r="J224" i="23313"/>
  <c r="J221" i="23313"/>
  <c r="H222" i="23313"/>
  <c r="H223" i="23313"/>
  <c r="H224" i="23313"/>
  <c r="H221" i="23313"/>
  <c r="K221" i="23313"/>
  <c r="L221" i="23313" s="1"/>
  <c r="J76" i="23313" l="1"/>
  <c r="K76" i="23313"/>
  <c r="L76" i="23313" s="1"/>
  <c r="H76" i="23313"/>
  <c r="H245" i="23313"/>
  <c r="J245" i="23313"/>
  <c r="K245" i="23313"/>
  <c r="L245" i="23313" s="1"/>
  <c r="H163" i="23313"/>
  <c r="J163" i="23313"/>
  <c r="K163" i="23313"/>
  <c r="L163" i="23313" s="1"/>
  <c r="H164" i="23313"/>
  <c r="K164" i="23313"/>
  <c r="L164" i="23313" s="1"/>
  <c r="J164" i="23313"/>
  <c r="J176" i="23313"/>
  <c r="K176" i="23313"/>
  <c r="L176" i="23313" s="1"/>
  <c r="H176" i="23313"/>
  <c r="J169" i="23313"/>
  <c r="K162" i="23313"/>
  <c r="L162" i="23313" s="1"/>
  <c r="J162" i="23313"/>
  <c r="H162" i="23313"/>
  <c r="J173" i="23313"/>
  <c r="O133" i="23313" l="1"/>
  <c r="O92" i="23313" l="1"/>
  <c r="K92" i="23313"/>
  <c r="L92" i="23313" s="1"/>
  <c r="J92" i="23313"/>
  <c r="H92" i="23313"/>
  <c r="O83" i="23313"/>
  <c r="O189" i="23313"/>
  <c r="O187" i="23313"/>
  <c r="O183" i="23313"/>
  <c r="P182" i="23313"/>
  <c r="J231" i="23313" l="1"/>
  <c r="J233" i="23313"/>
  <c r="J234" i="23313"/>
  <c r="J235" i="23313"/>
  <c r="J236" i="23313"/>
  <c r="H174" i="23313"/>
  <c r="J174" i="23313"/>
  <c r="K174" i="23313" l="1"/>
  <c r="L174" i="23313" s="1"/>
  <c r="H189" i="23313"/>
  <c r="K189" i="23313"/>
  <c r="L189" i="23313" s="1"/>
  <c r="J189" i="23313" l="1"/>
  <c r="K231" i="23313"/>
  <c r="L231" i="23313" s="1"/>
  <c r="K233" i="23313"/>
  <c r="L233" i="23313" s="1"/>
  <c r="K234" i="23313"/>
  <c r="L234" i="23313" s="1"/>
  <c r="K235" i="23313"/>
  <c r="L235" i="23313" s="1"/>
  <c r="K236" i="23313"/>
  <c r="L236" i="23313" s="1"/>
  <c r="H231" i="23313"/>
  <c r="H233" i="23313"/>
  <c r="H234" i="23313"/>
  <c r="H235" i="23313"/>
  <c r="H236" i="23313"/>
  <c r="H229" i="23313"/>
  <c r="H230" i="23313"/>
  <c r="H134" i="23313"/>
  <c r="J134" i="23313"/>
  <c r="K134" i="23313"/>
  <c r="L134" i="23313" s="1"/>
  <c r="J133" i="23313"/>
  <c r="K133" i="23313"/>
  <c r="L133" i="23313" s="1"/>
  <c r="H133" i="23313"/>
  <c r="J132" i="23313"/>
  <c r="K132" i="23313"/>
  <c r="L132" i="23313" s="1"/>
  <c r="H132" i="23313"/>
  <c r="P183" i="23313"/>
  <c r="J208" i="23313" l="1"/>
  <c r="K208" i="23313"/>
  <c r="L208" i="23313" s="1"/>
  <c r="H208" i="23313"/>
  <c r="O71" i="23313"/>
  <c r="H62" i="23313" l="1"/>
  <c r="H63" i="23313"/>
  <c r="J63" i="23313"/>
  <c r="K63" i="23313"/>
  <c r="L63" i="23313" s="1"/>
  <c r="K218" i="23313" l="1"/>
  <c r="L218" i="23313" s="1"/>
  <c r="J218" i="23313"/>
  <c r="H218" i="23313"/>
  <c r="J220" i="23313"/>
  <c r="K220" i="23313"/>
  <c r="L220" i="23313" s="1"/>
  <c r="H220" i="23313"/>
  <c r="O73" i="23313" l="1"/>
  <c r="O131" i="23313"/>
  <c r="O196" i="23313"/>
  <c r="P187" i="23313"/>
  <c r="A3" i="23309"/>
  <c r="J229" i="23313" l="1"/>
  <c r="K229" i="23313"/>
  <c r="L229" i="23313" s="1"/>
  <c r="K171" i="23313"/>
  <c r="L171" i="23313" s="1"/>
  <c r="J171" i="23313"/>
  <c r="K94" i="23313"/>
  <c r="L94" i="23313" s="1"/>
  <c r="J94" i="23313"/>
  <c r="H94" i="23313"/>
  <c r="O227" i="23313" l="1"/>
  <c r="J230" i="23313"/>
  <c r="K230" i="23313"/>
  <c r="L230" i="23313" s="1"/>
  <c r="O219" i="23313"/>
  <c r="J161" i="23313" l="1"/>
  <c r="K161" i="23313"/>
  <c r="L161" i="23313" s="1"/>
  <c r="H161" i="23313"/>
  <c r="H151" i="23313"/>
  <c r="J151" i="23313"/>
  <c r="K151" i="23313"/>
  <c r="L151" i="23313" s="1"/>
  <c r="J90" i="23313" l="1"/>
  <c r="K90" i="23313"/>
  <c r="L90" i="23313" s="1"/>
  <c r="H90" i="23313"/>
  <c r="K216" i="23313" l="1"/>
  <c r="L216" i="23313" s="1"/>
  <c r="J216" i="23313"/>
  <c r="H216" i="23313"/>
  <c r="K169" i="23313" l="1"/>
  <c r="L169" i="23313" s="1"/>
  <c r="H169" i="23313"/>
  <c r="K55" i="23313"/>
  <c r="L55" i="23313" s="1"/>
  <c r="J55" i="23313"/>
  <c r="H55" i="23313"/>
  <c r="J183" i="23313" l="1"/>
  <c r="J184" i="23313"/>
  <c r="J187" i="23313"/>
  <c r="J182" i="23313"/>
  <c r="H183" i="23313"/>
  <c r="H184" i="23313"/>
  <c r="H182" i="23313"/>
  <c r="J152" i="23313"/>
  <c r="J158" i="23313"/>
  <c r="J159" i="23313"/>
  <c r="J160" i="23313"/>
  <c r="J170" i="23313"/>
  <c r="J172" i="23313"/>
  <c r="J144" i="23313"/>
  <c r="H152" i="23313"/>
  <c r="H158" i="23313"/>
  <c r="H170" i="23313"/>
  <c r="H173" i="23313"/>
  <c r="H172" i="23313"/>
  <c r="H144" i="23313"/>
  <c r="K20" i="23313"/>
  <c r="L20" i="23313" s="1"/>
  <c r="J20" i="23313"/>
  <c r="H20" i="23313"/>
  <c r="O27" i="23313"/>
  <c r="K26" i="23313"/>
  <c r="L26" i="23313" s="1"/>
  <c r="J26" i="23313"/>
  <c r="H26" i="23313"/>
  <c r="K95" i="23313"/>
  <c r="L95" i="23313" s="1"/>
  <c r="J95" i="23313"/>
  <c r="H95" i="23313"/>
  <c r="K53" i="23313"/>
  <c r="L53" i="23313" s="1"/>
  <c r="J53" i="23313"/>
  <c r="H53" i="23313"/>
  <c r="H191" i="23313" l="1"/>
  <c r="R191" i="23313" s="1"/>
  <c r="J191" i="23313"/>
  <c r="J178" i="23313"/>
  <c r="H178" i="23313"/>
  <c r="K223" i="23313"/>
  <c r="L223" i="23313" s="1"/>
  <c r="K224" i="23313"/>
  <c r="L224" i="23313" s="1"/>
  <c r="H217" i="23313"/>
  <c r="J217" i="23313"/>
  <c r="K217" i="23313"/>
  <c r="L217" i="23313" s="1"/>
  <c r="H227" i="23313"/>
  <c r="J227" i="23313"/>
  <c r="K227" i="23313"/>
  <c r="L227" i="23313" s="1"/>
  <c r="J219" i="23313" l="1"/>
  <c r="K219" i="23313"/>
  <c r="L219" i="23313" s="1"/>
  <c r="H219" i="23313"/>
  <c r="K182" i="23313" l="1"/>
  <c r="L182" i="23313" s="1"/>
  <c r="K183" i="23313"/>
  <c r="L183" i="23313" s="1"/>
  <c r="L210" i="23313"/>
  <c r="J210" i="23313"/>
  <c r="H210" i="23313"/>
  <c r="H128" i="23313"/>
  <c r="J128" i="23313"/>
  <c r="K128" i="23313"/>
  <c r="L128" i="23313" s="1"/>
  <c r="K73" i="23313"/>
  <c r="L73" i="23313" s="1"/>
  <c r="J73" i="23313"/>
  <c r="H73" i="23313"/>
  <c r="K203" i="23313"/>
  <c r="L203" i="23313" s="1"/>
  <c r="J203" i="23313"/>
  <c r="H203" i="23313"/>
  <c r="K196" i="23313"/>
  <c r="L196" i="23313" s="1"/>
  <c r="J196" i="23313"/>
  <c r="H196" i="23313"/>
  <c r="K160" i="23313" l="1"/>
  <c r="L160" i="23313" s="1"/>
  <c r="K172" i="23313"/>
  <c r="L172" i="23313" s="1"/>
  <c r="H243" i="23313"/>
  <c r="K243" i="23313"/>
  <c r="L243" i="23313" s="1"/>
  <c r="J243" i="23313"/>
  <c r="K213" i="23313"/>
  <c r="L213" i="23313" s="1"/>
  <c r="J213" i="23313"/>
  <c r="J254" i="23313" s="1"/>
  <c r="H213" i="23313"/>
  <c r="K159" i="23313"/>
  <c r="L159" i="23313" s="1"/>
  <c r="K158" i="23313"/>
  <c r="L158" i="23313" s="1"/>
  <c r="K173" i="23313"/>
  <c r="L173" i="23313" s="1"/>
  <c r="K170" i="23313"/>
  <c r="L170" i="23313" s="1"/>
  <c r="K131" i="23313"/>
  <c r="L131" i="23313" s="1"/>
  <c r="J131" i="23313"/>
  <c r="J140" i="23313" s="1"/>
  <c r="H131" i="23313"/>
  <c r="K129" i="23313"/>
  <c r="L129" i="23313" s="1"/>
  <c r="L140" i="23313" s="1"/>
  <c r="H129" i="23313"/>
  <c r="H140" i="23313" s="1"/>
  <c r="K83" i="23313"/>
  <c r="L83" i="23313" s="1"/>
  <c r="J83" i="23313"/>
  <c r="H83" i="23313"/>
  <c r="J87" i="23313"/>
  <c r="K88" i="23313"/>
  <c r="L88" i="23313" s="1"/>
  <c r="J88" i="23313"/>
  <c r="H88" i="23313"/>
  <c r="K87" i="23313"/>
  <c r="L87" i="23313" s="1"/>
  <c r="H87" i="23313"/>
  <c r="H64" i="23313"/>
  <c r="H66" i="23313" s="1"/>
  <c r="J64" i="23313"/>
  <c r="K64" i="23313"/>
  <c r="L64" i="23313" s="1"/>
  <c r="K25" i="23313"/>
  <c r="L25" i="23313" s="1"/>
  <c r="J25" i="23313"/>
  <c r="H25" i="23313"/>
  <c r="K21" i="23313"/>
  <c r="L21" i="23313" s="1"/>
  <c r="J21" i="23313"/>
  <c r="H21" i="23313"/>
  <c r="K30" i="23313"/>
  <c r="L254" i="23313" l="1"/>
  <c r="H254" i="23313"/>
  <c r="H36" i="23313"/>
  <c r="H70" i="23313" l="1"/>
  <c r="J70" i="23313"/>
  <c r="L45" i="23313"/>
  <c r="J45" i="23313"/>
  <c r="H45" i="23313"/>
  <c r="B45" i="23313"/>
  <c r="B44" i="23313"/>
  <c r="B43" i="23313"/>
  <c r="B42" i="23313"/>
  <c r="B41" i="23313"/>
  <c r="B40" i="23313"/>
  <c r="B39" i="23313"/>
  <c r="B38" i="23313"/>
  <c r="B37" i="23313"/>
  <c r="K202" i="23313"/>
  <c r="L202" i="23313" s="1"/>
  <c r="J202" i="23313"/>
  <c r="H202" i="23313"/>
  <c r="K201" i="23313"/>
  <c r="L201" i="23313" s="1"/>
  <c r="J201" i="23313"/>
  <c r="H201" i="23313"/>
  <c r="K195" i="23313"/>
  <c r="L195" i="23313" s="1"/>
  <c r="L198" i="23313" s="1"/>
  <c r="J195" i="23313"/>
  <c r="J198" i="23313" s="1"/>
  <c r="H195" i="23313"/>
  <c r="H198" i="23313" s="1"/>
  <c r="K184" i="23313"/>
  <c r="L184" i="23313" s="1"/>
  <c r="K187" i="23313"/>
  <c r="L187" i="23313" s="1"/>
  <c r="K152" i="23313"/>
  <c r="L152" i="23313" s="1"/>
  <c r="K144" i="23313"/>
  <c r="L144" i="23313" s="1"/>
  <c r="K89" i="23313"/>
  <c r="L89" i="23313" s="1"/>
  <c r="L124" i="23313" s="1"/>
  <c r="J89" i="23313"/>
  <c r="H89" i="23313"/>
  <c r="K62" i="23313"/>
  <c r="L62" i="23313" s="1"/>
  <c r="L66" i="23313" s="1"/>
  <c r="J62" i="23313"/>
  <c r="J66" i="23313" s="1"/>
  <c r="K54" i="23313"/>
  <c r="L54" i="23313" s="1"/>
  <c r="J54" i="23313"/>
  <c r="H54" i="23313"/>
  <c r="K71" i="23313"/>
  <c r="L71" i="23313" s="1"/>
  <c r="J71" i="23313"/>
  <c r="H71" i="23313"/>
  <c r="K70" i="23313"/>
  <c r="L70" i="23313" s="1"/>
  <c r="H51" i="23313"/>
  <c r="J51" i="23313"/>
  <c r="K51" i="23313"/>
  <c r="L51" i="23313" s="1"/>
  <c r="H52" i="23313"/>
  <c r="J52" i="23313"/>
  <c r="K52" i="23313"/>
  <c r="L52" i="23313" s="1"/>
  <c r="L191" i="23313" l="1"/>
  <c r="L41" i="23313" s="1"/>
  <c r="H205" i="23313"/>
  <c r="L59" i="23313"/>
  <c r="L35" i="23313" s="1"/>
  <c r="J36" i="23313"/>
  <c r="L36" i="23313"/>
  <c r="L39" i="23313"/>
  <c r="J205" i="23313"/>
  <c r="L205" i="23313"/>
  <c r="L178" i="23313"/>
  <c r="L40" i="23313" s="1"/>
  <c r="J59" i="23313"/>
  <c r="J35" i="23313" s="1"/>
  <c r="L38" i="23313"/>
  <c r="H59" i="23313"/>
  <c r="H35" i="23313" s="1"/>
  <c r="H124" i="23313"/>
  <c r="H38" i="23313" s="1"/>
  <c r="J124" i="23313"/>
  <c r="J38" i="23313" s="1"/>
  <c r="L78" i="23313"/>
  <c r="O45" i="23313"/>
  <c r="H41" i="23313"/>
  <c r="H40" i="23313"/>
  <c r="J40" i="23313"/>
  <c r="J41" i="23313"/>
  <c r="J39" i="23313"/>
  <c r="H39" i="23313"/>
  <c r="J78" i="23313"/>
  <c r="H78" i="23313"/>
  <c r="H262" i="23313" l="1"/>
  <c r="J262" i="23313"/>
  <c r="L262" i="23313"/>
  <c r="L43" i="23313"/>
  <c r="O39" i="23313"/>
  <c r="O38" i="23313"/>
  <c r="O41" i="23313"/>
  <c r="O40" i="23313"/>
  <c r="L44" i="23313"/>
  <c r="H44" i="23313"/>
  <c r="J44" i="23313"/>
  <c r="O44" i="23313" l="1"/>
  <c r="L30" i="23313"/>
  <c r="J30" i="23313"/>
  <c r="H30" i="23313"/>
  <c r="K24" i="23313"/>
  <c r="L24" i="23313" s="1"/>
  <c r="J24" i="23313"/>
  <c r="H24" i="23313"/>
  <c r="K23" i="23313"/>
  <c r="L23" i="23313" s="1"/>
  <c r="J23" i="23313"/>
  <c r="H23" i="23313"/>
  <c r="K17" i="23313"/>
  <c r="L17" i="23313" s="1"/>
  <c r="J17" i="23313"/>
  <c r="H17" i="23313"/>
  <c r="K16" i="23313"/>
  <c r="L16" i="23313" s="1"/>
  <c r="J16" i="23313"/>
  <c r="H16" i="23313"/>
  <c r="B8" i="23313"/>
  <c r="B7" i="23313"/>
  <c r="L32" i="23313" l="1"/>
  <c r="J37" i="23313"/>
  <c r="H37" i="23313"/>
  <c r="J32" i="23313"/>
  <c r="H32" i="23313"/>
  <c r="L37" i="23313"/>
  <c r="O37" i="23313" l="1"/>
  <c r="L7" i="23313"/>
  <c r="L8" i="23309"/>
  <c r="H7" i="23313"/>
  <c r="H8" i="23309"/>
  <c r="J7" i="23313"/>
  <c r="J8" i="23309"/>
  <c r="J42" i="23313"/>
  <c r="H42" i="23313"/>
  <c r="L42" i="23313"/>
  <c r="O42" i="23313" l="1"/>
  <c r="J43" i="23313" l="1"/>
  <c r="H43" i="23313"/>
  <c r="O43" i="23313" l="1"/>
  <c r="L47" i="23313"/>
  <c r="L7" i="23309" l="1"/>
  <c r="L8" i="23313"/>
  <c r="L10" i="23313" s="1"/>
  <c r="L10" i="23309" s="1"/>
  <c r="L19" i="23309" l="1"/>
  <c r="L22" i="23309" s="1"/>
  <c r="D8" i="23312" l="1"/>
  <c r="D7" i="23312" s="1"/>
  <c r="J47" i="23313"/>
  <c r="J7" i="23309" l="1"/>
  <c r="J8" i="23313"/>
  <c r="J10" i="23313" s="1"/>
  <c r="J10" i="23309" s="1"/>
  <c r="O35" i="23313" l="1"/>
  <c r="H47" i="23313"/>
  <c r="H7" i="23309" l="1"/>
  <c r="H8" i="23313"/>
  <c r="H10" i="23313" s="1"/>
  <c r="H10" i="23309" s="1"/>
</calcChain>
</file>

<file path=xl/sharedStrings.xml><?xml version="1.0" encoding="utf-8"?>
<sst xmlns="http://schemas.openxmlformats.org/spreadsheetml/2006/main" count="736" uniqueCount="465">
  <si>
    <t>Unit Price</t>
  </si>
  <si>
    <t>Amount</t>
  </si>
  <si>
    <t>Material</t>
    <phoneticPr fontId="2" type="noConversion"/>
  </si>
  <si>
    <t>Total</t>
    <phoneticPr fontId="2" type="noConversion"/>
  </si>
  <si>
    <t>Description</t>
    <phoneticPr fontId="2" type="noConversion"/>
  </si>
  <si>
    <t>Size</t>
    <phoneticPr fontId="2" type="noConversion"/>
  </si>
  <si>
    <t>Unit</t>
    <phoneticPr fontId="2" type="noConversion"/>
  </si>
  <si>
    <t>Q'ty</t>
    <phoneticPr fontId="2" type="noConversion"/>
  </si>
  <si>
    <t>Remark</t>
    <phoneticPr fontId="2" type="noConversion"/>
  </si>
  <si>
    <t>Labour</t>
    <phoneticPr fontId="2" type="noConversion"/>
  </si>
  <si>
    <t>No</t>
    <phoneticPr fontId="2" type="noConversion"/>
  </si>
  <si>
    <t>M2</t>
  </si>
  <si>
    <t>-</t>
    <phoneticPr fontId="2" type="noConversion"/>
  </si>
  <si>
    <t>SUB-TOTAL</t>
  </si>
  <si>
    <t>*</t>
    <phoneticPr fontId="2" type="noConversion"/>
  </si>
  <si>
    <t>1.</t>
    <phoneticPr fontId="2" type="noConversion"/>
  </si>
  <si>
    <t>2.</t>
  </si>
  <si>
    <t>3.</t>
  </si>
  <si>
    <t>4.</t>
  </si>
  <si>
    <t>5.</t>
  </si>
  <si>
    <t>6.</t>
  </si>
  <si>
    <t>9.</t>
  </si>
  <si>
    <t>A.</t>
    <phoneticPr fontId="2" type="noConversion"/>
  </si>
  <si>
    <t>*</t>
  </si>
  <si>
    <t>대운반</t>
    <phoneticPr fontId="22" type="noConversion"/>
  </si>
  <si>
    <t>소운반</t>
    <phoneticPr fontId="22" type="noConversion"/>
  </si>
  <si>
    <t>B.</t>
    <phoneticPr fontId="2" type="noConversion"/>
  </si>
  <si>
    <t>10.</t>
  </si>
  <si>
    <t>11.</t>
  </si>
  <si>
    <t>1.</t>
    <phoneticPr fontId="22" type="noConversion"/>
  </si>
  <si>
    <t>2.</t>
    <phoneticPr fontId="22" type="noConversion"/>
  </si>
  <si>
    <t>5.</t>
    <phoneticPr fontId="22" type="noConversion"/>
  </si>
  <si>
    <t>9.</t>
    <phoneticPr fontId="22" type="noConversion"/>
  </si>
  <si>
    <t>소   계</t>
    <phoneticPr fontId="2" type="noConversion"/>
  </si>
  <si>
    <t>식</t>
    <phoneticPr fontId="2" type="noConversion"/>
  </si>
  <si>
    <t>Spec.</t>
    <phoneticPr fontId="2" type="noConversion"/>
  </si>
  <si>
    <t>EA</t>
    <phoneticPr fontId="22" type="noConversion"/>
  </si>
  <si>
    <t>M</t>
    <phoneticPr fontId="22" type="noConversion"/>
  </si>
  <si>
    <t>*</t>
    <phoneticPr fontId="22" type="noConversion"/>
  </si>
  <si>
    <t>M2</t>
    <phoneticPr fontId="22" type="noConversion"/>
  </si>
  <si>
    <t>SET</t>
    <phoneticPr fontId="22" type="noConversion"/>
  </si>
  <si>
    <t>-</t>
    <phoneticPr fontId="22" type="noConversion"/>
  </si>
  <si>
    <t>A.</t>
    <phoneticPr fontId="2" type="noConversion"/>
  </si>
  <si>
    <t>11.</t>
    <phoneticPr fontId="22" type="noConversion"/>
  </si>
  <si>
    <t>참고사항</t>
  </si>
  <si>
    <t>7.</t>
    <phoneticPr fontId="2" type="noConversion"/>
  </si>
  <si>
    <t xml:space="preserve"> </t>
    <phoneticPr fontId="49" type="noConversion"/>
  </si>
  <si>
    <t>1.</t>
    <phoneticPr fontId="107" type="noConversion"/>
  </si>
  <si>
    <t xml:space="preserve">    ◈ 비  고 (REMARK)</t>
    <phoneticPr fontId="2" type="noConversion"/>
  </si>
  <si>
    <t>貴社의 사양에 衣하여 下記內容과 같이 見積합니다.</t>
  </si>
  <si>
    <t>)</t>
    <phoneticPr fontId="107" type="noConversion"/>
  </si>
  <si>
    <t>(</t>
    <phoneticPr fontId="107" type="noConversion"/>
  </si>
  <si>
    <t>一일금</t>
    <phoneticPr fontId="2" type="noConversion"/>
  </si>
  <si>
    <t xml:space="preserve">金    額(AMOUNT) : </t>
    <phoneticPr fontId="112" type="noConversion"/>
  </si>
  <si>
    <t>견  적  서</t>
    <phoneticPr fontId="2" type="noConversion"/>
  </si>
  <si>
    <t>Material</t>
    <phoneticPr fontId="2" type="noConversion"/>
  </si>
  <si>
    <t>Labour</t>
    <phoneticPr fontId="2" type="noConversion"/>
  </si>
  <si>
    <t>Total</t>
    <phoneticPr fontId="2" type="noConversion"/>
  </si>
  <si>
    <t>직영</t>
    <phoneticPr fontId="2" type="noConversion"/>
  </si>
  <si>
    <t>가설</t>
    <phoneticPr fontId="2" type="noConversion"/>
  </si>
  <si>
    <t>철거</t>
    <phoneticPr fontId="2" type="noConversion"/>
  </si>
  <si>
    <t>철거</t>
    <phoneticPr fontId="2" type="noConversion"/>
  </si>
  <si>
    <t>타일 공사</t>
    <phoneticPr fontId="2" type="noConversion"/>
  </si>
  <si>
    <t>도배 공사</t>
    <phoneticPr fontId="2" type="noConversion"/>
  </si>
  <si>
    <t>도장 공사</t>
    <phoneticPr fontId="2" type="noConversion"/>
  </si>
  <si>
    <t>PY</t>
    <phoneticPr fontId="22" type="noConversion"/>
  </si>
  <si>
    <t>TOTAL</t>
    <phoneticPr fontId="22" type="noConversion"/>
  </si>
  <si>
    <t>사다리차</t>
    <phoneticPr fontId="2" type="noConversion"/>
  </si>
  <si>
    <t>5TON</t>
    <phoneticPr fontId="22" type="noConversion"/>
  </si>
  <si>
    <t>대</t>
    <phoneticPr fontId="22" type="noConversion"/>
  </si>
  <si>
    <t>가설공사</t>
    <phoneticPr fontId="2" type="noConversion"/>
  </si>
  <si>
    <t>식</t>
    <phoneticPr fontId="22" type="noConversion"/>
  </si>
  <si>
    <t>엘리베이터 사용료</t>
    <phoneticPr fontId="22" type="noConversion"/>
  </si>
  <si>
    <t>인터폰</t>
    <phoneticPr fontId="22" type="noConversion"/>
  </si>
  <si>
    <t>디지털 도어락</t>
    <phoneticPr fontId="22" type="noConversion"/>
  </si>
  <si>
    <t>입주청소</t>
    <phoneticPr fontId="2" type="noConversion"/>
  </si>
  <si>
    <t>입주청소</t>
    <phoneticPr fontId="22" type="noConversion"/>
  </si>
  <si>
    <t>도어락</t>
    <phoneticPr fontId="22" type="noConversion"/>
  </si>
  <si>
    <t>폐기물</t>
    <phoneticPr fontId="2" type="noConversion"/>
  </si>
  <si>
    <t>페기물 반출</t>
    <phoneticPr fontId="22" type="noConversion"/>
  </si>
  <si>
    <t>1TON</t>
    <phoneticPr fontId="22" type="noConversion"/>
  </si>
  <si>
    <t>화장실 철거</t>
    <phoneticPr fontId="22" type="noConversion"/>
  </si>
  <si>
    <t>본 철거</t>
    <phoneticPr fontId="2" type="noConversion"/>
  </si>
  <si>
    <t>마루 철거</t>
    <phoneticPr fontId="2" type="noConversion"/>
  </si>
  <si>
    <t>화장실 방수 공사</t>
    <phoneticPr fontId="22" type="noConversion"/>
  </si>
  <si>
    <t>설비</t>
    <phoneticPr fontId="2" type="noConversion"/>
  </si>
  <si>
    <t>설비</t>
    <phoneticPr fontId="22" type="noConversion"/>
  </si>
  <si>
    <t>필름 공사</t>
    <phoneticPr fontId="2" type="noConversion"/>
  </si>
  <si>
    <t>현관문</t>
    <phoneticPr fontId="2" type="noConversion"/>
  </si>
  <si>
    <t>필름 공사</t>
    <phoneticPr fontId="22" type="noConversion"/>
  </si>
  <si>
    <t>직접공사비 계</t>
    <phoneticPr fontId="22" type="noConversion"/>
  </si>
  <si>
    <t>인테리어 공사</t>
    <phoneticPr fontId="2" type="noConversion"/>
  </si>
  <si>
    <t>가구 공사</t>
    <phoneticPr fontId="2" type="noConversion"/>
  </si>
  <si>
    <t>자</t>
    <phoneticPr fontId="22" type="noConversion"/>
  </si>
  <si>
    <t>현관 가구</t>
    <phoneticPr fontId="2" type="noConversion"/>
  </si>
  <si>
    <t>행잉 신발장</t>
    <phoneticPr fontId="2" type="noConversion"/>
  </si>
  <si>
    <t>전기 공사</t>
    <phoneticPr fontId="2" type="noConversion"/>
  </si>
  <si>
    <t>조명 및 전열</t>
    <phoneticPr fontId="22" type="noConversion"/>
  </si>
  <si>
    <t>거실, 방 조명</t>
    <phoneticPr fontId="2" type="noConversion"/>
  </si>
  <si>
    <t>발코니 조명</t>
    <phoneticPr fontId="2" type="noConversion"/>
  </si>
  <si>
    <t>매립 센서</t>
    <phoneticPr fontId="2" type="noConversion"/>
  </si>
  <si>
    <t>전선 입선 라인</t>
    <phoneticPr fontId="2" type="noConversion"/>
  </si>
  <si>
    <t>위생기기</t>
    <phoneticPr fontId="2" type="noConversion"/>
  </si>
  <si>
    <t>환풍기</t>
    <phoneticPr fontId="2" type="noConversion"/>
  </si>
  <si>
    <t>양변기</t>
    <phoneticPr fontId="2" type="noConversion"/>
  </si>
  <si>
    <t>세면대</t>
    <phoneticPr fontId="2" type="noConversion"/>
  </si>
  <si>
    <t>화장실 공사</t>
    <phoneticPr fontId="2" type="noConversion"/>
  </si>
  <si>
    <t>Product &amp; Size</t>
    <phoneticPr fontId="2" type="noConversion"/>
  </si>
  <si>
    <t>세면 수전</t>
    <phoneticPr fontId="2" type="noConversion"/>
  </si>
  <si>
    <t>샤워 수전</t>
    <phoneticPr fontId="2" type="noConversion"/>
  </si>
  <si>
    <t>수건 걸이</t>
    <phoneticPr fontId="2" type="noConversion"/>
  </si>
  <si>
    <t>휴지 걸이</t>
    <phoneticPr fontId="2" type="noConversion"/>
  </si>
  <si>
    <t>ST-8071NB</t>
    <phoneticPr fontId="22" type="noConversion"/>
  </si>
  <si>
    <t>기타 (안방 화장실)</t>
    <phoneticPr fontId="2" type="noConversion"/>
  </si>
  <si>
    <t>기타 (거실 화장실)</t>
    <phoneticPr fontId="2" type="noConversion"/>
  </si>
  <si>
    <t>화장실 타일</t>
    <phoneticPr fontId="2" type="noConversion"/>
  </si>
  <si>
    <t>부자재</t>
    <phoneticPr fontId="2" type="noConversion"/>
  </si>
  <si>
    <t>현관 바닥</t>
    <phoneticPr fontId="2" type="noConversion"/>
  </si>
  <si>
    <t>마루 공사</t>
    <phoneticPr fontId="2" type="noConversion"/>
  </si>
  <si>
    <t>실크 도배</t>
    <phoneticPr fontId="22" type="noConversion"/>
  </si>
  <si>
    <t>도배 퍼티</t>
    <phoneticPr fontId="22" type="noConversion"/>
  </si>
  <si>
    <t>탄성 코트</t>
    <phoneticPr fontId="22" type="noConversion"/>
  </si>
  <si>
    <t>목공사</t>
    <phoneticPr fontId="22" type="noConversion"/>
  </si>
  <si>
    <t>먹 놓기</t>
    <phoneticPr fontId="2" type="noConversion"/>
  </si>
  <si>
    <t>거실 수직, 수평 및 벽체</t>
    <phoneticPr fontId="22" type="noConversion"/>
  </si>
  <si>
    <t>9.5T 석고보드 1PLY</t>
    <phoneticPr fontId="22" type="noConversion"/>
  </si>
  <si>
    <t>벽체 공사</t>
    <phoneticPr fontId="2" type="noConversion"/>
  </si>
  <si>
    <t>벽체 골조 공사</t>
    <phoneticPr fontId="2" type="noConversion"/>
  </si>
  <si>
    <t>기타 목 공사</t>
    <phoneticPr fontId="2" type="noConversion"/>
  </si>
  <si>
    <t>감리</t>
    <phoneticPr fontId="2" type="noConversion"/>
  </si>
  <si>
    <t xml:space="preserve"> MOHAE DESIGN</t>
    <phoneticPr fontId="2" type="noConversion"/>
  </si>
  <si>
    <t>경기 용인시 수지구 신봉동 242-28</t>
    <phoneticPr fontId="2" type="noConversion"/>
  </si>
  <si>
    <t>Tel : 031-272-2724</t>
    <phoneticPr fontId="2" type="noConversion"/>
  </si>
  <si>
    <t>인테리어 공사</t>
    <phoneticPr fontId="22" type="noConversion"/>
  </si>
  <si>
    <t>간접공사비 계</t>
    <phoneticPr fontId="22" type="noConversion"/>
  </si>
  <si>
    <t>공사비 계</t>
    <phoneticPr fontId="2" type="noConversion"/>
  </si>
  <si>
    <t>Location &amp; Spec.</t>
    <phoneticPr fontId="2" type="noConversion"/>
  </si>
  <si>
    <t>실행 금액</t>
    <phoneticPr fontId="22" type="noConversion"/>
  </si>
  <si>
    <t>디자인 컨설팅</t>
    <phoneticPr fontId="2" type="noConversion"/>
  </si>
  <si>
    <t>인</t>
    <phoneticPr fontId="22" type="noConversion"/>
  </si>
  <si>
    <t>별도</t>
    <phoneticPr fontId="22" type="noConversion"/>
  </si>
  <si>
    <t>S.M.C</t>
    <phoneticPr fontId="2" type="noConversion"/>
  </si>
  <si>
    <t>유가</t>
    <phoneticPr fontId="22" type="noConversion"/>
  </si>
  <si>
    <t>절사</t>
    <phoneticPr fontId="22" type="noConversion"/>
  </si>
  <si>
    <t>ST-9022NB</t>
    <phoneticPr fontId="22" type="noConversion"/>
  </si>
  <si>
    <t>싱크볼</t>
    <phoneticPr fontId="2" type="noConversion"/>
  </si>
  <si>
    <t>150*150 S150SS 도무스</t>
    <phoneticPr fontId="22" type="noConversion"/>
  </si>
  <si>
    <t>벽체</t>
    <phoneticPr fontId="22" type="noConversion"/>
  </si>
  <si>
    <t>천장</t>
    <phoneticPr fontId="22" type="noConversion"/>
  </si>
  <si>
    <t>조색 실리콘</t>
    <phoneticPr fontId="22" type="noConversion"/>
  </si>
  <si>
    <t>관리사무소 고객 직접 납부</t>
    <phoneticPr fontId="22" type="noConversion"/>
  </si>
  <si>
    <t>가설 공사</t>
    <phoneticPr fontId="22" type="noConversion"/>
  </si>
  <si>
    <t>최 하단 방수</t>
    <phoneticPr fontId="22" type="noConversion"/>
  </si>
  <si>
    <t>견적 외 별도</t>
    <phoneticPr fontId="22" type="noConversion"/>
  </si>
  <si>
    <t>견적외 별도</t>
    <phoneticPr fontId="22" type="noConversion"/>
  </si>
  <si>
    <t>공과잡비</t>
    <phoneticPr fontId="22" type="noConversion"/>
  </si>
  <si>
    <t>기업이윤</t>
    <phoneticPr fontId="22" type="noConversion"/>
  </si>
  <si>
    <t>도어 / 도어틀</t>
    <phoneticPr fontId="22" type="noConversion"/>
  </si>
  <si>
    <t>M2</t>
    <phoneticPr fontId="22" type="noConversion"/>
  </si>
  <si>
    <t>물량 산출</t>
    <phoneticPr fontId="22" type="noConversion"/>
  </si>
  <si>
    <t>스위치 콘센트 시공</t>
    <phoneticPr fontId="22" type="noConversion"/>
  </si>
  <si>
    <t>식</t>
    <phoneticPr fontId="22" type="noConversion"/>
  </si>
  <si>
    <t>-</t>
    <phoneticPr fontId="22" type="noConversion"/>
  </si>
  <si>
    <t>천장 공사</t>
    <phoneticPr fontId="22" type="noConversion"/>
  </si>
  <si>
    <t>천장</t>
    <phoneticPr fontId="2" type="noConversion"/>
  </si>
  <si>
    <t>벽체공사(골조)</t>
    <phoneticPr fontId="22" type="noConversion"/>
  </si>
  <si>
    <t>벽체공사(석고)</t>
    <phoneticPr fontId="22" type="noConversion"/>
  </si>
  <si>
    <t>벽체공사(고밀도MDF)</t>
    <phoneticPr fontId="22" type="noConversion"/>
  </si>
  <si>
    <t>1X1 각재, 리브합판</t>
    <phoneticPr fontId="22" type="noConversion"/>
  </si>
  <si>
    <t>9.5T 석고보드 2PLY</t>
    <phoneticPr fontId="22" type="noConversion"/>
  </si>
  <si>
    <t>고밀도MDF 2PLY</t>
    <phoneticPr fontId="22" type="noConversion"/>
  </si>
  <si>
    <t>천장공사(골조)</t>
    <phoneticPr fontId="22" type="noConversion"/>
  </si>
  <si>
    <t>천장공사(석고)</t>
    <phoneticPr fontId="22" type="noConversion"/>
  </si>
  <si>
    <t>EA</t>
    <phoneticPr fontId="22" type="noConversion"/>
  </si>
  <si>
    <t>평수*2</t>
    <phoneticPr fontId="22" type="noConversion"/>
  </si>
  <si>
    <t>M</t>
    <phoneticPr fontId="22" type="noConversion"/>
  </si>
  <si>
    <t>걸레받이</t>
    <phoneticPr fontId="22" type="noConversion"/>
  </si>
  <si>
    <t>천장 몰딩</t>
    <phoneticPr fontId="22" type="noConversion"/>
  </si>
  <si>
    <t>-</t>
    <phoneticPr fontId="22" type="noConversion"/>
  </si>
  <si>
    <t>VAT 별도</t>
    <phoneticPr fontId="22" type="noConversion"/>
  </si>
  <si>
    <t>부가세 별도</t>
    <phoneticPr fontId="22" type="noConversion"/>
  </si>
  <si>
    <t>천장 철거</t>
    <phoneticPr fontId="2" type="noConversion"/>
  </si>
  <si>
    <t>붙박이 장</t>
    <phoneticPr fontId="2" type="noConversion"/>
  </si>
  <si>
    <t>에어컨</t>
    <phoneticPr fontId="22" type="noConversion"/>
  </si>
  <si>
    <t>에어컨</t>
    <phoneticPr fontId="22" type="noConversion"/>
  </si>
  <si>
    <t>식</t>
    <phoneticPr fontId="22" type="noConversion"/>
  </si>
  <si>
    <t>싱크 수전</t>
    <phoneticPr fontId="2" type="noConversion"/>
  </si>
  <si>
    <t>식</t>
    <phoneticPr fontId="22" type="noConversion"/>
  </si>
  <si>
    <t>가스관 철거</t>
    <phoneticPr fontId="2" type="noConversion"/>
  </si>
  <si>
    <t>아메리칸 웨이브S 투피스</t>
    <phoneticPr fontId="22" type="noConversion"/>
  </si>
  <si>
    <t>아메리칸 스탠다드 플랫 반다리</t>
    <phoneticPr fontId="22" type="noConversion"/>
  </si>
  <si>
    <t xml:space="preserve">ST-8072NB </t>
    <phoneticPr fontId="22" type="noConversion"/>
  </si>
  <si>
    <t>제작</t>
    <phoneticPr fontId="22" type="noConversion"/>
  </si>
  <si>
    <t>면적 * 1.5 / 1.5단위로 끊기</t>
    <phoneticPr fontId="22" type="noConversion"/>
  </si>
  <si>
    <t>전열교환기</t>
    <phoneticPr fontId="22" type="noConversion"/>
  </si>
  <si>
    <t>환기</t>
    <phoneticPr fontId="22" type="noConversion"/>
  </si>
  <si>
    <t>벽체 석고보드 2PLY 시공</t>
    <phoneticPr fontId="2" type="noConversion"/>
  </si>
  <si>
    <t>-</t>
    <phoneticPr fontId="22" type="noConversion"/>
  </si>
  <si>
    <t>붙박이 장 EP</t>
    <phoneticPr fontId="2" type="noConversion"/>
  </si>
  <si>
    <t>좌우측면</t>
    <phoneticPr fontId="22" type="noConversion"/>
  </si>
  <si>
    <t>-</t>
    <phoneticPr fontId="22" type="noConversion"/>
  </si>
  <si>
    <t>파티션</t>
    <phoneticPr fontId="22" type="noConversion"/>
  </si>
  <si>
    <t>식</t>
    <phoneticPr fontId="22" type="noConversion"/>
  </si>
  <si>
    <t>파티션</t>
    <phoneticPr fontId="22" type="noConversion"/>
  </si>
  <si>
    <t>M2</t>
    <phoneticPr fontId="22" type="noConversion"/>
  </si>
  <si>
    <t>벽체 고밀도 MDF 시공</t>
    <phoneticPr fontId="22" type="noConversion"/>
  </si>
  <si>
    <t>36T ABS 도어 및 문틀</t>
    <phoneticPr fontId="22" type="noConversion"/>
  </si>
  <si>
    <t>전체 철거</t>
    <phoneticPr fontId="22" type="noConversion"/>
  </si>
  <si>
    <t>냉장고 플랩 장</t>
    <phoneticPr fontId="2" type="noConversion"/>
  </si>
  <si>
    <t>ST-101NB</t>
    <phoneticPr fontId="22" type="noConversion"/>
  </si>
  <si>
    <t>세라믹 코트</t>
    <phoneticPr fontId="22" type="noConversion"/>
  </si>
  <si>
    <t>M</t>
    <phoneticPr fontId="22" type="noConversion"/>
  </si>
  <si>
    <t>600*1200</t>
    <phoneticPr fontId="22" type="noConversion"/>
  </si>
  <si>
    <t>-</t>
    <phoneticPr fontId="22" type="noConversion"/>
  </si>
  <si>
    <t>락소 히든몰딩</t>
    <phoneticPr fontId="22" type="noConversion"/>
  </si>
  <si>
    <t>천장 석고보드 덧붙임 시공</t>
    <phoneticPr fontId="22" type="noConversion"/>
  </si>
  <si>
    <t>9.5T 석고보드 1PLY</t>
    <phoneticPr fontId="22" type="noConversion"/>
  </si>
  <si>
    <t>천장 골조 공사 OR 보강 공사</t>
    <phoneticPr fontId="2" type="noConversion"/>
  </si>
  <si>
    <t>M2</t>
    <phoneticPr fontId="22" type="noConversion"/>
  </si>
  <si>
    <t>분배기 교체 공사</t>
    <phoneticPr fontId="22" type="noConversion"/>
  </si>
  <si>
    <t>설비</t>
    <phoneticPr fontId="22" type="noConversion"/>
  </si>
  <si>
    <t>EA</t>
    <phoneticPr fontId="22" type="noConversion"/>
  </si>
  <si>
    <t>10평에 1.1대</t>
    <phoneticPr fontId="22" type="noConversion"/>
  </si>
  <si>
    <t>온도조절기 공사</t>
    <phoneticPr fontId="22" type="noConversion"/>
  </si>
  <si>
    <t>허니웰 DT300</t>
    <phoneticPr fontId="22" type="noConversion"/>
  </si>
  <si>
    <t>EA</t>
    <phoneticPr fontId="22" type="noConversion"/>
  </si>
  <si>
    <t>벽체 필름 마감</t>
    <phoneticPr fontId="2" type="noConversion"/>
  </si>
  <si>
    <t>방 전체</t>
    <phoneticPr fontId="22" type="noConversion"/>
  </si>
  <si>
    <t>강마루</t>
    <phoneticPr fontId="22" type="noConversion"/>
  </si>
  <si>
    <t>PY</t>
    <phoneticPr fontId="22" type="noConversion"/>
  </si>
  <si>
    <t>M</t>
    <phoneticPr fontId="22" type="noConversion"/>
  </si>
  <si>
    <t>600*1200</t>
    <phoneticPr fontId="22" type="noConversion"/>
  </si>
  <si>
    <t>-</t>
    <phoneticPr fontId="22" type="noConversion"/>
  </si>
  <si>
    <t>EA</t>
    <phoneticPr fontId="22" type="noConversion"/>
  </si>
  <si>
    <t>간접 조명</t>
    <phoneticPr fontId="2" type="noConversion"/>
  </si>
  <si>
    <t>LED BAR, SMPS 포함</t>
    <phoneticPr fontId="22" type="noConversion"/>
  </si>
  <si>
    <t>-</t>
    <phoneticPr fontId="22" type="noConversion"/>
  </si>
  <si>
    <t>2,3인치 매립등</t>
    <phoneticPr fontId="22" type="noConversion"/>
  </si>
  <si>
    <t>EA</t>
    <phoneticPr fontId="22" type="noConversion"/>
  </si>
  <si>
    <t>-</t>
    <phoneticPr fontId="22" type="noConversion"/>
  </si>
  <si>
    <t>간살 파티션</t>
    <phoneticPr fontId="22" type="noConversion"/>
  </si>
  <si>
    <t>SET</t>
    <phoneticPr fontId="22" type="noConversion"/>
  </si>
  <si>
    <t>M103 19 20MM 2p용</t>
    <phoneticPr fontId="22" type="noConversion"/>
  </si>
  <si>
    <t>서비스 항목</t>
    <phoneticPr fontId="22" type="noConversion"/>
  </si>
  <si>
    <t>화장실 조적벽체</t>
    <phoneticPr fontId="22" type="noConversion"/>
  </si>
  <si>
    <t>화장실 벽체</t>
    <phoneticPr fontId="22" type="noConversion"/>
  </si>
  <si>
    <t>-</t>
    <phoneticPr fontId="22" type="noConversion"/>
  </si>
  <si>
    <t>화장실</t>
    <phoneticPr fontId="22" type="noConversion"/>
  </si>
  <si>
    <t>-</t>
    <phoneticPr fontId="22" type="noConversion"/>
  </si>
  <si>
    <t>300*300</t>
    <phoneticPr fontId="22" type="noConversion"/>
  </si>
  <si>
    <t>화이트</t>
    <phoneticPr fontId="22" type="noConversion"/>
  </si>
  <si>
    <t>고객님 의견 반영 후</t>
    <phoneticPr fontId="22" type="noConversion"/>
  </si>
  <si>
    <t>발코니</t>
    <phoneticPr fontId="22" type="noConversion"/>
  </si>
  <si>
    <t>주방 가구</t>
    <phoneticPr fontId="2" type="noConversion"/>
  </si>
  <si>
    <t xml:space="preserve"> </t>
    <phoneticPr fontId="22" type="noConversion"/>
  </si>
  <si>
    <t>전체</t>
    <phoneticPr fontId="22" type="noConversion"/>
  </si>
  <si>
    <t>M2</t>
    <phoneticPr fontId="22" type="noConversion"/>
  </si>
  <si>
    <t>M2</t>
    <phoneticPr fontId="22" type="noConversion"/>
  </si>
  <si>
    <t>식</t>
    <phoneticPr fontId="22" type="noConversion"/>
  </si>
  <si>
    <t>-</t>
    <phoneticPr fontId="22" type="noConversion"/>
  </si>
  <si>
    <t>-</t>
    <phoneticPr fontId="22" type="noConversion"/>
  </si>
  <si>
    <t>부자재</t>
    <phoneticPr fontId="22" type="noConversion"/>
  </si>
  <si>
    <t>부자재</t>
    <phoneticPr fontId="22" type="noConversion"/>
  </si>
  <si>
    <t>아덱스 탄성 메지, 레미탈</t>
    <phoneticPr fontId="22" type="noConversion"/>
  </si>
  <si>
    <t>식</t>
    <phoneticPr fontId="22" type="noConversion"/>
  </si>
  <si>
    <t>-</t>
    <phoneticPr fontId="22" type="noConversion"/>
  </si>
  <si>
    <t>제작</t>
    <phoneticPr fontId="22" type="noConversion"/>
  </si>
  <si>
    <t>EA</t>
    <phoneticPr fontId="22" type="noConversion"/>
  </si>
  <si>
    <t>-</t>
    <phoneticPr fontId="22" type="noConversion"/>
  </si>
  <si>
    <t>SUS 선반</t>
    <phoneticPr fontId="22" type="noConversion"/>
  </si>
  <si>
    <t>제작</t>
    <phoneticPr fontId="22" type="noConversion"/>
  </si>
  <si>
    <t>EA</t>
    <phoneticPr fontId="22" type="noConversion"/>
  </si>
  <si>
    <t>-</t>
    <phoneticPr fontId="22" type="noConversion"/>
  </si>
  <si>
    <t>걸레받이</t>
    <phoneticPr fontId="22" type="noConversion"/>
  </si>
  <si>
    <t>각 방</t>
    <phoneticPr fontId="22" type="noConversion"/>
  </si>
  <si>
    <t>-</t>
    <phoneticPr fontId="22" type="noConversion"/>
  </si>
  <si>
    <t>커튼 박스</t>
    <phoneticPr fontId="22" type="noConversion"/>
  </si>
  <si>
    <t>1X1 각재, 고밀도 MDF</t>
    <phoneticPr fontId="22" type="noConversion"/>
  </si>
  <si>
    <t>9T 고밀도 MDF</t>
    <phoneticPr fontId="22" type="noConversion"/>
  </si>
  <si>
    <t>라인 조명</t>
    <phoneticPr fontId="22" type="noConversion"/>
  </si>
  <si>
    <t>M</t>
    <phoneticPr fontId="22" type="noConversion"/>
  </si>
  <si>
    <t>*</t>
    <phoneticPr fontId="22" type="noConversion"/>
  </si>
  <si>
    <t>산재보험료 외</t>
    <phoneticPr fontId="22" type="noConversion"/>
  </si>
  <si>
    <t>창호</t>
    <phoneticPr fontId="22" type="noConversion"/>
  </si>
  <si>
    <t>샷시</t>
    <phoneticPr fontId="22" type="noConversion"/>
  </si>
  <si>
    <t>-</t>
    <phoneticPr fontId="22" type="noConversion"/>
  </si>
  <si>
    <t>터닝도어</t>
    <phoneticPr fontId="22" type="noConversion"/>
  </si>
  <si>
    <t>거실-안방</t>
    <phoneticPr fontId="22" type="noConversion"/>
  </si>
  <si>
    <t>-</t>
    <phoneticPr fontId="22" type="noConversion"/>
  </si>
  <si>
    <t>에어컨</t>
    <phoneticPr fontId="22" type="noConversion"/>
  </si>
  <si>
    <t>-</t>
    <phoneticPr fontId="22" type="noConversion"/>
  </si>
  <si>
    <t>샷시</t>
    <phoneticPr fontId="22" type="noConversion"/>
  </si>
  <si>
    <t>방범방충망</t>
    <phoneticPr fontId="22" type="noConversion"/>
  </si>
  <si>
    <t>시스템 에어컨</t>
    <phoneticPr fontId="22" type="noConversion"/>
  </si>
  <si>
    <t>식</t>
    <phoneticPr fontId="22" type="noConversion"/>
  </si>
  <si>
    <t>식</t>
    <phoneticPr fontId="22" type="noConversion"/>
  </si>
  <si>
    <t>5대</t>
    <phoneticPr fontId="22" type="noConversion"/>
  </si>
  <si>
    <t>샷시</t>
    <phoneticPr fontId="22" type="noConversion"/>
  </si>
  <si>
    <t>석고보드+고밀도 MDF (메지 시공)</t>
    <phoneticPr fontId="22" type="noConversion"/>
  </si>
  <si>
    <t>식</t>
    <phoneticPr fontId="22" type="noConversion"/>
  </si>
  <si>
    <t>(견적 미포함)</t>
    <phoneticPr fontId="22" type="noConversion"/>
  </si>
  <si>
    <t>에어컨 및 샷시</t>
    <phoneticPr fontId="22" type="noConversion"/>
  </si>
  <si>
    <t>백조 깜뽀르떼 860</t>
    <phoneticPr fontId="22" type="noConversion"/>
  </si>
  <si>
    <t>2중창호, 시스템 창호</t>
    <phoneticPr fontId="22" type="noConversion"/>
  </si>
  <si>
    <t>BLUM</t>
    <phoneticPr fontId="22" type="noConversion"/>
  </si>
  <si>
    <t>철거</t>
    <phoneticPr fontId="22" type="noConversion"/>
  </si>
  <si>
    <t>조적 벽체 철거</t>
    <phoneticPr fontId="22" type="noConversion"/>
  </si>
  <si>
    <t>M</t>
    <phoneticPr fontId="22" type="noConversion"/>
  </si>
  <si>
    <t>-</t>
    <phoneticPr fontId="22" type="noConversion"/>
  </si>
  <si>
    <t>터닝도어</t>
    <phoneticPr fontId="22" type="noConversion"/>
  </si>
  <si>
    <t>이건창호</t>
    <phoneticPr fontId="22" type="noConversion"/>
  </si>
  <si>
    <t>EA</t>
    <phoneticPr fontId="22" type="noConversion"/>
  </si>
  <si>
    <t>-</t>
    <phoneticPr fontId="22" type="noConversion"/>
  </si>
  <si>
    <t>식</t>
    <phoneticPr fontId="22" type="noConversion"/>
  </si>
  <si>
    <t>식</t>
    <phoneticPr fontId="22" type="noConversion"/>
  </si>
  <si>
    <t>식</t>
    <phoneticPr fontId="22" type="noConversion"/>
  </si>
  <si>
    <t>바 룸 테이블</t>
    <phoneticPr fontId="22" type="noConversion"/>
  </si>
  <si>
    <t>허가</t>
    <phoneticPr fontId="22" type="noConversion"/>
  </si>
  <si>
    <t>공사동의서</t>
    <phoneticPr fontId="22" type="noConversion"/>
  </si>
  <si>
    <t>가구 바디 제작</t>
    <phoneticPr fontId="22" type="noConversion"/>
  </si>
  <si>
    <t>현장 정리 및 자재 양중</t>
    <phoneticPr fontId="22" type="noConversion"/>
  </si>
  <si>
    <t>보양</t>
    <phoneticPr fontId="22" type="noConversion"/>
  </si>
  <si>
    <t>엘리베이터 및 공용부 보양</t>
    <phoneticPr fontId="22" type="noConversion"/>
  </si>
  <si>
    <t>식</t>
    <phoneticPr fontId="22" type="noConversion"/>
  </si>
  <si>
    <t>급수 / 배수</t>
    <phoneticPr fontId="22" type="noConversion"/>
  </si>
  <si>
    <t>개소</t>
    <phoneticPr fontId="22" type="noConversion"/>
  </si>
  <si>
    <t>세면대</t>
    <phoneticPr fontId="22" type="noConversion"/>
  </si>
  <si>
    <t>안방 화장실</t>
    <phoneticPr fontId="22" type="noConversion"/>
  </si>
  <si>
    <t>거실 화장실</t>
    <phoneticPr fontId="22" type="noConversion"/>
  </si>
  <si>
    <t>3.</t>
    <phoneticPr fontId="22" type="noConversion"/>
  </si>
  <si>
    <t>4.</t>
    <phoneticPr fontId="22" type="noConversion"/>
  </si>
  <si>
    <t>6.</t>
    <phoneticPr fontId="22" type="noConversion"/>
  </si>
  <si>
    <t>7.</t>
  </si>
  <si>
    <t>7.</t>
    <phoneticPr fontId="22" type="noConversion"/>
  </si>
  <si>
    <t>8.</t>
  </si>
  <si>
    <t>8.</t>
    <phoneticPr fontId="22" type="noConversion"/>
  </si>
  <si>
    <t>10.</t>
    <phoneticPr fontId="22" type="noConversion"/>
  </si>
  <si>
    <t>설비 공사</t>
    <phoneticPr fontId="22" type="noConversion"/>
  </si>
  <si>
    <t>철거 공사</t>
    <phoneticPr fontId="22" type="noConversion"/>
  </si>
  <si>
    <t>도어 핸들</t>
    <phoneticPr fontId="22" type="noConversion"/>
  </si>
  <si>
    <t>EA</t>
    <phoneticPr fontId="22" type="noConversion"/>
  </si>
  <si>
    <t>도무스 905 SS</t>
    <phoneticPr fontId="22" type="noConversion"/>
  </si>
  <si>
    <t>철거 공사</t>
    <phoneticPr fontId="2" type="noConversion"/>
  </si>
  <si>
    <t>설비 공사</t>
    <phoneticPr fontId="2" type="noConversion"/>
  </si>
  <si>
    <t>현관 및 발코니 타일</t>
    <phoneticPr fontId="2" type="noConversion"/>
  </si>
  <si>
    <t>화장실 바닥타일</t>
    <phoneticPr fontId="22" type="noConversion"/>
  </si>
  <si>
    <t>화장실 벽 타일</t>
    <phoneticPr fontId="22" type="noConversion"/>
  </si>
  <si>
    <t>거실 / 안방</t>
    <phoneticPr fontId="22" type="noConversion"/>
  </si>
  <si>
    <t>1X1 각재, 4.5T 합판</t>
    <phoneticPr fontId="22" type="noConversion"/>
  </si>
  <si>
    <t>실행</t>
    <phoneticPr fontId="22" type="noConversion"/>
  </si>
  <si>
    <t>차액</t>
    <phoneticPr fontId="22" type="noConversion"/>
  </si>
  <si>
    <t>싱크대 하부장</t>
    <phoneticPr fontId="2" type="noConversion"/>
  </si>
  <si>
    <t>-</t>
    <phoneticPr fontId="22" type="noConversion"/>
  </si>
  <si>
    <t>이노솔</t>
    <phoneticPr fontId="22" type="noConversion"/>
  </si>
  <si>
    <t xml:space="preserve"> SET</t>
    <phoneticPr fontId="22" type="noConversion"/>
  </si>
  <si>
    <t>벽체 석고보드 덧붙임 시공</t>
    <phoneticPr fontId="22" type="noConversion"/>
  </si>
  <si>
    <t>M</t>
    <phoneticPr fontId="22" type="noConversion"/>
  </si>
  <si>
    <t>-</t>
    <phoneticPr fontId="22" type="noConversion"/>
  </si>
  <si>
    <t>싱크대 상부장</t>
    <phoneticPr fontId="2" type="noConversion"/>
  </si>
  <si>
    <t>PROJECT: 성남시 분당구 파크타운 아파트 인테리어 공사</t>
    <phoneticPr fontId="2" type="noConversion"/>
  </si>
  <si>
    <t>PROJECT:  성남시 분당구 파크타운 아파트 인테리어 공사</t>
    <phoneticPr fontId="2" type="noConversion"/>
  </si>
  <si>
    <t>이성숙 고객님</t>
    <phoneticPr fontId="2" type="noConversion"/>
  </si>
  <si>
    <t>TO : 이성숙 고객님 인테리어 공사</t>
    <rPh sb="0" eb="10">
      <t>ｷｶ</t>
    </rPh>
    <phoneticPr fontId="112" type="noConversion"/>
  </si>
  <si>
    <t>디아망 / 부자재 포함</t>
    <phoneticPr fontId="22" type="noConversion"/>
  </si>
  <si>
    <t>9mm 문선</t>
    <phoneticPr fontId="22" type="noConversion"/>
  </si>
  <si>
    <t>융스위치 및 진흥</t>
    <phoneticPr fontId="22" type="noConversion"/>
  </si>
  <si>
    <t>안방</t>
    <phoneticPr fontId="22" type="noConversion"/>
  </si>
  <si>
    <t>자녀방</t>
    <phoneticPr fontId="22" type="noConversion"/>
  </si>
  <si>
    <t>화장실 배관 이설 공사</t>
    <phoneticPr fontId="2" type="noConversion"/>
  </si>
  <si>
    <t>이성숙 고객님</t>
    <phoneticPr fontId="2" type="noConversion"/>
  </si>
  <si>
    <t>-</t>
    <phoneticPr fontId="22" type="noConversion"/>
  </si>
  <si>
    <t>가구 도어</t>
    <phoneticPr fontId="22" type="noConversion"/>
  </si>
  <si>
    <t>개소</t>
    <phoneticPr fontId="22" type="noConversion"/>
  </si>
  <si>
    <t>현관</t>
    <phoneticPr fontId="22" type="noConversion"/>
  </si>
  <si>
    <t>각 방</t>
    <phoneticPr fontId="22" type="noConversion"/>
  </si>
  <si>
    <t>현관 팬트리</t>
    <phoneticPr fontId="22" type="noConversion"/>
  </si>
  <si>
    <t>-</t>
    <phoneticPr fontId="22" type="noConversion"/>
  </si>
  <si>
    <t>선반</t>
    <phoneticPr fontId="22" type="noConversion"/>
  </si>
  <si>
    <t>샷시</t>
    <phoneticPr fontId="22" type="noConversion"/>
  </si>
  <si>
    <t>전체</t>
    <phoneticPr fontId="22" type="noConversion"/>
  </si>
  <si>
    <t>M</t>
    <phoneticPr fontId="22" type="noConversion"/>
  </si>
  <si>
    <t>-</t>
    <phoneticPr fontId="22" type="noConversion"/>
  </si>
  <si>
    <t>싱크대 대서랍장</t>
    <phoneticPr fontId="22" type="noConversion"/>
  </si>
  <si>
    <t>붙박이 장</t>
    <phoneticPr fontId="2" type="noConversion"/>
  </si>
  <si>
    <t>자</t>
    <phoneticPr fontId="22" type="noConversion"/>
  </si>
  <si>
    <t>안방 화장실 앞</t>
    <phoneticPr fontId="22" type="noConversion"/>
  </si>
  <si>
    <t>마페이 케라플랙스 S1 등</t>
    <phoneticPr fontId="22" type="noConversion"/>
  </si>
  <si>
    <t>타일 선반</t>
    <phoneticPr fontId="22" type="noConversion"/>
  </si>
  <si>
    <t>타일 선반</t>
    <phoneticPr fontId="22" type="noConversion"/>
  </si>
  <si>
    <t>금속 하지틀</t>
    <phoneticPr fontId="22" type="noConversion"/>
  </si>
  <si>
    <t>금속 하지틀</t>
    <phoneticPr fontId="22" type="noConversion"/>
  </si>
  <si>
    <t>마그네틱</t>
    <phoneticPr fontId="22" type="noConversion"/>
  </si>
  <si>
    <t>COB 조명</t>
    <phoneticPr fontId="22" type="noConversion"/>
  </si>
  <si>
    <t>EA</t>
    <phoneticPr fontId="22" type="noConversion"/>
  </si>
  <si>
    <t>공용부 / 각 방</t>
    <phoneticPr fontId="22" type="noConversion"/>
  </si>
  <si>
    <t>거실</t>
    <phoneticPr fontId="22" type="noConversion"/>
  </si>
  <si>
    <t>슬라이딩 도어 포켓</t>
    <phoneticPr fontId="22" type="noConversion"/>
  </si>
  <si>
    <t>현관</t>
    <phoneticPr fontId="22" type="noConversion"/>
  </si>
  <si>
    <t>식</t>
    <phoneticPr fontId="22" type="noConversion"/>
  </si>
  <si>
    <t>TV 월</t>
    <phoneticPr fontId="22" type="noConversion"/>
  </si>
  <si>
    <t>식</t>
    <phoneticPr fontId="22" type="noConversion"/>
  </si>
  <si>
    <t>식</t>
    <phoneticPr fontId="22" type="noConversion"/>
  </si>
  <si>
    <t>중문</t>
    <phoneticPr fontId="22" type="noConversion"/>
  </si>
  <si>
    <t>슬라이딩</t>
    <phoneticPr fontId="22" type="noConversion"/>
  </si>
  <si>
    <t>융 스위치 예정</t>
    <phoneticPr fontId="22" type="noConversion"/>
  </si>
  <si>
    <t>---</t>
    <phoneticPr fontId="22" type="noConversion"/>
  </si>
  <si>
    <t>바흐만 콘센트</t>
    <phoneticPr fontId="22" type="noConversion"/>
  </si>
  <si>
    <t>하부장</t>
    <phoneticPr fontId="22" type="noConversion"/>
  </si>
  <si>
    <t>침실</t>
    <phoneticPr fontId="22" type="noConversion"/>
  </si>
  <si>
    <t>ST-L7051P-A</t>
    <phoneticPr fontId="22" type="noConversion"/>
  </si>
  <si>
    <t>확장 단열 및 마감</t>
    <phoneticPr fontId="22" type="noConversion"/>
  </si>
  <si>
    <t>설비</t>
    <phoneticPr fontId="22" type="noConversion"/>
  </si>
  <si>
    <t>식</t>
    <phoneticPr fontId="22" type="noConversion"/>
  </si>
  <si>
    <t>안방 옆</t>
    <phoneticPr fontId="22" type="noConversion"/>
  </si>
  <si>
    <t>주방 발코니</t>
    <phoneticPr fontId="22" type="noConversion"/>
  </si>
  <si>
    <t>싱크대 상판</t>
    <phoneticPr fontId="22" type="noConversion"/>
  </si>
  <si>
    <t>M2</t>
    <phoneticPr fontId="22" type="noConversion"/>
  </si>
  <si>
    <t>칸스톤</t>
    <phoneticPr fontId="22" type="noConversion"/>
  </si>
  <si>
    <t>하부장 상판</t>
    <phoneticPr fontId="22" type="noConversion"/>
  </si>
  <si>
    <t>칸스톤 양중</t>
    <phoneticPr fontId="22" type="noConversion"/>
  </si>
  <si>
    <t>자녀방, 자녀방 앞방</t>
    <phoneticPr fontId="22" type="noConversion"/>
  </si>
  <si>
    <t>마뷸러스 젠</t>
    <phoneticPr fontId="22" type="noConversion"/>
  </si>
  <si>
    <t>工事名(PROJECT) : 성남시 분당구 파크타운 아파트 인테리어 공사</t>
    <phoneticPr fontId="112" type="noConversion"/>
  </si>
  <si>
    <t>-</t>
    <phoneticPr fontId="22" type="noConversion"/>
  </si>
  <si>
    <t>창문 앞</t>
    <phoneticPr fontId="22" type="noConversion"/>
  </si>
  <si>
    <t>ST-106NB</t>
    <phoneticPr fontId="22" type="noConversion"/>
  </si>
  <si>
    <t>ST-106NB</t>
    <phoneticPr fontId="22" type="noConversion"/>
  </si>
  <si>
    <t>거울 장</t>
    <phoneticPr fontId="2" type="noConversion"/>
  </si>
  <si>
    <t>거울 장</t>
    <phoneticPr fontId="2" type="noConversion"/>
  </si>
  <si>
    <t>거실 메인스위치</t>
    <phoneticPr fontId="22" type="noConversion"/>
  </si>
  <si>
    <t>-</t>
    <phoneticPr fontId="22" type="noConversion"/>
  </si>
  <si>
    <t>실링팬 보강</t>
    <phoneticPr fontId="22" type="noConversion"/>
  </si>
  <si>
    <t>거실 천장</t>
    <phoneticPr fontId="22" type="noConversion"/>
  </si>
  <si>
    <t>SERVICE</t>
    <phoneticPr fontId="22" type="noConversion"/>
  </si>
  <si>
    <t>식</t>
    <phoneticPr fontId="22" type="noConversion"/>
  </si>
  <si>
    <t>-</t>
    <phoneticPr fontId="22" type="noConversion"/>
  </si>
  <si>
    <t>주방 식탁 바닥 매립콘센트</t>
    <phoneticPr fontId="22" type="noConversion"/>
  </si>
  <si>
    <t>EA</t>
    <phoneticPr fontId="22" type="noConversion"/>
  </si>
  <si>
    <t>-</t>
    <phoneticPr fontId="22" type="noConversion"/>
  </si>
  <si>
    <t>실링팬</t>
    <phoneticPr fontId="22" type="noConversion"/>
  </si>
  <si>
    <t>고객님 직접 지급</t>
    <phoneticPr fontId="22" type="noConversion"/>
  </si>
  <si>
    <t>EA</t>
    <phoneticPr fontId="22" type="noConversion"/>
  </si>
  <si>
    <t>SERVICE</t>
    <phoneticPr fontId="22" type="noConversion"/>
  </si>
  <si>
    <t>터닝도어 2 SET</t>
    <phoneticPr fontId="22" type="noConversion"/>
  </si>
  <si>
    <t>시스템 장</t>
    <phoneticPr fontId="2" type="noConversion"/>
  </si>
  <si>
    <t>복도 팬트리</t>
    <phoneticPr fontId="22" type="noConversion"/>
  </si>
  <si>
    <t>시스템 장</t>
    <phoneticPr fontId="22" type="noConversion"/>
  </si>
  <si>
    <t>식</t>
    <phoneticPr fontId="22" type="noConversion"/>
  </si>
  <si>
    <t>샷시</t>
    <phoneticPr fontId="22" type="noConversion"/>
  </si>
  <si>
    <t>방충망</t>
    <phoneticPr fontId="22" type="noConversion"/>
  </si>
  <si>
    <t>미세방충망</t>
    <phoneticPr fontId="22" type="noConversion"/>
  </si>
  <si>
    <t>전체 교체</t>
    <phoneticPr fontId="22" type="noConversion"/>
  </si>
  <si>
    <t>주방 앞(다이닝)</t>
    <phoneticPr fontId="22" type="noConversion"/>
  </si>
  <si>
    <t xml:space="preserve">가구 도어 </t>
    <phoneticPr fontId="22" type="noConversion"/>
  </si>
  <si>
    <t>가구 도어</t>
    <phoneticPr fontId="22" type="noConversion"/>
  </si>
  <si>
    <t>EA</t>
    <phoneticPr fontId="22" type="noConversion"/>
  </si>
  <si>
    <t>가구 도어</t>
    <phoneticPr fontId="22" type="noConversion"/>
  </si>
  <si>
    <t>선반</t>
    <phoneticPr fontId="22" type="noConversion"/>
  </si>
  <si>
    <t>현관, 다이닝, 세탁실</t>
    <phoneticPr fontId="22" type="noConversion"/>
  </si>
  <si>
    <t>고객님 직접 지급</t>
    <phoneticPr fontId="22" type="noConversion"/>
  </si>
  <si>
    <t>-</t>
    <phoneticPr fontId="22" type="noConversion"/>
  </si>
  <si>
    <t>가구 유리도어</t>
    <phoneticPr fontId="22" type="noConversion"/>
  </si>
  <si>
    <t>-</t>
    <phoneticPr fontId="22" type="noConversion"/>
  </si>
  <si>
    <t>거실 발코니</t>
    <phoneticPr fontId="22" type="noConversion"/>
  </si>
  <si>
    <t>옷봉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</si>
</sst>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4">
    <numFmt numFmtId="5" formatCode="&quot;₩&quot;#,##0;\-&quot;₩&quot;#,##0"/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&quot;$&quot;#,##0.00_);\(&quot;$&quot;#,##0.00\)"/>
    <numFmt numFmtId="177" formatCode="_(&quot;$&quot;* #,##0.00_);_(&quot;$&quot;* \(#,##0.00\);_(&quot;$&quot;* &quot;-&quot;??_);_(@_)"/>
    <numFmt numFmtId="178" formatCode="_ &quot;₩&quot;* #,##0_ ;_ &quot;₩&quot;* \-#,##0_ ;_ &quot;₩&quot;* &quot;-&quot;_ ;_ @_ "/>
    <numFmt numFmtId="179" formatCode="_ * #,##0_ ;_ * \-#,##0_ ;_ * &quot;-&quot;_ ;_ @_ "/>
    <numFmt numFmtId="180" formatCode="_ * #,##0.00_ ;_ * \-#,##0.00_ ;_ * &quot;-&quot;??_ ;_ @_ "/>
    <numFmt numFmtId="181" formatCode="&quot;₩&quot;#,##0.00;[Red]&quot;₩&quot;\-#,##0.00"/>
    <numFmt numFmtId="182" formatCode="\$#,##0\ ;\(\$#,##0\)"/>
    <numFmt numFmtId="183" formatCode="0.0%"/>
    <numFmt numFmtId="184" formatCode="&quot;(&quot;###.00&quot;)&quot;"/>
    <numFmt numFmtId="185" formatCode="_ &quot;₩&quot;* #,##0.00_ ;_ &quot;₩&quot;* \-#,##0.00_ ;_ &quot;₩&quot;* &quot;-&quot;??_ ;_ @_ "/>
    <numFmt numFmtId="186" formatCode="[Red]\+#;[Red]\-#;[Red]0"/>
    <numFmt numFmtId="187" formatCode="#,##0;[Red]&quot;△&quot;#,##0"/>
    <numFmt numFmtId="188" formatCode="#,##0_ ;[Red]&quot;△&quot;#,##0\ "/>
    <numFmt numFmtId="189" formatCode="#,##0.0;[Red]#,##0.0;&quot; &quot;"/>
    <numFmt numFmtId="190" formatCode="yyyy&quot;年&quot;m&quot;月&quot;d&quot;日&quot;"/>
    <numFmt numFmtId="191" formatCode="0.0000%"/>
    <numFmt numFmtId="192" formatCode="0.0%;[Red]\(0.0%\)"/>
    <numFmt numFmtId="193" formatCode="#,##0&quot; 원&quot;"/>
    <numFmt numFmtId="194" formatCode="#,##0.00;[Red]#,##0.00;&quot; &quot;"/>
    <numFmt numFmtId="195" formatCode="#."/>
    <numFmt numFmtId="196" formatCode="&quot;₩&quot;#,##0;&quot;₩&quot;&quot;₩&quot;&quot;₩&quot;&quot;₩&quot;\-#,##0"/>
    <numFmt numFmtId="197" formatCode="0.0%;[Red]&quot;△&quot;0.0%"/>
    <numFmt numFmtId="198" formatCode="0.00%;[Red]&quot;△&quot;0.00%"/>
    <numFmt numFmtId="199" formatCode="#,##0_ ;[Red]\-#,##0\ "/>
    <numFmt numFmtId="200" formatCode="General_)"/>
    <numFmt numFmtId="201" formatCode="_-* #,##0;\-* #,##0;_-* &quot;-&quot;;_-@"/>
    <numFmt numFmtId="202" formatCode="#,##0;[Red]&quot;-&quot;#,##0"/>
    <numFmt numFmtId="203" formatCode="&quot;  &quot;@"/>
    <numFmt numFmtId="204" formatCode="#,##0.0#####\ ;[Red]\-#,##0.0#####\ "/>
    <numFmt numFmtId="205" formatCode="#,##0_ "/>
    <numFmt numFmtId="206" formatCode="#,##0\ ;[Red]&quot;-&quot;#,##0\ "/>
    <numFmt numFmtId="207" formatCode="* #,##0\ ;[Red]* &quot;-&quot;#,##0\ "/>
    <numFmt numFmtId="208" formatCode="_-* #,##0.000_-;\-* #,##0.000_-;_-* &quot;-&quot;_-;_-@_-"/>
    <numFmt numFmtId="209" formatCode="#,##0.####;[Red]&quot;-&quot;#,##0.####"/>
    <numFmt numFmtId="210" formatCode="_-* #,##0.00_-;&quot;₩&quot;&quot;₩&quot;\-* #,##0.00_-;_-* &quot;-&quot;??_-;_-@_-"/>
    <numFmt numFmtId="211" formatCode="_-&quot;₩&quot;* #,##0.00_-;&quot;₩&quot;&quot;₩&quot;\-&quot;₩&quot;* #,##0.00_-;_-&quot;₩&quot;* &quot;-&quot;??_-;_-@_-"/>
    <numFmt numFmtId="212" formatCode="&quot;₩&quot;#,##0.00;&quot;₩&quot;&quot;₩&quot;&quot;₩&quot;&quot;₩&quot;\-#,##0.00"/>
    <numFmt numFmtId="213" formatCode="_ &quot;₩&quot;\ * #,##0_ ;_ &quot;₩&quot;\ * \-#,##0_ ;_ &quot;₩&quot;\ * &quot;-&quot;_ ;_ @_ "/>
    <numFmt numFmtId="214" formatCode="yy\.mm\.dd"/>
    <numFmt numFmtId="215" formatCode="General&quot;·&quot;"/>
    <numFmt numFmtId="216" formatCode="\$#.00"/>
    <numFmt numFmtId="217" formatCode="_-[$€-2]* #,##0.00_-;\-[$€-2]* #,##0.00_-;_-[$€-2]* &quot;-&quot;??_-"/>
    <numFmt numFmtId="218" formatCode="&quot;Fr.&quot;\ #,##0;[Red]&quot;Fr.&quot;\ \-#,##0"/>
    <numFmt numFmtId="219" formatCode="&quot;Fr.&quot;\ #,##0.00;[Red]&quot;Fr.&quot;\ \-#,##0.00"/>
    <numFmt numFmtId="220" formatCode="%#.00"/>
    <numFmt numFmtId="221" formatCode="0.00_);[Red]\(0.00\)"/>
    <numFmt numFmtId="222" formatCode="&quot;₩&quot;#,##0"/>
  </numFmts>
  <fonts count="149">
    <font>
      <sz val="10"/>
      <name val="돋움체"/>
      <family val="3"/>
      <charset val="129"/>
    </font>
    <font>
      <sz val="10"/>
      <name val="돋움체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2"/>
      <name val="Arial"/>
      <family val="2"/>
    </font>
    <font>
      <sz val="9"/>
      <name val="굴림체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u/>
      <sz val="11"/>
      <color indexed="36"/>
      <name val="굴림체"/>
      <family val="3"/>
      <charset val="129"/>
    </font>
    <font>
      <sz val="12"/>
      <color indexed="24"/>
      <name val="바탕체"/>
      <family val="1"/>
      <charset val="129"/>
    </font>
    <font>
      <sz val="12"/>
      <name val="돋움체"/>
      <family val="3"/>
      <charset val="129"/>
    </font>
    <font>
      <sz val="12"/>
      <name val="¹UAAA¼"/>
      <family val="3"/>
      <charset val="129"/>
    </font>
    <font>
      <sz val="12"/>
      <name val="μ¸¿oA¼"/>
      <family val="3"/>
      <charset val="129"/>
    </font>
    <font>
      <b/>
      <sz val="10"/>
      <name val="Helv"/>
      <family val="2"/>
    </font>
    <font>
      <sz val="10"/>
      <color indexed="24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name val="Helv"/>
      <family val="2"/>
    </font>
    <font>
      <sz val="10"/>
      <name val="돋움"/>
      <family val="3"/>
      <charset val="129"/>
    </font>
    <font>
      <sz val="8"/>
      <name val="돋움체"/>
      <family val="3"/>
      <charset val="129"/>
    </font>
    <font>
      <sz val="10"/>
      <name val="MS Sans Serif"/>
      <family val="2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명조"/>
      <family val="3"/>
      <charset val="129"/>
    </font>
    <font>
      <sz val="12"/>
      <name val="¹????¼"/>
      <family val="3"/>
      <charset val="129"/>
    </font>
    <font>
      <sz val="12"/>
      <name val="±¼¸²?¼"/>
      <family val="3"/>
      <charset val="129"/>
    </font>
    <font>
      <sz val="14"/>
      <name val="AngsanaUPC"/>
      <family val="1"/>
    </font>
    <font>
      <sz val="12"/>
      <name val="COUR"/>
      <family val="3"/>
    </font>
    <font>
      <sz val="11"/>
      <name val="ⓒoUAAA¨u"/>
      <family val="1"/>
      <charset val="129"/>
    </font>
    <font>
      <sz val="10"/>
      <name val="Helv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1"/>
      <name val="￥i￠￢￠?o"/>
      <family val="3"/>
      <charset val="129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1"/>
      <name val="바탕체"/>
      <family val="1"/>
      <charset val="129"/>
    </font>
    <font>
      <sz val="9"/>
      <name val="돋움체"/>
      <family val="3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0"/>
      <name val="옛체"/>
      <family val="1"/>
      <charset val="129"/>
    </font>
    <font>
      <sz val="1"/>
      <color indexed="0"/>
      <name val="Courier"/>
      <family val="3"/>
    </font>
    <font>
      <sz val="12"/>
      <name val="Arial"/>
      <family val="2"/>
    </font>
    <font>
      <sz val="9"/>
      <name val="바탕체"/>
      <family val="1"/>
      <charset val="129"/>
    </font>
    <font>
      <b/>
      <sz val="1"/>
      <color indexed="8"/>
      <name val="Courier"/>
      <family val="3"/>
    </font>
    <font>
      <sz val="12"/>
      <name val="명조"/>
      <family val="3"/>
      <charset val="129"/>
    </font>
    <font>
      <sz val="11"/>
      <name val="굴림체"/>
      <family val="3"/>
      <charset val="129"/>
    </font>
    <font>
      <sz val="10"/>
      <name val="바탕체"/>
      <family val="1"/>
      <charset val="129"/>
    </font>
    <font>
      <sz val="1"/>
      <color indexed="8"/>
      <name val="Courier"/>
      <family val="3"/>
    </font>
    <font>
      <sz val="10"/>
      <color indexed="10"/>
      <name val="돋움체"/>
      <family val="3"/>
      <charset val="129"/>
    </font>
    <font>
      <sz val="12"/>
      <name val="HP-TIMES"/>
      <family val="1"/>
    </font>
    <font>
      <sz val="10"/>
      <name val="바탕"/>
      <family val="1"/>
      <charset val="129"/>
    </font>
    <font>
      <b/>
      <sz val="12"/>
      <color indexed="16"/>
      <name val="굴림체"/>
      <family val="3"/>
      <charset val="129"/>
    </font>
    <font>
      <sz val="11"/>
      <name val="HY울릉도L"/>
      <family val="1"/>
      <charset val="129"/>
    </font>
    <font>
      <sz val="18"/>
      <name val="돋움체"/>
      <family val="3"/>
      <charset val="129"/>
    </font>
    <font>
      <b/>
      <sz val="16"/>
      <name val="돋움체"/>
      <family val="3"/>
      <charset val="129"/>
    </font>
    <font>
      <sz val="10"/>
      <name val="굴림"/>
      <family val="3"/>
      <charset val="129"/>
    </font>
    <font>
      <sz val="18"/>
      <name val="바탕체"/>
      <family val="1"/>
      <charset val="129"/>
    </font>
    <font>
      <sz val="11"/>
      <name val="돋움체"/>
      <family val="3"/>
      <charset val="129"/>
    </font>
    <font>
      <b/>
      <sz val="14"/>
      <name val="Arial"/>
      <family val="2"/>
    </font>
    <font>
      <sz val="12"/>
      <name val="ⓒoUAAA¨u"/>
      <family val="1"/>
      <charset val="129"/>
    </font>
    <font>
      <sz val="12"/>
      <name val="©öUAAA¨ù"/>
      <family val="3"/>
      <charset val="129"/>
    </font>
    <font>
      <sz val="10"/>
      <name val="¹ÙÅÁÃ¼"/>
      <family val="3"/>
      <charset val="129"/>
    </font>
    <font>
      <sz val="11"/>
      <name val="μ¸¿o"/>
      <family val="1"/>
      <charset val="129"/>
    </font>
    <font>
      <sz val="12"/>
      <name val="¹ÙÅÁÃ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2"/>
      <name val="±¼¸²A¼"/>
      <family val="3"/>
      <charset val="129"/>
    </font>
    <font>
      <sz val="11"/>
      <name val="μ¸¿oA¼"/>
      <family val="3"/>
      <charset val="129"/>
    </font>
    <font>
      <sz val="14"/>
      <name val="¾©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2"/>
      <name val="µ¸¿òÃ¼"/>
      <family val="3"/>
      <charset val="129"/>
    </font>
    <font>
      <sz val="10"/>
      <color indexed="8"/>
      <name val="MS Sans Serif"/>
      <family val="2"/>
    </font>
    <font>
      <b/>
      <sz val="12"/>
      <name val="Arial MT"/>
      <family val="2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System"/>
      <family val="2"/>
      <charset val="129"/>
    </font>
    <font>
      <sz val="8"/>
      <name val="¹UAAA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10"/>
      <name val="¹UAA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4"/>
      <name val="¹UAAA¼"/>
      <family val="3"/>
      <charset val="129"/>
    </font>
    <font>
      <sz val="9"/>
      <name val="Times New Roman"/>
      <family val="1"/>
    </font>
    <font>
      <u/>
      <sz val="10"/>
      <color indexed="12"/>
      <name val="Arial"/>
      <family val="2"/>
    </font>
    <font>
      <sz val="12"/>
      <name val="Arial MT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10"/>
      <color indexed="14"/>
      <name val="MS Sans Serif"/>
      <family val="2"/>
    </font>
    <font>
      <sz val="10"/>
      <name val="Geneva"/>
      <family val="2"/>
    </font>
    <font>
      <b/>
      <sz val="8"/>
      <name val="MS Sans Serif"/>
      <family val="2"/>
    </font>
    <font>
      <sz val="10"/>
      <name val="Univers (WN)"/>
      <family val="2"/>
    </font>
    <font>
      <u/>
      <sz val="10"/>
      <color indexed="12"/>
      <name val="MS Sans Serif"/>
      <family val="2"/>
    </font>
    <font>
      <sz val="7"/>
      <name val="Small Fonts"/>
      <family val="2"/>
    </font>
    <font>
      <sz val="8"/>
      <name val="Wingdings"/>
      <charset val="2"/>
    </font>
    <font>
      <sz val="8"/>
      <name val="Helv"/>
      <family val="2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8"/>
      <name val="MS Sans Serif"/>
      <family val="2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12"/>
      <name val="¾©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바탕"/>
      <family val="1"/>
      <charset val="129"/>
    </font>
    <font>
      <b/>
      <sz val="14"/>
      <name val="에스코어 드림 5 Medium"/>
      <family val="2"/>
      <charset val="129"/>
    </font>
    <font>
      <sz val="10"/>
      <name val="에스코어 드림 5 Medium"/>
      <family val="2"/>
      <charset val="129"/>
    </font>
    <font>
      <b/>
      <sz val="10"/>
      <color theme="0"/>
      <name val="에스코어 드림 5 Medium"/>
      <family val="2"/>
      <charset val="129"/>
    </font>
    <font>
      <b/>
      <sz val="10"/>
      <name val="에스코어 드림 5 Medium"/>
      <family val="2"/>
      <charset val="129"/>
    </font>
    <font>
      <sz val="9"/>
      <name val="에스코어 드림 5 Medium"/>
      <family val="2"/>
      <charset val="129"/>
    </font>
    <font>
      <b/>
      <sz val="9"/>
      <name val="에스코어 드림 5 Medium"/>
      <family val="2"/>
      <charset val="129"/>
    </font>
    <font>
      <sz val="9"/>
      <color rgb="FFFF0000"/>
      <name val="에스코어 드림 5 Medium"/>
      <family val="2"/>
      <charset val="129"/>
    </font>
    <font>
      <b/>
      <sz val="18"/>
      <name val="에스코어 드림 6 Bold"/>
      <family val="2"/>
      <charset val="129"/>
    </font>
    <font>
      <sz val="12"/>
      <name val="에스코어 드림 6 Bold"/>
      <family val="2"/>
      <charset val="129"/>
    </font>
    <font>
      <sz val="10"/>
      <name val="에스코어 드림 6 Bold"/>
      <family val="2"/>
      <charset val="129"/>
    </font>
    <font>
      <b/>
      <sz val="12"/>
      <name val="에스코어 드림 6 Bold"/>
      <family val="2"/>
      <charset val="129"/>
    </font>
    <font>
      <sz val="11"/>
      <name val="에스코어 드림 6 Bold"/>
      <family val="2"/>
      <charset val="129"/>
    </font>
    <font>
      <sz val="9"/>
      <name val="에스코어 드림 6 Bold"/>
      <family val="2"/>
      <charset val="129"/>
    </font>
    <font>
      <b/>
      <sz val="9"/>
      <name val="에스코어 드림 6 Bold"/>
      <family val="2"/>
      <charset val="129"/>
    </font>
    <font>
      <sz val="18"/>
      <name val="에스코어 드림 6 Bold"/>
      <family val="2"/>
      <charset val="129"/>
    </font>
    <font>
      <b/>
      <sz val="14"/>
      <name val="에스코어 드림 4 Regular"/>
      <family val="2"/>
      <charset val="129"/>
    </font>
    <font>
      <sz val="10"/>
      <name val="에스코어 드림 4 Regular"/>
      <family val="2"/>
      <charset val="129"/>
    </font>
    <font>
      <sz val="14"/>
      <name val="에스코어 드림 4 Regular"/>
      <family val="2"/>
      <charset val="129"/>
    </font>
    <font>
      <b/>
      <sz val="10"/>
      <color theme="0"/>
      <name val="에스코어 드림 4 Regular"/>
      <family val="2"/>
      <charset val="129"/>
    </font>
    <font>
      <b/>
      <sz val="10"/>
      <name val="에스코어 드림 4 Regular"/>
      <family val="2"/>
      <charset val="129"/>
    </font>
    <font>
      <b/>
      <sz val="9"/>
      <name val="에스코어 드림 4 Regular"/>
      <family val="2"/>
      <charset val="129"/>
    </font>
    <font>
      <sz val="9"/>
      <name val="에스코어 드림 4 Regular"/>
      <family val="2"/>
      <charset val="129"/>
    </font>
    <font>
      <b/>
      <sz val="9"/>
      <color theme="0"/>
      <name val="에스코어 드림 4 Regular"/>
      <family val="2"/>
      <charset val="129"/>
    </font>
    <font>
      <sz val="9"/>
      <color theme="0"/>
      <name val="에스코어 드림 4 Regular"/>
      <family val="2"/>
      <charset val="129"/>
    </font>
    <font>
      <b/>
      <sz val="9"/>
      <color theme="0"/>
      <name val="에스코어 드림 5 Medium"/>
      <family val="2"/>
      <charset val="129"/>
    </font>
    <font>
      <sz val="9"/>
      <name val="에스코어 드림 5 Medium"/>
      <family val="3"/>
      <charset val="129"/>
    </font>
    <font>
      <sz val="9"/>
      <color rgb="FFFF0000"/>
      <name val="에스코어 드림 5 Medium"/>
      <family val="3"/>
      <charset val="129"/>
    </font>
    <font>
      <sz val="9"/>
      <color theme="1"/>
      <name val="에스코어 드림 5 Medium"/>
      <family val="2"/>
      <charset val="129"/>
    </font>
    <font>
      <sz val="9"/>
      <color theme="1"/>
      <name val="에스코어 드림 5 Medium"/>
      <family val="3"/>
      <charset val="129"/>
    </font>
    <font>
      <b/>
      <sz val="9"/>
      <name val="에스코어 드림 5 Medium"/>
      <family val="3"/>
      <charset val="129"/>
    </font>
    <font>
      <b/>
      <sz val="10"/>
      <color rgb="FFFFFF00"/>
      <name val="에스코어 드림 5 Medium"/>
      <family val="3"/>
      <charset val="129"/>
    </font>
    <font>
      <b/>
      <sz val="9"/>
      <color rgb="FFFFFF00"/>
      <name val="에스코어 드림 5 Medium"/>
      <family val="3"/>
      <charset val="129"/>
    </font>
    <font>
      <b/>
      <sz val="9"/>
      <color rgb="FFFF0000"/>
      <name val="에스코어 드림 5 Medium"/>
      <family val="3"/>
      <charset val="129"/>
    </font>
    <font>
      <sz val="9"/>
      <name val="Arial Unicode MS"/>
      <family val="3"/>
      <charset val="129"/>
    </font>
    <font>
      <strike/>
      <sz val="9"/>
      <name val="에스코어 드림 4 Regular"/>
      <family val="2"/>
      <charset val="129"/>
    </font>
    <font>
      <sz val="9"/>
      <name val="에스코어 드림 4 Regular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darkVertical"/>
    </fill>
    <fill>
      <patternFill patternType="solid">
        <fgColor indexed="10"/>
      </patternFill>
    </fill>
    <fill>
      <patternFill patternType="solid">
        <fgColor indexed="15"/>
      </patternFill>
    </fill>
    <fill>
      <patternFill patternType="solid">
        <fgColor rgb="FF1E44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911">
    <xf numFmtId="0" fontId="0" fillId="0" borderId="0"/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23" fillId="0" borderId="1">
      <alignment horizontal="center"/>
    </xf>
    <xf numFmtId="3" fontId="11" fillId="0" borderId="2"/>
    <xf numFmtId="24" fontId="2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4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178" fontId="27" fillId="0" borderId="0" applyFont="0" applyFill="0" applyBorder="0" applyAlignment="0" applyProtection="0"/>
    <xf numFmtId="185" fontId="27" fillId="0" borderId="0" applyFont="0" applyFill="0" applyBorder="0" applyAlignment="0" applyProtection="0"/>
    <xf numFmtId="0" fontId="28" fillId="0" borderId="0"/>
    <xf numFmtId="0" fontId="29" fillId="0" borderId="0"/>
    <xf numFmtId="0" fontId="6" fillId="0" borderId="0" applyNumberFormat="0" applyFill="0" applyBorder="0" applyAlignment="0" applyProtection="0"/>
    <xf numFmtId="179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6" fillId="0" borderId="0"/>
    <xf numFmtId="0" fontId="6" fillId="0" borderId="0" applyNumberFormat="0" applyFill="0" applyBorder="0" applyAlignment="0" applyProtection="0"/>
    <xf numFmtId="0" fontId="30" fillId="2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" fillId="0" borderId="0"/>
    <xf numFmtId="0" fontId="7" fillId="0" borderId="0"/>
    <xf numFmtId="0" fontId="31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32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3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3" fillId="0" borderId="0"/>
    <xf numFmtId="0" fontId="23" fillId="0" borderId="0"/>
    <xf numFmtId="0" fontId="23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3" fillId="0" borderId="0" applyFont="0" applyFill="0" applyBorder="0" applyAlignment="0" applyProtection="0"/>
    <xf numFmtId="0" fontId="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23" fillId="0" borderId="0"/>
    <xf numFmtId="0" fontId="6" fillId="0" borderId="0"/>
    <xf numFmtId="0" fontId="23" fillId="0" borderId="0"/>
    <xf numFmtId="0" fontId="8" fillId="0" borderId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23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23" fillId="0" borderId="0"/>
    <xf numFmtId="0" fontId="3" fillId="0" borderId="0"/>
    <xf numFmtId="0" fontId="7" fillId="0" borderId="0"/>
    <xf numFmtId="0" fontId="23" fillId="0" borderId="0"/>
    <xf numFmtId="0" fontId="6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2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2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6" fillId="0" borderId="0"/>
    <xf numFmtId="0" fontId="32" fillId="0" borderId="0"/>
    <xf numFmtId="0" fontId="7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23" fillId="0" borderId="0"/>
    <xf numFmtId="0" fontId="6" fillId="0" borderId="0"/>
    <xf numFmtId="0" fontId="7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2" fillId="0" borderId="0"/>
    <xf numFmtId="0" fontId="32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3" fillId="0" borderId="0"/>
    <xf numFmtId="0" fontId="2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3" fillId="0" borderId="0"/>
    <xf numFmtId="0" fontId="6" fillId="0" borderId="0"/>
    <xf numFmtId="0" fontId="7" fillId="0" borderId="0"/>
    <xf numFmtId="0" fontId="2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7" fillId="0" borderId="0"/>
    <xf numFmtId="0" fontId="23" fillId="0" borderId="0"/>
    <xf numFmtId="0" fontId="7" fillId="0" borderId="0" applyFont="0" applyFill="0" applyBorder="0" applyAlignment="0" applyProtection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35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6" fillId="0" borderId="0"/>
    <xf numFmtId="0" fontId="8" fillId="0" borderId="0" applyFont="0" applyFill="0" applyBorder="0" applyAlignment="0" applyProtection="0"/>
    <xf numFmtId="186" fontId="1" fillId="0" borderId="0" applyFont="0" applyFill="0" applyBorder="0" applyProtection="0">
      <alignment vertical="center"/>
    </xf>
    <xf numFmtId="0" fontId="12" fillId="0" borderId="0"/>
    <xf numFmtId="187" fontId="1" fillId="0" borderId="0">
      <alignment vertical="center"/>
    </xf>
    <xf numFmtId="188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/>
    <xf numFmtId="0" fontId="37" fillId="0" borderId="0" applyNumberFormat="0" applyFill="0" applyBorder="0" applyAlignment="0" applyProtection="0">
      <alignment vertical="top"/>
      <protection locked="0"/>
    </xf>
    <xf numFmtId="40" fontId="71" fillId="0" borderId="0" applyFont="0" applyFill="0" applyBorder="0" applyAlignment="0" applyProtection="0"/>
    <xf numFmtId="38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108" fillId="0" borderId="0"/>
    <xf numFmtId="179" fontId="38" fillId="0" borderId="2">
      <alignment vertical="center"/>
    </xf>
    <xf numFmtId="0" fontId="7" fillId="0" borderId="0"/>
    <xf numFmtId="3" fontId="11" fillId="0" borderId="2"/>
    <xf numFmtId="3" fontId="11" fillId="0" borderId="2"/>
    <xf numFmtId="179" fontId="39" fillId="0" borderId="3" applyBorder="0">
      <alignment vertical="center"/>
    </xf>
    <xf numFmtId="189" fontId="40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3" fontId="41" fillId="0" borderId="4">
      <alignment horizontal="right" vertical="center"/>
    </xf>
    <xf numFmtId="189" fontId="40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89" fontId="40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0" fontId="42" fillId="0" borderId="0"/>
    <xf numFmtId="194" fontId="1" fillId="0" borderId="0">
      <alignment vertical="center"/>
    </xf>
    <xf numFmtId="0" fontId="3" fillId="0" borderId="0"/>
    <xf numFmtId="0" fontId="3" fillId="0" borderId="0">
      <protection locked="0"/>
    </xf>
    <xf numFmtId="195" fontId="43" fillId="0" borderId="0">
      <protection locked="0"/>
    </xf>
    <xf numFmtId="10" fontId="6" fillId="0" borderId="0" applyFont="0" applyFill="0" applyBorder="0" applyAlignment="0" applyProtection="0"/>
    <xf numFmtId="2" fontId="41" fillId="0" borderId="4">
      <alignment horizontal="right" vertical="center"/>
    </xf>
    <xf numFmtId="0" fontId="8" fillId="0" borderId="0"/>
    <xf numFmtId="0" fontId="8" fillId="0" borderId="5">
      <alignment horizontal="center"/>
    </xf>
    <xf numFmtId="2" fontId="41" fillId="0" borderId="4">
      <alignment horizontal="right" vertical="center"/>
    </xf>
    <xf numFmtId="194" fontId="1" fillId="0" borderId="6">
      <alignment vertical="center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9" fontId="8" fillId="0" borderId="0">
      <protection locked="0"/>
    </xf>
    <xf numFmtId="0" fontId="8" fillId="0" borderId="0"/>
    <xf numFmtId="0" fontId="44" fillId="0" borderId="0"/>
    <xf numFmtId="0" fontId="45" fillId="0" borderId="7">
      <alignment horizontal="center" vertical="center"/>
    </xf>
    <xf numFmtId="0" fontId="3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179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95" fontId="43" fillId="0" borderId="0">
      <protection locked="0"/>
    </xf>
    <xf numFmtId="0" fontId="5" fillId="0" borderId="0">
      <protection locked="0"/>
    </xf>
    <xf numFmtId="195" fontId="43" fillId="0" borderId="0">
      <protection locked="0"/>
    </xf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42" fontId="65" fillId="0" borderId="0" applyFont="0" applyFill="0" applyBorder="0" applyAlignment="0" applyProtection="0"/>
    <xf numFmtId="178" fontId="6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7" fillId="0" borderId="0" applyFont="0" applyFill="0" applyBorder="0" applyAlignment="0" applyProtection="0"/>
    <xf numFmtId="178" fontId="12" fillId="0" borderId="0" applyFont="0" applyFill="0" applyBorder="0" applyAlignment="0" applyProtection="0"/>
    <xf numFmtId="213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78" fontId="67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8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42" fontId="70" fillId="0" borderId="0" applyFont="0" applyFill="0" applyBorder="0" applyAlignment="0" applyProtection="0"/>
    <xf numFmtId="0" fontId="3" fillId="0" borderId="0">
      <protection locked="0"/>
    </xf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44" fontId="65" fillId="0" borderId="0" applyFont="0" applyFill="0" applyBorder="0" applyAlignment="0" applyProtection="0"/>
    <xf numFmtId="185" fontId="6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9" fillId="0" borderId="0" applyFont="0" applyFill="0" applyBorder="0" applyAlignment="0" applyProtection="0"/>
    <xf numFmtId="185" fontId="67" fillId="0" borderId="0" applyFont="0" applyFill="0" applyBorder="0" applyAlignment="0" applyProtection="0"/>
    <xf numFmtId="0" fontId="12" fillId="0" borderId="0" applyFont="0" applyFill="0" applyBorder="0" applyAlignment="0" applyProtection="0"/>
    <xf numFmtId="214" fontId="38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" fillId="0" borderId="0">
      <protection locked="0"/>
    </xf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178" fontId="62" fillId="0" borderId="0" applyFont="0" applyFill="0" applyBorder="0" applyAlignment="0" applyProtection="0"/>
    <xf numFmtId="185" fontId="62" fillId="0" borderId="0" applyFont="0" applyFill="0" applyBorder="0" applyAlignment="0" applyProtection="0"/>
    <xf numFmtId="0" fontId="23" fillId="0" borderId="0"/>
    <xf numFmtId="0" fontId="72" fillId="0" borderId="0">
      <alignment horizontal="center" wrapText="1"/>
      <protection locked="0"/>
    </xf>
    <xf numFmtId="195" fontId="43" fillId="0" borderId="0">
      <protection locked="0"/>
    </xf>
    <xf numFmtId="0" fontId="3" fillId="0" borderId="0">
      <protection locked="0"/>
    </xf>
    <xf numFmtId="195" fontId="43" fillId="0" borderId="0">
      <protection locked="0"/>
    </xf>
    <xf numFmtId="0" fontId="73" fillId="0" borderId="0" applyFont="0" applyFill="0" applyBorder="0" applyAlignment="0" applyProtection="0"/>
    <xf numFmtId="0" fontId="64" fillId="0" borderId="0" applyFont="0" applyFill="0" applyBorder="0" applyAlignment="0" applyProtection="0"/>
    <xf numFmtId="41" fontId="65" fillId="0" borderId="0" applyFont="0" applyFill="0" applyBorder="0" applyAlignment="0" applyProtection="0"/>
    <xf numFmtId="179" fontId="66" fillId="0" borderId="0" applyFont="0" applyFill="0" applyBorder="0" applyAlignment="0" applyProtection="0"/>
    <xf numFmtId="0" fontId="12" fillId="0" borderId="0" applyFont="0" applyFill="0" applyBorder="0" applyAlignment="0" applyProtection="0"/>
    <xf numFmtId="6" fontId="6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7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79" fontId="67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43" fontId="65" fillId="0" borderId="0" applyFont="0" applyFill="0" applyBorder="0" applyAlignment="0" applyProtection="0"/>
    <xf numFmtId="180" fontId="6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7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0" fontId="67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75" fillId="0" borderId="0" applyFont="0" applyFill="0" applyBorder="0" applyAlignment="0" applyProtection="0"/>
    <xf numFmtId="14" fontId="3" fillId="0" borderId="0" applyFont="0" applyFill="0" applyBorder="0" applyAlignment="0" applyProtection="0"/>
    <xf numFmtId="0" fontId="58" fillId="0" borderId="0" applyFont="0" applyFill="0" applyBorder="0" applyAlignment="0" applyProtection="0">
      <alignment horizontal="right"/>
    </xf>
    <xf numFmtId="0" fontId="76" fillId="0" borderId="0"/>
    <xf numFmtId="0" fontId="77" fillId="0" borderId="0" applyNumberForma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78" fillId="0" borderId="0"/>
    <xf numFmtId="0" fontId="79" fillId="0" borderId="0"/>
    <xf numFmtId="0" fontId="62" fillId="0" borderId="0">
      <alignment vertical="center"/>
    </xf>
    <xf numFmtId="195" fontId="43" fillId="0" borderId="0">
      <protection locked="0"/>
    </xf>
    <xf numFmtId="0" fontId="80" fillId="0" borderId="0"/>
    <xf numFmtId="0" fontId="81" fillId="0" borderId="0"/>
    <xf numFmtId="0" fontId="82" fillId="0" borderId="0"/>
    <xf numFmtId="0" fontId="64" fillId="0" borderId="0"/>
    <xf numFmtId="0" fontId="82" fillId="0" borderId="0"/>
    <xf numFmtId="0" fontId="81" fillId="0" borderId="0"/>
    <xf numFmtId="0" fontId="83" fillId="0" borderId="0"/>
    <xf numFmtId="0" fontId="64" fillId="0" borderId="0"/>
    <xf numFmtId="0" fontId="65" fillId="0" borderId="0"/>
    <xf numFmtId="0" fontId="6" fillId="0" borderId="0"/>
    <xf numFmtId="0" fontId="79" fillId="0" borderId="0"/>
    <xf numFmtId="0" fontId="84" fillId="0" borderId="0"/>
    <xf numFmtId="0" fontId="82" fillId="0" borderId="0"/>
    <xf numFmtId="0" fontId="67" fillId="0" borderId="0"/>
    <xf numFmtId="0" fontId="12" fillId="0" borderId="0"/>
    <xf numFmtId="0" fontId="67" fillId="0" borderId="0"/>
    <xf numFmtId="0" fontId="12" fillId="0" borderId="0"/>
    <xf numFmtId="49" fontId="67" fillId="0" borderId="0" applyBorder="0"/>
    <xf numFmtId="0" fontId="85" fillId="0" borderId="0"/>
    <xf numFmtId="0" fontId="67" fillId="0" borderId="0"/>
    <xf numFmtId="0" fontId="69" fillId="0" borderId="0"/>
    <xf numFmtId="0" fontId="67" fillId="0" borderId="0"/>
    <xf numFmtId="0" fontId="12" fillId="0" borderId="0"/>
    <xf numFmtId="0" fontId="67" fillId="0" borderId="0"/>
    <xf numFmtId="0" fontId="86" fillId="0" borderId="0"/>
    <xf numFmtId="0" fontId="68" fillId="0" borderId="0"/>
    <xf numFmtId="37" fontId="12" fillId="0" borderId="0"/>
    <xf numFmtId="0" fontId="6" fillId="0" borderId="0"/>
    <xf numFmtId="0" fontId="73" fillId="0" borderId="0"/>
    <xf numFmtId="0" fontId="67" fillId="0" borderId="0"/>
    <xf numFmtId="0" fontId="6" fillId="0" borderId="0"/>
    <xf numFmtId="0" fontId="6" fillId="0" borderId="0"/>
    <xf numFmtId="215" fontId="8" fillId="0" borderId="0" applyFill="0" applyBorder="0" applyAlignment="0"/>
    <xf numFmtId="0" fontId="8" fillId="0" borderId="0" applyFill="0" applyBorder="0" applyAlignment="0"/>
    <xf numFmtId="0" fontId="87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14" fillId="0" borderId="0"/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3" fillId="0" borderId="0">
      <protection locked="0"/>
    </xf>
    <xf numFmtId="4" fontId="50" fillId="0" borderId="0">
      <protection locked="0"/>
    </xf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58" fillId="0" borderId="0" applyFont="0" applyFill="0" applyBorder="0" applyAlignment="0" applyProtection="0"/>
    <xf numFmtId="0" fontId="8" fillId="0" borderId="0"/>
    <xf numFmtId="43" fontId="6" fillId="0" borderId="0" applyFont="0" applyFill="0" applyBorder="0" applyAlignment="0" applyProtection="0"/>
    <xf numFmtId="3" fontId="15" fillId="0" borderId="0" applyFont="0" applyFill="0" applyBorder="0" applyAlignment="0" applyProtection="0"/>
    <xf numFmtId="0" fontId="90" fillId="0" borderId="0" applyNumberFormat="0" applyAlignment="0">
      <alignment horizontal="left"/>
    </xf>
    <xf numFmtId="0" fontId="7" fillId="0" borderId="0" applyFont="0" applyFill="0" applyBorder="0" applyAlignment="0" applyProtection="0"/>
    <xf numFmtId="216" fontId="50" fillId="0" borderId="0">
      <protection locked="0"/>
    </xf>
    <xf numFmtId="0" fontId="23" fillId="0" borderId="0" applyFont="0" applyFill="0" applyBorder="0" applyAlignment="0" applyProtection="0"/>
    <xf numFmtId="0" fontId="8" fillId="0" borderId="0" applyFont="0" applyFill="0" applyBorder="0" applyAlignment="0" applyProtection="0"/>
    <xf numFmtId="177" fontId="6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6" fillId="0" borderId="0"/>
    <xf numFmtId="0" fontId="15" fillId="0" borderId="0" applyFont="0" applyFill="0" applyBorder="0" applyAlignment="0" applyProtection="0"/>
    <xf numFmtId="14" fontId="34" fillId="0" borderId="0" applyFill="0" applyBorder="0" applyAlignment="0"/>
    <xf numFmtId="0" fontId="6" fillId="0" borderId="0" applyFont="0" applyFill="0" applyBorder="0" applyAlignment="0" applyProtection="0"/>
    <xf numFmtId="0" fontId="6" fillId="0" borderId="8">
      <alignment vertical="center"/>
    </xf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91" fillId="0" borderId="0" applyNumberFormat="0" applyAlignment="0">
      <alignment horizontal="left"/>
    </xf>
    <xf numFmtId="217" fontId="3" fillId="0" borderId="0" applyFont="0" applyFill="0" applyBorder="0" applyAlignment="0" applyProtection="0"/>
    <xf numFmtId="0" fontId="50" fillId="0" borderId="0">
      <protection locked="0"/>
    </xf>
    <xf numFmtId="0" fontId="50" fillId="0" borderId="0">
      <protection locked="0"/>
    </xf>
    <xf numFmtId="0" fontId="92" fillId="0" borderId="0">
      <protection locked="0"/>
    </xf>
    <xf numFmtId="0" fontId="50" fillId="0" borderId="0">
      <protection locked="0"/>
    </xf>
    <xf numFmtId="0" fontId="50" fillId="0" borderId="0">
      <protection locked="0"/>
    </xf>
    <xf numFmtId="0" fontId="50" fillId="0" borderId="0">
      <protection locked="0"/>
    </xf>
    <xf numFmtId="0" fontId="92" fillId="0" borderId="0">
      <protection locked="0"/>
    </xf>
    <xf numFmtId="3" fontId="15" fillId="0" borderId="0" applyFont="0" applyFill="0" applyBorder="0" applyAlignment="0" applyProtection="0"/>
    <xf numFmtId="2" fontId="15" fillId="0" borderId="0" applyFont="0" applyFill="0" applyBorder="0" applyAlignment="0" applyProtection="0"/>
    <xf numFmtId="0" fontId="93" fillId="0" borderId="0" applyNumberFormat="0" applyFill="0" applyBorder="0" applyAlignment="0" applyProtection="0"/>
    <xf numFmtId="2" fontId="94" fillId="0" borderId="0">
      <alignment horizontal="left"/>
    </xf>
    <xf numFmtId="38" fontId="16" fillId="3" borderId="0" applyNumberFormat="0" applyBorder="0" applyAlignment="0" applyProtection="0"/>
    <xf numFmtId="3" fontId="49" fillId="0" borderId="9">
      <alignment horizontal="right" vertical="center"/>
    </xf>
    <xf numFmtId="4" fontId="49" fillId="0" borderId="9">
      <alignment horizontal="right" vertical="center"/>
    </xf>
    <xf numFmtId="0" fontId="17" fillId="0" borderId="0">
      <alignment horizontal="left"/>
    </xf>
    <xf numFmtId="0" fontId="4" fillId="0" borderId="10" applyNumberFormat="0" applyAlignment="0" applyProtection="0">
      <alignment horizontal="left" vertical="center"/>
    </xf>
    <xf numFmtId="0" fontId="4" fillId="0" borderId="11">
      <alignment horizontal="left" vertical="center"/>
    </xf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95" fontId="46" fillId="0" borderId="0">
      <protection locked="0"/>
    </xf>
    <xf numFmtId="195" fontId="46" fillId="0" borderId="0">
      <protection locked="0"/>
    </xf>
    <xf numFmtId="0" fontId="95" fillId="0" borderId="12">
      <alignment horizontal="center"/>
    </xf>
    <xf numFmtId="0" fontId="95" fillId="0" borderId="0">
      <alignment horizontal="center"/>
    </xf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10" fontId="16" fillId="3" borderId="2" applyNumberFormat="0" applyBorder="0" applyAlignment="0" applyProtection="0"/>
    <xf numFmtId="0" fontId="3" fillId="0" borderId="12">
      <protection locked="0"/>
    </xf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0" fillId="0" borderId="12"/>
    <xf numFmtId="218" fontId="23" fillId="0" borderId="0" applyFont="0" applyFill="0" applyBorder="0" applyAlignment="0" applyProtection="0"/>
    <xf numFmtId="219" fontId="23" fillId="0" borderId="0" applyFont="0" applyFill="0" applyBorder="0" applyAlignment="0" applyProtection="0"/>
    <xf numFmtId="5" fontId="15" fillId="0" borderId="0" applyFont="0" applyFill="0" applyBorder="0" applyAlignment="0" applyProtection="0"/>
    <xf numFmtId="37" fontId="98" fillId="0" borderId="0"/>
    <xf numFmtId="0" fontId="8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8" fillId="0" borderId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80" fontId="1" fillId="0" borderId="0">
      <alignment vertical="center"/>
    </xf>
    <xf numFmtId="14" fontId="72" fillId="0" borderId="0">
      <alignment horizontal="center" wrapText="1"/>
      <protection locked="0"/>
    </xf>
    <xf numFmtId="220" fontId="50" fillId="0" borderId="0">
      <protection locked="0"/>
    </xf>
    <xf numFmtId="0" fontId="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99" fillId="4" borderId="0" applyNumberFormat="0" applyFont="0" applyBorder="0" applyAlignment="0">
      <alignment horizontal="center"/>
    </xf>
    <xf numFmtId="14" fontId="100" fillId="0" borderId="0" applyNumberFormat="0" applyFill="0" applyBorder="0" applyAlignment="0" applyProtection="0">
      <alignment horizontal="left"/>
    </xf>
    <xf numFmtId="0" fontId="49" fillId="0" borderId="2" applyNumberFormat="0" applyFont="0" applyFill="0" applyAlignment="0" applyProtection="0"/>
    <xf numFmtId="0" fontId="8" fillId="0" borderId="0"/>
    <xf numFmtId="4" fontId="101" fillId="5" borderId="13" applyNumberFormat="0" applyProtection="0">
      <alignment vertical="center"/>
    </xf>
    <xf numFmtId="4" fontId="102" fillId="6" borderId="13" applyNumberFormat="0" applyProtection="0">
      <alignment horizontal="right" vertical="center"/>
    </xf>
    <xf numFmtId="221" fontId="1" fillId="0" borderId="0">
      <alignment horizontal="right" vertical="center"/>
    </xf>
    <xf numFmtId="0" fontId="99" fillId="1" borderId="11" applyNumberFormat="0" applyFont="0" applyAlignment="0">
      <alignment horizontal="center"/>
    </xf>
    <xf numFmtId="0" fontId="103" fillId="0" borderId="0" applyNumberFormat="0" applyFill="0" applyBorder="0" applyAlignment="0">
      <alignment horizontal="center"/>
    </xf>
    <xf numFmtId="221" fontId="1" fillId="0" borderId="0">
      <alignment vertical="distributed"/>
    </xf>
    <xf numFmtId="0" fontId="3" fillId="0" borderId="0">
      <alignment horizontal="center"/>
    </xf>
    <xf numFmtId="0" fontId="20" fillId="0" borderId="0"/>
    <xf numFmtId="40" fontId="104" fillId="0" borderId="0" applyBorder="0">
      <alignment horizontal="right"/>
    </xf>
    <xf numFmtId="49" fontId="34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49" fontId="105" fillId="0" borderId="0" applyFill="0" applyBorder="0" applyProtection="0">
      <alignment horizontal="centerContinuous" vertical="center"/>
    </xf>
    <xf numFmtId="0" fontId="106" fillId="0" borderId="0" applyFill="0" applyBorder="0" applyProtection="0">
      <alignment horizontal="centerContinuous" vertical="center"/>
    </xf>
    <xf numFmtId="0" fontId="24" fillId="3" borderId="0" applyFill="0" applyBorder="0" applyProtection="0">
      <alignment horizontal="center" vertical="center"/>
    </xf>
    <xf numFmtId="49" fontId="105" fillId="0" borderId="0" applyFill="0" applyBorder="0" applyProtection="0">
      <alignment horizontal="centerContinuous" vertical="center"/>
    </xf>
    <xf numFmtId="0" fontId="15" fillId="0" borderId="14" applyNumberFormat="0" applyFont="0" applyFill="0" applyAlignment="0" applyProtection="0"/>
    <xf numFmtId="0" fontId="107" fillId="0" borderId="5">
      <alignment horizontal="left"/>
    </xf>
    <xf numFmtId="2" fontId="1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8" fillId="0" borderId="0">
      <protection locked="0"/>
    </xf>
    <xf numFmtId="38" fontId="24" fillId="0" borderId="0"/>
    <xf numFmtId="196" fontId="8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0" fontId="47" fillId="0" borderId="0"/>
    <xf numFmtId="38" fontId="48" fillId="0" borderId="0"/>
    <xf numFmtId="187" fontId="7" fillId="0" borderId="15" applyFont="0" applyFill="0" applyBorder="0" applyAlignment="0">
      <alignment horizontal="left" vertical="center"/>
    </xf>
    <xf numFmtId="0" fontId="49" fillId="0" borderId="16" applyNumberFormat="0" applyFont="0" applyFill="0" applyAlignment="0" applyProtection="0"/>
    <xf numFmtId="0" fontId="49" fillId="0" borderId="17" applyNumberFormat="0" applyFont="0" applyFill="0" applyAlignment="0" applyProtection="0"/>
    <xf numFmtId="0" fontId="3" fillId="0" borderId="0">
      <protection locked="0"/>
    </xf>
    <xf numFmtId="0" fontId="50" fillId="0" borderId="0">
      <protection locked="0"/>
    </xf>
    <xf numFmtId="3" fontId="23" fillId="0" borderId="18">
      <alignment horizontal="center"/>
    </xf>
    <xf numFmtId="37" fontId="11" fillId="0" borderId="0"/>
    <xf numFmtId="0" fontId="50" fillId="0" borderId="0">
      <protection locked="0"/>
    </xf>
    <xf numFmtId="0" fontId="38" fillId="0" borderId="0" applyFont="0"/>
    <xf numFmtId="0" fontId="9" fillId="0" borderId="0" applyNumberFormat="0" applyFill="0" applyBorder="0" applyAlignment="0" applyProtection="0">
      <alignment vertical="top"/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9" fontId="7" fillId="0" borderId="9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49" fillId="0" borderId="0" applyBorder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" fillId="0" borderId="0" applyNumberFormat="0" applyFont="0" applyFill="0" applyBorder="0" applyProtection="0">
      <alignment horizontal="distributed" vertical="center" justifyLastLine="1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9" fillId="0" borderId="0">
      <alignment vertical="center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97" fontId="1" fillId="0" borderId="0" applyFont="0" applyFill="0" applyBorder="0" applyProtection="0">
      <alignment horizontal="center" vertical="center"/>
    </xf>
    <xf numFmtId="198" fontId="1" fillId="0" borderId="0" applyFont="0" applyFill="0" applyBorder="0" applyProtection="0">
      <alignment horizontal="center" vertical="center"/>
    </xf>
    <xf numFmtId="9" fontId="48" fillId="3" borderId="0" applyFill="0" applyBorder="0" applyProtection="0">
      <alignment horizontal="right"/>
    </xf>
    <xf numFmtId="10" fontId="48" fillId="0" borderId="0" applyFill="0" applyBorder="0" applyProtection="0">
      <alignment horizontal="right"/>
    </xf>
    <xf numFmtId="9" fontId="3" fillId="0" borderId="0" applyFont="0" applyFill="0" applyBorder="0" applyAlignment="0" applyProtection="0">
      <alignment vertical="center"/>
    </xf>
    <xf numFmtId="199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1" fontId="3" fillId="0" borderId="19" applyFont="0" applyFill="0" applyAlignment="0" applyProtection="0">
      <alignment horizontal="center" vertical="center"/>
    </xf>
    <xf numFmtId="0" fontId="8" fillId="0" borderId="0"/>
    <xf numFmtId="179" fontId="51" fillId="0" borderId="15">
      <alignment vertical="center"/>
    </xf>
    <xf numFmtId="200" fontId="52" fillId="0" borderId="0"/>
    <xf numFmtId="0" fontId="1" fillId="0" borderId="0" applyNumberFormat="0" applyFont="0" applyFill="0" applyBorder="0" applyProtection="0">
      <alignment horizontal="centerContinuous" vertical="center"/>
    </xf>
    <xf numFmtId="0" fontId="53" fillId="0" borderId="20">
      <alignment vertical="center"/>
    </xf>
    <xf numFmtId="0" fontId="22" fillId="0" borderId="0">
      <alignment vertical="center"/>
    </xf>
    <xf numFmtId="201" fontId="39" fillId="0" borderId="0">
      <alignment vertical="center"/>
    </xf>
    <xf numFmtId="179" fontId="21" fillId="0" borderId="15">
      <alignment vertical="center"/>
    </xf>
    <xf numFmtId="202" fontId="54" fillId="0" borderId="0">
      <alignment vertical="center"/>
    </xf>
    <xf numFmtId="179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109" fillId="0" borderId="0" applyFont="0" applyFill="0" applyBorder="0" applyAlignment="0" applyProtection="0">
      <alignment vertical="center"/>
    </xf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21"/>
    <xf numFmtId="0" fontId="37" fillId="0" borderId="0" applyNumberFormat="0" applyFill="0" applyBorder="0" applyAlignment="0" applyProtection="0">
      <alignment vertical="top"/>
      <protection locked="0"/>
    </xf>
    <xf numFmtId="0" fontId="49" fillId="0" borderId="0"/>
    <xf numFmtId="203" fontId="49" fillId="0" borderId="2" applyBorder="0">
      <alignment vertical="center"/>
    </xf>
    <xf numFmtId="0" fontId="8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" fillId="0" borderId="0" applyNumberFormat="0" applyAlignment="0">
      <alignment horizontal="left" vertical="center"/>
    </xf>
    <xf numFmtId="4" fontId="50" fillId="0" borderId="0">
      <protection locked="0"/>
    </xf>
    <xf numFmtId="0" fontId="47" fillId="0" borderId="0"/>
    <xf numFmtId="4" fontId="50" fillId="0" borderId="0">
      <protection locked="0"/>
    </xf>
    <xf numFmtId="3" fontId="10" fillId="0" borderId="0" applyFont="0" applyFill="0" applyBorder="0" applyAlignment="0" applyProtection="0"/>
    <xf numFmtId="0" fontId="8" fillId="0" borderId="0">
      <alignment vertical="center"/>
    </xf>
    <xf numFmtId="0" fontId="56" fillId="0" borderId="0">
      <alignment horizontal="centerContinuous" vertical="center"/>
    </xf>
    <xf numFmtId="0" fontId="8" fillId="0" borderId="2">
      <alignment horizontal="distributed" vertical="center"/>
    </xf>
    <xf numFmtId="0" fontId="8" fillId="0" borderId="22">
      <alignment horizontal="distributed" vertical="top"/>
    </xf>
    <xf numFmtId="0" fontId="8" fillId="0" borderId="23">
      <alignment horizontal="distributed"/>
    </xf>
    <xf numFmtId="179" fontId="57" fillId="0" borderId="0">
      <alignment vertical="center"/>
    </xf>
    <xf numFmtId="0" fontId="8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8" fillId="0" borderId="0" applyFont="0" applyFill="0" applyBorder="0" applyAlignment="0" applyProtection="0"/>
    <xf numFmtId="202" fontId="58" fillId="0" borderId="0" applyFont="0" applyFill="0" applyBorder="0" applyAlignment="0" applyProtection="0">
      <alignment vertical="center"/>
    </xf>
    <xf numFmtId="0" fontId="3" fillId="0" borderId="0">
      <protection locked="0"/>
    </xf>
    <xf numFmtId="204" fontId="1" fillId="0" borderId="0" applyFont="0" applyFill="0" applyBorder="0" applyProtection="0">
      <alignment vertical="center"/>
    </xf>
    <xf numFmtId="38" fontId="1" fillId="0" borderId="0" applyFont="0" applyFill="0" applyBorder="0" applyProtection="0">
      <alignment vertical="center"/>
    </xf>
    <xf numFmtId="202" fontId="8" fillId="0" borderId="0" applyFont="0" applyFill="0" applyBorder="0" applyAlignment="0" applyProtection="0"/>
    <xf numFmtId="0" fontId="59" fillId="3" borderId="0" applyFill="0" applyBorder="0" applyProtection="0">
      <alignment horizontal="right"/>
    </xf>
    <xf numFmtId="38" fontId="1" fillId="0" borderId="0" applyFont="0" applyFill="0" applyBorder="0" applyAlignment="0" applyProtection="0">
      <alignment vertical="center"/>
    </xf>
    <xf numFmtId="205" fontId="1" fillId="0" borderId="0" applyFont="0" applyFill="0" applyBorder="0" applyAlignment="0" applyProtection="0">
      <alignment vertical="center"/>
    </xf>
    <xf numFmtId="38" fontId="1" fillId="0" borderId="0" applyFill="0" applyBorder="0" applyAlignment="0" applyProtection="0">
      <alignment vertical="center"/>
    </xf>
    <xf numFmtId="201" fontId="60" fillId="0" borderId="0" applyFont="0" applyFill="0" applyBorder="0" applyAlignment="0" applyProtection="0"/>
    <xf numFmtId="206" fontId="7" fillId="0" borderId="0" applyFont="0" applyFill="0" applyBorder="0" applyAlignment="0" applyProtection="0">
      <alignment textRotation="255"/>
    </xf>
    <xf numFmtId="207" fontId="7" fillId="0" borderId="0" applyFont="0" applyFill="0" applyBorder="0" applyAlignment="0" applyProtection="0">
      <alignment textRotation="255"/>
    </xf>
    <xf numFmtId="208" fontId="60" fillId="0" borderId="2">
      <alignment vertical="center"/>
    </xf>
    <xf numFmtId="209" fontId="7" fillId="0" borderId="0" applyFont="0" applyFill="0" applyBorder="0" applyAlignment="0" applyProtection="0">
      <alignment textRotation="255"/>
    </xf>
    <xf numFmtId="0" fontId="24" fillId="0" borderId="0"/>
    <xf numFmtId="0" fontId="8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10" fontId="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1" fillId="0" borderId="23">
      <alignment horizontal="distributed"/>
    </xf>
    <xf numFmtId="0" fontId="11" fillId="0" borderId="24">
      <alignment horizontal="distributed" vertical="center"/>
    </xf>
    <xf numFmtId="0" fontId="11" fillId="0" borderId="25">
      <alignment horizontal="distributed" vertical="top"/>
    </xf>
    <xf numFmtId="0" fontId="3" fillId="0" borderId="0">
      <alignment vertical="center"/>
    </xf>
    <xf numFmtId="0" fontId="55" fillId="0" borderId="0"/>
    <xf numFmtId="0" fontId="3" fillId="0" borderId="0"/>
    <xf numFmtId="0" fontId="109" fillId="0" borderId="0">
      <alignment vertical="center"/>
    </xf>
    <xf numFmtId="0" fontId="3" fillId="0" borderId="0"/>
    <xf numFmtId="0" fontId="8" fillId="0" borderId="20">
      <alignment vertical="center" wrapText="1"/>
    </xf>
    <xf numFmtId="0" fontId="45" fillId="0" borderId="7">
      <alignment horizontal="center" vertical="center"/>
    </xf>
    <xf numFmtId="0" fontId="50" fillId="0" borderId="14">
      <protection locked="0"/>
    </xf>
    <xf numFmtId="211" fontId="8" fillId="0" borderId="0">
      <protection locked="0"/>
    </xf>
    <xf numFmtId="212" fontId="8" fillId="0" borderId="0">
      <protection locked="0"/>
    </xf>
    <xf numFmtId="0" fontId="110" fillId="0" borderId="0">
      <alignment vertical="center"/>
    </xf>
    <xf numFmtId="0" fontId="8" fillId="0" borderId="0"/>
    <xf numFmtId="0" fontId="1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111" fillId="0" borderId="0">
      <alignment vertical="center"/>
    </xf>
    <xf numFmtId="41" fontId="110" fillId="0" borderId="0" applyFont="0" applyFill="0" applyBorder="0" applyAlignment="0" applyProtection="0">
      <alignment vertical="center"/>
    </xf>
    <xf numFmtId="0" fontId="8" fillId="0" borderId="0"/>
    <xf numFmtId="41" fontId="1" fillId="0" borderId="0" applyFont="0" applyFill="0" applyBorder="0" applyAlignment="0" applyProtection="0">
      <alignment vertical="center"/>
    </xf>
    <xf numFmtId="0" fontId="26" fillId="0" borderId="0"/>
    <xf numFmtId="41" fontId="1" fillId="0" borderId="0" applyFont="0" applyFill="0" applyBorder="0" applyAlignment="0" applyProtection="0">
      <alignment vertical="center"/>
    </xf>
  </cellStyleXfs>
  <cellXfs count="436">
    <xf numFmtId="0" fontId="0" fillId="0" borderId="0" xfId="0"/>
    <xf numFmtId="0" fontId="114" fillId="0" borderId="0" xfId="2627" applyNumberFormat="1" applyFont="1" applyFill="1" applyBorder="1" applyAlignment="1">
      <alignment horizontal="center" vertical="center"/>
    </xf>
    <xf numFmtId="0" fontId="117" fillId="0" borderId="4" xfId="2627" applyNumberFormat="1" applyFont="1" applyFill="1" applyBorder="1" applyAlignment="1">
      <alignment horizontal="center" vertical="center" wrapText="1"/>
    </xf>
    <xf numFmtId="0" fontId="116" fillId="0" borderId="4" xfId="2627" applyNumberFormat="1" applyFont="1" applyFill="1" applyBorder="1" applyAlignment="1">
      <alignment vertical="center"/>
    </xf>
    <xf numFmtId="0" fontId="117" fillId="0" borderId="4" xfId="0" applyFont="1" applyBorder="1" applyAlignment="1">
      <alignment horizontal="center" vertical="center"/>
    </xf>
    <xf numFmtId="43" fontId="117" fillId="0" borderId="4" xfId="2627" applyNumberFormat="1" applyFont="1" applyFill="1" applyBorder="1" applyAlignment="1">
      <alignment horizontal="center" vertical="center"/>
    </xf>
    <xf numFmtId="179" fontId="117" fillId="0" borderId="4" xfId="2627" applyFont="1" applyFill="1" applyBorder="1" applyAlignment="1">
      <alignment vertical="center"/>
    </xf>
    <xf numFmtId="179" fontId="117" fillId="0" borderId="6" xfId="2627" applyFont="1" applyFill="1" applyBorder="1" applyAlignment="1">
      <alignment vertical="center"/>
    </xf>
    <xf numFmtId="0" fontId="117" fillId="0" borderId="0" xfId="0" applyFont="1" applyAlignment="1">
      <alignment vertical="center"/>
    </xf>
    <xf numFmtId="0" fontId="117" fillId="0" borderId="20" xfId="2627" applyNumberFormat="1" applyFont="1" applyFill="1" applyBorder="1" applyAlignment="1">
      <alignment horizontal="center" vertical="center"/>
    </xf>
    <xf numFmtId="0" fontId="117" fillId="0" borderId="20" xfId="2627" applyNumberFormat="1" applyFont="1" applyFill="1" applyBorder="1" applyAlignment="1">
      <alignment vertical="center"/>
    </xf>
    <xf numFmtId="0" fontId="118" fillId="0" borderId="20" xfId="2627" applyNumberFormat="1" applyFont="1" applyFill="1" applyBorder="1" applyAlignment="1">
      <alignment horizontal="center" vertical="center"/>
    </xf>
    <xf numFmtId="0" fontId="118" fillId="0" borderId="20" xfId="2627" applyNumberFormat="1" applyFont="1" applyFill="1" applyBorder="1" applyAlignment="1">
      <alignment vertical="center"/>
    </xf>
    <xf numFmtId="0" fontId="118" fillId="0" borderId="4" xfId="0" applyFont="1" applyBorder="1" applyAlignment="1">
      <alignment horizontal="center" vertical="center"/>
    </xf>
    <xf numFmtId="43" fontId="118" fillId="0" borderId="4" xfId="2627" applyNumberFormat="1" applyFont="1" applyFill="1" applyBorder="1" applyAlignment="1">
      <alignment horizontal="center" vertical="center"/>
    </xf>
    <xf numFmtId="179" fontId="118" fillId="0" borderId="4" xfId="2627" applyFont="1" applyFill="1" applyBorder="1" applyAlignment="1">
      <alignment vertical="center"/>
    </xf>
    <xf numFmtId="179" fontId="118" fillId="0" borderId="6" xfId="2627" applyFont="1" applyFill="1" applyBorder="1" applyAlignment="1">
      <alignment vertical="center"/>
    </xf>
    <xf numFmtId="0" fontId="118" fillId="0" borderId="0" xfId="0" applyFont="1" applyAlignment="1">
      <alignment vertical="center"/>
    </xf>
    <xf numFmtId="0" fontId="118" fillId="11" borderId="0" xfId="0" applyFont="1" applyFill="1" applyAlignment="1">
      <alignment vertical="center"/>
    </xf>
    <xf numFmtId="0" fontId="118" fillId="9" borderId="20" xfId="2627" applyNumberFormat="1" applyFont="1" applyFill="1" applyBorder="1" applyAlignment="1">
      <alignment horizontal="center" vertical="center"/>
    </xf>
    <xf numFmtId="0" fontId="118" fillId="9" borderId="20" xfId="2627" applyNumberFormat="1" applyFont="1" applyFill="1" applyBorder="1" applyAlignment="1">
      <alignment vertical="center"/>
    </xf>
    <xf numFmtId="0" fontId="118" fillId="9" borderId="4" xfId="0" applyFont="1" applyFill="1" applyBorder="1" applyAlignment="1">
      <alignment horizontal="center" vertical="center"/>
    </xf>
    <xf numFmtId="0" fontId="118" fillId="9" borderId="0" xfId="0" applyFont="1" applyFill="1" applyAlignment="1">
      <alignment vertical="center"/>
    </xf>
    <xf numFmtId="43" fontId="117" fillId="0" borderId="9" xfId="2627" applyNumberFormat="1" applyFont="1" applyFill="1" applyBorder="1" applyAlignment="1">
      <alignment horizontal="center" vertical="center"/>
    </xf>
    <xf numFmtId="41" fontId="117" fillId="0" borderId="4" xfId="2908" applyFont="1" applyFill="1" applyBorder="1" applyAlignment="1">
      <alignment vertical="center"/>
    </xf>
    <xf numFmtId="41" fontId="117" fillId="0" borderId="6" xfId="2908" applyFont="1" applyFill="1" applyBorder="1" applyAlignment="1">
      <alignment vertical="center"/>
    </xf>
    <xf numFmtId="0" fontId="117" fillId="0" borderId="9" xfId="0" applyFont="1" applyBorder="1" applyAlignment="1">
      <alignment horizontal="center" vertical="center"/>
    </xf>
    <xf numFmtId="0" fontId="117" fillId="10" borderId="20" xfId="2627" applyNumberFormat="1" applyFont="1" applyFill="1" applyBorder="1" applyAlignment="1">
      <alignment horizontal="center" vertical="center"/>
    </xf>
    <xf numFmtId="0" fontId="118" fillId="10" borderId="20" xfId="2627" applyNumberFormat="1" applyFont="1" applyFill="1" applyBorder="1" applyAlignment="1">
      <alignment vertical="center"/>
    </xf>
    <xf numFmtId="0" fontId="117" fillId="10" borderId="4" xfId="0" applyFont="1" applyFill="1" applyBorder="1" applyAlignment="1">
      <alignment horizontal="center" vertical="center"/>
    </xf>
    <xf numFmtId="0" fontId="117" fillId="10" borderId="9" xfId="0" applyFont="1" applyFill="1" applyBorder="1" applyAlignment="1">
      <alignment horizontal="center" vertical="center"/>
    </xf>
    <xf numFmtId="41" fontId="117" fillId="10" borderId="4" xfId="2908" applyFont="1" applyFill="1" applyBorder="1" applyAlignment="1">
      <alignment vertical="center"/>
    </xf>
    <xf numFmtId="41" fontId="117" fillId="10" borderId="6" xfId="2908" applyFont="1" applyFill="1" applyBorder="1" applyAlignment="1">
      <alignment vertical="center"/>
    </xf>
    <xf numFmtId="0" fontId="117" fillId="10" borderId="0" xfId="0" applyFont="1" applyFill="1" applyAlignment="1">
      <alignment vertical="center"/>
    </xf>
    <xf numFmtId="43" fontId="117" fillId="0" borderId="4" xfId="2908" applyNumberFormat="1" applyFont="1" applyFill="1" applyBorder="1" applyAlignment="1">
      <alignment vertical="center"/>
    </xf>
    <xf numFmtId="0" fontId="118" fillId="9" borderId="9" xfId="0" applyFont="1" applyFill="1" applyBorder="1" applyAlignment="1">
      <alignment horizontal="center" vertical="center"/>
    </xf>
    <xf numFmtId="41" fontId="118" fillId="9" borderId="4" xfId="2908" applyFont="1" applyFill="1" applyBorder="1" applyAlignment="1">
      <alignment vertical="center"/>
    </xf>
    <xf numFmtId="41" fontId="118" fillId="9" borderId="6" xfId="2908" applyFont="1" applyFill="1" applyBorder="1" applyAlignment="1">
      <alignment vertical="center"/>
    </xf>
    <xf numFmtId="0" fontId="117" fillId="0" borderId="20" xfId="2627" quotePrefix="1" applyNumberFormat="1" applyFont="1" applyFill="1" applyBorder="1" applyAlignment="1">
      <alignment horizontal="center" vertical="center"/>
    </xf>
    <xf numFmtId="0" fontId="118" fillId="8" borderId="20" xfId="2627" quotePrefix="1" applyNumberFormat="1" applyFont="1" applyFill="1" applyBorder="1" applyAlignment="1">
      <alignment horizontal="center" vertical="center"/>
    </xf>
    <xf numFmtId="0" fontId="118" fillId="8" borderId="20" xfId="2627" applyNumberFormat="1" applyFont="1" applyFill="1" applyBorder="1" applyAlignment="1">
      <alignment vertical="center"/>
    </xf>
    <xf numFmtId="0" fontId="118" fillId="0" borderId="9" xfId="0" applyFont="1" applyBorder="1" applyAlignment="1">
      <alignment horizontal="center" vertical="center"/>
    </xf>
    <xf numFmtId="41" fontId="118" fillId="0" borderId="4" xfId="2908" applyFont="1" applyFill="1" applyBorder="1" applyAlignment="1">
      <alignment vertical="center"/>
    </xf>
    <xf numFmtId="41" fontId="118" fillId="0" borderId="6" xfId="2908" applyFont="1" applyFill="1" applyBorder="1" applyAlignment="1">
      <alignment vertical="center"/>
    </xf>
    <xf numFmtId="2" fontId="117" fillId="0" borderId="9" xfId="0" applyNumberFormat="1" applyFont="1" applyBorder="1" applyAlignment="1">
      <alignment vertical="center"/>
    </xf>
    <xf numFmtId="2" fontId="118" fillId="0" borderId="9" xfId="0" applyNumberFormat="1" applyFont="1" applyBorder="1" applyAlignment="1">
      <alignment vertical="center"/>
    </xf>
    <xf numFmtId="0" fontId="117" fillId="13" borderId="20" xfId="2627" applyNumberFormat="1" applyFont="1" applyFill="1" applyBorder="1" applyAlignment="1">
      <alignment horizontal="center" vertical="center"/>
    </xf>
    <xf numFmtId="0" fontId="117" fillId="13" borderId="20" xfId="2627" applyNumberFormat="1" applyFont="1" applyFill="1" applyBorder="1" applyAlignment="1">
      <alignment vertical="center"/>
    </xf>
    <xf numFmtId="0" fontId="117" fillId="13" borderId="4" xfId="0" applyFont="1" applyFill="1" applyBorder="1" applyAlignment="1">
      <alignment horizontal="center" vertical="center"/>
    </xf>
    <xf numFmtId="2" fontId="117" fillId="13" borderId="9" xfId="0" applyNumberFormat="1" applyFont="1" applyFill="1" applyBorder="1" applyAlignment="1">
      <alignment vertical="center"/>
    </xf>
    <xf numFmtId="41" fontId="117" fillId="13" borderId="4" xfId="2908" applyFont="1" applyFill="1" applyBorder="1" applyAlignment="1">
      <alignment vertical="center"/>
    </xf>
    <xf numFmtId="41" fontId="117" fillId="13" borderId="6" xfId="2908" applyFont="1" applyFill="1" applyBorder="1" applyAlignment="1">
      <alignment vertical="center"/>
    </xf>
    <xf numFmtId="0" fontId="117" fillId="13" borderId="0" xfId="0" applyFont="1" applyFill="1" applyAlignment="1">
      <alignment vertical="center"/>
    </xf>
    <xf numFmtId="0" fontId="117" fillId="13" borderId="20" xfId="2908" applyNumberFormat="1" applyFont="1" applyFill="1" applyBorder="1" applyAlignment="1">
      <alignment horizontal="center" vertical="center"/>
    </xf>
    <xf numFmtId="43" fontId="117" fillId="13" borderId="9" xfId="0" applyNumberFormat="1" applyFont="1" applyFill="1" applyBorder="1" applyAlignment="1">
      <alignment vertical="center"/>
    </xf>
    <xf numFmtId="43" fontId="117" fillId="0" borderId="4" xfId="2627" applyNumberFormat="1" applyFont="1" applyFill="1" applyBorder="1" applyAlignment="1">
      <alignment vertical="center"/>
    </xf>
    <xf numFmtId="0" fontId="117" fillId="0" borderId="0" xfId="2627" applyNumberFormat="1" applyFont="1" applyFill="1" applyBorder="1" applyAlignment="1">
      <alignment horizontal="center" vertical="center"/>
    </xf>
    <xf numFmtId="0" fontId="117" fillId="0" borderId="0" xfId="2627" applyNumberFormat="1" applyFont="1" applyFill="1" applyBorder="1" applyAlignment="1">
      <alignment vertical="center"/>
    </xf>
    <xf numFmtId="0" fontId="117" fillId="0" borderId="0" xfId="0" applyFont="1" applyAlignment="1">
      <alignment horizontal="center" vertical="center"/>
    </xf>
    <xf numFmtId="43" fontId="117" fillId="0" borderId="0" xfId="2627" applyNumberFormat="1" applyFont="1" applyFill="1" applyBorder="1" applyAlignment="1">
      <alignment vertical="center"/>
    </xf>
    <xf numFmtId="179" fontId="117" fillId="0" borderId="0" xfId="2627" applyFont="1" applyFill="1" applyBorder="1" applyAlignment="1">
      <alignment vertical="center"/>
    </xf>
    <xf numFmtId="0" fontId="122" fillId="0" borderId="0" xfId="0" applyFont="1" applyAlignment="1">
      <alignment vertical="center"/>
    </xf>
    <xf numFmtId="0" fontId="120" fillId="0" borderId="0" xfId="2909" applyFont="1"/>
    <xf numFmtId="0" fontId="122" fillId="0" borderId="0" xfId="2909" applyFont="1"/>
    <xf numFmtId="0" fontId="123" fillId="0" borderId="21" xfId="2909" applyFont="1" applyBorder="1"/>
    <xf numFmtId="0" fontId="123" fillId="0" borderId="0" xfId="2909" applyFont="1"/>
    <xf numFmtId="0" fontId="124" fillId="0" borderId="0" xfId="2909" applyFont="1"/>
    <xf numFmtId="0" fontId="124" fillId="0" borderId="21" xfId="2909" applyFont="1" applyBorder="1"/>
    <xf numFmtId="0" fontId="124" fillId="0" borderId="21" xfId="2909" applyFont="1" applyBorder="1" applyAlignment="1">
      <alignment horizontal="left"/>
    </xf>
    <xf numFmtId="0" fontId="124" fillId="0" borderId="0" xfId="2909" applyFont="1" applyAlignment="1">
      <alignment horizontal="right"/>
    </xf>
    <xf numFmtId="222" fontId="124" fillId="0" borderId="0" xfId="2909" applyNumberFormat="1" applyFont="1" applyAlignment="1">
      <alignment horizontal="center"/>
    </xf>
    <xf numFmtId="0" fontId="125" fillId="0" borderId="0" xfId="2909" applyFont="1"/>
    <xf numFmtId="0" fontId="124" fillId="0" borderId="0" xfId="2909" applyFont="1" applyAlignment="1">
      <alignment horizontal="left"/>
    </xf>
    <xf numFmtId="0" fontId="127" fillId="0" borderId="0" xfId="2909" applyFont="1"/>
    <xf numFmtId="0" fontId="125" fillId="0" borderId="0" xfId="2909" applyFont="1" applyAlignment="1">
      <alignment horizontal="left"/>
    </xf>
    <xf numFmtId="0" fontId="121" fillId="0" borderId="0" xfId="2909" applyFont="1"/>
    <xf numFmtId="0" fontId="129" fillId="0" borderId="0" xfId="2627" applyNumberFormat="1" applyFont="1" applyFill="1" applyBorder="1" applyAlignment="1">
      <alignment horizontal="center" vertical="center"/>
    </xf>
    <xf numFmtId="0" fontId="130" fillId="13" borderId="0" xfId="2627" applyNumberFormat="1" applyFont="1" applyFill="1" applyBorder="1" applyAlignment="1">
      <alignment vertical="center"/>
    </xf>
    <xf numFmtId="0" fontId="128" fillId="13" borderId="0" xfId="2627" applyNumberFormat="1" applyFont="1" applyFill="1" applyBorder="1" applyAlignment="1">
      <alignment vertical="center"/>
    </xf>
    <xf numFmtId="0" fontId="132" fillId="0" borderId="0" xfId="2627" applyNumberFormat="1" applyFont="1" applyFill="1" applyBorder="1" applyAlignment="1">
      <alignment horizontal="center" vertical="center"/>
    </xf>
    <xf numFmtId="179" fontId="131" fillId="7" borderId="27" xfId="2627" applyFont="1" applyFill="1" applyBorder="1" applyAlignment="1">
      <alignment horizontal="center" vertical="center"/>
    </xf>
    <xf numFmtId="0" fontId="133" fillId="0" borderId="20" xfId="2627" applyNumberFormat="1" applyFont="1" applyFill="1" applyBorder="1" applyAlignment="1">
      <alignment horizontal="center" vertical="center"/>
    </xf>
    <xf numFmtId="0" fontId="133" fillId="0" borderId="20" xfId="2627" applyNumberFormat="1" applyFont="1" applyFill="1" applyBorder="1" applyAlignment="1">
      <alignment vertical="center"/>
    </xf>
    <xf numFmtId="0" fontId="133" fillId="0" borderId="20" xfId="2627" applyNumberFormat="1" applyFont="1" applyFill="1" applyBorder="1" applyAlignment="1">
      <alignment horizontal="left" vertical="center"/>
    </xf>
    <xf numFmtId="0" fontId="133" fillId="0" borderId="4" xfId="0" applyFont="1" applyBorder="1" applyAlignment="1">
      <alignment horizontal="center" vertical="center"/>
    </xf>
    <xf numFmtId="0" fontId="133" fillId="0" borderId="6" xfId="0" applyFont="1" applyBorder="1" applyAlignment="1">
      <alignment horizontal="center" vertical="center"/>
    </xf>
    <xf numFmtId="43" fontId="133" fillId="0" borderId="4" xfId="2627" applyNumberFormat="1" applyFont="1" applyFill="1" applyBorder="1" applyAlignment="1">
      <alignment horizontal="center" vertical="center"/>
    </xf>
    <xf numFmtId="179" fontId="133" fillId="0" borderId="4" xfId="2627" applyFont="1" applyFill="1" applyBorder="1" applyAlignment="1">
      <alignment vertical="center"/>
    </xf>
    <xf numFmtId="0" fontId="133" fillId="0" borderId="9" xfId="0" applyFont="1" applyBorder="1" applyAlignment="1">
      <alignment horizontal="center" vertical="center" shrinkToFit="1"/>
    </xf>
    <xf numFmtId="0" fontId="133" fillId="0" borderId="0" xfId="0" applyFont="1" applyAlignment="1">
      <alignment vertical="center"/>
    </xf>
    <xf numFmtId="0" fontId="134" fillId="0" borderId="20" xfId="2627" applyNumberFormat="1" applyFont="1" applyFill="1" applyBorder="1" applyAlignment="1">
      <alignment horizontal="center" vertical="center"/>
    </xf>
    <xf numFmtId="0" fontId="134" fillId="0" borderId="20" xfId="2627" applyNumberFormat="1" applyFont="1" applyFill="1" applyBorder="1" applyAlignment="1">
      <alignment vertical="center"/>
    </xf>
    <xf numFmtId="0" fontId="134" fillId="0" borderId="20" xfId="2627" applyNumberFormat="1" applyFont="1" applyFill="1" applyBorder="1" applyAlignment="1">
      <alignment horizontal="left" vertical="center"/>
    </xf>
    <xf numFmtId="0" fontId="134" fillId="0" borderId="4" xfId="0" applyFont="1" applyBorder="1" applyAlignment="1">
      <alignment horizontal="center" vertical="center"/>
    </xf>
    <xf numFmtId="0" fontId="134" fillId="0" borderId="6" xfId="0" applyFont="1" applyBorder="1" applyAlignment="1">
      <alignment horizontal="center" vertical="center"/>
    </xf>
    <xf numFmtId="43" fontId="134" fillId="0" borderId="4" xfId="2627" applyNumberFormat="1" applyFont="1" applyFill="1" applyBorder="1" applyAlignment="1">
      <alignment horizontal="center" vertical="center"/>
    </xf>
    <xf numFmtId="179" fontId="134" fillId="0" borderId="4" xfId="2627" applyFont="1" applyFill="1" applyBorder="1" applyAlignment="1">
      <alignment vertical="center"/>
    </xf>
    <xf numFmtId="0" fontId="134" fillId="0" borderId="9" xfId="0" applyFont="1" applyBorder="1" applyAlignment="1">
      <alignment horizontal="center" vertical="center" shrinkToFit="1"/>
    </xf>
    <xf numFmtId="0" fontId="134" fillId="0" borderId="0" xfId="0" applyFont="1" applyAlignment="1">
      <alignment vertical="center"/>
    </xf>
    <xf numFmtId="0" fontId="133" fillId="11" borderId="20" xfId="2627" applyNumberFormat="1" applyFont="1" applyFill="1" applyBorder="1" applyAlignment="1">
      <alignment horizontal="center" vertical="center"/>
    </xf>
    <xf numFmtId="0" fontId="133" fillId="11" borderId="20" xfId="2627" applyNumberFormat="1" applyFont="1" applyFill="1" applyBorder="1" applyAlignment="1">
      <alignment horizontal="left" vertical="center"/>
    </xf>
    <xf numFmtId="0" fontId="133" fillId="11" borderId="4" xfId="0" applyFont="1" applyFill="1" applyBorder="1" applyAlignment="1">
      <alignment horizontal="center" vertical="center"/>
    </xf>
    <xf numFmtId="0" fontId="133" fillId="11" borderId="6" xfId="0" applyFont="1" applyFill="1" applyBorder="1" applyAlignment="1">
      <alignment horizontal="center" vertical="center"/>
    </xf>
    <xf numFmtId="43" fontId="133" fillId="11" borderId="4" xfId="2627" applyNumberFormat="1" applyFont="1" applyFill="1" applyBorder="1" applyAlignment="1">
      <alignment horizontal="center" vertical="center"/>
    </xf>
    <xf numFmtId="179" fontId="133" fillId="11" borderId="4" xfId="2627" applyFont="1" applyFill="1" applyBorder="1" applyAlignment="1">
      <alignment vertical="center"/>
    </xf>
    <xf numFmtId="179" fontId="133" fillId="11" borderId="9" xfId="0" applyNumberFormat="1" applyFont="1" applyFill="1" applyBorder="1" applyAlignment="1">
      <alignment horizontal="center" vertical="center" shrinkToFit="1"/>
    </xf>
    <xf numFmtId="0" fontId="133" fillId="11" borderId="0" xfId="0" applyFont="1" applyFill="1" applyAlignment="1">
      <alignment vertical="center"/>
    </xf>
    <xf numFmtId="0" fontId="134" fillId="0" borderId="0" xfId="2627" applyNumberFormat="1" applyFont="1" applyFill="1" applyBorder="1" applyAlignment="1">
      <alignment horizontal="left" vertical="center"/>
    </xf>
    <xf numFmtId="43" fontId="134" fillId="0" borderId="20" xfId="0" applyNumberFormat="1" applyFont="1" applyBorder="1" applyAlignment="1">
      <alignment horizontal="center" vertical="center"/>
    </xf>
    <xf numFmtId="179" fontId="134" fillId="0" borderId="20" xfId="2627" applyFont="1" applyFill="1" applyBorder="1" applyAlignment="1">
      <alignment horizontal="center" vertical="center"/>
    </xf>
    <xf numFmtId="179" fontId="134" fillId="0" borderId="20" xfId="2627" applyFont="1" applyFill="1" applyBorder="1" applyAlignment="1">
      <alignment vertical="center"/>
    </xf>
    <xf numFmtId="0" fontId="134" fillId="0" borderId="20" xfId="2627" quotePrefix="1" applyNumberFormat="1" applyFont="1" applyFill="1" applyBorder="1" applyAlignment="1">
      <alignment horizontal="left" vertical="center"/>
    </xf>
    <xf numFmtId="0" fontId="134" fillId="0" borderId="20" xfId="0" applyFont="1" applyBorder="1" applyAlignment="1">
      <alignment horizontal="center" vertical="center"/>
    </xf>
    <xf numFmtId="0" fontId="134" fillId="0" borderId="31" xfId="0" applyFont="1" applyBorder="1" applyAlignment="1">
      <alignment horizontal="center" vertical="center"/>
    </xf>
    <xf numFmtId="0" fontId="133" fillId="11" borderId="20" xfId="2627" quotePrefix="1" applyNumberFormat="1" applyFont="1" applyFill="1" applyBorder="1" applyAlignment="1">
      <alignment horizontal="center" vertical="center"/>
    </xf>
    <xf numFmtId="0" fontId="133" fillId="11" borderId="20" xfId="0" applyFont="1" applyFill="1" applyBorder="1" applyAlignment="1">
      <alignment horizontal="center" vertical="center"/>
    </xf>
    <xf numFmtId="0" fontId="133" fillId="11" borderId="31" xfId="0" applyFont="1" applyFill="1" applyBorder="1" applyAlignment="1">
      <alignment horizontal="center" vertical="center"/>
    </xf>
    <xf numFmtId="43" fontId="133" fillId="11" borderId="20" xfId="0" applyNumberFormat="1" applyFont="1" applyFill="1" applyBorder="1" applyAlignment="1">
      <alignment horizontal="center" vertical="center"/>
    </xf>
    <xf numFmtId="179" fontId="133" fillId="11" borderId="20" xfId="2627" applyFont="1" applyFill="1" applyBorder="1" applyAlignment="1">
      <alignment horizontal="center" vertical="center"/>
    </xf>
    <xf numFmtId="179" fontId="133" fillId="11" borderId="20" xfId="2627" applyFont="1" applyFill="1" applyBorder="1" applyAlignment="1">
      <alignment vertical="center"/>
    </xf>
    <xf numFmtId="0" fontId="134" fillId="11" borderId="9" xfId="0" applyFont="1" applyFill="1" applyBorder="1" applyAlignment="1">
      <alignment horizontal="center" vertical="center" shrinkToFit="1"/>
    </xf>
    <xf numFmtId="0" fontId="134" fillId="11" borderId="0" xfId="0" applyFont="1" applyFill="1" applyAlignment="1">
      <alignment vertical="center"/>
    </xf>
    <xf numFmtId="0" fontId="135" fillId="12" borderId="20" xfId="2627" applyNumberFormat="1" applyFont="1" applyFill="1" applyBorder="1" applyAlignment="1">
      <alignment horizontal="center" vertical="center"/>
    </xf>
    <xf numFmtId="0" fontId="135" fillId="12" borderId="20" xfId="2627" applyNumberFormat="1" applyFont="1" applyFill="1" applyBorder="1" applyAlignment="1">
      <alignment horizontal="left" vertical="center"/>
    </xf>
    <xf numFmtId="0" fontId="135" fillId="12" borderId="4" xfId="0" applyFont="1" applyFill="1" applyBorder="1" applyAlignment="1">
      <alignment horizontal="center" vertical="center"/>
    </xf>
    <xf numFmtId="0" fontId="135" fillId="12" borderId="6" xfId="0" applyFont="1" applyFill="1" applyBorder="1" applyAlignment="1">
      <alignment horizontal="center" vertical="center"/>
    </xf>
    <xf numFmtId="43" fontId="135" fillId="12" borderId="4" xfId="2627" applyNumberFormat="1" applyFont="1" applyFill="1" applyBorder="1" applyAlignment="1">
      <alignment horizontal="center" vertical="center"/>
    </xf>
    <xf numFmtId="179" fontId="135" fillId="12" borderId="4" xfId="2627" applyFont="1" applyFill="1" applyBorder="1" applyAlignment="1">
      <alignment vertical="center"/>
    </xf>
    <xf numFmtId="0" fontId="136" fillId="12" borderId="9" xfId="0" applyFont="1" applyFill="1" applyBorder="1" applyAlignment="1">
      <alignment horizontal="center" vertical="center" shrinkToFit="1"/>
    </xf>
    <xf numFmtId="0" fontId="136" fillId="12" borderId="0" xfId="0" applyFont="1" applyFill="1" applyAlignment="1">
      <alignment vertical="center"/>
    </xf>
    <xf numFmtId="0" fontId="134" fillId="13" borderId="34" xfId="2627" applyNumberFormat="1" applyFont="1" applyFill="1" applyBorder="1" applyAlignment="1">
      <alignment horizontal="center" vertical="center"/>
    </xf>
    <xf numFmtId="0" fontId="134" fillId="13" borderId="36" xfId="2627" applyNumberFormat="1" applyFont="1" applyFill="1" applyBorder="1" applyAlignment="1">
      <alignment vertical="center"/>
    </xf>
    <xf numFmtId="0" fontId="134" fillId="13" borderId="36" xfId="2627" applyNumberFormat="1" applyFont="1" applyFill="1" applyBorder="1" applyAlignment="1">
      <alignment horizontal="left" vertical="center"/>
    </xf>
    <xf numFmtId="0" fontId="134" fillId="13" borderId="36" xfId="0" applyFont="1" applyFill="1" applyBorder="1" applyAlignment="1">
      <alignment horizontal="center" vertical="center"/>
    </xf>
    <xf numFmtId="43" fontId="134" fillId="13" borderId="36" xfId="2627" applyNumberFormat="1" applyFont="1" applyFill="1" applyBorder="1" applyAlignment="1">
      <alignment horizontal="center" vertical="center"/>
    </xf>
    <xf numFmtId="179" fontId="134" fillId="13" borderId="36" xfId="2627" applyFont="1" applyFill="1" applyBorder="1" applyAlignment="1">
      <alignment vertical="center"/>
    </xf>
    <xf numFmtId="0" fontId="134" fillId="13" borderId="35" xfId="0" applyFont="1" applyFill="1" applyBorder="1" applyAlignment="1">
      <alignment horizontal="center" vertical="center" shrinkToFit="1"/>
    </xf>
    <xf numFmtId="0" fontId="134" fillId="13" borderId="32" xfId="2627" applyNumberFormat="1" applyFont="1" applyFill="1" applyBorder="1" applyAlignment="1">
      <alignment horizontal="center" vertical="center"/>
    </xf>
    <xf numFmtId="0" fontId="134" fillId="13" borderId="0" xfId="2627" applyNumberFormat="1" applyFont="1" applyFill="1" applyBorder="1" applyAlignment="1">
      <alignment vertical="center"/>
    </xf>
    <xf numFmtId="0" fontId="134" fillId="13" borderId="0" xfId="2627" applyNumberFormat="1" applyFont="1" applyFill="1" applyBorder="1" applyAlignment="1">
      <alignment horizontal="left" vertical="center"/>
    </xf>
    <xf numFmtId="0" fontId="134" fillId="13" borderId="0" xfId="0" applyFont="1" applyFill="1" applyAlignment="1">
      <alignment horizontal="center" vertical="center"/>
    </xf>
    <xf numFmtId="43" fontId="134" fillId="13" borderId="0" xfId="2627" applyNumberFormat="1" applyFont="1" applyFill="1" applyBorder="1" applyAlignment="1">
      <alignment horizontal="center" vertical="center"/>
    </xf>
    <xf numFmtId="179" fontId="134" fillId="13" borderId="0" xfId="2627" applyFont="1" applyFill="1" applyBorder="1" applyAlignment="1">
      <alignment vertical="center"/>
    </xf>
    <xf numFmtId="0" fontId="134" fillId="13" borderId="33" xfId="0" applyFont="1" applyFill="1" applyBorder="1" applyAlignment="1">
      <alignment horizontal="center" vertical="center" shrinkToFit="1"/>
    </xf>
    <xf numFmtId="0" fontId="134" fillId="13" borderId="6" xfId="2627" applyNumberFormat="1" applyFont="1" applyFill="1" applyBorder="1" applyAlignment="1">
      <alignment horizontal="center" vertical="center"/>
    </xf>
    <xf numFmtId="0" fontId="134" fillId="13" borderId="21" xfId="2627" applyNumberFormat="1" applyFont="1" applyFill="1" applyBorder="1" applyAlignment="1">
      <alignment vertical="center"/>
    </xf>
    <xf numFmtId="0" fontId="134" fillId="13" borderId="21" xfId="2627" applyNumberFormat="1" applyFont="1" applyFill="1" applyBorder="1" applyAlignment="1">
      <alignment horizontal="left" vertical="center"/>
    </xf>
    <xf numFmtId="0" fontId="134" fillId="13" borderId="21" xfId="0" applyFont="1" applyFill="1" applyBorder="1" applyAlignment="1">
      <alignment horizontal="center" vertical="center"/>
    </xf>
    <xf numFmtId="43" fontId="134" fillId="13" borderId="21" xfId="2627" applyNumberFormat="1" applyFont="1" applyFill="1" applyBorder="1" applyAlignment="1">
      <alignment horizontal="center" vertical="center"/>
    </xf>
    <xf numFmtId="179" fontId="134" fillId="13" borderId="21" xfId="2627" applyFont="1" applyFill="1" applyBorder="1" applyAlignment="1">
      <alignment vertical="center"/>
    </xf>
    <xf numFmtId="0" fontId="134" fillId="13" borderId="9" xfId="0" applyFont="1" applyFill="1" applyBorder="1" applyAlignment="1">
      <alignment horizontal="center" vertical="center" shrinkToFit="1"/>
    </xf>
    <xf numFmtId="0" fontId="134" fillId="0" borderId="0" xfId="2627" applyNumberFormat="1" applyFont="1" applyFill="1" applyBorder="1" applyAlignment="1">
      <alignment horizontal="center" vertical="center"/>
    </xf>
    <xf numFmtId="0" fontId="134" fillId="0" borderId="0" xfId="2627" applyNumberFormat="1" applyFont="1" applyFill="1" applyBorder="1" applyAlignment="1">
      <alignment vertical="center"/>
    </xf>
    <xf numFmtId="0" fontId="134" fillId="0" borderId="0" xfId="0" applyFont="1" applyAlignment="1">
      <alignment horizontal="center" vertical="center"/>
    </xf>
    <xf numFmtId="43" fontId="134" fillId="0" borderId="0" xfId="2627" applyNumberFormat="1" applyFont="1" applyFill="1" applyBorder="1" applyAlignment="1">
      <alignment vertical="center"/>
    </xf>
    <xf numFmtId="179" fontId="134" fillId="0" borderId="0" xfId="2627" applyFont="1" applyFill="1" applyBorder="1" applyAlignment="1">
      <alignment vertical="center"/>
    </xf>
    <xf numFmtId="0" fontId="134" fillId="0" borderId="0" xfId="0" applyFont="1" applyAlignment="1">
      <alignment vertical="center" shrinkToFit="1"/>
    </xf>
    <xf numFmtId="9" fontId="134" fillId="0" borderId="20" xfId="2627" applyNumberFormat="1" applyFont="1" applyFill="1" applyBorder="1" applyAlignment="1">
      <alignment vertical="center" wrapText="1"/>
    </xf>
    <xf numFmtId="0" fontId="119" fillId="0" borderId="20" xfId="2627" applyNumberFormat="1" applyFont="1" applyFill="1" applyBorder="1" applyAlignment="1">
      <alignment horizontal="center" vertical="center"/>
    </xf>
    <xf numFmtId="0" fontId="119" fillId="0" borderId="20" xfId="2627" applyNumberFormat="1" applyFont="1" applyFill="1" applyBorder="1" applyAlignment="1">
      <alignment vertical="center"/>
    </xf>
    <xf numFmtId="0" fontId="134" fillId="13" borderId="32" xfId="2627" quotePrefix="1" applyNumberFormat="1" applyFont="1" applyFill="1" applyBorder="1" applyAlignment="1">
      <alignment horizontal="center" vertical="center"/>
    </xf>
    <xf numFmtId="0" fontId="114" fillId="0" borderId="2" xfId="2627" applyNumberFormat="1" applyFont="1" applyFill="1" applyBorder="1" applyAlignment="1">
      <alignment horizontal="center" vertical="center"/>
    </xf>
    <xf numFmtId="0" fontId="117" fillId="0" borderId="2" xfId="0" applyFont="1" applyBorder="1" applyAlignment="1">
      <alignment vertical="center"/>
    </xf>
    <xf numFmtId="0" fontId="118" fillId="0" borderId="2" xfId="0" applyFont="1" applyBorder="1" applyAlignment="1">
      <alignment vertical="center"/>
    </xf>
    <xf numFmtId="0" fontId="117" fillId="10" borderId="2" xfId="0" applyFont="1" applyFill="1" applyBorder="1" applyAlignment="1">
      <alignment vertical="center"/>
    </xf>
    <xf numFmtId="0" fontId="117" fillId="13" borderId="2" xfId="0" applyFont="1" applyFill="1" applyBorder="1" applyAlignment="1">
      <alignment vertical="center"/>
    </xf>
    <xf numFmtId="0" fontId="114" fillId="0" borderId="2" xfId="2627" applyNumberFormat="1" applyFont="1" applyFill="1" applyBorder="1" applyAlignment="1">
      <alignment horizontal="right" vertical="center"/>
    </xf>
    <xf numFmtId="0" fontId="117" fillId="0" borderId="2" xfId="0" applyFont="1" applyBorder="1" applyAlignment="1">
      <alignment horizontal="right" vertical="center"/>
    </xf>
    <xf numFmtId="0" fontId="118" fillId="0" borderId="2" xfId="0" applyFont="1" applyBorder="1" applyAlignment="1">
      <alignment horizontal="right" vertical="center"/>
    </xf>
    <xf numFmtId="0" fontId="117" fillId="10" borderId="2" xfId="0" applyFont="1" applyFill="1" applyBorder="1" applyAlignment="1">
      <alignment horizontal="right" vertical="center"/>
    </xf>
    <xf numFmtId="0" fontId="117" fillId="13" borderId="2" xfId="0" applyFont="1" applyFill="1" applyBorder="1" applyAlignment="1">
      <alignment horizontal="right" vertical="center"/>
    </xf>
    <xf numFmtId="0" fontId="117" fillId="0" borderId="20" xfId="2908" applyNumberFormat="1" applyFont="1" applyFill="1" applyBorder="1" applyAlignment="1">
      <alignment horizontal="center" vertical="center"/>
    </xf>
    <xf numFmtId="43" fontId="117" fillId="0" borderId="9" xfId="0" applyNumberFormat="1" applyFont="1" applyBorder="1" applyAlignment="1">
      <alignment vertical="center"/>
    </xf>
    <xf numFmtId="41" fontId="117" fillId="13" borderId="20" xfId="2908" applyFont="1" applyFill="1" applyBorder="1" applyAlignment="1">
      <alignment vertical="center"/>
    </xf>
    <xf numFmtId="14" fontId="130" fillId="13" borderId="0" xfId="2627" applyNumberFormat="1" applyFont="1" applyFill="1" applyBorder="1" applyAlignment="1">
      <alignment vertical="center"/>
    </xf>
    <xf numFmtId="0" fontId="117" fillId="13" borderId="4" xfId="0" applyFont="1" applyFill="1" applyBorder="1" applyAlignment="1">
      <alignment horizontal="center" vertical="center" shrinkToFit="1"/>
    </xf>
    <xf numFmtId="0" fontId="117" fillId="0" borderId="4" xfId="0" applyFont="1" applyBorder="1" applyAlignment="1">
      <alignment horizontal="center" vertical="center" shrinkToFit="1"/>
    </xf>
    <xf numFmtId="14" fontId="128" fillId="13" borderId="0" xfId="2627" applyNumberFormat="1" applyFont="1" applyFill="1" applyBorder="1" applyAlignment="1">
      <alignment vertical="center"/>
    </xf>
    <xf numFmtId="179" fontId="134" fillId="0" borderId="26" xfId="2627" applyFont="1" applyFill="1" applyBorder="1" applyAlignment="1">
      <alignment vertical="center"/>
    </xf>
    <xf numFmtId="179" fontId="133" fillId="11" borderId="26" xfId="2627" applyFont="1" applyFill="1" applyBorder="1" applyAlignment="1">
      <alignment vertical="center"/>
    </xf>
    <xf numFmtId="0" fontId="134" fillId="0" borderId="29" xfId="2627" applyNumberFormat="1" applyFont="1" applyFill="1" applyBorder="1" applyAlignment="1">
      <alignment horizontal="center" vertical="center"/>
    </xf>
    <xf numFmtId="0" fontId="134" fillId="0" borderId="29" xfId="2627" applyNumberFormat="1" applyFont="1" applyFill="1" applyBorder="1" applyAlignment="1">
      <alignment vertical="center"/>
    </xf>
    <xf numFmtId="0" fontId="134" fillId="0" borderId="29" xfId="2627" applyNumberFormat="1" applyFont="1" applyFill="1" applyBorder="1" applyAlignment="1">
      <alignment horizontal="left" vertical="center"/>
    </xf>
    <xf numFmtId="0" fontId="134" fillId="0" borderId="30" xfId="0" applyFont="1" applyBorder="1" applyAlignment="1">
      <alignment horizontal="center" vertical="center"/>
    </xf>
    <xf numFmtId="0" fontId="134" fillId="0" borderId="32" xfId="0" applyFont="1" applyBorder="1" applyAlignment="1">
      <alignment horizontal="center" vertical="center"/>
    </xf>
    <xf numFmtId="43" fontId="134" fillId="0" borderId="30" xfId="2627" applyNumberFormat="1" applyFont="1" applyFill="1" applyBorder="1" applyAlignment="1">
      <alignment horizontal="center" vertical="center"/>
    </xf>
    <xf numFmtId="179" fontId="134" fillId="0" borderId="30" xfId="2627" applyFont="1" applyFill="1" applyBorder="1" applyAlignment="1">
      <alignment vertical="center"/>
    </xf>
    <xf numFmtId="0" fontId="134" fillId="0" borderId="4" xfId="2627" applyNumberFormat="1" applyFont="1" applyFill="1" applyBorder="1" applyAlignment="1">
      <alignment horizontal="center" vertical="center"/>
    </xf>
    <xf numFmtId="0" fontId="134" fillId="0" borderId="4" xfId="2627" applyNumberFormat="1" applyFont="1" applyFill="1" applyBorder="1" applyAlignment="1">
      <alignment vertical="center"/>
    </xf>
    <xf numFmtId="0" fontId="134" fillId="0" borderId="4" xfId="2627" applyNumberFormat="1" applyFont="1" applyFill="1" applyBorder="1" applyAlignment="1">
      <alignment horizontal="left" vertical="center"/>
    </xf>
    <xf numFmtId="0" fontId="122" fillId="0" borderId="39" xfId="2909" applyFont="1" applyBorder="1"/>
    <xf numFmtId="0" fontId="122" fillId="0" borderId="40" xfId="2909" applyFont="1" applyBorder="1"/>
    <xf numFmtId="0" fontId="124" fillId="0" borderId="40" xfId="2909" applyFont="1" applyBorder="1"/>
    <xf numFmtId="0" fontId="124" fillId="0" borderId="41" xfId="2909" applyFont="1" applyBorder="1"/>
    <xf numFmtId="0" fontId="124" fillId="0" borderId="42" xfId="2909" applyFont="1" applyBorder="1" applyAlignment="1">
      <alignment horizontal="left"/>
    </xf>
    <xf numFmtId="0" fontId="124" fillId="0" borderId="0" xfId="2907" applyFont="1"/>
    <xf numFmtId="0" fontId="126" fillId="0" borderId="0" xfId="2909" applyFont="1"/>
    <xf numFmtId="0" fontId="126" fillId="0" borderId="43" xfId="2909" applyFont="1" applyBorder="1"/>
    <xf numFmtId="0" fontId="125" fillId="0" borderId="42" xfId="2909" quotePrefix="1" applyFont="1" applyBorder="1" applyAlignment="1">
      <alignment horizontal="right"/>
    </xf>
    <xf numFmtId="0" fontId="125" fillId="0" borderId="0" xfId="2907" applyFont="1"/>
    <xf numFmtId="0" fontId="124" fillId="0" borderId="43" xfId="2909" applyFont="1" applyBorder="1"/>
    <xf numFmtId="0" fontId="125" fillId="0" borderId="43" xfId="2909" applyFont="1" applyBorder="1"/>
    <xf numFmtId="0" fontId="125" fillId="0" borderId="44" xfId="2909" quotePrefix="1" applyFont="1" applyBorder="1" applyAlignment="1">
      <alignment horizontal="right"/>
    </xf>
    <xf numFmtId="0" fontId="125" fillId="0" borderId="45" xfId="2907" applyFont="1" applyBorder="1"/>
    <xf numFmtId="0" fontId="125" fillId="0" borderId="45" xfId="2909" applyFont="1" applyBorder="1"/>
    <xf numFmtId="0" fontId="126" fillId="0" borderId="45" xfId="2909" applyFont="1" applyBorder="1"/>
    <xf numFmtId="0" fontId="126" fillId="0" borderId="19" xfId="2909" applyFont="1" applyBorder="1"/>
    <xf numFmtId="41" fontId="117" fillId="0" borderId="2" xfId="0" applyNumberFormat="1" applyFont="1" applyBorder="1" applyAlignment="1">
      <alignment vertical="center"/>
    </xf>
    <xf numFmtId="0" fontId="117" fillId="0" borderId="20" xfId="0" applyFont="1" applyBorder="1" applyAlignment="1">
      <alignment horizontal="center" vertical="center"/>
    </xf>
    <xf numFmtId="43" fontId="117" fillId="0" borderId="20" xfId="2627" applyNumberFormat="1" applyFont="1" applyFill="1" applyBorder="1" applyAlignment="1">
      <alignment horizontal="center" vertical="center"/>
    </xf>
    <xf numFmtId="41" fontId="117" fillId="0" borderId="20" xfId="2908" applyFont="1" applyFill="1" applyBorder="1" applyAlignment="1">
      <alignment vertical="center"/>
    </xf>
    <xf numFmtId="0" fontId="119" fillId="0" borderId="20" xfId="0" applyFont="1" applyBorder="1" applyAlignment="1">
      <alignment horizontal="center" vertical="center"/>
    </xf>
    <xf numFmtId="43" fontId="119" fillId="0" borderId="20" xfId="2627" applyNumberFormat="1" applyFont="1" applyFill="1" applyBorder="1" applyAlignment="1">
      <alignment horizontal="center" vertical="center"/>
    </xf>
    <xf numFmtId="41" fontId="119" fillId="0" borderId="20" xfId="2908" applyFont="1" applyFill="1" applyBorder="1" applyAlignment="1">
      <alignment vertical="center"/>
    </xf>
    <xf numFmtId="0" fontId="118" fillId="11" borderId="29" xfId="2627" applyNumberFormat="1" applyFont="1" applyFill="1" applyBorder="1" applyAlignment="1">
      <alignment horizontal="center" vertical="center"/>
    </xf>
    <xf numFmtId="0" fontId="118" fillId="11" borderId="30" xfId="0" applyFont="1" applyFill="1" applyBorder="1" applyAlignment="1">
      <alignment horizontal="center" vertical="center"/>
    </xf>
    <xf numFmtId="43" fontId="118" fillId="11" borderId="30" xfId="2627" applyNumberFormat="1" applyFont="1" applyFill="1" applyBorder="1" applyAlignment="1">
      <alignment horizontal="center" vertical="center"/>
    </xf>
    <xf numFmtId="179" fontId="118" fillId="11" borderId="30" xfId="2627" applyFont="1" applyFill="1" applyBorder="1" applyAlignment="1">
      <alignment vertical="center"/>
    </xf>
    <xf numFmtId="179" fontId="118" fillId="11" borderId="32" xfId="2627" applyFont="1" applyFill="1" applyBorder="1" applyAlignment="1">
      <alignment vertical="center"/>
    </xf>
    <xf numFmtId="0" fontId="118" fillId="11" borderId="23" xfId="0" applyFont="1" applyFill="1" applyBorder="1" applyAlignment="1">
      <alignment vertical="center"/>
    </xf>
    <xf numFmtId="0" fontId="118" fillId="11" borderId="23" xfId="0" applyFont="1" applyFill="1" applyBorder="1" applyAlignment="1">
      <alignment horizontal="right" vertical="center"/>
    </xf>
    <xf numFmtId="0" fontId="118" fillId="9" borderId="4" xfId="2627" applyNumberFormat="1" applyFont="1" applyFill="1" applyBorder="1" applyAlignment="1">
      <alignment horizontal="center" vertical="center"/>
    </xf>
    <xf numFmtId="0" fontId="118" fillId="9" borderId="4" xfId="2627" applyNumberFormat="1" applyFont="1" applyFill="1" applyBorder="1" applyAlignment="1">
      <alignment vertical="center"/>
    </xf>
    <xf numFmtId="0" fontId="118" fillId="9" borderId="22" xfId="0" applyFont="1" applyFill="1" applyBorder="1" applyAlignment="1">
      <alignment vertical="center"/>
    </xf>
    <xf numFmtId="0" fontId="118" fillId="9" borderId="22" xfId="0" applyFont="1" applyFill="1" applyBorder="1" applyAlignment="1">
      <alignment horizontal="right" vertical="center"/>
    </xf>
    <xf numFmtId="179" fontId="117" fillId="0" borderId="20" xfId="2627" applyFont="1" applyFill="1" applyBorder="1" applyAlignment="1">
      <alignment vertical="center"/>
    </xf>
    <xf numFmtId="0" fontId="117" fillId="0" borderId="20" xfId="0" applyFont="1" applyBorder="1" applyAlignment="1">
      <alignment vertical="center"/>
    </xf>
    <xf numFmtId="0" fontId="117" fillId="0" borderId="20" xfId="0" applyFont="1" applyBorder="1" applyAlignment="1">
      <alignment horizontal="right" vertical="center"/>
    </xf>
    <xf numFmtId="0" fontId="118" fillId="9" borderId="20" xfId="0" applyFont="1" applyFill="1" applyBorder="1" applyAlignment="1">
      <alignment horizontal="center" vertical="center"/>
    </xf>
    <xf numFmtId="43" fontId="118" fillId="9" borderId="20" xfId="2627" applyNumberFormat="1" applyFont="1" applyFill="1" applyBorder="1" applyAlignment="1">
      <alignment horizontal="center" vertical="center"/>
    </xf>
    <xf numFmtId="179" fontId="118" fillId="9" borderId="20" xfId="2627" applyFont="1" applyFill="1" applyBorder="1" applyAlignment="1">
      <alignment vertical="center"/>
    </xf>
    <xf numFmtId="0" fontId="118" fillId="9" borderId="20" xfId="0" applyFont="1" applyFill="1" applyBorder="1" applyAlignment="1">
      <alignment vertical="center"/>
    </xf>
    <xf numFmtId="0" fontId="118" fillId="9" borderId="20" xfId="0" applyFont="1" applyFill="1" applyBorder="1" applyAlignment="1">
      <alignment horizontal="right" vertical="center"/>
    </xf>
    <xf numFmtId="0" fontId="119" fillId="0" borderId="20" xfId="0" applyFont="1" applyBorder="1" applyAlignment="1">
      <alignment vertical="center"/>
    </xf>
    <xf numFmtId="0" fontId="119" fillId="0" borderId="20" xfId="0" applyFont="1" applyBorder="1" applyAlignment="1">
      <alignment horizontal="right" vertical="center"/>
    </xf>
    <xf numFmtId="0" fontId="117" fillId="10" borderId="20" xfId="0" applyFont="1" applyFill="1" applyBorder="1" applyAlignment="1">
      <alignment horizontal="center" vertical="center"/>
    </xf>
    <xf numFmtId="41" fontId="117" fillId="10" borderId="20" xfId="2908" applyFont="1" applyFill="1" applyBorder="1" applyAlignment="1">
      <alignment vertical="center"/>
    </xf>
    <xf numFmtId="0" fontId="117" fillId="10" borderId="20" xfId="0" applyFont="1" applyFill="1" applyBorder="1" applyAlignment="1">
      <alignment vertical="center"/>
    </xf>
    <xf numFmtId="0" fontId="117" fillId="10" borderId="20" xfId="0" applyFont="1" applyFill="1" applyBorder="1" applyAlignment="1">
      <alignment horizontal="right" vertical="center"/>
    </xf>
    <xf numFmtId="43" fontId="117" fillId="0" borderId="20" xfId="2908" applyNumberFormat="1" applyFont="1" applyFill="1" applyBorder="1" applyAlignment="1">
      <alignment vertical="center"/>
    </xf>
    <xf numFmtId="43" fontId="117" fillId="13" borderId="9" xfId="2627" applyNumberFormat="1" applyFont="1" applyFill="1" applyBorder="1" applyAlignment="1">
      <alignment horizontal="center" vertical="center"/>
    </xf>
    <xf numFmtId="41" fontId="117" fillId="13" borderId="2" xfId="0" applyNumberFormat="1" applyFont="1" applyFill="1" applyBorder="1" applyAlignment="1">
      <alignment vertical="center"/>
    </xf>
    <xf numFmtId="0" fontId="118" fillId="13" borderId="20" xfId="2627" applyNumberFormat="1" applyFont="1" applyFill="1" applyBorder="1" applyAlignment="1">
      <alignment horizontal="center" vertical="center"/>
    </xf>
    <xf numFmtId="0" fontId="118" fillId="13" borderId="4" xfId="0" applyFont="1" applyFill="1" applyBorder="1" applyAlignment="1">
      <alignment horizontal="center" vertical="center"/>
    </xf>
    <xf numFmtId="2" fontId="118" fillId="13" borderId="9" xfId="0" applyNumberFormat="1" applyFont="1" applyFill="1" applyBorder="1" applyAlignment="1">
      <alignment vertical="center"/>
    </xf>
    <xf numFmtId="41" fontId="118" fillId="13" borderId="4" xfId="2908" applyFont="1" applyFill="1" applyBorder="1" applyAlignment="1">
      <alignment vertical="center"/>
    </xf>
    <xf numFmtId="0" fontId="118" fillId="13" borderId="0" xfId="0" applyFont="1" applyFill="1" applyAlignment="1">
      <alignment vertical="center"/>
    </xf>
    <xf numFmtId="0" fontId="118" fillId="13" borderId="2" xfId="0" applyFont="1" applyFill="1" applyBorder="1" applyAlignment="1">
      <alignment vertical="center"/>
    </xf>
    <xf numFmtId="0" fontId="118" fillId="13" borderId="2" xfId="0" applyFont="1" applyFill="1" applyBorder="1" applyAlignment="1">
      <alignment horizontal="right" vertical="center"/>
    </xf>
    <xf numFmtId="0" fontId="118" fillId="14" borderId="20" xfId="2627" applyNumberFormat="1" applyFont="1" applyFill="1" applyBorder="1" applyAlignment="1">
      <alignment horizontal="center" vertical="center"/>
    </xf>
    <xf numFmtId="0" fontId="118" fillId="14" borderId="4" xfId="0" applyFont="1" applyFill="1" applyBorder="1" applyAlignment="1">
      <alignment horizontal="center" vertical="center"/>
    </xf>
    <xf numFmtId="43" fontId="118" fillId="14" borderId="4" xfId="2627" applyNumberFormat="1" applyFont="1" applyFill="1" applyBorder="1" applyAlignment="1">
      <alignment horizontal="center" vertical="center"/>
    </xf>
    <xf numFmtId="41" fontId="118" fillId="14" borderId="4" xfId="2908" applyFont="1" applyFill="1" applyBorder="1" applyAlignment="1">
      <alignment vertical="center"/>
    </xf>
    <xf numFmtId="0" fontId="118" fillId="14" borderId="4" xfId="0" applyFont="1" applyFill="1" applyBorder="1" applyAlignment="1">
      <alignment horizontal="center" vertical="center" shrinkToFit="1"/>
    </xf>
    <xf numFmtId="0" fontId="117" fillId="0" borderId="0" xfId="0" applyFont="1" applyAlignment="1">
      <alignment horizontal="center" vertical="center" shrinkToFit="1"/>
    </xf>
    <xf numFmtId="0" fontId="118" fillId="0" borderId="4" xfId="0" applyFont="1" applyBorder="1" applyAlignment="1">
      <alignment horizontal="center" vertical="center" shrinkToFit="1"/>
    </xf>
    <xf numFmtId="179" fontId="118" fillId="11" borderId="30" xfId="0" applyNumberFormat="1" applyFont="1" applyFill="1" applyBorder="1" applyAlignment="1">
      <alignment horizontal="center" vertical="center" shrinkToFit="1"/>
    </xf>
    <xf numFmtId="0" fontId="117" fillId="0" borderId="20" xfId="0" applyFont="1" applyBorder="1" applyAlignment="1">
      <alignment horizontal="center" vertical="center" shrinkToFit="1"/>
    </xf>
    <xf numFmtId="0" fontId="118" fillId="9" borderId="20" xfId="0" applyFont="1" applyFill="1" applyBorder="1" applyAlignment="1">
      <alignment horizontal="center" vertical="center" shrinkToFit="1"/>
    </xf>
    <xf numFmtId="0" fontId="118" fillId="9" borderId="4" xfId="0" applyFont="1" applyFill="1" applyBorder="1" applyAlignment="1">
      <alignment horizontal="center" vertical="center" shrinkToFit="1"/>
    </xf>
    <xf numFmtId="0" fontId="117" fillId="10" borderId="4" xfId="0" applyFont="1" applyFill="1" applyBorder="1" applyAlignment="1">
      <alignment horizontal="center" vertical="center" shrinkToFit="1"/>
    </xf>
    <xf numFmtId="0" fontId="118" fillId="13" borderId="20" xfId="2627" applyNumberFormat="1" applyFont="1" applyFill="1" applyBorder="1" applyAlignment="1">
      <alignment vertical="center"/>
    </xf>
    <xf numFmtId="0" fontId="115" fillId="0" borderId="0" xfId="2627" applyNumberFormat="1" applyFont="1" applyFill="1" applyBorder="1" applyAlignment="1">
      <alignment horizontal="center" vertical="center"/>
    </xf>
    <xf numFmtId="0" fontId="115" fillId="0" borderId="2" xfId="2627" applyNumberFormat="1" applyFont="1" applyFill="1" applyBorder="1" applyAlignment="1">
      <alignment horizontal="center" vertical="center"/>
    </xf>
    <xf numFmtId="0" fontId="115" fillId="0" borderId="2" xfId="2627" applyNumberFormat="1" applyFont="1" applyFill="1" applyBorder="1" applyAlignment="1">
      <alignment horizontal="right" vertical="center"/>
    </xf>
    <xf numFmtId="0" fontId="115" fillId="15" borderId="2" xfId="2627" applyNumberFormat="1" applyFont="1" applyFill="1" applyBorder="1" applyAlignment="1">
      <alignment horizontal="center" vertical="center"/>
    </xf>
    <xf numFmtId="41" fontId="137" fillId="14" borderId="4" xfId="2908" applyFont="1" applyFill="1" applyBorder="1" applyAlignment="1">
      <alignment vertical="center"/>
    </xf>
    <xf numFmtId="0" fontId="119" fillId="13" borderId="20" xfId="2908" applyNumberFormat="1" applyFont="1" applyFill="1" applyBorder="1" applyAlignment="1">
      <alignment horizontal="center" vertical="center"/>
    </xf>
    <xf numFmtId="0" fontId="117" fillId="13" borderId="4" xfId="2908" applyNumberFormat="1" applyFont="1" applyFill="1" applyBorder="1" applyAlignment="1">
      <alignment horizontal="center" vertical="center"/>
    </xf>
    <xf numFmtId="179" fontId="115" fillId="16" borderId="27" xfId="2627" applyFont="1" applyFill="1" applyBorder="1" applyAlignment="1">
      <alignment horizontal="center" vertical="center"/>
    </xf>
    <xf numFmtId="0" fontId="138" fillId="13" borderId="20" xfId="2627" applyNumberFormat="1" applyFont="1" applyFill="1" applyBorder="1" applyAlignment="1">
      <alignment vertical="center"/>
    </xf>
    <xf numFmtId="0" fontId="138" fillId="13" borderId="4" xfId="0" applyFont="1" applyFill="1" applyBorder="1" applyAlignment="1">
      <alignment horizontal="center" vertical="center"/>
    </xf>
    <xf numFmtId="43" fontId="138" fillId="13" borderId="9" xfId="0" applyNumberFormat="1" applyFont="1" applyFill="1" applyBorder="1" applyAlignment="1">
      <alignment vertical="center"/>
    </xf>
    <xf numFmtId="41" fontId="138" fillId="13" borderId="4" xfId="2908" applyFont="1" applyFill="1" applyBorder="1" applyAlignment="1">
      <alignment vertical="center"/>
    </xf>
    <xf numFmtId="41" fontId="138" fillId="13" borderId="6" xfId="2908" applyFont="1" applyFill="1" applyBorder="1" applyAlignment="1">
      <alignment vertical="center"/>
    </xf>
    <xf numFmtId="0" fontId="138" fillId="0" borderId="4" xfId="0" applyFont="1" applyBorder="1" applyAlignment="1">
      <alignment horizontal="center" vertical="center" shrinkToFit="1"/>
    </xf>
    <xf numFmtId="0" fontId="138" fillId="13" borderId="0" xfId="0" applyFont="1" applyFill="1" applyAlignment="1">
      <alignment vertical="center"/>
    </xf>
    <xf numFmtId="0" fontId="138" fillId="13" borderId="2" xfId="0" applyFont="1" applyFill="1" applyBorder="1" applyAlignment="1">
      <alignment vertical="center"/>
    </xf>
    <xf numFmtId="0" fontId="138" fillId="13" borderId="2" xfId="0" applyFont="1" applyFill="1" applyBorder="1" applyAlignment="1">
      <alignment horizontal="right" vertical="center"/>
    </xf>
    <xf numFmtId="0" fontId="138" fillId="13" borderId="4" xfId="0" applyFont="1" applyFill="1" applyBorder="1" applyAlignment="1">
      <alignment horizontal="center" vertical="center" shrinkToFit="1"/>
    </xf>
    <xf numFmtId="0" fontId="139" fillId="13" borderId="20" xfId="2627" applyNumberFormat="1" applyFont="1" applyFill="1" applyBorder="1" applyAlignment="1">
      <alignment vertical="center"/>
    </xf>
    <xf numFmtId="0" fontId="139" fillId="13" borderId="4" xfId="0" applyFont="1" applyFill="1" applyBorder="1" applyAlignment="1">
      <alignment horizontal="center" vertical="center"/>
    </xf>
    <xf numFmtId="43" fontId="139" fillId="13" borderId="9" xfId="0" applyNumberFormat="1" applyFont="1" applyFill="1" applyBorder="1" applyAlignment="1">
      <alignment vertical="center"/>
    </xf>
    <xf numFmtId="41" fontId="139" fillId="13" borderId="4" xfId="2908" applyFont="1" applyFill="1" applyBorder="1" applyAlignment="1">
      <alignment vertical="center"/>
    </xf>
    <xf numFmtId="41" fontId="139" fillId="13" borderId="6" xfId="2908" applyFont="1" applyFill="1" applyBorder="1" applyAlignment="1">
      <alignment vertical="center"/>
    </xf>
    <xf numFmtId="0" fontId="139" fillId="0" borderId="4" xfId="0" applyFont="1" applyBorder="1" applyAlignment="1">
      <alignment horizontal="center" vertical="center" shrinkToFit="1"/>
    </xf>
    <xf numFmtId="0" fontId="139" fillId="13" borderId="0" xfId="0" applyFont="1" applyFill="1" applyAlignment="1">
      <alignment vertical="center"/>
    </xf>
    <xf numFmtId="0" fontId="139" fillId="13" borderId="2" xfId="0" applyFont="1" applyFill="1" applyBorder="1" applyAlignment="1">
      <alignment vertical="center"/>
    </xf>
    <xf numFmtId="0" fontId="139" fillId="13" borderId="2" xfId="0" applyFont="1" applyFill="1" applyBorder="1" applyAlignment="1">
      <alignment horizontal="right" vertical="center"/>
    </xf>
    <xf numFmtId="0" fontId="139" fillId="13" borderId="4" xfId="0" applyFont="1" applyFill="1" applyBorder="1" applyAlignment="1">
      <alignment horizontal="center" vertical="center" shrinkToFit="1"/>
    </xf>
    <xf numFmtId="0" fontId="141" fillId="13" borderId="4" xfId="0" applyFont="1" applyFill="1" applyBorder="1" applyAlignment="1">
      <alignment horizontal="center" vertical="center"/>
    </xf>
    <xf numFmtId="0" fontId="141" fillId="0" borderId="4" xfId="0" applyFont="1" applyBorder="1" applyAlignment="1">
      <alignment horizontal="center" vertical="center" shrinkToFit="1"/>
    </xf>
    <xf numFmtId="0" fontId="141" fillId="0" borderId="4" xfId="0" applyFont="1" applyBorder="1" applyAlignment="1">
      <alignment horizontal="center" vertical="center"/>
    </xf>
    <xf numFmtId="41" fontId="141" fillId="0" borderId="4" xfId="2908" applyFont="1" applyFill="1" applyBorder="1" applyAlignment="1">
      <alignment vertical="center"/>
    </xf>
    <xf numFmtId="41" fontId="141" fillId="0" borderId="6" xfId="2908" applyFont="1" applyFill="1" applyBorder="1" applyAlignment="1">
      <alignment vertical="center"/>
    </xf>
    <xf numFmtId="0" fontId="141" fillId="0" borderId="0" xfId="0" applyFont="1" applyAlignment="1">
      <alignment vertical="center"/>
    </xf>
    <xf numFmtId="0" fontId="141" fillId="0" borderId="2" xfId="0" applyFont="1" applyBorder="1" applyAlignment="1">
      <alignment vertical="center"/>
    </xf>
    <xf numFmtId="0" fontId="141" fillId="0" borderId="2" xfId="0" applyFont="1" applyBorder="1" applyAlignment="1">
      <alignment horizontal="right" vertical="center"/>
    </xf>
    <xf numFmtId="0" fontId="140" fillId="0" borderId="20" xfId="2627" applyNumberFormat="1" applyFont="1" applyFill="1" applyBorder="1" applyAlignment="1">
      <alignment horizontal="center" vertical="center"/>
    </xf>
    <xf numFmtId="0" fontId="140" fillId="0" borderId="20" xfId="2627" applyNumberFormat="1" applyFont="1" applyFill="1" applyBorder="1" applyAlignment="1">
      <alignment vertical="center"/>
    </xf>
    <xf numFmtId="2" fontId="141" fillId="0" borderId="9" xfId="0" applyNumberFormat="1" applyFont="1" applyBorder="1" applyAlignment="1">
      <alignment vertical="center"/>
    </xf>
    <xf numFmtId="0" fontId="140" fillId="0" borderId="4" xfId="0" applyFont="1" applyBorder="1" applyAlignment="1">
      <alignment horizontal="center" vertical="center"/>
    </xf>
    <xf numFmtId="0" fontId="139" fillId="0" borderId="20" xfId="2627" applyNumberFormat="1" applyFont="1" applyFill="1" applyBorder="1" applyAlignment="1">
      <alignment vertical="center"/>
    </xf>
    <xf numFmtId="41" fontId="135" fillId="12" borderId="4" xfId="2908" applyFont="1" applyFill="1" applyBorder="1" applyAlignment="1">
      <alignment vertical="center"/>
    </xf>
    <xf numFmtId="0" fontId="138" fillId="13" borderId="20" xfId="2627" applyNumberFormat="1" applyFont="1" applyFill="1" applyBorder="1" applyAlignment="1">
      <alignment horizontal="left" vertical="center"/>
    </xf>
    <xf numFmtId="0" fontId="138" fillId="0" borderId="4" xfId="0" applyFont="1" applyBorder="1" applyAlignment="1">
      <alignment horizontal="center" vertical="center"/>
    </xf>
    <xf numFmtId="0" fontId="139" fillId="0" borderId="20" xfId="0" applyFont="1" applyBorder="1" applyAlignment="1">
      <alignment horizontal="center" vertical="center"/>
    </xf>
    <xf numFmtId="43" fontId="139" fillId="0" borderId="20" xfId="2627" applyNumberFormat="1" applyFont="1" applyFill="1" applyBorder="1" applyAlignment="1">
      <alignment horizontal="center" vertical="center"/>
    </xf>
    <xf numFmtId="41" fontId="139" fillId="0" borderId="20" xfId="2908" applyFont="1" applyFill="1" applyBorder="1" applyAlignment="1">
      <alignment vertical="center"/>
    </xf>
    <xf numFmtId="0" fontId="139" fillId="0" borderId="20" xfId="0" applyFont="1" applyBorder="1" applyAlignment="1">
      <alignment vertical="center"/>
    </xf>
    <xf numFmtId="0" fontId="139" fillId="0" borderId="20" xfId="0" applyFont="1" applyBorder="1" applyAlignment="1">
      <alignment horizontal="right" vertical="center"/>
    </xf>
    <xf numFmtId="41" fontId="138" fillId="0" borderId="4" xfId="2908" applyFont="1" applyFill="1" applyBorder="1" applyAlignment="1">
      <alignment vertical="center"/>
    </xf>
    <xf numFmtId="41" fontId="138" fillId="0" borderId="6" xfId="2908" applyFont="1" applyFill="1" applyBorder="1" applyAlignment="1">
      <alignment vertical="center"/>
    </xf>
    <xf numFmtId="0" fontId="138" fillId="0" borderId="20" xfId="2627" applyNumberFormat="1" applyFont="1" applyFill="1" applyBorder="1" applyAlignment="1">
      <alignment horizontal="center" vertical="center"/>
    </xf>
    <xf numFmtId="41" fontId="117" fillId="0" borderId="6" xfId="2908" applyFont="1" applyFill="1" applyBorder="1" applyAlignment="1">
      <alignment horizontal="right" vertical="center"/>
    </xf>
    <xf numFmtId="0" fontId="138" fillId="0" borderId="20" xfId="2627" applyNumberFormat="1" applyFont="1" applyFill="1" applyBorder="1" applyAlignment="1">
      <alignment vertical="center"/>
    </xf>
    <xf numFmtId="43" fontId="138" fillId="0" borderId="9" xfId="0" applyNumberFormat="1" applyFont="1" applyBorder="1" applyAlignment="1">
      <alignment vertical="center"/>
    </xf>
    <xf numFmtId="0" fontId="138" fillId="0" borderId="0" xfId="0" applyFont="1" applyAlignment="1">
      <alignment vertical="center"/>
    </xf>
    <xf numFmtId="0" fontId="138" fillId="0" borderId="2" xfId="0" applyFont="1" applyBorder="1" applyAlignment="1">
      <alignment vertical="center"/>
    </xf>
    <xf numFmtId="0" fontId="138" fillId="0" borderId="2" xfId="0" applyFont="1" applyBorder="1" applyAlignment="1">
      <alignment horizontal="right" vertical="center"/>
    </xf>
    <xf numFmtId="2" fontId="138" fillId="0" borderId="9" xfId="0" applyNumberFormat="1" applyFont="1" applyBorder="1" applyAlignment="1">
      <alignment vertical="center"/>
    </xf>
    <xf numFmtId="0" fontId="138" fillId="13" borderId="20" xfId="2627" applyNumberFormat="1" applyFont="1" applyFill="1" applyBorder="1" applyAlignment="1">
      <alignment horizontal="center" vertical="center"/>
    </xf>
    <xf numFmtId="2" fontId="138" fillId="13" borderId="9" xfId="0" applyNumberFormat="1" applyFont="1" applyFill="1" applyBorder="1" applyAlignment="1">
      <alignment vertical="center"/>
    </xf>
    <xf numFmtId="0" fontId="138" fillId="13" borderId="20" xfId="2908" applyNumberFormat="1" applyFont="1" applyFill="1" applyBorder="1" applyAlignment="1">
      <alignment horizontal="center" vertical="center"/>
    </xf>
    <xf numFmtId="0" fontId="138" fillId="0" borderId="20" xfId="0" applyFont="1" applyBorder="1" applyAlignment="1">
      <alignment horizontal="center" vertical="center"/>
    </xf>
    <xf numFmtId="43" fontId="138" fillId="0" borderId="20" xfId="2627" applyNumberFormat="1" applyFont="1" applyFill="1" applyBorder="1" applyAlignment="1">
      <alignment horizontal="center" vertical="center"/>
    </xf>
    <xf numFmtId="41" fontId="138" fillId="0" borderId="20" xfId="2908" applyFont="1" applyFill="1" applyBorder="1" applyAlignment="1">
      <alignment vertical="center"/>
    </xf>
    <xf numFmtId="0" fontId="138" fillId="0" borderId="20" xfId="0" applyFont="1" applyBorder="1" applyAlignment="1">
      <alignment vertical="center"/>
    </xf>
    <xf numFmtId="0" fontId="138" fillId="0" borderId="20" xfId="0" applyFont="1" applyBorder="1" applyAlignment="1">
      <alignment horizontal="right" vertical="center"/>
    </xf>
    <xf numFmtId="41" fontId="117" fillId="0" borderId="9" xfId="2908" applyFont="1" applyBorder="1" applyAlignment="1">
      <alignment vertical="center"/>
    </xf>
    <xf numFmtId="0" fontId="142" fillId="0" borderId="4" xfId="0" applyFont="1" applyBorder="1" applyAlignment="1">
      <alignment horizontal="center" vertical="center" shrinkToFit="1"/>
    </xf>
    <xf numFmtId="0" fontId="139" fillId="0" borderId="20" xfId="2627" applyNumberFormat="1" applyFont="1" applyFill="1" applyBorder="1" applyAlignment="1">
      <alignment horizontal="center" vertical="center"/>
    </xf>
    <xf numFmtId="0" fontId="117" fillId="0" borderId="4" xfId="2627" applyNumberFormat="1" applyFont="1" applyFill="1" applyBorder="1" applyAlignment="1">
      <alignment horizontal="center" vertical="center"/>
    </xf>
    <xf numFmtId="0" fontId="118" fillId="8" borderId="20" xfId="2627" applyNumberFormat="1" applyFont="1" applyFill="1" applyBorder="1" applyAlignment="1">
      <alignment horizontal="center" vertical="center"/>
    </xf>
    <xf numFmtId="0" fontId="138" fillId="0" borderId="20" xfId="2908" applyNumberFormat="1" applyFont="1" applyFill="1" applyBorder="1" applyAlignment="1">
      <alignment horizontal="center" vertical="center"/>
    </xf>
    <xf numFmtId="0" fontId="141" fillId="0" borderId="20" xfId="2627" applyNumberFormat="1" applyFont="1" applyFill="1" applyBorder="1" applyAlignment="1">
      <alignment horizontal="center" vertical="center"/>
    </xf>
    <xf numFmtId="41" fontId="143" fillId="15" borderId="0" xfId="2908" applyFont="1" applyFill="1" applyBorder="1" applyAlignment="1">
      <alignment horizontal="center" vertical="center"/>
    </xf>
    <xf numFmtId="41" fontId="144" fillId="15" borderId="0" xfId="2908" applyFont="1" applyFill="1" applyAlignment="1">
      <alignment vertical="center"/>
    </xf>
    <xf numFmtId="41" fontId="144" fillId="15" borderId="20" xfId="2908" applyFont="1" applyFill="1" applyBorder="1" applyAlignment="1">
      <alignment vertical="center"/>
    </xf>
    <xf numFmtId="41" fontId="144" fillId="0" borderId="0" xfId="2908" applyFont="1" applyFill="1" applyAlignment="1">
      <alignment vertical="center"/>
    </xf>
    <xf numFmtId="0" fontId="146" fillId="13" borderId="4" xfId="0" applyFont="1" applyFill="1" applyBorder="1" applyAlignment="1">
      <alignment horizontal="center" vertical="center"/>
    </xf>
    <xf numFmtId="41" fontId="142" fillId="15" borderId="0" xfId="2908" applyFont="1" applyFill="1" applyAlignment="1">
      <alignment vertical="center"/>
    </xf>
    <xf numFmtId="0" fontId="102" fillId="13" borderId="4" xfId="0" applyFont="1" applyFill="1" applyBorder="1" applyAlignment="1">
      <alignment horizontal="center" vertical="center"/>
    </xf>
    <xf numFmtId="0" fontId="147" fillId="0" borderId="20" xfId="0" applyFont="1" applyBorder="1" applyAlignment="1">
      <alignment horizontal="center" vertical="center"/>
    </xf>
    <xf numFmtId="0" fontId="148" fillId="0" borderId="20" xfId="2627" applyNumberFormat="1" applyFont="1" applyFill="1" applyBorder="1" applyAlignment="1">
      <alignment horizontal="left" vertical="center"/>
    </xf>
    <xf numFmtId="9" fontId="148" fillId="0" borderId="20" xfId="2627" applyNumberFormat="1" applyFont="1" applyFill="1" applyBorder="1" applyAlignment="1">
      <alignment vertical="center" wrapText="1"/>
    </xf>
    <xf numFmtId="179" fontId="148" fillId="0" borderId="20" xfId="2627" applyFont="1" applyFill="1" applyBorder="1" applyAlignment="1">
      <alignment horizontal="center" vertical="center"/>
    </xf>
    <xf numFmtId="179" fontId="148" fillId="0" borderId="20" xfId="2627" applyFont="1" applyFill="1" applyBorder="1" applyAlignment="1">
      <alignment vertical="center"/>
    </xf>
    <xf numFmtId="179" fontId="148" fillId="0" borderId="26" xfId="2627" applyFont="1" applyFill="1" applyBorder="1" applyAlignment="1">
      <alignment vertical="center"/>
    </xf>
    <xf numFmtId="0" fontId="148" fillId="0" borderId="9" xfId="0" applyFont="1" applyBorder="1" applyAlignment="1">
      <alignment horizontal="center" vertical="center" shrinkToFit="1"/>
    </xf>
    <xf numFmtId="0" fontId="148" fillId="0" borderId="0" xfId="0" applyFont="1" applyAlignment="1">
      <alignment vertical="center"/>
    </xf>
    <xf numFmtId="41" fontId="145" fillId="15" borderId="0" xfId="2908" applyFont="1" applyFill="1" applyAlignment="1">
      <alignment vertical="center"/>
    </xf>
    <xf numFmtId="0" fontId="117" fillId="0" borderId="20" xfId="0" applyFont="1" applyFill="1" applyBorder="1" applyAlignment="1">
      <alignment horizontal="center" vertical="center"/>
    </xf>
    <xf numFmtId="0" fontId="117" fillId="0" borderId="4" xfId="0" applyFont="1" applyFill="1" applyBorder="1" applyAlignment="1">
      <alignment horizontal="center" vertical="center"/>
    </xf>
    <xf numFmtId="43" fontId="117" fillId="0" borderId="9" xfId="0" applyNumberFormat="1" applyFont="1" applyFill="1" applyBorder="1" applyAlignment="1">
      <alignment vertical="center"/>
    </xf>
    <xf numFmtId="0" fontId="117" fillId="0" borderId="4" xfId="0" applyFont="1" applyFill="1" applyBorder="1" applyAlignment="1">
      <alignment horizontal="center" vertical="center" shrinkToFit="1"/>
    </xf>
    <xf numFmtId="0" fontId="117" fillId="0" borderId="0" xfId="0" applyFont="1" applyFill="1" applyAlignment="1">
      <alignment vertical="center"/>
    </xf>
    <xf numFmtId="0" fontId="117" fillId="0" borderId="2" xfId="0" applyFont="1" applyFill="1" applyBorder="1" applyAlignment="1">
      <alignment vertical="center"/>
    </xf>
    <xf numFmtId="0" fontId="117" fillId="0" borderId="2" xfId="0" applyFont="1" applyFill="1" applyBorder="1" applyAlignment="1">
      <alignment horizontal="right" vertical="center"/>
    </xf>
    <xf numFmtId="0" fontId="138" fillId="0" borderId="4" xfId="0" applyFont="1" applyFill="1" applyBorder="1" applyAlignment="1">
      <alignment horizontal="center" vertical="center"/>
    </xf>
    <xf numFmtId="2" fontId="138" fillId="0" borderId="9" xfId="0" applyNumberFormat="1" applyFont="1" applyFill="1" applyBorder="1" applyAlignment="1">
      <alignment vertical="center"/>
    </xf>
    <xf numFmtId="0" fontId="138" fillId="0" borderId="4" xfId="0" applyFont="1" applyFill="1" applyBorder="1" applyAlignment="1">
      <alignment horizontal="center" vertical="center" shrinkToFit="1"/>
    </xf>
    <xf numFmtId="0" fontId="138" fillId="0" borderId="0" xfId="0" applyFont="1" applyFill="1" applyAlignment="1">
      <alignment vertical="center"/>
    </xf>
    <xf numFmtId="0" fontId="138" fillId="0" borderId="2" xfId="0" applyFont="1" applyFill="1" applyBorder="1" applyAlignment="1">
      <alignment vertical="center"/>
    </xf>
    <xf numFmtId="0" fontId="138" fillId="0" borderId="2" xfId="0" applyFont="1" applyFill="1" applyBorder="1" applyAlignment="1">
      <alignment horizontal="right" vertical="center"/>
    </xf>
    <xf numFmtId="41" fontId="142" fillId="0" borderId="0" xfId="2908" applyFont="1" applyFill="1" applyAlignment="1">
      <alignment vertical="center"/>
    </xf>
    <xf numFmtId="41" fontId="142" fillId="15" borderId="20" xfId="2908" applyFont="1" applyFill="1" applyBorder="1" applyAlignment="1">
      <alignment vertical="center"/>
    </xf>
    <xf numFmtId="0" fontId="117" fillId="15" borderId="20" xfId="2627" applyNumberFormat="1" applyFont="1" applyFill="1" applyBorder="1" applyAlignment="1">
      <alignment horizontal="center" vertical="center"/>
    </xf>
    <xf numFmtId="0" fontId="117" fillId="15" borderId="20" xfId="2627" applyNumberFormat="1" applyFont="1" applyFill="1" applyBorder="1" applyAlignment="1">
      <alignment vertical="center"/>
    </xf>
    <xf numFmtId="0" fontId="117" fillId="15" borderId="4" xfId="0" applyFont="1" applyFill="1" applyBorder="1" applyAlignment="1">
      <alignment horizontal="center" vertical="center"/>
    </xf>
    <xf numFmtId="43" fontId="117" fillId="15" borderId="9" xfId="0" applyNumberFormat="1" applyFont="1" applyFill="1" applyBorder="1" applyAlignment="1">
      <alignment vertical="center"/>
    </xf>
    <xf numFmtId="41" fontId="117" fillId="15" borderId="4" xfId="2908" applyFont="1" applyFill="1" applyBorder="1" applyAlignment="1">
      <alignment vertical="center"/>
    </xf>
    <xf numFmtId="41" fontId="117" fillId="15" borderId="6" xfId="2908" applyFont="1" applyFill="1" applyBorder="1" applyAlignment="1">
      <alignment vertical="center"/>
    </xf>
    <xf numFmtId="0" fontId="117" fillId="15" borderId="4" xfId="0" applyFont="1" applyFill="1" applyBorder="1" applyAlignment="1">
      <alignment horizontal="center" vertical="center" shrinkToFit="1"/>
    </xf>
    <xf numFmtId="0" fontId="117" fillId="15" borderId="0" xfId="0" applyFont="1" applyFill="1" applyAlignment="1">
      <alignment vertical="center"/>
    </xf>
    <xf numFmtId="0" fontId="117" fillId="15" borderId="2" xfId="0" applyFont="1" applyFill="1" applyBorder="1" applyAlignment="1">
      <alignment vertical="center"/>
    </xf>
    <xf numFmtId="0" fontId="117" fillId="15" borderId="2" xfId="0" applyFont="1" applyFill="1" applyBorder="1" applyAlignment="1">
      <alignment horizontal="right" vertical="center"/>
    </xf>
    <xf numFmtId="0" fontId="138" fillId="13" borderId="4" xfId="2908" applyNumberFormat="1" applyFont="1" applyFill="1" applyBorder="1" applyAlignment="1">
      <alignment horizontal="center" vertical="center"/>
    </xf>
    <xf numFmtId="0" fontId="119" fillId="13" borderId="20" xfId="2908" quotePrefix="1" applyNumberFormat="1" applyFont="1" applyFill="1" applyBorder="1" applyAlignment="1">
      <alignment horizontal="center" vertical="center"/>
    </xf>
    <xf numFmtId="43" fontId="138" fillId="0" borderId="9" xfId="0" applyNumberFormat="1" applyFont="1" applyFill="1" applyBorder="1" applyAlignment="1">
      <alignment vertical="center"/>
    </xf>
    <xf numFmtId="0" fontId="138" fillId="0" borderId="4" xfId="2908" applyNumberFormat="1" applyFont="1" applyFill="1" applyBorder="1" applyAlignment="1">
      <alignment horizontal="center" vertical="center"/>
    </xf>
    <xf numFmtId="0" fontId="124" fillId="0" borderId="21" xfId="2909" applyFont="1" applyBorder="1"/>
    <xf numFmtId="41" fontId="139" fillId="0" borderId="4" xfId="2908" applyFont="1" applyFill="1" applyBorder="1" applyAlignment="1">
      <alignment vertical="center"/>
    </xf>
    <xf numFmtId="41" fontId="139" fillId="0" borderId="6" xfId="2908" applyFont="1" applyFill="1" applyBorder="1" applyAlignment="1">
      <alignment vertical="center"/>
    </xf>
    <xf numFmtId="0" fontId="124" fillId="0" borderId="21" xfId="2909" applyFont="1" applyBorder="1" applyAlignment="1"/>
    <xf numFmtId="0" fontId="139" fillId="0" borderId="4" xfId="0" applyFont="1" applyBorder="1" applyAlignment="1">
      <alignment horizontal="center" vertical="center"/>
    </xf>
    <xf numFmtId="43" fontId="139" fillId="0" borderId="9" xfId="0" applyNumberFormat="1" applyFont="1" applyBorder="1" applyAlignment="1">
      <alignment vertical="center"/>
    </xf>
    <xf numFmtId="0" fontId="139" fillId="0" borderId="0" xfId="0" applyFont="1" applyAlignment="1">
      <alignment vertical="center"/>
    </xf>
    <xf numFmtId="0" fontId="139" fillId="0" borderId="2" xfId="0" applyFont="1" applyBorder="1" applyAlignment="1">
      <alignment vertical="center"/>
    </xf>
    <xf numFmtId="0" fontId="139" fillId="0" borderId="2" xfId="0" applyFont="1" applyBorder="1" applyAlignment="1">
      <alignment horizontal="right" vertical="center"/>
    </xf>
    <xf numFmtId="0" fontId="139" fillId="13" borderId="20" xfId="2908" applyNumberFormat="1" applyFont="1" applyFill="1" applyBorder="1" applyAlignment="1">
      <alignment horizontal="center" vertical="center"/>
    </xf>
    <xf numFmtId="41" fontId="117" fillId="13" borderId="0" xfId="2908" applyFont="1" applyFill="1" applyAlignment="1">
      <alignment vertical="center"/>
    </xf>
    <xf numFmtId="41" fontId="117" fillId="13" borderId="0" xfId="0" applyNumberFormat="1" applyFont="1" applyFill="1" applyAlignment="1">
      <alignment vertical="center"/>
    </xf>
    <xf numFmtId="41" fontId="117" fillId="0" borderId="0" xfId="0" applyNumberFormat="1" applyFont="1" applyAlignment="1">
      <alignment vertical="center"/>
    </xf>
    <xf numFmtId="0" fontId="139" fillId="13" borderId="20" xfId="2627" applyNumberFormat="1" applyFont="1" applyFill="1" applyBorder="1" applyAlignment="1">
      <alignment horizontal="center" vertical="center"/>
    </xf>
    <xf numFmtId="0" fontId="139" fillId="13" borderId="20" xfId="2627" applyNumberFormat="1" applyFont="1" applyFill="1" applyBorder="1" applyAlignment="1">
      <alignment horizontal="left" vertical="center"/>
    </xf>
    <xf numFmtId="0" fontId="139" fillId="13" borderId="4" xfId="2908" applyNumberFormat="1" applyFont="1" applyFill="1" applyBorder="1" applyAlignment="1">
      <alignment horizontal="center" vertical="center"/>
    </xf>
    <xf numFmtId="41" fontId="139" fillId="13" borderId="9" xfId="2908" applyFont="1" applyFill="1" applyBorder="1" applyAlignment="1">
      <alignment vertical="center"/>
    </xf>
    <xf numFmtId="0" fontId="142" fillId="13" borderId="20" xfId="2908" applyNumberFormat="1" applyFont="1" applyFill="1" applyBorder="1" applyAlignment="1">
      <alignment horizontal="center" vertical="center"/>
    </xf>
    <xf numFmtId="0" fontId="142" fillId="13" borderId="20" xfId="2627" applyNumberFormat="1" applyFont="1" applyFill="1" applyBorder="1" applyAlignment="1">
      <alignment vertical="center"/>
    </xf>
    <xf numFmtId="0" fontId="142" fillId="13" borderId="4" xfId="0" applyFont="1" applyFill="1" applyBorder="1" applyAlignment="1">
      <alignment horizontal="center" vertical="center"/>
    </xf>
    <xf numFmtId="43" fontId="142" fillId="13" borderId="9" xfId="0" applyNumberFormat="1" applyFont="1" applyFill="1" applyBorder="1" applyAlignment="1">
      <alignment vertical="center"/>
    </xf>
    <xf numFmtId="41" fontId="142" fillId="13" borderId="4" xfId="2908" applyFont="1" applyFill="1" applyBorder="1" applyAlignment="1">
      <alignment vertical="center"/>
    </xf>
    <xf numFmtId="41" fontId="142" fillId="13" borderId="6" xfId="2908" applyFont="1" applyFill="1" applyBorder="1" applyAlignment="1">
      <alignment vertical="center"/>
    </xf>
    <xf numFmtId="0" fontId="142" fillId="13" borderId="0" xfId="0" applyFont="1" applyFill="1" applyAlignment="1">
      <alignment vertical="center"/>
    </xf>
    <xf numFmtId="0" fontId="142" fillId="13" borderId="2" xfId="0" applyFont="1" applyFill="1" applyBorder="1" applyAlignment="1">
      <alignment vertical="center"/>
    </xf>
    <xf numFmtId="0" fontId="142" fillId="13" borderId="2" xfId="0" applyFont="1" applyFill="1" applyBorder="1" applyAlignment="1">
      <alignment horizontal="right" vertical="center"/>
    </xf>
    <xf numFmtId="0" fontId="142" fillId="13" borderId="20" xfId="2627" applyNumberFormat="1" applyFont="1" applyFill="1" applyBorder="1" applyAlignment="1">
      <alignment horizontal="center" vertical="center"/>
    </xf>
    <xf numFmtId="0" fontId="142" fillId="13" borderId="20" xfId="2627" applyNumberFormat="1" applyFont="1" applyFill="1" applyBorder="1" applyAlignment="1">
      <alignment horizontal="left" vertical="center"/>
    </xf>
    <xf numFmtId="0" fontId="142" fillId="13" borderId="4" xfId="2908" applyNumberFormat="1" applyFont="1" applyFill="1" applyBorder="1" applyAlignment="1">
      <alignment horizontal="center" vertical="center"/>
    </xf>
    <xf numFmtId="2" fontId="142" fillId="13" borderId="9" xfId="0" applyNumberFormat="1" applyFont="1" applyFill="1" applyBorder="1" applyAlignment="1">
      <alignment vertical="center"/>
    </xf>
    <xf numFmtId="41" fontId="139" fillId="15" borderId="0" xfId="2908" applyFont="1" applyFill="1" applyAlignment="1">
      <alignment vertical="center"/>
    </xf>
    <xf numFmtId="41" fontId="117" fillId="0" borderId="0" xfId="2908" applyFont="1" applyFill="1" applyAlignment="1">
      <alignment vertical="center"/>
    </xf>
    <xf numFmtId="41" fontId="117" fillId="0" borderId="0" xfId="2908" applyFont="1" applyAlignment="1">
      <alignment vertical="center"/>
    </xf>
    <xf numFmtId="41" fontId="118" fillId="0" borderId="0" xfId="2908" applyFont="1" applyAlignment="1">
      <alignment vertical="center"/>
    </xf>
    <xf numFmtId="0" fontId="120" fillId="0" borderId="0" xfId="2909" applyFont="1" applyAlignment="1">
      <alignment horizontal="center"/>
    </xf>
    <xf numFmtId="0" fontId="121" fillId="0" borderId="0" xfId="2907" applyFont="1" applyAlignment="1">
      <alignment horizontal="center"/>
    </xf>
    <xf numFmtId="57" fontId="122" fillId="0" borderId="0" xfId="2909" applyNumberFormat="1" applyFont="1" applyAlignment="1">
      <alignment horizontal="right"/>
    </xf>
    <xf numFmtId="0" fontId="124" fillId="0" borderId="21" xfId="2909" applyFont="1" applyBorder="1"/>
    <xf numFmtId="0" fontId="124" fillId="0" borderId="0" xfId="2909" applyFont="1" applyAlignment="1">
      <alignment horizontal="left"/>
    </xf>
    <xf numFmtId="0" fontId="131" fillId="7" borderId="38" xfId="0" applyFont="1" applyFill="1" applyBorder="1" applyAlignment="1">
      <alignment horizontal="center" vertical="center"/>
    </xf>
    <xf numFmtId="0" fontId="131" fillId="7" borderId="27" xfId="0" applyFont="1" applyFill="1" applyBorder="1" applyAlignment="1">
      <alignment horizontal="center" vertical="center"/>
    </xf>
    <xf numFmtId="0" fontId="128" fillId="0" borderId="0" xfId="2627" applyNumberFormat="1" applyFont="1" applyFill="1" applyBorder="1" applyAlignment="1">
      <alignment vertical="center"/>
    </xf>
    <xf numFmtId="0" fontId="131" fillId="7" borderId="38" xfId="2627" applyNumberFormat="1" applyFont="1" applyFill="1" applyBorder="1" applyAlignment="1">
      <alignment horizontal="center" vertical="center"/>
    </xf>
    <xf numFmtId="0" fontId="131" fillId="7" borderId="27" xfId="2627" applyNumberFormat="1" applyFont="1" applyFill="1" applyBorder="1" applyAlignment="1">
      <alignment horizontal="center" vertical="center"/>
    </xf>
    <xf numFmtId="43" fontId="131" fillId="7" borderId="38" xfId="0" applyNumberFormat="1" applyFont="1" applyFill="1" applyBorder="1" applyAlignment="1">
      <alignment horizontal="center" vertical="center"/>
    </xf>
    <xf numFmtId="43" fontId="131" fillId="7" borderId="27" xfId="0" applyNumberFormat="1" applyFont="1" applyFill="1" applyBorder="1" applyAlignment="1">
      <alignment horizontal="center" vertical="center"/>
    </xf>
    <xf numFmtId="179" fontId="131" fillId="7" borderId="38" xfId="2627" applyFont="1" applyFill="1" applyBorder="1" applyAlignment="1">
      <alignment horizontal="center" vertical="center"/>
    </xf>
    <xf numFmtId="0" fontId="137" fillId="16" borderId="37" xfId="0" applyFont="1" applyFill="1" applyBorder="1" applyAlignment="1">
      <alignment horizontal="center" vertical="center"/>
    </xf>
    <xf numFmtId="0" fontId="137" fillId="16" borderId="38" xfId="0" applyFont="1" applyFill="1" applyBorder="1" applyAlignment="1">
      <alignment horizontal="center" vertical="center"/>
    </xf>
    <xf numFmtId="0" fontId="113" fillId="0" borderId="28" xfId="2627" applyNumberFormat="1" applyFont="1" applyFill="1" applyBorder="1" applyAlignment="1">
      <alignment vertical="center"/>
    </xf>
    <xf numFmtId="0" fontId="115" fillId="7" borderId="27" xfId="0" applyFont="1" applyFill="1" applyBorder="1" applyAlignment="1">
      <alignment horizontal="center" vertical="center"/>
    </xf>
    <xf numFmtId="0" fontId="115" fillId="16" borderId="27" xfId="2627" applyNumberFormat="1" applyFont="1" applyFill="1" applyBorder="1" applyAlignment="1">
      <alignment horizontal="center" vertical="center"/>
    </xf>
    <xf numFmtId="0" fontId="115" fillId="16" borderId="27" xfId="0" applyFont="1" applyFill="1" applyBorder="1" applyAlignment="1">
      <alignment horizontal="center" vertical="center"/>
    </xf>
    <xf numFmtId="43" fontId="115" fillId="16" borderId="27" xfId="0" applyNumberFormat="1" applyFont="1" applyFill="1" applyBorder="1" applyAlignment="1">
      <alignment horizontal="center" vertical="center"/>
    </xf>
    <xf numFmtId="179" fontId="115" fillId="16" borderId="27" xfId="2627" applyFont="1" applyFill="1" applyBorder="1" applyAlignment="1">
      <alignment horizontal="center" vertical="center"/>
    </xf>
  </cellXfs>
  <cellStyles count="2911">
    <cellStyle name=" " xfId="1"/>
    <cellStyle name=" _97연말" xfId="2"/>
    <cellStyle name=" _97연말_방수-대맥" xfId="3"/>
    <cellStyle name=" _97연말1" xfId="4"/>
    <cellStyle name=" _97연말1_방수-대맥" xfId="5"/>
    <cellStyle name=" _Book1" xfId="6"/>
    <cellStyle name=" _Book1_방수-대맥" xfId="7"/>
    <cellStyle name=" _방수-대맥" xfId="8"/>
    <cellStyle name="&quot;" xfId="9"/>
    <cellStyle name="#,##0" xfId="10"/>
    <cellStyle name="$" xfId="11"/>
    <cellStyle name="$_db진흥" xfId="12"/>
    <cellStyle name="$_견적2" xfId="13"/>
    <cellStyle name="$_기아" xfId="14"/>
    <cellStyle name="(##.00)" xfId="15"/>
    <cellStyle name="(△콤마)" xfId="16"/>
    <cellStyle name="(백분율)" xfId="17"/>
    <cellStyle name="(콤마)" xfId="18"/>
    <cellStyle name="??_x000c_둄_x001b__x000d_|?_x0001_?_x0003__x0014__x0007__x0001__x0001_" xfId="19"/>
    <cellStyle name="??&amp;5_x0007_?._x0007_9_x0008_??_x0007__x0001__x0001_" xfId="20"/>
    <cellStyle name="??&amp;6_x0007_?/_x0007_9_x0008_??_x0007__x0001__x0001_" xfId="21"/>
    <cellStyle name="??&amp;O?&amp;H?_x0008__x000f__x0007_?_x0007__x0001__x0001_" xfId="22"/>
    <cellStyle name="??&amp;O?&amp;H?_x0008_??_x0007__x0001__x0001_" xfId="23"/>
    <cellStyle name="??&amp;멅?둃9_x0008_??_x0007__x0001__x0001_" xfId="24"/>
    <cellStyle name="??&amp;쏗?뷐9_x0008__x0011__x0007_?_x0007__x0001__x0001_" xfId="25"/>
    <cellStyle name="???­ [0]_±??¸" xfId="26"/>
    <cellStyle name="???­_±??¸" xfId="27"/>
    <cellStyle name="???Ø_¿?°?¿?¾?º¸°?" xfId="28"/>
    <cellStyle name="??_pldt" xfId="29"/>
    <cellStyle name="?ðC%U?&amp;H?_x0008_?s_x000a__x0007__x0001__x0001_" xfId="30"/>
    <cellStyle name="?Þ¸¶ [0]_±??¸" xfId="31"/>
    <cellStyle name="?Þ¸¶_±??¸" xfId="32"/>
    <cellStyle name="?W?_laroux" xfId="33"/>
    <cellStyle name="?曹%U?&amp;H?_x0008_?s_x000a__x0007__x0001__x0001_" xfId="34"/>
    <cellStyle name="?珠??? " xfId="35"/>
    <cellStyle name="_(02.03.05) 묵동 현장관리비 실행" xfId="36"/>
    <cellStyle name="_(02.03.08) 묵동 현장관리비 실행" xfId="37"/>
    <cellStyle name="_(02.09.17)인천 삼산1지구 2블럭 주공아파트" xfId="38"/>
    <cellStyle name="_(02.09.23  64,000평)인천 삼산1지구 2블럭 " xfId="39"/>
    <cellStyle name="_(07.31 최종확정)묵동 실행예산" xfId="40"/>
    <cellStyle name="_(09.05)인천원당 공통가설공사" xfId="41"/>
    <cellStyle name="_00" xfId="42"/>
    <cellStyle name="_00012002년 업체평가 결과 현장전파공문(030310)" xfId="43"/>
    <cellStyle name="_001-인원및일반관리비" xfId="44"/>
    <cellStyle name="_01.본실행" xfId="45"/>
    <cellStyle name="_0106-06-007 금속 및 수장공사 단가견적- 대림" xfId="46"/>
    <cellStyle name="_01-1.본실행.간접비" xfId="47"/>
    <cellStyle name="_01-건축공사" xfId="48"/>
    <cellStyle name="_02.본실행(건축)" xfId="49"/>
    <cellStyle name="_02.본실행(건축1)" xfId="50"/>
    <cellStyle name="_0210 암센타 내역 A ZONE" xfId="51"/>
    <cellStyle name="_02-도급공사비내역" xfId="52"/>
    <cellStyle name="_03 실행내역(대전MBC)-건축토목" xfId="53"/>
    <cellStyle name="_03_정보통신R.C공사(051031)" xfId="54"/>
    <cellStyle name="_04 건축-인테리어(주거)공내역" xfId="55"/>
    <cellStyle name="_0426 제주 봉개 견적서(제출)" xfId="56"/>
    <cellStyle name="_05 건축-인테리어(상업)공내역" xfId="57"/>
    <cellStyle name="_05_방수공사" xfId="58"/>
    <cellStyle name="_05_방수공사(6.21)" xfId="59"/>
    <cellStyle name="_050728 IBM Lounge Renovation Work" xfId="60"/>
    <cellStyle name="_050805 스파피스-입찰내역서" xfId="61"/>
    <cellStyle name="_050829 Schedule of Rate for Intel R&amp;D Center" xfId="62"/>
    <cellStyle name="_0510 CGV 수원인계8" xfId="63"/>
    <cellStyle name="_0512제출(1공구)" xfId="64"/>
    <cellStyle name="_0513 견적서양식및3개평형별내역" xfId="65"/>
    <cellStyle name="_0514회의확정자료" xfId="66"/>
    <cellStyle name="_0524 특기시방" xfId="67"/>
    <cellStyle name="_060621 뉴 금오산 호텔 본관" xfId="68"/>
    <cellStyle name="_061114 GS MART A,B,C복층 내역(제출)" xfId="69"/>
    <cellStyle name="_07_미장공사" xfId="70"/>
    <cellStyle name="_07_진장점-미장공사 발주-진장점-RDR-051031" xfId="71"/>
    <cellStyle name="_070111 한우리리조트(취합)-공종분류" xfId="72"/>
    <cellStyle name="_070119 서초동쇼룸(최종)" xfId="73"/>
    <cellStyle name="_08-가실행내역" xfId="74"/>
    <cellStyle name="_09_흡음단열공사" xfId="75"/>
    <cellStyle name="_0901작업1-금액분리" xfId="76"/>
    <cellStyle name="_1 총괄-건축집행(평창콘도)" xfId="77"/>
    <cellStyle name="_1. 삼성동 실행 030225(조적추가)" xfId="78"/>
    <cellStyle name="_1. 삼성동 실행(030329)" xfId="79"/>
    <cellStyle name="_1. 송도신도시현장관리비전순일검토" xfId="80"/>
    <cellStyle name="_12_스텐스틸창호" xfId="81"/>
    <cellStyle name="_16_진장점수장공사(051209)" xfId="82"/>
    <cellStyle name="_2001전북도청 실행예산" xfId="83"/>
    <cellStyle name="_2002년 업체평가 결과 현장전파공문(030310)" xfId="84"/>
    <cellStyle name="_2003년전망(현장발송본) " xfId="85"/>
    <cellStyle name="_3. 인천간석동현장관리비전순일 분석" xfId="86"/>
    <cellStyle name="_4. 파주 변경 현장안20030128" xfId="87"/>
    <cellStyle name="_A" xfId="88"/>
    <cellStyle name="_A0509-가실행(파주)" xfId="89"/>
    <cellStyle name="_A-0902건축공사확정(대안포함)" xfId="90"/>
    <cellStyle name="_A-0902조경공사확정(대안포함)" xfId="91"/>
    <cellStyle name="_AA" xfId="92"/>
    <cellStyle name="_A발주자참고내역003-전기공사" xfId="93"/>
    <cellStyle name="_BAT현장(본실행1)" xfId="94"/>
    <cellStyle name="_Book1" xfId="95"/>
    <cellStyle name="_Book2" xfId="96"/>
    <cellStyle name="_BOQ(Hang Lung)" xfId="97"/>
    <cellStyle name="_BOQ(Hang Lung-rev1)" xfId="98"/>
    <cellStyle name="_FCST (2)" xfId="99"/>
    <cellStyle name="_KIL11107비교xls" xfId="100"/>
    <cellStyle name="_KT견적요청" xfId="101"/>
    <cellStyle name="_LG2,3,4,6층(0313)" xfId="102"/>
    <cellStyle name="_N-A023정보통신수장(바닥-060425)-최종" xfId="103"/>
    <cellStyle name="_N-A023정보통신수장(바닥-060425)-최종_1차 기성 내역서 0612023" xfId="104"/>
    <cellStyle name="_N-A023정보통신수장(바닥-060425)-최종_3차네고견적(061017-1)" xfId="105"/>
    <cellStyle name="_N-A023정보통신수장(바닥-060425)-최종_문화센타" xfId="106"/>
    <cellStyle name="_NA-A012정보통신알미늄커튼월공사(060119)" xfId="107"/>
    <cellStyle name="_NC12E1F75" xfId="108"/>
    <cellStyle name="_NC22E43F4" xfId="109"/>
    <cellStyle name="_NC2308EFD" xfId="110"/>
    <cellStyle name="_NC85018F" xfId="111"/>
    <cellStyle name="_NCA07108" xfId="112"/>
    <cellStyle name="_NCF3A0B2" xfId="113"/>
    <cellStyle name="_port" xfId="114"/>
    <cellStyle name="_RESULTS" xfId="115"/>
    <cellStyle name="_SK건설추정견적" xfId="116"/>
    <cellStyle name="_SK-역삼동 Leaders View EST 050711" xfId="117"/>
    <cellStyle name="_summary for MTRC P3" xfId="118"/>
    <cellStyle name="_Unit rate &amp; Quantity" xfId="119"/>
    <cellStyle name="_X" xfId="120"/>
    <cellStyle name="_가로양식(2005)" xfId="121"/>
    <cellStyle name="_가실행" xfId="122"/>
    <cellStyle name="_가실행 최종본사분" xfId="123"/>
    <cellStyle name="_가실행(3th)" xfId="124"/>
    <cellStyle name="_가실행(대전아울렛)" xfId="125"/>
    <cellStyle name="_가실행(대혜건축)" xfId="126"/>
    <cellStyle name="_가실행(분리발주)" xfId="127"/>
    <cellStyle name="_가실행(조선대)-최종" xfId="128"/>
    <cellStyle name="_가실행내역(김해공항)" xfId="129"/>
    <cellStyle name="_가실행-화물터미널B(수정)" xfId="130"/>
    <cellStyle name="_가실행-화물터미널B(재수정)" xfId="131"/>
    <cellStyle name="_간석동실행" xfId="132"/>
    <cellStyle name="_간석동실행(확정)" xfId="133"/>
    <cellStyle name="_간석동현장관리비(alt3-2)1021" xfId="134"/>
    <cellStyle name="_간접비(01.09.28-변경내용포함)" xfId="135"/>
    <cellStyle name="_강제창호 및 잡철공사" xfId="136"/>
    <cellStyle name="_개산견적" xfId="137"/>
    <cellStyle name="_건축_공내역" xfId="138"/>
    <cellStyle name="_건축내역" xfId="139"/>
    <cellStyle name="_건축내역2" xfId="140"/>
    <cellStyle name="_건축내역서(단가입력)" xfId="141"/>
    <cellStyle name="_건축사업팀검토008-철골공사Ⅲ" xfId="142"/>
    <cellStyle name="_검단 실행 작성(0515)" xfId="143"/>
    <cellStyle name="_검단 최종(변경0623 최종)" xfId="144"/>
    <cellStyle name="_검암2차사전공사(본사검토) " xfId="145"/>
    <cellStyle name="_검암2차사전공사(본사검토) _1차 기성 내역서 0612023" xfId="146"/>
    <cellStyle name="_검암2차사전공사(본사검토) _3차네고견적(061017-1)" xfId="147"/>
    <cellStyle name="_검암2차사전공사(본사검토) _문화센타" xfId="148"/>
    <cellStyle name="_검암2차사전공사(본사검토) _총괄내역표" xfId="149"/>
    <cellStyle name="_견적 질의서" xfId="150"/>
    <cellStyle name="_견적기준(운송대리점)" xfId="151"/>
    <cellStyle name="_견적서(서초포스코)" xfId="152"/>
    <cellStyle name="_견적서표지" xfId="153"/>
    <cellStyle name="_견적양식-가로" xfId="154"/>
    <cellStyle name="_견적의뢰양식" xfId="155"/>
    <cellStyle name="_견적조건" xfId="156"/>
    <cellStyle name="_결정01-총괄가실행(0820)" xfId="157"/>
    <cellStyle name="_경쟁사" xfId="158"/>
    <cellStyle name="_공내역서(송파트리플)" xfId="159"/>
    <cellStyle name="_공내역서_토목" xfId="160"/>
    <cellStyle name="_공사개요(건축사업팀03.09.02)" xfId="161"/>
    <cellStyle name="_공정표" xfId="162"/>
    <cellStyle name="_공종분개작업" xfId="163"/>
    <cellStyle name="_관리비" xfId="164"/>
    <cellStyle name="_광주+속초내역(듀엘견적)" xfId="165"/>
    <cellStyle name="_교원그룹 낙산 숙박시설 신축공사" xfId="166"/>
    <cellStyle name="_구월동오피스텔(이토협의)의 백업" xfId="167"/>
    <cellStyle name="_그랜드호텔(본실행)" xfId="168"/>
    <cellStyle name="_내역003-추정내역" xfId="169"/>
    <cellStyle name="_내역서_토목" xfId="170"/>
    <cellStyle name="_단가표" xfId="171"/>
    <cellStyle name="_단위세대물량산출서" xfId="172"/>
    <cellStyle name="_당팀-가실행작업" xfId="173"/>
    <cellStyle name="_대림-온양온천역사 EST 050427-제출" xfId="174"/>
    <cellStyle name="_대림-전주가톨릭센터 EST 050516-제출" xfId="175"/>
    <cellStyle name="_대림-전주카톨릭센터 EST 051005" xfId="176"/>
    <cellStyle name="_대림-한국토지공사 광주사옥 EST 050502-제출" xfId="177"/>
    <cellStyle name="_대비표양식" xfId="178"/>
    <cellStyle name="_도곡동실행1차" xfId="179"/>
    <cellStyle name="_도곡동토공사사발주계획" xfId="180"/>
    <cellStyle name="_도급공사변경Ⅰ(0626)" xfId="181"/>
    <cellStyle name="_도봉동 빌라실행보고서" xfId="182"/>
    <cellStyle name="_라이나 대구 (8차)" xfId="183"/>
    <cellStyle name="_마가레트 호텔" xfId="184"/>
    <cellStyle name="_매입세근거" xfId="185"/>
    <cellStyle name="_매입세근거_습식공사현설" xfId="186"/>
    <cellStyle name="_문래동 방적 방림" xfId="187"/>
    <cellStyle name="_문래동가실행" xfId="188"/>
    <cellStyle name="_문래동쇼핑몰" xfId="189"/>
    <cellStyle name="_변경내역5" xfId="190"/>
    <cellStyle name="_변경내역7(보고)" xfId="191"/>
    <cellStyle name="_변경내역서(건축외)" xfId="192"/>
    <cellStyle name="_보고02-건축공사감액보고서(0714)" xfId="193"/>
    <cellStyle name="_보고서 cover" xfId="194"/>
    <cellStyle name="_부에나비스타 빌라 설계견적" xfId="195"/>
    <cellStyle name="_분당파크뷰시공계획서(송산)" xfId="196"/>
    <cellStyle name="_분석001-구조체투입관련" xfId="197"/>
    <cellStyle name="_빌라평당비교표" xfId="198"/>
    <cellStyle name="_사본 - 인테리어실행내역" xfId="199"/>
    <cellStyle name="_사본 - 조경실행내역" xfId="200"/>
    <cellStyle name="_사전공사(토목본사검토) " xfId="201"/>
    <cellStyle name="_사전공사(토목본사검토) _1차 기성 내역서 0612023" xfId="202"/>
    <cellStyle name="_사전공사(토목본사검토) _3차네고견적(061017-1)" xfId="203"/>
    <cellStyle name="_사전공사(토목본사검토) _문화센타" xfId="204"/>
    <cellStyle name="_사전공사(토목본사검토) _총괄내역표" xfId="205"/>
    <cellStyle name="_산출001-공동구공사" xfId="206"/>
    <cellStyle name="_삼성 실행 내역 수정" xfId="207"/>
    <cellStyle name="_서울 중앙우체국 인테리어공사(03.10.08)" xfId="208"/>
    <cellStyle name="_서울 중앙우체국 인테리어공사(04.03.29)철희실행(0417)" xfId="209"/>
    <cellStyle name="_성원오피스텔휘트니스센터" xfId="210"/>
    <cellStyle name="_세로양식(2005)" xfId="211"/>
    <cellStyle name="_센터블 스파신축공사(토목공사-정주공영)" xfId="212"/>
    <cellStyle name="_수정-공항운송도급내역(0917)" xfId="213"/>
    <cellStyle name="_수정이여2003.05.19xls" xfId="214"/>
    <cellStyle name="_스틸커튼월 사전공사 승인요청(평창콘도)" xfId="215"/>
    <cellStyle name="_신규(철골공사)집행예산 승인요청" xfId="216"/>
    <cellStyle name="_신촌(2차)트리플지점(원본)" xfId="217"/>
    <cellStyle name="_실행" xfId="218"/>
    <cellStyle name="_실행(갑지)" xfId="219"/>
    <cellStyle name="_실행01-총괄가실행(0828)" xfId="220"/>
    <cellStyle name="_실행갑지" xfId="221"/>
    <cellStyle name="_실행갑지(변경)" xfId="222"/>
    <cellStyle name="_실행내역" xfId="223"/>
    <cellStyle name="_실행내역(아+부)" xfId="224"/>
    <cellStyle name="_實行內譯書(평내)" xfId="225"/>
    <cellStyle name="_실행예산(사장님)" xfId="226"/>
    <cellStyle name="_실행예산(최종사장님승인)" xfId="227"/>
    <cellStyle name="_실행최종(12.18)" xfId="228"/>
    <cellStyle name="_아미고터워 리모델링공사(계약,실행내역)9월.3일 " xfId="229"/>
    <cellStyle name="_아크로리버기준-개산견적기준(건축)" xfId="230"/>
    <cellStyle name="_안동최종정산" xfId="231"/>
    <cellStyle name="_양재동 도매센타(수정1006)" xfId="232"/>
    <cellStyle name="_여의도(실행)" xfId="233"/>
    <cellStyle name="_오공본드" xfId="234"/>
    <cellStyle name="_용인동백C2-3" xfId="235"/>
    <cellStyle name="_우면동주택계약내역서초안(1110)" xfId="236"/>
    <cellStyle name="_원당 1차 실행001(030329)" xfId="237"/>
    <cellStyle name="_원당실행내역" xfId="238"/>
    <cellStyle name="_이건창호-풍림 평창콘도 제안서(071228)" xfId="239"/>
    <cellStyle name="_이행각서" xfId="240"/>
    <cellStyle name="_인원계획표 " xfId="241"/>
    <cellStyle name="_인원계획표 _04028적산수량집계" xfId="242"/>
    <cellStyle name="_인원계획표 _04-가실행(작업중)" xfId="243"/>
    <cellStyle name="_인원계획표 _04-가실행(작업중1)" xfId="244"/>
    <cellStyle name="_인원계획표 _1차 기성 내역서 0612023" xfId="245"/>
    <cellStyle name="_인원계획표 _3차네고견적(061017-1)" xfId="246"/>
    <cellStyle name="_인원계획표 _KT견적요청" xfId="247"/>
    <cellStyle name="_인원계획표 _가실행" xfId="248"/>
    <cellStyle name="_인원계획표 _건축내역서(가경)" xfId="249"/>
    <cellStyle name="_인원계획표 _검암2차사전공사(본사검토) " xfId="250"/>
    <cellStyle name="_인원계획표 _검암2차사전공사(본사검토) _1차 기성 내역서 0612023" xfId="251"/>
    <cellStyle name="_인원계획표 _검암2차사전공사(본사검토) _3차네고견적(061017-1)" xfId="252"/>
    <cellStyle name="_인원계획표 _검암2차사전공사(본사검토) _문화센타" xfId="253"/>
    <cellStyle name="_인원계획표 _검암2차사전공사(본사검토) _총괄내역표" xfId="254"/>
    <cellStyle name="_인원계획표 _문화센타" xfId="255"/>
    <cellStyle name="_인원계획표 _부천소사점내역서" xfId="256"/>
    <cellStyle name="_인원계획표 _비교표(시화,청주)" xfId="257"/>
    <cellStyle name="_인원계획표 _비교표(청주가경점)" xfId="258"/>
    <cellStyle name="_인원계획표 _사전공사(토목본사검토) " xfId="259"/>
    <cellStyle name="_인원계획표 _사전공사(토목본사검토) _1차 기성 내역서 0612023" xfId="260"/>
    <cellStyle name="_인원계획표 _사전공사(토목본사검토) _3차네고견적(061017-1)" xfId="261"/>
    <cellStyle name="_인원계획표 _사전공사(토목본사검토) _문화센타" xfId="262"/>
    <cellStyle name="_인원계획표 _사전공사(토목본사검토) _총괄내역표" xfId="263"/>
    <cellStyle name="_인원계획표 _수원-가실행" xfId="264"/>
    <cellStyle name="_인원계획표 _순천점내역서" xfId="265"/>
    <cellStyle name="_인원계획표 _이행각서" xfId="266"/>
    <cellStyle name="_인원계획표 _적격 " xfId="267"/>
    <cellStyle name="_인원계획표 _적격 _04028적산수량집계" xfId="268"/>
    <cellStyle name="_인원계획표 _적격 _04-가실행(작업중)" xfId="269"/>
    <cellStyle name="_인원계획표 _적격 _04-가실행(작업중1)" xfId="270"/>
    <cellStyle name="_인원계획표 _적격 _1차 기성 내역서 0612023" xfId="271"/>
    <cellStyle name="_인원계획표 _적격 _3차네고견적(061017-1)" xfId="272"/>
    <cellStyle name="_인원계획표 _적격 _KT견적요청" xfId="273"/>
    <cellStyle name="_인원계획표 _적격 _가실행" xfId="274"/>
    <cellStyle name="_인원계획표 _적격 _건축내역서(가경)" xfId="275"/>
    <cellStyle name="_인원계획표 _적격 _문화센타" xfId="276"/>
    <cellStyle name="_인원계획표 _적격 _부천소사점내역서" xfId="277"/>
    <cellStyle name="_인원계획표 _적격 _비교표(시화,청주)" xfId="278"/>
    <cellStyle name="_인원계획표 _적격 _비교표(청주가경점)" xfId="279"/>
    <cellStyle name="_인원계획표 _적격 _수원-가실행" xfId="280"/>
    <cellStyle name="_인원계획표 _적격 _순천점내역서" xfId="281"/>
    <cellStyle name="_인원계획표 _적격 _총괄내역표" xfId="282"/>
    <cellStyle name="_인원계획표 _총괄내역표" xfId="283"/>
    <cellStyle name="_인원계획표 _포기각서" xfId="284"/>
    <cellStyle name="_인원계획표 _현설양식" xfId="285"/>
    <cellStyle name="_인원계획표 _현장설명" xfId="286"/>
    <cellStyle name="_인테리어공사 발주계획서" xfId="287"/>
    <cellStyle name="_인테리어발주 건축공사" xfId="288"/>
    <cellStyle name="_일위(김천)" xfId="289"/>
    <cellStyle name="_일위(포천)" xfId="290"/>
    <cellStyle name="_입찰갑지" xfId="291"/>
    <cellStyle name="_입찰표지 " xfId="292"/>
    <cellStyle name="_입찰표지 _04028적산수량집계" xfId="293"/>
    <cellStyle name="_입찰표지 _04-가실행(작업중)" xfId="294"/>
    <cellStyle name="_입찰표지 _04-가실행(작업중1)" xfId="295"/>
    <cellStyle name="_입찰표지 _1차 기성 내역서 0612023" xfId="296"/>
    <cellStyle name="_입찰표지 _3차네고견적(061017-1)" xfId="297"/>
    <cellStyle name="_입찰표지 _KT견적요청" xfId="298"/>
    <cellStyle name="_입찰표지 _가실행" xfId="299"/>
    <cellStyle name="_입찰표지 _건축내역서(가경)" xfId="300"/>
    <cellStyle name="_입찰표지 _검암2차사전공사(본사검토) " xfId="301"/>
    <cellStyle name="_입찰표지 _검암2차사전공사(본사검토) _1차 기성 내역서 0612023" xfId="302"/>
    <cellStyle name="_입찰표지 _검암2차사전공사(본사검토) _3차네고견적(061017-1)" xfId="303"/>
    <cellStyle name="_입찰표지 _검암2차사전공사(본사검토) _문화센타" xfId="304"/>
    <cellStyle name="_입찰표지 _검암2차사전공사(본사검토) _총괄내역표" xfId="305"/>
    <cellStyle name="_입찰표지 _문화센타" xfId="306"/>
    <cellStyle name="_입찰표지 _부천소사점내역서" xfId="307"/>
    <cellStyle name="_입찰표지 _비교표(시화,청주)" xfId="308"/>
    <cellStyle name="_입찰표지 _비교표(청주가경점)" xfId="309"/>
    <cellStyle name="_입찰표지 _사전공사(토목본사검토) " xfId="310"/>
    <cellStyle name="_입찰표지 _사전공사(토목본사검토) _1차 기성 내역서 0612023" xfId="311"/>
    <cellStyle name="_입찰표지 _사전공사(토목본사검토) _3차네고견적(061017-1)" xfId="312"/>
    <cellStyle name="_입찰표지 _사전공사(토목본사검토) _문화센타" xfId="313"/>
    <cellStyle name="_입찰표지 _수원-가실행" xfId="314"/>
    <cellStyle name="_입찰표지 _순천점내역서" xfId="315"/>
    <cellStyle name="_입찰표지 _이행각서" xfId="316"/>
    <cellStyle name="_입찰표지 _총괄내역표" xfId="317"/>
    <cellStyle name="_입찰표지 _포기각서" xfId="318"/>
    <cellStyle name="_입찰표지 _현설양식" xfId="319"/>
    <cellStyle name="_입찰표지 _현장설명" xfId="320"/>
    <cellStyle name="_입찰품의" xfId="321"/>
    <cellStyle name="_입찰품의(HANG LUNG)" xfId="322"/>
    <cellStyle name="_입찰품의(HANG LUNG-Rev1)" xfId="323"/>
    <cellStyle name="_입찰품의(KIL)" xfId="324"/>
    <cellStyle name="_자료01-공통가설" xfId="325"/>
    <cellStyle name="_자료03-대안수량조정실행대비표" xfId="326"/>
    <cellStyle name="_자료06-토목공사" xfId="327"/>
    <cellStyle name="_자재단가의뢰" xfId="328"/>
    <cellStyle name="_작업01-조경공사0709" xfId="329"/>
    <cellStyle name="_장지도급(공종분개)-결재용" xfId="330"/>
    <cellStyle name="_적격 " xfId="331"/>
    <cellStyle name="_적격 _04028적산수량집계" xfId="332"/>
    <cellStyle name="_적격 _04-가실행(작업중)" xfId="333"/>
    <cellStyle name="_적격 _04-가실행(작업중1)" xfId="334"/>
    <cellStyle name="_적격 _1차 기성 내역서 0612023" xfId="335"/>
    <cellStyle name="_적격 _3차네고견적(061017-1)" xfId="336"/>
    <cellStyle name="_적격 _KT견적요청" xfId="337"/>
    <cellStyle name="_적격 _가실행" xfId="338"/>
    <cellStyle name="_적격 _건축내역서(가경)" xfId="339"/>
    <cellStyle name="_적격 _문화센타" xfId="340"/>
    <cellStyle name="_적격 _부천소사점내역서" xfId="341"/>
    <cellStyle name="_적격 _비교표(시화,청주)" xfId="342"/>
    <cellStyle name="_적격 _비교표(청주가경점)" xfId="343"/>
    <cellStyle name="_적격 _수원-가실행" xfId="344"/>
    <cellStyle name="_적격 _순천점내역서" xfId="345"/>
    <cellStyle name="_적격 _집행갑지 " xfId="346"/>
    <cellStyle name="_적격 _집행갑지 _1차 기성 내역서 0612023" xfId="347"/>
    <cellStyle name="_적격 _집행갑지 _3차네고견적(061017-1)" xfId="348"/>
    <cellStyle name="_적격 _집행갑지 _건축내역서(가경)" xfId="349"/>
    <cellStyle name="_적격 _집행갑지 _문화센타" xfId="350"/>
    <cellStyle name="_적격 _집행갑지 _부천소사점내역서" xfId="351"/>
    <cellStyle name="_적격 _집행갑지 _비교표(시화,청주)" xfId="352"/>
    <cellStyle name="_적격 _집행갑지 _비교표(청주가경점)" xfId="353"/>
    <cellStyle name="_적격 _집행갑지 _순천점내역서" xfId="354"/>
    <cellStyle name="_적격(화산) " xfId="355"/>
    <cellStyle name="_적격(화산) _04028적산수량집계" xfId="356"/>
    <cellStyle name="_적격(화산) _04-가실행(작업중)" xfId="357"/>
    <cellStyle name="_적격(화산) _04-가실행(작업중1)" xfId="358"/>
    <cellStyle name="_적격(화산) _1차 기성 내역서 0612023" xfId="359"/>
    <cellStyle name="_적격(화산) _3차네고견적(061017-1)" xfId="360"/>
    <cellStyle name="_적격(화산) _KT견적요청" xfId="361"/>
    <cellStyle name="_적격(화산) _가실행" xfId="362"/>
    <cellStyle name="_적격(화산) _건축내역서(가경)" xfId="363"/>
    <cellStyle name="_적격(화산) _검암2차사전공사(본사검토) " xfId="364"/>
    <cellStyle name="_적격(화산) _검암2차사전공사(본사검토) _1차 기성 내역서 0612023" xfId="365"/>
    <cellStyle name="_적격(화산) _검암2차사전공사(본사검토) _3차네고견적(061017-1)" xfId="366"/>
    <cellStyle name="_적격(화산) _검암2차사전공사(본사검토) _문화센타" xfId="367"/>
    <cellStyle name="_적격(화산) _문화센타" xfId="368"/>
    <cellStyle name="_적격(화산) _부천소사점내역서" xfId="369"/>
    <cellStyle name="_적격(화산) _비교표(시화,청주)" xfId="370"/>
    <cellStyle name="_적격(화산) _비교표(청주가경점)" xfId="371"/>
    <cellStyle name="_적격(화산) _사전공사(토목본사검토) " xfId="372"/>
    <cellStyle name="_적격(화산) _사전공사(토목본사검토) _1차 기성 내역서 0612023" xfId="373"/>
    <cellStyle name="_적격(화산) _사전공사(토목본사검토) _3차네고견적(061017-1)" xfId="374"/>
    <cellStyle name="_적격(화산) _사전공사(토목본사검토) _문화센타" xfId="375"/>
    <cellStyle name="_적격(화산) _수원-가실행" xfId="376"/>
    <cellStyle name="_적격(화산) _순천점내역서" xfId="377"/>
    <cellStyle name="_적격(화산) _이행각서" xfId="378"/>
    <cellStyle name="_적격(화산) _포기각서" xfId="379"/>
    <cellStyle name="_적격(화산) _현설양식" xfId="380"/>
    <cellStyle name="_적격(화산) _현장설명" xfId="381"/>
    <cellStyle name="_점수산정총괄(조달청)" xfId="382"/>
    <cellStyle name="_정보통신미장(051115)" xfId="383"/>
    <cellStyle name="_정보통신수장(바닥-051115)" xfId="384"/>
    <cellStyle name="_정보통신수장(바닥-051115)_1차 기성 내역서 0612023" xfId="385"/>
    <cellStyle name="_정보통신수장(바닥-051115)_3차네고견적(061017-1)" xfId="386"/>
    <cellStyle name="_정보통신수장(바닥-051115)_문화센타" xfId="387"/>
    <cellStyle name="_정보통신수장(바닥-051122)" xfId="388"/>
    <cellStyle name="_정보통신수장(바닥-051122)_1차 기성 내역서 0612023" xfId="389"/>
    <cellStyle name="_정보통신수장(바닥-051122)_3차네고견적(061017-1)" xfId="390"/>
    <cellStyle name="_정보통신수장(바닥-051122)_문화센타" xfId="391"/>
    <cellStyle name="_정보통신수장(벽,천정-051122)" xfId="392"/>
    <cellStyle name="_정보통신수장(벽,천정-051122)_1차 기성 내역서 0612023" xfId="393"/>
    <cellStyle name="_정보통신수장(벽,천정-051122)_3차네고견적(061017-1)" xfId="394"/>
    <cellStyle name="_정보통신수장(벽,천정-051122)_문화센타" xfId="395"/>
    <cellStyle name="_제출(2.25)" xfId="396"/>
    <cellStyle name="_제출완료-공항운송가실행(0919)" xfId="397"/>
    <cellStyle name="_조직표및인원투입" xfId="398"/>
    <cellStyle name="_중동TC현설" xfId="399"/>
    <cellStyle name="_중동골조현설" xfId="400"/>
    <cellStyle name="_집계" xfId="401"/>
    <cellStyle name="_집행갑지 " xfId="402"/>
    <cellStyle name="_집행갑지 _1차 기성 내역서 0612023" xfId="403"/>
    <cellStyle name="_집행갑지 _3차네고견적(061017-1)" xfId="404"/>
    <cellStyle name="_집행갑지 _건축내역서(가경)" xfId="405"/>
    <cellStyle name="_집행갑지 _문화센타" xfId="406"/>
    <cellStyle name="_집행갑지 _부천소사점내역서" xfId="407"/>
    <cellStyle name="_집행갑지 _비교표(시화,청주)" xfId="408"/>
    <cellStyle name="_집행갑지 _비교표(청주가경점)" xfId="409"/>
    <cellStyle name="_집행갑지 _순천점내역서" xfId="410"/>
    <cellStyle name="_집행-유성" xfId="411"/>
    <cellStyle name="_집행-유성_건축내역서(가경)" xfId="412"/>
    <cellStyle name="_집행-유성_부천소사점내역서" xfId="413"/>
    <cellStyle name="_집행-유성_비교표(시화,청주)" xfId="414"/>
    <cellStyle name="_집행-유성_비교표(청주가경점)" xfId="415"/>
    <cellStyle name="_집행-유성_순천점내역서" xfId="416"/>
    <cellStyle name="_참고" xfId="417"/>
    <cellStyle name="_참고01-50억대안제시" xfId="418"/>
    <cellStyle name="_참고02-당초가실행" xfId="419"/>
    <cellStyle name="_철콘견적대비수정2(2002.12.10)" xfId="420"/>
    <cellStyle name="_철콘공내역서5" xfId="421"/>
    <cellStyle name="_최종보고-파주완료030401" xfId="422"/>
    <cellStyle name="_코레노2차-공내역-인테리어공사" xfId="423"/>
    <cellStyle name="_타일공사" xfId="424"/>
    <cellStyle name="_타일공사_강제창호 및 잡철공사" xfId="425"/>
    <cellStyle name="_타일공사_도곡동토공사사발주계획" xfId="426"/>
    <cellStyle name="_타일공사_인테리어공사 발주계획서" xfId="427"/>
    <cellStyle name="_타일공사_테라조공사" xfId="428"/>
    <cellStyle name="_타일공사_테라조공사_강제창호 및 잡철공사" xfId="429"/>
    <cellStyle name="_타일공사_테라조공사_도곡동토공사사발주계획" xfId="430"/>
    <cellStyle name="_타일공사_테라조공사_인테리어공사 발주계획서" xfId="431"/>
    <cellStyle name="_타일공사_테라조공사_토공사발주" xfId="432"/>
    <cellStyle name="_타일공사_토공사발주" xfId="433"/>
    <cellStyle name="_토공및흙막이공사" xfId="434"/>
    <cellStyle name="_토공사발주" xfId="435"/>
    <cellStyle name="_투팔양식" xfId="436"/>
    <cellStyle name="_파주출판물개략완료" xfId="437"/>
    <cellStyle name="_파주출판물개략완료Ⅲ" xfId="438"/>
    <cellStyle name="_평당공사비(05.26)" xfId="439"/>
    <cellStyle name="_평택화학중대(본실행)" xfId="440"/>
    <cellStyle name="_포기각서" xfId="441"/>
    <cellStyle name="_하나로정보센터 견적(각층별 최종)" xfId="442"/>
    <cellStyle name="_하도급승인요청(금속기와공사)" xfId="443"/>
    <cellStyle name="_한남정산" xfId="444"/>
    <cellStyle name="_현설양식" xfId="445"/>
    <cellStyle name="_현장설명" xfId="446"/>
    <cellStyle name="_현장설명서" xfId="447"/>
    <cellStyle name="_현장설명서-지하수개발" xfId="448"/>
    <cellStyle name="_현장완료" xfId="449"/>
    <cellStyle name="_호수건설내역서20040403" xfId="450"/>
    <cellStyle name="_홈플러스 대구칠성점 내역서 " xfId="451"/>
    <cellStyle name="_화성태안아파트" xfId="452"/>
    <cellStyle name="_황제의 실행0623최종결재용" xfId="453"/>
    <cellStyle name="¡¾¨u￠￢ⓒ÷A¨u," xfId="454"/>
    <cellStyle name="’E‰Y [0.00]_laroux" xfId="455"/>
    <cellStyle name="’E‰Y_laroux" xfId="456"/>
    <cellStyle name="¤@?e_TEST-1 " xfId="457"/>
    <cellStyle name="\MNPREF32.DLL&amp;" xfId="458"/>
    <cellStyle name="+,-,0" xfId="459"/>
    <cellStyle name="±a°e" xfId="460"/>
    <cellStyle name="△ []" xfId="461"/>
    <cellStyle name="△ [0]" xfId="462"/>
    <cellStyle name="△백분율" xfId="463"/>
    <cellStyle name="△콤마" xfId="464"/>
    <cellStyle name="°ßAu" xfId="465"/>
    <cellStyle name="µÚ¿¡ ¿À´Â ÇÏÀÌÆÛ¸µÅ©" xfId="466"/>
    <cellStyle name="æØè [0.00]_PRODUCT DETAIL Q1" xfId="467"/>
    <cellStyle name="æØè_PRODUCT DETAIL Q1" xfId="468"/>
    <cellStyle name="ÊÝ [0.00]_PRODUCT DETAIL Q1" xfId="469"/>
    <cellStyle name="ÊÝ_PRODUCT DETAIL Q1" xfId="470"/>
    <cellStyle name="W?_BOOKSHIP" xfId="471"/>
    <cellStyle name="0" xfId="472"/>
    <cellStyle name="0,0_x000d__x000a_NA_x000d__x000a_" xfId="473"/>
    <cellStyle name="0.0" xfId="474"/>
    <cellStyle name="0.00" xfId="475"/>
    <cellStyle name="00" xfId="476"/>
    <cellStyle name="1" xfId="477"/>
    <cellStyle name="1_total" xfId="478"/>
    <cellStyle name="1_total_1차 기성 내역서 0612023" xfId="479"/>
    <cellStyle name="1_total_3차네고견적(061017-1)" xfId="480"/>
    <cellStyle name="1_total_Sheet1" xfId="481"/>
    <cellStyle name="1_total_Sheet1_1차 기성 내역서 0612023" xfId="482"/>
    <cellStyle name="1_total_Sheet1_3차네고견적(061017-1)" xfId="483"/>
    <cellStyle name="1_total_갑지0601" xfId="484"/>
    <cellStyle name="1_total_갑지0601_00갑지" xfId="485"/>
    <cellStyle name="1_total_갑지0601_00갑지_1차 기성 내역서 0612023" xfId="486"/>
    <cellStyle name="1_total_갑지0601_00갑지_3차네고견적(061017-1)" xfId="487"/>
    <cellStyle name="1_total_갑지0601_00갑지_백화점화장실인테리어" xfId="488"/>
    <cellStyle name="1_total_갑지0601_00갑지_백화점화장실인테리어_1차 기성 내역서 0612023" xfId="489"/>
    <cellStyle name="1_total_갑지0601_00갑지_백화점화장실인테리어_3차네고견적(061017-1)" xfId="490"/>
    <cellStyle name="1_total_갑지0601_00갑지_설계내역서" xfId="491"/>
    <cellStyle name="1_total_갑지0601_00갑지_설계내역서_1차 기성 내역서 0612023" xfId="492"/>
    <cellStyle name="1_total_갑지0601_00갑지_설계내역서_3차네고견적(061017-1)" xfId="493"/>
    <cellStyle name="1_total_갑지0601_00갑지_설계내역서_백화점화장실인테리어" xfId="494"/>
    <cellStyle name="1_total_갑지0601_00갑지_설계내역서_백화점화장실인테리어_1차 기성 내역서 0612023" xfId="495"/>
    <cellStyle name="1_total_갑지0601_00갑지_설계내역서_백화점화장실인테리어_3차네고견적(061017-1)" xfId="496"/>
    <cellStyle name="1_total_갑지0601_00갑지_설계내역서_화명조경" xfId="497"/>
    <cellStyle name="1_total_갑지0601_00갑지_설계내역서_화명조경_1차 기성 내역서 0612023" xfId="498"/>
    <cellStyle name="1_total_갑지0601_00갑지_설계내역서_화명조경_3차네고견적(061017-1)" xfId="499"/>
    <cellStyle name="1_total_갑지0601_00갑지_설계내역서_화명조경_백화점화장실인테리어" xfId="500"/>
    <cellStyle name="1_total_갑지0601_00갑지_설계내역서_화명조경_백화점화장실인테리어_1차 기성 내역서 0612023" xfId="501"/>
    <cellStyle name="1_total_갑지0601_00갑지_설계내역서_화명조경_백화점화장실인테리어_3차네고견적(061017-1)" xfId="502"/>
    <cellStyle name="1_total_갑지0601_00갑지_설계내역서1월7일" xfId="503"/>
    <cellStyle name="1_total_갑지0601_00갑지_설계내역서1월7일_1차 기성 내역서 0612023" xfId="504"/>
    <cellStyle name="1_total_갑지0601_00갑지_설계내역서1월7일_3차네고견적(061017-1)" xfId="505"/>
    <cellStyle name="1_total_갑지0601_00갑지_설계내역서1월7일_백화점화장실인테리어" xfId="506"/>
    <cellStyle name="1_total_갑지0601_00갑지_설계내역서1월7일_백화점화장실인테리어_1차 기성 내역서 0612023" xfId="507"/>
    <cellStyle name="1_total_갑지0601_00갑지_설계내역서1월7일_백화점화장실인테리어_3차네고견적(061017-1)" xfId="508"/>
    <cellStyle name="1_total_갑지0601_00갑지_설계내역서1월7일_화명조경" xfId="509"/>
    <cellStyle name="1_total_갑지0601_00갑지_설계내역서1월7일_화명조경_1차 기성 내역서 0612023" xfId="510"/>
    <cellStyle name="1_total_갑지0601_00갑지_설계내역서1월7일_화명조경_3차네고견적(061017-1)" xfId="511"/>
    <cellStyle name="1_total_갑지0601_00갑지_설계내역서1월7일_화명조경_백화점화장실인테리어" xfId="512"/>
    <cellStyle name="1_total_갑지0601_00갑지_설계내역서1월7일_화명조경_백화점화장실인테리어_1차 기성 내역서 0612023" xfId="513"/>
    <cellStyle name="1_total_갑지0601_00갑지_설계내역서1월7일_화명조경_백화점화장실인테리어_3차네고견적(061017-1)" xfId="514"/>
    <cellStyle name="1_total_갑지0601_00갑지_화명조경" xfId="515"/>
    <cellStyle name="1_total_갑지0601_00갑지_화명조경_1차 기성 내역서 0612023" xfId="516"/>
    <cellStyle name="1_total_갑지0601_00갑지_화명조경_3차네고견적(061017-1)" xfId="517"/>
    <cellStyle name="1_total_갑지0601_00갑지_화명조경_백화점화장실인테리어" xfId="518"/>
    <cellStyle name="1_total_갑지0601_00갑지_화명조경_백화점화장실인테리어_1차 기성 내역서 0612023" xfId="519"/>
    <cellStyle name="1_total_갑지0601_00갑지_화명조경_백화점화장실인테리어_3차네고견적(061017-1)" xfId="520"/>
    <cellStyle name="1_total_갑지0601_1차 기성 내역서 0612023" xfId="521"/>
    <cellStyle name="1_total_갑지0601_3차네고견적(061017-1)" xfId="522"/>
    <cellStyle name="1_total_갑지0601_과천놀이터설계서" xfId="523"/>
    <cellStyle name="1_total_갑지0601_과천놀이터설계서_1차 기성 내역서 0612023" xfId="524"/>
    <cellStyle name="1_total_갑지0601_과천놀이터설계서_3차네고견적(061017-1)" xfId="525"/>
    <cellStyle name="1_total_갑지0601_과천놀이터설계서_백화점화장실인테리어" xfId="526"/>
    <cellStyle name="1_total_갑지0601_과천놀이터설계서_백화점화장실인테리어_1차 기성 내역서 0612023" xfId="527"/>
    <cellStyle name="1_total_갑지0601_과천놀이터설계서_백화점화장실인테리어_3차네고견적(061017-1)" xfId="528"/>
    <cellStyle name="1_total_갑지0601_과천놀이터설계서_설계내역서" xfId="529"/>
    <cellStyle name="1_total_갑지0601_과천놀이터설계서_설계내역서_1차 기성 내역서 0612023" xfId="530"/>
    <cellStyle name="1_total_갑지0601_과천놀이터설계서_설계내역서_3차네고견적(061017-1)" xfId="531"/>
    <cellStyle name="1_total_갑지0601_과천놀이터설계서_설계내역서_백화점화장실인테리어" xfId="532"/>
    <cellStyle name="1_total_갑지0601_과천놀이터설계서_설계내역서_백화점화장실인테리어_1차 기성 내역서 0612023" xfId="533"/>
    <cellStyle name="1_total_갑지0601_과천놀이터설계서_설계내역서_백화점화장실인테리어_3차네고견적(061017-1)" xfId="534"/>
    <cellStyle name="1_total_갑지0601_과천놀이터설계서_설계내역서_화명조경" xfId="535"/>
    <cellStyle name="1_total_갑지0601_과천놀이터설계서_설계내역서_화명조경_1차 기성 내역서 0612023" xfId="536"/>
    <cellStyle name="1_total_갑지0601_과천놀이터설계서_설계내역서_화명조경_3차네고견적(061017-1)" xfId="537"/>
    <cellStyle name="1_total_갑지0601_과천놀이터설계서_설계내역서_화명조경_백화점화장실인테리어" xfId="538"/>
    <cellStyle name="1_total_갑지0601_과천놀이터설계서_설계내역서_화명조경_백화점화장실인테리어_1차 기성 내역서 0612023" xfId="539"/>
    <cellStyle name="1_total_갑지0601_과천놀이터설계서_설계내역서_화명조경_백화점화장실인테리어_3차네고견적(061017-1)" xfId="540"/>
    <cellStyle name="1_total_갑지0601_과천놀이터설계서_설계내역서1월7일" xfId="541"/>
    <cellStyle name="1_total_갑지0601_과천놀이터설계서_설계내역서1월7일_1차 기성 내역서 0612023" xfId="542"/>
    <cellStyle name="1_total_갑지0601_과천놀이터설계서_설계내역서1월7일_3차네고견적(061017-1)" xfId="543"/>
    <cellStyle name="1_total_갑지0601_과천놀이터설계서_설계내역서1월7일_백화점화장실인테리어" xfId="544"/>
    <cellStyle name="1_total_갑지0601_과천놀이터설계서_설계내역서1월7일_백화점화장실인테리어_1차 기성 내역서 0612023" xfId="545"/>
    <cellStyle name="1_total_갑지0601_과천놀이터설계서_설계내역서1월7일_백화점화장실인테리어_3차네고견적(061017-1)" xfId="546"/>
    <cellStyle name="1_total_갑지0601_과천놀이터설계서_설계내역서1월7일_화명조경" xfId="547"/>
    <cellStyle name="1_total_갑지0601_과천놀이터설계서_설계내역서1월7일_화명조경_1차 기성 내역서 0612023" xfId="548"/>
    <cellStyle name="1_total_갑지0601_과천놀이터설계서_설계내역서1월7일_화명조경_3차네고견적(061017-1)" xfId="549"/>
    <cellStyle name="1_total_갑지0601_과천놀이터설계서_설계내역서1월7일_화명조경_백화점화장실인테리어" xfId="550"/>
    <cellStyle name="1_total_갑지0601_과천놀이터설계서_설계내역서1월7일_화명조경_백화점화장실인테리어_1차 기성 내역서 0612023" xfId="551"/>
    <cellStyle name="1_total_갑지0601_과천놀이터설계서_설계내역서1월7일_화명조경_백화점화장실인테리어_3차네고견적(061017-1)" xfId="552"/>
    <cellStyle name="1_total_갑지0601_과천놀이터설계서_화명조경" xfId="553"/>
    <cellStyle name="1_total_갑지0601_과천놀이터설계서_화명조경_1차 기성 내역서 0612023" xfId="554"/>
    <cellStyle name="1_total_갑지0601_과천놀이터설계서_화명조경_3차네고견적(061017-1)" xfId="555"/>
    <cellStyle name="1_total_갑지0601_과천놀이터설계서_화명조경_백화점화장실인테리어" xfId="556"/>
    <cellStyle name="1_total_갑지0601_과천놀이터설계서_화명조경_백화점화장실인테리어_1차 기성 내역서 0612023" xfId="557"/>
    <cellStyle name="1_total_갑지0601_과천놀이터설계서_화명조경_백화점화장실인테리어_3차네고견적(061017-1)" xfId="558"/>
    <cellStyle name="1_total_갑지0601_백화점화장실인테리어" xfId="559"/>
    <cellStyle name="1_total_갑지0601_백화점화장실인테리어_1차 기성 내역서 0612023" xfId="560"/>
    <cellStyle name="1_total_갑지0601_백화점화장실인테리어_3차네고견적(061017-1)" xfId="561"/>
    <cellStyle name="1_total_갑지0601_총괄갑지" xfId="562"/>
    <cellStyle name="1_total_갑지0601_총괄갑지_1차 기성 내역서 0612023" xfId="563"/>
    <cellStyle name="1_total_갑지0601_총괄갑지_3차네고견적(061017-1)" xfId="564"/>
    <cellStyle name="1_total_갑지0601_총괄갑지_백화점화장실인테리어" xfId="565"/>
    <cellStyle name="1_total_갑지0601_총괄갑지_백화점화장실인테리어_1차 기성 내역서 0612023" xfId="566"/>
    <cellStyle name="1_total_갑지0601_총괄갑지_백화점화장실인테리어_3차네고견적(061017-1)" xfId="567"/>
    <cellStyle name="1_total_갑지0601_총괄갑지_설계내역서" xfId="568"/>
    <cellStyle name="1_total_갑지0601_총괄갑지_설계내역서_1차 기성 내역서 0612023" xfId="569"/>
    <cellStyle name="1_total_갑지0601_총괄갑지_설계내역서_3차네고견적(061017-1)" xfId="570"/>
    <cellStyle name="1_total_갑지0601_총괄갑지_설계내역서_백화점화장실인테리어" xfId="571"/>
    <cellStyle name="1_total_갑지0601_총괄갑지_설계내역서_백화점화장실인테리어_1차 기성 내역서 0612023" xfId="572"/>
    <cellStyle name="1_total_갑지0601_총괄갑지_설계내역서_백화점화장실인테리어_3차네고견적(061017-1)" xfId="573"/>
    <cellStyle name="1_total_갑지0601_총괄갑지_설계내역서_화명조경" xfId="574"/>
    <cellStyle name="1_total_갑지0601_총괄갑지_설계내역서_화명조경_1차 기성 내역서 0612023" xfId="575"/>
    <cellStyle name="1_total_갑지0601_총괄갑지_설계내역서_화명조경_3차네고견적(061017-1)" xfId="576"/>
    <cellStyle name="1_total_갑지0601_총괄갑지_설계내역서_화명조경_백화점화장실인테리어" xfId="577"/>
    <cellStyle name="1_total_갑지0601_총괄갑지_설계내역서_화명조경_백화점화장실인테리어_1차 기성 내역서 0612023" xfId="578"/>
    <cellStyle name="1_total_갑지0601_총괄갑지_설계내역서_화명조경_백화점화장실인테리어_3차네고견적(061017-1)" xfId="579"/>
    <cellStyle name="1_total_갑지0601_총괄갑지_설계내역서1월7일" xfId="580"/>
    <cellStyle name="1_total_갑지0601_총괄갑지_설계내역서1월7일_1차 기성 내역서 0612023" xfId="581"/>
    <cellStyle name="1_total_갑지0601_총괄갑지_설계내역서1월7일_3차네고견적(061017-1)" xfId="582"/>
    <cellStyle name="1_total_갑지0601_총괄갑지_설계내역서1월7일_백화점화장실인테리어" xfId="583"/>
    <cellStyle name="1_total_갑지0601_총괄갑지_설계내역서1월7일_백화점화장실인테리어_1차 기성 내역서 0612023" xfId="584"/>
    <cellStyle name="1_total_갑지0601_총괄갑지_설계내역서1월7일_백화점화장실인테리어_3차네고견적(061017-1)" xfId="585"/>
    <cellStyle name="1_total_갑지0601_총괄갑지_설계내역서1월7일_화명조경" xfId="586"/>
    <cellStyle name="1_total_갑지0601_총괄갑지_설계내역서1월7일_화명조경_1차 기성 내역서 0612023" xfId="587"/>
    <cellStyle name="1_total_갑지0601_총괄갑지_설계내역서1월7일_화명조경_3차네고견적(061017-1)" xfId="588"/>
    <cellStyle name="1_total_갑지0601_총괄갑지_설계내역서1월7일_화명조경_백화점화장실인테리어" xfId="589"/>
    <cellStyle name="1_total_갑지0601_총괄갑지_설계내역서1월7일_화명조경_백화점화장실인테리어_1차 기성 내역서 0612023" xfId="590"/>
    <cellStyle name="1_total_갑지0601_총괄갑지_설계내역서1월7일_화명조경_백화점화장실인테리어_3차네고견적(061017-1)" xfId="591"/>
    <cellStyle name="1_total_갑지0601_총괄갑지_화명조경" xfId="592"/>
    <cellStyle name="1_total_갑지0601_총괄갑지_화명조경_1차 기성 내역서 0612023" xfId="593"/>
    <cellStyle name="1_total_갑지0601_총괄갑지_화명조경_3차네고견적(061017-1)" xfId="594"/>
    <cellStyle name="1_total_갑지0601_총괄갑지_화명조경_백화점화장실인테리어" xfId="595"/>
    <cellStyle name="1_total_갑지0601_총괄갑지_화명조경_백화점화장실인테리어_1차 기성 내역서 0612023" xfId="596"/>
    <cellStyle name="1_total_갑지0601_총괄갑지_화명조경_백화점화장실인테리어_3차네고견적(061017-1)" xfId="597"/>
    <cellStyle name="1_total_갑지0601_총괄내역서" xfId="598"/>
    <cellStyle name="1_total_갑지0601_총괄내역서_1차 기성 내역서 0612023" xfId="599"/>
    <cellStyle name="1_total_갑지0601_총괄내역서_3차네고견적(061017-1)" xfId="600"/>
    <cellStyle name="1_total_갑지0601_총괄내역서_백화점화장실인테리어" xfId="601"/>
    <cellStyle name="1_total_갑지0601_총괄내역서_백화점화장실인테리어_1차 기성 내역서 0612023" xfId="602"/>
    <cellStyle name="1_total_갑지0601_총괄내역서_백화점화장실인테리어_3차네고견적(061017-1)" xfId="603"/>
    <cellStyle name="1_total_갑지0601_총괄내역서_설계내역서" xfId="604"/>
    <cellStyle name="1_total_갑지0601_총괄내역서_설계내역서_1차 기성 내역서 0612023" xfId="605"/>
    <cellStyle name="1_total_갑지0601_총괄내역서_설계내역서_3차네고견적(061017-1)" xfId="606"/>
    <cellStyle name="1_total_갑지0601_총괄내역서_설계내역서_백화점화장실인테리어" xfId="607"/>
    <cellStyle name="1_total_갑지0601_총괄내역서_설계내역서_백화점화장실인테리어_1차 기성 내역서 0612023" xfId="608"/>
    <cellStyle name="1_total_갑지0601_총괄내역서_설계내역서_백화점화장실인테리어_3차네고견적(061017-1)" xfId="609"/>
    <cellStyle name="1_total_갑지0601_총괄내역서_설계내역서_화명조경" xfId="610"/>
    <cellStyle name="1_total_갑지0601_총괄내역서_설계내역서_화명조경_1차 기성 내역서 0612023" xfId="611"/>
    <cellStyle name="1_total_갑지0601_총괄내역서_설계내역서_화명조경_3차네고견적(061017-1)" xfId="612"/>
    <cellStyle name="1_total_갑지0601_총괄내역서_설계내역서_화명조경_백화점화장실인테리어" xfId="613"/>
    <cellStyle name="1_total_갑지0601_총괄내역서_설계내역서_화명조경_백화점화장실인테리어_1차 기성 내역서 0612023" xfId="614"/>
    <cellStyle name="1_total_갑지0601_총괄내역서_설계내역서_화명조경_백화점화장실인테리어_3차네고견적(061017-1)" xfId="615"/>
    <cellStyle name="1_total_갑지0601_총괄내역서_설계내역서1월7일" xfId="616"/>
    <cellStyle name="1_total_갑지0601_총괄내역서_설계내역서1월7일_1차 기성 내역서 0612023" xfId="617"/>
    <cellStyle name="1_total_갑지0601_총괄내역서_설계내역서1월7일_3차네고견적(061017-1)" xfId="618"/>
    <cellStyle name="1_total_갑지0601_총괄내역서_설계내역서1월7일_백화점화장실인테리어" xfId="619"/>
    <cellStyle name="1_total_갑지0601_총괄내역서_설계내역서1월7일_백화점화장실인테리어_1차 기성 내역서 0612023" xfId="620"/>
    <cellStyle name="1_total_갑지0601_총괄내역서_설계내역서1월7일_백화점화장실인테리어_3차네고견적(061017-1)" xfId="621"/>
    <cellStyle name="1_total_갑지0601_총괄내역서_설계내역서1월7일_화명조경" xfId="622"/>
    <cellStyle name="1_total_갑지0601_총괄내역서_설계내역서1월7일_화명조경_1차 기성 내역서 0612023" xfId="623"/>
    <cellStyle name="1_total_갑지0601_총괄내역서_설계내역서1월7일_화명조경_3차네고견적(061017-1)" xfId="624"/>
    <cellStyle name="1_total_갑지0601_총괄내역서_설계내역서1월7일_화명조경_백화점화장실인테리어" xfId="625"/>
    <cellStyle name="1_total_갑지0601_총괄내역서_설계내역서1월7일_화명조경_백화점화장실인테리어_1차 기성 내역서 0612023" xfId="626"/>
    <cellStyle name="1_total_갑지0601_총괄내역서_설계내역서1월7일_화명조경_백화점화장실인테리어_3차네고견적(061017-1)" xfId="627"/>
    <cellStyle name="1_total_갑지0601_총괄내역서_화명조경" xfId="628"/>
    <cellStyle name="1_total_갑지0601_총괄내역서_화명조경_1차 기성 내역서 0612023" xfId="629"/>
    <cellStyle name="1_total_갑지0601_총괄내역서_화명조경_3차네고견적(061017-1)" xfId="630"/>
    <cellStyle name="1_total_갑지0601_총괄내역서_화명조경_백화점화장실인테리어" xfId="631"/>
    <cellStyle name="1_total_갑지0601_총괄내역서_화명조경_백화점화장실인테리어_1차 기성 내역서 0612023" xfId="632"/>
    <cellStyle name="1_total_갑지0601_총괄내역서_화명조경_백화점화장실인테리어_3차네고견적(061017-1)" xfId="633"/>
    <cellStyle name="1_total_갑지0601_화명조경" xfId="634"/>
    <cellStyle name="1_total_갑지0601_화명조경_1차 기성 내역서 0612023" xfId="635"/>
    <cellStyle name="1_total_갑지0601_화명조경_3차네고견적(061017-1)" xfId="636"/>
    <cellStyle name="1_total_갑지0601_화명조경_백화점화장실인테리어" xfId="637"/>
    <cellStyle name="1_total_갑지0601_화명조경_백화점화장실인테리어_1차 기성 내역서 0612023" xfId="638"/>
    <cellStyle name="1_total_갑지0601_화명조경_백화점화장실인테리어_3차네고견적(061017-1)" xfId="639"/>
    <cellStyle name="1_total_백화점화장실인테리어" xfId="640"/>
    <cellStyle name="1_total_백화점화장실인테리어_1차 기성 내역서 0612023" xfId="641"/>
    <cellStyle name="1_total_백화점화장실인테리어_3차네고견적(061017-1)" xfId="642"/>
    <cellStyle name="1_total_설계내역서" xfId="643"/>
    <cellStyle name="1_total_설계내역서_1차 기성 내역서 0612023" xfId="644"/>
    <cellStyle name="1_total_설계내역서_3차네고견적(061017-1)" xfId="645"/>
    <cellStyle name="1_total_설계내역서_백화점화장실인테리어" xfId="646"/>
    <cellStyle name="1_total_설계내역서_백화점화장실인테리어_1차 기성 내역서 0612023" xfId="647"/>
    <cellStyle name="1_total_설계내역서_백화점화장실인테리어_3차네고견적(061017-1)" xfId="648"/>
    <cellStyle name="1_total_설계내역서_화명조경" xfId="649"/>
    <cellStyle name="1_total_설계내역서_화명조경_1차 기성 내역서 0612023" xfId="650"/>
    <cellStyle name="1_total_설계내역서_화명조경_3차네고견적(061017-1)" xfId="651"/>
    <cellStyle name="1_total_설계내역서_화명조경_백화점화장실인테리어" xfId="652"/>
    <cellStyle name="1_total_설계내역서_화명조경_백화점화장실인테리어_1차 기성 내역서 0612023" xfId="653"/>
    <cellStyle name="1_total_설계내역서_화명조경_백화점화장실인테리어_3차네고견적(061017-1)" xfId="654"/>
    <cellStyle name="1_total_설계내역서1월7일" xfId="655"/>
    <cellStyle name="1_total_설계내역서1월7일_1차 기성 내역서 0612023" xfId="656"/>
    <cellStyle name="1_total_설계내역서1월7일_3차네고견적(061017-1)" xfId="657"/>
    <cellStyle name="1_total_설계내역서1월7일_백화점화장실인테리어" xfId="658"/>
    <cellStyle name="1_total_설계내역서1월7일_백화점화장실인테리어_1차 기성 내역서 0612023" xfId="659"/>
    <cellStyle name="1_total_설계내역서1월7일_백화점화장실인테리어_3차네고견적(061017-1)" xfId="660"/>
    <cellStyle name="1_total_설계내역서1월7일_화명조경" xfId="661"/>
    <cellStyle name="1_total_설계내역서1월7일_화명조경_1차 기성 내역서 0612023" xfId="662"/>
    <cellStyle name="1_total_설계내역서1월7일_화명조경_3차네고견적(061017-1)" xfId="663"/>
    <cellStyle name="1_total_설계내역서1월7일_화명조경_백화점화장실인테리어" xfId="664"/>
    <cellStyle name="1_total_설계내역서1월7일_화명조경_백화점화장실인테리어_1차 기성 내역서 0612023" xfId="665"/>
    <cellStyle name="1_total_설계내역서1월7일_화명조경_백화점화장실인테리어_3차네고견적(061017-1)" xfId="666"/>
    <cellStyle name="1_total_수원변경수량산출" xfId="667"/>
    <cellStyle name="1_total_수원변경수량산출_1차 기성 내역서 0612023" xfId="668"/>
    <cellStyle name="1_total_수원변경수량산출_3차네고견적(061017-1)" xfId="669"/>
    <cellStyle name="1_total_수원변경수량산출_백화점화장실인테리어" xfId="670"/>
    <cellStyle name="1_total_수원변경수량산출_백화점화장실인테리어_1차 기성 내역서 0612023" xfId="671"/>
    <cellStyle name="1_total_수원변경수량산출_백화점화장실인테리어_3차네고견적(061017-1)" xfId="672"/>
    <cellStyle name="1_total_수원변경수량산출_설계내역서" xfId="673"/>
    <cellStyle name="1_total_수원변경수량산출_설계내역서_1차 기성 내역서 0612023" xfId="674"/>
    <cellStyle name="1_total_수원변경수량산출_설계내역서_3차네고견적(061017-1)" xfId="675"/>
    <cellStyle name="1_total_수원변경수량산출_설계내역서_백화점화장실인테리어" xfId="676"/>
    <cellStyle name="1_total_수원변경수량산출_설계내역서_백화점화장실인테리어_1차 기성 내역서 0612023" xfId="677"/>
    <cellStyle name="1_total_수원변경수량산출_설계내역서_백화점화장실인테리어_3차네고견적(061017-1)" xfId="678"/>
    <cellStyle name="1_total_수원변경수량산출_설계내역서_화명조경" xfId="679"/>
    <cellStyle name="1_total_수원변경수량산출_설계내역서_화명조경_1차 기성 내역서 0612023" xfId="680"/>
    <cellStyle name="1_total_수원변경수량산출_설계내역서_화명조경_3차네고견적(061017-1)" xfId="681"/>
    <cellStyle name="1_total_수원변경수량산출_설계내역서_화명조경_백화점화장실인테리어" xfId="682"/>
    <cellStyle name="1_total_수원변경수량산출_설계내역서_화명조경_백화점화장실인테리어_1차 기성 내역서 0612023" xfId="683"/>
    <cellStyle name="1_total_수원변경수량산출_설계내역서_화명조경_백화점화장실인테리어_3차네고견적(061017-1)" xfId="684"/>
    <cellStyle name="1_total_수원변경수량산출_설계내역서1월7일" xfId="685"/>
    <cellStyle name="1_total_수원변경수량산출_설계내역서1월7일_1차 기성 내역서 0612023" xfId="686"/>
    <cellStyle name="1_total_수원변경수량산출_설계내역서1월7일_3차네고견적(061017-1)" xfId="687"/>
    <cellStyle name="1_total_수원변경수량산출_설계내역서1월7일_백화점화장실인테리어" xfId="688"/>
    <cellStyle name="1_total_수원변경수량산출_설계내역서1월7일_백화점화장실인테리어_1차 기성 내역서 0612023" xfId="689"/>
    <cellStyle name="1_total_수원변경수량산출_설계내역서1월7일_백화점화장실인테리어_3차네고견적(061017-1)" xfId="690"/>
    <cellStyle name="1_total_수원변경수량산출_설계내역서1월7일_화명조경" xfId="691"/>
    <cellStyle name="1_total_수원변경수량산출_설계내역서1월7일_화명조경_1차 기성 내역서 0612023" xfId="692"/>
    <cellStyle name="1_total_수원변경수량산출_설계내역서1월7일_화명조경_3차네고견적(061017-1)" xfId="693"/>
    <cellStyle name="1_total_수원변경수량산출_설계내역서1월7일_화명조경_백화점화장실인테리어" xfId="694"/>
    <cellStyle name="1_total_수원변경수량산출_설계내역서1월7일_화명조경_백화점화장실인테리어_1차 기성 내역서 0612023" xfId="695"/>
    <cellStyle name="1_total_수원변경수량산출_설계내역서1월7일_화명조경_백화점화장실인테리어_3차네고견적(061017-1)" xfId="696"/>
    <cellStyle name="1_total_수원변경수량산출_화명조경" xfId="697"/>
    <cellStyle name="1_total_수원변경수량산출_화명조경_1차 기성 내역서 0612023" xfId="698"/>
    <cellStyle name="1_total_수원변경수량산출_화명조경_3차네고견적(061017-1)" xfId="699"/>
    <cellStyle name="1_total_수원변경수량산출_화명조경_백화점화장실인테리어" xfId="700"/>
    <cellStyle name="1_total_수원변경수량산출_화명조경_백화점화장실인테리어_1차 기성 내역서 0612023" xfId="701"/>
    <cellStyle name="1_total_수원변경수량산출_화명조경_백화점화장실인테리어_3차네고견적(061017-1)" xfId="702"/>
    <cellStyle name="1_total_쌍용수량0905" xfId="703"/>
    <cellStyle name="1_total_쌍용수량0905_1차 기성 내역서 0612023" xfId="704"/>
    <cellStyle name="1_total_쌍용수량0905_3차네고견적(061017-1)" xfId="705"/>
    <cellStyle name="1_total_쌍용수량0905_백화점화장실인테리어" xfId="706"/>
    <cellStyle name="1_total_쌍용수량0905_백화점화장실인테리어_1차 기성 내역서 0612023" xfId="707"/>
    <cellStyle name="1_total_쌍용수량0905_백화점화장실인테리어_3차네고견적(061017-1)" xfId="708"/>
    <cellStyle name="1_total_쌍용수량0905_설계내역서" xfId="709"/>
    <cellStyle name="1_total_쌍용수량0905_설계내역서_1차 기성 내역서 0612023" xfId="710"/>
    <cellStyle name="1_total_쌍용수량0905_설계내역서_3차네고견적(061017-1)" xfId="711"/>
    <cellStyle name="1_total_쌍용수량0905_설계내역서_백화점화장실인테리어" xfId="712"/>
    <cellStyle name="1_total_쌍용수량0905_설계내역서_백화점화장실인테리어_1차 기성 내역서 0612023" xfId="713"/>
    <cellStyle name="1_total_쌍용수량0905_설계내역서_백화점화장실인테리어_3차네고견적(061017-1)" xfId="714"/>
    <cellStyle name="1_total_쌍용수량0905_설계내역서_화명조경" xfId="715"/>
    <cellStyle name="1_total_쌍용수량0905_설계내역서_화명조경_1차 기성 내역서 0612023" xfId="716"/>
    <cellStyle name="1_total_쌍용수량0905_설계내역서_화명조경_3차네고견적(061017-1)" xfId="717"/>
    <cellStyle name="1_total_쌍용수량0905_설계내역서_화명조경_백화점화장실인테리어" xfId="718"/>
    <cellStyle name="1_total_쌍용수량0905_설계내역서_화명조경_백화점화장실인테리어_1차 기성 내역서 0612023" xfId="719"/>
    <cellStyle name="1_total_쌍용수량0905_설계내역서_화명조경_백화점화장실인테리어_3차네고견적(061017-1)" xfId="720"/>
    <cellStyle name="1_total_쌍용수량0905_설계내역서1월7일" xfId="721"/>
    <cellStyle name="1_total_쌍용수량0905_설계내역서1월7일_1차 기성 내역서 0612023" xfId="722"/>
    <cellStyle name="1_total_쌍용수량0905_설계내역서1월7일_3차네고견적(061017-1)" xfId="723"/>
    <cellStyle name="1_total_쌍용수량0905_설계내역서1월7일_백화점화장실인테리어" xfId="724"/>
    <cellStyle name="1_total_쌍용수량0905_설계내역서1월7일_백화점화장실인테리어_1차 기성 내역서 0612023" xfId="725"/>
    <cellStyle name="1_total_쌍용수량0905_설계내역서1월7일_백화점화장실인테리어_3차네고견적(061017-1)" xfId="726"/>
    <cellStyle name="1_total_쌍용수량0905_설계내역서1월7일_화명조경" xfId="727"/>
    <cellStyle name="1_total_쌍용수량0905_설계내역서1월7일_화명조경_1차 기성 내역서 0612023" xfId="728"/>
    <cellStyle name="1_total_쌍용수량0905_설계내역서1월7일_화명조경_3차네고견적(061017-1)" xfId="729"/>
    <cellStyle name="1_total_쌍용수량0905_설계내역서1월7일_화명조경_백화점화장실인테리어" xfId="730"/>
    <cellStyle name="1_total_쌍용수량0905_설계내역서1월7일_화명조경_백화점화장실인테리어_1차 기성 내역서 0612023" xfId="731"/>
    <cellStyle name="1_total_쌍용수량0905_설계내역서1월7일_화명조경_백화점화장실인테리어_3차네고견적(061017-1)" xfId="732"/>
    <cellStyle name="1_total_쌍용수량0905_화명조경" xfId="733"/>
    <cellStyle name="1_total_쌍용수량0905_화명조경_1차 기성 내역서 0612023" xfId="734"/>
    <cellStyle name="1_total_쌍용수량0905_화명조경_3차네고견적(061017-1)" xfId="735"/>
    <cellStyle name="1_total_쌍용수량0905_화명조경_백화점화장실인테리어" xfId="736"/>
    <cellStyle name="1_total_쌍용수량0905_화명조경_백화점화장실인테리어_1차 기성 내역서 0612023" xfId="737"/>
    <cellStyle name="1_total_쌍용수량0905_화명조경_백화점화장실인테리어_3차네고견적(061017-1)" xfId="738"/>
    <cellStyle name="1_total_은파수량집계" xfId="739"/>
    <cellStyle name="1_total_은파수량집계_1차 기성 내역서 0612023" xfId="740"/>
    <cellStyle name="1_total_은파수량집계_3차네고견적(061017-1)" xfId="741"/>
    <cellStyle name="1_total_은파수량집계_백화점화장실인테리어" xfId="742"/>
    <cellStyle name="1_total_은파수량집계_백화점화장실인테리어_1차 기성 내역서 0612023" xfId="743"/>
    <cellStyle name="1_total_은파수량집계_백화점화장실인테리어_3차네고견적(061017-1)" xfId="744"/>
    <cellStyle name="1_total_은파수량집계_설계내역서" xfId="745"/>
    <cellStyle name="1_total_은파수량집계_설계내역서_1차 기성 내역서 0612023" xfId="746"/>
    <cellStyle name="1_total_은파수량집계_설계내역서_3차네고견적(061017-1)" xfId="747"/>
    <cellStyle name="1_total_은파수량집계_설계내역서_백화점화장실인테리어" xfId="748"/>
    <cellStyle name="1_total_은파수량집계_설계내역서_백화점화장실인테리어_1차 기성 내역서 0612023" xfId="749"/>
    <cellStyle name="1_total_은파수량집계_설계내역서_백화점화장실인테리어_3차네고견적(061017-1)" xfId="750"/>
    <cellStyle name="1_total_은파수량집계_설계내역서_화명조경" xfId="751"/>
    <cellStyle name="1_total_은파수량집계_설계내역서_화명조경_1차 기성 내역서 0612023" xfId="752"/>
    <cellStyle name="1_total_은파수량집계_설계내역서_화명조경_3차네고견적(061017-1)" xfId="753"/>
    <cellStyle name="1_total_은파수량집계_설계내역서_화명조경_백화점화장실인테리어" xfId="754"/>
    <cellStyle name="1_total_은파수량집계_설계내역서_화명조경_백화점화장실인테리어_1차 기성 내역서 0612023" xfId="755"/>
    <cellStyle name="1_total_은파수량집계_설계내역서_화명조경_백화점화장실인테리어_3차네고견적(061017-1)" xfId="756"/>
    <cellStyle name="1_total_은파수량집계_설계내역서1월7일" xfId="757"/>
    <cellStyle name="1_total_은파수량집계_설계내역서1월7일_1차 기성 내역서 0612023" xfId="758"/>
    <cellStyle name="1_total_은파수량집계_설계내역서1월7일_3차네고견적(061017-1)" xfId="759"/>
    <cellStyle name="1_total_은파수량집계_설계내역서1월7일_백화점화장실인테리어" xfId="760"/>
    <cellStyle name="1_total_은파수량집계_설계내역서1월7일_백화점화장실인테리어_1차 기성 내역서 0612023" xfId="761"/>
    <cellStyle name="1_total_은파수량집계_설계내역서1월7일_백화점화장실인테리어_3차네고견적(061017-1)" xfId="762"/>
    <cellStyle name="1_total_은파수량집계_설계내역서1월7일_화명조경" xfId="763"/>
    <cellStyle name="1_total_은파수량집계_설계내역서1월7일_화명조경_1차 기성 내역서 0612023" xfId="764"/>
    <cellStyle name="1_total_은파수량집계_설계내역서1월7일_화명조경_3차네고견적(061017-1)" xfId="765"/>
    <cellStyle name="1_total_은파수량집계_설계내역서1월7일_화명조경_백화점화장실인테리어" xfId="766"/>
    <cellStyle name="1_total_은파수량집계_설계내역서1월7일_화명조경_백화점화장실인테리어_1차 기성 내역서 0612023" xfId="767"/>
    <cellStyle name="1_total_은파수량집계_설계내역서1월7일_화명조경_백화점화장실인테리어_3차네고견적(061017-1)" xfId="768"/>
    <cellStyle name="1_total_은파수량집계_화명조경" xfId="769"/>
    <cellStyle name="1_total_은파수량집계_화명조경_1차 기성 내역서 0612023" xfId="770"/>
    <cellStyle name="1_total_은파수량집계_화명조경_3차네고견적(061017-1)" xfId="771"/>
    <cellStyle name="1_total_은파수량집계_화명조경_백화점화장실인테리어" xfId="772"/>
    <cellStyle name="1_total_은파수량집계_화명조경_백화점화장실인테리어_1차 기성 내역서 0612023" xfId="773"/>
    <cellStyle name="1_total_은파수량집계_화명조경_백화점화장실인테리어_3차네고견적(061017-1)" xfId="774"/>
    <cellStyle name="1_total_터미널1-0" xfId="775"/>
    <cellStyle name="1_total_터미널1-0_1차 기성 내역서 0612023" xfId="776"/>
    <cellStyle name="1_total_터미널1-0_3차네고견적(061017-1)" xfId="777"/>
    <cellStyle name="1_total_터미널1-0_백화점화장실인테리어" xfId="778"/>
    <cellStyle name="1_total_터미널1-0_백화점화장실인테리어_1차 기성 내역서 0612023" xfId="779"/>
    <cellStyle name="1_total_터미널1-0_백화점화장실인테리어_3차네고견적(061017-1)" xfId="780"/>
    <cellStyle name="1_total_터미널1-0_화명조경" xfId="781"/>
    <cellStyle name="1_total_터미널1-0_화명조경_1차 기성 내역서 0612023" xfId="782"/>
    <cellStyle name="1_total_터미널1-0_화명조경_3차네고견적(061017-1)" xfId="783"/>
    <cellStyle name="1_total_터미널1-0_화명조경_백화점화장실인테리어" xfId="784"/>
    <cellStyle name="1_total_터미널1-0_화명조경_백화점화장실인테리어_1차 기성 내역서 0612023" xfId="785"/>
    <cellStyle name="1_total_터미널1-0_화명조경_백화점화장실인테리어_3차네고견적(061017-1)" xfId="786"/>
    <cellStyle name="1_total_화명조경" xfId="787"/>
    <cellStyle name="1_total_화명조경_1차 기성 내역서 0612023" xfId="788"/>
    <cellStyle name="1_total_화명조경_3차네고견적(061017-1)" xfId="789"/>
    <cellStyle name="1_total_화명조경_백화점화장실인테리어" xfId="790"/>
    <cellStyle name="1_total_화명조경_백화점화장실인테리어_1차 기성 내역서 0612023" xfId="791"/>
    <cellStyle name="1_total_화명조경_백화점화장실인테리어_3차네고견적(061017-1)" xfId="792"/>
    <cellStyle name="1_tree" xfId="793"/>
    <cellStyle name="1_tree_1차 기성 내역서 0612023" xfId="794"/>
    <cellStyle name="1_tree_3차네고견적(061017-1)" xfId="795"/>
    <cellStyle name="1_tree_Sheet1" xfId="796"/>
    <cellStyle name="1_tree_Sheet1_1차 기성 내역서 0612023" xfId="797"/>
    <cellStyle name="1_tree_Sheet1_3차네고견적(061017-1)" xfId="798"/>
    <cellStyle name="1_tree_갑지0601" xfId="799"/>
    <cellStyle name="1_tree_갑지0601_00갑지" xfId="800"/>
    <cellStyle name="1_tree_갑지0601_00갑지_1차 기성 내역서 0612023" xfId="801"/>
    <cellStyle name="1_tree_갑지0601_00갑지_3차네고견적(061017-1)" xfId="802"/>
    <cellStyle name="1_tree_갑지0601_00갑지_백화점화장실인테리어" xfId="803"/>
    <cellStyle name="1_tree_갑지0601_00갑지_백화점화장실인테리어_1차 기성 내역서 0612023" xfId="804"/>
    <cellStyle name="1_tree_갑지0601_00갑지_백화점화장실인테리어_3차네고견적(061017-1)" xfId="805"/>
    <cellStyle name="1_tree_갑지0601_00갑지_설계내역서" xfId="806"/>
    <cellStyle name="1_tree_갑지0601_00갑지_설계내역서_1차 기성 내역서 0612023" xfId="807"/>
    <cellStyle name="1_tree_갑지0601_00갑지_설계내역서_3차네고견적(061017-1)" xfId="808"/>
    <cellStyle name="1_tree_갑지0601_00갑지_설계내역서_백화점화장실인테리어" xfId="809"/>
    <cellStyle name="1_tree_갑지0601_00갑지_설계내역서_백화점화장실인테리어_1차 기성 내역서 0612023" xfId="810"/>
    <cellStyle name="1_tree_갑지0601_00갑지_설계내역서_백화점화장실인테리어_3차네고견적(061017-1)" xfId="811"/>
    <cellStyle name="1_tree_갑지0601_00갑지_설계내역서_화명조경" xfId="812"/>
    <cellStyle name="1_tree_갑지0601_00갑지_설계내역서_화명조경_1차 기성 내역서 0612023" xfId="813"/>
    <cellStyle name="1_tree_갑지0601_00갑지_설계내역서_화명조경_3차네고견적(061017-1)" xfId="814"/>
    <cellStyle name="1_tree_갑지0601_00갑지_설계내역서_화명조경_백화점화장실인테리어" xfId="815"/>
    <cellStyle name="1_tree_갑지0601_00갑지_설계내역서_화명조경_백화점화장실인테리어_1차 기성 내역서 0612023" xfId="816"/>
    <cellStyle name="1_tree_갑지0601_00갑지_설계내역서_화명조경_백화점화장실인테리어_3차네고견적(061017-1)" xfId="817"/>
    <cellStyle name="1_tree_갑지0601_00갑지_설계내역서1월7일" xfId="818"/>
    <cellStyle name="1_tree_갑지0601_00갑지_설계내역서1월7일_1차 기성 내역서 0612023" xfId="819"/>
    <cellStyle name="1_tree_갑지0601_00갑지_설계내역서1월7일_3차네고견적(061017-1)" xfId="820"/>
    <cellStyle name="1_tree_갑지0601_00갑지_설계내역서1월7일_백화점화장실인테리어" xfId="821"/>
    <cellStyle name="1_tree_갑지0601_00갑지_설계내역서1월7일_백화점화장실인테리어_1차 기성 내역서 0612023" xfId="822"/>
    <cellStyle name="1_tree_갑지0601_00갑지_설계내역서1월7일_백화점화장실인테리어_3차네고견적(061017-1)" xfId="823"/>
    <cellStyle name="1_tree_갑지0601_00갑지_설계내역서1월7일_화명조경" xfId="824"/>
    <cellStyle name="1_tree_갑지0601_00갑지_설계내역서1월7일_화명조경_1차 기성 내역서 0612023" xfId="825"/>
    <cellStyle name="1_tree_갑지0601_00갑지_설계내역서1월7일_화명조경_3차네고견적(061017-1)" xfId="826"/>
    <cellStyle name="1_tree_갑지0601_00갑지_설계내역서1월7일_화명조경_백화점화장실인테리어" xfId="827"/>
    <cellStyle name="1_tree_갑지0601_00갑지_설계내역서1월7일_화명조경_백화점화장실인테리어_1차 기성 내역서 0612023" xfId="828"/>
    <cellStyle name="1_tree_갑지0601_00갑지_설계내역서1월7일_화명조경_백화점화장실인테리어_3차네고견적(061017-1)" xfId="829"/>
    <cellStyle name="1_tree_갑지0601_00갑지_화명조경" xfId="830"/>
    <cellStyle name="1_tree_갑지0601_00갑지_화명조경_1차 기성 내역서 0612023" xfId="831"/>
    <cellStyle name="1_tree_갑지0601_00갑지_화명조경_3차네고견적(061017-1)" xfId="832"/>
    <cellStyle name="1_tree_갑지0601_00갑지_화명조경_백화점화장실인테리어" xfId="833"/>
    <cellStyle name="1_tree_갑지0601_00갑지_화명조경_백화점화장실인테리어_1차 기성 내역서 0612023" xfId="834"/>
    <cellStyle name="1_tree_갑지0601_00갑지_화명조경_백화점화장실인테리어_3차네고견적(061017-1)" xfId="835"/>
    <cellStyle name="1_tree_갑지0601_1차 기성 내역서 0612023" xfId="836"/>
    <cellStyle name="1_tree_갑지0601_3차네고견적(061017-1)" xfId="837"/>
    <cellStyle name="1_tree_갑지0601_과천놀이터설계서" xfId="838"/>
    <cellStyle name="1_tree_갑지0601_과천놀이터설계서_1차 기성 내역서 0612023" xfId="839"/>
    <cellStyle name="1_tree_갑지0601_과천놀이터설계서_3차네고견적(061017-1)" xfId="840"/>
    <cellStyle name="1_tree_갑지0601_과천놀이터설계서_백화점화장실인테리어" xfId="841"/>
    <cellStyle name="1_tree_갑지0601_과천놀이터설계서_백화점화장실인테리어_1차 기성 내역서 0612023" xfId="842"/>
    <cellStyle name="1_tree_갑지0601_과천놀이터설계서_백화점화장실인테리어_3차네고견적(061017-1)" xfId="843"/>
    <cellStyle name="1_tree_갑지0601_과천놀이터설계서_설계내역서" xfId="844"/>
    <cellStyle name="1_tree_갑지0601_과천놀이터설계서_설계내역서_1차 기성 내역서 0612023" xfId="845"/>
    <cellStyle name="1_tree_갑지0601_과천놀이터설계서_설계내역서_3차네고견적(061017-1)" xfId="846"/>
    <cellStyle name="1_tree_갑지0601_과천놀이터설계서_설계내역서_백화점화장실인테리어" xfId="847"/>
    <cellStyle name="1_tree_갑지0601_과천놀이터설계서_설계내역서_백화점화장실인테리어_1차 기성 내역서 0612023" xfId="848"/>
    <cellStyle name="1_tree_갑지0601_과천놀이터설계서_설계내역서_백화점화장실인테리어_3차네고견적(061017-1)" xfId="849"/>
    <cellStyle name="1_tree_갑지0601_과천놀이터설계서_설계내역서_화명조경" xfId="850"/>
    <cellStyle name="1_tree_갑지0601_과천놀이터설계서_설계내역서_화명조경_1차 기성 내역서 0612023" xfId="851"/>
    <cellStyle name="1_tree_갑지0601_과천놀이터설계서_설계내역서_화명조경_3차네고견적(061017-1)" xfId="852"/>
    <cellStyle name="1_tree_갑지0601_과천놀이터설계서_설계내역서_화명조경_백화점화장실인테리어" xfId="853"/>
    <cellStyle name="1_tree_갑지0601_과천놀이터설계서_설계내역서_화명조경_백화점화장실인테리어_1차 기성 내역서 0612023" xfId="854"/>
    <cellStyle name="1_tree_갑지0601_과천놀이터설계서_설계내역서_화명조경_백화점화장실인테리어_3차네고견적(061017-1)" xfId="855"/>
    <cellStyle name="1_tree_갑지0601_과천놀이터설계서_설계내역서1월7일" xfId="856"/>
    <cellStyle name="1_tree_갑지0601_과천놀이터설계서_설계내역서1월7일_1차 기성 내역서 0612023" xfId="857"/>
    <cellStyle name="1_tree_갑지0601_과천놀이터설계서_설계내역서1월7일_3차네고견적(061017-1)" xfId="858"/>
    <cellStyle name="1_tree_갑지0601_과천놀이터설계서_설계내역서1월7일_백화점화장실인테리어" xfId="859"/>
    <cellStyle name="1_tree_갑지0601_과천놀이터설계서_설계내역서1월7일_백화점화장실인테리어_1차 기성 내역서 0612023" xfId="860"/>
    <cellStyle name="1_tree_갑지0601_과천놀이터설계서_설계내역서1월7일_백화점화장실인테리어_3차네고견적(061017-1)" xfId="861"/>
    <cellStyle name="1_tree_갑지0601_과천놀이터설계서_설계내역서1월7일_화명조경" xfId="862"/>
    <cellStyle name="1_tree_갑지0601_과천놀이터설계서_설계내역서1월7일_화명조경_1차 기성 내역서 0612023" xfId="863"/>
    <cellStyle name="1_tree_갑지0601_과천놀이터설계서_설계내역서1월7일_화명조경_3차네고견적(061017-1)" xfId="864"/>
    <cellStyle name="1_tree_갑지0601_과천놀이터설계서_설계내역서1월7일_화명조경_백화점화장실인테리어" xfId="865"/>
    <cellStyle name="1_tree_갑지0601_과천놀이터설계서_설계내역서1월7일_화명조경_백화점화장실인테리어_1차 기성 내역서 0612023" xfId="866"/>
    <cellStyle name="1_tree_갑지0601_과천놀이터설계서_설계내역서1월7일_화명조경_백화점화장실인테리어_3차네고견적(061017-1)" xfId="867"/>
    <cellStyle name="1_tree_갑지0601_과천놀이터설계서_화명조경" xfId="868"/>
    <cellStyle name="1_tree_갑지0601_과천놀이터설계서_화명조경_1차 기성 내역서 0612023" xfId="869"/>
    <cellStyle name="1_tree_갑지0601_과천놀이터설계서_화명조경_3차네고견적(061017-1)" xfId="870"/>
    <cellStyle name="1_tree_갑지0601_과천놀이터설계서_화명조경_백화점화장실인테리어" xfId="871"/>
    <cellStyle name="1_tree_갑지0601_과천놀이터설계서_화명조경_백화점화장실인테리어_1차 기성 내역서 0612023" xfId="872"/>
    <cellStyle name="1_tree_갑지0601_과천놀이터설계서_화명조경_백화점화장실인테리어_3차네고견적(061017-1)" xfId="873"/>
    <cellStyle name="1_tree_갑지0601_백화점화장실인테리어" xfId="874"/>
    <cellStyle name="1_tree_갑지0601_백화점화장실인테리어_1차 기성 내역서 0612023" xfId="875"/>
    <cellStyle name="1_tree_갑지0601_백화점화장실인테리어_3차네고견적(061017-1)" xfId="876"/>
    <cellStyle name="1_tree_갑지0601_총괄갑지" xfId="877"/>
    <cellStyle name="1_tree_갑지0601_총괄갑지_1차 기성 내역서 0612023" xfId="878"/>
    <cellStyle name="1_tree_갑지0601_총괄갑지_3차네고견적(061017-1)" xfId="879"/>
    <cellStyle name="1_tree_갑지0601_총괄갑지_백화점화장실인테리어" xfId="880"/>
    <cellStyle name="1_tree_갑지0601_총괄갑지_백화점화장실인테리어_1차 기성 내역서 0612023" xfId="881"/>
    <cellStyle name="1_tree_갑지0601_총괄갑지_백화점화장실인테리어_3차네고견적(061017-1)" xfId="882"/>
    <cellStyle name="1_tree_갑지0601_총괄갑지_설계내역서" xfId="883"/>
    <cellStyle name="1_tree_갑지0601_총괄갑지_설계내역서_1차 기성 내역서 0612023" xfId="884"/>
    <cellStyle name="1_tree_갑지0601_총괄갑지_설계내역서_3차네고견적(061017-1)" xfId="885"/>
    <cellStyle name="1_tree_갑지0601_총괄갑지_설계내역서_백화점화장실인테리어" xfId="886"/>
    <cellStyle name="1_tree_갑지0601_총괄갑지_설계내역서_백화점화장실인테리어_1차 기성 내역서 0612023" xfId="887"/>
    <cellStyle name="1_tree_갑지0601_총괄갑지_설계내역서_백화점화장실인테리어_3차네고견적(061017-1)" xfId="888"/>
    <cellStyle name="1_tree_갑지0601_총괄갑지_설계내역서_화명조경" xfId="889"/>
    <cellStyle name="1_tree_갑지0601_총괄갑지_설계내역서_화명조경_1차 기성 내역서 0612023" xfId="890"/>
    <cellStyle name="1_tree_갑지0601_총괄갑지_설계내역서_화명조경_3차네고견적(061017-1)" xfId="891"/>
    <cellStyle name="1_tree_갑지0601_총괄갑지_설계내역서_화명조경_백화점화장실인테리어" xfId="892"/>
    <cellStyle name="1_tree_갑지0601_총괄갑지_설계내역서_화명조경_백화점화장실인테리어_1차 기성 내역서 0612023" xfId="893"/>
    <cellStyle name="1_tree_갑지0601_총괄갑지_설계내역서_화명조경_백화점화장실인테리어_3차네고견적(061017-1)" xfId="894"/>
    <cellStyle name="1_tree_갑지0601_총괄갑지_설계내역서1월7일" xfId="895"/>
    <cellStyle name="1_tree_갑지0601_총괄갑지_설계내역서1월7일_1차 기성 내역서 0612023" xfId="896"/>
    <cellStyle name="1_tree_갑지0601_총괄갑지_설계내역서1월7일_3차네고견적(061017-1)" xfId="897"/>
    <cellStyle name="1_tree_갑지0601_총괄갑지_설계내역서1월7일_백화점화장실인테리어" xfId="898"/>
    <cellStyle name="1_tree_갑지0601_총괄갑지_설계내역서1월7일_백화점화장실인테리어_1차 기성 내역서 0612023" xfId="899"/>
    <cellStyle name="1_tree_갑지0601_총괄갑지_설계내역서1월7일_백화점화장실인테리어_3차네고견적(061017-1)" xfId="900"/>
    <cellStyle name="1_tree_갑지0601_총괄갑지_설계내역서1월7일_화명조경" xfId="901"/>
    <cellStyle name="1_tree_갑지0601_총괄갑지_설계내역서1월7일_화명조경_1차 기성 내역서 0612023" xfId="902"/>
    <cellStyle name="1_tree_갑지0601_총괄갑지_설계내역서1월7일_화명조경_3차네고견적(061017-1)" xfId="903"/>
    <cellStyle name="1_tree_갑지0601_총괄갑지_설계내역서1월7일_화명조경_백화점화장실인테리어" xfId="904"/>
    <cellStyle name="1_tree_갑지0601_총괄갑지_설계내역서1월7일_화명조경_백화점화장실인테리어_1차 기성 내역서 0612023" xfId="905"/>
    <cellStyle name="1_tree_갑지0601_총괄갑지_설계내역서1월7일_화명조경_백화점화장실인테리어_3차네고견적(061017-1)" xfId="906"/>
    <cellStyle name="1_tree_갑지0601_총괄갑지_화명조경" xfId="907"/>
    <cellStyle name="1_tree_갑지0601_총괄갑지_화명조경_1차 기성 내역서 0612023" xfId="908"/>
    <cellStyle name="1_tree_갑지0601_총괄갑지_화명조경_3차네고견적(061017-1)" xfId="909"/>
    <cellStyle name="1_tree_갑지0601_총괄갑지_화명조경_백화점화장실인테리어" xfId="910"/>
    <cellStyle name="1_tree_갑지0601_총괄갑지_화명조경_백화점화장실인테리어_1차 기성 내역서 0612023" xfId="911"/>
    <cellStyle name="1_tree_갑지0601_총괄갑지_화명조경_백화점화장실인테리어_3차네고견적(061017-1)" xfId="912"/>
    <cellStyle name="1_tree_갑지0601_총괄내역서" xfId="913"/>
    <cellStyle name="1_tree_갑지0601_총괄내역서_1차 기성 내역서 0612023" xfId="914"/>
    <cellStyle name="1_tree_갑지0601_총괄내역서_3차네고견적(061017-1)" xfId="915"/>
    <cellStyle name="1_tree_갑지0601_총괄내역서_백화점화장실인테리어" xfId="916"/>
    <cellStyle name="1_tree_갑지0601_총괄내역서_백화점화장실인테리어_1차 기성 내역서 0612023" xfId="917"/>
    <cellStyle name="1_tree_갑지0601_총괄내역서_백화점화장실인테리어_3차네고견적(061017-1)" xfId="918"/>
    <cellStyle name="1_tree_갑지0601_총괄내역서_설계내역서" xfId="919"/>
    <cellStyle name="1_tree_갑지0601_총괄내역서_설계내역서_1차 기성 내역서 0612023" xfId="920"/>
    <cellStyle name="1_tree_갑지0601_총괄내역서_설계내역서_3차네고견적(061017-1)" xfId="921"/>
    <cellStyle name="1_tree_갑지0601_총괄내역서_설계내역서_백화점화장실인테리어" xfId="922"/>
    <cellStyle name="1_tree_갑지0601_총괄내역서_설계내역서_백화점화장실인테리어_1차 기성 내역서 0612023" xfId="923"/>
    <cellStyle name="1_tree_갑지0601_총괄내역서_설계내역서_백화점화장실인테리어_3차네고견적(061017-1)" xfId="924"/>
    <cellStyle name="1_tree_갑지0601_총괄내역서_설계내역서_화명조경" xfId="925"/>
    <cellStyle name="1_tree_갑지0601_총괄내역서_설계내역서_화명조경_1차 기성 내역서 0612023" xfId="926"/>
    <cellStyle name="1_tree_갑지0601_총괄내역서_설계내역서_화명조경_3차네고견적(061017-1)" xfId="927"/>
    <cellStyle name="1_tree_갑지0601_총괄내역서_설계내역서_화명조경_백화점화장실인테리어" xfId="928"/>
    <cellStyle name="1_tree_갑지0601_총괄내역서_설계내역서_화명조경_백화점화장실인테리어_1차 기성 내역서 0612023" xfId="929"/>
    <cellStyle name="1_tree_갑지0601_총괄내역서_설계내역서_화명조경_백화점화장실인테리어_3차네고견적(061017-1)" xfId="930"/>
    <cellStyle name="1_tree_갑지0601_총괄내역서_설계내역서1월7일" xfId="931"/>
    <cellStyle name="1_tree_갑지0601_총괄내역서_설계내역서1월7일_1차 기성 내역서 0612023" xfId="932"/>
    <cellStyle name="1_tree_갑지0601_총괄내역서_설계내역서1월7일_3차네고견적(061017-1)" xfId="933"/>
    <cellStyle name="1_tree_갑지0601_총괄내역서_설계내역서1월7일_백화점화장실인테리어" xfId="934"/>
    <cellStyle name="1_tree_갑지0601_총괄내역서_설계내역서1월7일_백화점화장실인테리어_1차 기성 내역서 0612023" xfId="935"/>
    <cellStyle name="1_tree_갑지0601_총괄내역서_설계내역서1월7일_백화점화장실인테리어_3차네고견적(061017-1)" xfId="936"/>
    <cellStyle name="1_tree_갑지0601_총괄내역서_설계내역서1월7일_화명조경" xfId="937"/>
    <cellStyle name="1_tree_갑지0601_총괄내역서_설계내역서1월7일_화명조경_1차 기성 내역서 0612023" xfId="938"/>
    <cellStyle name="1_tree_갑지0601_총괄내역서_설계내역서1월7일_화명조경_3차네고견적(061017-1)" xfId="939"/>
    <cellStyle name="1_tree_갑지0601_총괄내역서_설계내역서1월7일_화명조경_백화점화장실인테리어" xfId="940"/>
    <cellStyle name="1_tree_갑지0601_총괄내역서_설계내역서1월7일_화명조경_백화점화장실인테리어_1차 기성 내역서 0612023" xfId="941"/>
    <cellStyle name="1_tree_갑지0601_총괄내역서_설계내역서1월7일_화명조경_백화점화장실인테리어_3차네고견적(061017-1)" xfId="942"/>
    <cellStyle name="1_tree_갑지0601_총괄내역서_화명조경" xfId="943"/>
    <cellStyle name="1_tree_갑지0601_총괄내역서_화명조경_1차 기성 내역서 0612023" xfId="944"/>
    <cellStyle name="1_tree_갑지0601_총괄내역서_화명조경_3차네고견적(061017-1)" xfId="945"/>
    <cellStyle name="1_tree_갑지0601_총괄내역서_화명조경_백화점화장실인테리어" xfId="946"/>
    <cellStyle name="1_tree_갑지0601_총괄내역서_화명조경_백화점화장실인테리어_1차 기성 내역서 0612023" xfId="947"/>
    <cellStyle name="1_tree_갑지0601_총괄내역서_화명조경_백화점화장실인테리어_3차네고견적(061017-1)" xfId="948"/>
    <cellStyle name="1_tree_갑지0601_화명조경" xfId="949"/>
    <cellStyle name="1_tree_갑지0601_화명조경_1차 기성 내역서 0612023" xfId="950"/>
    <cellStyle name="1_tree_갑지0601_화명조경_3차네고견적(061017-1)" xfId="951"/>
    <cellStyle name="1_tree_갑지0601_화명조경_백화점화장실인테리어" xfId="952"/>
    <cellStyle name="1_tree_갑지0601_화명조경_백화점화장실인테리어_1차 기성 내역서 0612023" xfId="953"/>
    <cellStyle name="1_tree_갑지0601_화명조경_백화점화장실인테리어_3차네고견적(061017-1)" xfId="954"/>
    <cellStyle name="1_tree_남해총괄표" xfId="955"/>
    <cellStyle name="1_tree_남해총괄표_1차 기성 내역서 0612023" xfId="956"/>
    <cellStyle name="1_tree_남해총괄표_3차네고견적(061017-1)" xfId="957"/>
    <cellStyle name="1_tree_남해총괄표_백화점화장실인테리어" xfId="958"/>
    <cellStyle name="1_tree_남해총괄표_백화점화장실인테리어_1차 기성 내역서 0612023" xfId="959"/>
    <cellStyle name="1_tree_남해총괄표_백화점화장실인테리어_3차네고견적(061017-1)" xfId="960"/>
    <cellStyle name="1_tree_남해총괄표_설계내역서" xfId="961"/>
    <cellStyle name="1_tree_남해총괄표_설계내역서_1차 기성 내역서 0612023" xfId="962"/>
    <cellStyle name="1_tree_남해총괄표_설계내역서_3차네고견적(061017-1)" xfId="963"/>
    <cellStyle name="1_tree_남해총괄표_설계내역서_백화점화장실인테리어" xfId="964"/>
    <cellStyle name="1_tree_남해총괄표_설계내역서_백화점화장실인테리어_1차 기성 내역서 0612023" xfId="965"/>
    <cellStyle name="1_tree_남해총괄표_설계내역서_백화점화장실인테리어_3차네고견적(061017-1)" xfId="966"/>
    <cellStyle name="1_tree_남해총괄표_설계내역서_화명조경" xfId="967"/>
    <cellStyle name="1_tree_남해총괄표_설계내역서_화명조경_1차 기성 내역서 0612023" xfId="968"/>
    <cellStyle name="1_tree_남해총괄표_설계내역서_화명조경_3차네고견적(061017-1)" xfId="969"/>
    <cellStyle name="1_tree_남해총괄표_설계내역서_화명조경_백화점화장실인테리어" xfId="970"/>
    <cellStyle name="1_tree_남해총괄표_설계내역서_화명조경_백화점화장실인테리어_1차 기성 내역서 0612023" xfId="971"/>
    <cellStyle name="1_tree_남해총괄표_설계내역서_화명조경_백화점화장실인테리어_3차네고견적(061017-1)" xfId="972"/>
    <cellStyle name="1_tree_남해총괄표_설계내역서1월7일" xfId="973"/>
    <cellStyle name="1_tree_남해총괄표_설계내역서1월7일_1차 기성 내역서 0612023" xfId="974"/>
    <cellStyle name="1_tree_남해총괄표_설계내역서1월7일_3차네고견적(061017-1)" xfId="975"/>
    <cellStyle name="1_tree_남해총괄표_설계내역서1월7일_백화점화장실인테리어" xfId="976"/>
    <cellStyle name="1_tree_남해총괄표_설계내역서1월7일_백화점화장실인테리어_1차 기성 내역서 0612023" xfId="977"/>
    <cellStyle name="1_tree_남해총괄표_설계내역서1월7일_백화점화장실인테리어_3차네고견적(061017-1)" xfId="978"/>
    <cellStyle name="1_tree_남해총괄표_설계내역서1월7일_화명조경" xfId="979"/>
    <cellStyle name="1_tree_남해총괄표_설계내역서1월7일_화명조경_1차 기성 내역서 0612023" xfId="980"/>
    <cellStyle name="1_tree_남해총괄표_설계내역서1월7일_화명조경_3차네고견적(061017-1)" xfId="981"/>
    <cellStyle name="1_tree_남해총괄표_설계내역서1월7일_화명조경_백화점화장실인테리어" xfId="982"/>
    <cellStyle name="1_tree_남해총괄표_설계내역서1월7일_화명조경_백화점화장실인테리어_1차 기성 내역서 0612023" xfId="983"/>
    <cellStyle name="1_tree_남해총괄표_설계내역서1월7일_화명조경_백화점화장실인테리어_3차네고견적(061017-1)" xfId="984"/>
    <cellStyle name="1_tree_남해총괄표_화명조경" xfId="985"/>
    <cellStyle name="1_tree_남해총괄표_화명조경_1차 기성 내역서 0612023" xfId="986"/>
    <cellStyle name="1_tree_남해총괄표_화명조경_3차네고견적(061017-1)" xfId="987"/>
    <cellStyle name="1_tree_남해총괄표_화명조경_백화점화장실인테리어" xfId="988"/>
    <cellStyle name="1_tree_남해총괄표_화명조경_백화점화장실인테리어_1차 기성 내역서 0612023" xfId="989"/>
    <cellStyle name="1_tree_남해총괄표_화명조경_백화점화장실인테리어_3차네고견적(061017-1)" xfId="990"/>
    <cellStyle name="1_tree_마운딩수량" xfId="991"/>
    <cellStyle name="1_tree_마운딩수량_1차 기성 내역서 0612023" xfId="992"/>
    <cellStyle name="1_tree_마운딩수량_3차네고견적(061017-1)" xfId="993"/>
    <cellStyle name="1_tree_마운딩수량_갑지0601" xfId="994"/>
    <cellStyle name="1_tree_마운딩수량_갑지0601_00갑지" xfId="995"/>
    <cellStyle name="1_tree_마운딩수량_갑지0601_00갑지_1차 기성 내역서 0612023" xfId="996"/>
    <cellStyle name="1_tree_마운딩수량_갑지0601_00갑지_3차네고견적(061017-1)" xfId="997"/>
    <cellStyle name="1_tree_마운딩수량_갑지0601_00갑지_백화점화장실인테리어" xfId="998"/>
    <cellStyle name="1_tree_마운딩수량_갑지0601_00갑지_백화점화장실인테리어_1차 기성 내역서 0612023" xfId="999"/>
    <cellStyle name="1_tree_마운딩수량_갑지0601_00갑지_백화점화장실인테리어_3차네고견적(061017-1)" xfId="1000"/>
    <cellStyle name="1_tree_마운딩수량_갑지0601_00갑지_설계내역서" xfId="1001"/>
    <cellStyle name="1_tree_마운딩수량_갑지0601_00갑지_설계내역서_1차 기성 내역서 0612023" xfId="1002"/>
    <cellStyle name="1_tree_마운딩수량_갑지0601_00갑지_설계내역서_3차네고견적(061017-1)" xfId="1003"/>
    <cellStyle name="1_tree_마운딩수량_갑지0601_00갑지_설계내역서_백화점화장실인테리어" xfId="1004"/>
    <cellStyle name="1_tree_마운딩수량_갑지0601_00갑지_설계내역서_백화점화장실인테리어_1차 기성 내역서 0612023" xfId="1005"/>
    <cellStyle name="1_tree_마운딩수량_갑지0601_00갑지_설계내역서_백화점화장실인테리어_3차네고견적(061017-1)" xfId="1006"/>
    <cellStyle name="1_tree_마운딩수량_갑지0601_00갑지_설계내역서_화명조경" xfId="1007"/>
    <cellStyle name="1_tree_마운딩수량_갑지0601_00갑지_설계내역서_화명조경_1차 기성 내역서 0612023" xfId="1008"/>
    <cellStyle name="1_tree_마운딩수량_갑지0601_00갑지_설계내역서_화명조경_3차네고견적(061017-1)" xfId="1009"/>
    <cellStyle name="1_tree_마운딩수량_갑지0601_00갑지_설계내역서_화명조경_백화점화장실인테리어" xfId="1010"/>
    <cellStyle name="1_tree_마운딩수량_갑지0601_00갑지_설계내역서_화명조경_백화점화장실인테리어_1차 기성 내역서 0612023" xfId="1011"/>
    <cellStyle name="1_tree_마운딩수량_갑지0601_00갑지_설계내역서_화명조경_백화점화장실인테리어_3차네고견적(061017-1)" xfId="1012"/>
    <cellStyle name="1_tree_마운딩수량_갑지0601_00갑지_설계내역서1월7일" xfId="1013"/>
    <cellStyle name="1_tree_마운딩수량_갑지0601_00갑지_설계내역서1월7일_1차 기성 내역서 0612023" xfId="1014"/>
    <cellStyle name="1_tree_마운딩수량_갑지0601_00갑지_설계내역서1월7일_3차네고견적(061017-1)" xfId="1015"/>
    <cellStyle name="1_tree_마운딩수량_갑지0601_00갑지_설계내역서1월7일_백화점화장실인테리어" xfId="1016"/>
    <cellStyle name="1_tree_마운딩수량_갑지0601_00갑지_설계내역서1월7일_백화점화장실인테리어_1차 기성 내역서 0612023" xfId="1017"/>
    <cellStyle name="1_tree_마운딩수량_갑지0601_00갑지_설계내역서1월7일_백화점화장실인테리어_3차네고견적(061017-1)" xfId="1018"/>
    <cellStyle name="1_tree_마운딩수량_갑지0601_00갑지_설계내역서1월7일_화명조경" xfId="1019"/>
    <cellStyle name="1_tree_마운딩수량_갑지0601_00갑지_설계내역서1월7일_화명조경_1차 기성 내역서 0612023" xfId="1020"/>
    <cellStyle name="1_tree_마운딩수량_갑지0601_00갑지_설계내역서1월7일_화명조경_3차네고견적(061017-1)" xfId="1021"/>
    <cellStyle name="1_tree_마운딩수량_갑지0601_00갑지_설계내역서1월7일_화명조경_백화점화장실인테리어" xfId="1022"/>
    <cellStyle name="1_tree_마운딩수량_갑지0601_00갑지_설계내역서1월7일_화명조경_백화점화장실인테리어_1차 기성 내역서 0612023" xfId="1023"/>
    <cellStyle name="1_tree_마운딩수량_갑지0601_00갑지_설계내역서1월7일_화명조경_백화점화장실인테리어_3차네고견적(061017-1)" xfId="1024"/>
    <cellStyle name="1_tree_마운딩수량_갑지0601_00갑지_화명조경" xfId="1025"/>
    <cellStyle name="1_tree_마운딩수량_갑지0601_00갑지_화명조경_1차 기성 내역서 0612023" xfId="1026"/>
    <cellStyle name="1_tree_마운딩수량_갑지0601_00갑지_화명조경_3차네고견적(061017-1)" xfId="1027"/>
    <cellStyle name="1_tree_마운딩수량_갑지0601_00갑지_화명조경_백화점화장실인테리어" xfId="1028"/>
    <cellStyle name="1_tree_마운딩수량_갑지0601_00갑지_화명조경_백화점화장실인테리어_1차 기성 내역서 0612023" xfId="1029"/>
    <cellStyle name="1_tree_마운딩수량_갑지0601_00갑지_화명조경_백화점화장실인테리어_3차네고견적(061017-1)" xfId="1030"/>
    <cellStyle name="1_tree_마운딩수량_갑지0601_1차 기성 내역서 0612023" xfId="1031"/>
    <cellStyle name="1_tree_마운딩수량_갑지0601_3차네고견적(061017-1)" xfId="1032"/>
    <cellStyle name="1_tree_마운딩수량_갑지0601_과천놀이터설계서" xfId="1033"/>
    <cellStyle name="1_tree_마운딩수량_갑지0601_과천놀이터설계서_1차 기성 내역서 0612023" xfId="1034"/>
    <cellStyle name="1_tree_마운딩수량_갑지0601_과천놀이터설계서_3차네고견적(061017-1)" xfId="1035"/>
    <cellStyle name="1_tree_마운딩수량_갑지0601_과천놀이터설계서_백화점화장실인테리어" xfId="1036"/>
    <cellStyle name="1_tree_마운딩수량_갑지0601_과천놀이터설계서_백화점화장실인테리어_1차 기성 내역서 0612023" xfId="1037"/>
    <cellStyle name="1_tree_마운딩수량_갑지0601_과천놀이터설계서_백화점화장실인테리어_3차네고견적(061017-1)" xfId="1038"/>
    <cellStyle name="1_tree_마운딩수량_갑지0601_과천놀이터설계서_설계내역서" xfId="1039"/>
    <cellStyle name="1_tree_마운딩수량_갑지0601_과천놀이터설계서_설계내역서_1차 기성 내역서 0612023" xfId="1040"/>
    <cellStyle name="1_tree_마운딩수량_갑지0601_과천놀이터설계서_설계내역서_3차네고견적(061017-1)" xfId="1041"/>
    <cellStyle name="1_tree_마운딩수량_갑지0601_과천놀이터설계서_설계내역서_백화점화장실인테리어" xfId="1042"/>
    <cellStyle name="1_tree_마운딩수량_갑지0601_과천놀이터설계서_설계내역서_백화점화장실인테리어_1차 기성 내역서 0612023" xfId="1043"/>
    <cellStyle name="1_tree_마운딩수량_갑지0601_과천놀이터설계서_설계내역서_백화점화장실인테리어_3차네고견적(061017-1)" xfId="1044"/>
    <cellStyle name="1_tree_마운딩수량_갑지0601_과천놀이터설계서_설계내역서_화명조경" xfId="1045"/>
    <cellStyle name="1_tree_마운딩수량_갑지0601_과천놀이터설계서_설계내역서_화명조경_1차 기성 내역서 0612023" xfId="1046"/>
    <cellStyle name="1_tree_마운딩수량_갑지0601_과천놀이터설계서_설계내역서_화명조경_3차네고견적(061017-1)" xfId="1047"/>
    <cellStyle name="1_tree_마운딩수량_갑지0601_과천놀이터설계서_설계내역서_화명조경_백화점화장실인테리어" xfId="1048"/>
    <cellStyle name="1_tree_마운딩수량_갑지0601_과천놀이터설계서_설계내역서_화명조경_백화점화장실인테리어_1차 기성 내역서 0612023" xfId="1049"/>
    <cellStyle name="1_tree_마운딩수량_갑지0601_과천놀이터설계서_설계내역서_화명조경_백화점화장실인테리어_3차네고견적(061017-1)" xfId="1050"/>
    <cellStyle name="1_tree_마운딩수량_갑지0601_과천놀이터설계서_설계내역서1월7일" xfId="1051"/>
    <cellStyle name="1_tree_마운딩수량_갑지0601_과천놀이터설계서_설계내역서1월7일_1차 기성 내역서 0612023" xfId="1052"/>
    <cellStyle name="1_tree_마운딩수량_갑지0601_과천놀이터설계서_설계내역서1월7일_3차네고견적(061017-1)" xfId="1053"/>
    <cellStyle name="1_tree_마운딩수량_갑지0601_과천놀이터설계서_설계내역서1월7일_백화점화장실인테리어" xfId="1054"/>
    <cellStyle name="1_tree_마운딩수량_갑지0601_과천놀이터설계서_설계내역서1월7일_백화점화장실인테리어_1차 기성 내역서 0612023" xfId="1055"/>
    <cellStyle name="1_tree_마운딩수량_갑지0601_과천놀이터설계서_설계내역서1월7일_백화점화장실인테리어_3차네고견적(061017-1)" xfId="1056"/>
    <cellStyle name="1_tree_마운딩수량_갑지0601_과천놀이터설계서_설계내역서1월7일_화명조경" xfId="1057"/>
    <cellStyle name="1_tree_마운딩수량_갑지0601_과천놀이터설계서_설계내역서1월7일_화명조경_1차 기성 내역서 0612023" xfId="1058"/>
    <cellStyle name="1_tree_마운딩수량_갑지0601_과천놀이터설계서_설계내역서1월7일_화명조경_3차네고견적(061017-1)" xfId="1059"/>
    <cellStyle name="1_tree_마운딩수량_갑지0601_과천놀이터설계서_설계내역서1월7일_화명조경_백화점화장실인테리어" xfId="1060"/>
    <cellStyle name="1_tree_마운딩수량_갑지0601_과천놀이터설계서_설계내역서1월7일_화명조경_백화점화장실인테리어_1차 기성 내역서 0612023" xfId="1061"/>
    <cellStyle name="1_tree_마운딩수량_갑지0601_과천놀이터설계서_설계내역서1월7일_화명조경_백화점화장실인테리어_3차네고견적(061017-1)" xfId="1062"/>
    <cellStyle name="1_tree_마운딩수량_갑지0601_과천놀이터설계서_화명조경" xfId="1063"/>
    <cellStyle name="1_tree_마운딩수량_갑지0601_과천놀이터설계서_화명조경_1차 기성 내역서 0612023" xfId="1064"/>
    <cellStyle name="1_tree_마운딩수량_갑지0601_과천놀이터설계서_화명조경_3차네고견적(061017-1)" xfId="1065"/>
    <cellStyle name="1_tree_마운딩수량_갑지0601_과천놀이터설계서_화명조경_백화점화장실인테리어" xfId="1066"/>
    <cellStyle name="1_tree_마운딩수량_갑지0601_과천놀이터설계서_화명조경_백화점화장실인테리어_1차 기성 내역서 0612023" xfId="1067"/>
    <cellStyle name="1_tree_마운딩수량_갑지0601_과천놀이터설계서_화명조경_백화점화장실인테리어_3차네고견적(061017-1)" xfId="1068"/>
    <cellStyle name="1_tree_마운딩수량_갑지0601_백화점화장실인테리어" xfId="1069"/>
    <cellStyle name="1_tree_마운딩수량_갑지0601_백화점화장실인테리어_1차 기성 내역서 0612023" xfId="1070"/>
    <cellStyle name="1_tree_마운딩수량_갑지0601_백화점화장실인테리어_3차네고견적(061017-1)" xfId="1071"/>
    <cellStyle name="1_tree_마운딩수량_갑지0601_총괄갑지" xfId="1072"/>
    <cellStyle name="1_tree_마운딩수량_갑지0601_총괄갑지_1차 기성 내역서 0612023" xfId="1073"/>
    <cellStyle name="1_tree_마운딩수량_갑지0601_총괄갑지_3차네고견적(061017-1)" xfId="1074"/>
    <cellStyle name="1_tree_마운딩수량_갑지0601_총괄갑지_백화점화장실인테리어" xfId="1075"/>
    <cellStyle name="1_tree_마운딩수량_갑지0601_총괄갑지_백화점화장실인테리어_1차 기성 내역서 0612023" xfId="1076"/>
    <cellStyle name="1_tree_마운딩수량_갑지0601_총괄갑지_백화점화장실인테리어_3차네고견적(061017-1)" xfId="1077"/>
    <cellStyle name="1_tree_마운딩수량_갑지0601_총괄갑지_설계내역서" xfId="1078"/>
    <cellStyle name="1_tree_마운딩수량_갑지0601_총괄갑지_설계내역서_1차 기성 내역서 0612023" xfId="1079"/>
    <cellStyle name="1_tree_마운딩수량_갑지0601_총괄갑지_설계내역서_3차네고견적(061017-1)" xfId="1080"/>
    <cellStyle name="1_tree_마운딩수량_갑지0601_총괄갑지_설계내역서_백화점화장실인테리어" xfId="1081"/>
    <cellStyle name="1_tree_마운딩수량_갑지0601_총괄갑지_설계내역서_백화점화장실인테리어_1차 기성 내역서 0612023" xfId="1082"/>
    <cellStyle name="1_tree_마운딩수량_갑지0601_총괄갑지_설계내역서_백화점화장실인테리어_3차네고견적(061017-1)" xfId="1083"/>
    <cellStyle name="1_tree_마운딩수량_갑지0601_총괄갑지_설계내역서_화명조경" xfId="1084"/>
    <cellStyle name="1_tree_마운딩수량_갑지0601_총괄갑지_설계내역서_화명조경_1차 기성 내역서 0612023" xfId="1085"/>
    <cellStyle name="1_tree_마운딩수량_갑지0601_총괄갑지_설계내역서_화명조경_3차네고견적(061017-1)" xfId="1086"/>
    <cellStyle name="1_tree_마운딩수량_갑지0601_총괄갑지_설계내역서_화명조경_백화점화장실인테리어" xfId="1087"/>
    <cellStyle name="1_tree_마운딩수량_갑지0601_총괄갑지_설계내역서_화명조경_백화점화장실인테리어_1차 기성 내역서 0612023" xfId="1088"/>
    <cellStyle name="1_tree_마운딩수량_갑지0601_총괄갑지_설계내역서_화명조경_백화점화장실인테리어_3차네고견적(061017-1)" xfId="1089"/>
    <cellStyle name="1_tree_마운딩수량_갑지0601_총괄갑지_설계내역서1월7일" xfId="1090"/>
    <cellStyle name="1_tree_마운딩수량_갑지0601_총괄갑지_설계내역서1월7일_1차 기성 내역서 0612023" xfId="1091"/>
    <cellStyle name="1_tree_마운딩수량_갑지0601_총괄갑지_설계내역서1월7일_3차네고견적(061017-1)" xfId="1092"/>
    <cellStyle name="1_tree_마운딩수량_갑지0601_총괄갑지_설계내역서1월7일_백화점화장실인테리어" xfId="1093"/>
    <cellStyle name="1_tree_마운딩수량_갑지0601_총괄갑지_설계내역서1월7일_백화점화장실인테리어_1차 기성 내역서 0612023" xfId="1094"/>
    <cellStyle name="1_tree_마운딩수량_갑지0601_총괄갑지_설계내역서1월7일_백화점화장실인테리어_3차네고견적(061017-1)" xfId="1095"/>
    <cellStyle name="1_tree_마운딩수량_갑지0601_총괄갑지_설계내역서1월7일_화명조경" xfId="1096"/>
    <cellStyle name="1_tree_마운딩수량_갑지0601_총괄갑지_설계내역서1월7일_화명조경_1차 기성 내역서 0612023" xfId="1097"/>
    <cellStyle name="1_tree_마운딩수량_갑지0601_총괄갑지_설계내역서1월7일_화명조경_3차네고견적(061017-1)" xfId="1098"/>
    <cellStyle name="1_tree_마운딩수량_갑지0601_총괄갑지_설계내역서1월7일_화명조경_백화점화장실인테리어" xfId="1099"/>
    <cellStyle name="1_tree_마운딩수량_갑지0601_총괄갑지_설계내역서1월7일_화명조경_백화점화장실인테리어_1차 기성 내역서 0612023" xfId="1100"/>
    <cellStyle name="1_tree_마운딩수량_갑지0601_총괄갑지_설계내역서1월7일_화명조경_백화점화장실인테리어_3차네고견적(061017-1)" xfId="1101"/>
    <cellStyle name="1_tree_마운딩수량_갑지0601_총괄갑지_화명조경" xfId="1102"/>
    <cellStyle name="1_tree_마운딩수량_갑지0601_총괄갑지_화명조경_1차 기성 내역서 0612023" xfId="1103"/>
    <cellStyle name="1_tree_마운딩수량_갑지0601_총괄갑지_화명조경_3차네고견적(061017-1)" xfId="1104"/>
    <cellStyle name="1_tree_마운딩수량_갑지0601_총괄갑지_화명조경_백화점화장실인테리어" xfId="1105"/>
    <cellStyle name="1_tree_마운딩수량_갑지0601_총괄갑지_화명조경_백화점화장실인테리어_1차 기성 내역서 0612023" xfId="1106"/>
    <cellStyle name="1_tree_마운딩수량_갑지0601_총괄갑지_화명조경_백화점화장실인테리어_3차네고견적(061017-1)" xfId="1107"/>
    <cellStyle name="1_tree_마운딩수량_갑지0601_총괄내역서" xfId="1108"/>
    <cellStyle name="1_tree_마운딩수량_갑지0601_총괄내역서_1차 기성 내역서 0612023" xfId="1109"/>
    <cellStyle name="1_tree_마운딩수량_갑지0601_총괄내역서_3차네고견적(061017-1)" xfId="1110"/>
    <cellStyle name="1_tree_마운딩수량_갑지0601_총괄내역서_백화점화장실인테리어" xfId="1111"/>
    <cellStyle name="1_tree_마운딩수량_갑지0601_총괄내역서_백화점화장실인테리어_1차 기성 내역서 0612023" xfId="1112"/>
    <cellStyle name="1_tree_마운딩수량_갑지0601_총괄내역서_백화점화장실인테리어_3차네고견적(061017-1)" xfId="1113"/>
    <cellStyle name="1_tree_마운딩수량_갑지0601_총괄내역서_설계내역서" xfId="1114"/>
    <cellStyle name="1_tree_마운딩수량_갑지0601_총괄내역서_설계내역서_1차 기성 내역서 0612023" xfId="1115"/>
    <cellStyle name="1_tree_마운딩수량_갑지0601_총괄내역서_설계내역서_3차네고견적(061017-1)" xfId="1116"/>
    <cellStyle name="1_tree_마운딩수량_갑지0601_총괄내역서_설계내역서_백화점화장실인테리어" xfId="1117"/>
    <cellStyle name="1_tree_마운딩수량_갑지0601_총괄내역서_설계내역서_백화점화장실인테리어_1차 기성 내역서 0612023" xfId="1118"/>
    <cellStyle name="1_tree_마운딩수량_갑지0601_총괄내역서_설계내역서_백화점화장실인테리어_3차네고견적(061017-1)" xfId="1119"/>
    <cellStyle name="1_tree_마운딩수량_갑지0601_총괄내역서_설계내역서_화명조경" xfId="1120"/>
    <cellStyle name="1_tree_마운딩수량_갑지0601_총괄내역서_설계내역서_화명조경_1차 기성 내역서 0612023" xfId="1121"/>
    <cellStyle name="1_tree_마운딩수량_갑지0601_총괄내역서_설계내역서_화명조경_3차네고견적(061017-1)" xfId="1122"/>
    <cellStyle name="1_tree_마운딩수량_갑지0601_총괄내역서_설계내역서_화명조경_백화점화장실인테리어" xfId="1123"/>
    <cellStyle name="1_tree_마운딩수량_갑지0601_총괄내역서_설계내역서_화명조경_백화점화장실인테리어_1차 기성 내역서 0612023" xfId="1124"/>
    <cellStyle name="1_tree_마운딩수량_갑지0601_총괄내역서_설계내역서_화명조경_백화점화장실인테리어_3차네고견적(061017-1)" xfId="1125"/>
    <cellStyle name="1_tree_마운딩수량_갑지0601_총괄내역서_설계내역서1월7일" xfId="1126"/>
    <cellStyle name="1_tree_마운딩수량_갑지0601_총괄내역서_설계내역서1월7일_1차 기성 내역서 0612023" xfId="1127"/>
    <cellStyle name="1_tree_마운딩수량_갑지0601_총괄내역서_설계내역서1월7일_3차네고견적(061017-1)" xfId="1128"/>
    <cellStyle name="1_tree_마운딩수량_갑지0601_총괄내역서_설계내역서1월7일_백화점화장실인테리어" xfId="1129"/>
    <cellStyle name="1_tree_마운딩수량_갑지0601_총괄내역서_설계내역서1월7일_백화점화장실인테리어_1차 기성 내역서 0612023" xfId="1130"/>
    <cellStyle name="1_tree_마운딩수량_갑지0601_총괄내역서_설계내역서1월7일_백화점화장실인테리어_3차네고견적(061017-1)" xfId="1131"/>
    <cellStyle name="1_tree_마운딩수량_갑지0601_총괄내역서_설계내역서1월7일_화명조경" xfId="1132"/>
    <cellStyle name="1_tree_마운딩수량_갑지0601_총괄내역서_설계내역서1월7일_화명조경_1차 기성 내역서 0612023" xfId="1133"/>
    <cellStyle name="1_tree_마운딩수량_갑지0601_총괄내역서_설계내역서1월7일_화명조경_3차네고견적(061017-1)" xfId="1134"/>
    <cellStyle name="1_tree_마운딩수량_갑지0601_총괄내역서_설계내역서1월7일_화명조경_백화점화장실인테리어" xfId="1135"/>
    <cellStyle name="1_tree_마운딩수량_갑지0601_총괄내역서_설계내역서1월7일_화명조경_백화점화장실인테리어_1차 기성 내역서 0612023" xfId="1136"/>
    <cellStyle name="1_tree_마운딩수량_갑지0601_총괄내역서_설계내역서1월7일_화명조경_백화점화장실인테리어_3차네고견적(061017-1)" xfId="1137"/>
    <cellStyle name="1_tree_마운딩수량_갑지0601_총괄내역서_화명조경" xfId="1138"/>
    <cellStyle name="1_tree_마운딩수량_갑지0601_총괄내역서_화명조경_1차 기성 내역서 0612023" xfId="1139"/>
    <cellStyle name="1_tree_마운딩수량_갑지0601_총괄내역서_화명조경_3차네고견적(061017-1)" xfId="1140"/>
    <cellStyle name="1_tree_마운딩수량_갑지0601_총괄내역서_화명조경_백화점화장실인테리어" xfId="1141"/>
    <cellStyle name="1_tree_마운딩수량_갑지0601_총괄내역서_화명조경_백화점화장실인테리어_1차 기성 내역서 0612023" xfId="1142"/>
    <cellStyle name="1_tree_마운딩수량_갑지0601_총괄내역서_화명조경_백화점화장실인테리어_3차네고견적(061017-1)" xfId="1143"/>
    <cellStyle name="1_tree_마운딩수량_갑지0601_화명조경" xfId="1144"/>
    <cellStyle name="1_tree_마운딩수량_갑지0601_화명조경_1차 기성 내역서 0612023" xfId="1145"/>
    <cellStyle name="1_tree_마운딩수량_갑지0601_화명조경_3차네고견적(061017-1)" xfId="1146"/>
    <cellStyle name="1_tree_마운딩수량_갑지0601_화명조경_백화점화장실인테리어" xfId="1147"/>
    <cellStyle name="1_tree_마운딩수량_갑지0601_화명조경_백화점화장실인테리어_1차 기성 내역서 0612023" xfId="1148"/>
    <cellStyle name="1_tree_마운딩수량_갑지0601_화명조경_백화점화장실인테리어_3차네고견적(061017-1)" xfId="1149"/>
    <cellStyle name="1_tree_마운딩수량_백화점화장실인테리어" xfId="1150"/>
    <cellStyle name="1_tree_마운딩수량_백화점화장실인테리어_1차 기성 내역서 0612023" xfId="1151"/>
    <cellStyle name="1_tree_마운딩수량_백화점화장실인테리어_3차네고견적(061017-1)" xfId="1152"/>
    <cellStyle name="1_tree_마운딩수량_설계내역서" xfId="1153"/>
    <cellStyle name="1_tree_마운딩수량_설계내역서_1차 기성 내역서 0612023" xfId="1154"/>
    <cellStyle name="1_tree_마운딩수량_설계내역서_3차네고견적(061017-1)" xfId="1155"/>
    <cellStyle name="1_tree_마운딩수량_설계내역서_백화점화장실인테리어" xfId="1156"/>
    <cellStyle name="1_tree_마운딩수량_설계내역서_백화점화장실인테리어_1차 기성 내역서 0612023" xfId="1157"/>
    <cellStyle name="1_tree_마운딩수량_설계내역서_백화점화장실인테리어_3차네고견적(061017-1)" xfId="1158"/>
    <cellStyle name="1_tree_마운딩수량_설계내역서_화명조경" xfId="1159"/>
    <cellStyle name="1_tree_마운딩수량_설계내역서_화명조경_1차 기성 내역서 0612023" xfId="1160"/>
    <cellStyle name="1_tree_마운딩수량_설계내역서_화명조경_3차네고견적(061017-1)" xfId="1161"/>
    <cellStyle name="1_tree_마운딩수량_설계내역서_화명조경_백화점화장실인테리어" xfId="1162"/>
    <cellStyle name="1_tree_마운딩수량_설계내역서_화명조경_백화점화장실인테리어_1차 기성 내역서 0612023" xfId="1163"/>
    <cellStyle name="1_tree_마운딩수량_설계내역서_화명조경_백화점화장실인테리어_3차네고견적(061017-1)" xfId="1164"/>
    <cellStyle name="1_tree_마운딩수량_설계내역서1월7일" xfId="1165"/>
    <cellStyle name="1_tree_마운딩수량_설계내역서1월7일_1차 기성 내역서 0612023" xfId="1166"/>
    <cellStyle name="1_tree_마운딩수량_설계내역서1월7일_3차네고견적(061017-1)" xfId="1167"/>
    <cellStyle name="1_tree_마운딩수량_설계내역서1월7일_백화점화장실인테리어" xfId="1168"/>
    <cellStyle name="1_tree_마운딩수량_설계내역서1월7일_백화점화장실인테리어_1차 기성 내역서 0612023" xfId="1169"/>
    <cellStyle name="1_tree_마운딩수량_설계내역서1월7일_백화점화장실인테리어_3차네고견적(061017-1)" xfId="1170"/>
    <cellStyle name="1_tree_마운딩수량_설계내역서1월7일_화명조경" xfId="1171"/>
    <cellStyle name="1_tree_마운딩수량_설계내역서1월7일_화명조경_1차 기성 내역서 0612023" xfId="1172"/>
    <cellStyle name="1_tree_마운딩수량_설계내역서1월7일_화명조경_3차네고견적(061017-1)" xfId="1173"/>
    <cellStyle name="1_tree_마운딩수량_설계내역서1월7일_화명조경_백화점화장실인테리어" xfId="1174"/>
    <cellStyle name="1_tree_마운딩수량_설계내역서1월7일_화명조경_백화점화장실인테리어_1차 기성 내역서 0612023" xfId="1175"/>
    <cellStyle name="1_tree_마운딩수량_설계내역서1월7일_화명조경_백화점화장실인테리어_3차네고견적(061017-1)" xfId="1176"/>
    <cellStyle name="1_tree_마운딩수량_화명조경" xfId="1177"/>
    <cellStyle name="1_tree_마운딩수량_화명조경_1차 기성 내역서 0612023" xfId="1178"/>
    <cellStyle name="1_tree_마운딩수량_화명조경_3차네고견적(061017-1)" xfId="1179"/>
    <cellStyle name="1_tree_마운딩수량_화명조경_백화점화장실인테리어" xfId="1180"/>
    <cellStyle name="1_tree_마운딩수량_화명조경_백화점화장실인테리어_1차 기성 내역서 0612023" xfId="1181"/>
    <cellStyle name="1_tree_마운딩수량_화명조경_백화점화장실인테리어_3차네고견적(061017-1)" xfId="1182"/>
    <cellStyle name="1_tree_백화점화장실인테리어" xfId="1183"/>
    <cellStyle name="1_tree_백화점화장실인테리어_1차 기성 내역서 0612023" xfId="1184"/>
    <cellStyle name="1_tree_백화점화장실인테리어_3차네고견적(061017-1)" xfId="1185"/>
    <cellStyle name="1_tree_설계내역서" xfId="1186"/>
    <cellStyle name="1_tree_설계내역서_1차 기성 내역서 0612023" xfId="1187"/>
    <cellStyle name="1_tree_설계내역서_3차네고견적(061017-1)" xfId="1188"/>
    <cellStyle name="1_tree_설계내역서_백화점화장실인테리어" xfId="1189"/>
    <cellStyle name="1_tree_설계내역서_백화점화장실인테리어_1차 기성 내역서 0612023" xfId="1190"/>
    <cellStyle name="1_tree_설계내역서_백화점화장실인테리어_3차네고견적(061017-1)" xfId="1191"/>
    <cellStyle name="1_tree_설계내역서_화명조경" xfId="1192"/>
    <cellStyle name="1_tree_설계내역서_화명조경_1차 기성 내역서 0612023" xfId="1193"/>
    <cellStyle name="1_tree_설계내역서_화명조경_3차네고견적(061017-1)" xfId="1194"/>
    <cellStyle name="1_tree_설계내역서_화명조경_백화점화장실인테리어" xfId="1195"/>
    <cellStyle name="1_tree_설계내역서_화명조경_백화점화장실인테리어_1차 기성 내역서 0612023" xfId="1196"/>
    <cellStyle name="1_tree_설계내역서_화명조경_백화점화장실인테리어_3차네고견적(061017-1)" xfId="1197"/>
    <cellStyle name="1_tree_설계내역서1월7일" xfId="1198"/>
    <cellStyle name="1_tree_설계내역서1월7일_1차 기성 내역서 0612023" xfId="1199"/>
    <cellStyle name="1_tree_설계내역서1월7일_3차네고견적(061017-1)" xfId="1200"/>
    <cellStyle name="1_tree_설계내역서1월7일_백화점화장실인테리어" xfId="1201"/>
    <cellStyle name="1_tree_설계내역서1월7일_백화점화장실인테리어_1차 기성 내역서 0612023" xfId="1202"/>
    <cellStyle name="1_tree_설계내역서1월7일_백화점화장실인테리어_3차네고견적(061017-1)" xfId="1203"/>
    <cellStyle name="1_tree_설계내역서1월7일_화명조경" xfId="1204"/>
    <cellStyle name="1_tree_설계내역서1월7일_화명조경_1차 기성 내역서 0612023" xfId="1205"/>
    <cellStyle name="1_tree_설계내역서1월7일_화명조경_3차네고견적(061017-1)" xfId="1206"/>
    <cellStyle name="1_tree_설계내역서1월7일_화명조경_백화점화장실인테리어" xfId="1207"/>
    <cellStyle name="1_tree_설계내역서1월7일_화명조경_백화점화장실인테리어_1차 기성 내역서 0612023" xfId="1208"/>
    <cellStyle name="1_tree_설계내역서1월7일_화명조경_백화점화장실인테리어_3차네고견적(061017-1)" xfId="1209"/>
    <cellStyle name="1_tree_수원변경수량산출" xfId="1210"/>
    <cellStyle name="1_tree_수원변경수량산출_1차 기성 내역서 0612023" xfId="1211"/>
    <cellStyle name="1_tree_수원변경수량산출_3차네고견적(061017-1)" xfId="1212"/>
    <cellStyle name="1_tree_수원변경수량산출_백화점화장실인테리어" xfId="1213"/>
    <cellStyle name="1_tree_수원변경수량산출_백화점화장실인테리어_1차 기성 내역서 0612023" xfId="1214"/>
    <cellStyle name="1_tree_수원변경수량산출_백화점화장실인테리어_3차네고견적(061017-1)" xfId="1215"/>
    <cellStyle name="1_tree_수원변경수량산출_설계내역서" xfId="1216"/>
    <cellStyle name="1_tree_수원변경수량산출_설계내역서_1차 기성 내역서 0612023" xfId="1217"/>
    <cellStyle name="1_tree_수원변경수량산출_설계내역서_3차네고견적(061017-1)" xfId="1218"/>
    <cellStyle name="1_tree_수원변경수량산출_설계내역서_백화점화장실인테리어" xfId="1219"/>
    <cellStyle name="1_tree_수원변경수량산출_설계내역서_백화점화장실인테리어_1차 기성 내역서 0612023" xfId="1220"/>
    <cellStyle name="1_tree_수원변경수량산출_설계내역서_백화점화장실인테리어_3차네고견적(061017-1)" xfId="1221"/>
    <cellStyle name="1_tree_수원변경수량산출_설계내역서_화명조경" xfId="1222"/>
    <cellStyle name="1_tree_수원변경수량산출_설계내역서_화명조경_1차 기성 내역서 0612023" xfId="1223"/>
    <cellStyle name="1_tree_수원변경수량산출_설계내역서_화명조경_3차네고견적(061017-1)" xfId="1224"/>
    <cellStyle name="1_tree_수원변경수량산출_설계내역서_화명조경_백화점화장실인테리어" xfId="1225"/>
    <cellStyle name="1_tree_수원변경수량산출_설계내역서_화명조경_백화점화장실인테리어_1차 기성 내역서 0612023" xfId="1226"/>
    <cellStyle name="1_tree_수원변경수량산출_설계내역서_화명조경_백화점화장실인테리어_3차네고견적(061017-1)" xfId="1227"/>
    <cellStyle name="1_tree_수원변경수량산출_설계내역서1월7일" xfId="1228"/>
    <cellStyle name="1_tree_수원변경수량산출_설계내역서1월7일_1차 기성 내역서 0612023" xfId="1229"/>
    <cellStyle name="1_tree_수원변경수량산출_설계내역서1월7일_3차네고견적(061017-1)" xfId="1230"/>
    <cellStyle name="1_tree_수원변경수량산출_설계내역서1월7일_백화점화장실인테리어" xfId="1231"/>
    <cellStyle name="1_tree_수원변경수량산출_설계내역서1월7일_백화점화장실인테리어_1차 기성 내역서 0612023" xfId="1232"/>
    <cellStyle name="1_tree_수원변경수량산출_설계내역서1월7일_백화점화장실인테리어_3차네고견적(061017-1)" xfId="1233"/>
    <cellStyle name="1_tree_수원변경수량산출_설계내역서1월7일_화명조경" xfId="1234"/>
    <cellStyle name="1_tree_수원변경수량산출_설계내역서1월7일_화명조경_1차 기성 내역서 0612023" xfId="1235"/>
    <cellStyle name="1_tree_수원변경수량산출_설계내역서1월7일_화명조경_3차네고견적(061017-1)" xfId="1236"/>
    <cellStyle name="1_tree_수원변경수량산출_설계내역서1월7일_화명조경_백화점화장실인테리어" xfId="1237"/>
    <cellStyle name="1_tree_수원변경수량산출_설계내역서1월7일_화명조경_백화점화장실인테리어_1차 기성 내역서 0612023" xfId="1238"/>
    <cellStyle name="1_tree_수원변경수량산출_설계내역서1월7일_화명조경_백화점화장실인테리어_3차네고견적(061017-1)" xfId="1239"/>
    <cellStyle name="1_tree_수원변경수량산출_화명조경" xfId="1240"/>
    <cellStyle name="1_tree_수원변경수량산출_화명조경_1차 기성 내역서 0612023" xfId="1241"/>
    <cellStyle name="1_tree_수원변경수량산출_화명조경_3차네고견적(061017-1)" xfId="1242"/>
    <cellStyle name="1_tree_수원변경수량산출_화명조경_백화점화장실인테리어" xfId="1243"/>
    <cellStyle name="1_tree_수원변경수량산출_화명조경_백화점화장실인테리어_1차 기성 내역서 0612023" xfId="1244"/>
    <cellStyle name="1_tree_수원변경수량산출_화명조경_백화점화장실인테리어_3차네고견적(061017-1)" xfId="1245"/>
    <cellStyle name="1_tree_쌍용수량0905" xfId="1246"/>
    <cellStyle name="1_tree_쌍용수량0905_1차 기성 내역서 0612023" xfId="1247"/>
    <cellStyle name="1_tree_쌍용수량0905_3차네고견적(061017-1)" xfId="1248"/>
    <cellStyle name="1_tree_쌍용수량0905_백화점화장실인테리어" xfId="1249"/>
    <cellStyle name="1_tree_쌍용수량0905_백화점화장실인테리어_1차 기성 내역서 0612023" xfId="1250"/>
    <cellStyle name="1_tree_쌍용수량0905_백화점화장실인테리어_3차네고견적(061017-1)" xfId="1251"/>
    <cellStyle name="1_tree_쌍용수량0905_설계내역서" xfId="1252"/>
    <cellStyle name="1_tree_쌍용수량0905_설계내역서_1차 기성 내역서 0612023" xfId="1253"/>
    <cellStyle name="1_tree_쌍용수량0905_설계내역서_3차네고견적(061017-1)" xfId="1254"/>
    <cellStyle name="1_tree_쌍용수량0905_설계내역서_백화점화장실인테리어" xfId="1255"/>
    <cellStyle name="1_tree_쌍용수량0905_설계내역서_백화점화장실인테리어_1차 기성 내역서 0612023" xfId="1256"/>
    <cellStyle name="1_tree_쌍용수량0905_설계내역서_백화점화장실인테리어_3차네고견적(061017-1)" xfId="1257"/>
    <cellStyle name="1_tree_쌍용수량0905_설계내역서_화명조경" xfId="1258"/>
    <cellStyle name="1_tree_쌍용수량0905_설계내역서_화명조경_1차 기성 내역서 0612023" xfId="1259"/>
    <cellStyle name="1_tree_쌍용수량0905_설계내역서_화명조경_3차네고견적(061017-1)" xfId="1260"/>
    <cellStyle name="1_tree_쌍용수량0905_설계내역서_화명조경_백화점화장실인테리어" xfId="1261"/>
    <cellStyle name="1_tree_쌍용수량0905_설계내역서_화명조경_백화점화장실인테리어_1차 기성 내역서 0612023" xfId="1262"/>
    <cellStyle name="1_tree_쌍용수량0905_설계내역서_화명조경_백화점화장실인테리어_3차네고견적(061017-1)" xfId="1263"/>
    <cellStyle name="1_tree_쌍용수량0905_설계내역서1월7일" xfId="1264"/>
    <cellStyle name="1_tree_쌍용수량0905_설계내역서1월7일_1차 기성 내역서 0612023" xfId="1265"/>
    <cellStyle name="1_tree_쌍용수량0905_설계내역서1월7일_3차네고견적(061017-1)" xfId="1266"/>
    <cellStyle name="1_tree_쌍용수량0905_설계내역서1월7일_백화점화장실인테리어" xfId="1267"/>
    <cellStyle name="1_tree_쌍용수량0905_설계내역서1월7일_백화점화장실인테리어_1차 기성 내역서 0612023" xfId="1268"/>
    <cellStyle name="1_tree_쌍용수량0905_설계내역서1월7일_백화점화장실인테리어_3차네고견적(061017-1)" xfId="1269"/>
    <cellStyle name="1_tree_쌍용수량0905_설계내역서1월7일_화명조경" xfId="1270"/>
    <cellStyle name="1_tree_쌍용수량0905_설계내역서1월7일_화명조경_1차 기성 내역서 0612023" xfId="1271"/>
    <cellStyle name="1_tree_쌍용수량0905_설계내역서1월7일_화명조경_3차네고견적(061017-1)" xfId="1272"/>
    <cellStyle name="1_tree_쌍용수량0905_설계내역서1월7일_화명조경_백화점화장실인테리어" xfId="1273"/>
    <cellStyle name="1_tree_쌍용수량0905_설계내역서1월7일_화명조경_백화점화장실인테리어_1차 기성 내역서 0612023" xfId="1274"/>
    <cellStyle name="1_tree_쌍용수량0905_설계내역서1월7일_화명조경_백화점화장실인테리어_3차네고견적(061017-1)" xfId="1275"/>
    <cellStyle name="1_tree_쌍용수량0905_화명조경" xfId="1276"/>
    <cellStyle name="1_tree_쌍용수량0905_화명조경_1차 기성 내역서 0612023" xfId="1277"/>
    <cellStyle name="1_tree_쌍용수량0905_화명조경_3차네고견적(061017-1)" xfId="1278"/>
    <cellStyle name="1_tree_쌍용수량0905_화명조경_백화점화장실인테리어" xfId="1279"/>
    <cellStyle name="1_tree_쌍용수량0905_화명조경_백화점화장실인테리어_1차 기성 내역서 0612023" xfId="1280"/>
    <cellStyle name="1_tree_쌍용수량0905_화명조경_백화점화장실인테리어_3차네고견적(061017-1)" xfId="1281"/>
    <cellStyle name="1_tree_원가계산서" xfId="1282"/>
    <cellStyle name="1_tree_원가계산서_00갑지" xfId="1283"/>
    <cellStyle name="1_tree_원가계산서_00갑지_1차 기성 내역서 0612023" xfId="1284"/>
    <cellStyle name="1_tree_원가계산서_00갑지_3차네고견적(061017-1)" xfId="1285"/>
    <cellStyle name="1_tree_원가계산서_00갑지_백화점화장실인테리어" xfId="1286"/>
    <cellStyle name="1_tree_원가계산서_00갑지_백화점화장실인테리어_1차 기성 내역서 0612023" xfId="1287"/>
    <cellStyle name="1_tree_원가계산서_00갑지_백화점화장실인테리어_3차네고견적(061017-1)" xfId="1288"/>
    <cellStyle name="1_tree_원가계산서_00갑지_설계내역서" xfId="1289"/>
    <cellStyle name="1_tree_원가계산서_00갑지_설계내역서_1차 기성 내역서 0612023" xfId="1290"/>
    <cellStyle name="1_tree_원가계산서_00갑지_설계내역서_3차네고견적(061017-1)" xfId="1291"/>
    <cellStyle name="1_tree_원가계산서_00갑지_설계내역서_백화점화장실인테리어" xfId="1292"/>
    <cellStyle name="1_tree_원가계산서_00갑지_설계내역서_백화점화장실인테리어_1차 기성 내역서 0612023" xfId="1293"/>
    <cellStyle name="1_tree_원가계산서_00갑지_설계내역서_백화점화장실인테리어_3차네고견적(061017-1)" xfId="1294"/>
    <cellStyle name="1_tree_원가계산서_00갑지_설계내역서_화명조경" xfId="1295"/>
    <cellStyle name="1_tree_원가계산서_00갑지_설계내역서_화명조경_1차 기성 내역서 0612023" xfId="1296"/>
    <cellStyle name="1_tree_원가계산서_00갑지_설계내역서_화명조경_3차네고견적(061017-1)" xfId="1297"/>
    <cellStyle name="1_tree_원가계산서_00갑지_설계내역서_화명조경_백화점화장실인테리어" xfId="1298"/>
    <cellStyle name="1_tree_원가계산서_00갑지_설계내역서_화명조경_백화점화장실인테리어_1차 기성 내역서 0612023" xfId="1299"/>
    <cellStyle name="1_tree_원가계산서_00갑지_설계내역서_화명조경_백화점화장실인테리어_3차네고견적(061017-1)" xfId="1300"/>
    <cellStyle name="1_tree_원가계산서_00갑지_설계내역서1월7일" xfId="1301"/>
    <cellStyle name="1_tree_원가계산서_00갑지_설계내역서1월7일_1차 기성 내역서 0612023" xfId="1302"/>
    <cellStyle name="1_tree_원가계산서_00갑지_설계내역서1월7일_3차네고견적(061017-1)" xfId="1303"/>
    <cellStyle name="1_tree_원가계산서_00갑지_설계내역서1월7일_백화점화장실인테리어" xfId="1304"/>
    <cellStyle name="1_tree_원가계산서_00갑지_설계내역서1월7일_백화점화장실인테리어_1차 기성 내역서 0612023" xfId="1305"/>
    <cellStyle name="1_tree_원가계산서_00갑지_설계내역서1월7일_백화점화장실인테리어_3차네고견적(061017-1)" xfId="1306"/>
    <cellStyle name="1_tree_원가계산서_00갑지_설계내역서1월7일_화명조경" xfId="1307"/>
    <cellStyle name="1_tree_원가계산서_00갑지_설계내역서1월7일_화명조경_1차 기성 내역서 0612023" xfId="1308"/>
    <cellStyle name="1_tree_원가계산서_00갑지_설계내역서1월7일_화명조경_3차네고견적(061017-1)" xfId="1309"/>
    <cellStyle name="1_tree_원가계산서_00갑지_설계내역서1월7일_화명조경_백화점화장실인테리어" xfId="1310"/>
    <cellStyle name="1_tree_원가계산서_00갑지_설계내역서1월7일_화명조경_백화점화장실인테리어_1차 기성 내역서 0612023" xfId="1311"/>
    <cellStyle name="1_tree_원가계산서_00갑지_설계내역서1월7일_화명조경_백화점화장실인테리어_3차네고견적(061017-1)" xfId="1312"/>
    <cellStyle name="1_tree_원가계산서_00갑지_화명조경" xfId="1313"/>
    <cellStyle name="1_tree_원가계산서_00갑지_화명조경_1차 기성 내역서 0612023" xfId="1314"/>
    <cellStyle name="1_tree_원가계산서_00갑지_화명조경_3차네고견적(061017-1)" xfId="1315"/>
    <cellStyle name="1_tree_원가계산서_00갑지_화명조경_백화점화장실인테리어" xfId="1316"/>
    <cellStyle name="1_tree_원가계산서_00갑지_화명조경_백화점화장실인테리어_1차 기성 내역서 0612023" xfId="1317"/>
    <cellStyle name="1_tree_원가계산서_00갑지_화명조경_백화점화장실인테리어_3차네고견적(061017-1)" xfId="1318"/>
    <cellStyle name="1_tree_원가계산서_1차 기성 내역서 0612023" xfId="1319"/>
    <cellStyle name="1_tree_원가계산서_3차네고견적(061017-1)" xfId="1320"/>
    <cellStyle name="1_tree_원가계산서_과천놀이터설계서" xfId="1321"/>
    <cellStyle name="1_tree_원가계산서_과천놀이터설계서_1차 기성 내역서 0612023" xfId="1322"/>
    <cellStyle name="1_tree_원가계산서_과천놀이터설계서_3차네고견적(061017-1)" xfId="1323"/>
    <cellStyle name="1_tree_원가계산서_과천놀이터설계서_백화점화장실인테리어" xfId="1324"/>
    <cellStyle name="1_tree_원가계산서_과천놀이터설계서_백화점화장실인테리어_1차 기성 내역서 0612023" xfId="1325"/>
    <cellStyle name="1_tree_원가계산서_과천놀이터설계서_백화점화장실인테리어_3차네고견적(061017-1)" xfId="1326"/>
    <cellStyle name="1_tree_원가계산서_과천놀이터설계서_설계내역서" xfId="1327"/>
    <cellStyle name="1_tree_원가계산서_과천놀이터설계서_설계내역서_1차 기성 내역서 0612023" xfId="1328"/>
    <cellStyle name="1_tree_원가계산서_과천놀이터설계서_설계내역서_3차네고견적(061017-1)" xfId="1329"/>
    <cellStyle name="1_tree_원가계산서_과천놀이터설계서_설계내역서_백화점화장실인테리어" xfId="1330"/>
    <cellStyle name="1_tree_원가계산서_과천놀이터설계서_설계내역서_백화점화장실인테리어_1차 기성 내역서 0612023" xfId="1331"/>
    <cellStyle name="1_tree_원가계산서_과천놀이터설계서_설계내역서_백화점화장실인테리어_3차네고견적(061017-1)" xfId="1332"/>
    <cellStyle name="1_tree_원가계산서_과천놀이터설계서_설계내역서_화명조경" xfId="1333"/>
    <cellStyle name="1_tree_원가계산서_과천놀이터설계서_설계내역서_화명조경_1차 기성 내역서 0612023" xfId="1334"/>
    <cellStyle name="1_tree_원가계산서_과천놀이터설계서_설계내역서_화명조경_3차네고견적(061017-1)" xfId="1335"/>
    <cellStyle name="1_tree_원가계산서_과천놀이터설계서_설계내역서_화명조경_백화점화장실인테리어" xfId="1336"/>
    <cellStyle name="1_tree_원가계산서_과천놀이터설계서_설계내역서_화명조경_백화점화장실인테리어_1차 기성 내역서 0612023" xfId="1337"/>
    <cellStyle name="1_tree_원가계산서_과천놀이터설계서_설계내역서_화명조경_백화점화장실인테리어_3차네고견적(061017-1)" xfId="1338"/>
    <cellStyle name="1_tree_원가계산서_과천놀이터설계서_설계내역서1월7일" xfId="1339"/>
    <cellStyle name="1_tree_원가계산서_과천놀이터설계서_설계내역서1월7일_1차 기성 내역서 0612023" xfId="1340"/>
    <cellStyle name="1_tree_원가계산서_과천놀이터설계서_설계내역서1월7일_3차네고견적(061017-1)" xfId="1341"/>
    <cellStyle name="1_tree_원가계산서_과천놀이터설계서_설계내역서1월7일_백화점화장실인테리어" xfId="1342"/>
    <cellStyle name="1_tree_원가계산서_과천놀이터설계서_설계내역서1월7일_백화점화장실인테리어_1차 기성 내역서 0612023" xfId="1343"/>
    <cellStyle name="1_tree_원가계산서_과천놀이터설계서_설계내역서1월7일_백화점화장실인테리어_3차네고견적(061017-1)" xfId="1344"/>
    <cellStyle name="1_tree_원가계산서_과천놀이터설계서_설계내역서1월7일_화명조경" xfId="1345"/>
    <cellStyle name="1_tree_원가계산서_과천놀이터설계서_설계내역서1월7일_화명조경_1차 기성 내역서 0612023" xfId="1346"/>
    <cellStyle name="1_tree_원가계산서_과천놀이터설계서_설계내역서1월7일_화명조경_3차네고견적(061017-1)" xfId="1347"/>
    <cellStyle name="1_tree_원가계산서_과천놀이터설계서_설계내역서1월7일_화명조경_백화점화장실인테리어" xfId="1348"/>
    <cellStyle name="1_tree_원가계산서_과천놀이터설계서_설계내역서1월7일_화명조경_백화점화장실인테리어_1차 기성 내역서 0612023" xfId="1349"/>
    <cellStyle name="1_tree_원가계산서_과천놀이터설계서_설계내역서1월7일_화명조경_백화점화장실인테리어_3차네고견적(061017-1)" xfId="1350"/>
    <cellStyle name="1_tree_원가계산서_과천놀이터설계서_화명조경" xfId="1351"/>
    <cellStyle name="1_tree_원가계산서_과천놀이터설계서_화명조경_1차 기성 내역서 0612023" xfId="1352"/>
    <cellStyle name="1_tree_원가계산서_과천놀이터설계서_화명조경_3차네고견적(061017-1)" xfId="1353"/>
    <cellStyle name="1_tree_원가계산서_과천놀이터설계서_화명조경_백화점화장실인테리어" xfId="1354"/>
    <cellStyle name="1_tree_원가계산서_과천놀이터설계서_화명조경_백화점화장실인테리어_1차 기성 내역서 0612023" xfId="1355"/>
    <cellStyle name="1_tree_원가계산서_과천놀이터설계서_화명조경_백화점화장실인테리어_3차네고견적(061017-1)" xfId="1356"/>
    <cellStyle name="1_tree_원가계산서_백화점화장실인테리어" xfId="1357"/>
    <cellStyle name="1_tree_원가계산서_백화점화장실인테리어_1차 기성 내역서 0612023" xfId="1358"/>
    <cellStyle name="1_tree_원가계산서_백화점화장실인테리어_3차네고견적(061017-1)" xfId="1359"/>
    <cellStyle name="1_tree_원가계산서_총괄갑지" xfId="1360"/>
    <cellStyle name="1_tree_원가계산서_총괄갑지_1차 기성 내역서 0612023" xfId="1361"/>
    <cellStyle name="1_tree_원가계산서_총괄갑지_3차네고견적(061017-1)" xfId="1362"/>
    <cellStyle name="1_tree_원가계산서_총괄갑지_백화점화장실인테리어" xfId="1363"/>
    <cellStyle name="1_tree_원가계산서_총괄갑지_백화점화장실인테리어_1차 기성 내역서 0612023" xfId="1364"/>
    <cellStyle name="1_tree_원가계산서_총괄갑지_백화점화장실인테리어_3차네고견적(061017-1)" xfId="1365"/>
    <cellStyle name="1_tree_원가계산서_총괄갑지_설계내역서" xfId="1366"/>
    <cellStyle name="1_tree_원가계산서_총괄갑지_설계내역서_1차 기성 내역서 0612023" xfId="1367"/>
    <cellStyle name="1_tree_원가계산서_총괄갑지_설계내역서_3차네고견적(061017-1)" xfId="1368"/>
    <cellStyle name="1_tree_원가계산서_총괄갑지_설계내역서_백화점화장실인테리어" xfId="1369"/>
    <cellStyle name="1_tree_원가계산서_총괄갑지_설계내역서_백화점화장실인테리어_1차 기성 내역서 0612023" xfId="1370"/>
    <cellStyle name="1_tree_원가계산서_총괄갑지_설계내역서_백화점화장실인테리어_3차네고견적(061017-1)" xfId="1371"/>
    <cellStyle name="1_tree_원가계산서_총괄갑지_설계내역서_화명조경" xfId="1372"/>
    <cellStyle name="1_tree_원가계산서_총괄갑지_설계내역서_화명조경_1차 기성 내역서 0612023" xfId="1373"/>
    <cellStyle name="1_tree_원가계산서_총괄갑지_설계내역서_화명조경_3차네고견적(061017-1)" xfId="1374"/>
    <cellStyle name="1_tree_원가계산서_총괄갑지_설계내역서_화명조경_백화점화장실인테리어" xfId="1375"/>
    <cellStyle name="1_tree_원가계산서_총괄갑지_설계내역서_화명조경_백화점화장실인테리어_1차 기성 내역서 0612023" xfId="1376"/>
    <cellStyle name="1_tree_원가계산서_총괄갑지_설계내역서_화명조경_백화점화장실인테리어_3차네고견적(061017-1)" xfId="1377"/>
    <cellStyle name="1_tree_원가계산서_총괄갑지_설계내역서1월7일" xfId="1378"/>
    <cellStyle name="1_tree_원가계산서_총괄갑지_설계내역서1월7일_1차 기성 내역서 0612023" xfId="1379"/>
    <cellStyle name="1_tree_원가계산서_총괄갑지_설계내역서1월7일_3차네고견적(061017-1)" xfId="1380"/>
    <cellStyle name="1_tree_원가계산서_총괄갑지_설계내역서1월7일_백화점화장실인테리어" xfId="1381"/>
    <cellStyle name="1_tree_원가계산서_총괄갑지_설계내역서1월7일_백화점화장실인테리어_1차 기성 내역서 0612023" xfId="1382"/>
    <cellStyle name="1_tree_원가계산서_총괄갑지_설계내역서1월7일_백화점화장실인테리어_3차네고견적(061017-1)" xfId="1383"/>
    <cellStyle name="1_tree_원가계산서_총괄갑지_설계내역서1월7일_화명조경" xfId="1384"/>
    <cellStyle name="1_tree_원가계산서_총괄갑지_설계내역서1월7일_화명조경_1차 기성 내역서 0612023" xfId="1385"/>
    <cellStyle name="1_tree_원가계산서_총괄갑지_설계내역서1월7일_화명조경_3차네고견적(061017-1)" xfId="1386"/>
    <cellStyle name="1_tree_원가계산서_총괄갑지_설계내역서1월7일_화명조경_백화점화장실인테리어" xfId="1387"/>
    <cellStyle name="1_tree_원가계산서_총괄갑지_설계내역서1월7일_화명조경_백화점화장실인테리어_1차 기성 내역서 0612023" xfId="1388"/>
    <cellStyle name="1_tree_원가계산서_총괄갑지_설계내역서1월7일_화명조경_백화점화장실인테리어_3차네고견적(061017-1)" xfId="1389"/>
    <cellStyle name="1_tree_원가계산서_총괄갑지_화명조경" xfId="1390"/>
    <cellStyle name="1_tree_원가계산서_총괄갑지_화명조경_1차 기성 내역서 0612023" xfId="1391"/>
    <cellStyle name="1_tree_원가계산서_총괄갑지_화명조경_3차네고견적(061017-1)" xfId="1392"/>
    <cellStyle name="1_tree_원가계산서_총괄갑지_화명조경_백화점화장실인테리어" xfId="1393"/>
    <cellStyle name="1_tree_원가계산서_총괄갑지_화명조경_백화점화장실인테리어_1차 기성 내역서 0612023" xfId="1394"/>
    <cellStyle name="1_tree_원가계산서_총괄갑지_화명조경_백화점화장실인테리어_3차네고견적(061017-1)" xfId="1395"/>
    <cellStyle name="1_tree_원가계산서_총괄내역서" xfId="1396"/>
    <cellStyle name="1_tree_원가계산서_총괄내역서_1차 기성 내역서 0612023" xfId="1397"/>
    <cellStyle name="1_tree_원가계산서_총괄내역서_3차네고견적(061017-1)" xfId="1398"/>
    <cellStyle name="1_tree_원가계산서_총괄내역서_백화점화장실인테리어" xfId="1399"/>
    <cellStyle name="1_tree_원가계산서_총괄내역서_백화점화장실인테리어_1차 기성 내역서 0612023" xfId="1400"/>
    <cellStyle name="1_tree_원가계산서_총괄내역서_백화점화장실인테리어_3차네고견적(061017-1)" xfId="1401"/>
    <cellStyle name="1_tree_원가계산서_총괄내역서_설계내역서" xfId="1402"/>
    <cellStyle name="1_tree_원가계산서_총괄내역서_설계내역서_1차 기성 내역서 0612023" xfId="1403"/>
    <cellStyle name="1_tree_원가계산서_총괄내역서_설계내역서_3차네고견적(061017-1)" xfId="1404"/>
    <cellStyle name="1_tree_원가계산서_총괄내역서_설계내역서_백화점화장실인테리어" xfId="1405"/>
    <cellStyle name="1_tree_원가계산서_총괄내역서_설계내역서_백화점화장실인테리어_1차 기성 내역서 0612023" xfId="1406"/>
    <cellStyle name="1_tree_원가계산서_총괄내역서_설계내역서_백화점화장실인테리어_3차네고견적(061017-1)" xfId="1407"/>
    <cellStyle name="1_tree_원가계산서_총괄내역서_설계내역서_화명조경" xfId="1408"/>
    <cellStyle name="1_tree_원가계산서_총괄내역서_설계내역서_화명조경_1차 기성 내역서 0612023" xfId="1409"/>
    <cellStyle name="1_tree_원가계산서_총괄내역서_설계내역서_화명조경_3차네고견적(061017-1)" xfId="1410"/>
    <cellStyle name="1_tree_원가계산서_총괄내역서_설계내역서_화명조경_백화점화장실인테리어" xfId="1411"/>
    <cellStyle name="1_tree_원가계산서_총괄내역서_설계내역서_화명조경_백화점화장실인테리어_1차 기성 내역서 0612023" xfId="1412"/>
    <cellStyle name="1_tree_원가계산서_총괄내역서_설계내역서_화명조경_백화점화장실인테리어_3차네고견적(061017-1)" xfId="1413"/>
    <cellStyle name="1_tree_원가계산서_총괄내역서_설계내역서1월7일" xfId="1414"/>
    <cellStyle name="1_tree_원가계산서_총괄내역서_설계내역서1월7일_1차 기성 내역서 0612023" xfId="1415"/>
    <cellStyle name="1_tree_원가계산서_총괄내역서_설계내역서1월7일_3차네고견적(061017-1)" xfId="1416"/>
    <cellStyle name="1_tree_원가계산서_총괄내역서_설계내역서1월7일_백화점화장실인테리어" xfId="1417"/>
    <cellStyle name="1_tree_원가계산서_총괄내역서_설계내역서1월7일_백화점화장실인테리어_1차 기성 내역서 0612023" xfId="1418"/>
    <cellStyle name="1_tree_원가계산서_총괄내역서_설계내역서1월7일_백화점화장실인테리어_3차네고견적(061017-1)" xfId="1419"/>
    <cellStyle name="1_tree_원가계산서_총괄내역서_설계내역서1월7일_화명조경" xfId="1420"/>
    <cellStyle name="1_tree_원가계산서_총괄내역서_설계내역서1월7일_화명조경_1차 기성 내역서 0612023" xfId="1421"/>
    <cellStyle name="1_tree_원가계산서_총괄내역서_설계내역서1월7일_화명조경_3차네고견적(061017-1)" xfId="1422"/>
    <cellStyle name="1_tree_원가계산서_총괄내역서_설계내역서1월7일_화명조경_백화점화장실인테리어" xfId="1423"/>
    <cellStyle name="1_tree_원가계산서_총괄내역서_설계내역서1월7일_화명조경_백화점화장실인테리어_1차 기성 내역서 0612023" xfId="1424"/>
    <cellStyle name="1_tree_원가계산서_총괄내역서_설계내역서1월7일_화명조경_백화점화장실인테리어_3차네고견적(061017-1)" xfId="1425"/>
    <cellStyle name="1_tree_원가계산서_총괄내역서_화명조경" xfId="1426"/>
    <cellStyle name="1_tree_원가계산서_총괄내역서_화명조경_1차 기성 내역서 0612023" xfId="1427"/>
    <cellStyle name="1_tree_원가계산서_총괄내역서_화명조경_3차네고견적(061017-1)" xfId="1428"/>
    <cellStyle name="1_tree_원가계산서_총괄내역서_화명조경_백화점화장실인테리어" xfId="1429"/>
    <cellStyle name="1_tree_원가계산서_총괄내역서_화명조경_백화점화장실인테리어_1차 기성 내역서 0612023" xfId="1430"/>
    <cellStyle name="1_tree_원가계산서_총괄내역서_화명조경_백화점화장실인테리어_3차네고견적(061017-1)" xfId="1431"/>
    <cellStyle name="1_tree_원가계산서_화명조경" xfId="1432"/>
    <cellStyle name="1_tree_원가계산서_화명조경_1차 기성 내역서 0612023" xfId="1433"/>
    <cellStyle name="1_tree_원가계산서_화명조경_3차네고견적(061017-1)" xfId="1434"/>
    <cellStyle name="1_tree_원가계산서_화명조경_백화점화장실인테리어" xfId="1435"/>
    <cellStyle name="1_tree_원가계산서_화명조경_백화점화장실인테리어_1차 기성 내역서 0612023" xfId="1436"/>
    <cellStyle name="1_tree_원가계산서_화명조경_백화점화장실인테리어_3차네고견적(061017-1)" xfId="1437"/>
    <cellStyle name="1_tree_은파수량집계" xfId="1438"/>
    <cellStyle name="1_tree_은파수량집계_1차 기성 내역서 0612023" xfId="1439"/>
    <cellStyle name="1_tree_은파수량집계_3차네고견적(061017-1)" xfId="1440"/>
    <cellStyle name="1_tree_은파수량집계_백화점화장실인테리어" xfId="1441"/>
    <cellStyle name="1_tree_은파수량집계_백화점화장실인테리어_1차 기성 내역서 0612023" xfId="1442"/>
    <cellStyle name="1_tree_은파수량집계_백화점화장실인테리어_3차네고견적(061017-1)" xfId="1443"/>
    <cellStyle name="1_tree_은파수량집계_설계내역서" xfId="1444"/>
    <cellStyle name="1_tree_은파수량집계_설계내역서_1차 기성 내역서 0612023" xfId="1445"/>
    <cellStyle name="1_tree_은파수량집계_설계내역서_3차네고견적(061017-1)" xfId="1446"/>
    <cellStyle name="1_tree_은파수량집계_설계내역서_백화점화장실인테리어" xfId="1447"/>
    <cellStyle name="1_tree_은파수량집계_설계내역서_백화점화장실인테리어_1차 기성 내역서 0612023" xfId="1448"/>
    <cellStyle name="1_tree_은파수량집계_설계내역서_백화점화장실인테리어_3차네고견적(061017-1)" xfId="1449"/>
    <cellStyle name="1_tree_은파수량집계_설계내역서_화명조경" xfId="1450"/>
    <cellStyle name="1_tree_은파수량집계_설계내역서_화명조경_1차 기성 내역서 0612023" xfId="1451"/>
    <cellStyle name="1_tree_은파수량집계_설계내역서_화명조경_3차네고견적(061017-1)" xfId="1452"/>
    <cellStyle name="1_tree_은파수량집계_설계내역서_화명조경_백화점화장실인테리어" xfId="1453"/>
    <cellStyle name="1_tree_은파수량집계_설계내역서_화명조경_백화점화장실인테리어_1차 기성 내역서 0612023" xfId="1454"/>
    <cellStyle name="1_tree_은파수량집계_설계내역서_화명조경_백화점화장실인테리어_3차네고견적(061017-1)" xfId="1455"/>
    <cellStyle name="1_tree_은파수량집계_설계내역서1월7일" xfId="1456"/>
    <cellStyle name="1_tree_은파수량집계_설계내역서1월7일_1차 기성 내역서 0612023" xfId="1457"/>
    <cellStyle name="1_tree_은파수량집계_설계내역서1월7일_3차네고견적(061017-1)" xfId="1458"/>
    <cellStyle name="1_tree_은파수량집계_설계내역서1월7일_백화점화장실인테리어" xfId="1459"/>
    <cellStyle name="1_tree_은파수량집계_설계내역서1월7일_백화점화장실인테리어_1차 기성 내역서 0612023" xfId="1460"/>
    <cellStyle name="1_tree_은파수량집계_설계내역서1월7일_백화점화장실인테리어_3차네고견적(061017-1)" xfId="1461"/>
    <cellStyle name="1_tree_은파수량집계_설계내역서1월7일_화명조경" xfId="1462"/>
    <cellStyle name="1_tree_은파수량집계_설계내역서1월7일_화명조경_1차 기성 내역서 0612023" xfId="1463"/>
    <cellStyle name="1_tree_은파수량집계_설계내역서1월7일_화명조경_3차네고견적(061017-1)" xfId="1464"/>
    <cellStyle name="1_tree_은파수량집계_설계내역서1월7일_화명조경_백화점화장실인테리어" xfId="1465"/>
    <cellStyle name="1_tree_은파수량집계_설계내역서1월7일_화명조경_백화점화장실인테리어_1차 기성 내역서 0612023" xfId="1466"/>
    <cellStyle name="1_tree_은파수량집계_설계내역서1월7일_화명조경_백화점화장실인테리어_3차네고견적(061017-1)" xfId="1467"/>
    <cellStyle name="1_tree_은파수량집계_화명조경" xfId="1468"/>
    <cellStyle name="1_tree_은파수량집계_화명조경_1차 기성 내역서 0612023" xfId="1469"/>
    <cellStyle name="1_tree_은파수량집계_화명조경_3차네고견적(061017-1)" xfId="1470"/>
    <cellStyle name="1_tree_은파수량집계_화명조경_백화점화장실인테리어" xfId="1471"/>
    <cellStyle name="1_tree_은파수량집계_화명조경_백화점화장실인테리어_1차 기성 내역서 0612023" xfId="1472"/>
    <cellStyle name="1_tree_은파수량집계_화명조경_백화점화장실인테리어_3차네고견적(061017-1)" xfId="1473"/>
    <cellStyle name="1_tree_터미널1-0" xfId="1474"/>
    <cellStyle name="1_tree_터미널1-0_1" xfId="1475"/>
    <cellStyle name="1_tree_터미널1-0_1_1차 기성 내역서 0612023" xfId="1476"/>
    <cellStyle name="1_tree_터미널1-0_1_3차네고견적(061017-1)" xfId="1477"/>
    <cellStyle name="1_tree_터미널1-0_1_백화점화장실인테리어" xfId="1478"/>
    <cellStyle name="1_tree_터미널1-0_1_백화점화장실인테리어_1차 기성 내역서 0612023" xfId="1479"/>
    <cellStyle name="1_tree_터미널1-0_1_백화점화장실인테리어_3차네고견적(061017-1)" xfId="1480"/>
    <cellStyle name="1_tree_터미널1-0_1_화명조경" xfId="1481"/>
    <cellStyle name="1_tree_터미널1-0_1_화명조경_1차 기성 내역서 0612023" xfId="1482"/>
    <cellStyle name="1_tree_터미널1-0_1_화명조경_3차네고견적(061017-1)" xfId="1483"/>
    <cellStyle name="1_tree_터미널1-0_1_화명조경_백화점화장실인테리어" xfId="1484"/>
    <cellStyle name="1_tree_터미널1-0_1_화명조경_백화점화장실인테리어_1차 기성 내역서 0612023" xfId="1485"/>
    <cellStyle name="1_tree_터미널1-0_1_화명조경_백화점화장실인테리어_3차네고견적(061017-1)" xfId="1486"/>
    <cellStyle name="1_tree_터미널1-0_1차 기성 내역서 0612023" xfId="1487"/>
    <cellStyle name="1_tree_터미널1-0_3차네고견적(061017-1)" xfId="1488"/>
    <cellStyle name="1_tree_터미널1-0_백화점화장실인테리어" xfId="1489"/>
    <cellStyle name="1_tree_터미널1-0_백화점화장실인테리어_1차 기성 내역서 0612023" xfId="1490"/>
    <cellStyle name="1_tree_터미널1-0_백화점화장실인테리어_3차네고견적(061017-1)" xfId="1491"/>
    <cellStyle name="1_tree_터미널1-0_설계내역서" xfId="1492"/>
    <cellStyle name="1_tree_터미널1-0_설계내역서_1차 기성 내역서 0612023" xfId="1493"/>
    <cellStyle name="1_tree_터미널1-0_설계내역서_3차네고견적(061017-1)" xfId="1494"/>
    <cellStyle name="1_tree_터미널1-0_설계내역서_백화점화장실인테리어" xfId="1495"/>
    <cellStyle name="1_tree_터미널1-0_설계내역서_백화점화장실인테리어_1차 기성 내역서 0612023" xfId="1496"/>
    <cellStyle name="1_tree_터미널1-0_설계내역서_백화점화장실인테리어_3차네고견적(061017-1)" xfId="1497"/>
    <cellStyle name="1_tree_터미널1-0_설계내역서_화명조경" xfId="1498"/>
    <cellStyle name="1_tree_터미널1-0_설계내역서_화명조경_1차 기성 내역서 0612023" xfId="1499"/>
    <cellStyle name="1_tree_터미널1-0_설계내역서_화명조경_3차네고견적(061017-1)" xfId="1500"/>
    <cellStyle name="1_tree_터미널1-0_설계내역서_화명조경_백화점화장실인테리어" xfId="1501"/>
    <cellStyle name="1_tree_터미널1-0_설계내역서_화명조경_백화점화장실인테리어_1차 기성 내역서 0612023" xfId="1502"/>
    <cellStyle name="1_tree_터미널1-0_설계내역서_화명조경_백화점화장실인테리어_3차네고견적(061017-1)" xfId="1503"/>
    <cellStyle name="1_tree_터미널1-0_설계내역서1월7일" xfId="1504"/>
    <cellStyle name="1_tree_터미널1-0_설계내역서1월7일_1차 기성 내역서 0612023" xfId="1505"/>
    <cellStyle name="1_tree_터미널1-0_설계내역서1월7일_3차네고견적(061017-1)" xfId="1506"/>
    <cellStyle name="1_tree_터미널1-0_설계내역서1월7일_백화점화장실인테리어" xfId="1507"/>
    <cellStyle name="1_tree_터미널1-0_설계내역서1월7일_백화점화장실인테리어_1차 기성 내역서 0612023" xfId="1508"/>
    <cellStyle name="1_tree_터미널1-0_설계내역서1월7일_백화점화장실인테리어_3차네고견적(061017-1)" xfId="1509"/>
    <cellStyle name="1_tree_터미널1-0_설계내역서1월7일_화명조경" xfId="1510"/>
    <cellStyle name="1_tree_터미널1-0_설계내역서1월7일_화명조경_1차 기성 내역서 0612023" xfId="1511"/>
    <cellStyle name="1_tree_터미널1-0_설계내역서1월7일_화명조경_3차네고견적(061017-1)" xfId="1512"/>
    <cellStyle name="1_tree_터미널1-0_설계내역서1월7일_화명조경_백화점화장실인테리어" xfId="1513"/>
    <cellStyle name="1_tree_터미널1-0_설계내역서1월7일_화명조경_백화점화장실인테리어_1차 기성 내역서 0612023" xfId="1514"/>
    <cellStyle name="1_tree_터미널1-0_설계내역서1월7일_화명조경_백화점화장실인테리어_3차네고견적(061017-1)" xfId="1515"/>
    <cellStyle name="1_tree_터미널1-0_쌍용수량0905" xfId="1516"/>
    <cellStyle name="1_tree_터미널1-0_쌍용수량0905_1차 기성 내역서 0612023" xfId="1517"/>
    <cellStyle name="1_tree_터미널1-0_쌍용수량0905_3차네고견적(061017-1)" xfId="1518"/>
    <cellStyle name="1_tree_터미널1-0_쌍용수량0905_백화점화장실인테리어" xfId="1519"/>
    <cellStyle name="1_tree_터미널1-0_쌍용수량0905_백화점화장실인테리어_1차 기성 내역서 0612023" xfId="1520"/>
    <cellStyle name="1_tree_터미널1-0_쌍용수량0905_백화점화장실인테리어_3차네고견적(061017-1)" xfId="1521"/>
    <cellStyle name="1_tree_터미널1-0_쌍용수량0905_설계내역서" xfId="1522"/>
    <cellStyle name="1_tree_터미널1-0_쌍용수량0905_설계내역서_1차 기성 내역서 0612023" xfId="1523"/>
    <cellStyle name="1_tree_터미널1-0_쌍용수량0905_설계내역서_3차네고견적(061017-1)" xfId="1524"/>
    <cellStyle name="1_tree_터미널1-0_쌍용수량0905_설계내역서_백화점화장실인테리어" xfId="1525"/>
    <cellStyle name="1_tree_터미널1-0_쌍용수량0905_설계내역서_백화점화장실인테리어_1차 기성 내역서 0612023" xfId="1526"/>
    <cellStyle name="1_tree_터미널1-0_쌍용수량0905_설계내역서_백화점화장실인테리어_3차네고견적(061017-1)" xfId="1527"/>
    <cellStyle name="1_tree_터미널1-0_쌍용수량0905_설계내역서_화명조경" xfId="1528"/>
    <cellStyle name="1_tree_터미널1-0_쌍용수량0905_설계내역서_화명조경_1차 기성 내역서 0612023" xfId="1529"/>
    <cellStyle name="1_tree_터미널1-0_쌍용수량0905_설계내역서_화명조경_3차네고견적(061017-1)" xfId="1530"/>
    <cellStyle name="1_tree_터미널1-0_쌍용수량0905_설계내역서_화명조경_백화점화장실인테리어" xfId="1531"/>
    <cellStyle name="1_tree_터미널1-0_쌍용수량0905_설계내역서_화명조경_백화점화장실인테리어_1차 기성 내역서 0612023" xfId="1532"/>
    <cellStyle name="1_tree_터미널1-0_쌍용수량0905_설계내역서_화명조경_백화점화장실인테리어_3차네고견적(061017-1)" xfId="1533"/>
    <cellStyle name="1_tree_터미널1-0_쌍용수량0905_설계내역서1월7일" xfId="1534"/>
    <cellStyle name="1_tree_터미널1-0_쌍용수량0905_설계내역서1월7일_1차 기성 내역서 0612023" xfId="1535"/>
    <cellStyle name="1_tree_터미널1-0_쌍용수량0905_설계내역서1월7일_3차네고견적(061017-1)" xfId="1536"/>
    <cellStyle name="1_tree_터미널1-0_쌍용수량0905_설계내역서1월7일_백화점화장실인테리어" xfId="1537"/>
    <cellStyle name="1_tree_터미널1-0_쌍용수량0905_설계내역서1월7일_백화점화장실인테리어_1차 기성 내역서 0612023" xfId="1538"/>
    <cellStyle name="1_tree_터미널1-0_쌍용수량0905_설계내역서1월7일_백화점화장실인테리어_3차네고견적(061017-1)" xfId="1539"/>
    <cellStyle name="1_tree_터미널1-0_쌍용수량0905_설계내역서1월7일_화명조경" xfId="1540"/>
    <cellStyle name="1_tree_터미널1-0_쌍용수량0905_설계내역서1월7일_화명조경_1차 기성 내역서 0612023" xfId="1541"/>
    <cellStyle name="1_tree_터미널1-0_쌍용수량0905_설계내역서1월7일_화명조경_3차네고견적(061017-1)" xfId="1542"/>
    <cellStyle name="1_tree_터미널1-0_쌍용수량0905_설계내역서1월7일_화명조경_백화점화장실인테리어" xfId="1543"/>
    <cellStyle name="1_tree_터미널1-0_쌍용수량0905_설계내역서1월7일_화명조경_백화점화장실인테리어_1차 기성 내역서 0612023" xfId="1544"/>
    <cellStyle name="1_tree_터미널1-0_쌍용수량0905_설계내역서1월7일_화명조경_백화점화장실인테리어_3차네고견적(061017-1)" xfId="1545"/>
    <cellStyle name="1_tree_터미널1-0_쌍용수량0905_화명조경" xfId="1546"/>
    <cellStyle name="1_tree_터미널1-0_쌍용수량0905_화명조경_1차 기성 내역서 0612023" xfId="1547"/>
    <cellStyle name="1_tree_터미널1-0_쌍용수량0905_화명조경_3차네고견적(061017-1)" xfId="1548"/>
    <cellStyle name="1_tree_터미널1-0_쌍용수량0905_화명조경_백화점화장실인테리어" xfId="1549"/>
    <cellStyle name="1_tree_터미널1-0_쌍용수량0905_화명조경_백화점화장실인테리어_1차 기성 내역서 0612023" xfId="1550"/>
    <cellStyle name="1_tree_터미널1-0_쌍용수량0905_화명조경_백화점화장실인테리어_3차네고견적(061017-1)" xfId="1551"/>
    <cellStyle name="1_tree_터미널1-0_화명조경" xfId="1552"/>
    <cellStyle name="1_tree_터미널1-0_화명조경_1차 기성 내역서 0612023" xfId="1553"/>
    <cellStyle name="1_tree_터미널1-0_화명조경_3차네고견적(061017-1)" xfId="1554"/>
    <cellStyle name="1_tree_터미널1-0_화명조경_백화점화장실인테리어" xfId="1555"/>
    <cellStyle name="1_tree_터미널1-0_화명조경_백화점화장실인테리어_1차 기성 내역서 0612023" xfId="1556"/>
    <cellStyle name="1_tree_터미널1-0_화명조경_백화점화장실인테리어_3차네고견적(061017-1)" xfId="1557"/>
    <cellStyle name="1_tree_한풍집계" xfId="1558"/>
    <cellStyle name="1_tree_한풍집계_1차 기성 내역서 0612023" xfId="1559"/>
    <cellStyle name="1_tree_한풍집계_3차네고견적(061017-1)" xfId="1560"/>
    <cellStyle name="1_tree_한풍집계_갑지0601" xfId="1561"/>
    <cellStyle name="1_tree_한풍집계_갑지0601_00갑지" xfId="1562"/>
    <cellStyle name="1_tree_한풍집계_갑지0601_00갑지_1차 기성 내역서 0612023" xfId="1563"/>
    <cellStyle name="1_tree_한풍집계_갑지0601_00갑지_3차네고견적(061017-1)" xfId="1564"/>
    <cellStyle name="1_tree_한풍집계_갑지0601_00갑지_백화점화장실인테리어" xfId="1565"/>
    <cellStyle name="1_tree_한풍집계_갑지0601_00갑지_백화점화장실인테리어_1차 기성 내역서 0612023" xfId="1566"/>
    <cellStyle name="1_tree_한풍집계_갑지0601_00갑지_백화점화장실인테리어_3차네고견적(061017-1)" xfId="1567"/>
    <cellStyle name="1_tree_한풍집계_갑지0601_00갑지_설계내역서" xfId="1568"/>
    <cellStyle name="1_tree_한풍집계_갑지0601_00갑지_설계내역서_1차 기성 내역서 0612023" xfId="1569"/>
    <cellStyle name="1_tree_한풍집계_갑지0601_00갑지_설계내역서_3차네고견적(061017-1)" xfId="1570"/>
    <cellStyle name="1_tree_한풍집계_갑지0601_00갑지_설계내역서_백화점화장실인테리어" xfId="1571"/>
    <cellStyle name="1_tree_한풍집계_갑지0601_00갑지_설계내역서_백화점화장실인테리어_1차 기성 내역서 0612023" xfId="1572"/>
    <cellStyle name="1_tree_한풍집계_갑지0601_00갑지_설계내역서_백화점화장실인테리어_3차네고견적(061017-1)" xfId="1573"/>
    <cellStyle name="1_tree_한풍집계_갑지0601_00갑지_설계내역서_화명조경" xfId="1574"/>
    <cellStyle name="1_tree_한풍집계_갑지0601_00갑지_설계내역서_화명조경_1차 기성 내역서 0612023" xfId="1575"/>
    <cellStyle name="1_tree_한풍집계_갑지0601_00갑지_설계내역서_화명조경_3차네고견적(061017-1)" xfId="1576"/>
    <cellStyle name="1_tree_한풍집계_갑지0601_00갑지_설계내역서_화명조경_백화점화장실인테리어" xfId="1577"/>
    <cellStyle name="1_tree_한풍집계_갑지0601_00갑지_설계내역서_화명조경_백화점화장실인테리어_1차 기성 내역서 0612023" xfId="1578"/>
    <cellStyle name="1_tree_한풍집계_갑지0601_00갑지_설계내역서_화명조경_백화점화장실인테리어_3차네고견적(061017-1)" xfId="1579"/>
    <cellStyle name="1_tree_한풍집계_갑지0601_00갑지_설계내역서1월7일" xfId="1580"/>
    <cellStyle name="1_tree_한풍집계_갑지0601_00갑지_설계내역서1월7일_1차 기성 내역서 0612023" xfId="1581"/>
    <cellStyle name="1_tree_한풍집계_갑지0601_00갑지_설계내역서1월7일_3차네고견적(061017-1)" xfId="1582"/>
    <cellStyle name="1_tree_한풍집계_갑지0601_00갑지_설계내역서1월7일_백화점화장실인테리어" xfId="1583"/>
    <cellStyle name="1_tree_한풍집계_갑지0601_00갑지_설계내역서1월7일_백화점화장실인테리어_1차 기성 내역서 0612023" xfId="1584"/>
    <cellStyle name="1_tree_한풍집계_갑지0601_00갑지_설계내역서1월7일_백화점화장실인테리어_3차네고견적(061017-1)" xfId="1585"/>
    <cellStyle name="1_tree_한풍집계_갑지0601_00갑지_설계내역서1월7일_화명조경" xfId="1586"/>
    <cellStyle name="1_tree_한풍집계_갑지0601_00갑지_설계내역서1월7일_화명조경_1차 기성 내역서 0612023" xfId="1587"/>
    <cellStyle name="1_tree_한풍집계_갑지0601_00갑지_설계내역서1월7일_화명조경_3차네고견적(061017-1)" xfId="1588"/>
    <cellStyle name="1_tree_한풍집계_갑지0601_00갑지_설계내역서1월7일_화명조경_백화점화장실인테리어" xfId="1589"/>
    <cellStyle name="1_tree_한풍집계_갑지0601_00갑지_설계내역서1월7일_화명조경_백화점화장실인테리어_1차 기성 내역서 0612023" xfId="1590"/>
    <cellStyle name="1_tree_한풍집계_갑지0601_00갑지_설계내역서1월7일_화명조경_백화점화장실인테리어_3차네고견적(061017-1)" xfId="1591"/>
    <cellStyle name="1_tree_한풍집계_갑지0601_00갑지_화명조경" xfId="1592"/>
    <cellStyle name="1_tree_한풍집계_갑지0601_00갑지_화명조경_1차 기성 내역서 0612023" xfId="1593"/>
    <cellStyle name="1_tree_한풍집계_갑지0601_00갑지_화명조경_3차네고견적(061017-1)" xfId="1594"/>
    <cellStyle name="1_tree_한풍집계_갑지0601_00갑지_화명조경_백화점화장실인테리어" xfId="1595"/>
    <cellStyle name="1_tree_한풍집계_갑지0601_00갑지_화명조경_백화점화장실인테리어_1차 기성 내역서 0612023" xfId="1596"/>
    <cellStyle name="1_tree_한풍집계_갑지0601_00갑지_화명조경_백화점화장실인테리어_3차네고견적(061017-1)" xfId="1597"/>
    <cellStyle name="1_tree_한풍집계_갑지0601_1차 기성 내역서 0612023" xfId="1598"/>
    <cellStyle name="1_tree_한풍집계_갑지0601_3차네고견적(061017-1)" xfId="1599"/>
    <cellStyle name="1_tree_한풍집계_갑지0601_과천놀이터설계서" xfId="1600"/>
    <cellStyle name="1_tree_한풍집계_갑지0601_과천놀이터설계서_1차 기성 내역서 0612023" xfId="1601"/>
    <cellStyle name="1_tree_한풍집계_갑지0601_과천놀이터설계서_3차네고견적(061017-1)" xfId="1602"/>
    <cellStyle name="1_tree_한풍집계_갑지0601_과천놀이터설계서_백화점화장실인테리어" xfId="1603"/>
    <cellStyle name="1_tree_한풍집계_갑지0601_과천놀이터설계서_백화점화장실인테리어_1차 기성 내역서 0612023" xfId="1604"/>
    <cellStyle name="1_tree_한풍집계_갑지0601_과천놀이터설계서_백화점화장실인테리어_3차네고견적(061017-1)" xfId="1605"/>
    <cellStyle name="1_tree_한풍집계_갑지0601_과천놀이터설계서_설계내역서" xfId="1606"/>
    <cellStyle name="1_tree_한풍집계_갑지0601_과천놀이터설계서_설계내역서_1차 기성 내역서 0612023" xfId="1607"/>
    <cellStyle name="1_tree_한풍집계_갑지0601_과천놀이터설계서_설계내역서_3차네고견적(061017-1)" xfId="1608"/>
    <cellStyle name="1_tree_한풍집계_갑지0601_과천놀이터설계서_설계내역서_백화점화장실인테리어" xfId="1609"/>
    <cellStyle name="1_tree_한풍집계_갑지0601_과천놀이터설계서_설계내역서_백화점화장실인테리어_1차 기성 내역서 0612023" xfId="1610"/>
    <cellStyle name="1_tree_한풍집계_갑지0601_과천놀이터설계서_설계내역서_백화점화장실인테리어_3차네고견적(061017-1)" xfId="1611"/>
    <cellStyle name="1_tree_한풍집계_갑지0601_과천놀이터설계서_설계내역서_화명조경" xfId="1612"/>
    <cellStyle name="1_tree_한풍집계_갑지0601_과천놀이터설계서_설계내역서_화명조경_1차 기성 내역서 0612023" xfId="1613"/>
    <cellStyle name="1_tree_한풍집계_갑지0601_과천놀이터설계서_설계내역서_화명조경_3차네고견적(061017-1)" xfId="1614"/>
    <cellStyle name="1_tree_한풍집계_갑지0601_과천놀이터설계서_설계내역서_화명조경_백화점화장실인테리어" xfId="1615"/>
    <cellStyle name="1_tree_한풍집계_갑지0601_과천놀이터설계서_설계내역서_화명조경_백화점화장실인테리어_1차 기성 내역서 0612023" xfId="1616"/>
    <cellStyle name="1_tree_한풍집계_갑지0601_과천놀이터설계서_설계내역서_화명조경_백화점화장실인테리어_3차네고견적(061017-1)" xfId="1617"/>
    <cellStyle name="1_tree_한풍집계_갑지0601_과천놀이터설계서_설계내역서1월7일" xfId="1618"/>
    <cellStyle name="1_tree_한풍집계_갑지0601_과천놀이터설계서_설계내역서1월7일_1차 기성 내역서 0612023" xfId="1619"/>
    <cellStyle name="1_tree_한풍집계_갑지0601_과천놀이터설계서_설계내역서1월7일_3차네고견적(061017-1)" xfId="1620"/>
    <cellStyle name="1_tree_한풍집계_갑지0601_과천놀이터설계서_설계내역서1월7일_백화점화장실인테리어" xfId="1621"/>
    <cellStyle name="1_tree_한풍집계_갑지0601_과천놀이터설계서_설계내역서1월7일_백화점화장실인테리어_1차 기성 내역서 0612023" xfId="1622"/>
    <cellStyle name="1_tree_한풍집계_갑지0601_과천놀이터설계서_설계내역서1월7일_백화점화장실인테리어_3차네고견적(061017-1)" xfId="1623"/>
    <cellStyle name="1_tree_한풍집계_갑지0601_과천놀이터설계서_설계내역서1월7일_화명조경" xfId="1624"/>
    <cellStyle name="1_tree_한풍집계_갑지0601_과천놀이터설계서_설계내역서1월7일_화명조경_1차 기성 내역서 0612023" xfId="1625"/>
    <cellStyle name="1_tree_한풍집계_갑지0601_과천놀이터설계서_설계내역서1월7일_화명조경_3차네고견적(061017-1)" xfId="1626"/>
    <cellStyle name="1_tree_한풍집계_갑지0601_과천놀이터설계서_설계내역서1월7일_화명조경_백화점화장실인테리어" xfId="1627"/>
    <cellStyle name="1_tree_한풍집계_갑지0601_과천놀이터설계서_설계내역서1월7일_화명조경_백화점화장실인테리어_1차 기성 내역서 0612023" xfId="1628"/>
    <cellStyle name="1_tree_한풍집계_갑지0601_과천놀이터설계서_설계내역서1월7일_화명조경_백화점화장실인테리어_3차네고견적(061017-1)" xfId="1629"/>
    <cellStyle name="1_tree_한풍집계_갑지0601_과천놀이터설계서_화명조경" xfId="1630"/>
    <cellStyle name="1_tree_한풍집계_갑지0601_과천놀이터설계서_화명조경_1차 기성 내역서 0612023" xfId="1631"/>
    <cellStyle name="1_tree_한풍집계_갑지0601_과천놀이터설계서_화명조경_3차네고견적(061017-1)" xfId="1632"/>
    <cellStyle name="1_tree_한풍집계_갑지0601_과천놀이터설계서_화명조경_백화점화장실인테리어" xfId="1633"/>
    <cellStyle name="1_tree_한풍집계_갑지0601_과천놀이터설계서_화명조경_백화점화장실인테리어_1차 기성 내역서 0612023" xfId="1634"/>
    <cellStyle name="1_tree_한풍집계_갑지0601_과천놀이터설계서_화명조경_백화점화장실인테리어_3차네고견적(061017-1)" xfId="1635"/>
    <cellStyle name="1_tree_한풍집계_갑지0601_백화점화장실인테리어" xfId="1636"/>
    <cellStyle name="1_tree_한풍집계_갑지0601_백화점화장실인테리어_1차 기성 내역서 0612023" xfId="1637"/>
    <cellStyle name="1_tree_한풍집계_갑지0601_백화점화장실인테리어_3차네고견적(061017-1)" xfId="1638"/>
    <cellStyle name="1_tree_한풍집계_갑지0601_총괄갑지" xfId="1639"/>
    <cellStyle name="1_tree_한풍집계_갑지0601_총괄갑지_1차 기성 내역서 0612023" xfId="1640"/>
    <cellStyle name="1_tree_한풍집계_갑지0601_총괄갑지_3차네고견적(061017-1)" xfId="1641"/>
    <cellStyle name="1_tree_한풍집계_갑지0601_총괄갑지_백화점화장실인테리어" xfId="1642"/>
    <cellStyle name="1_tree_한풍집계_갑지0601_총괄갑지_백화점화장실인테리어_1차 기성 내역서 0612023" xfId="1643"/>
    <cellStyle name="1_tree_한풍집계_갑지0601_총괄갑지_백화점화장실인테리어_3차네고견적(061017-1)" xfId="1644"/>
    <cellStyle name="1_tree_한풍집계_갑지0601_총괄갑지_설계내역서" xfId="1645"/>
    <cellStyle name="1_tree_한풍집계_갑지0601_총괄갑지_설계내역서_1차 기성 내역서 0612023" xfId="1646"/>
    <cellStyle name="1_tree_한풍집계_갑지0601_총괄갑지_설계내역서_3차네고견적(061017-1)" xfId="1647"/>
    <cellStyle name="1_tree_한풍집계_갑지0601_총괄갑지_설계내역서_백화점화장실인테리어" xfId="1648"/>
    <cellStyle name="1_tree_한풍집계_갑지0601_총괄갑지_설계내역서_백화점화장실인테리어_1차 기성 내역서 0612023" xfId="1649"/>
    <cellStyle name="1_tree_한풍집계_갑지0601_총괄갑지_설계내역서_백화점화장실인테리어_3차네고견적(061017-1)" xfId="1650"/>
    <cellStyle name="1_tree_한풍집계_갑지0601_총괄갑지_설계내역서_화명조경" xfId="1651"/>
    <cellStyle name="1_tree_한풍집계_갑지0601_총괄갑지_설계내역서_화명조경_1차 기성 내역서 0612023" xfId="1652"/>
    <cellStyle name="1_tree_한풍집계_갑지0601_총괄갑지_설계내역서_화명조경_3차네고견적(061017-1)" xfId="1653"/>
    <cellStyle name="1_tree_한풍집계_갑지0601_총괄갑지_설계내역서_화명조경_백화점화장실인테리어" xfId="1654"/>
    <cellStyle name="1_tree_한풍집계_갑지0601_총괄갑지_설계내역서_화명조경_백화점화장실인테리어_1차 기성 내역서 0612023" xfId="1655"/>
    <cellStyle name="1_tree_한풍집계_갑지0601_총괄갑지_설계내역서_화명조경_백화점화장실인테리어_3차네고견적(061017-1)" xfId="1656"/>
    <cellStyle name="1_tree_한풍집계_갑지0601_총괄갑지_설계내역서1월7일" xfId="1657"/>
    <cellStyle name="1_tree_한풍집계_갑지0601_총괄갑지_설계내역서1월7일_1차 기성 내역서 0612023" xfId="1658"/>
    <cellStyle name="1_tree_한풍집계_갑지0601_총괄갑지_설계내역서1월7일_3차네고견적(061017-1)" xfId="1659"/>
    <cellStyle name="1_tree_한풍집계_갑지0601_총괄갑지_설계내역서1월7일_백화점화장실인테리어" xfId="1660"/>
    <cellStyle name="1_tree_한풍집계_갑지0601_총괄갑지_설계내역서1월7일_백화점화장실인테리어_1차 기성 내역서 0612023" xfId="1661"/>
    <cellStyle name="1_tree_한풍집계_갑지0601_총괄갑지_설계내역서1월7일_백화점화장실인테리어_3차네고견적(061017-1)" xfId="1662"/>
    <cellStyle name="1_tree_한풍집계_갑지0601_총괄갑지_설계내역서1월7일_화명조경" xfId="1663"/>
    <cellStyle name="1_tree_한풍집계_갑지0601_총괄갑지_설계내역서1월7일_화명조경_1차 기성 내역서 0612023" xfId="1664"/>
    <cellStyle name="1_tree_한풍집계_갑지0601_총괄갑지_설계내역서1월7일_화명조경_3차네고견적(061017-1)" xfId="1665"/>
    <cellStyle name="1_tree_한풍집계_갑지0601_총괄갑지_설계내역서1월7일_화명조경_백화점화장실인테리어" xfId="1666"/>
    <cellStyle name="1_tree_한풍집계_갑지0601_총괄갑지_설계내역서1월7일_화명조경_백화점화장실인테리어_1차 기성 내역서 0612023" xfId="1667"/>
    <cellStyle name="1_tree_한풍집계_갑지0601_총괄갑지_설계내역서1월7일_화명조경_백화점화장실인테리어_3차네고견적(061017-1)" xfId="1668"/>
    <cellStyle name="1_tree_한풍집계_갑지0601_총괄갑지_화명조경" xfId="1669"/>
    <cellStyle name="1_tree_한풍집계_갑지0601_총괄갑지_화명조경_1차 기성 내역서 0612023" xfId="1670"/>
    <cellStyle name="1_tree_한풍집계_갑지0601_총괄갑지_화명조경_3차네고견적(061017-1)" xfId="1671"/>
    <cellStyle name="1_tree_한풍집계_갑지0601_총괄갑지_화명조경_백화점화장실인테리어" xfId="1672"/>
    <cellStyle name="1_tree_한풍집계_갑지0601_총괄갑지_화명조경_백화점화장실인테리어_1차 기성 내역서 0612023" xfId="1673"/>
    <cellStyle name="1_tree_한풍집계_갑지0601_총괄갑지_화명조경_백화점화장실인테리어_3차네고견적(061017-1)" xfId="1674"/>
    <cellStyle name="1_tree_한풍집계_갑지0601_총괄내역서" xfId="1675"/>
    <cellStyle name="1_tree_한풍집계_갑지0601_총괄내역서_1차 기성 내역서 0612023" xfId="1676"/>
    <cellStyle name="1_tree_한풍집계_갑지0601_총괄내역서_3차네고견적(061017-1)" xfId="1677"/>
    <cellStyle name="1_tree_한풍집계_갑지0601_총괄내역서_백화점화장실인테리어" xfId="1678"/>
    <cellStyle name="1_tree_한풍집계_갑지0601_총괄내역서_백화점화장실인테리어_1차 기성 내역서 0612023" xfId="1679"/>
    <cellStyle name="1_tree_한풍집계_갑지0601_총괄내역서_백화점화장실인테리어_3차네고견적(061017-1)" xfId="1680"/>
    <cellStyle name="1_tree_한풍집계_갑지0601_총괄내역서_설계내역서" xfId="1681"/>
    <cellStyle name="1_tree_한풍집계_갑지0601_총괄내역서_설계내역서_1차 기성 내역서 0612023" xfId="1682"/>
    <cellStyle name="1_tree_한풍집계_갑지0601_총괄내역서_설계내역서_3차네고견적(061017-1)" xfId="1683"/>
    <cellStyle name="1_tree_한풍집계_갑지0601_총괄내역서_설계내역서_백화점화장실인테리어" xfId="1684"/>
    <cellStyle name="1_tree_한풍집계_갑지0601_총괄내역서_설계내역서_백화점화장실인테리어_1차 기성 내역서 0612023" xfId="1685"/>
    <cellStyle name="1_tree_한풍집계_갑지0601_총괄내역서_설계내역서_백화점화장실인테리어_3차네고견적(061017-1)" xfId="1686"/>
    <cellStyle name="1_tree_한풍집계_갑지0601_총괄내역서_설계내역서_화명조경" xfId="1687"/>
    <cellStyle name="1_tree_한풍집계_갑지0601_총괄내역서_설계내역서_화명조경_1차 기성 내역서 0612023" xfId="1688"/>
    <cellStyle name="1_tree_한풍집계_갑지0601_총괄내역서_설계내역서_화명조경_3차네고견적(061017-1)" xfId="1689"/>
    <cellStyle name="1_tree_한풍집계_갑지0601_총괄내역서_설계내역서_화명조경_백화점화장실인테리어" xfId="1690"/>
    <cellStyle name="1_tree_한풍집계_갑지0601_총괄내역서_설계내역서_화명조경_백화점화장실인테리어_1차 기성 내역서 0612023" xfId="1691"/>
    <cellStyle name="1_tree_한풍집계_갑지0601_총괄내역서_설계내역서_화명조경_백화점화장실인테리어_3차네고견적(061017-1)" xfId="1692"/>
    <cellStyle name="1_tree_한풍집계_갑지0601_총괄내역서_설계내역서1월7일" xfId="1693"/>
    <cellStyle name="1_tree_한풍집계_갑지0601_총괄내역서_설계내역서1월7일_1차 기성 내역서 0612023" xfId="1694"/>
    <cellStyle name="1_tree_한풍집계_갑지0601_총괄내역서_설계내역서1월7일_3차네고견적(061017-1)" xfId="1695"/>
    <cellStyle name="1_tree_한풍집계_갑지0601_총괄내역서_설계내역서1월7일_백화점화장실인테리어" xfId="1696"/>
    <cellStyle name="1_tree_한풍집계_갑지0601_총괄내역서_설계내역서1월7일_백화점화장실인테리어_1차 기성 내역서 0612023" xfId="1697"/>
    <cellStyle name="1_tree_한풍집계_갑지0601_총괄내역서_설계내역서1월7일_백화점화장실인테리어_3차네고견적(061017-1)" xfId="1698"/>
    <cellStyle name="1_tree_한풍집계_갑지0601_총괄내역서_설계내역서1월7일_화명조경" xfId="1699"/>
    <cellStyle name="1_tree_한풍집계_갑지0601_총괄내역서_설계내역서1월7일_화명조경_1차 기성 내역서 0612023" xfId="1700"/>
    <cellStyle name="1_tree_한풍집계_갑지0601_총괄내역서_설계내역서1월7일_화명조경_3차네고견적(061017-1)" xfId="1701"/>
    <cellStyle name="1_tree_한풍집계_갑지0601_총괄내역서_설계내역서1월7일_화명조경_백화점화장실인테리어" xfId="1702"/>
    <cellStyle name="1_tree_한풍집계_갑지0601_총괄내역서_설계내역서1월7일_화명조경_백화점화장실인테리어_1차 기성 내역서 0612023" xfId="1703"/>
    <cellStyle name="1_tree_한풍집계_갑지0601_총괄내역서_설계내역서1월7일_화명조경_백화점화장실인테리어_3차네고견적(061017-1)" xfId="1704"/>
    <cellStyle name="1_tree_한풍집계_갑지0601_총괄내역서_화명조경" xfId="1705"/>
    <cellStyle name="1_tree_한풍집계_갑지0601_총괄내역서_화명조경_1차 기성 내역서 0612023" xfId="1706"/>
    <cellStyle name="1_tree_한풍집계_갑지0601_총괄내역서_화명조경_3차네고견적(061017-1)" xfId="1707"/>
    <cellStyle name="1_tree_한풍집계_갑지0601_총괄내역서_화명조경_백화점화장실인테리어" xfId="1708"/>
    <cellStyle name="1_tree_한풍집계_갑지0601_총괄내역서_화명조경_백화점화장실인테리어_1차 기성 내역서 0612023" xfId="1709"/>
    <cellStyle name="1_tree_한풍집계_갑지0601_총괄내역서_화명조경_백화점화장실인테리어_3차네고견적(061017-1)" xfId="1710"/>
    <cellStyle name="1_tree_한풍집계_갑지0601_화명조경" xfId="1711"/>
    <cellStyle name="1_tree_한풍집계_갑지0601_화명조경_1차 기성 내역서 0612023" xfId="1712"/>
    <cellStyle name="1_tree_한풍집계_갑지0601_화명조경_3차네고견적(061017-1)" xfId="1713"/>
    <cellStyle name="1_tree_한풍집계_갑지0601_화명조경_백화점화장실인테리어" xfId="1714"/>
    <cellStyle name="1_tree_한풍집계_갑지0601_화명조경_백화점화장실인테리어_1차 기성 내역서 0612023" xfId="1715"/>
    <cellStyle name="1_tree_한풍집계_갑지0601_화명조경_백화점화장실인테리어_3차네고견적(061017-1)" xfId="1716"/>
    <cellStyle name="1_tree_한풍집계_백화점화장실인테리어" xfId="1717"/>
    <cellStyle name="1_tree_한풍집계_백화점화장실인테리어_1차 기성 내역서 0612023" xfId="1718"/>
    <cellStyle name="1_tree_한풍집계_백화점화장실인테리어_3차네고견적(061017-1)" xfId="1719"/>
    <cellStyle name="1_tree_한풍집계_설계내역서" xfId="1720"/>
    <cellStyle name="1_tree_한풍집계_설계내역서_1차 기성 내역서 0612023" xfId="1721"/>
    <cellStyle name="1_tree_한풍집계_설계내역서_3차네고견적(061017-1)" xfId="1722"/>
    <cellStyle name="1_tree_한풍집계_설계내역서_백화점화장실인테리어" xfId="1723"/>
    <cellStyle name="1_tree_한풍집계_설계내역서_백화점화장실인테리어_1차 기성 내역서 0612023" xfId="1724"/>
    <cellStyle name="1_tree_한풍집계_설계내역서_백화점화장실인테리어_3차네고견적(061017-1)" xfId="1725"/>
    <cellStyle name="1_tree_한풍집계_설계내역서_화명조경" xfId="1726"/>
    <cellStyle name="1_tree_한풍집계_설계내역서_화명조경_1차 기성 내역서 0612023" xfId="1727"/>
    <cellStyle name="1_tree_한풍집계_설계내역서_화명조경_3차네고견적(061017-1)" xfId="1728"/>
    <cellStyle name="1_tree_한풍집계_설계내역서_화명조경_백화점화장실인테리어" xfId="1729"/>
    <cellStyle name="1_tree_한풍집계_설계내역서_화명조경_백화점화장실인테리어_1차 기성 내역서 0612023" xfId="1730"/>
    <cellStyle name="1_tree_한풍집계_설계내역서_화명조경_백화점화장실인테리어_3차네고견적(061017-1)" xfId="1731"/>
    <cellStyle name="1_tree_한풍집계_설계내역서1월7일" xfId="1732"/>
    <cellStyle name="1_tree_한풍집계_설계내역서1월7일_1차 기성 내역서 0612023" xfId="1733"/>
    <cellStyle name="1_tree_한풍집계_설계내역서1월7일_3차네고견적(061017-1)" xfId="1734"/>
    <cellStyle name="1_tree_한풍집계_설계내역서1월7일_백화점화장실인테리어" xfId="1735"/>
    <cellStyle name="1_tree_한풍집계_설계내역서1월7일_백화점화장실인테리어_1차 기성 내역서 0612023" xfId="1736"/>
    <cellStyle name="1_tree_한풍집계_설계내역서1월7일_백화점화장실인테리어_3차네고견적(061017-1)" xfId="1737"/>
    <cellStyle name="1_tree_한풍집계_설계내역서1월7일_화명조경" xfId="1738"/>
    <cellStyle name="1_tree_한풍집계_설계내역서1월7일_화명조경_1차 기성 내역서 0612023" xfId="1739"/>
    <cellStyle name="1_tree_한풍집계_설계내역서1월7일_화명조경_3차네고견적(061017-1)" xfId="1740"/>
    <cellStyle name="1_tree_한풍집계_설계내역서1월7일_화명조경_백화점화장실인테리어" xfId="1741"/>
    <cellStyle name="1_tree_한풍집계_설계내역서1월7일_화명조경_백화점화장실인테리어_1차 기성 내역서 0612023" xfId="1742"/>
    <cellStyle name="1_tree_한풍집계_설계내역서1월7일_화명조경_백화점화장실인테리어_3차네고견적(061017-1)" xfId="1743"/>
    <cellStyle name="1_tree_한풍집계_쌍용수량0905" xfId="1744"/>
    <cellStyle name="1_tree_한풍집계_쌍용수량0905_1차 기성 내역서 0612023" xfId="1745"/>
    <cellStyle name="1_tree_한풍집계_쌍용수량0905_3차네고견적(061017-1)" xfId="1746"/>
    <cellStyle name="1_tree_한풍집계_쌍용수량0905_백화점화장실인테리어" xfId="1747"/>
    <cellStyle name="1_tree_한풍집계_쌍용수량0905_백화점화장실인테리어_1차 기성 내역서 0612023" xfId="1748"/>
    <cellStyle name="1_tree_한풍집계_쌍용수량0905_백화점화장실인테리어_3차네고견적(061017-1)" xfId="1749"/>
    <cellStyle name="1_tree_한풍집계_쌍용수량0905_설계내역서" xfId="1750"/>
    <cellStyle name="1_tree_한풍집계_쌍용수량0905_설계내역서_1차 기성 내역서 0612023" xfId="1751"/>
    <cellStyle name="1_tree_한풍집계_쌍용수량0905_설계내역서_3차네고견적(061017-1)" xfId="1752"/>
    <cellStyle name="1_tree_한풍집계_쌍용수량0905_설계내역서_백화점화장실인테리어" xfId="1753"/>
    <cellStyle name="1_tree_한풍집계_쌍용수량0905_설계내역서_백화점화장실인테리어_1차 기성 내역서 0612023" xfId="1754"/>
    <cellStyle name="1_tree_한풍집계_쌍용수량0905_설계내역서_백화점화장실인테리어_3차네고견적(061017-1)" xfId="1755"/>
    <cellStyle name="1_tree_한풍집계_쌍용수량0905_설계내역서_화명조경" xfId="1756"/>
    <cellStyle name="1_tree_한풍집계_쌍용수량0905_설계내역서_화명조경_1차 기성 내역서 0612023" xfId="1757"/>
    <cellStyle name="1_tree_한풍집계_쌍용수량0905_설계내역서_화명조경_3차네고견적(061017-1)" xfId="1758"/>
    <cellStyle name="1_tree_한풍집계_쌍용수량0905_설계내역서_화명조경_백화점화장실인테리어" xfId="1759"/>
    <cellStyle name="1_tree_한풍집계_쌍용수량0905_설계내역서_화명조경_백화점화장실인테리어_1차 기성 내역서 0612023" xfId="1760"/>
    <cellStyle name="1_tree_한풍집계_쌍용수량0905_설계내역서_화명조경_백화점화장실인테리어_3차네고견적(061017-1)" xfId="1761"/>
    <cellStyle name="1_tree_한풍집계_쌍용수량0905_설계내역서1월7일" xfId="1762"/>
    <cellStyle name="1_tree_한풍집계_쌍용수량0905_설계내역서1월7일_1차 기성 내역서 0612023" xfId="1763"/>
    <cellStyle name="1_tree_한풍집계_쌍용수량0905_설계내역서1월7일_3차네고견적(061017-1)" xfId="1764"/>
    <cellStyle name="1_tree_한풍집계_쌍용수량0905_설계내역서1월7일_백화점화장실인테리어" xfId="1765"/>
    <cellStyle name="1_tree_한풍집계_쌍용수량0905_설계내역서1월7일_백화점화장실인테리어_1차 기성 내역서 0612023" xfId="1766"/>
    <cellStyle name="1_tree_한풍집계_쌍용수량0905_설계내역서1월7일_백화점화장실인테리어_3차네고견적(061017-1)" xfId="1767"/>
    <cellStyle name="1_tree_한풍집계_쌍용수량0905_설계내역서1월7일_화명조경" xfId="1768"/>
    <cellStyle name="1_tree_한풍집계_쌍용수량0905_설계내역서1월7일_화명조경_1차 기성 내역서 0612023" xfId="1769"/>
    <cellStyle name="1_tree_한풍집계_쌍용수량0905_설계내역서1월7일_화명조경_3차네고견적(061017-1)" xfId="1770"/>
    <cellStyle name="1_tree_한풍집계_쌍용수량0905_설계내역서1월7일_화명조경_백화점화장실인테리어" xfId="1771"/>
    <cellStyle name="1_tree_한풍집계_쌍용수량0905_설계내역서1월7일_화명조경_백화점화장실인테리어_1차 기성 내역서 0612023" xfId="1772"/>
    <cellStyle name="1_tree_한풍집계_쌍용수량0905_설계내역서1월7일_화명조경_백화점화장실인테리어_3차네고견적(061017-1)" xfId="1773"/>
    <cellStyle name="1_tree_한풍집계_쌍용수량0905_화명조경" xfId="1774"/>
    <cellStyle name="1_tree_한풍집계_쌍용수량0905_화명조경_1차 기성 내역서 0612023" xfId="1775"/>
    <cellStyle name="1_tree_한풍집계_쌍용수량0905_화명조경_3차네고견적(061017-1)" xfId="1776"/>
    <cellStyle name="1_tree_한풍집계_쌍용수량0905_화명조경_백화점화장실인테리어" xfId="1777"/>
    <cellStyle name="1_tree_한풍집계_쌍용수량0905_화명조경_백화점화장실인테리어_1차 기성 내역서 0612023" xfId="1778"/>
    <cellStyle name="1_tree_한풍집계_쌍용수량0905_화명조경_백화점화장실인테리어_3차네고견적(061017-1)" xfId="1779"/>
    <cellStyle name="1_tree_한풍집계_터미널1-0" xfId="1780"/>
    <cellStyle name="1_tree_한풍집계_터미널1-0_1차 기성 내역서 0612023" xfId="1781"/>
    <cellStyle name="1_tree_한풍집계_터미널1-0_3차네고견적(061017-1)" xfId="1782"/>
    <cellStyle name="1_tree_한풍집계_터미널1-0_백화점화장실인테리어" xfId="1783"/>
    <cellStyle name="1_tree_한풍집계_터미널1-0_백화점화장실인테리어_1차 기성 내역서 0612023" xfId="1784"/>
    <cellStyle name="1_tree_한풍집계_터미널1-0_백화점화장실인테리어_3차네고견적(061017-1)" xfId="1785"/>
    <cellStyle name="1_tree_한풍집계_터미널1-0_화명조경" xfId="1786"/>
    <cellStyle name="1_tree_한풍집계_터미널1-0_화명조경_1차 기성 내역서 0612023" xfId="1787"/>
    <cellStyle name="1_tree_한풍집계_터미널1-0_화명조경_3차네고견적(061017-1)" xfId="1788"/>
    <cellStyle name="1_tree_한풍집계_터미널1-0_화명조경_백화점화장실인테리어" xfId="1789"/>
    <cellStyle name="1_tree_한풍집계_터미널1-0_화명조경_백화점화장실인테리어_1차 기성 내역서 0612023" xfId="1790"/>
    <cellStyle name="1_tree_한풍집계_터미널1-0_화명조경_백화점화장실인테리어_3차네고견적(061017-1)" xfId="1791"/>
    <cellStyle name="1_tree_한풍집계_화명조경" xfId="1792"/>
    <cellStyle name="1_tree_한풍집계_화명조경_1차 기성 내역서 0612023" xfId="1793"/>
    <cellStyle name="1_tree_한풍집계_화명조경_3차네고견적(061017-1)" xfId="1794"/>
    <cellStyle name="1_tree_한풍집계_화명조경_백화점화장실인테리어" xfId="1795"/>
    <cellStyle name="1_tree_한풍집계_화명조경_백화점화장실인테리어_1차 기성 내역서 0612023" xfId="1796"/>
    <cellStyle name="1_tree_한풍집계_화명조경_백화점화장실인테리어_3차네고견적(061017-1)" xfId="1797"/>
    <cellStyle name="1_tree_화명조경" xfId="1798"/>
    <cellStyle name="1_tree_화명조경_1차 기성 내역서 0612023" xfId="1799"/>
    <cellStyle name="1_tree_화명조경_3차네고견적(061017-1)" xfId="1800"/>
    <cellStyle name="1_tree_화명조경_백화점화장실인테리어" xfId="1801"/>
    <cellStyle name="1_tree_화명조경_백화점화장실인테리어_1차 기성 내역서 0612023" xfId="1802"/>
    <cellStyle name="1_tree_화명조경_백화점화장실인테리어_3차네고견적(061017-1)" xfId="1803"/>
    <cellStyle name="1_남해총괄표" xfId="1804"/>
    <cellStyle name="1_남해총괄표_1차 기성 내역서 0612023" xfId="1805"/>
    <cellStyle name="1_남해총괄표_3차네고견적(061017-1)" xfId="1806"/>
    <cellStyle name="1_남해총괄표_문화센타" xfId="1807"/>
    <cellStyle name="1_남해총괄표_백화점화장실인테리어" xfId="1808"/>
    <cellStyle name="1_남해총괄표_백화점화장실인테리어_1차 기성 내역서 0612023" xfId="1809"/>
    <cellStyle name="1_남해총괄표_백화점화장실인테리어_3차네고견적(061017-1)" xfId="1810"/>
    <cellStyle name="1_남해총괄표_백화점화장실인테리어_문화센타" xfId="1811"/>
    <cellStyle name="1_남해총괄표_설계내역서" xfId="1812"/>
    <cellStyle name="1_남해총괄표_설계내역서_1차 기성 내역서 0612023" xfId="1813"/>
    <cellStyle name="1_남해총괄표_설계내역서_3차네고견적(061017-1)" xfId="1814"/>
    <cellStyle name="1_남해총괄표_설계내역서_문화센타" xfId="1815"/>
    <cellStyle name="1_남해총괄표_설계내역서_백화점화장실인테리어" xfId="1816"/>
    <cellStyle name="1_남해총괄표_설계내역서_백화점화장실인테리어_1차 기성 내역서 0612023" xfId="1817"/>
    <cellStyle name="1_남해총괄표_설계내역서_백화점화장실인테리어_3차네고견적(061017-1)" xfId="1818"/>
    <cellStyle name="1_남해총괄표_설계내역서_백화점화장실인테리어_문화센타" xfId="1819"/>
    <cellStyle name="1_남해총괄표_설계내역서_화명조경" xfId="1820"/>
    <cellStyle name="1_남해총괄표_설계내역서_화명조경_1차 기성 내역서 0612023" xfId="1821"/>
    <cellStyle name="1_남해총괄표_설계내역서_화명조경_3차네고견적(061017-1)" xfId="1822"/>
    <cellStyle name="1_남해총괄표_설계내역서_화명조경_문화센타" xfId="1823"/>
    <cellStyle name="1_남해총괄표_설계내역서_화명조경_백화점화장실인테리어" xfId="1824"/>
    <cellStyle name="1_남해총괄표_설계내역서_화명조경_백화점화장실인테리어_1차 기성 내역서 0612023" xfId="1825"/>
    <cellStyle name="1_남해총괄표_설계내역서_화명조경_백화점화장실인테리어_3차네고견적(061017-1)" xfId="1826"/>
    <cellStyle name="1_남해총괄표_설계내역서_화명조경_백화점화장실인테리어_문화센타" xfId="1827"/>
    <cellStyle name="1_남해총괄표_설계내역서1월7일" xfId="1828"/>
    <cellStyle name="1_남해총괄표_설계내역서1월7일_1차 기성 내역서 0612023" xfId="1829"/>
    <cellStyle name="1_남해총괄표_설계내역서1월7일_3차네고견적(061017-1)" xfId="1830"/>
    <cellStyle name="1_남해총괄표_설계내역서1월7일_문화센타" xfId="1831"/>
    <cellStyle name="1_남해총괄표_설계내역서1월7일_백화점화장실인테리어" xfId="1832"/>
    <cellStyle name="1_남해총괄표_설계내역서1월7일_백화점화장실인테리어_1차 기성 내역서 0612023" xfId="1833"/>
    <cellStyle name="1_남해총괄표_설계내역서1월7일_백화점화장실인테리어_3차네고견적(061017-1)" xfId="1834"/>
    <cellStyle name="1_남해총괄표_설계내역서1월7일_백화점화장실인테리어_문화센타" xfId="1835"/>
    <cellStyle name="1_남해총괄표_설계내역서1월7일_화명조경" xfId="1836"/>
    <cellStyle name="1_남해총괄표_설계내역서1월7일_화명조경_1차 기성 내역서 0612023" xfId="1837"/>
    <cellStyle name="1_남해총괄표_설계내역서1월7일_화명조경_3차네고견적(061017-1)" xfId="1838"/>
    <cellStyle name="1_남해총괄표_설계내역서1월7일_화명조경_문화센타" xfId="1839"/>
    <cellStyle name="1_남해총괄표_설계내역서1월7일_화명조경_백화점화장실인테리어" xfId="1840"/>
    <cellStyle name="1_남해총괄표_설계내역서1월7일_화명조경_백화점화장실인테리어_1차 기성 내역서 0612023" xfId="1841"/>
    <cellStyle name="1_남해총괄표_설계내역서1월7일_화명조경_백화점화장실인테리어_3차네고견적(061017-1)" xfId="1842"/>
    <cellStyle name="1_남해총괄표_설계내역서1월7일_화명조경_백화점화장실인테리어_문화센타" xfId="1843"/>
    <cellStyle name="1_남해총괄표_화명조경" xfId="1844"/>
    <cellStyle name="1_남해총괄표_화명조경_1차 기성 내역서 0612023" xfId="1845"/>
    <cellStyle name="1_남해총괄표_화명조경_3차네고견적(061017-1)" xfId="1846"/>
    <cellStyle name="1_남해총괄표_화명조경_백화점화장실인테리어" xfId="1847"/>
    <cellStyle name="1_남해총괄표_화명조경_백화점화장실인테리어_1차 기성 내역서 0612023" xfId="1848"/>
    <cellStyle name="1_남해총괄표_화명조경_백화점화장실인테리어_3차네고견적(061017-1)" xfId="1849"/>
    <cellStyle name="1_단가조사표" xfId="1850"/>
    <cellStyle name="1_수원변경수량산출" xfId="1851"/>
    <cellStyle name="1_쌍용수량0905" xfId="1852"/>
    <cellStyle name="1_쌍용수량0905_1차 기성 내역서 0612023" xfId="1853"/>
    <cellStyle name="1_쌍용수량0905_3차네고견적(061017-1)" xfId="1854"/>
    <cellStyle name="1_쌍용수량0905_백화점화장실인테리어" xfId="1855"/>
    <cellStyle name="1_쌍용수량0905_백화점화장실인테리어_1차 기성 내역서 0612023" xfId="1856"/>
    <cellStyle name="1_쌍용수량0905_백화점화장실인테리어_3차네고견적(061017-1)" xfId="1857"/>
    <cellStyle name="1_쌍용수량0905_설계내역서" xfId="1858"/>
    <cellStyle name="1_쌍용수량0905_설계내역서_1차 기성 내역서 0612023" xfId="1859"/>
    <cellStyle name="1_쌍용수량0905_설계내역서_3차네고견적(061017-1)" xfId="1860"/>
    <cellStyle name="1_쌍용수량0905_설계내역서_백화점화장실인테리어" xfId="1861"/>
    <cellStyle name="1_쌍용수량0905_설계내역서_백화점화장실인테리어_1차 기성 내역서 0612023" xfId="1862"/>
    <cellStyle name="1_쌍용수량0905_설계내역서_백화점화장실인테리어_3차네고견적(061017-1)" xfId="1863"/>
    <cellStyle name="1_쌍용수량0905_설계내역서_화명조경" xfId="1864"/>
    <cellStyle name="1_쌍용수량0905_설계내역서_화명조경_1차 기성 내역서 0612023" xfId="1865"/>
    <cellStyle name="1_쌍용수량0905_설계내역서_화명조경_3차네고견적(061017-1)" xfId="1866"/>
    <cellStyle name="1_쌍용수량0905_설계내역서_화명조경_백화점화장실인테리어" xfId="1867"/>
    <cellStyle name="1_쌍용수량0905_설계내역서_화명조경_백화점화장실인테리어_1차 기성 내역서 0612023" xfId="1868"/>
    <cellStyle name="1_쌍용수량0905_설계내역서_화명조경_백화점화장실인테리어_3차네고견적(061017-1)" xfId="1869"/>
    <cellStyle name="1_쌍용수량0905_설계내역서1월7일" xfId="1870"/>
    <cellStyle name="1_쌍용수량0905_설계내역서1월7일_1차 기성 내역서 0612023" xfId="1871"/>
    <cellStyle name="1_쌍용수량0905_설계내역서1월7일_3차네고견적(061017-1)" xfId="1872"/>
    <cellStyle name="1_쌍용수량0905_설계내역서1월7일_백화점화장실인테리어" xfId="1873"/>
    <cellStyle name="1_쌍용수량0905_설계내역서1월7일_백화점화장실인테리어_1차 기성 내역서 0612023" xfId="1874"/>
    <cellStyle name="1_쌍용수량0905_설계내역서1월7일_백화점화장실인테리어_3차네고견적(061017-1)" xfId="1875"/>
    <cellStyle name="1_쌍용수량0905_설계내역서1월7일_화명조경" xfId="1876"/>
    <cellStyle name="1_쌍용수량0905_설계내역서1월7일_화명조경_1차 기성 내역서 0612023" xfId="1877"/>
    <cellStyle name="1_쌍용수량0905_설계내역서1월7일_화명조경_3차네고견적(061017-1)" xfId="1878"/>
    <cellStyle name="1_쌍용수량0905_설계내역서1월7일_화명조경_백화점화장실인테리어" xfId="1879"/>
    <cellStyle name="1_쌍용수량0905_설계내역서1월7일_화명조경_백화점화장실인테리어_1차 기성 내역서 0612023" xfId="1880"/>
    <cellStyle name="1_쌍용수량0905_설계내역서1월7일_화명조경_백화점화장실인테리어_3차네고견적(061017-1)" xfId="1881"/>
    <cellStyle name="1_쌍용수량0905_화명조경" xfId="1882"/>
    <cellStyle name="1_쌍용수량0905_화명조경_1차 기성 내역서 0612023" xfId="1883"/>
    <cellStyle name="1_쌍용수량0905_화명조경_3차네고견적(061017-1)" xfId="1884"/>
    <cellStyle name="1_쌍용수량0905_화명조경_백화점화장실인테리어" xfId="1885"/>
    <cellStyle name="1_쌍용수량0905_화명조경_백화점화장실인테리어_1차 기성 내역서 0612023" xfId="1886"/>
    <cellStyle name="1_쌍용수량0905_화명조경_백화점화장실인테리어_3차네고견적(061017-1)" xfId="1887"/>
    <cellStyle name="1_원가계산서" xfId="1888"/>
    <cellStyle name="1_원가계산서_00갑지" xfId="1889"/>
    <cellStyle name="1_원가계산서_00갑지_1차 기성 내역서 0612023" xfId="1890"/>
    <cellStyle name="1_원가계산서_00갑지_3차네고견적(061017-1)" xfId="1891"/>
    <cellStyle name="1_원가계산서_00갑지_백화점화장실인테리어" xfId="1892"/>
    <cellStyle name="1_원가계산서_00갑지_백화점화장실인테리어_1차 기성 내역서 0612023" xfId="1893"/>
    <cellStyle name="1_원가계산서_00갑지_백화점화장실인테리어_3차네고견적(061017-1)" xfId="1894"/>
    <cellStyle name="1_원가계산서_00갑지_설계내역서" xfId="1895"/>
    <cellStyle name="1_원가계산서_00갑지_설계내역서_1차 기성 내역서 0612023" xfId="1896"/>
    <cellStyle name="1_원가계산서_00갑지_설계내역서_3차네고견적(061017-1)" xfId="1897"/>
    <cellStyle name="1_원가계산서_00갑지_설계내역서_백화점화장실인테리어" xfId="1898"/>
    <cellStyle name="1_원가계산서_00갑지_설계내역서_백화점화장실인테리어_1차 기성 내역서 0612023" xfId="1899"/>
    <cellStyle name="1_원가계산서_00갑지_설계내역서_백화점화장실인테리어_3차네고견적(061017-1)" xfId="1900"/>
    <cellStyle name="1_원가계산서_00갑지_설계내역서_화명조경" xfId="1901"/>
    <cellStyle name="1_원가계산서_00갑지_설계내역서_화명조경_1차 기성 내역서 0612023" xfId="1902"/>
    <cellStyle name="1_원가계산서_00갑지_설계내역서_화명조경_3차네고견적(061017-1)" xfId="1903"/>
    <cellStyle name="1_원가계산서_00갑지_설계내역서_화명조경_백화점화장실인테리어" xfId="1904"/>
    <cellStyle name="1_원가계산서_00갑지_설계내역서_화명조경_백화점화장실인테리어_1차 기성 내역서 0612023" xfId="1905"/>
    <cellStyle name="1_원가계산서_00갑지_설계내역서_화명조경_백화점화장실인테리어_3차네고견적(061017-1)" xfId="1906"/>
    <cellStyle name="1_원가계산서_00갑지_설계내역서1월7일" xfId="1907"/>
    <cellStyle name="1_원가계산서_00갑지_설계내역서1월7일_1차 기성 내역서 0612023" xfId="1908"/>
    <cellStyle name="1_원가계산서_00갑지_설계내역서1월7일_3차네고견적(061017-1)" xfId="1909"/>
    <cellStyle name="1_원가계산서_00갑지_설계내역서1월7일_백화점화장실인테리어" xfId="1910"/>
    <cellStyle name="1_원가계산서_00갑지_설계내역서1월7일_백화점화장실인테리어_1차 기성 내역서 0612023" xfId="1911"/>
    <cellStyle name="1_원가계산서_00갑지_설계내역서1월7일_백화점화장실인테리어_3차네고견적(061017-1)" xfId="1912"/>
    <cellStyle name="1_원가계산서_00갑지_설계내역서1월7일_화명조경" xfId="1913"/>
    <cellStyle name="1_원가계산서_00갑지_설계내역서1월7일_화명조경_1차 기성 내역서 0612023" xfId="1914"/>
    <cellStyle name="1_원가계산서_00갑지_설계내역서1월7일_화명조경_3차네고견적(061017-1)" xfId="1915"/>
    <cellStyle name="1_원가계산서_00갑지_설계내역서1월7일_화명조경_백화점화장실인테리어" xfId="1916"/>
    <cellStyle name="1_원가계산서_00갑지_설계내역서1월7일_화명조경_백화점화장실인테리어_1차 기성 내역서 0612023" xfId="1917"/>
    <cellStyle name="1_원가계산서_00갑지_설계내역서1월7일_화명조경_백화점화장실인테리어_3차네고견적(061017-1)" xfId="1918"/>
    <cellStyle name="1_원가계산서_00갑지_화명조경" xfId="1919"/>
    <cellStyle name="1_원가계산서_00갑지_화명조경_1차 기성 내역서 0612023" xfId="1920"/>
    <cellStyle name="1_원가계산서_00갑지_화명조경_3차네고견적(061017-1)" xfId="1921"/>
    <cellStyle name="1_원가계산서_00갑지_화명조경_백화점화장실인테리어" xfId="1922"/>
    <cellStyle name="1_원가계산서_00갑지_화명조경_백화점화장실인테리어_1차 기성 내역서 0612023" xfId="1923"/>
    <cellStyle name="1_원가계산서_00갑지_화명조경_백화점화장실인테리어_3차네고견적(061017-1)" xfId="1924"/>
    <cellStyle name="1_원가계산서_1차 기성 내역서 0612023" xfId="1925"/>
    <cellStyle name="1_원가계산서_3차네고견적(061017-1)" xfId="1926"/>
    <cellStyle name="1_원가계산서_과천놀이터설계서" xfId="1927"/>
    <cellStyle name="1_원가계산서_과천놀이터설계서_1차 기성 내역서 0612023" xfId="1928"/>
    <cellStyle name="1_원가계산서_과천놀이터설계서_3차네고견적(061017-1)" xfId="1929"/>
    <cellStyle name="1_원가계산서_과천놀이터설계서_백화점화장실인테리어" xfId="1930"/>
    <cellStyle name="1_원가계산서_과천놀이터설계서_백화점화장실인테리어_1차 기성 내역서 0612023" xfId="1931"/>
    <cellStyle name="1_원가계산서_과천놀이터설계서_백화점화장실인테리어_3차네고견적(061017-1)" xfId="1932"/>
    <cellStyle name="1_원가계산서_과천놀이터설계서_설계내역서" xfId="1933"/>
    <cellStyle name="1_원가계산서_과천놀이터설계서_설계내역서_1차 기성 내역서 0612023" xfId="1934"/>
    <cellStyle name="1_원가계산서_과천놀이터설계서_설계내역서_3차네고견적(061017-1)" xfId="1935"/>
    <cellStyle name="1_원가계산서_과천놀이터설계서_설계내역서_백화점화장실인테리어" xfId="1936"/>
    <cellStyle name="1_원가계산서_과천놀이터설계서_설계내역서_백화점화장실인테리어_1차 기성 내역서 0612023" xfId="1937"/>
    <cellStyle name="1_원가계산서_과천놀이터설계서_설계내역서_백화점화장실인테리어_3차네고견적(061017-1)" xfId="1938"/>
    <cellStyle name="1_원가계산서_과천놀이터설계서_설계내역서_화명조경" xfId="1939"/>
    <cellStyle name="1_원가계산서_과천놀이터설계서_설계내역서_화명조경_1차 기성 내역서 0612023" xfId="1940"/>
    <cellStyle name="1_원가계산서_과천놀이터설계서_설계내역서_화명조경_3차네고견적(061017-1)" xfId="1941"/>
    <cellStyle name="1_원가계산서_과천놀이터설계서_설계내역서_화명조경_백화점화장실인테리어" xfId="1942"/>
    <cellStyle name="1_원가계산서_과천놀이터설계서_설계내역서_화명조경_백화점화장실인테리어_1차 기성 내역서 0612023" xfId="1943"/>
    <cellStyle name="1_원가계산서_과천놀이터설계서_설계내역서_화명조경_백화점화장실인테리어_3차네고견적(061017-1)" xfId="1944"/>
    <cellStyle name="1_원가계산서_과천놀이터설계서_설계내역서1월7일" xfId="1945"/>
    <cellStyle name="1_원가계산서_과천놀이터설계서_설계내역서1월7일_1차 기성 내역서 0612023" xfId="1946"/>
    <cellStyle name="1_원가계산서_과천놀이터설계서_설계내역서1월7일_3차네고견적(061017-1)" xfId="1947"/>
    <cellStyle name="1_원가계산서_과천놀이터설계서_설계내역서1월7일_백화점화장실인테리어" xfId="1948"/>
    <cellStyle name="1_원가계산서_과천놀이터설계서_설계내역서1월7일_백화점화장실인테리어_1차 기성 내역서 0612023" xfId="1949"/>
    <cellStyle name="1_원가계산서_과천놀이터설계서_설계내역서1월7일_백화점화장실인테리어_3차네고견적(061017-1)" xfId="1950"/>
    <cellStyle name="1_원가계산서_과천놀이터설계서_설계내역서1월7일_화명조경" xfId="1951"/>
    <cellStyle name="1_원가계산서_과천놀이터설계서_설계내역서1월7일_화명조경_1차 기성 내역서 0612023" xfId="1952"/>
    <cellStyle name="1_원가계산서_과천놀이터설계서_설계내역서1월7일_화명조경_3차네고견적(061017-1)" xfId="1953"/>
    <cellStyle name="1_원가계산서_과천놀이터설계서_설계내역서1월7일_화명조경_백화점화장실인테리어" xfId="1954"/>
    <cellStyle name="1_원가계산서_과천놀이터설계서_설계내역서1월7일_화명조경_백화점화장실인테리어_1차 기성 내역서 0612023" xfId="1955"/>
    <cellStyle name="1_원가계산서_과천놀이터설계서_설계내역서1월7일_화명조경_백화점화장실인테리어_3차네고견적(061017-1)" xfId="1956"/>
    <cellStyle name="1_원가계산서_과천놀이터설계서_화명조경" xfId="1957"/>
    <cellStyle name="1_원가계산서_과천놀이터설계서_화명조경_1차 기성 내역서 0612023" xfId="1958"/>
    <cellStyle name="1_원가계산서_과천놀이터설계서_화명조경_3차네고견적(061017-1)" xfId="1959"/>
    <cellStyle name="1_원가계산서_과천놀이터설계서_화명조경_백화점화장실인테리어" xfId="1960"/>
    <cellStyle name="1_원가계산서_과천놀이터설계서_화명조경_백화점화장실인테리어_1차 기성 내역서 0612023" xfId="1961"/>
    <cellStyle name="1_원가계산서_과천놀이터설계서_화명조경_백화점화장실인테리어_3차네고견적(061017-1)" xfId="1962"/>
    <cellStyle name="1_원가계산서_백화점화장실인테리어" xfId="1963"/>
    <cellStyle name="1_원가계산서_백화점화장실인테리어_1차 기성 내역서 0612023" xfId="1964"/>
    <cellStyle name="1_원가계산서_백화점화장실인테리어_3차네고견적(061017-1)" xfId="1965"/>
    <cellStyle name="1_원가계산서_총괄갑지" xfId="1966"/>
    <cellStyle name="1_원가계산서_총괄갑지_1차 기성 내역서 0612023" xfId="1967"/>
    <cellStyle name="1_원가계산서_총괄갑지_3차네고견적(061017-1)" xfId="1968"/>
    <cellStyle name="1_원가계산서_총괄갑지_백화점화장실인테리어" xfId="1969"/>
    <cellStyle name="1_원가계산서_총괄갑지_백화점화장실인테리어_1차 기성 내역서 0612023" xfId="1970"/>
    <cellStyle name="1_원가계산서_총괄갑지_백화점화장실인테리어_3차네고견적(061017-1)" xfId="1971"/>
    <cellStyle name="1_원가계산서_총괄갑지_설계내역서" xfId="1972"/>
    <cellStyle name="1_원가계산서_총괄갑지_설계내역서_1차 기성 내역서 0612023" xfId="1973"/>
    <cellStyle name="1_원가계산서_총괄갑지_설계내역서_3차네고견적(061017-1)" xfId="1974"/>
    <cellStyle name="1_원가계산서_총괄갑지_설계내역서_백화점화장실인테리어" xfId="1975"/>
    <cellStyle name="1_원가계산서_총괄갑지_설계내역서_백화점화장실인테리어_1차 기성 내역서 0612023" xfId="1976"/>
    <cellStyle name="1_원가계산서_총괄갑지_설계내역서_백화점화장실인테리어_3차네고견적(061017-1)" xfId="1977"/>
    <cellStyle name="1_원가계산서_총괄갑지_설계내역서_화명조경" xfId="1978"/>
    <cellStyle name="1_원가계산서_총괄갑지_설계내역서_화명조경_1차 기성 내역서 0612023" xfId="1979"/>
    <cellStyle name="1_원가계산서_총괄갑지_설계내역서_화명조경_3차네고견적(061017-1)" xfId="1980"/>
    <cellStyle name="1_원가계산서_총괄갑지_설계내역서_화명조경_백화점화장실인테리어" xfId="1981"/>
    <cellStyle name="1_원가계산서_총괄갑지_설계내역서_화명조경_백화점화장실인테리어_1차 기성 내역서 0612023" xfId="1982"/>
    <cellStyle name="1_원가계산서_총괄갑지_설계내역서_화명조경_백화점화장실인테리어_3차네고견적(061017-1)" xfId="1983"/>
    <cellStyle name="1_원가계산서_총괄갑지_설계내역서1월7일" xfId="1984"/>
    <cellStyle name="1_원가계산서_총괄갑지_설계내역서1월7일_1차 기성 내역서 0612023" xfId="1985"/>
    <cellStyle name="1_원가계산서_총괄갑지_설계내역서1월7일_3차네고견적(061017-1)" xfId="1986"/>
    <cellStyle name="1_원가계산서_총괄갑지_설계내역서1월7일_백화점화장실인테리어" xfId="1987"/>
    <cellStyle name="1_원가계산서_총괄갑지_설계내역서1월7일_백화점화장실인테리어_1차 기성 내역서 0612023" xfId="1988"/>
    <cellStyle name="1_원가계산서_총괄갑지_설계내역서1월7일_백화점화장실인테리어_3차네고견적(061017-1)" xfId="1989"/>
    <cellStyle name="1_원가계산서_총괄갑지_설계내역서1월7일_화명조경" xfId="1990"/>
    <cellStyle name="1_원가계산서_총괄갑지_설계내역서1월7일_화명조경_1차 기성 내역서 0612023" xfId="1991"/>
    <cellStyle name="1_원가계산서_총괄갑지_설계내역서1월7일_화명조경_3차네고견적(061017-1)" xfId="1992"/>
    <cellStyle name="1_원가계산서_총괄갑지_설계내역서1월7일_화명조경_백화점화장실인테리어" xfId="1993"/>
    <cellStyle name="1_원가계산서_총괄갑지_설계내역서1월7일_화명조경_백화점화장실인테리어_1차 기성 내역서 0612023" xfId="1994"/>
    <cellStyle name="1_원가계산서_총괄갑지_설계내역서1월7일_화명조경_백화점화장실인테리어_3차네고견적(061017-1)" xfId="1995"/>
    <cellStyle name="1_원가계산서_총괄갑지_화명조경" xfId="1996"/>
    <cellStyle name="1_원가계산서_총괄갑지_화명조경_1차 기성 내역서 0612023" xfId="1997"/>
    <cellStyle name="1_원가계산서_총괄갑지_화명조경_3차네고견적(061017-1)" xfId="1998"/>
    <cellStyle name="1_원가계산서_총괄갑지_화명조경_백화점화장실인테리어" xfId="1999"/>
    <cellStyle name="1_원가계산서_총괄갑지_화명조경_백화점화장실인테리어_1차 기성 내역서 0612023" xfId="2000"/>
    <cellStyle name="1_원가계산서_총괄갑지_화명조경_백화점화장실인테리어_3차네고견적(061017-1)" xfId="2001"/>
    <cellStyle name="1_원가계산서_총괄내역서" xfId="2002"/>
    <cellStyle name="1_원가계산서_총괄내역서_1차 기성 내역서 0612023" xfId="2003"/>
    <cellStyle name="1_원가계산서_총괄내역서_3차네고견적(061017-1)" xfId="2004"/>
    <cellStyle name="1_원가계산서_총괄내역서_백화점화장실인테리어" xfId="2005"/>
    <cellStyle name="1_원가계산서_총괄내역서_백화점화장실인테리어_1차 기성 내역서 0612023" xfId="2006"/>
    <cellStyle name="1_원가계산서_총괄내역서_백화점화장실인테리어_3차네고견적(061017-1)" xfId="2007"/>
    <cellStyle name="1_원가계산서_총괄내역서_설계내역서" xfId="2008"/>
    <cellStyle name="1_원가계산서_총괄내역서_설계내역서_1차 기성 내역서 0612023" xfId="2009"/>
    <cellStyle name="1_원가계산서_총괄내역서_설계내역서_3차네고견적(061017-1)" xfId="2010"/>
    <cellStyle name="1_원가계산서_총괄내역서_설계내역서_백화점화장실인테리어" xfId="2011"/>
    <cellStyle name="1_원가계산서_총괄내역서_설계내역서_백화점화장실인테리어_1차 기성 내역서 0612023" xfId="2012"/>
    <cellStyle name="1_원가계산서_총괄내역서_설계내역서_백화점화장실인테리어_3차네고견적(061017-1)" xfId="2013"/>
    <cellStyle name="1_원가계산서_총괄내역서_설계내역서_화명조경" xfId="2014"/>
    <cellStyle name="1_원가계산서_총괄내역서_설계내역서_화명조경_1차 기성 내역서 0612023" xfId="2015"/>
    <cellStyle name="1_원가계산서_총괄내역서_설계내역서_화명조경_3차네고견적(061017-1)" xfId="2016"/>
    <cellStyle name="1_원가계산서_총괄내역서_설계내역서_화명조경_백화점화장실인테리어" xfId="2017"/>
    <cellStyle name="1_원가계산서_총괄내역서_설계내역서_화명조경_백화점화장실인테리어_1차 기성 내역서 0612023" xfId="2018"/>
    <cellStyle name="1_원가계산서_총괄내역서_설계내역서_화명조경_백화점화장실인테리어_3차네고견적(061017-1)" xfId="2019"/>
    <cellStyle name="1_원가계산서_총괄내역서_설계내역서1월7일" xfId="2020"/>
    <cellStyle name="1_원가계산서_총괄내역서_설계내역서1월7일_1차 기성 내역서 0612023" xfId="2021"/>
    <cellStyle name="1_원가계산서_총괄내역서_설계내역서1월7일_3차네고견적(061017-1)" xfId="2022"/>
    <cellStyle name="1_원가계산서_총괄내역서_설계내역서1월7일_백화점화장실인테리어" xfId="2023"/>
    <cellStyle name="1_원가계산서_총괄내역서_설계내역서1월7일_백화점화장실인테리어_1차 기성 내역서 0612023" xfId="2024"/>
    <cellStyle name="1_원가계산서_총괄내역서_설계내역서1월7일_백화점화장실인테리어_3차네고견적(061017-1)" xfId="2025"/>
    <cellStyle name="1_원가계산서_총괄내역서_설계내역서1월7일_화명조경" xfId="2026"/>
    <cellStyle name="1_원가계산서_총괄내역서_설계내역서1월7일_화명조경_1차 기성 내역서 0612023" xfId="2027"/>
    <cellStyle name="1_원가계산서_총괄내역서_설계내역서1월7일_화명조경_3차네고견적(061017-1)" xfId="2028"/>
    <cellStyle name="1_원가계산서_총괄내역서_설계내역서1월7일_화명조경_백화점화장실인테리어" xfId="2029"/>
    <cellStyle name="1_원가계산서_총괄내역서_설계내역서1월7일_화명조경_백화점화장실인테리어_1차 기성 내역서 0612023" xfId="2030"/>
    <cellStyle name="1_원가계산서_총괄내역서_설계내역서1월7일_화명조경_백화점화장실인테리어_3차네고견적(061017-1)" xfId="2031"/>
    <cellStyle name="1_원가계산서_총괄내역서_화명조경" xfId="2032"/>
    <cellStyle name="1_원가계산서_총괄내역서_화명조경_1차 기성 내역서 0612023" xfId="2033"/>
    <cellStyle name="1_원가계산서_총괄내역서_화명조경_3차네고견적(061017-1)" xfId="2034"/>
    <cellStyle name="1_원가계산서_총괄내역서_화명조경_백화점화장실인테리어" xfId="2035"/>
    <cellStyle name="1_원가계산서_총괄내역서_화명조경_백화점화장실인테리어_1차 기성 내역서 0612023" xfId="2036"/>
    <cellStyle name="1_원가계산서_총괄내역서_화명조경_백화점화장실인테리어_3차네고견적(061017-1)" xfId="2037"/>
    <cellStyle name="1_원가계산서_화명조경" xfId="2038"/>
    <cellStyle name="1_원가계산서_화명조경_1차 기성 내역서 0612023" xfId="2039"/>
    <cellStyle name="1_원가계산서_화명조경_3차네고견적(061017-1)" xfId="2040"/>
    <cellStyle name="1_원가계산서_화명조경_백화점화장실인테리어" xfId="2041"/>
    <cellStyle name="1_원가계산서_화명조경_백화점화장실인테리어_1차 기성 내역서 0612023" xfId="2042"/>
    <cellStyle name="1_원가계산서_화명조경_백화점화장실인테리어_3차네고견적(061017-1)" xfId="2043"/>
    <cellStyle name="1_은파수량집계" xfId="2044"/>
    <cellStyle name="1_터미널1-0" xfId="2045"/>
    <cellStyle name="1_터미널1-0_1차 기성 내역서 0612023" xfId="2046"/>
    <cellStyle name="1_터미널1-0_3차네고견적(061017-1)" xfId="2047"/>
    <cellStyle name="1_터미널1-0_백화점화장실인테리어" xfId="2048"/>
    <cellStyle name="1_터미널1-0_백화점화장실인테리어_1차 기성 내역서 0612023" xfId="2049"/>
    <cellStyle name="1_터미널1-0_백화점화장실인테리어_3차네고견적(061017-1)" xfId="2050"/>
    <cellStyle name="1_터미널1-0_설계내역서" xfId="2051"/>
    <cellStyle name="1_터미널1-0_설계내역서_1차 기성 내역서 0612023" xfId="2052"/>
    <cellStyle name="1_터미널1-0_설계내역서_3차네고견적(061017-1)" xfId="2053"/>
    <cellStyle name="1_터미널1-0_설계내역서_백화점화장실인테리어" xfId="2054"/>
    <cellStyle name="1_터미널1-0_설계내역서_백화점화장실인테리어_1차 기성 내역서 0612023" xfId="2055"/>
    <cellStyle name="1_터미널1-0_설계내역서_백화점화장실인테리어_3차네고견적(061017-1)" xfId="2056"/>
    <cellStyle name="1_터미널1-0_설계내역서_화명조경" xfId="2057"/>
    <cellStyle name="1_터미널1-0_설계내역서_화명조경_1차 기성 내역서 0612023" xfId="2058"/>
    <cellStyle name="1_터미널1-0_설계내역서_화명조경_3차네고견적(061017-1)" xfId="2059"/>
    <cellStyle name="1_터미널1-0_설계내역서_화명조경_백화점화장실인테리어" xfId="2060"/>
    <cellStyle name="1_터미널1-0_설계내역서_화명조경_백화점화장실인테리어_1차 기성 내역서 0612023" xfId="2061"/>
    <cellStyle name="1_터미널1-0_설계내역서_화명조경_백화점화장실인테리어_3차네고견적(061017-1)" xfId="2062"/>
    <cellStyle name="1_터미널1-0_설계내역서1월7일" xfId="2063"/>
    <cellStyle name="1_터미널1-0_설계내역서1월7일_1차 기성 내역서 0612023" xfId="2064"/>
    <cellStyle name="1_터미널1-0_설계내역서1월7일_3차네고견적(061017-1)" xfId="2065"/>
    <cellStyle name="1_터미널1-0_설계내역서1월7일_백화점화장실인테리어" xfId="2066"/>
    <cellStyle name="1_터미널1-0_설계내역서1월7일_백화점화장실인테리어_1차 기성 내역서 0612023" xfId="2067"/>
    <cellStyle name="1_터미널1-0_설계내역서1월7일_백화점화장실인테리어_3차네고견적(061017-1)" xfId="2068"/>
    <cellStyle name="1_터미널1-0_설계내역서1월7일_화명조경" xfId="2069"/>
    <cellStyle name="1_터미널1-0_설계내역서1월7일_화명조경_1차 기성 내역서 0612023" xfId="2070"/>
    <cellStyle name="1_터미널1-0_설계내역서1월7일_화명조경_3차네고견적(061017-1)" xfId="2071"/>
    <cellStyle name="1_터미널1-0_설계내역서1월7일_화명조경_백화점화장실인테리어" xfId="2072"/>
    <cellStyle name="1_터미널1-0_설계내역서1월7일_화명조경_백화점화장실인테리어_1차 기성 내역서 0612023" xfId="2073"/>
    <cellStyle name="1_터미널1-0_설계내역서1월7일_화명조경_백화점화장실인테리어_3차네고견적(061017-1)" xfId="2074"/>
    <cellStyle name="1_터미널1-0_쌍용수량0905" xfId="2075"/>
    <cellStyle name="1_터미널1-0_쌍용수량0905_1차 기성 내역서 0612023" xfId="2076"/>
    <cellStyle name="1_터미널1-0_쌍용수량0905_3차네고견적(061017-1)" xfId="2077"/>
    <cellStyle name="1_터미널1-0_쌍용수량0905_백화점화장실인테리어" xfId="2078"/>
    <cellStyle name="1_터미널1-0_쌍용수량0905_백화점화장실인테리어_1차 기성 내역서 0612023" xfId="2079"/>
    <cellStyle name="1_터미널1-0_쌍용수량0905_백화점화장실인테리어_3차네고견적(061017-1)" xfId="2080"/>
    <cellStyle name="1_터미널1-0_쌍용수량0905_설계내역서" xfId="2081"/>
    <cellStyle name="1_터미널1-0_쌍용수량0905_설계내역서_1차 기성 내역서 0612023" xfId="2082"/>
    <cellStyle name="1_터미널1-0_쌍용수량0905_설계내역서_3차네고견적(061017-1)" xfId="2083"/>
    <cellStyle name="1_터미널1-0_쌍용수량0905_설계내역서_백화점화장실인테리어" xfId="2084"/>
    <cellStyle name="1_터미널1-0_쌍용수량0905_설계내역서_백화점화장실인테리어_1차 기성 내역서 0612023" xfId="2085"/>
    <cellStyle name="1_터미널1-0_쌍용수량0905_설계내역서_백화점화장실인테리어_3차네고견적(061017-1)" xfId="2086"/>
    <cellStyle name="1_터미널1-0_쌍용수량0905_설계내역서_화명조경" xfId="2087"/>
    <cellStyle name="1_터미널1-0_쌍용수량0905_설계내역서_화명조경_1차 기성 내역서 0612023" xfId="2088"/>
    <cellStyle name="1_터미널1-0_쌍용수량0905_설계내역서_화명조경_3차네고견적(061017-1)" xfId="2089"/>
    <cellStyle name="1_터미널1-0_쌍용수량0905_설계내역서_화명조경_백화점화장실인테리어" xfId="2090"/>
    <cellStyle name="1_터미널1-0_쌍용수량0905_설계내역서_화명조경_백화점화장실인테리어_1차 기성 내역서 0612023" xfId="2091"/>
    <cellStyle name="1_터미널1-0_쌍용수량0905_설계내역서_화명조경_백화점화장실인테리어_3차네고견적(061017-1)" xfId="2092"/>
    <cellStyle name="1_터미널1-0_쌍용수량0905_설계내역서1월7일" xfId="2093"/>
    <cellStyle name="1_터미널1-0_쌍용수량0905_설계내역서1월7일_1차 기성 내역서 0612023" xfId="2094"/>
    <cellStyle name="1_터미널1-0_쌍용수량0905_설계내역서1월7일_3차네고견적(061017-1)" xfId="2095"/>
    <cellStyle name="1_터미널1-0_쌍용수량0905_설계내역서1월7일_백화점화장실인테리어" xfId="2096"/>
    <cellStyle name="1_터미널1-0_쌍용수량0905_설계내역서1월7일_백화점화장실인테리어_1차 기성 내역서 0612023" xfId="2097"/>
    <cellStyle name="1_터미널1-0_쌍용수량0905_설계내역서1월7일_백화점화장실인테리어_3차네고견적(061017-1)" xfId="2098"/>
    <cellStyle name="1_터미널1-0_쌍용수량0905_설계내역서1월7일_화명조경" xfId="2099"/>
    <cellStyle name="1_터미널1-0_쌍용수량0905_설계내역서1월7일_화명조경_1차 기성 내역서 0612023" xfId="2100"/>
    <cellStyle name="1_터미널1-0_쌍용수량0905_설계내역서1월7일_화명조경_3차네고견적(061017-1)" xfId="2101"/>
    <cellStyle name="1_터미널1-0_쌍용수량0905_설계내역서1월7일_화명조경_백화점화장실인테리어" xfId="2102"/>
    <cellStyle name="1_터미널1-0_쌍용수량0905_설계내역서1월7일_화명조경_백화점화장실인테리어_1차 기성 내역서 0612023" xfId="2103"/>
    <cellStyle name="1_터미널1-0_쌍용수량0905_설계내역서1월7일_화명조경_백화점화장실인테리어_3차네고견적(061017-1)" xfId="2104"/>
    <cellStyle name="1_터미널1-0_쌍용수량0905_화명조경" xfId="2105"/>
    <cellStyle name="1_터미널1-0_쌍용수량0905_화명조경_1차 기성 내역서 0612023" xfId="2106"/>
    <cellStyle name="1_터미널1-0_쌍용수량0905_화명조경_3차네고견적(061017-1)" xfId="2107"/>
    <cellStyle name="1_터미널1-0_쌍용수량0905_화명조경_백화점화장실인테리어" xfId="2108"/>
    <cellStyle name="1_터미널1-0_쌍용수량0905_화명조경_백화점화장실인테리어_1차 기성 내역서 0612023" xfId="2109"/>
    <cellStyle name="1_터미널1-0_쌍용수량0905_화명조경_백화점화장실인테리어_3차네고견적(061017-1)" xfId="2110"/>
    <cellStyle name="1_터미널1-0_화명조경" xfId="2111"/>
    <cellStyle name="1_터미널1-0_화명조경_1차 기성 내역서 0612023" xfId="2112"/>
    <cellStyle name="1_터미널1-0_화명조경_3차네고견적(061017-1)" xfId="2113"/>
    <cellStyle name="1_터미널1-0_화명조경_백화점화장실인테리어" xfId="2114"/>
    <cellStyle name="1_터미널1-0_화명조경_백화점화장실인테리어_1차 기성 내역서 0612023" xfId="2115"/>
    <cellStyle name="1_터미널1-0_화명조경_백화점화장실인테리어_3차네고견적(061017-1)" xfId="2116"/>
    <cellStyle name="10" xfId="2117"/>
    <cellStyle name="11" xfId="2118"/>
    <cellStyle name="111" xfId="2119"/>
    <cellStyle name="¹e" xfId="2120"/>
    <cellStyle name="¹éº" xfId="2121"/>
    <cellStyle name="¹éºÐÀ²_±¸¸Å³³±â" xfId="2122"/>
    <cellStyle name="2" xfId="2123"/>
    <cellStyle name="²" xfId="2124"/>
    <cellStyle name="2)" xfId="2125"/>
    <cellStyle name="2_단가조사표" xfId="2126"/>
    <cellStyle name="2자리" xfId="2127"/>
    <cellStyle name="³f¹ô[0]_pldt" xfId="2128"/>
    <cellStyle name="³f¹ô_pldt" xfId="2129"/>
    <cellStyle name="60" xfId="2130"/>
    <cellStyle name="_x0014_7." xfId="2131"/>
    <cellStyle name="82" xfId="2132"/>
    <cellStyle name="90" xfId="2133"/>
    <cellStyle name="A" xfId="2134"/>
    <cellStyle name="A_02-도급공사비내역" xfId="2135"/>
    <cellStyle name="A_04028적산수량집계" xfId="2136"/>
    <cellStyle name="a_0514회의확정자료" xfId="2137"/>
    <cellStyle name="A_0901작업1-금액분리" xfId="2138"/>
    <cellStyle name="A_A0509-가실행(파주)" xfId="2139"/>
    <cellStyle name="a_A-0902건축공사확정(대안포함)" xfId="2140"/>
    <cellStyle name="a_A-0902조경공사확정(대안포함)" xfId="2141"/>
    <cellStyle name="A_BOOKCITY(전기)" xfId="2142"/>
    <cellStyle name="A_BOOKCITY(전기)_04028적산수량집계" xfId="2143"/>
    <cellStyle name="A_Z01-본작업" xfId="2144"/>
    <cellStyle name="A_가실행(3th)" xfId="2145"/>
    <cellStyle name="A_결정01-총괄가실행(0820)" xfId="2146"/>
    <cellStyle name="A_공설운동진입(가실행)" xfId="2147"/>
    <cellStyle name="A_공설운동진입(가실행)_04028적산수량집계" xfId="2148"/>
    <cellStyle name="A_공설운동진입(가실행)_BOOKCITY(전기)" xfId="2149"/>
    <cellStyle name="A_공설운동진입(가실행)_BOOKCITY(전기)_04028적산수량집계" xfId="2150"/>
    <cellStyle name="A_공설운동진입(가실행)_사본 - 파주 북시티(이채)" xfId="2151"/>
    <cellStyle name="A_공설운동진입(가실행)_사본 - 파주 북시티(이채)_04028적산수량집계" xfId="2152"/>
    <cellStyle name="A_공설운동진입(가실행)_파주 BOOK CITY(통보용)" xfId="2153"/>
    <cellStyle name="A_공설운동진입(가실행)_파주 BOOK CITY(통보용)_04028적산수량집계" xfId="2154"/>
    <cellStyle name="A_공설운동진입(가실행)_파주 BOOK CITY가실행내역" xfId="2155"/>
    <cellStyle name="A_공설운동진입(가실행)_파주 BOOK CITY가실행내역_04028적산수량집계" xfId="2156"/>
    <cellStyle name="A_공설운동진입(가실행)_파주 북시티(이채)제출" xfId="2157"/>
    <cellStyle name="A_공설운동진입(가실행)_파주 북시티(이채)제출_04028적산수량집계" xfId="2158"/>
    <cellStyle name="A_공설운동진입(가실행)_파주 북시티(전체)제출(변경전)" xfId="2159"/>
    <cellStyle name="A_공설운동진입(가실행)_파주 북시티(전체)제출(변경전)_04028적산수량집계" xfId="2160"/>
    <cellStyle name="a_공항관련공사비 비교" xfId="2161"/>
    <cellStyle name="A_당팀-가실행작업" xfId="2162"/>
    <cellStyle name="A_도급공사변경Ⅰ(0626)" xfId="2163"/>
    <cellStyle name="A_보고02-건축공사감액보고서(0714)" xfId="2164"/>
    <cellStyle name="A_분석001-구조체투입관련" xfId="2165"/>
    <cellStyle name="A_사본 - 0429파본사" xfId="2166"/>
    <cellStyle name="A_사본 - 파주 북시티(이채)" xfId="2167"/>
    <cellStyle name="A_사본 - 파주 북시티(이채)_04028적산수량집계" xfId="2168"/>
    <cellStyle name="A_실행01-총괄가실행(0828)" xfId="2169"/>
    <cellStyle name="a_자료03-대안수량조정실행대비표" xfId="2170"/>
    <cellStyle name="a_자료06-토목공사" xfId="2171"/>
    <cellStyle name="a_작업01-조경공사0709" xfId="2172"/>
    <cellStyle name="a_참고02-당초가실행" xfId="2173"/>
    <cellStyle name="A_토목내역서" xfId="2174"/>
    <cellStyle name="A_토목내역서_04028적산수량집계" xfId="2175"/>
    <cellStyle name="A_토목내역서_BOOKCITY(전기)" xfId="2176"/>
    <cellStyle name="A_토목내역서_BOOKCITY(전기)_04028적산수량집계" xfId="2177"/>
    <cellStyle name="A_토목내역서_공설운동진입(가실행)" xfId="2178"/>
    <cellStyle name="A_토목내역서_공설운동진입(가실행)_04028적산수량집계" xfId="2179"/>
    <cellStyle name="A_토목내역서_공설운동진입(가실행)_BOOKCITY(전기)" xfId="2180"/>
    <cellStyle name="A_토목내역서_공설운동진입(가실행)_BOOKCITY(전기)_04028적산수량집계" xfId="2181"/>
    <cellStyle name="A_토목내역서_공설운동진입(가실행)_사본 - 파주 북시티(이채)" xfId="2182"/>
    <cellStyle name="A_토목내역서_공설운동진입(가실행)_사본 - 파주 북시티(이채)_04028적산수량집계" xfId="2183"/>
    <cellStyle name="A_토목내역서_공설운동진입(가실행)_파주 BOOK CITY(통보용)" xfId="2184"/>
    <cellStyle name="A_토목내역서_공설운동진입(가실행)_파주 BOOK CITY(통보용)_04028적산수량집계" xfId="2185"/>
    <cellStyle name="A_토목내역서_공설운동진입(가실행)_파주 BOOK CITY가실행내역" xfId="2186"/>
    <cellStyle name="A_토목내역서_공설운동진입(가실행)_파주 BOOK CITY가실행내역_04028적산수량집계" xfId="2187"/>
    <cellStyle name="A_토목내역서_공설운동진입(가실행)_파주 북시티(이채)제출" xfId="2188"/>
    <cellStyle name="A_토목내역서_공설운동진입(가실행)_파주 북시티(이채)제출_04028적산수량집계" xfId="2189"/>
    <cellStyle name="A_토목내역서_공설운동진입(가실행)_파주 북시티(전체)제출(변경전)" xfId="2190"/>
    <cellStyle name="A_토목내역서_공설운동진입(가실행)_파주 북시티(전체)제출(변경전)_04028적산수량집계" xfId="2191"/>
    <cellStyle name="A_토목내역서_사본 - 파주 북시티(이채)" xfId="2192"/>
    <cellStyle name="A_토목내역서_사본 - 파주 북시티(이채)_04028적산수량집계" xfId="2193"/>
    <cellStyle name="A_토목내역서_파주 BOOK CITY(통보용)" xfId="2194"/>
    <cellStyle name="A_토목내역서_파주 BOOK CITY(통보용)_04028적산수량집계" xfId="2195"/>
    <cellStyle name="A_토목내역서_파주 BOOK CITY가실행내역" xfId="2196"/>
    <cellStyle name="A_토목내역서_파주 BOOK CITY가실행내역_04028적산수량집계" xfId="2197"/>
    <cellStyle name="A_토목내역서_파주 북시티(이채)제출" xfId="2198"/>
    <cellStyle name="A_토목내역서_파주 북시티(이채)제출_04028적산수량집계" xfId="2199"/>
    <cellStyle name="A_토목내역서_파주 북시티(전체)제출(변경전)" xfId="2200"/>
    <cellStyle name="A_토목내역서_파주 북시티(전체)제출(변경전)_04028적산수량집계" xfId="2201"/>
    <cellStyle name="A_파주 BOOK CITY(통보용)" xfId="2202"/>
    <cellStyle name="A_파주 BOOK CITY(통보용)_04028적산수량집계" xfId="2203"/>
    <cellStyle name="A_파주 BOOK CITY가실행내역" xfId="2204"/>
    <cellStyle name="A_파주 BOOK CITY가실행내역_04028적산수량집계" xfId="2205"/>
    <cellStyle name="A_파주 북시티(이채)제출" xfId="2206"/>
    <cellStyle name="A_파주 북시티(이채)제출_04028적산수량집계" xfId="2207"/>
    <cellStyle name="A_파주 북시티(전체)제출(변경전)" xfId="2208"/>
    <cellStyle name="A_파주 북시티(전체)제출(변경전)_04028적산수량집계" xfId="2209"/>
    <cellStyle name="a_파주1차가실행(통합)-대안1-현장분" xfId="2210"/>
    <cellStyle name="A¨­￠￢￠O [0]_¨uc¨oA " xfId="2211"/>
    <cellStyle name="A¨­¢¬¢Ò [0]_INQUIRY ¢¯¥ì¨ú¡ÀA©¬A©ª " xfId="2212"/>
    <cellStyle name="A¨­￠￢￠O_¨uc¨oA " xfId="2213"/>
    <cellStyle name="A¨­¢¬¢Ò_INQUIRY ¢¯¥ì¨ú¡ÀA©¬A©ª " xfId="2214"/>
    <cellStyle name="Aⓒ­" xfId="2215"/>
    <cellStyle name="Ae" xfId="2216"/>
    <cellStyle name="Åë" xfId="2217"/>
    <cellStyle name="Aee­ " xfId="2218"/>
    <cellStyle name="Åëè­ [" xfId="2219"/>
    <cellStyle name="AeE­ [0]_ 2ÆAAþº° " xfId="2220"/>
    <cellStyle name="ÅëÈ­ [0]_´ëºñÇ¥" xfId="2221"/>
    <cellStyle name="AeE­ [0]_¿­¸° INT" xfId="2222"/>
    <cellStyle name="ÅëÈ­ [0]_±âÅ¸" xfId="2223"/>
    <cellStyle name="AeE­ [0]_°ø A¤ C￥  BAR (sample) " xfId="2224"/>
    <cellStyle name="ÅëÈ­ [0]_¼öÀÍ¼º " xfId="2225"/>
    <cellStyle name="AeE­ [0]_1C￥Ao" xfId="2226"/>
    <cellStyle name="ÅëÈ­ [0]_2000¼ÕÈ® " xfId="2227"/>
    <cellStyle name="AeE­ [0]_95³aAN°y¼o·R " xfId="2228"/>
    <cellStyle name="ÅëÈ­ [0]_Á¤»ê¼­°©Áö" xfId="2229"/>
    <cellStyle name="AeE­ [0]_INQUIRY ¿μ¾÷AßAø " xfId="2230"/>
    <cellStyle name="ÅëÈ­ [0]_kc-elec system check list" xfId="2231"/>
    <cellStyle name="AeE­ [0]_º≫¼± ±æ¾i±uºI ¼o·R Ay°eC￥ " xfId="2232"/>
    <cellStyle name="ÅëÈ­ [0]_RESULTS" xfId="2233"/>
    <cellStyle name="AeE­ [0]_μμ±Þ°ø≫cºn " xfId="2234"/>
    <cellStyle name="Aee­ _04028적산수량집계" xfId="2235"/>
    <cellStyle name="AeE­_ 2ÆAAþº° " xfId="2236"/>
    <cellStyle name="ÅëÈ­_´ëºñÇ¥" xfId="2237"/>
    <cellStyle name="AeE­_¿­¸° INT" xfId="2238"/>
    <cellStyle name="ÅëÈ­_±âÅ¸" xfId="2239"/>
    <cellStyle name="AeE­_°ø A¤ C￥  BAR (sample) " xfId="2240"/>
    <cellStyle name="ÅëÈ­_¼öÀÍ¼º " xfId="2241"/>
    <cellStyle name="AeE­_95³aAN°y¼o·R " xfId="2242"/>
    <cellStyle name="ÅëÈ­_Á¤»ê¼­°©Áö" xfId="2243"/>
    <cellStyle name="AeE­_INQUIRY ¿μ¾÷AßAø " xfId="2244"/>
    <cellStyle name="ÅëÈ­_kc-elec system check list" xfId="2245"/>
    <cellStyle name="AeE­_º≫¼± ±æ¾i±uºI ¼o·R Ay°eC￥ " xfId="2246"/>
    <cellStyle name="ÅëÈ­_RESULTS" xfId="2247"/>
    <cellStyle name="Aee¡" xfId="2248"/>
    <cellStyle name="AeE¡© [0]_INQUIRY ¢¯¥ì¨ú¡ÀA©¬A©ª " xfId="2249"/>
    <cellStyle name="AeE¡©_INQUIRY ¢¯¥ì¨ú¡ÀA©¬A©ª " xfId="2250"/>
    <cellStyle name="AeE¡ⓒ [0]_¨uc¨oA " xfId="2251"/>
    <cellStyle name="AeE¡ⓒ_¨uc¨oA " xfId="2252"/>
    <cellStyle name="ALIGNMENT" xfId="2253"/>
    <cellStyle name="args.style" xfId="2254"/>
    <cellStyle name="Äþ" xfId="2255"/>
    <cellStyle name="Aþ¸" xfId="2256"/>
    <cellStyle name="Äþ¸¶ [" xfId="2257"/>
    <cellStyle name="AÞ¸¶ [0]_ 2ÆAAþº° " xfId="2258"/>
    <cellStyle name="ÄÞ¸¶ [0]_´ëºñÇ¥" xfId="2259"/>
    <cellStyle name="AÞ¸¶ [0]_¿­¸° INT" xfId="2260"/>
    <cellStyle name="ÄÞ¸¶ [0]_±âÅ¸" xfId="2261"/>
    <cellStyle name="AÞ¸¶ [0]_°¡³ª´U " xfId="2262"/>
    <cellStyle name="ÄÞ¸¶ [0]_°ø¹®¾ç½Ä" xfId="2263"/>
    <cellStyle name="AÞ¸¶ [0]_¼oAI¼º " xfId="2264"/>
    <cellStyle name="ÄÞ¸¶ [0]_¼öÀÍ¼º " xfId="2265"/>
    <cellStyle name="AÞ¸¶ [0]_1" xfId="2266"/>
    <cellStyle name="ÄÞ¸¶ [0]_2000¼ÕÈ® " xfId="2267"/>
    <cellStyle name="AÞ¸¶ [0]_95³aAN°y¼o·R " xfId="2268"/>
    <cellStyle name="ÄÞ¸¶ [0]_Á¤»ê¼­°©Áö" xfId="2269"/>
    <cellStyle name="AÞ¸¶ [0]_INQUIRY ¿μ¾÷AßAø " xfId="2270"/>
    <cellStyle name="ÄÞ¸¶ [0]_º¯°æ¹®Ã³_Àç¹«È°µ¿ " xfId="2271"/>
    <cellStyle name="AÞ¸¶ [0]_º≫¼± ±æ¾i±uºI ¼o·R Ay°eC￥ " xfId="2272"/>
    <cellStyle name="ÄÞ¸¶ [0]_Sheet1" xfId="2273"/>
    <cellStyle name="AÞ¸¶_ 2ÆAAþº° " xfId="2274"/>
    <cellStyle name="ÄÞ¸¶_´ëºñÇ¥" xfId="2275"/>
    <cellStyle name="AÞ¸¶_¿­¸° INT" xfId="2276"/>
    <cellStyle name="ÄÞ¸¶_±âÅ¸" xfId="2277"/>
    <cellStyle name="AÞ¸¶_°ø A¤ C￥  BAR (sample) " xfId="2278"/>
    <cellStyle name="ÄÞ¸¶_¼öÀÍ¼º " xfId="2279"/>
    <cellStyle name="AÞ¸¶_1" xfId="2280"/>
    <cellStyle name="ÄÞ¸¶_2000¼ÕÈ® " xfId="2281"/>
    <cellStyle name="AÞ¸¶_95³aAN°y¼o·R " xfId="2282"/>
    <cellStyle name="ÄÞ¸¶_Á¤»ê¼­°©Áö" xfId="2283"/>
    <cellStyle name="AÞ¸¶_INQUIRY ¿μ¾÷AßAø " xfId="2284"/>
    <cellStyle name="ÄÞ¸¶_º¯°æ¹®Ã³_Àç¹«È°µ¿ " xfId="2285"/>
    <cellStyle name="AÞ¸¶_º≫¼± ±æ¾i±uºI ¼o·R Ay°eC￥ " xfId="2286"/>
    <cellStyle name="ÄÞ¸¶_Sheet1" xfId="2287"/>
    <cellStyle name="_x0001_b" xfId="2288"/>
    <cellStyle name="blank" xfId="2289"/>
    <cellStyle name="blank - Style1" xfId="2290"/>
    <cellStyle name="Body" xfId="2291"/>
    <cellStyle name="C" xfId="2292"/>
    <cellStyle name="C_04028적산수량집계" xfId="2293"/>
    <cellStyle name="C_BOOKCITY(전기)" xfId="2294"/>
    <cellStyle name="C_BOOKCITY(전기)_04028적산수량집계" xfId="2295"/>
    <cellStyle name="C_공설운동진입(가실행)" xfId="2296"/>
    <cellStyle name="C_공설운동진입(가실행)_04028적산수량집계" xfId="2297"/>
    <cellStyle name="C_공설운동진입(가실행)_BOOKCITY(전기)" xfId="2298"/>
    <cellStyle name="C_공설운동진입(가실행)_BOOKCITY(전기)_04028적산수량집계" xfId="2299"/>
    <cellStyle name="C_공설운동진입(가실행)_사본 - 파주 북시티(이채)" xfId="2300"/>
    <cellStyle name="C_공설운동진입(가실행)_사본 - 파주 북시티(이채)_04028적산수량집계" xfId="2301"/>
    <cellStyle name="C_공설운동진입(가실행)_파주 BOOK CITY(통보용)" xfId="2302"/>
    <cellStyle name="C_공설운동진입(가실행)_파주 BOOK CITY(통보용)_04028적산수량집계" xfId="2303"/>
    <cellStyle name="C_공설운동진입(가실행)_파주 BOOK CITY가실행내역" xfId="2304"/>
    <cellStyle name="C_공설운동진입(가실행)_파주 BOOK CITY가실행내역_04028적산수량집계" xfId="2305"/>
    <cellStyle name="C_공설운동진입(가실행)_파주 북시티(이채)제출" xfId="2306"/>
    <cellStyle name="C_공설운동진입(가실행)_파주 북시티(이채)제출_04028적산수량집계" xfId="2307"/>
    <cellStyle name="C_공설운동진입(가실행)_파주 북시티(전체)제출(변경전)" xfId="2308"/>
    <cellStyle name="C_공설운동진입(가실행)_파주 북시티(전체)제출(변경전)_04028적산수량집계" xfId="2309"/>
    <cellStyle name="C_사본 - 파주 북시티(이채)" xfId="2310"/>
    <cellStyle name="C_사본 - 파주 북시티(이채)_04028적산수량집계" xfId="2311"/>
    <cellStyle name="C_토목내역서" xfId="2312"/>
    <cellStyle name="C_토목내역서_04028적산수량집계" xfId="2313"/>
    <cellStyle name="C_토목내역서_BOOKCITY(전기)" xfId="2314"/>
    <cellStyle name="C_토목내역서_BOOKCITY(전기)_04028적산수량집계" xfId="2315"/>
    <cellStyle name="C_토목내역서_공설운동진입(가실행)" xfId="2316"/>
    <cellStyle name="C_토목내역서_공설운동진입(가실행)_04028적산수량집계" xfId="2317"/>
    <cellStyle name="C_토목내역서_공설운동진입(가실행)_BOOKCITY(전기)" xfId="2318"/>
    <cellStyle name="C_토목내역서_공설운동진입(가실행)_BOOKCITY(전기)_04028적산수량집계" xfId="2319"/>
    <cellStyle name="C_토목내역서_공설운동진입(가실행)_사본 - 파주 북시티(이채)" xfId="2320"/>
    <cellStyle name="C_토목내역서_공설운동진입(가실행)_사본 - 파주 북시티(이채)_04028적산수량집계" xfId="2321"/>
    <cellStyle name="C_토목내역서_공설운동진입(가실행)_파주 BOOK CITY(통보용)" xfId="2322"/>
    <cellStyle name="C_토목내역서_공설운동진입(가실행)_파주 BOOK CITY(통보용)_04028적산수량집계" xfId="2323"/>
    <cellStyle name="C_토목내역서_공설운동진입(가실행)_파주 BOOK CITY가실행내역" xfId="2324"/>
    <cellStyle name="C_토목내역서_공설운동진입(가실행)_파주 BOOK CITY가실행내역_04028적산수량집계" xfId="2325"/>
    <cellStyle name="C_토목내역서_공설운동진입(가실행)_파주 북시티(이채)제출" xfId="2326"/>
    <cellStyle name="C_토목내역서_공설운동진입(가실행)_파주 북시티(이채)제출_04028적산수량집계" xfId="2327"/>
    <cellStyle name="C_토목내역서_공설운동진입(가실행)_파주 북시티(전체)제출(변경전)" xfId="2328"/>
    <cellStyle name="C_토목내역서_공설운동진입(가실행)_파주 북시티(전체)제출(변경전)_04028적산수량집계" xfId="2329"/>
    <cellStyle name="C_토목내역서_사본 - 파주 북시티(이채)" xfId="2330"/>
    <cellStyle name="C_토목내역서_사본 - 파주 북시티(이채)_04028적산수량집계" xfId="2331"/>
    <cellStyle name="C_토목내역서_파주 BOOK CITY(통보용)" xfId="2332"/>
    <cellStyle name="C_토목내역서_파주 BOOK CITY(통보용)_04028적산수량집계" xfId="2333"/>
    <cellStyle name="C_토목내역서_파주 BOOK CITY가실행내역" xfId="2334"/>
    <cellStyle name="C_토목내역서_파주 BOOK CITY가실행내역_04028적산수량집계" xfId="2335"/>
    <cellStyle name="C_토목내역서_파주 북시티(이채)제출" xfId="2336"/>
    <cellStyle name="C_토목내역서_파주 북시티(이채)제출_04028적산수량집계" xfId="2337"/>
    <cellStyle name="C_토목내역서_파주 북시티(전체)제출(변경전)" xfId="2338"/>
    <cellStyle name="C_토목내역서_파주 북시티(전체)제출(변경전)_04028적산수량집계" xfId="2339"/>
    <cellStyle name="C_파주 BOOK CITY(통보용)" xfId="2340"/>
    <cellStyle name="C_파주 BOOK CITY(통보용)_04028적산수량집계" xfId="2341"/>
    <cellStyle name="C_파주 BOOK CITY가실행내역" xfId="2342"/>
    <cellStyle name="C_파주 BOOK CITY가실행내역_04028적산수량집계" xfId="2343"/>
    <cellStyle name="C_파주 북시티(이채)제출" xfId="2344"/>
    <cellStyle name="C_파주 북시티(이채)제출_04028적산수량집계" xfId="2345"/>
    <cellStyle name="C_파주 북시티(전체)제출(변경전)" xfId="2346"/>
    <cellStyle name="C_파주 북시티(전체)제출(변경전)_04028적산수량집계" xfId="2347"/>
    <cellStyle name="C¡IA¨ª_  FAB AIA￠´  " xfId="2348"/>
    <cellStyle name="C¡ÍA¨ª_¡íc¨ú¡À¨¬I¨¬¡Æ AN¡Æe " xfId="2349"/>
    <cellStyle name="C¡IA¨ª_AO¨uRCN¡¾U " xfId="2350"/>
    <cellStyle name="Ç¥" xfId="2351"/>
    <cellStyle name="C￥AØ_  FAB AIA¤  " xfId="2352"/>
    <cellStyle name="Ç¥ÁØ_(Á¤º¸ºÎ¹®)¿ùº°ÀÎ¿ø°èÈ¹" xfId="2353"/>
    <cellStyle name="C￥AØ_´eAN°yC￥ " xfId="2354"/>
    <cellStyle name="Ç¥ÁØ_´ëºñÇ¥" xfId="2355"/>
    <cellStyle name="C￥AØ_´eºnC￥ (2)_1_ºI´eAa°ø " xfId="2356"/>
    <cellStyle name="Ç¥ÁØ_´ëºñÇ¥ (2)_1_ºÎ´ëÅä°ø " xfId="2357"/>
    <cellStyle name="C￥AØ_´eºnC￥ (2)_ºI´eAa°ø " xfId="2358"/>
    <cellStyle name="Ç¥ÁØ_´ëºñÇ¥ (2)_ºÎ´ëÅä°ø " xfId="2359"/>
    <cellStyle name="C￥AØ_¿­¸° INT" xfId="2360"/>
    <cellStyle name="Ç¥ÁØ_±¸¸Å³³±â" xfId="2361"/>
    <cellStyle name="C￥AØ_≫c¾÷ºIº° AN°e " xfId="2362"/>
    <cellStyle name="Ç¥ÁØ_°¡¼³" xfId="2363"/>
    <cellStyle name="C￥AØ_°ø≫cºn¿¹≫e¼­ " xfId="2364"/>
    <cellStyle name="Ç¥ÁØ_°ø¹®" xfId="2365"/>
    <cellStyle name="C￥AØ_0N-HANDLING " xfId="2366"/>
    <cellStyle name="Ç¥ÁØ_0N-HANDLING " xfId="2367"/>
    <cellStyle name="C￥AØ_¼³°e¿e¿ª" xfId="2368"/>
    <cellStyle name="Ç¥ÁØ_¼öÀÍ¼º " xfId="2369"/>
    <cellStyle name="C￥AØ_¹y¸eº¸E￡ " xfId="2370"/>
    <cellStyle name="Ç¥ÁØ_5-1±¤°í " xfId="2371"/>
    <cellStyle name="C￥AØ_95³aAN°y¼o·R " xfId="2372"/>
    <cellStyle name="Ç¥ÁØ_Áý°èÇ¥(2¿ù) " xfId="2373"/>
    <cellStyle name="C￥AØ_CoAo¹yAI °A¾×¿ⓒ½A " xfId="2374"/>
    <cellStyle name="Ç¥ÁØ_ÇöÈ²_¹®Á¦Á¡ " xfId="2375"/>
    <cellStyle name="C￥AØ_E¸AaAO½A " xfId="2376"/>
    <cellStyle name="Ç¥ÁØ_ÈÞÀÏ±Ù·Î" xfId="2377"/>
    <cellStyle name="C￥AØ_FIRE " xfId="2378"/>
    <cellStyle name="Ç¥ÁØ_HATCO HQ" xfId="2379"/>
    <cellStyle name="C￥AØ_LIGHTNING " xfId="2380"/>
    <cellStyle name="Ç¥ÁØ_º¯°æ(ÃÖÁ¾)" xfId="2381"/>
    <cellStyle name="C￥AØ_PERSONAL" xfId="2382"/>
    <cellStyle name="Ç¥ÁØ_RESULTS" xfId="2383"/>
    <cellStyle name="Calc Currency (0)" xfId="2384"/>
    <cellStyle name="Calc Currency (2)" xfId="2385"/>
    <cellStyle name="Calc Percent (0)" xfId="2386"/>
    <cellStyle name="Calc Percent (1)" xfId="2387"/>
    <cellStyle name="Calc Percent (2)" xfId="2388"/>
    <cellStyle name="Calc Units (0)" xfId="2389"/>
    <cellStyle name="Calc Units (1)" xfId="2390"/>
    <cellStyle name="Calc Units (2)" xfId="2391"/>
    <cellStyle name="category" xfId="2392"/>
    <cellStyle name="ÇÏÀÌÆÛ¸µÅ©" xfId="2393"/>
    <cellStyle name="CIAIÆU¸μAⓒ" xfId="2394"/>
    <cellStyle name="ⓒo" xfId="2395"/>
    <cellStyle name="Comma" xfId="2396"/>
    <cellStyle name="Comma  - Style2" xfId="2397"/>
    <cellStyle name="Comma  - Style3" xfId="2398"/>
    <cellStyle name="Comma  - Style4" xfId="2399"/>
    <cellStyle name="Comma  - Style5" xfId="2400"/>
    <cellStyle name="Comma  - Style6" xfId="2401"/>
    <cellStyle name="Comma  - Style7" xfId="2402"/>
    <cellStyle name="Comma  - Style8" xfId="2403"/>
    <cellStyle name="Comma [0]" xfId="2627"/>
    <cellStyle name="Comma [00]" xfId="2404"/>
    <cellStyle name="comma zerodec" xfId="2405"/>
    <cellStyle name="Comma_ SG&amp;A Bridge" xfId="2406"/>
    <cellStyle name="Comma0" xfId="2407"/>
    <cellStyle name="Copied" xfId="2408"/>
    <cellStyle name="Curren?_x0012_퐀_x0017_?" xfId="2409"/>
    <cellStyle name="Currency" xfId="2410"/>
    <cellStyle name="Currency [0]" xfId="2411"/>
    <cellStyle name="Currency [00]" xfId="2412"/>
    <cellStyle name="Currency_ SG&amp;A Bridge " xfId="2413"/>
    <cellStyle name="Currency0" xfId="2414"/>
    <cellStyle name="Currency1" xfId="2415"/>
    <cellStyle name="Date" xfId="2416"/>
    <cellStyle name="Date Short" xfId="2417"/>
    <cellStyle name="Date_견적양식(가로)" xfId="2418"/>
    <cellStyle name="DELTA" xfId="2419"/>
    <cellStyle name="Dezimal [0]_Compiling Utility Macros" xfId="2420"/>
    <cellStyle name="Dezimal_Compiling Utility Macros" xfId="2421"/>
    <cellStyle name="Dollar (zero dec)" xfId="2422"/>
    <cellStyle name="En-t?e 1" xfId="2423"/>
    <cellStyle name="En-t?e 2" xfId="2424"/>
    <cellStyle name="Enter Currency (0)" xfId="2425"/>
    <cellStyle name="Enter Currency (2)" xfId="2426"/>
    <cellStyle name="Enter Units (0)" xfId="2427"/>
    <cellStyle name="Enter Units (1)" xfId="2428"/>
    <cellStyle name="Enter Units (2)" xfId="2429"/>
    <cellStyle name="Entered" xfId="2430"/>
    <cellStyle name="Euro" xfId="2431"/>
    <cellStyle name="F2" xfId="2432"/>
    <cellStyle name="F3" xfId="2433"/>
    <cellStyle name="F4" xfId="2434"/>
    <cellStyle name="F5" xfId="2435"/>
    <cellStyle name="F6" xfId="2436"/>
    <cellStyle name="F7" xfId="2437"/>
    <cellStyle name="F8" xfId="2438"/>
    <cellStyle name="Financier0" xfId="2439"/>
    <cellStyle name="Fixed" xfId="2440"/>
    <cellStyle name="Followed Hyperlink" xfId="2441"/>
    <cellStyle name="G10" xfId="2442"/>
    <cellStyle name="Grey" xfId="2443"/>
    <cellStyle name="H1" xfId="2444"/>
    <cellStyle name="H2" xfId="2445"/>
    <cellStyle name="HEADER" xfId="2446"/>
    <cellStyle name="Header1" xfId="2447"/>
    <cellStyle name="Header2" xfId="2448"/>
    <cellStyle name="Heading 1" xfId="2449"/>
    <cellStyle name="Heading 2" xfId="2450"/>
    <cellStyle name="Heading1" xfId="2451"/>
    <cellStyle name="Heading2" xfId="2452"/>
    <cellStyle name="HEADINGS" xfId="2453"/>
    <cellStyle name="HEADINGSTOP" xfId="2454"/>
    <cellStyle name="Helv8_PFD4.XLS" xfId="2455"/>
    <cellStyle name="Hyperlink" xfId="2456"/>
    <cellStyle name="Input [yellow]" xfId="2457"/>
    <cellStyle name="L`" xfId="2458"/>
    <cellStyle name="Link Currency (0)" xfId="2459"/>
    <cellStyle name="Link Currency (2)" xfId="2460"/>
    <cellStyle name="Link Units (0)" xfId="2461"/>
    <cellStyle name="Link Units (1)" xfId="2462"/>
    <cellStyle name="Link Units (2)" xfId="2463"/>
    <cellStyle name="Milliers [0]_399GC10" xfId="2464"/>
    <cellStyle name="Milliers_399GC10" xfId="2465"/>
    <cellStyle name="mma_CASH &amp; DSO" xfId="2466"/>
    <cellStyle name="Model" xfId="2467"/>
    <cellStyle name="Mon?aire [0]_399GC10" xfId="2468"/>
    <cellStyle name="Mon?aire_399GC10" xfId="2469"/>
    <cellStyle name="Mon?aire0" xfId="2470"/>
    <cellStyle name="no dec" xfId="2471"/>
    <cellStyle name="Normal - Style1" xfId="2472"/>
    <cellStyle name="Normal - Style2" xfId="2473"/>
    <cellStyle name="Normal - Style3" xfId="2474"/>
    <cellStyle name="Normal - Style4" xfId="2475"/>
    <cellStyle name="Normal - Style5" xfId="2476"/>
    <cellStyle name="Normal - Style6" xfId="2477"/>
    <cellStyle name="Normal - Style7" xfId="2478"/>
    <cellStyle name="Normal - Style8" xfId="2479"/>
    <cellStyle name="Normal - 유형1" xfId="2480"/>
    <cellStyle name="Œ…?æ맖?e [0.00]_guyan" xfId="2481"/>
    <cellStyle name="Œ…?æ맖?e_guyan" xfId="2482"/>
    <cellStyle name="oh" xfId="2483"/>
    <cellStyle name="per.style" xfId="2484"/>
    <cellStyle name="Percent" xfId="2485"/>
    <cellStyle name="Percent (0)" xfId="2486"/>
    <cellStyle name="Percent [0]" xfId="2487"/>
    <cellStyle name="Percent [00]" xfId="2488"/>
    <cellStyle name="Percent [2]" xfId="2489"/>
    <cellStyle name="Percent_#6 Temps &amp; Contractors" xfId="2490"/>
    <cellStyle name="PrePop Currency (0)" xfId="2491"/>
    <cellStyle name="PrePop Currency (2)" xfId="2492"/>
    <cellStyle name="PrePop Units (0)" xfId="2493"/>
    <cellStyle name="PrePop Units (1)" xfId="2494"/>
    <cellStyle name="PrePop Units (2)" xfId="2495"/>
    <cellStyle name="regstoresfromspecstores" xfId="2496"/>
    <cellStyle name="RevList" xfId="2497"/>
    <cellStyle name="RLTJD(S" xfId="2498"/>
    <cellStyle name="s]_x000d__x000a_run=c:\Hedgehog\app31.exe_x000d__x000a_spooler=yes_x000d__x000a_load=_x000d__x000a_run=_x000d__x000a_Beep=yes_x000d__x000a_NullPort=None_x000d__x000a_BorderWidth=3_x000d__x000a_CursorBlinkRate=530_x000d__x000a_D" xfId="2499"/>
    <cellStyle name="SAPBEXaggData" xfId="2500"/>
    <cellStyle name="SAPBEXstdData" xfId="2501"/>
    <cellStyle name="sh" xfId="2502"/>
    <cellStyle name="SHADEDSTORES" xfId="2503"/>
    <cellStyle name="specstores" xfId="2504"/>
    <cellStyle name="ssh" xfId="2505"/>
    <cellStyle name="STANDARD" xfId="2506"/>
    <cellStyle name="subhead" xfId="2507"/>
    <cellStyle name="Subtotal" xfId="2508"/>
    <cellStyle name="Text Indent A" xfId="2509"/>
    <cellStyle name="Text Indent B" xfId="2510"/>
    <cellStyle name="Text Indent C" xfId="2511"/>
    <cellStyle name="Title" xfId="2512"/>
    <cellStyle name="title [1]" xfId="2513"/>
    <cellStyle name="title [2]" xfId="2514"/>
    <cellStyle name="Title_견적양식(가로)" xfId="2515"/>
    <cellStyle name="Total" xfId="2516"/>
    <cellStyle name="UM" xfId="2517"/>
    <cellStyle name="Virgule fixe" xfId="2518"/>
    <cellStyle name="W?rung [0]_Compiling Utility Macros" xfId="2519"/>
    <cellStyle name="W?rung_Compiling Utility Macros" xfId="2520"/>
    <cellStyle name="_x0008_z" xfId="2521"/>
    <cellStyle name="μU¿¡ ¿A´A CIAIÆU¸μAⓒ" xfId="2522"/>
    <cellStyle name="|?ドE" xfId="2523"/>
    <cellStyle name="견적" xfId="2524"/>
    <cellStyle name="고정소숫점" xfId="2525"/>
    <cellStyle name="고정출력1" xfId="2526"/>
    <cellStyle name="고정출력2" xfId="2527"/>
    <cellStyle name="공사원가계산서(조경)" xfId="2528"/>
    <cellStyle name="기계" xfId="2529"/>
    <cellStyle name="기본숫자" xfId="2530"/>
    <cellStyle name="기성(내용)" xfId="2531"/>
    <cellStyle name="기성(내용2)" xfId="2532"/>
    <cellStyle name="끼_x0001_?" xfId="2533"/>
    <cellStyle name="날짜" xfId="2534"/>
    <cellStyle name="내역서" xfId="2535"/>
    <cellStyle name="단가" xfId="2536"/>
    <cellStyle name="달러" xfId="2537"/>
    <cellStyle name="돋움채" xfId="2538"/>
    <cellStyle name="뒤에 오는 하이퍼링크" xfId="2539"/>
    <cellStyle name="똿떓죶Ø괻 [0.00]_NT Server " xfId="2540"/>
    <cellStyle name="똿떓죶Ø괻_NT Server " xfId="2541"/>
    <cellStyle name="똿뗦먛귟 [0.00]_laroux" xfId="2542"/>
    <cellStyle name="똿뗦먛귟_laroux" xfId="2543"/>
    <cellStyle name="마이너스키" xfId="2544"/>
    <cellStyle name="묮뎋 [0.00]_NT Server " xfId="2545"/>
    <cellStyle name="묮뎋_NT Server " xfId="2546"/>
    <cellStyle name="물량집계(갑)" xfId="2547"/>
    <cellStyle name="믅됞 [0.00]_laroux" xfId="2548"/>
    <cellStyle name="믅됞_laroux" xfId="2549"/>
    <cellStyle name="배분" xfId="2550"/>
    <cellStyle name="백" xfId="2551"/>
    <cellStyle name="백_04028적산수량집계" xfId="2552"/>
    <cellStyle name="백_BOOKCITY(전기)" xfId="2553"/>
    <cellStyle name="백_BOOKCITY(전기)_04028적산수량집계" xfId="2554"/>
    <cellStyle name="백_TRU내역서" xfId="2555"/>
    <cellStyle name="백_견적양식(가로)" xfId="2556"/>
    <cellStyle name="백_공설운동진입(가실행)" xfId="2557"/>
    <cellStyle name="백_공설운동진입(가실행)_04028적산수량집계" xfId="2558"/>
    <cellStyle name="백_공설운동진입(가실행)_BOOKCITY(전기)" xfId="2559"/>
    <cellStyle name="백_공설운동진입(가실행)_BOOKCITY(전기)_04028적산수량집계" xfId="2560"/>
    <cellStyle name="백_공설운동진입(가실행)_사본 - 파주 북시티(이채)" xfId="2561"/>
    <cellStyle name="백_공설운동진입(가실행)_사본 - 파주 북시티(이채)_04028적산수량집계" xfId="2562"/>
    <cellStyle name="백_공설운동진입(가실행)_파주 BOOK CITY(통보용)" xfId="2563"/>
    <cellStyle name="백_공설운동진입(가실행)_파주 BOOK CITY(통보용)_04028적산수량집계" xfId="2564"/>
    <cellStyle name="백_공설운동진입(가실행)_파주 BOOK CITY가실행내역" xfId="2565"/>
    <cellStyle name="백_공설운동진입(가실행)_파주 BOOK CITY가실행내역_04028적산수량집계" xfId="2566"/>
    <cellStyle name="백_공설운동진입(가실행)_파주 북시티(이채)제출" xfId="2567"/>
    <cellStyle name="백_공설운동진입(가실행)_파주 북시티(이채)제출_04028적산수량집계" xfId="2568"/>
    <cellStyle name="백_공설운동진입(가실행)_파주 북시티(전체)제출(변경전)" xfId="2569"/>
    <cellStyle name="백_공설운동진입(가실행)_파주 북시티(전체)제출(변경전)_04028적산수량집계" xfId="2570"/>
    <cellStyle name="백_사본 - 파주 북시티(이채)" xfId="2571"/>
    <cellStyle name="백_사본 - 파주 북시티(이채)_04028적산수량집계" xfId="2572"/>
    <cellStyle name="백_정산내역(0515)-검토" xfId="2573"/>
    <cellStyle name="백_토목내역서" xfId="2574"/>
    <cellStyle name="백_토목내역서_04028적산수량집계" xfId="2575"/>
    <cellStyle name="백_토목내역서_BOOKCITY(전기)" xfId="2576"/>
    <cellStyle name="백_토목내역서_BOOKCITY(전기)_04028적산수량집계" xfId="2577"/>
    <cellStyle name="백_토목내역서_공설운동진입(가실행)" xfId="2578"/>
    <cellStyle name="백_토목내역서_공설운동진입(가실행)_04028적산수량집계" xfId="2579"/>
    <cellStyle name="백_토목내역서_공설운동진입(가실행)_BOOKCITY(전기)" xfId="2580"/>
    <cellStyle name="백_토목내역서_공설운동진입(가실행)_BOOKCITY(전기)_04028적산수량집계" xfId="2581"/>
    <cellStyle name="백_토목내역서_공설운동진입(가실행)_사본 - 파주 북시티(이채)" xfId="2582"/>
    <cellStyle name="백_토목내역서_공설운동진입(가실행)_사본 - 파주 북시티(이채)_04028적산수량집계" xfId="2583"/>
    <cellStyle name="백_토목내역서_공설운동진입(가실행)_파주 BOOK CITY(통보용)" xfId="2584"/>
    <cellStyle name="백_토목내역서_공설운동진입(가실행)_파주 BOOK CITY(통보용)_04028적산수량집계" xfId="2585"/>
    <cellStyle name="백_토목내역서_공설운동진입(가실행)_파주 BOOK CITY가실행내역" xfId="2586"/>
    <cellStyle name="백_토목내역서_공설운동진입(가실행)_파주 BOOK CITY가실행내역_04028적산수량집계" xfId="2587"/>
    <cellStyle name="백_토목내역서_공설운동진입(가실행)_파주 북시티(이채)제출" xfId="2588"/>
    <cellStyle name="백_토목내역서_공설운동진입(가실행)_파주 북시티(이채)제출_04028적산수량집계" xfId="2589"/>
    <cellStyle name="백_토목내역서_공설운동진입(가실행)_파주 북시티(전체)제출(변경전)" xfId="2590"/>
    <cellStyle name="백_토목내역서_공설운동진입(가실행)_파주 북시티(전체)제출(변경전)_04028적산수량집계" xfId="2591"/>
    <cellStyle name="백_토목내역서_사본 - 파주 북시티(이채)" xfId="2592"/>
    <cellStyle name="백_토목내역서_사본 - 파주 북시티(이채)_04028적산수량집계" xfId="2593"/>
    <cellStyle name="백_토목내역서_파주 BOOK CITY(통보용)" xfId="2594"/>
    <cellStyle name="백_토목내역서_파주 BOOK CITY(통보용)_04028적산수량집계" xfId="2595"/>
    <cellStyle name="백_토목내역서_파주 BOOK CITY가실행내역" xfId="2596"/>
    <cellStyle name="백_토목내역서_파주 BOOK CITY가실행내역_04028적산수량집계" xfId="2597"/>
    <cellStyle name="백_토목내역서_파주 북시티(이채)제출" xfId="2598"/>
    <cellStyle name="백_토목내역서_파주 북시티(이채)제출_04028적산수량집계" xfId="2599"/>
    <cellStyle name="백_토목내역서_파주 북시티(전체)제출(변경전)" xfId="2600"/>
    <cellStyle name="백_토목내역서_파주 북시티(전체)제출(변경전)_04028적산수량집계" xfId="2601"/>
    <cellStyle name="백_파주 BOOK CITY(통보용)" xfId="2602"/>
    <cellStyle name="백_파주 BOOK CITY(통보용)_04028적산수량집계" xfId="2603"/>
    <cellStyle name="백_파주 BOOK CITY가실행내역" xfId="2604"/>
    <cellStyle name="백_파주 BOOK CITY가실행내역_04028적산수량집계" xfId="2605"/>
    <cellStyle name="백_파주 북시티(이채)제출" xfId="2606"/>
    <cellStyle name="백_파주 북시티(이채)제출_04028적산수량집계" xfId="2607"/>
    <cellStyle name="백_파주 북시티(전체)제출(변경전)" xfId="2608"/>
    <cellStyle name="백_파주 북시티(전체)제출(변경전)_04028적산수량집계" xfId="2609"/>
    <cellStyle name="백분율 [△1]" xfId="2610"/>
    <cellStyle name="백분율 [△2]" xfId="2611"/>
    <cellStyle name="백분율 [0]" xfId="2612"/>
    <cellStyle name="백분율 [2]" xfId="2613"/>
    <cellStyle name="백분율 2" xfId="2614"/>
    <cellStyle name="백분율［△1］" xfId="2615"/>
    <cellStyle name="백분율［△2］" xfId="2616"/>
    <cellStyle name="분수" xfId="2617"/>
    <cellStyle name="뷭?" xfId="2618"/>
    <cellStyle name="빨간색" xfId="2619"/>
    <cellStyle name="常规_PhaseⅡ Detail" xfId="2620"/>
    <cellStyle name="선택영역의 가운데로" xfId="2621"/>
    <cellStyle name="설계서" xfId="2622"/>
    <cellStyle name="수량" xfId="2623"/>
    <cellStyle name="수량1" xfId="2624"/>
    <cellStyle name="수목명" xfId="2625"/>
    <cellStyle name="숫자(R)" xfId="2626"/>
    <cellStyle name="쉼표 [0]" xfId="2908" builtinId="6"/>
    <cellStyle name="쉼표 [0] 2" xfId="2628"/>
    <cellStyle name="쉼표 [0] 2 2" xfId="2629"/>
    <cellStyle name="쉼표 [0] 2 2 2" xfId="2903"/>
    <cellStyle name="쉼표 [0] 2 2 2 2" xfId="2904"/>
    <cellStyle name="쉼표 [0] 3" xfId="2630"/>
    <cellStyle name="쉼표 [0] 3 2" xfId="2906"/>
    <cellStyle name="쉼표 [0] 4" xfId="2631"/>
    <cellStyle name="쉼표 [0] 5" xfId="2910"/>
    <cellStyle name="스타일 1" xfId="2632"/>
    <cellStyle name="스타일 10" xfId="2633"/>
    <cellStyle name="스타일 11" xfId="2634"/>
    <cellStyle name="스타일 12" xfId="2635"/>
    <cellStyle name="스타일 13" xfId="2636"/>
    <cellStyle name="스타일 14" xfId="2637"/>
    <cellStyle name="스타일 15" xfId="2638"/>
    <cellStyle name="스타일 16" xfId="2639"/>
    <cellStyle name="스타일 17" xfId="2640"/>
    <cellStyle name="스타일 18" xfId="2641"/>
    <cellStyle name="스타일 19" xfId="2642"/>
    <cellStyle name="스타일 2" xfId="2643"/>
    <cellStyle name="스타일 20" xfId="2644"/>
    <cellStyle name="스타일 21" xfId="2645"/>
    <cellStyle name="스타일 22" xfId="2646"/>
    <cellStyle name="스타일 23" xfId="2647"/>
    <cellStyle name="스타일 24" xfId="2648"/>
    <cellStyle name="스타일 25" xfId="2649"/>
    <cellStyle name="스타일 26" xfId="2650"/>
    <cellStyle name="스타일 27" xfId="2651"/>
    <cellStyle name="스타일 28" xfId="2652"/>
    <cellStyle name="스타일 29" xfId="2653"/>
    <cellStyle name="스타일 3" xfId="2654"/>
    <cellStyle name="스타일 30" xfId="2655"/>
    <cellStyle name="스타일 31" xfId="2656"/>
    <cellStyle name="스타일 32" xfId="2657"/>
    <cellStyle name="스타일 33" xfId="2658"/>
    <cellStyle name="스타일 34" xfId="2659"/>
    <cellStyle name="스타일 35" xfId="2660"/>
    <cellStyle name="스타일 36" xfId="2661"/>
    <cellStyle name="스타일 37" xfId="2662"/>
    <cellStyle name="스타일 38" xfId="2663"/>
    <cellStyle name="스타일 39" xfId="2664"/>
    <cellStyle name="스타일 4" xfId="2665"/>
    <cellStyle name="스타일 40" xfId="2666"/>
    <cellStyle name="스타일 41" xfId="2667"/>
    <cellStyle name="스타일 42" xfId="2668"/>
    <cellStyle name="스타일 43" xfId="2669"/>
    <cellStyle name="스타일 44" xfId="2670"/>
    <cellStyle name="스타일 45" xfId="2671"/>
    <cellStyle name="스타일 5" xfId="2672"/>
    <cellStyle name="스타일 6" xfId="2673"/>
    <cellStyle name="스타일 7" xfId="2674"/>
    <cellStyle name="스타일 8" xfId="2675"/>
    <cellStyle name="스타일 9" xfId="2676"/>
    <cellStyle name="안건회계법인" xfId="2677"/>
    <cellStyle name="열어본 하이퍼링크" xfId="2678"/>
    <cellStyle name="옛체" xfId="2679"/>
    <cellStyle name="왼쪽2" xfId="2680"/>
    <cellStyle name="원" xfId="2681"/>
    <cellStyle name="원_02대여금" xfId="2682"/>
    <cellStyle name="원_02투자" xfId="2683"/>
    <cellStyle name="원_02투자및대여금종합" xfId="2684"/>
    <cellStyle name="원_NCF6BB2F" xfId="2685"/>
    <cellStyle name="원_남양주무궁화공정표(03.08.22)" xfId="2686"/>
    <cellStyle name="원_환경1팀수주최종본" xfId="2687"/>
    <cellStyle name="일위대가" xfId="2688"/>
    <cellStyle name="자리수" xfId="2689"/>
    <cellStyle name="자리수 - 유형1" xfId="2690"/>
    <cellStyle name="자리수_견적양식(가로)" xfId="2691"/>
    <cellStyle name="자리수0" xfId="2692"/>
    <cellStyle name="제목 1(左)" xfId="2693"/>
    <cellStyle name="제목 1(中)" xfId="2694"/>
    <cellStyle name="제목[1 줄]" xfId="2695"/>
    <cellStyle name="제목[2줄 아래]" xfId="2696"/>
    <cellStyle name="제목[2줄 위]" xfId="2697"/>
    <cellStyle name="제목1" xfId="2698"/>
    <cellStyle name="지정되지 않음" xfId="2699"/>
    <cellStyle name="콤" xfId="2700"/>
    <cellStyle name="콤_04028적산수량집계" xfId="2701"/>
    <cellStyle name="콤_BOOKCITY(전기)" xfId="2702"/>
    <cellStyle name="콤_BOOKCITY(전기)_04028적산수량집계" xfId="2703"/>
    <cellStyle name="콤_공설운동진입(가실행)" xfId="2704"/>
    <cellStyle name="콤_공설운동진입(가실행)_04028적산수량집계" xfId="2705"/>
    <cellStyle name="콤_공설운동진입(가실행)_BOOKCITY(전기)" xfId="2706"/>
    <cellStyle name="콤_공설운동진입(가실행)_BOOKCITY(전기)_04028적산수량집계" xfId="2707"/>
    <cellStyle name="콤_공설운동진입(가실행)_사본 - 파주 북시티(이채)" xfId="2708"/>
    <cellStyle name="콤_공설운동진입(가실행)_사본 - 파주 북시티(이채)_04028적산수량집계" xfId="2709"/>
    <cellStyle name="콤_공설운동진입(가실행)_파주 BOOK CITY(통보용)" xfId="2710"/>
    <cellStyle name="콤_공설운동진입(가실행)_파주 BOOK CITY(통보용)_04028적산수량집계" xfId="2711"/>
    <cellStyle name="콤_공설운동진입(가실행)_파주 BOOK CITY가실행내역" xfId="2712"/>
    <cellStyle name="콤_공설운동진입(가실행)_파주 BOOK CITY가실행내역_04028적산수량집계" xfId="2713"/>
    <cellStyle name="콤_공설운동진입(가실행)_파주 북시티(이채)제출" xfId="2714"/>
    <cellStyle name="콤_공설운동진입(가실행)_파주 북시티(이채)제출_04028적산수량집계" xfId="2715"/>
    <cellStyle name="콤_공설운동진입(가실행)_파주 북시티(전체)제출(변경전)" xfId="2716"/>
    <cellStyle name="콤_공설운동진입(가실행)_파주 북시티(전체)제출(변경전)_04028적산수량집계" xfId="2717"/>
    <cellStyle name="콤_사본 - 파주 북시티(이채)" xfId="2718"/>
    <cellStyle name="콤_사본 - 파주 북시티(이채)_04028적산수량집계" xfId="2719"/>
    <cellStyle name="콤_토목내역서" xfId="2720"/>
    <cellStyle name="콤_토목내역서_04028적산수량집계" xfId="2721"/>
    <cellStyle name="콤_토목내역서_BOOKCITY(전기)" xfId="2722"/>
    <cellStyle name="콤_토목내역서_BOOKCITY(전기)_04028적산수량집계" xfId="2723"/>
    <cellStyle name="콤_토목내역서_공설운동진입(가실행)" xfId="2724"/>
    <cellStyle name="콤_토목내역서_공설운동진입(가실행)_04028적산수량집계" xfId="2725"/>
    <cellStyle name="콤_토목내역서_공설운동진입(가실행)_BOOKCITY(전기)" xfId="2726"/>
    <cellStyle name="콤_토목내역서_공설운동진입(가실행)_BOOKCITY(전기)_04028적산수량집계" xfId="2727"/>
    <cellStyle name="콤_토목내역서_공설운동진입(가실행)_사본 - 파주 북시티(이채)" xfId="2728"/>
    <cellStyle name="콤_토목내역서_공설운동진입(가실행)_사본 - 파주 북시티(이채)_04028적산수량집계" xfId="2729"/>
    <cellStyle name="콤_토목내역서_공설운동진입(가실행)_파주 BOOK CITY(통보용)" xfId="2730"/>
    <cellStyle name="콤_토목내역서_공설운동진입(가실행)_파주 BOOK CITY(통보용)_04028적산수량집계" xfId="2731"/>
    <cellStyle name="콤_토목내역서_공설운동진입(가실행)_파주 BOOK CITY가실행내역" xfId="2732"/>
    <cellStyle name="콤_토목내역서_공설운동진입(가실행)_파주 BOOK CITY가실행내역_04028적산수량집계" xfId="2733"/>
    <cellStyle name="콤_토목내역서_공설운동진입(가실행)_파주 북시티(이채)제출" xfId="2734"/>
    <cellStyle name="콤_토목내역서_공설운동진입(가실행)_파주 북시티(이채)제출_04028적산수량집계" xfId="2735"/>
    <cellStyle name="콤_토목내역서_공설운동진입(가실행)_파주 북시티(전체)제출(변경전)" xfId="2736"/>
    <cellStyle name="콤_토목내역서_공설운동진입(가실행)_파주 북시티(전체)제출(변경전)_04028적산수량집계" xfId="2737"/>
    <cellStyle name="콤_토목내역서_사본 - 파주 북시티(이채)" xfId="2738"/>
    <cellStyle name="콤_토목내역서_사본 - 파주 북시티(이채)_04028적산수량집계" xfId="2739"/>
    <cellStyle name="콤_토목내역서_파주 BOOK CITY(통보용)" xfId="2740"/>
    <cellStyle name="콤_토목내역서_파주 BOOK CITY(통보용)_04028적산수량집계" xfId="2741"/>
    <cellStyle name="콤_토목내역서_파주 BOOK CITY가실행내역" xfId="2742"/>
    <cellStyle name="콤_토목내역서_파주 BOOK CITY가실행내역_04028적산수량집계" xfId="2743"/>
    <cellStyle name="콤_토목내역서_파주 북시티(이채)제출" xfId="2744"/>
    <cellStyle name="콤_토목내역서_파주 북시티(이채)제출_04028적산수량집계" xfId="2745"/>
    <cellStyle name="콤_토목내역서_파주 북시티(전체)제출(변경전)" xfId="2746"/>
    <cellStyle name="콤_토목내역서_파주 북시티(전체)제출(변경전)_04028적산수량집계" xfId="2747"/>
    <cellStyle name="콤_파주 BOOK CITY(통보용)" xfId="2748"/>
    <cellStyle name="콤_파주 BOOK CITY(통보용)_04028적산수량집계" xfId="2749"/>
    <cellStyle name="콤_파주 BOOK CITY가실행내역" xfId="2750"/>
    <cellStyle name="콤_파주 BOOK CITY가실행내역_04028적산수량집계" xfId="2751"/>
    <cellStyle name="콤_파주 북시티(이채)제출" xfId="2752"/>
    <cellStyle name="콤_파주 북시티(이채)제출_04028적산수량집계" xfId="2753"/>
    <cellStyle name="콤_파주 북시티(전체)제출(변경전)" xfId="2754"/>
    <cellStyle name="콤_파주 북시티(전체)제출(변경전)_04028적산수량집계" xfId="2755"/>
    <cellStyle name="콤냡?&lt;_x000f_$??: `1_1 " xfId="2756"/>
    <cellStyle name="콤마" xfId="2757"/>
    <cellStyle name="콤마 [" xfId="2758"/>
    <cellStyle name="콤마 [#]" xfId="2759"/>
    <cellStyle name="콤마 []" xfId="2760"/>
    <cellStyle name="콤마 [0]" xfId="2761"/>
    <cellStyle name="콤마 [2]" xfId="2762"/>
    <cellStyle name="콤마 [금액]" xfId="2763"/>
    <cellStyle name="콤마 [소수]" xfId="2764"/>
    <cellStyle name="콤마 [수량]" xfId="2765"/>
    <cellStyle name="콤마 1" xfId="2766"/>
    <cellStyle name="콤마[ ]" xfId="2767"/>
    <cellStyle name="콤마[*]" xfId="2768"/>
    <cellStyle name="콤마[,]" xfId="2769"/>
    <cellStyle name="콤마[.]" xfId="2770"/>
    <cellStyle name="콤마[0]" xfId="2771"/>
    <cellStyle name="콤마_  종  합  " xfId="2772"/>
    <cellStyle name="통" xfId="2773"/>
    <cellStyle name="통_04028적산수량집계" xfId="2774"/>
    <cellStyle name="통_BOOKCITY(전기)" xfId="2775"/>
    <cellStyle name="통_BOOKCITY(전기)_04028적산수량집계" xfId="2776"/>
    <cellStyle name="통_공설운동진입(가실행)" xfId="2777"/>
    <cellStyle name="통_공설운동진입(가실행)_04028적산수량집계" xfId="2778"/>
    <cellStyle name="통_공설운동진입(가실행)_BOOKCITY(전기)" xfId="2779"/>
    <cellStyle name="통_공설운동진입(가실행)_BOOKCITY(전기)_04028적산수량집계" xfId="2780"/>
    <cellStyle name="통_공설운동진입(가실행)_사본 - 파주 북시티(이채)" xfId="2781"/>
    <cellStyle name="통_공설운동진입(가실행)_사본 - 파주 북시티(이채)_04028적산수량집계" xfId="2782"/>
    <cellStyle name="통_공설운동진입(가실행)_파주 BOOK CITY(통보용)" xfId="2783"/>
    <cellStyle name="통_공설운동진입(가실행)_파주 BOOK CITY(통보용)_04028적산수량집계" xfId="2784"/>
    <cellStyle name="통_공설운동진입(가실행)_파주 BOOK CITY가실행내역" xfId="2785"/>
    <cellStyle name="통_공설운동진입(가실행)_파주 BOOK CITY가실행내역_04028적산수량집계" xfId="2786"/>
    <cellStyle name="통_공설운동진입(가실행)_파주 북시티(이채)제출" xfId="2787"/>
    <cellStyle name="통_공설운동진입(가실행)_파주 북시티(이채)제출_04028적산수량집계" xfId="2788"/>
    <cellStyle name="통_공설운동진입(가실행)_파주 북시티(전체)제출(변경전)" xfId="2789"/>
    <cellStyle name="통_공설운동진입(가실행)_파주 북시티(전체)제출(변경전)_04028적산수량집계" xfId="2790"/>
    <cellStyle name="통_사본 - 파주 북시티(이채)" xfId="2791"/>
    <cellStyle name="통_사본 - 파주 북시티(이채)_04028적산수량집계" xfId="2792"/>
    <cellStyle name="통_토목내역서" xfId="2793"/>
    <cellStyle name="통_토목내역서_04028적산수량집계" xfId="2794"/>
    <cellStyle name="통_토목내역서_BOOKCITY(전기)" xfId="2795"/>
    <cellStyle name="통_토목내역서_BOOKCITY(전기)_04028적산수량집계" xfId="2796"/>
    <cellStyle name="통_토목내역서_공설운동진입(가실행)" xfId="2797"/>
    <cellStyle name="통_토목내역서_공설운동진입(가실행)_04028적산수량집계" xfId="2798"/>
    <cellStyle name="통_토목내역서_공설운동진입(가실행)_BOOKCITY(전기)" xfId="2799"/>
    <cellStyle name="통_토목내역서_공설운동진입(가실행)_BOOKCITY(전기)_04028적산수량집계" xfId="2800"/>
    <cellStyle name="통_토목내역서_공설운동진입(가실행)_사본 - 파주 북시티(이채)" xfId="2801"/>
    <cellStyle name="통_토목내역서_공설운동진입(가실행)_사본 - 파주 북시티(이채)_04028적산수량집계" xfId="2802"/>
    <cellStyle name="통_토목내역서_공설운동진입(가실행)_파주 BOOK CITY(통보용)" xfId="2803"/>
    <cellStyle name="통_토목내역서_공설운동진입(가실행)_파주 BOOK CITY(통보용)_04028적산수량집계" xfId="2804"/>
    <cellStyle name="통_토목내역서_공설운동진입(가실행)_파주 BOOK CITY가실행내역" xfId="2805"/>
    <cellStyle name="통_토목내역서_공설운동진입(가실행)_파주 BOOK CITY가실행내역_04028적산수량집계" xfId="2806"/>
    <cellStyle name="통_토목내역서_공설운동진입(가실행)_파주 북시티(이채)제출" xfId="2807"/>
    <cellStyle name="통_토목내역서_공설운동진입(가실행)_파주 북시티(이채)제출_04028적산수량집계" xfId="2808"/>
    <cellStyle name="통_토목내역서_공설운동진입(가실행)_파주 북시티(전체)제출(변경전)" xfId="2809"/>
    <cellStyle name="통_토목내역서_공설운동진입(가실행)_파주 북시티(전체)제출(변경전)_04028적산수량집계" xfId="2810"/>
    <cellStyle name="통_토목내역서_사본 - 파주 북시티(이채)" xfId="2811"/>
    <cellStyle name="통_토목내역서_사본 - 파주 북시티(이채)_04028적산수량집계" xfId="2812"/>
    <cellStyle name="통_토목내역서_파주 BOOK CITY(통보용)" xfId="2813"/>
    <cellStyle name="통_토목내역서_파주 BOOK CITY(통보용)_04028적산수량집계" xfId="2814"/>
    <cellStyle name="통_토목내역서_파주 BOOK CITY가실행내역" xfId="2815"/>
    <cellStyle name="통_토목내역서_파주 BOOK CITY가실행내역_04028적산수량집계" xfId="2816"/>
    <cellStyle name="통_토목내역서_파주 북시티(이채)제출" xfId="2817"/>
    <cellStyle name="통_토목내역서_파주 북시티(이채)제출_04028적산수량집계" xfId="2818"/>
    <cellStyle name="통_토목내역서_파주 북시티(전체)제출(변경전)" xfId="2819"/>
    <cellStyle name="통_토목내역서_파주 북시티(전체)제출(변경전)_04028적산수량집계" xfId="2820"/>
    <cellStyle name="통_파주 BOOK CITY(통보용)" xfId="2821"/>
    <cellStyle name="통_파주 BOOK CITY(통보용)_04028적산수량집계" xfId="2822"/>
    <cellStyle name="통_파주 BOOK CITY가실행내역" xfId="2823"/>
    <cellStyle name="통_파주 BOOK CITY가실행내역_04028적산수량집계" xfId="2824"/>
    <cellStyle name="통_파주 북시티(이채)제출" xfId="2825"/>
    <cellStyle name="통_파주 북시티(이채)제출_04028적산수량집계" xfId="2826"/>
    <cellStyle name="통_파주 북시티(전체)제출(변경전)" xfId="2827"/>
    <cellStyle name="통_파주 북시티(전체)제출(변경전)_04028적산수량집계" xfId="2828"/>
    <cellStyle name="통화 [" xfId="2829"/>
    <cellStyle name="퍼센트" xfId="2830"/>
    <cellStyle name="표" xfId="2831"/>
    <cellStyle name="표_04028적산수량집계" xfId="2832"/>
    <cellStyle name="표_BOOKCITY(전기)" xfId="2833"/>
    <cellStyle name="표_BOOKCITY(전기)_04028적산수량집계" xfId="2834"/>
    <cellStyle name="표_공설운동진입(가실행)" xfId="2835"/>
    <cellStyle name="표_공설운동진입(가실행)_04028적산수량집계" xfId="2836"/>
    <cellStyle name="표_공설운동진입(가실행)_BOOKCITY(전기)" xfId="2837"/>
    <cellStyle name="표_공설운동진입(가실행)_BOOKCITY(전기)_04028적산수량집계" xfId="2838"/>
    <cellStyle name="표_공설운동진입(가실행)_사본 - 파주 북시티(이채)" xfId="2839"/>
    <cellStyle name="표_공설운동진입(가실행)_사본 - 파주 북시티(이채)_04028적산수량집계" xfId="2840"/>
    <cellStyle name="표_공설운동진입(가실행)_파주 BOOK CITY(통보용)" xfId="2841"/>
    <cellStyle name="표_공설운동진입(가실행)_파주 BOOK CITY(통보용)_04028적산수량집계" xfId="2842"/>
    <cellStyle name="표_공설운동진입(가실행)_파주 BOOK CITY가실행내역" xfId="2843"/>
    <cellStyle name="표_공설운동진입(가실행)_파주 BOOK CITY가실행내역_04028적산수량집계" xfId="2844"/>
    <cellStyle name="표_공설운동진입(가실행)_파주 북시티(이채)제출" xfId="2845"/>
    <cellStyle name="표_공설운동진입(가실행)_파주 북시티(이채)제출_04028적산수량집계" xfId="2846"/>
    <cellStyle name="표_공설운동진입(가실행)_파주 북시티(전체)제출(변경전)" xfId="2847"/>
    <cellStyle name="표_공설운동진입(가실행)_파주 북시티(전체)제출(변경전)_04028적산수량집계" xfId="2848"/>
    <cellStyle name="표_사본 - 파주 북시티(이채)" xfId="2849"/>
    <cellStyle name="표_사본 - 파주 북시티(이채)_04028적산수량집계" xfId="2850"/>
    <cellStyle name="표_토목내역서" xfId="2851"/>
    <cellStyle name="표_토목내역서_04028적산수량집계" xfId="2852"/>
    <cellStyle name="표_토목내역서_BOOKCITY(전기)" xfId="2853"/>
    <cellStyle name="표_토목내역서_BOOKCITY(전기)_04028적산수량집계" xfId="2854"/>
    <cellStyle name="표_토목내역서_공설운동진입(가실행)" xfId="2855"/>
    <cellStyle name="표_토목내역서_공설운동진입(가실행)_04028적산수량집계" xfId="2856"/>
    <cellStyle name="표_토목내역서_공설운동진입(가실행)_BOOKCITY(전기)" xfId="2857"/>
    <cellStyle name="표_토목내역서_공설운동진입(가실행)_BOOKCITY(전기)_04028적산수량집계" xfId="2858"/>
    <cellStyle name="표_토목내역서_공설운동진입(가실행)_사본 - 파주 북시티(이채)" xfId="2859"/>
    <cellStyle name="표_토목내역서_공설운동진입(가실행)_사본 - 파주 북시티(이채)_04028적산수량집계" xfId="2860"/>
    <cellStyle name="표_토목내역서_공설운동진입(가실행)_파주 BOOK CITY(통보용)" xfId="2861"/>
    <cellStyle name="표_토목내역서_공설운동진입(가실행)_파주 BOOK CITY(통보용)_04028적산수량집계" xfId="2862"/>
    <cellStyle name="표_토목내역서_공설운동진입(가실행)_파주 BOOK CITY가실행내역" xfId="2863"/>
    <cellStyle name="표_토목내역서_공설운동진입(가실행)_파주 BOOK CITY가실행내역_04028적산수량집계" xfId="2864"/>
    <cellStyle name="표_토목내역서_공설운동진입(가실행)_파주 북시티(이채)제출" xfId="2865"/>
    <cellStyle name="표_토목내역서_공설운동진입(가실행)_파주 북시티(이채)제출_04028적산수량집계" xfId="2866"/>
    <cellStyle name="표_토목내역서_공설운동진입(가실행)_파주 북시티(전체)제출(변경전)" xfId="2867"/>
    <cellStyle name="표_토목내역서_공설운동진입(가실행)_파주 북시티(전체)제출(변경전)_04028적산수량집계" xfId="2868"/>
    <cellStyle name="표_토목내역서_사본 - 파주 북시티(이채)" xfId="2869"/>
    <cellStyle name="표_토목내역서_사본 - 파주 북시티(이채)_04028적산수량집계" xfId="2870"/>
    <cellStyle name="표_토목내역서_파주 BOOK CITY(통보용)" xfId="2871"/>
    <cellStyle name="표_토목내역서_파주 BOOK CITY(통보용)_04028적산수량집계" xfId="2872"/>
    <cellStyle name="표_토목내역서_파주 BOOK CITY가실행내역" xfId="2873"/>
    <cellStyle name="표_토목내역서_파주 BOOK CITY가실행내역_04028적산수량집계" xfId="2874"/>
    <cellStyle name="표_토목내역서_파주 북시티(이채)제출" xfId="2875"/>
    <cellStyle name="표_토목내역서_파주 북시티(이채)제출_04028적산수량집계" xfId="2876"/>
    <cellStyle name="표_토목내역서_파주 북시티(전체)제출(변경전)" xfId="2877"/>
    <cellStyle name="표_토목내역서_파주 북시티(전체)제출(변경전)_04028적산수량집계" xfId="2878"/>
    <cellStyle name="표_파주 BOOK CITY(통보용)" xfId="2879"/>
    <cellStyle name="표_파주 BOOK CITY(통보용)_04028적산수량집계" xfId="2880"/>
    <cellStyle name="표_파주 BOOK CITY가실행내역" xfId="2881"/>
    <cellStyle name="표_파주 BOOK CITY가실행내역_04028적산수량집계" xfId="2882"/>
    <cellStyle name="표_파주 북시티(이채)제출" xfId="2883"/>
    <cellStyle name="표_파주 북시티(이채)제출_04028적산수량집계" xfId="2884"/>
    <cellStyle name="표_파주 북시티(전체)제출(변경전)" xfId="2885"/>
    <cellStyle name="표_파주 북시티(전체)제출(변경전)_04028적산수량집계" xfId="2886"/>
    <cellStyle name="표머릿글(上)" xfId="2887"/>
    <cellStyle name="표머릿글(中)" xfId="2888"/>
    <cellStyle name="표머릿글(下)" xfId="2889"/>
    <cellStyle name="표준" xfId="0" builtinId="0"/>
    <cellStyle name="표준 2" xfId="2890"/>
    <cellStyle name="표준 2 2" xfId="2907"/>
    <cellStyle name="표준 2 32" xfId="2900"/>
    <cellStyle name="표준 28" xfId="2905"/>
    <cellStyle name="표준 3" xfId="2891"/>
    <cellStyle name="표준 3 2" xfId="2902"/>
    <cellStyle name="표준 3 2 2" xfId="2901"/>
    <cellStyle name="표준 4" xfId="2892"/>
    <cellStyle name="표준 5" xfId="2893"/>
    <cellStyle name="標準_Akia(F）-8" xfId="2894"/>
    <cellStyle name="표준_NY-FORM 2 2" xfId="2909"/>
    <cellStyle name="표준1" xfId="2895"/>
    <cellStyle name="표쥰" xfId="2896"/>
    <cellStyle name="합산" xfId="2897"/>
    <cellStyle name="화폐기호" xfId="2898"/>
    <cellStyle name="화폐기호0" xfId="2899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E44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2800350</xdr:colOff>
      <xdr:row>20</xdr:row>
      <xdr:rowOff>0</xdr:rowOff>
    </xdr:from>
    <xdr:ext cx="1262684" cy="0"/>
    <xdr:pic>
      <xdr:nvPicPr>
        <xdr:cNvPr id="2" name="Picture 1" descr="IDNC cop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2800350</xdr:colOff>
      <xdr:row>20</xdr:row>
      <xdr:rowOff>0</xdr:rowOff>
    </xdr:from>
    <xdr:ext cx="1262684" cy="0"/>
    <xdr:pic>
      <xdr:nvPicPr>
        <xdr:cNvPr id="3" name="Picture 1" descr="IDNC copy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1032;&#51221;\C\&#44277;&#47924;&#50629;&#47924;\&#45824;&#48376;&#49324;\&#44148;&#52629;&#49884;&#44277;&#54016;%20&#44277;&#49324;&#54788;&#54889;&#48372;&#44256;\4&#50900;&#49892;&#5120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857;&#48177;&#44284;&#51109;\EDATA\SINGLE\OFFICE40\temp\&#50689;&#51333;&#46020;IBC&#49892;&#54665;&#44208;&#5111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ed1\need1%20F\&#48317;&#49328;%20&#50668;&#51032;&#46020;M.H\3&#52789;%20&#49888;&#47548;&#46041;\&#45768;&#46300;&#51068;&#51648;\Mine\&#47084;&#49884;&#50500;\&#54620;&#44397;&#45824;&#49324;&#44288;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51652;-pc\f\&#54532;&#47196;&#51229;&#53944;\00.&#54060;&#50500;&#49884;&#50500;&#54168;&#51060;&#54140;.&#50976;&#52404;,&#51064;&#48260;&#53552;%20&#51204;&#52404;&#51652;&#45800;\2001&#45380;%20&#51064;&#48260;&#53552;&#50752;%20&#50976;&#52404;\FDFAN2-3,&#49884;&#5090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cljh\c\EXCEL\&#49688;&#51452;\&#49324;&#50629;&#49457;~1\96\&#49552;&#51061;&#44592;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51652;-pc\f\WINDOWS\&#48148;&#53461;%20&#54868;&#47732;\Everland\Halla\HALIDF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Excel&#44204;&#51201;\G\Good%20Morning%20&#51613;&#44428;-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148;&#52629;&#49892;&#5466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edms\Mepss\&#51648;&#54840;Docu\4.&#44592;&#53440;\2.&#50577;&#49885;\&#51473;&#50836;&#54620;%20&#50577;&#49885;\@&#54364;&#51456;&#50577;&#49885;\&#50577;&#49885;001-@&#54364;&#51456;&#50577;&#49885;.xl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49849;&#54872;\C\MSOFFICE\EXCEL\YOON\&#51473;&#51216;&#49324;&#50629;\&#50629;&#52404;FIX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EC_EB1\EB_1\1KON\YANGSIK\GAEYOXL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k\&#47784;&#54644;&#46356;&#51088;&#51064;\MSOFFICE\EXCEL\YOON\&#51473;&#51216;&#49324;&#50629;\&#50629;&#52404;FIX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&#44608;&#50857;&#44592;\&#50641;&#49472;\GUMI4B2\&#44396;&#48120;4&#45800;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99\&#44288;&#47532;&#52397;\&#49436;&#50872;\&#44053;&#48320;&#48513;&#47196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99\&#44288;&#47532;&#52397;\&#50896;&#45224;-&#50872;&#51652;\&#50896;&#45224;&#50872;&#51652;&#45209;&#52272;&#45236;&#50669;(99.4.13%20&#48512;&#49328;&#52397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7564;\D\pjt-2002\&#54217;&#54868;&#51032;&#45840;\&#50696;&#49328;&#49436;(&#51068;&#50948;&#45824;&#44032;,&#45840;)\&#49444;&#44228;&#48320;&#44221;(&#44397;&#51088;)\&#44397;&#51088;&#48320;&#44221;&#53685;&#49888;\13&#52264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49457;&#49340;\&#44277;&#50976;\JABO\O12060\INFORM\MYENGBU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VIL_EST\EST\My%20Documents\&#51077;&#52272;\&#48264;&#50689;&#47196;\&#47924;&#50504;&#54616;&#49688;\&#49892;&#54665;(1)\&#45236;&#50669;&#49436;(1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\APT&#51088;&#47308;\&#50976;&#47548;&#53080;&#4602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4788;\MY%20DOCUMENTS\MSOFFICE\EXCEL\YOON\&#51473;&#51216;&#49324;&#50629;\&#50629;&#52404;FIX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632;&#44600;\E\KBLEE\&#44592;&#53440;\&#54364;&#51456;\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EDMS\Mepss\&#44204;&#51201;&#49892;\&#44592;&#51456;\&#44060;&#47029;&#44204;&#51201;\APT\FORM\970715&#50577;&#4988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4805;&#49453;\C\My%20Documents\My%20Documents\&#44368;&#48372;&#51613;&#44428;\LOTUS\&#44144;&#51228;&#46020;\&#44144;&#51228;&#460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k\&#47784;&#54644;&#46356;&#51088;&#51064;\&#51473;&#50669;&#54924;&#51032;\96&#45380;10&#50900;\&#44288;&#47532;&#48376;&#48512;1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99\&#44288;&#47532;&#52397;\&#49436;&#50872;\&#44053;&#48320;&#48513;&#47196;\My%20Documents\KHDATA\&#54620;&#44397;&#51204;&#47141;\&#49888;&#49457;&#45224;-&#44552;&#44257;\&#49888;&#49457;&#45224;&#53804;&#52272;&#45236;&#50669;(1&#48264;&#45236;&#50669;)(2)\KHDATA\&#44288;&#47532;&#52397;\&#50896;&#45224;-&#50872;&#51652;\&#50896;&#45224;&#50872;&#51652;&#45209;&#52272;&#45236;&#50669;(99.4.13%20&#48512;&#49328;&#52397;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4018\c\ESTI96\&#44053;&#51652;&#51109;&#55141;\&#54980;&#45796;&#45236;&#50669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k\&#47784;&#54644;&#46356;&#51088;&#51064;\My%20Documents\&#51077;&#52272;\&#48264;&#50689;&#47196;\&#47924;&#50504;&#54616;&#49688;\&#49892;&#54665;(1)\&#45236;&#50669;&#49436;(1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&#51077;&#52272;&#45236;&#50669;\&#44592;&#50500;&#45824;&#44368;\&#44592;&#50500;&#45824;&#4436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775\c\ESTI96\&#44053;&#51652;&#51109;&#55141;\&#54980;&#45796;&#45236;&#506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문"/>
      <sheetName val="목표세부명세"/>
      <sheetName val="4월실적"/>
      <sheetName val="자동제어"/>
      <sheetName val="예가표"/>
      <sheetName val="시멘트"/>
      <sheetName val="노임이"/>
      <sheetName val="4.공사별"/>
      <sheetName val="실적공사"/>
      <sheetName val="재료"/>
      <sheetName val="6공구(당초)"/>
      <sheetName val="전선 및 전선관"/>
      <sheetName val="식재"/>
      <sheetName val="시설물 "/>
      <sheetName val="7 (2)"/>
      <sheetName val="노임단가"/>
      <sheetName val="내역"/>
      <sheetName val="P.M 별"/>
      <sheetName val="화전내"/>
      <sheetName val="갑지1"/>
      <sheetName val="입찰안"/>
      <sheetName val="금액내역서"/>
      <sheetName val="일반부표"/>
      <sheetName val="현장관리비"/>
      <sheetName val="c_balju"/>
      <sheetName val="Sheet1"/>
      <sheetName val="내역표지"/>
      <sheetName val="Sheet10"/>
      <sheetName val="CTEMCOST"/>
      <sheetName val="A"/>
      <sheetName val="집계표"/>
      <sheetName val="내역서"/>
      <sheetName val="장기차입금"/>
      <sheetName val="DATA"/>
      <sheetName val="계획고"/>
      <sheetName val="DATA2000"/>
      <sheetName val="유림골조"/>
      <sheetName val="도급FORM"/>
      <sheetName val="스포회원매출"/>
      <sheetName val="정부노임단가"/>
      <sheetName val="설산1.나"/>
      <sheetName val="본사S"/>
      <sheetName val="목통"/>
      <sheetName val="2단지_원가"/>
      <sheetName val="설계내역서"/>
      <sheetName val="ABUT수량-A1"/>
      <sheetName val="BREAKDOWN(철거설치)"/>
      <sheetName val="당초"/>
      <sheetName val="01"/>
      <sheetName val="연돌일위집계"/>
      <sheetName val="직원인원"/>
      <sheetName val="지급자재"/>
      <sheetName val="동선(을)"/>
      <sheetName val="물가자료"/>
      <sheetName val="TOWER 12TON"/>
      <sheetName val="TOWER 10TON"/>
      <sheetName val="수량산출서(마감)"/>
      <sheetName val="공통비총괄표"/>
      <sheetName val="Sheet2"/>
      <sheetName val="부안일위"/>
      <sheetName val="RESOURCE"/>
      <sheetName val="#REF"/>
      <sheetName val="음료실행"/>
      <sheetName val="옥외외등집계표"/>
      <sheetName val="부대공Ⅱ"/>
      <sheetName val="조직도"/>
      <sheetName val="Shape code"/>
      <sheetName val="실행철강하도"/>
      <sheetName val="화설내"/>
      <sheetName val="분류코드 이름관리"/>
      <sheetName val="잡비"/>
      <sheetName val="실행"/>
      <sheetName val="DHEQSUPT"/>
      <sheetName val="COVER"/>
      <sheetName val="총괄집계"/>
      <sheetName val="견적서"/>
      <sheetName val="표지"/>
      <sheetName val="설비원가"/>
      <sheetName val="단가"/>
      <sheetName val="TRE TABLE"/>
      <sheetName val="본사공가현황"/>
      <sheetName val="에너지동"/>
      <sheetName val="4_공사별"/>
      <sheetName val="7_(2)"/>
      <sheetName val="전선_및_전선관"/>
      <sheetName val="시설물_"/>
      <sheetName val="6PILE  (돌출)"/>
      <sheetName val="예정(3)"/>
      <sheetName val="동원(3)"/>
      <sheetName val="Y-WORK"/>
      <sheetName val="P-산#1-1(WOWA1)"/>
      <sheetName val="GAEYO"/>
      <sheetName val="실적62"/>
      <sheetName val="Equipment"/>
      <sheetName val="TL,Termination"/>
      <sheetName val="Cable,Conduit"/>
      <sheetName val="공사개요"/>
      <sheetName val="원가계산서"/>
      <sheetName val="조도계산서 (도서)"/>
      <sheetName val="전체"/>
      <sheetName val="Sheet13"/>
      <sheetName val="발전기"/>
      <sheetName val="Sheet14"/>
      <sheetName val="수량집계1"/>
      <sheetName val="수량집계2"/>
      <sheetName val="공사비예산서(토목분)"/>
      <sheetName val="주요량(96)"/>
      <sheetName val="품"/>
      <sheetName val="업무처리전"/>
      <sheetName val="금융비용"/>
      <sheetName val="도시가스현황"/>
      <sheetName val="결과조달"/>
      <sheetName val="골조시행"/>
      <sheetName val="관기성공.내"/>
      <sheetName val="갑지"/>
      <sheetName val="O＆P"/>
      <sheetName val="1공구(을)"/>
      <sheetName val="trf(36%)"/>
      <sheetName val="일위대가"/>
      <sheetName val="공통가설"/>
      <sheetName val="별표"/>
      <sheetName val="수목표준대가"/>
      <sheetName val="시설물기초"/>
      <sheetName val="기계 도급내역서"/>
      <sheetName val="대비표"/>
      <sheetName val="갑지(추정)"/>
      <sheetName val="WORK"/>
      <sheetName val="F4-F7"/>
      <sheetName val="Cash2"/>
      <sheetName val="Z"/>
      <sheetName val="단면 (2)"/>
      <sheetName val="인원현황"/>
      <sheetName val="1.토공사 수량산출 및 집계"/>
      <sheetName val="경비"/>
      <sheetName val="백분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인수인계"/>
      <sheetName val="추가항목"/>
      <sheetName val="목차"/>
      <sheetName val="추가목표"/>
      <sheetName val="갑지"/>
      <sheetName val="요약"/>
      <sheetName val="대비"/>
      <sheetName val="분석"/>
      <sheetName val="금융"/>
      <sheetName val="기준"/>
      <sheetName val="공정"/>
      <sheetName val="정직"/>
      <sheetName val="임직"/>
      <sheetName val="단가"/>
      <sheetName val="보험안전"/>
      <sheetName val="안전반영"/>
      <sheetName val="제목"/>
      <sheetName val="공사수행방안"/>
      <sheetName val="교통대책내역"/>
      <sheetName val="공사개요"/>
      <sheetName val="중(1공구)"/>
      <sheetName val="중(2공구)"/>
      <sheetName val="실행(1공구)"/>
      <sheetName val="실행철강하도"/>
      <sheetName val="무늬목판넬단가분석 (2)"/>
      <sheetName val="도급액분석"/>
      <sheetName val="내역"/>
      <sheetName val="건축집계"/>
      <sheetName val="금액내역서"/>
      <sheetName val="#REF"/>
      <sheetName val="1공구(을)"/>
      <sheetName val="Sheet2"/>
      <sheetName val="타일"/>
      <sheetName val="소비자가"/>
      <sheetName val="영종도IBC실행결재"/>
      <sheetName val="하도급정산품의서"/>
      <sheetName val="집계표"/>
      <sheetName val="건축"/>
      <sheetName val="단가조사"/>
      <sheetName val="금호"/>
      <sheetName val="집계"/>
      <sheetName val="0226"/>
      <sheetName val="01"/>
      <sheetName val="SUMMARY"/>
      <sheetName val="유림골조"/>
      <sheetName val="공통부대비"/>
      <sheetName val="총괄"/>
      <sheetName val="선급금지급청구서"/>
      <sheetName val="목표세부명세"/>
      <sheetName val="공문"/>
      <sheetName val="입찰안"/>
      <sheetName val="구산초등학교"/>
      <sheetName val="인사자료총집계"/>
      <sheetName val=" 견적서"/>
      <sheetName val="220 (2)"/>
      <sheetName val="평3"/>
      <sheetName val="일위대가"/>
      <sheetName val="연령현황"/>
      <sheetName val="을-ATYPE"/>
      <sheetName val="내역서변경성원"/>
      <sheetName val="연습"/>
      <sheetName val="데이타"/>
      <sheetName val="식재인부"/>
      <sheetName val="연돌일위집계"/>
      <sheetName val="Sheet1"/>
      <sheetName val="DATA2000"/>
      <sheetName val="설산1.나"/>
      <sheetName val="본사S"/>
      <sheetName val="총물량"/>
      <sheetName val="Breakdown"/>
      <sheetName val="UnitRate"/>
      <sheetName val="금융비용"/>
      <sheetName val="남양주부대"/>
      <sheetName val="6PILE  (돌출)"/>
      <sheetName val="전기 내역서(1차)"/>
      <sheetName val="SG"/>
      <sheetName val="전기"/>
      <sheetName val="ELECTRIC"/>
      <sheetName val="SCHEDULE"/>
      <sheetName val="CTEMCOST"/>
      <sheetName val="무늬목판넬단가분석_(2)"/>
      <sheetName val="_견적서"/>
      <sheetName val="220_(2)"/>
      <sheetName val="6PILE__(돌출)"/>
      <sheetName val="전기_내역서(1차)"/>
      <sheetName val="설산1_나"/>
      <sheetName val="0.0ControlSheet"/>
      <sheetName val="부하계산서"/>
      <sheetName val="현장지지물물량"/>
      <sheetName val="정부노임단가"/>
      <sheetName val="단위세대물량"/>
      <sheetName val="물량표"/>
      <sheetName val="일위대가목차"/>
      <sheetName val="동해title"/>
      <sheetName val="총괄표"/>
      <sheetName val="교수설계"/>
      <sheetName val="공종별집계표 0단계"/>
      <sheetName val="COVER"/>
      <sheetName val="품셈TABLE"/>
      <sheetName val="Total"/>
      <sheetName val="갑지1"/>
      <sheetName val="토목내역서"/>
      <sheetName val="건축내역서"/>
      <sheetName val="기계내역서"/>
      <sheetName val="전기내역서"/>
      <sheetName val="통신내역서"/>
      <sheetName val="소방내역서"/>
      <sheetName val="수량산출"/>
      <sheetName val="A-4"/>
      <sheetName val="공사비증감"/>
      <sheetName val="시중노임단가"/>
      <sheetName val="평가데이터"/>
      <sheetName val="정산합의서"/>
      <sheetName val="Project Brief"/>
      <sheetName val="1-1"/>
      <sheetName val="간접"/>
      <sheetName val="간접비"/>
      <sheetName val="원가계산서(남측)"/>
      <sheetName val="가로등"/>
      <sheetName val="공사내역"/>
      <sheetName val="내역서"/>
      <sheetName val="설계내역서"/>
      <sheetName val="N賃率-職"/>
      <sheetName val="실행"/>
      <sheetName val="PAINT"/>
      <sheetName val="DATA"/>
      <sheetName val="개산공사비"/>
      <sheetName val="노임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PROJECT BRIEF(EX.NEW)"/>
      <sheetName val="01"/>
      <sheetName val="금융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1"/>
      <sheetName val="QH1"/>
      <sheetName val="VSC1"/>
      <sheetName val="PAY1"/>
      <sheetName val="CAL2"/>
      <sheetName val="QH2"/>
      <sheetName val="VSC2"/>
      <sheetName val="PAY2"/>
    </sheetNames>
    <sheetDataSet>
      <sheetData sheetId="0">
        <row r="10">
          <cell r="B10">
            <v>0</v>
          </cell>
          <cell r="F10">
            <v>1.3</v>
          </cell>
          <cell r="G10">
            <v>0</v>
          </cell>
        </row>
        <row r="11">
          <cell r="B11">
            <v>116</v>
          </cell>
          <cell r="F11">
            <v>0.82678842291346033</v>
          </cell>
          <cell r="G11">
            <v>3.1417960070711494E-2</v>
          </cell>
        </row>
        <row r="12">
          <cell r="B12">
            <v>232</v>
          </cell>
          <cell r="F12">
            <v>3.3071536916538413</v>
          </cell>
          <cell r="G12">
            <v>0.25134368056569195</v>
          </cell>
          <cell r="U12">
            <v>185.78390183103852</v>
          </cell>
          <cell r="V12">
            <v>185.29048276812799</v>
          </cell>
        </row>
        <row r="13">
          <cell r="B13">
            <v>348</v>
          </cell>
          <cell r="F13">
            <v>7.4410958062211439</v>
          </cell>
          <cell r="G13">
            <v>0.84828492190921023</v>
          </cell>
          <cell r="U13">
            <v>201.47678016185802</v>
          </cell>
          <cell r="V13">
            <v>200.58160393454327</v>
          </cell>
        </row>
        <row r="14">
          <cell r="B14">
            <v>464</v>
          </cell>
          <cell r="F14">
            <v>13.228614766615365</v>
          </cell>
          <cell r="G14">
            <v>2.0107494445255356</v>
          </cell>
          <cell r="U14">
            <v>216.34870719602981</v>
          </cell>
          <cell r="V14">
            <v>215.24295209134112</v>
          </cell>
        </row>
        <row r="15">
          <cell r="B15">
            <v>580</v>
          </cell>
          <cell r="F15">
            <v>20.669710572836511</v>
          </cell>
          <cell r="G15">
            <v>3.9272450088389372</v>
          </cell>
          <cell r="U15">
            <v>230.39968293355398</v>
          </cell>
          <cell r="V15">
            <v>229.27452723852159</v>
          </cell>
        </row>
        <row r="16">
          <cell r="B16">
            <v>696</v>
          </cell>
          <cell r="F16">
            <v>29.764383224884575</v>
          </cell>
          <cell r="G16">
            <v>6.7862793752736819</v>
          </cell>
          <cell r="U16">
            <v>243.62970737443035</v>
          </cell>
          <cell r="V16">
            <v>242.67632937608465</v>
          </cell>
        </row>
        <row r="17">
          <cell r="B17">
            <v>812</v>
          </cell>
          <cell r="F17">
            <v>40.51263272275957</v>
          </cell>
          <cell r="G17">
            <v>10.776360304254045</v>
          </cell>
          <cell r="U17">
            <v>256.03878051865911</v>
          </cell>
          <cell r="V17">
            <v>255.4483585040303</v>
          </cell>
        </row>
        <row r="18">
          <cell r="B18">
            <v>928</v>
          </cell>
          <cell r="F18">
            <v>52.914459066461461</v>
          </cell>
          <cell r="G18">
            <v>16.085995556204285</v>
          </cell>
          <cell r="U18">
            <v>267.62690236624019</v>
          </cell>
          <cell r="V18">
            <v>267.59061462235849</v>
          </cell>
        </row>
        <row r="19">
          <cell r="B19">
            <v>1044</v>
          </cell>
          <cell r="F19">
            <v>66.969862255990279</v>
          </cell>
          <cell r="G19">
            <v>22.903692891548676</v>
          </cell>
          <cell r="U19">
            <v>278.3940729171735</v>
          </cell>
          <cell r="V19">
            <v>279.10309773106934</v>
          </cell>
        </row>
        <row r="20">
          <cell r="B20">
            <v>1160</v>
          </cell>
          <cell r="F20">
            <v>82.678842291346044</v>
          </cell>
          <cell r="G20">
            <v>31.417960070711498</v>
          </cell>
          <cell r="U20">
            <v>288.34029217145923</v>
          </cell>
          <cell r="V20">
            <v>289.98580783016268</v>
          </cell>
        </row>
        <row r="21">
          <cell r="B21">
            <v>1276</v>
          </cell>
          <cell r="F21">
            <v>100.0413991725287</v>
          </cell>
          <cell r="G21">
            <v>41.81730485411699</v>
          </cell>
          <cell r="U21">
            <v>297.46556012909718</v>
          </cell>
          <cell r="V21">
            <v>300.23874491963869</v>
          </cell>
        </row>
        <row r="22">
          <cell r="B22">
            <v>1392</v>
          </cell>
          <cell r="F22">
            <v>119.0575328995383</v>
          </cell>
          <cell r="G22">
            <v>54.290235002189455</v>
          </cell>
          <cell r="U22">
            <v>305.76987679008744</v>
          </cell>
          <cell r="V22">
            <v>309.86190899949725</v>
          </cell>
        </row>
        <row r="23">
          <cell r="B23">
            <v>1508</v>
          </cell>
          <cell r="F23">
            <v>139.72724347237482</v>
          </cell>
          <cell r="G23">
            <v>69.025258275353153</v>
          </cell>
          <cell r="U23">
            <v>313.2532421544301</v>
          </cell>
          <cell r="V23">
            <v>318.8553000697384</v>
          </cell>
        </row>
        <row r="24">
          <cell r="B24">
            <v>1624</v>
          </cell>
          <cell r="F24">
            <v>162.05053089103828</v>
          </cell>
          <cell r="G24">
            <v>86.210882434032357</v>
          </cell>
          <cell r="U24">
            <v>319.91565622212488</v>
          </cell>
          <cell r="V24">
            <v>327.21891813036217</v>
          </cell>
        </row>
        <row r="25">
          <cell r="B25">
            <v>1740</v>
          </cell>
          <cell r="F25">
            <v>186.02739515552858</v>
          </cell>
          <cell r="G25">
            <v>106.03561523865129</v>
          </cell>
          <cell r="U25">
            <v>325.75711899317218</v>
          </cell>
          <cell r="V25">
            <v>334.95276318136854</v>
          </cell>
        </row>
        <row r="26">
          <cell r="B26">
            <v>1856</v>
          </cell>
          <cell r="F26">
            <v>211.65783626584584</v>
          </cell>
          <cell r="G26">
            <v>128.68796444963428</v>
          </cell>
          <cell r="V26">
            <v>342.05683522275746</v>
          </cell>
        </row>
        <row r="27">
          <cell r="B27">
            <v>1972</v>
          </cell>
          <cell r="F27">
            <v>238.94185422199013</v>
          </cell>
          <cell r="G27">
            <v>154.35643782740561</v>
          </cell>
          <cell r="V27">
            <v>348.53113425452898</v>
          </cell>
        </row>
        <row r="28">
          <cell r="B28">
            <v>2088</v>
          </cell>
          <cell r="F28">
            <v>267.87944902396112</v>
          </cell>
          <cell r="G28">
            <v>183.22954313238941</v>
          </cell>
          <cell r="V28">
            <v>354.37566027668305</v>
          </cell>
        </row>
        <row r="29">
          <cell r="B29">
            <v>2204</v>
          </cell>
          <cell r="F29">
            <v>298.47062067175921</v>
          </cell>
          <cell r="G29">
            <v>215.49578812501014</v>
          </cell>
          <cell r="V29">
            <v>359.59041328921978</v>
          </cell>
        </row>
        <row r="30">
          <cell r="B30">
            <v>2320</v>
          </cell>
          <cell r="F30">
            <v>330.71536916538417</v>
          </cell>
          <cell r="G30">
            <v>251.34368056569198</v>
          </cell>
        </row>
        <row r="31">
          <cell r="B31">
            <v>2436</v>
          </cell>
          <cell r="F31">
            <v>364.61369450483596</v>
          </cell>
          <cell r="G31">
            <v>290.96172821485908</v>
          </cell>
        </row>
        <row r="32">
          <cell r="B32">
            <v>2552</v>
          </cell>
          <cell r="F32">
            <v>400.1655966901148</v>
          </cell>
          <cell r="G32">
            <v>334.53843883293592</v>
          </cell>
        </row>
        <row r="33">
          <cell r="B33">
            <v>2668</v>
          </cell>
          <cell r="F33">
            <v>437.37107572122056</v>
          </cell>
          <cell r="G33">
            <v>382.26232018034676</v>
          </cell>
        </row>
        <row r="34">
          <cell r="B34">
            <v>2784</v>
          </cell>
          <cell r="F34">
            <v>476.23013159815321</v>
          </cell>
          <cell r="G34">
            <v>434.32188001751564</v>
          </cell>
        </row>
        <row r="35">
          <cell r="B35">
            <v>2900</v>
          </cell>
          <cell r="F35">
            <v>516.74276432091267</v>
          </cell>
          <cell r="G35">
            <v>490.90562610486705</v>
          </cell>
        </row>
        <row r="36">
          <cell r="B36">
            <v>3016</v>
          </cell>
        </row>
        <row r="37">
          <cell r="B37">
            <v>3132</v>
          </cell>
        </row>
        <row r="38">
          <cell r="B38">
            <v>3248</v>
          </cell>
        </row>
        <row r="39">
          <cell r="B39">
            <v>1057.4342458400429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표세부명세"/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자금추정"/>
      <sheetName val="콘도손익"/>
      <sheetName val="장림"/>
      <sheetName val="장림전제"/>
      <sheetName val="Sheet2"/>
      <sheetName val="Sheet3"/>
      <sheetName val="공문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공통가설"/>
      <sheetName val="입찰안"/>
      <sheetName val="노임이"/>
      <sheetName val="C-A(취합)파리"/>
      <sheetName val="첨부1"/>
      <sheetName val="간접"/>
      <sheetName val="집계표"/>
      <sheetName val="손익분석"/>
      <sheetName val="수입"/>
      <sheetName val="관로내역원"/>
      <sheetName val="손익"/>
      <sheetName val="현금흐름"/>
      <sheetName val="SUMMARY"/>
      <sheetName val="PAINT"/>
      <sheetName val="CTEMCOST"/>
      <sheetName val="ELECTRIC"/>
      <sheetName val="A4288"/>
      <sheetName val="자바라1"/>
      <sheetName val="SG"/>
      <sheetName val="COL"/>
      <sheetName val="수정시산표"/>
      <sheetName val="주택"/>
      <sheetName val="주택(백만원)"/>
      <sheetName val="손익기01"/>
      <sheetName val="Sheet1"/>
      <sheetName val="동선(을)"/>
      <sheetName val="신공항A-9(원가수정)"/>
      <sheetName val="KUNGDEVI"/>
      <sheetName val="전계가"/>
      <sheetName val="예가표"/>
      <sheetName val="원가계산서"/>
      <sheetName val="금액내역서"/>
      <sheetName val="인사자료총집계"/>
      <sheetName val="그래프"/>
      <sheetName val="GDP"/>
      <sheetName val="5Traffic1"/>
      <sheetName val="부문인원3"/>
      <sheetName val="설계내역서"/>
      <sheetName val="공사개요"/>
      <sheetName val="실행내역"/>
      <sheetName val="내역"/>
      <sheetName val="금융비용"/>
      <sheetName val="공통비총괄표"/>
      <sheetName val="시멘트"/>
      <sheetName val="기계경비(시간당)"/>
      <sheetName val="램머"/>
      <sheetName val="호프"/>
      <sheetName val="현장관리비"/>
      <sheetName val="수주현황2월"/>
      <sheetName val="산근"/>
      <sheetName val="여흥"/>
      <sheetName val="감독1130"/>
      <sheetName val="APT"/>
      <sheetName val="b_balju (2)"/>
      <sheetName val="b_gunmul"/>
      <sheetName val="  한국 AMP ASP-23 판매가격  "/>
      <sheetName val="금융"/>
      <sheetName val="결재인"/>
      <sheetName val="변경실행(2차) "/>
      <sheetName val="CC Down load 0716"/>
      <sheetName val="화물2팀"/>
      <sheetName val="bm(CIcable)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01"/>
      <sheetName val="단가"/>
      <sheetName val="나.출고"/>
      <sheetName val="나.입고"/>
      <sheetName val="8월차잔"/>
      <sheetName val="유동성사채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공사비집계"/>
      <sheetName val="SCHEDULE"/>
      <sheetName val="ABUT수량-A1"/>
      <sheetName val="갑지(추정)"/>
      <sheetName val="견적의뢰"/>
      <sheetName val="노무비"/>
      <sheetName val="화의-현금흐름"/>
      <sheetName val="#REF"/>
      <sheetName val="유림골조"/>
      <sheetName val="기본DATA"/>
      <sheetName val="추가예산"/>
      <sheetName val="노임단가"/>
      <sheetName val="982월원안"/>
      <sheetName val="내역서"/>
      <sheetName val="TR제작사양"/>
      <sheetName val="실행철강하도"/>
      <sheetName val="재료"/>
      <sheetName val="Sheet13"/>
      <sheetName val="Sheet14"/>
      <sheetName val="회사정보"/>
      <sheetName val="MIJIBI"/>
      <sheetName val="JUCKEYK"/>
      <sheetName val="감가상각"/>
      <sheetName val="DATA"/>
      <sheetName val="실적공사"/>
      <sheetName val="업무처리전"/>
      <sheetName val="총괄내역서"/>
      <sheetName val="공통부대관리"/>
      <sheetName val="익월수주전망"/>
      <sheetName val="입찰내역서"/>
      <sheetName val="기성청구 공문"/>
      <sheetName val="IW-LIST"/>
      <sheetName val="6PILE  (돌출)"/>
      <sheetName val="방배동내역(리라)"/>
      <sheetName val="일위대가표"/>
      <sheetName val="2연암거"/>
      <sheetName val="경사수로집계표"/>
      <sheetName val="경사수로"/>
      <sheetName val="진입교량"/>
      <sheetName val="Variables"/>
      <sheetName val="제조원가 원단위 분석"/>
      <sheetName val="종합표양식(품의 &amp; 입고)_2"/>
      <sheetName val="상각스케쥴(조정)"/>
      <sheetName val="원가관리 (동월대비)"/>
      <sheetName val="요약"/>
      <sheetName val="woo(mac)"/>
      <sheetName val="중기조종사 단위단가"/>
      <sheetName val="A-4"/>
      <sheetName val="45,46"/>
      <sheetName val="980731"/>
      <sheetName val="광곡세부내역"/>
      <sheetName val="S&amp;R"/>
      <sheetName val="시산표(매출조정전)"/>
      <sheetName val="93"/>
      <sheetName val="예정(3)"/>
      <sheetName val="동원(3)"/>
      <sheetName val="토목검측서"/>
      <sheetName val="2-2.매출분석"/>
      <sheetName val="RECIMAKE"/>
      <sheetName val="A-100전제"/>
      <sheetName val="몰드시스템 리스트"/>
      <sheetName val="정비손익"/>
      <sheetName val="200"/>
      <sheetName val="MIBK원단위"/>
      <sheetName val="Proposal"/>
      <sheetName val="7 (2)"/>
      <sheetName val="SM1-09"/>
      <sheetName val="SM2-09"/>
      <sheetName val="BD-09"/>
      <sheetName val="물량표"/>
      <sheetName val="Calen"/>
      <sheetName val="CAUDIT"/>
      <sheetName val="장기대여금1"/>
      <sheetName val="Total"/>
      <sheetName val="조명시설"/>
      <sheetName val="SIL98"/>
      <sheetName val="XZLC004_PART2"/>
      <sheetName val="XZLC003_PART1"/>
      <sheetName val="역T형"/>
      <sheetName val="SO416"/>
      <sheetName val="개발비자산성검토"/>
      <sheetName val="가공MH"/>
      <sheetName val="08년(Form1)"/>
      <sheetName val="영동(D)"/>
      <sheetName val="총내역서"/>
      <sheetName val="2.총괄표"/>
      <sheetName val="일위대가"/>
      <sheetName val="점수계산1-2"/>
      <sheetName val="LinerWt"/>
      <sheetName val="입찰내역 발주처 양식"/>
      <sheetName val="37개월"/>
      <sheetName val="주형"/>
      <sheetName val="sum1 (2)"/>
      <sheetName val="적격"/>
      <sheetName val="공사비증감"/>
      <sheetName val="미드수량"/>
      <sheetName val="참조"/>
      <sheetName val="DATE"/>
      <sheetName val="단가표"/>
      <sheetName val="slipsumpR"/>
      <sheetName val="건축공사실행"/>
      <sheetName val="원가(통신)"/>
      <sheetName val="표지"/>
      <sheetName val="설비원가"/>
      <sheetName val="대비표"/>
      <sheetName val="골조시행"/>
      <sheetName val="3.바닥판설계"/>
      <sheetName val="Sheet1 (2)"/>
      <sheetName val="집행내역"/>
      <sheetName val="Borrower"/>
      <sheetName val="중요02월25일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단가추이"/>
      <sheetName val="경유량추이"/>
      <sheetName val="단가산출"/>
      <sheetName val="RE9604"/>
      <sheetName val="평가제외"/>
      <sheetName val="12년 CF(9월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물량표(신)"/>
      <sheetName val="대공종"/>
      <sheetName val="조경"/>
      <sheetName val="손익현황"/>
      <sheetName val="현황CODE"/>
      <sheetName val="산출근거"/>
      <sheetName val="일위(토목)"/>
      <sheetName val="_x0018__x0000_"/>
      <sheetName val=""/>
      <sheetName val="실행간접비용"/>
      <sheetName val="D-623D"/>
      <sheetName val="BQMPALOC"/>
      <sheetName val="현장지지물물량"/>
      <sheetName val="세부내역서"/>
      <sheetName val="입찰보고"/>
      <sheetName val="지점장"/>
      <sheetName val="부서코드표"/>
      <sheetName val="적용건축"/>
      <sheetName val="품셈TABLE"/>
      <sheetName val="97년추정손익계산서"/>
      <sheetName val="업무연락"/>
      <sheetName val="Ethylene"/>
      <sheetName val="월별매출"/>
      <sheetName val="ChlorAlkali"/>
      <sheetName val="VXXXXXXX"/>
      <sheetName val="13월별BS"/>
      <sheetName val="하수급견적대비"/>
      <sheetName val="참조시트"/>
      <sheetName val="表21 净利润调节表"/>
      <sheetName val="원가계산하도"/>
      <sheetName val="504전기실 동부하-L"/>
      <sheetName val="Sheet15"/>
      <sheetName val="Sheet9"/>
      <sheetName val="DUT-BAT1"/>
      <sheetName val="슬래브"/>
      <sheetName val="ADR"/>
      <sheetName val="부하계산서"/>
      <sheetName val="설산1.나"/>
      <sheetName val="본사S"/>
      <sheetName val="재고현황"/>
      <sheetName val="발행제기"/>
      <sheetName val="2.대외공문"/>
      <sheetName val="BEST"/>
      <sheetName val="통장출금액"/>
      <sheetName val="카메라"/>
      <sheetName val="실적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기성청구_공문"/>
      <sheetName val="자재단가"/>
      <sheetName val="입출재고현황 (2)"/>
      <sheetName val="자금추ȕ"/>
      <sheetName val="찍기"/>
      <sheetName val="단가일람"/>
      <sheetName val="단위량당중기"/>
      <sheetName val="수량집계표(舊)"/>
      <sheetName val="부속동"/>
      <sheetName val="Project Brief"/>
      <sheetName val="단가(반정3교-원주)"/>
      <sheetName val="CC16-내역서"/>
      <sheetName val="신공"/>
      <sheetName val="Y-WORK"/>
      <sheetName val="동절기투입(자재)"/>
      <sheetName val="건축내역"/>
      <sheetName val="2.주요계수총괄"/>
      <sheetName val="현금"/>
      <sheetName val="월별수입"/>
      <sheetName val="차수"/>
      <sheetName val="담보"/>
      <sheetName val="1유리"/>
      <sheetName val="예적금"/>
      <sheetName val="월별손익"/>
      <sheetName val="매출"/>
      <sheetName val="비가동-20"/>
      <sheetName val="완제품3"/>
      <sheetName val="TRE TABLE"/>
      <sheetName val="C3"/>
      <sheetName val="주현(해보)"/>
      <sheetName val="주현(영광)"/>
      <sheetName val="품셈표"/>
      <sheetName val="갑근세납세필증명원"/>
      <sheetName val="cp-e1"/>
      <sheetName val="MEMORY"/>
      <sheetName val="05년말(건재)"/>
      <sheetName val="GAEYO"/>
      <sheetName val="물량표S"/>
      <sheetName val="내역표지"/>
      <sheetName val="INPUT"/>
      <sheetName val="설계명세서"/>
      <sheetName val="전신환매도율"/>
      <sheetName val="경비"/>
      <sheetName val="P.M 별"/>
      <sheetName val="정부노임단가"/>
      <sheetName val="교각계산"/>
      <sheetName val="한강운반비"/>
      <sheetName val="0001new"/>
      <sheetName val="단면 (2)"/>
      <sheetName val="약품공급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CUV"/>
      <sheetName val="Q-H"/>
      <sheetName val="VS P-Q"/>
      <sheetName val="VS  curve"/>
      <sheetName val="PAYBAK"/>
      <sheetName val="Chart1"/>
      <sheetName val="Sheet1"/>
      <sheetName val="Sheet3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Sign"/>
      <sheetName val="0531(투자지원실)"/>
      <sheetName val="01"/>
      <sheetName val="갑지"/>
      <sheetName val="Good Morning 증권-01"/>
      <sheetName val="금융비용"/>
      <sheetName val="실행내역"/>
      <sheetName val="금융"/>
      <sheetName val="입찰내역 발주처 양식"/>
      <sheetName val="유림콘도"/>
      <sheetName val="유림골조"/>
      <sheetName val="#REF"/>
      <sheetName val="Sheet4"/>
      <sheetName val="예가표"/>
      <sheetName val="0422_(2)"/>
      <sheetName val="Good_Morning_증권-01"/>
      <sheetName val="B"/>
      <sheetName val="Sheet1"/>
      <sheetName val="부하(성남)"/>
      <sheetName val="목표세부명세"/>
      <sheetName val="일반부표"/>
      <sheetName val="소비자가"/>
      <sheetName val="내역서"/>
      <sheetName val="EQT-ESTN"/>
      <sheetName val="0422_(2)1"/>
      <sheetName val="Good_Morning_증권-011"/>
      <sheetName val="입찰내역_발주처_양식"/>
      <sheetName val="차액보증"/>
      <sheetName val="입찰안"/>
      <sheetName val="갑지(추정)"/>
      <sheetName val="개요"/>
      <sheetName val="공사개요"/>
      <sheetName val="합천내역"/>
      <sheetName val="Option"/>
      <sheetName val="공통비(전체)"/>
      <sheetName val="토목공사"/>
      <sheetName val="새공통(96임금인상기준)"/>
      <sheetName val="비교1"/>
      <sheetName val="유림총괄"/>
      <sheetName val="단가표"/>
      <sheetName val="집계표"/>
      <sheetName val="Sheet2"/>
      <sheetName val="0422_(2)2"/>
      <sheetName val="Good_Morning_증권-012"/>
      <sheetName val="입찰내역_발주처_양식1"/>
      <sheetName val="내역"/>
      <sheetName val="기별(종합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음료실행"/>
      <sheetName val="금액비교"/>
      <sheetName val="입찰안"/>
      <sheetName val="시멘트"/>
      <sheetName val="설계내역서"/>
      <sheetName val="GAEYO"/>
      <sheetName val="EQUIPMENT -2"/>
      <sheetName val="45,46"/>
      <sheetName val="전체"/>
      <sheetName val="문학터널-9255(관보고-실)"/>
      <sheetName val="경비"/>
      <sheetName val="공통가설"/>
      <sheetName val="일위대가"/>
      <sheetName val="공사원가계산서"/>
      <sheetName val="DATA"/>
      <sheetName val="인사자료총집계"/>
      <sheetName val="갑지(추정)"/>
      <sheetName val="노임이"/>
      <sheetName val="배수내역 (2)"/>
      <sheetName val="G2설비도급"/>
      <sheetName val="공문"/>
      <sheetName val="금액내역서"/>
      <sheetName val="포장복구집계"/>
      <sheetName val="영동(D)"/>
      <sheetName val="EQUIPMENT_-2"/>
      <sheetName val="갑지1"/>
      <sheetName val="ETC"/>
      <sheetName val="공사내역"/>
      <sheetName val="자재단가비교표"/>
      <sheetName val="설계가"/>
      <sheetName val="Sheet1"/>
      <sheetName val="EJ"/>
      <sheetName val="총괄-1"/>
      <sheetName val="입출재고현황 (2)"/>
      <sheetName val="계산서"/>
      <sheetName val="금융"/>
      <sheetName val="플랜트 설치"/>
      <sheetName val="A-4"/>
      <sheetName val="내역"/>
      <sheetName val="점수계산1-2"/>
      <sheetName val="본부소개"/>
      <sheetName val="건축실행"/>
      <sheetName val="주요항목별"/>
      <sheetName val="을"/>
      <sheetName val="Sheet5"/>
      <sheetName val="목표세부명세"/>
      <sheetName val="ITEM"/>
      <sheetName val="골조시행"/>
      <sheetName val="내역서"/>
      <sheetName val="토목주소"/>
      <sheetName val="프랜트면허"/>
      <sheetName val="품셈TABLE"/>
      <sheetName val="Sheet4"/>
      <sheetName val="98지급계획"/>
      <sheetName val="BID"/>
      <sheetName val="설직재-1"/>
      <sheetName val="토목-물가"/>
      <sheetName val="참조"/>
      <sheetName val="XL4Poppy"/>
      <sheetName val="CTEMCOST"/>
      <sheetName val="252K444"/>
      <sheetName val="연돌일위집계"/>
      <sheetName val="NYS"/>
      <sheetName val="분양금할인"/>
      <sheetName val="C &amp; G RHS"/>
      <sheetName val="CONCRETE"/>
      <sheetName val="9GNG운반"/>
      <sheetName val="갑지"/>
      <sheetName val="INPUT"/>
      <sheetName val="01"/>
      <sheetName val="공통비총괄표"/>
      <sheetName val="Sheet2"/>
      <sheetName val="Sheet1 (2)"/>
      <sheetName val="전신환매도율"/>
      <sheetName val="하수급견적대비"/>
      <sheetName val="인제내역"/>
      <sheetName val="조명시설"/>
      <sheetName val="도급"/>
      <sheetName val="수량3"/>
      <sheetName val="sum1 (2)"/>
      <sheetName val="결과조달"/>
      <sheetName val="전계가"/>
      <sheetName val="F4-F7"/>
      <sheetName val="조건표"/>
      <sheetName val="기술부대조건"/>
      <sheetName val="총괄"/>
      <sheetName val="기초단가"/>
      <sheetName val="견적"/>
      <sheetName val="대비"/>
      <sheetName val="CON포장수량"/>
      <sheetName val="ACUNIT"/>
      <sheetName val="CONUNIT"/>
      <sheetName val="포장공"/>
      <sheetName val=" Work Order 양식_엑셀_121212.xlsx"/>
      <sheetName val="VENT"/>
      <sheetName val="단면 (2)"/>
      <sheetName val="코드"/>
      <sheetName val="공사내역서"/>
      <sheetName val="IMPEADENCE MAP 취수장"/>
      <sheetName val="MTL(AG)"/>
      <sheetName val="차액보증"/>
      <sheetName val="CAT_5"/>
      <sheetName val="발생토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정내용"/>
      <sheetName val="의뢰서"/>
      <sheetName val="답사보고서"/>
      <sheetName val="비교표"/>
      <sheetName val="품의서"/>
      <sheetName val="차별화품목"/>
      <sheetName val="공통비"/>
      <sheetName val="건축"/>
      <sheetName val="동별현황"/>
      <sheetName val="파일공사(아파트)"/>
      <sheetName val="파일산출근거"/>
      <sheetName val="부대건축"/>
      <sheetName val="파일공사(부대동)"/>
      <sheetName val="토목및철거"/>
      <sheetName val="옥외및기타"/>
      <sheetName val="#REF"/>
      <sheetName val="인사자료총집계"/>
      <sheetName val="양식001-@표준양식.xls"/>
      <sheetName val="유림총괄"/>
      <sheetName val="P.M 별"/>
      <sheetName val="프랜트면허"/>
      <sheetName val="토목주소"/>
      <sheetName val="실행"/>
      <sheetName val="유림골조"/>
      <sheetName val="공통부대비"/>
      <sheetName val="01"/>
      <sheetName val="잡비"/>
      <sheetName val="갑지(추정)"/>
      <sheetName val="약품설비"/>
      <sheetName val="경비"/>
      <sheetName val="노임이"/>
      <sheetName val="CTEMCOST"/>
      <sheetName val="Sheet5"/>
      <sheetName val="합천내역"/>
      <sheetName val="금융"/>
      <sheetName val="총괄"/>
      <sheetName val="1ST"/>
      <sheetName val="기본사항"/>
      <sheetName val="단가표"/>
      <sheetName val="견적"/>
      <sheetName val="점당객석수"/>
      <sheetName val="수량산출"/>
      <sheetName val="표지"/>
      <sheetName val="96월별PL"/>
      <sheetName val="작성"/>
      <sheetName val="임원,관리,별도"/>
      <sheetName val="N賃率-職"/>
      <sheetName val="직노"/>
      <sheetName val="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시멘트"/>
      <sheetName val="공통가설"/>
      <sheetName val="FURNITURE-01"/>
      <sheetName val="점수계산1-2"/>
      <sheetName val="I一般比"/>
      <sheetName val="입찰안"/>
      <sheetName val="SUMMARY"/>
      <sheetName val="PAINT"/>
      <sheetName val="추가예산"/>
      <sheetName val="토목주소"/>
      <sheetName val="프랜트면허"/>
      <sheetName val="Customer Databas"/>
      <sheetName val="공사비집계"/>
      <sheetName val="목표세부명세"/>
      <sheetName val="45,46"/>
      <sheetName val="현금흐름"/>
      <sheetName val="인건비"/>
      <sheetName val="수입"/>
      <sheetName val="A-4"/>
      <sheetName val="공문"/>
      <sheetName val="상가지급현황"/>
      <sheetName val="교각1"/>
      <sheetName val="Sheet5"/>
      <sheetName val="내역"/>
      <sheetName val="음료실행"/>
      <sheetName val="갑지(추정)"/>
      <sheetName val="ITEM"/>
      <sheetName val="인사자료총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EYO"/>
      <sheetName val="개요"/>
      <sheetName val="Ext. Stone-P"/>
      <sheetName val="FURNITURE-01"/>
      <sheetName val="시화점실행"/>
      <sheetName val="천안IP공장자100노100물량110할증"/>
      <sheetName val="Sheet5"/>
      <sheetName val="Girder"/>
      <sheetName val="공문"/>
      <sheetName val="토목주소"/>
      <sheetName val="프랜트면허"/>
      <sheetName val="플랜트 설치"/>
      <sheetName val="입찰안"/>
      <sheetName val="INPUT"/>
      <sheetName val="BSD (2)"/>
      <sheetName val="#REF"/>
      <sheetName val="정부노임단가"/>
      <sheetName val="인사자료총집계"/>
      <sheetName val="I一般比"/>
      <sheetName val="ETC"/>
      <sheetName val="갑지(추정)"/>
      <sheetName val="기본DATA"/>
      <sheetName val="CAT_5"/>
      <sheetName val="ITEM"/>
      <sheetName val="DATE"/>
      <sheetName val="갑지"/>
      <sheetName val="GAEYOXLS"/>
      <sheetName val="노임이"/>
      <sheetName val="직노"/>
      <sheetName val="추가예산"/>
      <sheetName val="APT"/>
      <sheetName val="부속동"/>
      <sheetName val="제출견적(을)"/>
      <sheetName val="6호기"/>
      <sheetName val="집행갑지"/>
      <sheetName val="내역서"/>
      <sheetName val="Parts"/>
      <sheetName val="Menu A"/>
      <sheetName val="간접경상비"/>
      <sheetName val="경제성분석"/>
      <sheetName val="공사개요"/>
      <sheetName val="매입세율"/>
      <sheetName val="광혁기성"/>
      <sheetName val="FB25JN"/>
      <sheetName val="원부자재"/>
      <sheetName val="갑지1"/>
      <sheetName val="양수장(기계)"/>
      <sheetName val="45,46"/>
      <sheetName val="일위대가"/>
      <sheetName val="SUMMARY"/>
      <sheetName val="PAINT"/>
      <sheetName val="소요자재"/>
      <sheetName val="노무산출서"/>
      <sheetName val="데이타"/>
      <sheetName val="식재인부"/>
      <sheetName val="공정코드"/>
      <sheetName val="예비품"/>
      <sheetName val="COMPOHP (2)"/>
      <sheetName val="Y-WORK"/>
      <sheetName val="대리점판정"/>
      <sheetName val="XZLC004_PART2"/>
      <sheetName val="sw1"/>
      <sheetName val="NOMUBI"/>
      <sheetName val="기존단가 (2)"/>
      <sheetName val="BID"/>
      <sheetName val="식재총괄"/>
      <sheetName val="기존"/>
      <sheetName val="단가산출1"/>
      <sheetName val="설계조건"/>
      <sheetName val="전신환매도율"/>
      <sheetName val="chitimc"/>
      <sheetName val="적용률"/>
      <sheetName val="차액보증"/>
      <sheetName val="1공구산출내역서"/>
      <sheetName val="plan&amp;section of foundation"/>
      <sheetName val="design criteria"/>
      <sheetName val="Total"/>
      <sheetName val="포장복구집계"/>
      <sheetName val="EQUIPMENT -2"/>
      <sheetName val="ABUT수량-A1"/>
      <sheetName val="건축집계"/>
      <sheetName val="설 계"/>
      <sheetName val="입출재고현황 (2)"/>
      <sheetName val="PANEL"/>
      <sheetName val="재료율"/>
      <sheetName val="4)유동표"/>
      <sheetName val="Sheet1 (2)"/>
      <sheetName val="일위"/>
      <sheetName val="잡비"/>
      <sheetName val="코드"/>
      <sheetName val="목표세부명세"/>
      <sheetName val="설계내역서"/>
      <sheetName val="9GNG운반"/>
      <sheetName val="기존단가_(2)"/>
      <sheetName val="Ext__Stone-P"/>
      <sheetName val="플랜트_설치"/>
      <sheetName val="BSD_(2)"/>
      <sheetName val="Menu_A"/>
      <sheetName val="연부97-1"/>
      <sheetName val="연돌일위집계"/>
      <sheetName val="실행내역서 "/>
      <sheetName val="연습"/>
      <sheetName val="원가계산"/>
      <sheetName val="콘크리트타설집계표"/>
      <sheetName val="횡배수관토공수량"/>
      <sheetName val="내역"/>
      <sheetName val="TOTAL1"/>
      <sheetName val="예산"/>
      <sheetName val="실행철강하도"/>
      <sheetName val="Curves"/>
      <sheetName val="Tables"/>
      <sheetName val="A-4"/>
      <sheetName val="노원열병합  건축공사기성내역서"/>
      <sheetName val="단위세대물량"/>
      <sheetName val="PROJECT BRIEF(EX.NEW)"/>
      <sheetName val="C_d"/>
      <sheetName val="을"/>
      <sheetName val="EJ"/>
      <sheetName val="BSD _2_"/>
      <sheetName val="일반부표"/>
      <sheetName val="6동"/>
      <sheetName val="기안지"/>
      <sheetName val="금융"/>
      <sheetName val="기흥하도용"/>
      <sheetName val="Customer Databas"/>
      <sheetName val="N賃率-職"/>
      <sheetName val="Raw Data"/>
      <sheetName val="업무분장"/>
      <sheetName val="집계표"/>
      <sheetName val="01"/>
      <sheetName val="DATA"/>
      <sheetName val="가압장(토목)"/>
      <sheetName val="금액"/>
      <sheetName val="교통대책내역"/>
      <sheetName val="품셈TABLE"/>
      <sheetName val="청천내"/>
      <sheetName val="품종별-이름"/>
      <sheetName val="전계가"/>
      <sheetName val="소방사항"/>
      <sheetName val="산#3-2-2"/>
      <sheetName val="시멘트"/>
      <sheetName val="산출내역서집계표"/>
      <sheetName val="XZLC003_PART1"/>
      <sheetName val="공통가설"/>
      <sheetName val="위치조서"/>
      <sheetName val="배수내역 (2)"/>
      <sheetName val="빗물받이(910-510-410)"/>
      <sheetName val="220 (2)"/>
      <sheetName val="견적서"/>
      <sheetName val="날개벽수량표"/>
      <sheetName val="심의위원명단"/>
      <sheetName val="7월11일"/>
      <sheetName val="견"/>
      <sheetName val="일위대가표"/>
      <sheetName val="1.취수장"/>
      <sheetName val="STAND20"/>
      <sheetName val="1층"/>
      <sheetName val="원본"/>
      <sheetName val="별표집계"/>
      <sheetName val="말뚝물량"/>
      <sheetName val="실행내역"/>
      <sheetName val="_REF"/>
      <sheetName val="마산월령동골조물량변경"/>
      <sheetName val="상반기손익차2총괄"/>
      <sheetName val="평균터파기고(1-2,ASP)"/>
      <sheetName val="VLOOKUP"/>
      <sheetName val="cal-foamglass"/>
      <sheetName val="BQ List"/>
      <sheetName val="PipWT"/>
      <sheetName val="TTL"/>
      <sheetName val="7-2"/>
      <sheetName val="F-302"/>
      <sheetName val="F301.303"/>
      <sheetName val="공사설계서"/>
      <sheetName val="일반설비내역서"/>
      <sheetName val="NYS"/>
      <sheetName val="ASP"/>
      <sheetName val="EACT10"/>
      <sheetName val="자재단가"/>
      <sheetName val="IMPEADENCE MAP 취수장"/>
      <sheetName val="터파기및재료"/>
      <sheetName val="표지"/>
      <sheetName val="견적을지"/>
      <sheetName val="내역 누락분 수량산출서"/>
      <sheetName val="Sheet4"/>
      <sheetName val="전차선로 물량표"/>
      <sheetName val="PIPE(UG)내역"/>
      <sheetName val="점수계산1-2"/>
      <sheetName val="수입"/>
      <sheetName val="명세서"/>
      <sheetName val="낙찰표"/>
      <sheetName val="HW일위"/>
      <sheetName val="VENT"/>
      <sheetName val="단가산출"/>
      <sheetName val="Lr"/>
      <sheetName val="노무비"/>
      <sheetName val="COVER-P"/>
      <sheetName val="다곡2교"/>
      <sheetName val="단가대비표"/>
      <sheetName val="단가"/>
      <sheetName val="매립"/>
      <sheetName val="부대공Ⅱ"/>
      <sheetName val="처리단락"/>
      <sheetName val="DB"/>
      <sheetName val="sheet1"/>
      <sheetName val="D-경비1"/>
      <sheetName val="견적대비 견적서"/>
      <sheetName val="입찰보고"/>
      <sheetName val="피벗테이블데이터분석"/>
      <sheetName val="적용단위길이"/>
      <sheetName val="특수기호강도거푸집"/>
      <sheetName val="종배수관면벽신"/>
      <sheetName val="종배수관(신)"/>
      <sheetName val="자료입력"/>
      <sheetName val="LD"/>
      <sheetName val="소비자가"/>
      <sheetName val="cal"/>
      <sheetName val="도급"/>
      <sheetName val="70%"/>
      <sheetName val="EQUIP LIST"/>
      <sheetName val="Note"/>
      <sheetName val="Heads"/>
      <sheetName val="Page 2"/>
      <sheetName val="Dbase"/>
      <sheetName val="가설공사"/>
      <sheetName val="VXXXXX"/>
      <sheetName val=" 갑지"/>
      <sheetName val="EXCHANGER-BEAM1"/>
      <sheetName val="EXCHANGER-COM"/>
      <sheetName val="EXCHANGER"/>
      <sheetName val="EXCHANGER-BEAM2"/>
      <sheetName val="원가계산서"/>
      <sheetName val="설계변경내역서"/>
      <sheetName val="총괄내역서"/>
      <sheetName val="경비"/>
      <sheetName val="방수"/>
      <sheetName val="총원"/>
      <sheetName val="소요자재명세서"/>
      <sheetName val="노무비명세서"/>
      <sheetName val="건축내역"/>
      <sheetName val="수전기기DATA"/>
      <sheetName val="방배동내역(리라)"/>
      <sheetName val="부대공사총괄"/>
      <sheetName val="현장경비"/>
      <sheetName val="건축공사집계표"/>
      <sheetName val="9609추"/>
      <sheetName val="CTEMCOST"/>
      <sheetName val="Ext__Stone-P1"/>
      <sheetName val="플랜트_설치1"/>
      <sheetName val="BSD_(2)1"/>
      <sheetName val="Menu_A1"/>
      <sheetName val="기존단가_(2)1"/>
      <sheetName val="COMPOHP_(2)"/>
      <sheetName val="plan&amp;section_of_foundation"/>
      <sheetName val="design_criteria"/>
      <sheetName val="EQUIPMENT_-2"/>
      <sheetName val="입출재고현황_(2)"/>
      <sheetName val="설_계"/>
      <sheetName val="Sheet1_(2)"/>
      <sheetName val="노원열병합__건축공사기성내역서"/>
      <sheetName val="PROJECT_BRIEF(EX_NEW)"/>
      <sheetName val="실행내역서_"/>
      <sheetName val="BSD__2_"/>
      <sheetName val="Customer_Databas"/>
      <sheetName val="Raw_Data"/>
      <sheetName val="배수내역_(2)"/>
      <sheetName val="220_(2)"/>
      <sheetName val="1_취수장"/>
      <sheetName val="약품설비"/>
      <sheetName val="식음료"/>
      <sheetName val="종단계산"/>
      <sheetName val="200"/>
      <sheetName val="열린교실"/>
      <sheetName val="Feuil1"/>
      <sheetName val="설비원가"/>
      <sheetName val="진접"/>
      <sheetName val="현장관리비"/>
      <sheetName val="asd"/>
      <sheetName val="월별수입"/>
      <sheetName val="DHEQSUPT"/>
      <sheetName val="수량산출"/>
      <sheetName val="HANDHOLE(2)"/>
      <sheetName val="품셈(기초)"/>
      <sheetName val="골재산출"/>
      <sheetName val="조명시설"/>
      <sheetName val="Sheet3"/>
      <sheetName val="수량산출서 갑지"/>
      <sheetName val="중기일위대가"/>
      <sheetName val="날개½_x0000_뜀표"/>
      <sheetName val="상가지급현황"/>
      <sheetName val="예가표"/>
      <sheetName val="98지급계획"/>
      <sheetName val="공량산출근거서"/>
      <sheetName val="와동25-3(변경)"/>
      <sheetName val="문화재토적"/>
      <sheetName val="개요입력"/>
      <sheetName val="수량기준"/>
      <sheetName val="단가기준"/>
      <sheetName val="FORM-0"/>
      <sheetName val="직공비"/>
      <sheetName val="덕전리"/>
      <sheetName val="AC-01-원본"/>
      <sheetName val="견적대비표"/>
      <sheetName val="기초일위"/>
      <sheetName val="시설일위"/>
      <sheetName val="조명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업체FIX"/>
      <sheetName val="내역"/>
      <sheetName val="인사자료총집계"/>
      <sheetName val="원가계산서"/>
      <sheetName val="음료실행"/>
      <sheetName val="TEST1"/>
      <sheetName val="실행(표지,갑,을)"/>
      <sheetName val="갑지1"/>
      <sheetName val="01"/>
      <sheetName val="공문"/>
      <sheetName val="프랜트면허"/>
      <sheetName val="토목주소"/>
      <sheetName val="1ST"/>
      <sheetName val="수량명세서"/>
      <sheetName val="연결임시"/>
      <sheetName val="을"/>
      <sheetName val="갑지(추정)"/>
      <sheetName val="참조"/>
      <sheetName val="실행내역"/>
      <sheetName val="경비"/>
      <sheetName val="Sheet1"/>
      <sheetName val="중기사용료"/>
      <sheetName val="업무처리전"/>
      <sheetName val="원가계산"/>
      <sheetName val="목표세부명세"/>
      <sheetName val="금액내역서"/>
      <sheetName val="EQT-ESTN"/>
      <sheetName val="CTEMCOST"/>
      <sheetName val="인원투입현황"/>
      <sheetName val="Sheet3"/>
      <sheetName val="#REF"/>
      <sheetName val="아파트"/>
      <sheetName val="부속동"/>
      <sheetName val="주차장"/>
      <sheetName val="골조내역"/>
      <sheetName val="공사개요"/>
      <sheetName val="Sheet12"/>
      <sheetName val="개요"/>
      <sheetName val="부대입찰갑지"/>
      <sheetName val="하도급사항(목포)"/>
      <sheetName val="확약서"/>
      <sheetName val="부대내역갑지"/>
      <sheetName val="원도급계약예정금액"/>
      <sheetName val="원하예정금액대비표(목포)"/>
      <sheetName val="하도급계약예정금액"/>
      <sheetName val="원하도급세부내역"/>
      <sheetName val="도급내역"/>
      <sheetName val="지급자재"/>
      <sheetName val="간접비계산"/>
      <sheetName val="부대입찰"/>
      <sheetName val="골조시행"/>
      <sheetName val="일위대가"/>
      <sheetName val="전체"/>
      <sheetName val="실행철강하도"/>
      <sheetName val="주요항목별"/>
      <sheetName val="APT"/>
      <sheetName val="일위"/>
      <sheetName val="예산총괄"/>
      <sheetName val="정산내역"/>
      <sheetName val="시화점실행"/>
      <sheetName val="단가"/>
      <sheetName val="FACTOR"/>
      <sheetName val="원가계산서(변경)"/>
      <sheetName val="대림경상68억"/>
      <sheetName val="1공구산출내역서"/>
      <sheetName val="사업수지"/>
      <sheetName val="옥외등신설"/>
      <sheetName val="저케CV22신설"/>
      <sheetName val="저케CV38신설"/>
      <sheetName val="저케CV8신설"/>
      <sheetName val="접지3종"/>
      <sheetName val="합계"/>
      <sheetName val="인부신상자료"/>
      <sheetName val="일위목록"/>
      <sheetName val="요율"/>
      <sheetName val="단가표"/>
      <sheetName val="갑(전기)"/>
      <sheetName val="갑(계장)"/>
      <sheetName val="2공구산출내역"/>
      <sheetName val="산출내역서"/>
      <sheetName val="1,2공구원가계산서"/>
      <sheetName val="소비자가"/>
      <sheetName val="토목단가"/>
      <sheetName val="경산"/>
      <sheetName val="수량산출"/>
      <sheetName val="을지"/>
      <sheetName val="선급금신청서"/>
      <sheetName val="신우"/>
      <sheetName val="집계표"/>
      <sheetName val="입찰안"/>
      <sheetName val="백암비스타내역"/>
      <sheetName val="투자효율분석"/>
      <sheetName val="Y-WORK"/>
      <sheetName val="총괄표"/>
      <sheetName val="2"/>
      <sheetName val="실행간접비"/>
      <sheetName val="기본설계기준"/>
      <sheetName val="간접(90)"/>
      <sheetName val="안양동교 1안"/>
      <sheetName val="SULKEA"/>
      <sheetName val="XXXXXX"/>
      <sheetName val="1유리"/>
      <sheetName val="b_balju (2)"/>
      <sheetName val="b_gunmul"/>
      <sheetName val="공통가설"/>
      <sheetName val="제경비율"/>
      <sheetName val="대비2"/>
      <sheetName val="시운전연료비"/>
      <sheetName val="회사정보"/>
      <sheetName val="설계내역서"/>
      <sheetName val="Customer Datab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BSD (2)"/>
      <sheetName val="BID"/>
      <sheetName val="을"/>
      <sheetName val=" 견적서"/>
      <sheetName val="EACT10"/>
      <sheetName val="교각1"/>
      <sheetName val="시멘트"/>
      <sheetName val="TEL"/>
      <sheetName val="소비자가"/>
      <sheetName val="설계명세서"/>
      <sheetName val="견적서"/>
      <sheetName val="danga"/>
      <sheetName val="Customer Databas"/>
      <sheetName val="노원열병합  건축공사기성내역서"/>
      <sheetName val="단가표"/>
      <sheetName val="일위대가목차"/>
      <sheetName val="#REF"/>
      <sheetName val="공사개요"/>
      <sheetName val="MATRLDATA"/>
      <sheetName val="구미4단2"/>
      <sheetName val="CAPVC"/>
      <sheetName val="FCU (2)"/>
      <sheetName val="Data"/>
      <sheetName val="수량산출"/>
      <sheetName val="단가조사"/>
      <sheetName val="보도경계블럭"/>
      <sheetName val="개요"/>
      <sheetName val="2.고용보험료산출근거"/>
      <sheetName val="경비2내역"/>
      <sheetName val="날개벽"/>
      <sheetName val="갑지"/>
      <sheetName val="기초공"/>
      <sheetName val="기둥(원형)"/>
      <sheetName val="대비"/>
      <sheetName val="공사비집계"/>
      <sheetName val="집계표"/>
      <sheetName val="데이타"/>
      <sheetName val="내역서"/>
      <sheetName val="일위대가"/>
      <sheetName val="2공구산출내역"/>
      <sheetName val="Proposal"/>
      <sheetName val="단위세대"/>
      <sheetName val="제경비"/>
      <sheetName val="구조물공1"/>
      <sheetName val="배수및구조물공1"/>
      <sheetName val="설계조건"/>
      <sheetName val="CC16-내역서"/>
      <sheetName val="건축원가계산서"/>
      <sheetName val="금액집계"/>
      <sheetName val="Galaxy 소비자가격표"/>
      <sheetName val="design criteria"/>
      <sheetName val="working load at the btm ft."/>
      <sheetName val="plan&amp;section of foundation"/>
      <sheetName val="member design"/>
      <sheetName val="soil bearing check"/>
      <sheetName val="전기일위대가"/>
      <sheetName val="Total"/>
      <sheetName val="PUMP"/>
      <sheetName val="내역"/>
      <sheetName val="갑지(추정)"/>
      <sheetName val="ilch"/>
      <sheetName val="6호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일위대가"/>
      <sheetName val="여과지동"/>
      <sheetName val="기초자료"/>
      <sheetName val="내역"/>
      <sheetName val="개요"/>
      <sheetName val="BID"/>
      <sheetName val="일위_파일"/>
      <sheetName val="집계표"/>
      <sheetName val="산출내역서집계표"/>
      <sheetName val="전기단가조사서"/>
      <sheetName val="내역서"/>
      <sheetName val="선급금신청서"/>
      <sheetName val="원남울진낙찰내역(99.4.13 부산청)"/>
      <sheetName val="시화점실행"/>
      <sheetName val="BSD (2)"/>
      <sheetName val="Sheet2"/>
      <sheetName val="일반공사"/>
      <sheetName val="기초작업"/>
      <sheetName val="차액보증"/>
      <sheetName val="하수급견적대비"/>
      <sheetName val="금융비용"/>
      <sheetName val="자재단가"/>
      <sheetName val="유림총괄"/>
      <sheetName val="견적정보"/>
      <sheetName val="갑지(추정)"/>
      <sheetName val="정보"/>
      <sheetName val="자재단가비교표"/>
      <sheetName val="SP-B1"/>
      <sheetName val="네고율"/>
      <sheetName val="표지"/>
      <sheetName val="PROJECT BRIEF"/>
      <sheetName val="수량산출"/>
      <sheetName val="설비"/>
      <sheetName val="산출근거"/>
      <sheetName val="변경품셈총괄"/>
      <sheetName val="인력터파기품"/>
      <sheetName val="우수"/>
      <sheetName val="지급자재"/>
      <sheetName val="터널조도"/>
      <sheetName val="대림경상68억"/>
      <sheetName val="플랜트 설치"/>
      <sheetName val="날개벽수량표"/>
      <sheetName val="전체"/>
      <sheetName val="N賃率-職"/>
      <sheetName val="추가예산"/>
      <sheetName val="POOM_MOTO"/>
      <sheetName val="POOM_MOTO2"/>
      <sheetName val="선정요령"/>
      <sheetName val="입찰안"/>
      <sheetName val="평당자료"/>
      <sheetName val="Total"/>
      <sheetName val="5.전사투자계획종함안"/>
      <sheetName val="Macro(차단기)"/>
      <sheetName val="#REF"/>
      <sheetName val="1단계"/>
      <sheetName val="마산방향"/>
      <sheetName val="진주방향"/>
      <sheetName val="00상노임"/>
      <sheetName val="노임단가"/>
      <sheetName val="WORK"/>
      <sheetName val="Sheet1"/>
      <sheetName val="기계경비"/>
      <sheetName val="본사인상전"/>
      <sheetName val="영동(D)"/>
      <sheetName val="cp1"/>
      <sheetName val="간접(90)"/>
      <sheetName val="남양내역"/>
      <sheetName val="용수간선"/>
      <sheetName val="DATA"/>
      <sheetName val="COVER"/>
      <sheetName val="단양 00 아파트-세부내역"/>
      <sheetName val="Sheet6"/>
      <sheetName val="관경별우수관집계"/>
      <sheetName val="차수"/>
      <sheetName val="터파기및재료"/>
      <sheetName val="대치판정"/>
      <sheetName val="예산조서"/>
      <sheetName val="전체공내역서"/>
      <sheetName val="기초단가"/>
      <sheetName val="BASE DATA1"/>
      <sheetName val="안양동교 1안"/>
      <sheetName val="6호기"/>
      <sheetName val="건축공사집계"/>
      <sheetName val="조명시설"/>
      <sheetName val="갱폼수직망"/>
      <sheetName val="시설물 설치표"/>
      <sheetName val="소상 &quot;1&quot;"/>
      <sheetName val="JUCKEYK"/>
      <sheetName val="2공구산출내역"/>
      <sheetName val="CONCRETE"/>
      <sheetName val="공통가설"/>
      <sheetName val="화재 탐지 설비"/>
      <sheetName val="PROJECT BRIEF(EX.NEW)"/>
      <sheetName val="본실행경비"/>
      <sheetName val="노임"/>
      <sheetName val="Baby일위대가"/>
      <sheetName val="대가표(품셈)"/>
      <sheetName val="중동상가"/>
      <sheetName val="SCH"/>
      <sheetName val="내역서단가산출용"/>
      <sheetName val="연습장소"/>
      <sheetName val="부대내역"/>
      <sheetName val="일위대가(1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내역서"/>
      <sheetName val="소상 &quot;1&quot;"/>
      <sheetName val="원남울진낙찰내역(99.4.13 부산청)"/>
      <sheetName val="장비명"/>
      <sheetName val="STORAGE"/>
      <sheetName val="일반공사"/>
      <sheetName val="타공종이기"/>
      <sheetName val="금액내역서"/>
      <sheetName val="BID"/>
      <sheetName val="건축집계"/>
      <sheetName val="BACK DATA"/>
      <sheetName val="Sheet1"/>
      <sheetName val="01"/>
      <sheetName val="cable-data"/>
      <sheetName val="매입세"/>
      <sheetName val="공사개요"/>
      <sheetName val="c_balju"/>
      <sheetName val="2.대외공문"/>
      <sheetName val="조도계산서 (도서)"/>
      <sheetName val="외천교"/>
      <sheetName val="현장관리비 산출내역"/>
      <sheetName val="차액보증"/>
      <sheetName val="Table"/>
      <sheetName val="정부노임단가"/>
      <sheetName val="CONCRETE"/>
      <sheetName val="Customer Databas"/>
      <sheetName val="FANDBS"/>
      <sheetName val="GRDATA"/>
      <sheetName val="SHAFTDBSE"/>
      <sheetName val="TEL"/>
      <sheetName val="을"/>
      <sheetName val="와동25-3(변경)"/>
      <sheetName val="JUCK"/>
      <sheetName val="약품공급2"/>
      <sheetName val="수안보-MBR1"/>
      <sheetName val="공사비집계"/>
      <sheetName val="#REF"/>
      <sheetName val="우각부보강"/>
      <sheetName val="DATA"/>
      <sheetName val="우배수"/>
      <sheetName val="계산식"/>
      <sheetName val="밸브설치"/>
      <sheetName val="매입세율"/>
      <sheetName val="Pjny"/>
      <sheetName val="쌍송교"/>
      <sheetName val="갑지(추정)"/>
      <sheetName val="부하(성남)"/>
      <sheetName val="MOTOR"/>
      <sheetName val="DATA1"/>
      <sheetName val="물량표"/>
      <sheetName val="Graph (LGEN)"/>
      <sheetName val="out_prog"/>
      <sheetName val="선적schedule (2)"/>
      <sheetName val="집수정(600-700)"/>
      <sheetName val="설명"/>
      <sheetName val="준검 내역서"/>
      <sheetName val="6PILE  (돌출)"/>
      <sheetName val="98수문일위"/>
      <sheetName val="예정(3)"/>
      <sheetName val="수량산출"/>
      <sheetName val="archi(본사)"/>
      <sheetName val="P-산#1-1(WOWA1)"/>
      <sheetName val="간접비"/>
      <sheetName val="동해title"/>
      <sheetName val="관람석제출"/>
      <sheetName val="기초자료입력"/>
      <sheetName val="DATE"/>
      <sheetName val="ABUT수량-A1"/>
      <sheetName val="Y-WORK"/>
      <sheetName val="원형1호맨홀토공수량"/>
      <sheetName val="다이꾸"/>
      <sheetName val="부하LOAD"/>
      <sheetName val="COVER"/>
      <sheetName val="Total"/>
      <sheetName val="Cost bd-&quot;A&quot;"/>
      <sheetName val="1공구(을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본댐"/>
      <sheetName val="도수"/>
      <sheetName val="ssb"/>
      <sheetName val="증감"/>
      <sheetName val="토목"/>
      <sheetName val="국고"/>
      <sheetName val="발전"/>
      <sheetName val="건축"/>
      <sheetName val="건축내역"/>
      <sheetName val="기계"/>
      <sheetName val="전기"/>
      <sheetName val="통신"/>
      <sheetName val="집계"/>
      <sheetName val="챠트"/>
      <sheetName val="물가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13차"/>
      <sheetName val="정부노임단가"/>
      <sheetName val="실행철강하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노임이"/>
      <sheetName val="Front"/>
      <sheetName val="wall"/>
      <sheetName val="#REF"/>
      <sheetName val="Total"/>
      <sheetName val="2003상반기노임기준"/>
      <sheetName val="갑지"/>
      <sheetName val="집계표"/>
      <sheetName val="일위대가표"/>
      <sheetName val="내역"/>
      <sheetName val="소비자가"/>
      <sheetName val="산업"/>
      <sheetName val="정보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실행"/>
      <sheetName val="입찰견적보고서"/>
      <sheetName val="산근"/>
      <sheetName val="자재가격조사표"/>
      <sheetName val="MYENGBU"/>
      <sheetName val="설계서(본관)"/>
      <sheetName val="물가시세"/>
      <sheetName val="원가계산하도"/>
      <sheetName val="전기"/>
      <sheetName val="중기조종사 단위단가"/>
      <sheetName val="기초단가"/>
      <sheetName val="1-최종안"/>
      <sheetName val="사업분석-분양가결정"/>
      <sheetName val="설계명세서"/>
      <sheetName val="BID"/>
      <sheetName val="2000년1차"/>
      <sheetName val="전등설비"/>
      <sheetName val="설계내역서"/>
      <sheetName val="건축(G6)"/>
      <sheetName val="철거(G6)"/>
      <sheetName val="토목(G6)"/>
      <sheetName val="총괄표"/>
      <sheetName val="자판실행"/>
      <sheetName val="1차 내역서"/>
      <sheetName val="실행대비"/>
      <sheetName val="암센터"/>
      <sheetName val="실행(ALT1)"/>
      <sheetName val="내역서2안"/>
      <sheetName val="해평견적"/>
      <sheetName val="내역서1999.8최종"/>
      <sheetName val="EL90"/>
      <sheetName val="개산공사비"/>
      <sheetName val="설비(제출)"/>
      <sheetName val="견적조건"/>
      <sheetName val="총괄내역서"/>
      <sheetName val="예산명세서"/>
      <sheetName val="자료입력"/>
      <sheetName val="시장성초안camera"/>
      <sheetName val="CON'C"/>
      <sheetName val="5.설계명세서"/>
      <sheetName val="설비원가"/>
      <sheetName val="친환경주택"/>
      <sheetName val="원가계산"/>
      <sheetName val="견적단가"/>
      <sheetName val="조명시설"/>
      <sheetName val="단가및재료비"/>
      <sheetName val="b_balju"/>
      <sheetName val="일위목록"/>
      <sheetName val="세금자료"/>
      <sheetName val="경제지표"/>
      <sheetName val="원가data"/>
      <sheetName val="설계"/>
      <sheetName val="공사설명서"/>
      <sheetName val="실행철강하도"/>
      <sheetName val="정부노임단가"/>
      <sheetName val="1.수인터널"/>
      <sheetName val="데이타"/>
      <sheetName val="식재인부"/>
      <sheetName val="주빔의 설계"/>
      <sheetName val="바닥판"/>
      <sheetName val="입력DATA"/>
      <sheetName val="21301동"/>
      <sheetName val="투자비"/>
      <sheetName val="조성원가DATA"/>
      <sheetName val="사업비"/>
      <sheetName val="CTEMCOST"/>
      <sheetName val="공사개요"/>
      <sheetName val="대비"/>
      <sheetName val="예총"/>
      <sheetName val="2005(공무2)"/>
      <sheetName val="지질조사"/>
      <sheetName val="설계변경총괄표(계산식)"/>
      <sheetName val="내역서"/>
      <sheetName val="BSD (2)"/>
      <sheetName val="갑지(추정)"/>
      <sheetName val="Sheet1"/>
      <sheetName val="Sheet1 (2)"/>
      <sheetName val="6PILE  (돌출)"/>
      <sheetName val="노무비단가"/>
      <sheetName val="Sheet12"/>
      <sheetName val="M-MG1"/>
      <sheetName val="내역서 (2)"/>
      <sheetName val="단가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내역서"/>
      <sheetName val="현장경비"/>
      <sheetName val="데이타"/>
      <sheetName val="현장경상비"/>
      <sheetName val="갑지(추정)"/>
      <sheetName val="식재인부"/>
      <sheetName val="갑지1"/>
      <sheetName val="샤워실위생"/>
      <sheetName val="현장관리비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원가"/>
      <sheetName val="시멘트"/>
      <sheetName val="일위대가"/>
      <sheetName val="일위대가표"/>
      <sheetName val="노임이"/>
      <sheetName val="DATE"/>
      <sheetName val="중기사용료"/>
      <sheetName val="작성"/>
      <sheetName val="실행예산-변경분"/>
      <sheetName val="견적의뢰"/>
      <sheetName val="집계표"/>
      <sheetName val="동원인원"/>
      <sheetName val="Total"/>
      <sheetName val="입찰견적보고서"/>
      <sheetName val="금액"/>
      <sheetName val="판매시설"/>
      <sheetName val="평가데이터"/>
      <sheetName val="#REF"/>
      <sheetName val="요율"/>
      <sheetName val=" 갑  지 "/>
      <sheetName val="협력업체"/>
      <sheetName val="수량집계"/>
      <sheetName val="노임단가"/>
      <sheetName val="예가표"/>
      <sheetName val="건축직영"/>
      <sheetName val="계DATA"/>
      <sheetName val="실DATA "/>
      <sheetName val="내역서(1)"/>
      <sheetName val="산업"/>
      <sheetName val="음료실행"/>
      <sheetName val="지수980731이후"/>
      <sheetName val="내역표지"/>
      <sheetName val="설계서(7)"/>
      <sheetName val="개요"/>
      <sheetName val="현장관리"/>
      <sheetName val="프랜트면허"/>
      <sheetName val="토목주소"/>
      <sheetName val="소비자가"/>
      <sheetName val="인제내역"/>
      <sheetName val="실DATA_"/>
      <sheetName val="조내역"/>
      <sheetName val="조직도"/>
      <sheetName val="공정표"/>
      <sheetName val="코스모공장 (어음)"/>
      <sheetName val="공구"/>
      <sheetName val="총괄내역서"/>
      <sheetName val="건축내역서"/>
      <sheetName val="조건"/>
      <sheetName val="실행"/>
      <sheetName val="A 견적"/>
      <sheetName val="주식"/>
      <sheetName val="공사개요"/>
      <sheetName val="원가계산서(거목)"/>
      <sheetName val="원가계산서(다숲)"/>
      <sheetName val="원가계산서(법정외주)"/>
      <sheetName val="총괄"/>
      <sheetName val="을"/>
      <sheetName val="공문"/>
      <sheetName val="수량산출"/>
      <sheetName val="갑지"/>
      <sheetName val="GAEYO"/>
      <sheetName val="내역서"/>
      <sheetName val="경산"/>
      <sheetName val="실행(ALT1)"/>
      <sheetName val="참조"/>
      <sheetName val="내역서2안"/>
      <sheetName val="_갑__지_"/>
      <sheetName val="환경기계공정표 (3)"/>
      <sheetName val="아파트"/>
      <sheetName val="목차"/>
      <sheetName val="값"/>
      <sheetName val="건축공사실행"/>
      <sheetName val="내역"/>
      <sheetName val="FAB별"/>
      <sheetName val="COVER"/>
      <sheetName val="계약내역(2)"/>
      <sheetName val="일위대가목록"/>
      <sheetName val="Sheet1"/>
      <sheetName val="변수값"/>
      <sheetName val="중기상차"/>
      <sheetName val="AS복구"/>
      <sheetName val="중기터파기"/>
      <sheetName val="시설물일위"/>
      <sheetName val="가설공사"/>
      <sheetName val="단가결정"/>
      <sheetName val="내역아"/>
      <sheetName val="울타리"/>
      <sheetName val="재료"/>
      <sheetName val="관접합및부설"/>
      <sheetName val="단가"/>
      <sheetName val="조명시설"/>
      <sheetName val="기안"/>
      <sheetName val="사급자재"/>
      <sheetName val="기계경비(시간당)"/>
      <sheetName val="램머"/>
      <sheetName val="본실행경비"/>
      <sheetName val="납부서"/>
      <sheetName val="입력데이타"/>
      <sheetName val="SPEC"/>
      <sheetName val="원가계산서"/>
      <sheetName val="원가계산"/>
      <sheetName val="SAM"/>
      <sheetName val="Sheet5"/>
      <sheetName val="물가대비표"/>
      <sheetName val="입찰안"/>
      <sheetName val="인사자료총집계"/>
      <sheetName val="기초단가"/>
      <sheetName val="견적"/>
      <sheetName val="수량-양식"/>
      <sheetName val="CTEMCOST"/>
      <sheetName val="설계명세서"/>
      <sheetName val="원가data"/>
      <sheetName val="카펫타일"/>
      <sheetName val="개산공사비"/>
      <sheetName val="Y-WORK"/>
      <sheetName val="01"/>
      <sheetName val="금액내역서"/>
      <sheetName val="투찰내역서"/>
      <sheetName val="건축"/>
      <sheetName val="Sheet1 (2)"/>
      <sheetName val="총 원가계산"/>
      <sheetName val="증감내역서"/>
      <sheetName val="노무비"/>
      <sheetName val="총괄갑 "/>
      <sheetName val="일위"/>
      <sheetName val="제경비율"/>
      <sheetName val="단가 (2)"/>
      <sheetName val="실행대비"/>
      <sheetName val="5사남"/>
      <sheetName val="ilch"/>
      <sheetName val="식재수량표"/>
      <sheetName val="일위목록"/>
      <sheetName val="원가계산하도"/>
      <sheetName val="전등설비"/>
      <sheetName val="실행철강하도"/>
      <sheetName val="EQT-ESTN"/>
      <sheetName val="연돌일위집계"/>
      <sheetName val="BID"/>
      <sheetName val="자재가격조사표"/>
      <sheetName val="단중표"/>
      <sheetName val="6호기"/>
      <sheetName val="내역서1999.8최종"/>
      <sheetName val="시중노임단가"/>
      <sheetName val="6PILE  (돌출)"/>
      <sheetName val="구성비"/>
      <sheetName val="화전내"/>
      <sheetName val="F4-F7"/>
      <sheetName val="벽체물량산출서"/>
      <sheetName val="지수"/>
      <sheetName val="---FAB#1업무일지---"/>
      <sheetName val="표지"/>
      <sheetName val="변경내역서"/>
      <sheetName val="11-2.아파트내역"/>
      <sheetName val="SG"/>
      <sheetName val="DATA1"/>
      <sheetName val="물량표"/>
      <sheetName val="노무"/>
      <sheetName val="진주방향"/>
      <sheetName val="용역비내역-진짜"/>
      <sheetName val="추정_최근현장"/>
      <sheetName val="리스트_최근현장"/>
      <sheetName val="팩스리스트"/>
      <sheetName val="날개벽수량표"/>
      <sheetName val="참고사항"/>
      <sheetName val="근로자자료입력"/>
      <sheetName val="당정동경상이수"/>
      <sheetName val="당정동공통이수"/>
      <sheetName val="총괄집계표"/>
      <sheetName val="전기"/>
      <sheetName val="정보"/>
      <sheetName val="factor(건축)"/>
      <sheetName val="산근"/>
      <sheetName val="세금자료"/>
      <sheetName val="총투입계"/>
      <sheetName val="직재"/>
      <sheetName val="교통대책내역"/>
      <sheetName val="기초입력 DATA"/>
      <sheetName val="사진대지"/>
      <sheetName val="국내조달(통합-1)"/>
      <sheetName val="수배전반"/>
      <sheetName val="001"/>
      <sheetName val="노임"/>
      <sheetName val="건축공사집계"/>
      <sheetName val="상호참고자료"/>
      <sheetName val="발주처자료입력"/>
      <sheetName val="회사기본자료"/>
      <sheetName val="하자보증자료"/>
      <sheetName val="기술자관련자료"/>
      <sheetName val="공통가설"/>
      <sheetName val="차액보증"/>
      <sheetName val="C3"/>
      <sheetName val=" 견적서"/>
      <sheetName val="노임단가 (2)"/>
      <sheetName val="플랜트 설치"/>
      <sheetName val="Option"/>
      <sheetName val="FORM-0"/>
      <sheetName val="실행_ALT1_"/>
      <sheetName val="을지"/>
      <sheetName val="견적조건"/>
      <sheetName val="건축집계표"/>
      <sheetName val="계산서(곡선부)"/>
      <sheetName val="포장재료집계표"/>
      <sheetName val="날개벽(시점좌측)"/>
      <sheetName val="1차 내역서"/>
      <sheetName val="파일의이용"/>
      <sheetName val="공종목록표"/>
      <sheetName val="합천내역"/>
      <sheetName val="출입자명단"/>
      <sheetName val="일위산출"/>
      <sheetName val="TEST1"/>
      <sheetName val="Sheet2"/>
      <sheetName val="실행내역"/>
      <sheetName val="자재단가"/>
      <sheetName val="장비경비"/>
      <sheetName val="해평견적"/>
      <sheetName val="자단"/>
      <sheetName val="직접경비"/>
      <sheetName val="직접인건비"/>
      <sheetName val="inter"/>
      <sheetName val="수리결과"/>
      <sheetName val="TYPE-A"/>
      <sheetName val="배명(단가)"/>
      <sheetName val="견적갑지"/>
      <sheetName val="물량내역"/>
      <sheetName val="예산서"/>
      <sheetName val="CONCRETE"/>
      <sheetName val="설계서"/>
      <sheetName val="업무분장"/>
      <sheetName val="BSD (2)"/>
      <sheetName val="PAINT"/>
      <sheetName val="설계서(본관)"/>
      <sheetName val="2000년1차"/>
      <sheetName val="건축내역"/>
      <sheetName val="0"/>
      <sheetName val="수목단가"/>
      <sheetName val="시설수량표"/>
      <sheetName val="청천내"/>
      <sheetName val="토목공사"/>
      <sheetName val="차수"/>
      <sheetName val="CON'C"/>
      <sheetName val="건축실행"/>
      <sheetName val="중기조종사 단위단가"/>
      <sheetName val="설명서 "/>
      <sheetName val="토목"/>
      <sheetName val="역T형교대(말뚝기초)"/>
      <sheetName val="배관배선내역"/>
      <sheetName val="결재판"/>
      <sheetName val="pier(각형)"/>
      <sheetName val="경비"/>
      <sheetName val="내역서01"/>
      <sheetName val="2-1. 경관조명 내역총괄표"/>
      <sheetName val="신.분"/>
      <sheetName val="공사_산출"/>
      <sheetName val="철거산출근거"/>
      <sheetName val="FOB발"/>
      <sheetName val="설비공사"/>
      <sheetName val="토공집계"/>
      <sheetName val="기성"/>
      <sheetName val="적격심사표"/>
      <sheetName val="현장별"/>
      <sheetName val="동별집계(비디오폰흑백-&gt;칼라)"/>
      <sheetName val="동별집계"/>
      <sheetName val="세부내역서"/>
      <sheetName val="가설공사내역"/>
      <sheetName val="토공연장"/>
      <sheetName val="자재"/>
      <sheetName val="설계내역"/>
      <sheetName val="2공구산출내역"/>
      <sheetName val="입력"/>
      <sheetName val="COST"/>
      <sheetName val="인건비 "/>
      <sheetName val="INPUT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산출"/>
      <sheetName val="설비내역서"/>
      <sheetName val="전기내역서"/>
      <sheetName val="참조M"/>
      <sheetName val="소요자재"/>
      <sheetName val="05-원가계산"/>
      <sheetName val="장비집계"/>
      <sheetName val="Sheet3"/>
      <sheetName val="계목분류"/>
      <sheetName val="일위대가 "/>
      <sheetName val="말뚝지지력산정"/>
      <sheetName val="퍼스트"/>
      <sheetName val="기초일위"/>
      <sheetName val="시설일위"/>
      <sheetName val="조명일위"/>
      <sheetName val="정부노임단가"/>
      <sheetName val="단기차입금"/>
      <sheetName val="예정공정표"/>
      <sheetName val="초기화면"/>
      <sheetName val="관급자재"/>
      <sheetName val="Sheet4"/>
      <sheetName val="새공통"/>
      <sheetName val="배수내역"/>
      <sheetName val="입력시트"/>
      <sheetName val="구분자"/>
      <sheetName val="단가및재료비"/>
      <sheetName val="1"/>
      <sheetName val="2"/>
      <sheetName val="3"/>
      <sheetName val="4"/>
      <sheetName val="5"/>
      <sheetName val="6"/>
      <sheetName val="용수량(생활용수)"/>
      <sheetName val="견적율"/>
      <sheetName val="실DATA_1"/>
      <sheetName val="_갑__지_1"/>
      <sheetName val="코스모공장_(어음)"/>
      <sheetName val="A_견적"/>
      <sheetName val="환경기계공정표_(3)"/>
      <sheetName val="단가_(2)"/>
      <sheetName val="Sheet1_(2)"/>
      <sheetName val="총_원가계산"/>
      <sheetName val="6PILE__(돌출)"/>
      <sheetName val="총괄갑_"/>
      <sheetName val="11-2_아파트내역"/>
      <sheetName val="내역서1999_8최종"/>
      <sheetName val="한강운반비"/>
      <sheetName val="집계"/>
      <sheetName val="wall"/>
      <sheetName val="계정"/>
      <sheetName val="단가대비표"/>
      <sheetName val="연도별노무비(신)"/>
      <sheetName val="산출서"/>
      <sheetName val="980731"/>
      <sheetName val="3월팀계 "/>
      <sheetName val="전선 및 전선관-자유로"/>
      <sheetName val="관로터파기-자유로"/>
      <sheetName val="공사통보서"/>
      <sheetName val="철콘"/>
      <sheetName val="유림골조"/>
      <sheetName val="골조시행"/>
      <sheetName val="수량명세서"/>
      <sheetName val="99년신청"/>
      <sheetName val="ateCodes_x0000_TimeCodes_x0000_OverrideShor"/>
      <sheetName val="공사내역서"/>
      <sheetName val="APT"/>
      <sheetName val="C1.공사개요"/>
      <sheetName val="실행(1)"/>
      <sheetName val="A1.스케쥴"/>
      <sheetName val="삭제금지단가"/>
      <sheetName val="간지"/>
      <sheetName val="공사요율"/>
      <sheetName val="Customer Databas"/>
      <sheetName val="코드"/>
      <sheetName val="중기사용료산출근거"/>
      <sheetName val="단가 및 재료비"/>
      <sheetName val="단가(자재)"/>
      <sheetName val="단가(노임)"/>
      <sheetName val="기초목록"/>
      <sheetName val="계획금액"/>
      <sheetName val="우수받이재료집계표"/>
      <sheetName val="가시설단위수량"/>
      <sheetName val="SORCE1"/>
      <sheetName val="단위수량"/>
      <sheetName val="1호맨홀가감수량"/>
      <sheetName val="아파트 내역"/>
      <sheetName val="가시설(TYPE-A)"/>
      <sheetName val="1호맨홀수량산출"/>
      <sheetName val="1-1평균터파기고(1)"/>
      <sheetName val="출자한도"/>
      <sheetName val="가감수량"/>
      <sheetName val="맨홀수량산출"/>
      <sheetName val="간접"/>
      <sheetName val="장비사양"/>
      <sheetName val="단가조사"/>
      <sheetName val="토사(PE)"/>
      <sheetName val="가공비"/>
      <sheetName val="예산"/>
      <sheetName val="단위가격"/>
      <sheetName val="1SGATE97"/>
      <sheetName val="단가보완"/>
      <sheetName val="공사비총괄표"/>
      <sheetName val="하수실행"/>
      <sheetName val="SR97-1"/>
      <sheetName val="청하배수"/>
      <sheetName val="99노임기준"/>
      <sheetName val="터널조도"/>
      <sheetName val="측량요율"/>
      <sheetName val="자재대"/>
      <sheetName val="내역서 제출"/>
      <sheetName val="연부97-1"/>
      <sheetName val="#3_일위대가목록"/>
      <sheetName val="1-최종안"/>
      <sheetName val="사업분석-분양가결정"/>
      <sheetName val="수정시산표"/>
      <sheetName val="매출현황"/>
      <sheetName val="등록자료"/>
      <sheetName val="입력정보"/>
      <sheetName val="본선토량운반계산서(1)0"/>
      <sheetName val="백암비스타내역"/>
      <sheetName val="토공사"/>
      <sheetName val="포장복구집계"/>
      <sheetName val="부표총괄"/>
      <sheetName val="AS포장복구 "/>
      <sheetName val="MAT_N048"/>
      <sheetName val="토목내역"/>
      <sheetName val="설계명세서-2"/>
      <sheetName val="빙장비사양"/>
      <sheetName val="노무비단가"/>
      <sheetName val="9811"/>
      <sheetName val="회사정보"/>
      <sheetName val="Apt내역"/>
      <sheetName val="경쟁실분"/>
      <sheetName val="고유코드_설계"/>
      <sheetName val="아파트 "/>
      <sheetName val="자판실행"/>
      <sheetName val="DATA 입력란"/>
      <sheetName val="수목표준대가"/>
      <sheetName val="횡배수관"/>
      <sheetName val="투입비분석표"/>
      <sheetName val="주공 갑지"/>
      <sheetName val="FD"/>
      <sheetName val="LD"/>
      <sheetName val="울산시산표"/>
      <sheetName val="G.R300경비"/>
      <sheetName val="표준건축비"/>
      <sheetName val="1안98Billing"/>
      <sheetName val="친환경주택"/>
      <sheetName val="工완성공사율"/>
      <sheetName val="신_분"/>
      <sheetName val="[내역서(ͭ_x0000_ͭ_x0000__x001c__x0000__x001c__x0000_가표"/>
      <sheetName val="견적1"/>
      <sheetName val="일위_파일"/>
      <sheetName val="제경비"/>
      <sheetName val="실적공사비"/>
      <sheetName val="입력(K0)"/>
      <sheetName val="장비기준"/>
      <sheetName val="재료비"/>
      <sheetName val="환율"/>
      <sheetName val="27.건설이자"/>
      <sheetName val="9-2.단지투자"/>
      <sheetName val="9-4.단지분양수납"/>
      <sheetName val="28.차입금상환계획"/>
      <sheetName val="10-4.운하물류분양수납"/>
      <sheetName val="10-2.운하물류투자"/>
      <sheetName val="※.2010예산총괄표"/>
      <sheetName val="부속동"/>
      <sheetName val="6동"/>
      <sheetName val="내역1"/>
      <sheetName val="-치수표(곡선부)"/>
      <sheetName val="BLOCK(1)"/>
      <sheetName val="2003상반기노임기준"/>
      <sheetName val="전차선로 물량표"/>
      <sheetName val="회선별대책안(한전)"/>
      <sheetName val="ateCodes"/>
      <sheetName val="00000"/>
      <sheetName val="최적단면"/>
      <sheetName val="대비"/>
      <sheetName val="현금및현금등가물"/>
      <sheetName val="계정code"/>
      <sheetName val="기계경비"/>
      <sheetName val="아파트기별"/>
      <sheetName val="공리일"/>
      <sheetName val="월별수입"/>
      <sheetName val="경율산정.XLS"/>
      <sheetName val="8.설치품셈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[내역서(ͭ?ͭ?_x001c_?_x001c_?가표"/>
      <sheetName val="D"/>
      <sheetName val="목표세부명세"/>
      <sheetName val="소업1교"/>
      <sheetName val="전익자재"/>
      <sheetName val="매입세율"/>
      <sheetName val="DATA"/>
      <sheetName val="보증종류"/>
      <sheetName val="설계예산서"/>
      <sheetName val="예산내역서"/>
      <sheetName val="총계"/>
      <sheetName val="우배수"/>
      <sheetName val="계산식"/>
      <sheetName val="2.고용보험료산출근거"/>
      <sheetName val="database"/>
      <sheetName val="CC16-내역서"/>
      <sheetName val="21301동"/>
      <sheetName val="9-1차이내역"/>
      <sheetName val="설계조건"/>
      <sheetName val="출력"/>
      <sheetName val="4동급수"/>
      <sheetName val="도급"/>
      <sheetName val="경영상태"/>
      <sheetName val="제안서입력"/>
      <sheetName val="거래처등록"/>
      <sheetName val="참고자료"/>
      <sheetName val="은행코드"/>
      <sheetName val="품셈표"/>
      <sheetName val="자재단가비교표"/>
      <sheetName val="Macro(전선)"/>
      <sheetName val="금융비용"/>
      <sheetName val="관련부서"/>
      <sheetName val="공사내역"/>
      <sheetName val="조도계산서 (도서)"/>
      <sheetName val="부하(성남)"/>
      <sheetName val="용역비내역_진짜"/>
      <sheetName val="산출근거-배전"/>
      <sheetName val="1.동력공사"/>
      <sheetName val="노임(1차)"/>
      <sheetName val="XL4Poppy"/>
      <sheetName val="수지표"/>
      <sheetName val="셀명"/>
      <sheetName val="분석대장"/>
      <sheetName val="base"/>
      <sheetName val="COVER-P"/>
      <sheetName val="VST재료산출"/>
      <sheetName val="노임단가표"/>
      <sheetName val="손익집계(공장별)"/>
      <sheetName val="금회지출"/>
      <sheetName val="문학간접"/>
      <sheetName val="b_balju_cho"/>
      <sheetName val="BTL시설예산 기준표"/>
      <sheetName val="5.학교신설예산 집행(01~08)"/>
      <sheetName val="점검결과(08년 100교 지원)"/>
      <sheetName val="_갑__지_2"/>
      <sheetName val="실DATA_2"/>
      <sheetName val="코스모공장_(어음)1"/>
      <sheetName val="A_견적1"/>
      <sheetName val="환경기계공정표_(3)1"/>
      <sheetName val="단가_(2)1"/>
      <sheetName val="Sheet1_(2)1"/>
      <sheetName val="총_원가계산1"/>
      <sheetName val="1차_내역서"/>
      <sheetName val="6PILE__(돌출)1"/>
      <sheetName val="총괄갑_1"/>
      <sheetName val="11-2_아파트내역1"/>
      <sheetName val="내역서1999_8최종1"/>
      <sheetName val="기초입력_DATA"/>
      <sheetName val="노임단가_(2)"/>
      <sheetName val="_견적서"/>
      <sheetName val="2-1__경관조명_내역총괄표"/>
      <sheetName val="플랜트_설치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인건비_"/>
      <sheetName val="BSD_(2)"/>
      <sheetName val="중기조종사_단위단가"/>
      <sheetName val="설명서_"/>
      <sheetName val="일위대가_"/>
      <sheetName val="3월팀계_"/>
      <sheetName val="C1_공사개요"/>
      <sheetName val="A1_스케쥴"/>
      <sheetName val="Customer_Databas"/>
      <sheetName val="전선_및_전선관-자유로"/>
      <sheetName val="아파트_내역"/>
      <sheetName val="[내역서(ͭ"/>
      <sheetName val="품셈 "/>
      <sheetName val="방화도료"/>
      <sheetName val="물가시세"/>
      <sheetName val="5-1신설물량"/>
      <sheetName val="사업총괄"/>
      <sheetName val="수량3"/>
      <sheetName val="각형맨홀"/>
      <sheetName val="5.직원투입현황"/>
      <sheetName val="판가반영"/>
      <sheetName val="방배동내역(리라)"/>
      <sheetName val="부대공사총괄"/>
      <sheetName val="건축공사집계표"/>
      <sheetName val="참고"/>
      <sheetName val="BQ(실행)"/>
      <sheetName val="ateCodes?TimeCodes?OverrideShor"/>
      <sheetName val="2.대외공문"/>
      <sheetName val="손익분석"/>
      <sheetName val="1안"/>
      <sheetName val="교각1"/>
      <sheetName val="수량산출(음암)"/>
      <sheetName val="관람석제출"/>
      <sheetName val="낙찰표"/>
      <sheetName val="양식3"/>
      <sheetName val="영동(D)"/>
      <sheetName val="간선계산"/>
      <sheetName val="산출집계"/>
      <sheetName val="1. 조명내역서(조명설치)"/>
      <sheetName val="2. 조명내역서(조명자재)"/>
      <sheetName val="일위대가집계표"/>
      <sheetName val="일일작업현황"/>
      <sheetName val="견적단가"/>
      <sheetName val="신축(단위)"/>
      <sheetName val="수안보-MBR1"/>
      <sheetName val="전체내역 (2)"/>
      <sheetName val="FB25JN"/>
      <sheetName val="사통"/>
      <sheetName val="실행내역서 "/>
      <sheetName val="6-1. 관개량조서"/>
      <sheetName val="설계가"/>
      <sheetName val="내역- CCTV"/>
      <sheetName val="한일양산"/>
      <sheetName val="안정계산"/>
      <sheetName val="단면검토"/>
      <sheetName val="EQUIP LIST"/>
      <sheetName val="부하계산서"/>
      <sheetName val="패널"/>
      <sheetName val="장문교(대전)"/>
      <sheetName val="예정공정표 "/>
      <sheetName val="우각부보강"/>
      <sheetName val="물류최종8월7"/>
      <sheetName val="인수공"/>
      <sheetName val="당초"/>
      <sheetName val="단가_및_재료비"/>
      <sheetName val="주공_갑지"/>
      <sheetName val="AS포장복구_"/>
      <sheetName val="G_R300경비"/>
      <sheetName val="[내역서(ͭͭ가표"/>
      <sheetName val="DATA_입력란"/>
      <sheetName val="계좌분리(계약)"/>
      <sheetName val="계좌분리(기성)"/>
      <sheetName val="총괄(데이소)"/>
      <sheetName val="총괄(데이전)"/>
      <sheetName val="총괄(데이터)"/>
      <sheetName val="단가조정"/>
      <sheetName val="소총괄"/>
      <sheetName val="소총괄(집계)"/>
      <sheetName val="설계예시"/>
      <sheetName val="설비(제출)"/>
      <sheetName val="중동공구"/>
      <sheetName val="7.기-검-보.100"/>
      <sheetName val="입력자료"/>
      <sheetName val="원본"/>
      <sheetName val="98수문일위"/>
      <sheetName val="_내역서(ͭ"/>
      <sheetName val="&quot;"/>
      <sheetName val="단가산출2"/>
      <sheetName val="단가산출1"/>
      <sheetName val="Raw Data"/>
      <sheetName val="시행후면적"/>
      <sheetName val="수지예산"/>
      <sheetName val="nys"/>
      <sheetName val="연령별자료"/>
      <sheetName val="_내역서(ͭ_ͭ__x001c___x001c__가표"/>
      <sheetName val="페이지"/>
      <sheetName val="XREF"/>
      <sheetName val="양촌면도평리"/>
      <sheetName val="S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/>
      <sheetData sheetId="548"/>
      <sheetData sheetId="549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림골조"/>
      <sheetName val="유림총괄"/>
      <sheetName val="비교1"/>
      <sheetName val="공기"/>
      <sheetName val="새공통(97년3월)"/>
      <sheetName val="협력업체"/>
      <sheetName val="외주업체list (3)"/>
      <sheetName val="FAX양식"/>
      <sheetName val="FAX양식 (2)"/>
      <sheetName val="Sheet1"/>
      <sheetName val="Sheet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새공통(96임금인상기준)"/>
      <sheetName val="공사개요"/>
      <sheetName val="분당코아"/>
      <sheetName val="물가"/>
      <sheetName val="물가 (2)"/>
      <sheetName val="옥외공사"/>
      <sheetName val="내역표지"/>
      <sheetName val="견적조건"/>
      <sheetName val="공사총괄-2"/>
      <sheetName val="변경연면적"/>
      <sheetName val="품의서"/>
      <sheetName val="건축대비"/>
      <sheetName val="부대골조"/>
      <sheetName val="아파트파일공사"/>
      <sheetName val="부대파일공사"/>
      <sheetName val="공제분"/>
      <sheetName val="상승요인분석"/>
      <sheetName val="토목공사"/>
      <sheetName val="옥외"/>
      <sheetName val="물가상승변경(960827)"/>
      <sheetName val="건축부대공사대비"/>
      <sheetName val="제출표지"/>
      <sheetName val="특수조건"/>
      <sheetName val="분책"/>
      <sheetName val="실행대비"/>
      <sheetName val="평단가비교"/>
      <sheetName val="OPTION비교"/>
      <sheetName val="실행원안對현장통보실행안"/>
      <sheetName val="의뢰"/>
      <sheetName val="의뢰서"/>
      <sheetName val="품의서(A3-3장)"/>
      <sheetName val="NEW비교"/>
      <sheetName val="계단실,로비"/>
      <sheetName val="주방가구外"/>
      <sheetName val="빌라트대비"/>
      <sheetName val="공통비대비"/>
      <sheetName val="공통비대비분석"/>
      <sheetName val="새공통(97년1월)"/>
      <sheetName val="직원투입계획"/>
      <sheetName val="현채투입계획"/>
      <sheetName val="전체총괄표"/>
      <sheetName val="산출내역서"/>
      <sheetName val="항목별총괄표"/>
      <sheetName val="공사현황"/>
      <sheetName val="건축실행대비"/>
      <sheetName val="가설공사"/>
      <sheetName val="철근콘크리트공사"/>
      <sheetName val="타일공사"/>
      <sheetName val="창호공사"/>
      <sheetName val="AL창호"/>
      <sheetName val="수장공사"/>
      <sheetName val="철골공사"/>
      <sheetName val="증가요인"/>
      <sheetName val="감사실"/>
      <sheetName val="물량증가"/>
      <sheetName val="9604000"/>
      <sheetName val="960503"/>
      <sheetName val="새공통(96년12월) "/>
      <sheetName val="협조문"/>
      <sheetName val="안양코아"/>
      <sheetName val="COLUMN"/>
      <sheetName val="공통비비교"/>
      <sheetName val="부지조성"/>
      <sheetName val="투입인원대비"/>
      <sheetName val="형틀분개"/>
      <sheetName val="시행대비"/>
      <sheetName val="마감범위"/>
      <sheetName val="추가예산"/>
      <sheetName val="TEMP철골"/>
      <sheetName val="기계기초"/>
      <sheetName val="안양코아최종대비"/>
      <sheetName val="최종건축대비"/>
      <sheetName val="A급현장"/>
      <sheetName val="A급현장 (2)"/>
      <sheetName val="B급현장"/>
      <sheetName val="B급현장 (2)"/>
      <sheetName val="C급현장"/>
      <sheetName val="C급현장 (2)"/>
      <sheetName val="D급현장"/>
      <sheetName val="D급현장 (2)"/>
      <sheetName val="공통비산출근거"/>
      <sheetName val="견적의뢰서"/>
      <sheetName val="새공통97.4"/>
      <sheetName val="품의서(97.4)"/>
      <sheetName val="현.종.목"/>
      <sheetName val="창호,가구"/>
      <sheetName val="system"/>
      <sheetName val="목재창호"/>
      <sheetName val="물가상승"/>
      <sheetName val="옥외 (적용)"/>
      <sheetName val="토목"/>
      <sheetName val="재료마감표"/>
      <sheetName val="비교(기존)"/>
      <sheetName val="비교(변경)"/>
      <sheetName val="금액대비표"/>
      <sheetName val="건축-옥외"/>
      <sheetName val="공사집계(기존)"/>
      <sheetName val="공사집계(변경)"/>
      <sheetName val="건축집계"/>
      <sheetName val="분당협조"/>
      <sheetName val="파일의이용"/>
      <sheetName val="DATE"/>
      <sheetName val="Customer Databas"/>
      <sheetName val="유림공통"/>
      <sheetName val="0831"/>
      <sheetName val="0915"/>
      <sheetName val="0915 (2)"/>
      <sheetName val="집계2"/>
      <sheetName val="2001년"/>
      <sheetName val="2001년변형"/>
      <sheetName val="2002년"/>
      <sheetName val="2003년"/>
      <sheetName val="3안신촉진안실적반영"/>
      <sheetName val="11월"/>
      <sheetName val="12월"/>
      <sheetName val="1월"/>
      <sheetName val="2월"/>
      <sheetName val="3월"/>
      <sheetName val="4월"/>
      <sheetName val="5월"/>
      <sheetName val="6월"/>
      <sheetName val="7월"/>
      <sheetName val="8월"/>
      <sheetName val="실행율"/>
      <sheetName val="분양수입금일정"/>
      <sheetName val="표지"/>
      <sheetName val="표지(수정)"/>
      <sheetName val="표지(적용)"/>
      <sheetName val="1공사개요"/>
      <sheetName val="2공정계획"/>
      <sheetName val="2공정계획 (2)"/>
      <sheetName val="2공정계획(미표기_미적용)"/>
      <sheetName val="3자금운용(최종)"/>
      <sheetName val="3손익분석"/>
      <sheetName val="3자금운용(수정)"/>
      <sheetName val="3자금운용(당초)"/>
      <sheetName val="4직원투입(적용)"/>
      <sheetName val="4_1직원투입(미적용)"/>
      <sheetName val="5안전환경"/>
      <sheetName val="6인허가"/>
      <sheetName val="7본사관련부서"/>
      <sheetName val="초기예산표지"/>
      <sheetName val="결재인"/>
      <sheetName val="계약고대비"/>
      <sheetName val="예산집계"/>
      <sheetName val="산재매입세"/>
      <sheetName val="변경대비(적용)"/>
      <sheetName val="변경대비(미적용)"/>
      <sheetName val="플랜트 설치"/>
      <sheetName val="D급현장 (2)_x0000__x0000__x0000__x0000__x0000__x0000__x0000__x0000__x0000__x0009__x0000_飰ঊ_x0000__x0004__x0000__x0000__x0000__x0000__x0000__x0000_ϸঈ"/>
      <sheetName val="D급현장 (2)_x0000__x0009_飰ঊ_x0004__x0000_ϸঈ餘ঊn_x0000__x0011_[유림콘도.XLS]"/>
      <sheetName val="새공통"/>
      <sheetName val="도곡동빌라트보관"/>
      <sheetName val="공사비대비"/>
      <sheetName val="골조물량"/>
      <sheetName val="동바리外"/>
      <sheetName val="공사비총괄표"/>
      <sheetName val="내역총괄표 "/>
      <sheetName val="여과지동"/>
      <sheetName val="기초자료"/>
      <sheetName val="구의33고"/>
      <sheetName val="기본일위"/>
      <sheetName val="일위대가"/>
      <sheetName val="guard(mac)"/>
      <sheetName val="차액보증"/>
      <sheetName val="내역"/>
      <sheetName val="D급현장 (2)_x0000__x0000__x0000__x0000__x0000__x0000__x0000__x0000__x0000_ _x0000_飰ঊ_x0000__x0004__x0000__x0000__x0000__x0000__x0000__x0000_ϸঈ"/>
      <sheetName val="D급현장 (2)_x0000_ 飰ঊ_x0004__x0000_ϸঈ餘ঊn_x0000__x0011_[유림콘도.XLS]"/>
      <sheetName val="유림콘도"/>
      <sheetName val="투입비"/>
      <sheetName val="공통비(전체)"/>
      <sheetName val="01"/>
      <sheetName val="자재단가"/>
      <sheetName val="경산"/>
      <sheetName val="입찰안"/>
      <sheetName val="산출금액내역"/>
      <sheetName val="데이타"/>
      <sheetName val="설계내역서"/>
      <sheetName val="전기"/>
      <sheetName val="현장관리비"/>
      <sheetName val="공통비총괄표"/>
      <sheetName val="조건"/>
      <sheetName val="Total"/>
      <sheetName val="48신설단가"/>
      <sheetName val="일위대가(1)"/>
      <sheetName val="일산실행내역"/>
      <sheetName val="본사공가현황"/>
      <sheetName val="미드수량"/>
      <sheetName val="선정요령"/>
      <sheetName val="실행철강하도"/>
      <sheetName val="교통대책내역"/>
      <sheetName val="2002하반기노임기준"/>
      <sheetName val="기초코드"/>
      <sheetName val="품목납기"/>
      <sheetName val="갑지(추정)"/>
      <sheetName val="일위대가표"/>
      <sheetName val="집계표"/>
      <sheetName val="신대방33(적용)"/>
      <sheetName val="APT"/>
      <sheetName val="견적정보"/>
      <sheetName val="변경비교-을"/>
      <sheetName val="터파기및재료"/>
      <sheetName val="공종단가"/>
      <sheetName val="요율"/>
      <sheetName val="자재대"/>
      <sheetName val="기계경비(시간당)"/>
      <sheetName val="램머"/>
      <sheetName val="소비자가"/>
      <sheetName val="조직"/>
      <sheetName val="원가서"/>
      <sheetName val="입력"/>
      <sheetName val="대전(세창동)"/>
      <sheetName val="내역서"/>
      <sheetName val="1차 내역서"/>
      <sheetName val="데이타입력"/>
      <sheetName val="수량산출"/>
      <sheetName val="공사단가"/>
      <sheetName val="#REF"/>
      <sheetName val="노임"/>
      <sheetName val="평가데이터"/>
      <sheetName val="개요"/>
      <sheetName val="실행기초"/>
      <sheetName val="pier(각형)"/>
      <sheetName val="울산자동제어"/>
      <sheetName val="EQT-ESTN"/>
      <sheetName val="3.공통공사대비"/>
      <sheetName val="bid"/>
      <sheetName val="실행간접비"/>
      <sheetName val="변경명신물량 (2)"/>
      <sheetName val="목록"/>
      <sheetName val="중기"/>
      <sheetName val="ELECTRIC"/>
    </sheetNames>
    <sheetDataSet>
      <sheetData sheetId="0">
        <row r="36">
          <cell r="X36" t="str">
            <v>연  면  적</v>
          </cell>
        </row>
      </sheetData>
      <sheetData sheetId="1" refreshError="1"/>
      <sheetData sheetId="2" refreshError="1"/>
      <sheetData sheetId="3">
        <row r="36">
          <cell r="X36" t="str">
            <v>연  면  적</v>
          </cell>
        </row>
      </sheetData>
      <sheetData sheetId="4"/>
      <sheetData sheetId="5">
        <row r="36">
          <cell r="X36" t="str">
            <v>연  면  적</v>
          </cell>
        </row>
      </sheetData>
      <sheetData sheetId="6">
        <row r="36">
          <cell r="X36" t="str">
            <v>연  면  적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>
        <row r="36">
          <cell r="X36" t="str">
            <v>연  면  적</v>
          </cell>
        </row>
      </sheetData>
      <sheetData sheetId="37">
        <row r="36">
          <cell r="X36" t="str">
            <v>연  면  적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/>
      <sheetData sheetId="210" refreshError="1"/>
      <sheetData sheetId="21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내역"/>
      <sheetName val="NYS"/>
      <sheetName val="하도업체(mal)_x0009_送곇엇듅⣌洀愀氀⤀ȀĀ노임_x0002_ꔁ䓇ҾĀ자재단"/>
      <sheetName val="인건비 "/>
      <sheetName val="설계내역서"/>
      <sheetName val="갑지1"/>
      <sheetName val="1.취수장"/>
      <sheetName val="미장"/>
      <sheetName val="일위대가"/>
      <sheetName val="중기조종사 단위단가"/>
      <sheetName val="실행내역서 "/>
      <sheetName val="CTEMCOST"/>
      <sheetName val="경비"/>
      <sheetName val="설직재-1"/>
      <sheetName val="Sheet2"/>
      <sheetName val="APT"/>
      <sheetName val="업체FIX"/>
      <sheetName val="예상"/>
      <sheetName val="Sheet1"/>
      <sheetName val="자료"/>
      <sheetName val="금관"/>
      <sheetName val="경주"/>
      <sheetName val="백화"/>
      <sheetName val="01"/>
      <sheetName val="부대tu"/>
      <sheetName val="하도업체(mal)_x0009_送곇엇듅⣌洀愀氀⤀ȀĀ노임?ꔁ䓇ҾĀ자재단"/>
      <sheetName val="견적의뢰"/>
      <sheetName val="밸브설치"/>
      <sheetName val="Y-WORK"/>
      <sheetName val="FRP PIPING 일위대가"/>
      <sheetName val="별표 "/>
      <sheetName val="기계"/>
      <sheetName val="정화조"/>
      <sheetName val="조경"/>
      <sheetName val="토목"/>
      <sheetName val="샤워실위생"/>
      <sheetName val="시설물"/>
      <sheetName val="식재출력용"/>
      <sheetName val="유지관리"/>
      <sheetName val="조달청적격심사"/>
      <sheetName val="전기(기계전기실)"/>
      <sheetName val="전기(열차제어)"/>
      <sheetName val="전기(전기성능)"/>
      <sheetName val="전기(차량)"/>
      <sheetName val="전기(차량부품)"/>
      <sheetName val="I.일위대가목차"/>
      <sheetName val="국내조달(통합-1)"/>
      <sheetName val="NN"/>
      <sheetName val="안양건축"/>
      <sheetName val="주공 갑지"/>
      <sheetName val="골프장예산"/>
      <sheetName val="단가조정"/>
      <sheetName val="공통가설"/>
      <sheetName val="현장관리비"/>
      <sheetName val="장비비"/>
      <sheetName val="00노임기준"/>
      <sheetName val="DATE"/>
      <sheetName val="#REF"/>
      <sheetName val="문학간접"/>
      <sheetName val="간접"/>
      <sheetName val="노임단가"/>
      <sheetName val="별표"/>
      <sheetName val="하도업체(mal) 送곇엇듅⣌洀愀氀⤀ȀĀ노임_x0002_ꔁ䓇ҾĀ자재단"/>
      <sheetName val="하도업체(mal) 送곇엇듅⣌洀愀氀⤀ȀĀ노임?ꔁ䓇ҾĀ자재단"/>
      <sheetName val="노무비단가"/>
      <sheetName val="갑지(요약)"/>
      <sheetName val="C1ㅇ"/>
      <sheetName val="변수값"/>
      <sheetName val="중기상차"/>
      <sheetName val="AS복구"/>
      <sheetName val="중기터파기"/>
      <sheetName val="공정코드"/>
      <sheetName val="우배수"/>
      <sheetName val="기초자료입력"/>
      <sheetName val="연결임시"/>
      <sheetName val="연부97-1"/>
      <sheetName val="교량하부공"/>
      <sheetName val="산출금액내역"/>
      <sheetName val="구조물공"/>
      <sheetName val="부대공"/>
      <sheetName val="배수공"/>
      <sheetName val="토공"/>
      <sheetName val="포장공"/>
      <sheetName val="정산서"/>
      <sheetName val="보호"/>
      <sheetName val="내역서"/>
      <sheetName val="산근"/>
      <sheetName val="구간산출"/>
      <sheetName val="기본일위"/>
      <sheetName val="03전반노무비"/>
      <sheetName val="토목주소"/>
      <sheetName val="파이프류"/>
      <sheetName val="건축내역"/>
      <sheetName val="경율산정"/>
      <sheetName val="효명0010"/>
      <sheetName val="예정공정표(금회분)"/>
      <sheetName val="예정공정표(전체분)"/>
      <sheetName val="남평내역"/>
      <sheetName val="감액총괄표"/>
      <sheetName val="조명시설"/>
      <sheetName val="산출1"/>
      <sheetName val="에너지요금"/>
      <sheetName val="실행간접비용"/>
      <sheetName val="고합"/>
      <sheetName val="유림골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림골조"/>
      <sheetName val="NEW비교"/>
      <sheetName val="의뢰"/>
      <sheetName val="견적조건"/>
      <sheetName val="품의서"/>
      <sheetName val="새공통(97년3월)"/>
      <sheetName val="건축"/>
      <sheetName val="24평(계단식-TOWER)"/>
      <sheetName val="24평(계단식)"/>
      <sheetName val="32평"/>
      <sheetName val="43평"/>
      <sheetName val="48평"/>
      <sheetName val="동DATA"/>
      <sheetName val="파일본수"/>
      <sheetName val="파일공사"/>
      <sheetName val="SERVICE"/>
      <sheetName val="부대건축"/>
      <sheetName val="전기"/>
      <sheetName val="설비"/>
      <sheetName val="토공사및 흙막이공사"/>
      <sheetName val="옥외"/>
      <sheetName val="물가상승1"/>
      <sheetName val="써100 (A4)"/>
      <sheetName val="제출표지"/>
      <sheetName val="노임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70715양식"/>
      <sheetName val="유림골조"/>
      <sheetName val="공통부대비"/>
      <sheetName val="태화42 "/>
      <sheetName val="부산제일극장"/>
      <sheetName val="현장경상비"/>
      <sheetName val="임원,관리,별도"/>
      <sheetName val="0314재고확인"/>
      <sheetName val="Sheet1"/>
      <sheetName val="CDTK"/>
      <sheetName val="신메뉴백"/>
      <sheetName val="신메뉴백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실행내역"/>
      <sheetName val="일반부표"/>
      <sheetName val="1.가로등설비 산출집계"/>
      <sheetName val="거제도"/>
      <sheetName val="원가계산 (2)"/>
      <sheetName val="분전함신설"/>
      <sheetName val="접지1종"/>
      <sheetName val="표준건축비"/>
      <sheetName val="갑지1"/>
      <sheetName val="소비자가"/>
      <sheetName val="정부노임단가"/>
      <sheetName val="Breakdown"/>
      <sheetName val="UnitRate"/>
      <sheetName val="경제성분석"/>
      <sheetName val="N賃率-職"/>
      <sheetName val="표지"/>
      <sheetName val="집계표"/>
      <sheetName val=" 견적서"/>
      <sheetName val="집계"/>
      <sheetName val="유림골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내역"/>
      <sheetName val="집계표"/>
      <sheetName val="BID"/>
      <sheetName val="입찰안"/>
      <sheetName val="APT"/>
      <sheetName val="신우"/>
      <sheetName val="입력"/>
      <sheetName val="내역서"/>
      <sheetName val="DATE"/>
      <sheetName val="일위대가표"/>
      <sheetName val="Total"/>
      <sheetName val="신대방33(적용)"/>
      <sheetName val="일위대가(가설)"/>
      <sheetName val="실행(ALT1)"/>
      <sheetName val="설계내역서"/>
      <sheetName val="산근"/>
      <sheetName val="실행"/>
      <sheetName val="돈암사업"/>
      <sheetName val="단가산출"/>
      <sheetName val="원남울진낙찰내역(99.4.13 부산청)"/>
      <sheetName val="울산자동제어"/>
      <sheetName val="교통대책내역"/>
      <sheetName val="간접"/>
      <sheetName val="단가"/>
      <sheetName val="마산월령동골조물량변경"/>
      <sheetName val="2.건축"/>
      <sheetName val="개요"/>
      <sheetName val="현황산출서"/>
      <sheetName val="구의33고"/>
      <sheetName val="수량산출"/>
      <sheetName val="터파기및재료"/>
      <sheetName val="Sheet4"/>
      <sheetName val="자료입력"/>
      <sheetName val="비교1"/>
      <sheetName val="노임"/>
      <sheetName val="2000년1차"/>
      <sheetName val="증감내역서"/>
      <sheetName val="98수문일위"/>
      <sheetName val="Sheet1 (2)"/>
      <sheetName val="C-노임단가"/>
      <sheetName val="s"/>
      <sheetName val="식재가격"/>
      <sheetName val="식재총괄"/>
      <sheetName val="코드"/>
      <sheetName val="내역서 (2)"/>
      <sheetName val="화설내"/>
      <sheetName val="산출내역서집계표"/>
      <sheetName val="토목내역"/>
      <sheetName val="갑지(추정)"/>
      <sheetName val="콘크리트타설집계표"/>
      <sheetName val="아파트-가설"/>
      <sheetName val="소방사항"/>
      <sheetName val="45,46"/>
      <sheetName val="단"/>
      <sheetName val="데리네이타현황"/>
      <sheetName val="시운전연료"/>
      <sheetName val="소비자가"/>
      <sheetName val="골조시행"/>
      <sheetName val="N賃率-職"/>
      <sheetName val="포천송우교회_CheckList"/>
      <sheetName val="MOKDONG(1)"/>
      <sheetName val="일위목록"/>
      <sheetName val="여과지동"/>
      <sheetName val="기초자료"/>
      <sheetName val="코드표"/>
      <sheetName val="2.대외공문"/>
      <sheetName val="EACT10"/>
      <sheetName val="3BL공동구 수량"/>
      <sheetName val="보안등"/>
      <sheetName val="본부장"/>
      <sheetName val="가로등내역서"/>
      <sheetName val="화전내"/>
      <sheetName val="대비"/>
      <sheetName val="자재"/>
      <sheetName val="물가기준년"/>
      <sheetName val="장비기준"/>
      <sheetName val="개산공사비"/>
      <sheetName val="내역(중앙)"/>
      <sheetName val="내역(창신)"/>
      <sheetName val="실행내역서 "/>
      <sheetName val="기계내역"/>
      <sheetName val="인사자료총집계"/>
      <sheetName val="수정금지"/>
      <sheetName val="공사"/>
      <sheetName val="갑지"/>
      <sheetName val="준검 내역서"/>
      <sheetName val="#REF"/>
      <sheetName val="기초단가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기보고순서"/>
      <sheetName val="개선(혁신)"/>
      <sheetName val="물류비"/>
      <sheetName val="추가예산"/>
      <sheetName val="99"/>
      <sheetName val="00"/>
      <sheetName val="수금"/>
      <sheetName val="제조판매2"/>
      <sheetName val="현금화"/>
      <sheetName val="1유리"/>
      <sheetName val="6호기"/>
      <sheetName val="여과지동"/>
      <sheetName val="기초자료"/>
      <sheetName val="8월차잔"/>
      <sheetName val="입찰안"/>
      <sheetName val="지우지말것"/>
      <sheetName val="실행"/>
      <sheetName val="내역서"/>
      <sheetName val="CAUDIT"/>
      <sheetName val="자재단가"/>
      <sheetName val="플랜트 설치"/>
      <sheetName val="안양동교 1안"/>
      <sheetName val="선급금신청서"/>
      <sheetName val="연습"/>
      <sheetName val="물량표"/>
      <sheetName val="실행철강하도"/>
      <sheetName val="업체(0801)"/>
      <sheetName val="Total"/>
      <sheetName val="노임이"/>
      <sheetName val="수량산출"/>
      <sheetName val="금융비용"/>
      <sheetName val="건축"/>
      <sheetName val="인부신상자료"/>
      <sheetName val="Sheet1"/>
      <sheetName val="갑지(추정)"/>
      <sheetName val="집계표"/>
      <sheetName val="CTEMCOST"/>
      <sheetName val="Anam Fab PL"/>
      <sheetName val="Schedules"/>
      <sheetName val="인천제철"/>
      <sheetName val="내역"/>
      <sheetName val="일위대가"/>
      <sheetName val="유림총괄"/>
      <sheetName val="수입"/>
      <sheetName val="차액보증"/>
      <sheetName val="점수계산1-2"/>
      <sheetName val="관리본부10"/>
      <sheetName val="은행"/>
      <sheetName val="#REF"/>
      <sheetName val="시멘트"/>
      <sheetName val="개요"/>
      <sheetName val="원가계산서"/>
      <sheetName val="본실행경비"/>
      <sheetName val="플랜트_설치"/>
      <sheetName val="안양동교_1안"/>
      <sheetName val="Anam_Fab_PL"/>
      <sheetName val="다곡2교"/>
      <sheetName val="2.주요계수총괄"/>
      <sheetName val="목차"/>
      <sheetName val="가설건물"/>
      <sheetName val="간지"/>
      <sheetName val="산출근거"/>
      <sheetName val="회사정보"/>
      <sheetName val="수지"/>
      <sheetName val="Sheet2"/>
      <sheetName val="득점현황"/>
      <sheetName val="손익"/>
      <sheetName val="조직도"/>
      <sheetName val="조명시설"/>
      <sheetName val="전계가"/>
      <sheetName val="입찰견적보고서"/>
      <sheetName val="45,46"/>
      <sheetName val="업체('08)"/>
      <sheetName val="MIJIBI"/>
      <sheetName val="손익분석"/>
      <sheetName val="국내조달(통합-1)"/>
      <sheetName val="인사자료총집계"/>
      <sheetName val="선급비용"/>
      <sheetName val="지급자재"/>
      <sheetName val="월별손익"/>
      <sheetName val="업체명"/>
      <sheetName val="Sheet5"/>
      <sheetName val="한화금융비"/>
      <sheetName val="CONCRETE"/>
      <sheetName val="중기일위대가"/>
      <sheetName val="노임단가"/>
      <sheetName val="입력"/>
      <sheetName val="설계내역서"/>
      <sheetName val="실행내역서 "/>
      <sheetName val="Xunit (단위환산)"/>
      <sheetName val="소방사항"/>
      <sheetName val="N賃率-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집계표"/>
      <sheetName val="총괄내역서"/>
      <sheetName val="일위대가"/>
      <sheetName val="단가"/>
      <sheetName val="갑지(추정)"/>
      <sheetName val="입찰안"/>
      <sheetName val="시화점실행"/>
      <sheetName val="개요"/>
      <sheetName val="관급"/>
      <sheetName val="WORK"/>
      <sheetName val="원도급"/>
      <sheetName val="하도급"/>
      <sheetName val="전기공사"/>
      <sheetName val="차액보증"/>
      <sheetName val="자재단가"/>
      <sheetName val="Total"/>
      <sheetName val="일위대가(1)"/>
      <sheetName val="단가표"/>
      <sheetName val="금융비용"/>
      <sheetName val="대림경상68억"/>
      <sheetName val="현장별"/>
      <sheetName val="원남울진낙찰내역(99.4.13 부산청)"/>
      <sheetName val="산출내역서집계표"/>
      <sheetName val="공사"/>
      <sheetName val="SOS_PLC &amp; Panel"/>
      <sheetName val="DATE"/>
      <sheetName val="내역"/>
      <sheetName val="기본단가표"/>
      <sheetName val="원가서"/>
      <sheetName val="DANGA"/>
      <sheetName val="공통(20-91)"/>
      <sheetName val="터파기및재료"/>
      <sheetName val="wall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#REF"/>
      <sheetName val="N賃率-職"/>
      <sheetName val="수량산출"/>
      <sheetName val="골조시행"/>
      <sheetName val="마산월령동골조물량변경"/>
      <sheetName val="내역서"/>
      <sheetName val="_갑지"/>
      <sheetName val="Sheet1"/>
      <sheetName val="Sheet3"/>
      <sheetName val="원하대비"/>
      <sheetName val="1단계"/>
      <sheetName val="공사비증감"/>
      <sheetName val="조명시설"/>
      <sheetName val="날개벽수량표"/>
      <sheetName val="부대공Ⅱ"/>
      <sheetName val="원본(갑지)"/>
      <sheetName val="일위대가표"/>
      <sheetName val="신고조서"/>
      <sheetName val="환율change"/>
      <sheetName val="옥외외등집계표"/>
      <sheetName val="참조자료"/>
      <sheetName val="공사비집계"/>
      <sheetName val="CAUDIT"/>
      <sheetName val="세부추진"/>
      <sheetName val="상용보강"/>
      <sheetName val="여과지동"/>
      <sheetName val="기초자료"/>
      <sheetName val="프랜트면허"/>
      <sheetName val="토목주소"/>
      <sheetName val="Sheet4"/>
      <sheetName val="견적정보"/>
      <sheetName val=" 갑지"/>
      <sheetName val="sh1"/>
      <sheetName val="선급금신청서"/>
      <sheetName val="98지급계획"/>
      <sheetName val="부하계산서"/>
      <sheetName val="기안"/>
      <sheetName val="공통가설"/>
      <sheetName val="도급"/>
      <sheetName val="손익분석"/>
      <sheetName val="갑지"/>
      <sheetName val="원가"/>
      <sheetName val="추가예산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표지 (3)"/>
      <sheetName val="표지"/>
      <sheetName val="표지 (2)"/>
      <sheetName val="내역서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대비"/>
      <sheetName val="제경비"/>
      <sheetName val="내역"/>
      <sheetName val="수량집계"/>
      <sheetName val="수량(교각)"/>
      <sheetName val="수량산출(2)"/>
      <sheetName val="단가(동바리)"/>
      <sheetName val="단가(강재운반)"/>
      <sheetName val="총괄표"/>
      <sheetName val="추진계획"/>
      <sheetName val="추진실적"/>
      <sheetName val="Sheet3"/>
      <sheetName val="공정표"/>
      <sheetName val="일수계산"/>
      <sheetName val="터널공기"/>
      <sheetName val="Sheet1"/>
      <sheetName val="Sheet2"/>
      <sheetName val="업협(토공,철콘)"/>
      <sheetName val="실행예산"/>
      <sheetName val="시방서"/>
      <sheetName val="계약현황"/>
      <sheetName val="간지"/>
      <sheetName val="견적(토공)"/>
      <sheetName val="견적(철콘)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xxxxxx"/>
      <sheetName val="0000"/>
      <sheetName val="현황"/>
      <sheetName val="철콘"/>
      <sheetName val="입찰표지"/>
      <sheetName val="산출내역서"/>
      <sheetName val="후다내역"/>
      <sheetName val="입찰안"/>
      <sheetName val="BID"/>
      <sheetName val=" HIT-&gt;HMC 견적(3900)"/>
      <sheetName val="한전일위"/>
      <sheetName val="일위대가목록"/>
      <sheetName val="일위대가"/>
      <sheetName val="투찰내역"/>
      <sheetName val="갑지"/>
      <sheetName val="현장관리비"/>
      <sheetName val="SG"/>
      <sheetName val="일위목록"/>
      <sheetName val="요율"/>
      <sheetName val="간접비계산"/>
      <sheetName val="실행철강하도"/>
      <sheetName val="합계"/>
      <sheetName val="일위CODE"/>
      <sheetName val="산수배수"/>
      <sheetName val="단가"/>
      <sheetName val="Macro1"/>
      <sheetName val="중기비"/>
      <sheetName val="노무비"/>
      <sheetName val="원가계산서"/>
      <sheetName val="관급자재"/>
      <sheetName val="#2_일위대가목록"/>
      <sheetName val="1공구산출내역서"/>
      <sheetName val="건설성적"/>
      <sheetName val="일  위  대  가  목  록"/>
      <sheetName val="인부신상자료"/>
      <sheetName val="간접(90)"/>
      <sheetName val="6. 안전관리비"/>
      <sheetName val="품셈"/>
      <sheetName val="금액결정"/>
      <sheetName val="직노"/>
      <sheetName val="2공구산출내역"/>
      <sheetName val="교각토공 _2_"/>
      <sheetName val="세부추진"/>
      <sheetName val="제안서"/>
      <sheetName val="상용보강"/>
      <sheetName val="행정표준(1)"/>
      <sheetName val="행정표준(2)"/>
      <sheetName val="일위산출"/>
      <sheetName val="1공구원가계산서"/>
      <sheetName val="1유리"/>
      <sheetName val="운반비요율"/>
      <sheetName val="자재단가"/>
      <sheetName val="1,2공구원가계산서"/>
      <sheetName val="3.공통공사대비"/>
      <sheetName val="당초명세(평)"/>
      <sheetName val="조명율표"/>
      <sheetName val="설계가"/>
      <sheetName val="DHEQSUPT"/>
      <sheetName val="INSTR"/>
      <sheetName val="단가산출"/>
      <sheetName val="장문교(대전)"/>
      <sheetName val="관급"/>
      <sheetName val="장비"/>
      <sheetName val="산근1"/>
      <sheetName val="노무"/>
      <sheetName val="자재"/>
      <sheetName val="우배수"/>
      <sheetName val="계산식"/>
      <sheetName val="전체"/>
      <sheetName val="일일"/>
      <sheetName val="호안사석"/>
      <sheetName val="배수자집"/>
      <sheetName val="#2정산"/>
      <sheetName val="원형1호맨홀토공수량"/>
      <sheetName val="HRSG SMALL07220"/>
      <sheetName val="#REF"/>
      <sheetName val="JUCKEYK"/>
      <sheetName val="S0"/>
      <sheetName val="기본설계기준"/>
      <sheetName val="일위"/>
      <sheetName val="단가적용"/>
      <sheetName val="저"/>
      <sheetName val="참조"/>
      <sheetName val="유동표"/>
      <sheetName val="PI"/>
      <sheetName val="품셈총괄표"/>
      <sheetName val="2000년1차"/>
      <sheetName val="2000전체분"/>
      <sheetName val="b_balju"/>
      <sheetName val="조건표"/>
      <sheetName val="증감내역서"/>
      <sheetName val="차액보증"/>
      <sheetName val="별표집계"/>
      <sheetName val="Macro2"/>
      <sheetName val="코드표"/>
      <sheetName val="견적의뢰서"/>
      <sheetName val="내역(한신APT)"/>
      <sheetName val="노임"/>
      <sheetName val="노임단가"/>
      <sheetName val="표지1"/>
      <sheetName val="준검 내역서"/>
      <sheetName val="97년 추정"/>
      <sheetName val="6PILE  (돌출)"/>
      <sheetName val="A1"/>
      <sheetName val="일위단가"/>
      <sheetName val="ORIGIN"/>
      <sheetName val="일위대가목록표"/>
      <sheetName val="3개월-백데이타"/>
      <sheetName val="LG배관재단가"/>
      <sheetName val="다다수전류단가"/>
      <sheetName val="LG유통상품단가표"/>
      <sheetName val="TEST1"/>
      <sheetName val="1단계"/>
      <sheetName val="일위총괄"/>
      <sheetName val="덕전리"/>
      <sheetName val="일위대가목차"/>
      <sheetName val="도급"/>
      <sheetName val="작업일보"/>
      <sheetName val="48일위"/>
      <sheetName val="하도내역 (철콘)"/>
      <sheetName val="특기사항"/>
      <sheetName val="일위대가D"/>
      <sheetName val="조건표 (2)"/>
      <sheetName val="FORM-0"/>
      <sheetName val="표준건축비"/>
      <sheetName val="지급자재"/>
      <sheetName val="임율 Data"/>
      <sheetName val="1.설계기준"/>
      <sheetName val="BSD (2)"/>
      <sheetName val="노임조서"/>
      <sheetName val="10공구일위"/>
      <sheetName val="조명시설"/>
      <sheetName val="입출재고현황 (2)"/>
      <sheetName val="노무비 근거"/>
      <sheetName val="c_balju"/>
      <sheetName val="을"/>
      <sheetName val="입력데이타"/>
      <sheetName val="목차 "/>
      <sheetName val="시화점실행"/>
      <sheetName val="물가시세"/>
      <sheetName val="7. 현장관리비 "/>
      <sheetName val="WORK"/>
      <sheetName val="예산총괄"/>
      <sheetName val="기본단가표"/>
      <sheetName val="8.현장관리비"/>
      <sheetName val="7.안전관리비"/>
      <sheetName val="단가표"/>
      <sheetName val="기초1"/>
      <sheetName val="내역전기"/>
      <sheetName val="수정2"/>
      <sheetName val="수량산출서"/>
      <sheetName val="신공항A-9(원가수정)"/>
      <sheetName val="설계예산서"/>
      <sheetName val="중기"/>
      <sheetName val="U형개거"/>
      <sheetName val="공통가설"/>
      <sheetName val="배수내역"/>
      <sheetName val="수량3"/>
      <sheetName val="금융비용"/>
      <sheetName val="TOTAL"/>
      <sheetName val="b_balju (2)"/>
      <sheetName val="b_gunmul"/>
      <sheetName val="추가예산"/>
      <sheetName val="프랜트면허"/>
      <sheetName val="토목주소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산출근거"/>
      <sheetName val="IT-BAT"/>
      <sheetName val="수문일위1"/>
      <sheetName val="공정집계_국별"/>
      <sheetName val="일위산출근거"/>
      <sheetName val="인사자료총집계"/>
      <sheetName val="단면가정"/>
      <sheetName val="(원)기흥상갈"/>
      <sheetName val="집계"/>
      <sheetName val="개거총"/>
      <sheetName val="토공유동표(전체.당초)"/>
      <sheetName val="P_RPTB04_산근"/>
      <sheetName val="배수공"/>
      <sheetName val="업체별기성내역"/>
      <sheetName val="포장(수량)-관로부"/>
      <sheetName val="2터널시점"/>
      <sheetName val="이월"/>
      <sheetName val="약품공급2"/>
      <sheetName val="SLAB근거-1"/>
      <sheetName val="단면 (2)"/>
      <sheetName val="실행대비"/>
      <sheetName val="잡비"/>
      <sheetName val="제경비산출서"/>
      <sheetName val="철거산출근거"/>
      <sheetName val="CTEMCOST"/>
      <sheetName val="일위대가표48"/>
      <sheetName val="표지_(3)"/>
      <sheetName val="표지_(2)"/>
      <sheetName val="교각집계_(2)"/>
      <sheetName val="교각토공_(2)"/>
      <sheetName val="교각철근_(2)"/>
      <sheetName val="재료비"/>
      <sheetName val="공사내역서(을)실행"/>
      <sheetName val="직접비"/>
      <sheetName val="건장설비"/>
      <sheetName val="교통대책내역"/>
      <sheetName val="BND"/>
      <sheetName val="첨부1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3_공통공사대비"/>
      <sheetName val="HRSG_SMALL07220"/>
      <sheetName val="6__안전관리비"/>
      <sheetName val="단위단가"/>
      <sheetName val="토공사"/>
      <sheetName val="수량산출"/>
      <sheetName val="기계내역"/>
      <sheetName val="공량산출서"/>
      <sheetName val="유입량"/>
      <sheetName val="장비단가"/>
      <sheetName val="적현로"/>
      <sheetName val="(당평)자재"/>
      <sheetName val="유치원내역"/>
      <sheetName val="하도금액분계"/>
      <sheetName val="견적"/>
      <sheetName val="설계"/>
      <sheetName val="화재 탐지 설비"/>
      <sheetName val="음성방향"/>
      <sheetName val="준검_내역서"/>
      <sheetName val="97년_추정"/>
      <sheetName val="6PILE__(돌출)"/>
      <sheetName val="DANGA"/>
      <sheetName val="간선계산"/>
      <sheetName val="2000용수잠관-수량집계"/>
      <sheetName val="인원"/>
      <sheetName val="일위(PN)"/>
      <sheetName val="환기시설"/>
      <sheetName val="조명"/>
      <sheetName val="점보전력사용"/>
      <sheetName val="단면"/>
      <sheetName val="배수처리"/>
      <sheetName val="입력자료(노무비)"/>
      <sheetName val="INPUT"/>
      <sheetName val="DATE"/>
      <sheetName val="8.PILE  (돌출)"/>
      <sheetName val="토공(1)"/>
      <sheetName val="차수공(1)"/>
      <sheetName val="기본단가"/>
      <sheetName val="1. 설계조건 2.단면가정 3. 하중계산"/>
      <sheetName val="DATA 입력란"/>
      <sheetName val="토목품셈"/>
      <sheetName val="구조     ."/>
      <sheetName val="DATA"/>
      <sheetName val="전기"/>
      <sheetName val="효율표"/>
      <sheetName val="수량분개내역"/>
      <sheetName val="노무비 "/>
      <sheetName val="경상비"/>
      <sheetName val="전문하도급"/>
      <sheetName val="교량전기"/>
      <sheetName val="평가데이터"/>
      <sheetName val="MOTOR"/>
      <sheetName val="현장관리비 산출내역"/>
      <sheetName val="인명부"/>
      <sheetName val="내역표지"/>
      <sheetName val="가스"/>
      <sheetName val="양수장(기계)"/>
      <sheetName val="공사비예산서(토목분)"/>
      <sheetName val="기성갑지"/>
      <sheetName val="중기일위대가"/>
      <sheetName val="Customer Databas"/>
      <sheetName val="일위대가(1)"/>
      <sheetName val="4.일위대가집계"/>
      <sheetName val="공사비증감"/>
      <sheetName val="5. 현장관리비(new) "/>
      <sheetName val="ABUT수량-A1"/>
      <sheetName val="실행내역서 "/>
      <sheetName val="사업관리"/>
      <sheetName val="운반"/>
      <sheetName val="물가자료"/>
      <sheetName val="산출내역서집계표"/>
      <sheetName val="5_ 현장관리비_new_ "/>
      <sheetName val="예가표"/>
      <sheetName val="날개벽수량표"/>
      <sheetName val="입력정보"/>
      <sheetName val="FB25JN"/>
      <sheetName val="설계명세서"/>
      <sheetName val="내역서 제출"/>
      <sheetName val="자료입력"/>
      <sheetName val="총괄내역서"/>
      <sheetName val="내역(2000년)"/>
      <sheetName val="경영상태"/>
      <sheetName val="콘크리트타설집계표"/>
      <sheetName val="실행내역"/>
      <sheetName val="간 지1"/>
      <sheetName val="일위(시설)"/>
      <sheetName val="2"/>
      <sheetName val="인사자료"/>
      <sheetName val="공사원가계산서"/>
      <sheetName val="청천내"/>
      <sheetName val="중기조종사 단위단가"/>
      <sheetName val="1.설계조건"/>
      <sheetName val="유림골조"/>
      <sheetName val="공통부대비"/>
      <sheetName val="BQ"/>
      <sheetName val="결재난"/>
      <sheetName val="tggwan(mac)"/>
      <sheetName val="자재일람"/>
      <sheetName val="금액내역서"/>
      <sheetName val="방배동내역(리라)"/>
      <sheetName val="현장경비"/>
      <sheetName val="건축공사집계표"/>
      <sheetName val="방배동내역 (총괄)"/>
      <sheetName val="부대공사총괄"/>
      <sheetName val="lab"/>
      <sheetName val="만년달력"/>
      <sheetName val="우수"/>
      <sheetName val="부하계산서"/>
      <sheetName val="단가산출(T)"/>
      <sheetName val="날개벽(시점좌측)"/>
      <sheetName val="맨홀수량산출"/>
      <sheetName val="재료집계표"/>
      <sheetName val="단위중량"/>
      <sheetName val="파이프류"/>
      <sheetName val="인계"/>
      <sheetName val="경비2내역"/>
      <sheetName val="금리계산"/>
      <sheetName val="Temporary Mooring"/>
      <sheetName val="공문"/>
      <sheetName val="A LINE"/>
      <sheetName val="우석문틀"/>
      <sheetName val="SHL"/>
      <sheetName val="품셈TABLE"/>
      <sheetName val="2.대외공문"/>
      <sheetName val="U-TYPE(1)"/>
      <sheetName val="일반공사"/>
      <sheetName val="단위량당중기"/>
      <sheetName val="건설실행"/>
      <sheetName val="일위목록데이타"/>
      <sheetName val="설내역서 "/>
      <sheetName val="일위집계(기존)"/>
      <sheetName val="인원계획"/>
      <sheetName val="대로근거"/>
      <sheetName val="중로근거"/>
      <sheetName val="일위대가집계"/>
      <sheetName val="단가대비표"/>
      <sheetName val="N賃率-職"/>
      <sheetName val="원도급"/>
      <sheetName val="하도급"/>
      <sheetName val="초기화면"/>
      <sheetName val="RE9604"/>
      <sheetName val="코드"/>
      <sheetName val="경산"/>
      <sheetName val="여과지동"/>
      <sheetName val="기초자료"/>
      <sheetName val="격점별물량"/>
      <sheetName val="7.PILE  (돌출)"/>
      <sheetName val="일H35Y4"/>
      <sheetName val="식재가격"/>
      <sheetName val="식재총괄"/>
      <sheetName val="세부내역서"/>
      <sheetName val="기자재비"/>
      <sheetName val="교각계산"/>
      <sheetName val="700seg"/>
      <sheetName val="내역서2안"/>
      <sheetName val="1.취수장"/>
      <sheetName val="설계내역"/>
      <sheetName val="자동제어"/>
      <sheetName val="대치판정"/>
      <sheetName val="동천하상준설"/>
      <sheetName val="전체내역서"/>
      <sheetName val="전기내역서"/>
      <sheetName val="자재수량"/>
      <sheetName val="1공구 건정토건 토공"/>
      <sheetName val="1공구 건정토건 철콘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Qheet6"/>
      <sheetName val="총괄-1"/>
      <sheetName val="단가산출서"/>
      <sheetName val="공사개요"/>
      <sheetName val="주차구획선수량"/>
      <sheetName val="자재단가비교표"/>
      <sheetName val="개요"/>
      <sheetName val="부대tu"/>
      <sheetName val="목차"/>
      <sheetName val="정부노임단가"/>
      <sheetName val="A-4"/>
      <sheetName val="금호"/>
      <sheetName val="하조서"/>
      <sheetName val="한강운반비"/>
      <sheetName val="서∼군(2)"/>
      <sheetName val="가도공"/>
      <sheetName val="변경비교-을"/>
      <sheetName val="6공구(당초)"/>
      <sheetName val="품의서"/>
      <sheetName val="데리네이타현황"/>
      <sheetName val="재개발"/>
      <sheetName val="내역(최종본4.5)"/>
      <sheetName val="SP-B1"/>
      <sheetName val="토적집계"/>
      <sheetName val="98NS-N"/>
      <sheetName val="소야공정계획표"/>
      <sheetName val="45,46"/>
      <sheetName val="기초코드"/>
      <sheetName val="갑지(추정)"/>
      <sheetName val="1.수인터널"/>
      <sheetName val="일위대가표"/>
      <sheetName val="보할"/>
      <sheetName val="공업용수관로"/>
      <sheetName val="일위(토목)"/>
      <sheetName val="설 계"/>
      <sheetName val="경비"/>
      <sheetName val="물량표"/>
      <sheetName val="낙찰표"/>
      <sheetName val="입적표"/>
      <sheetName val="지주설치제원"/>
      <sheetName val="준공조서갑지"/>
      <sheetName val="실행내역서"/>
      <sheetName val="98지급계획"/>
      <sheetName val="수문일1"/>
      <sheetName val="가시설"/>
      <sheetName val="시공여유율"/>
      <sheetName val="부대내역"/>
      <sheetName val="SANTOGO"/>
      <sheetName val="흥양2교토공집계표"/>
      <sheetName val="eq_data"/>
      <sheetName val="ELECTRIC"/>
      <sheetName val="전기공사"/>
      <sheetName val="AS포장복구 "/>
      <sheetName val="건축내역서"/>
      <sheetName val="Dae_Jiju"/>
      <sheetName val="Sikje_ingun"/>
      <sheetName val="TREE_D"/>
      <sheetName val="특수선일위대가"/>
      <sheetName val="단가비교표"/>
      <sheetName val="입력시트"/>
      <sheetName val="장비집계"/>
      <sheetName val="결과조달"/>
      <sheetName val="원본(갑지)"/>
      <sheetName val="3차준공"/>
      <sheetName val="입찰품의서"/>
      <sheetName val="토사(PE)"/>
      <sheetName val="날개벽"/>
      <sheetName val="choose"/>
      <sheetName val="6_ 안전관리비"/>
      <sheetName val="총 원가계산"/>
      <sheetName val=" 갑지"/>
      <sheetName val="계측기"/>
      <sheetName val="집 계 표"/>
      <sheetName val="CONCRETE"/>
      <sheetName val="원가계산서(변경)"/>
      <sheetName val="하중계산"/>
      <sheetName val="철근량"/>
      <sheetName val="돈암사업"/>
      <sheetName val="2.2_오피스텔(12~32F)"/>
      <sheetName val="1"/>
      <sheetName val="일위대가목록(ems)"/>
      <sheetName val="하도내역_(철콘)"/>
      <sheetName val="입출재고현황_(2)"/>
      <sheetName val="노무비_근거"/>
      <sheetName val="임율_Data"/>
      <sheetName val="조건표_(2)"/>
      <sheetName val="목차_"/>
      <sheetName val="1_설계기준"/>
      <sheetName val="7__현장관리비_"/>
      <sheetName val="전도금월정금액"/>
      <sheetName val="마산방향철근집계"/>
      <sheetName val="진주방향"/>
      <sheetName val="기성내역"/>
      <sheetName val="차수"/>
      <sheetName val="월별손익"/>
      <sheetName val="법면"/>
      <sheetName val="부대공"/>
      <sheetName val="구조물공"/>
      <sheetName val="포장공"/>
      <sheetName val="배수공1"/>
      <sheetName val="일위대가(가설)"/>
      <sheetName val="터널대가"/>
      <sheetName val="총괄"/>
      <sheetName val="기본일위"/>
      <sheetName val="실행(ALT1)"/>
      <sheetName val="환율change"/>
      <sheetName val="GRDBS"/>
      <sheetName val="견적대비표"/>
      <sheetName val="Y-WORK"/>
      <sheetName val="4 LINE"/>
      <sheetName val="7 th"/>
      <sheetName val="C10집계2"/>
      <sheetName val="일위대가 집계표"/>
      <sheetName val="외주대비 -석축_x0000__x0000__x0000__x0000__x0000__x0012_[후다내역.XLS]견적표지 (3"/>
      <sheetName val="소방"/>
      <sheetName val="개산공사비"/>
      <sheetName val="인건비"/>
      <sheetName val="측량요율"/>
      <sheetName val="자재대"/>
      <sheetName val="점검총괄"/>
      <sheetName val="MODELING"/>
      <sheetName val="J直材4"/>
      <sheetName val="9.1지하2층하부보"/>
      <sheetName val="일용직6월"/>
      <sheetName val="골조"/>
      <sheetName val="Sheet1 (2)"/>
      <sheetName val="시중노임단가"/>
      <sheetName val="정렬"/>
      <sheetName val="기술부 VENDOR LIST"/>
      <sheetName val="현장별"/>
      <sheetName val="간접비"/>
      <sheetName val="양덕동"/>
      <sheetName val="입력"/>
      <sheetName val="일용직"/>
      <sheetName val="인천제철"/>
      <sheetName val="이형관중량"/>
      <sheetName val="일위대가(목록)"/>
      <sheetName val="산근(목록)"/>
      <sheetName val="기초단가"/>
      <sheetName val="입력데이타(비인쇄용)"/>
      <sheetName val="Code"/>
      <sheetName val="마산월령동골조물량변경"/>
      <sheetName val="환산"/>
      <sheetName val="자  재"/>
      <sheetName val="건축외주"/>
      <sheetName val="노원열병합  건축공사기성내역서"/>
      <sheetName val="케이블규격"/>
      <sheetName val="COVERSHEET"/>
      <sheetName val="할증 "/>
      <sheetName val="개인별 순위표"/>
      <sheetName val="CM 1"/>
      <sheetName val="전기실-1"/>
      <sheetName val="ROOF(ALKALI)"/>
      <sheetName val="중기조종사_단위단가"/>
      <sheetName val="단면_(2)"/>
      <sheetName val="BSD_(2)"/>
      <sheetName val="분전반"/>
      <sheetName val="COVER-P"/>
      <sheetName val="단계별내역 (2)"/>
      <sheetName val="데이타"/>
      <sheetName val="식재인부"/>
      <sheetName val="특별"/>
      <sheetName val="변경내역"/>
      <sheetName val="화전내"/>
      <sheetName val="70%"/>
      <sheetName val="일위총괄표"/>
      <sheetName val="현장일반사항"/>
      <sheetName val="제출내역 (2)"/>
      <sheetName val="호표"/>
      <sheetName val="소비자가"/>
      <sheetName val="수리결과"/>
      <sheetName val="임율산출표"/>
      <sheetName val="Print"/>
      <sheetName val="MATRLDATA"/>
      <sheetName val="터파기및재료"/>
      <sheetName val="퍼스트"/>
      <sheetName val="기안"/>
      <sheetName val="관개"/>
      <sheetName val="B"/>
      <sheetName val="선정요령"/>
      <sheetName val="252K444"/>
      <sheetName val="기계경비일람"/>
      <sheetName val="공통(20-91)"/>
      <sheetName val="기둥(원형)"/>
      <sheetName val="주요항목별"/>
      <sheetName val="2.2 띠장의 설계"/>
      <sheetName val="FACTOR"/>
      <sheetName val="일대"/>
      <sheetName val="증감대비"/>
      <sheetName val="말뚝지지력산정"/>
      <sheetName val="제수변수량"/>
      <sheetName val="일위1"/>
      <sheetName val="일위대가목록(기계)"/>
      <sheetName val="BOX 본체"/>
      <sheetName val="남양내역"/>
      <sheetName val="실행내역_원본"/>
      <sheetName val="골조시행"/>
      <sheetName val="총체"/>
      <sheetName val="4.일위대가"/>
      <sheetName val="단가삐출"/>
      <sheetName val="GEN"/>
      <sheetName val="주소"/>
      <sheetName val="MP MOB"/>
      <sheetName val="단중표"/>
      <sheetName val="방음벽기초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교각토공__2_1"/>
      <sheetName val="3_공통공사대비1"/>
      <sheetName val="6__안전관리비1"/>
      <sheetName val="6PILE__(돌출)1"/>
      <sheetName val="HRSG_SMALL072201"/>
      <sheetName val="준검_내역서1"/>
      <sheetName val="97년_추정1"/>
      <sheetName val="2차전체변경예정_(2)"/>
      <sheetName val="토공유동표(전체_당초)"/>
      <sheetName val="b_balju_(2)"/>
      <sheetName val="8_PILE__(돌출)"/>
      <sheetName val="8_현장관리비"/>
      <sheetName val="7_안전관리비"/>
      <sheetName val="COVER"/>
      <sheetName val="플랜트 설치"/>
      <sheetName val="추가일위대가"/>
      <sheetName val="설비"/>
      <sheetName val="WING3"/>
      <sheetName val="4.2.1 마루높이 검토"/>
      <sheetName val="수량산출목록표"/>
      <sheetName val="관로분포도"/>
      <sheetName val=""/>
      <sheetName val="샘플표지"/>
      <sheetName val="s"/>
      <sheetName val="시운전연료비"/>
      <sheetName val="확약서"/>
      <sheetName val="보도경계블럭"/>
      <sheetName val="일집"/>
      <sheetName val="장비가동"/>
      <sheetName val="배수관공"/>
      <sheetName val="cctv예산대비"/>
      <sheetName val="라이닝폼예산대비내역"/>
      <sheetName val="옥외외등집계표"/>
      <sheetName val="메서,변+증"/>
      <sheetName val="명일작업계획 (3)"/>
      <sheetName val="횡배위치"/>
      <sheetName val="연결원본-절대지우지말것"/>
      <sheetName val="6호기"/>
      <sheetName val="단위목록"/>
      <sheetName val="자재운반단가일람표"/>
      <sheetName val="기계경비목록1"/>
      <sheetName val="검색방"/>
      <sheetName val="일위대가집계표"/>
      <sheetName val="산출서집계HS"/>
      <sheetName val="9GNG운반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Baby일위대가"/>
      <sheetName val="자동세륜기"/>
      <sheetName val="건축공사"/>
      <sheetName val="목록"/>
      <sheetName val="가격조사서"/>
      <sheetName val="TABLE DB"/>
      <sheetName val="쌍용 data base"/>
      <sheetName val="계정"/>
      <sheetName val="건축내역"/>
      <sheetName val="지원사무소원가배부내역"/>
      <sheetName val="중기사용료"/>
      <sheetName val="잔수량(작성)"/>
      <sheetName val="토목단가산출"/>
      <sheetName val="옥외배관기본공량"/>
      <sheetName val="대비2"/>
      <sheetName val="유림총괄"/>
      <sheetName val="감액총괄표"/>
      <sheetName val="사업개요"/>
      <sheetName val="현장관리비_입력"/>
      <sheetName val="원가계산"/>
      <sheetName val="공종보합"/>
      <sheetName val="출력원가"/>
      <sheetName val="공종원가"/>
      <sheetName val="총괄원가"/>
      <sheetName val="아파트"/>
      <sheetName val="상가,복지관"/>
      <sheetName val="주차장"/>
      <sheetName val="경비실"/>
      <sheetName val="시설,관리하위"/>
      <sheetName val="단면치수"/>
      <sheetName val="대운반(철재)"/>
      <sheetName val="청주(철골발주의뢰서)"/>
      <sheetName val="단"/>
      <sheetName val="자료"/>
      <sheetName val="원가(칠곡다부)"/>
      <sheetName val="다부IC내역"/>
      <sheetName val="원가(재방송)"/>
      <sheetName val="재방송"/>
      <sheetName val="다부내역"/>
      <sheetName val="읍내터널"/>
      <sheetName val="칠곡IC내역"/>
      <sheetName val="VXXXXX"/>
      <sheetName val="내역집계표"/>
      <sheetName val="내역서 (3)"/>
      <sheetName val="대가"/>
      <sheetName val="산출양식"/>
      <sheetName val="대가목록"/>
      <sheetName val="산출양식 (2)"/>
      <sheetName val="토목원가계산서"/>
      <sheetName val="토목원가"/>
      <sheetName val="집계장"/>
      <sheetName val="제외공종"/>
      <sheetName val="선급금사용계획서"/>
      <sheetName val="사용세부내역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공사비"/>
      <sheetName val="가드레일산근"/>
      <sheetName val="수량집계표"/>
      <sheetName val="수량"/>
      <sheetName val="단가비교"/>
      <sheetName val="적용2002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b_balju_cho"/>
      <sheetName val="실행총괄 "/>
      <sheetName val="토목"/>
      <sheetName val="본체"/>
      <sheetName val="[IL-3.XLSY갑지"/>
      <sheetName val="설비내역서"/>
      <sheetName val="CON'C"/>
      <sheetName val="도급내역서(재노경)"/>
      <sheetName val="4.일위대가목차"/>
      <sheetName val="96노임기준"/>
      <sheetName val="기계경비(시간당)"/>
      <sheetName val="램머"/>
      <sheetName val="깨기"/>
      <sheetName val="흄관수량"/>
      <sheetName val="PROCURE"/>
      <sheetName val="우수공,맨홀,집수정"/>
      <sheetName val="기계경비"/>
      <sheetName val="간접1"/>
      <sheetName val="예산변경원인분석"/>
      <sheetName val="앵커(3안)"/>
      <sheetName val="표지_(3)2"/>
      <sheetName val="표지_(2)2"/>
      <sheetName val="교각집계_(2)2"/>
      <sheetName val="교각토공_(2)2"/>
      <sheetName val="교각철근_(2)2"/>
      <sheetName val="외주대비_-석축2"/>
      <sheetName val="외주대비-구조물_(2)2"/>
      <sheetName val="견적표지_(3)2"/>
      <sheetName val="_HIT-&gt;HMC_견적(3900)2"/>
      <sheetName val="일__위__대__가__목__록2"/>
      <sheetName val="교각토공__2_2"/>
      <sheetName val="3_공통공사대비2"/>
      <sheetName val="6__안전관리비2"/>
      <sheetName val="조건표_(2)1"/>
      <sheetName val="입출재고현황_(2)1"/>
      <sheetName val="노무비_근거1"/>
      <sheetName val="6PILE__(돌출)2"/>
      <sheetName val="HRSG_SMALL072202"/>
      <sheetName val="하도내역_(철콘)1"/>
      <sheetName val="준검_내역서2"/>
      <sheetName val="임율_Data1"/>
      <sheetName val="97년_추정2"/>
      <sheetName val="2차전체변경예정_(2)1"/>
      <sheetName val="BSD_(2)1"/>
      <sheetName val="1_설계기준1"/>
      <sheetName val="토공유동표(전체_당초)1"/>
      <sheetName val="목차_1"/>
      <sheetName val="단면_(2)1"/>
      <sheetName val="8_현장관리비1"/>
      <sheetName val="7_안전관리비1"/>
      <sheetName val="7__현장관리비_1"/>
      <sheetName val="1__설계조건_2_단면가정_3__하중계산"/>
      <sheetName val="DATA_입력란"/>
      <sheetName val="구조______"/>
      <sheetName val="8_PILE__(돌출)1"/>
      <sheetName val="b_balju_(2)1"/>
      <sheetName val="노무비_"/>
      <sheetName val="현장관리비_산출내역"/>
      <sheetName val="4_일위대가집계"/>
      <sheetName val="내역서_제출"/>
      <sheetName val="실행내역서_"/>
      <sheetName val="간_지1"/>
      <sheetName val="화재_탐지_설비"/>
      <sheetName val="5__현장관리비(new)_"/>
      <sheetName val="Customer_Databas"/>
      <sheetName val="방배동내역_(총괄)"/>
      <sheetName val="1_설계조건"/>
      <sheetName val="중기조종사_단위단가1"/>
      <sheetName val="5__현장관리비_new__"/>
      <sheetName val="Temporary_Mooring"/>
      <sheetName val="A_LINE"/>
      <sheetName val="2_대외공문"/>
      <sheetName val="설내역서_"/>
      <sheetName val="설_계"/>
      <sheetName val="7_PILE__(돌출)"/>
      <sheetName val="2_2_오피스텔(12~32F)"/>
      <sheetName val="일위대가_집계표"/>
      <sheetName val="9_1지하2층하부보"/>
      <sheetName val="Sheet1_(2)"/>
      <sheetName val="단계별내역_(2)"/>
      <sheetName val="2_2_띠장의_설계"/>
      <sheetName val="1_취수장"/>
      <sheetName val="4_LINE"/>
      <sheetName val="7_th"/>
      <sheetName val="_갑지"/>
      <sheetName val="집_계_표"/>
      <sheetName val="총_원가계산"/>
      <sheetName val="6__안전관리비3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내역(최종본4_5)"/>
      <sheetName val="1_수인터널"/>
      <sheetName val="AS포장복구_"/>
      <sheetName val="자__재"/>
      <sheetName val="노원열병합__건축공사기성내역서"/>
      <sheetName val="할증_"/>
      <sheetName val="개인별_순위표"/>
      <sheetName val="CM_1"/>
      <sheetName val="기술부_VENDOR_LIST"/>
      <sheetName val="제출내역_(2)"/>
      <sheetName val="외주대비_-석축[후다내역_XLS]견적표지_(3"/>
      <sheetName val="4_일위대가"/>
      <sheetName val="플랜트_설치"/>
      <sheetName val="세골재  T2 변경 현황"/>
      <sheetName val="4동급수"/>
      <sheetName val="STEEL BOX 단면설계(SEC.8)"/>
      <sheetName val="소방사항"/>
      <sheetName val="품셈기준"/>
      <sheetName val="재료"/>
      <sheetName val="설치자재"/>
      <sheetName val="6.이토처리시간"/>
      <sheetName val="가설건물"/>
      <sheetName val="성토도수로현황"/>
      <sheetName val="원가서"/>
      <sheetName val="조건"/>
      <sheetName val="전 체"/>
      <sheetName val="일위집계"/>
      <sheetName val="내역(설계)"/>
      <sheetName val="VE절감"/>
      <sheetName val="unit 4"/>
      <sheetName val="내역_ver1.0"/>
      <sheetName val="2000,9월 일위"/>
      <sheetName val="단가일람표"/>
      <sheetName val="IL-3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공사비총괄표"/>
      <sheetName val="차수공개요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매출현황"/>
      <sheetName val="단가 "/>
      <sheetName val="보온일위"/>
      <sheetName val="49일위"/>
      <sheetName val="22일위"/>
      <sheetName val="49수량"/>
      <sheetName val="단가비교표(노무)"/>
      <sheetName val="수목표준대가"/>
      <sheetName val="변경품셈총괄"/>
      <sheetName val="고창터널(고창방향)"/>
      <sheetName val="변압기 및 발전기 용량"/>
      <sheetName val="냉천부속동"/>
      <sheetName val="공종단가"/>
      <sheetName val="조도계산서 (도서)"/>
      <sheetName val="암거단위"/>
      <sheetName val="보증수수료산출"/>
      <sheetName val="총공사내역서"/>
      <sheetName val="DAN"/>
      <sheetName val="백호우계수"/>
      <sheetName val="설직재-1"/>
      <sheetName val="기흥하도용"/>
      <sheetName val="대포2교접속"/>
      <sheetName val="천방교접속"/>
      <sheetName val="실행예산서"/>
      <sheetName val="BQ(실행)"/>
      <sheetName val="일반전기(2단지-을지)"/>
      <sheetName val="단가조사"/>
      <sheetName val="토목공사"/>
      <sheetName val="일위대가(4층원격)"/>
      <sheetName val="BM"/>
      <sheetName val="찍기"/>
      <sheetName val="의왕내역"/>
      <sheetName val="세부내역"/>
      <sheetName val="단가대비"/>
      <sheetName val="총괄집계표"/>
      <sheetName val="인수공규격"/>
      <sheetName val="단가(1)"/>
      <sheetName val="원가"/>
      <sheetName val="적용단위길이"/>
      <sheetName val="일위대가(건축)"/>
      <sheetName val="빌딩 안내"/>
      <sheetName val="기계공사비집계(원안)"/>
      <sheetName val="48단가"/>
      <sheetName val="CABLE"/>
      <sheetName val="CABLE (2)"/>
      <sheetName val="일위_파일"/>
      <sheetName val="연결임시"/>
      <sheetName val="접지수량"/>
      <sheetName val="G.R300경비"/>
      <sheetName val="교수설계"/>
      <sheetName val="공종구간"/>
      <sheetName val="조경일람"/>
      <sheetName val="49단가"/>
      <sheetName val="구간산출"/>
      <sheetName val="부하LOAD"/>
      <sheetName val="노임단가산출근거"/>
      <sheetName val="COST"/>
      <sheetName val="항목등록"/>
      <sheetName val="원가계산서(남측)"/>
      <sheetName val="신고분기설정참고"/>
      <sheetName val="거래처자료등록"/>
      <sheetName val="조도계산"/>
      <sheetName val="국내조달(통합-1)"/>
      <sheetName val="상시"/>
      <sheetName val="주beam"/>
      <sheetName val="9811"/>
      <sheetName val="출력용"/>
      <sheetName val="단가대비표 (3)"/>
      <sheetName val="하부철근수량"/>
      <sheetName val="연결관산출조서"/>
      <sheetName val="내역서적용수량"/>
      <sheetName val="계획집계"/>
      <sheetName val="기계물량"/>
      <sheetName val="단가목록"/>
      <sheetName val="비탈면보호공수량산출"/>
      <sheetName val="준공검사원(갑)"/>
      <sheetName val="기성내역서(을) (2)"/>
      <sheetName val="전기일위대가"/>
      <sheetName val="영신토건물가변동"/>
      <sheetName val="변수값"/>
      <sheetName val="중기상차"/>
      <sheetName val="AS복구"/>
      <sheetName val="중기터파기"/>
      <sheetName val="1단계 (2)"/>
      <sheetName val="L_RPTA05_목록"/>
      <sheetName val="동원인원"/>
      <sheetName val="2.1  노무비 평균단가산출"/>
      <sheetName val="예산명세서"/>
      <sheetName val="입상내역"/>
      <sheetName val="단가일람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견"/>
      <sheetName val="#3_일위대가목록"/>
      <sheetName val="Macro(차단기)"/>
      <sheetName val="띘랷랷랷"/>
      <sheetName val="TRE TABLE"/>
      <sheetName val="Requirement(Work Crew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대전-교대(A1-A2)"/>
      <sheetName val="7단가"/>
      <sheetName val="9509"/>
      <sheetName val="총공사원가"/>
      <sheetName val="건축공사원가"/>
      <sheetName val="설비공사원가"/>
      <sheetName val="견적서"/>
      <sheetName val="배관공사기초자료"/>
      <sheetName val="Ekog10"/>
      <sheetName val="AL공사(원)"/>
      <sheetName val="내역서1"/>
      <sheetName val="22수량"/>
      <sheetName val="품목현황"/>
      <sheetName val="출고대장"/>
      <sheetName val="바닥판"/>
      <sheetName val="입력DATA"/>
      <sheetName val="asd"/>
      <sheetName val="★도급내역"/>
      <sheetName val="back-data"/>
      <sheetName val="인월수표"/>
      <sheetName val="중기가격"/>
      <sheetName val="분전함신설"/>
      <sheetName val="접지1종"/>
      <sheetName val="단위수량"/>
      <sheetName val="진입도로B (2)"/>
      <sheetName val="백암비스타내역"/>
      <sheetName val="수목데이타 "/>
      <sheetName val="2.냉난방설비공사"/>
      <sheetName val="7.자동제어공사"/>
      <sheetName val="중강당 내역"/>
      <sheetName val="제-노임"/>
      <sheetName val="AV시스템"/>
      <sheetName val="guard(mac)"/>
      <sheetName val="COPING"/>
      <sheetName val="전체분2회변경"/>
      <sheetName val="산출근거(복구)"/>
      <sheetName val="영창26"/>
      <sheetName val="웅진교-S2"/>
      <sheetName val="횡배수관집현황(2공구)"/>
      <sheetName val="남양주부대"/>
      <sheetName val="기초자료입력및 K치 확인"/>
      <sheetName val="ES조서출력하기"/>
      <sheetName val="등록자료"/>
      <sheetName val="역T형교대(PILE기초)"/>
      <sheetName val="실행내역 "/>
      <sheetName val="산근"/>
      <sheetName val="수원역(전체분)설계서"/>
      <sheetName val="단가조사-2"/>
      <sheetName val="자재 단가 비교표(견적)"/>
      <sheetName val="자재 단가 비교표"/>
      <sheetName val="BDATA"/>
      <sheetName val="지하"/>
      <sheetName val="건설기계목록"/>
      <sheetName val="일위대가_목록"/>
      <sheetName val="재료단가"/>
      <sheetName val="시중노임"/>
      <sheetName val="지불내역1"/>
      <sheetName val="지질조사"/>
      <sheetName val="암거단위-1련"/>
      <sheetName val="의뢰내역서"/>
      <sheetName val="준공내역서표지"/>
      <sheetName val="䂰출양식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48수량"/>
      <sheetName val="내역서 (2)"/>
      <sheetName val="98수문일위"/>
      <sheetName val="단가비교표_공통1"/>
      <sheetName val="내역(원안-대안)"/>
      <sheetName val="산출목록표"/>
      <sheetName val="전화공사 공량 및 집계표"/>
      <sheetName val="공사착공계"/>
      <sheetName val="참조 (2)"/>
      <sheetName val="6. 직접경비"/>
      <sheetName val="노임이"/>
      <sheetName val="이토변실(A3-LINE)"/>
      <sheetName val="조경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MAIN"/>
      <sheetName val="부표총괄"/>
      <sheetName val="일대목차"/>
      <sheetName val="ITEM"/>
      <sheetName val="단가(보완)"/>
      <sheetName val="대가 (보완)"/>
      <sheetName val="기계경비목록"/>
      <sheetName val="몰탈재료산출"/>
      <sheetName val="3.자재비(총괄)"/>
      <sheetName val="제출내역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품목납기"/>
      <sheetName val="정공공사"/>
      <sheetName val="단가기준"/>
      <sheetName val="횡배수관수량집계"/>
      <sheetName val="우,오수"/>
      <sheetName val="유의사항"/>
      <sheetName val="현장설명"/>
      <sheetName val="특별조건"/>
      <sheetName val="토공갑"/>
      <sheetName val="구조물갑"/>
      <sheetName val="투찰계획서"/>
      <sheetName val="실행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99총공사내역서"/>
      <sheetName val="평야부단가"/>
      <sheetName val="예산서"/>
      <sheetName val="오동"/>
      <sheetName val="대조"/>
      <sheetName val="나한"/>
      <sheetName val="단가대비표(계측)"/>
      <sheetName val="공정외주"/>
      <sheetName val="제조 경영"/>
      <sheetName val="36단가"/>
      <sheetName val="36수량"/>
      <sheetName val="메인거더-크로스빔200연결부"/>
      <sheetName val="인건비 "/>
      <sheetName val="기본자료"/>
      <sheetName val="설계서을"/>
      <sheetName val="을지"/>
      <sheetName val="EQ-R1"/>
      <sheetName val="L-type"/>
      <sheetName val="bearing"/>
      <sheetName val="조내역"/>
      <sheetName val="부안일위"/>
      <sheetName val="C지구"/>
      <sheetName val="사내도로"/>
      <sheetName val="4.전기"/>
      <sheetName val="노 무 비"/>
      <sheetName val="노임단가표"/>
      <sheetName val="결선list"/>
      <sheetName val="위치도1"/>
      <sheetName val="자재단가-1"/>
      <sheetName val="갑지1"/>
      <sheetName val="도급정산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제잡비집계"/>
      <sheetName val="가로등내역서"/>
      <sheetName val="내역서(토목)"/>
      <sheetName val="미납품 현황"/>
      <sheetName val="신설개소별 총집계표(동해-배전)"/>
      <sheetName val="SSMITM"/>
      <sheetName val="2.1외주"/>
      <sheetName val="2.3노무"/>
      <sheetName val="2.4자재"/>
      <sheetName val="2.2장비"/>
      <sheetName val="2.5경비"/>
      <sheetName val="2.6수목대"/>
      <sheetName val="3련 BOX"/>
      <sheetName val="도수로집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/>
      <sheetData sheetId="1083"/>
      <sheetData sheetId="1084"/>
      <sheetData sheetId="1085"/>
      <sheetData sheetId="1086"/>
      <sheetData sheetId="1087" refreshError="1"/>
      <sheetData sheetId="1088"/>
      <sheetData sheetId="1089" refreshError="1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조명율표"/>
      <sheetName val="투찰내역"/>
      <sheetName val="2000년1차"/>
      <sheetName val="2000전체분"/>
      <sheetName val="교통대책내역"/>
      <sheetName val="집계표"/>
      <sheetName val="조경일람"/>
      <sheetName val="단가일람"/>
      <sheetName val="내역서"/>
      <sheetName val="조명일위"/>
      <sheetName val="#REF"/>
      <sheetName val="부대공사비"/>
      <sheetName val="간접1"/>
      <sheetName val="99총공사내역서"/>
      <sheetName val="퍼스트"/>
      <sheetName val="차액보증"/>
      <sheetName val="전체제잡비"/>
      <sheetName val="BID"/>
      <sheetName val="SLAB데이터"/>
      <sheetName val="정부노임단가"/>
      <sheetName val="노임"/>
      <sheetName val="접지수량"/>
      <sheetName val="sheet1"/>
      <sheetName val="지질조사"/>
      <sheetName val="Total 단위경유량집계"/>
      <sheetName val="MOTOR"/>
      <sheetName val="CALCULATION"/>
      <sheetName val="약품공급2"/>
      <sheetName val="C1ㅇ"/>
      <sheetName val="실행철강하도"/>
      <sheetName val="실행내역"/>
      <sheetName val="RE9604"/>
      <sheetName val="원가계산서"/>
      <sheetName val="준검 내역서"/>
      <sheetName val="산근"/>
      <sheetName val="기계경비(시간당)"/>
      <sheetName val="단가"/>
      <sheetName val="마산월령동골조물량변경"/>
      <sheetName val="1,2공구원가계산서"/>
      <sheetName val="2공구산출내역"/>
      <sheetName val="1공구산출내역서"/>
      <sheetName val="설계조건"/>
      <sheetName val="DANGA"/>
      <sheetName val="일위대가"/>
      <sheetName val="기본단가표"/>
      <sheetName val="재료집계표"/>
      <sheetName val="교각1"/>
      <sheetName val="DB"/>
      <sheetName val="제경비"/>
      <sheetName val="내역(원안-대안)"/>
      <sheetName val="조명시설"/>
      <sheetName val="SIL98"/>
      <sheetName val="구조물공"/>
      <sheetName val="부대공"/>
      <sheetName val="배수공"/>
      <sheetName val="토공"/>
      <sheetName val="포장공"/>
      <sheetName val="토공유동표(전체.당초)"/>
      <sheetName val="품셈TABLE"/>
      <sheetName val="노임단가"/>
      <sheetName val="원가계산서구조조정"/>
      <sheetName val="건축내역"/>
      <sheetName val="내역서(전기)"/>
      <sheetName val="총공사내역서"/>
      <sheetName val="항목(1)"/>
      <sheetName val="총괄표"/>
      <sheetName val="금액내역서"/>
      <sheetName val="1.수인터널"/>
      <sheetName val="asd"/>
      <sheetName val="직재"/>
      <sheetName val="N賃率-職"/>
      <sheetName val="잡철물"/>
      <sheetName val="BH-1 (2)"/>
      <sheetName val="표  지"/>
      <sheetName val="직노"/>
      <sheetName val="ITEM"/>
      <sheetName val="관급"/>
      <sheetName val="일위목록"/>
      <sheetName val="요율"/>
      <sheetName val="공문"/>
      <sheetName val="설비2차"/>
      <sheetName val="6호기"/>
      <sheetName val="결재갑지"/>
      <sheetName val="산출근거"/>
      <sheetName val="기계경비일람"/>
      <sheetName val="5회토적"/>
      <sheetName val="당진1,2호기전선관설치및접지4차공사내역서-을지"/>
      <sheetName val="기계내역서"/>
      <sheetName val="1001"/>
      <sheetName val="공사개요"/>
      <sheetName val="매입세율"/>
      <sheetName val="적점"/>
      <sheetName val="NYS"/>
      <sheetName val="대포2교접속"/>
      <sheetName val="천방교접속"/>
      <sheetName val="하남내역"/>
      <sheetName val="앉음벽 (2)"/>
      <sheetName val="자재일람"/>
      <sheetName val="수량산출서"/>
      <sheetName val="금융비용"/>
      <sheetName val="일반공사"/>
      <sheetName val="내역(중앙)"/>
      <sheetName val="참조-(1)"/>
      <sheetName val="단위단가"/>
      <sheetName val="예산서"/>
      <sheetName val="_HIT__HMC 견적_3900_"/>
      <sheetName val="ABUT수량-A1"/>
      <sheetName val="제안서"/>
      <sheetName val="행정표준(1)"/>
      <sheetName val="행정표준(2)"/>
      <sheetName val="I.설계조건"/>
      <sheetName val="hvac(제어동)"/>
      <sheetName val="4.전기"/>
      <sheetName val="조경"/>
      <sheetName val="공사비예산서(토목분)"/>
      <sheetName val="관리비비계상"/>
      <sheetName val="직공비"/>
      <sheetName val="총괄내역서"/>
      <sheetName val="일위대가표"/>
      <sheetName val="현장지지물물량"/>
      <sheetName val="98지급계획"/>
      <sheetName val="현장설명"/>
      <sheetName val="예가내역서"/>
      <sheetName val="경비2내역"/>
      <sheetName val="자료"/>
      <sheetName val="간접(90)"/>
      <sheetName val="참조"/>
      <sheetName val="산출내역서"/>
      <sheetName val="일반부표"/>
      <sheetName val="구조물견적서"/>
      <sheetName val="예산변경원인분석"/>
      <sheetName val="7. 현장관리비 "/>
      <sheetName val="6. 안전관리비"/>
      <sheetName val="분뇨"/>
      <sheetName val="단가산출"/>
      <sheetName val="원가"/>
      <sheetName val="설계예산서"/>
      <sheetName val="ilch"/>
      <sheetName val="1.설계조건"/>
      <sheetName val="견적조건"/>
      <sheetName val="세부내역"/>
      <sheetName val="운반"/>
      <sheetName val="도급"/>
      <sheetName val="DATA"/>
      <sheetName val="데이타"/>
      <sheetName val="소포내역 (2)"/>
      <sheetName val="터파기및재료"/>
      <sheetName val="초기화면"/>
      <sheetName val="폐기물"/>
      <sheetName val="인원계획"/>
      <sheetName val="타공종이기"/>
      <sheetName val="INPUT"/>
      <sheetName val="전기내역서(총계)"/>
      <sheetName val="ancillary"/>
      <sheetName val="실행(1)"/>
      <sheetName val="접지1종"/>
      <sheetName val="오저간내역서"/>
      <sheetName val="전기"/>
      <sheetName val="토공A"/>
      <sheetName val="입력데이타"/>
      <sheetName val="이형관"/>
      <sheetName val="작성방법"/>
      <sheetName val="노원열병합  건축공사기성내역서"/>
      <sheetName val="도급-집계"/>
      <sheetName val="증감내역서"/>
      <sheetName val="금호"/>
      <sheetName val="001"/>
      <sheetName val="대전21토목내역서"/>
      <sheetName val="말뚝지지력산정"/>
      <sheetName val="간접비계산"/>
      <sheetName val="적용단가"/>
      <sheetName val="품셈"/>
      <sheetName val="신호등일위대가"/>
      <sheetName val="보증수수료산출"/>
      <sheetName val="소야공정계획표"/>
      <sheetName val="경비"/>
      <sheetName val="토목내역"/>
      <sheetName val="사급자재"/>
      <sheetName val="기계공사"/>
      <sheetName val="bearing"/>
      <sheetName val="가격조사서"/>
      <sheetName val="검암내역"/>
      <sheetName val="일위대가목록"/>
      <sheetName val="설계내역서"/>
      <sheetName val="여과지동"/>
      <sheetName val="기초자료"/>
      <sheetName val="시멘트"/>
      <sheetName val="COVER"/>
      <sheetName val="문학간접"/>
      <sheetName val="자재단가"/>
      <sheetName val="분전반"/>
      <sheetName val="공사원가계산서"/>
      <sheetName val="99월별경비계획"/>
      <sheetName val="사업전망"/>
      <sheetName val="현장업무"/>
      <sheetName val="PIPING"/>
      <sheetName val="조도계산서 (도서)"/>
      <sheetName val="대비"/>
      <sheetName val="을-ATYPE"/>
      <sheetName val="제1호단위수량"/>
      <sheetName val="설계서(7)"/>
      <sheetName val="예산서(6)"/>
      <sheetName val="3련 BOX"/>
      <sheetName val="토목주소"/>
      <sheetName val="11.산출(전열)"/>
      <sheetName val="6.산출(동력)"/>
      <sheetName val="7.산출(TRAY)"/>
      <sheetName val="Total"/>
      <sheetName val="노임단가표"/>
      <sheetName val="5.산출(전력)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단가조사표"/>
      <sheetName val="을"/>
      <sheetName val="MSS 2"/>
      <sheetName val="전주2本1"/>
      <sheetName val="여수토토적"/>
      <sheetName val="구조물수량집계표"/>
      <sheetName val="우수관매설및 우수받이"/>
      <sheetName val="횡배위치"/>
      <sheetName val="기초일위"/>
      <sheetName val="시설일위"/>
      <sheetName val="신림자금"/>
      <sheetName val="운반비"/>
      <sheetName val="2000양배"/>
      <sheetName val="11.우각부 보강"/>
      <sheetName val="제출내역 (2)"/>
      <sheetName val="갑지"/>
      <sheetName val="추가예산"/>
      <sheetName val="단가조사-2"/>
      <sheetName val="플랜트 설치"/>
      <sheetName val="Resource2"/>
      <sheetName val="명세서"/>
      <sheetName val="일위집계(기존)"/>
      <sheetName val="단가대비표"/>
      <sheetName val="할증"/>
      <sheetName val="보고서 기기리스트"/>
      <sheetName val="배수내역"/>
      <sheetName val="현장관리비"/>
      <sheetName val="상-교대(A1-A2)"/>
      <sheetName val="부재예실1월"/>
      <sheetName val="Sheet3"/>
      <sheetName val="제품원재"/>
      <sheetName val="자재단가비교표"/>
      <sheetName val="건설성적"/>
      <sheetName val="내역(창신)"/>
      <sheetName val="13LPMCC"/>
      <sheetName val="코드표"/>
      <sheetName val="프로젝트"/>
      <sheetName val="2.1  노무비 평균단가산출"/>
      <sheetName val="A-4"/>
      <sheetName val="인부노임"/>
      <sheetName val="전체"/>
      <sheetName val="I一般比"/>
      <sheetName val="내역_ver1.0"/>
      <sheetName val="적용표"/>
      <sheetName val="재료비"/>
      <sheetName val="역T형옹벽단위수량"/>
      <sheetName val="연결임시"/>
      <sheetName val="01AC"/>
      <sheetName val="정화조내역"/>
      <sheetName val="입력"/>
      <sheetName val="예산총괄"/>
      <sheetName val="70%"/>
      <sheetName val="전기실-1"/>
      <sheetName val="백암비스타내역"/>
      <sheetName val="설계서(본관)"/>
      <sheetName val="내   역"/>
      <sheetName val="소비자가"/>
      <sheetName val="lee"/>
      <sheetName val="집계표소트"/>
      <sheetName val="중기일위대가"/>
      <sheetName val="plan&amp;section of foundation"/>
      <sheetName val="pile bearing capa &amp; arrenge"/>
      <sheetName val="working load at the btm ft."/>
      <sheetName val="stability check"/>
      <sheetName val="design criteria"/>
      <sheetName val="마산방향"/>
      <sheetName val="진주방향"/>
      <sheetName val="기초수량집"/>
      <sheetName val="type-F"/>
      <sheetName val="설계"/>
      <sheetName val="일위대가(1)"/>
      <sheetName val="Macro1"/>
      <sheetName val="봉양~조차장간고하개명(신설)"/>
      <sheetName val="측구터파기공수량집계"/>
      <sheetName val="배수공 시멘트 및 골재량 산출"/>
      <sheetName val="99-0002"/>
      <sheetName val="A 견적"/>
      <sheetName val="전기일위목록"/>
      <sheetName val="용소리교"/>
      <sheetName val="토목"/>
      <sheetName val="물량표S"/>
      <sheetName val="Macro(차단기)"/>
      <sheetName val="원가+내역"/>
      <sheetName val="JUCKEYK"/>
      <sheetName val="교량"/>
      <sheetName val="광산내역"/>
      <sheetName val="내역원본"/>
      <sheetName val="결과조달"/>
      <sheetName val="8설7발"/>
      <sheetName val="배수내역 (2)"/>
      <sheetName val="간이영수증"/>
      <sheetName val="원계약고시공및준비구분"/>
      <sheetName val="TYPE-A"/>
      <sheetName val="날개벽수량표"/>
      <sheetName val="조건표"/>
      <sheetName val="단가집"/>
      <sheetName val="일위대가(가설)"/>
      <sheetName val="EUPDAT2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WORK"/>
      <sheetName val="기성내역"/>
      <sheetName val="EBSDATA"/>
      <sheetName val="산출내역서집계표"/>
      <sheetName val="소방사항"/>
      <sheetName val="목차 "/>
      <sheetName val="부대내역"/>
      <sheetName val="6PILE  (돌출)"/>
      <sheetName val=" HIT-&gt;HMC 견적(3900)"/>
      <sheetName val="200"/>
      <sheetName val="자재단가표"/>
      <sheetName val="SLAB"/>
      <sheetName val="퇴직금(울산천상)"/>
      <sheetName val="CORE#2"/>
      <sheetName val="내역(가지)"/>
      <sheetName val="전기일위대가"/>
      <sheetName val="전 기"/>
      <sheetName val="단가조건(02년)"/>
      <sheetName val="일용노임단가"/>
      <sheetName val="spc 배관견적"/>
      <sheetName val="C97상"/>
      <sheetName val="#2_일위대가목록"/>
      <sheetName val="관급자재"/>
      <sheetName val="내역표지"/>
      <sheetName val="SHEET PILE단가"/>
      <sheetName val="수정2"/>
      <sheetName val="unit 4"/>
      <sheetName val="견적서"/>
      <sheetName val="현금흐름"/>
      <sheetName val="별첨1-임식"/>
      <sheetName val="기본자료"/>
      <sheetName val="부속동"/>
      <sheetName val="APT"/>
      <sheetName val="구간별관경"/>
      <sheetName val="인사자료총집계"/>
      <sheetName val="일위"/>
      <sheetName val="장비단가표"/>
      <sheetName val="Customer Databas"/>
      <sheetName val="현장관리비참조"/>
      <sheetName val="건축공사"/>
      <sheetName val="접속도로1"/>
      <sheetName val="공사비총괄"/>
      <sheetName val="BH_1 _2_"/>
      <sheetName val="공통가설"/>
      <sheetName val="d118"/>
      <sheetName val="FM"/>
      <sheetName val="세골재  T2 변경 현황"/>
      <sheetName val="기기리스트"/>
      <sheetName val="전라자금"/>
      <sheetName val="투찰추정"/>
      <sheetName val="검토"/>
      <sheetName val="INPUT-DATA"/>
      <sheetName val="총괄-1"/>
      <sheetName val="8.현장관리비"/>
      <sheetName val="7.안전관리비"/>
      <sheetName val="EQT-ESTN"/>
      <sheetName val="전체_1설계"/>
      <sheetName val="갑지(추정)"/>
      <sheetName val="중기"/>
      <sheetName val="데리네이타현황"/>
      <sheetName val="바닥판"/>
      <sheetName val="입력DATA"/>
      <sheetName val="b_balju"/>
      <sheetName val="장비"/>
      <sheetName val="노무"/>
      <sheetName val="계수시트"/>
      <sheetName val="화재 탐지 설비"/>
      <sheetName val="1.설계기준"/>
      <sheetName val="기초코드"/>
      <sheetName val="물량표"/>
      <sheetName val="기본일위"/>
      <sheetName val="모델명"/>
      <sheetName val="원가총괄"/>
      <sheetName val="수량산출"/>
      <sheetName val="시설물일위"/>
      <sheetName val="귀래 설계 공내역서"/>
      <sheetName val="재집"/>
      <sheetName val="총"/>
      <sheetName val="오산갈곳"/>
      <sheetName val="설치"/>
      <sheetName val="편입토지조서"/>
      <sheetName val="배수통관(좌)"/>
      <sheetName val="1안"/>
      <sheetName val="BQ"/>
      <sheetName val="집계및폼"/>
      <sheetName val="04_10_11"/>
      <sheetName val="WING3"/>
      <sheetName val="파일구성"/>
      <sheetName val="동방설계서"/>
      <sheetName val="유입량"/>
      <sheetName val="1.취수장"/>
      <sheetName val="PAINT"/>
      <sheetName val="SUMMARY(S)"/>
      <sheetName val="Y-WORK"/>
      <sheetName val="내역서1"/>
      <sheetName val="전입"/>
      <sheetName val="입찰"/>
      <sheetName val="현경"/>
      <sheetName val="중기사용료산출근거"/>
      <sheetName val="단가산출1"/>
      <sheetName val="1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투입내역"/>
      <sheetName val="SG"/>
      <sheetName val="공정증감대ㅈ표"/>
      <sheetName val="시설물기초"/>
      <sheetName val="예가표"/>
      <sheetName val="주관사업"/>
      <sheetName val="원가서"/>
      <sheetName val="인건비"/>
      <sheetName val="Sheet5"/>
      <sheetName val="분전반일위대가"/>
      <sheetName val="101동"/>
      <sheetName val="노임이"/>
      <sheetName val="실행(ALT1)"/>
      <sheetName val="개인별 순위표"/>
      <sheetName val="INDEX"/>
      <sheetName val="프랜트면허"/>
      <sheetName val="냉천부속동"/>
      <sheetName val="네고율"/>
      <sheetName val="DATE"/>
      <sheetName val="BH-1_(2)"/>
      <sheetName val="표__지"/>
      <sheetName val="4_전기"/>
      <sheetName val="I_설계조건"/>
      <sheetName val="앉음벽_(2)"/>
      <sheetName val="1_설계조건"/>
      <sheetName val="조도계산서_(도서)"/>
      <sheetName val="노원열병합__건축공사기성내역서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기별(종합)"/>
      <sheetName val="환율change"/>
      <sheetName val="당초"/>
      <sheetName val="단가표"/>
      <sheetName val="시화점실행"/>
      <sheetName val="손익차9월2"/>
      <sheetName val="득점현황"/>
      <sheetName val="협력업체"/>
      <sheetName val="코드1"/>
      <sheetName val="코드2"/>
      <sheetName val="도담구내 개소별 명세"/>
      <sheetName val="공기압축기실"/>
      <sheetName val="POL6차-PIPING"/>
      <sheetName val="정산내역"/>
      <sheetName val="품목납기"/>
      <sheetName val="손익분석"/>
      <sheetName val="대림경상68억"/>
      <sheetName val="지불내역(자재외)"/>
      <sheetName val="일위대가목차"/>
      <sheetName val="3.1공사현황 공정표"/>
      <sheetName val="조경수목"/>
      <sheetName val="퇴직공제부금"/>
      <sheetName val="평균노임"/>
      <sheetName val="ELEC"/>
      <sheetName val="덕전리"/>
      <sheetName val="공사비산출내역"/>
      <sheetName val="부서코드표"/>
      <sheetName val="전동기"/>
      <sheetName val="일위대가(집계)"/>
      <sheetName val="TCDB"/>
      <sheetName val="직접비"/>
      <sheetName val="Sheet2"/>
      <sheetName val="정리계획CF평가"/>
      <sheetName val="설 계"/>
      <sheetName val="원도급"/>
      <sheetName val="하도급"/>
      <sheetName val="증감분석"/>
      <sheetName val="한전일위"/>
      <sheetName val="중기비"/>
      <sheetName val="신천3호용수로"/>
      <sheetName val="Cash Flow-1"/>
      <sheetName val="단가(적용)"/>
      <sheetName val="PAY"/>
      <sheetName val="정렬"/>
      <sheetName val="안정계산"/>
      <sheetName val="단면검토"/>
      <sheetName val="2000년하반기"/>
      <sheetName val="노임 단가"/>
      <sheetName val="1유리"/>
      <sheetName val="공통단가"/>
      <sheetName val="수량산출서집계(1-4차)"/>
      <sheetName val="수지예산"/>
      <sheetName val="저장소"/>
      <sheetName val="내역집계"/>
      <sheetName val="재료"/>
      <sheetName val="직접경비호표"/>
      <sheetName val="TOT"/>
      <sheetName val="BJJIN"/>
      <sheetName val="건축"/>
      <sheetName val="단중표"/>
      <sheetName val="7"/>
      <sheetName val="投标材料清单 "/>
      <sheetName val="결재란"/>
      <sheetName val="대공종"/>
      <sheetName val="집 계 표"/>
      <sheetName val="유림골조"/>
      <sheetName val="전기공사"/>
      <sheetName val="청천내"/>
      <sheetName val="재료값"/>
      <sheetName val="합계"/>
      <sheetName val="내역서 "/>
      <sheetName val="실행"/>
      <sheetName val="재개발"/>
      <sheetName val="분석"/>
      <sheetName val="시운전연료비"/>
      <sheetName val="골조시행"/>
      <sheetName val="시운전연료"/>
      <sheetName val="입찰보고"/>
      <sheetName val="몰탈"/>
      <sheetName val="98수문일위"/>
      <sheetName val="소화실적"/>
      <sheetName val="10공구일위"/>
      <sheetName val="인천제철"/>
      <sheetName val="6공구(당초)"/>
      <sheetName val="1월"/>
      <sheetName val="중사"/>
      <sheetName val="자재co"/>
      <sheetName val="별표 "/>
      <sheetName val="1,2,3,4,5단위수량"/>
      <sheetName val="계산표지"/>
      <sheetName val="노임변동률"/>
      <sheetName val="1공구(입찰내역)"/>
      <sheetName val="연습"/>
      <sheetName val="장비단가"/>
      <sheetName val="재료비단가"/>
      <sheetName val="자료입력"/>
      <sheetName val="적용단위길이"/>
      <sheetName val="전기혼잡제경비(45)"/>
      <sheetName val="공사비집계"/>
      <sheetName val="가설건물"/>
      <sheetName val="MSS_2"/>
      <sheetName val="공사비총괄표"/>
      <sheetName val="일위대가표48"/>
      <sheetName val="토공계산서(부체도로)"/>
      <sheetName val="원형1호맨홀토공수량"/>
      <sheetName val="하중계산"/>
      <sheetName val="중기사용료"/>
      <sheetName val="미드수량"/>
      <sheetName val="(1)본선수량집계"/>
      <sheetName val="Macro(전선)"/>
      <sheetName val="개산공사비"/>
      <sheetName val="집계장(대목_실행)"/>
      <sheetName val="단가산출서"/>
      <sheetName val="단가적용"/>
      <sheetName val="수량집계"/>
      <sheetName val="코드"/>
      <sheetName val="철거산출근거"/>
      <sheetName val="지구단위계획"/>
      <sheetName val="CC16-내역서"/>
      <sheetName val="남양내역"/>
      <sheetName val="MAIN_TABLE"/>
      <sheetName val="노임단가 (2)"/>
      <sheetName val="MILL"/>
      <sheetName val="AS복구"/>
      <sheetName val="중기터파기"/>
      <sheetName val="변수값"/>
      <sheetName val="중기상차"/>
      <sheetName val="평3"/>
      <sheetName val="옥내소화전계산서"/>
      <sheetName val="관리,공감"/>
      <sheetName val="3.공통공사대비"/>
      <sheetName val="Sheet6"/>
      <sheetName val="인력터파기"/>
      <sheetName val="자금청구"/>
      <sheetName val="관공일위대가"/>
      <sheetName val="관자재"/>
      <sheetName val="단가 및 재료비"/>
      <sheetName val="관접합및자재집계표"/>
      <sheetName val="부대공(BOQ)"/>
      <sheetName val="자동제어"/>
      <sheetName val="코드일람표2001년10월"/>
      <sheetName val="공량산출서"/>
      <sheetName val="9GNG운반"/>
      <sheetName val="단면가정"/>
      <sheetName val="대치판정"/>
      <sheetName val="교각계산"/>
      <sheetName val="현장별"/>
      <sheetName val="사유서제출현황-2"/>
      <sheetName val="sub"/>
      <sheetName val="검색방"/>
      <sheetName val="CODE"/>
      <sheetName val="제노임"/>
      <sheetName val="업체자료"/>
      <sheetName val="입찰견적보고서"/>
      <sheetName val="제품목록"/>
      <sheetName val="암거"/>
      <sheetName val="현금예금"/>
      <sheetName val="내역서비교"/>
      <sheetName val="준공정산"/>
      <sheetName val="건축내역서"/>
      <sheetName val="단가조사서"/>
      <sheetName val="상수도토공집계표"/>
      <sheetName val="목차"/>
      <sheetName val="INSTR"/>
      <sheetName val="#3_일위대가목록"/>
      <sheetName val="시중노임단가"/>
      <sheetName val="7.공정표"/>
      <sheetName val="단면 (2)"/>
      <sheetName val="간접비(1)"/>
      <sheetName val="DHEQSUPT"/>
      <sheetName val="토사(PE)"/>
      <sheetName val="장비비 명세서1"/>
      <sheetName val="Sheet4"/>
      <sheetName val="표준건축비"/>
      <sheetName val="구의33고"/>
      <sheetName val="유림총괄"/>
      <sheetName val="-배수구조총재료"/>
      <sheetName val="심사물량"/>
      <sheetName val="비주거용"/>
      <sheetName val="인원"/>
      <sheetName val="RETAIL (ABOVE)"/>
      <sheetName val="5. 현장관리비(new) "/>
      <sheetName val="원본"/>
      <sheetName val="HVAC"/>
      <sheetName val="CODE1"/>
      <sheetName val="장비 (2)"/>
      <sheetName val="VE절감"/>
      <sheetName val="청주(철골발주의뢰서)"/>
      <sheetName val="분전함신설"/>
      <sheetName val="차수"/>
      <sheetName val="식재인부"/>
      <sheetName val="횡배수관토공수량"/>
      <sheetName val="세부추진"/>
      <sheetName val="상용보강"/>
      <sheetName val="단가(반정1교-원주)"/>
      <sheetName val="효율표"/>
      <sheetName val="SHEET"/>
      <sheetName val="2000노임기준"/>
      <sheetName val="확정분요약"/>
      <sheetName val="확정분세부"/>
      <sheetName val="제잡비"/>
      <sheetName val="개요"/>
      <sheetName val="울산자금"/>
      <sheetName val="제수변 수량집계표(보통)"/>
      <sheetName val="현관"/>
      <sheetName val="투찰가"/>
      <sheetName val="동해title"/>
      <sheetName val="실행(표지,갑,을)"/>
      <sheetName val="인부신상자료"/>
      <sheetName val="단   산"/>
      <sheetName val="실    단"/>
      <sheetName val="기본단가"/>
      <sheetName val="1단계"/>
      <sheetName val="일위대_x0000__x0000_Ԁ_x0000_䀀"/>
      <sheetName val="정산을지"/>
      <sheetName val="6. 수량산출서"/>
      <sheetName val="점수계산1-2"/>
      <sheetName val="2.대외공문"/>
      <sheetName val="건축2"/>
      <sheetName val="본사인상전"/>
      <sheetName val="B"/>
      <sheetName val="일위대㐀븁_x0000__x0000_退"/>
      <sheetName val="조작대(1연)"/>
      <sheetName val="일위(시설)"/>
      <sheetName val="노무비 근거"/>
      <sheetName val="96수출"/>
      <sheetName val="내역서을지"/>
      <sheetName val="wall"/>
      <sheetName val="위치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비교1"/>
      <sheetName val="신고조서"/>
      <sheetName val="EJ"/>
      <sheetName val="일정"/>
      <sheetName val="일위단가"/>
      <sheetName val="SHL"/>
      <sheetName val="적용환율"/>
      <sheetName val="김해토지조서"/>
      <sheetName val="공정코드"/>
      <sheetName val="통신물량"/>
      <sheetName val="기본"/>
      <sheetName val="Eq. Mobilization"/>
      <sheetName val="가시설단위수량"/>
      <sheetName val="월별수입"/>
      <sheetName val="건축기술부대조건"/>
      <sheetName val="입력정보"/>
      <sheetName val="일위총괄"/>
      <sheetName val="이월"/>
      <sheetName val="위치"/>
      <sheetName val="단가비교"/>
      <sheetName val="5호광장_(만점)1"/>
      <sheetName val="인천국제_(만점)_(2)1"/>
      <sheetName val="Total_단위경유량집계1"/>
      <sheetName val="준검_내역서1"/>
      <sheetName val="토공유동표(전체_당초)1"/>
      <sheetName val="BH-1_(2)1"/>
      <sheetName val="1_수인터널1"/>
      <sheetName val="4_전기1"/>
      <sheetName val="표__지1"/>
      <sheetName val="앉음벽_(2)1"/>
      <sheetName val="1_설계조건1"/>
      <sheetName val="조도계산서_(도서)1"/>
      <sheetName val="노원열병합__건축공사기성내역서1"/>
      <sheetName val="I_설계조건1"/>
      <sheetName val="MSS_21"/>
      <sheetName val="2_1__노무비_평균단가산출"/>
      <sheetName val="우수관매설및_우수받이1"/>
      <sheetName val="제출내역_(2)1"/>
      <sheetName val="내역_ver1_01"/>
      <sheetName val="plan&amp;section_of_foundation1"/>
      <sheetName val="pile_bearing_capa_&amp;_arrenge1"/>
      <sheetName val="working_load_at_the_btm_ft_1"/>
      <sheetName val="stability_check1"/>
      <sheetName val="design_criteria1"/>
      <sheetName val="11_우각부_보강1"/>
      <sheetName val="보고서_기기리스트"/>
      <sheetName val="3련_BOX1"/>
      <sheetName val="소포내역_(2)1"/>
      <sheetName val="11_산출(전열)1"/>
      <sheetName val="6_산출(동력)1"/>
      <sheetName val="7_산출(TRAY)1"/>
      <sheetName val="7__현장관리비_1"/>
      <sheetName val="6__안전관리비1"/>
      <sheetName val="배수내역_(2)"/>
      <sheetName val="배수공_시멘트_및_골재량_산출"/>
      <sheetName val="_HIT-&gt;HMC_견적(3900)"/>
      <sheetName val="_HIT__HMC_견적_3900_1"/>
      <sheetName val="A_견적"/>
      <sheetName val="내___역"/>
      <sheetName val="플랜트_설치"/>
      <sheetName val="5_산출(전력)"/>
      <sheetName val="전_기"/>
      <sheetName val="수량산출서(전력간선_지하D_C)"/>
      <sheetName val="SHEET_PILE단가"/>
      <sheetName val="1_설계기준"/>
      <sheetName val="목차_"/>
      <sheetName val="Customer_Databas"/>
      <sheetName val="집_계_표"/>
      <sheetName val="6PILE__(돌출)"/>
      <sheetName val="spc_배관견적"/>
      <sheetName val="1_취수장"/>
      <sheetName val="unit_4"/>
      <sheetName val="화재_탐지_설비"/>
      <sheetName val="2차전체변경예정_(2)"/>
      <sheetName val="Cash_Flow-1"/>
      <sheetName val="3_1공사현황_공정표"/>
      <sheetName val="세골재__T2_변경_현황"/>
      <sheetName val="BH_1__2_"/>
      <sheetName val="귀래_설계_공내역서"/>
      <sheetName val="설_계"/>
      <sheetName val="노임_단가"/>
      <sheetName val="8_현장관리비"/>
      <sheetName val="7_안전관리비"/>
      <sheetName val="별표_"/>
      <sheetName val="개인별_순위표"/>
      <sheetName val="Eq__Mobilization"/>
      <sheetName val="내역서_"/>
      <sheetName val="도담구내_개소별_명세"/>
      <sheetName val="投标材料清单_"/>
      <sheetName val="3_공통공사대비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A1"/>
      <sheetName val="단가조사"/>
      <sheetName val="재료비노무비"/>
      <sheetName val="2련간지"/>
      <sheetName val="범례표"/>
      <sheetName val="실지수기호표"/>
      <sheetName val="Baby일위대가"/>
      <sheetName val="주beam"/>
      <sheetName val="일위_파일"/>
      <sheetName val="이토변실(A3-LINE)"/>
      <sheetName val="guard(mac)"/>
      <sheetName val="COST"/>
      <sheetName val="공통(20-91)"/>
      <sheetName val="가설식당"/>
      <sheetName val="학생내역"/>
      <sheetName val=" 갑지"/>
      <sheetName val="기계실냉난방"/>
      <sheetName val="옥외외등집계표"/>
      <sheetName val="금리계산"/>
      <sheetName val="대운반(철재)"/>
      <sheetName val="산출"/>
      <sheetName val="소방"/>
      <sheetName val="예산코드"/>
      <sheetName val="원가입력"/>
      <sheetName val="기준"/>
      <sheetName val="철근량"/>
      <sheetName val="실행대비"/>
      <sheetName val="용수간선"/>
      <sheetName val=""/>
      <sheetName val="공사수행방안"/>
      <sheetName val="현장경비"/>
      <sheetName val="N賃率_職"/>
      <sheetName val="양식_자재단가조사표"/>
      <sheetName val="3BL공동구 수량"/>
      <sheetName val="전선 및 전선관"/>
      <sheetName val="공조기"/>
      <sheetName val="CM 1"/>
      <sheetName val="5.동별횡주관경"/>
      <sheetName val="도실건시"/>
      <sheetName val="제경비산출서"/>
      <sheetName val="전산망"/>
      <sheetName val="콘크리트타설집계표"/>
      <sheetName val="골조"/>
      <sheetName val="일위산출근거"/>
      <sheetName val="자동세륜기"/>
      <sheetName val="입력데이타(비인쇄용)"/>
      <sheetName val="기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/>
      <sheetData sheetId="859"/>
      <sheetData sheetId="860"/>
      <sheetData sheetId="861"/>
      <sheetData sheetId="862"/>
      <sheetData sheetId="863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내역서"/>
      <sheetName val="갑지"/>
      <sheetName val="내역서"/>
      <sheetName val="#REF"/>
      <sheetName val="실행내역"/>
      <sheetName val="입찰안"/>
      <sheetName val="직노"/>
      <sheetName val="시행결의을"/>
      <sheetName val="연부97-1"/>
      <sheetName val="금융비용"/>
      <sheetName val="현장"/>
      <sheetName val="공사개요"/>
      <sheetName val="개요"/>
      <sheetName val="일위대가목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"/>
      <sheetName val="입찰안"/>
      <sheetName val="실행"/>
      <sheetName val="관리"/>
      <sheetName val="표지"/>
      <sheetName val="총괄표"/>
      <sheetName val="집계표"/>
      <sheetName val="내역"/>
      <sheetName val="적격"/>
      <sheetName val="적정"/>
      <sheetName val="평가"/>
      <sheetName val="조사"/>
      <sheetName val="견적"/>
      <sheetName val="견적내역"/>
      <sheetName val="합의서"/>
      <sheetName val="총괄표(설계)"/>
      <sheetName val="내역(설계)"/>
      <sheetName val="설계내역서"/>
      <sheetName val="1F"/>
      <sheetName val="실행철강하도"/>
      <sheetName val="인사자료총집계"/>
      <sheetName val="차액보증"/>
      <sheetName val="실행내역"/>
      <sheetName val="Y-WORK"/>
      <sheetName val="1차 내역서"/>
      <sheetName val="공종별집계표"/>
      <sheetName val="기아대교"/>
      <sheetName val="토목주소"/>
      <sheetName val="프랜트면허"/>
      <sheetName val="BID"/>
      <sheetName val="설계"/>
      <sheetName val="월별수입"/>
      <sheetName val="약품공급2"/>
      <sheetName val="공사개요"/>
      <sheetName val="일위대가"/>
      <sheetName val="견적서"/>
      <sheetName val="노임"/>
      <sheetName val="단가표"/>
      <sheetName val="일위대가(계측기설치)"/>
      <sheetName val="품셈TABLE"/>
      <sheetName val="관급"/>
      <sheetName val="실행(ALT1)"/>
      <sheetName val="분전반"/>
      <sheetName val="잡철물"/>
      <sheetName val="EJ"/>
      <sheetName val="조명율표"/>
      <sheetName val="내역서"/>
      <sheetName val="금호"/>
      <sheetName val="갑지"/>
      <sheetName val="동원인원계획표"/>
      <sheetName val="9GNG운반"/>
      <sheetName val="1.수인터널"/>
      <sheetName val="#REF"/>
      <sheetName val="용소리교"/>
      <sheetName val="토공"/>
      <sheetName val="준공조서갑지"/>
      <sheetName val="할증 "/>
      <sheetName val="설 계"/>
      <sheetName val="협조전"/>
      <sheetName val="단가"/>
      <sheetName val="1호맨홀수량산출"/>
      <sheetName val="단가비교표_공통1"/>
      <sheetName val="정부노임단가"/>
      <sheetName val="DATE"/>
      <sheetName val="전기공사"/>
      <sheetName val="조명시설"/>
      <sheetName val="2.대외공문"/>
      <sheetName val="현대물량"/>
      <sheetName val="sw1"/>
      <sheetName val="NOMUBI"/>
      <sheetName val="Total"/>
      <sheetName val="6PILE  (돌출)"/>
      <sheetName val="골조"/>
      <sheetName val="종배수관"/>
      <sheetName val="간접경상비"/>
      <sheetName val="품목"/>
      <sheetName val="본공사"/>
      <sheetName val="8.PILE  (돌출)"/>
      <sheetName val="정렬"/>
      <sheetName val="산출내역서"/>
      <sheetName val="98수문일위"/>
      <sheetName val="견적사양비교표"/>
      <sheetName val="당진1,2호기전선관설치및접지4차공사내역서-을지"/>
      <sheetName val="공사설명서"/>
      <sheetName val="을지"/>
      <sheetName val="I一般比"/>
      <sheetName val="참조자료"/>
      <sheetName val="품셈표"/>
      <sheetName val="Sheet1"/>
      <sheetName val="BSD (2)"/>
      <sheetName val="JUCKEYK"/>
      <sheetName val="원가계산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입찰표지"/>
      <sheetName val="총괄표"/>
      <sheetName val="전체내역서"/>
      <sheetName val="전기내역서"/>
      <sheetName val="단가산출"/>
      <sheetName val="자재수량"/>
      <sheetName val="Sheet1"/>
      <sheetName val="Sheet2"/>
      <sheetName val="Sheet3"/>
      <sheetName val="1공구 건정토건 토공"/>
      <sheetName val="1공구 건정토건 철콘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Qheet6"/>
      <sheetName val="입찰안"/>
      <sheetName val="준검 내역서"/>
      <sheetName val="신공항A-9(원가수정)"/>
      <sheetName val="저"/>
      <sheetName val="실행철강하도"/>
      <sheetName val="차액보증"/>
      <sheetName val="정부노임단가"/>
      <sheetName val="공사개요"/>
      <sheetName val="갑지"/>
      <sheetName val="산출내역서"/>
      <sheetName val="주차구획선수량"/>
      <sheetName val="내역서"/>
      <sheetName val="자재단가비교표"/>
      <sheetName val="개요"/>
      <sheetName val="부대tu"/>
      <sheetName val="일위대가"/>
      <sheetName val="#REF"/>
      <sheetName val="내역"/>
      <sheetName val="가도공"/>
      <sheetName val="A-4"/>
      <sheetName val="변경비교-을"/>
      <sheetName val="6공구(당초)"/>
      <sheetName val="품의서"/>
      <sheetName val="금호"/>
      <sheetName val="데리네이타현황"/>
      <sheetName val="하조서"/>
      <sheetName val="한강운반비"/>
      <sheetName val="목차"/>
      <sheetName val="노임단가"/>
      <sheetName val="서∼군(2)"/>
      <sheetName val="도급"/>
      <sheetName val="일위대가표"/>
      <sheetName val="98NS-N"/>
      <sheetName val="3차준공"/>
      <sheetName val="토적집계"/>
      <sheetName val="SP-B1"/>
      <sheetName val="재개발"/>
      <sheetName val="1.수인터널"/>
      <sheetName val="SG"/>
      <sheetName val="낙찰표"/>
      <sheetName val="45,46"/>
      <sheetName val="후다내역"/>
      <sheetName val="2.대외공문"/>
      <sheetName val="공업용수관로"/>
      <sheetName val="소야공정계획표"/>
      <sheetName val="BID"/>
      <sheetName val="기초코드"/>
      <sheetName val="을"/>
      <sheetName val="입적표"/>
      <sheetName val="실행대비"/>
      <sheetName val="시공여유율"/>
      <sheetName val="SANTOGO"/>
      <sheetName val="건축내역"/>
      <sheetName val="공제구간조서"/>
      <sheetName val="설계예산서"/>
      <sheetName val="설계"/>
      <sheetName val="보할"/>
      <sheetName val="접속도로1"/>
      <sheetName val="대로근거"/>
      <sheetName val="토목주소"/>
      <sheetName val="0.0ControlSheet"/>
      <sheetName val="0.1keyAssumption"/>
      <sheetName val="Total"/>
      <sheetName val="갑지(추정)"/>
      <sheetName val="물가시세"/>
      <sheetName val="총괄-1"/>
      <sheetName val="AS포장복구 "/>
      <sheetName val="Dae_Jiju"/>
      <sheetName val="Sikje_ingun"/>
      <sheetName val="TREE_D"/>
      <sheetName val="eq_data"/>
      <sheetName val="일위(토목)"/>
      <sheetName val="부대내역"/>
      <sheetName val="초기화면"/>
      <sheetName val="6PILE  (돌출)"/>
      <sheetName val="98지급계획"/>
      <sheetName val="특수선일위대가"/>
      <sheetName val="대비"/>
      <sheetName val="기본단가"/>
      <sheetName val="설 계"/>
      <sheetName val="경비"/>
      <sheetName val="2000년1차"/>
      <sheetName val="건축내역서"/>
      <sheetName val="자재단가"/>
      <sheetName val="단가비교표"/>
      <sheetName val="단가산출서"/>
      <sheetName val="원형1호맨홀토공수량"/>
      <sheetName val="입력시트"/>
      <sheetName val="장비집계"/>
      <sheetName val="지주설치제원"/>
      <sheetName val="결과조달"/>
      <sheetName val="중로근거"/>
      <sheetName val="원본(갑지)"/>
      <sheetName val="전기공사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준검_내역서"/>
      <sheetName val="내역(최종본4.5)"/>
      <sheetName val="DATA"/>
      <sheetName val="공통가설"/>
      <sheetName val="실행내역"/>
      <sheetName val="입찰품의서"/>
      <sheetName val="단"/>
      <sheetName val="전체_1설계"/>
      <sheetName val="수로단위수량"/>
      <sheetName val="DATE"/>
      <sheetName val="N賃率-職"/>
      <sheetName val="공사비총괄표"/>
      <sheetName val="실행내역서"/>
      <sheetName val="배수통관(좌)"/>
      <sheetName val="공문(신)"/>
      <sheetName val="토사(PE)"/>
      <sheetName val="입찰"/>
      <sheetName val="현경"/>
      <sheetName val="가시설"/>
      <sheetName val="경영혁신본부"/>
      <sheetName val="준공조서갑지"/>
      <sheetName val="입출재고현황 (2)"/>
      <sheetName val="수문일1"/>
      <sheetName val="을지"/>
      <sheetName val="관일"/>
      <sheetName val="흥양2교토공집계표"/>
      <sheetName val="표지"/>
      <sheetName val="시화점실행"/>
      <sheetName val="맨홀수량"/>
      <sheetName val="하수급견적대비"/>
      <sheetName val="광산내역"/>
      <sheetName val="type-F"/>
      <sheetName val="A-7-1LINE(수량)"/>
      <sheetName val="Sheet1 (2)"/>
      <sheetName val="상-교대(A1-A2)"/>
      <sheetName val="노임"/>
      <sheetName val="대치판정"/>
      <sheetName val="인건-측정"/>
      <sheetName val="증감대비"/>
      <sheetName val="9GNG운반"/>
      <sheetName val="2000년하반기"/>
      <sheetName val="여과지동"/>
      <sheetName val="기초자료"/>
      <sheetName val="현장관리"/>
      <sheetName val="일위대가(1)"/>
      <sheetName val="건집"/>
      <sheetName val="기집"/>
      <sheetName val="토집"/>
      <sheetName val="조집"/>
      <sheetName val="토공사"/>
      <sheetName val="횡배수관토공수량"/>
      <sheetName val="ELECTRIC"/>
      <sheetName val="기성신청"/>
      <sheetName val="연결임시"/>
      <sheetName val="전기일위대가"/>
      <sheetName val="신대방33(적용)"/>
      <sheetName val="구의33고"/>
      <sheetName val="직노"/>
      <sheetName val="일위대가(가설)"/>
      <sheetName val="물량표"/>
      <sheetName val="공사"/>
      <sheetName val="TYPE-A"/>
      <sheetName val="수량산출"/>
      <sheetName val="강교(Sub)"/>
      <sheetName val="몰탈재료산출"/>
      <sheetName val="ABUT수량-A1"/>
      <sheetName val="BJJIN"/>
      <sheetName val="총괄내역서"/>
      <sheetName val="위치조서"/>
      <sheetName val="4.내진설계"/>
      <sheetName val="총괄"/>
      <sheetName val="2000전체분"/>
      <sheetName val="간접비"/>
      <sheetName val="자재일람"/>
      <sheetName val="1.취수장"/>
      <sheetName val="가로등내역서"/>
      <sheetName val="TB-내역서"/>
      <sheetName val="전차선로 물량표"/>
      <sheetName val="자재"/>
      <sheetName val="공통(20-91)"/>
      <sheetName val="wall"/>
      <sheetName val="기계내역"/>
      <sheetName val="BSD (2)"/>
      <sheetName val="제잡비.xls"/>
      <sheetName val="배관단가조사서"/>
      <sheetName val="노원열병합  건축공사기성내역서"/>
      <sheetName val="토목내역"/>
      <sheetName val="APT"/>
      <sheetName val="부하(성남)"/>
      <sheetName val="부하계산서"/>
      <sheetName val="STAND20"/>
      <sheetName val="nys"/>
      <sheetName val="전신"/>
      <sheetName val="수량조서"/>
      <sheetName val="1_수인터널"/>
      <sheetName val="6PILE__(돌출)"/>
      <sheetName val="2_대외공문"/>
      <sheetName val="설_계"/>
      <sheetName val="AS포장복구_"/>
      <sheetName val="인건비"/>
      <sheetName val="설계예산"/>
      <sheetName val="충주"/>
      <sheetName val="구천"/>
      <sheetName val="교각1"/>
      <sheetName val="일위대가(계측기설치)"/>
      <sheetName val="현대물량"/>
      <sheetName val="단면가정"/>
      <sheetName val="설계조건"/>
      <sheetName val="부재력정리"/>
      <sheetName val="최초침전지집계표"/>
      <sheetName val="4)유동표"/>
      <sheetName val="CONCRETE"/>
      <sheetName val="전신환매도율"/>
      <sheetName val="설직재-1"/>
      <sheetName val="I一般比"/>
      <sheetName val="EQUIP-H"/>
      <sheetName val="코드표"/>
      <sheetName val="손익현황"/>
      <sheetName val="현황CODE"/>
      <sheetName val="교대(A1)"/>
      <sheetName val="6호기"/>
      <sheetName val="수자재단위당"/>
      <sheetName val="자재목록"/>
      <sheetName val="중기목록"/>
      <sheetName val="단가목록"/>
      <sheetName val="일위목록"/>
      <sheetName val="노임목록"/>
      <sheetName val="원가계산서"/>
      <sheetName val="견적서"/>
      <sheetName val="현장별계약현황('98.10.31)"/>
      <sheetName val="금액내역서"/>
      <sheetName val="세부내역"/>
      <sheetName val="설계내역서"/>
      <sheetName val="96보완계획7.12"/>
      <sheetName val="관급"/>
      <sheetName val="1. 설계조건 2.단면가정 3. 하중계산"/>
      <sheetName val="DATA 입력란"/>
      <sheetName val="적용대가"/>
      <sheetName val="인건비 "/>
      <sheetName val="3BL공동구 수량"/>
      <sheetName val="공종별산출내역서"/>
      <sheetName val="산출내역서집계표"/>
      <sheetName val="집계표(OPTION)"/>
      <sheetName val="MOTOR"/>
      <sheetName val="물집"/>
      <sheetName val="플랜트 설치"/>
      <sheetName val="실행내역서 "/>
      <sheetName val="화설내"/>
      <sheetName val="자재집계표"/>
      <sheetName val="부대입찰 내역서"/>
      <sheetName val="도급b_balju"/>
      <sheetName val="원가서"/>
      <sheetName val="200"/>
      <sheetName val="중기일위대가"/>
      <sheetName val="가격조사서"/>
      <sheetName val="교각계산"/>
      <sheetName val="조명시설"/>
      <sheetName val="단가"/>
      <sheetName val="철거산출근거"/>
      <sheetName val="노임이"/>
      <sheetName val="세금자료"/>
      <sheetName val="뚝토공"/>
      <sheetName val="토공(우물통,기타) "/>
      <sheetName val="명단"/>
      <sheetName val="인사자료총집계"/>
      <sheetName val=" 총괄표"/>
      <sheetName val="포장단면별단위수량"/>
      <sheetName val="2.고용보험료산출근거"/>
      <sheetName val="공사비예산서(토목분)"/>
      <sheetName val="원가계산 (2)"/>
      <sheetName val="포장공자재집계표"/>
      <sheetName val="골조시행"/>
      <sheetName val="단가조사"/>
      <sheetName val="Eq. Mobilization"/>
      <sheetName val="Y-WORK"/>
      <sheetName val="프랜트면허"/>
      <sheetName val="1.설계조건"/>
      <sheetName val="음료실행"/>
      <sheetName val="_REF"/>
      <sheetName val="s"/>
      <sheetName val="수량3"/>
      <sheetName val="확약서"/>
      <sheetName val="선정요령"/>
      <sheetName val="연습"/>
      <sheetName val="내역(최종본4_5)"/>
      <sheetName val="0_0ControlSheet"/>
      <sheetName val="0_1keyAssumption"/>
      <sheetName val="Front"/>
      <sheetName val="노무비"/>
      <sheetName val="건축집계"/>
      <sheetName val="현장관리비"/>
      <sheetName val="경영상태"/>
      <sheetName val="건축내역(진해석동)"/>
      <sheetName val="주경기-오배수"/>
      <sheetName val="실행간접비용"/>
      <sheetName val="보고"/>
      <sheetName val="COPING"/>
      <sheetName val="설계서"/>
      <sheetName val="예산서"/>
      <sheetName val="총공사비"/>
      <sheetName val="0Title"/>
      <sheetName val="일위(PN)"/>
      <sheetName val="집계"/>
      <sheetName val="날개벽(시점좌측)"/>
      <sheetName val="투찰(하수)"/>
      <sheetName val="전라자금"/>
      <sheetName val="b_yesan"/>
      <sheetName val="하중"/>
      <sheetName val="배수내역"/>
      <sheetName val="팔당터널(1공구)"/>
      <sheetName val="J直材4"/>
      <sheetName val="F4-F7"/>
      <sheetName val="장비당단가 (1)"/>
      <sheetName val="Sheet2 (2)"/>
      <sheetName val="업무"/>
      <sheetName val="Type(123)"/>
      <sheetName val="1.설계기준"/>
      <sheetName val="수량산출서"/>
      <sheetName val="98수문일위"/>
      <sheetName val="내역서01"/>
      <sheetName val="97년 추정"/>
      <sheetName val="현장관리비 산출내역"/>
      <sheetName val="실행(ALT1)"/>
      <sheetName val="정보"/>
      <sheetName val="VXXXXXXX"/>
      <sheetName val="건설성적"/>
      <sheetName val="증감내역서"/>
      <sheetName val="전기단가조사서"/>
      <sheetName val="산수배수"/>
      <sheetName val="집계표(수배전제조구매)"/>
      <sheetName val="종단계산"/>
      <sheetName val="입적6-10"/>
      <sheetName val="공량산출서"/>
      <sheetName val="JUCKEYK"/>
      <sheetName val="건축-물가변동"/>
      <sheetName val="품셈TABLE"/>
      <sheetName val="현황산출서"/>
      <sheetName val="견적대비표"/>
      <sheetName val="단가(반정1교-원주)"/>
      <sheetName val="주요자재단가"/>
      <sheetName val="각형맨홀"/>
      <sheetName val="본공사"/>
      <sheetName val="S0"/>
      <sheetName val="자금청구"/>
      <sheetName val="DC-O-4-S(설명서)"/>
      <sheetName val="평균터파기고(1-2,ASP)"/>
      <sheetName val="프라임 강변역(4,236)"/>
      <sheetName val="마산방향"/>
      <sheetName val="경비2내역"/>
      <sheetName val="INPUT(덕도방향-시점)"/>
      <sheetName val="CPM챠트"/>
      <sheetName val="지우지마"/>
      <sheetName val="토목"/>
      <sheetName val="설계기준"/>
      <sheetName val="내역1"/>
      <sheetName val="내   역"/>
      <sheetName val="날개벽"/>
      <sheetName val="국내"/>
      <sheetName val="우석문틀"/>
      <sheetName val="Sheet9"/>
      <sheetName val="설계명세서"/>
      <sheetName val="예산M6-B"/>
      <sheetName val="AB자재단가"/>
      <sheetName val="견적을지"/>
      <sheetName val="장비별표(오거보링)(Ø400)(12M)"/>
      <sheetName val="신공항A-;(원가수정)"/>
      <sheetName val="기계경비"/>
      <sheetName val="발주설계서(당초)"/>
      <sheetName val="IW-LIST"/>
      <sheetName val="3F"/>
      <sheetName val="ITEM"/>
      <sheetName val="앵커구조계산"/>
      <sheetName val="집 계 표"/>
      <sheetName val="비교1"/>
      <sheetName val="콤보박스와 리스트박스의 연결"/>
      <sheetName val="유형처분"/>
      <sheetName val="설-원가"/>
      <sheetName val="건축적용원가계산"/>
      <sheetName val="상세산출"/>
      <sheetName val="적현로"/>
      <sheetName val="진주방향"/>
      <sheetName val="수토공단위당"/>
      <sheetName val="TOT"/>
      <sheetName val="밸브설치"/>
      <sheetName val="TEST1"/>
      <sheetName val="수량집계표"/>
      <sheetName val="횡배수관"/>
      <sheetName val="부안일위"/>
      <sheetName val="모래기초"/>
      <sheetName val="공정표 "/>
      <sheetName val="전체ﾴ엿서"/>
      <sheetName val="시중노임단가"/>
      <sheetName val="S12"/>
      <sheetName val="50-4(2차)"/>
      <sheetName val="건축공사"/>
      <sheetName val="배수공"/>
      <sheetName val="5.2코핑"/>
      <sheetName val="수 량 명 세 서 - 1"/>
      <sheetName val="구조물터파기수량집계"/>
      <sheetName val="측구터파기공수량집계"/>
      <sheetName val="배수공 시멘트 및 골재량 산출"/>
      <sheetName val="부대공Ⅱ"/>
      <sheetName val="지급자재"/>
      <sheetName val="7.PILE  (돌출)"/>
      <sheetName val="기초(1)"/>
      <sheetName val="세부내역서"/>
      <sheetName val="P.M 별"/>
      <sheetName val="예산내역서"/>
      <sheetName val="수입"/>
      <sheetName val="산출근거"/>
      <sheetName val="1호맨홀수량산출"/>
      <sheetName val="관련자료입력"/>
      <sheetName val="견적조건"/>
      <sheetName val="참조"/>
      <sheetName val="구조물철거타공정이월"/>
      <sheetName val="총집계표"/>
      <sheetName val="철근단면적"/>
      <sheetName val="2.건축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간지"/>
      <sheetName val="맨홀(2호)"/>
      <sheetName val="덕전리"/>
      <sheetName val="예산총괄표"/>
      <sheetName val="재료비"/>
      <sheetName val="대림경상68억"/>
      <sheetName val="8.PILE  (돌출)"/>
      <sheetName val="공사비산출내역"/>
      <sheetName val="신우"/>
      <sheetName val="울산자금"/>
      <sheetName val="機器明細(MC)"/>
      <sheetName val="변경후원본2"/>
      <sheetName val="강북라우터"/>
      <sheetName val="공사분석"/>
      <sheetName val="2000년 공정표"/>
      <sheetName val="입찰보고"/>
      <sheetName val="대우"/>
      <sheetName val="마산월령동골조물량변경"/>
      <sheetName val="FB25JN"/>
      <sheetName val="전기"/>
      <sheetName val="데이타"/>
      <sheetName val="sw1"/>
      <sheetName val="1맨AO"/>
      <sheetName val="산출기준(파견전산실)"/>
      <sheetName val="실행(표지,갑,을)"/>
      <sheetName val="일위대가목차"/>
      <sheetName val="간접"/>
      <sheetName val="연부97-1"/>
      <sheetName val="2.교량(신설)"/>
      <sheetName val="내역분기"/>
      <sheetName val="별표 "/>
      <sheetName val="설내역서 "/>
      <sheetName val="구분자"/>
      <sheetName val="광통신 견적내역서1"/>
      <sheetName val="할증 "/>
      <sheetName val="전기실-1"/>
      <sheetName val="잡철물"/>
      <sheetName val="갑지1"/>
      <sheetName val="EJ"/>
      <sheetName val="교통대책내역"/>
      <sheetName val="unit 4"/>
      <sheetName val="당초"/>
      <sheetName val="1,2공구원가계산서"/>
      <sheetName val="2공구산출내역"/>
      <sheetName val="1공구산출내역서"/>
      <sheetName val="조명율표"/>
      <sheetName val="작성기준"/>
      <sheetName val="단중"/>
      <sheetName val="금융비용"/>
      <sheetName val="8)중점관리장비현황"/>
      <sheetName val="돈암사업"/>
      <sheetName val="효율표"/>
      <sheetName val="전체기준Data"/>
      <sheetName val="사통"/>
      <sheetName val="파이프류"/>
      <sheetName val="DATA 입력부"/>
      <sheetName val="A"/>
      <sheetName val="식재수량표"/>
      <sheetName val="식재일위"/>
      <sheetName val="깨기"/>
      <sheetName val="영업소실적"/>
      <sheetName val="TBN실행"/>
      <sheetName val="지중자재단가"/>
      <sheetName val="SF내역및원가02"/>
      <sheetName val="EQUIP LIST"/>
      <sheetName val="코드"/>
      <sheetName val="간접경상비"/>
      <sheetName val="보도경계블럭"/>
      <sheetName val="아파트-가설"/>
      <sheetName val="일위대가목록"/>
      <sheetName val="base"/>
      <sheetName val="CALCULATION"/>
      <sheetName val="경상비"/>
      <sheetName val="역T형"/>
      <sheetName val="9-1차이내역"/>
      <sheetName val="96노임기준"/>
      <sheetName val="CIP 공사"/>
      <sheetName val="공통부대비"/>
      <sheetName val="공통가설공사"/>
      <sheetName val="샘플표지"/>
      <sheetName val="1차설계변경내역"/>
      <sheetName val="포설list원본"/>
      <sheetName val="차수"/>
      <sheetName val="본부장"/>
      <sheetName val="현장별"/>
      <sheetName val="설계변경내역서"/>
      <sheetName val="원가계산"/>
      <sheetName val="남양내역"/>
      <sheetName val="위생기구"/>
      <sheetName val="기계실냉난방"/>
      <sheetName val="식재"/>
      <sheetName val="시설물"/>
      <sheetName val="식재출력용"/>
      <sheetName val="유지관리"/>
      <sheetName val="출장내역"/>
      <sheetName val="CTEMCOST"/>
      <sheetName val="토량1-1"/>
      <sheetName val="유림골조"/>
      <sheetName val="PI"/>
      <sheetName val="직공비"/>
      <sheetName val="NOMUBI"/>
      <sheetName val="벽체면적당일위대가"/>
      <sheetName val="소비자가"/>
      <sheetName val="Baby일위대가"/>
      <sheetName val="조건"/>
      <sheetName val="중기가격"/>
      <sheetName val="주식"/>
      <sheetName val="상수도토공집계표"/>
      <sheetName val="남양시작동010313100%"/>
      <sheetName val="단가표"/>
      <sheetName val="5사남"/>
      <sheetName val="원본"/>
      <sheetName val="BREAKDOWN(철거설치)"/>
      <sheetName val="일반수량"/>
      <sheetName val="4.경비 5.영업외수지"/>
      <sheetName val="전체"/>
      <sheetName val="TS"/>
      <sheetName val="지급어음"/>
      <sheetName val="최종보고1"/>
      <sheetName val=" 견적서"/>
      <sheetName val="Input"/>
      <sheetName val="3월"/>
      <sheetName val="CJE"/>
      <sheetName val="choose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업무분장"/>
      <sheetName val="내역서변경성원"/>
      <sheetName val="울산자동제어"/>
      <sheetName val="일위_파일"/>
      <sheetName val="일반부표"/>
      <sheetName val="견적의뢰서"/>
      <sheetName val="현장일반사항"/>
      <sheetName val="표지 (2)"/>
      <sheetName val="명세서"/>
      <sheetName val="수량산출서 갑지"/>
      <sheetName val="마감사양"/>
      <sheetName val="기본사항"/>
      <sheetName val="유림콘도"/>
      <sheetName val="내역서당초"/>
      <sheetName val="평3"/>
      <sheetName val="1공구_건정토건_토공1"/>
      <sheetName val="1공구_건정토건_철콘1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내역서(전기)"/>
      <sheetName val="표지 (3)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제경비"/>
      <sheetName val="수량집계"/>
      <sheetName val="수량(교각)"/>
      <sheetName val="수량산출(2)"/>
      <sheetName val="단가(동바리)"/>
      <sheetName val="단가(강재운반)"/>
      <sheetName val="추진계획"/>
      <sheetName val="추진실적"/>
      <sheetName val="공정표"/>
      <sheetName val="일수계산"/>
      <sheetName val="터널공기"/>
      <sheetName val="업협(토공,철콘)"/>
      <sheetName val="실행예산"/>
      <sheetName val="시방서"/>
      <sheetName val="계약현황"/>
      <sheetName val="견적(토공)"/>
      <sheetName val="견적(철콘)"/>
      <sheetName val="xxxxxx"/>
      <sheetName val="0000"/>
      <sheetName val="현황"/>
      <sheetName val="철콘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 HIT-&gt;HMC 견적(3900)"/>
      <sheetName val="한전일위"/>
      <sheetName val="요율"/>
      <sheetName val="투찰내역"/>
      <sheetName val="간접비계산"/>
      <sheetName val="합계"/>
      <sheetName val="일위CODE"/>
      <sheetName val="Macro1"/>
      <sheetName val="중기비"/>
      <sheetName val="품셈"/>
      <sheetName val="#2_일위대가목록"/>
      <sheetName val="관급자재"/>
      <sheetName val="일  위  대  가  목  록"/>
      <sheetName val="당초명세(평)"/>
      <sheetName val="일위산출"/>
      <sheetName val="세부추진"/>
      <sheetName val="제안서"/>
      <sheetName val="상용보강"/>
      <sheetName val="행정표준(1)"/>
      <sheetName val="행정표준(2)"/>
      <sheetName val="1공구원가계산서"/>
      <sheetName val="1유리"/>
      <sheetName val="금액결정"/>
      <sheetName val="인부신상자료"/>
      <sheetName val="장문교(대전)"/>
      <sheetName val="간접(90)"/>
      <sheetName val="우배수"/>
      <sheetName val="계산식"/>
      <sheetName val="INSTR"/>
      <sheetName val="조건표"/>
      <sheetName val="장비"/>
      <sheetName val="산근1"/>
      <sheetName val="노무"/>
      <sheetName val="설계가"/>
      <sheetName val="품셈총괄표"/>
      <sheetName val="교각토공 _2_"/>
      <sheetName val="일위대가D"/>
      <sheetName val="Macro(전동기)"/>
      <sheetName val="토__목1"/>
      <sheetName val="조__경1"/>
      <sheetName val="전_기1"/>
      <sheetName val="건__축1"/>
      <sheetName val="보도내역_(3)1"/>
      <sheetName val="준검_내역서1"/>
      <sheetName val="4_내진설계"/>
      <sheetName val="입출재고현황_(2)"/>
      <sheetName val="Sheet1_(2)"/>
      <sheetName val="현금흐름"/>
      <sheetName val="1안"/>
      <sheetName val="기계경비일람"/>
      <sheetName val="배명(단가)"/>
      <sheetName val="형틀공사"/>
      <sheetName val="Mc1"/>
      <sheetName val="배수관공"/>
      <sheetName val="측구공"/>
      <sheetName val="산출금액내역"/>
      <sheetName val="건축토목실행내역"/>
      <sheetName val="동원(3)"/>
      <sheetName val="C-노임단가"/>
      <sheetName val="1.본부별"/>
      <sheetName val="수목단가"/>
      <sheetName val="시설수량표"/>
      <sheetName val="000000"/>
      <sheetName val="guard(mac)"/>
      <sheetName val="변경후-SHEET"/>
      <sheetName val="말고개터널조명전압강하"/>
      <sheetName val="2000.05"/>
      <sheetName val="기흥하도용"/>
      <sheetName val="cable-data"/>
      <sheetName val="노무비산출"/>
      <sheetName val="HRSG SMALL07220"/>
      <sheetName val="기본설계기준"/>
      <sheetName val="일위"/>
      <sheetName val="단가적용"/>
      <sheetName val="운반비요율"/>
      <sheetName val="6. 안전관리비"/>
      <sheetName val="유동표"/>
      <sheetName val="하도내역 (철콘)"/>
      <sheetName val="특기사항"/>
      <sheetName val="b_balju"/>
      <sheetName val="3.공통공사대비"/>
      <sheetName val="내역(한신APT)"/>
      <sheetName val="Macro2"/>
      <sheetName val="1단계"/>
      <sheetName val="일위총괄"/>
      <sheetName val="작업일보"/>
      <sheetName val="내역전기"/>
      <sheetName val="노무비 근거"/>
      <sheetName val="수정2"/>
      <sheetName val="표지1"/>
      <sheetName val="조건표 (2)"/>
      <sheetName val="10공구일위"/>
      <sheetName val="3개월-백데이타"/>
      <sheetName val="LG배관재단가"/>
      <sheetName val="다다수전류단가"/>
      <sheetName val="LG유통상품단가표"/>
      <sheetName val="임율 Data"/>
      <sheetName val="FORM-0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토공유동표(전체.당초)"/>
      <sheetName val="개거총"/>
      <sheetName val="일위대가목록표"/>
      <sheetName val="추가예산"/>
      <sheetName val="목차 "/>
      <sheetName val="일위산출근거"/>
      <sheetName val="단위단가"/>
      <sheetName val="예산총괄"/>
      <sheetName val="공정집계_국별"/>
      <sheetName val="표준건축비"/>
      <sheetName val="별표집계"/>
      <sheetName val="A1"/>
      <sheetName val="일위단가"/>
      <sheetName val="c_balju"/>
      <sheetName val="입력데이타"/>
      <sheetName val="ORIGIN"/>
      <sheetName val="노임조서"/>
      <sheetName val="48일위"/>
      <sheetName val="IT-BAT"/>
      <sheetName val="수문일위1"/>
      <sheetName val="중기"/>
      <sheetName val="U형개거"/>
      <sheetName val="인원"/>
      <sheetName val="약품공급2"/>
      <sheetName val="DHEQSUPT"/>
      <sheetName val="호안사석"/>
      <sheetName val="배수자집"/>
      <sheetName val="유입량"/>
      <sheetName val="표지_(3)"/>
      <sheetName val="표지_(2)"/>
      <sheetName val="교각집계_(2)"/>
      <sheetName val="교각토공_(2)"/>
      <sheetName val="교각철근_(2)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97년_추정"/>
      <sheetName val="이월"/>
      <sheetName val="2터널시점"/>
      <sheetName val="SLAB근거-1"/>
      <sheetName val="단면 (2)"/>
      <sheetName val="업체별기성내역"/>
      <sheetName val="포장(수량)-관로부"/>
      <sheetName val="기초1"/>
      <sheetName val="잡비"/>
      <sheetName val="음성방향"/>
      <sheetName val="유치원내역"/>
      <sheetName val="P_RPTB04_산근"/>
      <sheetName val="하도금액분계"/>
      <sheetName val="견적"/>
      <sheetName val="WORK"/>
      <sheetName val="토목품셈"/>
      <sheetName val="수량분개내역"/>
      <sheetName val="간선계산"/>
      <sheetName val="b_balju (2)"/>
      <sheetName val="b_gunmul"/>
      <sheetName val="내역(2000년)"/>
      <sheetName val="일일"/>
      <sheetName val="#2정산"/>
      <sheetName val="DANGA"/>
      <sheetName val="첨부1"/>
      <sheetName val="기본단가표"/>
      <sheetName val="8.현장관리비"/>
      <sheetName val="7.안전관리비"/>
      <sheetName val="7. 현장관리비 "/>
      <sheetName val="노무비 "/>
      <sheetName val="내역서 제출"/>
      <sheetName val="자료입력"/>
      <sheetName val="제경비산출서"/>
      <sheetName val="공사비증감"/>
      <sheetName val="BND"/>
      <sheetName val="공사내역서(을)실행"/>
      <sheetName val="환기시설"/>
      <sheetName val="조명"/>
      <sheetName val="점보전력사용"/>
      <sheetName val="단면"/>
      <sheetName val="배수처리"/>
      <sheetName val="입력자료(노무비)"/>
      <sheetName val="일위대가표48"/>
      <sheetName val="2000용수잠관-수량집계"/>
      <sheetName val="구조     ."/>
      <sheetName val="토공(1)"/>
      <sheetName val="차수공(1)"/>
      <sheetName val="전문하도급"/>
      <sheetName val="교량전기"/>
      <sheetName val="평가데이터"/>
      <sheetName val="인명부"/>
      <sheetName val="장비단가"/>
      <sheetName val="가스"/>
      <sheetName val="양수장(기계)"/>
      <sheetName val="직접비"/>
      <sheetName val="건장설비"/>
      <sheetName val="(당평)자재"/>
      <sheetName val="사업관리"/>
      <sheetName val="운반"/>
      <sheetName val="물가자료"/>
      <sheetName val="기성갑지"/>
      <sheetName val="간 지1"/>
      <sheetName val="일위(시설)"/>
      <sheetName val="콘크리트타설집계표"/>
      <sheetName val="화재 탐지 설비"/>
      <sheetName val="(원)기흥상갈"/>
      <sheetName val="4.일위대가집계"/>
      <sheetName val="날개벽수량표"/>
      <sheetName val="5. 현장관리비(new) "/>
      <sheetName val="Customer Databas"/>
      <sheetName val="예가표"/>
      <sheetName val="결재난"/>
      <sheetName val="방배동내역(리라)"/>
      <sheetName val="현장경비"/>
      <sheetName val="건축공사집계표"/>
      <sheetName val="방배동내역 (총괄)"/>
      <sheetName val="부대공사총괄"/>
      <sheetName val="tggwan(mac)"/>
      <sheetName val="만년달력"/>
      <sheetName val="단가산출(T)"/>
      <sheetName val="공사원가계산서"/>
      <sheetName val="인사자료"/>
      <sheetName val="맨홀수량산출"/>
      <sheetName val="재료집계표"/>
      <sheetName val="FI원가_1"/>
      <sheetName val="시운전연료"/>
      <sheetName val="포장공"/>
      <sheetName val="구조물"/>
      <sheetName val="근로자자료입력"/>
      <sheetName val="참고자료"/>
      <sheetName val="1차3회-개소별명세서-빨간색-인쇄용(21873)"/>
      <sheetName val="투찰내역서"/>
      <sheetName val="1_수인터널1"/>
      <sheetName val="6PILE__(돌출)1"/>
      <sheetName val="AS포장복구_1"/>
      <sheetName val="2_대외공문1"/>
      <sheetName val="설_계1"/>
      <sheetName val="CIP_공사"/>
      <sheetName val="실행내역서_"/>
      <sheetName val="1_설계조건"/>
      <sheetName val="노원열병합__건축공사기성내역서"/>
      <sheetName val="1__설계조건_2_단면가정_3__하중계산"/>
      <sheetName val="DATA_입력란"/>
      <sheetName val="_총괄표"/>
      <sheetName val="인건비_"/>
      <sheetName val="BSD_(2)"/>
      <sheetName val="1_취수장"/>
      <sheetName val="전차선로_물량표"/>
      <sheetName val="96보완계획7_12"/>
      <sheetName val="콤보박스와_리스트박스의_연결"/>
      <sheetName val="제잡비_xls"/>
      <sheetName val="3BL공동구_수량"/>
      <sheetName val="부대입찰_내역서"/>
      <sheetName val="2_고용보험료산출근거"/>
      <sheetName val="설내역서_"/>
      <sheetName val="#3E1_GCR"/>
      <sheetName val="소소총괄표"/>
      <sheetName val="1공구_건정토건_토공2"/>
      <sheetName val="1.3.1절점좌표"/>
      <sheetName val="1.1설계기준"/>
      <sheetName val="기본DATA"/>
      <sheetName val="구단"/>
      <sheetName val="기초입력 DATA"/>
      <sheetName val="원가"/>
      <sheetName val="입찰내역"/>
      <sheetName val="적용토목"/>
      <sheetName val="식재인부"/>
      <sheetName val="평자재단가"/>
      <sheetName val="분전반일위대가"/>
      <sheetName val="첨부1-1"/>
      <sheetName val="빙설"/>
      <sheetName val="본사인상전"/>
      <sheetName val="4.장비손료"/>
      <sheetName val="1F"/>
      <sheetName val="설계내역"/>
      <sheetName val="49일위"/>
      <sheetName val="22일위"/>
      <sheetName val="10동"/>
      <sheetName val="제거식EA"/>
      <sheetName val="database"/>
      <sheetName val="기둥(원형)"/>
      <sheetName val="XL4Poppy"/>
      <sheetName val="조명일위"/>
      <sheetName val="NAIL단가산출"/>
      <sheetName val="설계명세"/>
      <sheetName val="단중표"/>
      <sheetName val="내부마감"/>
      <sheetName val="SUB일위대가"/>
      <sheetName val="교각"/>
      <sheetName val="단양 00 아파트-세부내역"/>
      <sheetName val="관리"/>
      <sheetName val="적정"/>
      <sheetName val="실행"/>
      <sheetName val="하도"/>
      <sheetName val="별지"/>
      <sheetName val="보링"/>
      <sheetName val="철물"/>
      <sheetName val="철강재"/>
      <sheetName val="견적내역"/>
      <sheetName val="합의서"/>
      <sheetName val="포장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단위수량"/>
      <sheetName val="가시설수량"/>
      <sheetName val="가시설단위수량"/>
      <sheetName val="SORCE1"/>
      <sheetName val="장비가동"/>
      <sheetName val="현장업무"/>
      <sheetName val="품셈표"/>
      <sheetName val="신복2"/>
      <sheetName val="구조물공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소방"/>
      <sheetName val="DB"/>
      <sheetName val="건축"/>
      <sheetName val="공주방향"/>
      <sheetName val="5호광장_(만점)"/>
      <sheetName val="인천국제_(만점)_(2)"/>
      <sheetName val="배수공_시멘트_및_골재량_산출"/>
      <sheetName val="대운산출"/>
      <sheetName val="산3_4"/>
      <sheetName val="공통비"/>
      <sheetName val="VENDOR LIST"/>
      <sheetName val="정공공사"/>
      <sheetName val="예산M12A"/>
      <sheetName val="70%"/>
      <sheetName val="상호참고자료"/>
      <sheetName val="발주처자료입력"/>
      <sheetName val="회사기본자료"/>
      <sheetName val="하자보증자료"/>
      <sheetName val="기술자관련자료"/>
      <sheetName val="다곡2교"/>
      <sheetName val="공문"/>
      <sheetName val="현장지지물물량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준검_내역서2"/>
      <sheetName val="1_수인터널2"/>
      <sheetName val="AS포장복구_2"/>
      <sheetName val="2_대외공문2"/>
      <sheetName val="6PILE__(돌출)2"/>
      <sheetName val="설_계2"/>
      <sheetName val="내역(최종본4_5)2"/>
      <sheetName val="Sheet1_(2)1"/>
      <sheetName val="0_0ControlSheet2"/>
      <sheetName val="0_1keyAssumption2"/>
      <sheetName val="입출재고현황_(2)1"/>
      <sheetName val="부대입찰_내역서1"/>
      <sheetName val="전차선로_물량표1"/>
      <sheetName val="BSD_(2)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97년_추정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내역(최종본4_5)1"/>
      <sheetName val="0_0ControlSheet1"/>
      <sheetName val="0_1keyAssumption1"/>
      <sheetName val="토공(우물통,기타)_"/>
      <sheetName val="Eq__Mobilization"/>
      <sheetName val="원가계산_(2)"/>
      <sheetName val="현장관리비_산출내역"/>
      <sheetName val="현장별계약현황('98_10_31)"/>
      <sheetName val="플랜트_설치"/>
      <sheetName val="부산제일극장"/>
      <sheetName val="수주현황2월"/>
      <sheetName val="개산공사비"/>
      <sheetName val="공통자료"/>
      <sheetName val="안전시설내역서"/>
      <sheetName val="총공사내역서"/>
      <sheetName val="배수문"/>
      <sheetName val="간접재료비산출표-27-30"/>
      <sheetName val="바닥판"/>
      <sheetName val="쌍송교"/>
      <sheetName val="인원현황"/>
      <sheetName val="시설물기초"/>
      <sheetName val="식재일위대가"/>
      <sheetName val="기초일위대가"/>
      <sheetName val="단가대비표"/>
      <sheetName val="이자율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손익분석"/>
      <sheetName val="1-1호"/>
      <sheetName val="정부노임"/>
      <sheetName val="품셈(기초)"/>
      <sheetName val="Sheet14"/>
      <sheetName val="Sheet13"/>
      <sheetName val="전계가"/>
      <sheetName val="방송(체육관)"/>
      <sheetName val="증감분석"/>
      <sheetName val="입력값"/>
      <sheetName val="설계기준 및 하중계산"/>
      <sheetName val="2004노형교"/>
      <sheetName val="기기리스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H23"/>
  <sheetViews>
    <sheetView tabSelected="1" view="pageBreakPreview" zoomScale="85" zoomScaleNormal="100" zoomScaleSheetLayoutView="85" workbookViewId="0">
      <selection activeCell="F27" sqref="F27"/>
    </sheetView>
  </sheetViews>
  <sheetFormatPr defaultRowHeight="18" customHeight="1"/>
  <cols>
    <col min="1" max="1" width="20" style="61" customWidth="1"/>
    <col min="2" max="2" width="3.28515625" style="61" customWidth="1"/>
    <col min="3" max="3" width="8.7109375" style="61" customWidth="1"/>
    <col min="4" max="4" width="18.7109375" style="61" customWidth="1"/>
    <col min="5" max="5" width="28" style="61" customWidth="1"/>
    <col min="6" max="6" width="48.5703125" style="61" customWidth="1"/>
    <col min="7" max="7" width="23.28515625" style="61" customWidth="1"/>
    <col min="8" max="8" width="29.7109375" style="61" customWidth="1"/>
    <col min="9" max="9" width="5.5703125" style="61" customWidth="1"/>
    <col min="10" max="256" width="9.140625" style="61"/>
    <col min="257" max="257" width="13.5703125" style="61" customWidth="1"/>
    <col min="258" max="258" width="8.140625" style="61" customWidth="1"/>
    <col min="259" max="259" width="8.7109375" style="61" customWidth="1"/>
    <col min="260" max="260" width="23.140625" style="61" customWidth="1"/>
    <col min="261" max="261" width="16.7109375" style="61" customWidth="1"/>
    <col min="262" max="262" width="18.85546875" style="61" customWidth="1"/>
    <col min="263" max="263" width="17.85546875" style="61" customWidth="1"/>
    <col min="264" max="264" width="22.28515625" style="61" customWidth="1"/>
    <col min="265" max="265" width="5.5703125" style="61" customWidth="1"/>
    <col min="266" max="512" width="9.140625" style="61"/>
    <col min="513" max="513" width="13.5703125" style="61" customWidth="1"/>
    <col min="514" max="514" width="8.140625" style="61" customWidth="1"/>
    <col min="515" max="515" width="8.7109375" style="61" customWidth="1"/>
    <col min="516" max="516" width="23.140625" style="61" customWidth="1"/>
    <col min="517" max="517" width="16.7109375" style="61" customWidth="1"/>
    <col min="518" max="518" width="18.85546875" style="61" customWidth="1"/>
    <col min="519" max="519" width="17.85546875" style="61" customWidth="1"/>
    <col min="520" max="520" width="22.28515625" style="61" customWidth="1"/>
    <col min="521" max="521" width="5.5703125" style="61" customWidth="1"/>
    <col min="522" max="768" width="9.140625" style="61"/>
    <col min="769" max="769" width="13.5703125" style="61" customWidth="1"/>
    <col min="770" max="770" width="8.140625" style="61" customWidth="1"/>
    <col min="771" max="771" width="8.7109375" style="61" customWidth="1"/>
    <col min="772" max="772" width="23.140625" style="61" customWidth="1"/>
    <col min="773" max="773" width="16.7109375" style="61" customWidth="1"/>
    <col min="774" max="774" width="18.85546875" style="61" customWidth="1"/>
    <col min="775" max="775" width="17.85546875" style="61" customWidth="1"/>
    <col min="776" max="776" width="22.28515625" style="61" customWidth="1"/>
    <col min="777" max="777" width="5.5703125" style="61" customWidth="1"/>
    <col min="778" max="1024" width="9.140625" style="61"/>
    <col min="1025" max="1025" width="13.5703125" style="61" customWidth="1"/>
    <col min="1026" max="1026" width="8.140625" style="61" customWidth="1"/>
    <col min="1027" max="1027" width="8.7109375" style="61" customWidth="1"/>
    <col min="1028" max="1028" width="23.140625" style="61" customWidth="1"/>
    <col min="1029" max="1029" width="16.7109375" style="61" customWidth="1"/>
    <col min="1030" max="1030" width="18.85546875" style="61" customWidth="1"/>
    <col min="1031" max="1031" width="17.85546875" style="61" customWidth="1"/>
    <col min="1032" max="1032" width="22.28515625" style="61" customWidth="1"/>
    <col min="1033" max="1033" width="5.5703125" style="61" customWidth="1"/>
    <col min="1034" max="1280" width="9.140625" style="61"/>
    <col min="1281" max="1281" width="13.5703125" style="61" customWidth="1"/>
    <col min="1282" max="1282" width="8.140625" style="61" customWidth="1"/>
    <col min="1283" max="1283" width="8.7109375" style="61" customWidth="1"/>
    <col min="1284" max="1284" width="23.140625" style="61" customWidth="1"/>
    <col min="1285" max="1285" width="16.7109375" style="61" customWidth="1"/>
    <col min="1286" max="1286" width="18.85546875" style="61" customWidth="1"/>
    <col min="1287" max="1287" width="17.85546875" style="61" customWidth="1"/>
    <col min="1288" max="1288" width="22.28515625" style="61" customWidth="1"/>
    <col min="1289" max="1289" width="5.5703125" style="61" customWidth="1"/>
    <col min="1290" max="1536" width="9.140625" style="61"/>
    <col min="1537" max="1537" width="13.5703125" style="61" customWidth="1"/>
    <col min="1538" max="1538" width="8.140625" style="61" customWidth="1"/>
    <col min="1539" max="1539" width="8.7109375" style="61" customWidth="1"/>
    <col min="1540" max="1540" width="23.140625" style="61" customWidth="1"/>
    <col min="1541" max="1541" width="16.7109375" style="61" customWidth="1"/>
    <col min="1542" max="1542" width="18.85546875" style="61" customWidth="1"/>
    <col min="1543" max="1543" width="17.85546875" style="61" customWidth="1"/>
    <col min="1544" max="1544" width="22.28515625" style="61" customWidth="1"/>
    <col min="1545" max="1545" width="5.5703125" style="61" customWidth="1"/>
    <col min="1546" max="1792" width="9.140625" style="61"/>
    <col min="1793" max="1793" width="13.5703125" style="61" customWidth="1"/>
    <col min="1794" max="1794" width="8.140625" style="61" customWidth="1"/>
    <col min="1795" max="1795" width="8.7109375" style="61" customWidth="1"/>
    <col min="1796" max="1796" width="23.140625" style="61" customWidth="1"/>
    <col min="1797" max="1797" width="16.7109375" style="61" customWidth="1"/>
    <col min="1798" max="1798" width="18.85546875" style="61" customWidth="1"/>
    <col min="1799" max="1799" width="17.85546875" style="61" customWidth="1"/>
    <col min="1800" max="1800" width="22.28515625" style="61" customWidth="1"/>
    <col min="1801" max="1801" width="5.5703125" style="61" customWidth="1"/>
    <col min="1802" max="2048" width="9.140625" style="61"/>
    <col min="2049" max="2049" width="13.5703125" style="61" customWidth="1"/>
    <col min="2050" max="2050" width="8.140625" style="61" customWidth="1"/>
    <col min="2051" max="2051" width="8.7109375" style="61" customWidth="1"/>
    <col min="2052" max="2052" width="23.140625" style="61" customWidth="1"/>
    <col min="2053" max="2053" width="16.7109375" style="61" customWidth="1"/>
    <col min="2054" max="2054" width="18.85546875" style="61" customWidth="1"/>
    <col min="2055" max="2055" width="17.85546875" style="61" customWidth="1"/>
    <col min="2056" max="2056" width="22.28515625" style="61" customWidth="1"/>
    <col min="2057" max="2057" width="5.5703125" style="61" customWidth="1"/>
    <col min="2058" max="2304" width="9.140625" style="61"/>
    <col min="2305" max="2305" width="13.5703125" style="61" customWidth="1"/>
    <col min="2306" max="2306" width="8.140625" style="61" customWidth="1"/>
    <col min="2307" max="2307" width="8.7109375" style="61" customWidth="1"/>
    <col min="2308" max="2308" width="23.140625" style="61" customWidth="1"/>
    <col min="2309" max="2309" width="16.7109375" style="61" customWidth="1"/>
    <col min="2310" max="2310" width="18.85546875" style="61" customWidth="1"/>
    <col min="2311" max="2311" width="17.85546875" style="61" customWidth="1"/>
    <col min="2312" max="2312" width="22.28515625" style="61" customWidth="1"/>
    <col min="2313" max="2313" width="5.5703125" style="61" customWidth="1"/>
    <col min="2314" max="2560" width="9.140625" style="61"/>
    <col min="2561" max="2561" width="13.5703125" style="61" customWidth="1"/>
    <col min="2562" max="2562" width="8.140625" style="61" customWidth="1"/>
    <col min="2563" max="2563" width="8.7109375" style="61" customWidth="1"/>
    <col min="2564" max="2564" width="23.140625" style="61" customWidth="1"/>
    <col min="2565" max="2565" width="16.7109375" style="61" customWidth="1"/>
    <col min="2566" max="2566" width="18.85546875" style="61" customWidth="1"/>
    <col min="2567" max="2567" width="17.85546875" style="61" customWidth="1"/>
    <col min="2568" max="2568" width="22.28515625" style="61" customWidth="1"/>
    <col min="2569" max="2569" width="5.5703125" style="61" customWidth="1"/>
    <col min="2570" max="2816" width="9.140625" style="61"/>
    <col min="2817" max="2817" width="13.5703125" style="61" customWidth="1"/>
    <col min="2818" max="2818" width="8.140625" style="61" customWidth="1"/>
    <col min="2819" max="2819" width="8.7109375" style="61" customWidth="1"/>
    <col min="2820" max="2820" width="23.140625" style="61" customWidth="1"/>
    <col min="2821" max="2821" width="16.7109375" style="61" customWidth="1"/>
    <col min="2822" max="2822" width="18.85546875" style="61" customWidth="1"/>
    <col min="2823" max="2823" width="17.85546875" style="61" customWidth="1"/>
    <col min="2824" max="2824" width="22.28515625" style="61" customWidth="1"/>
    <col min="2825" max="2825" width="5.5703125" style="61" customWidth="1"/>
    <col min="2826" max="3072" width="9.140625" style="61"/>
    <col min="3073" max="3073" width="13.5703125" style="61" customWidth="1"/>
    <col min="3074" max="3074" width="8.140625" style="61" customWidth="1"/>
    <col min="3075" max="3075" width="8.7109375" style="61" customWidth="1"/>
    <col min="3076" max="3076" width="23.140625" style="61" customWidth="1"/>
    <col min="3077" max="3077" width="16.7109375" style="61" customWidth="1"/>
    <col min="3078" max="3078" width="18.85546875" style="61" customWidth="1"/>
    <col min="3079" max="3079" width="17.85546875" style="61" customWidth="1"/>
    <col min="3080" max="3080" width="22.28515625" style="61" customWidth="1"/>
    <col min="3081" max="3081" width="5.5703125" style="61" customWidth="1"/>
    <col min="3082" max="3328" width="9.140625" style="61"/>
    <col min="3329" max="3329" width="13.5703125" style="61" customWidth="1"/>
    <col min="3330" max="3330" width="8.140625" style="61" customWidth="1"/>
    <col min="3331" max="3331" width="8.7109375" style="61" customWidth="1"/>
    <col min="3332" max="3332" width="23.140625" style="61" customWidth="1"/>
    <col min="3333" max="3333" width="16.7109375" style="61" customWidth="1"/>
    <col min="3334" max="3334" width="18.85546875" style="61" customWidth="1"/>
    <col min="3335" max="3335" width="17.85546875" style="61" customWidth="1"/>
    <col min="3336" max="3336" width="22.28515625" style="61" customWidth="1"/>
    <col min="3337" max="3337" width="5.5703125" style="61" customWidth="1"/>
    <col min="3338" max="3584" width="9.140625" style="61"/>
    <col min="3585" max="3585" width="13.5703125" style="61" customWidth="1"/>
    <col min="3586" max="3586" width="8.140625" style="61" customWidth="1"/>
    <col min="3587" max="3587" width="8.7109375" style="61" customWidth="1"/>
    <col min="3588" max="3588" width="23.140625" style="61" customWidth="1"/>
    <col min="3589" max="3589" width="16.7109375" style="61" customWidth="1"/>
    <col min="3590" max="3590" width="18.85546875" style="61" customWidth="1"/>
    <col min="3591" max="3591" width="17.85546875" style="61" customWidth="1"/>
    <col min="3592" max="3592" width="22.28515625" style="61" customWidth="1"/>
    <col min="3593" max="3593" width="5.5703125" style="61" customWidth="1"/>
    <col min="3594" max="3840" width="9.140625" style="61"/>
    <col min="3841" max="3841" width="13.5703125" style="61" customWidth="1"/>
    <col min="3842" max="3842" width="8.140625" style="61" customWidth="1"/>
    <col min="3843" max="3843" width="8.7109375" style="61" customWidth="1"/>
    <col min="3844" max="3844" width="23.140625" style="61" customWidth="1"/>
    <col min="3845" max="3845" width="16.7109375" style="61" customWidth="1"/>
    <col min="3846" max="3846" width="18.85546875" style="61" customWidth="1"/>
    <col min="3847" max="3847" width="17.85546875" style="61" customWidth="1"/>
    <col min="3848" max="3848" width="22.28515625" style="61" customWidth="1"/>
    <col min="3849" max="3849" width="5.5703125" style="61" customWidth="1"/>
    <col min="3850" max="4096" width="9.140625" style="61"/>
    <col min="4097" max="4097" width="13.5703125" style="61" customWidth="1"/>
    <col min="4098" max="4098" width="8.140625" style="61" customWidth="1"/>
    <col min="4099" max="4099" width="8.7109375" style="61" customWidth="1"/>
    <col min="4100" max="4100" width="23.140625" style="61" customWidth="1"/>
    <col min="4101" max="4101" width="16.7109375" style="61" customWidth="1"/>
    <col min="4102" max="4102" width="18.85546875" style="61" customWidth="1"/>
    <col min="4103" max="4103" width="17.85546875" style="61" customWidth="1"/>
    <col min="4104" max="4104" width="22.28515625" style="61" customWidth="1"/>
    <col min="4105" max="4105" width="5.5703125" style="61" customWidth="1"/>
    <col min="4106" max="4352" width="9.140625" style="61"/>
    <col min="4353" max="4353" width="13.5703125" style="61" customWidth="1"/>
    <col min="4354" max="4354" width="8.140625" style="61" customWidth="1"/>
    <col min="4355" max="4355" width="8.7109375" style="61" customWidth="1"/>
    <col min="4356" max="4356" width="23.140625" style="61" customWidth="1"/>
    <col min="4357" max="4357" width="16.7109375" style="61" customWidth="1"/>
    <col min="4358" max="4358" width="18.85546875" style="61" customWidth="1"/>
    <col min="4359" max="4359" width="17.85546875" style="61" customWidth="1"/>
    <col min="4360" max="4360" width="22.28515625" style="61" customWidth="1"/>
    <col min="4361" max="4361" width="5.5703125" style="61" customWidth="1"/>
    <col min="4362" max="4608" width="9.140625" style="61"/>
    <col min="4609" max="4609" width="13.5703125" style="61" customWidth="1"/>
    <col min="4610" max="4610" width="8.140625" style="61" customWidth="1"/>
    <col min="4611" max="4611" width="8.7109375" style="61" customWidth="1"/>
    <col min="4612" max="4612" width="23.140625" style="61" customWidth="1"/>
    <col min="4613" max="4613" width="16.7109375" style="61" customWidth="1"/>
    <col min="4614" max="4614" width="18.85546875" style="61" customWidth="1"/>
    <col min="4615" max="4615" width="17.85546875" style="61" customWidth="1"/>
    <col min="4616" max="4616" width="22.28515625" style="61" customWidth="1"/>
    <col min="4617" max="4617" width="5.5703125" style="61" customWidth="1"/>
    <col min="4618" max="4864" width="9.140625" style="61"/>
    <col min="4865" max="4865" width="13.5703125" style="61" customWidth="1"/>
    <col min="4866" max="4866" width="8.140625" style="61" customWidth="1"/>
    <col min="4867" max="4867" width="8.7109375" style="61" customWidth="1"/>
    <col min="4868" max="4868" width="23.140625" style="61" customWidth="1"/>
    <col min="4869" max="4869" width="16.7109375" style="61" customWidth="1"/>
    <col min="4870" max="4870" width="18.85546875" style="61" customWidth="1"/>
    <col min="4871" max="4871" width="17.85546875" style="61" customWidth="1"/>
    <col min="4872" max="4872" width="22.28515625" style="61" customWidth="1"/>
    <col min="4873" max="4873" width="5.5703125" style="61" customWidth="1"/>
    <col min="4874" max="5120" width="9.140625" style="61"/>
    <col min="5121" max="5121" width="13.5703125" style="61" customWidth="1"/>
    <col min="5122" max="5122" width="8.140625" style="61" customWidth="1"/>
    <col min="5123" max="5123" width="8.7109375" style="61" customWidth="1"/>
    <col min="5124" max="5124" width="23.140625" style="61" customWidth="1"/>
    <col min="5125" max="5125" width="16.7109375" style="61" customWidth="1"/>
    <col min="5126" max="5126" width="18.85546875" style="61" customWidth="1"/>
    <col min="5127" max="5127" width="17.85546875" style="61" customWidth="1"/>
    <col min="5128" max="5128" width="22.28515625" style="61" customWidth="1"/>
    <col min="5129" max="5129" width="5.5703125" style="61" customWidth="1"/>
    <col min="5130" max="5376" width="9.140625" style="61"/>
    <col min="5377" max="5377" width="13.5703125" style="61" customWidth="1"/>
    <col min="5378" max="5378" width="8.140625" style="61" customWidth="1"/>
    <col min="5379" max="5379" width="8.7109375" style="61" customWidth="1"/>
    <col min="5380" max="5380" width="23.140625" style="61" customWidth="1"/>
    <col min="5381" max="5381" width="16.7109375" style="61" customWidth="1"/>
    <col min="5382" max="5382" width="18.85546875" style="61" customWidth="1"/>
    <col min="5383" max="5383" width="17.85546875" style="61" customWidth="1"/>
    <col min="5384" max="5384" width="22.28515625" style="61" customWidth="1"/>
    <col min="5385" max="5385" width="5.5703125" style="61" customWidth="1"/>
    <col min="5386" max="5632" width="9.140625" style="61"/>
    <col min="5633" max="5633" width="13.5703125" style="61" customWidth="1"/>
    <col min="5634" max="5634" width="8.140625" style="61" customWidth="1"/>
    <col min="5635" max="5635" width="8.7109375" style="61" customWidth="1"/>
    <col min="5636" max="5636" width="23.140625" style="61" customWidth="1"/>
    <col min="5637" max="5637" width="16.7109375" style="61" customWidth="1"/>
    <col min="5638" max="5638" width="18.85546875" style="61" customWidth="1"/>
    <col min="5639" max="5639" width="17.85546875" style="61" customWidth="1"/>
    <col min="5640" max="5640" width="22.28515625" style="61" customWidth="1"/>
    <col min="5641" max="5641" width="5.5703125" style="61" customWidth="1"/>
    <col min="5642" max="5888" width="9.140625" style="61"/>
    <col min="5889" max="5889" width="13.5703125" style="61" customWidth="1"/>
    <col min="5890" max="5890" width="8.140625" style="61" customWidth="1"/>
    <col min="5891" max="5891" width="8.7109375" style="61" customWidth="1"/>
    <col min="5892" max="5892" width="23.140625" style="61" customWidth="1"/>
    <col min="5893" max="5893" width="16.7109375" style="61" customWidth="1"/>
    <col min="5894" max="5894" width="18.85546875" style="61" customWidth="1"/>
    <col min="5895" max="5895" width="17.85546875" style="61" customWidth="1"/>
    <col min="5896" max="5896" width="22.28515625" style="61" customWidth="1"/>
    <col min="5897" max="5897" width="5.5703125" style="61" customWidth="1"/>
    <col min="5898" max="6144" width="9.140625" style="61"/>
    <col min="6145" max="6145" width="13.5703125" style="61" customWidth="1"/>
    <col min="6146" max="6146" width="8.140625" style="61" customWidth="1"/>
    <col min="6147" max="6147" width="8.7109375" style="61" customWidth="1"/>
    <col min="6148" max="6148" width="23.140625" style="61" customWidth="1"/>
    <col min="6149" max="6149" width="16.7109375" style="61" customWidth="1"/>
    <col min="6150" max="6150" width="18.85546875" style="61" customWidth="1"/>
    <col min="6151" max="6151" width="17.85546875" style="61" customWidth="1"/>
    <col min="6152" max="6152" width="22.28515625" style="61" customWidth="1"/>
    <col min="6153" max="6153" width="5.5703125" style="61" customWidth="1"/>
    <col min="6154" max="6400" width="9.140625" style="61"/>
    <col min="6401" max="6401" width="13.5703125" style="61" customWidth="1"/>
    <col min="6402" max="6402" width="8.140625" style="61" customWidth="1"/>
    <col min="6403" max="6403" width="8.7109375" style="61" customWidth="1"/>
    <col min="6404" max="6404" width="23.140625" style="61" customWidth="1"/>
    <col min="6405" max="6405" width="16.7109375" style="61" customWidth="1"/>
    <col min="6406" max="6406" width="18.85546875" style="61" customWidth="1"/>
    <col min="6407" max="6407" width="17.85546875" style="61" customWidth="1"/>
    <col min="6408" max="6408" width="22.28515625" style="61" customWidth="1"/>
    <col min="6409" max="6409" width="5.5703125" style="61" customWidth="1"/>
    <col min="6410" max="6656" width="9.140625" style="61"/>
    <col min="6657" max="6657" width="13.5703125" style="61" customWidth="1"/>
    <col min="6658" max="6658" width="8.140625" style="61" customWidth="1"/>
    <col min="6659" max="6659" width="8.7109375" style="61" customWidth="1"/>
    <col min="6660" max="6660" width="23.140625" style="61" customWidth="1"/>
    <col min="6661" max="6661" width="16.7109375" style="61" customWidth="1"/>
    <col min="6662" max="6662" width="18.85546875" style="61" customWidth="1"/>
    <col min="6663" max="6663" width="17.85546875" style="61" customWidth="1"/>
    <col min="6664" max="6664" width="22.28515625" style="61" customWidth="1"/>
    <col min="6665" max="6665" width="5.5703125" style="61" customWidth="1"/>
    <col min="6666" max="6912" width="9.140625" style="61"/>
    <col min="6913" max="6913" width="13.5703125" style="61" customWidth="1"/>
    <col min="6914" max="6914" width="8.140625" style="61" customWidth="1"/>
    <col min="6915" max="6915" width="8.7109375" style="61" customWidth="1"/>
    <col min="6916" max="6916" width="23.140625" style="61" customWidth="1"/>
    <col min="6917" max="6917" width="16.7109375" style="61" customWidth="1"/>
    <col min="6918" max="6918" width="18.85546875" style="61" customWidth="1"/>
    <col min="6919" max="6919" width="17.85546875" style="61" customWidth="1"/>
    <col min="6920" max="6920" width="22.28515625" style="61" customWidth="1"/>
    <col min="6921" max="6921" width="5.5703125" style="61" customWidth="1"/>
    <col min="6922" max="7168" width="9.140625" style="61"/>
    <col min="7169" max="7169" width="13.5703125" style="61" customWidth="1"/>
    <col min="7170" max="7170" width="8.140625" style="61" customWidth="1"/>
    <col min="7171" max="7171" width="8.7109375" style="61" customWidth="1"/>
    <col min="7172" max="7172" width="23.140625" style="61" customWidth="1"/>
    <col min="7173" max="7173" width="16.7109375" style="61" customWidth="1"/>
    <col min="7174" max="7174" width="18.85546875" style="61" customWidth="1"/>
    <col min="7175" max="7175" width="17.85546875" style="61" customWidth="1"/>
    <col min="7176" max="7176" width="22.28515625" style="61" customWidth="1"/>
    <col min="7177" max="7177" width="5.5703125" style="61" customWidth="1"/>
    <col min="7178" max="7424" width="9.140625" style="61"/>
    <col min="7425" max="7425" width="13.5703125" style="61" customWidth="1"/>
    <col min="7426" max="7426" width="8.140625" style="61" customWidth="1"/>
    <col min="7427" max="7427" width="8.7109375" style="61" customWidth="1"/>
    <col min="7428" max="7428" width="23.140625" style="61" customWidth="1"/>
    <col min="7429" max="7429" width="16.7109375" style="61" customWidth="1"/>
    <col min="7430" max="7430" width="18.85546875" style="61" customWidth="1"/>
    <col min="7431" max="7431" width="17.85546875" style="61" customWidth="1"/>
    <col min="7432" max="7432" width="22.28515625" style="61" customWidth="1"/>
    <col min="7433" max="7433" width="5.5703125" style="61" customWidth="1"/>
    <col min="7434" max="7680" width="9.140625" style="61"/>
    <col min="7681" max="7681" width="13.5703125" style="61" customWidth="1"/>
    <col min="7682" max="7682" width="8.140625" style="61" customWidth="1"/>
    <col min="7683" max="7683" width="8.7109375" style="61" customWidth="1"/>
    <col min="7684" max="7684" width="23.140625" style="61" customWidth="1"/>
    <col min="7685" max="7685" width="16.7109375" style="61" customWidth="1"/>
    <col min="7686" max="7686" width="18.85546875" style="61" customWidth="1"/>
    <col min="7687" max="7687" width="17.85546875" style="61" customWidth="1"/>
    <col min="7688" max="7688" width="22.28515625" style="61" customWidth="1"/>
    <col min="7689" max="7689" width="5.5703125" style="61" customWidth="1"/>
    <col min="7690" max="7936" width="9.140625" style="61"/>
    <col min="7937" max="7937" width="13.5703125" style="61" customWidth="1"/>
    <col min="7938" max="7938" width="8.140625" style="61" customWidth="1"/>
    <col min="7939" max="7939" width="8.7109375" style="61" customWidth="1"/>
    <col min="7940" max="7940" width="23.140625" style="61" customWidth="1"/>
    <col min="7941" max="7941" width="16.7109375" style="61" customWidth="1"/>
    <col min="7942" max="7942" width="18.85546875" style="61" customWidth="1"/>
    <col min="7943" max="7943" width="17.85546875" style="61" customWidth="1"/>
    <col min="7944" max="7944" width="22.28515625" style="61" customWidth="1"/>
    <col min="7945" max="7945" width="5.5703125" style="61" customWidth="1"/>
    <col min="7946" max="8192" width="9.140625" style="61"/>
    <col min="8193" max="8193" width="13.5703125" style="61" customWidth="1"/>
    <col min="8194" max="8194" width="8.140625" style="61" customWidth="1"/>
    <col min="8195" max="8195" width="8.7109375" style="61" customWidth="1"/>
    <col min="8196" max="8196" width="23.140625" style="61" customWidth="1"/>
    <col min="8197" max="8197" width="16.7109375" style="61" customWidth="1"/>
    <col min="8198" max="8198" width="18.85546875" style="61" customWidth="1"/>
    <col min="8199" max="8199" width="17.85546875" style="61" customWidth="1"/>
    <col min="8200" max="8200" width="22.28515625" style="61" customWidth="1"/>
    <col min="8201" max="8201" width="5.5703125" style="61" customWidth="1"/>
    <col min="8202" max="8448" width="9.140625" style="61"/>
    <col min="8449" max="8449" width="13.5703125" style="61" customWidth="1"/>
    <col min="8450" max="8450" width="8.140625" style="61" customWidth="1"/>
    <col min="8451" max="8451" width="8.7109375" style="61" customWidth="1"/>
    <col min="8452" max="8452" width="23.140625" style="61" customWidth="1"/>
    <col min="8453" max="8453" width="16.7109375" style="61" customWidth="1"/>
    <col min="8454" max="8454" width="18.85546875" style="61" customWidth="1"/>
    <col min="8455" max="8455" width="17.85546875" style="61" customWidth="1"/>
    <col min="8456" max="8456" width="22.28515625" style="61" customWidth="1"/>
    <col min="8457" max="8457" width="5.5703125" style="61" customWidth="1"/>
    <col min="8458" max="8704" width="9.140625" style="61"/>
    <col min="8705" max="8705" width="13.5703125" style="61" customWidth="1"/>
    <col min="8706" max="8706" width="8.140625" style="61" customWidth="1"/>
    <col min="8707" max="8707" width="8.7109375" style="61" customWidth="1"/>
    <col min="8708" max="8708" width="23.140625" style="61" customWidth="1"/>
    <col min="8709" max="8709" width="16.7109375" style="61" customWidth="1"/>
    <col min="8710" max="8710" width="18.85546875" style="61" customWidth="1"/>
    <col min="8711" max="8711" width="17.85546875" style="61" customWidth="1"/>
    <col min="8712" max="8712" width="22.28515625" style="61" customWidth="1"/>
    <col min="8713" max="8713" width="5.5703125" style="61" customWidth="1"/>
    <col min="8714" max="8960" width="9.140625" style="61"/>
    <col min="8961" max="8961" width="13.5703125" style="61" customWidth="1"/>
    <col min="8962" max="8962" width="8.140625" style="61" customWidth="1"/>
    <col min="8963" max="8963" width="8.7109375" style="61" customWidth="1"/>
    <col min="8964" max="8964" width="23.140625" style="61" customWidth="1"/>
    <col min="8965" max="8965" width="16.7109375" style="61" customWidth="1"/>
    <col min="8966" max="8966" width="18.85546875" style="61" customWidth="1"/>
    <col min="8967" max="8967" width="17.85546875" style="61" customWidth="1"/>
    <col min="8968" max="8968" width="22.28515625" style="61" customWidth="1"/>
    <col min="8969" max="8969" width="5.5703125" style="61" customWidth="1"/>
    <col min="8970" max="9216" width="9.140625" style="61"/>
    <col min="9217" max="9217" width="13.5703125" style="61" customWidth="1"/>
    <col min="9218" max="9218" width="8.140625" style="61" customWidth="1"/>
    <col min="9219" max="9219" width="8.7109375" style="61" customWidth="1"/>
    <col min="9220" max="9220" width="23.140625" style="61" customWidth="1"/>
    <col min="9221" max="9221" width="16.7109375" style="61" customWidth="1"/>
    <col min="9222" max="9222" width="18.85546875" style="61" customWidth="1"/>
    <col min="9223" max="9223" width="17.85546875" style="61" customWidth="1"/>
    <col min="9224" max="9224" width="22.28515625" style="61" customWidth="1"/>
    <col min="9225" max="9225" width="5.5703125" style="61" customWidth="1"/>
    <col min="9226" max="9472" width="9.140625" style="61"/>
    <col min="9473" max="9473" width="13.5703125" style="61" customWidth="1"/>
    <col min="9474" max="9474" width="8.140625" style="61" customWidth="1"/>
    <col min="9475" max="9475" width="8.7109375" style="61" customWidth="1"/>
    <col min="9476" max="9476" width="23.140625" style="61" customWidth="1"/>
    <col min="9477" max="9477" width="16.7109375" style="61" customWidth="1"/>
    <col min="9478" max="9478" width="18.85546875" style="61" customWidth="1"/>
    <col min="9479" max="9479" width="17.85546875" style="61" customWidth="1"/>
    <col min="9480" max="9480" width="22.28515625" style="61" customWidth="1"/>
    <col min="9481" max="9481" width="5.5703125" style="61" customWidth="1"/>
    <col min="9482" max="9728" width="9.140625" style="61"/>
    <col min="9729" max="9729" width="13.5703125" style="61" customWidth="1"/>
    <col min="9730" max="9730" width="8.140625" style="61" customWidth="1"/>
    <col min="9731" max="9731" width="8.7109375" style="61" customWidth="1"/>
    <col min="9732" max="9732" width="23.140625" style="61" customWidth="1"/>
    <col min="9733" max="9733" width="16.7109375" style="61" customWidth="1"/>
    <col min="9734" max="9734" width="18.85546875" style="61" customWidth="1"/>
    <col min="9735" max="9735" width="17.85546875" style="61" customWidth="1"/>
    <col min="9736" max="9736" width="22.28515625" style="61" customWidth="1"/>
    <col min="9737" max="9737" width="5.5703125" style="61" customWidth="1"/>
    <col min="9738" max="9984" width="9.140625" style="61"/>
    <col min="9985" max="9985" width="13.5703125" style="61" customWidth="1"/>
    <col min="9986" max="9986" width="8.140625" style="61" customWidth="1"/>
    <col min="9987" max="9987" width="8.7109375" style="61" customWidth="1"/>
    <col min="9988" max="9988" width="23.140625" style="61" customWidth="1"/>
    <col min="9989" max="9989" width="16.7109375" style="61" customWidth="1"/>
    <col min="9990" max="9990" width="18.85546875" style="61" customWidth="1"/>
    <col min="9991" max="9991" width="17.85546875" style="61" customWidth="1"/>
    <col min="9992" max="9992" width="22.28515625" style="61" customWidth="1"/>
    <col min="9993" max="9993" width="5.5703125" style="61" customWidth="1"/>
    <col min="9994" max="10240" width="9.140625" style="61"/>
    <col min="10241" max="10241" width="13.5703125" style="61" customWidth="1"/>
    <col min="10242" max="10242" width="8.140625" style="61" customWidth="1"/>
    <col min="10243" max="10243" width="8.7109375" style="61" customWidth="1"/>
    <col min="10244" max="10244" width="23.140625" style="61" customWidth="1"/>
    <col min="10245" max="10245" width="16.7109375" style="61" customWidth="1"/>
    <col min="10246" max="10246" width="18.85546875" style="61" customWidth="1"/>
    <col min="10247" max="10247" width="17.85546875" style="61" customWidth="1"/>
    <col min="10248" max="10248" width="22.28515625" style="61" customWidth="1"/>
    <col min="10249" max="10249" width="5.5703125" style="61" customWidth="1"/>
    <col min="10250" max="10496" width="9.140625" style="61"/>
    <col min="10497" max="10497" width="13.5703125" style="61" customWidth="1"/>
    <col min="10498" max="10498" width="8.140625" style="61" customWidth="1"/>
    <col min="10499" max="10499" width="8.7109375" style="61" customWidth="1"/>
    <col min="10500" max="10500" width="23.140625" style="61" customWidth="1"/>
    <col min="10501" max="10501" width="16.7109375" style="61" customWidth="1"/>
    <col min="10502" max="10502" width="18.85546875" style="61" customWidth="1"/>
    <col min="10503" max="10503" width="17.85546875" style="61" customWidth="1"/>
    <col min="10504" max="10504" width="22.28515625" style="61" customWidth="1"/>
    <col min="10505" max="10505" width="5.5703125" style="61" customWidth="1"/>
    <col min="10506" max="10752" width="9.140625" style="61"/>
    <col min="10753" max="10753" width="13.5703125" style="61" customWidth="1"/>
    <col min="10754" max="10754" width="8.140625" style="61" customWidth="1"/>
    <col min="10755" max="10755" width="8.7109375" style="61" customWidth="1"/>
    <col min="10756" max="10756" width="23.140625" style="61" customWidth="1"/>
    <col min="10757" max="10757" width="16.7109375" style="61" customWidth="1"/>
    <col min="10758" max="10758" width="18.85546875" style="61" customWidth="1"/>
    <col min="10759" max="10759" width="17.85546875" style="61" customWidth="1"/>
    <col min="10760" max="10760" width="22.28515625" style="61" customWidth="1"/>
    <col min="10761" max="10761" width="5.5703125" style="61" customWidth="1"/>
    <col min="10762" max="11008" width="9.140625" style="61"/>
    <col min="11009" max="11009" width="13.5703125" style="61" customWidth="1"/>
    <col min="11010" max="11010" width="8.140625" style="61" customWidth="1"/>
    <col min="11011" max="11011" width="8.7109375" style="61" customWidth="1"/>
    <col min="11012" max="11012" width="23.140625" style="61" customWidth="1"/>
    <col min="11013" max="11013" width="16.7109375" style="61" customWidth="1"/>
    <col min="11014" max="11014" width="18.85546875" style="61" customWidth="1"/>
    <col min="11015" max="11015" width="17.85546875" style="61" customWidth="1"/>
    <col min="11016" max="11016" width="22.28515625" style="61" customWidth="1"/>
    <col min="11017" max="11017" width="5.5703125" style="61" customWidth="1"/>
    <col min="11018" max="11264" width="9.140625" style="61"/>
    <col min="11265" max="11265" width="13.5703125" style="61" customWidth="1"/>
    <col min="11266" max="11266" width="8.140625" style="61" customWidth="1"/>
    <col min="11267" max="11267" width="8.7109375" style="61" customWidth="1"/>
    <col min="11268" max="11268" width="23.140625" style="61" customWidth="1"/>
    <col min="11269" max="11269" width="16.7109375" style="61" customWidth="1"/>
    <col min="11270" max="11270" width="18.85546875" style="61" customWidth="1"/>
    <col min="11271" max="11271" width="17.85546875" style="61" customWidth="1"/>
    <col min="11272" max="11272" width="22.28515625" style="61" customWidth="1"/>
    <col min="11273" max="11273" width="5.5703125" style="61" customWidth="1"/>
    <col min="11274" max="11520" width="9.140625" style="61"/>
    <col min="11521" max="11521" width="13.5703125" style="61" customWidth="1"/>
    <col min="11522" max="11522" width="8.140625" style="61" customWidth="1"/>
    <col min="11523" max="11523" width="8.7109375" style="61" customWidth="1"/>
    <col min="11524" max="11524" width="23.140625" style="61" customWidth="1"/>
    <col min="11525" max="11525" width="16.7109375" style="61" customWidth="1"/>
    <col min="11526" max="11526" width="18.85546875" style="61" customWidth="1"/>
    <col min="11527" max="11527" width="17.85546875" style="61" customWidth="1"/>
    <col min="11528" max="11528" width="22.28515625" style="61" customWidth="1"/>
    <col min="11529" max="11529" width="5.5703125" style="61" customWidth="1"/>
    <col min="11530" max="11776" width="9.140625" style="61"/>
    <col min="11777" max="11777" width="13.5703125" style="61" customWidth="1"/>
    <col min="11778" max="11778" width="8.140625" style="61" customWidth="1"/>
    <col min="11779" max="11779" width="8.7109375" style="61" customWidth="1"/>
    <col min="11780" max="11780" width="23.140625" style="61" customWidth="1"/>
    <col min="11781" max="11781" width="16.7109375" style="61" customWidth="1"/>
    <col min="11782" max="11782" width="18.85546875" style="61" customWidth="1"/>
    <col min="11783" max="11783" width="17.85546875" style="61" customWidth="1"/>
    <col min="11784" max="11784" width="22.28515625" style="61" customWidth="1"/>
    <col min="11785" max="11785" width="5.5703125" style="61" customWidth="1"/>
    <col min="11786" max="12032" width="9.140625" style="61"/>
    <col min="12033" max="12033" width="13.5703125" style="61" customWidth="1"/>
    <col min="12034" max="12034" width="8.140625" style="61" customWidth="1"/>
    <col min="12035" max="12035" width="8.7109375" style="61" customWidth="1"/>
    <col min="12036" max="12036" width="23.140625" style="61" customWidth="1"/>
    <col min="12037" max="12037" width="16.7109375" style="61" customWidth="1"/>
    <col min="12038" max="12038" width="18.85546875" style="61" customWidth="1"/>
    <col min="12039" max="12039" width="17.85546875" style="61" customWidth="1"/>
    <col min="12040" max="12040" width="22.28515625" style="61" customWidth="1"/>
    <col min="12041" max="12041" width="5.5703125" style="61" customWidth="1"/>
    <col min="12042" max="12288" width="9.140625" style="61"/>
    <col min="12289" max="12289" width="13.5703125" style="61" customWidth="1"/>
    <col min="12290" max="12290" width="8.140625" style="61" customWidth="1"/>
    <col min="12291" max="12291" width="8.7109375" style="61" customWidth="1"/>
    <col min="12292" max="12292" width="23.140625" style="61" customWidth="1"/>
    <col min="12293" max="12293" width="16.7109375" style="61" customWidth="1"/>
    <col min="12294" max="12294" width="18.85546875" style="61" customWidth="1"/>
    <col min="12295" max="12295" width="17.85546875" style="61" customWidth="1"/>
    <col min="12296" max="12296" width="22.28515625" style="61" customWidth="1"/>
    <col min="12297" max="12297" width="5.5703125" style="61" customWidth="1"/>
    <col min="12298" max="12544" width="9.140625" style="61"/>
    <col min="12545" max="12545" width="13.5703125" style="61" customWidth="1"/>
    <col min="12546" max="12546" width="8.140625" style="61" customWidth="1"/>
    <col min="12547" max="12547" width="8.7109375" style="61" customWidth="1"/>
    <col min="12548" max="12548" width="23.140625" style="61" customWidth="1"/>
    <col min="12549" max="12549" width="16.7109375" style="61" customWidth="1"/>
    <col min="12550" max="12550" width="18.85546875" style="61" customWidth="1"/>
    <col min="12551" max="12551" width="17.85546875" style="61" customWidth="1"/>
    <col min="12552" max="12552" width="22.28515625" style="61" customWidth="1"/>
    <col min="12553" max="12553" width="5.5703125" style="61" customWidth="1"/>
    <col min="12554" max="12800" width="9.140625" style="61"/>
    <col min="12801" max="12801" width="13.5703125" style="61" customWidth="1"/>
    <col min="12802" max="12802" width="8.140625" style="61" customWidth="1"/>
    <col min="12803" max="12803" width="8.7109375" style="61" customWidth="1"/>
    <col min="12804" max="12804" width="23.140625" style="61" customWidth="1"/>
    <col min="12805" max="12805" width="16.7109375" style="61" customWidth="1"/>
    <col min="12806" max="12806" width="18.85546875" style="61" customWidth="1"/>
    <col min="12807" max="12807" width="17.85546875" style="61" customWidth="1"/>
    <col min="12808" max="12808" width="22.28515625" style="61" customWidth="1"/>
    <col min="12809" max="12809" width="5.5703125" style="61" customWidth="1"/>
    <col min="12810" max="13056" width="9.140625" style="61"/>
    <col min="13057" max="13057" width="13.5703125" style="61" customWidth="1"/>
    <col min="13058" max="13058" width="8.140625" style="61" customWidth="1"/>
    <col min="13059" max="13059" width="8.7109375" style="61" customWidth="1"/>
    <col min="13060" max="13060" width="23.140625" style="61" customWidth="1"/>
    <col min="13061" max="13061" width="16.7109375" style="61" customWidth="1"/>
    <col min="13062" max="13062" width="18.85546875" style="61" customWidth="1"/>
    <col min="13063" max="13063" width="17.85546875" style="61" customWidth="1"/>
    <col min="13064" max="13064" width="22.28515625" style="61" customWidth="1"/>
    <col min="13065" max="13065" width="5.5703125" style="61" customWidth="1"/>
    <col min="13066" max="13312" width="9.140625" style="61"/>
    <col min="13313" max="13313" width="13.5703125" style="61" customWidth="1"/>
    <col min="13314" max="13314" width="8.140625" style="61" customWidth="1"/>
    <col min="13315" max="13315" width="8.7109375" style="61" customWidth="1"/>
    <col min="13316" max="13316" width="23.140625" style="61" customWidth="1"/>
    <col min="13317" max="13317" width="16.7109375" style="61" customWidth="1"/>
    <col min="13318" max="13318" width="18.85546875" style="61" customWidth="1"/>
    <col min="13319" max="13319" width="17.85546875" style="61" customWidth="1"/>
    <col min="13320" max="13320" width="22.28515625" style="61" customWidth="1"/>
    <col min="13321" max="13321" width="5.5703125" style="61" customWidth="1"/>
    <col min="13322" max="13568" width="9.140625" style="61"/>
    <col min="13569" max="13569" width="13.5703125" style="61" customWidth="1"/>
    <col min="13570" max="13570" width="8.140625" style="61" customWidth="1"/>
    <col min="13571" max="13571" width="8.7109375" style="61" customWidth="1"/>
    <col min="13572" max="13572" width="23.140625" style="61" customWidth="1"/>
    <col min="13573" max="13573" width="16.7109375" style="61" customWidth="1"/>
    <col min="13574" max="13574" width="18.85546875" style="61" customWidth="1"/>
    <col min="13575" max="13575" width="17.85546875" style="61" customWidth="1"/>
    <col min="13576" max="13576" width="22.28515625" style="61" customWidth="1"/>
    <col min="13577" max="13577" width="5.5703125" style="61" customWidth="1"/>
    <col min="13578" max="13824" width="9.140625" style="61"/>
    <col min="13825" max="13825" width="13.5703125" style="61" customWidth="1"/>
    <col min="13826" max="13826" width="8.140625" style="61" customWidth="1"/>
    <col min="13827" max="13827" width="8.7109375" style="61" customWidth="1"/>
    <col min="13828" max="13828" width="23.140625" style="61" customWidth="1"/>
    <col min="13829" max="13829" width="16.7109375" style="61" customWidth="1"/>
    <col min="13830" max="13830" width="18.85546875" style="61" customWidth="1"/>
    <col min="13831" max="13831" width="17.85546875" style="61" customWidth="1"/>
    <col min="13832" max="13832" width="22.28515625" style="61" customWidth="1"/>
    <col min="13833" max="13833" width="5.5703125" style="61" customWidth="1"/>
    <col min="13834" max="14080" width="9.140625" style="61"/>
    <col min="14081" max="14081" width="13.5703125" style="61" customWidth="1"/>
    <col min="14082" max="14082" width="8.140625" style="61" customWidth="1"/>
    <col min="14083" max="14083" width="8.7109375" style="61" customWidth="1"/>
    <col min="14084" max="14084" width="23.140625" style="61" customWidth="1"/>
    <col min="14085" max="14085" width="16.7109375" style="61" customWidth="1"/>
    <col min="14086" max="14086" width="18.85546875" style="61" customWidth="1"/>
    <col min="14087" max="14087" width="17.85546875" style="61" customWidth="1"/>
    <col min="14088" max="14088" width="22.28515625" style="61" customWidth="1"/>
    <col min="14089" max="14089" width="5.5703125" style="61" customWidth="1"/>
    <col min="14090" max="14336" width="9.140625" style="61"/>
    <col min="14337" max="14337" width="13.5703125" style="61" customWidth="1"/>
    <col min="14338" max="14338" width="8.140625" style="61" customWidth="1"/>
    <col min="14339" max="14339" width="8.7109375" style="61" customWidth="1"/>
    <col min="14340" max="14340" width="23.140625" style="61" customWidth="1"/>
    <col min="14341" max="14341" width="16.7109375" style="61" customWidth="1"/>
    <col min="14342" max="14342" width="18.85546875" style="61" customWidth="1"/>
    <col min="14343" max="14343" width="17.85546875" style="61" customWidth="1"/>
    <col min="14344" max="14344" width="22.28515625" style="61" customWidth="1"/>
    <col min="14345" max="14345" width="5.5703125" style="61" customWidth="1"/>
    <col min="14346" max="14592" width="9.140625" style="61"/>
    <col min="14593" max="14593" width="13.5703125" style="61" customWidth="1"/>
    <col min="14594" max="14594" width="8.140625" style="61" customWidth="1"/>
    <col min="14595" max="14595" width="8.7109375" style="61" customWidth="1"/>
    <col min="14596" max="14596" width="23.140625" style="61" customWidth="1"/>
    <col min="14597" max="14597" width="16.7109375" style="61" customWidth="1"/>
    <col min="14598" max="14598" width="18.85546875" style="61" customWidth="1"/>
    <col min="14599" max="14599" width="17.85546875" style="61" customWidth="1"/>
    <col min="14600" max="14600" width="22.28515625" style="61" customWidth="1"/>
    <col min="14601" max="14601" width="5.5703125" style="61" customWidth="1"/>
    <col min="14602" max="14848" width="9.140625" style="61"/>
    <col min="14849" max="14849" width="13.5703125" style="61" customWidth="1"/>
    <col min="14850" max="14850" width="8.140625" style="61" customWidth="1"/>
    <col min="14851" max="14851" width="8.7109375" style="61" customWidth="1"/>
    <col min="14852" max="14852" width="23.140625" style="61" customWidth="1"/>
    <col min="14853" max="14853" width="16.7109375" style="61" customWidth="1"/>
    <col min="14854" max="14854" width="18.85546875" style="61" customWidth="1"/>
    <col min="14855" max="14855" width="17.85546875" style="61" customWidth="1"/>
    <col min="14856" max="14856" width="22.28515625" style="61" customWidth="1"/>
    <col min="14857" max="14857" width="5.5703125" style="61" customWidth="1"/>
    <col min="14858" max="15104" width="9.140625" style="61"/>
    <col min="15105" max="15105" width="13.5703125" style="61" customWidth="1"/>
    <col min="15106" max="15106" width="8.140625" style="61" customWidth="1"/>
    <col min="15107" max="15107" width="8.7109375" style="61" customWidth="1"/>
    <col min="15108" max="15108" width="23.140625" style="61" customWidth="1"/>
    <col min="15109" max="15109" width="16.7109375" style="61" customWidth="1"/>
    <col min="15110" max="15110" width="18.85546875" style="61" customWidth="1"/>
    <col min="15111" max="15111" width="17.85546875" style="61" customWidth="1"/>
    <col min="15112" max="15112" width="22.28515625" style="61" customWidth="1"/>
    <col min="15113" max="15113" width="5.5703125" style="61" customWidth="1"/>
    <col min="15114" max="15360" width="9.140625" style="61"/>
    <col min="15361" max="15361" width="13.5703125" style="61" customWidth="1"/>
    <col min="15362" max="15362" width="8.140625" style="61" customWidth="1"/>
    <col min="15363" max="15363" width="8.7109375" style="61" customWidth="1"/>
    <col min="15364" max="15364" width="23.140625" style="61" customWidth="1"/>
    <col min="15365" max="15365" width="16.7109375" style="61" customWidth="1"/>
    <col min="15366" max="15366" width="18.85546875" style="61" customWidth="1"/>
    <col min="15367" max="15367" width="17.85546875" style="61" customWidth="1"/>
    <col min="15368" max="15368" width="22.28515625" style="61" customWidth="1"/>
    <col min="15369" max="15369" width="5.5703125" style="61" customWidth="1"/>
    <col min="15370" max="15616" width="9.140625" style="61"/>
    <col min="15617" max="15617" width="13.5703125" style="61" customWidth="1"/>
    <col min="15618" max="15618" width="8.140625" style="61" customWidth="1"/>
    <col min="15619" max="15619" width="8.7109375" style="61" customWidth="1"/>
    <col min="15620" max="15620" width="23.140625" style="61" customWidth="1"/>
    <col min="15621" max="15621" width="16.7109375" style="61" customWidth="1"/>
    <col min="15622" max="15622" width="18.85546875" style="61" customWidth="1"/>
    <col min="15623" max="15623" width="17.85546875" style="61" customWidth="1"/>
    <col min="15624" max="15624" width="22.28515625" style="61" customWidth="1"/>
    <col min="15625" max="15625" width="5.5703125" style="61" customWidth="1"/>
    <col min="15626" max="15872" width="9.140625" style="61"/>
    <col min="15873" max="15873" width="13.5703125" style="61" customWidth="1"/>
    <col min="15874" max="15874" width="8.140625" style="61" customWidth="1"/>
    <col min="15875" max="15875" width="8.7109375" style="61" customWidth="1"/>
    <col min="15876" max="15876" width="23.140625" style="61" customWidth="1"/>
    <col min="15877" max="15877" width="16.7109375" style="61" customWidth="1"/>
    <col min="15878" max="15878" width="18.85546875" style="61" customWidth="1"/>
    <col min="15879" max="15879" width="17.85546875" style="61" customWidth="1"/>
    <col min="15880" max="15880" width="22.28515625" style="61" customWidth="1"/>
    <col min="15881" max="15881" width="5.5703125" style="61" customWidth="1"/>
    <col min="15882" max="16128" width="9.140625" style="61"/>
    <col min="16129" max="16129" width="13.5703125" style="61" customWidth="1"/>
    <col min="16130" max="16130" width="8.140625" style="61" customWidth="1"/>
    <col min="16131" max="16131" width="8.7109375" style="61" customWidth="1"/>
    <col min="16132" max="16132" width="23.140625" style="61" customWidth="1"/>
    <col min="16133" max="16133" width="16.7109375" style="61" customWidth="1"/>
    <col min="16134" max="16134" width="18.85546875" style="61" customWidth="1"/>
    <col min="16135" max="16135" width="17.85546875" style="61" customWidth="1"/>
    <col min="16136" max="16136" width="22.28515625" style="61" customWidth="1"/>
    <col min="16137" max="16137" width="5.5703125" style="61" customWidth="1"/>
    <col min="16138" max="16384" width="9.140625" style="61"/>
  </cols>
  <sheetData>
    <row r="1" spans="1:8" ht="26.45" customHeight="1">
      <c r="A1" s="415" t="s">
        <v>54</v>
      </c>
      <c r="B1" s="416"/>
      <c r="C1" s="416"/>
      <c r="D1" s="416"/>
      <c r="E1" s="416"/>
      <c r="F1" s="416"/>
      <c r="G1" s="416"/>
      <c r="H1" s="416"/>
    </row>
    <row r="2" spans="1:8" ht="26.45" customHeight="1">
      <c r="A2" s="62"/>
      <c r="B2" s="63"/>
      <c r="C2" s="63"/>
      <c r="D2" s="63"/>
      <c r="E2" s="63"/>
      <c r="F2" s="63"/>
      <c r="G2" s="63"/>
      <c r="H2" s="63"/>
    </row>
    <row r="3" spans="1:8" ht="26.45" customHeight="1">
      <c r="A3" s="64" t="s">
        <v>362</v>
      </c>
      <c r="B3" s="64"/>
      <c r="C3" s="64"/>
      <c r="D3" s="64"/>
      <c r="E3" s="65"/>
      <c r="F3" s="417">
        <f ca="1">TODAY()</f>
        <v>45557</v>
      </c>
      <c r="G3" s="417"/>
      <c r="H3" s="417"/>
    </row>
    <row r="4" spans="1:8" ht="26.45" customHeight="1">
      <c r="A4" s="63"/>
      <c r="B4" s="66"/>
      <c r="C4" s="66"/>
      <c r="D4" s="66"/>
      <c r="E4" s="66"/>
      <c r="F4" s="66"/>
      <c r="G4" s="66"/>
      <c r="H4" s="66"/>
    </row>
    <row r="5" spans="1:8" ht="26.45" customHeight="1">
      <c r="A5" s="384" t="s">
        <v>422</v>
      </c>
      <c r="B5" s="384"/>
      <c r="C5" s="381"/>
      <c r="D5" s="381"/>
      <c r="E5" s="381"/>
      <c r="F5" s="381"/>
      <c r="G5" s="67"/>
      <c r="H5" s="66"/>
    </row>
    <row r="6" spans="1:8" ht="26.45" customHeight="1">
      <c r="A6" s="63"/>
      <c r="B6" s="66"/>
      <c r="C6" s="66"/>
      <c r="D6" s="66"/>
      <c r="E6" s="66"/>
      <c r="F6" s="66"/>
      <c r="G6" s="66"/>
      <c r="H6" s="66"/>
    </row>
    <row r="7" spans="1:8" ht="26.45" customHeight="1">
      <c r="A7" s="418" t="s">
        <v>53</v>
      </c>
      <c r="B7" s="418"/>
      <c r="C7" s="68" t="s">
        <v>52</v>
      </c>
      <c r="D7" s="68" t="str">
        <f>NUMBERSTRING(D8,1)&amp;"원정-부가세 별도"</f>
        <v>일억이천오십만원정-부가세 별도</v>
      </c>
      <c r="E7" s="67"/>
      <c r="F7" s="67"/>
      <c r="G7" s="67"/>
      <c r="H7" s="66"/>
    </row>
    <row r="8" spans="1:8" ht="26.45" customHeight="1">
      <c r="A8" s="63"/>
      <c r="B8" s="66"/>
      <c r="C8" s="69" t="s">
        <v>51</v>
      </c>
      <c r="D8" s="70">
        <f>' 갑지-1'!L22</f>
        <v>120500000</v>
      </c>
      <c r="E8" s="66" t="s">
        <v>50</v>
      </c>
      <c r="F8" s="66"/>
      <c r="G8" s="66"/>
      <c r="H8" s="66"/>
    </row>
    <row r="9" spans="1:8" ht="26.45" customHeight="1">
      <c r="A9" s="63"/>
      <c r="B9" s="66"/>
      <c r="C9" s="66"/>
      <c r="D9" s="66"/>
      <c r="E9" s="66"/>
      <c r="F9" s="66"/>
      <c r="G9" s="66"/>
      <c r="H9" s="66"/>
    </row>
    <row r="10" spans="1:8" ht="26.45" customHeight="1">
      <c r="A10" s="66" t="s">
        <v>49</v>
      </c>
      <c r="B10" s="66"/>
      <c r="C10" s="66"/>
      <c r="D10" s="66"/>
      <c r="E10" s="66"/>
      <c r="F10" s="66"/>
      <c r="G10" s="66"/>
      <c r="H10" s="66"/>
    </row>
    <row r="11" spans="1:8" ht="26.45" customHeight="1">
      <c r="A11" s="63"/>
      <c r="B11" s="63"/>
      <c r="C11" s="63"/>
      <c r="D11" s="63"/>
      <c r="E11" s="66"/>
      <c r="F11" s="66"/>
      <c r="G11" s="66"/>
      <c r="H11" s="66"/>
    </row>
    <row r="12" spans="1:8" ht="26.45" customHeight="1">
      <c r="A12" s="190"/>
      <c r="B12" s="191"/>
      <c r="C12" s="191"/>
      <c r="D12" s="191"/>
      <c r="E12" s="192"/>
      <c r="F12" s="192"/>
      <c r="G12" s="192"/>
      <c r="H12" s="193"/>
    </row>
    <row r="13" spans="1:8" ht="26.45" customHeight="1">
      <c r="A13" s="194" t="s">
        <v>48</v>
      </c>
      <c r="B13" s="195"/>
      <c r="C13" s="71"/>
      <c r="D13" s="71"/>
      <c r="E13" s="71"/>
      <c r="F13" s="196"/>
      <c r="G13" s="196"/>
      <c r="H13" s="197"/>
    </row>
    <row r="14" spans="1:8" ht="26.45" customHeight="1">
      <c r="A14" s="198" t="s">
        <v>47</v>
      </c>
      <c r="B14" s="199" t="s">
        <v>180</v>
      </c>
      <c r="C14" s="195"/>
      <c r="D14" s="66"/>
      <c r="E14" s="72"/>
      <c r="F14" s="66"/>
      <c r="G14" s="66"/>
      <c r="H14" s="200"/>
    </row>
    <row r="15" spans="1:8" ht="26.45" customHeight="1">
      <c r="A15" s="198" t="s">
        <v>16</v>
      </c>
      <c r="B15" s="199" t="s">
        <v>154</v>
      </c>
      <c r="C15" s="71"/>
      <c r="D15" s="71"/>
      <c r="E15" s="71"/>
      <c r="F15" s="71"/>
      <c r="G15" s="71"/>
      <c r="H15" s="201" t="s">
        <v>46</v>
      </c>
    </row>
    <row r="16" spans="1:8" ht="26.45" customHeight="1">
      <c r="A16" s="198" t="s">
        <v>17</v>
      </c>
      <c r="B16" s="199"/>
      <c r="C16" s="71"/>
      <c r="D16" s="71"/>
      <c r="E16" s="71"/>
      <c r="F16" s="71"/>
      <c r="G16" s="71"/>
      <c r="H16" s="201"/>
    </row>
    <row r="17" spans="1:8" ht="26.45" customHeight="1">
      <c r="A17" s="198" t="s">
        <v>18</v>
      </c>
      <c r="B17" s="199"/>
      <c r="C17" s="71"/>
      <c r="D17" s="71"/>
      <c r="E17" s="71"/>
      <c r="F17" s="71"/>
      <c r="G17" s="71"/>
      <c r="H17" s="201"/>
    </row>
    <row r="18" spans="1:8" ht="26.45" customHeight="1">
      <c r="A18" s="198" t="s">
        <v>19</v>
      </c>
      <c r="B18" s="199"/>
      <c r="C18" s="71"/>
      <c r="D18" s="71"/>
      <c r="E18" s="71"/>
      <c r="F18" s="71"/>
      <c r="G18" s="71"/>
      <c r="H18" s="201"/>
    </row>
    <row r="19" spans="1:8" ht="26.45" customHeight="1">
      <c r="A19" s="198" t="s">
        <v>20</v>
      </c>
      <c r="B19" s="199"/>
      <c r="C19" s="71"/>
      <c r="D19" s="71"/>
      <c r="E19" s="71"/>
      <c r="F19" s="71"/>
      <c r="G19" s="71"/>
      <c r="H19" s="201"/>
    </row>
    <row r="20" spans="1:8" ht="26.45" customHeight="1">
      <c r="A20" s="202" t="s">
        <v>45</v>
      </c>
      <c r="B20" s="203"/>
      <c r="C20" s="204"/>
      <c r="D20" s="204"/>
      <c r="E20" s="204"/>
      <c r="F20" s="205"/>
      <c r="G20" s="205"/>
      <c r="H20" s="206"/>
    </row>
    <row r="21" spans="1:8" ht="26.45" customHeight="1">
      <c r="A21" s="71"/>
      <c r="B21" s="73"/>
      <c r="C21" s="73"/>
      <c r="D21" s="73"/>
      <c r="E21" s="74"/>
      <c r="F21" s="74"/>
      <c r="G21" s="419" t="s">
        <v>130</v>
      </c>
      <c r="H21" s="419"/>
    </row>
    <row r="22" spans="1:8" ht="26.45" customHeight="1">
      <c r="A22" s="71"/>
      <c r="B22" s="75"/>
      <c r="C22" s="75"/>
      <c r="D22" s="73"/>
      <c r="E22" s="74"/>
      <c r="F22" s="74"/>
      <c r="G22" s="72" t="s">
        <v>131</v>
      </c>
      <c r="H22" s="73"/>
    </row>
    <row r="23" spans="1:8" ht="26.45" customHeight="1">
      <c r="A23" s="71"/>
      <c r="B23" s="73"/>
      <c r="C23" s="73"/>
      <c r="D23" s="73"/>
      <c r="E23" s="74"/>
      <c r="F23" s="74"/>
      <c r="G23" s="72" t="s">
        <v>132</v>
      </c>
      <c r="H23" s="73"/>
    </row>
  </sheetData>
  <mergeCells count="4">
    <mergeCell ref="A1:H1"/>
    <mergeCell ref="F3:H3"/>
    <mergeCell ref="A7:B7"/>
    <mergeCell ref="G21:H21"/>
  </mergeCells>
  <phoneticPr fontId="22" type="noConversion"/>
  <pageMargins left="0.7" right="0.7" top="0.75" bottom="0.75" header="0.3" footer="0.3"/>
  <pageSetup paperSize="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  <pageSetUpPr fitToPage="1"/>
  </sheetPr>
  <dimension ref="A1:M32"/>
  <sheetViews>
    <sheetView tabSelected="1" view="pageBreakPreview" zoomScaleSheetLayoutView="100" workbookViewId="0">
      <selection activeCell="F27" sqref="F27"/>
    </sheetView>
  </sheetViews>
  <sheetFormatPr defaultColWidth="9.140625" defaultRowHeight="19.5" customHeight="1" outlineLevelCol="1"/>
  <cols>
    <col min="1" max="1" width="19.28515625" style="151" bestFit="1" customWidth="1"/>
    <col min="2" max="2" width="32.7109375" style="152" customWidth="1"/>
    <col min="3" max="3" width="24.5703125" style="107" customWidth="1"/>
    <col min="4" max="5" width="8.7109375" style="153" customWidth="1"/>
    <col min="6" max="6" width="21.5703125" style="154" customWidth="1"/>
    <col min="7" max="7" width="14.7109375" style="155" customWidth="1" outlineLevel="1"/>
    <col min="8" max="8" width="17.7109375" style="155" customWidth="1" outlineLevel="1"/>
    <col min="9" max="9" width="14.7109375" style="155" customWidth="1" outlineLevel="1"/>
    <col min="10" max="10" width="17.7109375" style="155" customWidth="1" outlineLevel="1"/>
    <col min="11" max="11" width="14.7109375" style="155" customWidth="1"/>
    <col min="12" max="12" width="17.7109375" style="155" customWidth="1"/>
    <col min="13" max="13" width="23.28515625" style="156" customWidth="1"/>
    <col min="14" max="16384" width="9.140625" style="98"/>
  </cols>
  <sheetData>
    <row r="1" spans="1:13" s="76" customFormat="1" ht="35.1" customHeight="1">
      <c r="A1" s="422" t="s">
        <v>360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</row>
    <row r="2" spans="1:13" s="76" customFormat="1" ht="24" customHeight="1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13" s="76" customFormat="1" ht="24" customHeight="1">
      <c r="A3" s="174">
        <f ca="1">TODAY()</f>
        <v>45557</v>
      </c>
      <c r="B3" s="78"/>
      <c r="C3" s="78"/>
      <c r="D3" s="78"/>
      <c r="E3" s="78"/>
      <c r="F3" s="177"/>
      <c r="G3" s="78"/>
      <c r="H3" s="78"/>
      <c r="I3" s="78"/>
      <c r="J3" s="78"/>
      <c r="K3" s="78"/>
      <c r="L3" s="78"/>
      <c r="M3" s="78"/>
    </row>
    <row r="4" spans="1:13" s="79" customFormat="1" ht="18" customHeight="1">
      <c r="A4" s="420" t="s">
        <v>10</v>
      </c>
      <c r="B4" s="423" t="s">
        <v>4</v>
      </c>
      <c r="C4" s="420" t="s">
        <v>5</v>
      </c>
      <c r="D4" s="420" t="s">
        <v>35</v>
      </c>
      <c r="E4" s="420" t="s">
        <v>6</v>
      </c>
      <c r="F4" s="425" t="s">
        <v>7</v>
      </c>
      <c r="G4" s="427" t="s">
        <v>55</v>
      </c>
      <c r="H4" s="427"/>
      <c r="I4" s="427" t="s">
        <v>56</v>
      </c>
      <c r="J4" s="427"/>
      <c r="K4" s="427" t="s">
        <v>57</v>
      </c>
      <c r="L4" s="427"/>
      <c r="M4" s="420" t="s">
        <v>8</v>
      </c>
    </row>
    <row r="5" spans="1:13" s="79" customFormat="1" ht="18" customHeight="1">
      <c r="A5" s="421"/>
      <c r="B5" s="424"/>
      <c r="C5" s="421"/>
      <c r="D5" s="421"/>
      <c r="E5" s="421"/>
      <c r="F5" s="426"/>
      <c r="G5" s="80" t="s">
        <v>0</v>
      </c>
      <c r="H5" s="80" t="s">
        <v>1</v>
      </c>
      <c r="I5" s="80" t="s">
        <v>0</v>
      </c>
      <c r="J5" s="80" t="s">
        <v>1</v>
      </c>
      <c r="K5" s="80" t="s">
        <v>0</v>
      </c>
      <c r="L5" s="80" t="s">
        <v>1</v>
      </c>
      <c r="M5" s="421"/>
    </row>
    <row r="6" spans="1:13" s="89" customFormat="1" ht="18" customHeight="1">
      <c r="A6" s="81" t="s">
        <v>14</v>
      </c>
      <c r="B6" s="82" t="s">
        <v>361</v>
      </c>
      <c r="C6" s="83"/>
      <c r="D6" s="84"/>
      <c r="E6" s="85"/>
      <c r="F6" s="86"/>
      <c r="G6" s="87"/>
      <c r="H6" s="87"/>
      <c r="I6" s="87"/>
      <c r="J6" s="87"/>
      <c r="K6" s="87"/>
      <c r="L6" s="87"/>
      <c r="M6" s="88"/>
    </row>
    <row r="7" spans="1:13" ht="18" customHeight="1">
      <c r="A7" s="90" t="s">
        <v>42</v>
      </c>
      <c r="B7" s="91" t="s">
        <v>133</v>
      </c>
      <c r="C7" s="92"/>
      <c r="D7" s="93"/>
      <c r="E7" s="94" t="s">
        <v>34</v>
      </c>
      <c r="F7" s="95">
        <v>1</v>
      </c>
      <c r="G7" s="96"/>
      <c r="H7" s="96">
        <f>상세!H47</f>
        <v>53339900</v>
      </c>
      <c r="I7" s="96"/>
      <c r="J7" s="96">
        <f>상세!J47</f>
        <v>35967800</v>
      </c>
      <c r="K7" s="96"/>
      <c r="L7" s="96">
        <f>상세!L47</f>
        <v>89300700</v>
      </c>
      <c r="M7" s="97"/>
    </row>
    <row r="8" spans="1:13" ht="18" customHeight="1">
      <c r="A8" s="90" t="s">
        <v>26</v>
      </c>
      <c r="B8" s="91" t="s">
        <v>151</v>
      </c>
      <c r="C8" s="92"/>
      <c r="D8" s="93"/>
      <c r="E8" s="94" t="s">
        <v>34</v>
      </c>
      <c r="F8" s="95">
        <v>1</v>
      </c>
      <c r="G8" s="96"/>
      <c r="H8" s="96">
        <f>상세!H32</f>
        <v>5580000</v>
      </c>
      <c r="I8" s="96"/>
      <c r="J8" s="96">
        <f>상세!J32</f>
        <v>2164000</v>
      </c>
      <c r="K8" s="96"/>
      <c r="L8" s="96">
        <f>상세!L32</f>
        <v>7744000</v>
      </c>
      <c r="M8" s="97"/>
    </row>
    <row r="9" spans="1:13" ht="18" customHeight="1">
      <c r="A9" s="90"/>
      <c r="B9" s="91"/>
      <c r="C9" s="92"/>
      <c r="D9" s="93"/>
      <c r="E9" s="94"/>
      <c r="F9" s="95"/>
      <c r="G9" s="96"/>
      <c r="H9" s="96"/>
      <c r="I9" s="96"/>
      <c r="J9" s="96"/>
      <c r="K9" s="96"/>
      <c r="L9" s="96"/>
      <c r="M9" s="97"/>
    </row>
    <row r="10" spans="1:13" s="106" customFormat="1" ht="18" customHeight="1">
      <c r="A10" s="99"/>
      <c r="B10" s="99" t="s">
        <v>90</v>
      </c>
      <c r="C10" s="100"/>
      <c r="D10" s="101"/>
      <c r="E10" s="102"/>
      <c r="F10" s="103"/>
      <c r="G10" s="104"/>
      <c r="H10" s="104">
        <f>상세!H10</f>
        <v>58919900</v>
      </c>
      <c r="I10" s="104"/>
      <c r="J10" s="104">
        <f>상세!J10</f>
        <v>38131800</v>
      </c>
      <c r="K10" s="104"/>
      <c r="L10" s="104">
        <f>상세!L10</f>
        <v>97044700</v>
      </c>
      <c r="M10" s="105"/>
    </row>
    <row r="11" spans="1:13" ht="18" customHeight="1">
      <c r="A11" s="180"/>
      <c r="B11" s="181"/>
      <c r="C11" s="182"/>
      <c r="D11" s="183"/>
      <c r="E11" s="184"/>
      <c r="F11" s="185"/>
      <c r="G11" s="186"/>
      <c r="H11" s="186"/>
      <c r="I11" s="96"/>
      <c r="J11" s="96"/>
      <c r="K11" s="96"/>
      <c r="L11" s="96"/>
      <c r="M11" s="97"/>
    </row>
    <row r="12" spans="1:13" s="350" customFormat="1" ht="18" customHeight="1">
      <c r="A12" s="343" t="s">
        <v>23</v>
      </c>
      <c r="B12" s="344" t="s">
        <v>138</v>
      </c>
      <c r="C12" s="344"/>
      <c r="D12" s="345"/>
      <c r="E12" s="345"/>
      <c r="F12" s="108">
        <v>1</v>
      </c>
      <c r="G12" s="346"/>
      <c r="H12" s="347"/>
      <c r="I12" s="348"/>
      <c r="J12" s="347"/>
      <c r="K12" s="347"/>
      <c r="L12" s="347">
        <v>4852235</v>
      </c>
      <c r="M12" s="349"/>
    </row>
    <row r="13" spans="1:13" ht="18" hidden="1" customHeight="1">
      <c r="A13" s="112" t="s">
        <v>23</v>
      </c>
      <c r="B13" s="92" t="s">
        <v>129</v>
      </c>
      <c r="C13" s="92"/>
      <c r="D13" s="157"/>
      <c r="E13" s="157"/>
      <c r="F13" s="108">
        <v>1</v>
      </c>
      <c r="G13" s="109"/>
      <c r="H13" s="110"/>
      <c r="I13" s="178"/>
      <c r="J13" s="110"/>
      <c r="K13" s="110"/>
      <c r="L13" s="347">
        <f t="shared" ref="L13:L17" si="0">L11*E13</f>
        <v>0</v>
      </c>
      <c r="M13" s="97"/>
    </row>
    <row r="14" spans="1:13" ht="18" customHeight="1">
      <c r="A14" s="112" t="s">
        <v>23</v>
      </c>
      <c r="B14" s="92" t="s">
        <v>155</v>
      </c>
      <c r="C14" s="92"/>
      <c r="D14" s="157"/>
      <c r="E14" s="157"/>
      <c r="F14" s="108">
        <v>1</v>
      </c>
      <c r="G14" s="109"/>
      <c r="H14" s="110"/>
      <c r="I14" s="178"/>
      <c r="J14" s="110"/>
      <c r="K14" s="110"/>
      <c r="L14" s="347">
        <v>6793129</v>
      </c>
      <c r="M14" s="97"/>
    </row>
    <row r="15" spans="1:13" ht="18" customHeight="1">
      <c r="A15" s="112" t="s">
        <v>23</v>
      </c>
      <c r="B15" s="92" t="s">
        <v>156</v>
      </c>
      <c r="C15" s="92"/>
      <c r="D15" s="91"/>
      <c r="E15" s="157"/>
      <c r="F15" s="108">
        <v>1</v>
      </c>
      <c r="G15" s="109"/>
      <c r="H15" s="110"/>
      <c r="I15" s="178"/>
      <c r="J15" s="110"/>
      <c r="K15" s="110"/>
      <c r="L15" s="347">
        <v>9704470</v>
      </c>
      <c r="M15" s="97"/>
    </row>
    <row r="16" spans="1:13" ht="18" customHeight="1">
      <c r="A16" s="112" t="s">
        <v>281</v>
      </c>
      <c r="B16" s="92" t="s">
        <v>282</v>
      </c>
      <c r="C16" s="92"/>
      <c r="D16" s="91"/>
      <c r="E16" s="157"/>
      <c r="F16" s="108">
        <v>1</v>
      </c>
      <c r="G16" s="109"/>
      <c r="H16" s="110"/>
      <c r="I16" s="178"/>
      <c r="J16" s="110"/>
      <c r="K16" s="110"/>
      <c r="L16" s="347">
        <v>2911341</v>
      </c>
      <c r="M16" s="97"/>
    </row>
    <row r="17" spans="1:13" ht="18" customHeight="1">
      <c r="A17" s="112"/>
      <c r="B17" s="92"/>
      <c r="C17" s="92"/>
      <c r="D17" s="91"/>
      <c r="E17" s="94"/>
      <c r="F17" s="108"/>
      <c r="G17" s="109"/>
      <c r="H17" s="110"/>
      <c r="I17" s="178"/>
      <c r="J17" s="110"/>
      <c r="K17" s="110"/>
      <c r="L17" s="347">
        <f t="shared" si="0"/>
        <v>0</v>
      </c>
      <c r="M17" s="97"/>
    </row>
    <row r="18" spans="1:13" ht="18" customHeight="1">
      <c r="A18" s="112"/>
      <c r="B18" s="92"/>
      <c r="C18" s="111"/>
      <c r="D18" s="112"/>
      <c r="E18" s="113"/>
      <c r="F18" s="108"/>
      <c r="G18" s="109"/>
      <c r="H18" s="110"/>
      <c r="I18" s="178"/>
      <c r="J18" s="110"/>
      <c r="K18" s="110"/>
      <c r="L18" s="110"/>
      <c r="M18" s="97"/>
    </row>
    <row r="19" spans="1:13" s="121" customFormat="1" ht="18" customHeight="1">
      <c r="A19" s="115"/>
      <c r="B19" s="99" t="s">
        <v>134</v>
      </c>
      <c r="C19" s="114"/>
      <c r="D19" s="115"/>
      <c r="E19" s="116"/>
      <c r="F19" s="117"/>
      <c r="G19" s="118"/>
      <c r="H19" s="119"/>
      <c r="I19" s="179"/>
      <c r="J19" s="119"/>
      <c r="K19" s="119"/>
      <c r="L19" s="119">
        <f>SUM(L12:L18)</f>
        <v>24261175</v>
      </c>
      <c r="M19" s="120"/>
    </row>
    <row r="20" spans="1:13" s="121" customFormat="1" ht="18" customHeight="1">
      <c r="A20" s="115"/>
      <c r="B20" s="99"/>
      <c r="C20" s="114"/>
      <c r="D20" s="115"/>
      <c r="E20" s="116"/>
      <c r="F20" s="117"/>
      <c r="G20" s="118"/>
      <c r="H20" s="119"/>
      <c r="I20" s="179"/>
      <c r="J20" s="119"/>
      <c r="K20" s="119"/>
      <c r="L20" s="119"/>
      <c r="M20" s="120"/>
    </row>
    <row r="21" spans="1:13" ht="18" customHeight="1">
      <c r="A21" s="187"/>
      <c r="B21" s="188"/>
      <c r="C21" s="189"/>
      <c r="D21" s="93"/>
      <c r="E21" s="94"/>
      <c r="F21" s="95"/>
      <c r="G21" s="96"/>
      <c r="H21" s="96"/>
      <c r="I21" s="96"/>
      <c r="J21" s="96"/>
      <c r="K21" s="96" t="s">
        <v>143</v>
      </c>
      <c r="L21" s="96">
        <v>805875</v>
      </c>
      <c r="M21" s="97"/>
    </row>
    <row r="22" spans="1:13" s="129" customFormat="1" ht="18" customHeight="1">
      <c r="A22" s="122"/>
      <c r="B22" s="122" t="s">
        <v>135</v>
      </c>
      <c r="C22" s="123"/>
      <c r="D22" s="124"/>
      <c r="E22" s="125"/>
      <c r="F22" s="126"/>
      <c r="G22" s="127"/>
      <c r="H22" s="127"/>
      <c r="I22" s="127"/>
      <c r="J22" s="127"/>
      <c r="K22" s="127"/>
      <c r="L22" s="303">
        <f>L10+L19+L20-L21</f>
        <v>120500000</v>
      </c>
      <c r="M22" s="128" t="s">
        <v>179</v>
      </c>
    </row>
    <row r="23" spans="1:13" ht="18" customHeight="1">
      <c r="A23" s="130"/>
      <c r="B23" s="131"/>
      <c r="C23" s="132"/>
      <c r="D23" s="133"/>
      <c r="E23" s="133"/>
      <c r="F23" s="134"/>
      <c r="G23" s="135"/>
      <c r="H23" s="135"/>
      <c r="I23" s="135"/>
      <c r="J23" s="135"/>
      <c r="K23" s="135"/>
      <c r="L23" s="135"/>
      <c r="M23" s="136"/>
    </row>
    <row r="24" spans="1:13" ht="18" customHeight="1">
      <c r="A24" s="137"/>
      <c r="B24" s="138"/>
      <c r="C24" s="139"/>
      <c r="D24" s="140"/>
      <c r="E24" s="140"/>
      <c r="F24" s="141"/>
      <c r="G24" s="142"/>
      <c r="H24" s="142"/>
      <c r="I24" s="142"/>
      <c r="J24" s="142"/>
      <c r="K24" s="142"/>
      <c r="L24" s="142"/>
      <c r="M24" s="143"/>
    </row>
    <row r="25" spans="1:13" ht="18" customHeight="1">
      <c r="A25" s="137"/>
      <c r="B25" s="138"/>
      <c r="C25" s="139"/>
      <c r="D25" s="140"/>
      <c r="E25" s="140"/>
      <c r="F25" s="141"/>
      <c r="G25" s="142"/>
      <c r="H25" s="142"/>
      <c r="I25" s="142"/>
      <c r="J25" s="142"/>
      <c r="K25" s="142"/>
      <c r="L25" s="142"/>
      <c r="M25" s="143"/>
    </row>
    <row r="26" spans="1:13" ht="18" customHeight="1">
      <c r="A26" s="137"/>
      <c r="B26" s="138"/>
      <c r="C26" s="139"/>
      <c r="D26" s="140"/>
      <c r="E26" s="140"/>
      <c r="F26" s="141"/>
      <c r="G26" s="142"/>
      <c r="H26" s="142"/>
      <c r="I26" s="142"/>
      <c r="J26" s="142"/>
      <c r="K26" s="142"/>
      <c r="L26" s="142"/>
      <c r="M26" s="143"/>
    </row>
    <row r="27" spans="1:13" ht="18" customHeight="1">
      <c r="A27" s="137"/>
      <c r="B27" s="138"/>
      <c r="C27" s="139"/>
      <c r="D27" s="140"/>
      <c r="E27" s="140"/>
      <c r="F27" s="141"/>
      <c r="G27" s="142"/>
      <c r="H27" s="142"/>
      <c r="I27" s="142"/>
      <c r="J27" s="142"/>
      <c r="K27" s="142"/>
      <c r="L27" s="142"/>
      <c r="M27" s="143"/>
    </row>
    <row r="28" spans="1:13" ht="18" customHeight="1">
      <c r="A28" s="137" t="s">
        <v>38</v>
      </c>
      <c r="B28" s="138" t="s">
        <v>44</v>
      </c>
      <c r="C28" s="139"/>
      <c r="D28" s="140"/>
      <c r="E28" s="140"/>
      <c r="F28" s="141"/>
      <c r="G28" s="142"/>
      <c r="H28" s="142"/>
      <c r="I28" s="142"/>
      <c r="J28" s="142"/>
      <c r="K28" s="142"/>
      <c r="L28" s="142"/>
      <c r="M28" s="143"/>
    </row>
    <row r="29" spans="1:13" ht="18" customHeight="1">
      <c r="A29" s="137" t="s">
        <v>41</v>
      </c>
      <c r="B29" s="138" t="s">
        <v>180</v>
      </c>
      <c r="C29" s="139"/>
      <c r="D29" s="140"/>
      <c r="E29" s="140"/>
      <c r="F29" s="141"/>
      <c r="G29" s="142"/>
      <c r="H29" s="142"/>
      <c r="I29" s="142"/>
      <c r="J29" s="142"/>
      <c r="K29" s="142"/>
      <c r="L29" s="142"/>
      <c r="M29" s="143"/>
    </row>
    <row r="30" spans="1:13" ht="18" customHeight="1">
      <c r="A30" s="160" t="s">
        <v>41</v>
      </c>
      <c r="B30" s="138" t="s">
        <v>153</v>
      </c>
      <c r="C30" s="139"/>
      <c r="D30" s="140"/>
      <c r="E30" s="140"/>
      <c r="F30" s="141"/>
      <c r="G30" s="142"/>
      <c r="H30" s="142"/>
      <c r="I30" s="142"/>
      <c r="J30" s="142"/>
      <c r="K30" s="142"/>
      <c r="L30" s="142"/>
      <c r="M30" s="143"/>
    </row>
    <row r="31" spans="1:13" ht="18" customHeight="1">
      <c r="A31" s="137"/>
      <c r="B31" s="138"/>
      <c r="C31" s="139"/>
      <c r="D31" s="140"/>
      <c r="E31" s="140"/>
      <c r="F31" s="141"/>
      <c r="G31" s="142"/>
      <c r="H31" s="142"/>
      <c r="I31" s="142"/>
      <c r="J31" s="142"/>
      <c r="K31" s="142"/>
      <c r="L31" s="142"/>
      <c r="M31" s="143"/>
    </row>
    <row r="32" spans="1:13" ht="18" customHeight="1">
      <c r="A32" s="144"/>
      <c r="B32" s="145"/>
      <c r="C32" s="146"/>
      <c r="D32" s="147"/>
      <c r="E32" s="147"/>
      <c r="F32" s="148"/>
      <c r="G32" s="149"/>
      <c r="H32" s="149"/>
      <c r="I32" s="149"/>
      <c r="J32" s="149"/>
      <c r="K32" s="149"/>
      <c r="L32" s="149"/>
      <c r="M32" s="150"/>
    </row>
  </sheetData>
  <mergeCells count="11">
    <mergeCell ref="M4:M5"/>
    <mergeCell ref="A1:M1"/>
    <mergeCell ref="A4:A5"/>
    <mergeCell ref="B4:B5"/>
    <mergeCell ref="C4:C5"/>
    <mergeCell ref="D4:D5"/>
    <mergeCell ref="E4:E5"/>
    <mergeCell ref="F4:F5"/>
    <mergeCell ref="G4:H4"/>
    <mergeCell ref="I4:J4"/>
    <mergeCell ref="K4:L4"/>
  </mergeCells>
  <phoneticPr fontId="22" type="noConversion"/>
  <pageMargins left="0.7" right="0.7" top="0.75" bottom="0.75" header="0.3" footer="0.3"/>
  <pageSetup paperSize="8" scale="9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  <pageSetUpPr fitToPage="1"/>
  </sheetPr>
  <dimension ref="A1:V264"/>
  <sheetViews>
    <sheetView tabSelected="1" view="pageBreakPreview" topLeftCell="B1" zoomScale="115" zoomScaleSheetLayoutView="115" workbookViewId="0">
      <pane ySplit="3" topLeftCell="A204" activePane="bottomLeft" state="frozen"/>
      <selection activeCell="F27" sqref="F27"/>
      <selection pane="bottomLeft" activeCell="F27" sqref="F27"/>
    </sheetView>
  </sheetViews>
  <sheetFormatPr defaultColWidth="9.140625" defaultRowHeight="19.5" customHeight="1"/>
  <cols>
    <col min="1" max="1" width="8.85546875" style="56" bestFit="1" customWidth="1"/>
    <col min="2" max="2" width="32.7109375" style="57" customWidth="1"/>
    <col min="3" max="3" width="29.85546875" style="56" customWidth="1"/>
    <col min="4" max="4" width="19.7109375" style="58" customWidth="1"/>
    <col min="5" max="5" width="8.7109375" style="58" customWidth="1"/>
    <col min="6" max="6" width="13" style="59" customWidth="1"/>
    <col min="7" max="7" width="14.7109375" style="60" customWidth="1"/>
    <col min="8" max="8" width="18" style="60" customWidth="1"/>
    <col min="9" max="9" width="14.7109375" style="60" customWidth="1"/>
    <col min="10" max="10" width="18" style="60" customWidth="1"/>
    <col min="11" max="11" width="14.7109375" style="60" customWidth="1"/>
    <col min="12" max="12" width="18" style="60" customWidth="1"/>
    <col min="13" max="13" width="20.5703125" style="254" customWidth="1"/>
    <col min="14" max="14" width="0" style="8" hidden="1" customWidth="1"/>
    <col min="15" max="15" width="13.140625" style="162" hidden="1" customWidth="1"/>
    <col min="16" max="16" width="13.140625" style="167" hidden="1" customWidth="1"/>
    <col min="17" max="17" width="12.7109375" style="337" bestFit="1" customWidth="1"/>
    <col min="18" max="18" width="10.5703125" style="337" bestFit="1" customWidth="1"/>
    <col min="19" max="19" width="17.5703125" style="8" bestFit="1" customWidth="1"/>
    <col min="20" max="20" width="12.28515625" style="8" bestFit="1" customWidth="1"/>
    <col min="21" max="16384" width="9.140625" style="8"/>
  </cols>
  <sheetData>
    <row r="1" spans="1:18" s="1" customFormat="1" ht="35.1" customHeight="1">
      <c r="A1" s="430" t="s">
        <v>359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O1" s="161"/>
      <c r="P1" s="166"/>
      <c r="Q1" s="336" t="s">
        <v>349</v>
      </c>
      <c r="R1" s="336" t="s">
        <v>350</v>
      </c>
    </row>
    <row r="2" spans="1:18" s="262" customFormat="1" ht="18" customHeight="1">
      <c r="A2" s="431" t="s">
        <v>10</v>
      </c>
      <c r="B2" s="432" t="s">
        <v>4</v>
      </c>
      <c r="C2" s="433" t="s">
        <v>107</v>
      </c>
      <c r="D2" s="433" t="s">
        <v>136</v>
      </c>
      <c r="E2" s="433" t="s">
        <v>6</v>
      </c>
      <c r="F2" s="434" t="s">
        <v>7</v>
      </c>
      <c r="G2" s="435" t="s">
        <v>2</v>
      </c>
      <c r="H2" s="435"/>
      <c r="I2" s="435" t="s">
        <v>9</v>
      </c>
      <c r="J2" s="435"/>
      <c r="K2" s="435" t="s">
        <v>3</v>
      </c>
      <c r="L2" s="435"/>
      <c r="M2" s="428" t="s">
        <v>8</v>
      </c>
      <c r="O2" s="263"/>
      <c r="P2" s="264"/>
      <c r="Q2" s="336"/>
      <c r="R2" s="336"/>
    </row>
    <row r="3" spans="1:18" s="262" customFormat="1" ht="18" customHeight="1">
      <c r="A3" s="431"/>
      <c r="B3" s="432"/>
      <c r="C3" s="433"/>
      <c r="D3" s="433"/>
      <c r="E3" s="433"/>
      <c r="F3" s="434"/>
      <c r="G3" s="269" t="s">
        <v>0</v>
      </c>
      <c r="H3" s="269" t="s">
        <v>1</v>
      </c>
      <c r="I3" s="269" t="s">
        <v>0</v>
      </c>
      <c r="J3" s="269" t="s">
        <v>1</v>
      </c>
      <c r="K3" s="269" t="s">
        <v>0</v>
      </c>
      <c r="L3" s="269" t="s">
        <v>1</v>
      </c>
      <c r="M3" s="429"/>
      <c r="O3" s="265" t="s">
        <v>159</v>
      </c>
      <c r="P3" s="264"/>
      <c r="Q3" s="336"/>
      <c r="R3" s="336"/>
    </row>
    <row r="4" spans="1:18" ht="18" customHeight="1">
      <c r="A4" s="2"/>
      <c r="B4" s="3"/>
      <c r="C4" s="332"/>
      <c r="D4" s="4"/>
      <c r="E4" s="4"/>
      <c r="F4" s="5"/>
      <c r="G4" s="6"/>
      <c r="H4" s="6"/>
      <c r="I4" s="6"/>
      <c r="J4" s="6"/>
      <c r="K4" s="6"/>
      <c r="L4" s="7"/>
      <c r="M4" s="176"/>
    </row>
    <row r="5" spans="1:18" ht="18" customHeight="1">
      <c r="A5" s="9"/>
      <c r="B5" s="10"/>
      <c r="C5" s="9"/>
      <c r="D5" s="4"/>
      <c r="E5" s="4"/>
      <c r="F5" s="5"/>
      <c r="G5" s="6"/>
      <c r="H5" s="6"/>
      <c r="I5" s="6"/>
      <c r="J5" s="6"/>
      <c r="K5" s="6"/>
      <c r="L5" s="7"/>
      <c r="M5" s="176"/>
    </row>
    <row r="6" spans="1:18" s="17" customFormat="1" ht="18" customHeight="1">
      <c r="A6" s="11" t="s">
        <v>14</v>
      </c>
      <c r="B6" s="12" t="s">
        <v>369</v>
      </c>
      <c r="C6" s="11"/>
      <c r="D6" s="13"/>
      <c r="E6" s="13"/>
      <c r="F6" s="14"/>
      <c r="G6" s="15"/>
      <c r="H6" s="15"/>
      <c r="I6" s="15"/>
      <c r="J6" s="15"/>
      <c r="K6" s="15"/>
      <c r="L6" s="16"/>
      <c r="M6" s="255"/>
      <c r="O6" s="163"/>
      <c r="P6" s="168"/>
      <c r="Q6" s="337"/>
      <c r="R6" s="337"/>
    </row>
    <row r="7" spans="1:18" ht="18" customHeight="1">
      <c r="A7" s="9" t="s">
        <v>22</v>
      </c>
      <c r="B7" s="10" t="str">
        <f>B15</f>
        <v>가설공사</v>
      </c>
      <c r="C7" s="9"/>
      <c r="D7" s="4"/>
      <c r="E7" s="4" t="s">
        <v>34</v>
      </c>
      <c r="F7" s="5">
        <v>1</v>
      </c>
      <c r="G7" s="6"/>
      <c r="H7" s="6">
        <f>H32</f>
        <v>5580000</v>
      </c>
      <c r="I7" s="6"/>
      <c r="J7" s="6">
        <f>J32</f>
        <v>2164000</v>
      </c>
      <c r="K7" s="6"/>
      <c r="L7" s="7">
        <f>L32</f>
        <v>7744000</v>
      </c>
      <c r="M7" s="176"/>
    </row>
    <row r="8" spans="1:18" ht="18" customHeight="1">
      <c r="A8" s="9" t="s">
        <v>26</v>
      </c>
      <c r="B8" s="10" t="str">
        <f>B34</f>
        <v>인테리어 공사</v>
      </c>
      <c r="C8" s="9"/>
      <c r="D8" s="4"/>
      <c r="E8" s="4" t="s">
        <v>34</v>
      </c>
      <c r="F8" s="5">
        <v>1</v>
      </c>
      <c r="G8" s="6"/>
      <c r="H8" s="6">
        <f>H47</f>
        <v>53339900</v>
      </c>
      <c r="I8" s="6"/>
      <c r="J8" s="6">
        <f>J47</f>
        <v>35967800</v>
      </c>
      <c r="K8" s="6"/>
      <c r="L8" s="7">
        <f>L47</f>
        <v>89300700</v>
      </c>
      <c r="M8" s="176"/>
    </row>
    <row r="9" spans="1:18" ht="18" customHeight="1">
      <c r="A9" s="9"/>
      <c r="B9" s="10"/>
      <c r="C9" s="9"/>
      <c r="D9" s="4"/>
      <c r="E9" s="4"/>
      <c r="F9" s="5"/>
      <c r="G9" s="6"/>
      <c r="H9" s="6"/>
      <c r="I9" s="6"/>
      <c r="J9" s="6"/>
      <c r="K9" s="6"/>
      <c r="L9" s="7"/>
      <c r="M9" s="176"/>
    </row>
    <row r="10" spans="1:18" s="18" customFormat="1" ht="18" customHeight="1">
      <c r="A10" s="214"/>
      <c r="B10" s="214" t="s">
        <v>90</v>
      </c>
      <c r="C10" s="214"/>
      <c r="D10" s="215"/>
      <c r="E10" s="215"/>
      <c r="F10" s="216"/>
      <c r="G10" s="217"/>
      <c r="H10" s="217">
        <f>SUM(H7:H9)</f>
        <v>58919900</v>
      </c>
      <c r="I10" s="217"/>
      <c r="J10" s="217">
        <f>SUM(J7:J9)</f>
        <v>38131800</v>
      </c>
      <c r="K10" s="217"/>
      <c r="L10" s="218">
        <f>SUM(L7:L9)</f>
        <v>97044700</v>
      </c>
      <c r="M10" s="256"/>
      <c r="O10" s="219"/>
      <c r="P10" s="220"/>
      <c r="Q10" s="337"/>
      <c r="R10" s="337"/>
    </row>
    <row r="11" spans="1:18" s="226" customFormat="1" ht="18" customHeight="1">
      <c r="A11" s="9"/>
      <c r="B11" s="10"/>
      <c r="C11" s="9"/>
      <c r="D11" s="208"/>
      <c r="E11" s="208"/>
      <c r="F11" s="209"/>
      <c r="G11" s="225"/>
      <c r="H11" s="225"/>
      <c r="I11" s="225"/>
      <c r="J11" s="225"/>
      <c r="K11" s="225"/>
      <c r="L11" s="225"/>
      <c r="M11" s="257"/>
      <c r="P11" s="227"/>
      <c r="Q11" s="338"/>
      <c r="R11" s="338"/>
    </row>
    <row r="12" spans="1:18" s="226" customFormat="1" ht="18" customHeight="1">
      <c r="A12" s="9"/>
      <c r="B12" s="10"/>
      <c r="C12" s="9"/>
      <c r="D12" s="208"/>
      <c r="E12" s="208"/>
      <c r="F12" s="209"/>
      <c r="G12" s="225"/>
      <c r="H12" s="225"/>
      <c r="I12" s="225"/>
      <c r="J12" s="225"/>
      <c r="K12" s="225"/>
      <c r="L12" s="225"/>
      <c r="M12" s="257"/>
      <c r="P12" s="227"/>
      <c r="Q12" s="338"/>
      <c r="R12" s="338"/>
    </row>
    <row r="13" spans="1:18" s="226" customFormat="1" ht="18" customHeight="1">
      <c r="A13" s="9"/>
      <c r="B13" s="10"/>
      <c r="C13" s="9"/>
      <c r="D13" s="208"/>
      <c r="E13" s="208"/>
      <c r="F13" s="209"/>
      <c r="G13" s="225"/>
      <c r="H13" s="225"/>
      <c r="I13" s="225"/>
      <c r="J13" s="225"/>
      <c r="K13" s="225"/>
      <c r="L13" s="225"/>
      <c r="M13" s="257"/>
      <c r="P13" s="227"/>
      <c r="Q13" s="338"/>
      <c r="R13" s="338"/>
    </row>
    <row r="14" spans="1:18" s="226" customFormat="1" ht="18" customHeight="1">
      <c r="A14" s="9"/>
      <c r="B14" s="10"/>
      <c r="C14" s="9"/>
      <c r="D14" s="208"/>
      <c r="E14" s="208"/>
      <c r="F14" s="209"/>
      <c r="G14" s="225"/>
      <c r="H14" s="225"/>
      <c r="I14" s="225"/>
      <c r="J14" s="225"/>
      <c r="K14" s="225"/>
      <c r="L14" s="225"/>
      <c r="M14" s="257"/>
      <c r="P14" s="227"/>
      <c r="Q14" s="338"/>
      <c r="R14" s="338"/>
    </row>
    <row r="15" spans="1:18" s="231" customFormat="1" ht="18" customHeight="1">
      <c r="A15" s="19" t="s">
        <v>22</v>
      </c>
      <c r="B15" s="20" t="s">
        <v>70</v>
      </c>
      <c r="C15" s="19"/>
      <c r="D15" s="228"/>
      <c r="E15" s="228"/>
      <c r="F15" s="229"/>
      <c r="G15" s="230"/>
      <c r="H15" s="230"/>
      <c r="I15" s="230"/>
      <c r="J15" s="230"/>
      <c r="K15" s="230"/>
      <c r="L15" s="230"/>
      <c r="M15" s="258"/>
      <c r="P15" s="232"/>
      <c r="Q15" s="338"/>
      <c r="R15" s="338"/>
    </row>
    <row r="16" spans="1:18" s="226" customFormat="1" ht="18" customHeight="1">
      <c r="A16" s="9" t="s">
        <v>58</v>
      </c>
      <c r="B16" s="10" t="s">
        <v>320</v>
      </c>
      <c r="C16" s="9"/>
      <c r="D16" s="208"/>
      <c r="E16" s="208" t="s">
        <v>11</v>
      </c>
      <c r="F16" s="209">
        <v>158</v>
      </c>
      <c r="G16" s="210">
        <v>2000</v>
      </c>
      <c r="H16" s="210">
        <f t="shared" ref="H16:H21" si="0">F16*G16</f>
        <v>316000</v>
      </c>
      <c r="I16" s="210">
        <v>8000</v>
      </c>
      <c r="J16" s="210">
        <f t="shared" ref="J16:J21" si="1">F16*I16</f>
        <v>1264000</v>
      </c>
      <c r="K16" s="210">
        <f t="shared" ref="K16:K21" si="2">G16+I16</f>
        <v>10000</v>
      </c>
      <c r="L16" s="210">
        <f t="shared" ref="L16:L21" si="3">F16*K16</f>
        <v>1580000</v>
      </c>
      <c r="M16" s="175"/>
      <c r="P16" s="227"/>
      <c r="Q16" s="338"/>
      <c r="R16" s="338"/>
    </row>
    <row r="17" spans="1:18" s="226" customFormat="1" ht="18" customHeight="1">
      <c r="A17" s="9" t="s">
        <v>58</v>
      </c>
      <c r="B17" s="10" t="s">
        <v>25</v>
      </c>
      <c r="C17" s="9"/>
      <c r="D17" s="208"/>
      <c r="E17" s="208" t="s">
        <v>139</v>
      </c>
      <c r="F17" s="209">
        <v>5</v>
      </c>
      <c r="G17" s="210">
        <v>0</v>
      </c>
      <c r="H17" s="210">
        <f t="shared" si="0"/>
        <v>0</v>
      </c>
      <c r="I17" s="210">
        <v>180000</v>
      </c>
      <c r="J17" s="210">
        <f t="shared" si="1"/>
        <v>900000</v>
      </c>
      <c r="K17" s="210">
        <f t="shared" si="2"/>
        <v>180000</v>
      </c>
      <c r="L17" s="210">
        <f t="shared" si="3"/>
        <v>900000</v>
      </c>
      <c r="M17" s="176"/>
      <c r="P17" s="227"/>
      <c r="Q17" s="338"/>
      <c r="R17" s="338"/>
    </row>
    <row r="18" spans="1:18" s="226" customFormat="1" ht="18" customHeight="1">
      <c r="A18" s="9" t="s">
        <v>317</v>
      </c>
      <c r="B18" s="10" t="s">
        <v>318</v>
      </c>
      <c r="C18" s="9"/>
      <c r="D18" s="208"/>
      <c r="E18" s="208" t="s">
        <v>315</v>
      </c>
      <c r="F18" s="209">
        <v>1</v>
      </c>
      <c r="G18" s="210">
        <v>200000</v>
      </c>
      <c r="H18" s="210">
        <f t="shared" si="0"/>
        <v>200000</v>
      </c>
      <c r="I18" s="210">
        <v>0</v>
      </c>
      <c r="J18" s="210">
        <f t="shared" si="1"/>
        <v>0</v>
      </c>
      <c r="K18" s="210">
        <f t="shared" si="2"/>
        <v>200000</v>
      </c>
      <c r="L18" s="210">
        <f t="shared" si="3"/>
        <v>200000</v>
      </c>
      <c r="M18" s="176"/>
      <c r="P18" s="227"/>
      <c r="Q18" s="338"/>
      <c r="R18" s="338"/>
    </row>
    <row r="19" spans="1:18" s="327" customFormat="1" ht="18" customHeight="1">
      <c r="A19" s="9" t="s">
        <v>321</v>
      </c>
      <c r="B19" s="315" t="s">
        <v>322</v>
      </c>
      <c r="C19" s="313"/>
      <c r="D19" s="324"/>
      <c r="E19" s="324" t="s">
        <v>323</v>
      </c>
      <c r="F19" s="325">
        <v>1</v>
      </c>
      <c r="G19" s="326">
        <v>200000</v>
      </c>
      <c r="H19" s="326">
        <f t="shared" si="0"/>
        <v>200000</v>
      </c>
      <c r="I19" s="326">
        <v>0</v>
      </c>
      <c r="J19" s="326">
        <f t="shared" si="1"/>
        <v>0</v>
      </c>
      <c r="K19" s="326">
        <f t="shared" si="2"/>
        <v>200000</v>
      </c>
      <c r="L19" s="326">
        <f t="shared" si="3"/>
        <v>200000</v>
      </c>
      <c r="M19" s="279"/>
      <c r="P19" s="328"/>
      <c r="Q19" s="338"/>
      <c r="R19" s="338"/>
    </row>
    <row r="20" spans="1:18" s="226" customFormat="1" ht="18" customHeight="1">
      <c r="A20" s="9" t="s">
        <v>78</v>
      </c>
      <c r="B20" s="10" t="s">
        <v>79</v>
      </c>
      <c r="C20" s="9" t="s">
        <v>80</v>
      </c>
      <c r="D20" s="208"/>
      <c r="E20" s="208" t="s">
        <v>69</v>
      </c>
      <c r="F20" s="209">
        <v>5</v>
      </c>
      <c r="G20" s="210">
        <v>450000</v>
      </c>
      <c r="H20" s="210">
        <f t="shared" si="0"/>
        <v>2250000</v>
      </c>
      <c r="I20" s="210">
        <v>0</v>
      </c>
      <c r="J20" s="210">
        <f t="shared" si="1"/>
        <v>0</v>
      </c>
      <c r="K20" s="210">
        <f t="shared" si="2"/>
        <v>450000</v>
      </c>
      <c r="L20" s="210">
        <f t="shared" si="3"/>
        <v>2250000</v>
      </c>
      <c r="M20" s="176"/>
      <c r="N20" s="226" t="s">
        <v>222</v>
      </c>
      <c r="Q20" s="338"/>
      <c r="R20" s="338"/>
    </row>
    <row r="21" spans="1:18" s="327" customFormat="1" ht="18" customHeight="1">
      <c r="A21" s="9" t="s">
        <v>67</v>
      </c>
      <c r="B21" s="315" t="s">
        <v>24</v>
      </c>
      <c r="C21" s="9" t="s">
        <v>68</v>
      </c>
      <c r="D21" s="324" t="s">
        <v>419</v>
      </c>
      <c r="E21" s="324" t="s">
        <v>69</v>
      </c>
      <c r="F21" s="325">
        <v>1</v>
      </c>
      <c r="G21" s="326">
        <v>400000</v>
      </c>
      <c r="H21" s="326">
        <f t="shared" si="0"/>
        <v>400000</v>
      </c>
      <c r="I21" s="326">
        <v>0</v>
      </c>
      <c r="J21" s="326">
        <f t="shared" si="1"/>
        <v>0</v>
      </c>
      <c r="K21" s="326">
        <f t="shared" si="2"/>
        <v>400000</v>
      </c>
      <c r="L21" s="326">
        <f t="shared" si="3"/>
        <v>400000</v>
      </c>
      <c r="M21" s="275"/>
      <c r="P21" s="328"/>
      <c r="Q21" s="366"/>
      <c r="R21" s="366"/>
    </row>
    <row r="22" spans="1:18" s="226" customFormat="1" ht="18" customHeight="1">
      <c r="A22" s="9"/>
      <c r="B22" s="10"/>
      <c r="C22" s="9"/>
      <c r="D22" s="208"/>
      <c r="E22" s="208"/>
      <c r="F22" s="209"/>
      <c r="G22" s="210"/>
      <c r="H22" s="210"/>
      <c r="I22" s="210"/>
      <c r="J22" s="210"/>
      <c r="K22" s="210"/>
      <c r="L22" s="210"/>
      <c r="M22" s="176"/>
      <c r="Q22" s="338"/>
      <c r="R22" s="338"/>
    </row>
    <row r="23" spans="1:18" s="233" customFormat="1" ht="18" customHeight="1">
      <c r="A23" s="158" t="s">
        <v>59</v>
      </c>
      <c r="B23" s="159" t="s">
        <v>72</v>
      </c>
      <c r="C23" s="158" t="s">
        <v>150</v>
      </c>
      <c r="D23" s="211"/>
      <c r="E23" s="211" t="s">
        <v>71</v>
      </c>
      <c r="F23" s="212">
        <v>0</v>
      </c>
      <c r="G23" s="213">
        <v>0</v>
      </c>
      <c r="H23" s="213">
        <f t="shared" ref="H23:H30" si="4">F23*G23</f>
        <v>0</v>
      </c>
      <c r="I23" s="213">
        <v>0</v>
      </c>
      <c r="J23" s="213">
        <f t="shared" ref="J23:J30" si="5">F23*I23</f>
        <v>0</v>
      </c>
      <c r="K23" s="213">
        <f t="shared" ref="K23:K30" si="6">G23+I23</f>
        <v>0</v>
      </c>
      <c r="L23" s="213">
        <f t="shared" ref="L23:L30" si="7">F23*K23</f>
        <v>0</v>
      </c>
      <c r="M23" s="175"/>
      <c r="P23" s="234"/>
      <c r="Q23" s="338"/>
      <c r="R23" s="338"/>
    </row>
    <row r="24" spans="1:18" s="309" customFormat="1" ht="18" customHeight="1">
      <c r="A24" s="158" t="s">
        <v>77</v>
      </c>
      <c r="B24" s="302" t="s">
        <v>74</v>
      </c>
      <c r="C24" s="331" t="s">
        <v>140</v>
      </c>
      <c r="D24" s="306"/>
      <c r="E24" s="306" t="s">
        <v>11</v>
      </c>
      <c r="F24" s="307">
        <v>0</v>
      </c>
      <c r="G24" s="308">
        <v>0</v>
      </c>
      <c r="H24" s="308">
        <f t="shared" si="4"/>
        <v>0</v>
      </c>
      <c r="I24" s="308">
        <v>0</v>
      </c>
      <c r="J24" s="308">
        <f t="shared" si="5"/>
        <v>0</v>
      </c>
      <c r="K24" s="308">
        <f t="shared" si="6"/>
        <v>0</v>
      </c>
      <c r="L24" s="308">
        <f t="shared" si="7"/>
        <v>0</v>
      </c>
      <c r="M24" s="285"/>
      <c r="P24" s="310"/>
      <c r="Q24" s="338"/>
      <c r="R24" s="338"/>
    </row>
    <row r="25" spans="1:18" s="309" customFormat="1" ht="18" customHeight="1">
      <c r="A25" s="158" t="s">
        <v>73</v>
      </c>
      <c r="B25" s="302" t="s">
        <v>73</v>
      </c>
      <c r="C25" s="331" t="s">
        <v>140</v>
      </c>
      <c r="D25" s="306"/>
      <c r="E25" s="306" t="s">
        <v>11</v>
      </c>
      <c r="F25" s="307">
        <v>0</v>
      </c>
      <c r="G25" s="308">
        <v>0</v>
      </c>
      <c r="H25" s="308">
        <f t="shared" si="4"/>
        <v>0</v>
      </c>
      <c r="I25" s="308">
        <v>0</v>
      </c>
      <c r="J25" s="308">
        <f t="shared" si="5"/>
        <v>0</v>
      </c>
      <c r="K25" s="308">
        <f t="shared" si="6"/>
        <v>0</v>
      </c>
      <c r="L25" s="308">
        <f t="shared" si="7"/>
        <v>0</v>
      </c>
      <c r="M25" s="285"/>
      <c r="P25" s="310"/>
      <c r="Q25" s="338"/>
      <c r="R25" s="338"/>
    </row>
    <row r="26" spans="1:18" s="309" customFormat="1" ht="18" customHeight="1">
      <c r="A26" s="158" t="s">
        <v>184</v>
      </c>
      <c r="B26" s="302" t="s">
        <v>183</v>
      </c>
      <c r="C26" s="331" t="s">
        <v>140</v>
      </c>
      <c r="D26" s="306"/>
      <c r="E26" s="306" t="s">
        <v>185</v>
      </c>
      <c r="F26" s="307">
        <v>0</v>
      </c>
      <c r="G26" s="308">
        <v>0</v>
      </c>
      <c r="H26" s="308">
        <f t="shared" si="4"/>
        <v>0</v>
      </c>
      <c r="I26" s="308">
        <v>0</v>
      </c>
      <c r="J26" s="308">
        <f t="shared" si="5"/>
        <v>0</v>
      </c>
      <c r="K26" s="308">
        <f t="shared" si="6"/>
        <v>0</v>
      </c>
      <c r="L26" s="308">
        <f t="shared" si="7"/>
        <v>0</v>
      </c>
      <c r="M26" s="285"/>
      <c r="P26" s="310"/>
      <c r="Q26" s="338"/>
      <c r="R26" s="338"/>
    </row>
    <row r="27" spans="1:18" s="309" customFormat="1" ht="18" hidden="1" customHeight="1">
      <c r="A27" s="158" t="s">
        <v>195</v>
      </c>
      <c r="B27" s="302" t="s">
        <v>194</v>
      </c>
      <c r="C27" s="331" t="s">
        <v>140</v>
      </c>
      <c r="D27" s="306"/>
      <c r="E27" s="306" t="s">
        <v>185</v>
      </c>
      <c r="F27" s="307">
        <v>0</v>
      </c>
      <c r="G27" s="308">
        <v>0</v>
      </c>
      <c r="H27" s="308">
        <f t="shared" si="4"/>
        <v>0</v>
      </c>
      <c r="I27" s="308">
        <v>0</v>
      </c>
      <c r="J27" s="308">
        <f t="shared" si="5"/>
        <v>0</v>
      </c>
      <c r="K27" s="308">
        <f t="shared" si="6"/>
        <v>0</v>
      </c>
      <c r="L27" s="308">
        <f t="shared" si="7"/>
        <v>0</v>
      </c>
      <c r="M27" s="289"/>
      <c r="O27" s="309">
        <f>(155*0.05)</f>
        <v>7.75</v>
      </c>
      <c r="P27" s="310"/>
      <c r="Q27" s="338"/>
      <c r="R27" s="338"/>
    </row>
    <row r="28" spans="1:18" s="309" customFormat="1" ht="18" customHeight="1">
      <c r="A28" s="158" t="s">
        <v>284</v>
      </c>
      <c r="B28" s="302" t="s">
        <v>283</v>
      </c>
      <c r="C28" s="331" t="s">
        <v>443</v>
      </c>
      <c r="D28" s="306"/>
      <c r="E28" s="306" t="s">
        <v>258</v>
      </c>
      <c r="F28" s="307">
        <v>1</v>
      </c>
      <c r="G28" s="308">
        <v>1764000</v>
      </c>
      <c r="H28" s="308">
        <f t="shared" si="4"/>
        <v>1764000</v>
      </c>
      <c r="I28" s="308">
        <v>0</v>
      </c>
      <c r="J28" s="308">
        <f t="shared" si="5"/>
        <v>0</v>
      </c>
      <c r="K28" s="308">
        <f t="shared" si="6"/>
        <v>1764000</v>
      </c>
      <c r="L28" s="308">
        <f t="shared" si="7"/>
        <v>1764000</v>
      </c>
      <c r="M28" s="289"/>
      <c r="P28" s="310"/>
      <c r="Q28" s="338"/>
      <c r="R28" s="338"/>
    </row>
    <row r="29" spans="1:18" s="309" customFormat="1" ht="18" customHeight="1">
      <c r="A29" s="158" t="s">
        <v>448</v>
      </c>
      <c r="B29" s="302" t="s">
        <v>449</v>
      </c>
      <c r="C29" s="331" t="s">
        <v>450</v>
      </c>
      <c r="D29" s="306" t="s">
        <v>451</v>
      </c>
      <c r="E29" s="306" t="s">
        <v>434</v>
      </c>
      <c r="F29" s="307">
        <v>1</v>
      </c>
      <c r="G29" s="308">
        <v>450000</v>
      </c>
      <c r="H29" s="308">
        <f t="shared" si="4"/>
        <v>450000</v>
      </c>
      <c r="I29" s="308">
        <v>0</v>
      </c>
      <c r="J29" s="308">
        <f t="shared" ref="J29" si="8">F29*I29</f>
        <v>0</v>
      </c>
      <c r="K29" s="308">
        <f t="shared" ref="K29" si="9">G29+I29</f>
        <v>450000</v>
      </c>
      <c r="L29" s="308">
        <f t="shared" ref="L29" si="10">F29*K29</f>
        <v>450000</v>
      </c>
      <c r="M29" s="289"/>
      <c r="P29" s="310"/>
      <c r="Q29" s="338"/>
      <c r="R29" s="338"/>
    </row>
    <row r="30" spans="1:18" s="309" customFormat="1" ht="18" customHeight="1">
      <c r="A30" s="331" t="s">
        <v>75</v>
      </c>
      <c r="B30" s="302" t="s">
        <v>76</v>
      </c>
      <c r="C30" s="331" t="s">
        <v>243</v>
      </c>
      <c r="D30" s="306"/>
      <c r="E30" s="306" t="s">
        <v>11</v>
      </c>
      <c r="F30" s="307">
        <v>0</v>
      </c>
      <c r="G30" s="308">
        <v>0</v>
      </c>
      <c r="H30" s="308">
        <f t="shared" si="4"/>
        <v>0</v>
      </c>
      <c r="I30" s="308">
        <v>0</v>
      </c>
      <c r="J30" s="308">
        <f t="shared" si="5"/>
        <v>0</v>
      </c>
      <c r="K30" s="308">
        <f t="shared" si="6"/>
        <v>0</v>
      </c>
      <c r="L30" s="308">
        <f t="shared" si="7"/>
        <v>0</v>
      </c>
      <c r="M30" s="285"/>
      <c r="P30" s="310"/>
      <c r="Q30" s="338"/>
      <c r="R30" s="338"/>
    </row>
    <row r="31" spans="1:18" s="226" customFormat="1" ht="18" customHeight="1">
      <c r="A31" s="9"/>
      <c r="B31" s="10"/>
      <c r="C31" s="9"/>
      <c r="D31" s="208"/>
      <c r="E31" s="208"/>
      <c r="F31" s="208"/>
      <c r="G31" s="210"/>
      <c r="H31" s="210"/>
      <c r="I31" s="210"/>
      <c r="J31" s="210"/>
      <c r="K31" s="210"/>
      <c r="L31" s="210"/>
      <c r="M31" s="176"/>
      <c r="P31" s="227"/>
      <c r="Q31" s="338"/>
      <c r="R31" s="338"/>
    </row>
    <row r="32" spans="1:18" s="237" customFormat="1" ht="18" customHeight="1">
      <c r="A32" s="27"/>
      <c r="B32" s="28" t="s">
        <v>33</v>
      </c>
      <c r="C32" s="27"/>
      <c r="E32" s="235"/>
      <c r="F32" s="235"/>
      <c r="G32" s="236"/>
      <c r="H32" s="236">
        <f>SUM(H16:H31)</f>
        <v>5580000</v>
      </c>
      <c r="I32" s="236"/>
      <c r="J32" s="236">
        <f>SUM(J16:J31)</f>
        <v>2164000</v>
      </c>
      <c r="K32" s="236"/>
      <c r="L32" s="236">
        <f>SUM(L16:L31)</f>
        <v>7744000</v>
      </c>
      <c r="M32" s="176"/>
      <c r="P32" s="238"/>
      <c r="Q32" s="338"/>
      <c r="R32" s="338"/>
    </row>
    <row r="33" spans="1:18" s="226" customFormat="1" ht="18" customHeight="1">
      <c r="A33" s="9"/>
      <c r="B33" s="10"/>
      <c r="C33" s="9"/>
      <c r="D33" s="208"/>
      <c r="E33" s="208"/>
      <c r="F33" s="208"/>
      <c r="G33" s="210"/>
      <c r="H33" s="210"/>
      <c r="I33" s="210"/>
      <c r="J33" s="239"/>
      <c r="K33" s="210"/>
      <c r="L33" s="210"/>
      <c r="M33" s="176"/>
      <c r="P33" s="227"/>
      <c r="Q33" s="338"/>
      <c r="R33" s="338"/>
    </row>
    <row r="34" spans="1:18" s="22" customFormat="1" ht="18" customHeight="1">
      <c r="A34" s="221" t="s">
        <v>26</v>
      </c>
      <c r="B34" s="222" t="s">
        <v>91</v>
      </c>
      <c r="C34" s="221"/>
      <c r="D34" s="21"/>
      <c r="E34" s="21"/>
      <c r="F34" s="35"/>
      <c r="G34" s="36"/>
      <c r="H34" s="36"/>
      <c r="I34" s="36"/>
      <c r="J34" s="36"/>
      <c r="K34" s="36"/>
      <c r="L34" s="37"/>
      <c r="M34" s="259"/>
      <c r="O34" s="223"/>
      <c r="P34" s="224"/>
      <c r="Q34" s="337"/>
      <c r="R34" s="337"/>
    </row>
    <row r="35" spans="1:18" ht="18" customHeight="1">
      <c r="A35" s="38" t="s">
        <v>15</v>
      </c>
      <c r="B35" s="10" t="s">
        <v>338</v>
      </c>
      <c r="C35" s="9"/>
      <c r="D35" s="4"/>
      <c r="E35" s="4" t="s">
        <v>34</v>
      </c>
      <c r="F35" s="23">
        <v>1</v>
      </c>
      <c r="G35" s="24"/>
      <c r="H35" s="24">
        <f>H59</f>
        <v>3041200</v>
      </c>
      <c r="I35" s="24"/>
      <c r="J35" s="24">
        <f>J59</f>
        <v>4638800</v>
      </c>
      <c r="K35" s="24"/>
      <c r="L35" s="25">
        <f>L59</f>
        <v>7680000</v>
      </c>
      <c r="M35" s="176"/>
      <c r="O35" s="207">
        <f t="shared" ref="O35:O44" si="11">H35+J35</f>
        <v>7680000</v>
      </c>
    </row>
    <row r="36" spans="1:18" ht="18" customHeight="1">
      <c r="A36" s="38" t="s">
        <v>16</v>
      </c>
      <c r="B36" s="10" t="s">
        <v>337</v>
      </c>
      <c r="C36" s="352"/>
      <c r="D36" s="4"/>
      <c r="E36" s="4" t="s">
        <v>34</v>
      </c>
      <c r="F36" s="23">
        <v>1</v>
      </c>
      <c r="G36" s="24"/>
      <c r="H36" s="24">
        <f>H66</f>
        <v>800000</v>
      </c>
      <c r="I36" s="24"/>
      <c r="J36" s="24">
        <f>J66</f>
        <v>1050000</v>
      </c>
      <c r="K36" s="24"/>
      <c r="L36" s="25">
        <f>L66</f>
        <v>1850000</v>
      </c>
      <c r="M36" s="176"/>
      <c r="O36" s="207"/>
    </row>
    <row r="37" spans="1:18" ht="18" customHeight="1">
      <c r="A37" s="38" t="s">
        <v>17</v>
      </c>
      <c r="B37" s="10" t="str">
        <f>B68</f>
        <v>필름 공사</v>
      </c>
      <c r="C37" s="9"/>
      <c r="D37" s="4"/>
      <c r="E37" s="4" t="s">
        <v>34</v>
      </c>
      <c r="F37" s="23">
        <v>1</v>
      </c>
      <c r="G37" s="24"/>
      <c r="H37" s="24">
        <f>H78</f>
        <v>2135600</v>
      </c>
      <c r="I37" s="24"/>
      <c r="J37" s="24">
        <f>J78</f>
        <v>3616000</v>
      </c>
      <c r="K37" s="24"/>
      <c r="L37" s="25">
        <f>L78</f>
        <v>5751600</v>
      </c>
      <c r="M37" s="176"/>
      <c r="O37" s="207">
        <f t="shared" si="11"/>
        <v>5751600</v>
      </c>
    </row>
    <row r="38" spans="1:18" ht="18" customHeight="1">
      <c r="A38" s="38" t="s">
        <v>18</v>
      </c>
      <c r="B38" s="10" t="str">
        <f>B80</f>
        <v>가구 공사</v>
      </c>
      <c r="C38" s="9"/>
      <c r="D38" s="4"/>
      <c r="E38" s="4" t="s">
        <v>34</v>
      </c>
      <c r="F38" s="23">
        <v>1</v>
      </c>
      <c r="G38" s="24"/>
      <c r="H38" s="24">
        <f>H124</f>
        <v>13135000</v>
      </c>
      <c r="I38" s="24"/>
      <c r="J38" s="24">
        <f>J124</f>
        <v>2355000</v>
      </c>
      <c r="K38" s="24"/>
      <c r="L38" s="25">
        <f>L124</f>
        <v>15490000</v>
      </c>
      <c r="M38" s="176"/>
      <c r="O38" s="207">
        <f t="shared" si="11"/>
        <v>15490000</v>
      </c>
    </row>
    <row r="39" spans="1:18" ht="18" customHeight="1">
      <c r="A39" s="38" t="s">
        <v>19</v>
      </c>
      <c r="B39" s="10" t="str">
        <f>B125</f>
        <v>전기 공사</v>
      </c>
      <c r="C39" s="9"/>
      <c r="D39" s="4" t="s">
        <v>254</v>
      </c>
      <c r="E39" s="4" t="s">
        <v>34</v>
      </c>
      <c r="F39" s="23">
        <v>1</v>
      </c>
      <c r="G39" s="24"/>
      <c r="H39" s="24">
        <f>H140</f>
        <v>5579000</v>
      </c>
      <c r="I39" s="24"/>
      <c r="J39" s="24">
        <f>J140</f>
        <v>3490000</v>
      </c>
      <c r="K39" s="24"/>
      <c r="L39" s="25">
        <f>L140</f>
        <v>9069000</v>
      </c>
      <c r="M39" s="176"/>
      <c r="O39" s="207">
        <f t="shared" si="11"/>
        <v>9069000</v>
      </c>
    </row>
    <row r="40" spans="1:18" s="52" customFormat="1" ht="18" customHeight="1">
      <c r="A40" s="38" t="s">
        <v>20</v>
      </c>
      <c r="B40" s="47" t="str">
        <f>B142</f>
        <v>화장실 공사</v>
      </c>
      <c r="C40" s="46"/>
      <c r="D40" s="48"/>
      <c r="E40" s="48" t="s">
        <v>34</v>
      </c>
      <c r="F40" s="240">
        <v>1</v>
      </c>
      <c r="G40" s="50"/>
      <c r="H40" s="50">
        <f>H178</f>
        <v>4569000</v>
      </c>
      <c r="I40" s="50"/>
      <c r="J40" s="50">
        <f>J178</f>
        <v>2480000</v>
      </c>
      <c r="K40" s="50"/>
      <c r="L40" s="51">
        <f>L178</f>
        <v>7042000</v>
      </c>
      <c r="M40" s="175"/>
      <c r="O40" s="241">
        <f t="shared" si="11"/>
        <v>7049000</v>
      </c>
      <c r="P40" s="170"/>
      <c r="Q40" s="337"/>
      <c r="R40" s="337"/>
    </row>
    <row r="41" spans="1:18" s="52" customFormat="1" ht="18" customHeight="1">
      <c r="A41" s="38" t="s">
        <v>332</v>
      </c>
      <c r="B41" s="47" t="str">
        <f>B180</f>
        <v>타일 공사</v>
      </c>
      <c r="C41" s="46"/>
      <c r="D41" s="48"/>
      <c r="E41" s="48" t="s">
        <v>34</v>
      </c>
      <c r="F41" s="240">
        <v>1</v>
      </c>
      <c r="G41" s="50"/>
      <c r="H41" s="50">
        <f>H191</f>
        <v>3461600</v>
      </c>
      <c r="I41" s="50"/>
      <c r="J41" s="50">
        <f>J191</f>
        <v>4176000</v>
      </c>
      <c r="K41" s="50"/>
      <c r="L41" s="51">
        <f>L191</f>
        <v>7637600</v>
      </c>
      <c r="M41" s="175"/>
      <c r="O41" s="241">
        <f t="shared" si="11"/>
        <v>7637600</v>
      </c>
      <c r="P41" s="170"/>
      <c r="Q41" s="337"/>
      <c r="R41" s="337"/>
    </row>
    <row r="42" spans="1:18" ht="18" customHeight="1">
      <c r="A42" s="38" t="s">
        <v>334</v>
      </c>
      <c r="B42" s="10" t="str">
        <f>B193</f>
        <v>도배 공사</v>
      </c>
      <c r="C42" s="9"/>
      <c r="D42" s="4"/>
      <c r="E42" s="4" t="s">
        <v>34</v>
      </c>
      <c r="F42" s="23">
        <v>1</v>
      </c>
      <c r="G42" s="24"/>
      <c r="H42" s="24">
        <f>H198</f>
        <v>2872100</v>
      </c>
      <c r="I42" s="24"/>
      <c r="J42" s="24">
        <f>J198</f>
        <v>2984000</v>
      </c>
      <c r="K42" s="24"/>
      <c r="L42" s="25">
        <f>L198</f>
        <v>5856100</v>
      </c>
      <c r="M42" s="176"/>
      <c r="O42" s="207">
        <f t="shared" si="11"/>
        <v>5856100</v>
      </c>
    </row>
    <row r="43" spans="1:18" ht="18" customHeight="1">
      <c r="A43" s="38" t="s">
        <v>21</v>
      </c>
      <c r="B43" s="10" t="str">
        <f>B200</f>
        <v>도장 공사</v>
      </c>
      <c r="C43" s="9"/>
      <c r="D43" s="4"/>
      <c r="E43" s="4" t="s">
        <v>34</v>
      </c>
      <c r="F43" s="23">
        <v>1</v>
      </c>
      <c r="G43" s="24"/>
      <c r="H43" s="24">
        <f>H205</f>
        <v>600000</v>
      </c>
      <c r="I43" s="24"/>
      <c r="J43" s="24">
        <f>J205</f>
        <v>720000</v>
      </c>
      <c r="K43" s="24"/>
      <c r="L43" s="25">
        <f>L205</f>
        <v>1320000</v>
      </c>
      <c r="M43" s="176"/>
      <c r="O43" s="207">
        <f t="shared" si="11"/>
        <v>1320000</v>
      </c>
    </row>
    <row r="44" spans="1:18" ht="18" customHeight="1">
      <c r="A44" s="38" t="s">
        <v>27</v>
      </c>
      <c r="B44" s="10" t="str">
        <f>B207</f>
        <v>마루 공사</v>
      </c>
      <c r="C44" s="9"/>
      <c r="D44" s="4"/>
      <c r="E44" s="4" t="s">
        <v>34</v>
      </c>
      <c r="F44" s="23">
        <v>1</v>
      </c>
      <c r="G44" s="24"/>
      <c r="H44" s="24">
        <f>H210</f>
        <v>8078400</v>
      </c>
      <c r="I44" s="24"/>
      <c r="J44" s="24">
        <f>J210</f>
        <v>0</v>
      </c>
      <c r="K44" s="24"/>
      <c r="L44" s="25">
        <f>L210</f>
        <v>8078400</v>
      </c>
      <c r="M44" s="176"/>
      <c r="O44" s="207">
        <f t="shared" si="11"/>
        <v>8078400</v>
      </c>
    </row>
    <row r="45" spans="1:18" ht="18" customHeight="1">
      <c r="A45" s="38" t="s">
        <v>28</v>
      </c>
      <c r="B45" s="10" t="str">
        <f>B212</f>
        <v>목공사</v>
      </c>
      <c r="C45" s="9"/>
      <c r="D45" s="4"/>
      <c r="E45" s="4" t="s">
        <v>34</v>
      </c>
      <c r="F45" s="23">
        <v>1</v>
      </c>
      <c r="G45" s="24"/>
      <c r="H45" s="24">
        <f>H254</f>
        <v>9068000</v>
      </c>
      <c r="I45" s="24"/>
      <c r="J45" s="24">
        <f>J254</f>
        <v>10458000</v>
      </c>
      <c r="K45" s="24"/>
      <c r="L45" s="25">
        <f>L254</f>
        <v>19526000</v>
      </c>
      <c r="M45" s="176"/>
      <c r="O45" s="207">
        <f>H45+J45</f>
        <v>19526000</v>
      </c>
    </row>
    <row r="46" spans="1:18" ht="18" customHeight="1">
      <c r="A46" s="38"/>
      <c r="B46" s="10"/>
      <c r="C46" s="9"/>
      <c r="D46" s="4"/>
      <c r="E46" s="4"/>
      <c r="F46" s="26"/>
      <c r="G46" s="24"/>
      <c r="H46" s="24"/>
      <c r="I46" s="24"/>
      <c r="J46" s="24"/>
      <c r="K46" s="24"/>
      <c r="L46" s="25"/>
      <c r="M46" s="176"/>
    </row>
    <row r="47" spans="1:18" s="33" customFormat="1" ht="18" customHeight="1">
      <c r="A47" s="27"/>
      <c r="B47" s="28" t="s">
        <v>33</v>
      </c>
      <c r="C47" s="27"/>
      <c r="D47" s="29"/>
      <c r="E47" s="29"/>
      <c r="F47" s="30"/>
      <c r="G47" s="31"/>
      <c r="H47" s="31">
        <f>SUM(H35:H46)</f>
        <v>53339900</v>
      </c>
      <c r="I47" s="31"/>
      <c r="J47" s="31">
        <f>SUM(J35:J46)</f>
        <v>35967800</v>
      </c>
      <c r="K47" s="31"/>
      <c r="L47" s="32">
        <f>SUM(L35:L46)</f>
        <v>89300700</v>
      </c>
      <c r="M47" s="260"/>
      <c r="O47" s="164"/>
      <c r="P47" s="169"/>
      <c r="Q47" s="337"/>
      <c r="R47" s="337"/>
    </row>
    <row r="48" spans="1:18" ht="18" customHeight="1">
      <c r="A48" s="9"/>
      <c r="B48" s="10"/>
      <c r="C48" s="9"/>
      <c r="D48" s="4"/>
      <c r="E48" s="4"/>
      <c r="F48" s="26"/>
      <c r="G48" s="24"/>
      <c r="H48" s="24"/>
      <c r="I48" s="24"/>
      <c r="J48" s="24"/>
      <c r="K48" s="24"/>
      <c r="L48" s="25"/>
      <c r="M48" s="176"/>
    </row>
    <row r="49" spans="1:19" ht="18" customHeight="1">
      <c r="A49" s="9"/>
      <c r="B49" s="10"/>
      <c r="C49" s="9"/>
      <c r="D49" s="4"/>
      <c r="E49" s="4"/>
      <c r="F49" s="26"/>
      <c r="G49" s="24"/>
      <c r="H49" s="24"/>
      <c r="I49" s="24"/>
      <c r="J49" s="34"/>
      <c r="K49" s="24"/>
      <c r="L49" s="25"/>
      <c r="M49" s="176"/>
    </row>
    <row r="50" spans="1:19" s="17" customFormat="1" ht="18" customHeight="1">
      <c r="A50" s="39" t="s">
        <v>29</v>
      </c>
      <c r="B50" s="40" t="s">
        <v>342</v>
      </c>
      <c r="C50" s="333"/>
      <c r="D50" s="13"/>
      <c r="E50" s="13"/>
      <c r="F50" s="41"/>
      <c r="G50" s="42"/>
      <c r="H50" s="42"/>
      <c r="I50" s="42"/>
      <c r="J50" s="42"/>
      <c r="K50" s="42"/>
      <c r="L50" s="43"/>
      <c r="M50" s="255"/>
      <c r="N50" s="17" t="s">
        <v>137</v>
      </c>
      <c r="O50" s="163"/>
      <c r="P50" s="168"/>
      <c r="Q50" s="337"/>
      <c r="R50" s="337"/>
    </row>
    <row r="51" spans="1:19" s="317" customFormat="1" ht="18" customHeight="1">
      <c r="A51" s="9" t="s">
        <v>60</v>
      </c>
      <c r="B51" s="315" t="s">
        <v>83</v>
      </c>
      <c r="C51" s="313" t="s">
        <v>227</v>
      </c>
      <c r="D51" s="305"/>
      <c r="E51" s="305" t="s">
        <v>65</v>
      </c>
      <c r="F51" s="320">
        <v>44</v>
      </c>
      <c r="G51" s="311">
        <v>8800</v>
      </c>
      <c r="H51" s="311">
        <f t="shared" ref="H51:H64" si="12">F51*G51</f>
        <v>387200</v>
      </c>
      <c r="I51" s="311">
        <v>18700</v>
      </c>
      <c r="J51" s="311">
        <f t="shared" ref="J51:J64" si="13">F51*I51</f>
        <v>822800</v>
      </c>
      <c r="K51" s="311">
        <f t="shared" ref="K51:K64" si="14">G51+I51</f>
        <v>27500</v>
      </c>
      <c r="L51" s="312">
        <f t="shared" ref="L51:L64" si="15">F51*K51</f>
        <v>1210000</v>
      </c>
      <c r="M51" s="275"/>
      <c r="N51" s="317">
        <v>1400000</v>
      </c>
      <c r="O51" s="318"/>
      <c r="P51" s="319"/>
      <c r="Q51" s="337"/>
      <c r="R51" s="337"/>
    </row>
    <row r="52" spans="1:19" s="317" customFormat="1" ht="18" customHeight="1">
      <c r="A52" s="9" t="s">
        <v>61</v>
      </c>
      <c r="B52" s="315" t="s">
        <v>81</v>
      </c>
      <c r="C52" s="313" t="s">
        <v>207</v>
      </c>
      <c r="D52" s="305"/>
      <c r="E52" s="305" t="s">
        <v>71</v>
      </c>
      <c r="F52" s="320">
        <v>2</v>
      </c>
      <c r="G52" s="311">
        <v>0</v>
      </c>
      <c r="H52" s="311">
        <f t="shared" si="12"/>
        <v>0</v>
      </c>
      <c r="I52" s="311">
        <v>500000</v>
      </c>
      <c r="J52" s="311">
        <f t="shared" si="13"/>
        <v>1000000</v>
      </c>
      <c r="K52" s="311">
        <f t="shared" si="14"/>
        <v>500000</v>
      </c>
      <c r="L52" s="312">
        <f t="shared" si="15"/>
        <v>1000000</v>
      </c>
      <c r="M52" s="275"/>
      <c r="O52" s="318"/>
      <c r="P52" s="319"/>
      <c r="Q52" s="337"/>
      <c r="R52" s="337"/>
    </row>
    <row r="53" spans="1:19" s="276" customFormat="1" ht="18" customHeight="1">
      <c r="A53" s="321" t="s">
        <v>60</v>
      </c>
      <c r="B53" s="270" t="s">
        <v>181</v>
      </c>
      <c r="C53" s="321"/>
      <c r="D53" s="271"/>
      <c r="E53" s="271" t="s">
        <v>11</v>
      </c>
      <c r="F53" s="322">
        <v>60</v>
      </c>
      <c r="G53" s="273">
        <v>5000</v>
      </c>
      <c r="H53" s="273">
        <f t="shared" si="12"/>
        <v>300000</v>
      </c>
      <c r="I53" s="273">
        <v>6000</v>
      </c>
      <c r="J53" s="273">
        <f t="shared" si="13"/>
        <v>360000</v>
      </c>
      <c r="K53" s="273">
        <f t="shared" si="14"/>
        <v>11000</v>
      </c>
      <c r="L53" s="274">
        <f t="shared" si="15"/>
        <v>660000</v>
      </c>
      <c r="M53" s="275"/>
      <c r="O53" s="277"/>
      <c r="P53" s="278"/>
      <c r="Q53" s="337"/>
      <c r="R53" s="337"/>
    </row>
    <row r="54" spans="1:19" s="317" customFormat="1" ht="18" customHeight="1">
      <c r="A54" s="9" t="s">
        <v>60</v>
      </c>
      <c r="B54" s="315" t="s">
        <v>82</v>
      </c>
      <c r="C54" s="313"/>
      <c r="D54" s="305"/>
      <c r="E54" s="305" t="s">
        <v>11</v>
      </c>
      <c r="F54" s="320">
        <v>158</v>
      </c>
      <c r="G54" s="311">
        <v>8000</v>
      </c>
      <c r="H54" s="311">
        <f t="shared" si="12"/>
        <v>1264000</v>
      </c>
      <c r="I54" s="311">
        <v>12000</v>
      </c>
      <c r="J54" s="311">
        <f t="shared" si="13"/>
        <v>1896000</v>
      </c>
      <c r="K54" s="311">
        <f t="shared" si="14"/>
        <v>20000</v>
      </c>
      <c r="L54" s="312">
        <f t="shared" si="15"/>
        <v>3160000</v>
      </c>
      <c r="M54" s="275"/>
      <c r="O54" s="318"/>
      <c r="P54" s="319"/>
      <c r="Q54" s="337"/>
      <c r="R54" s="337"/>
    </row>
    <row r="55" spans="1:19" s="317" customFormat="1" ht="18" customHeight="1">
      <c r="A55" s="9" t="s">
        <v>60</v>
      </c>
      <c r="B55" s="315" t="s">
        <v>188</v>
      </c>
      <c r="C55" s="313"/>
      <c r="D55" s="305"/>
      <c r="E55" s="305" t="s">
        <v>187</v>
      </c>
      <c r="F55" s="320">
        <v>1</v>
      </c>
      <c r="G55" s="311"/>
      <c r="H55" s="311">
        <f t="shared" si="12"/>
        <v>0</v>
      </c>
      <c r="I55" s="311">
        <v>200000</v>
      </c>
      <c r="J55" s="311">
        <f t="shared" si="13"/>
        <v>200000</v>
      </c>
      <c r="K55" s="311">
        <f t="shared" si="14"/>
        <v>200000</v>
      </c>
      <c r="L55" s="312">
        <f t="shared" si="15"/>
        <v>200000</v>
      </c>
      <c r="M55" s="275"/>
      <c r="O55" s="318"/>
      <c r="P55" s="319"/>
      <c r="Q55" s="337">
        <f>120000*1.1</f>
        <v>132000</v>
      </c>
      <c r="R55" s="337"/>
    </row>
    <row r="56" spans="1:19" s="317" customFormat="1" ht="18" customHeight="1">
      <c r="A56" s="9" t="s">
        <v>305</v>
      </c>
      <c r="B56" s="315" t="s">
        <v>306</v>
      </c>
      <c r="C56" s="313"/>
      <c r="D56" s="305"/>
      <c r="E56" s="305" t="s">
        <v>307</v>
      </c>
      <c r="F56" s="320">
        <v>6</v>
      </c>
      <c r="G56" s="311">
        <v>15000</v>
      </c>
      <c r="H56" s="311">
        <f t="shared" si="12"/>
        <v>90000</v>
      </c>
      <c r="I56" s="311">
        <v>60000</v>
      </c>
      <c r="J56" s="311">
        <f t="shared" si="13"/>
        <v>360000</v>
      </c>
      <c r="K56" s="311">
        <f>G56+I56</f>
        <v>75000</v>
      </c>
      <c r="L56" s="312">
        <f>F56*K56</f>
        <v>450000</v>
      </c>
      <c r="M56" s="275"/>
      <c r="O56" s="318"/>
      <c r="P56" s="319"/>
      <c r="Q56" s="337"/>
      <c r="R56" s="337"/>
    </row>
    <row r="57" spans="1:19" s="362" customFormat="1" ht="18" customHeight="1">
      <c r="A57" s="9" t="s">
        <v>411</v>
      </c>
      <c r="B57" s="315" t="s">
        <v>219</v>
      </c>
      <c r="C57" s="313"/>
      <c r="D57" s="359"/>
      <c r="E57" s="359" t="s">
        <v>412</v>
      </c>
      <c r="F57" s="360">
        <v>1</v>
      </c>
      <c r="G57" s="311">
        <v>1000000</v>
      </c>
      <c r="H57" s="311">
        <f t="shared" si="12"/>
        <v>1000000</v>
      </c>
      <c r="I57" s="311">
        <v>0</v>
      </c>
      <c r="J57" s="311">
        <f t="shared" ref="J57" si="16">F57*I57</f>
        <v>0</v>
      </c>
      <c r="K57" s="311">
        <f t="shared" ref="K57" si="17">G57+I57</f>
        <v>1000000</v>
      </c>
      <c r="L57" s="312">
        <f t="shared" ref="L57" si="18">F57*K57</f>
        <v>1000000</v>
      </c>
      <c r="M57" s="361"/>
      <c r="O57" s="363"/>
      <c r="P57" s="364"/>
      <c r="Q57" s="365"/>
      <c r="R57" s="365"/>
    </row>
    <row r="58" spans="1:19" s="317" customFormat="1" ht="18" customHeight="1">
      <c r="A58" s="9"/>
      <c r="B58" s="315"/>
      <c r="C58" s="313"/>
      <c r="D58" s="305"/>
      <c r="E58" s="305"/>
      <c r="F58" s="320"/>
      <c r="G58" s="311"/>
      <c r="H58" s="311"/>
      <c r="I58" s="311"/>
      <c r="J58" s="311"/>
      <c r="K58" s="311"/>
      <c r="L58" s="312"/>
      <c r="M58" s="275"/>
      <c r="O58" s="318"/>
      <c r="P58" s="319"/>
      <c r="Q58" s="337"/>
      <c r="R58" s="337"/>
    </row>
    <row r="59" spans="1:19" s="17" customFormat="1" ht="18" customHeight="1">
      <c r="A59" s="11"/>
      <c r="B59" s="11" t="s">
        <v>13</v>
      </c>
      <c r="C59" s="11"/>
      <c r="D59" s="13"/>
      <c r="E59" s="13"/>
      <c r="F59" s="45"/>
      <c r="G59" s="42"/>
      <c r="H59" s="42">
        <f>SUM(H51:H57)</f>
        <v>3041200</v>
      </c>
      <c r="I59" s="42"/>
      <c r="J59" s="42">
        <f>SUM(J51:J57)</f>
        <v>4638800</v>
      </c>
      <c r="K59" s="42"/>
      <c r="L59" s="43">
        <f>SUM(L51:L57)</f>
        <v>7680000</v>
      </c>
      <c r="M59" s="176"/>
      <c r="O59" s="163"/>
      <c r="P59" s="168"/>
      <c r="Q59" s="337"/>
      <c r="R59" s="337"/>
    </row>
    <row r="60" spans="1:19" s="317" customFormat="1" ht="18" customHeight="1">
      <c r="A60" s="9"/>
      <c r="B60" s="315"/>
      <c r="C60" s="313"/>
      <c r="D60" s="305"/>
      <c r="E60" s="305"/>
      <c r="F60" s="320"/>
      <c r="G60" s="311"/>
      <c r="H60" s="311"/>
      <c r="I60" s="311"/>
      <c r="J60" s="311"/>
      <c r="K60" s="311"/>
      <c r="L60" s="312"/>
      <c r="M60" s="275"/>
      <c r="O60" s="318"/>
      <c r="P60" s="319"/>
      <c r="Q60" s="337"/>
      <c r="R60" s="337"/>
    </row>
    <row r="61" spans="1:19" s="17" customFormat="1" ht="18" customHeight="1">
      <c r="A61" s="39" t="s">
        <v>30</v>
      </c>
      <c r="B61" s="40" t="s">
        <v>343</v>
      </c>
      <c r="C61" s="333"/>
      <c r="D61" s="13"/>
      <c r="E61" s="13"/>
      <c r="F61" s="41"/>
      <c r="G61" s="42"/>
      <c r="H61" s="42"/>
      <c r="I61" s="42"/>
      <c r="J61" s="42"/>
      <c r="K61" s="42"/>
      <c r="L61" s="43"/>
      <c r="M61" s="255"/>
      <c r="N61" s="17" t="s">
        <v>137</v>
      </c>
      <c r="O61" s="163"/>
      <c r="P61" s="168"/>
      <c r="Q61" s="337"/>
      <c r="R61" s="337"/>
    </row>
    <row r="62" spans="1:19" s="317" customFormat="1" ht="18" customHeight="1">
      <c r="A62" s="9" t="s">
        <v>85</v>
      </c>
      <c r="B62" s="315" t="s">
        <v>368</v>
      </c>
      <c r="C62" s="313" t="s">
        <v>324</v>
      </c>
      <c r="D62" s="305"/>
      <c r="E62" s="305" t="s">
        <v>325</v>
      </c>
      <c r="F62" s="320">
        <v>2</v>
      </c>
      <c r="G62" s="311">
        <v>150000</v>
      </c>
      <c r="H62" s="311">
        <f t="shared" ref="H62:H63" si="19">F62*G62</f>
        <v>300000</v>
      </c>
      <c r="I62" s="311">
        <v>300000</v>
      </c>
      <c r="J62" s="311">
        <f t="shared" si="13"/>
        <v>600000</v>
      </c>
      <c r="K62" s="311">
        <f t="shared" si="14"/>
        <v>450000</v>
      </c>
      <c r="L62" s="312">
        <f t="shared" si="15"/>
        <v>900000</v>
      </c>
      <c r="M62" s="275"/>
      <c r="O62" s="318"/>
      <c r="P62" s="319"/>
      <c r="Q62" s="337"/>
      <c r="R62" s="337"/>
      <c r="S62" s="317">
        <v>7680000</v>
      </c>
    </row>
    <row r="63" spans="1:19" s="317" customFormat="1" ht="18" customHeight="1">
      <c r="A63" s="9" t="s">
        <v>220</v>
      </c>
      <c r="B63" s="315" t="s">
        <v>223</v>
      </c>
      <c r="C63" s="313" t="s">
        <v>224</v>
      </c>
      <c r="D63" s="305"/>
      <c r="E63" s="305" t="s">
        <v>225</v>
      </c>
      <c r="F63" s="320">
        <v>5</v>
      </c>
      <c r="G63" s="311">
        <v>80000</v>
      </c>
      <c r="H63" s="311">
        <f t="shared" si="19"/>
        <v>400000</v>
      </c>
      <c r="I63" s="311">
        <v>30000</v>
      </c>
      <c r="J63" s="311">
        <f t="shared" si="13"/>
        <v>150000</v>
      </c>
      <c r="K63" s="311">
        <f t="shared" si="14"/>
        <v>110000</v>
      </c>
      <c r="L63" s="312">
        <f t="shared" si="15"/>
        <v>550000</v>
      </c>
      <c r="M63" s="275"/>
      <c r="O63" s="318"/>
      <c r="P63" s="319"/>
      <c r="Q63" s="337"/>
      <c r="R63" s="337"/>
      <c r="S63" s="317">
        <v>5751600</v>
      </c>
    </row>
    <row r="64" spans="1:19" s="317" customFormat="1" ht="18" customHeight="1">
      <c r="A64" s="9" t="s">
        <v>86</v>
      </c>
      <c r="B64" s="315" t="s">
        <v>84</v>
      </c>
      <c r="C64" s="313" t="s">
        <v>152</v>
      </c>
      <c r="D64" s="305"/>
      <c r="E64" s="305" t="s">
        <v>173</v>
      </c>
      <c r="F64" s="320">
        <v>2</v>
      </c>
      <c r="G64" s="311">
        <v>50000</v>
      </c>
      <c r="H64" s="311">
        <f t="shared" si="12"/>
        <v>100000</v>
      </c>
      <c r="I64" s="311">
        <v>150000</v>
      </c>
      <c r="J64" s="311">
        <f t="shared" si="13"/>
        <v>300000</v>
      </c>
      <c r="K64" s="311">
        <f t="shared" si="14"/>
        <v>200000</v>
      </c>
      <c r="L64" s="312">
        <f t="shared" si="15"/>
        <v>400000</v>
      </c>
      <c r="M64" s="275"/>
      <c r="O64" s="318"/>
      <c r="P64" s="319"/>
      <c r="Q64" s="337"/>
      <c r="R64" s="337"/>
      <c r="S64" s="317">
        <v>2480000</v>
      </c>
    </row>
    <row r="65" spans="1:20" ht="18" customHeight="1">
      <c r="A65" s="9"/>
      <c r="B65" s="10"/>
      <c r="C65" s="9"/>
      <c r="D65" s="4"/>
      <c r="E65" s="4"/>
      <c r="F65" s="44"/>
      <c r="G65" s="24"/>
      <c r="H65" s="24"/>
      <c r="I65" s="24"/>
      <c r="J65" s="24"/>
      <c r="K65" s="24"/>
      <c r="L65" s="25"/>
      <c r="M65" s="176"/>
      <c r="S65" s="8">
        <v>4176000</v>
      </c>
    </row>
    <row r="66" spans="1:20" s="17" customFormat="1" ht="18" customHeight="1">
      <c r="A66" s="11"/>
      <c r="B66" s="11" t="s">
        <v>13</v>
      </c>
      <c r="C66" s="11"/>
      <c r="D66" s="13"/>
      <c r="E66" s="13"/>
      <c r="F66" s="45"/>
      <c r="G66" s="42"/>
      <c r="H66" s="42">
        <f>SUM(H62:H64)</f>
        <v>800000</v>
      </c>
      <c r="I66" s="42"/>
      <c r="J66" s="42">
        <f>SUM(J62:J64)</f>
        <v>1050000</v>
      </c>
      <c r="K66" s="42"/>
      <c r="L66" s="43">
        <f>SUM(L62:L64)</f>
        <v>1850000</v>
      </c>
      <c r="M66" s="176"/>
      <c r="O66" s="163"/>
      <c r="P66" s="168"/>
      <c r="Q66" s="337"/>
      <c r="R66" s="337"/>
      <c r="S66" s="17">
        <v>10458000</v>
      </c>
    </row>
    <row r="67" spans="1:20" ht="18" customHeight="1">
      <c r="A67" s="11"/>
      <c r="B67" s="12"/>
      <c r="C67" s="9"/>
      <c r="D67" s="4"/>
      <c r="E67" s="4"/>
      <c r="F67" s="44"/>
      <c r="G67" s="24"/>
      <c r="H67" s="24"/>
      <c r="I67" s="24"/>
      <c r="J67" s="24"/>
      <c r="K67" s="24"/>
      <c r="L67" s="25"/>
      <c r="M67" s="176"/>
    </row>
    <row r="68" spans="1:20" s="17" customFormat="1" ht="18" customHeight="1">
      <c r="A68" s="39" t="s">
        <v>329</v>
      </c>
      <c r="B68" s="40" t="s">
        <v>87</v>
      </c>
      <c r="C68" s="333"/>
      <c r="D68" s="13"/>
      <c r="E68" s="13"/>
      <c r="F68" s="45"/>
      <c r="G68" s="42"/>
      <c r="H68" s="42"/>
      <c r="I68" s="42"/>
      <c r="J68" s="42"/>
      <c r="K68" s="42"/>
      <c r="L68" s="43"/>
      <c r="M68" s="176"/>
      <c r="O68" s="163"/>
      <c r="P68" s="168"/>
      <c r="Q68" s="337"/>
      <c r="R68" s="337"/>
      <c r="S68" s="414">
        <f>121100000*1.1</f>
        <v>133210000.00000001</v>
      </c>
    </row>
    <row r="69" spans="1:20" s="52" customFormat="1" ht="18" customHeight="1">
      <c r="A69" s="46">
        <v>-1</v>
      </c>
      <c r="B69" s="47" t="s">
        <v>89</v>
      </c>
      <c r="C69" s="46"/>
      <c r="D69" s="48"/>
      <c r="E69" s="48"/>
      <c r="F69" s="49"/>
      <c r="G69" s="50"/>
      <c r="H69" s="50"/>
      <c r="I69" s="50"/>
      <c r="J69" s="50"/>
      <c r="K69" s="50"/>
      <c r="L69" s="51"/>
      <c r="M69" s="176"/>
      <c r="O69" s="165"/>
      <c r="P69" s="170"/>
      <c r="Q69" s="337"/>
      <c r="R69" s="337"/>
      <c r="S69" s="391">
        <f>SUM(S62:S66)</f>
        <v>30545600</v>
      </c>
    </row>
    <row r="70" spans="1:20" s="52" customFormat="1" ht="18" customHeight="1">
      <c r="A70" s="53" t="s">
        <v>162</v>
      </c>
      <c r="B70" s="47" t="s">
        <v>88</v>
      </c>
      <c r="C70" s="53"/>
      <c r="D70" s="48"/>
      <c r="E70" s="48" t="s">
        <v>161</v>
      </c>
      <c r="F70" s="54">
        <v>1</v>
      </c>
      <c r="G70" s="50">
        <v>90000</v>
      </c>
      <c r="H70" s="50">
        <f t="shared" ref="H70:H76" si="20">F70*G70</f>
        <v>90000</v>
      </c>
      <c r="I70" s="50">
        <v>150000</v>
      </c>
      <c r="J70" s="50">
        <f t="shared" ref="J70:J76" si="21">F70*I70</f>
        <v>150000</v>
      </c>
      <c r="K70" s="50">
        <f t="shared" ref="K70:K76" si="22">G70+I70</f>
        <v>240000</v>
      </c>
      <c r="L70" s="51">
        <f t="shared" ref="L70:L76" si="23">F70*K70</f>
        <v>240000</v>
      </c>
      <c r="M70" s="176"/>
      <c r="O70" s="165"/>
      <c r="P70" s="170"/>
      <c r="Q70" s="337"/>
      <c r="R70" s="337"/>
      <c r="S70" s="392">
        <f>S68-S69</f>
        <v>102664400.00000001</v>
      </c>
    </row>
    <row r="71" spans="1:20" s="52" customFormat="1" ht="18" customHeight="1">
      <c r="A71" s="53" t="s">
        <v>423</v>
      </c>
      <c r="B71" s="47" t="s">
        <v>226</v>
      </c>
      <c r="C71" s="53" t="s">
        <v>373</v>
      </c>
      <c r="D71" s="48"/>
      <c r="E71" s="48" t="s">
        <v>11</v>
      </c>
      <c r="F71" s="54">
        <v>32</v>
      </c>
      <c r="G71" s="50">
        <v>13500</v>
      </c>
      <c r="H71" s="50">
        <f>F71*G71</f>
        <v>432000</v>
      </c>
      <c r="I71" s="50">
        <v>16500</v>
      </c>
      <c r="J71" s="50">
        <f>F71*I71</f>
        <v>528000</v>
      </c>
      <c r="K71" s="50">
        <f>G71+I71</f>
        <v>30000</v>
      </c>
      <c r="L71" s="25">
        <f>F71*K71</f>
        <v>960000</v>
      </c>
      <c r="M71" s="175"/>
      <c r="O71" s="165">
        <f>73+4+2</f>
        <v>79</v>
      </c>
      <c r="P71" s="170"/>
      <c r="Q71" s="337"/>
      <c r="R71" s="337"/>
    </row>
    <row r="72" spans="1:20" s="52" customFormat="1" ht="18" customHeight="1">
      <c r="A72" s="53" t="s">
        <v>370</v>
      </c>
      <c r="B72" s="47" t="s">
        <v>371</v>
      </c>
      <c r="C72" s="53" t="s">
        <v>375</v>
      </c>
      <c r="D72" s="48"/>
      <c r="E72" s="48" t="s">
        <v>372</v>
      </c>
      <c r="F72" s="54">
        <v>2</v>
      </c>
      <c r="G72" s="50">
        <v>70000</v>
      </c>
      <c r="H72" s="24">
        <f t="shared" si="20"/>
        <v>140000</v>
      </c>
      <c r="I72" s="50">
        <v>50000</v>
      </c>
      <c r="J72" s="24">
        <f>F72*I72</f>
        <v>100000</v>
      </c>
      <c r="K72" s="24">
        <f>G72+I72</f>
        <v>120000</v>
      </c>
      <c r="L72" s="25">
        <f>F72*K72</f>
        <v>240000</v>
      </c>
      <c r="M72" s="176"/>
      <c r="O72" s="165"/>
      <c r="P72" s="170"/>
      <c r="Q72" s="337"/>
      <c r="R72" s="337"/>
    </row>
    <row r="73" spans="1:20" ht="18" customHeight="1">
      <c r="A73" s="171" t="s">
        <v>162</v>
      </c>
      <c r="B73" s="10" t="s">
        <v>157</v>
      </c>
      <c r="C73" s="171" t="s">
        <v>374</v>
      </c>
      <c r="D73" s="48"/>
      <c r="E73" s="4" t="s">
        <v>39</v>
      </c>
      <c r="F73" s="172">
        <v>56</v>
      </c>
      <c r="G73" s="24">
        <v>13000</v>
      </c>
      <c r="H73" s="24">
        <f t="shared" si="20"/>
        <v>728000</v>
      </c>
      <c r="I73" s="24">
        <v>16500</v>
      </c>
      <c r="J73" s="24">
        <f t="shared" si="21"/>
        <v>924000</v>
      </c>
      <c r="K73" s="24">
        <f t="shared" si="22"/>
        <v>29500</v>
      </c>
      <c r="L73" s="25">
        <f t="shared" si="23"/>
        <v>1652000</v>
      </c>
      <c r="M73" s="176"/>
      <c r="O73" s="162">
        <f>(5*7)</f>
        <v>35</v>
      </c>
      <c r="S73" s="393">
        <f>S68-S62-S63-S64-S65-S66-S69</f>
        <v>72118800.000000015</v>
      </c>
      <c r="T73" s="413">
        <v>5000000</v>
      </c>
    </row>
    <row r="74" spans="1:20" s="52" customFormat="1" ht="18" customHeight="1">
      <c r="A74" s="53" t="s">
        <v>376</v>
      </c>
      <c r="B74" s="47" t="s">
        <v>377</v>
      </c>
      <c r="C74" s="53" t="s">
        <v>385</v>
      </c>
      <c r="D74" s="48"/>
      <c r="E74" s="48" t="s">
        <v>372</v>
      </c>
      <c r="F74" s="54">
        <v>3</v>
      </c>
      <c r="G74" s="50">
        <v>30000</v>
      </c>
      <c r="H74" s="24">
        <f t="shared" si="20"/>
        <v>90000</v>
      </c>
      <c r="I74" s="50">
        <v>30000</v>
      </c>
      <c r="J74" s="24">
        <f t="shared" si="21"/>
        <v>90000</v>
      </c>
      <c r="K74" s="50">
        <f t="shared" si="22"/>
        <v>60000</v>
      </c>
      <c r="L74" s="25">
        <f t="shared" si="23"/>
        <v>180000</v>
      </c>
      <c r="M74" s="176"/>
      <c r="O74" s="165"/>
      <c r="P74" s="170"/>
      <c r="Q74" s="337"/>
      <c r="R74" s="337"/>
      <c r="S74" s="392">
        <f>S73*0.5</f>
        <v>36059400.000000007</v>
      </c>
      <c r="T74" s="392">
        <f>S74-5000000</f>
        <v>31059400.000000007</v>
      </c>
    </row>
    <row r="75" spans="1:20" s="52" customFormat="1" ht="18" customHeight="1">
      <c r="A75" s="53" t="s">
        <v>370</v>
      </c>
      <c r="B75" s="47" t="s">
        <v>378</v>
      </c>
      <c r="C75" s="53" t="s">
        <v>379</v>
      </c>
      <c r="D75" s="48"/>
      <c r="E75" s="48" t="s">
        <v>380</v>
      </c>
      <c r="F75" s="54">
        <v>230</v>
      </c>
      <c r="G75" s="50">
        <v>2200</v>
      </c>
      <c r="H75" s="50">
        <f t="shared" si="20"/>
        <v>506000</v>
      </c>
      <c r="I75" s="50">
        <v>6600</v>
      </c>
      <c r="J75" s="50">
        <f>F75*I75</f>
        <v>1518000</v>
      </c>
      <c r="K75" s="50">
        <f>G75+I75</f>
        <v>8800</v>
      </c>
      <c r="L75" s="25">
        <f>F75*K75</f>
        <v>2024000</v>
      </c>
      <c r="M75" s="176"/>
      <c r="O75" s="165"/>
      <c r="P75" s="170"/>
      <c r="Q75" s="337"/>
      <c r="R75" s="337"/>
      <c r="S75" s="391">
        <f>S73*0.4</f>
        <v>28847520.000000007</v>
      </c>
    </row>
    <row r="76" spans="1:20" s="356" customFormat="1" ht="18" customHeight="1">
      <c r="A76" s="171" t="s">
        <v>260</v>
      </c>
      <c r="B76" s="10" t="s">
        <v>273</v>
      </c>
      <c r="C76" s="171" t="s">
        <v>274</v>
      </c>
      <c r="D76" s="353" t="s">
        <v>250</v>
      </c>
      <c r="E76" s="353" t="s">
        <v>356</v>
      </c>
      <c r="F76" s="354">
        <v>68</v>
      </c>
      <c r="G76" s="24">
        <v>2200</v>
      </c>
      <c r="H76" s="24">
        <f t="shared" si="20"/>
        <v>149600</v>
      </c>
      <c r="I76" s="24">
        <v>4500</v>
      </c>
      <c r="J76" s="24">
        <f t="shared" si="21"/>
        <v>306000</v>
      </c>
      <c r="K76" s="24">
        <f t="shared" si="22"/>
        <v>6700</v>
      </c>
      <c r="L76" s="25">
        <f t="shared" si="23"/>
        <v>455600</v>
      </c>
      <c r="M76" s="355"/>
      <c r="O76" s="357"/>
      <c r="P76" s="358"/>
      <c r="Q76" s="339"/>
      <c r="R76" s="339"/>
      <c r="S76" s="412">
        <f>S73*0.1</f>
        <v>7211880.0000000019</v>
      </c>
    </row>
    <row r="77" spans="1:20" s="52" customFormat="1" ht="18" customHeight="1">
      <c r="A77" s="46"/>
      <c r="B77" s="47"/>
      <c r="C77" s="46"/>
      <c r="D77" s="48"/>
      <c r="E77" s="48"/>
      <c r="F77" s="49"/>
      <c r="G77" s="50"/>
      <c r="H77" s="50"/>
      <c r="I77" s="50"/>
      <c r="J77" s="50"/>
      <c r="K77" s="50"/>
      <c r="L77" s="51"/>
      <c r="M77" s="176"/>
      <c r="O77" s="165"/>
      <c r="P77" s="170"/>
      <c r="Q77" s="337"/>
      <c r="R77" s="337"/>
    </row>
    <row r="78" spans="1:20" s="246" customFormat="1" ht="18" customHeight="1">
      <c r="A78" s="242"/>
      <c r="B78" s="242" t="s">
        <v>13</v>
      </c>
      <c r="C78" s="242"/>
      <c r="D78" s="243"/>
      <c r="E78" s="243"/>
      <c r="F78" s="244"/>
      <c r="G78" s="245"/>
      <c r="H78" s="245">
        <f>SUM(H70:H77)</f>
        <v>2135600</v>
      </c>
      <c r="I78" s="245"/>
      <c r="J78" s="245">
        <f>SUM(J70:J77)</f>
        <v>3616000</v>
      </c>
      <c r="K78" s="245"/>
      <c r="L78" s="42">
        <f>SUM(L70:L77)</f>
        <v>5751600</v>
      </c>
      <c r="M78" s="175"/>
      <c r="O78" s="247"/>
      <c r="P78" s="248"/>
      <c r="Q78" s="337"/>
      <c r="R78" s="337"/>
    </row>
    <row r="79" spans="1:20" ht="18" customHeight="1">
      <c r="A79" s="9"/>
      <c r="B79" s="10"/>
      <c r="C79" s="9"/>
      <c r="D79" s="4"/>
      <c r="E79" s="4"/>
      <c r="F79" s="44"/>
      <c r="G79" s="24"/>
      <c r="H79" s="24"/>
      <c r="I79" s="24"/>
      <c r="J79" s="24"/>
      <c r="K79" s="24"/>
      <c r="L79" s="25"/>
      <c r="M79" s="176"/>
    </row>
    <row r="80" spans="1:20" s="17" customFormat="1" ht="18" customHeight="1">
      <c r="A80" s="39" t="s">
        <v>330</v>
      </c>
      <c r="B80" s="40" t="s">
        <v>92</v>
      </c>
      <c r="C80" s="333"/>
      <c r="D80" s="13"/>
      <c r="E80" s="13"/>
      <c r="F80" s="45"/>
      <c r="G80" s="42"/>
      <c r="H80" s="42"/>
      <c r="I80" s="42"/>
      <c r="J80" s="42"/>
      <c r="K80" s="42"/>
      <c r="L80" s="43"/>
      <c r="M80" s="176"/>
      <c r="O80" s="163"/>
      <c r="P80" s="168"/>
      <c r="Q80" s="337"/>
      <c r="R80" s="337"/>
    </row>
    <row r="81" spans="1:18" s="286" customFormat="1" ht="18" customHeight="1">
      <c r="A81" s="390">
        <v>-1</v>
      </c>
      <c r="B81" s="280" t="s">
        <v>457</v>
      </c>
      <c r="C81" s="390" t="s">
        <v>458</v>
      </c>
      <c r="D81" s="281"/>
      <c r="E81" s="281" t="s">
        <v>437</v>
      </c>
      <c r="F81" s="282">
        <v>5</v>
      </c>
      <c r="G81" s="283">
        <v>20000</v>
      </c>
      <c r="H81" s="283">
        <f>F81*G81</f>
        <v>100000</v>
      </c>
      <c r="I81" s="283">
        <v>5000</v>
      </c>
      <c r="J81" s="283">
        <f>F81*I81</f>
        <v>25000</v>
      </c>
      <c r="K81" s="283">
        <f>G81+I81</f>
        <v>25000</v>
      </c>
      <c r="L81" s="284">
        <v>0</v>
      </c>
      <c r="M81" s="285" t="s">
        <v>442</v>
      </c>
      <c r="O81" s="287"/>
      <c r="P81" s="288"/>
      <c r="Q81" s="411"/>
      <c r="R81" s="411"/>
    </row>
    <row r="82" spans="1:18" s="404" customFormat="1" ht="18" customHeight="1">
      <c r="A82" s="407">
        <v>-1</v>
      </c>
      <c r="B82" s="399" t="s">
        <v>94</v>
      </c>
      <c r="C82" s="407"/>
      <c r="D82" s="400"/>
      <c r="E82" s="400"/>
      <c r="F82" s="410"/>
      <c r="G82" s="402"/>
      <c r="H82" s="402"/>
      <c r="I82" s="402"/>
      <c r="J82" s="402"/>
      <c r="K82" s="402"/>
      <c r="L82" s="403"/>
      <c r="M82" s="330"/>
      <c r="O82" s="405"/>
      <c r="P82" s="406"/>
      <c r="Q82" s="337"/>
      <c r="R82" s="337"/>
    </row>
    <row r="83" spans="1:18" s="52" customFormat="1" ht="18" customHeight="1">
      <c r="A83" s="53" t="s">
        <v>12</v>
      </c>
      <c r="B83" s="47" t="s">
        <v>95</v>
      </c>
      <c r="C83" s="53"/>
      <c r="D83" s="48"/>
      <c r="E83" s="48" t="s">
        <v>93</v>
      </c>
      <c r="F83" s="54">
        <v>6</v>
      </c>
      <c r="G83" s="50">
        <v>120000</v>
      </c>
      <c r="H83" s="50">
        <f>F83*G83</f>
        <v>720000</v>
      </c>
      <c r="I83" s="50">
        <v>30000</v>
      </c>
      <c r="J83" s="50">
        <f>F83*I83</f>
        <v>180000</v>
      </c>
      <c r="K83" s="50">
        <f>G83+I83</f>
        <v>150000</v>
      </c>
      <c r="L83" s="51">
        <f>F83*K83</f>
        <v>900000</v>
      </c>
      <c r="M83" s="176"/>
      <c r="O83" s="165">
        <f>2.5+21</f>
        <v>23.5</v>
      </c>
      <c r="P83" s="170"/>
      <c r="Q83" s="337"/>
      <c r="R83" s="337"/>
    </row>
    <row r="84" spans="1:18" s="286" customFormat="1" ht="18" customHeight="1">
      <c r="A84" s="267" t="s">
        <v>460</v>
      </c>
      <c r="B84" s="280" t="s">
        <v>461</v>
      </c>
      <c r="C84" s="267"/>
      <c r="D84" s="281"/>
      <c r="E84" s="281" t="s">
        <v>36</v>
      </c>
      <c r="F84" s="282">
        <v>1</v>
      </c>
      <c r="G84" s="283">
        <v>120000</v>
      </c>
      <c r="H84" s="283">
        <f>F84*G84</f>
        <v>120000</v>
      </c>
      <c r="I84" s="283">
        <v>0</v>
      </c>
      <c r="J84" s="283">
        <v>0</v>
      </c>
      <c r="K84" s="283">
        <f>G84+I84</f>
        <v>120000</v>
      </c>
      <c r="L84" s="284">
        <f>F84*K84</f>
        <v>120000</v>
      </c>
      <c r="M84" s="285"/>
      <c r="O84" s="287"/>
      <c r="P84" s="288"/>
      <c r="Q84" s="351"/>
      <c r="R84" s="351"/>
    </row>
    <row r="85" spans="1:18" s="52" customFormat="1" ht="18" customHeight="1">
      <c r="A85" s="53" t="s">
        <v>435</v>
      </c>
      <c r="B85" s="47" t="s">
        <v>454</v>
      </c>
      <c r="C85" s="53"/>
      <c r="D85" s="48"/>
      <c r="E85" s="48" t="s">
        <v>455</v>
      </c>
      <c r="F85" s="54">
        <v>2</v>
      </c>
      <c r="G85" s="50">
        <v>150000</v>
      </c>
      <c r="H85" s="50">
        <f>F85*G85</f>
        <v>300000</v>
      </c>
      <c r="I85" s="50">
        <v>30000</v>
      </c>
      <c r="J85" s="50">
        <f>F85*I85</f>
        <v>60000</v>
      </c>
      <c r="K85" s="50">
        <f>G85+I85</f>
        <v>180000</v>
      </c>
      <c r="L85" s="51">
        <f>F85*K85</f>
        <v>360000</v>
      </c>
      <c r="M85" s="176"/>
      <c r="O85" s="165"/>
      <c r="P85" s="170"/>
      <c r="Q85" s="337"/>
      <c r="R85" s="337"/>
    </row>
    <row r="86" spans="1:18" s="404" customFormat="1" ht="18" customHeight="1">
      <c r="A86" s="407">
        <v>-1</v>
      </c>
      <c r="B86" s="399" t="s">
        <v>253</v>
      </c>
      <c r="C86" s="407"/>
      <c r="D86" s="400"/>
      <c r="E86" s="400"/>
      <c r="F86" s="410"/>
      <c r="G86" s="402"/>
      <c r="H86" s="402"/>
      <c r="I86" s="402"/>
      <c r="J86" s="402"/>
      <c r="K86" s="402"/>
      <c r="L86" s="403"/>
      <c r="M86" s="330"/>
      <c r="O86" s="405"/>
      <c r="P86" s="406"/>
      <c r="Q86" s="337"/>
      <c r="R86" s="337"/>
    </row>
    <row r="87" spans="1:18" s="52" customFormat="1" ht="18" customHeight="1">
      <c r="A87" s="53" t="s">
        <v>162</v>
      </c>
      <c r="B87" s="47" t="s">
        <v>186</v>
      </c>
      <c r="C87" s="53" t="s">
        <v>144</v>
      </c>
      <c r="D87" s="53"/>
      <c r="E87" s="48" t="s">
        <v>40</v>
      </c>
      <c r="F87" s="54">
        <v>1</v>
      </c>
      <c r="G87" s="50">
        <v>190000</v>
      </c>
      <c r="H87" s="50">
        <f>F87*G87</f>
        <v>190000</v>
      </c>
      <c r="I87" s="50">
        <v>50000</v>
      </c>
      <c r="J87" s="50">
        <f>F87*I87</f>
        <v>50000</v>
      </c>
      <c r="K87" s="50">
        <f t="shared" ref="K87:K95" si="24">G87+I87</f>
        <v>240000</v>
      </c>
      <c r="L87" s="51">
        <f>F87*K87</f>
        <v>240000</v>
      </c>
      <c r="M87" s="175"/>
      <c r="O87" s="165"/>
      <c r="P87" s="170"/>
      <c r="Q87" s="337"/>
      <c r="R87" s="337"/>
    </row>
    <row r="88" spans="1:18" s="52" customFormat="1" ht="18" customHeight="1">
      <c r="A88" s="53" t="s">
        <v>162</v>
      </c>
      <c r="B88" s="47" t="s">
        <v>145</v>
      </c>
      <c r="C88" s="53" t="s">
        <v>302</v>
      </c>
      <c r="D88" s="53"/>
      <c r="E88" s="48" t="s">
        <v>40</v>
      </c>
      <c r="F88" s="54">
        <v>1</v>
      </c>
      <c r="G88" s="50">
        <v>480000</v>
      </c>
      <c r="H88" s="50">
        <f>F88*G88</f>
        <v>480000</v>
      </c>
      <c r="I88" s="50">
        <v>50000</v>
      </c>
      <c r="J88" s="50">
        <f>F88*I88</f>
        <v>50000</v>
      </c>
      <c r="K88" s="50">
        <f>G88+I88</f>
        <v>530000</v>
      </c>
      <c r="L88" s="51">
        <f>F88*K88</f>
        <v>530000</v>
      </c>
      <c r="M88" s="175"/>
      <c r="O88" s="165"/>
      <c r="P88" s="170"/>
      <c r="Q88" s="337"/>
      <c r="R88" s="337"/>
    </row>
    <row r="89" spans="1:18" s="52" customFormat="1" ht="18" customHeight="1">
      <c r="A89" s="53" t="s">
        <v>162</v>
      </c>
      <c r="B89" s="47" t="s">
        <v>351</v>
      </c>
      <c r="C89" s="53"/>
      <c r="D89" s="48"/>
      <c r="E89" s="48" t="s">
        <v>37</v>
      </c>
      <c r="F89" s="54">
        <v>4</v>
      </c>
      <c r="G89" s="50">
        <v>275000</v>
      </c>
      <c r="H89" s="50">
        <f t="shared" ref="H89:H96" si="25">F89*G89</f>
        <v>1100000</v>
      </c>
      <c r="I89" s="50">
        <v>55000</v>
      </c>
      <c r="J89" s="50">
        <f t="shared" ref="J89:J96" si="26">F89*I89</f>
        <v>220000</v>
      </c>
      <c r="K89" s="50">
        <f>G89+I89</f>
        <v>330000</v>
      </c>
      <c r="L89" s="51">
        <f t="shared" ref="L89:L96" si="27">F89*K89</f>
        <v>1320000</v>
      </c>
      <c r="M89" s="176"/>
      <c r="O89" s="165"/>
      <c r="P89" s="170"/>
      <c r="Q89" s="337"/>
      <c r="R89" s="337"/>
    </row>
    <row r="90" spans="1:18" s="52" customFormat="1" ht="18" customHeight="1">
      <c r="A90" s="53" t="s">
        <v>197</v>
      </c>
      <c r="B90" s="47" t="s">
        <v>382</v>
      </c>
      <c r="C90" s="53" t="s">
        <v>304</v>
      </c>
      <c r="D90" s="268"/>
      <c r="E90" s="48" t="s">
        <v>40</v>
      </c>
      <c r="F90" s="54">
        <v>2</v>
      </c>
      <c r="G90" s="50">
        <v>100000</v>
      </c>
      <c r="H90" s="50">
        <f>F90*G90</f>
        <v>200000</v>
      </c>
      <c r="I90" s="50">
        <v>40000</v>
      </c>
      <c r="J90" s="50">
        <f>F90*I90</f>
        <v>80000</v>
      </c>
      <c r="K90" s="50">
        <f>G90+I90</f>
        <v>140000</v>
      </c>
      <c r="L90" s="51">
        <f>F90*K90</f>
        <v>280000</v>
      </c>
      <c r="M90" s="175"/>
      <c r="O90" s="165"/>
      <c r="P90" s="170"/>
      <c r="Q90" s="337"/>
      <c r="R90" s="337"/>
    </row>
    <row r="91" spans="1:18" s="52" customFormat="1" ht="18" customHeight="1">
      <c r="A91" s="53" t="s">
        <v>357</v>
      </c>
      <c r="B91" s="47" t="s">
        <v>358</v>
      </c>
      <c r="C91" s="53"/>
      <c r="D91" s="48"/>
      <c r="E91" s="48" t="s">
        <v>37</v>
      </c>
      <c r="F91" s="54">
        <v>4</v>
      </c>
      <c r="G91" s="50">
        <v>275000</v>
      </c>
      <c r="H91" s="50">
        <f>F91*G91</f>
        <v>1100000</v>
      </c>
      <c r="I91" s="50">
        <v>55000</v>
      </c>
      <c r="J91" s="50">
        <f>F91*I91</f>
        <v>220000</v>
      </c>
      <c r="K91" s="50">
        <f>G91+I91</f>
        <v>330000</v>
      </c>
      <c r="L91" s="51">
        <f>F91*K91</f>
        <v>1320000</v>
      </c>
      <c r="M91" s="176"/>
      <c r="O91" s="165"/>
      <c r="P91" s="170"/>
      <c r="Q91" s="337"/>
      <c r="R91" s="337"/>
    </row>
    <row r="92" spans="1:18" s="52" customFormat="1" ht="18" customHeight="1">
      <c r="A92" s="53" t="s">
        <v>41</v>
      </c>
      <c r="B92" s="47" t="s">
        <v>182</v>
      </c>
      <c r="C92" s="53"/>
      <c r="D92" s="48"/>
      <c r="E92" s="48" t="s">
        <v>93</v>
      </c>
      <c r="F92" s="54">
        <v>2</v>
      </c>
      <c r="G92" s="50">
        <v>120000</v>
      </c>
      <c r="H92" s="50">
        <f t="shared" si="25"/>
        <v>240000</v>
      </c>
      <c r="I92" s="50">
        <v>30000</v>
      </c>
      <c r="J92" s="50">
        <f t="shared" si="26"/>
        <v>60000</v>
      </c>
      <c r="K92" s="50">
        <f t="shared" si="24"/>
        <v>150000</v>
      </c>
      <c r="L92" s="51">
        <f t="shared" si="27"/>
        <v>300000</v>
      </c>
      <c r="M92" s="176"/>
      <c r="O92" s="165">
        <f>(39+26)/3</f>
        <v>21.666666666666668</v>
      </c>
      <c r="P92" s="170"/>
      <c r="Q92" s="337"/>
      <c r="R92" s="337"/>
    </row>
    <row r="93" spans="1:18" s="52" customFormat="1" ht="18" hidden="1" customHeight="1">
      <c r="A93" s="53"/>
      <c r="B93" s="47"/>
      <c r="C93" s="53"/>
      <c r="D93" s="48"/>
      <c r="E93" s="48"/>
      <c r="F93" s="54"/>
      <c r="G93" s="50"/>
      <c r="H93" s="50"/>
      <c r="I93" s="50"/>
      <c r="J93" s="50"/>
      <c r="K93" s="50"/>
      <c r="L93" s="51"/>
      <c r="M93" s="176"/>
      <c r="O93" s="165"/>
      <c r="P93" s="170"/>
      <c r="Q93" s="337"/>
      <c r="R93" s="337"/>
    </row>
    <row r="94" spans="1:18" s="52" customFormat="1" ht="18" customHeight="1">
      <c r="A94" s="53" t="s">
        <v>12</v>
      </c>
      <c r="B94" s="47" t="s">
        <v>198</v>
      </c>
      <c r="C94" s="53" t="s">
        <v>199</v>
      </c>
      <c r="D94" s="48"/>
      <c r="E94" s="48" t="s">
        <v>71</v>
      </c>
      <c r="F94" s="54">
        <v>2</v>
      </c>
      <c r="G94" s="50">
        <v>130000</v>
      </c>
      <c r="H94" s="50">
        <f t="shared" si="25"/>
        <v>260000</v>
      </c>
      <c r="I94" s="50">
        <v>20000</v>
      </c>
      <c r="J94" s="50">
        <f t="shared" si="26"/>
        <v>40000</v>
      </c>
      <c r="K94" s="50">
        <f t="shared" si="24"/>
        <v>150000</v>
      </c>
      <c r="L94" s="51">
        <f t="shared" si="27"/>
        <v>300000</v>
      </c>
      <c r="M94" s="176"/>
      <c r="O94" s="165"/>
      <c r="P94" s="170"/>
      <c r="Q94" s="337"/>
      <c r="R94" s="337"/>
    </row>
    <row r="95" spans="1:18" s="52" customFormat="1" ht="18" customHeight="1">
      <c r="A95" s="53" t="s">
        <v>41</v>
      </c>
      <c r="B95" s="47" t="s">
        <v>208</v>
      </c>
      <c r="C95" s="53"/>
      <c r="D95" s="48"/>
      <c r="E95" s="48" t="s">
        <v>71</v>
      </c>
      <c r="F95" s="54">
        <v>1</v>
      </c>
      <c r="G95" s="50">
        <v>250000</v>
      </c>
      <c r="H95" s="50">
        <f t="shared" si="25"/>
        <v>250000</v>
      </c>
      <c r="I95" s="50">
        <v>100000</v>
      </c>
      <c r="J95" s="50">
        <f t="shared" si="26"/>
        <v>100000</v>
      </c>
      <c r="K95" s="50">
        <f t="shared" si="24"/>
        <v>350000</v>
      </c>
      <c r="L95" s="51">
        <f t="shared" si="27"/>
        <v>350000</v>
      </c>
      <c r="M95" s="176"/>
      <c r="O95" s="165"/>
      <c r="P95" s="170"/>
      <c r="Q95" s="337"/>
      <c r="R95" s="337"/>
    </row>
    <row r="96" spans="1:18" s="276" customFormat="1" ht="18" customHeight="1">
      <c r="A96" s="321" t="s">
        <v>308</v>
      </c>
      <c r="B96" s="304" t="s">
        <v>415</v>
      </c>
      <c r="C96" s="323" t="s">
        <v>417</v>
      </c>
      <c r="D96" s="323"/>
      <c r="E96" s="271" t="s">
        <v>416</v>
      </c>
      <c r="F96" s="54">
        <f>2.5+0.7</f>
        <v>3.2</v>
      </c>
      <c r="G96" s="273">
        <v>550000</v>
      </c>
      <c r="H96" s="273">
        <f t="shared" si="25"/>
        <v>1760000</v>
      </c>
      <c r="I96" s="273">
        <v>0</v>
      </c>
      <c r="J96" s="273">
        <f t="shared" si="26"/>
        <v>0</v>
      </c>
      <c r="K96" s="273">
        <f>G96+I96</f>
        <v>550000</v>
      </c>
      <c r="L96" s="274">
        <f t="shared" si="27"/>
        <v>1760000</v>
      </c>
      <c r="M96" s="271"/>
      <c r="O96" s="277"/>
      <c r="P96" s="278"/>
      <c r="Q96" s="337"/>
      <c r="R96" s="337"/>
    </row>
    <row r="97" spans="1:18" s="276" customFormat="1" ht="18" hidden="1" customHeight="1">
      <c r="A97" s="321"/>
      <c r="B97" s="304"/>
      <c r="C97" s="323"/>
      <c r="D97" s="377"/>
      <c r="E97" s="271"/>
      <c r="F97" s="54"/>
      <c r="G97" s="273"/>
      <c r="H97" s="273"/>
      <c r="I97" s="273"/>
      <c r="J97" s="273"/>
      <c r="K97" s="273"/>
      <c r="L97" s="274"/>
      <c r="M97" s="271"/>
      <c r="O97" s="277"/>
      <c r="P97" s="278"/>
      <c r="Q97" s="337"/>
      <c r="R97" s="337"/>
    </row>
    <row r="98" spans="1:18" s="404" customFormat="1" ht="18" customHeight="1">
      <c r="A98" s="407">
        <v>-1</v>
      </c>
      <c r="B98" s="408" t="s">
        <v>463</v>
      </c>
      <c r="C98" s="398"/>
      <c r="D98" s="409"/>
      <c r="E98" s="400"/>
      <c r="F98" s="401"/>
      <c r="G98" s="402"/>
      <c r="H98" s="402"/>
      <c r="I98" s="402"/>
      <c r="J98" s="402"/>
      <c r="K98" s="402"/>
      <c r="L98" s="403"/>
      <c r="M98" s="400"/>
      <c r="O98" s="405"/>
      <c r="P98" s="406"/>
      <c r="Q98" s="337"/>
      <c r="R98" s="337"/>
    </row>
    <row r="99" spans="1:18" s="286" customFormat="1" ht="18" customHeight="1">
      <c r="A99" s="394" t="s">
        <v>462</v>
      </c>
      <c r="B99" s="395" t="s">
        <v>464</v>
      </c>
      <c r="C99" s="390"/>
      <c r="D99" s="396"/>
      <c r="E99" s="281" t="s">
        <v>36</v>
      </c>
      <c r="F99" s="397">
        <v>1</v>
      </c>
      <c r="G99" s="283">
        <v>110000</v>
      </c>
      <c r="H99" s="283">
        <f t="shared" ref="H99" si="28">F99*G99</f>
        <v>110000</v>
      </c>
      <c r="I99" s="283">
        <v>50000</v>
      </c>
      <c r="J99" s="283">
        <f t="shared" ref="J99" si="29">F99*I99</f>
        <v>50000</v>
      </c>
      <c r="K99" s="283">
        <f t="shared" ref="K99" si="30">G99+I99</f>
        <v>160000</v>
      </c>
      <c r="L99" s="284">
        <f t="shared" ref="L99" si="31">F99*K99</f>
        <v>160000</v>
      </c>
      <c r="M99" s="281"/>
      <c r="O99" s="287"/>
      <c r="P99" s="288"/>
      <c r="Q99" s="351"/>
      <c r="R99" s="351"/>
    </row>
    <row r="100" spans="1:18" s="52" customFormat="1" ht="18" hidden="1" customHeight="1">
      <c r="A100" s="53"/>
      <c r="B100" s="47"/>
      <c r="C100" s="323"/>
      <c r="D100" s="48"/>
      <c r="E100" s="48"/>
      <c r="F100" s="54"/>
      <c r="G100" s="50"/>
      <c r="H100" s="50">
        <v>0</v>
      </c>
      <c r="I100" s="50"/>
      <c r="J100" s="50"/>
      <c r="K100" s="50"/>
      <c r="L100" s="51"/>
      <c r="M100" s="176"/>
      <c r="O100" s="165"/>
      <c r="P100" s="170"/>
      <c r="Q100" s="337"/>
      <c r="R100" s="337"/>
    </row>
    <row r="101" spans="1:18" s="404" customFormat="1" ht="18" customHeight="1">
      <c r="A101" s="398">
        <v>-1</v>
      </c>
      <c r="B101" s="399" t="s">
        <v>414</v>
      </c>
      <c r="C101" s="398"/>
      <c r="D101" s="400"/>
      <c r="E101" s="400"/>
      <c r="F101" s="401"/>
      <c r="G101" s="402"/>
      <c r="H101" s="402"/>
      <c r="I101" s="402"/>
      <c r="J101" s="402"/>
      <c r="K101" s="402"/>
      <c r="L101" s="403"/>
      <c r="M101" s="330"/>
      <c r="O101" s="405"/>
      <c r="P101" s="406"/>
      <c r="Q101" s="337"/>
      <c r="R101" s="337"/>
    </row>
    <row r="102" spans="1:18" s="52" customFormat="1" ht="18" customHeight="1">
      <c r="A102" s="53" t="s">
        <v>162</v>
      </c>
      <c r="B102" s="47" t="s">
        <v>444</v>
      </c>
      <c r="C102" s="53"/>
      <c r="D102" s="48"/>
      <c r="E102" s="48" t="s">
        <v>161</v>
      </c>
      <c r="F102" s="54">
        <v>1</v>
      </c>
      <c r="G102" s="50">
        <v>150000</v>
      </c>
      <c r="H102" s="50">
        <f>F102*G102</f>
        <v>150000</v>
      </c>
      <c r="I102" s="50">
        <v>30000</v>
      </c>
      <c r="J102" s="50">
        <f>F102*I102</f>
        <v>30000</v>
      </c>
      <c r="K102" s="50">
        <f>G102+I102</f>
        <v>180000</v>
      </c>
      <c r="L102" s="51">
        <f>F102*K102</f>
        <v>180000</v>
      </c>
      <c r="M102" s="176"/>
      <c r="O102" s="165"/>
      <c r="P102" s="170"/>
      <c r="Q102" s="337"/>
      <c r="R102" s="337"/>
    </row>
    <row r="103" spans="1:18" s="52" customFormat="1" ht="18" hidden="1" customHeight="1">
      <c r="A103" s="53"/>
      <c r="B103" s="47"/>
      <c r="C103" s="53"/>
      <c r="D103" s="48"/>
      <c r="E103" s="48"/>
      <c r="F103" s="54"/>
      <c r="G103" s="50"/>
      <c r="H103" s="50"/>
      <c r="I103" s="50"/>
      <c r="J103" s="50"/>
      <c r="K103" s="50"/>
      <c r="L103" s="51"/>
      <c r="M103" s="176"/>
      <c r="O103" s="165"/>
      <c r="P103" s="170"/>
      <c r="Q103" s="337"/>
      <c r="R103" s="337"/>
    </row>
    <row r="104" spans="1:18" s="404" customFormat="1" ht="18" customHeight="1">
      <c r="A104" s="398">
        <v>-1</v>
      </c>
      <c r="B104" s="399" t="s">
        <v>445</v>
      </c>
      <c r="C104" s="398"/>
      <c r="D104" s="400"/>
      <c r="E104" s="400"/>
      <c r="F104" s="401"/>
      <c r="G104" s="402"/>
      <c r="H104" s="402"/>
      <c r="I104" s="402"/>
      <c r="J104" s="402"/>
      <c r="K104" s="402"/>
      <c r="L104" s="403"/>
      <c r="M104" s="330"/>
      <c r="O104" s="405"/>
      <c r="P104" s="406"/>
      <c r="Q104" s="337"/>
      <c r="R104" s="337"/>
    </row>
    <row r="105" spans="1:18" s="52" customFormat="1" ht="18" customHeight="1">
      <c r="A105" s="53" t="s">
        <v>430</v>
      </c>
      <c r="B105" s="47" t="s">
        <v>446</v>
      </c>
      <c r="C105" s="53"/>
      <c r="D105" s="48"/>
      <c r="E105" s="48" t="s">
        <v>447</v>
      </c>
      <c r="F105" s="54">
        <v>1</v>
      </c>
      <c r="G105" s="50">
        <v>200000</v>
      </c>
      <c r="H105" s="50">
        <f>F105*G105</f>
        <v>200000</v>
      </c>
      <c r="I105" s="50">
        <v>30000</v>
      </c>
      <c r="J105" s="50">
        <f>F105*I105</f>
        <v>30000</v>
      </c>
      <c r="K105" s="50">
        <f>G105+I105</f>
        <v>230000</v>
      </c>
      <c r="L105" s="51">
        <f>F105*K105</f>
        <v>230000</v>
      </c>
      <c r="M105" s="176"/>
      <c r="O105" s="165"/>
      <c r="P105" s="170"/>
      <c r="Q105" s="337"/>
      <c r="R105" s="337"/>
    </row>
    <row r="106" spans="1:18" s="52" customFormat="1" ht="18" customHeight="1">
      <c r="A106" s="53" t="s">
        <v>438</v>
      </c>
      <c r="B106" s="47" t="s">
        <v>456</v>
      </c>
      <c r="C106" s="53"/>
      <c r="D106" s="48"/>
      <c r="E106" s="48" t="s">
        <v>437</v>
      </c>
      <c r="F106" s="54">
        <v>1</v>
      </c>
      <c r="G106" s="50">
        <v>150000</v>
      </c>
      <c r="H106" s="50">
        <f>F106*G106</f>
        <v>150000</v>
      </c>
      <c r="I106" s="50">
        <v>30000</v>
      </c>
      <c r="J106" s="50">
        <f>F106*I106</f>
        <v>30000</v>
      </c>
      <c r="K106" s="50">
        <f>G106+I106</f>
        <v>180000</v>
      </c>
      <c r="L106" s="51">
        <f>F106*K106</f>
        <v>180000</v>
      </c>
      <c r="M106" s="176"/>
      <c r="O106" s="165"/>
      <c r="P106" s="170"/>
      <c r="Q106" s="337"/>
      <c r="R106" s="337"/>
    </row>
    <row r="107" spans="1:18" s="52" customFormat="1" ht="18" hidden="1" customHeight="1">
      <c r="A107" s="53"/>
      <c r="B107" s="47"/>
      <c r="C107" s="323"/>
      <c r="D107" s="48"/>
      <c r="E107" s="48"/>
      <c r="F107" s="54"/>
      <c r="G107" s="50"/>
      <c r="H107" s="50"/>
      <c r="I107" s="50"/>
      <c r="J107" s="50"/>
      <c r="K107" s="50"/>
      <c r="L107" s="51"/>
      <c r="M107" s="176"/>
      <c r="O107" s="165"/>
      <c r="P107" s="170"/>
      <c r="Q107" s="337"/>
      <c r="R107" s="337"/>
    </row>
    <row r="108" spans="1:18" s="404" customFormat="1" ht="18" customHeight="1">
      <c r="A108" s="398">
        <v>-1</v>
      </c>
      <c r="B108" s="399" t="s">
        <v>452</v>
      </c>
      <c r="C108" s="398"/>
      <c r="D108" s="400"/>
      <c r="E108" s="400"/>
      <c r="F108" s="401"/>
      <c r="G108" s="402"/>
      <c r="H108" s="402"/>
      <c r="I108" s="402"/>
      <c r="J108" s="402"/>
      <c r="K108" s="402"/>
      <c r="L108" s="403"/>
      <c r="M108" s="330"/>
      <c r="O108" s="405"/>
      <c r="P108" s="406"/>
      <c r="Q108" s="337"/>
      <c r="R108" s="337"/>
    </row>
    <row r="109" spans="1:18" s="52" customFormat="1" ht="18" customHeight="1">
      <c r="A109" s="53" t="s">
        <v>430</v>
      </c>
      <c r="B109" s="47" t="s">
        <v>453</v>
      </c>
      <c r="C109" s="323"/>
      <c r="D109" s="48"/>
      <c r="E109" s="48" t="s">
        <v>437</v>
      </c>
      <c r="F109" s="54">
        <v>1</v>
      </c>
      <c r="G109" s="50">
        <v>150000</v>
      </c>
      <c r="H109" s="50">
        <f>F109*G109</f>
        <v>150000</v>
      </c>
      <c r="I109" s="50">
        <v>30000</v>
      </c>
      <c r="J109" s="50">
        <f>F109*I109</f>
        <v>30000</v>
      </c>
      <c r="K109" s="50">
        <f>G109+I109</f>
        <v>180000</v>
      </c>
      <c r="L109" s="51">
        <f>F109*K109</f>
        <v>180000</v>
      </c>
      <c r="M109" s="176"/>
      <c r="O109" s="165"/>
      <c r="P109" s="170"/>
      <c r="Q109" s="337"/>
      <c r="R109" s="337"/>
    </row>
    <row r="110" spans="1:18" s="52" customFormat="1" ht="18" customHeight="1">
      <c r="A110" s="53" t="s">
        <v>381</v>
      </c>
      <c r="B110" s="47" t="s">
        <v>407</v>
      </c>
      <c r="C110" s="323"/>
      <c r="D110" s="48"/>
      <c r="E110" s="48" t="s">
        <v>37</v>
      </c>
      <c r="F110" s="54">
        <v>3</v>
      </c>
      <c r="G110" s="50">
        <v>275000</v>
      </c>
      <c r="H110" s="50">
        <f>F110*G110</f>
        <v>825000</v>
      </c>
      <c r="I110" s="50">
        <v>55000</v>
      </c>
      <c r="J110" s="50">
        <f>F110*I110</f>
        <v>165000</v>
      </c>
      <c r="K110" s="50">
        <f>G110+I110</f>
        <v>330000</v>
      </c>
      <c r="L110" s="51">
        <f>F110*K110</f>
        <v>990000</v>
      </c>
      <c r="M110" s="176"/>
      <c r="O110" s="165"/>
      <c r="P110" s="170"/>
      <c r="Q110" s="337"/>
      <c r="R110" s="337"/>
    </row>
    <row r="111" spans="1:18" s="276" customFormat="1" ht="18" customHeight="1">
      <c r="A111" s="321" t="s">
        <v>162</v>
      </c>
      <c r="B111" s="304" t="s">
        <v>418</v>
      </c>
      <c r="C111" s="323" t="s">
        <v>417</v>
      </c>
      <c r="D111" s="323"/>
      <c r="E111" s="271" t="s">
        <v>416</v>
      </c>
      <c r="F111" s="54">
        <v>1.8</v>
      </c>
      <c r="G111" s="273">
        <v>550000</v>
      </c>
      <c r="H111" s="273">
        <f t="shared" ref="H111" si="32">F111*G111</f>
        <v>990000</v>
      </c>
      <c r="I111" s="273"/>
      <c r="J111" s="273">
        <f t="shared" ref="J111" si="33">F111*I111</f>
        <v>0</v>
      </c>
      <c r="K111" s="273">
        <f>G111+I111</f>
        <v>550000</v>
      </c>
      <c r="L111" s="274">
        <f t="shared" ref="L111" si="34">F111*K111</f>
        <v>990000</v>
      </c>
      <c r="M111" s="271"/>
      <c r="O111" s="277"/>
      <c r="P111" s="278"/>
      <c r="Q111" s="337"/>
      <c r="R111" s="337"/>
    </row>
    <row r="112" spans="1:18" s="52" customFormat="1" ht="18" hidden="1" customHeight="1">
      <c r="A112" s="53"/>
      <c r="B112" s="47"/>
      <c r="C112" s="323"/>
      <c r="D112" s="48"/>
      <c r="E112" s="48"/>
      <c r="F112" s="54"/>
      <c r="G112" s="50"/>
      <c r="H112" s="50"/>
      <c r="I112" s="50"/>
      <c r="J112" s="50"/>
      <c r="K112" s="50"/>
      <c r="L112" s="51"/>
      <c r="M112" s="176"/>
      <c r="O112" s="165"/>
      <c r="P112" s="170"/>
      <c r="Q112" s="337"/>
      <c r="R112" s="337"/>
    </row>
    <row r="113" spans="1:18" s="404" customFormat="1" ht="18" customHeight="1">
      <c r="A113" s="398">
        <v>-1</v>
      </c>
      <c r="B113" s="399" t="s">
        <v>395</v>
      </c>
      <c r="C113" s="398"/>
      <c r="D113" s="400"/>
      <c r="E113" s="400"/>
      <c r="F113" s="401"/>
      <c r="G113" s="402"/>
      <c r="H113" s="402"/>
      <c r="I113" s="402"/>
      <c r="J113" s="402"/>
      <c r="K113" s="402"/>
      <c r="L113" s="403"/>
      <c r="M113" s="330"/>
      <c r="O113" s="405"/>
      <c r="P113" s="406"/>
      <c r="Q113" s="337"/>
      <c r="R113" s="337"/>
    </row>
    <row r="114" spans="1:18" s="52" customFormat="1" ht="18" customHeight="1">
      <c r="A114" s="53" t="s">
        <v>381</v>
      </c>
      <c r="B114" s="47" t="s">
        <v>383</v>
      </c>
      <c r="C114" s="53" t="s">
        <v>424</v>
      </c>
      <c r="D114" s="48"/>
      <c r="E114" s="48" t="s">
        <v>384</v>
      </c>
      <c r="F114" s="54">
        <v>3</v>
      </c>
      <c r="G114" s="50">
        <v>120000</v>
      </c>
      <c r="H114" s="50">
        <f>F114*G114</f>
        <v>360000</v>
      </c>
      <c r="I114" s="50">
        <v>30000</v>
      </c>
      <c r="J114" s="50">
        <f>F114*I114</f>
        <v>90000</v>
      </c>
      <c r="K114" s="50">
        <f>G114+I114</f>
        <v>150000</v>
      </c>
      <c r="L114" s="51">
        <f>F114*K114</f>
        <v>450000</v>
      </c>
      <c r="M114" s="176"/>
      <c r="O114" s="165"/>
      <c r="P114" s="170"/>
      <c r="Q114" s="337"/>
      <c r="R114" s="337"/>
    </row>
    <row r="115" spans="1:18" s="52" customFormat="1" ht="18" hidden="1" customHeight="1">
      <c r="A115" s="53"/>
      <c r="B115" s="47"/>
      <c r="C115" s="323"/>
      <c r="D115" s="48"/>
      <c r="E115" s="48"/>
      <c r="F115" s="54"/>
      <c r="G115" s="50"/>
      <c r="H115" s="50"/>
      <c r="I115" s="50"/>
      <c r="J115" s="50"/>
      <c r="K115" s="50"/>
      <c r="L115" s="51"/>
      <c r="M115" s="176"/>
      <c r="O115" s="165"/>
      <c r="P115" s="170"/>
      <c r="Q115" s="337"/>
      <c r="R115" s="337"/>
    </row>
    <row r="116" spans="1:18" s="404" customFormat="1" ht="18" customHeight="1">
      <c r="A116" s="398">
        <v>-1</v>
      </c>
      <c r="B116" s="399" t="s">
        <v>408</v>
      </c>
      <c r="C116" s="398" t="s">
        <v>413</v>
      </c>
      <c r="D116" s="400"/>
      <c r="E116" s="400"/>
      <c r="F116" s="401"/>
      <c r="G116" s="402"/>
      <c r="H116" s="402"/>
      <c r="I116" s="402"/>
      <c r="J116" s="402"/>
      <c r="K116" s="402"/>
      <c r="L116" s="403"/>
      <c r="M116" s="330"/>
      <c r="O116" s="405"/>
      <c r="P116" s="406"/>
      <c r="Q116" s="337"/>
      <c r="R116" s="337"/>
    </row>
    <row r="117" spans="1:18" s="52" customFormat="1" ht="18" customHeight="1">
      <c r="A117" s="53" t="s">
        <v>41</v>
      </c>
      <c r="B117" s="47" t="s">
        <v>182</v>
      </c>
      <c r="C117" s="53"/>
      <c r="D117" s="48"/>
      <c r="E117" s="48" t="s">
        <v>93</v>
      </c>
      <c r="F117" s="54">
        <v>9</v>
      </c>
      <c r="G117" s="50">
        <v>120000</v>
      </c>
      <c r="H117" s="50">
        <f>F117*G117</f>
        <v>1080000</v>
      </c>
      <c r="I117" s="50">
        <v>30000</v>
      </c>
      <c r="J117" s="50">
        <f>F117*I117</f>
        <v>270000</v>
      </c>
      <c r="K117" s="50">
        <f>G117+I117</f>
        <v>150000</v>
      </c>
      <c r="L117" s="51">
        <f>F117*K117</f>
        <v>1350000</v>
      </c>
      <c r="M117" s="176"/>
      <c r="O117" s="165">
        <f>(39+26)/3</f>
        <v>21.666666666666668</v>
      </c>
      <c r="P117" s="170"/>
      <c r="Q117" s="337"/>
      <c r="R117" s="337"/>
    </row>
    <row r="118" spans="1:18" s="52" customFormat="1" ht="18" hidden="1" customHeight="1">
      <c r="A118" s="53"/>
      <c r="B118" s="47"/>
      <c r="C118" s="323"/>
      <c r="D118" s="48"/>
      <c r="E118" s="48"/>
      <c r="F118" s="54"/>
      <c r="G118" s="50"/>
      <c r="H118" s="50"/>
      <c r="I118" s="50"/>
      <c r="J118" s="50"/>
      <c r="K118" s="50"/>
      <c r="L118" s="51"/>
      <c r="M118" s="176"/>
      <c r="O118" s="165"/>
      <c r="P118" s="170"/>
      <c r="Q118" s="337"/>
      <c r="R118" s="337"/>
    </row>
    <row r="119" spans="1:18" s="52" customFormat="1" ht="18" customHeight="1">
      <c r="A119" s="53">
        <v>-1</v>
      </c>
      <c r="B119" s="47" t="s">
        <v>366</v>
      </c>
      <c r="C119" s="323"/>
      <c r="D119" s="48"/>
      <c r="E119" s="48"/>
      <c r="F119" s="54"/>
      <c r="G119" s="50"/>
      <c r="H119" s="50"/>
      <c r="I119" s="50"/>
      <c r="J119" s="50"/>
      <c r="K119" s="50"/>
      <c r="L119" s="51"/>
      <c r="M119" s="176"/>
      <c r="O119" s="165"/>
      <c r="P119" s="170"/>
      <c r="Q119" s="337"/>
      <c r="R119" s="337"/>
    </row>
    <row r="120" spans="1:18" s="52" customFormat="1" ht="18" customHeight="1">
      <c r="A120" s="53" t="s">
        <v>41</v>
      </c>
      <c r="B120" s="47" t="s">
        <v>182</v>
      </c>
      <c r="C120" s="53"/>
      <c r="D120" s="48"/>
      <c r="E120" s="48" t="s">
        <v>93</v>
      </c>
      <c r="F120" s="54">
        <v>13</v>
      </c>
      <c r="G120" s="50">
        <v>120000</v>
      </c>
      <c r="H120" s="50">
        <f>F120*G120</f>
        <v>1560000</v>
      </c>
      <c r="I120" s="50">
        <v>30000</v>
      </c>
      <c r="J120" s="50">
        <f>F120*I120</f>
        <v>390000</v>
      </c>
      <c r="K120" s="50">
        <f>G120+I120</f>
        <v>150000</v>
      </c>
      <c r="L120" s="51">
        <f>F120*K120</f>
        <v>1950000</v>
      </c>
      <c r="M120" s="176"/>
      <c r="O120" s="165">
        <f>(39+26)/3</f>
        <v>21.666666666666668</v>
      </c>
      <c r="P120" s="170"/>
      <c r="Q120" s="337"/>
      <c r="R120" s="337"/>
    </row>
    <row r="121" spans="1:18" s="52" customFormat="1" ht="18" hidden="1" customHeight="1">
      <c r="A121" s="53"/>
      <c r="B121" s="47"/>
      <c r="C121" s="323"/>
      <c r="D121" s="48"/>
      <c r="E121" s="48"/>
      <c r="F121" s="54"/>
      <c r="G121" s="50"/>
      <c r="H121" s="50"/>
      <c r="I121" s="50"/>
      <c r="J121" s="50"/>
      <c r="K121" s="50"/>
      <c r="L121" s="51"/>
      <c r="M121" s="176"/>
      <c r="O121" s="165"/>
      <c r="P121" s="170"/>
      <c r="Q121" s="337"/>
      <c r="R121" s="337"/>
    </row>
    <row r="122" spans="1:18" s="52" customFormat="1" ht="18" customHeight="1">
      <c r="A122" s="398">
        <v>-1</v>
      </c>
      <c r="B122" s="399" t="s">
        <v>408</v>
      </c>
      <c r="C122" s="398" t="s">
        <v>367</v>
      </c>
      <c r="D122" s="48"/>
      <c r="E122" s="48"/>
      <c r="F122" s="54"/>
      <c r="G122" s="50"/>
      <c r="H122" s="50"/>
      <c r="I122" s="50"/>
      <c r="J122" s="50"/>
      <c r="K122" s="50"/>
      <c r="L122" s="51"/>
      <c r="M122" s="176"/>
      <c r="O122" s="165"/>
      <c r="P122" s="170"/>
      <c r="Q122" s="337"/>
      <c r="R122" s="337"/>
    </row>
    <row r="123" spans="1:18" s="52" customFormat="1" ht="18" customHeight="1">
      <c r="A123" s="53" t="s">
        <v>41</v>
      </c>
      <c r="B123" s="47" t="s">
        <v>182</v>
      </c>
      <c r="C123" s="53"/>
      <c r="D123" s="48"/>
      <c r="E123" s="48" t="s">
        <v>93</v>
      </c>
      <c r="F123" s="54">
        <v>7</v>
      </c>
      <c r="G123" s="50">
        <v>120000</v>
      </c>
      <c r="H123" s="50">
        <f>F123*G123</f>
        <v>840000</v>
      </c>
      <c r="I123" s="50">
        <v>30000</v>
      </c>
      <c r="J123" s="50">
        <f>F123*I123</f>
        <v>210000</v>
      </c>
      <c r="K123" s="50">
        <f>G123+I123</f>
        <v>150000</v>
      </c>
      <c r="L123" s="51">
        <f>F123*K123</f>
        <v>1050000</v>
      </c>
      <c r="M123" s="176"/>
      <c r="O123" s="165">
        <f>(39+26)/3</f>
        <v>21.666666666666668</v>
      </c>
      <c r="P123" s="170"/>
      <c r="Q123" s="337"/>
      <c r="R123" s="337"/>
    </row>
    <row r="124" spans="1:18" s="17" customFormat="1" ht="18" customHeight="1">
      <c r="A124" s="11"/>
      <c r="B124" s="11" t="s">
        <v>13</v>
      </c>
      <c r="C124" s="11"/>
      <c r="D124" s="13"/>
      <c r="E124" s="13"/>
      <c r="F124" s="45"/>
      <c r="G124" s="42"/>
      <c r="H124" s="42">
        <f>SUM(H83:H123)</f>
        <v>13135000</v>
      </c>
      <c r="I124" s="42"/>
      <c r="J124" s="42">
        <f>SUM(J83:J123)</f>
        <v>2355000</v>
      </c>
      <c r="K124" s="42"/>
      <c r="L124" s="42">
        <f>SUM(L81:L123)</f>
        <v>15490000</v>
      </c>
      <c r="M124" s="176"/>
      <c r="O124" s="163"/>
      <c r="P124" s="168"/>
      <c r="Q124" s="337"/>
      <c r="R124" s="337"/>
    </row>
    <row r="125" spans="1:18" s="17" customFormat="1" ht="18" customHeight="1">
      <c r="A125" s="39" t="s">
        <v>31</v>
      </c>
      <c r="B125" s="40" t="s">
        <v>96</v>
      </c>
      <c r="C125" s="333"/>
      <c r="D125" s="13"/>
      <c r="E125" s="13"/>
      <c r="F125" s="45"/>
      <c r="G125" s="42"/>
      <c r="H125" s="42"/>
      <c r="I125" s="42"/>
      <c r="J125" s="42"/>
      <c r="K125" s="42"/>
      <c r="L125" s="43"/>
      <c r="M125" s="176"/>
      <c r="O125" s="163"/>
      <c r="P125" s="168"/>
      <c r="Q125" s="337"/>
      <c r="R125" s="337"/>
    </row>
    <row r="126" spans="1:18" s="52" customFormat="1" ht="18" customHeight="1">
      <c r="A126" s="46">
        <v>-1</v>
      </c>
      <c r="B126" s="47" t="s">
        <v>97</v>
      </c>
      <c r="C126" s="46"/>
      <c r="D126" s="48"/>
      <c r="E126" s="48"/>
      <c r="F126" s="49"/>
      <c r="G126" s="50"/>
      <c r="H126" s="50"/>
      <c r="I126" s="50"/>
      <c r="J126" s="50"/>
      <c r="K126" s="50"/>
      <c r="L126" s="51"/>
      <c r="M126" s="176"/>
      <c r="O126" s="165"/>
      <c r="P126" s="170"/>
      <c r="Q126" s="337"/>
      <c r="R126" s="337"/>
    </row>
    <row r="127" spans="1:18" s="52" customFormat="1" ht="18" customHeight="1">
      <c r="A127" s="53" t="s">
        <v>275</v>
      </c>
      <c r="B127" s="47" t="s">
        <v>279</v>
      </c>
      <c r="C127" s="53"/>
      <c r="D127" s="268" t="s">
        <v>391</v>
      </c>
      <c r="E127" s="48" t="s">
        <v>280</v>
      </c>
      <c r="F127" s="54">
        <v>10</v>
      </c>
      <c r="G127" s="50">
        <v>45000</v>
      </c>
      <c r="H127" s="50">
        <f t="shared" ref="H127:H131" si="35">F127*G127</f>
        <v>450000</v>
      </c>
      <c r="I127" s="50">
        <v>55000</v>
      </c>
      <c r="J127" s="50">
        <f>F127*I127</f>
        <v>550000</v>
      </c>
      <c r="K127" s="50">
        <f>G127+I127</f>
        <v>100000</v>
      </c>
      <c r="L127" s="51">
        <f>F127*K127</f>
        <v>1000000</v>
      </c>
      <c r="M127" s="176"/>
      <c r="O127" s="165"/>
      <c r="P127" s="170"/>
      <c r="Q127" s="337"/>
      <c r="R127" s="337"/>
    </row>
    <row r="128" spans="1:18" s="52" customFormat="1" ht="18" customHeight="1">
      <c r="A128" s="53" t="s">
        <v>12</v>
      </c>
      <c r="B128" s="47" t="s">
        <v>160</v>
      </c>
      <c r="C128" s="53" t="s">
        <v>365</v>
      </c>
      <c r="D128" s="48"/>
      <c r="E128" s="48" t="s">
        <v>161</v>
      </c>
      <c r="F128" s="54">
        <v>1</v>
      </c>
      <c r="G128" s="50">
        <v>1000000</v>
      </c>
      <c r="H128" s="50">
        <f t="shared" si="35"/>
        <v>1000000</v>
      </c>
      <c r="I128" s="50">
        <v>300000</v>
      </c>
      <c r="J128" s="50">
        <f t="shared" ref="J128:J131" si="36">F128*I128</f>
        <v>300000</v>
      </c>
      <c r="K128" s="50">
        <f t="shared" ref="K128:K131" si="37">G128+I128</f>
        <v>1300000</v>
      </c>
      <c r="L128" s="51">
        <f t="shared" ref="L128:L131" si="38">F128*K128</f>
        <v>1300000</v>
      </c>
      <c r="M128" s="176"/>
      <c r="O128" s="165"/>
      <c r="P128" s="170"/>
      <c r="Q128" s="337"/>
      <c r="R128" s="337"/>
    </row>
    <row r="129" spans="1:18" s="52" customFormat="1" ht="18" customHeight="1">
      <c r="A129" s="53" t="s">
        <v>12</v>
      </c>
      <c r="B129" s="47" t="s">
        <v>99</v>
      </c>
      <c r="C129" s="53"/>
      <c r="D129" s="48"/>
      <c r="E129" s="48" t="s">
        <v>36</v>
      </c>
      <c r="F129" s="54">
        <v>2</v>
      </c>
      <c r="G129" s="50">
        <v>15000</v>
      </c>
      <c r="H129" s="50">
        <f t="shared" si="35"/>
        <v>30000</v>
      </c>
      <c r="I129" s="50">
        <v>5000</v>
      </c>
      <c r="J129" s="50">
        <f t="shared" si="36"/>
        <v>10000</v>
      </c>
      <c r="K129" s="50">
        <f t="shared" si="37"/>
        <v>20000</v>
      </c>
      <c r="L129" s="51">
        <f>F129*K129</f>
        <v>40000</v>
      </c>
      <c r="M129" s="176"/>
      <c r="O129" s="165"/>
      <c r="P129" s="170"/>
      <c r="Q129" s="337"/>
      <c r="R129" s="337"/>
    </row>
    <row r="130" spans="1:18" s="286" customFormat="1" ht="18" customHeight="1">
      <c r="A130" s="378" t="s">
        <v>405</v>
      </c>
      <c r="B130" s="280" t="s">
        <v>404</v>
      </c>
      <c r="C130" s="267" t="s">
        <v>429</v>
      </c>
      <c r="D130" s="281"/>
      <c r="E130" s="281"/>
      <c r="F130" s="282"/>
      <c r="G130" s="283"/>
      <c r="H130" s="283"/>
      <c r="I130" s="283"/>
      <c r="J130" s="283"/>
      <c r="K130" s="283"/>
      <c r="L130" s="284"/>
      <c r="M130" s="289"/>
      <c r="O130" s="287"/>
      <c r="P130" s="288"/>
      <c r="Q130" s="351"/>
      <c r="R130" s="351"/>
    </row>
    <row r="131" spans="1:18" s="52" customFormat="1" ht="18" customHeight="1">
      <c r="A131" s="53" t="s">
        <v>12</v>
      </c>
      <c r="B131" s="47" t="s">
        <v>101</v>
      </c>
      <c r="C131" s="53"/>
      <c r="D131" s="48"/>
      <c r="E131" s="48" t="s">
        <v>37</v>
      </c>
      <c r="F131" s="54">
        <v>102</v>
      </c>
      <c r="G131" s="50">
        <v>15000</v>
      </c>
      <c r="H131" s="50">
        <f t="shared" si="35"/>
        <v>1530000</v>
      </c>
      <c r="I131" s="50">
        <v>15000</v>
      </c>
      <c r="J131" s="50">
        <f t="shared" si="36"/>
        <v>1530000</v>
      </c>
      <c r="K131" s="50">
        <f t="shared" si="37"/>
        <v>30000</v>
      </c>
      <c r="L131" s="51">
        <f t="shared" si="38"/>
        <v>3060000</v>
      </c>
      <c r="M131" s="175"/>
      <c r="O131" s="165">
        <f>41*2</f>
        <v>82</v>
      </c>
      <c r="P131" s="170" t="s">
        <v>174</v>
      </c>
      <c r="Q131" s="337"/>
      <c r="R131" s="337"/>
    </row>
    <row r="132" spans="1:18" s="276" customFormat="1" ht="18" customHeight="1">
      <c r="A132" s="53" t="s">
        <v>232</v>
      </c>
      <c r="B132" s="270" t="s">
        <v>100</v>
      </c>
      <c r="C132" s="323"/>
      <c r="D132" s="271"/>
      <c r="E132" s="271" t="s">
        <v>233</v>
      </c>
      <c r="F132" s="272">
        <v>1</v>
      </c>
      <c r="G132" s="273">
        <v>55000</v>
      </c>
      <c r="H132" s="273">
        <f t="shared" ref="H132:H138" si="39">F132*G132</f>
        <v>55000</v>
      </c>
      <c r="I132" s="273">
        <v>5000</v>
      </c>
      <c r="J132" s="273">
        <f t="shared" ref="J132:J138" si="40">F132*I132</f>
        <v>5000</v>
      </c>
      <c r="K132" s="273">
        <f t="shared" ref="K132:K138" si="41">G132+I132</f>
        <v>60000</v>
      </c>
      <c r="L132" s="274">
        <f t="shared" ref="L132:L138" si="42">F132*K132</f>
        <v>60000</v>
      </c>
      <c r="M132" s="279"/>
      <c r="O132" s="277"/>
      <c r="P132" s="278"/>
      <c r="Q132" s="337"/>
      <c r="R132" s="337"/>
    </row>
    <row r="133" spans="1:18" s="276" customFormat="1" ht="18" customHeight="1">
      <c r="A133" s="53" t="s">
        <v>232</v>
      </c>
      <c r="B133" s="270" t="s">
        <v>234</v>
      </c>
      <c r="C133" s="323" t="s">
        <v>235</v>
      </c>
      <c r="D133" s="271"/>
      <c r="E133" s="271" t="s">
        <v>230</v>
      </c>
      <c r="F133" s="272">
        <v>60</v>
      </c>
      <c r="G133" s="273">
        <v>22000</v>
      </c>
      <c r="H133" s="273">
        <f t="shared" si="39"/>
        <v>1320000</v>
      </c>
      <c r="I133" s="273">
        <v>8000</v>
      </c>
      <c r="J133" s="273">
        <f t="shared" si="40"/>
        <v>480000</v>
      </c>
      <c r="K133" s="273">
        <f t="shared" si="41"/>
        <v>30000</v>
      </c>
      <c r="L133" s="274">
        <f t="shared" si="42"/>
        <v>1800000</v>
      </c>
      <c r="M133" s="279"/>
      <c r="O133" s="277">
        <f>5.2+3.3+2.9+4+1.5+2.5+2.1+1.9+1.7+1.3+3.3</f>
        <v>29.7</v>
      </c>
      <c r="P133" s="278"/>
      <c r="Q133" s="337"/>
      <c r="R133" s="337"/>
    </row>
    <row r="134" spans="1:18" s="276" customFormat="1" ht="18" customHeight="1">
      <c r="A134" s="53" t="s">
        <v>236</v>
      </c>
      <c r="B134" s="270" t="s">
        <v>98</v>
      </c>
      <c r="C134" s="323" t="s">
        <v>237</v>
      </c>
      <c r="D134" s="271"/>
      <c r="E134" s="271" t="s">
        <v>238</v>
      </c>
      <c r="F134" s="272">
        <v>70</v>
      </c>
      <c r="G134" s="273">
        <v>6000</v>
      </c>
      <c r="H134" s="273">
        <f t="shared" si="39"/>
        <v>420000</v>
      </c>
      <c r="I134" s="273">
        <v>5000</v>
      </c>
      <c r="J134" s="273">
        <f t="shared" si="40"/>
        <v>350000</v>
      </c>
      <c r="K134" s="273">
        <f t="shared" si="41"/>
        <v>11000</v>
      </c>
      <c r="L134" s="274">
        <f t="shared" si="42"/>
        <v>770000</v>
      </c>
      <c r="M134" s="279"/>
      <c r="O134" s="277"/>
      <c r="P134" s="278"/>
      <c r="Q134" s="337"/>
      <c r="R134" s="337"/>
    </row>
    <row r="135" spans="1:18" s="276" customFormat="1" ht="18" customHeight="1">
      <c r="A135" s="53" t="s">
        <v>370</v>
      </c>
      <c r="B135" s="270" t="s">
        <v>392</v>
      </c>
      <c r="C135" s="323"/>
      <c r="D135" s="271"/>
      <c r="E135" s="271" t="s">
        <v>393</v>
      </c>
      <c r="F135" s="272">
        <v>8</v>
      </c>
      <c r="G135" s="273">
        <v>35000</v>
      </c>
      <c r="H135" s="273">
        <f t="shared" si="39"/>
        <v>280000</v>
      </c>
      <c r="I135" s="273">
        <v>5000</v>
      </c>
      <c r="J135" s="273">
        <f t="shared" si="40"/>
        <v>40000</v>
      </c>
      <c r="K135" s="273">
        <f t="shared" si="41"/>
        <v>40000</v>
      </c>
      <c r="L135" s="274">
        <f t="shared" si="42"/>
        <v>320000</v>
      </c>
      <c r="M135" s="279"/>
      <c r="O135" s="277"/>
      <c r="P135" s="278"/>
      <c r="Q135" s="337"/>
      <c r="R135" s="337"/>
    </row>
    <row r="136" spans="1:18" s="276" customFormat="1" ht="18" customHeight="1">
      <c r="A136" s="53" t="s">
        <v>370</v>
      </c>
      <c r="B136" s="270" t="s">
        <v>406</v>
      </c>
      <c r="C136" s="323"/>
      <c r="D136" s="271"/>
      <c r="E136" s="271" t="s">
        <v>393</v>
      </c>
      <c r="F136" s="272">
        <v>3</v>
      </c>
      <c r="G136" s="273">
        <v>138000</v>
      </c>
      <c r="H136" s="273">
        <f t="shared" si="39"/>
        <v>414000</v>
      </c>
      <c r="I136" s="273">
        <v>25000</v>
      </c>
      <c r="J136" s="273">
        <f t="shared" si="40"/>
        <v>75000</v>
      </c>
      <c r="K136" s="273">
        <f t="shared" si="41"/>
        <v>163000</v>
      </c>
      <c r="L136" s="274">
        <f t="shared" si="42"/>
        <v>489000</v>
      </c>
      <c r="M136" s="279"/>
      <c r="O136" s="277"/>
      <c r="P136" s="278"/>
      <c r="Q136" s="337"/>
      <c r="R136" s="337"/>
    </row>
    <row r="137" spans="1:18" s="276" customFormat="1" ht="18" customHeight="1">
      <c r="A137" s="53" t="s">
        <v>435</v>
      </c>
      <c r="B137" s="270" t="s">
        <v>436</v>
      </c>
      <c r="C137" s="323"/>
      <c r="D137" s="271"/>
      <c r="E137" s="271" t="s">
        <v>437</v>
      </c>
      <c r="F137" s="272">
        <v>1</v>
      </c>
      <c r="G137" s="273">
        <v>80000</v>
      </c>
      <c r="H137" s="273">
        <f t="shared" si="39"/>
        <v>80000</v>
      </c>
      <c r="I137" s="273">
        <v>150000</v>
      </c>
      <c r="J137" s="273">
        <f t="shared" si="40"/>
        <v>150000</v>
      </c>
      <c r="K137" s="273">
        <f t="shared" si="41"/>
        <v>230000</v>
      </c>
      <c r="L137" s="274">
        <f t="shared" si="42"/>
        <v>230000</v>
      </c>
      <c r="M137" s="279"/>
      <c r="O137" s="277"/>
      <c r="P137" s="278"/>
      <c r="Q137" s="337"/>
      <c r="R137" s="337"/>
    </row>
    <row r="138" spans="1:18" s="286" customFormat="1" ht="18" customHeight="1">
      <c r="A138" s="267" t="s">
        <v>438</v>
      </c>
      <c r="B138" s="280" t="s">
        <v>439</v>
      </c>
      <c r="C138" s="390" t="s">
        <v>440</v>
      </c>
      <c r="D138" s="281"/>
      <c r="E138" s="281" t="s">
        <v>441</v>
      </c>
      <c r="F138" s="282">
        <v>1</v>
      </c>
      <c r="G138" s="283">
        <v>0</v>
      </c>
      <c r="H138" s="283">
        <f t="shared" si="39"/>
        <v>0</v>
      </c>
      <c r="I138" s="283">
        <v>0</v>
      </c>
      <c r="J138" s="283">
        <f t="shared" si="40"/>
        <v>0</v>
      </c>
      <c r="K138" s="283">
        <f t="shared" si="41"/>
        <v>0</v>
      </c>
      <c r="L138" s="284">
        <f t="shared" si="42"/>
        <v>0</v>
      </c>
      <c r="M138" s="289" t="s">
        <v>442</v>
      </c>
      <c r="O138" s="287"/>
      <c r="P138" s="288"/>
      <c r="Q138" s="351"/>
      <c r="R138" s="351"/>
    </row>
    <row r="139" spans="1:18" s="52" customFormat="1" ht="18" customHeight="1">
      <c r="A139" s="242"/>
      <c r="B139" s="261"/>
      <c r="C139" s="46"/>
      <c r="D139" s="48"/>
      <c r="E139" s="48"/>
      <c r="F139" s="49"/>
      <c r="G139" s="50"/>
      <c r="H139" s="50"/>
      <c r="I139" s="50"/>
      <c r="J139" s="50"/>
      <c r="K139" s="50"/>
      <c r="L139" s="51"/>
      <c r="M139" s="175"/>
      <c r="O139" s="165"/>
      <c r="P139" s="170"/>
      <c r="Q139" s="337"/>
      <c r="R139" s="337"/>
    </row>
    <row r="140" spans="1:18" s="246" customFormat="1" ht="18" customHeight="1">
      <c r="A140" s="242"/>
      <c r="B140" s="242" t="s">
        <v>13</v>
      </c>
      <c r="C140" s="242"/>
      <c r="D140" s="243"/>
      <c r="E140" s="243"/>
      <c r="F140" s="244"/>
      <c r="G140" s="245"/>
      <c r="H140" s="245">
        <f>SUM(H127:H138)</f>
        <v>5579000</v>
      </c>
      <c r="I140" s="245"/>
      <c r="J140" s="245">
        <f>SUM(J127:J138)</f>
        <v>3490000</v>
      </c>
      <c r="K140" s="245"/>
      <c r="L140" s="245">
        <f>SUM(L127:L138)</f>
        <v>9069000</v>
      </c>
      <c r="M140" s="175"/>
      <c r="O140" s="247"/>
      <c r="P140" s="248"/>
      <c r="Q140" s="337"/>
      <c r="R140" s="337"/>
    </row>
    <row r="141" spans="1:18" ht="18" customHeight="1">
      <c r="A141" s="11"/>
      <c r="B141" s="12"/>
      <c r="C141" s="9"/>
      <c r="D141" s="4"/>
      <c r="E141" s="4"/>
      <c r="F141" s="44"/>
      <c r="G141" s="24"/>
      <c r="H141" s="24"/>
      <c r="I141" s="24"/>
      <c r="J141" s="24"/>
      <c r="K141" s="24"/>
      <c r="L141" s="25"/>
      <c r="M141" s="176"/>
    </row>
    <row r="142" spans="1:18" s="17" customFormat="1" ht="18" customHeight="1">
      <c r="A142" s="39" t="s">
        <v>331</v>
      </c>
      <c r="B142" s="40" t="s">
        <v>106</v>
      </c>
      <c r="C142" s="333"/>
      <c r="D142" s="13"/>
      <c r="E142" s="13"/>
      <c r="F142" s="45"/>
      <c r="G142" s="42"/>
      <c r="H142" s="42"/>
      <c r="I142" s="42"/>
      <c r="J142" s="42"/>
      <c r="K142" s="42"/>
      <c r="L142" s="43"/>
      <c r="M142" s="176"/>
      <c r="O142" s="163"/>
      <c r="P142" s="168"/>
      <c r="Q142" s="337"/>
      <c r="R142" s="337"/>
    </row>
    <row r="143" spans="1:18" s="52" customFormat="1" ht="18" customHeight="1">
      <c r="A143" s="46">
        <v>-1</v>
      </c>
      <c r="B143" s="47" t="s">
        <v>164</v>
      </c>
      <c r="C143" s="46"/>
      <c r="D143" s="48"/>
      <c r="E143" s="48"/>
      <c r="F143" s="49"/>
      <c r="G143" s="50"/>
      <c r="H143" s="50"/>
      <c r="I143" s="50"/>
      <c r="J143" s="50"/>
      <c r="K143" s="50"/>
      <c r="L143" s="51"/>
      <c r="M143" s="176"/>
      <c r="O143" s="165"/>
      <c r="P143" s="170"/>
      <c r="Q143" s="337"/>
      <c r="R143" s="337"/>
    </row>
    <row r="144" spans="1:18" s="52" customFormat="1" ht="18" customHeight="1">
      <c r="A144" s="53" t="s">
        <v>12</v>
      </c>
      <c r="B144" s="47" t="s">
        <v>141</v>
      </c>
      <c r="C144" s="46"/>
      <c r="D144" s="48"/>
      <c r="E144" s="48" t="s">
        <v>354</v>
      </c>
      <c r="F144" s="54">
        <v>2</v>
      </c>
      <c r="G144" s="50">
        <v>150000</v>
      </c>
      <c r="H144" s="50">
        <f>F144*G144</f>
        <v>300000</v>
      </c>
      <c r="I144" s="50">
        <v>150000</v>
      </c>
      <c r="J144" s="50">
        <f>F144*I144</f>
        <v>300000</v>
      </c>
      <c r="K144" s="50">
        <f>G144+I144</f>
        <v>300000</v>
      </c>
      <c r="L144" s="51">
        <f>F144*K144</f>
        <v>600000</v>
      </c>
      <c r="M144" s="175"/>
      <c r="O144" s="165"/>
      <c r="P144" s="170"/>
      <c r="Q144" s="337"/>
      <c r="R144" s="337"/>
    </row>
    <row r="145" spans="1:18" s="52" customFormat="1" ht="18" hidden="1" customHeight="1">
      <c r="A145" s="53" t="s">
        <v>352</v>
      </c>
      <c r="B145" s="47" t="s">
        <v>353</v>
      </c>
      <c r="C145" s="46"/>
      <c r="D145" s="48"/>
      <c r="E145" s="48" t="s">
        <v>354</v>
      </c>
      <c r="F145" s="54">
        <v>0</v>
      </c>
      <c r="G145" s="50">
        <v>300000</v>
      </c>
      <c r="H145" s="50">
        <f>F145*G145</f>
        <v>0</v>
      </c>
      <c r="I145" s="50">
        <v>150000</v>
      </c>
      <c r="J145" s="50">
        <f>F145*I145</f>
        <v>0</v>
      </c>
      <c r="K145" s="50">
        <f>G145+I145</f>
        <v>450000</v>
      </c>
      <c r="L145" s="51">
        <f>F145*K145</f>
        <v>0</v>
      </c>
      <c r="M145" s="175"/>
      <c r="O145" s="165"/>
      <c r="P145" s="170"/>
      <c r="Q145" s="337"/>
      <c r="R145" s="337"/>
    </row>
    <row r="146" spans="1:18" s="52" customFormat="1" ht="18" hidden="1" customHeight="1">
      <c r="A146" s="53"/>
      <c r="B146" s="47"/>
      <c r="C146" s="46"/>
      <c r="D146" s="48"/>
      <c r="E146" s="48"/>
      <c r="F146" s="54"/>
      <c r="G146" s="50"/>
      <c r="H146" s="50"/>
      <c r="I146" s="50"/>
      <c r="J146" s="50"/>
      <c r="K146" s="50"/>
      <c r="L146" s="51"/>
      <c r="M146" s="175"/>
      <c r="O146" s="165"/>
      <c r="P146" s="170"/>
      <c r="Q146" s="337"/>
      <c r="R146" s="337"/>
    </row>
    <row r="147" spans="1:18" s="286" customFormat="1" ht="18" customHeight="1">
      <c r="A147" s="267" t="s">
        <v>12</v>
      </c>
      <c r="B147" s="280" t="s">
        <v>103</v>
      </c>
      <c r="C147" s="390" t="s">
        <v>459</v>
      </c>
      <c r="D147" s="267"/>
      <c r="E147" s="281" t="s">
        <v>354</v>
      </c>
      <c r="F147" s="282">
        <v>2</v>
      </c>
      <c r="G147" s="283">
        <v>0</v>
      </c>
      <c r="H147" s="283">
        <f>F147*G147</f>
        <v>0</v>
      </c>
      <c r="I147" s="283">
        <v>50000</v>
      </c>
      <c r="J147" s="283">
        <f>F147*I147</f>
        <v>100000</v>
      </c>
      <c r="K147" s="283">
        <f>G147+I147</f>
        <v>50000</v>
      </c>
      <c r="L147" s="284">
        <f>F147*K147</f>
        <v>100000</v>
      </c>
      <c r="M147" s="289"/>
      <c r="O147" s="287"/>
      <c r="P147" s="288"/>
      <c r="Q147" s="351"/>
      <c r="R147" s="351"/>
    </row>
    <row r="148" spans="1:18" s="52" customFormat="1" ht="18" customHeight="1">
      <c r="A148" s="46"/>
      <c r="B148" s="47"/>
      <c r="C148" s="46"/>
      <c r="D148" s="48"/>
      <c r="E148" s="48"/>
      <c r="F148" s="49"/>
      <c r="G148" s="50"/>
      <c r="H148" s="50"/>
      <c r="I148" s="50"/>
      <c r="J148" s="50"/>
      <c r="K148" s="50"/>
      <c r="L148" s="51"/>
      <c r="M148" s="175"/>
      <c r="O148" s="165"/>
      <c r="P148" s="170"/>
      <c r="Q148" s="337"/>
      <c r="R148" s="337"/>
    </row>
    <row r="149" spans="1:18" s="52" customFormat="1" ht="18" customHeight="1">
      <c r="A149" s="46">
        <v>-1</v>
      </c>
      <c r="B149" s="47" t="s">
        <v>102</v>
      </c>
      <c r="C149" s="46"/>
      <c r="D149" s="48"/>
      <c r="E149" s="48"/>
      <c r="F149" s="49"/>
      <c r="G149" s="50"/>
      <c r="H149" s="50"/>
      <c r="I149" s="50"/>
      <c r="J149" s="50"/>
      <c r="K149" s="50"/>
      <c r="L149" s="51"/>
      <c r="M149" s="175"/>
      <c r="O149" s="165"/>
      <c r="P149" s="170"/>
      <c r="Q149" s="337"/>
      <c r="R149" s="337"/>
    </row>
    <row r="150" spans="1:18" ht="18" customHeight="1">
      <c r="A150" s="9" t="s">
        <v>312</v>
      </c>
      <c r="B150" s="10" t="s">
        <v>326</v>
      </c>
      <c r="C150" s="9" t="s">
        <v>409</v>
      </c>
      <c r="D150" s="301" t="s">
        <v>327</v>
      </c>
      <c r="E150" s="4" t="s">
        <v>313</v>
      </c>
      <c r="F150" s="172">
        <v>1</v>
      </c>
      <c r="G150" s="24">
        <v>150000</v>
      </c>
      <c r="H150" s="24">
        <f>F150*G150</f>
        <v>150000</v>
      </c>
      <c r="I150" s="24">
        <v>50000</v>
      </c>
      <c r="J150" s="24">
        <f>F150*I150</f>
        <v>50000</v>
      </c>
      <c r="K150" s="24">
        <f>G150+I150</f>
        <v>200000</v>
      </c>
      <c r="L150" s="25">
        <f>F150*K150</f>
        <v>200000</v>
      </c>
      <c r="M150" s="176"/>
    </row>
    <row r="151" spans="1:18" ht="18" customHeight="1">
      <c r="A151" s="171" t="s">
        <v>12</v>
      </c>
      <c r="B151" s="10" t="s">
        <v>105</v>
      </c>
      <c r="C151" s="9" t="s">
        <v>190</v>
      </c>
      <c r="D151" s="301" t="s">
        <v>328</v>
      </c>
      <c r="E151" s="4" t="s">
        <v>36</v>
      </c>
      <c r="F151" s="172">
        <v>1</v>
      </c>
      <c r="G151" s="24">
        <v>290000</v>
      </c>
      <c r="H151" s="24">
        <f>F151*G151</f>
        <v>290000</v>
      </c>
      <c r="I151" s="24">
        <v>50000</v>
      </c>
      <c r="J151" s="24">
        <f>F151*I151</f>
        <v>50000</v>
      </c>
      <c r="K151" s="24">
        <f>G151+I151</f>
        <v>340000</v>
      </c>
      <c r="L151" s="25">
        <f>F151*K151</f>
        <v>340000</v>
      </c>
      <c r="M151" s="176"/>
    </row>
    <row r="152" spans="1:18" ht="18" customHeight="1">
      <c r="A152" s="171" t="s">
        <v>12</v>
      </c>
      <c r="B152" s="10" t="s">
        <v>104</v>
      </c>
      <c r="C152" s="9" t="s">
        <v>189</v>
      </c>
      <c r="D152" s="292" t="s">
        <v>247</v>
      </c>
      <c r="E152" s="4" t="s">
        <v>36</v>
      </c>
      <c r="F152" s="172">
        <v>2</v>
      </c>
      <c r="G152" s="24">
        <v>272000</v>
      </c>
      <c r="H152" s="24">
        <f>F152*G152</f>
        <v>544000</v>
      </c>
      <c r="I152" s="24">
        <v>50000</v>
      </c>
      <c r="J152" s="24">
        <f>F152*I152</f>
        <v>100000</v>
      </c>
      <c r="K152" s="24">
        <f>G152+I152</f>
        <v>322000</v>
      </c>
      <c r="L152" s="25">
        <f>F152*K152</f>
        <v>644000</v>
      </c>
      <c r="M152" s="176"/>
    </row>
    <row r="153" spans="1:18" ht="18" customHeight="1">
      <c r="A153" s="171"/>
      <c r="B153" s="10"/>
      <c r="C153" s="171"/>
      <c r="D153" s="292"/>
      <c r="E153" s="4"/>
      <c r="F153" s="172"/>
      <c r="G153" s="24"/>
      <c r="H153" s="24"/>
      <c r="I153" s="24"/>
      <c r="J153" s="24"/>
      <c r="K153" s="24"/>
      <c r="L153" s="25"/>
      <c r="M153" s="176"/>
    </row>
    <row r="154" spans="1:18" s="52" customFormat="1" ht="18" customHeight="1">
      <c r="A154" s="46">
        <v>-1</v>
      </c>
      <c r="B154" s="47" t="s">
        <v>114</v>
      </c>
      <c r="C154" s="46"/>
      <c r="D154" s="290"/>
      <c r="E154" s="48"/>
      <c r="F154" s="49"/>
      <c r="G154" s="50"/>
      <c r="H154" s="50"/>
      <c r="I154" s="50"/>
      <c r="J154" s="50"/>
      <c r="K154" s="50"/>
      <c r="L154" s="51"/>
      <c r="M154" s="176"/>
      <c r="O154" s="165"/>
      <c r="P154" s="170"/>
      <c r="Q154" s="337"/>
      <c r="R154" s="337"/>
    </row>
    <row r="155" spans="1:18" s="317" customFormat="1" ht="18" customHeight="1">
      <c r="A155" s="171" t="s">
        <v>12</v>
      </c>
      <c r="B155" s="315" t="s">
        <v>108</v>
      </c>
      <c r="C155" s="334" t="s">
        <v>209</v>
      </c>
      <c r="D155" s="305" t="s">
        <v>247</v>
      </c>
      <c r="E155" s="305" t="s">
        <v>40</v>
      </c>
      <c r="F155" s="316">
        <v>1</v>
      </c>
      <c r="G155" s="311">
        <v>62000</v>
      </c>
      <c r="H155" s="311">
        <f>F155*G155</f>
        <v>62000</v>
      </c>
      <c r="I155" s="311">
        <v>30000</v>
      </c>
      <c r="J155" s="311">
        <f t="shared" ref="J155:J164" si="43">F155*I155</f>
        <v>30000</v>
      </c>
      <c r="K155" s="311">
        <f t="shared" ref="K155:K164" si="44">G155+I155</f>
        <v>92000</v>
      </c>
      <c r="L155" s="312">
        <f>F155*K155</f>
        <v>92000</v>
      </c>
      <c r="M155" s="275"/>
      <c r="O155" s="318"/>
      <c r="P155" s="319"/>
      <c r="Q155" s="337"/>
      <c r="R155" s="337"/>
    </row>
    <row r="156" spans="1:18" s="317" customFormat="1" ht="18" customHeight="1">
      <c r="A156" s="171" t="s">
        <v>12</v>
      </c>
      <c r="B156" s="315" t="s">
        <v>109</v>
      </c>
      <c r="C156" s="334" t="s">
        <v>425</v>
      </c>
      <c r="D156" s="305" t="s">
        <v>247</v>
      </c>
      <c r="E156" s="305" t="s">
        <v>40</v>
      </c>
      <c r="F156" s="316">
        <v>1</v>
      </c>
      <c r="G156" s="311">
        <v>125000</v>
      </c>
      <c r="H156" s="311">
        <f>F156*G156</f>
        <v>125000</v>
      </c>
      <c r="I156" s="311">
        <v>50000</v>
      </c>
      <c r="J156" s="311">
        <f t="shared" si="43"/>
        <v>50000</v>
      </c>
      <c r="K156" s="311">
        <f t="shared" si="44"/>
        <v>175000</v>
      </c>
      <c r="L156" s="312">
        <f>F156*K156</f>
        <v>175000</v>
      </c>
      <c r="M156" s="275"/>
      <c r="O156" s="318"/>
      <c r="P156" s="319"/>
      <c r="Q156" s="337"/>
      <c r="R156" s="337"/>
    </row>
    <row r="157" spans="1:18" s="52" customFormat="1" ht="18" customHeight="1">
      <c r="A157" s="53" t="s">
        <v>41</v>
      </c>
      <c r="B157" s="47" t="s">
        <v>427</v>
      </c>
      <c r="C157" s="46" t="s">
        <v>192</v>
      </c>
      <c r="D157" s="301" t="s">
        <v>247</v>
      </c>
      <c r="E157" s="48" t="s">
        <v>40</v>
      </c>
      <c r="F157" s="54">
        <v>1</v>
      </c>
      <c r="G157" s="50">
        <v>280000</v>
      </c>
      <c r="H157" s="50">
        <f>F157*G157</f>
        <v>280000</v>
      </c>
      <c r="I157" s="50">
        <v>80000</v>
      </c>
      <c r="J157" s="50">
        <f t="shared" si="43"/>
        <v>80000</v>
      </c>
      <c r="K157" s="50">
        <f t="shared" si="44"/>
        <v>360000</v>
      </c>
      <c r="L157" s="51">
        <f t="shared" ref="L157:L163" si="45">F157*K157</f>
        <v>360000</v>
      </c>
      <c r="M157" s="176"/>
      <c r="O157" s="165"/>
      <c r="P157" s="170"/>
      <c r="Q157" s="337"/>
      <c r="R157" s="337"/>
    </row>
    <row r="158" spans="1:18" s="52" customFormat="1" ht="18" customHeight="1">
      <c r="A158" s="53" t="s">
        <v>12</v>
      </c>
      <c r="B158" s="47" t="s">
        <v>110</v>
      </c>
      <c r="C158" s="53" t="s">
        <v>112</v>
      </c>
      <c r="D158" s="292" t="s">
        <v>247</v>
      </c>
      <c r="E158" s="48" t="s">
        <v>40</v>
      </c>
      <c r="F158" s="54">
        <v>1</v>
      </c>
      <c r="G158" s="50">
        <v>49000</v>
      </c>
      <c r="H158" s="50">
        <f>F158*G158</f>
        <v>49000</v>
      </c>
      <c r="I158" s="50">
        <v>50000</v>
      </c>
      <c r="J158" s="50">
        <f t="shared" si="43"/>
        <v>50000</v>
      </c>
      <c r="K158" s="50">
        <f t="shared" si="44"/>
        <v>99000</v>
      </c>
      <c r="L158" s="51">
        <f t="shared" si="45"/>
        <v>99000</v>
      </c>
      <c r="M158" s="176"/>
      <c r="O158" s="165"/>
      <c r="P158" s="170"/>
      <c r="Q158" s="337"/>
      <c r="R158" s="337"/>
    </row>
    <row r="159" spans="1:18" s="52" customFormat="1" ht="18" customHeight="1">
      <c r="A159" s="53" t="s">
        <v>12</v>
      </c>
      <c r="B159" s="47" t="s">
        <v>111</v>
      </c>
      <c r="C159" s="53" t="s">
        <v>191</v>
      </c>
      <c r="D159" s="292" t="s">
        <v>247</v>
      </c>
      <c r="E159" s="48" t="s">
        <v>40</v>
      </c>
      <c r="F159" s="54">
        <v>1</v>
      </c>
      <c r="G159" s="50">
        <v>35000</v>
      </c>
      <c r="H159" s="50">
        <v>45000</v>
      </c>
      <c r="I159" s="50">
        <v>50000</v>
      </c>
      <c r="J159" s="50">
        <f t="shared" si="43"/>
        <v>50000</v>
      </c>
      <c r="K159" s="50">
        <f t="shared" si="44"/>
        <v>85000</v>
      </c>
      <c r="L159" s="51">
        <f t="shared" si="45"/>
        <v>85000</v>
      </c>
      <c r="M159" s="176"/>
      <c r="O159" s="165"/>
      <c r="P159" s="170"/>
      <c r="Q159" s="337"/>
      <c r="R159" s="337"/>
    </row>
    <row r="160" spans="1:18" s="276" customFormat="1" ht="18" customHeight="1">
      <c r="A160" s="53" t="s">
        <v>12</v>
      </c>
      <c r="B160" s="270" t="s">
        <v>142</v>
      </c>
      <c r="C160" s="321" t="s">
        <v>146</v>
      </c>
      <c r="D160" s="305" t="s">
        <v>247</v>
      </c>
      <c r="E160" s="271" t="s">
        <v>71</v>
      </c>
      <c r="F160" s="272">
        <v>2</v>
      </c>
      <c r="G160" s="273">
        <v>29000</v>
      </c>
      <c r="H160" s="50">
        <v>45000</v>
      </c>
      <c r="I160" s="273">
        <v>10000</v>
      </c>
      <c r="J160" s="273">
        <f t="shared" si="43"/>
        <v>20000</v>
      </c>
      <c r="K160" s="273">
        <f t="shared" si="44"/>
        <v>39000</v>
      </c>
      <c r="L160" s="274">
        <f t="shared" si="45"/>
        <v>78000</v>
      </c>
      <c r="M160" s="275"/>
      <c r="O160" s="277"/>
      <c r="P160" s="278"/>
      <c r="Q160" s="337"/>
      <c r="R160" s="337"/>
    </row>
    <row r="161" spans="1:18" s="52" customFormat="1" ht="18" customHeight="1">
      <c r="A161" s="53" t="s">
        <v>200</v>
      </c>
      <c r="B161" s="47" t="s">
        <v>201</v>
      </c>
      <c r="C161" s="46" t="s">
        <v>390</v>
      </c>
      <c r="D161" s="301" t="s">
        <v>247</v>
      </c>
      <c r="E161" s="48" t="s">
        <v>202</v>
      </c>
      <c r="F161" s="54">
        <v>1</v>
      </c>
      <c r="G161" s="50">
        <v>200000</v>
      </c>
      <c r="H161" s="50">
        <f>F161*G161</f>
        <v>200000</v>
      </c>
      <c r="I161" s="50">
        <v>50000</v>
      </c>
      <c r="J161" s="50">
        <f t="shared" si="43"/>
        <v>50000</v>
      </c>
      <c r="K161" s="50">
        <f t="shared" si="44"/>
        <v>250000</v>
      </c>
      <c r="L161" s="51">
        <f t="shared" si="45"/>
        <v>250000</v>
      </c>
      <c r="M161" s="176"/>
      <c r="O161" s="165"/>
      <c r="P161" s="170"/>
      <c r="Q161" s="337"/>
      <c r="R161" s="337"/>
    </row>
    <row r="162" spans="1:18" ht="18" customHeight="1">
      <c r="A162" s="9" t="s">
        <v>162</v>
      </c>
      <c r="B162" s="10" t="s">
        <v>244</v>
      </c>
      <c r="C162" s="9" t="s">
        <v>245</v>
      </c>
      <c r="D162" s="301" t="s">
        <v>247</v>
      </c>
      <c r="E162" s="4" t="s">
        <v>256</v>
      </c>
      <c r="F162" s="172">
        <v>8</v>
      </c>
      <c r="G162" s="24">
        <v>50000</v>
      </c>
      <c r="H162" s="24">
        <f>F162*G162</f>
        <v>400000</v>
      </c>
      <c r="I162" s="24">
        <v>50000</v>
      </c>
      <c r="J162" s="24">
        <f t="shared" si="43"/>
        <v>400000</v>
      </c>
      <c r="K162" s="24">
        <f t="shared" si="44"/>
        <v>100000</v>
      </c>
      <c r="L162" s="25">
        <f t="shared" si="45"/>
        <v>800000</v>
      </c>
      <c r="M162" s="176"/>
    </row>
    <row r="163" spans="1:18" ht="18" customHeight="1">
      <c r="A163" s="9" t="s">
        <v>265</v>
      </c>
      <c r="B163" s="10" t="s">
        <v>387</v>
      </c>
      <c r="C163" s="9" t="s">
        <v>266</v>
      </c>
      <c r="D163" s="301" t="s">
        <v>247</v>
      </c>
      <c r="E163" s="4" t="s">
        <v>267</v>
      </c>
      <c r="F163" s="172">
        <v>2</v>
      </c>
      <c r="G163" s="24">
        <v>15000</v>
      </c>
      <c r="H163" s="24">
        <f>F163*G163</f>
        <v>30000</v>
      </c>
      <c r="I163" s="24">
        <v>10000</v>
      </c>
      <c r="J163" s="24">
        <f t="shared" si="43"/>
        <v>20000</v>
      </c>
      <c r="K163" s="24">
        <f t="shared" si="44"/>
        <v>25000</v>
      </c>
      <c r="L163" s="25">
        <f t="shared" si="45"/>
        <v>50000</v>
      </c>
      <c r="M163" s="176"/>
    </row>
    <row r="164" spans="1:18" ht="18" customHeight="1">
      <c r="A164" s="9" t="s">
        <v>259</v>
      </c>
      <c r="B164" s="10" t="s">
        <v>262</v>
      </c>
      <c r="C164" s="9" t="s">
        <v>263</v>
      </c>
      <c r="D164" s="301" t="s">
        <v>247</v>
      </c>
      <c r="E164" s="4" t="s">
        <v>264</v>
      </c>
      <c r="F164" s="172">
        <v>1</v>
      </c>
      <c r="G164" s="24">
        <v>300000</v>
      </c>
      <c r="H164" s="24">
        <f>F164*G164</f>
        <v>300000</v>
      </c>
      <c r="I164" s="24">
        <v>100000</v>
      </c>
      <c r="J164" s="24">
        <f t="shared" si="43"/>
        <v>100000</v>
      </c>
      <c r="K164" s="24">
        <f t="shared" si="44"/>
        <v>400000</v>
      </c>
      <c r="L164" s="25">
        <f>F164*K164</f>
        <v>400000</v>
      </c>
      <c r="M164" s="176"/>
    </row>
    <row r="165" spans="1:18" ht="18" customHeight="1">
      <c r="A165" s="9"/>
      <c r="B165" s="10"/>
      <c r="C165" s="9"/>
      <c r="D165" s="301"/>
      <c r="E165" s="4"/>
      <c r="F165" s="172"/>
      <c r="G165" s="24"/>
      <c r="H165" s="24"/>
      <c r="I165" s="24"/>
      <c r="J165" s="24"/>
      <c r="K165" s="24"/>
      <c r="L165" s="25"/>
      <c r="M165" s="176"/>
    </row>
    <row r="166" spans="1:18" s="52" customFormat="1" ht="18" customHeight="1">
      <c r="A166" s="46">
        <v>-1</v>
      </c>
      <c r="B166" s="47" t="s">
        <v>113</v>
      </c>
      <c r="C166" s="46"/>
      <c r="D166" s="301"/>
      <c r="E166" s="48"/>
      <c r="F166" s="49"/>
      <c r="G166" s="50"/>
      <c r="H166" s="50"/>
      <c r="I166" s="50"/>
      <c r="J166" s="50"/>
      <c r="K166" s="50"/>
      <c r="L166" s="51"/>
      <c r="M166" s="176"/>
      <c r="O166" s="165"/>
      <c r="P166" s="170"/>
      <c r="Q166" s="337"/>
      <c r="R166" s="337"/>
    </row>
    <row r="167" spans="1:18" s="317" customFormat="1" ht="18" customHeight="1">
      <c r="A167" s="171" t="s">
        <v>12</v>
      </c>
      <c r="B167" s="315" t="s">
        <v>108</v>
      </c>
      <c r="C167" s="334" t="s">
        <v>209</v>
      </c>
      <c r="D167" s="305" t="s">
        <v>247</v>
      </c>
      <c r="E167" s="305" t="s">
        <v>40</v>
      </c>
      <c r="F167" s="316">
        <v>1</v>
      </c>
      <c r="G167" s="311">
        <v>62000</v>
      </c>
      <c r="H167" s="311">
        <f>F167*G167</f>
        <v>62000</v>
      </c>
      <c r="I167" s="311">
        <v>30000</v>
      </c>
      <c r="J167" s="311">
        <f t="shared" ref="J167:J176" si="46">F167*I167</f>
        <v>30000</v>
      </c>
      <c r="K167" s="311">
        <f t="shared" ref="K167:K172" si="47">G167+I167</f>
        <v>92000</v>
      </c>
      <c r="L167" s="312">
        <f>F167*K167</f>
        <v>92000</v>
      </c>
      <c r="M167" s="275"/>
      <c r="O167" s="318"/>
      <c r="P167" s="319"/>
      <c r="Q167" s="337"/>
      <c r="R167" s="337"/>
    </row>
    <row r="168" spans="1:18" s="317" customFormat="1" ht="18" customHeight="1">
      <c r="A168" s="171" t="s">
        <v>12</v>
      </c>
      <c r="B168" s="315" t="s">
        <v>109</v>
      </c>
      <c r="C168" s="334" t="s">
        <v>426</v>
      </c>
      <c r="D168" s="305" t="s">
        <v>247</v>
      </c>
      <c r="E168" s="305" t="s">
        <v>40</v>
      </c>
      <c r="F168" s="316">
        <v>1</v>
      </c>
      <c r="G168" s="311">
        <v>125000</v>
      </c>
      <c r="H168" s="311">
        <f>F168*G168</f>
        <v>125000</v>
      </c>
      <c r="I168" s="311">
        <v>50000</v>
      </c>
      <c r="J168" s="311">
        <f t="shared" si="46"/>
        <v>50000</v>
      </c>
      <c r="K168" s="311">
        <f t="shared" si="47"/>
        <v>175000</v>
      </c>
      <c r="L168" s="312">
        <f>F168*K168</f>
        <v>175000</v>
      </c>
      <c r="M168" s="275"/>
      <c r="O168" s="318"/>
      <c r="P168" s="319"/>
      <c r="Q168" s="337"/>
      <c r="R168" s="337"/>
    </row>
    <row r="169" spans="1:18" s="52" customFormat="1" ht="18" customHeight="1">
      <c r="A169" s="53" t="s">
        <v>41</v>
      </c>
      <c r="B169" s="47" t="s">
        <v>428</v>
      </c>
      <c r="C169" s="46" t="s">
        <v>192</v>
      </c>
      <c r="D169" s="301" t="s">
        <v>247</v>
      </c>
      <c r="E169" s="48" t="s">
        <v>40</v>
      </c>
      <c r="F169" s="54">
        <v>1</v>
      </c>
      <c r="G169" s="50">
        <v>280000</v>
      </c>
      <c r="H169" s="50">
        <f>F169*G169</f>
        <v>280000</v>
      </c>
      <c r="I169" s="50">
        <v>80000</v>
      </c>
      <c r="J169" s="50">
        <f t="shared" si="46"/>
        <v>80000</v>
      </c>
      <c r="K169" s="50">
        <f t="shared" si="47"/>
        <v>360000</v>
      </c>
      <c r="L169" s="51">
        <f t="shared" ref="L169:L174" si="48">F169*K169</f>
        <v>360000</v>
      </c>
      <c r="M169" s="176"/>
      <c r="O169" s="165"/>
      <c r="P169" s="170"/>
      <c r="Q169" s="337"/>
      <c r="R169" s="337"/>
    </row>
    <row r="170" spans="1:18" s="52" customFormat="1" ht="18" customHeight="1">
      <c r="A170" s="53" t="s">
        <v>12</v>
      </c>
      <c r="B170" s="47" t="s">
        <v>110</v>
      </c>
      <c r="C170" s="53" t="s">
        <v>112</v>
      </c>
      <c r="D170" s="301" t="s">
        <v>247</v>
      </c>
      <c r="E170" s="48" t="s">
        <v>40</v>
      </c>
      <c r="F170" s="54">
        <v>1</v>
      </c>
      <c r="G170" s="50">
        <v>49000</v>
      </c>
      <c r="H170" s="50">
        <f>F170*G170</f>
        <v>49000</v>
      </c>
      <c r="I170" s="50">
        <v>30000</v>
      </c>
      <c r="J170" s="50">
        <f t="shared" si="46"/>
        <v>30000</v>
      </c>
      <c r="K170" s="50">
        <f t="shared" si="47"/>
        <v>79000</v>
      </c>
      <c r="L170" s="51">
        <f t="shared" si="48"/>
        <v>79000</v>
      </c>
      <c r="M170" s="176"/>
      <c r="O170" s="165"/>
      <c r="P170" s="170"/>
      <c r="Q170" s="337"/>
      <c r="R170" s="337"/>
    </row>
    <row r="171" spans="1:18" s="52" customFormat="1" ht="18" customHeight="1">
      <c r="A171" s="53" t="s">
        <v>12</v>
      </c>
      <c r="B171" s="47" t="s">
        <v>111</v>
      </c>
      <c r="C171" s="53" t="s">
        <v>191</v>
      </c>
      <c r="D171" s="301" t="s">
        <v>247</v>
      </c>
      <c r="E171" s="48" t="s">
        <v>40</v>
      </c>
      <c r="F171" s="54">
        <v>1</v>
      </c>
      <c r="G171" s="50">
        <v>35000</v>
      </c>
      <c r="H171" s="50">
        <v>45000</v>
      </c>
      <c r="I171" s="50">
        <v>50000</v>
      </c>
      <c r="J171" s="50">
        <f t="shared" si="46"/>
        <v>50000</v>
      </c>
      <c r="K171" s="50">
        <f t="shared" si="47"/>
        <v>85000</v>
      </c>
      <c r="L171" s="51">
        <f t="shared" si="48"/>
        <v>85000</v>
      </c>
      <c r="M171" s="176"/>
      <c r="O171" s="165"/>
      <c r="P171" s="170"/>
      <c r="Q171" s="337"/>
      <c r="R171" s="337"/>
    </row>
    <row r="172" spans="1:18" s="52" customFormat="1" ht="18" customHeight="1">
      <c r="A172" s="53" t="s">
        <v>12</v>
      </c>
      <c r="B172" s="47" t="s">
        <v>142</v>
      </c>
      <c r="C172" s="46" t="s">
        <v>146</v>
      </c>
      <c r="D172" s="301" t="s">
        <v>247</v>
      </c>
      <c r="E172" s="48" t="s">
        <v>71</v>
      </c>
      <c r="F172" s="54">
        <v>2</v>
      </c>
      <c r="G172" s="50">
        <v>29000</v>
      </c>
      <c r="H172" s="50">
        <f t="shared" ref="H172:H176" si="49">F172*G172</f>
        <v>58000</v>
      </c>
      <c r="I172" s="50">
        <v>10000</v>
      </c>
      <c r="J172" s="50">
        <f t="shared" si="46"/>
        <v>20000</v>
      </c>
      <c r="K172" s="50">
        <f t="shared" si="47"/>
        <v>39000</v>
      </c>
      <c r="L172" s="51">
        <f>F172*K172</f>
        <v>78000</v>
      </c>
      <c r="M172" s="176"/>
      <c r="O172" s="165"/>
      <c r="P172" s="170"/>
      <c r="Q172" s="337"/>
      <c r="R172" s="337"/>
    </row>
    <row r="173" spans="1:18" s="52" customFormat="1" ht="18" customHeight="1">
      <c r="A173" s="53" t="s">
        <v>12</v>
      </c>
      <c r="B173" s="47" t="s">
        <v>203</v>
      </c>
      <c r="C173" s="46" t="s">
        <v>389</v>
      </c>
      <c r="D173" s="301" t="s">
        <v>247</v>
      </c>
      <c r="E173" s="48" t="s">
        <v>40</v>
      </c>
      <c r="F173" s="54">
        <v>1</v>
      </c>
      <c r="G173" s="50">
        <v>200000</v>
      </c>
      <c r="H173" s="50">
        <f t="shared" si="49"/>
        <v>200000</v>
      </c>
      <c r="I173" s="50">
        <v>50000</v>
      </c>
      <c r="J173" s="50">
        <f t="shared" si="46"/>
        <v>50000</v>
      </c>
      <c r="K173" s="50">
        <f>G173+I173</f>
        <v>250000</v>
      </c>
      <c r="L173" s="51">
        <f t="shared" si="48"/>
        <v>250000</v>
      </c>
      <c r="M173" s="176"/>
      <c r="O173" s="165"/>
      <c r="P173" s="170"/>
      <c r="Q173" s="337"/>
      <c r="R173" s="337"/>
    </row>
    <row r="174" spans="1:18" ht="18" customHeight="1">
      <c r="A174" s="9" t="s">
        <v>248</v>
      </c>
      <c r="B174" s="10" t="s">
        <v>244</v>
      </c>
      <c r="C174" s="9" t="s">
        <v>245</v>
      </c>
      <c r="D174" s="301" t="s">
        <v>247</v>
      </c>
      <c r="E174" s="4" t="s">
        <v>257</v>
      </c>
      <c r="F174" s="172">
        <v>12</v>
      </c>
      <c r="G174" s="24">
        <v>50000</v>
      </c>
      <c r="H174" s="24">
        <f t="shared" si="49"/>
        <v>600000</v>
      </c>
      <c r="I174" s="24">
        <v>50000</v>
      </c>
      <c r="J174" s="24">
        <f t="shared" si="46"/>
        <v>600000</v>
      </c>
      <c r="K174" s="24">
        <f>G174+I174</f>
        <v>100000</v>
      </c>
      <c r="L174" s="25">
        <f t="shared" si="48"/>
        <v>1200000</v>
      </c>
      <c r="M174" s="176"/>
    </row>
    <row r="175" spans="1:18" ht="18" customHeight="1">
      <c r="A175" s="9" t="s">
        <v>41</v>
      </c>
      <c r="B175" s="10" t="s">
        <v>388</v>
      </c>
      <c r="C175" s="9" t="s">
        <v>192</v>
      </c>
      <c r="D175" s="301" t="s">
        <v>247</v>
      </c>
      <c r="E175" s="4" t="s">
        <v>36</v>
      </c>
      <c r="F175" s="172">
        <v>2</v>
      </c>
      <c r="G175" s="24">
        <v>15000</v>
      </c>
      <c r="H175" s="24">
        <f t="shared" si="49"/>
        <v>30000</v>
      </c>
      <c r="I175" s="24">
        <v>10000</v>
      </c>
      <c r="J175" s="24">
        <f t="shared" si="46"/>
        <v>20000</v>
      </c>
      <c r="K175" s="24">
        <f>G175+I175</f>
        <v>25000</v>
      </c>
      <c r="L175" s="25">
        <f>F175*K175</f>
        <v>50000</v>
      </c>
      <c r="M175" s="176"/>
    </row>
    <row r="176" spans="1:18" ht="18" customHeight="1">
      <c r="A176" s="9" t="s">
        <v>260</v>
      </c>
      <c r="B176" s="10" t="s">
        <v>261</v>
      </c>
      <c r="C176" s="9" t="s">
        <v>263</v>
      </c>
      <c r="D176" s="301" t="s">
        <v>247</v>
      </c>
      <c r="E176" s="4" t="s">
        <v>264</v>
      </c>
      <c r="F176" s="172">
        <v>1</v>
      </c>
      <c r="G176" s="24">
        <v>300000</v>
      </c>
      <c r="H176" s="24">
        <f t="shared" si="49"/>
        <v>300000</v>
      </c>
      <c r="I176" s="24">
        <v>100000</v>
      </c>
      <c r="J176" s="24">
        <f t="shared" si="46"/>
        <v>100000</v>
      </c>
      <c r="K176" s="24">
        <f>G176+I176</f>
        <v>400000</v>
      </c>
      <c r="L176" s="25">
        <f>F176*K176</f>
        <v>400000</v>
      </c>
      <c r="M176" s="176"/>
    </row>
    <row r="177" spans="1:18" ht="18" customHeight="1">
      <c r="A177" s="9"/>
      <c r="B177" s="10"/>
      <c r="C177" s="9"/>
      <c r="D177" s="301"/>
      <c r="E177" s="4"/>
      <c r="F177" s="172"/>
      <c r="G177" s="24"/>
      <c r="H177" s="24"/>
      <c r="I177" s="24"/>
      <c r="J177" s="24"/>
      <c r="K177" s="24"/>
      <c r="L177" s="25"/>
      <c r="M177" s="176"/>
    </row>
    <row r="178" spans="1:18" s="17" customFormat="1" ht="18" customHeight="1">
      <c r="A178" s="11"/>
      <c r="B178" s="11" t="s">
        <v>13</v>
      </c>
      <c r="C178" s="11"/>
      <c r="D178" s="13"/>
      <c r="E178" s="13"/>
      <c r="F178" s="45"/>
      <c r="G178" s="42"/>
      <c r="H178" s="42">
        <f>SUM(H144:H176)</f>
        <v>4569000</v>
      </c>
      <c r="I178" s="42"/>
      <c r="J178" s="42">
        <f>SUM(J144:J176)</f>
        <v>2480000</v>
      </c>
      <c r="K178" s="42"/>
      <c r="L178" s="42">
        <f>SUM(L144:L176)</f>
        <v>7042000</v>
      </c>
      <c r="M178" s="176"/>
      <c r="O178" s="163"/>
      <c r="P178" s="168"/>
      <c r="Q178" s="337"/>
      <c r="R178" s="337"/>
    </row>
    <row r="179" spans="1:18" ht="18" customHeight="1">
      <c r="A179" s="9"/>
      <c r="B179" s="10"/>
      <c r="C179" s="9"/>
      <c r="D179" s="4"/>
      <c r="E179" s="4"/>
      <c r="F179" s="44"/>
      <c r="G179" s="24"/>
      <c r="H179" s="24"/>
      <c r="I179" s="24"/>
      <c r="J179" s="24"/>
      <c r="K179" s="24"/>
      <c r="L179" s="25"/>
      <c r="M179" s="176"/>
    </row>
    <row r="180" spans="1:18" s="17" customFormat="1" ht="18" customHeight="1">
      <c r="A180" s="39" t="s">
        <v>333</v>
      </c>
      <c r="B180" s="40" t="s">
        <v>62</v>
      </c>
      <c r="C180" s="333"/>
      <c r="D180" s="13"/>
      <c r="E180" s="13"/>
      <c r="F180" s="45"/>
      <c r="G180" s="42"/>
      <c r="H180" s="42"/>
      <c r="I180" s="42"/>
      <c r="J180" s="42"/>
      <c r="K180" s="42"/>
      <c r="L180" s="43"/>
      <c r="M180" s="176"/>
      <c r="O180" s="163"/>
      <c r="P180" s="168"/>
      <c r="Q180" s="337"/>
      <c r="R180" s="337"/>
    </row>
    <row r="181" spans="1:18" s="52" customFormat="1" ht="18" customHeight="1">
      <c r="A181" s="46">
        <v>-1</v>
      </c>
      <c r="B181" s="47" t="s">
        <v>115</v>
      </c>
      <c r="C181" s="46"/>
      <c r="D181" s="48"/>
      <c r="E181" s="48"/>
      <c r="F181" s="49"/>
      <c r="G181" s="50"/>
      <c r="H181" s="50"/>
      <c r="I181" s="50"/>
      <c r="J181" s="50"/>
      <c r="K181" s="50"/>
      <c r="L181" s="51"/>
      <c r="M181" s="176"/>
      <c r="O181" s="165"/>
      <c r="P181" s="170"/>
      <c r="Q181" s="337"/>
      <c r="R181" s="337"/>
    </row>
    <row r="182" spans="1:18" s="276" customFormat="1" ht="18" customHeight="1">
      <c r="A182" s="53" t="s">
        <v>162</v>
      </c>
      <c r="B182" s="270" t="s">
        <v>345</v>
      </c>
      <c r="C182" s="53" t="s">
        <v>231</v>
      </c>
      <c r="D182" s="271" t="s">
        <v>347</v>
      </c>
      <c r="E182" s="271" t="s">
        <v>158</v>
      </c>
      <c r="F182" s="272">
        <f>12</f>
        <v>12</v>
      </c>
      <c r="G182" s="273">
        <v>38000</v>
      </c>
      <c r="H182" s="273">
        <f>F182*G182</f>
        <v>456000</v>
      </c>
      <c r="I182" s="273">
        <v>60000</v>
      </c>
      <c r="J182" s="273">
        <f>F182*I182</f>
        <v>720000</v>
      </c>
      <c r="K182" s="273">
        <f>G182+I182</f>
        <v>98000</v>
      </c>
      <c r="L182" s="274">
        <f>F182*K182</f>
        <v>1176000</v>
      </c>
      <c r="M182" s="340"/>
      <c r="N182" s="276" t="s">
        <v>193</v>
      </c>
      <c r="O182" s="277"/>
      <c r="P182" s="278">
        <f>11*1.5</f>
        <v>16.5</v>
      </c>
      <c r="Q182" s="341"/>
      <c r="R182" s="341"/>
    </row>
    <row r="183" spans="1:18" s="276" customFormat="1" ht="18" customHeight="1">
      <c r="A183" s="53" t="s">
        <v>162</v>
      </c>
      <c r="B183" s="270" t="s">
        <v>346</v>
      </c>
      <c r="C183" s="53" t="s">
        <v>212</v>
      </c>
      <c r="D183" s="271" t="s">
        <v>347</v>
      </c>
      <c r="E183" s="271" t="s">
        <v>158</v>
      </c>
      <c r="F183" s="272">
        <v>40</v>
      </c>
      <c r="G183" s="273">
        <v>38000</v>
      </c>
      <c r="H183" s="273">
        <f>F183*G183</f>
        <v>1520000</v>
      </c>
      <c r="I183" s="273">
        <v>60000</v>
      </c>
      <c r="J183" s="273">
        <f>F183*I183</f>
        <v>2400000</v>
      </c>
      <c r="K183" s="273">
        <f>G183+I183</f>
        <v>98000</v>
      </c>
      <c r="L183" s="274">
        <f>F183*K183</f>
        <v>3920000</v>
      </c>
      <c r="M183" s="342"/>
      <c r="O183" s="277">
        <f>11*2.1</f>
        <v>23.1</v>
      </c>
      <c r="P183" s="278">
        <f>7.5*2.4*1.5</f>
        <v>27</v>
      </c>
      <c r="Q183" s="341"/>
      <c r="R183" s="341"/>
    </row>
    <row r="184" spans="1:18" s="52" customFormat="1" ht="18" customHeight="1">
      <c r="A184" s="53" t="s">
        <v>162</v>
      </c>
      <c r="B184" s="47" t="s">
        <v>116</v>
      </c>
      <c r="C184" s="53" t="s">
        <v>386</v>
      </c>
      <c r="D184" s="48"/>
      <c r="E184" s="48" t="s">
        <v>71</v>
      </c>
      <c r="F184" s="54">
        <v>2</v>
      </c>
      <c r="G184" s="50">
        <v>450000</v>
      </c>
      <c r="H184" s="50">
        <f>F184*G184</f>
        <v>900000</v>
      </c>
      <c r="I184" s="50">
        <v>0</v>
      </c>
      <c r="J184" s="50">
        <f>F184*I184</f>
        <v>0</v>
      </c>
      <c r="K184" s="50">
        <f>G184+I184</f>
        <v>450000</v>
      </c>
      <c r="L184" s="51">
        <f>F184*K184</f>
        <v>900000</v>
      </c>
      <c r="M184" s="176"/>
      <c r="O184" s="165"/>
      <c r="P184" s="170"/>
      <c r="Q184" s="341"/>
      <c r="R184" s="341"/>
    </row>
    <row r="185" spans="1:18" s="52" customFormat="1" ht="18" customHeight="1">
      <c r="A185" s="53"/>
      <c r="B185" s="47"/>
      <c r="C185" s="53"/>
      <c r="D185" s="48"/>
      <c r="E185" s="48"/>
      <c r="F185" s="54"/>
      <c r="G185" s="50"/>
      <c r="H185" s="50"/>
      <c r="I185" s="50"/>
      <c r="J185" s="50"/>
      <c r="K185" s="50"/>
      <c r="L185" s="51"/>
      <c r="M185" s="176"/>
      <c r="O185" s="165"/>
      <c r="P185" s="170"/>
      <c r="Q185" s="341"/>
      <c r="R185" s="341"/>
    </row>
    <row r="186" spans="1:18" s="52" customFormat="1" ht="18" customHeight="1">
      <c r="A186" s="46">
        <v>-1</v>
      </c>
      <c r="B186" s="47" t="s">
        <v>344</v>
      </c>
      <c r="C186" s="46"/>
      <c r="D186" s="48"/>
      <c r="E186" s="48"/>
      <c r="F186" s="49"/>
      <c r="G186" s="50"/>
      <c r="H186" s="50"/>
      <c r="I186" s="50"/>
      <c r="J186" s="50"/>
      <c r="K186" s="50"/>
      <c r="L186" s="51"/>
      <c r="M186" s="176"/>
      <c r="O186" s="165"/>
      <c r="P186" s="170"/>
      <c r="Q186" s="341"/>
      <c r="R186" s="341"/>
    </row>
    <row r="187" spans="1:18" s="276" customFormat="1" ht="18" customHeight="1">
      <c r="A187" s="323" t="s">
        <v>12</v>
      </c>
      <c r="B187" s="270" t="s">
        <v>117</v>
      </c>
      <c r="C187" s="323" t="s">
        <v>212</v>
      </c>
      <c r="D187" s="271"/>
      <c r="E187" s="271" t="s">
        <v>11</v>
      </c>
      <c r="F187" s="272">
        <f>6*1.2</f>
        <v>7.1999999999999993</v>
      </c>
      <c r="G187" s="273">
        <v>38000</v>
      </c>
      <c r="H187" s="273">
        <f>F187*G187</f>
        <v>273600</v>
      </c>
      <c r="I187" s="273">
        <v>60000</v>
      </c>
      <c r="J187" s="273">
        <f>F187*I187</f>
        <v>431999.99999999994</v>
      </c>
      <c r="K187" s="273">
        <f>G187+I187</f>
        <v>98000</v>
      </c>
      <c r="L187" s="274">
        <f>F187*K187</f>
        <v>705599.99999999988</v>
      </c>
      <c r="M187" s="342"/>
      <c r="O187" s="277">
        <f>12.6*1.5</f>
        <v>18.899999999999999</v>
      </c>
      <c r="P187" s="278">
        <f>6*1.5</f>
        <v>9</v>
      </c>
      <c r="Q187" s="341"/>
      <c r="R187" s="341"/>
    </row>
    <row r="188" spans="1:18" s="52" customFormat="1" ht="18" customHeight="1">
      <c r="A188" s="53"/>
      <c r="B188" s="47"/>
      <c r="C188" s="46"/>
      <c r="D188" s="48"/>
      <c r="E188" s="48"/>
      <c r="F188" s="54"/>
      <c r="G188" s="50"/>
      <c r="H188" s="50"/>
      <c r="I188" s="50"/>
      <c r="J188" s="50"/>
      <c r="K188" s="50"/>
      <c r="L188" s="51"/>
      <c r="M188" s="176"/>
      <c r="O188" s="165"/>
      <c r="P188" s="170"/>
      <c r="Q188" s="337"/>
      <c r="R188" s="337"/>
    </row>
    <row r="189" spans="1:18" ht="18" customHeight="1">
      <c r="A189" s="9" t="s">
        <v>246</v>
      </c>
      <c r="B189" s="299" t="s">
        <v>252</v>
      </c>
      <c r="C189" s="9" t="s">
        <v>249</v>
      </c>
      <c r="D189" s="48"/>
      <c r="E189" s="48" t="s">
        <v>11</v>
      </c>
      <c r="F189" s="54">
        <f>13*1.2</f>
        <v>15.6</v>
      </c>
      <c r="G189" s="50">
        <v>20000</v>
      </c>
      <c r="H189" s="50">
        <f t="shared" ref="H189" si="50">F189*G189</f>
        <v>312000</v>
      </c>
      <c r="I189" s="50">
        <v>40000</v>
      </c>
      <c r="J189" s="50">
        <f t="shared" ref="J189" si="51">F189*I189</f>
        <v>624000</v>
      </c>
      <c r="K189" s="50">
        <f t="shared" ref="K189" si="52">G189+I189</f>
        <v>60000</v>
      </c>
      <c r="L189" s="51">
        <f t="shared" ref="L189" si="53">F189*K189</f>
        <v>936000</v>
      </c>
      <c r="M189" s="176"/>
      <c r="O189" s="162">
        <f>17*1.5</f>
        <v>25.5</v>
      </c>
    </row>
    <row r="190" spans="1:18" s="52" customFormat="1" ht="18" customHeight="1">
      <c r="A190" s="53"/>
      <c r="B190" s="47"/>
      <c r="C190" s="53"/>
      <c r="D190" s="48"/>
      <c r="E190" s="48"/>
      <c r="F190" s="272"/>
      <c r="G190" s="273"/>
      <c r="H190" s="273"/>
      <c r="I190" s="273"/>
      <c r="J190" s="273"/>
      <c r="K190" s="273"/>
      <c r="L190" s="274"/>
      <c r="M190" s="176"/>
      <c r="O190" s="165"/>
      <c r="P190" s="170"/>
      <c r="Q190" s="341"/>
      <c r="R190" s="341"/>
    </row>
    <row r="191" spans="1:18" s="17" customFormat="1" ht="18" customHeight="1">
      <c r="A191" s="11"/>
      <c r="B191" s="11" t="s">
        <v>13</v>
      </c>
      <c r="C191" s="11"/>
      <c r="D191" s="13"/>
      <c r="E191" s="13"/>
      <c r="F191" s="45"/>
      <c r="G191" s="42"/>
      <c r="H191" s="42">
        <f>SUM(H182:H190)</f>
        <v>3461600</v>
      </c>
      <c r="I191" s="42"/>
      <c r="J191" s="42">
        <f>SUM(J182:J190)</f>
        <v>4176000</v>
      </c>
      <c r="K191" s="42"/>
      <c r="L191" s="42">
        <f>SUM(L182:L190)</f>
        <v>7637600</v>
      </c>
      <c r="M191" s="176"/>
      <c r="O191" s="163"/>
      <c r="P191" s="168"/>
      <c r="Q191" s="337">
        <v>6200000</v>
      </c>
      <c r="R191" s="337">
        <f>H191-Q191</f>
        <v>-2738400</v>
      </c>
    </row>
    <row r="192" spans="1:18" ht="18" customHeight="1">
      <c r="A192" s="9"/>
      <c r="B192" s="10"/>
      <c r="C192" s="9"/>
      <c r="D192" s="4"/>
      <c r="E192" s="4"/>
      <c r="F192" s="44"/>
      <c r="G192" s="24"/>
      <c r="H192" s="24"/>
      <c r="I192" s="24"/>
      <c r="J192" s="24"/>
      <c r="K192" s="24"/>
      <c r="L192" s="25"/>
      <c r="M192" s="176"/>
    </row>
    <row r="193" spans="1:22" s="17" customFormat="1" ht="18" customHeight="1">
      <c r="A193" s="39" t="s">
        <v>335</v>
      </c>
      <c r="B193" s="40" t="s">
        <v>63</v>
      </c>
      <c r="C193" s="333"/>
      <c r="D193" s="13"/>
      <c r="E193" s="13"/>
      <c r="F193" s="45"/>
      <c r="G193" s="42"/>
      <c r="H193" s="42"/>
      <c r="I193" s="42"/>
      <c r="J193" s="42"/>
      <c r="K193" s="42"/>
      <c r="L193" s="43"/>
      <c r="M193" s="176"/>
      <c r="O193" s="163"/>
      <c r="P193" s="168"/>
      <c r="Q193" s="337"/>
      <c r="R193" s="337"/>
    </row>
    <row r="194" spans="1:22" ht="18" customHeight="1">
      <c r="A194" s="9">
        <v>-1</v>
      </c>
      <c r="B194" s="10" t="s">
        <v>119</v>
      </c>
      <c r="C194" s="9"/>
      <c r="D194" s="4"/>
      <c r="E194" s="4"/>
      <c r="F194" s="44"/>
      <c r="G194" s="24"/>
      <c r="H194" s="24"/>
      <c r="I194" s="24"/>
      <c r="J194" s="24"/>
      <c r="K194" s="24"/>
      <c r="L194" s="25"/>
      <c r="M194" s="176"/>
    </row>
    <row r="195" spans="1:22" ht="18" customHeight="1">
      <c r="A195" s="9" t="s">
        <v>162</v>
      </c>
      <c r="B195" s="10" t="s">
        <v>148</v>
      </c>
      <c r="C195" s="9" t="s">
        <v>363</v>
      </c>
      <c r="D195" s="4" t="s">
        <v>255</v>
      </c>
      <c r="E195" s="4" t="s">
        <v>39</v>
      </c>
      <c r="F195" s="44">
        <v>137</v>
      </c>
      <c r="G195" s="24">
        <v>7700</v>
      </c>
      <c r="H195" s="24">
        <f>F195*G195</f>
        <v>1054900</v>
      </c>
      <c r="I195" s="24">
        <v>8000</v>
      </c>
      <c r="J195" s="24">
        <f>F195*I195</f>
        <v>1096000</v>
      </c>
      <c r="K195" s="24">
        <f>G195+I195</f>
        <v>15700</v>
      </c>
      <c r="L195" s="25">
        <f>F195*K195</f>
        <v>2150900</v>
      </c>
      <c r="M195" s="176"/>
    </row>
    <row r="196" spans="1:22" s="362" customFormat="1" ht="18" customHeight="1">
      <c r="A196" s="9" t="s">
        <v>162</v>
      </c>
      <c r="B196" s="315" t="s">
        <v>147</v>
      </c>
      <c r="C196" s="9" t="s">
        <v>363</v>
      </c>
      <c r="D196" s="359" t="s">
        <v>394</v>
      </c>
      <c r="E196" s="359" t="s">
        <v>39</v>
      </c>
      <c r="F196" s="360">
        <v>236</v>
      </c>
      <c r="G196" s="311">
        <v>7700</v>
      </c>
      <c r="H196" s="311">
        <f>F196*G196</f>
        <v>1817200</v>
      </c>
      <c r="I196" s="311">
        <v>8000</v>
      </c>
      <c r="J196" s="311">
        <f>F196*I196</f>
        <v>1888000</v>
      </c>
      <c r="K196" s="311">
        <f>G196+I196</f>
        <v>15700</v>
      </c>
      <c r="L196" s="312">
        <f>F196*K196</f>
        <v>3705200</v>
      </c>
      <c r="M196" s="361"/>
      <c r="O196" s="363">
        <f>(53*2.3)</f>
        <v>121.89999999999999</v>
      </c>
      <c r="P196" s="364"/>
      <c r="Q196" s="365"/>
      <c r="R196" s="365"/>
    </row>
    <row r="197" spans="1:22" ht="18" customHeight="1">
      <c r="A197" s="9"/>
      <c r="B197" s="10"/>
      <c r="C197" s="9"/>
      <c r="D197" s="4"/>
      <c r="E197" s="4"/>
      <c r="F197" s="44"/>
      <c r="G197" s="24"/>
      <c r="H197" s="24"/>
      <c r="I197" s="24"/>
      <c r="J197" s="24"/>
      <c r="K197" s="24"/>
      <c r="L197" s="25"/>
      <c r="M197" s="176"/>
    </row>
    <row r="198" spans="1:22" s="17" customFormat="1" ht="18" customHeight="1">
      <c r="A198" s="11"/>
      <c r="B198" s="11" t="s">
        <v>13</v>
      </c>
      <c r="C198" s="11"/>
      <c r="D198" s="13"/>
      <c r="E198" s="13"/>
      <c r="F198" s="45"/>
      <c r="G198" s="42"/>
      <c r="H198" s="42">
        <f>SUM(H195:H196)</f>
        <v>2872100</v>
      </c>
      <c r="I198" s="42"/>
      <c r="J198" s="42">
        <f>SUM(J195:J196)</f>
        <v>2984000</v>
      </c>
      <c r="K198" s="42"/>
      <c r="L198" s="43">
        <f>SUM(L195:L196)</f>
        <v>5856100</v>
      </c>
      <c r="M198" s="176"/>
      <c r="O198" s="163"/>
      <c r="P198" s="168"/>
      <c r="Q198" s="337"/>
      <c r="R198" s="337"/>
    </row>
    <row r="199" spans="1:22" ht="18" customHeight="1">
      <c r="A199" s="9"/>
      <c r="B199" s="10"/>
      <c r="C199" s="9"/>
      <c r="D199" s="4"/>
      <c r="E199" s="4"/>
      <c r="F199" s="44"/>
      <c r="G199" s="24"/>
      <c r="H199" s="24"/>
      <c r="I199" s="24"/>
      <c r="J199" s="24"/>
      <c r="K199" s="24"/>
      <c r="L199" s="25"/>
      <c r="M199" s="176"/>
    </row>
    <row r="200" spans="1:22" s="17" customFormat="1" ht="18" customHeight="1">
      <c r="A200" s="39" t="s">
        <v>32</v>
      </c>
      <c r="B200" s="40" t="s">
        <v>64</v>
      </c>
      <c r="C200" s="333"/>
      <c r="D200" s="13"/>
      <c r="E200" s="13"/>
      <c r="F200" s="45"/>
      <c r="G200" s="42"/>
      <c r="H200" s="42"/>
      <c r="I200" s="42"/>
      <c r="J200" s="42"/>
      <c r="K200" s="42"/>
      <c r="L200" s="43"/>
      <c r="M200" s="176"/>
      <c r="O200" s="163"/>
      <c r="P200" s="168"/>
      <c r="Q200" s="337"/>
      <c r="R200" s="337"/>
      <c r="T200" s="17">
        <v>20</v>
      </c>
      <c r="U200" s="17">
        <v>35000</v>
      </c>
      <c r="V200" s="17">
        <f>T200*U200</f>
        <v>700000</v>
      </c>
    </row>
    <row r="201" spans="1:22" s="295" customFormat="1" ht="18" customHeight="1">
      <c r="A201" s="298">
        <v>-1</v>
      </c>
      <c r="B201" s="299" t="s">
        <v>121</v>
      </c>
      <c r="C201" s="335" t="s">
        <v>210</v>
      </c>
      <c r="D201" s="292"/>
      <c r="E201" s="292" t="s">
        <v>221</v>
      </c>
      <c r="F201" s="300">
        <v>1</v>
      </c>
      <c r="G201" s="293">
        <v>150000</v>
      </c>
      <c r="H201" s="293">
        <f>F201*G201</f>
        <v>150000</v>
      </c>
      <c r="I201" s="293">
        <v>150000</v>
      </c>
      <c r="J201" s="293">
        <f>F201*I201</f>
        <v>150000</v>
      </c>
      <c r="K201" s="293">
        <f>G201+I201</f>
        <v>300000</v>
      </c>
      <c r="L201" s="294">
        <f>F201*K201</f>
        <v>300000</v>
      </c>
      <c r="M201" s="291"/>
      <c r="O201" s="296"/>
      <c r="P201" s="297"/>
      <c r="Q201" s="337"/>
      <c r="R201" s="337"/>
      <c r="T201" s="295">
        <v>46</v>
      </c>
    </row>
    <row r="202" spans="1:22" ht="18" customHeight="1">
      <c r="A202" s="9">
        <v>-1</v>
      </c>
      <c r="B202" s="10" t="s">
        <v>120</v>
      </c>
      <c r="C202" s="9"/>
      <c r="D202" s="4"/>
      <c r="E202" s="4" t="s">
        <v>71</v>
      </c>
      <c r="F202" s="44">
        <v>1</v>
      </c>
      <c r="G202" s="24">
        <v>150000</v>
      </c>
      <c r="H202" s="24">
        <f>F202*G202</f>
        <v>150000</v>
      </c>
      <c r="I202" s="24">
        <v>270000</v>
      </c>
      <c r="J202" s="24">
        <f>F202*I202</f>
        <v>270000</v>
      </c>
      <c r="K202" s="24">
        <f>G202+I202</f>
        <v>420000</v>
      </c>
      <c r="L202" s="25">
        <f>F202*K202</f>
        <v>420000</v>
      </c>
      <c r="M202" s="176"/>
    </row>
    <row r="203" spans="1:22" ht="18" customHeight="1">
      <c r="A203" s="9">
        <v>-1</v>
      </c>
      <c r="B203" s="10" t="s">
        <v>149</v>
      </c>
      <c r="C203" s="9"/>
      <c r="D203" s="4"/>
      <c r="E203" s="4" t="s">
        <v>71</v>
      </c>
      <c r="F203" s="44">
        <v>2</v>
      </c>
      <c r="G203" s="24">
        <v>150000</v>
      </c>
      <c r="H203" s="24">
        <f>F203*G203</f>
        <v>300000</v>
      </c>
      <c r="I203" s="24">
        <v>150000</v>
      </c>
      <c r="J203" s="24">
        <f>F203*I203</f>
        <v>300000</v>
      </c>
      <c r="K203" s="24">
        <f>G203+I203</f>
        <v>300000</v>
      </c>
      <c r="L203" s="25">
        <f>F203*K203</f>
        <v>600000</v>
      </c>
      <c r="M203" s="176"/>
    </row>
    <row r="204" spans="1:22" ht="18" customHeight="1">
      <c r="A204" s="9"/>
      <c r="B204" s="10"/>
      <c r="C204" s="9"/>
      <c r="D204" s="4"/>
      <c r="E204" s="4"/>
      <c r="F204" s="44"/>
      <c r="G204" s="24"/>
      <c r="H204" s="24"/>
      <c r="I204" s="24"/>
      <c r="J204" s="24"/>
      <c r="K204" s="24"/>
      <c r="L204" s="25"/>
      <c r="M204" s="176"/>
    </row>
    <row r="205" spans="1:22" s="17" customFormat="1" ht="18" customHeight="1">
      <c r="A205" s="11"/>
      <c r="B205" s="11" t="s">
        <v>13</v>
      </c>
      <c r="C205" s="11"/>
      <c r="D205" s="13"/>
      <c r="E205" s="13"/>
      <c r="F205" s="45"/>
      <c r="G205" s="42"/>
      <c r="H205" s="42">
        <f>SUM(H201:H204)</f>
        <v>600000</v>
      </c>
      <c r="I205" s="42"/>
      <c r="J205" s="42">
        <f>SUM(J201:J204)</f>
        <v>720000</v>
      </c>
      <c r="K205" s="42"/>
      <c r="L205" s="43">
        <f>SUM(L201:L204)</f>
        <v>1320000</v>
      </c>
      <c r="M205" s="176"/>
      <c r="O205" s="163"/>
      <c r="P205" s="168"/>
      <c r="Q205" s="337"/>
      <c r="R205" s="337"/>
    </row>
    <row r="206" spans="1:22" ht="18" customHeight="1">
      <c r="A206" s="9"/>
      <c r="B206" s="10"/>
      <c r="C206" s="9"/>
      <c r="D206" s="4"/>
      <c r="E206" s="4"/>
      <c r="F206" s="44"/>
      <c r="G206" s="24"/>
      <c r="H206" s="24"/>
      <c r="I206" s="24"/>
      <c r="J206" s="24"/>
      <c r="K206" s="24"/>
      <c r="L206" s="25"/>
      <c r="M206" s="176"/>
    </row>
    <row r="207" spans="1:22" s="17" customFormat="1" ht="18" customHeight="1">
      <c r="A207" s="39" t="s">
        <v>336</v>
      </c>
      <c r="B207" s="40" t="s">
        <v>118</v>
      </c>
      <c r="C207" s="333"/>
      <c r="D207" s="13"/>
      <c r="E207" s="13"/>
      <c r="F207" s="45"/>
      <c r="G207" s="42"/>
      <c r="H207" s="42"/>
      <c r="I207" s="42"/>
      <c r="J207" s="42"/>
      <c r="K207" s="42"/>
      <c r="L207" s="43"/>
      <c r="M207" s="176"/>
      <c r="O207" s="163"/>
      <c r="P207" s="168"/>
      <c r="Q207" s="337"/>
      <c r="R207" s="337"/>
    </row>
    <row r="208" spans="1:22" ht="18" customHeight="1">
      <c r="A208" s="9">
        <v>-1</v>
      </c>
      <c r="B208" s="10" t="s">
        <v>228</v>
      </c>
      <c r="C208" s="9" t="s">
        <v>421</v>
      </c>
      <c r="D208" s="4"/>
      <c r="E208" s="4" t="s">
        <v>229</v>
      </c>
      <c r="F208" s="44">
        <f>44*1.2</f>
        <v>52.8</v>
      </c>
      <c r="G208" s="24">
        <v>153000</v>
      </c>
      <c r="H208" s="50">
        <f t="shared" ref="H208" si="54">F208*G208</f>
        <v>8078400</v>
      </c>
      <c r="I208" s="24"/>
      <c r="J208" s="50">
        <f t="shared" ref="J208" si="55">F208*I208</f>
        <v>0</v>
      </c>
      <c r="K208" s="24">
        <f t="shared" ref="K208" si="56">G208+I208</f>
        <v>153000</v>
      </c>
      <c r="L208" s="25">
        <f t="shared" ref="L208" si="57">F208*K208</f>
        <v>8078400</v>
      </c>
      <c r="M208" s="176"/>
    </row>
    <row r="209" spans="1:18" ht="18" customHeight="1">
      <c r="A209" s="9"/>
      <c r="B209" s="10"/>
      <c r="C209" s="9"/>
      <c r="D209" s="4"/>
      <c r="E209" s="4"/>
      <c r="F209" s="44"/>
      <c r="G209" s="24"/>
      <c r="H209" s="50"/>
      <c r="I209" s="24"/>
      <c r="J209" s="50"/>
      <c r="K209" s="24"/>
      <c r="L209" s="25"/>
      <c r="M209" s="176"/>
    </row>
    <row r="210" spans="1:18" s="17" customFormat="1" ht="18" customHeight="1">
      <c r="A210" s="11"/>
      <c r="B210" s="11" t="s">
        <v>13</v>
      </c>
      <c r="C210" s="11"/>
      <c r="D210" s="13"/>
      <c r="E210" s="13"/>
      <c r="F210" s="45"/>
      <c r="G210" s="42"/>
      <c r="H210" s="42">
        <f>SUM(H208:H208)</f>
        <v>8078400</v>
      </c>
      <c r="I210" s="42"/>
      <c r="J210" s="42">
        <f>SUM(J208:J208)</f>
        <v>0</v>
      </c>
      <c r="K210" s="42"/>
      <c r="L210" s="42">
        <f>SUM(L208:L208)</f>
        <v>8078400</v>
      </c>
      <c r="M210" s="176"/>
      <c r="O210" s="163"/>
      <c r="P210" s="168"/>
      <c r="Q210" s="337"/>
      <c r="R210" s="337"/>
    </row>
    <row r="211" spans="1:18" ht="18" customHeight="1">
      <c r="A211" s="9"/>
      <c r="B211" s="10"/>
      <c r="C211" s="9"/>
      <c r="D211" s="4"/>
      <c r="E211" s="4"/>
      <c r="F211" s="44"/>
      <c r="G211" s="24"/>
      <c r="H211" s="24"/>
      <c r="I211" s="24"/>
      <c r="J211" s="24"/>
      <c r="K211" s="24"/>
      <c r="L211" s="25"/>
      <c r="M211" s="176"/>
    </row>
    <row r="212" spans="1:18" ht="18" customHeight="1">
      <c r="A212" s="39" t="s">
        <v>43</v>
      </c>
      <c r="B212" s="40" t="s">
        <v>122</v>
      </c>
      <c r="C212" s="333"/>
      <c r="D212" s="4"/>
      <c r="E212" s="4"/>
      <c r="F212" s="44"/>
      <c r="G212" s="24"/>
      <c r="H212" s="24"/>
      <c r="I212" s="24"/>
      <c r="J212" s="24"/>
      <c r="K212" s="24"/>
      <c r="L212" s="25"/>
      <c r="M212" s="176"/>
    </row>
    <row r="213" spans="1:18" s="52" customFormat="1" ht="18" customHeight="1">
      <c r="A213" s="53">
        <v>-1</v>
      </c>
      <c r="B213" s="47" t="s">
        <v>123</v>
      </c>
      <c r="C213" s="46" t="s">
        <v>124</v>
      </c>
      <c r="D213" s="48"/>
      <c r="E213" s="48" t="s">
        <v>71</v>
      </c>
      <c r="F213" s="54">
        <v>1</v>
      </c>
      <c r="G213" s="50">
        <v>0</v>
      </c>
      <c r="H213" s="50">
        <f>F213*G213</f>
        <v>0</v>
      </c>
      <c r="I213" s="173">
        <v>700000</v>
      </c>
      <c r="J213" s="50">
        <f>F213*I213</f>
        <v>700000</v>
      </c>
      <c r="K213" s="50">
        <f>G213+I213</f>
        <v>700000</v>
      </c>
      <c r="L213" s="51">
        <f>F213*K213</f>
        <v>700000</v>
      </c>
      <c r="M213" s="176"/>
      <c r="O213" s="165"/>
      <c r="P213" s="170"/>
      <c r="Q213" s="337"/>
      <c r="R213" s="337"/>
    </row>
    <row r="214" spans="1:18" s="52" customFormat="1" ht="18" customHeight="1">
      <c r="A214" s="53"/>
      <c r="B214" s="47"/>
      <c r="C214" s="46"/>
      <c r="D214" s="48"/>
      <c r="E214" s="48"/>
      <c r="F214" s="54"/>
      <c r="G214" s="50"/>
      <c r="H214" s="50"/>
      <c r="I214" s="50"/>
      <c r="J214" s="50"/>
      <c r="K214" s="50"/>
      <c r="L214" s="51"/>
      <c r="M214" s="176"/>
      <c r="O214" s="165"/>
      <c r="P214" s="170"/>
      <c r="Q214" s="337"/>
      <c r="R214" s="337"/>
    </row>
    <row r="215" spans="1:18" s="52" customFormat="1" ht="18" customHeight="1">
      <c r="A215" s="46">
        <v>-1</v>
      </c>
      <c r="B215" s="47" t="s">
        <v>163</v>
      </c>
      <c r="C215" s="46"/>
      <c r="D215" s="48"/>
      <c r="E215" s="48"/>
      <c r="F215" s="49"/>
      <c r="G215" s="50"/>
      <c r="H215" s="50"/>
      <c r="I215" s="24"/>
      <c r="J215" s="50"/>
      <c r="K215" s="50"/>
      <c r="L215" s="51"/>
      <c r="M215" s="176"/>
      <c r="O215" s="165"/>
      <c r="P215" s="170"/>
      <c r="Q215" s="337"/>
      <c r="R215" s="337"/>
    </row>
    <row r="216" spans="1:18" s="52" customFormat="1" ht="18" customHeight="1">
      <c r="A216" s="53" t="s">
        <v>12</v>
      </c>
      <c r="B216" s="47" t="s">
        <v>217</v>
      </c>
      <c r="C216" s="46" t="s">
        <v>348</v>
      </c>
      <c r="D216" s="48"/>
      <c r="E216" s="48" t="s">
        <v>39</v>
      </c>
      <c r="F216" s="54">
        <v>60</v>
      </c>
      <c r="G216" s="50">
        <v>12000</v>
      </c>
      <c r="H216" s="50">
        <f t="shared" ref="H216:H224" si="58">F216*G216</f>
        <v>720000</v>
      </c>
      <c r="I216" s="50">
        <v>17000</v>
      </c>
      <c r="J216" s="50">
        <f t="shared" ref="J216:J224" si="59">F216*I216</f>
        <v>1020000</v>
      </c>
      <c r="K216" s="50">
        <f t="shared" ref="K216:K221" si="60">G216+I216</f>
        <v>29000</v>
      </c>
      <c r="L216" s="51">
        <f t="shared" ref="L216:L224" si="61">F216*K216</f>
        <v>1740000</v>
      </c>
      <c r="M216" s="176"/>
      <c r="Q216" s="337"/>
      <c r="R216" s="337"/>
    </row>
    <row r="217" spans="1:18" s="52" customFormat="1" ht="18" customHeight="1">
      <c r="A217" s="53" t="s">
        <v>162</v>
      </c>
      <c r="B217" s="47" t="s">
        <v>172</v>
      </c>
      <c r="C217" s="53" t="s">
        <v>169</v>
      </c>
      <c r="D217" s="48"/>
      <c r="E217" s="48" t="s">
        <v>158</v>
      </c>
      <c r="F217" s="54">
        <v>60</v>
      </c>
      <c r="G217" s="50">
        <v>10000</v>
      </c>
      <c r="H217" s="50">
        <f>F217*G217</f>
        <v>600000</v>
      </c>
      <c r="I217" s="50">
        <v>15000</v>
      </c>
      <c r="J217" s="50">
        <f t="shared" si="59"/>
        <v>900000</v>
      </c>
      <c r="K217" s="50">
        <f t="shared" si="60"/>
        <v>25000</v>
      </c>
      <c r="L217" s="51">
        <f t="shared" si="61"/>
        <v>1500000</v>
      </c>
      <c r="M217" s="175"/>
      <c r="O217" s="165"/>
      <c r="P217" s="170"/>
      <c r="Q217" s="337"/>
      <c r="R217" s="337"/>
    </row>
    <row r="218" spans="1:18" s="52" customFormat="1" ht="18" customHeight="1">
      <c r="A218" s="53" t="s">
        <v>213</v>
      </c>
      <c r="B218" s="47" t="s">
        <v>215</v>
      </c>
      <c r="C218" s="46" t="s">
        <v>216</v>
      </c>
      <c r="D218" s="48"/>
      <c r="E218" s="48" t="s">
        <v>218</v>
      </c>
      <c r="F218" s="54">
        <v>83</v>
      </c>
      <c r="G218" s="50">
        <v>6000</v>
      </c>
      <c r="H218" s="50">
        <f t="shared" si="58"/>
        <v>498000</v>
      </c>
      <c r="I218" s="50">
        <v>12000</v>
      </c>
      <c r="J218" s="50">
        <f t="shared" si="59"/>
        <v>996000</v>
      </c>
      <c r="K218" s="50">
        <f t="shared" si="60"/>
        <v>18000</v>
      </c>
      <c r="L218" s="51">
        <f t="shared" si="61"/>
        <v>1494000</v>
      </c>
      <c r="M218" s="176"/>
      <c r="Q218" s="337"/>
      <c r="R218" s="337"/>
    </row>
    <row r="219" spans="1:18" s="52" customFormat="1" ht="18" hidden="1" customHeight="1">
      <c r="A219" s="53" t="s">
        <v>162</v>
      </c>
      <c r="B219" s="47" t="s">
        <v>177</v>
      </c>
      <c r="C219" s="53" t="s">
        <v>278</v>
      </c>
      <c r="D219" s="48"/>
      <c r="E219" s="48" t="s">
        <v>175</v>
      </c>
      <c r="F219" s="54">
        <v>0</v>
      </c>
      <c r="G219" s="50">
        <v>1000</v>
      </c>
      <c r="H219" s="50">
        <f t="shared" si="58"/>
        <v>0</v>
      </c>
      <c r="I219" s="50">
        <v>5500</v>
      </c>
      <c r="J219" s="50">
        <f t="shared" si="59"/>
        <v>0</v>
      </c>
      <c r="K219" s="50">
        <f t="shared" si="60"/>
        <v>6500</v>
      </c>
      <c r="L219" s="51">
        <f t="shared" si="61"/>
        <v>0</v>
      </c>
      <c r="M219" s="175"/>
      <c r="O219" s="165">
        <f>(3.3+3+3.3+0.6)+(2.1+0.4+0.7+1.4+4.3+1.9+2.4+3.2)+(2.9+2.7+2.1)+(2.3+3.6+3.9+1.3+2.2)</f>
        <v>47.599999999999994</v>
      </c>
      <c r="P219" s="170"/>
      <c r="Q219" s="337"/>
      <c r="R219" s="337"/>
    </row>
    <row r="220" spans="1:18" s="52" customFormat="1" ht="18" hidden="1" customHeight="1">
      <c r="A220" s="53" t="s">
        <v>213</v>
      </c>
      <c r="B220" s="47" t="s">
        <v>214</v>
      </c>
      <c r="C220" s="53" t="s">
        <v>242</v>
      </c>
      <c r="D220" s="48"/>
      <c r="E220" s="48" t="s">
        <v>211</v>
      </c>
      <c r="F220" s="54">
        <v>0</v>
      </c>
      <c r="G220" s="50">
        <v>2500</v>
      </c>
      <c r="H220" s="50">
        <f t="shared" si="58"/>
        <v>0</v>
      </c>
      <c r="I220" s="50">
        <v>5500</v>
      </c>
      <c r="J220" s="50">
        <f t="shared" si="59"/>
        <v>0</v>
      </c>
      <c r="K220" s="50">
        <f t="shared" si="60"/>
        <v>8000</v>
      </c>
      <c r="L220" s="51">
        <f t="shared" si="61"/>
        <v>0</v>
      </c>
      <c r="M220" s="175"/>
      <c r="O220" s="165"/>
      <c r="P220" s="170"/>
      <c r="Q220" s="337"/>
      <c r="R220" s="337"/>
    </row>
    <row r="221" spans="1:18" s="52" customFormat="1" ht="18" customHeight="1">
      <c r="A221" s="53" t="s">
        <v>272</v>
      </c>
      <c r="B221" s="47" t="s">
        <v>276</v>
      </c>
      <c r="C221" s="46" t="s">
        <v>277</v>
      </c>
      <c r="D221" s="48"/>
      <c r="E221" s="48" t="s">
        <v>267</v>
      </c>
      <c r="F221" s="54">
        <v>7</v>
      </c>
      <c r="G221" s="50">
        <v>100000</v>
      </c>
      <c r="H221" s="50">
        <f>F221*G221</f>
        <v>700000</v>
      </c>
      <c r="I221" s="50">
        <v>120000</v>
      </c>
      <c r="J221" s="50">
        <f>F221*I221</f>
        <v>840000</v>
      </c>
      <c r="K221" s="50">
        <f t="shared" si="60"/>
        <v>220000</v>
      </c>
      <c r="L221" s="51">
        <f>F221*K221</f>
        <v>1540000</v>
      </c>
      <c r="M221" s="175"/>
      <c r="O221" s="165"/>
      <c r="P221" s="170"/>
      <c r="Q221" s="337"/>
      <c r="R221" s="337"/>
    </row>
    <row r="222" spans="1:18" s="52" customFormat="1" ht="18" hidden="1" customHeight="1">
      <c r="A222" s="53"/>
      <c r="B222" s="47"/>
      <c r="C222" s="53"/>
      <c r="D222" s="48"/>
      <c r="E222" s="48"/>
      <c r="F222" s="54"/>
      <c r="G222" s="50"/>
      <c r="H222" s="50">
        <f t="shared" si="58"/>
        <v>0</v>
      </c>
      <c r="I222" s="50"/>
      <c r="J222" s="50">
        <f t="shared" si="59"/>
        <v>0</v>
      </c>
      <c r="K222" s="50"/>
      <c r="L222" s="51">
        <f t="shared" si="61"/>
        <v>0</v>
      </c>
      <c r="M222" s="175"/>
      <c r="O222" s="165"/>
      <c r="P222" s="170"/>
      <c r="Q222" s="337"/>
      <c r="R222" s="337"/>
    </row>
    <row r="223" spans="1:18" s="52" customFormat="1" ht="18" hidden="1" customHeight="1">
      <c r="A223" s="53" t="s">
        <v>162</v>
      </c>
      <c r="B223" s="47" t="s">
        <v>171</v>
      </c>
      <c r="C223" s="53" t="s">
        <v>168</v>
      </c>
      <c r="D223" s="48"/>
      <c r="E223" s="48" t="s">
        <v>158</v>
      </c>
      <c r="F223" s="54"/>
      <c r="G223" s="50">
        <v>17000</v>
      </c>
      <c r="H223" s="50">
        <f t="shared" si="58"/>
        <v>0</v>
      </c>
      <c r="I223" s="50">
        <v>28000</v>
      </c>
      <c r="J223" s="50">
        <f t="shared" si="59"/>
        <v>0</v>
      </c>
      <c r="K223" s="50">
        <f>G223+I223</f>
        <v>45000</v>
      </c>
      <c r="L223" s="51">
        <f t="shared" si="61"/>
        <v>0</v>
      </c>
      <c r="M223" s="175"/>
      <c r="O223" s="165"/>
      <c r="P223" s="170"/>
      <c r="Q223" s="337"/>
      <c r="R223" s="337"/>
    </row>
    <row r="224" spans="1:18" s="52" customFormat="1" ht="18" hidden="1" customHeight="1">
      <c r="A224" s="53" t="s">
        <v>162</v>
      </c>
      <c r="B224" s="47" t="s">
        <v>172</v>
      </c>
      <c r="C224" s="53" t="s">
        <v>125</v>
      </c>
      <c r="D224" s="48"/>
      <c r="E224" s="48" t="s">
        <v>158</v>
      </c>
      <c r="F224" s="54"/>
      <c r="G224" s="50">
        <v>6000</v>
      </c>
      <c r="H224" s="50">
        <f t="shared" si="58"/>
        <v>0</v>
      </c>
      <c r="I224" s="50">
        <v>23000</v>
      </c>
      <c r="J224" s="50">
        <f t="shared" si="59"/>
        <v>0</v>
      </c>
      <c r="K224" s="50">
        <f>G224+I224</f>
        <v>29000</v>
      </c>
      <c r="L224" s="51">
        <f t="shared" si="61"/>
        <v>0</v>
      </c>
      <c r="M224" s="175"/>
      <c r="O224" s="165"/>
      <c r="P224" s="170"/>
      <c r="Q224" s="337"/>
      <c r="R224" s="337"/>
    </row>
    <row r="225" spans="1:18" s="52" customFormat="1" ht="18" customHeight="1">
      <c r="A225" s="53"/>
      <c r="B225" s="47"/>
      <c r="C225" s="53"/>
      <c r="D225" s="48"/>
      <c r="E225" s="48"/>
      <c r="F225" s="54"/>
      <c r="G225" s="50"/>
      <c r="H225" s="50"/>
      <c r="I225" s="50"/>
      <c r="J225" s="50"/>
      <c r="K225" s="50"/>
      <c r="L225" s="51"/>
      <c r="M225" s="175"/>
      <c r="O225" s="165"/>
      <c r="P225" s="170"/>
      <c r="Q225" s="337"/>
      <c r="R225" s="337"/>
    </row>
    <row r="226" spans="1:18" s="52" customFormat="1" ht="18" customHeight="1">
      <c r="A226" s="46">
        <v>-1</v>
      </c>
      <c r="B226" s="47" t="s">
        <v>126</v>
      </c>
      <c r="C226" s="46"/>
      <c r="D226" s="48"/>
      <c r="E226" s="48"/>
      <c r="F226" s="49"/>
      <c r="G226" s="50"/>
      <c r="H226" s="50"/>
      <c r="I226" s="50"/>
      <c r="J226" s="50"/>
      <c r="K226" s="50"/>
      <c r="L226" s="51"/>
      <c r="M226" s="175"/>
      <c r="O226" s="165"/>
      <c r="P226" s="170"/>
      <c r="Q226" s="337"/>
      <c r="R226" s="337"/>
    </row>
    <row r="227" spans="1:18" s="356" customFormat="1" ht="18" customHeight="1">
      <c r="A227" s="171" t="s">
        <v>12</v>
      </c>
      <c r="B227" s="10" t="s">
        <v>127</v>
      </c>
      <c r="C227" s="9" t="s">
        <v>348</v>
      </c>
      <c r="D227" s="353"/>
      <c r="E227" s="353" t="s">
        <v>39</v>
      </c>
      <c r="F227" s="354">
        <v>80</v>
      </c>
      <c r="G227" s="24">
        <v>12000</v>
      </c>
      <c r="H227" s="24">
        <f>F227*G227</f>
        <v>960000</v>
      </c>
      <c r="I227" s="24">
        <v>17000</v>
      </c>
      <c r="J227" s="24">
        <f>F227*I227</f>
        <v>1360000</v>
      </c>
      <c r="K227" s="24">
        <f>G227+I227</f>
        <v>29000</v>
      </c>
      <c r="L227" s="25">
        <f>F227*K227</f>
        <v>2320000</v>
      </c>
      <c r="M227" s="355"/>
      <c r="O227" s="357">
        <f>(2.7+3+0.8+3.5)*2.4+28</f>
        <v>52</v>
      </c>
      <c r="P227" s="358"/>
      <c r="Q227" s="339"/>
      <c r="R227" s="339"/>
    </row>
    <row r="228" spans="1:18" s="356" customFormat="1" ht="18" customHeight="1">
      <c r="A228" s="171" t="s">
        <v>178</v>
      </c>
      <c r="B228" s="10" t="s">
        <v>355</v>
      </c>
      <c r="C228" s="9" t="s">
        <v>125</v>
      </c>
      <c r="D228" s="353"/>
      <c r="E228" s="353" t="s">
        <v>204</v>
      </c>
      <c r="F228" s="354">
        <v>100</v>
      </c>
      <c r="G228" s="24">
        <v>6000</v>
      </c>
      <c r="H228" s="24">
        <f>F228*G228</f>
        <v>600000</v>
      </c>
      <c r="I228" s="24">
        <v>12000</v>
      </c>
      <c r="J228" s="24">
        <f>F228*I228</f>
        <v>1200000</v>
      </c>
      <c r="K228" s="24">
        <f>G228+I228</f>
        <v>18000</v>
      </c>
      <c r="L228" s="25">
        <f>F228*K228</f>
        <v>1800000</v>
      </c>
      <c r="M228" s="355"/>
      <c r="Q228" s="339"/>
      <c r="R228" s="339"/>
    </row>
    <row r="229" spans="1:18" s="356" customFormat="1" ht="18" hidden="1" customHeight="1">
      <c r="A229" s="171" t="s">
        <v>12</v>
      </c>
      <c r="B229" s="10" t="s">
        <v>196</v>
      </c>
      <c r="C229" s="171" t="s">
        <v>169</v>
      </c>
      <c r="D229" s="353"/>
      <c r="E229" s="353" t="s">
        <v>39</v>
      </c>
      <c r="F229" s="354"/>
      <c r="G229" s="24">
        <v>15000</v>
      </c>
      <c r="H229" s="24">
        <f t="shared" ref="H229:H236" si="62">F229*G229</f>
        <v>0</v>
      </c>
      <c r="I229" s="24">
        <v>15000</v>
      </c>
      <c r="J229" s="24">
        <f>F229*I229</f>
        <v>0</v>
      </c>
      <c r="K229" s="24">
        <f>G229+I229</f>
        <v>30000</v>
      </c>
      <c r="L229" s="25">
        <f>F229*K229</f>
        <v>0</v>
      </c>
      <c r="M229" s="355"/>
      <c r="Q229" s="339"/>
      <c r="R229" s="339"/>
    </row>
    <row r="230" spans="1:18" s="356" customFormat="1" ht="18" customHeight="1">
      <c r="A230" s="171" t="s">
        <v>200</v>
      </c>
      <c r="B230" s="10" t="s">
        <v>205</v>
      </c>
      <c r="C230" s="171" t="s">
        <v>298</v>
      </c>
      <c r="D230" s="353"/>
      <c r="E230" s="353" t="s">
        <v>204</v>
      </c>
      <c r="F230" s="354">
        <v>32</v>
      </c>
      <c r="G230" s="24">
        <v>15000</v>
      </c>
      <c r="H230" s="24">
        <f t="shared" si="62"/>
        <v>480000</v>
      </c>
      <c r="I230" s="24">
        <v>15000</v>
      </c>
      <c r="J230" s="24">
        <f>F230*I230</f>
        <v>480000</v>
      </c>
      <c r="K230" s="24">
        <f>G230+I230</f>
        <v>30000</v>
      </c>
      <c r="L230" s="25">
        <f>F230*K230</f>
        <v>960000</v>
      </c>
      <c r="M230" s="355"/>
      <c r="Q230" s="339"/>
      <c r="R230" s="339"/>
    </row>
    <row r="231" spans="1:18" s="52" customFormat="1" ht="18" customHeight="1">
      <c r="A231" s="53" t="s">
        <v>162</v>
      </c>
      <c r="B231" s="47" t="s">
        <v>176</v>
      </c>
      <c r="C231" s="53" t="s">
        <v>278</v>
      </c>
      <c r="D231" s="48"/>
      <c r="E231" s="48" t="s">
        <v>175</v>
      </c>
      <c r="F231" s="54">
        <v>68</v>
      </c>
      <c r="G231" s="50">
        <v>1000</v>
      </c>
      <c r="H231" s="50">
        <f t="shared" si="62"/>
        <v>68000</v>
      </c>
      <c r="I231" s="50">
        <v>4000</v>
      </c>
      <c r="J231" s="50">
        <f t="shared" ref="J231:J236" si="63">F231*I231</f>
        <v>272000</v>
      </c>
      <c r="K231" s="50">
        <f t="shared" ref="K231:K236" si="64">G231+I231</f>
        <v>5000</v>
      </c>
      <c r="L231" s="51">
        <f t="shared" ref="L231:L236" si="65">F231*K231</f>
        <v>340000</v>
      </c>
      <c r="M231" s="175"/>
      <c r="O231" s="165"/>
      <c r="P231" s="170"/>
      <c r="Q231" s="337"/>
      <c r="R231" s="337"/>
    </row>
    <row r="232" spans="1:18" s="52" customFormat="1" ht="18" customHeight="1">
      <c r="A232" s="53"/>
      <c r="B232" s="47"/>
      <c r="C232" s="53"/>
      <c r="D232" s="48"/>
      <c r="E232" s="48"/>
      <c r="F232" s="54"/>
      <c r="G232" s="50"/>
      <c r="H232" s="50"/>
      <c r="I232" s="50"/>
      <c r="J232" s="50"/>
      <c r="K232" s="50"/>
      <c r="L232" s="51"/>
      <c r="M232" s="175"/>
      <c r="O232" s="165"/>
      <c r="P232" s="170"/>
      <c r="Q232" s="337"/>
      <c r="R232" s="337"/>
    </row>
    <row r="233" spans="1:18" s="52" customFormat="1" ht="18" hidden="1" customHeight="1">
      <c r="A233" s="53" t="s">
        <v>162</v>
      </c>
      <c r="B233" s="47" t="s">
        <v>165</v>
      </c>
      <c r="C233" s="53" t="s">
        <v>168</v>
      </c>
      <c r="D233" s="48"/>
      <c r="E233" s="48" t="s">
        <v>158</v>
      </c>
      <c r="F233" s="54"/>
      <c r="G233" s="50">
        <v>12000</v>
      </c>
      <c r="H233" s="50">
        <f t="shared" si="62"/>
        <v>0</v>
      </c>
      <c r="I233" s="50">
        <v>20000</v>
      </c>
      <c r="J233" s="50">
        <f t="shared" si="63"/>
        <v>0</v>
      </c>
      <c r="K233" s="50">
        <f t="shared" si="64"/>
        <v>32000</v>
      </c>
      <c r="L233" s="51">
        <f t="shared" si="65"/>
        <v>0</v>
      </c>
      <c r="M233" s="176"/>
      <c r="O233" s="165"/>
      <c r="P233" s="170"/>
      <c r="Q233" s="337"/>
      <c r="R233" s="337"/>
    </row>
    <row r="234" spans="1:18" s="52" customFormat="1" ht="18" hidden="1" customHeight="1">
      <c r="A234" s="53" t="s">
        <v>162</v>
      </c>
      <c r="B234" s="47" t="s">
        <v>166</v>
      </c>
      <c r="C234" s="53" t="s">
        <v>169</v>
      </c>
      <c r="D234" s="48"/>
      <c r="E234" s="48" t="s">
        <v>158</v>
      </c>
      <c r="F234" s="54"/>
      <c r="G234" s="50">
        <v>10000</v>
      </c>
      <c r="H234" s="50">
        <f t="shared" si="62"/>
        <v>0</v>
      </c>
      <c r="I234" s="50">
        <v>15000</v>
      </c>
      <c r="J234" s="50">
        <f t="shared" si="63"/>
        <v>0</v>
      </c>
      <c r="K234" s="50">
        <f t="shared" si="64"/>
        <v>25000</v>
      </c>
      <c r="L234" s="51">
        <f t="shared" si="65"/>
        <v>0</v>
      </c>
      <c r="M234" s="176"/>
      <c r="O234" s="165"/>
      <c r="P234" s="170"/>
      <c r="Q234" s="337"/>
      <c r="R234" s="337"/>
    </row>
    <row r="235" spans="1:18" s="52" customFormat="1" ht="18" hidden="1" customHeight="1">
      <c r="A235" s="53" t="s">
        <v>162</v>
      </c>
      <c r="B235" s="47" t="s">
        <v>167</v>
      </c>
      <c r="C235" s="53" t="s">
        <v>170</v>
      </c>
      <c r="D235" s="48"/>
      <c r="E235" s="48" t="s">
        <v>158</v>
      </c>
      <c r="F235" s="54"/>
      <c r="G235" s="50">
        <v>25000</v>
      </c>
      <c r="H235" s="50">
        <f t="shared" si="62"/>
        <v>0</v>
      </c>
      <c r="I235" s="50">
        <v>20000</v>
      </c>
      <c r="J235" s="50">
        <f t="shared" si="63"/>
        <v>0</v>
      </c>
      <c r="K235" s="50">
        <f t="shared" si="64"/>
        <v>45000</v>
      </c>
      <c r="L235" s="51">
        <f t="shared" si="65"/>
        <v>0</v>
      </c>
      <c r="M235" s="176"/>
      <c r="O235" s="165"/>
      <c r="P235" s="170"/>
      <c r="Q235" s="337"/>
      <c r="R235" s="337"/>
    </row>
    <row r="236" spans="1:18" ht="18" hidden="1" customHeight="1">
      <c r="A236" s="171" t="s">
        <v>239</v>
      </c>
      <c r="B236" s="10" t="s">
        <v>240</v>
      </c>
      <c r="C236" s="171" t="s">
        <v>251</v>
      </c>
      <c r="D236" s="4"/>
      <c r="E236" s="4" t="s">
        <v>241</v>
      </c>
      <c r="F236" s="172"/>
      <c r="G236" s="24">
        <v>1750000</v>
      </c>
      <c r="H236" s="24">
        <f t="shared" si="62"/>
        <v>0</v>
      </c>
      <c r="I236" s="24">
        <v>250000</v>
      </c>
      <c r="J236" s="24">
        <f t="shared" si="63"/>
        <v>0</v>
      </c>
      <c r="K236" s="24">
        <f t="shared" si="64"/>
        <v>2000000</v>
      </c>
      <c r="L236" s="25">
        <f t="shared" si="65"/>
        <v>0</v>
      </c>
      <c r="M236" s="176"/>
    </row>
    <row r="237" spans="1:18" ht="18" hidden="1" customHeight="1">
      <c r="A237" s="171"/>
      <c r="B237" s="10"/>
      <c r="C237" s="171"/>
      <c r="D237" s="4"/>
      <c r="E237" s="4"/>
      <c r="F237" s="172"/>
      <c r="G237" s="24"/>
      <c r="H237" s="24"/>
      <c r="I237" s="24"/>
      <c r="J237" s="24"/>
      <c r="K237" s="24"/>
      <c r="L237" s="25"/>
      <c r="M237" s="176"/>
    </row>
    <row r="238" spans="1:18" ht="18" customHeight="1">
      <c r="A238" s="9">
        <v>-1</v>
      </c>
      <c r="B238" s="10" t="s">
        <v>128</v>
      </c>
      <c r="C238" s="9"/>
      <c r="D238" s="4"/>
      <c r="E238" s="4"/>
      <c r="F238" s="44"/>
      <c r="G238" s="24"/>
      <c r="H238" s="24"/>
      <c r="I238" s="24"/>
      <c r="J238" s="24"/>
      <c r="K238" s="24"/>
      <c r="L238" s="25"/>
      <c r="M238" s="176"/>
    </row>
    <row r="239" spans="1:18" ht="18" hidden="1" customHeight="1">
      <c r="A239" s="9" t="s">
        <v>308</v>
      </c>
      <c r="B239" s="10" t="s">
        <v>319</v>
      </c>
      <c r="C239" s="9" t="s">
        <v>316</v>
      </c>
      <c r="D239" s="4"/>
      <c r="E239" s="4" t="s">
        <v>314</v>
      </c>
      <c r="F239" s="172"/>
      <c r="G239" s="24">
        <v>450000</v>
      </c>
      <c r="H239" s="24">
        <f>F239*G239</f>
        <v>0</v>
      </c>
      <c r="I239" s="24">
        <v>300000</v>
      </c>
      <c r="J239" s="24">
        <f>F239*I239</f>
        <v>0</v>
      </c>
      <c r="K239" s="24">
        <f>G239+I239</f>
        <v>750000</v>
      </c>
      <c r="L239" s="25">
        <f>F239*K239</f>
        <v>0</v>
      </c>
      <c r="M239" s="176"/>
    </row>
    <row r="240" spans="1:18" s="387" customFormat="1" ht="18" customHeight="1">
      <c r="A240" s="158" t="s">
        <v>430</v>
      </c>
      <c r="B240" s="302" t="s">
        <v>431</v>
      </c>
      <c r="C240" s="158" t="s">
        <v>432</v>
      </c>
      <c r="D240" s="385"/>
      <c r="E240" s="385" t="s">
        <v>434</v>
      </c>
      <c r="F240" s="386">
        <v>1</v>
      </c>
      <c r="G240" s="382">
        <v>0</v>
      </c>
      <c r="H240" s="382">
        <v>0</v>
      </c>
      <c r="I240" s="382">
        <v>0</v>
      </c>
      <c r="J240" s="382">
        <v>0</v>
      </c>
      <c r="K240" s="382">
        <v>0</v>
      </c>
      <c r="L240" s="383">
        <v>0</v>
      </c>
      <c r="M240" s="385" t="s">
        <v>433</v>
      </c>
      <c r="O240" s="388"/>
      <c r="P240" s="389"/>
      <c r="Q240" s="351"/>
      <c r="R240" s="351"/>
    </row>
    <row r="241" spans="1:18" s="362" customFormat="1" ht="18" customHeight="1">
      <c r="A241" s="9" t="s">
        <v>162</v>
      </c>
      <c r="B241" s="315" t="s">
        <v>410</v>
      </c>
      <c r="C241" s="9" t="s">
        <v>420</v>
      </c>
      <c r="D241" s="359"/>
      <c r="E241" s="359" t="s">
        <v>161</v>
      </c>
      <c r="F241" s="379">
        <v>2</v>
      </c>
      <c r="G241" s="311">
        <v>250000</v>
      </c>
      <c r="H241" s="311">
        <f t="shared" ref="H241" si="66">F241*G241</f>
        <v>500000</v>
      </c>
      <c r="I241" s="311">
        <v>300000</v>
      </c>
      <c r="J241" s="311">
        <f t="shared" ref="J241" si="67">F241*I241</f>
        <v>600000</v>
      </c>
      <c r="K241" s="311">
        <f t="shared" ref="K241" si="68">G241+I241</f>
        <v>550000</v>
      </c>
      <c r="L241" s="312">
        <f t="shared" ref="L241" si="69">F241*K241</f>
        <v>1100000</v>
      </c>
      <c r="M241" s="361"/>
      <c r="O241" s="363"/>
      <c r="P241" s="364"/>
      <c r="Q241" s="365"/>
      <c r="R241" s="365"/>
    </row>
    <row r="242" spans="1:18" ht="18" customHeight="1">
      <c r="A242" s="9" t="s">
        <v>370</v>
      </c>
      <c r="B242" s="10" t="s">
        <v>396</v>
      </c>
      <c r="C242" s="9" t="s">
        <v>397</v>
      </c>
      <c r="D242" s="4"/>
      <c r="E242" s="4" t="s">
        <v>398</v>
      </c>
      <c r="F242" s="172">
        <v>1</v>
      </c>
      <c r="G242" s="24">
        <v>100000</v>
      </c>
      <c r="H242" s="24">
        <f t="shared" ref="H242:H247" si="70">F242*G242</f>
        <v>100000</v>
      </c>
      <c r="I242" s="24">
        <v>350000</v>
      </c>
      <c r="J242" s="24">
        <f t="shared" ref="J242:J247" si="71">F242*I242</f>
        <v>350000</v>
      </c>
      <c r="K242" s="24">
        <f t="shared" ref="K242:K247" si="72">G242+I242</f>
        <v>450000</v>
      </c>
      <c r="L242" s="25">
        <f t="shared" ref="L242:L247" si="73">F242*K242</f>
        <v>450000</v>
      </c>
      <c r="M242" s="176"/>
    </row>
    <row r="243" spans="1:18" ht="18" customHeight="1">
      <c r="A243" s="171" t="s">
        <v>12</v>
      </c>
      <c r="B243" s="10" t="s">
        <v>206</v>
      </c>
      <c r="C243" s="171" t="s">
        <v>364</v>
      </c>
      <c r="D243" s="4"/>
      <c r="E243" s="4" t="s">
        <v>71</v>
      </c>
      <c r="F243" s="172">
        <v>8</v>
      </c>
      <c r="G243" s="24">
        <v>200000</v>
      </c>
      <c r="H243" s="24">
        <f t="shared" si="70"/>
        <v>1600000</v>
      </c>
      <c r="I243" s="24">
        <v>150000</v>
      </c>
      <c r="J243" s="24">
        <f t="shared" si="71"/>
        <v>1200000</v>
      </c>
      <c r="K243" s="24">
        <f t="shared" si="72"/>
        <v>350000</v>
      </c>
      <c r="L243" s="25">
        <f t="shared" si="73"/>
        <v>2800000</v>
      </c>
      <c r="M243" s="176"/>
    </row>
    <row r="244" spans="1:18" ht="18" customHeight="1">
      <c r="A244" s="171" t="s">
        <v>312</v>
      </c>
      <c r="B244" s="10" t="s">
        <v>339</v>
      </c>
      <c r="C244" s="171" t="s">
        <v>341</v>
      </c>
      <c r="D244" s="4"/>
      <c r="E244" s="4" t="s">
        <v>340</v>
      </c>
      <c r="F244" s="172">
        <v>8</v>
      </c>
      <c r="G244" s="24">
        <v>24000</v>
      </c>
      <c r="H244" s="24">
        <f t="shared" si="70"/>
        <v>192000</v>
      </c>
      <c r="I244" s="24">
        <v>30000</v>
      </c>
      <c r="J244" s="24">
        <f t="shared" si="71"/>
        <v>240000</v>
      </c>
      <c r="K244" s="24">
        <f t="shared" si="72"/>
        <v>54000</v>
      </c>
      <c r="L244" s="25">
        <f t="shared" si="73"/>
        <v>432000</v>
      </c>
      <c r="M244" s="176"/>
    </row>
    <row r="245" spans="1:18" s="276" customFormat="1" ht="18" hidden="1" customHeight="1">
      <c r="A245" s="53" t="s">
        <v>268</v>
      </c>
      <c r="B245" s="270" t="s">
        <v>269</v>
      </c>
      <c r="C245" s="323" t="s">
        <v>270</v>
      </c>
      <c r="D245" s="271"/>
      <c r="E245" s="271" t="s">
        <v>271</v>
      </c>
      <c r="F245" s="272">
        <v>0</v>
      </c>
      <c r="G245" s="311">
        <v>15000</v>
      </c>
      <c r="H245" s="311">
        <f t="shared" si="70"/>
        <v>0</v>
      </c>
      <c r="I245" s="311">
        <v>10000</v>
      </c>
      <c r="J245" s="311">
        <f t="shared" si="71"/>
        <v>0</v>
      </c>
      <c r="K245" s="311">
        <f t="shared" si="72"/>
        <v>25000</v>
      </c>
      <c r="L245" s="312">
        <f t="shared" si="73"/>
        <v>0</v>
      </c>
      <c r="M245" s="275"/>
      <c r="O245" s="277"/>
      <c r="P245" s="278"/>
      <c r="Q245" s="337"/>
      <c r="R245" s="337"/>
    </row>
    <row r="246" spans="1:18" s="276" customFormat="1" ht="18" hidden="1" customHeight="1">
      <c r="A246" s="53" t="s">
        <v>285</v>
      </c>
      <c r="B246" s="270" t="s">
        <v>286</v>
      </c>
      <c r="C246" s="323"/>
      <c r="D246" s="271" t="s">
        <v>287</v>
      </c>
      <c r="E246" s="271" t="s">
        <v>173</v>
      </c>
      <c r="F246" s="272"/>
      <c r="G246" s="311">
        <v>600000</v>
      </c>
      <c r="H246" s="311">
        <f t="shared" si="70"/>
        <v>0</v>
      </c>
      <c r="I246" s="311">
        <v>200000</v>
      </c>
      <c r="J246" s="311">
        <f t="shared" si="71"/>
        <v>0</v>
      </c>
      <c r="K246" s="311">
        <f t="shared" si="72"/>
        <v>800000</v>
      </c>
      <c r="L246" s="312">
        <f t="shared" si="73"/>
        <v>0</v>
      </c>
      <c r="M246" s="275"/>
      <c r="O246" s="277"/>
      <c r="P246" s="278"/>
      <c r="Q246" s="337"/>
      <c r="R246" s="337"/>
    </row>
    <row r="247" spans="1:18" s="276" customFormat="1" ht="18" hidden="1" customHeight="1">
      <c r="A247" s="53" t="s">
        <v>308</v>
      </c>
      <c r="B247" s="270" t="s">
        <v>309</v>
      </c>
      <c r="C247" s="323" t="s">
        <v>310</v>
      </c>
      <c r="D247" s="323"/>
      <c r="E247" s="271" t="s">
        <v>311</v>
      </c>
      <c r="F247" s="272">
        <v>0</v>
      </c>
      <c r="G247" s="311">
        <v>650000</v>
      </c>
      <c r="H247" s="311">
        <f t="shared" si="70"/>
        <v>0</v>
      </c>
      <c r="I247" s="311">
        <v>200000</v>
      </c>
      <c r="J247" s="311">
        <f t="shared" si="71"/>
        <v>0</v>
      </c>
      <c r="K247" s="311">
        <f t="shared" si="72"/>
        <v>850000</v>
      </c>
      <c r="L247" s="312">
        <f t="shared" si="73"/>
        <v>0</v>
      </c>
      <c r="M247" s="275"/>
      <c r="O247" s="277"/>
      <c r="P247" s="278"/>
      <c r="Q247" s="337">
        <v>1225400</v>
      </c>
      <c r="R247" s="337">
        <f>L247-Q247</f>
        <v>-1225400</v>
      </c>
    </row>
    <row r="248" spans="1:18" s="276" customFormat="1" ht="18" hidden="1" customHeight="1">
      <c r="A248" s="53"/>
      <c r="B248" s="270"/>
      <c r="C248" s="323"/>
      <c r="D248" s="377"/>
      <c r="E248" s="271"/>
      <c r="F248" s="272"/>
      <c r="G248" s="311"/>
      <c r="H248" s="311"/>
      <c r="I248" s="311"/>
      <c r="J248" s="311"/>
      <c r="K248" s="311"/>
      <c r="L248" s="312"/>
      <c r="M248" s="275"/>
      <c r="O248" s="277"/>
      <c r="P248" s="278"/>
      <c r="Q248" s="337"/>
      <c r="R248" s="337"/>
    </row>
    <row r="249" spans="1:18" s="374" customFormat="1" ht="18" hidden="1" customHeight="1">
      <c r="A249" s="367" t="s">
        <v>381</v>
      </c>
      <c r="B249" s="368" t="s">
        <v>399</v>
      </c>
      <c r="C249" s="367"/>
      <c r="D249" s="369"/>
      <c r="E249" s="369" t="s">
        <v>400</v>
      </c>
      <c r="F249" s="370">
        <v>0</v>
      </c>
      <c r="G249" s="371">
        <v>200000</v>
      </c>
      <c r="H249" s="371">
        <f>F249*G249</f>
        <v>0</v>
      </c>
      <c r="I249" s="371">
        <v>750000</v>
      </c>
      <c r="J249" s="371">
        <f>F249*I249</f>
        <v>0</v>
      </c>
      <c r="K249" s="371">
        <f>G249+I249</f>
        <v>950000</v>
      </c>
      <c r="L249" s="372">
        <f>F249*K249</f>
        <v>0</v>
      </c>
      <c r="M249" s="373"/>
      <c r="O249" s="375"/>
      <c r="P249" s="376"/>
      <c r="Q249" s="337"/>
      <c r="R249" s="337"/>
    </row>
    <row r="250" spans="1:18" s="374" customFormat="1" ht="18" hidden="1" customHeight="1">
      <c r="A250" s="367" t="s">
        <v>381</v>
      </c>
      <c r="B250" s="368" t="s">
        <v>399</v>
      </c>
      <c r="C250" s="367"/>
      <c r="D250" s="369"/>
      <c r="E250" s="369" t="s">
        <v>400</v>
      </c>
      <c r="F250" s="370">
        <v>0</v>
      </c>
      <c r="G250" s="371">
        <v>150000</v>
      </c>
      <c r="H250" s="371">
        <f>F250*G250</f>
        <v>0</v>
      </c>
      <c r="I250" s="371">
        <v>450000</v>
      </c>
      <c r="J250" s="371">
        <f>F250*I250</f>
        <v>0</v>
      </c>
      <c r="K250" s="371">
        <f>G250+I250</f>
        <v>600000</v>
      </c>
      <c r="L250" s="372">
        <f>F250*K250</f>
        <v>0</v>
      </c>
      <c r="M250" s="373"/>
      <c r="O250" s="375"/>
      <c r="P250" s="376"/>
      <c r="Q250" s="337"/>
      <c r="R250" s="337"/>
    </row>
    <row r="251" spans="1:18" s="356" customFormat="1" ht="18" customHeight="1">
      <c r="A251" s="9" t="s">
        <v>381</v>
      </c>
      <c r="B251" s="10" t="s">
        <v>399</v>
      </c>
      <c r="C251" s="9"/>
      <c r="D251" s="353"/>
      <c r="E251" s="353" t="s">
        <v>401</v>
      </c>
      <c r="F251" s="354">
        <v>1</v>
      </c>
      <c r="G251" s="24">
        <v>150000</v>
      </c>
      <c r="H251" s="24">
        <f>F251*G251</f>
        <v>150000</v>
      </c>
      <c r="I251" s="24">
        <v>300000</v>
      </c>
      <c r="J251" s="24">
        <f>F251*I251</f>
        <v>300000</v>
      </c>
      <c r="K251" s="24">
        <f>G251+I251</f>
        <v>450000</v>
      </c>
      <c r="L251" s="25">
        <f>F251*K251</f>
        <v>450000</v>
      </c>
      <c r="M251" s="355"/>
      <c r="O251" s="357"/>
      <c r="P251" s="358"/>
      <c r="Q251" s="339"/>
      <c r="R251" s="339"/>
    </row>
    <row r="252" spans="1:18" s="362" customFormat="1" ht="18" customHeight="1">
      <c r="A252" s="171" t="s">
        <v>370</v>
      </c>
      <c r="B252" s="315" t="s">
        <v>402</v>
      </c>
      <c r="C252" s="334" t="s">
        <v>403</v>
      </c>
      <c r="D252" s="380"/>
      <c r="E252" s="359" t="s">
        <v>398</v>
      </c>
      <c r="F252" s="379">
        <v>1</v>
      </c>
      <c r="G252" s="311">
        <v>1900000</v>
      </c>
      <c r="H252" s="311">
        <f>F252*G252</f>
        <v>1900000</v>
      </c>
      <c r="I252" s="311">
        <v>0</v>
      </c>
      <c r="J252" s="311">
        <f>F252*I252</f>
        <v>0</v>
      </c>
      <c r="K252" s="311">
        <f>G252+I252</f>
        <v>1900000</v>
      </c>
      <c r="L252" s="312">
        <f>F252*K252</f>
        <v>1900000</v>
      </c>
      <c r="M252" s="361"/>
      <c r="O252" s="363"/>
      <c r="P252" s="364"/>
      <c r="Q252" s="365"/>
      <c r="R252" s="365"/>
    </row>
    <row r="253" spans="1:18" ht="18" customHeight="1">
      <c r="A253" s="171"/>
      <c r="B253" s="10"/>
      <c r="C253" s="9"/>
      <c r="D253" s="4"/>
      <c r="E253" s="4"/>
      <c r="F253" s="172"/>
      <c r="G253" s="24"/>
      <c r="H253" s="24"/>
      <c r="I253" s="24"/>
      <c r="J253" s="24"/>
      <c r="K253" s="24"/>
      <c r="L253" s="25"/>
      <c r="M253" s="176"/>
    </row>
    <row r="254" spans="1:18" ht="18" customHeight="1">
      <c r="A254" s="9"/>
      <c r="B254" s="11" t="s">
        <v>13</v>
      </c>
      <c r="C254" s="9"/>
      <c r="D254" s="4"/>
      <c r="E254" s="4"/>
      <c r="F254" s="44"/>
      <c r="G254" s="42"/>
      <c r="H254" s="42">
        <f>SUM(H213:H253)</f>
        <v>9068000</v>
      </c>
      <c r="I254" s="42"/>
      <c r="J254" s="42">
        <f>SUM(J213:J253)</f>
        <v>10458000</v>
      </c>
      <c r="K254" s="42"/>
      <c r="L254" s="42">
        <f>SUM(L213:L252)</f>
        <v>19526000</v>
      </c>
      <c r="M254" s="176"/>
    </row>
    <row r="255" spans="1:18" ht="18" hidden="1" customHeight="1">
      <c r="A255" s="9"/>
      <c r="B255" s="11"/>
      <c r="C255" s="9"/>
      <c r="D255" s="4"/>
      <c r="E255" s="4"/>
      <c r="F255" s="44"/>
      <c r="G255" s="42"/>
      <c r="H255" s="42"/>
      <c r="I255" s="42"/>
      <c r="J255" s="42"/>
      <c r="K255" s="42"/>
      <c r="L255" s="43"/>
      <c r="M255" s="176"/>
    </row>
    <row r="256" spans="1:18" ht="18" hidden="1" customHeight="1">
      <c r="A256" s="9">
        <v>-1</v>
      </c>
      <c r="B256" s="11" t="s">
        <v>301</v>
      </c>
      <c r="C256" s="9"/>
      <c r="D256" s="4"/>
      <c r="E256" s="4"/>
      <c r="F256" s="44"/>
      <c r="G256" s="42"/>
      <c r="H256" s="42"/>
      <c r="I256" s="42"/>
      <c r="J256" s="42"/>
      <c r="K256" s="42"/>
      <c r="L256" s="43"/>
      <c r="M256" s="176"/>
    </row>
    <row r="257" spans="1:17" ht="18" hidden="1" customHeight="1">
      <c r="A257" s="9" t="s">
        <v>288</v>
      </c>
      <c r="B257" s="313" t="s">
        <v>289</v>
      </c>
      <c r="C257" s="9" t="s">
        <v>293</v>
      </c>
      <c r="D257" s="4" t="s">
        <v>296</v>
      </c>
      <c r="E257" s="4" t="s">
        <v>294</v>
      </c>
      <c r="F257" s="44"/>
      <c r="G257" s="24"/>
      <c r="H257" s="24"/>
      <c r="I257" s="24"/>
      <c r="J257" s="24"/>
      <c r="K257" s="24"/>
      <c r="L257" s="25">
        <v>7900000</v>
      </c>
      <c r="M257" s="330" t="s">
        <v>300</v>
      </c>
    </row>
    <row r="258" spans="1:17" ht="18" hidden="1" customHeight="1">
      <c r="A258" s="9" t="s">
        <v>288</v>
      </c>
      <c r="B258" s="313" t="s">
        <v>291</v>
      </c>
      <c r="C258" s="9" t="s">
        <v>303</v>
      </c>
      <c r="D258" s="4"/>
      <c r="E258" s="4" t="s">
        <v>294</v>
      </c>
      <c r="F258" s="44"/>
      <c r="G258" s="24"/>
      <c r="H258" s="24"/>
      <c r="I258" s="24"/>
      <c r="J258" s="24"/>
      <c r="K258" s="24"/>
      <c r="L258" s="25">
        <v>10400000</v>
      </c>
      <c r="M258" s="330" t="s">
        <v>300</v>
      </c>
    </row>
    <row r="259" spans="1:17" ht="18" hidden="1" customHeight="1">
      <c r="A259" s="9" t="s">
        <v>290</v>
      </c>
      <c r="B259" s="313" t="s">
        <v>297</v>
      </c>
      <c r="C259" s="9"/>
      <c r="D259" s="4"/>
      <c r="E259" s="4" t="s">
        <v>295</v>
      </c>
      <c r="F259" s="44"/>
      <c r="G259" s="24"/>
      <c r="H259" s="24"/>
      <c r="I259" s="24"/>
      <c r="J259" s="24"/>
      <c r="K259" s="24"/>
      <c r="L259" s="25">
        <v>11000000</v>
      </c>
      <c r="M259" s="330" t="s">
        <v>300</v>
      </c>
    </row>
    <row r="260" spans="1:17" ht="18" hidden="1" customHeight="1">
      <c r="A260" s="9" t="s">
        <v>288</v>
      </c>
      <c r="B260" s="313" t="s">
        <v>292</v>
      </c>
      <c r="C260" s="9"/>
      <c r="D260" s="4"/>
      <c r="E260" s="4" t="s">
        <v>299</v>
      </c>
      <c r="F260" s="329">
        <v>0</v>
      </c>
      <c r="G260" s="24"/>
      <c r="H260" s="24"/>
      <c r="I260" s="24"/>
      <c r="J260" s="24"/>
      <c r="K260" s="24"/>
      <c r="L260" s="314">
        <v>0</v>
      </c>
      <c r="M260" s="330" t="s">
        <v>300</v>
      </c>
    </row>
    <row r="261" spans="1:17" ht="18" customHeight="1">
      <c r="A261" s="9"/>
      <c r="B261" s="10"/>
      <c r="C261" s="9"/>
      <c r="D261" s="4"/>
      <c r="E261" s="4"/>
      <c r="F261" s="44"/>
      <c r="G261" s="24"/>
      <c r="H261" s="24"/>
      <c r="I261" s="24"/>
      <c r="J261" s="34"/>
      <c r="K261" s="24"/>
      <c r="L261" s="25"/>
      <c r="M261" s="176"/>
    </row>
    <row r="262" spans="1:17" ht="18" customHeight="1">
      <c r="A262" s="249"/>
      <c r="B262" s="249" t="s">
        <v>66</v>
      </c>
      <c r="C262" s="249"/>
      <c r="D262" s="250"/>
      <c r="E262" s="250"/>
      <c r="F262" s="251"/>
      <c r="G262" s="252"/>
      <c r="H262" s="266">
        <f>H59+H254+H210+H205+H198+H191+H178+H140+H124+H78+H66</f>
        <v>53339900</v>
      </c>
      <c r="I262" s="266"/>
      <c r="J262" s="266">
        <f>J59+J254+J210+J205+J198+J191+J178+J140+J124+J78+J66</f>
        <v>35967800</v>
      </c>
      <c r="K262" s="266"/>
      <c r="L262" s="266">
        <f>L59+L254+L210+L205+L198+L191+L178+L140+L124+L78+L66</f>
        <v>89300700</v>
      </c>
      <c r="M262" s="253"/>
      <c r="Q262" s="339"/>
    </row>
    <row r="263" spans="1:17" ht="18" customHeight="1">
      <c r="A263" s="9"/>
      <c r="B263" s="10"/>
      <c r="C263" s="9"/>
      <c r="D263" s="4"/>
      <c r="E263" s="4"/>
      <c r="F263" s="5"/>
      <c r="G263" s="6"/>
      <c r="H263" s="6"/>
      <c r="I263" s="6"/>
      <c r="J263" s="6"/>
      <c r="K263" s="6"/>
      <c r="L263" s="7"/>
      <c r="M263" s="176"/>
    </row>
    <row r="264" spans="1:17" ht="18" customHeight="1">
      <c r="A264" s="9"/>
      <c r="B264" s="10"/>
      <c r="C264" s="9"/>
      <c r="D264" s="4"/>
      <c r="E264" s="4"/>
      <c r="F264" s="5"/>
      <c r="G264" s="6"/>
      <c r="H264" s="6"/>
      <c r="I264" s="6"/>
      <c r="J264" s="55"/>
      <c r="K264" s="6"/>
      <c r="L264" s="7"/>
      <c r="M264" s="176"/>
    </row>
  </sheetData>
  <autoFilter ref="A4:M264"/>
  <mergeCells count="11">
    <mergeCell ref="M2:M3"/>
    <mergeCell ref="A1:M1"/>
    <mergeCell ref="A2:A3"/>
    <mergeCell ref="B2:B3"/>
    <mergeCell ref="C2:C3"/>
    <mergeCell ref="D2:D3"/>
    <mergeCell ref="E2:E3"/>
    <mergeCell ref="F2:F3"/>
    <mergeCell ref="G2:H2"/>
    <mergeCell ref="I2:J2"/>
    <mergeCell ref="K2:L2"/>
  </mergeCells>
  <phoneticPr fontId="22" type="noConversion"/>
  <pageMargins left="0.7" right="0.7" top="0.75" bottom="0.75" header="0.3" footer="0.3"/>
  <pageSetup paperSize="8" scale="93" fitToHeight="0" orientation="landscape" r:id="rId1"/>
  <rowBreaks count="8" manualBreakCount="8">
    <brk id="33" max="14" man="1"/>
    <brk id="47" max="14" man="1"/>
    <brk id="79" max="14" man="1"/>
    <brk id="124" max="14" man="1"/>
    <brk id="141" max="14" man="1"/>
    <brk id="179" max="14" man="1"/>
    <brk id="192" max="14" man="1"/>
    <brk id="211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4</vt:i4>
      </vt:variant>
    </vt:vector>
  </HeadingPairs>
  <TitlesOfParts>
    <vt:vector size="7" baseType="lpstr">
      <vt:lpstr>갑지</vt:lpstr>
      <vt:lpstr> 갑지-1</vt:lpstr>
      <vt:lpstr>상세</vt:lpstr>
      <vt:lpstr>' 갑지-1'!Print_Area</vt:lpstr>
      <vt:lpstr>상세!Print_Area</vt:lpstr>
      <vt:lpstr>' 갑지-1'!Print_Titles</vt:lpstr>
      <vt:lpstr>상세!Print_Titles</vt:lpstr>
    </vt:vector>
  </TitlesOfParts>
  <Company>RIDGE P&amp;C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</dc:creator>
  <cp:lastModifiedBy>asus</cp:lastModifiedBy>
  <cp:lastPrinted>2024-09-20T12:18:52Z</cp:lastPrinted>
  <dcterms:created xsi:type="dcterms:W3CDTF">1997-06-17T05:19:13Z</dcterms:created>
  <dcterms:modified xsi:type="dcterms:W3CDTF">2024-09-22T12:10:52Z</dcterms:modified>
</cp:coreProperties>
</file>