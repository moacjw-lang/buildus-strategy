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모해디자인\프로젝트\2025\2025.12_린스트라우스 리모델링 공사\01. 본사\05. 견적서\"/>
    </mc:Choice>
  </mc:AlternateContent>
  <bookViews>
    <workbookView xWindow="660" yWindow="615" windowWidth="25245" windowHeight="26400" tabRatio="680" activeTab="1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갑지-1'!$A$6:$M$36</definedName>
    <definedName name="_xlnm._FilterDatabase" localSheetId="0" hidden="1">[9]인사자료총집계!#REF!</definedName>
    <definedName name="_xlnm._FilterDatabase" localSheetId="2" hidden="1">상세!$A$4:$M$467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ab" hidden="1">1</definedName>
    <definedName name="abcd" localSheetId="1" hidden="1">[27]노임이!#REF!</definedName>
    <definedName name="abcd" localSheetId="0" hidden="1">[27]노임이!#REF!</definedName>
    <definedName name="abcd" localSheetId="2" hidden="1">[27]노임이!#REF!</definedName>
    <definedName name="abcd" hidden="1">[27]노임이!#REF!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[28]GAEYO!#REF!</definedName>
    <definedName name="ACDA" localSheetId="0" hidden="1">[28]GAEYO!#REF!</definedName>
    <definedName name="ACDA" localSheetId="2" hidden="1">[28]GAEYO!#REF!</definedName>
    <definedName name="ACDA" hidden="1">[28]GAEYO!#REF!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[10]노임이!#REF!</definedName>
    <definedName name="dkdkjf" localSheetId="0" hidden="1">[10]노임이!#REF!</definedName>
    <definedName name="dkdkjf" localSheetId="2" hidden="1">[10]노임이!#REF!</definedName>
    <definedName name="dkdkjf" hidden="1">[10]노임이!#REF!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gdfg" localSheetId="1" hidden="1">[29]차액보증!#REF!</definedName>
    <definedName name="gfgdfg" localSheetId="0" hidden="1">[29]차액보증!#REF!</definedName>
    <definedName name="gfgdfg" localSheetId="2" hidden="1">[29]차액보증!#REF!</definedName>
    <definedName name="gfgdfg" hidden="1">[29]차액보증!#REF!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갑지-1'!$A$1:$M$36</definedName>
    <definedName name="_xlnm.Print_Area" localSheetId="0">갑지!$A$1:$H$23</definedName>
    <definedName name="_xlnm.Print_Area" localSheetId="2">상세!$A$1:$M$467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[30]실행철강하도!$A$1:$A$4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[31]실행철강하도!$A$1:$A$4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[10]노임이!#REF!</definedName>
    <definedName name="가리" localSheetId="0" hidden="1">[10]노임이!#REF!</definedName>
    <definedName name="가리" localSheetId="2" hidden="1">[10]노임이!#REF!</definedName>
    <definedName name="가리" hidden="1">[10]노임이!#REF!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[11]전기!$B$4:$B$163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[12]프랜트면허!#REF!</definedName>
    <definedName name="계약의뢰" localSheetId="0" hidden="1">[12]프랜트면허!#REF!</definedName>
    <definedName name="계약의뢰" localSheetId="2" hidden="1">[12]프랜트면허!#REF!</definedName>
    <definedName name="계약의뢰" hidden="1">[12]프랜트면허!#REF!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[13]설계내역서!#REF!</definedName>
    <definedName name="공기1" localSheetId="0" hidden="1">[13]설계내역서!#REF!</definedName>
    <definedName name="공기1" localSheetId="2" hidden="1">[13]설계내역서!#REF!</definedName>
    <definedName name="공기1" hidden="1">[13]설계내역서!#REF!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[14]유림골조!#REF!</definedName>
    <definedName name="공통비" localSheetId="0" hidden="1">[14]유림골조!#REF!</definedName>
    <definedName name="공통비" localSheetId="2" hidden="1">[14]유림골조!#REF!</definedName>
    <definedName name="공통비" hidden="1">[14]유림골조!#REF!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[15]노임이!#REF!</definedName>
    <definedName name="기공" localSheetId="0" hidden="1">[15]노임이!#REF!</definedName>
    <definedName name="기공" localSheetId="2" hidden="1">[15]노임이!#REF!</definedName>
    <definedName name="기공" hidden="1">[15]노임이!#REF!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[16]유림골조!#REF!</definedName>
    <definedName name="ㅁㄴㅁㅇ" localSheetId="0" hidden="1">[16]유림골조!#REF!</definedName>
    <definedName name="ㅁㄴㅁㅇ" localSheetId="2" hidden="1">[16]유림골조!#REF!</definedName>
    <definedName name="ㅁㄴㅁㅇ" hidden="1">[16]유림골조!#REF!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[17]유림골조!#REF!</definedName>
    <definedName name="부대건축2" localSheetId="0" hidden="1">[17]유림골조!#REF!</definedName>
    <definedName name="부대건축2" localSheetId="2" hidden="1">[17]유림골조!#REF!</definedName>
    <definedName name="부대건축2" hidden="1">[17]유림골조!#REF!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[18]내역서!#REF!</definedName>
    <definedName name="ㅅㄱ" localSheetId="0" hidden="1">[18]내역서!#REF!</definedName>
    <definedName name="ㅅㄱ" localSheetId="2" hidden="1">[18]내역서!#REF!</definedName>
    <definedName name="ㅅㄱ" hidden="1">[18]내역서!#REF!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[19]실행철강하도!$A$1:$A$4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[20]추가예산!#REF!</definedName>
    <definedName name="영업외" localSheetId="0" hidden="1">[20]추가예산!#REF!</definedName>
    <definedName name="영업외" localSheetId="2" hidden="1">[20]추가예산!#REF!</definedName>
    <definedName name="영업외" hidden="1">[20]추가예산!#REF!</definedName>
    <definedName name="영업외수" localSheetId="1" hidden="1">[20]추가예산!#REF!</definedName>
    <definedName name="영업외수" localSheetId="0" hidden="1">[20]추가예산!#REF!</definedName>
    <definedName name="영업외수" localSheetId="2" hidden="1">[20]추가예산!#REF!</definedName>
    <definedName name="영업외수" hidden="1">[20]추가예산!#REF!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[21]실행철강하도!$A$1:$A$4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[11]전기!$A$4:$A$163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[22]집계표!#REF!</definedName>
    <definedName name="입찰금액안" localSheetId="0" hidden="1">[22]집계표!#REF!</definedName>
    <definedName name="입찰금액안" localSheetId="2" hidden="1">[22]집계표!#REF!</definedName>
    <definedName name="입찰금액안" hidden="1">[22]집계표!#REF!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[23]입찰안!#REF!</definedName>
    <definedName name="조사가" localSheetId="0" hidden="1">[23]입찰안!#REF!</definedName>
    <definedName name="조사가" localSheetId="2" hidden="1">[23]입찰안!#REF!</definedName>
    <definedName name="조사가" hidden="1">[23]입찰안!#REF!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[24]설계내역서!#REF!</definedName>
    <definedName name="충주" localSheetId="0" hidden="1">[24]설계내역서!#REF!</definedName>
    <definedName name="충주" localSheetId="2" hidden="1">[24]설계내역서!#REF!</definedName>
    <definedName name="충주" hidden="1">[24]설계내역서!#REF!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[25]입찰안!#REF!</definedName>
    <definedName name="호ㅓㅕㅏ6ㅅ서ㅛㅓ" localSheetId="0" hidden="1">[25]입찰안!#REF!</definedName>
    <definedName name="호ㅓㅕㅏ6ㅅ서ㅛㅓ" localSheetId="2" hidden="1">[25]입찰안!#REF!</definedName>
    <definedName name="호ㅓㅕㅏ6ㅅ서ㅛㅓ" hidden="1">[25]입찰안!#REF!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[19]실행철강하도!$A$1:$A$4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[26]집계표!#REF!</definedName>
    <definedName name="ㅔㅔ" localSheetId="0" hidden="1">[26]집계표!#REF!</definedName>
    <definedName name="ㅔㅔ" localSheetId="2" hidden="1">[26]집계표!#REF!</definedName>
    <definedName name="ㅔㅔ" hidden="1">[26]집계표!#REF!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" i="23313" l="1"/>
  <c r="L76" i="23313" s="1"/>
  <c r="J76" i="23313"/>
  <c r="H76" i="23313"/>
  <c r="G332" i="23313"/>
  <c r="K332" i="23313" s="1"/>
  <c r="L332" i="23313" s="1"/>
  <c r="K459" i="23313"/>
  <c r="L459" i="23313" s="1"/>
  <c r="J459" i="23313"/>
  <c r="H459" i="23313"/>
  <c r="F443" i="23313"/>
  <c r="F442" i="23313"/>
  <c r="K445" i="23313"/>
  <c r="F446" i="23313"/>
  <c r="J451" i="23313"/>
  <c r="K451" i="23313"/>
  <c r="L451" i="23313" s="1"/>
  <c r="H451" i="23313"/>
  <c r="K452" i="23313"/>
  <c r="L452" i="23313" s="1"/>
  <c r="J452" i="23313"/>
  <c r="H452" i="23313"/>
  <c r="K432" i="23313"/>
  <c r="L432" i="23313" s="1"/>
  <c r="J432" i="23313"/>
  <c r="H432" i="23313"/>
  <c r="F420" i="23313"/>
  <c r="F400" i="23313"/>
  <c r="F397" i="23313"/>
  <c r="K397" i="23313"/>
  <c r="L397" i="23313" s="1"/>
  <c r="J397" i="23313"/>
  <c r="H397" i="23313"/>
  <c r="K400" i="23313"/>
  <c r="L400" i="23313" s="1"/>
  <c r="J400" i="23313"/>
  <c r="H400" i="23313"/>
  <c r="F399" i="23313"/>
  <c r="F396" i="23313"/>
  <c r="K390" i="23313"/>
  <c r="L390" i="23313" s="1"/>
  <c r="J390" i="23313"/>
  <c r="H390" i="23313"/>
  <c r="F389" i="23313"/>
  <c r="K389" i="23313"/>
  <c r="J420" i="23313"/>
  <c r="K420" i="23313"/>
  <c r="H420" i="23313"/>
  <c r="F385" i="23313"/>
  <c r="F381" i="23313"/>
  <c r="F373" i="23313"/>
  <c r="F374" i="23313"/>
  <c r="F371" i="23313"/>
  <c r="F372" i="23313"/>
  <c r="K325" i="23313"/>
  <c r="L325" i="23313" s="1"/>
  <c r="J325" i="23313"/>
  <c r="H325" i="23313"/>
  <c r="K362" i="23313"/>
  <c r="L362" i="23313" s="1"/>
  <c r="J362" i="23313"/>
  <c r="H362" i="23313"/>
  <c r="J332" i="23313"/>
  <c r="H332" i="23313"/>
  <c r="K331" i="23313"/>
  <c r="L331" i="23313" s="1"/>
  <c r="J331" i="23313"/>
  <c r="H331" i="23313"/>
  <c r="K330" i="23313"/>
  <c r="L330" i="23313" s="1"/>
  <c r="J330" i="23313"/>
  <c r="H330" i="23313"/>
  <c r="K329" i="23313"/>
  <c r="L329" i="23313" s="1"/>
  <c r="J329" i="23313"/>
  <c r="H329" i="23313"/>
  <c r="K328" i="23313"/>
  <c r="L328" i="23313" s="1"/>
  <c r="J328" i="23313"/>
  <c r="H328" i="23313"/>
  <c r="K315" i="23313"/>
  <c r="L315" i="23313" s="1"/>
  <c r="J315" i="23313"/>
  <c r="H315" i="23313"/>
  <c r="G314" i="23313"/>
  <c r="J314" i="23313"/>
  <c r="F290" i="23313"/>
  <c r="K282" i="23313"/>
  <c r="L282" i="23313" s="1"/>
  <c r="J282" i="23313"/>
  <c r="H282" i="23313"/>
  <c r="K281" i="23313"/>
  <c r="L281" i="23313" s="1"/>
  <c r="J281" i="23313"/>
  <c r="H281" i="23313"/>
  <c r="K246" i="23313"/>
  <c r="L246" i="23313" s="1"/>
  <c r="J246" i="23313"/>
  <c r="H246" i="23313"/>
  <c r="K236" i="23313"/>
  <c r="L236" i="23313" s="1"/>
  <c r="J236" i="23313"/>
  <c r="H236" i="23313"/>
  <c r="K235" i="23313"/>
  <c r="F223" i="23313"/>
  <c r="F226" i="23313"/>
  <c r="F225" i="23313"/>
  <c r="K225" i="23313"/>
  <c r="K220" i="23313"/>
  <c r="L220" i="23313" s="1"/>
  <c r="J220" i="23313"/>
  <c r="H220" i="23313"/>
  <c r="K210" i="23313"/>
  <c r="L210" i="23313" s="1"/>
  <c r="J210" i="23313"/>
  <c r="H210" i="23313"/>
  <c r="K229" i="23313"/>
  <c r="L229" i="23313" s="1"/>
  <c r="J229" i="23313"/>
  <c r="H229" i="23313"/>
  <c r="K183" i="23313"/>
  <c r="L183" i="23313" s="1"/>
  <c r="J183" i="23313"/>
  <c r="H183" i="23313"/>
  <c r="K184" i="23313"/>
  <c r="L184" i="23313" s="1"/>
  <c r="J184" i="23313"/>
  <c r="H184" i="23313"/>
  <c r="K185" i="23313"/>
  <c r="L185" i="23313" s="1"/>
  <c r="J185" i="23313"/>
  <c r="H185" i="23313"/>
  <c r="K182" i="23313"/>
  <c r="L182" i="23313" s="1"/>
  <c r="J182" i="23313"/>
  <c r="H182" i="23313"/>
  <c r="K181" i="23313"/>
  <c r="L181" i="23313" s="1"/>
  <c r="J181" i="23313"/>
  <c r="H181" i="23313"/>
  <c r="K171" i="23313"/>
  <c r="L171" i="23313" s="1"/>
  <c r="J171" i="23313"/>
  <c r="H171" i="23313"/>
  <c r="K170" i="23313"/>
  <c r="L170" i="23313" s="1"/>
  <c r="J170" i="23313"/>
  <c r="H170" i="23313"/>
  <c r="K119" i="23313"/>
  <c r="L119" i="23313" s="1"/>
  <c r="J119" i="23313"/>
  <c r="H119" i="23313"/>
  <c r="K123" i="23313"/>
  <c r="L123" i="23313" s="1"/>
  <c r="J123" i="23313"/>
  <c r="H123" i="23313"/>
  <c r="K94" i="23313"/>
  <c r="L94" i="23313" s="1"/>
  <c r="J94" i="23313"/>
  <c r="H94" i="23313"/>
  <c r="K126" i="23313"/>
  <c r="L126" i="23313" s="1"/>
  <c r="J126" i="23313"/>
  <c r="H126" i="23313"/>
  <c r="H129" i="23313"/>
  <c r="J129" i="23313"/>
  <c r="K129" i="23313"/>
  <c r="L129" i="23313" s="1"/>
  <c r="K128" i="23313"/>
  <c r="L128" i="23313" s="1"/>
  <c r="J128" i="23313"/>
  <c r="H128" i="23313"/>
  <c r="K127" i="23313"/>
  <c r="L127" i="23313" s="1"/>
  <c r="J127" i="23313"/>
  <c r="H127" i="23313"/>
  <c r="K102" i="23313"/>
  <c r="L102" i="23313" s="1"/>
  <c r="J102" i="23313"/>
  <c r="H102" i="23313"/>
  <c r="K101" i="23313"/>
  <c r="L101" i="23313" s="1"/>
  <c r="J101" i="23313"/>
  <c r="H101" i="23313"/>
  <c r="K100" i="23313"/>
  <c r="L100" i="23313" s="1"/>
  <c r="J100" i="23313"/>
  <c r="H100" i="23313"/>
  <c r="K99" i="23313"/>
  <c r="L99" i="23313" s="1"/>
  <c r="J99" i="23313"/>
  <c r="H99" i="23313"/>
  <c r="K98" i="23313"/>
  <c r="L98" i="23313" s="1"/>
  <c r="J98" i="23313"/>
  <c r="H98" i="23313"/>
  <c r="K97" i="23313"/>
  <c r="L97" i="23313" s="1"/>
  <c r="J97" i="23313"/>
  <c r="H97" i="23313"/>
  <c r="K96" i="23313"/>
  <c r="L96" i="23313" s="1"/>
  <c r="J96" i="23313"/>
  <c r="H96" i="23313"/>
  <c r="K93" i="23313"/>
  <c r="L93" i="23313" s="1"/>
  <c r="J93" i="23313"/>
  <c r="H93" i="23313"/>
  <c r="F78" i="23313"/>
  <c r="F44" i="23313"/>
  <c r="K78" i="23313"/>
  <c r="K55" i="23313"/>
  <c r="L55" i="23313" s="1"/>
  <c r="J55" i="23313"/>
  <c r="H55" i="23313"/>
  <c r="J359" i="23313"/>
  <c r="O48" i="23309"/>
  <c r="K422" i="23313"/>
  <c r="L422" i="23313" s="1"/>
  <c r="J422" i="23313"/>
  <c r="H422" i="23313"/>
  <c r="K421" i="23313"/>
  <c r="K82" i="23313"/>
  <c r="L82" i="23313" s="1"/>
  <c r="J82" i="23313"/>
  <c r="H82" i="23313"/>
  <c r="K81" i="23313"/>
  <c r="K455" i="23313"/>
  <c r="L455" i="23313" s="1"/>
  <c r="J455" i="23313"/>
  <c r="H455" i="23313"/>
  <c r="K158" i="23313"/>
  <c r="K239" i="23313"/>
  <c r="L239" i="23313" s="1"/>
  <c r="J239" i="23313"/>
  <c r="H239" i="23313"/>
  <c r="K343" i="23313"/>
  <c r="L343" i="23313" s="1"/>
  <c r="J343" i="23313"/>
  <c r="H343" i="23313"/>
  <c r="K361" i="23313"/>
  <c r="L361" i="23313" s="1"/>
  <c r="J361" i="23313"/>
  <c r="H361" i="23313"/>
  <c r="K351" i="23313"/>
  <c r="L351" i="23313" s="1"/>
  <c r="J351" i="23313"/>
  <c r="H351" i="23313"/>
  <c r="J418" i="23313"/>
  <c r="K419" i="23313"/>
  <c r="K307" i="23313"/>
  <c r="L307" i="23313" s="1"/>
  <c r="J307" i="23313"/>
  <c r="H307" i="23313"/>
  <c r="K306" i="23313"/>
  <c r="L306" i="23313" s="1"/>
  <c r="J306" i="23313"/>
  <c r="H306" i="23313"/>
  <c r="K317" i="23313"/>
  <c r="L317" i="23313" s="1"/>
  <c r="J317" i="23313"/>
  <c r="H317" i="23313"/>
  <c r="K316" i="23313"/>
  <c r="L316" i="23313" s="1"/>
  <c r="J316" i="23313"/>
  <c r="H316" i="23313"/>
  <c r="K454" i="23313"/>
  <c r="L454" i="23313" s="1"/>
  <c r="J454" i="23313"/>
  <c r="H454" i="23313"/>
  <c r="K190" i="23313"/>
  <c r="L190" i="23313" s="1"/>
  <c r="J190" i="23313"/>
  <c r="H190" i="23313"/>
  <c r="K187" i="23313"/>
  <c r="L187" i="23313" s="1"/>
  <c r="J187" i="23313"/>
  <c r="H187" i="23313"/>
  <c r="K178" i="23313"/>
  <c r="L178" i="23313" s="1"/>
  <c r="J178" i="23313"/>
  <c r="H178" i="23313"/>
  <c r="K174" i="23313"/>
  <c r="L174" i="23313" s="1"/>
  <c r="J174" i="23313"/>
  <c r="H174" i="23313"/>
  <c r="K173" i="23313"/>
  <c r="L173" i="23313" s="1"/>
  <c r="J173" i="23313"/>
  <c r="H173" i="23313"/>
  <c r="K172" i="23313"/>
  <c r="L172" i="23313" s="1"/>
  <c r="J172" i="23313"/>
  <c r="H172" i="23313"/>
  <c r="K167" i="23313"/>
  <c r="L167" i="23313" s="1"/>
  <c r="J167" i="23313"/>
  <c r="H167" i="23313"/>
  <c r="H131" i="23313"/>
  <c r="J131" i="23313"/>
  <c r="K131" i="23313"/>
  <c r="L131" i="23313" s="1"/>
  <c r="H134" i="23313"/>
  <c r="J134" i="23313"/>
  <c r="K134" i="23313"/>
  <c r="L134" i="23313" s="1"/>
  <c r="H135" i="23313"/>
  <c r="J135" i="23313"/>
  <c r="K135" i="23313"/>
  <c r="L135" i="23313" s="1"/>
  <c r="H136" i="23313"/>
  <c r="J136" i="23313"/>
  <c r="K136" i="23313"/>
  <c r="L136" i="23313" s="1"/>
  <c r="H137" i="23313"/>
  <c r="J137" i="23313"/>
  <c r="K137" i="23313"/>
  <c r="L137" i="23313" s="1"/>
  <c r="H138" i="23313"/>
  <c r="J138" i="23313"/>
  <c r="K138" i="23313"/>
  <c r="L138" i="23313" s="1"/>
  <c r="H139" i="23313"/>
  <c r="J139" i="23313"/>
  <c r="K139" i="23313"/>
  <c r="L139" i="23313" s="1"/>
  <c r="H140" i="23313"/>
  <c r="J140" i="23313"/>
  <c r="K140" i="23313"/>
  <c r="L140" i="23313" s="1"/>
  <c r="H141" i="23313"/>
  <c r="J141" i="23313"/>
  <c r="K141" i="23313"/>
  <c r="L141" i="23313" s="1"/>
  <c r="H118" i="23313"/>
  <c r="J118" i="23313"/>
  <c r="K118" i="23313"/>
  <c r="L118" i="23313" s="1"/>
  <c r="H142" i="23313"/>
  <c r="J142" i="23313"/>
  <c r="K142" i="23313"/>
  <c r="L142" i="23313" s="1"/>
  <c r="H145" i="23313"/>
  <c r="J145" i="23313"/>
  <c r="K145" i="23313"/>
  <c r="L145" i="23313" s="1"/>
  <c r="H146" i="23313"/>
  <c r="J146" i="23313"/>
  <c r="K146" i="23313"/>
  <c r="L146" i="23313" s="1"/>
  <c r="H147" i="23313"/>
  <c r="J147" i="23313"/>
  <c r="K147" i="23313"/>
  <c r="L147" i="23313" s="1"/>
  <c r="H148" i="23313"/>
  <c r="J148" i="23313"/>
  <c r="K148" i="23313"/>
  <c r="L148" i="23313" s="1"/>
  <c r="S148" i="23313"/>
  <c r="H149" i="23313"/>
  <c r="J149" i="23313"/>
  <c r="K149" i="23313"/>
  <c r="L149" i="23313" s="1"/>
  <c r="S149" i="23313"/>
  <c r="H150" i="23313"/>
  <c r="J150" i="23313"/>
  <c r="K150" i="23313"/>
  <c r="L150" i="23313" s="1"/>
  <c r="H151" i="23313"/>
  <c r="J151" i="23313"/>
  <c r="K151" i="23313"/>
  <c r="L151" i="23313" s="1"/>
  <c r="H152" i="23313"/>
  <c r="J152" i="23313"/>
  <c r="K152" i="23313"/>
  <c r="L152" i="23313" s="1"/>
  <c r="H153" i="23313"/>
  <c r="J153" i="23313"/>
  <c r="K153" i="23313"/>
  <c r="L153" i="23313" s="1"/>
  <c r="H155" i="23313"/>
  <c r="J155" i="23313"/>
  <c r="K155" i="23313"/>
  <c r="L155" i="23313" s="1"/>
  <c r="H156" i="23313"/>
  <c r="J156" i="23313"/>
  <c r="K156" i="23313"/>
  <c r="L156" i="23313" s="1"/>
  <c r="H157" i="23313"/>
  <c r="J157" i="23313"/>
  <c r="K157" i="23313"/>
  <c r="L157" i="23313" s="1"/>
  <c r="K103" i="23313"/>
  <c r="L103" i="23313" s="1"/>
  <c r="J103" i="23313"/>
  <c r="H103" i="23313"/>
  <c r="K112" i="23313"/>
  <c r="L112" i="23313" s="1"/>
  <c r="J112" i="23313"/>
  <c r="H112" i="23313"/>
  <c r="K111" i="23313"/>
  <c r="L111" i="23313" s="1"/>
  <c r="J111" i="23313"/>
  <c r="H111" i="23313"/>
  <c r="K110" i="23313"/>
  <c r="L110" i="23313" s="1"/>
  <c r="J110" i="23313"/>
  <c r="H110" i="23313"/>
  <c r="K106" i="23313"/>
  <c r="L106" i="23313" s="1"/>
  <c r="J106" i="23313"/>
  <c r="H106" i="23313"/>
  <c r="K105" i="23313"/>
  <c r="L105" i="23313" s="1"/>
  <c r="J105" i="23313"/>
  <c r="H105" i="23313"/>
  <c r="K104" i="23313"/>
  <c r="L104" i="23313" s="1"/>
  <c r="J104" i="23313"/>
  <c r="H104" i="23313"/>
  <c r="K83" i="23313"/>
  <c r="K403" i="23313"/>
  <c r="L403" i="23313" s="1"/>
  <c r="J403" i="23313"/>
  <c r="H403" i="23313"/>
  <c r="K252" i="23313"/>
  <c r="L252" i="23313" s="1"/>
  <c r="J252" i="23313"/>
  <c r="H252" i="23313"/>
  <c r="K219" i="23313"/>
  <c r="L219" i="23313" s="1"/>
  <c r="J219" i="23313"/>
  <c r="H219" i="23313"/>
  <c r="K278" i="23313"/>
  <c r="L278" i="23313" s="1"/>
  <c r="J278" i="23313"/>
  <c r="H278" i="23313"/>
  <c r="K277" i="23313"/>
  <c r="L277" i="23313" s="1"/>
  <c r="J277" i="23313"/>
  <c r="H277" i="23313"/>
  <c r="K217" i="23313"/>
  <c r="L217" i="23313" s="1"/>
  <c r="J217" i="23313"/>
  <c r="H217" i="23313"/>
  <c r="K218" i="23313"/>
  <c r="L218" i="23313" s="1"/>
  <c r="J218" i="23313"/>
  <c r="H218" i="23313"/>
  <c r="K255" i="23313"/>
  <c r="L255" i="23313" s="1"/>
  <c r="J255" i="23313"/>
  <c r="H255" i="23313"/>
  <c r="K254" i="23313"/>
  <c r="L254" i="23313" s="1"/>
  <c r="J254" i="23313"/>
  <c r="H254" i="23313"/>
  <c r="K253" i="23313"/>
  <c r="L253" i="23313" s="1"/>
  <c r="J253" i="23313"/>
  <c r="H253" i="23313"/>
  <c r="K19" i="23313"/>
  <c r="L19" i="23313" s="1"/>
  <c r="J19" i="23313"/>
  <c r="H19" i="23313"/>
  <c r="K20" i="23313"/>
  <c r="L20" i="23313" s="1"/>
  <c r="J20" i="23313"/>
  <c r="H20" i="23313"/>
  <c r="K416" i="23313"/>
  <c r="G417" i="23313"/>
  <c r="K417" i="23313" s="1"/>
  <c r="K401" i="23313"/>
  <c r="K402" i="23313"/>
  <c r="L402" i="23313" s="1"/>
  <c r="J402" i="23313"/>
  <c r="H402" i="23313"/>
  <c r="K399" i="23313"/>
  <c r="K164" i="23313"/>
  <c r="L164" i="23313" s="1"/>
  <c r="J164" i="23313"/>
  <c r="H164" i="23313"/>
  <c r="K130" i="23313"/>
  <c r="L130" i="23313" s="1"/>
  <c r="J130" i="23313"/>
  <c r="H130" i="23313"/>
  <c r="K280" i="23313"/>
  <c r="L280" i="23313" s="1"/>
  <c r="J280" i="23313"/>
  <c r="H280" i="23313"/>
  <c r="K279" i="23313"/>
  <c r="K275" i="23313"/>
  <c r="L275" i="23313" s="1"/>
  <c r="J275" i="23313"/>
  <c r="H275" i="23313"/>
  <c r="K80" i="23313"/>
  <c r="L80" i="23313" s="1"/>
  <c r="J80" i="23313"/>
  <c r="H80" i="23313"/>
  <c r="K433" i="23313"/>
  <c r="L433" i="23313" s="1"/>
  <c r="J433" i="23313"/>
  <c r="H433" i="23313"/>
  <c r="K453" i="23313"/>
  <c r="L453" i="23313" s="1"/>
  <c r="J453" i="23313"/>
  <c r="H453" i="23313"/>
  <c r="K161" i="23313"/>
  <c r="L161" i="23313" s="1"/>
  <c r="J161" i="23313"/>
  <c r="H161" i="23313"/>
  <c r="K108" i="23313"/>
  <c r="L108" i="23313" s="1"/>
  <c r="J108" i="23313"/>
  <c r="H108" i="23313"/>
  <c r="K177" i="23313"/>
  <c r="L177" i="23313" s="1"/>
  <c r="J177" i="23313"/>
  <c r="H177" i="23313"/>
  <c r="K176" i="23313"/>
  <c r="L176" i="23313" s="1"/>
  <c r="J176" i="23313"/>
  <c r="H176" i="23313"/>
  <c r="Q305" i="23313"/>
  <c r="K324" i="23313"/>
  <c r="L324" i="23313" s="1"/>
  <c r="J324" i="23313"/>
  <c r="H324" i="23313"/>
  <c r="K348" i="23313"/>
  <c r="L348" i="23313" s="1"/>
  <c r="J348" i="23313"/>
  <c r="H348" i="23313"/>
  <c r="K364" i="23313"/>
  <c r="L364" i="23313" s="1"/>
  <c r="J364" i="23313"/>
  <c r="H364" i="23313"/>
  <c r="L445" i="23313" l="1"/>
  <c r="J445" i="23313"/>
  <c r="H445" i="23313"/>
  <c r="K314" i="23313"/>
  <c r="L314" i="23313" s="1"/>
  <c r="H314" i="23313"/>
  <c r="L389" i="23313"/>
  <c r="J389" i="23313"/>
  <c r="H389" i="23313"/>
  <c r="L420" i="23313"/>
  <c r="L235" i="23313"/>
  <c r="H235" i="23313"/>
  <c r="J235" i="23313"/>
  <c r="L225" i="23313"/>
  <c r="J225" i="23313"/>
  <c r="H225" i="23313"/>
  <c r="J78" i="23313"/>
  <c r="H78" i="23313"/>
  <c r="L78" i="23313"/>
  <c r="L421" i="23313"/>
  <c r="J421" i="23313"/>
  <c r="H421" i="23313"/>
  <c r="L81" i="23313"/>
  <c r="J81" i="23313"/>
  <c r="H81" i="23313"/>
  <c r="L158" i="23313"/>
  <c r="H158" i="23313"/>
  <c r="J158" i="23313"/>
  <c r="L419" i="23313"/>
  <c r="J419" i="23313"/>
  <c r="H419" i="23313"/>
  <c r="K418" i="23313"/>
  <c r="L418" i="23313" s="1"/>
  <c r="H418" i="23313"/>
  <c r="S150" i="23313"/>
  <c r="J279" i="23313"/>
  <c r="H279" i="23313"/>
  <c r="J83" i="23313"/>
  <c r="H83" i="23313"/>
  <c r="L83" i="23313"/>
  <c r="L417" i="23313"/>
  <c r="L279" i="23313"/>
  <c r="L416" i="23313"/>
  <c r="J416" i="23313"/>
  <c r="H416" i="23313"/>
  <c r="J417" i="23313"/>
  <c r="H417" i="23313"/>
  <c r="L401" i="23313"/>
  <c r="J401" i="23313"/>
  <c r="H401" i="23313"/>
  <c r="L399" i="23313"/>
  <c r="J399" i="23313"/>
  <c r="H399" i="23313"/>
  <c r="K53" i="23313"/>
  <c r="L53" i="23313" s="1"/>
  <c r="J53" i="23313"/>
  <c r="H53" i="23313"/>
  <c r="F48" i="23313"/>
  <c r="F25" i="23313"/>
  <c r="K193" i="23313" l="1"/>
  <c r="L193" i="23313" s="1"/>
  <c r="J193" i="23313"/>
  <c r="K194" i="23313"/>
  <c r="L194" i="23313" s="1"/>
  <c r="J194" i="23313"/>
  <c r="H193" i="23313"/>
  <c r="H194" i="23313"/>
  <c r="J62" i="23313" l="1"/>
  <c r="K62" i="23313"/>
  <c r="L62" i="23313" s="1"/>
  <c r="K441" i="23313" l="1"/>
  <c r="L441" i="23313" s="1"/>
  <c r="J441" i="23313"/>
  <c r="H441" i="23313"/>
  <c r="K313" i="23313" l="1"/>
  <c r="L313" i="23313" s="1"/>
  <c r="K318" i="23313"/>
  <c r="L318" i="23313" s="1"/>
  <c r="J318" i="23313"/>
  <c r="H318" i="23313"/>
  <c r="J313" i="23313"/>
  <c r="K305" i="23313"/>
  <c r="L305" i="23313" s="1"/>
  <c r="J305" i="23313"/>
  <c r="H305" i="23313"/>
  <c r="K228" i="23313"/>
  <c r="L228" i="23313" s="1"/>
  <c r="J228" i="23313"/>
  <c r="H228" i="23313"/>
  <c r="K257" i="23313"/>
  <c r="L257" i="23313" s="1"/>
  <c r="J257" i="23313"/>
  <c r="H257" i="23313"/>
  <c r="K256" i="23313"/>
  <c r="K251" i="23313"/>
  <c r="L251" i="23313" s="1"/>
  <c r="J251" i="23313"/>
  <c r="H251" i="23313"/>
  <c r="K216" i="23313"/>
  <c r="L216" i="23313" s="1"/>
  <c r="J216" i="23313"/>
  <c r="H216" i="23313"/>
  <c r="K212" i="23313"/>
  <c r="L212" i="23313" s="1"/>
  <c r="J212" i="23313"/>
  <c r="H212" i="23313"/>
  <c r="K276" i="23313"/>
  <c r="L276" i="23313" s="1"/>
  <c r="J276" i="23313"/>
  <c r="H276" i="23313"/>
  <c r="K211" i="23313"/>
  <c r="L211" i="23313" s="1"/>
  <c r="J211" i="23313"/>
  <c r="H211" i="23313"/>
  <c r="K189" i="23313"/>
  <c r="L189" i="23313" s="1"/>
  <c r="J189" i="23313"/>
  <c r="H189" i="23313"/>
  <c r="K197" i="23313"/>
  <c r="L197" i="23313" s="1"/>
  <c r="J197" i="23313"/>
  <c r="H197" i="23313"/>
  <c r="K196" i="23313"/>
  <c r="L196" i="23313" s="1"/>
  <c r="J196" i="23313"/>
  <c r="H196" i="23313"/>
  <c r="K195" i="23313"/>
  <c r="L195" i="23313" s="1"/>
  <c r="J195" i="23313"/>
  <c r="H195" i="23313"/>
  <c r="K188" i="23313"/>
  <c r="L188" i="23313" s="1"/>
  <c r="J188" i="23313"/>
  <c r="H188" i="23313"/>
  <c r="K117" i="23313"/>
  <c r="L117" i="23313" s="1"/>
  <c r="J117" i="23313"/>
  <c r="H117" i="23313"/>
  <c r="K116" i="23313"/>
  <c r="L116" i="23313" s="1"/>
  <c r="J116" i="23313"/>
  <c r="H116" i="23313"/>
  <c r="K115" i="23313"/>
  <c r="L115" i="23313" s="1"/>
  <c r="J115" i="23313"/>
  <c r="H115" i="23313"/>
  <c r="K114" i="23313"/>
  <c r="L114" i="23313" s="1"/>
  <c r="J114" i="23313"/>
  <c r="H114" i="23313"/>
  <c r="K109" i="23313"/>
  <c r="L109" i="23313" s="1"/>
  <c r="J109" i="23313"/>
  <c r="H109" i="23313"/>
  <c r="K15" i="23313"/>
  <c r="L15" i="23313" s="1"/>
  <c r="J15" i="23313"/>
  <c r="H15" i="23313"/>
  <c r="K61" i="23313"/>
  <c r="L61" i="23313" s="1"/>
  <c r="J61" i="23313"/>
  <c r="K63" i="23313"/>
  <c r="L63" i="23313" s="1"/>
  <c r="J63" i="23313"/>
  <c r="H63" i="23313"/>
  <c r="H61" i="23313"/>
  <c r="H62" i="23313"/>
  <c r="H313" i="23313" l="1"/>
  <c r="L256" i="23313"/>
  <c r="J256" i="23313"/>
  <c r="H256" i="23313"/>
  <c r="K207" i="23313" l="1"/>
  <c r="L207" i="23313" s="1"/>
  <c r="J207" i="23313"/>
  <c r="H207" i="23313"/>
  <c r="K398" i="23313" l="1"/>
  <c r="L398" i="23313" s="1"/>
  <c r="K396" i="23313"/>
  <c r="L396" i="23313" s="1"/>
  <c r="J396" i="23313"/>
  <c r="J398" i="23313"/>
  <c r="H396" i="23313"/>
  <c r="H398" i="23313"/>
  <c r="J74" i="23313"/>
  <c r="J75" i="23313"/>
  <c r="J77" i="23313"/>
  <c r="J79" i="23313"/>
  <c r="J85" i="23313"/>
  <c r="J385" i="23313"/>
  <c r="J384" i="23313"/>
  <c r="J386" i="23313"/>
  <c r="J375" i="23313"/>
  <c r="J405" i="23313" l="1"/>
  <c r="L405" i="23313"/>
  <c r="H405" i="23313"/>
  <c r="H359" i="23313"/>
  <c r="J347" i="23313"/>
  <c r="J357" i="23313"/>
  <c r="K363" i="23313"/>
  <c r="K365" i="23313"/>
  <c r="K360" i="23313"/>
  <c r="K265" i="23313"/>
  <c r="L265" i="23313" s="1"/>
  <c r="J265" i="23313"/>
  <c r="H265" i="23313"/>
  <c r="K286" i="23313"/>
  <c r="L286" i="23313" s="1"/>
  <c r="J286" i="23313"/>
  <c r="H286" i="23313"/>
  <c r="K285" i="23313"/>
  <c r="L285" i="23313" s="1"/>
  <c r="J285" i="23313"/>
  <c r="H285" i="23313"/>
  <c r="K350" i="23313" l="1"/>
  <c r="L350" i="23313" s="1"/>
  <c r="J350" i="23313"/>
  <c r="H350" i="23313"/>
  <c r="K349" i="23313"/>
  <c r="L349" i="23313" s="1"/>
  <c r="J349" i="23313"/>
  <c r="H349" i="23313"/>
  <c r="K359" i="23313"/>
  <c r="L359" i="23313" s="1"/>
  <c r="K450" i="23313" l="1"/>
  <c r="L450" i="23313" s="1"/>
  <c r="J450" i="23313"/>
  <c r="H450" i="23313"/>
  <c r="J378" i="23313"/>
  <c r="K337" i="23313"/>
  <c r="L337" i="23313" s="1"/>
  <c r="J337" i="23313"/>
  <c r="H337" i="23313"/>
  <c r="K341" i="23313"/>
  <c r="L341" i="23313" s="1"/>
  <c r="J341" i="23313"/>
  <c r="H341" i="23313"/>
  <c r="K297" i="23313" l="1"/>
  <c r="L297" i="23313" s="1"/>
  <c r="J297" i="23313"/>
  <c r="H297" i="23313"/>
  <c r="J294" i="23313"/>
  <c r="K293" i="23313"/>
  <c r="L293" i="23313" s="1"/>
  <c r="J293" i="23313"/>
  <c r="H293" i="23313"/>
  <c r="K296" i="23313"/>
  <c r="L296" i="23313" s="1"/>
  <c r="J296" i="23313"/>
  <c r="H296" i="23313"/>
  <c r="J427" i="23313" l="1"/>
  <c r="J430" i="23313"/>
  <c r="J431" i="23313"/>
  <c r="J434" i="23313"/>
  <c r="J435" i="23313"/>
  <c r="J436" i="23313"/>
  <c r="J437" i="23313"/>
  <c r="J438" i="23313"/>
  <c r="J444" i="23313"/>
  <c r="J446" i="23313"/>
  <c r="J447" i="23313"/>
  <c r="J456" i="23313"/>
  <c r="J457" i="23313"/>
  <c r="J458" i="23313"/>
  <c r="J460" i="23313"/>
  <c r="J461" i="23313"/>
  <c r="J462" i="23313"/>
  <c r="J442" i="23313"/>
  <c r="K227" i="23313"/>
  <c r="L227" i="23313" s="1"/>
  <c r="L365" i="23313" l="1"/>
  <c r="J365" i="23313"/>
  <c r="H365" i="23313"/>
  <c r="J312" i="23313"/>
  <c r="K312" i="23313"/>
  <c r="L312" i="23313" s="1"/>
  <c r="K311" i="23313"/>
  <c r="L311" i="23313" s="1"/>
  <c r="J311" i="23313"/>
  <c r="H311" i="23313"/>
  <c r="K443" i="23313"/>
  <c r="J443" i="23313"/>
  <c r="H312" i="23313" l="1"/>
  <c r="H443" i="23313"/>
  <c r="L443" i="23313"/>
  <c r="K338" i="23313"/>
  <c r="L338" i="23313" s="1"/>
  <c r="J338" i="23313"/>
  <c r="H338" i="23313"/>
  <c r="K435" i="23313"/>
  <c r="L435" i="23313" s="1"/>
  <c r="H435" i="23313"/>
  <c r="K434" i="23313"/>
  <c r="L434" i="23313" s="1"/>
  <c r="H434" i="23313"/>
  <c r="J381" i="23313"/>
  <c r="K378" i="23313"/>
  <c r="J374" i="23313"/>
  <c r="J372" i="23313"/>
  <c r="J371" i="23313"/>
  <c r="K319" i="23313"/>
  <c r="L319" i="23313" s="1"/>
  <c r="J320" i="23313"/>
  <c r="K320" i="23313"/>
  <c r="L320" i="23313" s="1"/>
  <c r="J319" i="23313"/>
  <c r="H319" i="23313"/>
  <c r="K294" i="23313"/>
  <c r="L294" i="23313" s="1"/>
  <c r="H294" i="23313"/>
  <c r="K292" i="23313"/>
  <c r="L292" i="23313" s="1"/>
  <c r="J292" i="23313"/>
  <c r="H292" i="23313"/>
  <c r="K291" i="23313"/>
  <c r="L291" i="23313" s="1"/>
  <c r="J291" i="23313"/>
  <c r="H291" i="23313"/>
  <c r="K290" i="23313"/>
  <c r="L290" i="23313" s="1"/>
  <c r="J290" i="23313"/>
  <c r="H290" i="23313"/>
  <c r="K222" i="23313"/>
  <c r="L222" i="23313" s="1"/>
  <c r="J222" i="23313"/>
  <c r="H222" i="23313"/>
  <c r="K287" i="23313"/>
  <c r="L287" i="23313" s="1"/>
  <c r="J287" i="23313"/>
  <c r="H287" i="23313"/>
  <c r="J227" i="23313"/>
  <c r="H227" i="23313"/>
  <c r="K226" i="23313"/>
  <c r="L226" i="23313" s="1"/>
  <c r="J226" i="23313"/>
  <c r="H226" i="23313"/>
  <c r="K272" i="23313"/>
  <c r="L272" i="23313" s="1"/>
  <c r="J272" i="23313"/>
  <c r="H272" i="23313"/>
  <c r="K269" i="23313"/>
  <c r="L269" i="23313" s="1"/>
  <c r="J269" i="23313"/>
  <c r="H269" i="23313"/>
  <c r="K268" i="23313"/>
  <c r="L268" i="23313" s="1"/>
  <c r="J268" i="23313"/>
  <c r="H268" i="23313"/>
  <c r="K267" i="23313"/>
  <c r="H267" i="23313"/>
  <c r="K266" i="23313"/>
  <c r="L266" i="23313" s="1"/>
  <c r="J266" i="23313"/>
  <c r="H266" i="23313"/>
  <c r="K262" i="23313"/>
  <c r="L262" i="23313" s="1"/>
  <c r="J262" i="23313"/>
  <c r="H262" i="23313"/>
  <c r="K261" i="23313"/>
  <c r="K260" i="23313"/>
  <c r="L260" i="23313" s="1"/>
  <c r="J260" i="23313"/>
  <c r="H260" i="23313"/>
  <c r="H247" i="23313"/>
  <c r="K248" i="23313"/>
  <c r="L248" i="23313" s="1"/>
  <c r="J248" i="23313"/>
  <c r="H248" i="23313"/>
  <c r="K247" i="23313"/>
  <c r="K243" i="23313"/>
  <c r="L243" i="23313" s="1"/>
  <c r="J243" i="23313"/>
  <c r="H243" i="23313"/>
  <c r="K242" i="23313"/>
  <c r="K240" i="23313"/>
  <c r="L240" i="23313" s="1"/>
  <c r="J240" i="23313"/>
  <c r="H240" i="23313"/>
  <c r="K304" i="23313"/>
  <c r="L304" i="23313" s="1"/>
  <c r="J304" i="23313"/>
  <c r="H304" i="23313"/>
  <c r="H308" i="23313"/>
  <c r="K234" i="23313"/>
  <c r="L234" i="23313" s="1"/>
  <c r="J234" i="23313"/>
  <c r="H234" i="23313"/>
  <c r="K233" i="23313"/>
  <c r="K232" i="23313"/>
  <c r="L232" i="23313" s="1"/>
  <c r="J232" i="23313"/>
  <c r="H232" i="23313"/>
  <c r="K213" i="23313"/>
  <c r="L213" i="23313" s="1"/>
  <c r="J213" i="23313"/>
  <c r="H213" i="23313"/>
  <c r="K209" i="23313"/>
  <c r="L209" i="23313" s="1"/>
  <c r="J209" i="23313"/>
  <c r="H209" i="23313"/>
  <c r="K214" i="23313"/>
  <c r="L214" i="23313" s="1"/>
  <c r="J214" i="23313"/>
  <c r="H214" i="23313"/>
  <c r="K215" i="23313"/>
  <c r="L215" i="23313" s="1"/>
  <c r="J215" i="23313"/>
  <c r="H215" i="23313"/>
  <c r="J223" i="23313"/>
  <c r="K224" i="23313"/>
  <c r="L224" i="23313" s="1"/>
  <c r="J224" i="23313"/>
  <c r="H224" i="23313"/>
  <c r="K223" i="23313"/>
  <c r="K208" i="23313"/>
  <c r="L208" i="23313" s="1"/>
  <c r="J208" i="23313"/>
  <c r="H208" i="23313"/>
  <c r="K200" i="23313"/>
  <c r="L200" i="23313" s="1"/>
  <c r="J200" i="23313"/>
  <c r="H200" i="23313"/>
  <c r="J175" i="23313"/>
  <c r="K175" i="23313"/>
  <c r="L175" i="23313" s="1"/>
  <c r="H175" i="23313"/>
  <c r="K198" i="23313"/>
  <c r="L198" i="23313" s="1"/>
  <c r="J198" i="23313"/>
  <c r="H198" i="23313"/>
  <c r="H124" i="23313"/>
  <c r="K124" i="23313"/>
  <c r="J84" i="23313"/>
  <c r="G85" i="23313"/>
  <c r="K384" i="23313"/>
  <c r="L384" i="23313" s="1"/>
  <c r="K373" i="23313"/>
  <c r="K372" i="23313"/>
  <c r="H373" i="23313" l="1"/>
  <c r="J373" i="23313"/>
  <c r="J392" i="23313" s="1"/>
  <c r="L242" i="23313"/>
  <c r="L233" i="23313"/>
  <c r="H320" i="23313"/>
  <c r="H378" i="23313"/>
  <c r="L378" i="23313"/>
  <c r="L261" i="23313"/>
  <c r="L267" i="23313"/>
  <c r="J267" i="23313"/>
  <c r="H261" i="23313"/>
  <c r="J261" i="23313"/>
  <c r="L247" i="23313"/>
  <c r="J247" i="23313"/>
  <c r="J242" i="23313"/>
  <c r="H242" i="23313"/>
  <c r="H233" i="23313"/>
  <c r="J233" i="23313"/>
  <c r="L223" i="23313"/>
  <c r="H223" i="23313"/>
  <c r="J124" i="23313"/>
  <c r="L124" i="23313"/>
  <c r="H384" i="23313"/>
  <c r="H372" i="23313"/>
  <c r="L372" i="23313"/>
  <c r="L373" i="23313"/>
  <c r="H461" i="23313"/>
  <c r="H460" i="23313"/>
  <c r="K461" i="23313"/>
  <c r="L461" i="23313" s="1"/>
  <c r="K460" i="23313"/>
  <c r="L460" i="23313" s="1"/>
  <c r="K323" i="23313" l="1"/>
  <c r="L323" i="23313" s="1"/>
  <c r="J323" i="23313"/>
  <c r="H323" i="23313"/>
  <c r="K85" i="23313"/>
  <c r="L85" i="23313" s="1"/>
  <c r="K457" i="23313"/>
  <c r="L457" i="23313" s="1"/>
  <c r="H457" i="23313"/>
  <c r="K458" i="23313"/>
  <c r="L458" i="23313" s="1"/>
  <c r="H458" i="23313"/>
  <c r="K438" i="23313"/>
  <c r="L438" i="23313" s="1"/>
  <c r="H438" i="23313"/>
  <c r="K86" i="23313"/>
  <c r="L86" i="23313" s="1"/>
  <c r="H86" i="23313"/>
  <c r="K64" i="23313"/>
  <c r="L64" i="23313" s="1"/>
  <c r="J64" i="23313"/>
  <c r="H64" i="23313"/>
  <c r="H85" i="23313" l="1"/>
  <c r="K431" i="23313"/>
  <c r="H431" i="23313"/>
  <c r="L360" i="23313"/>
  <c r="J360" i="23313"/>
  <c r="H360" i="23313"/>
  <c r="K358" i="23313"/>
  <c r="L358" i="23313" s="1"/>
  <c r="J358" i="23313"/>
  <c r="H358" i="23313"/>
  <c r="L431" i="23313" l="1"/>
  <c r="J59" i="23313"/>
  <c r="K59" i="23313"/>
  <c r="L59" i="23313" s="1"/>
  <c r="H59" i="23313"/>
  <c r="K340" i="23313"/>
  <c r="L340" i="23313" s="1"/>
  <c r="J340" i="23313"/>
  <c r="H340" i="23313"/>
  <c r="K22" i="23313"/>
  <c r="L22" i="23313" s="1"/>
  <c r="J22" i="23313"/>
  <c r="H22" i="23313"/>
  <c r="K75" i="23313" l="1"/>
  <c r="L75" i="23313" s="1"/>
  <c r="H75" i="23313"/>
  <c r="K342" i="23313" l="1"/>
  <c r="L342" i="23313" s="1"/>
  <c r="J342" i="23313"/>
  <c r="H342" i="23313"/>
  <c r="H69" i="23313"/>
  <c r="J69" i="23313"/>
  <c r="K69" i="23313"/>
  <c r="L69" i="23313" s="1"/>
  <c r="K50" i="23313"/>
  <c r="L50" i="23313" s="1"/>
  <c r="J50" i="23313"/>
  <c r="H50" i="23313"/>
  <c r="K430" i="23313"/>
  <c r="L430" i="23313" s="1"/>
  <c r="H430" i="23313"/>
  <c r="K49" i="23313"/>
  <c r="L49" i="23313" s="1"/>
  <c r="J49" i="23313"/>
  <c r="H49" i="23313"/>
  <c r="K336" i="23313"/>
  <c r="L336" i="23313" s="1"/>
  <c r="J336" i="23313"/>
  <c r="H336" i="23313"/>
  <c r="K321" i="23313"/>
  <c r="L321" i="23313" s="1"/>
  <c r="J321" i="23313"/>
  <c r="H321" i="23313"/>
  <c r="K58" i="23313"/>
  <c r="L58" i="23313" s="1"/>
  <c r="J58" i="23313"/>
  <c r="H58" i="23313"/>
  <c r="K56" i="23313" l="1"/>
  <c r="L56" i="23313" s="1"/>
  <c r="J56" i="23313"/>
  <c r="H56" i="23313"/>
  <c r="H57" i="23313"/>
  <c r="J57" i="23313"/>
  <c r="K57" i="23313"/>
  <c r="L57" i="23313" s="1"/>
  <c r="K67" i="23313" l="1"/>
  <c r="L67" i="23313" s="1"/>
  <c r="J67" i="23313"/>
  <c r="H67" i="23313"/>
  <c r="K308" i="23313"/>
  <c r="L308" i="23313" s="1"/>
  <c r="J308" i="23313"/>
  <c r="K77" i="23313"/>
  <c r="L77" i="23313" s="1"/>
  <c r="H77" i="23313"/>
  <c r="K347" i="23313"/>
  <c r="L347" i="23313" s="1"/>
  <c r="H347" i="23313"/>
  <c r="H221" i="23313" l="1"/>
  <c r="H299" i="23313" s="1"/>
  <c r="K24" i="23313"/>
  <c r="L24" i="23313" s="1"/>
  <c r="J24" i="23313"/>
  <c r="H24" i="23313"/>
  <c r="K25" i="23313"/>
  <c r="L25" i="23313" s="1"/>
  <c r="J25" i="23313"/>
  <c r="H25" i="23313"/>
  <c r="K436" i="23313" l="1"/>
  <c r="L436" i="23313" s="1"/>
  <c r="H436" i="23313"/>
  <c r="K447" i="23313"/>
  <c r="L447" i="23313" s="1"/>
  <c r="H447" i="23313"/>
  <c r="K415" i="23313"/>
  <c r="K424" i="23313" s="1"/>
  <c r="K446" i="23313"/>
  <c r="L446" i="23313" s="1"/>
  <c r="H446" i="23313"/>
  <c r="K107" i="23313"/>
  <c r="L107" i="23313" s="1"/>
  <c r="J107" i="23313"/>
  <c r="H107" i="23313"/>
  <c r="K462" i="23313"/>
  <c r="L462" i="23313" s="1"/>
  <c r="H462" i="23313"/>
  <c r="K444" i="23313"/>
  <c r="L444" i="23313" s="1"/>
  <c r="B7" i="23313"/>
  <c r="K221" i="23313" l="1"/>
  <c r="L221" i="23313" s="1"/>
  <c r="L299" i="23313" s="1"/>
  <c r="J221" i="23313"/>
  <c r="J299" i="23313" s="1"/>
  <c r="H60" i="23313" l="1"/>
  <c r="J60" i="23313"/>
  <c r="K60" i="23313"/>
  <c r="L60" i="23313" s="1"/>
  <c r="K437" i="23313" l="1"/>
  <c r="L437" i="23313" s="1"/>
  <c r="H437" i="23313"/>
  <c r="F3" i="23312" l="1"/>
  <c r="K113" i="23313" l="1"/>
  <c r="L113" i="23313" s="1"/>
  <c r="J113" i="23313"/>
  <c r="H113" i="23313"/>
  <c r="J353" i="23313" l="1"/>
  <c r="K353" i="23313"/>
  <c r="L353" i="23313" s="1"/>
  <c r="H353" i="23313"/>
  <c r="K456" i="23313" l="1"/>
  <c r="L456" i="23313" s="1"/>
  <c r="H456" i="23313"/>
  <c r="K357" i="23313" l="1"/>
  <c r="L357" i="23313" s="1"/>
  <c r="H357" i="23313"/>
  <c r="K51" i="23313"/>
  <c r="L51" i="23313" s="1"/>
  <c r="J51" i="23313"/>
  <c r="H51" i="23313"/>
  <c r="H374" i="23313" l="1"/>
  <c r="H375" i="23313"/>
  <c r="H385" i="23313"/>
  <c r="H386" i="23313"/>
  <c r="H381" i="23313"/>
  <c r="H371" i="23313"/>
  <c r="H392" i="23313" s="1"/>
  <c r="J322" i="23313"/>
  <c r="J339" i="23313"/>
  <c r="J346" i="23313"/>
  <c r="J352" i="23313"/>
  <c r="J356" i="23313"/>
  <c r="J363" i="23313"/>
  <c r="J303" i="23313"/>
  <c r="H322" i="23313"/>
  <c r="H339" i="23313"/>
  <c r="H346" i="23313"/>
  <c r="H352" i="23313"/>
  <c r="H356" i="23313"/>
  <c r="H363" i="23313"/>
  <c r="H303" i="23313"/>
  <c r="K23" i="23313"/>
  <c r="L23" i="23313" s="1"/>
  <c r="J23" i="23313"/>
  <c r="H23" i="23313"/>
  <c r="K18" i="23313"/>
  <c r="L18" i="23313" s="1"/>
  <c r="J18" i="23313"/>
  <c r="H18" i="23313"/>
  <c r="K47" i="23313"/>
  <c r="L47" i="23313" s="1"/>
  <c r="J47" i="23313"/>
  <c r="H47" i="23313"/>
  <c r="H367" i="23313" l="1"/>
  <c r="J367" i="23313"/>
  <c r="H442" i="23313"/>
  <c r="K442" i="23313"/>
  <c r="L442" i="23313" s="1"/>
  <c r="K371" i="23313" l="1"/>
  <c r="L371" i="23313" s="1"/>
  <c r="K374" i="23313"/>
  <c r="L374" i="23313" s="1"/>
  <c r="L415" i="23313"/>
  <c r="L424" i="23313" s="1"/>
  <c r="J415" i="23313"/>
  <c r="J424" i="23313" s="1"/>
  <c r="H415" i="23313"/>
  <c r="H424" i="23313" s="1"/>
  <c r="K79" i="23313"/>
  <c r="L79" i="23313" s="1"/>
  <c r="H79" i="23313"/>
  <c r="K410" i="23313"/>
  <c r="L410" i="23313" s="1"/>
  <c r="J410" i="23313"/>
  <c r="H410" i="23313"/>
  <c r="K386" i="23313"/>
  <c r="L386" i="23313" s="1"/>
  <c r="K45" i="23313"/>
  <c r="L45" i="23313" s="1"/>
  <c r="J45" i="23313"/>
  <c r="H45" i="23313"/>
  <c r="K352" i="23313" l="1"/>
  <c r="L352" i="23313" s="1"/>
  <c r="L363" i="23313"/>
  <c r="K427" i="23313"/>
  <c r="L427" i="23313" s="1"/>
  <c r="J464" i="23313"/>
  <c r="H427" i="23313"/>
  <c r="H464" i="23313" s="1"/>
  <c r="K381" i="23313"/>
  <c r="L381" i="23313" s="1"/>
  <c r="K346" i="23313"/>
  <c r="L346" i="23313" s="1"/>
  <c r="K356" i="23313"/>
  <c r="L356" i="23313" s="1"/>
  <c r="J125" i="23313"/>
  <c r="K125" i="23313"/>
  <c r="L125" i="23313" s="1"/>
  <c r="H125" i="23313"/>
  <c r="H68" i="23313"/>
  <c r="J68" i="23313"/>
  <c r="K68" i="23313"/>
  <c r="L68" i="23313" s="1"/>
  <c r="K16" i="23313"/>
  <c r="L16" i="23313" s="1"/>
  <c r="J16" i="23313"/>
  <c r="H16" i="23313"/>
  <c r="J39" i="23313" l="1"/>
  <c r="L464" i="23313"/>
  <c r="L39" i="23313" s="1"/>
  <c r="H74" i="23313"/>
  <c r="H39" i="23313"/>
  <c r="B39" i="23313"/>
  <c r="B38" i="23313"/>
  <c r="B37" i="23313"/>
  <c r="B36" i="23313"/>
  <c r="B35" i="23313"/>
  <c r="B34" i="23313"/>
  <c r="B33" i="23313"/>
  <c r="B32" i="23313"/>
  <c r="B31" i="23313"/>
  <c r="B30" i="23313"/>
  <c r="K409" i="23313"/>
  <c r="L409" i="23313" s="1"/>
  <c r="J409" i="23313"/>
  <c r="H409" i="23313"/>
  <c r="K408" i="23313"/>
  <c r="L408" i="23313" s="1"/>
  <c r="J408" i="23313"/>
  <c r="H408" i="23313"/>
  <c r="K375" i="23313"/>
  <c r="L375" i="23313" s="1"/>
  <c r="K385" i="23313"/>
  <c r="L385" i="23313" s="1"/>
  <c r="K339" i="23313"/>
  <c r="L339" i="23313" s="1"/>
  <c r="K322" i="23313"/>
  <c r="L322" i="23313" s="1"/>
  <c r="K303" i="23313"/>
  <c r="L303" i="23313" s="1"/>
  <c r="K92" i="23313"/>
  <c r="L92" i="23313" s="1"/>
  <c r="J92" i="23313"/>
  <c r="H92" i="23313"/>
  <c r="K122" i="23313"/>
  <c r="L122" i="23313" s="1"/>
  <c r="J122" i="23313"/>
  <c r="H122" i="23313"/>
  <c r="K54" i="23313"/>
  <c r="L54" i="23313" s="1"/>
  <c r="J54" i="23313"/>
  <c r="H54" i="23313"/>
  <c r="K48" i="23313"/>
  <c r="L48" i="23313" s="1"/>
  <c r="J48" i="23313"/>
  <c r="H48" i="23313"/>
  <c r="K84" i="23313"/>
  <c r="L84" i="23313" s="1"/>
  <c r="H84" i="23313"/>
  <c r="K87" i="23313"/>
  <c r="L87" i="23313" s="1"/>
  <c r="H87" i="23313"/>
  <c r="K74" i="23313"/>
  <c r="L74" i="23313" s="1"/>
  <c r="H44" i="23313"/>
  <c r="J44" i="23313"/>
  <c r="K44" i="23313"/>
  <c r="L44" i="23313" s="1"/>
  <c r="H46" i="23313"/>
  <c r="J46" i="23313"/>
  <c r="K46" i="23313"/>
  <c r="L46" i="23313" s="1"/>
  <c r="L392" i="23313" l="1"/>
  <c r="L35" i="23313" s="1"/>
  <c r="J70" i="23313"/>
  <c r="H70" i="23313"/>
  <c r="L70" i="23313"/>
  <c r="L367" i="23313"/>
  <c r="L34" i="23313" s="1"/>
  <c r="H202" i="23313"/>
  <c r="H32" i="23313" s="1"/>
  <c r="J202" i="23313"/>
  <c r="J32" i="23313" s="1"/>
  <c r="L202" i="23313"/>
  <c r="L32" i="23313" s="1"/>
  <c r="J88" i="23313"/>
  <c r="H35" i="23313"/>
  <c r="H34" i="23313"/>
  <c r="J34" i="23313"/>
  <c r="J35" i="23313"/>
  <c r="H412" i="23313"/>
  <c r="L412" i="23313"/>
  <c r="J412" i="23313"/>
  <c r="J33" i="23313"/>
  <c r="H33" i="23313"/>
  <c r="H88" i="23313"/>
  <c r="L88" i="23313"/>
  <c r="L31" i="23313" s="1"/>
  <c r="L38" i="23313" l="1"/>
  <c r="H38" i="23313"/>
  <c r="J38" i="23313"/>
  <c r="K17" i="23313" l="1"/>
  <c r="L17" i="23313" s="1"/>
  <c r="J17" i="23313"/>
  <c r="H17" i="23313"/>
  <c r="K14" i="23313"/>
  <c r="L14" i="23313" s="1"/>
  <c r="J14" i="23313"/>
  <c r="H14" i="23313"/>
  <c r="K13" i="23313"/>
  <c r="L13" i="23313" s="1"/>
  <c r="J13" i="23313"/>
  <c r="H13" i="23313"/>
  <c r="B8" i="23313"/>
  <c r="J27" i="23313" l="1"/>
  <c r="H27" i="23313"/>
  <c r="L27" i="23313"/>
  <c r="J31" i="23313"/>
  <c r="L30" i="23313"/>
  <c r="H31" i="23313"/>
  <c r="L7" i="23313" l="1"/>
  <c r="H7" i="23313"/>
  <c r="J7" i="23313"/>
  <c r="J30" i="23313"/>
  <c r="H30" i="23313"/>
  <c r="J36" i="23313"/>
  <c r="H36" i="23313"/>
  <c r="L36" i="23313"/>
  <c r="L37" i="23313" l="1"/>
  <c r="J37" i="23313" l="1"/>
  <c r="J40" i="23313" s="1"/>
  <c r="J467" i="23313"/>
  <c r="H467" i="23313"/>
  <c r="H37" i="23313"/>
  <c r="H40" i="23313" l="1"/>
  <c r="J8" i="23313"/>
  <c r="J10" i="23313" s="1"/>
  <c r="J10" i="23309" l="1"/>
  <c r="L15" i="23309" s="1"/>
  <c r="J8" i="23309"/>
  <c r="L8" i="23309" s="1"/>
  <c r="H8" i="23313"/>
  <c r="H10" i="23313" s="1"/>
  <c r="L33" i="23313"/>
  <c r="L40" i="23313" s="1"/>
  <c r="L467" i="23313"/>
  <c r="L13" i="23309" l="1"/>
  <c r="L14" i="23309"/>
  <c r="L16" i="23309" s="1"/>
  <c r="L12" i="23309"/>
  <c r="H10" i="23309"/>
  <c r="H7" i="23309"/>
  <c r="L7" i="23309" s="1"/>
  <c r="L10" i="23309" s="1"/>
  <c r="L8" i="23313"/>
  <c r="L10" i="23313" s="1"/>
  <c r="L17" i="23309" l="1"/>
  <c r="L18" i="23309"/>
  <c r="L20" i="23309"/>
  <c r="L19" i="23309"/>
  <c r="L23" i="23309" l="1"/>
  <c r="L26" i="23309" s="1"/>
  <c r="D8" i="23312" l="1"/>
  <c r="D7" i="23312" s="1"/>
</calcChain>
</file>

<file path=xl/sharedStrings.xml><?xml version="1.0" encoding="utf-8"?>
<sst xmlns="http://schemas.openxmlformats.org/spreadsheetml/2006/main" count="1726" uniqueCount="683">
  <si>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</si>
  <si>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</si>
  <si>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</si>
  <si>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</si>
  <si>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</si>
  <si>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</si>
  <si>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</si>
  <si>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</si>
  <si>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</si>
  <si>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</si>
  <si>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</si>
  <si>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</si>
  <si>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</si>
  <si>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</si>
  <si>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</si>
  <si>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</si>
  <si>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</si>
  <si>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</si>
  <si>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</si>
  <si>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</si>
  <si>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</si>
  <si>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</si>
  <si>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</si>
  <si>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</si>
  <si>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소운반</t>
    <phoneticPr fontId="22" type="noConversion"/>
  </si>
  <si>
    <t>B.</t>
    <phoneticPr fontId="2" type="noConversion"/>
  </si>
  <si>
    <t>10.</t>
  </si>
  <si>
    <t>11.</t>
  </si>
  <si>
    <t>1.</t>
    <phoneticPr fontId="22" type="noConversion"/>
  </si>
  <si>
    <t>2.</t>
    <phoneticPr fontId="22" type="noConversion"/>
  </si>
  <si>
    <t>3.</t>
    <phoneticPr fontId="22" type="noConversion"/>
  </si>
  <si>
    <t>4.</t>
    <phoneticPr fontId="22" type="noConversion"/>
  </si>
  <si>
    <t>5.</t>
    <phoneticPr fontId="22" type="noConversion"/>
  </si>
  <si>
    <t>6.</t>
    <phoneticPr fontId="22" type="noConversion"/>
  </si>
  <si>
    <t>9.</t>
    <phoneticPr fontId="22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</si>
  <si>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</si>
  <si>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</si>
  <si>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</si>
  <si>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2" type="noConversion"/>
  </si>
  <si>
    <t>M</t>
    <phoneticPr fontId="22" type="noConversion"/>
  </si>
  <si>
    <t>*</t>
    <phoneticPr fontId="22" type="noConversion"/>
  </si>
  <si>
    <t>M2</t>
    <phoneticPr fontId="22" type="noConversion"/>
  </si>
  <si>
    <t>SET</t>
    <phoneticPr fontId="22" type="noConversion"/>
  </si>
  <si>
    <t>10.</t>
    <phoneticPr fontId="22" type="noConversion"/>
  </si>
  <si>
    <t>-</t>
    <phoneticPr fontId="22" type="noConversion"/>
  </si>
  <si>
    <t>A.</t>
    <phoneticPr fontId="2" type="noConversion"/>
  </si>
  <si>
    <t>11.</t>
    <phoneticPr fontId="22" type="noConversion"/>
  </si>
  <si>
    <t>12.</t>
  </si>
  <si>
    <t>12.</t>
    <phoneticPr fontId="22" type="noConversion"/>
  </si>
  <si>
    <t>참고사항</t>
  </si>
  <si>
    <t>7.</t>
    <phoneticPr fontId="2" type="noConversion"/>
  </si>
  <si>
    <t xml:space="preserve"> </t>
    <phoneticPr fontId="49" type="noConversion"/>
  </si>
  <si>
    <t>1.</t>
    <phoneticPr fontId="104" type="noConversion"/>
  </si>
  <si>
    <t xml:space="preserve">    ◈ 비  고 (REMARK)</t>
    <phoneticPr fontId="2" type="noConversion"/>
  </si>
  <si>
    <t>)</t>
    <phoneticPr fontId="104" type="noConversion"/>
  </si>
  <si>
    <t>(</t>
    <phoneticPr fontId="104" type="noConversion"/>
  </si>
  <si>
    <t>一일금</t>
    <phoneticPr fontId="2" type="noConversion"/>
  </si>
  <si>
    <t xml:space="preserve">金    額(AMOUNT) : </t>
    <phoneticPr fontId="109" type="noConversion"/>
  </si>
  <si>
    <t xml:space="preserve">工事名(PROJECT) : </t>
    <phoneticPr fontId="109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</si>
  <si>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</si>
  <si>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</si>
  <si>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</si>
  <si>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</si>
  <si>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</si>
  <si>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</si>
  <si>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</si>
  <si>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</si>
  <si>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</si>
  <si>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</si>
  <si>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</si>
  <si>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2" type="noConversion"/>
  </si>
  <si>
    <t>TOTAL</t>
    <phoneticPr fontId="22" type="noConversion"/>
  </si>
  <si>
    <t>현장보양 및 현장 정리</t>
    <phoneticPr fontId="22" type="noConversion"/>
  </si>
  <si>
    <t>대</t>
    <phoneticPr fontId="22" type="noConversion"/>
  </si>
  <si>
    <t>가설공사</t>
    <phoneticPr fontId="2" type="noConversion"/>
  </si>
  <si>
    <t>식</t>
    <phoneticPr fontId="22" type="noConversion"/>
  </si>
  <si>
    <t>개소</t>
    <phoneticPr fontId="22" type="noConversion"/>
  </si>
  <si>
    <t>허가</t>
    <phoneticPr fontId="2" type="noConversion"/>
  </si>
  <si>
    <t>인터폰</t>
    <phoneticPr fontId="22" type="noConversion"/>
  </si>
  <si>
    <t>입주청소</t>
    <phoneticPr fontId="2" type="noConversion"/>
  </si>
  <si>
    <t>입주청소</t>
    <phoneticPr fontId="22" type="noConversion"/>
  </si>
  <si>
    <t>폐기물</t>
    <phoneticPr fontId="2" type="noConversion"/>
  </si>
  <si>
    <t>페기물 반출</t>
    <phoneticPr fontId="22" type="noConversion"/>
  </si>
  <si>
    <t>1TON</t>
    <phoneticPr fontId="22" type="noConversion"/>
  </si>
  <si>
    <t>공사동의서 및 행위허가</t>
    <phoneticPr fontId="22" type="noConversion"/>
  </si>
  <si>
    <t>화장실 철거</t>
    <phoneticPr fontId="22" type="noConversion"/>
  </si>
  <si>
    <t>본 철거</t>
    <phoneticPr fontId="2" type="noConversion"/>
  </si>
  <si>
    <t>확장 공사</t>
    <phoneticPr fontId="22" type="noConversion"/>
  </si>
  <si>
    <t>마루 철거</t>
    <phoneticPr fontId="2" type="noConversion"/>
  </si>
  <si>
    <t>배관 이설 공사</t>
    <phoneticPr fontId="2" type="noConversion"/>
  </si>
  <si>
    <t>화장실 방수 공사</t>
    <phoneticPr fontId="22" type="noConversion"/>
  </si>
  <si>
    <t>설비</t>
    <phoneticPr fontId="2" type="noConversion"/>
  </si>
  <si>
    <t>설비</t>
    <phoneticPr fontId="22" type="noConversion"/>
  </si>
  <si>
    <t>철거 / 설비 공사</t>
    <phoneticPr fontId="2" type="noConversion"/>
  </si>
  <si>
    <t>필름 공사</t>
    <phoneticPr fontId="2" type="noConversion"/>
  </si>
  <si>
    <t>필름 공사</t>
    <phoneticPr fontId="22" type="noConversion"/>
  </si>
  <si>
    <t>PL창호</t>
    <phoneticPr fontId="2" type="noConversion"/>
  </si>
  <si>
    <t>직접공사비 계</t>
    <phoneticPr fontId="22" type="noConversion"/>
  </si>
  <si>
    <t>인테리어 공사</t>
    <phoneticPr fontId="2" type="noConversion"/>
  </si>
  <si>
    <t>가구 공사</t>
    <phoneticPr fontId="2" type="noConversion"/>
  </si>
  <si>
    <t>수전</t>
    <phoneticPr fontId="2" type="noConversion"/>
  </si>
  <si>
    <t>자</t>
    <phoneticPr fontId="22" type="noConversion"/>
  </si>
  <si>
    <t>전기 공사</t>
    <phoneticPr fontId="2" type="noConversion"/>
  </si>
  <si>
    <t>조명 및 전열</t>
    <phoneticPr fontId="22" type="noConversion"/>
  </si>
  <si>
    <t>간접 조명</t>
    <phoneticPr fontId="2" type="noConversion"/>
  </si>
  <si>
    <t>발코니 조명</t>
    <phoneticPr fontId="2" type="noConversion"/>
  </si>
  <si>
    <t>전선 입선 라인</t>
    <phoneticPr fontId="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</si>
  <si>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</si>
  <si>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</si>
  <si>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</si>
  <si>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</si>
  <si>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화장실 공사</t>
    <phoneticPr fontId="2" type="noConversion"/>
  </si>
  <si>
    <t>안방 화장실</t>
    <phoneticPr fontId="22" type="noConversion"/>
  </si>
  <si>
    <t>거실 화장실</t>
    <phoneticPr fontId="22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</si>
  <si>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</si>
  <si>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</si>
  <si>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</si>
  <si>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</si>
  <si>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</si>
  <si>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기타 (안방 화장실)</t>
    <phoneticPr fontId="2" type="noConversion"/>
  </si>
  <si>
    <t>기타 (거실 화장실)</t>
    <phoneticPr fontId="2" type="noConversion"/>
  </si>
  <si>
    <t>화장실 타일</t>
    <phoneticPr fontId="2" type="noConversion"/>
  </si>
  <si>
    <t>부자재</t>
    <phoneticPr fontId="2" type="noConversion"/>
  </si>
  <si>
    <t>X18, 레미탈</t>
    <phoneticPr fontId="22" type="noConversion"/>
  </si>
  <si>
    <t>현관 타일</t>
    <phoneticPr fontId="2" type="noConversion"/>
  </si>
  <si>
    <t>현관 바닥</t>
    <phoneticPr fontId="2" type="noConversion"/>
  </si>
  <si>
    <t>600*1200</t>
    <phoneticPr fontId="22" type="noConversion"/>
  </si>
  <si>
    <t>마루 공사</t>
    <phoneticPr fontId="2" type="noConversion"/>
  </si>
  <si>
    <t>실크 도배</t>
    <phoneticPr fontId="22" type="noConversion"/>
  </si>
  <si>
    <t>도배 퍼티</t>
    <phoneticPr fontId="22" type="noConversion"/>
  </si>
  <si>
    <t>탄성 코트</t>
    <phoneticPr fontId="22" type="noConversion"/>
  </si>
  <si>
    <t>목공사</t>
    <phoneticPr fontId="22" type="noConversion"/>
  </si>
  <si>
    <t>먹 놓기</t>
    <phoneticPr fontId="2" type="noConversion"/>
  </si>
  <si>
    <t>거실 수직, 수평 및 벽체</t>
    <phoneticPr fontId="22" type="noConversion"/>
  </si>
  <si>
    <t>9.5T 석고보드 1PLY</t>
    <phoneticPr fontId="22" type="noConversion"/>
  </si>
  <si>
    <t>벽체 공사</t>
    <phoneticPr fontId="2" type="noConversion"/>
  </si>
  <si>
    <t>벽체 골조 공사</t>
    <phoneticPr fontId="2" type="noConversion"/>
  </si>
  <si>
    <t>각 방</t>
    <phoneticPr fontId="22" type="noConversion"/>
  </si>
  <si>
    <t>기타 목 공사</t>
    <phoneticPr fontId="2" type="noConversion"/>
  </si>
  <si>
    <t>간접공사비 계</t>
    <phoneticPr fontId="22" type="noConversion"/>
  </si>
  <si>
    <t>공사비 계</t>
    <phoneticPr fontId="2" type="noConversion"/>
  </si>
  <si>
    <t>Location &amp; Spec.</t>
    <phoneticPr fontId="2" type="noConversion"/>
  </si>
  <si>
    <t>인</t>
    <phoneticPr fontId="22" type="noConversion"/>
  </si>
  <si>
    <t>별도</t>
    <phoneticPr fontId="22" type="noConversion"/>
  </si>
  <si>
    <t>S.M.C</t>
    <phoneticPr fontId="2" type="noConversion"/>
  </si>
  <si>
    <t>유가</t>
    <phoneticPr fontId="22" type="noConversion"/>
  </si>
  <si>
    <t>절사</t>
    <phoneticPr fontId="22" type="noConversion"/>
  </si>
  <si>
    <t>타일 철거</t>
    <phoneticPr fontId="22" type="noConversion"/>
  </si>
  <si>
    <t>150*150 S150SS 도무스</t>
    <phoneticPr fontId="22" type="noConversion"/>
  </si>
  <si>
    <t>벽체</t>
    <phoneticPr fontId="22" type="noConversion"/>
  </si>
  <si>
    <t>천장</t>
    <phoneticPr fontId="22" type="noConversion"/>
  </si>
  <si>
    <t>견적 외 별도</t>
    <phoneticPr fontId="22" type="noConversion"/>
  </si>
  <si>
    <t>견적외 별도</t>
    <phoneticPr fontId="22" type="noConversion"/>
  </si>
  <si>
    <t>공과잡비</t>
    <phoneticPr fontId="22" type="noConversion"/>
  </si>
  <si>
    <t>기업이윤</t>
    <phoneticPr fontId="22" type="noConversion"/>
  </si>
  <si>
    <t>도어 / 도어틀</t>
    <phoneticPr fontId="22" type="noConversion"/>
  </si>
  <si>
    <t>M2</t>
    <phoneticPr fontId="22" type="noConversion"/>
  </si>
  <si>
    <t>스위치 콘센트 시공</t>
    <phoneticPr fontId="22" type="noConversion"/>
  </si>
  <si>
    <t>식</t>
    <phoneticPr fontId="22" type="noConversion"/>
  </si>
  <si>
    <t>PY</t>
    <phoneticPr fontId="22" type="noConversion"/>
  </si>
  <si>
    <t>-</t>
    <phoneticPr fontId="22" type="noConversion"/>
  </si>
  <si>
    <t>천장 공사</t>
    <phoneticPr fontId="22" type="noConversion"/>
  </si>
  <si>
    <t>천장</t>
    <phoneticPr fontId="2" type="noConversion"/>
  </si>
  <si>
    <t>9.5T 석고보드 2PLY</t>
    <phoneticPr fontId="22" type="noConversion"/>
  </si>
  <si>
    <t>EA</t>
    <phoneticPr fontId="22" type="noConversion"/>
  </si>
  <si>
    <t>M</t>
    <phoneticPr fontId="22" type="noConversion"/>
  </si>
  <si>
    <t>걸레받이</t>
    <phoneticPr fontId="22" type="noConversion"/>
  </si>
  <si>
    <t>VAT 별도</t>
    <phoneticPr fontId="22" type="noConversion"/>
  </si>
  <si>
    <t>부가세 별도</t>
    <phoneticPr fontId="22" type="noConversion"/>
  </si>
  <si>
    <t>에어컨</t>
    <phoneticPr fontId="22" type="noConversion"/>
  </si>
  <si>
    <t>식</t>
    <phoneticPr fontId="22" type="noConversion"/>
  </si>
  <si>
    <t>현관</t>
    <phoneticPr fontId="22" type="noConversion"/>
  </si>
  <si>
    <t>싱크대 하부장</t>
    <phoneticPr fontId="2" type="noConversion"/>
  </si>
  <si>
    <t>식</t>
    <phoneticPr fontId="22" type="noConversion"/>
  </si>
  <si>
    <t>가스관 철거</t>
    <phoneticPr fontId="2" type="noConversion"/>
  </si>
  <si>
    <t>전열교환기</t>
    <phoneticPr fontId="22" type="noConversion"/>
  </si>
  <si>
    <t>환기</t>
    <phoneticPr fontId="22" type="noConversion"/>
  </si>
  <si>
    <t>-</t>
    <phoneticPr fontId="22" type="noConversion"/>
  </si>
  <si>
    <t>파티션</t>
    <phoneticPr fontId="22" type="noConversion"/>
  </si>
  <si>
    <t>식</t>
    <phoneticPr fontId="22" type="noConversion"/>
  </si>
  <si>
    <t>벽체 고밀도 MDF 시공</t>
    <phoneticPr fontId="22" type="noConversion"/>
  </si>
  <si>
    <t>강마루</t>
    <phoneticPr fontId="22" type="noConversion"/>
  </si>
  <si>
    <t>M</t>
    <phoneticPr fontId="22" type="noConversion"/>
  </si>
  <si>
    <t>-</t>
    <phoneticPr fontId="22" type="noConversion"/>
  </si>
  <si>
    <t>락소 히든몰딩</t>
    <phoneticPr fontId="22" type="noConversion"/>
  </si>
  <si>
    <t>거실 천장</t>
    <phoneticPr fontId="22" type="noConversion"/>
  </si>
  <si>
    <t>EA</t>
    <phoneticPr fontId="22" type="noConversion"/>
  </si>
  <si>
    <t>온도조절기 공사</t>
    <phoneticPr fontId="22" type="noConversion"/>
  </si>
  <si>
    <t>EA</t>
    <phoneticPr fontId="22" type="noConversion"/>
  </si>
  <si>
    <t xml:space="preserve"> </t>
    <phoneticPr fontId="22" type="noConversion"/>
  </si>
  <si>
    <t>감지기</t>
    <phoneticPr fontId="2" type="noConversion"/>
  </si>
  <si>
    <t>기타 감지기류</t>
    <phoneticPr fontId="22" type="noConversion"/>
  </si>
  <si>
    <t>진행</t>
    <phoneticPr fontId="22" type="noConversion"/>
  </si>
  <si>
    <t>디아망 LX하우시스 부자재 포함</t>
    <phoneticPr fontId="22" type="noConversion"/>
  </si>
  <si>
    <t>단열공사</t>
    <phoneticPr fontId="22" type="noConversion"/>
  </si>
  <si>
    <t>방 벽체 석고보드 시공</t>
    <phoneticPr fontId="22" type="noConversion"/>
  </si>
  <si>
    <t>석고보드 덧붙힘 시공</t>
    <phoneticPr fontId="22" type="noConversion"/>
  </si>
  <si>
    <t>화장실 하단 방수</t>
    <phoneticPr fontId="22" type="noConversion"/>
  </si>
  <si>
    <t>붙박이장</t>
    <phoneticPr fontId="2" type="noConversion"/>
  </si>
  <si>
    <t>플랩장</t>
    <phoneticPr fontId="22" type="noConversion"/>
  </si>
  <si>
    <t>모해디자인 진행 사항</t>
    <phoneticPr fontId="22" type="noConversion"/>
  </si>
  <si>
    <t>서비스 품목</t>
    <phoneticPr fontId="22" type="noConversion"/>
  </si>
  <si>
    <r>
      <rPr>
        <sz val="9"/>
        <rFont val="Arial Unicode MS"/>
        <family val="2"/>
        <charset val="129"/>
      </rPr>
      <t xml:space="preserve">고밀도 </t>
    </r>
    <r>
      <rPr>
        <sz val="9"/>
        <rFont val="Calibri"/>
        <family val="2"/>
      </rPr>
      <t xml:space="preserve">MDF </t>
    </r>
    <phoneticPr fontId="22" type="noConversion"/>
  </si>
  <si>
    <t>SERVICE</t>
    <phoneticPr fontId="22" type="noConversion"/>
  </si>
  <si>
    <t>모해 서비스 진행</t>
    <phoneticPr fontId="22" type="noConversion"/>
  </si>
  <si>
    <t>급 / 배수 배관이설</t>
    <phoneticPr fontId="22" type="noConversion"/>
  </si>
  <si>
    <t>조적 벽체 /젠다이</t>
    <phoneticPr fontId="2" type="noConversion"/>
  </si>
  <si>
    <t>현관문</t>
    <phoneticPr fontId="22" type="noConversion"/>
  </si>
  <si>
    <t>걸레받이</t>
    <phoneticPr fontId="2" type="noConversion"/>
  </si>
  <si>
    <t>기타</t>
    <phoneticPr fontId="2" type="noConversion"/>
  </si>
  <si>
    <t>액체방수 공사</t>
    <phoneticPr fontId="22" type="noConversion"/>
  </si>
  <si>
    <t>세라믹 코트</t>
    <phoneticPr fontId="22" type="noConversion"/>
  </si>
  <si>
    <t>확장 공사</t>
    <phoneticPr fontId="2" type="noConversion"/>
  </si>
  <si>
    <t>조적벽체 철거</t>
    <phoneticPr fontId="2" type="noConversion"/>
  </si>
  <si>
    <t>거실 화장실</t>
    <phoneticPr fontId="22" type="noConversion"/>
  </si>
  <si>
    <t>아메리칸 스탠리 탱크리스</t>
    <phoneticPr fontId="22" type="noConversion"/>
  </si>
  <si>
    <t>-</t>
    <phoneticPr fontId="22" type="noConversion"/>
  </si>
  <si>
    <t>-</t>
    <phoneticPr fontId="22" type="noConversion"/>
  </si>
  <si>
    <t>타일 파티션</t>
    <phoneticPr fontId="22" type="noConversion"/>
  </si>
  <si>
    <t>천장철거</t>
    <phoneticPr fontId="2" type="noConversion"/>
  </si>
  <si>
    <t>발코니</t>
    <phoneticPr fontId="2" type="noConversion"/>
  </si>
  <si>
    <t>마감코킹</t>
    <phoneticPr fontId="22" type="noConversion"/>
  </si>
  <si>
    <t>조색 1SET / 아덱스 실리콘</t>
    <phoneticPr fontId="22" type="noConversion"/>
  </si>
  <si>
    <t>공용부</t>
    <phoneticPr fontId="22" type="noConversion"/>
  </si>
  <si>
    <t>소방</t>
    <phoneticPr fontId="22" type="noConversion"/>
  </si>
  <si>
    <t>자동확산소화기</t>
    <phoneticPr fontId="22" type="noConversion"/>
  </si>
  <si>
    <t>스프레이건</t>
    <phoneticPr fontId="2" type="noConversion"/>
  </si>
  <si>
    <t>거실 / 안방</t>
    <phoneticPr fontId="22" type="noConversion"/>
  </si>
  <si>
    <t>니켈</t>
    <phoneticPr fontId="22" type="noConversion"/>
  </si>
  <si>
    <t>-</t>
    <phoneticPr fontId="22" type="noConversion"/>
  </si>
  <si>
    <t>현관</t>
    <phoneticPr fontId="22" type="noConversion"/>
  </si>
  <si>
    <t>벽체</t>
    <phoneticPr fontId="2" type="noConversion"/>
  </si>
  <si>
    <t>설비</t>
    <phoneticPr fontId="22" type="noConversion"/>
  </si>
  <si>
    <t>M</t>
    <phoneticPr fontId="22" type="noConversion"/>
  </si>
  <si>
    <t>안방</t>
    <phoneticPr fontId="22" type="noConversion"/>
  </si>
  <si>
    <t xml:space="preserve">30X30 각재 </t>
    <phoneticPr fontId="22" type="noConversion"/>
  </si>
  <si>
    <t xml:space="preserve">30X30 각재 </t>
    <phoneticPr fontId="22" type="noConversion"/>
  </si>
  <si>
    <t>석고+고밀도 MDF(메지 시공)</t>
    <phoneticPr fontId="22" type="noConversion"/>
  </si>
  <si>
    <t>제품 미정</t>
    <phoneticPr fontId="22" type="noConversion"/>
  </si>
  <si>
    <t>식</t>
    <phoneticPr fontId="22" type="noConversion"/>
  </si>
  <si>
    <t>EA</t>
    <phoneticPr fontId="22" type="noConversion"/>
  </si>
  <si>
    <t>220V 콘센트</t>
    <phoneticPr fontId="22" type="noConversion"/>
  </si>
  <si>
    <t>2구 스위치</t>
    <phoneticPr fontId="22" type="noConversion"/>
  </si>
  <si>
    <t>주방</t>
    <phoneticPr fontId="22" type="noConversion"/>
  </si>
  <si>
    <t>설비</t>
    <phoneticPr fontId="22" type="noConversion"/>
  </si>
  <si>
    <t>우수관 부틸러버</t>
    <phoneticPr fontId="22" type="noConversion"/>
  </si>
  <si>
    <t>식</t>
    <phoneticPr fontId="22" type="noConversion"/>
  </si>
  <si>
    <t>안방 화장실</t>
    <phoneticPr fontId="22" type="noConversion"/>
  </si>
  <si>
    <t>보일러</t>
    <phoneticPr fontId="22" type="noConversion"/>
  </si>
  <si>
    <t>바흐만 콘센트</t>
    <phoneticPr fontId="22" type="noConversion"/>
  </si>
  <si>
    <t xml:space="preserve">콘센트 </t>
    <phoneticPr fontId="22" type="noConversion"/>
  </si>
  <si>
    <t>천장 석고보드</t>
    <phoneticPr fontId="22" type="noConversion"/>
  </si>
  <si>
    <r>
      <rPr>
        <sz val="11"/>
        <rFont val="맑은 고딕"/>
        <family val="3"/>
        <charset val="129"/>
      </rPr>
      <t>貴社</t>
    </r>
    <r>
      <rPr>
        <sz val="11"/>
        <rFont val="에스코어 드림 6 Bold"/>
        <family val="2"/>
        <charset val="129"/>
      </rPr>
      <t xml:space="preserve">의 사양에 </t>
    </r>
    <r>
      <rPr>
        <sz val="11"/>
        <rFont val="맑은 고딕"/>
        <family val="3"/>
        <charset val="129"/>
      </rPr>
      <t>依</t>
    </r>
    <r>
      <rPr>
        <sz val="11"/>
        <rFont val="에스코어 드림 6 Bold"/>
        <family val="2"/>
        <charset val="129"/>
      </rPr>
      <t xml:space="preserve">하여 </t>
    </r>
    <r>
      <rPr>
        <sz val="11"/>
        <rFont val="맑은 고딕"/>
        <family val="3"/>
        <charset val="129"/>
      </rPr>
      <t>下記內容</t>
    </r>
    <r>
      <rPr>
        <sz val="11"/>
        <rFont val="에스코어 드림 6 Bold"/>
        <family val="2"/>
        <charset val="129"/>
      </rPr>
      <t xml:space="preserve">과 같이 </t>
    </r>
    <r>
      <rPr>
        <sz val="11"/>
        <rFont val="맑은 고딕"/>
        <family val="3"/>
        <charset val="129"/>
      </rPr>
      <t>見積</t>
    </r>
    <r>
      <rPr>
        <sz val="11"/>
        <rFont val="에스코어 드림 6 Bold"/>
        <family val="2"/>
        <charset val="129"/>
      </rPr>
      <t>합니다.</t>
    </r>
    <phoneticPr fontId="22" type="noConversion"/>
  </si>
  <si>
    <t>현관</t>
    <phoneticPr fontId="22" type="noConversion"/>
  </si>
  <si>
    <t>거실, 방 전체</t>
    <phoneticPr fontId="22" type="noConversion"/>
  </si>
  <si>
    <t>전체 철거</t>
    <phoneticPr fontId="22" type="noConversion"/>
  </si>
  <si>
    <t>화장실</t>
    <phoneticPr fontId="22" type="noConversion"/>
  </si>
  <si>
    <t>-</t>
    <phoneticPr fontId="22" type="noConversion"/>
  </si>
  <si>
    <t>부자재</t>
    <phoneticPr fontId="22" type="noConversion"/>
  </si>
  <si>
    <t>식</t>
    <phoneticPr fontId="22" type="noConversion"/>
  </si>
  <si>
    <t>PNC47</t>
    <phoneticPr fontId="22" type="noConversion"/>
  </si>
  <si>
    <t>현관</t>
    <phoneticPr fontId="22" type="noConversion"/>
  </si>
  <si>
    <t>현관</t>
    <phoneticPr fontId="22" type="noConversion"/>
  </si>
  <si>
    <t>전체</t>
    <phoneticPr fontId="22" type="noConversion"/>
  </si>
  <si>
    <t>300*300</t>
    <phoneticPr fontId="22" type="noConversion"/>
  </si>
  <si>
    <t>LED BAR</t>
    <phoneticPr fontId="22" type="noConversion"/>
  </si>
  <si>
    <t>SMPS</t>
    <phoneticPr fontId="22" type="noConversion"/>
  </si>
  <si>
    <t>주방</t>
    <phoneticPr fontId="22" type="noConversion"/>
  </si>
  <si>
    <t>-</t>
    <phoneticPr fontId="22" type="noConversion"/>
  </si>
  <si>
    <t>2,3인치 매립등</t>
    <phoneticPr fontId="2" type="noConversion"/>
  </si>
  <si>
    <t>보조 싱크볼</t>
    <phoneticPr fontId="2" type="noConversion"/>
  </si>
  <si>
    <t>안방 전실</t>
    <phoneticPr fontId="22" type="noConversion"/>
  </si>
  <si>
    <t>EA</t>
    <phoneticPr fontId="22" type="noConversion"/>
  </si>
  <si>
    <t>거실, 주방</t>
    <phoneticPr fontId="22" type="noConversion"/>
  </si>
  <si>
    <t>M101 19 10MM 도배용</t>
    <phoneticPr fontId="22" type="noConversion"/>
  </si>
  <si>
    <t>M101 19 10MM 도배용 / 액자레일</t>
    <phoneticPr fontId="22" type="noConversion"/>
  </si>
  <si>
    <t>르그랑</t>
    <phoneticPr fontId="22" type="noConversion"/>
  </si>
  <si>
    <t>안 방</t>
    <phoneticPr fontId="22" type="noConversion"/>
  </si>
  <si>
    <t>식</t>
    <phoneticPr fontId="22" type="noConversion"/>
  </si>
  <si>
    <t>-</t>
    <phoneticPr fontId="22" type="noConversion"/>
  </si>
  <si>
    <t>벤치</t>
    <phoneticPr fontId="22" type="noConversion"/>
  </si>
  <si>
    <t>-</t>
    <phoneticPr fontId="22" type="noConversion"/>
  </si>
  <si>
    <t>침대 헤드 및 프레임</t>
    <phoneticPr fontId="22" type="noConversion"/>
  </si>
  <si>
    <t>식</t>
    <phoneticPr fontId="22" type="noConversion"/>
  </si>
  <si>
    <t>욕조</t>
    <phoneticPr fontId="22" type="noConversion"/>
  </si>
  <si>
    <t>별도</t>
    <phoneticPr fontId="22" type="noConversion"/>
  </si>
  <si>
    <t>철거시 이슈사항</t>
    <phoneticPr fontId="22" type="noConversion"/>
  </si>
  <si>
    <t>-</t>
    <phoneticPr fontId="22" type="noConversion"/>
  </si>
  <si>
    <t>슬라이딩 도어</t>
    <phoneticPr fontId="22" type="noConversion"/>
  </si>
  <si>
    <t>중문공사</t>
    <phoneticPr fontId="22" type="noConversion"/>
  </si>
  <si>
    <t>원목 간살</t>
    <phoneticPr fontId="22" type="noConversion"/>
  </si>
  <si>
    <t>현관 선반</t>
    <phoneticPr fontId="2" type="noConversion"/>
  </si>
  <si>
    <t>BL-TL-31-CM</t>
    <phoneticPr fontId="22" type="noConversion"/>
  </si>
  <si>
    <t>거실 벽 타일</t>
    <phoneticPr fontId="22" type="noConversion"/>
  </si>
  <si>
    <t>거실 바닥 타일</t>
    <phoneticPr fontId="22" type="noConversion"/>
  </si>
  <si>
    <t>안방 벽 타일</t>
    <phoneticPr fontId="22" type="noConversion"/>
  </si>
  <si>
    <t>안방 바닥 타일</t>
    <phoneticPr fontId="22" type="noConversion"/>
  </si>
  <si>
    <t>-</t>
    <phoneticPr fontId="22" type="noConversion"/>
  </si>
  <si>
    <t>주방 벽 타일</t>
    <phoneticPr fontId="22" type="noConversion"/>
  </si>
  <si>
    <t>한솔 메종 라이트 오크</t>
    <phoneticPr fontId="22" type="noConversion"/>
  </si>
  <si>
    <t>주방</t>
    <phoneticPr fontId="22" type="noConversion"/>
  </si>
  <si>
    <t>주방</t>
    <phoneticPr fontId="22" type="noConversion"/>
  </si>
  <si>
    <t>안방</t>
    <phoneticPr fontId="22" type="noConversion"/>
  </si>
  <si>
    <t>런드리룸</t>
    <phoneticPr fontId="22" type="noConversion"/>
  </si>
  <si>
    <t>거울</t>
    <phoneticPr fontId="22" type="noConversion"/>
  </si>
  <si>
    <t>-</t>
    <phoneticPr fontId="22" type="noConversion"/>
  </si>
  <si>
    <t>거울</t>
    <phoneticPr fontId="22" type="noConversion"/>
  </si>
  <si>
    <t>거실</t>
    <phoneticPr fontId="22" type="noConversion"/>
  </si>
  <si>
    <t>세탁기 하부장</t>
    <phoneticPr fontId="2" type="noConversion"/>
  </si>
  <si>
    <t>붙박이 장</t>
    <phoneticPr fontId="2" type="noConversion"/>
  </si>
  <si>
    <t>입구방</t>
    <phoneticPr fontId="22" type="noConversion"/>
  </si>
  <si>
    <t>하드웨어</t>
    <phoneticPr fontId="22" type="noConversion"/>
  </si>
  <si>
    <t xml:space="preserve">경첩 및 서랍 등 하드웨어 </t>
    <phoneticPr fontId="22" type="noConversion"/>
  </si>
  <si>
    <t>-</t>
    <phoneticPr fontId="22" type="noConversion"/>
  </si>
  <si>
    <t>안방 침대헤드</t>
    <phoneticPr fontId="22" type="noConversion"/>
  </si>
  <si>
    <t>하부장</t>
    <phoneticPr fontId="2" type="noConversion"/>
  </si>
  <si>
    <t>-</t>
    <phoneticPr fontId="22" type="noConversion"/>
  </si>
  <si>
    <t>이노솔</t>
    <phoneticPr fontId="22" type="noConversion"/>
  </si>
  <si>
    <t>현관</t>
    <phoneticPr fontId="22" type="noConversion"/>
  </si>
  <si>
    <t xml:space="preserve">팬던트 </t>
    <phoneticPr fontId="22" type="noConversion"/>
  </si>
  <si>
    <t>미정</t>
    <phoneticPr fontId="22" type="noConversion"/>
  </si>
  <si>
    <t>안방화장실</t>
    <phoneticPr fontId="22" type="noConversion"/>
  </si>
  <si>
    <t>거실화장실</t>
    <phoneticPr fontId="22" type="noConversion"/>
  </si>
  <si>
    <t>현관</t>
    <phoneticPr fontId="22" type="noConversion"/>
  </si>
  <si>
    <t>현관</t>
    <phoneticPr fontId="22" type="noConversion"/>
  </si>
  <si>
    <t>-</t>
    <phoneticPr fontId="22" type="noConversion"/>
  </si>
  <si>
    <t>거실,주방</t>
    <phoneticPr fontId="22" type="noConversion"/>
  </si>
  <si>
    <t>기타 및 공통</t>
    <phoneticPr fontId="22" type="noConversion"/>
  </si>
  <si>
    <t>세면대</t>
    <phoneticPr fontId="22" type="noConversion"/>
  </si>
  <si>
    <t>거실 화장실</t>
    <phoneticPr fontId="22" type="noConversion"/>
  </si>
  <si>
    <t>9.5T 합판 1PLY</t>
    <phoneticPr fontId="22" type="noConversion"/>
  </si>
  <si>
    <t>공용부 및 각 방</t>
    <phoneticPr fontId="22" type="noConversion"/>
  </si>
  <si>
    <t>거울</t>
    <phoneticPr fontId="2" type="noConversion"/>
  </si>
  <si>
    <t>벽체 석고보드</t>
    <phoneticPr fontId="22" type="noConversion"/>
  </si>
  <si>
    <t>EA</t>
    <phoneticPr fontId="22" type="noConversion"/>
  </si>
  <si>
    <t>이노솔 천장 골조 공사</t>
    <phoneticPr fontId="22" type="noConversion"/>
  </si>
  <si>
    <t>이노솔 천장 합판 보강</t>
    <phoneticPr fontId="22" type="noConversion"/>
  </si>
  <si>
    <t>세면대 구조틀</t>
    <phoneticPr fontId="22" type="noConversion"/>
  </si>
  <si>
    <t>ㅁ각파이프</t>
    <phoneticPr fontId="22" type="noConversion"/>
  </si>
  <si>
    <t>파티션 도어</t>
    <phoneticPr fontId="2" type="noConversion"/>
  </si>
  <si>
    <t>샤워부스, 양변기</t>
    <phoneticPr fontId="22" type="noConversion"/>
  </si>
  <si>
    <t>백조 SQSR 380</t>
    <phoneticPr fontId="22" type="noConversion"/>
  </si>
  <si>
    <t>-</t>
    <phoneticPr fontId="22" type="noConversion"/>
  </si>
  <si>
    <t>EA</t>
    <phoneticPr fontId="22" type="noConversion"/>
  </si>
  <si>
    <t>SUS 제작선반</t>
    <phoneticPr fontId="22" type="noConversion"/>
  </si>
  <si>
    <t>안 방</t>
    <phoneticPr fontId="22" type="noConversion"/>
  </si>
  <si>
    <t>주 방</t>
    <phoneticPr fontId="22" type="noConversion"/>
  </si>
  <si>
    <t>현 관</t>
    <phoneticPr fontId="22" type="noConversion"/>
  </si>
  <si>
    <t>전체</t>
    <phoneticPr fontId="22" type="noConversion"/>
  </si>
  <si>
    <t>침대 헤드 및 오픈 가구</t>
    <phoneticPr fontId="22" type="noConversion"/>
  </si>
  <si>
    <t xml:space="preserve"> </t>
    <phoneticPr fontId="22" type="noConversion"/>
  </si>
  <si>
    <t>접합유리,필름 마감</t>
    <phoneticPr fontId="22" type="noConversion"/>
  </si>
  <si>
    <t>비디오폰 이설</t>
    <phoneticPr fontId="22" type="noConversion"/>
  </si>
  <si>
    <t>미정</t>
    <phoneticPr fontId="22" type="noConversion"/>
  </si>
  <si>
    <t>-</t>
    <phoneticPr fontId="22" type="noConversion"/>
  </si>
  <si>
    <t>식탁 다리</t>
    <phoneticPr fontId="22" type="noConversion"/>
  </si>
  <si>
    <t>선진수도 선택9</t>
    <phoneticPr fontId="22" type="noConversion"/>
  </si>
  <si>
    <t>샤워 거치대(슬라이드바)</t>
    <phoneticPr fontId="2" type="noConversion"/>
  </si>
  <si>
    <t>-</t>
    <phoneticPr fontId="22" type="noConversion"/>
  </si>
  <si>
    <t>후크형 옷걸이</t>
    <phoneticPr fontId="22" type="noConversion"/>
  </si>
  <si>
    <t>그레이바스 SP 프랑크 옷걸이</t>
    <phoneticPr fontId="22" type="noConversion"/>
  </si>
  <si>
    <t>아메리칸 언더카운터 씬엣지 F514</t>
    <phoneticPr fontId="22" type="noConversion"/>
  </si>
  <si>
    <t>누오보 유광 화이트 281 5435W</t>
    <phoneticPr fontId="22" type="noConversion"/>
  </si>
  <si>
    <t>스위치</t>
    <phoneticPr fontId="2" type="noConversion"/>
  </si>
  <si>
    <t>EA</t>
    <phoneticPr fontId="22" type="noConversion"/>
  </si>
  <si>
    <t>르그랑 아테오 5구</t>
    <phoneticPr fontId="22" type="noConversion"/>
  </si>
  <si>
    <t>거실</t>
    <phoneticPr fontId="22" type="noConversion"/>
  </si>
  <si>
    <t>르그랑 아테오 2구</t>
    <phoneticPr fontId="22" type="noConversion"/>
  </si>
  <si>
    <t>주방</t>
    <phoneticPr fontId="22" type="noConversion"/>
  </si>
  <si>
    <t>르그랑 아테오 2구</t>
    <phoneticPr fontId="22" type="noConversion"/>
  </si>
  <si>
    <t>침대헤드 조명(스포트라이트)</t>
    <phoneticPr fontId="22" type="noConversion"/>
  </si>
  <si>
    <t>브러쉬드 니켈</t>
    <phoneticPr fontId="22" type="noConversion"/>
  </si>
  <si>
    <t>https://www.11st.co.kr/products/8079203930?NaPm=ct%3Dmaxk569k%7Cci%3Dc6e4d8ab258280f0a46cc831570a1a307430154d%7Ctr%3Dslsl%7Csn%3D17703%7Chk%3D1b5f2f00b24663d783b48ff81b61f101adb619ad&amp;utm_term=&amp;utm_campaign=%B3%D7%C0%CC%B9%F6pc_%B0%A1%B0%DD%BA%F1%B1%B3%B1%E2%BA%BB&amp;utm_source=%B3%D7%C0%CC%B9%F6_PC_PCS&amp;utm_medium=%B0%A1%B0%DD%BA%F1%B1%B3</t>
    <phoneticPr fontId="22" type="noConversion"/>
  </si>
  <si>
    <t>고객 직접 결제</t>
    <phoneticPr fontId="22" type="noConversion"/>
  </si>
  <si>
    <t>SERVICE</t>
    <phoneticPr fontId="22" type="noConversion"/>
  </si>
  <si>
    <t>엘리베이터 및 공용부 보양</t>
    <phoneticPr fontId="22" type="noConversion"/>
  </si>
  <si>
    <t>M2</t>
    <phoneticPr fontId="22" type="noConversion"/>
  </si>
  <si>
    <t>보일러</t>
    <phoneticPr fontId="22" type="noConversion"/>
  </si>
  <si>
    <t>온도조절기 공사</t>
    <phoneticPr fontId="22" type="noConversion"/>
  </si>
  <si>
    <t>허니웰 제어기</t>
    <phoneticPr fontId="22" type="noConversion"/>
  </si>
  <si>
    <t>분배기</t>
    <phoneticPr fontId="22" type="noConversion"/>
  </si>
  <si>
    <t>분배기</t>
    <phoneticPr fontId="22" type="noConversion"/>
  </si>
  <si>
    <t>허니웰 온도조절기</t>
    <phoneticPr fontId="22" type="noConversion"/>
  </si>
  <si>
    <t>EA</t>
    <phoneticPr fontId="22" type="noConversion"/>
  </si>
  <si>
    <t xml:space="preserve"> 각 방</t>
    <phoneticPr fontId="22" type="noConversion"/>
  </si>
  <si>
    <t>허니웰 구동기</t>
    <phoneticPr fontId="22" type="noConversion"/>
  </si>
  <si>
    <t>분배기 이설 및 교체</t>
    <phoneticPr fontId="22" type="noConversion"/>
  </si>
  <si>
    <t>식</t>
    <phoneticPr fontId="22" type="noConversion"/>
  </si>
  <si>
    <t>융 온도조절기</t>
    <phoneticPr fontId="22" type="noConversion"/>
  </si>
  <si>
    <t>미정</t>
    <phoneticPr fontId="22" type="noConversion"/>
  </si>
  <si>
    <t>대운반</t>
    <phoneticPr fontId="22" type="noConversion"/>
  </si>
  <si>
    <t>싱크대 상부장 선반</t>
    <phoneticPr fontId="2" type="noConversion"/>
  </si>
  <si>
    <t>EA</t>
    <phoneticPr fontId="22" type="noConversion"/>
  </si>
  <si>
    <t>좌,우</t>
    <phoneticPr fontId="22" type="noConversion"/>
  </si>
  <si>
    <t>냉장고 장 EP</t>
    <phoneticPr fontId="2" type="noConversion"/>
  </si>
  <si>
    <t>키큰장</t>
    <phoneticPr fontId="2" type="noConversion"/>
  </si>
  <si>
    <t>키큰장</t>
    <phoneticPr fontId="2" type="noConversion"/>
  </si>
  <si>
    <t>주방가구 B</t>
    <phoneticPr fontId="2" type="noConversion"/>
  </si>
  <si>
    <t>선반 난간대</t>
    <phoneticPr fontId="22" type="noConversion"/>
  </si>
  <si>
    <t>키큰장 EP</t>
    <phoneticPr fontId="2" type="noConversion"/>
  </si>
  <si>
    <t>좌,우</t>
    <phoneticPr fontId="22" type="noConversion"/>
  </si>
  <si>
    <t>EA</t>
    <phoneticPr fontId="22" type="noConversion"/>
  </si>
  <si>
    <t>아일랜드 하부장</t>
    <phoneticPr fontId="2" type="noConversion"/>
  </si>
  <si>
    <t>아일랜드 하부장 EP</t>
    <phoneticPr fontId="2" type="noConversion"/>
  </si>
  <si>
    <t>우측</t>
    <phoneticPr fontId="22" type="noConversion"/>
  </si>
  <si>
    <t>-</t>
    <phoneticPr fontId="22" type="noConversion"/>
  </si>
  <si>
    <t>아일랜드 후드</t>
    <phoneticPr fontId="22" type="noConversion"/>
  </si>
  <si>
    <t>주방</t>
    <phoneticPr fontId="22" type="noConversion"/>
  </si>
  <si>
    <t>EA</t>
    <phoneticPr fontId="22" type="noConversion"/>
  </si>
  <si>
    <t>하츠 SIH-30S</t>
    <phoneticPr fontId="22" type="noConversion"/>
  </si>
  <si>
    <t>-</t>
    <phoneticPr fontId="22" type="noConversion"/>
  </si>
  <si>
    <t>식탁 상판 구조틀 프레임</t>
    <phoneticPr fontId="22" type="noConversion"/>
  </si>
  <si>
    <t>금속 공사</t>
    <phoneticPr fontId="22" type="noConversion"/>
  </si>
  <si>
    <t>주방</t>
    <phoneticPr fontId="22" type="noConversion"/>
  </si>
  <si>
    <t>식</t>
    <phoneticPr fontId="22" type="noConversion"/>
  </si>
  <si>
    <t>키큰장</t>
    <phoneticPr fontId="2" type="noConversion"/>
  </si>
  <si>
    <t>자</t>
    <phoneticPr fontId="22" type="noConversion"/>
  </si>
  <si>
    <t>거실</t>
    <phoneticPr fontId="22" type="noConversion"/>
  </si>
  <si>
    <t>거실</t>
    <phoneticPr fontId="22" type="noConversion"/>
  </si>
  <si>
    <t>상부장</t>
    <phoneticPr fontId="2" type="noConversion"/>
  </si>
  <si>
    <t>SUS 제작 선반</t>
    <phoneticPr fontId="2" type="noConversion"/>
  </si>
  <si>
    <t>거실</t>
    <phoneticPr fontId="22" type="noConversion"/>
  </si>
  <si>
    <t>M2</t>
    <phoneticPr fontId="22" type="noConversion"/>
  </si>
  <si>
    <t>TV 아트월 EP</t>
    <phoneticPr fontId="22" type="noConversion"/>
  </si>
  <si>
    <t>좌,우,측면</t>
    <phoneticPr fontId="22" type="noConversion"/>
  </si>
  <si>
    <t>현관</t>
    <phoneticPr fontId="2" type="noConversion"/>
  </si>
  <si>
    <t>안방</t>
    <phoneticPr fontId="2" type="noConversion"/>
  </si>
  <si>
    <t>붙박이 장 EP</t>
    <phoneticPr fontId="2" type="noConversion"/>
  </si>
  <si>
    <t>-</t>
    <phoneticPr fontId="22" type="noConversion"/>
  </si>
  <si>
    <t>유리벽돌</t>
    <phoneticPr fontId="22" type="noConversion"/>
  </si>
  <si>
    <t>주방</t>
    <phoneticPr fontId="22" type="noConversion"/>
  </si>
  <si>
    <t>EA</t>
    <phoneticPr fontId="22" type="noConversion"/>
  </si>
  <si>
    <t>-</t>
    <phoneticPr fontId="22" type="noConversion"/>
  </si>
  <si>
    <t>은경(거울)</t>
    <phoneticPr fontId="22" type="noConversion"/>
  </si>
  <si>
    <t>복도</t>
    <phoneticPr fontId="22" type="noConversion"/>
  </si>
  <si>
    <t>안방 화장실 맞은편</t>
    <phoneticPr fontId="22" type="noConversion"/>
  </si>
  <si>
    <t>자</t>
    <phoneticPr fontId="22" type="noConversion"/>
  </si>
  <si>
    <t>드레스룸</t>
    <phoneticPr fontId="22" type="noConversion"/>
  </si>
  <si>
    <t>공용부</t>
    <phoneticPr fontId="2" type="noConversion"/>
  </si>
  <si>
    <t>발코니</t>
    <phoneticPr fontId="22" type="noConversion"/>
  </si>
  <si>
    <t>가구도어</t>
    <phoneticPr fontId="2" type="noConversion"/>
  </si>
  <si>
    <t>발코니 A</t>
    <phoneticPr fontId="22" type="noConversion"/>
  </si>
  <si>
    <t>발코니 B</t>
    <phoneticPr fontId="22" type="noConversion"/>
  </si>
  <si>
    <t>세탁실</t>
    <phoneticPr fontId="22" type="noConversion"/>
  </si>
  <si>
    <t>-</t>
    <phoneticPr fontId="22" type="noConversion"/>
  </si>
  <si>
    <t>세면대 하부장</t>
    <phoneticPr fontId="22" type="noConversion"/>
  </si>
  <si>
    <t>안방화장실</t>
    <phoneticPr fontId="22" type="noConversion"/>
  </si>
  <si>
    <t>공용부</t>
    <phoneticPr fontId="22" type="noConversion"/>
  </si>
  <si>
    <t>일괄소등</t>
    <phoneticPr fontId="22" type="noConversion"/>
  </si>
  <si>
    <t>1구 프레임</t>
    <phoneticPr fontId="22" type="noConversion"/>
  </si>
  <si>
    <t>2구 프레임</t>
    <phoneticPr fontId="22" type="noConversion"/>
  </si>
  <si>
    <t>거실</t>
    <phoneticPr fontId="22" type="noConversion"/>
  </si>
  <si>
    <t>공용부</t>
    <phoneticPr fontId="22" type="noConversion"/>
  </si>
  <si>
    <t>거실 화장실</t>
    <phoneticPr fontId="22" type="noConversion"/>
  </si>
  <si>
    <t>분전함 교체</t>
    <phoneticPr fontId="22" type="noConversion"/>
  </si>
  <si>
    <t>마그네틱 조명</t>
    <phoneticPr fontId="2" type="noConversion"/>
  </si>
  <si>
    <t>레일</t>
    <phoneticPr fontId="22" type="noConversion"/>
  </si>
  <si>
    <t>조명기구(별도)</t>
    <phoneticPr fontId="22" type="noConversion"/>
  </si>
  <si>
    <t>거실 화장실</t>
    <phoneticPr fontId="22" type="noConversion"/>
  </si>
  <si>
    <t>휴젠트 2.5</t>
    <phoneticPr fontId="22" type="noConversion"/>
  </si>
  <si>
    <t>안방,거실 화장실</t>
    <phoneticPr fontId="22" type="noConversion"/>
  </si>
  <si>
    <t>안방 화장실</t>
    <phoneticPr fontId="22" type="noConversion"/>
  </si>
  <si>
    <t>거울장</t>
    <phoneticPr fontId="2" type="noConversion"/>
  </si>
  <si>
    <t>제작</t>
    <phoneticPr fontId="22" type="noConversion"/>
  </si>
  <si>
    <t>아메리칸 FB2614-0KAKC11BA</t>
    <phoneticPr fontId="22" type="noConversion"/>
  </si>
  <si>
    <t>안방, 거실 화장실</t>
    <phoneticPr fontId="22" type="noConversion"/>
  </si>
  <si>
    <t>전체</t>
    <phoneticPr fontId="22" type="noConversion"/>
  </si>
  <si>
    <t>전체</t>
    <phoneticPr fontId="22" type="noConversion"/>
  </si>
  <si>
    <t>TV 아트월</t>
    <phoneticPr fontId="22" type="noConversion"/>
  </si>
  <si>
    <t>디자인</t>
    <phoneticPr fontId="22" type="noConversion"/>
  </si>
  <si>
    <t>도배 시공</t>
    <phoneticPr fontId="22" type="noConversion"/>
  </si>
  <si>
    <t>전체</t>
    <phoneticPr fontId="22" type="noConversion"/>
  </si>
  <si>
    <t>융 제외 나머지</t>
    <phoneticPr fontId="22" type="noConversion"/>
  </si>
  <si>
    <t>현관</t>
    <phoneticPr fontId="22" type="noConversion"/>
  </si>
  <si>
    <t>유럽형 제어기(제작)</t>
    <phoneticPr fontId="22" type="noConversion"/>
  </si>
  <si>
    <t>SMPS(300W)</t>
    <phoneticPr fontId="22" type="noConversion"/>
  </si>
  <si>
    <t>재료비</t>
    <phoneticPr fontId="22" type="noConversion"/>
  </si>
  <si>
    <t>노무비</t>
    <phoneticPr fontId="22" type="noConversion"/>
  </si>
  <si>
    <t>*</t>
    <phoneticPr fontId="22" type="noConversion"/>
  </si>
  <si>
    <t>산재 보험료</t>
    <phoneticPr fontId="22" type="noConversion"/>
  </si>
  <si>
    <t>고용 보험료</t>
    <phoneticPr fontId="22" type="noConversion"/>
  </si>
  <si>
    <t>국민건강 보험료</t>
    <phoneticPr fontId="22" type="noConversion"/>
  </si>
  <si>
    <t>국민연금 보험료</t>
    <phoneticPr fontId="22" type="noConversion"/>
  </si>
  <si>
    <t>노인 장기 요양 보험료</t>
    <phoneticPr fontId="22" type="noConversion"/>
  </si>
  <si>
    <t>안전관리비</t>
    <phoneticPr fontId="22" type="noConversion"/>
  </si>
  <si>
    <t>노무비*3.56%</t>
    <phoneticPr fontId="22" type="noConversion"/>
  </si>
  <si>
    <t>노무비*1.01%</t>
    <phoneticPr fontId="22" type="noConversion"/>
  </si>
  <si>
    <t>노무비*3.545%</t>
    <phoneticPr fontId="22" type="noConversion"/>
  </si>
  <si>
    <t>노무비*4.5%</t>
    <phoneticPr fontId="22" type="noConversion"/>
  </si>
  <si>
    <t>건강보혐료*12.95%</t>
    <phoneticPr fontId="22" type="noConversion"/>
  </si>
  <si>
    <t>직접공사비*3.11%</t>
    <phoneticPr fontId="22" type="noConversion"/>
  </si>
  <si>
    <t>*</t>
    <phoneticPr fontId="22" type="noConversion"/>
  </si>
  <si>
    <t>기타경비</t>
    <phoneticPr fontId="22" type="noConversion"/>
  </si>
  <si>
    <t>-</t>
    <phoneticPr fontId="22" type="noConversion"/>
  </si>
  <si>
    <t>옷봉</t>
    <phoneticPr fontId="22" type="noConversion"/>
  </si>
  <si>
    <t>옷봉</t>
    <phoneticPr fontId="22" type="noConversion"/>
  </si>
  <si>
    <t>거실,안방 화장실</t>
    <phoneticPr fontId="22" type="noConversion"/>
  </si>
  <si>
    <t>-</t>
    <phoneticPr fontId="22" type="noConversion"/>
  </si>
  <si>
    <t>-</t>
    <phoneticPr fontId="22" type="noConversion"/>
  </si>
  <si>
    <t>무타공세면대</t>
    <phoneticPr fontId="22" type="noConversion"/>
  </si>
  <si>
    <t>가구 도어</t>
    <phoneticPr fontId="22" type="noConversion"/>
  </si>
  <si>
    <t>우수관</t>
    <phoneticPr fontId="22" type="noConversion"/>
  </si>
  <si>
    <t>거실</t>
    <phoneticPr fontId="22" type="noConversion"/>
  </si>
  <si>
    <t>TV 간살 도어</t>
    <phoneticPr fontId="22" type="noConversion"/>
  </si>
  <si>
    <t>레일 및 시공비 포함</t>
    <phoneticPr fontId="22" type="noConversion"/>
  </si>
  <si>
    <t>아메리칸 언더카운터 씬엣지 F513</t>
    <phoneticPr fontId="22" type="noConversion"/>
  </si>
  <si>
    <t xml:space="preserve">아덱스 도막방수제 2회 </t>
    <phoneticPr fontId="22" type="noConversion"/>
  </si>
  <si>
    <t>거실</t>
    <phoneticPr fontId="22" type="noConversion"/>
  </si>
  <si>
    <t>주방,방</t>
    <phoneticPr fontId="22" type="noConversion"/>
  </si>
  <si>
    <t>바닥면적 확장,조적 및 미장</t>
    <phoneticPr fontId="22" type="noConversion"/>
  </si>
  <si>
    <t>안방 화장실</t>
    <phoneticPr fontId="22" type="noConversion"/>
  </si>
  <si>
    <t>언더카운터 세면대 W:600</t>
    <phoneticPr fontId="2" type="noConversion"/>
  </si>
  <si>
    <t>-</t>
    <phoneticPr fontId="22" type="noConversion"/>
  </si>
  <si>
    <t>-</t>
    <phoneticPr fontId="22" type="noConversion"/>
  </si>
  <si>
    <t>EA</t>
    <phoneticPr fontId="22" type="noConversion"/>
  </si>
  <si>
    <t>기존 배선 제거 후 새로 입선</t>
    <phoneticPr fontId="22" type="noConversion"/>
  </si>
  <si>
    <t>주방</t>
    <phoneticPr fontId="2" type="noConversion"/>
  </si>
  <si>
    <t>화장실</t>
    <phoneticPr fontId="22" type="noConversion"/>
  </si>
  <si>
    <t>-</t>
    <phoneticPr fontId="22" type="noConversion"/>
  </si>
  <si>
    <t>매립장</t>
    <phoneticPr fontId="22" type="noConversion"/>
  </si>
  <si>
    <t>거실,안방</t>
    <phoneticPr fontId="22" type="noConversion"/>
  </si>
  <si>
    <t>식</t>
    <phoneticPr fontId="22" type="noConversion"/>
  </si>
  <si>
    <t>디자인 및 자재 스펙에 따른 변동</t>
    <phoneticPr fontId="22" type="noConversion"/>
  </si>
  <si>
    <t>작업실,드레스룸</t>
    <phoneticPr fontId="22" type="noConversion"/>
  </si>
  <si>
    <t>신설벽체</t>
    <phoneticPr fontId="22" type="noConversion"/>
  </si>
  <si>
    <t>신설벽체</t>
    <phoneticPr fontId="22" type="noConversion"/>
  </si>
  <si>
    <t>20T*2 아이소핑크</t>
    <phoneticPr fontId="22" type="noConversion"/>
  </si>
  <si>
    <t>안 방 - 발코니</t>
    <phoneticPr fontId="22" type="noConversion"/>
  </si>
  <si>
    <t>커튼 박스</t>
    <phoneticPr fontId="22" type="noConversion"/>
  </si>
  <si>
    <t>950*850</t>
    <phoneticPr fontId="22" type="noConversion"/>
  </si>
  <si>
    <t>1000*1700</t>
    <phoneticPr fontId="22" type="noConversion"/>
  </si>
  <si>
    <t>M2</t>
    <phoneticPr fontId="22" type="noConversion"/>
  </si>
  <si>
    <t>작업실, 드레스룸</t>
    <phoneticPr fontId="22" type="noConversion"/>
  </si>
  <si>
    <t>영림발렌</t>
    <phoneticPr fontId="22" type="noConversion"/>
  </si>
  <si>
    <t>작업방</t>
    <phoneticPr fontId="22" type="noConversion"/>
  </si>
  <si>
    <t>신설 벽체 포함</t>
    <phoneticPr fontId="22" type="noConversion"/>
  </si>
  <si>
    <t>신설 벽체 포함</t>
    <phoneticPr fontId="22" type="noConversion"/>
  </si>
  <si>
    <t>행위허가</t>
    <phoneticPr fontId="22" type="noConversion"/>
  </si>
  <si>
    <t>자재 양중</t>
    <phoneticPr fontId="22" type="noConversion"/>
  </si>
  <si>
    <t>싱크 수전(메인)</t>
    <phoneticPr fontId="2" type="noConversion"/>
  </si>
  <si>
    <t>싱크볼(메인)</t>
    <phoneticPr fontId="2" type="noConversion"/>
  </si>
  <si>
    <t>싱크볼(보조)</t>
    <phoneticPr fontId="2" type="noConversion"/>
  </si>
  <si>
    <t>SQSR380</t>
    <phoneticPr fontId="22" type="noConversion"/>
  </si>
  <si>
    <t>천장 골조 및 석고보드</t>
    <phoneticPr fontId="22" type="noConversion"/>
  </si>
  <si>
    <t>가구 도어</t>
    <phoneticPr fontId="22" type="noConversion"/>
  </si>
  <si>
    <t>디아망 포티스 부자재 포함</t>
    <phoneticPr fontId="22" type="noConversion"/>
  </si>
  <si>
    <t>PNC44</t>
    <phoneticPr fontId="22" type="noConversion"/>
  </si>
  <si>
    <t>원목마루</t>
    <phoneticPr fontId="22" type="noConversion"/>
  </si>
  <si>
    <t>지복득 바람12T 1507</t>
    <phoneticPr fontId="22" type="noConversion"/>
  </si>
  <si>
    <t>디엔메종 믹싱불</t>
    <phoneticPr fontId="22" type="noConversion"/>
  </si>
  <si>
    <t>인터폰 및 도어락</t>
    <phoneticPr fontId="22" type="noConversion"/>
  </si>
  <si>
    <t>샷시</t>
    <phoneticPr fontId="22" type="noConversion"/>
  </si>
  <si>
    <t>난방배관 교체</t>
    <phoneticPr fontId="22" type="noConversion"/>
  </si>
  <si>
    <t>홈파기 / 분배기 교체 포함</t>
    <phoneticPr fontId="22" type="noConversion"/>
  </si>
  <si>
    <t>난방</t>
    <phoneticPr fontId="22" type="noConversion"/>
  </si>
  <si>
    <t>개별 보일러</t>
    <phoneticPr fontId="22" type="noConversion"/>
  </si>
  <si>
    <t>마그네틱 조명</t>
    <phoneticPr fontId="22" type="noConversion"/>
  </si>
  <si>
    <t>팬던트</t>
    <phoneticPr fontId="22" type="noConversion"/>
  </si>
  <si>
    <t>고객 지급 자재</t>
    <phoneticPr fontId="22" type="noConversion"/>
  </si>
  <si>
    <t>3구 프레임</t>
    <phoneticPr fontId="22" type="noConversion"/>
  </si>
  <si>
    <t>UTP</t>
    <phoneticPr fontId="22" type="noConversion"/>
  </si>
  <si>
    <t>융(매트화이트)</t>
    <phoneticPr fontId="22" type="noConversion"/>
  </si>
  <si>
    <t>3로 스위치</t>
    <phoneticPr fontId="22" type="noConversion"/>
  </si>
  <si>
    <t>플로어 콘센트</t>
    <phoneticPr fontId="2" type="noConversion"/>
  </si>
  <si>
    <t>바닥 매립</t>
    <phoneticPr fontId="22" type="noConversion"/>
  </si>
  <si>
    <t>이건 그린 230</t>
    <phoneticPr fontId="22" type="noConversion"/>
  </si>
  <si>
    <r>
      <rPr>
        <sz val="9"/>
        <color rgb="FFFF0000"/>
        <rFont val="에스코어 드림 5 Medium"/>
        <family val="2"/>
        <charset val="129"/>
      </rPr>
      <t>에어컨</t>
    </r>
    <phoneticPr fontId="22" type="noConversion"/>
  </si>
  <si>
    <r>
      <rPr>
        <sz val="9"/>
        <color rgb="FFFF0000"/>
        <rFont val="에스코어 드림 5 Medium"/>
        <family val="2"/>
        <charset val="129"/>
      </rPr>
      <t>창호</t>
    </r>
    <phoneticPr fontId="22" type="noConversion"/>
  </si>
  <si>
    <t>경동보일러 / 별도</t>
    <phoneticPr fontId="22" type="noConversion"/>
  </si>
  <si>
    <t>경기 수원시 영통구 이의동 1221, 3층</t>
    <phoneticPr fontId="2" type="noConversion"/>
  </si>
  <si>
    <t>M.O.A.C</t>
    <phoneticPr fontId="2" type="noConversion"/>
  </si>
  <si>
    <t>로봇청소기</t>
    <phoneticPr fontId="22" type="noConversion"/>
  </si>
  <si>
    <t>한솔</t>
    <phoneticPr fontId="22" type="noConversion"/>
  </si>
  <si>
    <t>냉장고 장</t>
    <phoneticPr fontId="2" type="noConversion"/>
  </si>
  <si>
    <t>좌측</t>
    <phoneticPr fontId="22" type="noConversion"/>
  </si>
  <si>
    <t>키큰 장 EP</t>
    <phoneticPr fontId="2" type="noConversion"/>
  </si>
  <si>
    <t>오픈 장</t>
    <phoneticPr fontId="2" type="noConversion"/>
  </si>
  <si>
    <t>홈바 상부장</t>
    <phoneticPr fontId="2" type="noConversion"/>
  </si>
  <si>
    <t>홈바 하부장</t>
    <phoneticPr fontId="2" type="noConversion"/>
  </si>
  <si>
    <t>홈바 상부장 LED 조명</t>
    <phoneticPr fontId="2" type="noConversion"/>
  </si>
  <si>
    <t>홈바  상부장 조명 프로파일</t>
    <phoneticPr fontId="2" type="noConversion"/>
  </si>
  <si>
    <t>깜뽀르테 960</t>
    <phoneticPr fontId="22" type="noConversion"/>
  </si>
  <si>
    <t>방1</t>
    <phoneticPr fontId="22" type="noConversion"/>
  </si>
  <si>
    <t>방2</t>
    <phoneticPr fontId="22" type="noConversion"/>
  </si>
  <si>
    <t>신발 상부장</t>
    <phoneticPr fontId="2" type="noConversion"/>
  </si>
  <si>
    <t>신발 하부장</t>
    <phoneticPr fontId="2" type="noConversion"/>
  </si>
  <si>
    <t>오픈 장</t>
    <phoneticPr fontId="22" type="noConversion"/>
  </si>
  <si>
    <t>신발 장 가구도어</t>
    <phoneticPr fontId="22" type="noConversion"/>
  </si>
  <si>
    <t>신발 장</t>
    <phoneticPr fontId="22" type="noConversion"/>
  </si>
  <si>
    <t>팬트리</t>
    <phoneticPr fontId="22" type="noConversion"/>
  </si>
  <si>
    <t>가구도어</t>
    <phoneticPr fontId="22" type="noConversion"/>
  </si>
  <si>
    <t>미정 / 현장 체크</t>
    <phoneticPr fontId="22" type="noConversion"/>
  </si>
  <si>
    <t>방3</t>
    <phoneticPr fontId="22" type="noConversion"/>
  </si>
  <si>
    <t>발코니 및 세탁실 등</t>
    <phoneticPr fontId="22" type="noConversion"/>
  </si>
  <si>
    <t>직부 슬림 엣지</t>
    <phoneticPr fontId="22" type="noConversion"/>
  </si>
  <si>
    <t>도어 손잡이</t>
    <phoneticPr fontId="22" type="noConversion"/>
  </si>
  <si>
    <t>아메리칸 웨이브S 원피스</t>
    <phoneticPr fontId="22" type="noConversion"/>
  </si>
  <si>
    <t>탑볼 세면대</t>
    <phoneticPr fontId="2" type="noConversion"/>
  </si>
  <si>
    <t>그로헤 유로스타일 500</t>
    <phoneticPr fontId="22" type="noConversion"/>
  </si>
  <si>
    <t>필로토 그라몽 0057 D1 콘크리트</t>
    <phoneticPr fontId="22" type="noConversion"/>
  </si>
  <si>
    <t>힘펠 제로크</t>
    <phoneticPr fontId="22" type="noConversion"/>
  </si>
  <si>
    <t>휴젠트 노바</t>
    <phoneticPr fontId="22" type="noConversion"/>
  </si>
  <si>
    <t>마뷸러스 듀스</t>
    <phoneticPr fontId="22" type="noConversion"/>
  </si>
  <si>
    <t>지급자재</t>
    <phoneticPr fontId="22" type="noConversion"/>
  </si>
  <si>
    <t>옷 선반</t>
    <phoneticPr fontId="22" type="noConversion"/>
  </si>
  <si>
    <t>그로헤 에센스 브러쉬드 그라파이트</t>
    <phoneticPr fontId="22" type="noConversion"/>
  </si>
  <si>
    <t>그로헤 에센스M 브러쉬드 그라파이트</t>
    <phoneticPr fontId="22" type="noConversion"/>
  </si>
  <si>
    <t>4구 프레임</t>
    <phoneticPr fontId="22" type="noConversion"/>
  </si>
  <si>
    <t>직부등</t>
    <phoneticPr fontId="22" type="noConversion"/>
  </si>
  <si>
    <t>클릭 컬러 스위치 2구</t>
    <phoneticPr fontId="22" type="noConversion"/>
  </si>
  <si>
    <t>색상 미정</t>
    <phoneticPr fontId="22" type="noConversion"/>
  </si>
  <si>
    <t>다용도실</t>
    <phoneticPr fontId="22" type="noConversion"/>
  </si>
  <si>
    <t>TV하부장</t>
    <phoneticPr fontId="22" type="noConversion"/>
  </si>
  <si>
    <t>필름 마감</t>
    <phoneticPr fontId="22" type="noConversion"/>
  </si>
  <si>
    <t>공틀 가구 도어틀</t>
    <phoneticPr fontId="22" type="noConversion"/>
  </si>
  <si>
    <t>욕실 장</t>
    <phoneticPr fontId="22" type="noConversion"/>
  </si>
  <si>
    <t>TV 하부장</t>
    <phoneticPr fontId="22" type="noConversion"/>
  </si>
  <si>
    <t>마뷸러스 엘</t>
    <phoneticPr fontId="22" type="noConversion"/>
  </si>
  <si>
    <t>제품 별도</t>
    <phoneticPr fontId="22" type="noConversion"/>
  </si>
  <si>
    <t>현장 체크</t>
    <phoneticPr fontId="22" type="noConversion"/>
  </si>
  <si>
    <t>주방,각방</t>
    <phoneticPr fontId="22" type="noConversion"/>
  </si>
  <si>
    <t>대 / 인</t>
    <phoneticPr fontId="22" type="noConversion"/>
  </si>
  <si>
    <t>기존 샷시</t>
    <phoneticPr fontId="2" type="noConversion"/>
  </si>
  <si>
    <t>TO : 오혁진 고객님</t>
    <rPh sb="0" eb="5">
      <t>ｷｶ</t>
    </rPh>
    <phoneticPr fontId="109" type="noConversion"/>
  </si>
  <si>
    <t>천안 불당 린스트라우스 아파트 인테리어 공사</t>
    <phoneticPr fontId="22" type="noConversion"/>
  </si>
  <si>
    <t>PROJECT: 천안 불당 린스트라우스 아파트 인테리어 공사</t>
    <phoneticPr fontId="2" type="noConversion"/>
  </si>
  <si>
    <t>오혁진 고객님</t>
    <phoneticPr fontId="22" type="noConversion"/>
  </si>
  <si>
    <t>안토니 세라믹 1200*2700*9T</t>
    <phoneticPr fontId="22" type="noConversion"/>
  </si>
  <si>
    <t>인피니티 세라믹 1600*3200*12T</t>
    <phoneticPr fontId="22" type="noConversion"/>
  </si>
  <si>
    <t>상판 자재(인가공 포함)</t>
    <phoneticPr fontId="2" type="noConversion"/>
  </si>
  <si>
    <t>유리도어</t>
    <phoneticPr fontId="22" type="noConversion"/>
  </si>
  <si>
    <t>좌,우측</t>
    <phoneticPr fontId="22" type="noConversion"/>
  </si>
  <si>
    <t>플랩장 EP</t>
    <phoneticPr fontId="2" type="noConversion"/>
  </si>
  <si>
    <t>주방-보조주방</t>
    <phoneticPr fontId="22" type="noConversion"/>
  </si>
  <si>
    <t>깜뽀르테 860</t>
    <phoneticPr fontId="22" type="noConversion"/>
  </si>
  <si>
    <t>제시 60024</t>
    <phoneticPr fontId="22" type="noConversion"/>
  </si>
  <si>
    <t>싱크 수전(보조)</t>
    <phoneticPr fontId="2" type="noConversion"/>
  </si>
  <si>
    <t>보조 주방</t>
    <phoneticPr fontId="22" type="noConversion"/>
  </si>
  <si>
    <t>인조대리석</t>
    <phoneticPr fontId="22" type="noConversion"/>
  </si>
  <si>
    <t>보조주방</t>
    <phoneticPr fontId="22" type="noConversion"/>
  </si>
  <si>
    <t>싱크대 상부장</t>
    <phoneticPr fontId="2" type="noConversion"/>
  </si>
  <si>
    <t>식탁 마감재</t>
    <phoneticPr fontId="22" type="noConversion"/>
  </si>
  <si>
    <t>PS보드</t>
    <phoneticPr fontId="22" type="noConversion"/>
  </si>
  <si>
    <t>신발장</t>
    <phoneticPr fontId="2" type="noConversion"/>
  </si>
  <si>
    <t>행잉</t>
    <phoneticPr fontId="22" type="noConversion"/>
  </si>
  <si>
    <t>화장대</t>
    <phoneticPr fontId="22" type="noConversion"/>
  </si>
  <si>
    <t>붙박이</t>
    <phoneticPr fontId="22" type="noConversion"/>
  </si>
  <si>
    <t>시스템장</t>
    <phoneticPr fontId="22" type="noConversion"/>
  </si>
  <si>
    <t>ㄴ 시스템장 및 밥솥 레일, 서랍,선반,블룸 등 스펙에 따라 변동 (견적미포함)</t>
    <phoneticPr fontId="22" type="noConversion"/>
  </si>
  <si>
    <t>화장대</t>
    <phoneticPr fontId="2" type="noConversion"/>
  </si>
  <si>
    <t>화장대 상판</t>
    <phoneticPr fontId="2" type="noConversion"/>
  </si>
  <si>
    <t>EP</t>
    <phoneticPr fontId="22" type="noConversion"/>
  </si>
  <si>
    <t>실링팬</t>
    <phoneticPr fontId="22" type="noConversion"/>
  </si>
  <si>
    <t>5구 프레임</t>
    <phoneticPr fontId="22" type="noConversion"/>
  </si>
  <si>
    <t>라인 조명</t>
    <phoneticPr fontId="2" type="noConversion"/>
  </si>
  <si>
    <t>매립</t>
    <phoneticPr fontId="22" type="noConversion"/>
  </si>
  <si>
    <t>언더 카운터 세면대</t>
    <phoneticPr fontId="2" type="noConversion"/>
  </si>
  <si>
    <t>아메리칸 초이스 투피스</t>
    <phoneticPr fontId="22" type="noConversion"/>
  </si>
  <si>
    <t>아메리칸 웨이브S 언더</t>
    <phoneticPr fontId="22" type="noConversion"/>
  </si>
  <si>
    <t>욕조 수전</t>
    <phoneticPr fontId="2" type="noConversion"/>
  </si>
  <si>
    <t>한스그로헤</t>
    <phoneticPr fontId="22" type="noConversion"/>
  </si>
  <si>
    <t>트렌치</t>
    <phoneticPr fontId="22" type="noConversion"/>
  </si>
  <si>
    <t>욕조</t>
    <phoneticPr fontId="2" type="noConversion"/>
  </si>
  <si>
    <t>아메리칸 골프</t>
    <phoneticPr fontId="22" type="noConversion"/>
  </si>
  <si>
    <t>아메리칸 스텐다드</t>
    <phoneticPr fontId="22" type="noConversion"/>
  </si>
  <si>
    <t>선일마루 알베로 240 베르가모</t>
    <phoneticPr fontId="22" type="noConversion"/>
  </si>
  <si>
    <t>전체(보조주방 제외)</t>
    <phoneticPr fontId="22" type="noConversion"/>
  </si>
  <si>
    <t>보조주방</t>
    <phoneticPr fontId="2" type="noConversion"/>
  </si>
  <si>
    <t>개나리 프리모 부자재 포함</t>
    <phoneticPr fontId="22" type="noConversion"/>
  </si>
  <si>
    <t>우물 천장</t>
    <phoneticPr fontId="22" type="noConversion"/>
  </si>
  <si>
    <t>로스율 13%</t>
    <phoneticPr fontId="22" type="noConversion"/>
  </si>
  <si>
    <t>포마니</t>
    <phoneticPr fontId="22" type="noConversion"/>
  </si>
  <si>
    <t>히든 도어</t>
    <phoneticPr fontId="22" type="noConversion"/>
  </si>
  <si>
    <t>피벗 도어</t>
    <phoneticPr fontId="22" type="noConversion"/>
  </si>
  <si>
    <t>영림</t>
    <phoneticPr fontId="22" type="noConversion"/>
  </si>
  <si>
    <t>스텝 도어</t>
    <phoneticPr fontId="22" type="noConversion"/>
  </si>
  <si>
    <t>기존벽체</t>
    <phoneticPr fontId="22" type="noConversion"/>
  </si>
  <si>
    <t>주방,안방</t>
    <phoneticPr fontId="22" type="noConversion"/>
  </si>
  <si>
    <t>바닥면적 확장</t>
    <phoneticPr fontId="22" type="noConversion"/>
  </si>
  <si>
    <t>주방, 안방</t>
    <phoneticPr fontId="22" type="noConversion"/>
  </si>
  <si>
    <t>비디오폰,도어락 및 제품 별도</t>
    <phoneticPr fontId="22" type="noConversion"/>
  </si>
  <si>
    <t>대림바스</t>
    <phoneticPr fontId="22" type="noConversion"/>
  </si>
  <si>
    <t>RS 840 싱크볼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</si>
</sst>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_-* #,##0_-;\-* #,##0_-;_-* &quot;-&quot;??_-;_-@_-"/>
    <numFmt numFmtId="223" formatCode="&quot;₩&quot;#,##0"/>
  </numFmts>
  <fonts count="160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2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name val="맑은 고딕"/>
      <family val="2"/>
      <charset val="129"/>
    </font>
    <font>
      <sz val="9"/>
      <name val="Arial Unicode MS"/>
      <family val="2"/>
      <charset val="129"/>
    </font>
    <font>
      <sz val="9"/>
      <name val="굴림"/>
      <family val="2"/>
      <charset val="129"/>
    </font>
    <font>
      <sz val="9"/>
      <name val="Calibri"/>
      <family val="2"/>
    </font>
    <font>
      <b/>
      <sz val="9"/>
      <name val="굴림"/>
      <family val="2"/>
      <charset val="129"/>
    </font>
    <font>
      <b/>
      <sz val="9"/>
      <color rgb="FFFFFF00"/>
      <name val="에스코어 드림 5 Medium"/>
      <family val="3"/>
      <charset val="129"/>
    </font>
    <font>
      <strike/>
      <sz val="9"/>
      <color rgb="FFFF0000"/>
      <name val="에스코어 드림 5 Medium"/>
      <family val="2"/>
      <charset val="129"/>
    </font>
    <font>
      <sz val="9"/>
      <color theme="1"/>
      <name val="에스코어 드림 5 Medium"/>
      <family val="2"/>
      <charset val="129"/>
    </font>
    <font>
      <sz val="9"/>
      <color rgb="FFFF0000"/>
      <name val="맑은 고딕"/>
      <family val="2"/>
      <charset val="129"/>
    </font>
    <font>
      <b/>
      <sz val="9"/>
      <color rgb="FFFF0000"/>
      <name val="맑은 고딕"/>
      <family val="3"/>
      <charset val="129"/>
    </font>
    <font>
      <b/>
      <sz val="9"/>
      <color rgb="FFFF0000"/>
      <name val="에스코어 드림 5 Medium"/>
      <family val="2"/>
      <charset val="129"/>
    </font>
    <font>
      <b/>
      <sz val="9"/>
      <color rgb="FFFF0000"/>
      <name val="에스코어 드림 5 Medium"/>
      <family val="3"/>
      <charset val="129"/>
    </font>
    <font>
      <sz val="11"/>
      <name val="맑은 고딕"/>
      <family val="3"/>
      <charset val="129"/>
    </font>
    <font>
      <sz val="11"/>
      <name val="에스코어 드림 6 Bold"/>
      <family val="3"/>
      <charset val="129"/>
    </font>
    <font>
      <b/>
      <sz val="9"/>
      <name val="에스코어 드림 5 Medium"/>
      <family val="3"/>
      <charset val="129"/>
    </font>
    <font>
      <sz val="9"/>
      <color rgb="FFFF0000"/>
      <name val="Arial Unicode MS"/>
      <family val="2"/>
      <charset val="129"/>
    </font>
    <font>
      <sz val="9"/>
      <color rgb="FFFF0000"/>
      <name val="에스코어 드림 5 Medium"/>
      <family val="2"/>
      <charset val="129"/>
    </font>
    <font>
      <sz val="9"/>
      <color theme="1"/>
      <name val="에스코어 드림 5 Medium"/>
      <family val="2"/>
      <charset val="129"/>
    </font>
    <font>
      <b/>
      <sz val="9"/>
      <color rgb="FFFF0000"/>
      <name val="에스코어 드림 5 Medium"/>
      <family val="2"/>
      <charset val="129"/>
    </font>
    <font>
      <sz val="9"/>
      <color rgb="FFFF0000"/>
      <name val="에스코어 드림 6 Bold"/>
      <family val="2"/>
      <charset val="129"/>
    </font>
    <font>
      <sz val="9"/>
      <color rgb="FFFF0000"/>
      <name val="에스코어 드림 4 Regular"/>
      <family val="2"/>
      <charset val="129"/>
    </font>
    <font>
      <sz val="8"/>
      <name val="에스코어 드림 5 Medium"/>
      <family val="2"/>
      <charset val="129"/>
    </font>
    <font>
      <sz val="9"/>
      <name val="에스코어 드림 5 Medium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87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3" fillId="0" borderId="1">
      <alignment horizontal="center"/>
    </xf>
    <xf numFmtId="3" fontId="11" fillId="0" borderId="2"/>
    <xf numFmtId="24" fontId="2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7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8" fillId="0" borderId="0"/>
    <xf numFmtId="0" fontId="29" fillId="0" borderId="0"/>
    <xf numFmtId="0" fontId="6" fillId="0" borderId="0" applyNumberForma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30" fillId="2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23" fillId="0" borderId="0"/>
    <xf numFmtId="0" fontId="8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2" fillId="0" borderId="0"/>
    <xf numFmtId="0" fontId="7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7" fillId="0" borderId="0" applyFont="0" applyFill="0" applyBorder="0" applyAlignment="0" applyProtection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3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6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105" fillId="0" borderId="0"/>
    <xf numFmtId="179" fontId="38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9" fillId="0" borderId="3" applyBorder="0">
      <alignment vertical="center"/>
    </xf>
    <xf numFmtId="189" fontId="40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1" fillId="0" borderId="4">
      <alignment horizontal="right" vertical="center"/>
    </xf>
    <xf numFmtId="189" fontId="4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40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2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3" fillId="0" borderId="0">
      <protection locked="0"/>
    </xf>
    <xf numFmtId="10" fontId="6" fillId="0" borderId="0" applyFont="0" applyFill="0" applyBorder="0" applyAlignment="0" applyProtection="0"/>
    <xf numFmtId="0" fontId="8" fillId="0" borderId="0"/>
    <xf numFmtId="0" fontId="8" fillId="0" borderId="5">
      <alignment horizontal="center"/>
    </xf>
    <xf numFmtId="2" fontId="41" fillId="0" borderId="4">
      <alignment horizontal="right" vertical="center"/>
    </xf>
    <xf numFmtId="194" fontId="1" fillId="0" borderId="6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4" fillId="0" borderId="0"/>
    <xf numFmtId="0" fontId="45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179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5" fillId="0" borderId="0">
      <protection locked="0"/>
    </xf>
    <xf numFmtId="195" fontId="4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0" borderId="0" applyFont="0" applyFill="0" applyBorder="0" applyAlignment="0" applyProtection="0"/>
    <xf numFmtId="213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6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0" borderId="0" applyFont="0" applyFill="0" applyBorder="0" applyAlignment="0" applyProtection="0"/>
    <xf numFmtId="185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78" fontId="62" fillId="0" borderId="0" applyFont="0" applyFill="0" applyBorder="0" applyAlignment="0" applyProtection="0"/>
    <xf numFmtId="185" fontId="62" fillId="0" borderId="0" applyFont="0" applyFill="0" applyBorder="0" applyAlignment="0" applyProtection="0"/>
    <xf numFmtId="0" fontId="23" fillId="0" borderId="0"/>
    <xf numFmtId="0" fontId="71" fillId="0" borderId="0">
      <alignment horizontal="center" wrapText="1"/>
      <protection locked="0"/>
    </xf>
    <xf numFmtId="195" fontId="4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7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0" borderId="0" applyFont="0" applyFill="0" applyBorder="0" applyAlignment="0" applyProtection="0"/>
    <xf numFmtId="180" fontId="67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8" fillId="0" borderId="0" applyFont="0" applyFill="0" applyBorder="0" applyAlignment="0" applyProtection="0">
      <alignment horizontal="right"/>
    </xf>
    <xf numFmtId="0" fontId="74" fillId="0" borderId="0"/>
    <xf numFmtId="0" fontId="75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6" fillId="0" borderId="0"/>
    <xf numFmtId="0" fontId="77" fillId="0" borderId="0"/>
    <xf numFmtId="0" fontId="62" fillId="0" borderId="0">
      <alignment vertical="center"/>
    </xf>
    <xf numFmtId="195" fontId="43" fillId="0" borderId="0">
      <protection locked="0"/>
    </xf>
    <xf numFmtId="0" fontId="78" fillId="0" borderId="0"/>
    <xf numFmtId="0" fontId="79" fillId="0" borderId="0"/>
    <xf numFmtId="0" fontId="80" fillId="0" borderId="0"/>
    <xf numFmtId="0" fontId="64" fillId="0" borderId="0"/>
    <xf numFmtId="0" fontId="80" fillId="0" borderId="0"/>
    <xf numFmtId="0" fontId="79" fillId="0" borderId="0"/>
    <xf numFmtId="0" fontId="81" fillId="0" borderId="0"/>
    <xf numFmtId="0" fontId="64" fillId="0" borderId="0"/>
    <xf numFmtId="0" fontId="77" fillId="0" borderId="0"/>
    <xf numFmtId="0" fontId="66" fillId="0" borderId="0"/>
    <xf numFmtId="0" fontId="12" fillId="0" borderId="0"/>
    <xf numFmtId="49" fontId="66" fillId="0" borderId="0" applyBorder="0"/>
    <xf numFmtId="0" fontId="82" fillId="0" borderId="0"/>
    <xf numFmtId="0" fontId="66" fillId="0" borderId="0"/>
    <xf numFmtId="0" fontId="68" fillId="0" borderId="0"/>
    <xf numFmtId="0" fontId="66" fillId="0" borderId="0"/>
    <xf numFmtId="0" fontId="12" fillId="0" borderId="0"/>
    <xf numFmtId="0" fontId="66" fillId="0" borderId="0"/>
    <xf numFmtId="0" fontId="83" fillId="0" borderId="0"/>
    <xf numFmtId="0" fontId="67" fillId="0" borderId="0"/>
    <xf numFmtId="37" fontId="12" fillId="0" borderId="0"/>
    <xf numFmtId="0" fontId="6" fillId="0" borderId="0"/>
    <xf numFmtId="0" fontId="72" fillId="0" borderId="0"/>
    <xf numFmtId="0" fontId="66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14" fillId="0" borderId="0"/>
    <xf numFmtId="0" fontId="85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50" fillId="0" borderId="0">
      <protection locked="0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58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87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50" fillId="0" borderId="0">
      <protection locked="0"/>
    </xf>
    <xf numFmtId="0" fontId="23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6" fillId="0" borderId="0"/>
    <xf numFmtId="0" fontId="15" fillId="0" borderId="0" applyFont="0" applyFill="0" applyBorder="0" applyAlignment="0" applyProtection="0"/>
    <xf numFmtId="14" fontId="34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88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50" fillId="0" borderId="0">
      <protection locked="0"/>
    </xf>
    <xf numFmtId="0" fontId="50" fillId="0" borderId="0">
      <protection locked="0"/>
    </xf>
    <xf numFmtId="0" fontId="89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89" fillId="0" borderId="0">
      <protection locked="0"/>
    </xf>
    <xf numFmtId="3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90" fillId="0" borderId="0" applyNumberFormat="0" applyFill="0" applyBorder="0" applyAlignment="0" applyProtection="0"/>
    <xf numFmtId="2" fontId="91" fillId="0" borderId="0">
      <alignment horizontal="left"/>
    </xf>
    <xf numFmtId="38" fontId="16" fillId="3" borderId="0" applyNumberFormat="0" applyBorder="0" applyAlignment="0" applyProtection="0"/>
    <xf numFmtId="3" fontId="49" fillId="0" borderId="9">
      <alignment horizontal="right" vertical="center"/>
    </xf>
    <xf numFmtId="4" fontId="49" fillId="0" borderId="9">
      <alignment horizontal="right" vertical="center"/>
    </xf>
    <xf numFmtId="0" fontId="17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95" fontId="46" fillId="0" borderId="0">
      <protection locked="0"/>
    </xf>
    <xf numFmtId="195" fontId="46" fillId="0" borderId="0">
      <protection locked="0"/>
    </xf>
    <xf numFmtId="0" fontId="92" fillId="0" borderId="12">
      <alignment horizontal="center"/>
    </xf>
    <xf numFmtId="0" fontId="92" fillId="0" borderId="0">
      <alignment horizontal="center"/>
    </xf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0" fontId="16" fillId="3" borderId="2" applyNumberFormat="0" applyBorder="0" applyAlignment="0" applyProtection="0"/>
    <xf numFmtId="0" fontId="3" fillId="0" borderId="12">
      <protection locked="0"/>
    </xf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12"/>
    <xf numFmtId="218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5" fontId="15" fillId="0" borderId="0" applyFont="0" applyFill="0" applyBorder="0" applyAlignment="0" applyProtection="0"/>
    <xf numFmtId="37" fontId="95" fillId="0" borderId="0"/>
    <xf numFmtId="0" fontId="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71" fillId="0" borderId="0">
      <alignment horizontal="center" wrapText="1"/>
      <protection locked="0"/>
    </xf>
    <xf numFmtId="220" fontId="50" fillId="0" borderId="0">
      <protection locked="0"/>
    </xf>
    <xf numFmtId="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6" fillId="4" borderId="0" applyNumberFormat="0" applyFont="0" applyBorder="0" applyAlignment="0">
      <alignment horizontal="center"/>
    </xf>
    <xf numFmtId="14" fontId="97" fillId="0" borderId="0" applyNumberFormat="0" applyFill="0" applyBorder="0" applyAlignment="0" applyProtection="0">
      <alignment horizontal="left"/>
    </xf>
    <xf numFmtId="0" fontId="49" fillId="0" borderId="2" applyNumberFormat="0" applyFont="0" applyFill="0" applyAlignment="0" applyProtection="0"/>
    <xf numFmtId="0" fontId="8" fillId="0" borderId="0"/>
    <xf numFmtId="4" fontId="98" fillId="5" borderId="13" applyNumberFormat="0" applyProtection="0">
      <alignment vertical="center"/>
    </xf>
    <xf numFmtId="4" fontId="99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6" fillId="1" borderId="11" applyNumberFormat="0" applyFont="0" applyAlignment="0">
      <alignment horizontal="center"/>
    </xf>
    <xf numFmtId="0" fontId="100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20" fillId="0" borderId="0"/>
    <xf numFmtId="40" fontId="101" fillId="0" borderId="0" applyBorder="0">
      <alignment horizontal="right"/>
    </xf>
    <xf numFmtId="49" fontId="3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49" fontId="102" fillId="0" borderId="0" applyFill="0" applyBorder="0" applyProtection="0">
      <alignment horizontal="centerContinuous" vertical="center"/>
    </xf>
    <xf numFmtId="0" fontId="103" fillId="0" borderId="0" applyFill="0" applyBorder="0" applyProtection="0">
      <alignment horizontal="centerContinuous" vertical="center"/>
    </xf>
    <xf numFmtId="0" fontId="24" fillId="3" borderId="0" applyFill="0" applyBorder="0" applyProtection="0">
      <alignment horizontal="center" vertical="center"/>
    </xf>
    <xf numFmtId="49" fontId="102" fillId="0" borderId="0" applyFill="0" applyBorder="0" applyProtection="0">
      <alignment horizontal="centerContinuous" vertical="center"/>
    </xf>
    <xf numFmtId="0" fontId="15" fillId="0" borderId="14" applyNumberFormat="0" applyFont="0" applyFill="0" applyAlignment="0" applyProtection="0"/>
    <xf numFmtId="0" fontId="104" fillId="0" borderId="5">
      <alignment horizontal="left"/>
    </xf>
    <xf numFmtId="2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4" fillId="0" borderId="0"/>
    <xf numFmtId="196" fontId="8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7" fillId="0" borderId="0"/>
    <xf numFmtId="38" fontId="48" fillId="0" borderId="0"/>
    <xf numFmtId="187" fontId="7" fillId="0" borderId="15" applyFont="0" applyFill="0" applyBorder="0" applyAlignment="0">
      <alignment horizontal="left" vertical="center"/>
    </xf>
    <xf numFmtId="0" fontId="49" fillId="0" borderId="16" applyNumberFormat="0" applyFont="0" applyFill="0" applyAlignment="0" applyProtection="0"/>
    <xf numFmtId="0" fontId="49" fillId="0" borderId="17" applyNumberFormat="0" applyFont="0" applyFill="0" applyAlignment="0" applyProtection="0"/>
    <xf numFmtId="0" fontId="3" fillId="0" borderId="0">
      <protection locked="0"/>
    </xf>
    <xf numFmtId="0" fontId="50" fillId="0" borderId="0">
      <protection locked="0"/>
    </xf>
    <xf numFmtId="3" fontId="23" fillId="0" borderId="18">
      <alignment horizontal="center"/>
    </xf>
    <xf numFmtId="37" fontId="11" fillId="0" borderId="0"/>
    <xf numFmtId="0" fontId="50" fillId="0" borderId="0">
      <protection locked="0"/>
    </xf>
    <xf numFmtId="0" fontId="38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9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8" fillId="3" borderId="0" applyFill="0" applyBorder="0" applyProtection="0">
      <alignment horizontal="right"/>
    </xf>
    <xf numFmtId="10" fontId="48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1" fillId="0" borderId="15">
      <alignment vertical="center"/>
    </xf>
    <xf numFmtId="200" fontId="52" fillId="0" borderId="0"/>
    <xf numFmtId="0" fontId="1" fillId="0" borderId="0" applyNumberFormat="0" applyFont="0" applyFill="0" applyBorder="0" applyProtection="0">
      <alignment horizontal="centerContinuous" vertical="center"/>
    </xf>
    <xf numFmtId="0" fontId="53" fillId="0" borderId="20">
      <alignment vertical="center"/>
    </xf>
    <xf numFmtId="0" fontId="22" fillId="0" borderId="0">
      <alignment vertical="center"/>
    </xf>
    <xf numFmtId="201" fontId="39" fillId="0" borderId="0">
      <alignment vertical="center"/>
    </xf>
    <xf numFmtId="179" fontId="21" fillId="0" borderId="15">
      <alignment vertical="center"/>
    </xf>
    <xf numFmtId="202" fontId="54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106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21"/>
    <xf numFmtId="0" fontId="37" fillId="0" borderId="0" applyNumberFormat="0" applyFill="0" applyBorder="0" applyAlignment="0" applyProtection="0">
      <alignment vertical="top"/>
      <protection locked="0"/>
    </xf>
    <xf numFmtId="0" fontId="49" fillId="0" borderId="0"/>
    <xf numFmtId="203" fontId="49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50" fillId="0" borderId="0">
      <protection locked="0"/>
    </xf>
    <xf numFmtId="0" fontId="47" fillId="0" borderId="0"/>
    <xf numFmtId="4" fontId="50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6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7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8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9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60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60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4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5" fillId="0" borderId="0"/>
    <xf numFmtId="0" fontId="3" fillId="0" borderId="0"/>
    <xf numFmtId="0" fontId="106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5" fillId="0" borderId="7">
      <alignment horizontal="center" vertical="center"/>
    </xf>
    <xf numFmtId="0" fontId="50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07" fillId="0" borderId="0">
      <alignment vertical="center"/>
    </xf>
    <xf numFmtId="0" fontId="8" fillId="0" borderId="0"/>
    <xf numFmtId="0" fontId="107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08" fillId="0" borderId="0">
      <alignment vertical="center"/>
    </xf>
    <xf numFmtId="41" fontId="107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6" fillId="0" borderId="0"/>
    <xf numFmtId="41" fontId="1" fillId="0" borderId="0" applyFont="0" applyFill="0" applyBorder="0" applyAlignment="0" applyProtection="0">
      <alignment vertical="center"/>
    </xf>
  </cellStyleXfs>
  <cellXfs count="512">
    <xf numFmtId="0" fontId="0" fillId="0" borderId="0" xfId="0"/>
    <xf numFmtId="0" fontId="111" fillId="0" borderId="0" xfId="2587" applyNumberFormat="1" applyFont="1" applyFill="1" applyBorder="1" applyAlignment="1">
      <alignment horizontal="center" vertical="center"/>
    </xf>
    <xf numFmtId="0" fontId="114" fillId="0" borderId="4" xfId="2587" applyNumberFormat="1" applyFont="1" applyFill="1" applyBorder="1" applyAlignment="1">
      <alignment horizontal="center" vertical="center" wrapText="1"/>
    </xf>
    <xf numFmtId="0" fontId="113" fillId="0" borderId="4" xfId="2587" applyNumberFormat="1" applyFont="1" applyFill="1" applyBorder="1" applyAlignment="1">
      <alignment vertical="center"/>
    </xf>
    <xf numFmtId="0" fontId="114" fillId="0" borderId="4" xfId="2587" applyNumberFormat="1" applyFont="1" applyFill="1" applyBorder="1" applyAlignment="1">
      <alignment horizontal="left" vertical="center"/>
    </xf>
    <xf numFmtId="0" fontId="114" fillId="0" borderId="4" xfId="0" applyFont="1" applyBorder="1" applyAlignment="1">
      <alignment horizontal="center" vertical="center"/>
    </xf>
    <xf numFmtId="43" fontId="114" fillId="0" borderId="4" xfId="2587" applyNumberFormat="1" applyFont="1" applyFill="1" applyBorder="1" applyAlignment="1">
      <alignment horizontal="center" vertical="center"/>
    </xf>
    <xf numFmtId="179" fontId="114" fillId="0" borderId="4" xfId="2587" applyFont="1" applyFill="1" applyBorder="1" applyAlignment="1">
      <alignment vertical="center"/>
    </xf>
    <xf numFmtId="179" fontId="114" fillId="0" borderId="6" xfId="2587" applyFont="1" applyFill="1" applyBorder="1" applyAlignment="1">
      <alignment vertical="center"/>
    </xf>
    <xf numFmtId="0" fontId="114" fillId="0" borderId="0" xfId="0" applyFont="1" applyAlignment="1">
      <alignment vertical="center"/>
    </xf>
    <xf numFmtId="0" fontId="114" fillId="0" borderId="20" xfId="2587" applyNumberFormat="1" applyFont="1" applyFill="1" applyBorder="1" applyAlignment="1">
      <alignment horizontal="center" vertical="center"/>
    </xf>
    <xf numFmtId="0" fontId="114" fillId="0" borderId="20" xfId="2587" applyNumberFormat="1" applyFont="1" applyFill="1" applyBorder="1" applyAlignment="1">
      <alignment vertical="center"/>
    </xf>
    <xf numFmtId="0" fontId="114" fillId="0" borderId="20" xfId="2587" applyNumberFormat="1" applyFont="1" applyFill="1" applyBorder="1" applyAlignment="1">
      <alignment horizontal="left" vertical="center"/>
    </xf>
    <xf numFmtId="0" fontId="115" fillId="0" borderId="20" xfId="2587" applyNumberFormat="1" applyFont="1" applyFill="1" applyBorder="1" applyAlignment="1">
      <alignment horizontal="center" vertical="center"/>
    </xf>
    <xf numFmtId="0" fontId="115" fillId="0" borderId="20" xfId="2587" applyNumberFormat="1" applyFont="1" applyFill="1" applyBorder="1" applyAlignment="1">
      <alignment vertical="center"/>
    </xf>
    <xf numFmtId="0" fontId="115" fillId="0" borderId="20" xfId="2587" applyNumberFormat="1" applyFont="1" applyFill="1" applyBorder="1" applyAlignment="1">
      <alignment horizontal="left" vertical="center"/>
    </xf>
    <xf numFmtId="0" fontId="115" fillId="0" borderId="4" xfId="0" applyFont="1" applyBorder="1" applyAlignment="1">
      <alignment horizontal="center" vertical="center"/>
    </xf>
    <xf numFmtId="43" fontId="115" fillId="0" borderId="4" xfId="2587" applyNumberFormat="1" applyFont="1" applyFill="1" applyBorder="1" applyAlignment="1">
      <alignment horizontal="center" vertical="center"/>
    </xf>
    <xf numFmtId="179" fontId="115" fillId="0" borderId="4" xfId="2587" applyFont="1" applyFill="1" applyBorder="1" applyAlignment="1">
      <alignment vertical="center"/>
    </xf>
    <xf numFmtId="179" fontId="115" fillId="0" borderId="6" xfId="2587" applyFont="1" applyFill="1" applyBorder="1" applyAlignment="1">
      <alignment vertical="center"/>
    </xf>
    <xf numFmtId="0" fontId="115" fillId="0" borderId="0" xfId="0" applyFont="1" applyAlignment="1">
      <alignment vertical="center"/>
    </xf>
    <xf numFmtId="0" fontId="115" fillId="11" borderId="0" xfId="0" applyFont="1" applyFill="1" applyAlignment="1">
      <alignment vertical="center"/>
    </xf>
    <xf numFmtId="0" fontId="115" fillId="9" borderId="20" xfId="2587" applyNumberFormat="1" applyFont="1" applyFill="1" applyBorder="1" applyAlignment="1">
      <alignment horizontal="center" vertical="center"/>
    </xf>
    <xf numFmtId="0" fontId="115" fillId="9" borderId="20" xfId="2587" applyNumberFormat="1" applyFont="1" applyFill="1" applyBorder="1" applyAlignment="1">
      <alignment vertical="center"/>
    </xf>
    <xf numFmtId="0" fontId="115" fillId="9" borderId="20" xfId="2587" applyNumberFormat="1" applyFont="1" applyFill="1" applyBorder="1" applyAlignment="1">
      <alignment horizontal="left" vertical="center"/>
    </xf>
    <xf numFmtId="0" fontId="115" fillId="9" borderId="4" xfId="0" applyFont="1" applyFill="1" applyBorder="1" applyAlignment="1">
      <alignment horizontal="center" vertical="center"/>
    </xf>
    <xf numFmtId="0" fontId="115" fillId="9" borderId="0" xfId="0" applyFont="1" applyFill="1" applyAlignment="1">
      <alignment vertical="center"/>
    </xf>
    <xf numFmtId="43" fontId="114" fillId="0" borderId="9" xfId="2587" applyNumberFormat="1" applyFont="1" applyFill="1" applyBorder="1" applyAlignment="1">
      <alignment horizontal="center" vertical="center"/>
    </xf>
    <xf numFmtId="41" fontId="114" fillId="0" borderId="4" xfId="2868" applyFont="1" applyFill="1" applyBorder="1" applyAlignment="1">
      <alignment vertical="center"/>
    </xf>
    <xf numFmtId="41" fontId="114" fillId="0" borderId="6" xfId="2868" applyFont="1" applyFill="1" applyBorder="1" applyAlignment="1">
      <alignment vertical="center"/>
    </xf>
    <xf numFmtId="0" fontId="114" fillId="0" borderId="9" xfId="0" applyFont="1" applyBorder="1" applyAlignment="1">
      <alignment horizontal="center" vertical="center"/>
    </xf>
    <xf numFmtId="0" fontId="114" fillId="10" borderId="20" xfId="2587" applyNumberFormat="1" applyFont="1" applyFill="1" applyBorder="1" applyAlignment="1">
      <alignment horizontal="center" vertical="center"/>
    </xf>
    <xf numFmtId="0" fontId="115" fillId="10" borderId="20" xfId="2587" applyNumberFormat="1" applyFont="1" applyFill="1" applyBorder="1" applyAlignment="1">
      <alignment vertical="center"/>
    </xf>
    <xf numFmtId="0" fontId="114" fillId="10" borderId="20" xfId="2587" applyNumberFormat="1" applyFont="1" applyFill="1" applyBorder="1" applyAlignment="1">
      <alignment horizontal="left" vertical="center"/>
    </xf>
    <xf numFmtId="0" fontId="114" fillId="10" borderId="4" xfId="0" applyFont="1" applyFill="1" applyBorder="1" applyAlignment="1">
      <alignment horizontal="center" vertical="center"/>
    </xf>
    <xf numFmtId="0" fontId="114" fillId="10" borderId="9" xfId="0" applyFont="1" applyFill="1" applyBorder="1" applyAlignment="1">
      <alignment horizontal="center" vertical="center"/>
    </xf>
    <xf numFmtId="41" fontId="114" fillId="10" borderId="4" xfId="2868" applyFont="1" applyFill="1" applyBorder="1" applyAlignment="1">
      <alignment vertical="center"/>
    </xf>
    <xf numFmtId="41" fontId="114" fillId="10" borderId="6" xfId="2868" applyFont="1" applyFill="1" applyBorder="1" applyAlignment="1">
      <alignment vertical="center"/>
    </xf>
    <xf numFmtId="0" fontId="114" fillId="10" borderId="0" xfId="0" applyFont="1" applyFill="1" applyAlignment="1">
      <alignment vertical="center"/>
    </xf>
    <xf numFmtId="43" fontId="114" fillId="0" borderId="4" xfId="2868" applyNumberFormat="1" applyFont="1" applyFill="1" applyBorder="1" applyAlignment="1">
      <alignment vertical="center"/>
    </xf>
    <xf numFmtId="0" fontId="115" fillId="9" borderId="9" xfId="0" applyFont="1" applyFill="1" applyBorder="1" applyAlignment="1">
      <alignment horizontal="center" vertical="center"/>
    </xf>
    <xf numFmtId="41" fontId="115" fillId="9" borderId="4" xfId="2868" applyFont="1" applyFill="1" applyBorder="1" applyAlignment="1">
      <alignment vertical="center"/>
    </xf>
    <xf numFmtId="41" fontId="115" fillId="9" borderId="6" xfId="2868" applyFont="1" applyFill="1" applyBorder="1" applyAlignment="1">
      <alignment vertical="center"/>
    </xf>
    <xf numFmtId="0" fontId="114" fillId="0" borderId="20" xfId="2587" quotePrefix="1" applyNumberFormat="1" applyFont="1" applyFill="1" applyBorder="1" applyAlignment="1">
      <alignment horizontal="center" vertical="center"/>
    </xf>
    <xf numFmtId="0" fontId="115" fillId="8" borderId="20" xfId="2587" quotePrefix="1" applyNumberFormat="1" applyFont="1" applyFill="1" applyBorder="1" applyAlignment="1">
      <alignment horizontal="center" vertical="center"/>
    </xf>
    <xf numFmtId="0" fontId="115" fillId="8" borderId="20" xfId="2587" applyNumberFormat="1" applyFont="1" applyFill="1" applyBorder="1" applyAlignment="1">
      <alignment vertical="center"/>
    </xf>
    <xf numFmtId="0" fontId="115" fillId="8" borderId="20" xfId="2587" applyNumberFormat="1" applyFont="1" applyFill="1" applyBorder="1" applyAlignment="1">
      <alignment horizontal="left" vertical="center"/>
    </xf>
    <xf numFmtId="0" fontId="115" fillId="0" borderId="9" xfId="0" applyFont="1" applyBorder="1" applyAlignment="1">
      <alignment horizontal="center" vertical="center"/>
    </xf>
    <xf numFmtId="41" fontId="115" fillId="0" borderId="4" xfId="2868" applyFont="1" applyFill="1" applyBorder="1" applyAlignment="1">
      <alignment vertical="center"/>
    </xf>
    <xf numFmtId="41" fontId="115" fillId="0" borderId="6" xfId="2868" applyFont="1" applyFill="1" applyBorder="1" applyAlignment="1">
      <alignment vertical="center"/>
    </xf>
    <xf numFmtId="2" fontId="114" fillId="0" borderId="9" xfId="0" applyNumberFormat="1" applyFont="1" applyBorder="1" applyAlignment="1">
      <alignment vertical="center"/>
    </xf>
    <xf numFmtId="2" fontId="115" fillId="0" borderId="9" xfId="0" applyNumberFormat="1" applyFont="1" applyBorder="1" applyAlignment="1">
      <alignment vertical="center"/>
    </xf>
    <xf numFmtId="0" fontId="114" fillId="13" borderId="20" xfId="2587" applyNumberFormat="1" applyFont="1" applyFill="1" applyBorder="1" applyAlignment="1">
      <alignment horizontal="center" vertical="center"/>
    </xf>
    <xf numFmtId="0" fontId="114" fillId="13" borderId="20" xfId="2587" applyNumberFormat="1" applyFont="1" applyFill="1" applyBorder="1" applyAlignment="1">
      <alignment vertical="center"/>
    </xf>
    <xf numFmtId="0" fontId="114" fillId="13" borderId="20" xfId="2587" applyNumberFormat="1" applyFont="1" applyFill="1" applyBorder="1" applyAlignment="1">
      <alignment horizontal="left" vertical="center"/>
    </xf>
    <xf numFmtId="0" fontId="114" fillId="13" borderId="4" xfId="0" applyFont="1" applyFill="1" applyBorder="1" applyAlignment="1">
      <alignment horizontal="center" vertical="center"/>
    </xf>
    <xf numFmtId="2" fontId="114" fillId="13" borderId="9" xfId="0" applyNumberFormat="1" applyFont="1" applyFill="1" applyBorder="1" applyAlignment="1">
      <alignment vertical="center"/>
    </xf>
    <xf numFmtId="41" fontId="114" fillId="13" borderId="4" xfId="2868" applyFont="1" applyFill="1" applyBorder="1" applyAlignment="1">
      <alignment vertical="center"/>
    </xf>
    <xf numFmtId="41" fontId="114" fillId="13" borderId="6" xfId="2868" applyFont="1" applyFill="1" applyBorder="1" applyAlignment="1">
      <alignment vertical="center"/>
    </xf>
    <xf numFmtId="0" fontId="114" fillId="13" borderId="0" xfId="0" applyFont="1" applyFill="1" applyAlignment="1">
      <alignment vertical="center"/>
    </xf>
    <xf numFmtId="0" fontId="114" fillId="13" borderId="20" xfId="2868" applyNumberFormat="1" applyFont="1" applyFill="1" applyBorder="1" applyAlignment="1">
      <alignment horizontal="center" vertical="center"/>
    </xf>
    <xf numFmtId="43" fontId="114" fillId="13" borderId="9" xfId="0" applyNumberFormat="1" applyFont="1" applyFill="1" applyBorder="1" applyAlignment="1">
      <alignment vertical="center"/>
    </xf>
    <xf numFmtId="0" fontId="114" fillId="13" borderId="20" xfId="2868" applyNumberFormat="1" applyFont="1" applyFill="1" applyBorder="1" applyAlignment="1">
      <alignment horizontal="left" vertical="center"/>
    </xf>
    <xf numFmtId="0" fontId="114" fillId="0" borderId="0" xfId="2587" applyNumberFormat="1" applyFont="1" applyFill="1" applyBorder="1" applyAlignment="1">
      <alignment horizontal="center" vertical="center"/>
    </xf>
    <xf numFmtId="0" fontId="114" fillId="0" borderId="0" xfId="2587" applyNumberFormat="1" applyFont="1" applyFill="1" applyBorder="1" applyAlignment="1">
      <alignment vertical="center"/>
    </xf>
    <xf numFmtId="0" fontId="114" fillId="0" borderId="0" xfId="2587" applyNumberFormat="1" applyFont="1" applyFill="1" applyBorder="1" applyAlignment="1">
      <alignment horizontal="left" vertical="center"/>
    </xf>
    <xf numFmtId="0" fontId="114" fillId="0" borderId="0" xfId="0" applyFont="1" applyAlignment="1">
      <alignment horizontal="center" vertical="center"/>
    </xf>
    <xf numFmtId="43" fontId="114" fillId="0" borderId="0" xfId="2587" applyNumberFormat="1" applyFont="1" applyFill="1" applyBorder="1" applyAlignment="1">
      <alignment vertical="center"/>
    </xf>
    <xf numFmtId="179" fontId="114" fillId="0" borderId="0" xfId="2587" applyFont="1" applyFill="1" applyBorder="1" applyAlignment="1">
      <alignment vertical="center"/>
    </xf>
    <xf numFmtId="0" fontId="119" fillId="0" borderId="0" xfId="0" applyFont="1" applyAlignment="1">
      <alignment vertical="center"/>
    </xf>
    <xf numFmtId="0" fontId="117" fillId="0" borderId="0" xfId="2869" applyFont="1"/>
    <xf numFmtId="0" fontId="119" fillId="0" borderId="0" xfId="2869" applyFont="1"/>
    <xf numFmtId="0" fontId="120" fillId="0" borderId="21" xfId="2869" applyFont="1" applyBorder="1"/>
    <xf numFmtId="0" fontId="120" fillId="0" borderId="0" xfId="2869" applyFont="1"/>
    <xf numFmtId="0" fontId="121" fillId="0" borderId="0" xfId="2869" applyFont="1"/>
    <xf numFmtId="0" fontId="121" fillId="0" borderId="21" xfId="2869" applyFont="1" applyBorder="1"/>
    <xf numFmtId="0" fontId="121" fillId="0" borderId="21" xfId="2869" applyFont="1" applyBorder="1" applyAlignment="1">
      <alignment horizontal="left"/>
    </xf>
    <xf numFmtId="0" fontId="121" fillId="0" borderId="0" xfId="2869" applyFont="1" applyAlignment="1">
      <alignment horizontal="right"/>
    </xf>
    <xf numFmtId="223" fontId="121" fillId="0" borderId="0" xfId="2869" applyNumberFormat="1" applyFont="1" applyAlignment="1">
      <alignment horizontal="center"/>
    </xf>
    <xf numFmtId="0" fontId="122" fillId="0" borderId="0" xfId="2869" applyFont="1"/>
    <xf numFmtId="0" fontId="121" fillId="0" borderId="0" xfId="2869" applyFont="1" applyAlignment="1">
      <alignment horizontal="left"/>
    </xf>
    <xf numFmtId="0" fontId="124" fillId="0" borderId="0" xfId="2869" applyFont="1"/>
    <xf numFmtId="0" fontId="122" fillId="0" borderId="0" xfId="2869" applyFont="1" applyAlignment="1">
      <alignment horizontal="left"/>
    </xf>
    <xf numFmtId="0" fontId="118" fillId="0" borderId="0" xfId="2869" applyFont="1"/>
    <xf numFmtId="0" fontId="126" fillId="0" borderId="0" xfId="2587" applyNumberFormat="1" applyFont="1" applyFill="1" applyBorder="1" applyAlignment="1">
      <alignment horizontal="center" vertical="center"/>
    </xf>
    <xf numFmtId="0" fontId="127" fillId="13" borderId="0" xfId="2587" applyNumberFormat="1" applyFont="1" applyFill="1" applyBorder="1" applyAlignment="1">
      <alignment vertical="center"/>
    </xf>
    <xf numFmtId="0" fontId="125" fillId="13" borderId="0" xfId="2587" applyNumberFormat="1" applyFont="1" applyFill="1" applyBorder="1" applyAlignment="1">
      <alignment vertical="center"/>
    </xf>
    <xf numFmtId="0" fontId="129" fillId="0" borderId="0" xfId="2587" applyNumberFormat="1" applyFont="1" applyFill="1" applyBorder="1" applyAlignment="1">
      <alignment horizontal="center" vertical="center"/>
    </xf>
    <xf numFmtId="179" fontId="128" fillId="7" borderId="27" xfId="2587" applyFont="1" applyFill="1" applyBorder="1" applyAlignment="1">
      <alignment horizontal="center" vertical="center"/>
    </xf>
    <xf numFmtId="0" fontId="130" fillId="0" borderId="20" xfId="2587" applyNumberFormat="1" applyFont="1" applyFill="1" applyBorder="1" applyAlignment="1">
      <alignment horizontal="center" vertical="center"/>
    </xf>
    <xf numFmtId="0" fontId="130" fillId="0" borderId="20" xfId="2587" applyNumberFormat="1" applyFont="1" applyFill="1" applyBorder="1" applyAlignment="1">
      <alignment vertical="center"/>
    </xf>
    <xf numFmtId="0" fontId="130" fillId="0" borderId="20" xfId="2587" applyNumberFormat="1" applyFont="1" applyFill="1" applyBorder="1" applyAlignment="1">
      <alignment horizontal="left" vertical="center"/>
    </xf>
    <xf numFmtId="0" fontId="130" fillId="0" borderId="4" xfId="0" applyFont="1" applyBorder="1" applyAlignment="1">
      <alignment horizontal="center" vertical="center"/>
    </xf>
    <xf numFmtId="0" fontId="130" fillId="0" borderId="6" xfId="0" applyFont="1" applyBorder="1" applyAlignment="1">
      <alignment horizontal="center" vertical="center"/>
    </xf>
    <xf numFmtId="43" fontId="130" fillId="0" borderId="4" xfId="2587" applyNumberFormat="1" applyFont="1" applyFill="1" applyBorder="1" applyAlignment="1">
      <alignment horizontal="center" vertical="center"/>
    </xf>
    <xf numFmtId="179" fontId="130" fillId="0" borderId="4" xfId="2587" applyFont="1" applyFill="1" applyBorder="1" applyAlignment="1">
      <alignment vertical="center"/>
    </xf>
    <xf numFmtId="0" fontId="130" fillId="0" borderId="9" xfId="0" applyFont="1" applyBorder="1" applyAlignment="1">
      <alignment horizontal="center" vertical="center" shrinkToFit="1"/>
    </xf>
    <xf numFmtId="0" fontId="130" fillId="0" borderId="0" xfId="0" applyFont="1" applyAlignment="1">
      <alignment vertical="center"/>
    </xf>
    <xf numFmtId="0" fontId="131" fillId="0" borderId="20" xfId="2587" applyNumberFormat="1" applyFont="1" applyFill="1" applyBorder="1" applyAlignment="1">
      <alignment horizontal="center" vertical="center"/>
    </xf>
    <xf numFmtId="0" fontId="131" fillId="0" borderId="20" xfId="2587" applyNumberFormat="1" applyFont="1" applyFill="1" applyBorder="1" applyAlignment="1">
      <alignment vertical="center"/>
    </xf>
    <xf numFmtId="0" fontId="131" fillId="0" borderId="20" xfId="2587" applyNumberFormat="1" applyFont="1" applyFill="1" applyBorder="1" applyAlignment="1">
      <alignment horizontal="left" vertical="center"/>
    </xf>
    <xf numFmtId="0" fontId="131" fillId="0" borderId="4" xfId="0" applyFont="1" applyBorder="1" applyAlignment="1">
      <alignment horizontal="center" vertical="center"/>
    </xf>
    <xf numFmtId="0" fontId="131" fillId="0" borderId="6" xfId="0" applyFont="1" applyBorder="1" applyAlignment="1">
      <alignment horizontal="center" vertical="center"/>
    </xf>
    <xf numFmtId="43" fontId="131" fillId="0" borderId="4" xfId="2587" applyNumberFormat="1" applyFont="1" applyFill="1" applyBorder="1" applyAlignment="1">
      <alignment horizontal="center" vertical="center"/>
    </xf>
    <xf numFmtId="179" fontId="131" fillId="0" borderId="4" xfId="2587" applyFont="1" applyFill="1" applyBorder="1" applyAlignment="1">
      <alignment vertical="center"/>
    </xf>
    <xf numFmtId="0" fontId="131" fillId="0" borderId="9" xfId="0" applyFont="1" applyBorder="1" applyAlignment="1">
      <alignment horizontal="center" vertical="center" shrinkToFit="1"/>
    </xf>
    <xf numFmtId="0" fontId="131" fillId="0" borderId="0" xfId="0" applyFont="1" applyAlignment="1">
      <alignment vertical="center"/>
    </xf>
    <xf numFmtId="0" fontId="130" fillId="11" borderId="20" xfId="2587" applyNumberFormat="1" applyFont="1" applyFill="1" applyBorder="1" applyAlignment="1">
      <alignment horizontal="center" vertical="center"/>
    </xf>
    <xf numFmtId="0" fontId="130" fillId="11" borderId="20" xfId="2587" applyNumberFormat="1" applyFont="1" applyFill="1" applyBorder="1" applyAlignment="1">
      <alignment horizontal="left" vertical="center"/>
    </xf>
    <xf numFmtId="0" fontId="130" fillId="11" borderId="4" xfId="0" applyFont="1" applyFill="1" applyBorder="1" applyAlignment="1">
      <alignment horizontal="center" vertical="center"/>
    </xf>
    <xf numFmtId="0" fontId="130" fillId="11" borderId="6" xfId="0" applyFont="1" applyFill="1" applyBorder="1" applyAlignment="1">
      <alignment horizontal="center" vertical="center"/>
    </xf>
    <xf numFmtId="43" fontId="130" fillId="11" borderId="4" xfId="2587" applyNumberFormat="1" applyFont="1" applyFill="1" applyBorder="1" applyAlignment="1">
      <alignment horizontal="center" vertical="center"/>
    </xf>
    <xf numFmtId="179" fontId="130" fillId="11" borderId="4" xfId="2587" applyFont="1" applyFill="1" applyBorder="1" applyAlignment="1">
      <alignment vertical="center"/>
    </xf>
    <xf numFmtId="179" fontId="130" fillId="11" borderId="9" xfId="0" applyNumberFormat="1" applyFont="1" applyFill="1" applyBorder="1" applyAlignment="1">
      <alignment horizontal="center" vertical="center" shrinkToFit="1"/>
    </xf>
    <xf numFmtId="0" fontId="130" fillId="11" borderId="0" xfId="0" applyFont="1" applyFill="1" applyAlignment="1">
      <alignment vertical="center"/>
    </xf>
    <xf numFmtId="0" fontId="131" fillId="0" borderId="0" xfId="2587" applyNumberFormat="1" applyFont="1" applyFill="1" applyBorder="1" applyAlignment="1">
      <alignment horizontal="left" vertical="center"/>
    </xf>
    <xf numFmtId="43" fontId="131" fillId="0" borderId="20" xfId="0" applyNumberFormat="1" applyFont="1" applyBorder="1" applyAlignment="1">
      <alignment horizontal="center" vertical="center"/>
    </xf>
    <xf numFmtId="179" fontId="131" fillId="0" borderId="20" xfId="2587" applyFont="1" applyFill="1" applyBorder="1" applyAlignment="1">
      <alignment horizontal="center" vertical="center"/>
    </xf>
    <xf numFmtId="179" fontId="131" fillId="0" borderId="20" xfId="2587" applyFont="1" applyFill="1" applyBorder="1" applyAlignment="1">
      <alignment vertical="center"/>
    </xf>
    <xf numFmtId="222" fontId="131" fillId="0" borderId="20" xfId="2587" applyNumberFormat="1" applyFont="1" applyFill="1" applyBorder="1" applyAlignment="1">
      <alignment vertical="center"/>
    </xf>
    <xf numFmtId="0" fontId="131" fillId="0" borderId="20" xfId="2587" quotePrefix="1" applyNumberFormat="1" applyFont="1" applyFill="1" applyBorder="1" applyAlignment="1">
      <alignment horizontal="left" vertical="center"/>
    </xf>
    <xf numFmtId="0" fontId="131" fillId="0" borderId="20" xfId="0" applyFont="1" applyBorder="1" applyAlignment="1">
      <alignment horizontal="center" vertical="center"/>
    </xf>
    <xf numFmtId="0" fontId="131" fillId="0" borderId="31" xfId="0" applyFont="1" applyBorder="1" applyAlignment="1">
      <alignment horizontal="center" vertical="center"/>
    </xf>
    <xf numFmtId="0" fontId="130" fillId="11" borderId="20" xfId="2587" quotePrefix="1" applyNumberFormat="1" applyFont="1" applyFill="1" applyBorder="1" applyAlignment="1">
      <alignment horizontal="center" vertical="center"/>
    </xf>
    <xf numFmtId="0" fontId="130" fillId="11" borderId="20" xfId="0" applyFont="1" applyFill="1" applyBorder="1" applyAlignment="1">
      <alignment horizontal="center" vertical="center"/>
    </xf>
    <xf numFmtId="0" fontId="130" fillId="11" borderId="31" xfId="0" applyFont="1" applyFill="1" applyBorder="1" applyAlignment="1">
      <alignment horizontal="center" vertical="center"/>
    </xf>
    <xf numFmtId="43" fontId="130" fillId="11" borderId="20" xfId="0" applyNumberFormat="1" applyFont="1" applyFill="1" applyBorder="1" applyAlignment="1">
      <alignment horizontal="center" vertical="center"/>
    </xf>
    <xf numFmtId="179" fontId="130" fillId="11" borderId="20" xfId="2587" applyFont="1" applyFill="1" applyBorder="1" applyAlignment="1">
      <alignment horizontal="center" vertical="center"/>
    </xf>
    <xf numFmtId="179" fontId="130" fillId="11" borderId="20" xfId="2587" applyFont="1" applyFill="1" applyBorder="1" applyAlignment="1">
      <alignment vertical="center"/>
    </xf>
    <xf numFmtId="0" fontId="131" fillId="11" borderId="9" xfId="0" applyFont="1" applyFill="1" applyBorder="1" applyAlignment="1">
      <alignment horizontal="center" vertical="center" shrinkToFit="1"/>
    </xf>
    <xf numFmtId="0" fontId="131" fillId="11" borderId="0" xfId="0" applyFont="1" applyFill="1" applyAlignment="1">
      <alignment vertical="center"/>
    </xf>
    <xf numFmtId="0" fontId="132" fillId="12" borderId="20" xfId="2587" applyNumberFormat="1" applyFont="1" applyFill="1" applyBorder="1" applyAlignment="1">
      <alignment horizontal="center" vertical="center"/>
    </xf>
    <xf numFmtId="0" fontId="132" fillId="12" borderId="20" xfId="2587" applyNumberFormat="1" applyFont="1" applyFill="1" applyBorder="1" applyAlignment="1">
      <alignment horizontal="left" vertical="center"/>
    </xf>
    <xf numFmtId="0" fontId="132" fillId="12" borderId="4" xfId="0" applyFont="1" applyFill="1" applyBorder="1" applyAlignment="1">
      <alignment horizontal="center" vertical="center"/>
    </xf>
    <xf numFmtId="0" fontId="132" fillId="12" borderId="6" xfId="0" applyFont="1" applyFill="1" applyBorder="1" applyAlignment="1">
      <alignment horizontal="center" vertical="center"/>
    </xf>
    <xf numFmtId="43" fontId="132" fillId="12" borderId="4" xfId="2587" applyNumberFormat="1" applyFont="1" applyFill="1" applyBorder="1" applyAlignment="1">
      <alignment horizontal="center" vertical="center"/>
    </xf>
    <xf numFmtId="179" fontId="132" fillId="12" borderId="4" xfId="2587" applyFont="1" applyFill="1" applyBorder="1" applyAlignment="1">
      <alignment vertical="center"/>
    </xf>
    <xf numFmtId="0" fontId="133" fillId="12" borderId="9" xfId="0" applyFont="1" applyFill="1" applyBorder="1" applyAlignment="1">
      <alignment horizontal="center" vertical="center" shrinkToFit="1"/>
    </xf>
    <xf numFmtId="0" fontId="133" fillId="12" borderId="0" xfId="0" applyFont="1" applyFill="1" applyAlignment="1">
      <alignment vertical="center"/>
    </xf>
    <xf numFmtId="0" fontId="131" fillId="13" borderId="34" xfId="2587" applyNumberFormat="1" applyFont="1" applyFill="1" applyBorder="1" applyAlignment="1">
      <alignment horizontal="center" vertical="center"/>
    </xf>
    <xf numFmtId="0" fontId="131" fillId="13" borderId="36" xfId="2587" applyNumberFormat="1" applyFont="1" applyFill="1" applyBorder="1" applyAlignment="1">
      <alignment vertical="center"/>
    </xf>
    <xf numFmtId="0" fontId="131" fillId="13" borderId="36" xfId="2587" applyNumberFormat="1" applyFont="1" applyFill="1" applyBorder="1" applyAlignment="1">
      <alignment horizontal="left" vertical="center"/>
    </xf>
    <xf numFmtId="0" fontId="131" fillId="13" borderId="36" xfId="0" applyFont="1" applyFill="1" applyBorder="1" applyAlignment="1">
      <alignment horizontal="center" vertical="center"/>
    </xf>
    <xf numFmtId="43" fontId="131" fillId="13" borderId="36" xfId="2587" applyNumberFormat="1" applyFont="1" applyFill="1" applyBorder="1" applyAlignment="1">
      <alignment horizontal="center" vertical="center"/>
    </xf>
    <xf numFmtId="179" fontId="131" fillId="13" borderId="36" xfId="2587" applyFont="1" applyFill="1" applyBorder="1" applyAlignment="1">
      <alignment vertical="center"/>
    </xf>
    <xf numFmtId="0" fontId="131" fillId="13" borderId="35" xfId="0" applyFont="1" applyFill="1" applyBorder="1" applyAlignment="1">
      <alignment horizontal="center" vertical="center" shrinkToFit="1"/>
    </xf>
    <xf numFmtId="0" fontId="131" fillId="13" borderId="32" xfId="2587" applyNumberFormat="1" applyFont="1" applyFill="1" applyBorder="1" applyAlignment="1">
      <alignment horizontal="center" vertical="center"/>
    </xf>
    <xf numFmtId="0" fontId="131" fillId="13" borderId="0" xfId="2587" applyNumberFormat="1" applyFont="1" applyFill="1" applyBorder="1" applyAlignment="1">
      <alignment vertical="center"/>
    </xf>
    <xf numFmtId="0" fontId="131" fillId="13" borderId="0" xfId="2587" applyNumberFormat="1" applyFont="1" applyFill="1" applyBorder="1" applyAlignment="1">
      <alignment horizontal="left" vertical="center"/>
    </xf>
    <xf numFmtId="0" fontId="131" fillId="13" borderId="0" xfId="0" applyFont="1" applyFill="1" applyAlignment="1">
      <alignment horizontal="center" vertical="center"/>
    </xf>
    <xf numFmtId="43" fontId="131" fillId="13" borderId="0" xfId="2587" applyNumberFormat="1" applyFont="1" applyFill="1" applyBorder="1" applyAlignment="1">
      <alignment horizontal="center" vertical="center"/>
    </xf>
    <xf numFmtId="179" fontId="131" fillId="13" borderId="0" xfId="2587" applyFont="1" applyFill="1" applyBorder="1" applyAlignment="1">
      <alignment vertical="center"/>
    </xf>
    <xf numFmtId="0" fontId="131" fillId="13" borderId="33" xfId="0" applyFont="1" applyFill="1" applyBorder="1" applyAlignment="1">
      <alignment horizontal="center" vertical="center" shrinkToFit="1"/>
    </xf>
    <xf numFmtId="0" fontId="131" fillId="13" borderId="6" xfId="2587" applyNumberFormat="1" applyFont="1" applyFill="1" applyBorder="1" applyAlignment="1">
      <alignment horizontal="center" vertical="center"/>
    </xf>
    <xf numFmtId="0" fontId="131" fillId="13" borderId="21" xfId="2587" applyNumberFormat="1" applyFont="1" applyFill="1" applyBorder="1" applyAlignment="1">
      <alignment vertical="center"/>
    </xf>
    <xf numFmtId="0" fontId="131" fillId="13" borderId="21" xfId="2587" applyNumberFormat="1" applyFont="1" applyFill="1" applyBorder="1" applyAlignment="1">
      <alignment horizontal="left" vertical="center"/>
    </xf>
    <xf numFmtId="0" fontId="131" fillId="13" borderId="21" xfId="0" applyFont="1" applyFill="1" applyBorder="1" applyAlignment="1">
      <alignment horizontal="center" vertical="center"/>
    </xf>
    <xf numFmtId="43" fontId="131" fillId="13" borderId="21" xfId="2587" applyNumberFormat="1" applyFont="1" applyFill="1" applyBorder="1" applyAlignment="1">
      <alignment horizontal="center" vertical="center"/>
    </xf>
    <xf numFmtId="179" fontId="131" fillId="13" borderId="21" xfId="2587" applyFont="1" applyFill="1" applyBorder="1" applyAlignment="1">
      <alignment vertical="center"/>
    </xf>
    <xf numFmtId="0" fontId="131" fillId="13" borderId="9" xfId="0" applyFont="1" applyFill="1" applyBorder="1" applyAlignment="1">
      <alignment horizontal="center" vertical="center" shrinkToFit="1"/>
    </xf>
    <xf numFmtId="0" fontId="131" fillId="0" borderId="0" xfId="2587" applyNumberFormat="1" applyFont="1" applyFill="1" applyBorder="1" applyAlignment="1">
      <alignment horizontal="center" vertical="center"/>
    </xf>
    <xf numFmtId="0" fontId="131" fillId="0" borderId="0" xfId="2587" applyNumberFormat="1" applyFont="1" applyFill="1" applyBorder="1" applyAlignment="1">
      <alignment vertical="center"/>
    </xf>
    <xf numFmtId="0" fontId="131" fillId="0" borderId="0" xfId="0" applyFont="1" applyAlignment="1">
      <alignment horizontal="center" vertical="center"/>
    </xf>
    <xf numFmtId="43" fontId="131" fillId="0" borderId="0" xfId="2587" applyNumberFormat="1" applyFont="1" applyFill="1" applyBorder="1" applyAlignment="1">
      <alignment vertical="center"/>
    </xf>
    <xf numFmtId="179" fontId="131" fillId="0" borderId="0" xfId="2587" applyFont="1" applyFill="1" applyBorder="1" applyAlignment="1">
      <alignment vertical="center"/>
    </xf>
    <xf numFmtId="0" fontId="131" fillId="0" borderId="0" xfId="0" applyFont="1" applyAlignment="1">
      <alignment vertical="center" shrinkToFit="1"/>
    </xf>
    <xf numFmtId="9" fontId="131" fillId="0" borderId="20" xfId="2587" applyNumberFormat="1" applyFont="1" applyFill="1" applyBorder="1" applyAlignment="1">
      <alignment vertical="center" wrapText="1"/>
    </xf>
    <xf numFmtId="0" fontId="116" fillId="0" borderId="20" xfId="2587" applyNumberFormat="1" applyFont="1" applyFill="1" applyBorder="1" applyAlignment="1">
      <alignment horizontal="center" vertical="center"/>
    </xf>
    <xf numFmtId="0" fontId="116" fillId="0" borderId="20" xfId="2587" applyNumberFormat="1" applyFont="1" applyFill="1" applyBorder="1" applyAlignment="1">
      <alignment vertical="center"/>
    </xf>
    <xf numFmtId="0" fontId="116" fillId="0" borderId="20" xfId="2587" applyNumberFormat="1" applyFont="1" applyFill="1" applyBorder="1" applyAlignment="1">
      <alignment horizontal="left" vertical="center"/>
    </xf>
    <xf numFmtId="0" fontId="131" fillId="13" borderId="32" xfId="2587" quotePrefix="1" applyNumberFormat="1" applyFont="1" applyFill="1" applyBorder="1" applyAlignment="1">
      <alignment horizontal="center" vertical="center"/>
    </xf>
    <xf numFmtId="0" fontId="114" fillId="0" borderId="20" xfId="2868" applyNumberFormat="1" applyFont="1" applyFill="1" applyBorder="1" applyAlignment="1">
      <alignment horizontal="center" vertical="center"/>
    </xf>
    <xf numFmtId="0" fontId="114" fillId="0" borderId="20" xfId="2868" applyNumberFormat="1" applyFont="1" applyFill="1" applyBorder="1" applyAlignment="1">
      <alignment horizontal="left" vertical="center"/>
    </xf>
    <xf numFmtId="43" fontId="114" fillId="0" borderId="9" xfId="0" applyNumberFormat="1" applyFont="1" applyBorder="1" applyAlignment="1">
      <alignment vertical="center"/>
    </xf>
    <xf numFmtId="41" fontId="114" fillId="13" borderId="20" xfId="2868" applyFont="1" applyFill="1" applyBorder="1" applyAlignment="1">
      <alignment vertical="center"/>
    </xf>
    <xf numFmtId="14" fontId="127" fillId="13" borderId="0" xfId="2587" applyNumberFormat="1" applyFont="1" applyFill="1" applyBorder="1" applyAlignment="1">
      <alignment vertical="center"/>
    </xf>
    <xf numFmtId="0" fontId="114" fillId="13" borderId="4" xfId="0" applyFont="1" applyFill="1" applyBorder="1" applyAlignment="1">
      <alignment horizontal="center" vertical="center" shrinkToFit="1"/>
    </xf>
    <xf numFmtId="0" fontId="114" fillId="0" borderId="4" xfId="0" applyFont="1" applyBorder="1" applyAlignment="1">
      <alignment horizontal="center" vertical="center" shrinkToFit="1"/>
    </xf>
    <xf numFmtId="14" fontId="125" fillId="13" borderId="0" xfId="2587" applyNumberFormat="1" applyFont="1" applyFill="1" applyBorder="1" applyAlignment="1">
      <alignment vertical="center"/>
    </xf>
    <xf numFmtId="179" fontId="131" fillId="0" borderId="26" xfId="2587" applyFont="1" applyFill="1" applyBorder="1" applyAlignment="1">
      <alignment vertical="center"/>
    </xf>
    <xf numFmtId="179" fontId="130" fillId="11" borderId="26" xfId="2587" applyFont="1" applyFill="1" applyBorder="1" applyAlignment="1">
      <alignment vertical="center"/>
    </xf>
    <xf numFmtId="0" fontId="131" fillId="0" borderId="29" xfId="2587" applyNumberFormat="1" applyFont="1" applyFill="1" applyBorder="1" applyAlignment="1">
      <alignment horizontal="center" vertical="center"/>
    </xf>
    <xf numFmtId="0" fontId="131" fillId="0" borderId="29" xfId="2587" applyNumberFormat="1" applyFont="1" applyFill="1" applyBorder="1" applyAlignment="1">
      <alignment vertical="center"/>
    </xf>
    <xf numFmtId="0" fontId="131" fillId="0" borderId="29" xfId="2587" applyNumberFormat="1" applyFont="1" applyFill="1" applyBorder="1" applyAlignment="1">
      <alignment horizontal="left" vertical="center"/>
    </xf>
    <xf numFmtId="0" fontId="131" fillId="0" borderId="30" xfId="0" applyFont="1" applyBorder="1" applyAlignment="1">
      <alignment horizontal="center" vertical="center"/>
    </xf>
    <xf numFmtId="0" fontId="131" fillId="0" borderId="32" xfId="0" applyFont="1" applyBorder="1" applyAlignment="1">
      <alignment horizontal="center" vertical="center"/>
    </xf>
    <xf numFmtId="43" fontId="131" fillId="0" borderId="30" xfId="2587" applyNumberFormat="1" applyFont="1" applyFill="1" applyBorder="1" applyAlignment="1">
      <alignment horizontal="center" vertical="center"/>
    </xf>
    <xf numFmtId="179" fontId="131" fillId="0" borderId="30" xfId="2587" applyFont="1" applyFill="1" applyBorder="1" applyAlignment="1">
      <alignment vertical="center"/>
    </xf>
    <xf numFmtId="0" fontId="131" fillId="0" borderId="4" xfId="2587" applyNumberFormat="1" applyFont="1" applyFill="1" applyBorder="1" applyAlignment="1">
      <alignment horizontal="center" vertical="center"/>
    </xf>
    <xf numFmtId="0" fontId="131" fillId="0" borderId="4" xfId="2587" applyNumberFormat="1" applyFont="1" applyFill="1" applyBorder="1" applyAlignment="1">
      <alignment vertical="center"/>
    </xf>
    <xf numFmtId="0" fontId="131" fillId="0" borderId="4" xfId="2587" applyNumberFormat="1" applyFont="1" applyFill="1" applyBorder="1" applyAlignment="1">
      <alignment horizontal="left" vertical="center"/>
    </xf>
    <xf numFmtId="0" fontId="119" fillId="0" borderId="39" xfId="2869" applyFont="1" applyBorder="1"/>
    <xf numFmtId="0" fontId="119" fillId="0" borderId="40" xfId="2869" applyFont="1" applyBorder="1"/>
    <xf numFmtId="0" fontId="121" fillId="0" borderId="40" xfId="2869" applyFont="1" applyBorder="1"/>
    <xf numFmtId="0" fontId="121" fillId="0" borderId="41" xfId="2869" applyFont="1" applyBorder="1"/>
    <xf numFmtId="0" fontId="121" fillId="0" borderId="42" xfId="2869" applyFont="1" applyBorder="1" applyAlignment="1">
      <alignment horizontal="left"/>
    </xf>
    <xf numFmtId="0" fontId="121" fillId="0" borderId="0" xfId="2867" applyFont="1"/>
    <xf numFmtId="0" fontId="123" fillId="0" borderId="0" xfId="2869" applyFont="1"/>
    <xf numFmtId="0" fontId="123" fillId="0" borderId="43" xfId="2869" applyFont="1" applyBorder="1"/>
    <xf numFmtId="0" fontId="122" fillId="0" borderId="42" xfId="2869" quotePrefix="1" applyFont="1" applyBorder="1" applyAlignment="1">
      <alignment horizontal="right"/>
    </xf>
    <xf numFmtId="0" fontId="122" fillId="0" borderId="0" xfId="2867" applyFont="1"/>
    <xf numFmtId="0" fontId="121" fillId="0" borderId="43" xfId="2869" applyFont="1" applyBorder="1"/>
    <xf numFmtId="0" fontId="122" fillId="0" borderId="43" xfId="2869" applyFont="1" applyBorder="1"/>
    <xf numFmtId="0" fontId="122" fillId="0" borderId="44" xfId="2869" quotePrefix="1" applyFont="1" applyBorder="1" applyAlignment="1">
      <alignment horizontal="right"/>
    </xf>
    <xf numFmtId="0" fontId="122" fillId="0" borderId="45" xfId="2867" applyFont="1" applyBorder="1"/>
    <xf numFmtId="0" fontId="122" fillId="0" borderId="45" xfId="2869" applyFont="1" applyBorder="1"/>
    <xf numFmtId="0" fontId="123" fillId="0" borderId="45" xfId="2869" applyFont="1" applyBorder="1"/>
    <xf numFmtId="0" fontId="123" fillId="0" borderId="19" xfId="2869" applyFont="1" applyBorder="1"/>
    <xf numFmtId="0" fontId="114" fillId="0" borderId="20" xfId="0" applyFont="1" applyBorder="1" applyAlignment="1">
      <alignment horizontal="center" vertical="center"/>
    </xf>
    <xf numFmtId="43" fontId="114" fillId="0" borderId="20" xfId="2587" applyNumberFormat="1" applyFont="1" applyFill="1" applyBorder="1" applyAlignment="1">
      <alignment horizontal="center" vertical="center"/>
    </xf>
    <xf numFmtId="41" fontId="114" fillId="0" borderId="20" xfId="2868" applyFont="1" applyFill="1" applyBorder="1" applyAlignment="1">
      <alignment vertical="center"/>
    </xf>
    <xf numFmtId="0" fontId="116" fillId="0" borderId="20" xfId="0" applyFont="1" applyBorder="1" applyAlignment="1">
      <alignment horizontal="center" vertical="center"/>
    </xf>
    <xf numFmtId="43" fontId="116" fillId="0" borderId="20" xfId="2587" applyNumberFormat="1" applyFont="1" applyFill="1" applyBorder="1" applyAlignment="1">
      <alignment horizontal="center" vertical="center"/>
    </xf>
    <xf numFmtId="41" fontId="116" fillId="0" borderId="20" xfId="2868" applyFont="1" applyFill="1" applyBorder="1" applyAlignment="1">
      <alignment vertical="center"/>
    </xf>
    <xf numFmtId="0" fontId="115" fillId="11" borderId="29" xfId="2587" applyNumberFormat="1" applyFont="1" applyFill="1" applyBorder="1" applyAlignment="1">
      <alignment horizontal="center" vertical="center"/>
    </xf>
    <xf numFmtId="0" fontId="115" fillId="11" borderId="29" xfId="2587" applyNumberFormat="1" applyFont="1" applyFill="1" applyBorder="1" applyAlignment="1">
      <alignment horizontal="left" vertical="center"/>
    </xf>
    <xf numFmtId="0" fontId="115" fillId="11" borderId="30" xfId="0" applyFont="1" applyFill="1" applyBorder="1" applyAlignment="1">
      <alignment horizontal="center" vertical="center"/>
    </xf>
    <xf numFmtId="43" fontId="115" fillId="11" borderId="30" xfId="2587" applyNumberFormat="1" applyFont="1" applyFill="1" applyBorder="1" applyAlignment="1">
      <alignment horizontal="center" vertical="center"/>
    </xf>
    <xf numFmtId="179" fontId="115" fillId="11" borderId="30" xfId="2587" applyFont="1" applyFill="1" applyBorder="1" applyAlignment="1">
      <alignment vertical="center"/>
    </xf>
    <xf numFmtId="179" fontId="115" fillId="11" borderId="32" xfId="2587" applyFont="1" applyFill="1" applyBorder="1" applyAlignment="1">
      <alignment vertical="center"/>
    </xf>
    <xf numFmtId="0" fontId="115" fillId="9" borderId="4" xfId="2587" applyNumberFormat="1" applyFont="1" applyFill="1" applyBorder="1" applyAlignment="1">
      <alignment horizontal="center" vertical="center"/>
    </xf>
    <xf numFmtId="0" fontId="115" fillId="9" borderId="4" xfId="2587" applyNumberFormat="1" applyFont="1" applyFill="1" applyBorder="1" applyAlignment="1">
      <alignment vertical="center"/>
    </xf>
    <xf numFmtId="0" fontId="115" fillId="9" borderId="4" xfId="2587" applyNumberFormat="1" applyFont="1" applyFill="1" applyBorder="1" applyAlignment="1">
      <alignment horizontal="left" vertical="center"/>
    </xf>
    <xf numFmtId="179" fontId="114" fillId="0" borderId="20" xfId="2587" applyFont="1" applyFill="1" applyBorder="1" applyAlignment="1">
      <alignment vertical="center"/>
    </xf>
    <xf numFmtId="0" fontId="114" fillId="0" borderId="20" xfId="0" applyFont="1" applyBorder="1" applyAlignment="1">
      <alignment vertical="center"/>
    </xf>
    <xf numFmtId="0" fontId="115" fillId="9" borderId="20" xfId="0" applyFont="1" applyFill="1" applyBorder="1" applyAlignment="1">
      <alignment horizontal="center" vertical="center"/>
    </xf>
    <xf numFmtId="43" fontId="115" fillId="9" borderId="20" xfId="2587" applyNumberFormat="1" applyFont="1" applyFill="1" applyBorder="1" applyAlignment="1">
      <alignment horizontal="center" vertical="center"/>
    </xf>
    <xf numFmtId="179" fontId="115" fillId="9" borderId="20" xfId="2587" applyFont="1" applyFill="1" applyBorder="1" applyAlignment="1">
      <alignment vertical="center"/>
    </xf>
    <xf numFmtId="0" fontId="115" fillId="9" borderId="20" xfId="0" applyFont="1" applyFill="1" applyBorder="1" applyAlignment="1">
      <alignment vertical="center"/>
    </xf>
    <xf numFmtId="0" fontId="116" fillId="0" borderId="20" xfId="0" applyFont="1" applyBorder="1" applyAlignment="1">
      <alignment vertical="center"/>
    </xf>
    <xf numFmtId="0" fontId="114" fillId="10" borderId="20" xfId="0" applyFont="1" applyFill="1" applyBorder="1" applyAlignment="1">
      <alignment horizontal="center" vertical="center"/>
    </xf>
    <xf numFmtId="41" fontId="114" fillId="10" borderId="20" xfId="2868" applyFont="1" applyFill="1" applyBorder="1" applyAlignment="1">
      <alignment vertical="center"/>
    </xf>
    <xf numFmtId="0" fontId="114" fillId="10" borderId="20" xfId="0" applyFont="1" applyFill="1" applyBorder="1" applyAlignment="1">
      <alignment vertical="center"/>
    </xf>
    <xf numFmtId="43" fontId="114" fillId="0" borderId="20" xfId="2868" applyNumberFormat="1" applyFont="1" applyFill="1" applyBorder="1" applyAlignment="1">
      <alignment vertical="center"/>
    </xf>
    <xf numFmtId="0" fontId="114" fillId="13" borderId="20" xfId="2587" quotePrefix="1" applyNumberFormat="1" applyFont="1" applyFill="1" applyBorder="1" applyAlignment="1">
      <alignment horizontal="center" vertical="center"/>
    </xf>
    <xf numFmtId="43" fontId="114" fillId="13" borderId="9" xfId="2587" applyNumberFormat="1" applyFont="1" applyFill="1" applyBorder="1" applyAlignment="1">
      <alignment horizontal="center" vertical="center"/>
    </xf>
    <xf numFmtId="0" fontId="115" fillId="13" borderId="20" xfId="2587" applyNumberFormat="1" applyFont="1" applyFill="1" applyBorder="1" applyAlignment="1">
      <alignment horizontal="center" vertical="center"/>
    </xf>
    <xf numFmtId="0" fontId="115" fillId="13" borderId="20" xfId="2587" applyNumberFormat="1" applyFont="1" applyFill="1" applyBorder="1" applyAlignment="1">
      <alignment horizontal="left" vertical="center"/>
    </xf>
    <xf numFmtId="0" fontId="115" fillId="13" borderId="4" xfId="0" applyFont="1" applyFill="1" applyBorder="1" applyAlignment="1">
      <alignment horizontal="center" vertical="center"/>
    </xf>
    <xf numFmtId="2" fontId="115" fillId="13" borderId="9" xfId="0" applyNumberFormat="1" applyFont="1" applyFill="1" applyBorder="1" applyAlignment="1">
      <alignment vertical="center"/>
    </xf>
    <xf numFmtId="41" fontId="115" fillId="13" borderId="4" xfId="2868" applyFont="1" applyFill="1" applyBorder="1" applyAlignment="1">
      <alignment vertical="center"/>
    </xf>
    <xf numFmtId="0" fontId="115" fillId="13" borderId="0" xfId="0" applyFont="1" applyFill="1" applyAlignment="1">
      <alignment vertical="center"/>
    </xf>
    <xf numFmtId="0" fontId="115" fillId="14" borderId="20" xfId="2587" applyNumberFormat="1" applyFont="1" applyFill="1" applyBorder="1" applyAlignment="1">
      <alignment horizontal="center" vertical="center"/>
    </xf>
    <xf numFmtId="0" fontId="115" fillId="14" borderId="20" xfId="2587" applyNumberFormat="1" applyFont="1" applyFill="1" applyBorder="1" applyAlignment="1">
      <alignment horizontal="left" vertical="center"/>
    </xf>
    <xf numFmtId="0" fontId="115" fillId="14" borderId="4" xfId="0" applyFont="1" applyFill="1" applyBorder="1" applyAlignment="1">
      <alignment horizontal="center" vertical="center"/>
    </xf>
    <xf numFmtId="43" fontId="115" fillId="14" borderId="4" xfId="2587" applyNumberFormat="1" applyFont="1" applyFill="1" applyBorder="1" applyAlignment="1">
      <alignment horizontal="center" vertical="center"/>
    </xf>
    <xf numFmtId="41" fontId="115" fillId="14" borderId="4" xfId="2868" applyFont="1" applyFill="1" applyBorder="1" applyAlignment="1">
      <alignment vertical="center"/>
    </xf>
    <xf numFmtId="0" fontId="115" fillId="14" borderId="4" xfId="0" applyFont="1" applyFill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0" fontId="115" fillId="0" borderId="4" xfId="0" applyFont="1" applyBorder="1" applyAlignment="1">
      <alignment horizontal="center" vertical="center" shrinkToFit="1"/>
    </xf>
    <xf numFmtId="179" fontId="115" fillId="11" borderId="30" xfId="0" applyNumberFormat="1" applyFont="1" applyFill="1" applyBorder="1" applyAlignment="1">
      <alignment horizontal="center" vertical="center" shrinkToFit="1"/>
    </xf>
    <xf numFmtId="0" fontId="114" fillId="0" borderId="20" xfId="0" applyFont="1" applyBorder="1" applyAlignment="1">
      <alignment horizontal="center" vertical="center" shrinkToFit="1"/>
    </xf>
    <xf numFmtId="0" fontId="115" fillId="9" borderId="20" xfId="0" applyFont="1" applyFill="1" applyBorder="1" applyAlignment="1">
      <alignment horizontal="center" vertical="center" shrinkToFit="1"/>
    </xf>
    <xf numFmtId="0" fontId="115" fillId="9" borderId="4" xfId="0" applyFont="1" applyFill="1" applyBorder="1" applyAlignment="1">
      <alignment horizontal="center" vertical="center" shrinkToFit="1"/>
    </xf>
    <xf numFmtId="0" fontId="114" fillId="10" borderId="4" xfId="0" applyFont="1" applyFill="1" applyBorder="1" applyAlignment="1">
      <alignment horizontal="center" vertical="center" shrinkToFit="1"/>
    </xf>
    <xf numFmtId="0" fontId="115" fillId="13" borderId="20" xfId="2587" applyNumberFormat="1" applyFont="1" applyFill="1" applyBorder="1" applyAlignment="1">
      <alignment vertical="center"/>
    </xf>
    <xf numFmtId="0" fontId="112" fillId="0" borderId="0" xfId="2587" applyNumberFormat="1" applyFont="1" applyFill="1" applyBorder="1" applyAlignment="1">
      <alignment horizontal="center" vertical="center"/>
    </xf>
    <xf numFmtId="41" fontId="134" fillId="14" borderId="4" xfId="2868" applyFont="1" applyFill="1" applyBorder="1" applyAlignment="1">
      <alignment vertical="center"/>
    </xf>
    <xf numFmtId="0" fontId="116" fillId="13" borderId="20" xfId="2868" applyNumberFormat="1" applyFont="1" applyFill="1" applyBorder="1" applyAlignment="1">
      <alignment horizontal="center" vertical="center"/>
    </xf>
    <xf numFmtId="179" fontId="112" fillId="16" borderId="27" xfId="2587" applyFont="1" applyFill="1" applyBorder="1" applyAlignment="1">
      <alignment horizontal="center" vertical="center"/>
    </xf>
    <xf numFmtId="0" fontId="116" fillId="0" borderId="20" xfId="2868" applyNumberFormat="1" applyFont="1" applyFill="1" applyBorder="1" applyAlignment="1">
      <alignment horizontal="center" vertical="center"/>
    </xf>
    <xf numFmtId="0" fontId="116" fillId="0" borderId="4" xfId="0" applyFont="1" applyBorder="1" applyAlignment="1">
      <alignment horizontal="center" vertical="center"/>
    </xf>
    <xf numFmtId="41" fontId="116" fillId="0" borderId="4" xfId="2868" applyFont="1" applyFill="1" applyBorder="1" applyAlignment="1">
      <alignment vertical="center"/>
    </xf>
    <xf numFmtId="41" fontId="116" fillId="0" borderId="6" xfId="2868" applyFont="1" applyFill="1" applyBorder="1" applyAlignment="1">
      <alignment vertical="center"/>
    </xf>
    <xf numFmtId="0" fontId="116" fillId="0" borderId="4" xfId="0" applyFont="1" applyBorder="1" applyAlignment="1">
      <alignment horizontal="center" vertical="center" shrinkToFit="1"/>
    </xf>
    <xf numFmtId="0" fontId="116" fillId="0" borderId="0" xfId="0" applyFont="1" applyAlignment="1">
      <alignment vertical="center"/>
    </xf>
    <xf numFmtId="2" fontId="116" fillId="0" borderId="9" xfId="0" applyNumberFormat="1" applyFont="1" applyBorder="1" applyAlignment="1">
      <alignment vertical="center"/>
    </xf>
    <xf numFmtId="0" fontId="116" fillId="13" borderId="20" xfId="2587" applyNumberFormat="1" applyFont="1" applyFill="1" applyBorder="1" applyAlignment="1">
      <alignment vertical="center"/>
    </xf>
    <xf numFmtId="0" fontId="116" fillId="13" borderId="20" xfId="2868" applyNumberFormat="1" applyFont="1" applyFill="1" applyBorder="1" applyAlignment="1">
      <alignment horizontal="left" vertical="center"/>
    </xf>
    <xf numFmtId="0" fontId="116" fillId="13" borderId="4" xfId="0" applyFont="1" applyFill="1" applyBorder="1" applyAlignment="1">
      <alignment horizontal="center" vertical="center"/>
    </xf>
    <xf numFmtId="43" fontId="116" fillId="13" borderId="9" xfId="0" applyNumberFormat="1" applyFont="1" applyFill="1" applyBorder="1" applyAlignment="1">
      <alignment vertical="center"/>
    </xf>
    <xf numFmtId="41" fontId="116" fillId="13" borderId="4" xfId="2868" applyFont="1" applyFill="1" applyBorder="1" applyAlignment="1">
      <alignment vertical="center"/>
    </xf>
    <xf numFmtId="41" fontId="116" fillId="13" borderId="6" xfId="2868" applyFont="1" applyFill="1" applyBorder="1" applyAlignment="1">
      <alignment vertical="center"/>
    </xf>
    <xf numFmtId="0" fontId="116" fillId="13" borderId="4" xfId="0" applyFont="1" applyFill="1" applyBorder="1" applyAlignment="1">
      <alignment horizontal="center" vertical="center" shrinkToFit="1"/>
    </xf>
    <xf numFmtId="0" fontId="116" fillId="13" borderId="0" xfId="0" applyFont="1" applyFill="1" applyAlignment="1">
      <alignment vertical="center"/>
    </xf>
    <xf numFmtId="0" fontId="114" fillId="15" borderId="0" xfId="0" applyFont="1" applyFill="1" applyAlignment="1">
      <alignment vertical="center"/>
    </xf>
    <xf numFmtId="0" fontId="141" fillId="8" borderId="20" xfId="2587" applyNumberFormat="1" applyFont="1" applyFill="1" applyBorder="1" applyAlignment="1">
      <alignment horizontal="left" vertical="center"/>
    </xf>
    <xf numFmtId="0" fontId="139" fillId="13" borderId="0" xfId="2587" applyNumberFormat="1" applyFont="1" applyFill="1" applyBorder="1" applyAlignment="1">
      <alignment vertical="center"/>
    </xf>
    <xf numFmtId="41" fontId="142" fillId="15" borderId="0" xfId="2868" applyFont="1" applyFill="1" applyAlignment="1">
      <alignment vertical="center"/>
    </xf>
    <xf numFmtId="41" fontId="143" fillId="0" borderId="20" xfId="2868" applyFont="1" applyFill="1" applyBorder="1" applyAlignment="1">
      <alignment vertical="center"/>
    </xf>
    <xf numFmtId="0" fontId="131" fillId="13" borderId="20" xfId="0" applyFont="1" applyFill="1" applyBorder="1" applyAlignment="1">
      <alignment horizontal="center" vertical="center"/>
    </xf>
    <xf numFmtId="0" fontId="131" fillId="13" borderId="20" xfId="2587" applyNumberFormat="1" applyFont="1" applyFill="1" applyBorder="1" applyAlignment="1">
      <alignment horizontal="left" vertical="center"/>
    </xf>
    <xf numFmtId="0" fontId="131" fillId="13" borderId="20" xfId="2587" applyNumberFormat="1" applyFont="1" applyFill="1" applyBorder="1" applyAlignment="1">
      <alignment vertical="center"/>
    </xf>
    <xf numFmtId="43" fontId="131" fillId="13" borderId="20" xfId="0" applyNumberFormat="1" applyFont="1" applyFill="1" applyBorder="1" applyAlignment="1">
      <alignment horizontal="center" vertical="center"/>
    </xf>
    <xf numFmtId="179" fontId="131" fillId="13" borderId="20" xfId="2587" applyFont="1" applyFill="1" applyBorder="1" applyAlignment="1">
      <alignment horizontal="center" vertical="center"/>
    </xf>
    <xf numFmtId="179" fontId="131" fillId="13" borderId="20" xfId="2587" applyFont="1" applyFill="1" applyBorder="1" applyAlignment="1">
      <alignment vertical="center"/>
    </xf>
    <xf numFmtId="179" fontId="131" fillId="13" borderId="26" xfId="2587" applyFont="1" applyFill="1" applyBorder="1" applyAlignment="1">
      <alignment vertical="center"/>
    </xf>
    <xf numFmtId="0" fontId="131" fillId="13" borderId="0" xfId="0" applyFont="1" applyFill="1" applyAlignment="1">
      <alignment vertical="center"/>
    </xf>
    <xf numFmtId="43" fontId="139" fillId="13" borderId="9" xfId="0" applyNumberFormat="1" applyFont="1" applyFill="1" applyBorder="1" applyAlignment="1">
      <alignment vertical="center"/>
    </xf>
    <xf numFmtId="0" fontId="137" fillId="13" borderId="0" xfId="0" applyFont="1" applyFill="1" applyAlignment="1">
      <alignment vertical="center"/>
    </xf>
    <xf numFmtId="0" fontId="136" fillId="13" borderId="20" xfId="2587" applyNumberFormat="1" applyFont="1" applyFill="1" applyBorder="1" applyAlignment="1">
      <alignment vertical="center"/>
    </xf>
    <xf numFmtId="0" fontId="136" fillId="13" borderId="20" xfId="2868" applyNumberFormat="1" applyFont="1" applyFill="1" applyBorder="1" applyAlignment="1">
      <alignment horizontal="left" vertical="center"/>
    </xf>
    <xf numFmtId="0" fontId="136" fillId="13" borderId="4" xfId="0" applyFont="1" applyFill="1" applyBorder="1" applyAlignment="1">
      <alignment horizontal="center" vertical="center"/>
    </xf>
    <xf numFmtId="43" fontId="136" fillId="13" borderId="9" xfId="0" applyNumberFormat="1" applyFont="1" applyFill="1" applyBorder="1" applyAlignment="1">
      <alignment vertical="center"/>
    </xf>
    <xf numFmtId="41" fontId="136" fillId="13" borderId="4" xfId="2868" applyFont="1" applyFill="1" applyBorder="1" applyAlignment="1">
      <alignment vertical="center"/>
    </xf>
    <xf numFmtId="41" fontId="136" fillId="13" borderId="6" xfId="2868" applyFont="1" applyFill="1" applyBorder="1" applyAlignment="1">
      <alignment vertical="center"/>
    </xf>
    <xf numFmtId="0" fontId="136" fillId="13" borderId="4" xfId="0" applyFont="1" applyFill="1" applyBorder="1" applyAlignment="1">
      <alignment horizontal="center" vertical="center" shrinkToFit="1"/>
    </xf>
    <xf numFmtId="0" fontId="136" fillId="13" borderId="0" xfId="0" applyFont="1" applyFill="1" applyAlignment="1">
      <alignment vertical="center"/>
    </xf>
    <xf numFmtId="0" fontId="144" fillId="13" borderId="20" xfId="2868" applyNumberFormat="1" applyFont="1" applyFill="1" applyBorder="1" applyAlignment="1">
      <alignment horizontal="center" vertical="center"/>
    </xf>
    <xf numFmtId="0" fontId="144" fillId="13" borderId="20" xfId="2587" applyNumberFormat="1" applyFont="1" applyFill="1" applyBorder="1" applyAlignment="1">
      <alignment vertical="center"/>
    </xf>
    <xf numFmtId="0" fontId="144" fillId="13" borderId="20" xfId="2868" applyNumberFormat="1" applyFont="1" applyFill="1" applyBorder="1" applyAlignment="1">
      <alignment horizontal="left" vertical="center"/>
    </xf>
    <xf numFmtId="0" fontId="144" fillId="13" borderId="4" xfId="0" applyFont="1" applyFill="1" applyBorder="1" applyAlignment="1">
      <alignment horizontal="center" vertical="center"/>
    </xf>
    <xf numFmtId="43" fontId="144" fillId="13" borderId="9" xfId="0" applyNumberFormat="1" applyFont="1" applyFill="1" applyBorder="1" applyAlignment="1">
      <alignment vertical="center"/>
    </xf>
    <xf numFmtId="41" fontId="144" fillId="13" borderId="4" xfId="2868" applyFont="1" applyFill="1" applyBorder="1" applyAlignment="1">
      <alignment vertical="center"/>
    </xf>
    <xf numFmtId="0" fontId="144" fillId="13" borderId="4" xfId="0" applyFont="1" applyFill="1" applyBorder="1" applyAlignment="1">
      <alignment horizontal="center" vertical="center" shrinkToFit="1"/>
    </xf>
    <xf numFmtId="0" fontId="144" fillId="13" borderId="0" xfId="0" applyFont="1" applyFill="1" applyAlignment="1">
      <alignment vertical="center"/>
    </xf>
    <xf numFmtId="0" fontId="138" fillId="13" borderId="20" xfId="2587" applyNumberFormat="1" applyFont="1" applyFill="1" applyBorder="1" applyAlignment="1">
      <alignment vertical="center"/>
    </xf>
    <xf numFmtId="0" fontId="146" fillId="13" borderId="4" xfId="0" applyFont="1" applyFill="1" applyBorder="1" applyAlignment="1">
      <alignment horizontal="center" vertical="center" shrinkToFit="1"/>
    </xf>
    <xf numFmtId="2" fontId="137" fillId="13" borderId="9" xfId="0" applyNumberFormat="1" applyFont="1" applyFill="1" applyBorder="1" applyAlignment="1">
      <alignment vertical="center"/>
    </xf>
    <xf numFmtId="0" fontId="137" fillId="13" borderId="20" xfId="2868" applyNumberFormat="1" applyFont="1" applyFill="1" applyBorder="1" applyAlignment="1">
      <alignment horizontal="left" vertical="center"/>
    </xf>
    <xf numFmtId="0" fontId="137" fillId="13" borderId="4" xfId="0" applyFont="1" applyFill="1" applyBorder="1" applyAlignment="1">
      <alignment horizontal="center" vertical="center"/>
    </xf>
    <xf numFmtId="0" fontId="137" fillId="13" borderId="20" xfId="2587" applyNumberFormat="1" applyFont="1" applyFill="1" applyBorder="1" applyAlignment="1">
      <alignment vertical="center"/>
    </xf>
    <xf numFmtId="0" fontId="147" fillId="0" borderId="4" xfId="0" applyFont="1" applyBorder="1" applyAlignment="1">
      <alignment horizontal="center" vertical="center" shrinkToFit="1"/>
    </xf>
    <xf numFmtId="0" fontId="147" fillId="13" borderId="4" xfId="0" applyFont="1" applyFill="1" applyBorder="1" applyAlignment="1">
      <alignment horizontal="center" vertical="center" shrinkToFit="1"/>
    </xf>
    <xf numFmtId="0" fontId="135" fillId="0" borderId="20" xfId="2587" applyNumberFormat="1" applyFont="1" applyFill="1" applyBorder="1" applyAlignment="1">
      <alignment vertical="center"/>
    </xf>
    <xf numFmtId="0" fontId="135" fillId="0" borderId="20" xfId="2587" applyNumberFormat="1" applyFont="1" applyFill="1" applyBorder="1" applyAlignment="1">
      <alignment horizontal="left" vertical="center"/>
    </xf>
    <xf numFmtId="0" fontId="135" fillId="0" borderId="4" xfId="0" applyFont="1" applyBorder="1" applyAlignment="1">
      <alignment horizontal="center" vertical="center"/>
    </xf>
    <xf numFmtId="2" fontId="135" fillId="0" borderId="9" xfId="0" applyNumberFormat="1" applyFont="1" applyBorder="1" applyAlignment="1">
      <alignment vertical="center"/>
    </xf>
    <xf numFmtId="41" fontId="135" fillId="0" borderId="4" xfId="2868" applyFont="1" applyFill="1" applyBorder="1" applyAlignment="1">
      <alignment vertical="center"/>
    </xf>
    <xf numFmtId="41" fontId="135" fillId="0" borderId="6" xfId="2868" applyFont="1" applyFill="1" applyBorder="1" applyAlignment="1">
      <alignment vertical="center"/>
    </xf>
    <xf numFmtId="0" fontId="135" fillId="0" borderId="4" xfId="0" applyFont="1" applyBorder="1" applyAlignment="1">
      <alignment horizontal="center" vertical="center" shrinkToFit="1"/>
    </xf>
    <xf numFmtId="0" fontId="135" fillId="0" borderId="0" xfId="0" applyFont="1" applyAlignment="1">
      <alignment vertical="center"/>
    </xf>
    <xf numFmtId="0" fontId="138" fillId="0" borderId="4" xfId="0" applyFont="1" applyBorder="1" applyAlignment="1">
      <alignment horizontal="center" vertical="center"/>
    </xf>
    <xf numFmtId="0" fontId="135" fillId="13" borderId="20" xfId="2587" applyNumberFormat="1" applyFont="1" applyFill="1" applyBorder="1" applyAlignment="1">
      <alignment vertical="center"/>
    </xf>
    <xf numFmtId="0" fontId="135" fillId="13" borderId="20" xfId="2868" applyNumberFormat="1" applyFont="1" applyFill="1" applyBorder="1" applyAlignment="1">
      <alignment horizontal="left" vertical="center"/>
    </xf>
    <xf numFmtId="0" fontId="135" fillId="13" borderId="4" xfId="0" applyFont="1" applyFill="1" applyBorder="1" applyAlignment="1">
      <alignment horizontal="center" vertical="center"/>
    </xf>
    <xf numFmtId="43" fontId="135" fillId="13" borderId="9" xfId="0" applyNumberFormat="1" applyFont="1" applyFill="1" applyBorder="1" applyAlignment="1">
      <alignment vertical="center"/>
    </xf>
    <xf numFmtId="41" fontId="135" fillId="13" borderId="4" xfId="2868" applyFont="1" applyFill="1" applyBorder="1" applyAlignment="1">
      <alignment vertical="center"/>
    </xf>
    <xf numFmtId="41" fontId="135" fillId="13" borderId="6" xfId="2868" applyFont="1" applyFill="1" applyBorder="1" applyAlignment="1">
      <alignment vertical="center"/>
    </xf>
    <xf numFmtId="0" fontId="135" fillId="13" borderId="4" xfId="0" applyFont="1" applyFill="1" applyBorder="1" applyAlignment="1">
      <alignment horizontal="center" vertical="center" shrinkToFit="1"/>
    </xf>
    <xf numFmtId="0" fontId="135" fillId="13" borderId="0" xfId="0" applyFont="1" applyFill="1" applyAlignment="1">
      <alignment vertical="center"/>
    </xf>
    <xf numFmtId="0" fontId="145" fillId="0" borderId="4" xfId="0" applyFont="1" applyBorder="1" applyAlignment="1">
      <alignment horizontal="center" vertical="center"/>
    </xf>
    <xf numFmtId="0" fontId="145" fillId="0" borderId="4" xfId="0" applyFont="1" applyBorder="1" applyAlignment="1">
      <alignment horizontal="center" vertical="center" shrinkToFit="1"/>
    </xf>
    <xf numFmtId="0" fontId="148" fillId="0" borderId="4" xfId="0" applyFont="1" applyBorder="1" applyAlignment="1">
      <alignment horizontal="center" vertical="center" shrinkToFit="1"/>
    </xf>
    <xf numFmtId="0" fontId="116" fillId="13" borderId="20" xfId="2587" applyNumberFormat="1" applyFont="1" applyFill="1" applyBorder="1" applyAlignment="1">
      <alignment horizontal="center" vertical="center"/>
    </xf>
    <xf numFmtId="0" fontId="136" fillId="13" borderId="20" xfId="2587" applyNumberFormat="1" applyFont="1" applyFill="1" applyBorder="1" applyAlignment="1">
      <alignment horizontal="left" vertical="center"/>
    </xf>
    <xf numFmtId="2" fontId="136" fillId="13" borderId="9" xfId="0" applyNumberFormat="1" applyFont="1" applyFill="1" applyBorder="1" applyAlignment="1">
      <alignment vertical="center"/>
    </xf>
    <xf numFmtId="0" fontId="136" fillId="0" borderId="20" xfId="2587" applyNumberFormat="1" applyFont="1" applyFill="1" applyBorder="1" applyAlignment="1">
      <alignment vertical="center"/>
    </xf>
    <xf numFmtId="0" fontId="136" fillId="0" borderId="20" xfId="2587" applyNumberFormat="1" applyFont="1" applyFill="1" applyBorder="1" applyAlignment="1">
      <alignment horizontal="left" vertical="center"/>
    </xf>
    <xf numFmtId="0" fontId="136" fillId="0" borderId="4" xfId="0" applyFont="1" applyBorder="1" applyAlignment="1">
      <alignment horizontal="center" vertical="center"/>
    </xf>
    <xf numFmtId="2" fontId="136" fillId="0" borderId="9" xfId="0" applyNumberFormat="1" applyFont="1" applyBorder="1" applyAlignment="1">
      <alignment vertical="center"/>
    </xf>
    <xf numFmtId="41" fontId="136" fillId="0" borderId="4" xfId="2868" applyFont="1" applyFill="1" applyBorder="1" applyAlignment="1">
      <alignment vertical="center"/>
    </xf>
    <xf numFmtId="41" fontId="136" fillId="0" borderId="6" xfId="2868" applyFont="1" applyFill="1" applyBorder="1" applyAlignment="1">
      <alignment vertical="center"/>
    </xf>
    <xf numFmtId="0" fontId="136" fillId="0" borderId="4" xfId="0" applyFont="1" applyBorder="1" applyAlignment="1">
      <alignment horizontal="center" vertical="center" shrinkToFit="1"/>
    </xf>
    <xf numFmtId="0" fontId="136" fillId="0" borderId="0" xfId="0" applyFont="1" applyAlignment="1">
      <alignment vertical="center"/>
    </xf>
    <xf numFmtId="2" fontId="135" fillId="13" borderId="9" xfId="0" applyNumberFormat="1" applyFont="1" applyFill="1" applyBorder="1" applyAlignment="1">
      <alignment vertical="center"/>
    </xf>
    <xf numFmtId="0" fontId="138" fillId="0" borderId="20" xfId="2587" applyNumberFormat="1" applyFont="1" applyFill="1" applyBorder="1" applyAlignment="1">
      <alignment vertical="center"/>
    </xf>
    <xf numFmtId="0" fontId="150" fillId="0" borderId="0" xfId="2869" applyFont="1"/>
    <xf numFmtId="43" fontId="136" fillId="0" borderId="9" xfId="0" applyNumberFormat="1" applyFont="1" applyBorder="1" applyAlignment="1">
      <alignment vertical="center"/>
    </xf>
    <xf numFmtId="0" fontId="136" fillId="0" borderId="20" xfId="2868" applyNumberFormat="1" applyFont="1" applyFill="1" applyBorder="1" applyAlignment="1">
      <alignment horizontal="left" vertical="center"/>
    </xf>
    <xf numFmtId="0" fontId="148" fillId="13" borderId="4" xfId="0" applyFont="1" applyFill="1" applyBorder="1" applyAlignment="1">
      <alignment horizontal="center" vertical="center" shrinkToFit="1"/>
    </xf>
    <xf numFmtId="41" fontId="116" fillId="0" borderId="6" xfId="2868" applyFont="1" applyFill="1" applyBorder="1" applyAlignment="1">
      <alignment horizontal="center" vertical="center"/>
    </xf>
    <xf numFmtId="41" fontId="136" fillId="0" borderId="6" xfId="2868" applyFont="1" applyFill="1" applyBorder="1" applyAlignment="1">
      <alignment horizontal="center" vertical="center"/>
    </xf>
    <xf numFmtId="41" fontId="131" fillId="0" borderId="20" xfId="2587" applyNumberFormat="1" applyFont="1" applyFill="1" applyBorder="1" applyAlignment="1">
      <alignment vertical="center"/>
    </xf>
    <xf numFmtId="0" fontId="116" fillId="15" borderId="20" xfId="2587" applyNumberFormat="1" applyFont="1" applyFill="1" applyBorder="1" applyAlignment="1">
      <alignment horizontal="center" vertical="center"/>
    </xf>
    <xf numFmtId="0" fontId="116" fillId="15" borderId="20" xfId="2587" applyNumberFormat="1" applyFont="1" applyFill="1" applyBorder="1" applyAlignment="1">
      <alignment vertical="center"/>
    </xf>
    <xf numFmtId="0" fontId="116" fillId="15" borderId="20" xfId="2587" applyNumberFormat="1" applyFont="1" applyFill="1" applyBorder="1" applyAlignment="1">
      <alignment horizontal="left" vertical="center"/>
    </xf>
    <xf numFmtId="0" fontId="116" fillId="15" borderId="4" xfId="0" applyFont="1" applyFill="1" applyBorder="1" applyAlignment="1">
      <alignment horizontal="center" vertical="center"/>
    </xf>
    <xf numFmtId="43" fontId="116" fillId="15" borderId="9" xfId="0" applyNumberFormat="1" applyFont="1" applyFill="1" applyBorder="1" applyAlignment="1">
      <alignment vertical="center"/>
    </xf>
    <xf numFmtId="41" fontId="116" fillId="15" borderId="4" xfId="2868" applyFont="1" applyFill="1" applyBorder="1" applyAlignment="1">
      <alignment vertical="center"/>
    </xf>
    <xf numFmtId="41" fontId="116" fillId="15" borderId="6" xfId="2868" applyFont="1" applyFill="1" applyBorder="1" applyAlignment="1">
      <alignment vertical="center"/>
    </xf>
    <xf numFmtId="0" fontId="116" fillId="15" borderId="4" xfId="0" applyFont="1" applyFill="1" applyBorder="1" applyAlignment="1">
      <alignment horizontal="center" vertical="center" shrinkToFit="1"/>
    </xf>
    <xf numFmtId="0" fontId="116" fillId="15" borderId="0" xfId="0" applyFont="1" applyFill="1" applyAlignment="1">
      <alignment vertical="center"/>
    </xf>
    <xf numFmtId="0" fontId="114" fillId="15" borderId="20" xfId="2868" applyNumberFormat="1" applyFont="1" applyFill="1" applyBorder="1" applyAlignment="1">
      <alignment horizontal="center" vertical="center"/>
    </xf>
    <xf numFmtId="0" fontId="114" fillId="15" borderId="20" xfId="2587" applyNumberFormat="1" applyFont="1" applyFill="1" applyBorder="1" applyAlignment="1">
      <alignment vertical="center"/>
    </xf>
    <xf numFmtId="0" fontId="114" fillId="15" borderId="20" xfId="2868" applyNumberFormat="1" applyFont="1" applyFill="1" applyBorder="1" applyAlignment="1">
      <alignment horizontal="left" vertical="center"/>
    </xf>
    <xf numFmtId="0" fontId="114" fillId="15" borderId="4" xfId="0" applyFont="1" applyFill="1" applyBorder="1" applyAlignment="1">
      <alignment horizontal="center" vertical="center"/>
    </xf>
    <xf numFmtId="43" fontId="114" fillId="15" borderId="9" xfId="0" applyNumberFormat="1" applyFont="1" applyFill="1" applyBorder="1" applyAlignment="1">
      <alignment vertical="center"/>
    </xf>
    <xf numFmtId="41" fontId="114" fillId="15" borderId="4" xfId="2868" applyFont="1" applyFill="1" applyBorder="1" applyAlignment="1">
      <alignment vertical="center"/>
    </xf>
    <xf numFmtId="41" fontId="114" fillId="15" borderId="6" xfId="2868" applyFont="1" applyFill="1" applyBorder="1" applyAlignment="1">
      <alignment vertical="center"/>
    </xf>
    <xf numFmtId="0" fontId="114" fillId="15" borderId="4" xfId="0" applyFont="1" applyFill="1" applyBorder="1" applyAlignment="1">
      <alignment horizontal="center" vertical="center" shrinkToFit="1"/>
    </xf>
    <xf numFmtId="0" fontId="116" fillId="15" borderId="20" xfId="2868" applyNumberFormat="1" applyFont="1" applyFill="1" applyBorder="1" applyAlignment="1">
      <alignment horizontal="center" vertical="center"/>
    </xf>
    <xf numFmtId="0" fontId="136" fillId="15" borderId="20" xfId="2587" applyNumberFormat="1" applyFont="1" applyFill="1" applyBorder="1" applyAlignment="1">
      <alignment vertical="center"/>
    </xf>
    <xf numFmtId="0" fontId="136" fillId="15" borderId="20" xfId="2868" applyNumberFormat="1" applyFont="1" applyFill="1" applyBorder="1" applyAlignment="1">
      <alignment horizontal="left" vertical="center"/>
    </xf>
    <xf numFmtId="0" fontId="136" fillId="15" borderId="4" xfId="0" applyFont="1" applyFill="1" applyBorder="1" applyAlignment="1">
      <alignment horizontal="center" vertical="center"/>
    </xf>
    <xf numFmtId="43" fontId="136" fillId="15" borderId="9" xfId="0" applyNumberFormat="1" applyFont="1" applyFill="1" applyBorder="1" applyAlignment="1">
      <alignment vertical="center"/>
    </xf>
    <xf numFmtId="41" fontId="136" fillId="15" borderId="4" xfId="2868" applyFont="1" applyFill="1" applyBorder="1" applyAlignment="1">
      <alignment vertical="center"/>
    </xf>
    <xf numFmtId="41" fontId="136" fillId="15" borderId="6" xfId="2868" applyFont="1" applyFill="1" applyBorder="1" applyAlignment="1">
      <alignment vertical="center"/>
    </xf>
    <xf numFmtId="0" fontId="148" fillId="15" borderId="4" xfId="0" applyFont="1" applyFill="1" applyBorder="1" applyAlignment="1">
      <alignment horizontal="center" vertical="center" shrinkToFit="1"/>
    </xf>
    <xf numFmtId="0" fontId="136" fillId="15" borderId="0" xfId="0" applyFont="1" applyFill="1" applyAlignment="1">
      <alignment vertical="center"/>
    </xf>
    <xf numFmtId="0" fontId="137" fillId="0" borderId="4" xfId="0" applyFont="1" applyBorder="1" applyAlignment="1">
      <alignment horizontal="center" vertical="center"/>
    </xf>
    <xf numFmtId="0" fontId="137" fillId="0" borderId="4" xfId="0" applyFont="1" applyBorder="1" applyAlignment="1">
      <alignment horizontal="center" vertical="center" shrinkToFit="1"/>
    </xf>
    <xf numFmtId="0" fontId="114" fillId="13" borderId="4" xfId="2868" applyNumberFormat="1" applyFont="1" applyFill="1" applyBorder="1" applyAlignment="1">
      <alignment horizontal="center" vertical="center"/>
    </xf>
    <xf numFmtId="0" fontId="151" fillId="13" borderId="4" xfId="0" applyFont="1" applyFill="1" applyBorder="1" applyAlignment="1">
      <alignment horizontal="center" vertical="center" shrinkToFit="1"/>
    </xf>
    <xf numFmtId="0" fontId="135" fillId="13" borderId="20" xfId="2587" applyNumberFormat="1" applyFont="1" applyFill="1" applyBorder="1" applyAlignment="1">
      <alignment horizontal="left" vertical="center"/>
    </xf>
    <xf numFmtId="0" fontId="116" fillId="0" borderId="20" xfId="2868" applyNumberFormat="1" applyFont="1" applyFill="1" applyBorder="1" applyAlignment="1">
      <alignment horizontal="left" vertical="center"/>
    </xf>
    <xf numFmtId="0" fontId="152" fillId="0" borderId="4" xfId="0" applyFont="1" applyBorder="1" applyAlignment="1">
      <alignment horizontal="center" vertical="center"/>
    </xf>
    <xf numFmtId="43" fontId="116" fillId="0" borderId="9" xfId="0" applyNumberFormat="1" applyFont="1" applyBorder="1" applyAlignment="1">
      <alignment vertical="center"/>
    </xf>
    <xf numFmtId="0" fontId="114" fillId="13" borderId="6" xfId="0" applyFont="1" applyFill="1" applyBorder="1" applyAlignment="1">
      <alignment horizontal="center" vertical="center" shrinkToFit="1"/>
    </xf>
    <xf numFmtId="179" fontId="131" fillId="0" borderId="9" xfId="2587" applyFont="1" applyFill="1" applyBorder="1" applyAlignment="1">
      <alignment vertical="center"/>
    </xf>
    <xf numFmtId="10" fontId="131" fillId="0" borderId="32" xfId="0" applyNumberFormat="1" applyFont="1" applyBorder="1" applyAlignment="1">
      <alignment horizontal="right" vertical="center"/>
    </xf>
    <xf numFmtId="43" fontId="131" fillId="0" borderId="4" xfId="0" applyNumberFormat="1" applyFont="1" applyBorder="1" applyAlignment="1">
      <alignment horizontal="center" vertical="center"/>
    </xf>
    <xf numFmtId="10" fontId="131" fillId="0" borderId="34" xfId="0" applyNumberFormat="1" applyFont="1" applyBorder="1" applyAlignment="1">
      <alignment horizontal="right" vertical="center"/>
    </xf>
    <xf numFmtId="43" fontId="131" fillId="0" borderId="29" xfId="2587" applyNumberFormat="1" applyFont="1" applyFill="1" applyBorder="1" applyAlignment="1">
      <alignment horizontal="center" vertical="center"/>
    </xf>
    <xf numFmtId="10" fontId="131" fillId="0" borderId="29" xfId="0" applyNumberFormat="1" applyFont="1" applyBorder="1" applyAlignment="1">
      <alignment horizontal="right" vertical="center"/>
    </xf>
    <xf numFmtId="10" fontId="131" fillId="0" borderId="20" xfId="0" applyNumberFormat="1" applyFont="1" applyBorder="1" applyAlignment="1">
      <alignment horizontal="right" vertical="center"/>
    </xf>
    <xf numFmtId="43" fontId="131" fillId="0" borderId="20" xfId="2587" applyNumberFormat="1" applyFont="1" applyFill="1" applyBorder="1" applyAlignment="1">
      <alignment horizontal="center" vertical="center"/>
    </xf>
    <xf numFmtId="179" fontId="131" fillId="0" borderId="29" xfId="2587" applyFont="1" applyFill="1" applyBorder="1" applyAlignment="1">
      <alignment vertical="center"/>
    </xf>
    <xf numFmtId="43" fontId="131" fillId="0" borderId="0" xfId="0" applyNumberFormat="1" applyFont="1" applyAlignment="1">
      <alignment vertical="center"/>
    </xf>
    <xf numFmtId="0" fontId="153" fillId="0" borderId="20" xfId="2587" applyNumberFormat="1" applyFont="1" applyFill="1" applyBorder="1" applyAlignment="1">
      <alignment horizontal="center" vertical="center"/>
    </xf>
    <xf numFmtId="0" fontId="153" fillId="0" borderId="20" xfId="2587" applyNumberFormat="1" applyFont="1" applyFill="1" applyBorder="1" applyAlignment="1">
      <alignment vertical="center"/>
    </xf>
    <xf numFmtId="0" fontId="153" fillId="0" borderId="20" xfId="2587" applyNumberFormat="1" applyFont="1" applyFill="1" applyBorder="1" applyAlignment="1">
      <alignment horizontal="left" vertical="center"/>
    </xf>
    <xf numFmtId="41" fontId="153" fillId="0" borderId="4" xfId="2868" applyFont="1" applyFill="1" applyBorder="1" applyAlignment="1">
      <alignment vertical="center"/>
    </xf>
    <xf numFmtId="0" fontId="153" fillId="0" borderId="4" xfId="0" applyFont="1" applyBorder="1" applyAlignment="1">
      <alignment horizontal="center" vertical="center" shrinkToFit="1"/>
    </xf>
    <xf numFmtId="0" fontId="144" fillId="0" borderId="20" xfId="2587" applyNumberFormat="1" applyFont="1" applyFill="1" applyBorder="1" applyAlignment="1">
      <alignment horizontal="center" vertical="center"/>
    </xf>
    <xf numFmtId="0" fontId="154" fillId="0" borderId="20" xfId="2587" applyNumberFormat="1" applyFont="1" applyFill="1" applyBorder="1" applyAlignment="1">
      <alignment vertical="center"/>
    </xf>
    <xf numFmtId="0" fontId="154" fillId="0" borderId="20" xfId="2587" applyNumberFormat="1" applyFont="1" applyFill="1" applyBorder="1" applyAlignment="1">
      <alignment horizontal="left" vertical="center"/>
    </xf>
    <xf numFmtId="0" fontId="154" fillId="0" borderId="20" xfId="0" applyFont="1" applyBorder="1" applyAlignment="1">
      <alignment horizontal="center" vertical="center"/>
    </xf>
    <xf numFmtId="43" fontId="154" fillId="0" borderId="20" xfId="2587" applyNumberFormat="1" applyFont="1" applyFill="1" applyBorder="1" applyAlignment="1">
      <alignment horizontal="center" vertical="center"/>
    </xf>
    <xf numFmtId="41" fontId="154" fillId="0" borderId="20" xfId="2868" applyFont="1" applyFill="1" applyBorder="1" applyAlignment="1">
      <alignment vertical="center"/>
    </xf>
    <xf numFmtId="0" fontId="154" fillId="0" borderId="4" xfId="0" applyFont="1" applyBorder="1" applyAlignment="1">
      <alignment horizontal="center" vertical="center" shrinkToFit="1"/>
    </xf>
    <xf numFmtId="0" fontId="154" fillId="0" borderId="20" xfId="0" applyFont="1" applyBorder="1" applyAlignment="1">
      <alignment vertical="center"/>
    </xf>
    <xf numFmtId="0" fontId="153" fillId="0" borderId="20" xfId="0" applyFont="1" applyBorder="1" applyAlignment="1">
      <alignment horizontal="center" vertical="center"/>
    </xf>
    <xf numFmtId="43" fontId="153" fillId="0" borderId="20" xfId="2587" applyNumberFormat="1" applyFont="1" applyFill="1" applyBorder="1" applyAlignment="1">
      <alignment horizontal="center" vertical="center"/>
    </xf>
    <xf numFmtId="41" fontId="153" fillId="0" borderId="20" xfId="2868" applyFont="1" applyFill="1" applyBorder="1" applyAlignment="1">
      <alignment vertical="center"/>
    </xf>
    <xf numFmtId="0" fontId="153" fillId="0" borderId="20" xfId="0" applyFont="1" applyBorder="1" applyAlignment="1">
      <alignment vertical="center"/>
    </xf>
    <xf numFmtId="0" fontId="153" fillId="13" borderId="20" xfId="2868" applyNumberFormat="1" applyFont="1" applyFill="1" applyBorder="1" applyAlignment="1">
      <alignment horizontal="center" vertical="center"/>
    </xf>
    <xf numFmtId="0" fontId="153" fillId="13" borderId="20" xfId="2587" applyNumberFormat="1" applyFont="1" applyFill="1" applyBorder="1" applyAlignment="1">
      <alignment vertical="center"/>
    </xf>
    <xf numFmtId="0" fontId="153" fillId="13" borderId="20" xfId="2868" applyNumberFormat="1" applyFont="1" applyFill="1" applyBorder="1" applyAlignment="1">
      <alignment horizontal="left" vertical="center"/>
    </xf>
    <xf numFmtId="0" fontId="153" fillId="13" borderId="4" xfId="0" applyFont="1" applyFill="1" applyBorder="1" applyAlignment="1">
      <alignment horizontal="center" vertical="center"/>
    </xf>
    <xf numFmtId="43" fontId="153" fillId="13" borderId="9" xfId="0" applyNumberFormat="1" applyFont="1" applyFill="1" applyBorder="1" applyAlignment="1">
      <alignment vertical="center"/>
    </xf>
    <xf numFmtId="41" fontId="153" fillId="13" borderId="4" xfId="2868" applyFont="1" applyFill="1" applyBorder="1" applyAlignment="1">
      <alignment vertical="center"/>
    </xf>
    <xf numFmtId="41" fontId="153" fillId="13" borderId="6" xfId="2868" applyFont="1" applyFill="1" applyBorder="1" applyAlignment="1">
      <alignment vertical="center"/>
    </xf>
    <xf numFmtId="0" fontId="153" fillId="13" borderId="0" xfId="0" applyFont="1" applyFill="1" applyAlignment="1">
      <alignment vertical="center"/>
    </xf>
    <xf numFmtId="0" fontId="155" fillId="0" borderId="4" xfId="0" applyFont="1" applyBorder="1" applyAlignment="1">
      <alignment horizontal="center" vertical="center" shrinkToFit="1"/>
    </xf>
    <xf numFmtId="0" fontId="156" fillId="0" borderId="0" xfId="2867" applyFont="1"/>
    <xf numFmtId="0" fontId="154" fillId="13" borderId="4" xfId="0" applyFont="1" applyFill="1" applyBorder="1" applyAlignment="1">
      <alignment horizontal="center" vertical="center" shrinkToFit="1"/>
    </xf>
    <xf numFmtId="0" fontId="157" fillId="13" borderId="0" xfId="2587" applyNumberFormat="1" applyFont="1" applyFill="1" applyBorder="1" applyAlignment="1">
      <alignment vertical="center"/>
    </xf>
    <xf numFmtId="0" fontId="153" fillId="0" borderId="4" xfId="0" applyFont="1" applyBorder="1" applyAlignment="1">
      <alignment horizontal="center" vertical="center"/>
    </xf>
    <xf numFmtId="2" fontId="153" fillId="0" borderId="9" xfId="0" applyNumberFormat="1" applyFont="1" applyBorder="1" applyAlignment="1">
      <alignment vertical="center"/>
    </xf>
    <xf numFmtId="41" fontId="153" fillId="0" borderId="6" xfId="2868" applyFont="1" applyFill="1" applyBorder="1" applyAlignment="1">
      <alignment vertical="center"/>
    </xf>
    <xf numFmtId="0" fontId="153" fillId="0" borderId="0" xfId="0" applyFont="1" applyAlignment="1">
      <alignment vertical="center"/>
    </xf>
    <xf numFmtId="0" fontId="145" fillId="13" borderId="20" xfId="2868" applyNumberFormat="1" applyFont="1" applyFill="1" applyBorder="1" applyAlignment="1">
      <alignment horizontal="left" vertical="center"/>
    </xf>
    <xf numFmtId="0" fontId="145" fillId="13" borderId="4" xfId="0" applyFont="1" applyFill="1" applyBorder="1" applyAlignment="1">
      <alignment horizontal="center" vertical="center"/>
    </xf>
    <xf numFmtId="0" fontId="158" fillId="13" borderId="4" xfId="0" applyFont="1" applyFill="1" applyBorder="1" applyAlignment="1">
      <alignment horizontal="center" vertical="center"/>
    </xf>
    <xf numFmtId="0" fontId="153" fillId="0" borderId="20" xfId="2868" applyNumberFormat="1" applyFont="1" applyFill="1" applyBorder="1" applyAlignment="1">
      <alignment horizontal="left" vertical="center"/>
    </xf>
    <xf numFmtId="0" fontId="153" fillId="0" borderId="20" xfId="2868" applyNumberFormat="1" applyFont="1" applyFill="1" applyBorder="1" applyAlignment="1">
      <alignment horizontal="center" vertical="center"/>
    </xf>
    <xf numFmtId="43" fontId="153" fillId="0" borderId="9" xfId="0" applyNumberFormat="1" applyFont="1" applyBorder="1" applyAlignment="1">
      <alignment vertical="center"/>
    </xf>
    <xf numFmtId="0" fontId="136" fillId="0" borderId="20" xfId="2587" applyNumberFormat="1" applyFont="1" applyFill="1" applyBorder="1" applyAlignment="1">
      <alignment horizontal="center" vertical="center"/>
    </xf>
    <xf numFmtId="0" fontId="153" fillId="15" borderId="20" xfId="2868" applyNumberFormat="1" applyFont="1" applyFill="1" applyBorder="1" applyAlignment="1">
      <alignment horizontal="center" vertical="center"/>
    </xf>
    <xf numFmtId="0" fontId="153" fillId="15" borderId="20" xfId="2587" applyNumberFormat="1" applyFont="1" applyFill="1" applyBorder="1" applyAlignment="1">
      <alignment vertical="center"/>
    </xf>
    <xf numFmtId="0" fontId="153" fillId="15" borderId="4" xfId="0" applyFont="1" applyFill="1" applyBorder="1" applyAlignment="1">
      <alignment horizontal="center" vertical="center"/>
    </xf>
    <xf numFmtId="43" fontId="153" fillId="15" borderId="9" xfId="0" applyNumberFormat="1" applyFont="1" applyFill="1" applyBorder="1" applyAlignment="1">
      <alignment vertical="center"/>
    </xf>
    <xf numFmtId="41" fontId="153" fillId="15" borderId="4" xfId="2868" applyFont="1" applyFill="1" applyBorder="1" applyAlignment="1">
      <alignment vertical="center"/>
    </xf>
    <xf numFmtId="41" fontId="153" fillId="15" borderId="6" xfId="2868" applyFont="1" applyFill="1" applyBorder="1" applyAlignment="1">
      <alignment vertical="center"/>
    </xf>
    <xf numFmtId="0" fontId="153" fillId="15" borderId="4" xfId="0" applyFont="1" applyFill="1" applyBorder="1" applyAlignment="1">
      <alignment horizontal="center" vertical="center" shrinkToFit="1"/>
    </xf>
    <xf numFmtId="0" fontId="153" fillId="15" borderId="0" xfId="0" applyFont="1" applyFill="1" applyAlignment="1">
      <alignment vertical="center"/>
    </xf>
    <xf numFmtId="0" fontId="145" fillId="15" borderId="20" xfId="2868" applyNumberFormat="1" applyFont="1" applyFill="1" applyBorder="1" applyAlignment="1">
      <alignment horizontal="left" vertical="center"/>
    </xf>
    <xf numFmtId="0" fontId="145" fillId="15" borderId="4" xfId="0" applyFont="1" applyFill="1" applyBorder="1" applyAlignment="1">
      <alignment horizontal="center" vertical="center"/>
    </xf>
    <xf numFmtId="0" fontId="154" fillId="0" borderId="20" xfId="2868" applyNumberFormat="1" applyFont="1" applyFill="1" applyBorder="1" applyAlignment="1">
      <alignment horizontal="center" vertical="center"/>
    </xf>
    <xf numFmtId="0" fontId="154" fillId="13" borderId="20" xfId="2868" applyNumberFormat="1" applyFont="1" applyFill="1" applyBorder="1" applyAlignment="1">
      <alignment horizontal="left" vertical="center"/>
    </xf>
    <xf numFmtId="0" fontId="154" fillId="0" borderId="4" xfId="0" applyFont="1" applyBorder="1" applyAlignment="1">
      <alignment horizontal="center" vertical="center"/>
    </xf>
    <xf numFmtId="43" fontId="154" fillId="0" borderId="9" xfId="0" applyNumberFormat="1" applyFont="1" applyBorder="1" applyAlignment="1">
      <alignment vertical="center"/>
    </xf>
    <xf numFmtId="41" fontId="154" fillId="13" borderId="4" xfId="2868" applyFont="1" applyFill="1" applyBorder="1" applyAlignment="1">
      <alignment vertical="center"/>
    </xf>
    <xf numFmtId="41" fontId="154" fillId="0" borderId="4" xfId="2868" applyFont="1" applyFill="1" applyBorder="1" applyAlignment="1">
      <alignment vertical="center"/>
    </xf>
    <xf numFmtId="41" fontId="154" fillId="0" borderId="6" xfId="2868" applyFont="1" applyFill="1" applyBorder="1" applyAlignment="1">
      <alignment vertical="center"/>
    </xf>
    <xf numFmtId="0" fontId="154" fillId="0" borderId="0" xfId="0" applyFont="1" applyAlignment="1">
      <alignment vertical="center"/>
    </xf>
    <xf numFmtId="0" fontId="154" fillId="13" borderId="20" xfId="2868" applyNumberFormat="1" applyFont="1" applyFill="1" applyBorder="1" applyAlignment="1">
      <alignment horizontal="center" vertical="center"/>
    </xf>
    <xf numFmtId="0" fontId="154" fillId="13" borderId="20" xfId="2587" applyNumberFormat="1" applyFont="1" applyFill="1" applyBorder="1" applyAlignment="1">
      <alignment vertical="center"/>
    </xf>
    <xf numFmtId="0" fontId="154" fillId="13" borderId="4" xfId="0" applyFont="1" applyFill="1" applyBorder="1" applyAlignment="1">
      <alignment horizontal="center" vertical="center"/>
    </xf>
    <xf numFmtId="43" fontId="154" fillId="13" borderId="9" xfId="0" applyNumberFormat="1" applyFont="1" applyFill="1" applyBorder="1" applyAlignment="1">
      <alignment vertical="center"/>
    </xf>
    <xf numFmtId="41" fontId="154" fillId="13" borderId="6" xfId="2868" applyFont="1" applyFill="1" applyBorder="1" applyAlignment="1">
      <alignment vertical="center"/>
    </xf>
    <xf numFmtId="0" fontId="154" fillId="13" borderId="0" xfId="0" applyFont="1" applyFill="1" applyAlignment="1">
      <alignment vertical="center"/>
    </xf>
    <xf numFmtId="0" fontId="154" fillId="0" borderId="20" xfId="2868" applyNumberFormat="1" applyFont="1" applyFill="1" applyBorder="1" applyAlignment="1">
      <alignment horizontal="left" vertical="center"/>
    </xf>
    <xf numFmtId="0" fontId="153" fillId="15" borderId="20" xfId="2587" applyNumberFormat="1" applyFont="1" applyFill="1" applyBorder="1" applyAlignment="1">
      <alignment horizontal="left" vertical="center"/>
    </xf>
    <xf numFmtId="0" fontId="135" fillId="0" borderId="4" xfId="0" applyFont="1" applyFill="1" applyBorder="1" applyAlignment="1">
      <alignment horizontal="center" vertical="center"/>
    </xf>
    <xf numFmtId="2" fontId="135" fillId="0" borderId="9" xfId="0" applyNumberFormat="1" applyFont="1" applyFill="1" applyBorder="1" applyAlignment="1">
      <alignment vertical="center"/>
    </xf>
    <xf numFmtId="0" fontId="136" fillId="0" borderId="4" xfId="0" applyFont="1" applyFill="1" applyBorder="1" applyAlignment="1">
      <alignment horizontal="center" vertical="center" shrinkToFit="1"/>
    </xf>
    <xf numFmtId="0" fontId="135" fillId="0" borderId="0" xfId="0" applyFont="1" applyFill="1" applyAlignment="1">
      <alignment vertical="center"/>
    </xf>
    <xf numFmtId="0" fontId="159" fillId="0" borderId="20" xfId="2587" applyNumberFormat="1" applyFont="1" applyFill="1" applyBorder="1" applyAlignment="1">
      <alignment horizontal="center" vertical="center"/>
    </xf>
    <xf numFmtId="0" fontId="159" fillId="0" borderId="20" xfId="2587" applyNumberFormat="1" applyFont="1" applyFill="1" applyBorder="1" applyAlignment="1">
      <alignment vertical="center"/>
    </xf>
    <xf numFmtId="0" fontId="159" fillId="0" borderId="4" xfId="0" applyFont="1" applyFill="1" applyBorder="1" applyAlignment="1">
      <alignment horizontal="center" vertical="center"/>
    </xf>
    <xf numFmtId="2" fontId="159" fillId="0" borderId="9" xfId="0" applyNumberFormat="1" applyFont="1" applyFill="1" applyBorder="1" applyAlignment="1">
      <alignment vertical="center"/>
    </xf>
    <xf numFmtId="41" fontId="159" fillId="0" borderId="4" xfId="2868" applyFont="1" applyFill="1" applyBorder="1" applyAlignment="1">
      <alignment vertical="center"/>
    </xf>
    <xf numFmtId="41" fontId="159" fillId="0" borderId="6" xfId="2868" applyFont="1" applyFill="1" applyBorder="1" applyAlignment="1">
      <alignment vertical="center"/>
    </xf>
    <xf numFmtId="0" fontId="153" fillId="0" borderId="4" xfId="0" applyFont="1" applyFill="1" applyBorder="1" applyAlignment="1">
      <alignment horizontal="center" vertical="center" shrinkToFit="1"/>
    </xf>
    <xf numFmtId="0" fontId="159" fillId="0" borderId="0" xfId="0" applyFont="1" applyFill="1" applyAlignment="1">
      <alignment vertical="center"/>
    </xf>
    <xf numFmtId="0" fontId="137" fillId="0" borderId="20" xfId="2868" applyNumberFormat="1" applyFont="1" applyFill="1" applyBorder="1" applyAlignment="1">
      <alignment horizontal="left" vertical="center"/>
    </xf>
    <xf numFmtId="0" fontId="114" fillId="0" borderId="4" xfId="0" applyFont="1" applyFill="1" applyBorder="1" applyAlignment="1">
      <alignment horizontal="center" vertical="center"/>
    </xf>
    <xf numFmtId="43" fontId="114" fillId="0" borderId="9" xfId="0" applyNumberFormat="1" applyFont="1" applyFill="1" applyBorder="1" applyAlignment="1">
      <alignment vertical="center"/>
    </xf>
    <xf numFmtId="0" fontId="154" fillId="0" borderId="4" xfId="0" applyFont="1" applyFill="1" applyBorder="1" applyAlignment="1">
      <alignment horizontal="center" vertical="center" shrinkToFit="1"/>
    </xf>
    <xf numFmtId="0" fontId="114" fillId="0" borderId="0" xfId="0" applyFont="1" applyFill="1" applyAlignment="1">
      <alignment vertical="center"/>
    </xf>
    <xf numFmtId="0" fontId="154" fillId="0" borderId="4" xfId="0" applyFont="1" applyFill="1" applyBorder="1" applyAlignment="1">
      <alignment horizontal="center" vertical="center"/>
    </xf>
    <xf numFmtId="43" fontId="154" fillId="0" borderId="9" xfId="0" applyNumberFormat="1" applyFont="1" applyFill="1" applyBorder="1" applyAlignment="1">
      <alignment vertical="center"/>
    </xf>
    <xf numFmtId="0" fontId="154" fillId="0" borderId="0" xfId="0" applyFont="1" applyFill="1" applyAlignment="1">
      <alignment vertical="center"/>
    </xf>
    <xf numFmtId="0" fontId="117" fillId="0" borderId="0" xfId="2869" applyFont="1" applyAlignment="1">
      <alignment horizontal="center"/>
    </xf>
    <xf numFmtId="0" fontId="118" fillId="0" borderId="0" xfId="2867" applyFont="1" applyAlignment="1">
      <alignment horizontal="center"/>
    </xf>
    <xf numFmtId="57" fontId="119" fillId="0" borderId="0" xfId="2869" applyNumberFormat="1" applyFont="1" applyAlignment="1">
      <alignment horizontal="right"/>
    </xf>
    <xf numFmtId="0" fontId="121" fillId="0" borderId="21" xfId="2869" applyFont="1" applyBorder="1"/>
    <xf numFmtId="0" fontId="121" fillId="0" borderId="0" xfId="2869" applyFont="1" applyAlignment="1">
      <alignment horizontal="left"/>
    </xf>
    <xf numFmtId="0" fontId="128" fillId="7" borderId="38" xfId="0" applyFont="1" applyFill="1" applyBorder="1" applyAlignment="1">
      <alignment horizontal="center" vertical="center"/>
    </xf>
    <xf numFmtId="0" fontId="128" fillId="7" borderId="27" xfId="0" applyFont="1" applyFill="1" applyBorder="1" applyAlignment="1">
      <alignment horizontal="center" vertical="center"/>
    </xf>
    <xf numFmtId="0" fontId="125" fillId="0" borderId="0" xfId="2587" applyNumberFormat="1" applyFont="1" applyFill="1" applyBorder="1" applyAlignment="1">
      <alignment vertical="center"/>
    </xf>
    <xf numFmtId="0" fontId="128" fillId="7" borderId="38" xfId="2587" applyNumberFormat="1" applyFont="1" applyFill="1" applyBorder="1" applyAlignment="1">
      <alignment horizontal="center" vertical="center"/>
    </xf>
    <xf numFmtId="0" fontId="128" fillId="7" borderId="27" xfId="2587" applyNumberFormat="1" applyFont="1" applyFill="1" applyBorder="1" applyAlignment="1">
      <alignment horizontal="center" vertical="center"/>
    </xf>
    <xf numFmtId="43" fontId="128" fillId="7" borderId="38" xfId="0" applyNumberFormat="1" applyFont="1" applyFill="1" applyBorder="1" applyAlignment="1">
      <alignment horizontal="center" vertical="center"/>
    </xf>
    <xf numFmtId="43" fontId="128" fillId="7" borderId="27" xfId="0" applyNumberFormat="1" applyFont="1" applyFill="1" applyBorder="1" applyAlignment="1">
      <alignment horizontal="center" vertical="center"/>
    </xf>
    <xf numFmtId="179" fontId="128" fillId="7" borderId="38" xfId="2587" applyFont="1" applyFill="1" applyBorder="1" applyAlignment="1">
      <alignment horizontal="center" vertical="center"/>
    </xf>
    <xf numFmtId="0" fontId="116" fillId="0" borderId="31" xfId="2587" applyNumberFormat="1" applyFont="1" applyFill="1" applyBorder="1" applyAlignment="1">
      <alignment vertical="center"/>
    </xf>
    <xf numFmtId="0" fontId="116" fillId="0" borderId="46" xfId="2587" applyNumberFormat="1" applyFont="1" applyFill="1" applyBorder="1" applyAlignment="1">
      <alignment vertical="center"/>
    </xf>
    <xf numFmtId="0" fontId="116" fillId="0" borderId="26" xfId="2587" applyNumberFormat="1" applyFont="1" applyFill="1" applyBorder="1" applyAlignment="1">
      <alignment vertical="center"/>
    </xf>
    <xf numFmtId="0" fontId="134" fillId="16" borderId="37" xfId="0" applyFont="1" applyFill="1" applyBorder="1" applyAlignment="1">
      <alignment horizontal="center" vertical="center"/>
    </xf>
    <xf numFmtId="0" fontId="134" fillId="16" borderId="38" xfId="0" applyFont="1" applyFill="1" applyBorder="1" applyAlignment="1">
      <alignment horizontal="center" vertical="center"/>
    </xf>
    <xf numFmtId="0" fontId="110" fillId="0" borderId="28" xfId="2587" applyNumberFormat="1" applyFont="1" applyFill="1" applyBorder="1" applyAlignment="1">
      <alignment vertical="center"/>
    </xf>
    <xf numFmtId="0" fontId="112" fillId="7" borderId="27" xfId="0" applyFont="1" applyFill="1" applyBorder="1" applyAlignment="1">
      <alignment horizontal="center" vertical="center"/>
    </xf>
    <xf numFmtId="0" fontId="112" fillId="16" borderId="27" xfId="2587" applyNumberFormat="1" applyFont="1" applyFill="1" applyBorder="1" applyAlignment="1">
      <alignment horizontal="center" vertical="center"/>
    </xf>
    <xf numFmtId="0" fontId="112" fillId="16" borderId="27" xfId="0" applyFont="1" applyFill="1" applyBorder="1" applyAlignment="1">
      <alignment horizontal="center" vertical="center"/>
    </xf>
    <xf numFmtId="43" fontId="112" fillId="16" borderId="27" xfId="0" applyNumberFormat="1" applyFont="1" applyFill="1" applyBorder="1" applyAlignment="1">
      <alignment horizontal="center" vertical="center"/>
    </xf>
    <xf numFmtId="179" fontId="112" fillId="16" borderId="27" xfId="2587" applyFont="1" applyFill="1" applyBorder="1" applyAlignment="1">
      <alignment horizontal="center" vertical="center"/>
    </xf>
    <xf numFmtId="0" fontId="153" fillId="0" borderId="29" xfId="0" applyFont="1" applyBorder="1" applyAlignment="1">
      <alignment horizontal="center" vertical="center" shrinkToFit="1"/>
    </xf>
    <xf numFmtId="0" fontId="153" fillId="0" borderId="30" xfId="0" applyFont="1" applyBorder="1" applyAlignment="1">
      <alignment horizontal="center" vertical="center" shrinkToFit="1"/>
    </xf>
    <xf numFmtId="0" fontId="153" fillId="0" borderId="4" xfId="0" applyFont="1" applyBorder="1" applyAlignment="1">
      <alignment horizontal="center" vertical="center" shrinkToFit="1"/>
    </xf>
  </cellXfs>
  <cellStyles count="2871">
    <cellStyle name=" " xfId="1"/>
    <cellStyle name=" _97연말" xfId="2"/>
    <cellStyle name=" _97연말_방수-대맥" xfId="3"/>
    <cellStyle name=" _97연말1" xfId="4"/>
    <cellStyle name=" _97연말1_방수-대맥" xfId="5"/>
    <cellStyle name=" _Book1" xfId="6"/>
    <cellStyle name=" _Book1_방수-대맥" xfId="7"/>
    <cellStyle name=" _방수-대맥" xfId="8"/>
    <cellStyle name="&quot;" xfId="9"/>
    <cellStyle name="#,##0" xfId="10"/>
    <cellStyle name="$" xfId="11"/>
    <cellStyle name="$_db진흥" xfId="12"/>
    <cellStyle name="$_견적2" xfId="13"/>
    <cellStyle name="$_기아" xfId="14"/>
    <cellStyle name="(##.00)" xfId="15"/>
    <cellStyle name="(△콤마)" xfId="16"/>
    <cellStyle name="(백분율)" xfId="17"/>
    <cellStyle name="(콤마)" xfId="18"/>
    <cellStyle name="??_x000c_둄_x001b__x000d_|?_x0001_?_x0003__x0014__x0007__x0001__x0001_" xfId="19"/>
    <cellStyle name="??&amp;5_x0007_?._x0007_9_x0008_??_x0007__x0001__x0001_" xfId="20"/>
    <cellStyle name="??&amp;6_x0007_?/_x0007_9_x0008_??_x0007__x0001__x0001_" xfId="21"/>
    <cellStyle name="??&amp;O?&amp;H?_x0008__x000f__x0007_?_x0007__x0001__x0001_" xfId="22"/>
    <cellStyle name="??&amp;O?&amp;H?_x0008_??_x0007__x0001__x0001_" xfId="23"/>
    <cellStyle name="??&amp;멅?둃9_x0008_??_x0007__x0001__x0001_" xfId="24"/>
    <cellStyle name="??&amp;쏗?뷐9_x0008__x0011__x0007_?_x0007__x0001__x0001_" xfId="25"/>
    <cellStyle name="???­ [0]_±??¸" xfId="26"/>
    <cellStyle name="???­_±??¸" xfId="27"/>
    <cellStyle name="???Ø_¿?°?¿?¾?º¸°?" xfId="28"/>
    <cellStyle name="??_pldt" xfId="29"/>
    <cellStyle name="?ðC%U?&amp;H?_x0008_?s_x000a__x0007__x0001__x0001_" xfId="30"/>
    <cellStyle name="?Þ¸¶ [0]_±??¸" xfId="31"/>
    <cellStyle name="?Þ¸¶_±??¸" xfId="32"/>
    <cellStyle name="?W?_laroux" xfId="33"/>
    <cellStyle name="?曹%U?&amp;H?_x0008_?s_x000a__x0007__x0001__x0001_" xfId="34"/>
    <cellStyle name="?珠??? " xfId="35"/>
    <cellStyle name="_(02.03.05) 묵동 현장관리비 실행" xfId="36"/>
    <cellStyle name="_(02.03.08) 묵동 현장관리비 실행" xfId="37"/>
    <cellStyle name="_(02.09.17)인천 삼산1지구 2블럭 주공아파트" xfId="38"/>
    <cellStyle name="_(02.09.23  64,000평)인천 삼산1지구 2블럭 " xfId="39"/>
    <cellStyle name="_(07.31 최종확정)묵동 실행예산" xfId="40"/>
    <cellStyle name="_(09.05)인천원당 공통가설공사" xfId="41"/>
    <cellStyle name="_00" xfId="42"/>
    <cellStyle name="_00012002년 업체평가 결과 현장전파공문(030310)" xfId="43"/>
    <cellStyle name="_001-인원및일반관리비" xfId="44"/>
    <cellStyle name="_01.본실행" xfId="45"/>
    <cellStyle name="_0106-06-007 금속 및 수장공사 단가견적- 대림" xfId="46"/>
    <cellStyle name="_01-1.본실행.간접비" xfId="47"/>
    <cellStyle name="_01-건축공사" xfId="48"/>
    <cellStyle name="_02.본실행(건축)" xfId="49"/>
    <cellStyle name="_02.본실행(건축1)" xfId="50"/>
    <cellStyle name="_0210 암센타 내역 A ZONE" xfId="51"/>
    <cellStyle name="_02-도급공사비내역" xfId="52"/>
    <cellStyle name="_03 실행내역(대전MBC)-건축토목" xfId="53"/>
    <cellStyle name="_03_정보통신R.C공사(051031)" xfId="54"/>
    <cellStyle name="_04 건축-인테리어(주거)공내역" xfId="55"/>
    <cellStyle name="_0426 제주 봉개 견적서(제출)" xfId="56"/>
    <cellStyle name="_05 건축-인테리어(상업)공내역" xfId="57"/>
    <cellStyle name="_05_방수공사" xfId="58"/>
    <cellStyle name="_05_방수공사(6.21)" xfId="59"/>
    <cellStyle name="_050728 IBM Lounge Renovation Work" xfId="60"/>
    <cellStyle name="_050805 스파피스-입찰내역서" xfId="61"/>
    <cellStyle name="_050829 Schedule of Rate for Intel R&amp;D Center" xfId="62"/>
    <cellStyle name="_0510 CGV 수원인계8" xfId="63"/>
    <cellStyle name="_0512제출(1공구)" xfId="64"/>
    <cellStyle name="_0513 견적서양식및3개평형별내역" xfId="65"/>
    <cellStyle name="_0514회의확정자료" xfId="66"/>
    <cellStyle name="_0524 특기시방" xfId="67"/>
    <cellStyle name="_060621 뉴 금오산 호텔 본관" xfId="68"/>
    <cellStyle name="_061114 GS MART A,B,C복층 내역(제출)" xfId="69"/>
    <cellStyle name="_07_미장공사" xfId="70"/>
    <cellStyle name="_07_진장점-미장공사 발주-진장점-RDR-051031" xfId="71"/>
    <cellStyle name="_070111 한우리리조트(취합)-공종분류" xfId="72"/>
    <cellStyle name="_070119 서초동쇼룸(최종)" xfId="73"/>
    <cellStyle name="_08-가실행내역" xfId="74"/>
    <cellStyle name="_09_흡음단열공사" xfId="75"/>
    <cellStyle name="_0901작업1-금액분리" xfId="76"/>
    <cellStyle name="_1 총괄-건축집행(평창콘도)" xfId="77"/>
    <cellStyle name="_1. 삼성동 실행 030225(조적추가)" xfId="78"/>
    <cellStyle name="_1. 삼성동 실행(030329)" xfId="79"/>
    <cellStyle name="_1. 송도신도시현장관리비전순일검토" xfId="80"/>
    <cellStyle name="_12_스텐스틸창호" xfId="81"/>
    <cellStyle name="_16_진장점수장공사(051209)" xfId="82"/>
    <cellStyle name="_2001전북도청 실행예산" xfId="83"/>
    <cellStyle name="_2002년 업체평가 결과 현장전파공문(030310)" xfId="84"/>
    <cellStyle name="_2003년전망(현장발송본) " xfId="85"/>
    <cellStyle name="_3. 인천간석동현장관리비전순일 분석" xfId="86"/>
    <cellStyle name="_4. 파주 변경 현장안20030128" xfId="87"/>
    <cellStyle name="_A" xfId="88"/>
    <cellStyle name="_A0509-가실행(파주)" xfId="89"/>
    <cellStyle name="_A-0902건축공사확정(대안포함)" xfId="90"/>
    <cellStyle name="_A-0902조경공사확정(대안포함)" xfId="91"/>
    <cellStyle name="_AA" xfId="92"/>
    <cellStyle name="_A발주자참고내역003-전기공사" xfId="93"/>
    <cellStyle name="_BAT현장(본실행1)" xfId="94"/>
    <cellStyle name="_Book1" xfId="95"/>
    <cellStyle name="_Book2" xfId="96"/>
    <cellStyle name="_BOQ(Hang Lung)" xfId="97"/>
    <cellStyle name="_BOQ(Hang Lung-rev1)" xfId="98"/>
    <cellStyle name="_FCST (2)" xfId="99"/>
    <cellStyle name="_KIL11107비교xls" xfId="100"/>
    <cellStyle name="_KT견적요청" xfId="101"/>
    <cellStyle name="_LG2,3,4,6층(0313)" xfId="102"/>
    <cellStyle name="_N-A023정보통신수장(바닥-060425)-최종" xfId="103"/>
    <cellStyle name="_N-A023정보통신수장(바닥-060425)-최종_1차 기성 내역서 0612023" xfId="104"/>
    <cellStyle name="_N-A023정보통신수장(바닥-060425)-최종_3차네고견적(061017-1)" xfId="105"/>
    <cellStyle name="_N-A023정보통신수장(바닥-060425)-최종_문화센타" xfId="106"/>
    <cellStyle name="_NA-A012정보통신알미늄커튼월공사(060119)" xfId="107"/>
    <cellStyle name="_NC12E1F75" xfId="108"/>
    <cellStyle name="_NC22E43F4" xfId="109"/>
    <cellStyle name="_NC2308EFD" xfId="110"/>
    <cellStyle name="_NC85018F" xfId="111"/>
    <cellStyle name="_NCA07108" xfId="112"/>
    <cellStyle name="_NCF3A0B2" xfId="113"/>
    <cellStyle name="_port" xfId="114"/>
    <cellStyle name="_RESULTS" xfId="115"/>
    <cellStyle name="_SK건설추정견적" xfId="116"/>
    <cellStyle name="_SK-역삼동 Leaders View EST 050711" xfId="117"/>
    <cellStyle name="_summary for MTRC P3" xfId="118"/>
    <cellStyle name="_Unit rate &amp; Quantity" xfId="119"/>
    <cellStyle name="_X" xfId="120"/>
    <cellStyle name="_가로양식(2005)" xfId="121"/>
    <cellStyle name="_가실행" xfId="122"/>
    <cellStyle name="_가실행 최종본사분" xfId="123"/>
    <cellStyle name="_가실행(3th)" xfId="124"/>
    <cellStyle name="_가실행(대전아울렛)" xfId="125"/>
    <cellStyle name="_가실행(대혜건축)" xfId="126"/>
    <cellStyle name="_가실행(분리발주)" xfId="127"/>
    <cellStyle name="_가실행(조선대)-최종" xfId="128"/>
    <cellStyle name="_가실행내역(김해공항)" xfId="129"/>
    <cellStyle name="_가실행-화물터미널B(수정)" xfId="130"/>
    <cellStyle name="_가실행-화물터미널B(재수정)" xfId="131"/>
    <cellStyle name="_간석동실행" xfId="132"/>
    <cellStyle name="_간석동실행(확정)" xfId="133"/>
    <cellStyle name="_간석동현장관리비(alt3-2)1021" xfId="134"/>
    <cellStyle name="_간접비(01.09.28-변경내용포함)" xfId="135"/>
    <cellStyle name="_강제창호 및 잡철공사" xfId="136"/>
    <cellStyle name="_개산견적" xfId="137"/>
    <cellStyle name="_건축_공내역" xfId="138"/>
    <cellStyle name="_건축내역" xfId="139"/>
    <cellStyle name="_건축내역2" xfId="140"/>
    <cellStyle name="_건축내역서(단가입력)" xfId="141"/>
    <cellStyle name="_건축사업팀검토008-철골공사Ⅲ" xfId="142"/>
    <cellStyle name="_검단 실행 작성(0515)" xfId="143"/>
    <cellStyle name="_검단 최종(변경0623 최종)" xfId="144"/>
    <cellStyle name="_검암2차사전공사(본사검토) " xfId="145"/>
    <cellStyle name="_검암2차사전공사(본사검토) _1차 기성 내역서 0612023" xfId="146"/>
    <cellStyle name="_검암2차사전공사(본사검토) _3차네고견적(061017-1)" xfId="147"/>
    <cellStyle name="_검암2차사전공사(본사검토) _문화센타" xfId="148"/>
    <cellStyle name="_검암2차사전공사(본사검토) _총괄내역표" xfId="149"/>
    <cellStyle name="_견적 질의서" xfId="150"/>
    <cellStyle name="_견적기준(운송대리점)" xfId="151"/>
    <cellStyle name="_견적서(서초포스코)" xfId="152"/>
    <cellStyle name="_견적서표지" xfId="153"/>
    <cellStyle name="_견적양식-가로" xfId="154"/>
    <cellStyle name="_견적의뢰양식" xfId="155"/>
    <cellStyle name="_견적조건" xfId="156"/>
    <cellStyle name="_결정01-총괄가실행(0820)" xfId="157"/>
    <cellStyle name="_경쟁사" xfId="158"/>
    <cellStyle name="_공내역서(송파트리플)" xfId="159"/>
    <cellStyle name="_공내역서_토목" xfId="160"/>
    <cellStyle name="_공사개요(건축사업팀03.09.02)" xfId="161"/>
    <cellStyle name="_공정표" xfId="162"/>
    <cellStyle name="_공종분개작업" xfId="163"/>
    <cellStyle name="_관리비" xfId="164"/>
    <cellStyle name="_광주+속초내역(듀엘견적)" xfId="165"/>
    <cellStyle name="_교원그룹 낙산 숙박시설 신축공사" xfId="166"/>
    <cellStyle name="_구월동오피스텔(이토협의)의 백업" xfId="167"/>
    <cellStyle name="_그랜드호텔(본실행)" xfId="168"/>
    <cellStyle name="_내역003-추정내역" xfId="169"/>
    <cellStyle name="_내역서_토목" xfId="170"/>
    <cellStyle name="_단가표" xfId="171"/>
    <cellStyle name="_단위세대물량산출서" xfId="172"/>
    <cellStyle name="_당팀-가실행작업" xfId="173"/>
    <cellStyle name="_대림-온양온천역사 EST 050427-제출" xfId="174"/>
    <cellStyle name="_대림-전주가톨릭센터 EST 050516-제출" xfId="175"/>
    <cellStyle name="_대림-전주카톨릭센터 EST 051005" xfId="176"/>
    <cellStyle name="_대림-한국토지공사 광주사옥 EST 050502-제출" xfId="177"/>
    <cellStyle name="_대비표양식" xfId="178"/>
    <cellStyle name="_도곡동실행1차" xfId="179"/>
    <cellStyle name="_도곡동토공사사발주계획" xfId="180"/>
    <cellStyle name="_도급공사변경Ⅰ(0626)" xfId="181"/>
    <cellStyle name="_도봉동 빌라실행보고서" xfId="182"/>
    <cellStyle name="_라이나 대구 (8차)" xfId="183"/>
    <cellStyle name="_마가레트 호텔" xfId="184"/>
    <cellStyle name="_매입세근거" xfId="185"/>
    <cellStyle name="_매입세근거_습식공사현설" xfId="186"/>
    <cellStyle name="_문래동 방적 방림" xfId="187"/>
    <cellStyle name="_문래동가실행" xfId="188"/>
    <cellStyle name="_문래동쇼핑몰" xfId="189"/>
    <cellStyle name="_변경내역5" xfId="190"/>
    <cellStyle name="_변경내역7(보고)" xfId="191"/>
    <cellStyle name="_변경내역서(건축외)" xfId="192"/>
    <cellStyle name="_보고02-건축공사감액보고서(0714)" xfId="193"/>
    <cellStyle name="_보고서 cover" xfId="194"/>
    <cellStyle name="_부에나비스타 빌라 설계견적" xfId="195"/>
    <cellStyle name="_분당파크뷰시공계획서(송산)" xfId="196"/>
    <cellStyle name="_분석001-구조체투입관련" xfId="197"/>
    <cellStyle name="_빌라평당비교표" xfId="198"/>
    <cellStyle name="_사본 - 인테리어실행내역" xfId="199"/>
    <cellStyle name="_사본 - 조경실행내역" xfId="200"/>
    <cellStyle name="_사전공사(토목본사검토) " xfId="201"/>
    <cellStyle name="_사전공사(토목본사검토) _1차 기성 내역서 0612023" xfId="202"/>
    <cellStyle name="_사전공사(토목본사검토) _3차네고견적(061017-1)" xfId="203"/>
    <cellStyle name="_사전공사(토목본사검토) _문화센타" xfId="204"/>
    <cellStyle name="_사전공사(토목본사검토) _총괄내역표" xfId="205"/>
    <cellStyle name="_산출001-공동구공사" xfId="206"/>
    <cellStyle name="_삼성 실행 내역 수정" xfId="207"/>
    <cellStyle name="_서울 중앙우체국 인테리어공사(03.10.08)" xfId="208"/>
    <cellStyle name="_서울 중앙우체국 인테리어공사(04.03.29)철희실행(0417)" xfId="209"/>
    <cellStyle name="_성원오피스텔휘트니스센터" xfId="210"/>
    <cellStyle name="_세로양식(2005)" xfId="211"/>
    <cellStyle name="_센터블 스파신축공사(토목공사-정주공영)" xfId="212"/>
    <cellStyle name="_수정-공항운송도급내역(0917)" xfId="213"/>
    <cellStyle name="_수정이여2003.05.19xls" xfId="214"/>
    <cellStyle name="_스틸커튼월 사전공사 승인요청(평창콘도)" xfId="215"/>
    <cellStyle name="_신규(철골공사)집행예산 승인요청" xfId="216"/>
    <cellStyle name="_신촌(2차)트리플지점(원본)" xfId="217"/>
    <cellStyle name="_실행" xfId="218"/>
    <cellStyle name="_실행(갑지)" xfId="219"/>
    <cellStyle name="_실행01-총괄가실행(0828)" xfId="220"/>
    <cellStyle name="_실행갑지" xfId="221"/>
    <cellStyle name="_실행갑지(변경)" xfId="222"/>
    <cellStyle name="_실행내역" xfId="223"/>
    <cellStyle name="_실행내역(아+부)" xfId="224"/>
    <cellStyle name="_實行內譯書(평내)" xfId="225"/>
    <cellStyle name="_실행예산(사장님)" xfId="226"/>
    <cellStyle name="_실행예산(최종사장님승인)" xfId="227"/>
    <cellStyle name="_실행최종(12.18)" xfId="228"/>
    <cellStyle name="_아미고터워 리모델링공사(계약,실행내역)9월.3일 " xfId="229"/>
    <cellStyle name="_아크로리버기준-개산견적기준(건축)" xfId="230"/>
    <cellStyle name="_안동최종정산" xfId="231"/>
    <cellStyle name="_양재동 도매센타(수정1006)" xfId="232"/>
    <cellStyle name="_여의도(실행)" xfId="233"/>
    <cellStyle name="_오공본드" xfId="234"/>
    <cellStyle name="_용인동백C2-3" xfId="235"/>
    <cellStyle name="_우면동주택계약내역서초안(1110)" xfId="236"/>
    <cellStyle name="_원당 1차 실행001(030329)" xfId="237"/>
    <cellStyle name="_원당실행내역" xfId="238"/>
    <cellStyle name="_이건창호-풍림 평창콘도 제안서(071228)" xfId="239"/>
    <cellStyle name="_이행각서" xfId="240"/>
    <cellStyle name="_인원계획표 " xfId="241"/>
    <cellStyle name="_인원계획표 _04028적산수량집계" xfId="242"/>
    <cellStyle name="_인원계획표 _04-가실행(작업중)" xfId="243"/>
    <cellStyle name="_인원계획표 _04-가실행(작업중1)" xfId="244"/>
    <cellStyle name="_인원계획표 _1차 기성 내역서 0612023" xfId="245"/>
    <cellStyle name="_인원계획표 _3차네고견적(061017-1)" xfId="246"/>
    <cellStyle name="_인원계획표 _KT견적요청" xfId="247"/>
    <cellStyle name="_인원계획표 _가실행" xfId="248"/>
    <cellStyle name="_인원계획표 _건축내역서(가경)" xfId="249"/>
    <cellStyle name="_인원계획표 _검암2차사전공사(본사검토) " xfId="250"/>
    <cellStyle name="_인원계획표 _검암2차사전공사(본사검토) _1차 기성 내역서 0612023" xfId="251"/>
    <cellStyle name="_인원계획표 _검암2차사전공사(본사검토) _3차네고견적(061017-1)" xfId="252"/>
    <cellStyle name="_인원계획표 _검암2차사전공사(본사검토) _문화센타" xfId="253"/>
    <cellStyle name="_인원계획표 _검암2차사전공사(본사검토) _총괄내역표" xfId="254"/>
    <cellStyle name="_인원계획표 _문화센타" xfId="255"/>
    <cellStyle name="_인원계획표 _부천소사점내역서" xfId="256"/>
    <cellStyle name="_인원계획표 _비교표(시화,청주)" xfId="257"/>
    <cellStyle name="_인원계획표 _비교표(청주가경점)" xfId="258"/>
    <cellStyle name="_인원계획표 _사전공사(토목본사검토) " xfId="259"/>
    <cellStyle name="_인원계획표 _사전공사(토목본사검토) _1차 기성 내역서 0612023" xfId="260"/>
    <cellStyle name="_인원계획표 _사전공사(토목본사검토) _3차네고견적(061017-1)" xfId="261"/>
    <cellStyle name="_인원계획표 _사전공사(토목본사검토) _문화센타" xfId="262"/>
    <cellStyle name="_인원계획표 _사전공사(토목본사검토) _총괄내역표" xfId="263"/>
    <cellStyle name="_인원계획표 _수원-가실행" xfId="264"/>
    <cellStyle name="_인원계획표 _순천점내역서" xfId="265"/>
    <cellStyle name="_인원계획표 _이행각서" xfId="266"/>
    <cellStyle name="_인원계획표 _적격 " xfId="267"/>
    <cellStyle name="_인원계획표 _적격 _04028적산수량집계" xfId="268"/>
    <cellStyle name="_인원계획표 _적격 _04-가실행(작업중)" xfId="269"/>
    <cellStyle name="_인원계획표 _적격 _04-가실행(작업중1)" xfId="270"/>
    <cellStyle name="_인원계획표 _적격 _1차 기성 내역서 0612023" xfId="271"/>
    <cellStyle name="_인원계획표 _적격 _3차네고견적(061017-1)" xfId="272"/>
    <cellStyle name="_인원계획표 _적격 _KT견적요청" xfId="273"/>
    <cellStyle name="_인원계획표 _적격 _가실행" xfId="274"/>
    <cellStyle name="_인원계획표 _적격 _건축내역서(가경)" xfId="275"/>
    <cellStyle name="_인원계획표 _적격 _문화센타" xfId="276"/>
    <cellStyle name="_인원계획표 _적격 _부천소사점내역서" xfId="277"/>
    <cellStyle name="_인원계획표 _적격 _비교표(시화,청주)" xfId="278"/>
    <cellStyle name="_인원계획표 _적격 _비교표(청주가경점)" xfId="279"/>
    <cellStyle name="_인원계획표 _적격 _수원-가실행" xfId="280"/>
    <cellStyle name="_인원계획표 _적격 _순천점내역서" xfId="281"/>
    <cellStyle name="_인원계획표 _적격 _총괄내역표" xfId="282"/>
    <cellStyle name="_인원계획표 _총괄내역표" xfId="283"/>
    <cellStyle name="_인원계획표 _포기각서" xfId="284"/>
    <cellStyle name="_인원계획표 _현설양식" xfId="285"/>
    <cellStyle name="_인원계획표 _현장설명" xfId="286"/>
    <cellStyle name="_인테리어공사 발주계획서" xfId="287"/>
    <cellStyle name="_인테리어발주 건축공사" xfId="288"/>
    <cellStyle name="_일위(김천)" xfId="289"/>
    <cellStyle name="_일위(포천)" xfId="290"/>
    <cellStyle name="_입찰갑지" xfId="291"/>
    <cellStyle name="_입찰표지 " xfId="292"/>
    <cellStyle name="_입찰표지 _04028적산수량집계" xfId="293"/>
    <cellStyle name="_입찰표지 _04-가실행(작업중)" xfId="294"/>
    <cellStyle name="_입찰표지 _04-가실행(작업중1)" xfId="295"/>
    <cellStyle name="_입찰표지 _1차 기성 내역서 0612023" xfId="296"/>
    <cellStyle name="_입찰표지 _3차네고견적(061017-1)" xfId="297"/>
    <cellStyle name="_입찰표지 _KT견적요청" xfId="298"/>
    <cellStyle name="_입찰표지 _가실행" xfId="299"/>
    <cellStyle name="_입찰표지 _건축내역서(가경)" xfId="300"/>
    <cellStyle name="_입찰표지 _검암2차사전공사(본사검토) " xfId="301"/>
    <cellStyle name="_입찰표지 _검암2차사전공사(본사검토) _1차 기성 내역서 0612023" xfId="302"/>
    <cellStyle name="_입찰표지 _검암2차사전공사(본사검토) _3차네고견적(061017-1)" xfId="303"/>
    <cellStyle name="_입찰표지 _검암2차사전공사(본사검토) _문화센타" xfId="304"/>
    <cellStyle name="_입찰표지 _검암2차사전공사(본사검토) _총괄내역표" xfId="305"/>
    <cellStyle name="_입찰표지 _문화센타" xfId="306"/>
    <cellStyle name="_입찰표지 _부천소사점내역서" xfId="307"/>
    <cellStyle name="_입찰표지 _비교표(시화,청주)" xfId="308"/>
    <cellStyle name="_입찰표지 _비교표(청주가경점)" xfId="309"/>
    <cellStyle name="_입찰표지 _사전공사(토목본사검토) " xfId="310"/>
    <cellStyle name="_입찰표지 _사전공사(토목본사검토) _1차 기성 내역서 0612023" xfId="311"/>
    <cellStyle name="_입찰표지 _사전공사(토목본사검토) _3차네고견적(061017-1)" xfId="312"/>
    <cellStyle name="_입찰표지 _사전공사(토목본사검토) _문화센타" xfId="313"/>
    <cellStyle name="_입찰표지 _수원-가실행" xfId="314"/>
    <cellStyle name="_입찰표지 _순천점내역서" xfId="315"/>
    <cellStyle name="_입찰표지 _이행각서" xfId="316"/>
    <cellStyle name="_입찰표지 _총괄내역표" xfId="317"/>
    <cellStyle name="_입찰표지 _포기각서" xfId="318"/>
    <cellStyle name="_입찰표지 _현설양식" xfId="319"/>
    <cellStyle name="_입찰표지 _현장설명" xfId="320"/>
    <cellStyle name="_입찰품의" xfId="321"/>
    <cellStyle name="_입찰품의(HANG LUNG)" xfId="322"/>
    <cellStyle name="_입찰품의(HANG LUNG-Rev1)" xfId="323"/>
    <cellStyle name="_입찰품의(KIL)" xfId="324"/>
    <cellStyle name="_자료01-공통가설" xfId="325"/>
    <cellStyle name="_자료03-대안수량조정실행대비표" xfId="326"/>
    <cellStyle name="_자료06-토목공사" xfId="327"/>
    <cellStyle name="_자재단가의뢰" xfId="328"/>
    <cellStyle name="_작업01-조경공사0709" xfId="329"/>
    <cellStyle name="_장지도급(공종분개)-결재용" xfId="330"/>
    <cellStyle name="_적격 " xfId="331"/>
    <cellStyle name="_적격 _04028적산수량집계" xfId="332"/>
    <cellStyle name="_적격 _04-가실행(작업중)" xfId="333"/>
    <cellStyle name="_적격 _04-가실행(작업중1)" xfId="334"/>
    <cellStyle name="_적격 _1차 기성 내역서 0612023" xfId="335"/>
    <cellStyle name="_적격 _3차네고견적(061017-1)" xfId="336"/>
    <cellStyle name="_적격 _KT견적요청" xfId="337"/>
    <cellStyle name="_적격 _가실행" xfId="338"/>
    <cellStyle name="_적격 _건축내역서(가경)" xfId="339"/>
    <cellStyle name="_적격 _문화센타" xfId="340"/>
    <cellStyle name="_적격 _부천소사점내역서" xfId="341"/>
    <cellStyle name="_적격 _비교표(시화,청주)" xfId="342"/>
    <cellStyle name="_적격 _비교표(청주가경점)" xfId="343"/>
    <cellStyle name="_적격 _수원-가실행" xfId="344"/>
    <cellStyle name="_적격 _순천점내역서" xfId="345"/>
    <cellStyle name="_적격 _집행갑지 " xfId="346"/>
    <cellStyle name="_적격 _집행갑지 _1차 기성 내역서 0612023" xfId="347"/>
    <cellStyle name="_적격 _집행갑지 _3차네고견적(061017-1)" xfId="348"/>
    <cellStyle name="_적격 _집행갑지 _건축내역서(가경)" xfId="349"/>
    <cellStyle name="_적격 _집행갑지 _문화센타" xfId="350"/>
    <cellStyle name="_적격 _집행갑지 _부천소사점내역서" xfId="351"/>
    <cellStyle name="_적격 _집행갑지 _비교표(시화,청주)" xfId="352"/>
    <cellStyle name="_적격 _집행갑지 _비교표(청주가경점)" xfId="353"/>
    <cellStyle name="_적격 _집행갑지 _순천점내역서" xfId="354"/>
    <cellStyle name="_적격(화산) " xfId="355"/>
    <cellStyle name="_적격(화산) _04028적산수량집계" xfId="356"/>
    <cellStyle name="_적격(화산) _04-가실행(작업중)" xfId="357"/>
    <cellStyle name="_적격(화산) _04-가실행(작업중1)" xfId="358"/>
    <cellStyle name="_적격(화산) _1차 기성 내역서 0612023" xfId="359"/>
    <cellStyle name="_적격(화산) _3차네고견적(061017-1)" xfId="360"/>
    <cellStyle name="_적격(화산) _KT견적요청" xfId="361"/>
    <cellStyle name="_적격(화산) _가실행" xfId="362"/>
    <cellStyle name="_적격(화산) _건축내역서(가경)" xfId="363"/>
    <cellStyle name="_적격(화산) _검암2차사전공사(본사검토) " xfId="364"/>
    <cellStyle name="_적격(화산) _검암2차사전공사(본사검토) _1차 기성 내역서 0612023" xfId="365"/>
    <cellStyle name="_적격(화산) _검암2차사전공사(본사검토) _3차네고견적(061017-1)" xfId="366"/>
    <cellStyle name="_적격(화산) _검암2차사전공사(본사검토) _문화센타" xfId="367"/>
    <cellStyle name="_적격(화산) _문화센타" xfId="368"/>
    <cellStyle name="_적격(화산) _부천소사점내역서" xfId="369"/>
    <cellStyle name="_적격(화산) _비교표(시화,청주)" xfId="370"/>
    <cellStyle name="_적격(화산) _비교표(청주가경점)" xfId="371"/>
    <cellStyle name="_적격(화산) _사전공사(토목본사검토) " xfId="372"/>
    <cellStyle name="_적격(화산) _사전공사(토목본사검토) _1차 기성 내역서 0612023" xfId="373"/>
    <cellStyle name="_적격(화산) _사전공사(토목본사검토) _3차네고견적(061017-1)" xfId="374"/>
    <cellStyle name="_적격(화산) _사전공사(토목본사검토) _문화센타" xfId="375"/>
    <cellStyle name="_적격(화산) _수원-가실행" xfId="376"/>
    <cellStyle name="_적격(화산) _순천점내역서" xfId="377"/>
    <cellStyle name="_적격(화산) _이행각서" xfId="378"/>
    <cellStyle name="_적격(화산) _포기각서" xfId="379"/>
    <cellStyle name="_적격(화산) _현설양식" xfId="380"/>
    <cellStyle name="_적격(화산) _현장설명" xfId="381"/>
    <cellStyle name="_점수산정총괄(조달청)" xfId="382"/>
    <cellStyle name="_정보통신미장(051115)" xfId="383"/>
    <cellStyle name="_정보통신수장(바닥-051115)" xfId="384"/>
    <cellStyle name="_정보통신수장(바닥-051115)_1차 기성 내역서 0612023" xfId="385"/>
    <cellStyle name="_정보통신수장(바닥-051115)_3차네고견적(061017-1)" xfId="386"/>
    <cellStyle name="_정보통신수장(바닥-051115)_문화센타" xfId="387"/>
    <cellStyle name="_정보통신수장(바닥-051122)" xfId="388"/>
    <cellStyle name="_정보통신수장(바닥-051122)_1차 기성 내역서 0612023" xfId="389"/>
    <cellStyle name="_정보통신수장(바닥-051122)_3차네고견적(061017-1)" xfId="390"/>
    <cellStyle name="_정보통신수장(바닥-051122)_문화센타" xfId="391"/>
    <cellStyle name="_정보통신수장(벽,천정-051122)" xfId="392"/>
    <cellStyle name="_정보통신수장(벽,천정-051122)_1차 기성 내역서 0612023" xfId="393"/>
    <cellStyle name="_정보통신수장(벽,천정-051122)_3차네고견적(061017-1)" xfId="394"/>
    <cellStyle name="_정보통신수장(벽,천정-051122)_문화센타" xfId="395"/>
    <cellStyle name="_제출(2.25)" xfId="396"/>
    <cellStyle name="_제출완료-공항운송가실행(0919)" xfId="397"/>
    <cellStyle name="_조직표및인원투입" xfId="398"/>
    <cellStyle name="_중동TC현설" xfId="399"/>
    <cellStyle name="_중동골조현설" xfId="400"/>
    <cellStyle name="_집계" xfId="401"/>
    <cellStyle name="_집행갑지 " xfId="402"/>
    <cellStyle name="_집행갑지 _1차 기성 내역서 0612023" xfId="403"/>
    <cellStyle name="_집행갑지 _3차네고견적(061017-1)" xfId="404"/>
    <cellStyle name="_집행갑지 _건축내역서(가경)" xfId="405"/>
    <cellStyle name="_집행갑지 _문화센타" xfId="406"/>
    <cellStyle name="_집행갑지 _부천소사점내역서" xfId="407"/>
    <cellStyle name="_집행갑지 _비교표(시화,청주)" xfId="408"/>
    <cellStyle name="_집행갑지 _비교표(청주가경점)" xfId="409"/>
    <cellStyle name="_집행갑지 _순천점내역서" xfId="410"/>
    <cellStyle name="_집행-유성" xfId="411"/>
    <cellStyle name="_집행-유성_건축내역서(가경)" xfId="412"/>
    <cellStyle name="_집행-유성_부천소사점내역서" xfId="413"/>
    <cellStyle name="_집행-유성_비교표(시화,청주)" xfId="414"/>
    <cellStyle name="_집행-유성_비교표(청주가경점)" xfId="415"/>
    <cellStyle name="_집행-유성_순천점내역서" xfId="416"/>
    <cellStyle name="_참고" xfId="417"/>
    <cellStyle name="_참고01-50억대안제시" xfId="418"/>
    <cellStyle name="_참고02-당초가실행" xfId="419"/>
    <cellStyle name="_철콘견적대비수정2(2002.12.10)" xfId="420"/>
    <cellStyle name="_철콘공내역서5" xfId="421"/>
    <cellStyle name="_최종보고-파주완료030401" xfId="422"/>
    <cellStyle name="_코레노2차-공내역-인테리어공사" xfId="423"/>
    <cellStyle name="_타일공사" xfId="424"/>
    <cellStyle name="_타일공사_강제창호 및 잡철공사" xfId="425"/>
    <cellStyle name="_타일공사_도곡동토공사사발주계획" xfId="426"/>
    <cellStyle name="_타일공사_인테리어공사 발주계획서" xfId="427"/>
    <cellStyle name="_타일공사_테라조공사" xfId="428"/>
    <cellStyle name="_타일공사_테라조공사_강제창호 및 잡철공사" xfId="429"/>
    <cellStyle name="_타일공사_테라조공사_도곡동토공사사발주계획" xfId="430"/>
    <cellStyle name="_타일공사_테라조공사_인테리어공사 발주계획서" xfId="431"/>
    <cellStyle name="_타일공사_테라조공사_토공사발주" xfId="432"/>
    <cellStyle name="_타일공사_토공사발주" xfId="433"/>
    <cellStyle name="_토공및흙막이공사" xfId="434"/>
    <cellStyle name="_토공사발주" xfId="435"/>
    <cellStyle name="_투팔양식" xfId="436"/>
    <cellStyle name="_파주출판물개략완료" xfId="437"/>
    <cellStyle name="_파주출판물개략완료Ⅲ" xfId="438"/>
    <cellStyle name="_평당공사비(05.26)" xfId="439"/>
    <cellStyle name="_평택화학중대(본실행)" xfId="440"/>
    <cellStyle name="_포기각서" xfId="441"/>
    <cellStyle name="_하나로정보센터 견적(각층별 최종)" xfId="442"/>
    <cellStyle name="_하도급승인요청(금속기와공사)" xfId="443"/>
    <cellStyle name="_한남정산" xfId="444"/>
    <cellStyle name="_현설양식" xfId="445"/>
    <cellStyle name="_현장설명" xfId="446"/>
    <cellStyle name="_현장설명서" xfId="447"/>
    <cellStyle name="_현장설명서-지하수개발" xfId="448"/>
    <cellStyle name="_현장완료" xfId="449"/>
    <cellStyle name="_호수건설내역서20040403" xfId="450"/>
    <cellStyle name="_홈플러스 대구칠성점 내역서 " xfId="451"/>
    <cellStyle name="_화성태안아파트" xfId="452"/>
    <cellStyle name="_황제의 실행0623최종결재용" xfId="453"/>
    <cellStyle name="¡¾¨u￠￢ⓒ÷A¨u," xfId="454"/>
    <cellStyle name="’E‰Y [0.00]_laroux" xfId="455"/>
    <cellStyle name="’E‰Y_laroux" xfId="456"/>
    <cellStyle name="¤@?e_TEST-1 " xfId="457"/>
    <cellStyle name="\MNPREF32.DLL&amp;" xfId="458"/>
    <cellStyle name="+,-,0" xfId="459"/>
    <cellStyle name="±a°e" xfId="460"/>
    <cellStyle name="△ []" xfId="461"/>
    <cellStyle name="△ [0]" xfId="462"/>
    <cellStyle name="△백분율" xfId="463"/>
    <cellStyle name="△콤마" xfId="464"/>
    <cellStyle name="°ßAu" xfId="465"/>
    <cellStyle name="µÚ¿¡ ¿À´Â ÇÏÀÌÆÛ¸µÅ©" xfId="466"/>
    <cellStyle name="ÊÝ [0.00]_PRODUCT DETAIL Q1" xfId="467"/>
    <cellStyle name="ÊÝ_PRODUCT DETAIL Q1" xfId="468"/>
    <cellStyle name="W?_BOOKSHIP" xfId="469"/>
    <cellStyle name="0" xfId="470"/>
    <cellStyle name="0,0_x000d__x000a_NA_x000d__x000a_" xfId="471"/>
    <cellStyle name="0.0" xfId="472"/>
    <cellStyle name="0.00" xfId="473"/>
    <cellStyle name="00" xfId="474"/>
    <cellStyle name="1" xfId="475"/>
    <cellStyle name="1_total" xfId="476"/>
    <cellStyle name="1_total_1차 기성 내역서 0612023" xfId="477"/>
    <cellStyle name="1_total_3차네고견적(061017-1)" xfId="478"/>
    <cellStyle name="1_total_Sheet1" xfId="479"/>
    <cellStyle name="1_total_Sheet1_1차 기성 내역서 0612023" xfId="480"/>
    <cellStyle name="1_total_Sheet1_3차네고견적(061017-1)" xfId="481"/>
    <cellStyle name="1_total_갑지0601" xfId="482"/>
    <cellStyle name="1_total_갑지0601_00갑지" xfId="483"/>
    <cellStyle name="1_total_갑지0601_00갑지_1차 기성 내역서 0612023" xfId="484"/>
    <cellStyle name="1_total_갑지0601_00갑지_3차네고견적(061017-1)" xfId="485"/>
    <cellStyle name="1_total_갑지0601_00갑지_백화점화장실인테리어" xfId="486"/>
    <cellStyle name="1_total_갑지0601_00갑지_백화점화장실인테리어_1차 기성 내역서 0612023" xfId="487"/>
    <cellStyle name="1_total_갑지0601_00갑지_백화점화장실인테리어_3차네고견적(061017-1)" xfId="488"/>
    <cellStyle name="1_total_갑지0601_00갑지_설계내역서" xfId="489"/>
    <cellStyle name="1_total_갑지0601_00갑지_설계내역서_1차 기성 내역서 0612023" xfId="490"/>
    <cellStyle name="1_total_갑지0601_00갑지_설계내역서_3차네고견적(061017-1)" xfId="491"/>
    <cellStyle name="1_total_갑지0601_00갑지_설계내역서_백화점화장실인테리어" xfId="492"/>
    <cellStyle name="1_total_갑지0601_00갑지_설계내역서_백화점화장실인테리어_1차 기성 내역서 0612023" xfId="493"/>
    <cellStyle name="1_total_갑지0601_00갑지_설계내역서_백화점화장실인테리어_3차네고견적(061017-1)" xfId="494"/>
    <cellStyle name="1_total_갑지0601_00갑지_설계내역서_화명조경" xfId="495"/>
    <cellStyle name="1_total_갑지0601_00갑지_설계내역서_화명조경_1차 기성 내역서 0612023" xfId="496"/>
    <cellStyle name="1_total_갑지0601_00갑지_설계내역서_화명조경_3차네고견적(061017-1)" xfId="497"/>
    <cellStyle name="1_total_갑지0601_00갑지_설계내역서_화명조경_백화점화장실인테리어" xfId="498"/>
    <cellStyle name="1_total_갑지0601_00갑지_설계내역서_화명조경_백화점화장실인테리어_1차 기성 내역서 0612023" xfId="499"/>
    <cellStyle name="1_total_갑지0601_00갑지_설계내역서_화명조경_백화점화장실인테리어_3차네고견적(061017-1)" xfId="500"/>
    <cellStyle name="1_total_갑지0601_00갑지_설계내역서1월7일" xfId="501"/>
    <cellStyle name="1_total_갑지0601_00갑지_설계내역서1월7일_1차 기성 내역서 0612023" xfId="502"/>
    <cellStyle name="1_total_갑지0601_00갑지_설계내역서1월7일_3차네고견적(061017-1)" xfId="503"/>
    <cellStyle name="1_total_갑지0601_00갑지_설계내역서1월7일_백화점화장실인테리어" xfId="504"/>
    <cellStyle name="1_total_갑지0601_00갑지_설계내역서1월7일_백화점화장실인테리어_1차 기성 내역서 0612023" xfId="505"/>
    <cellStyle name="1_total_갑지0601_00갑지_설계내역서1월7일_백화점화장실인테리어_3차네고견적(061017-1)" xfId="506"/>
    <cellStyle name="1_total_갑지0601_00갑지_설계내역서1월7일_화명조경" xfId="507"/>
    <cellStyle name="1_total_갑지0601_00갑지_설계내역서1월7일_화명조경_1차 기성 내역서 0612023" xfId="508"/>
    <cellStyle name="1_total_갑지0601_00갑지_설계내역서1월7일_화명조경_3차네고견적(061017-1)" xfId="509"/>
    <cellStyle name="1_total_갑지0601_00갑지_설계내역서1월7일_화명조경_백화점화장실인테리어" xfId="510"/>
    <cellStyle name="1_total_갑지0601_00갑지_설계내역서1월7일_화명조경_백화점화장실인테리어_1차 기성 내역서 0612023" xfId="511"/>
    <cellStyle name="1_total_갑지0601_00갑지_설계내역서1월7일_화명조경_백화점화장실인테리어_3차네고견적(061017-1)" xfId="512"/>
    <cellStyle name="1_total_갑지0601_00갑지_화명조경" xfId="513"/>
    <cellStyle name="1_total_갑지0601_00갑지_화명조경_1차 기성 내역서 0612023" xfId="514"/>
    <cellStyle name="1_total_갑지0601_00갑지_화명조경_3차네고견적(061017-1)" xfId="515"/>
    <cellStyle name="1_total_갑지0601_00갑지_화명조경_백화점화장실인테리어" xfId="516"/>
    <cellStyle name="1_total_갑지0601_00갑지_화명조경_백화점화장실인테리어_1차 기성 내역서 0612023" xfId="517"/>
    <cellStyle name="1_total_갑지0601_00갑지_화명조경_백화점화장실인테리어_3차네고견적(061017-1)" xfId="518"/>
    <cellStyle name="1_total_갑지0601_1차 기성 내역서 0612023" xfId="519"/>
    <cellStyle name="1_total_갑지0601_3차네고견적(061017-1)" xfId="520"/>
    <cellStyle name="1_total_갑지0601_과천놀이터설계서" xfId="521"/>
    <cellStyle name="1_total_갑지0601_과천놀이터설계서_1차 기성 내역서 0612023" xfId="522"/>
    <cellStyle name="1_total_갑지0601_과천놀이터설계서_3차네고견적(061017-1)" xfId="523"/>
    <cellStyle name="1_total_갑지0601_과천놀이터설계서_백화점화장실인테리어" xfId="524"/>
    <cellStyle name="1_total_갑지0601_과천놀이터설계서_백화점화장실인테리어_1차 기성 내역서 0612023" xfId="525"/>
    <cellStyle name="1_total_갑지0601_과천놀이터설계서_백화점화장실인테리어_3차네고견적(061017-1)" xfId="526"/>
    <cellStyle name="1_total_갑지0601_과천놀이터설계서_설계내역서" xfId="527"/>
    <cellStyle name="1_total_갑지0601_과천놀이터설계서_설계내역서_1차 기성 내역서 0612023" xfId="528"/>
    <cellStyle name="1_total_갑지0601_과천놀이터설계서_설계내역서_3차네고견적(061017-1)" xfId="529"/>
    <cellStyle name="1_total_갑지0601_과천놀이터설계서_설계내역서_백화점화장실인테리어" xfId="530"/>
    <cellStyle name="1_total_갑지0601_과천놀이터설계서_설계내역서_백화점화장실인테리어_1차 기성 내역서 0612023" xfId="531"/>
    <cellStyle name="1_total_갑지0601_과천놀이터설계서_설계내역서_백화점화장실인테리어_3차네고견적(061017-1)" xfId="532"/>
    <cellStyle name="1_total_갑지0601_과천놀이터설계서_설계내역서_화명조경" xfId="533"/>
    <cellStyle name="1_total_갑지0601_과천놀이터설계서_설계내역서_화명조경_1차 기성 내역서 0612023" xfId="534"/>
    <cellStyle name="1_total_갑지0601_과천놀이터설계서_설계내역서_화명조경_3차네고견적(061017-1)" xfId="535"/>
    <cellStyle name="1_total_갑지0601_과천놀이터설계서_설계내역서_화명조경_백화점화장실인테리어" xfId="536"/>
    <cellStyle name="1_total_갑지0601_과천놀이터설계서_설계내역서_화명조경_백화점화장실인테리어_1차 기성 내역서 0612023" xfId="537"/>
    <cellStyle name="1_total_갑지0601_과천놀이터설계서_설계내역서_화명조경_백화점화장실인테리어_3차네고견적(061017-1)" xfId="538"/>
    <cellStyle name="1_total_갑지0601_과천놀이터설계서_설계내역서1월7일" xfId="539"/>
    <cellStyle name="1_total_갑지0601_과천놀이터설계서_설계내역서1월7일_1차 기성 내역서 0612023" xfId="540"/>
    <cellStyle name="1_total_갑지0601_과천놀이터설계서_설계내역서1월7일_3차네고견적(061017-1)" xfId="541"/>
    <cellStyle name="1_total_갑지0601_과천놀이터설계서_설계내역서1월7일_백화점화장실인테리어" xfId="542"/>
    <cellStyle name="1_total_갑지0601_과천놀이터설계서_설계내역서1월7일_백화점화장실인테리어_1차 기성 내역서 0612023" xfId="543"/>
    <cellStyle name="1_total_갑지0601_과천놀이터설계서_설계내역서1월7일_백화점화장실인테리어_3차네고견적(061017-1)" xfId="544"/>
    <cellStyle name="1_total_갑지0601_과천놀이터설계서_설계내역서1월7일_화명조경" xfId="545"/>
    <cellStyle name="1_total_갑지0601_과천놀이터설계서_설계내역서1월7일_화명조경_1차 기성 내역서 0612023" xfId="546"/>
    <cellStyle name="1_total_갑지0601_과천놀이터설계서_설계내역서1월7일_화명조경_3차네고견적(061017-1)" xfId="547"/>
    <cellStyle name="1_total_갑지0601_과천놀이터설계서_설계내역서1월7일_화명조경_백화점화장실인테리어" xfId="548"/>
    <cellStyle name="1_total_갑지0601_과천놀이터설계서_설계내역서1월7일_화명조경_백화점화장실인테리어_1차 기성 내역서 0612023" xfId="549"/>
    <cellStyle name="1_total_갑지0601_과천놀이터설계서_설계내역서1월7일_화명조경_백화점화장실인테리어_3차네고견적(061017-1)" xfId="550"/>
    <cellStyle name="1_total_갑지0601_과천놀이터설계서_화명조경" xfId="551"/>
    <cellStyle name="1_total_갑지0601_과천놀이터설계서_화명조경_1차 기성 내역서 0612023" xfId="552"/>
    <cellStyle name="1_total_갑지0601_과천놀이터설계서_화명조경_3차네고견적(061017-1)" xfId="553"/>
    <cellStyle name="1_total_갑지0601_과천놀이터설계서_화명조경_백화점화장실인테리어" xfId="554"/>
    <cellStyle name="1_total_갑지0601_과천놀이터설계서_화명조경_백화점화장실인테리어_1차 기성 내역서 0612023" xfId="555"/>
    <cellStyle name="1_total_갑지0601_과천놀이터설계서_화명조경_백화점화장실인테리어_3차네고견적(061017-1)" xfId="556"/>
    <cellStyle name="1_total_갑지0601_백화점화장실인테리어" xfId="557"/>
    <cellStyle name="1_total_갑지0601_백화점화장실인테리어_1차 기성 내역서 0612023" xfId="558"/>
    <cellStyle name="1_total_갑지0601_백화점화장실인테리어_3차네고견적(061017-1)" xfId="559"/>
    <cellStyle name="1_total_갑지0601_총괄갑지" xfId="560"/>
    <cellStyle name="1_total_갑지0601_총괄갑지_1차 기성 내역서 0612023" xfId="561"/>
    <cellStyle name="1_total_갑지0601_총괄갑지_3차네고견적(061017-1)" xfId="562"/>
    <cellStyle name="1_total_갑지0601_총괄갑지_백화점화장실인테리어" xfId="563"/>
    <cellStyle name="1_total_갑지0601_총괄갑지_백화점화장실인테리어_1차 기성 내역서 0612023" xfId="564"/>
    <cellStyle name="1_total_갑지0601_총괄갑지_백화점화장실인테리어_3차네고견적(061017-1)" xfId="565"/>
    <cellStyle name="1_total_갑지0601_총괄갑지_설계내역서" xfId="566"/>
    <cellStyle name="1_total_갑지0601_총괄갑지_설계내역서_1차 기성 내역서 0612023" xfId="567"/>
    <cellStyle name="1_total_갑지0601_총괄갑지_설계내역서_3차네고견적(061017-1)" xfId="568"/>
    <cellStyle name="1_total_갑지0601_총괄갑지_설계내역서_백화점화장실인테리어" xfId="569"/>
    <cellStyle name="1_total_갑지0601_총괄갑지_설계내역서_백화점화장실인테리어_1차 기성 내역서 0612023" xfId="570"/>
    <cellStyle name="1_total_갑지0601_총괄갑지_설계내역서_백화점화장실인테리어_3차네고견적(061017-1)" xfId="571"/>
    <cellStyle name="1_total_갑지0601_총괄갑지_설계내역서_화명조경" xfId="572"/>
    <cellStyle name="1_total_갑지0601_총괄갑지_설계내역서_화명조경_1차 기성 내역서 0612023" xfId="573"/>
    <cellStyle name="1_total_갑지0601_총괄갑지_설계내역서_화명조경_3차네고견적(061017-1)" xfId="574"/>
    <cellStyle name="1_total_갑지0601_총괄갑지_설계내역서_화명조경_백화점화장실인테리어" xfId="575"/>
    <cellStyle name="1_total_갑지0601_총괄갑지_설계내역서_화명조경_백화점화장실인테리어_1차 기성 내역서 0612023" xfId="576"/>
    <cellStyle name="1_total_갑지0601_총괄갑지_설계내역서_화명조경_백화점화장실인테리어_3차네고견적(061017-1)" xfId="577"/>
    <cellStyle name="1_total_갑지0601_총괄갑지_설계내역서1월7일" xfId="578"/>
    <cellStyle name="1_total_갑지0601_총괄갑지_설계내역서1월7일_1차 기성 내역서 0612023" xfId="579"/>
    <cellStyle name="1_total_갑지0601_총괄갑지_설계내역서1월7일_3차네고견적(061017-1)" xfId="580"/>
    <cellStyle name="1_total_갑지0601_총괄갑지_설계내역서1월7일_백화점화장실인테리어" xfId="581"/>
    <cellStyle name="1_total_갑지0601_총괄갑지_설계내역서1월7일_백화점화장실인테리어_1차 기성 내역서 0612023" xfId="582"/>
    <cellStyle name="1_total_갑지0601_총괄갑지_설계내역서1월7일_백화점화장실인테리어_3차네고견적(061017-1)" xfId="583"/>
    <cellStyle name="1_total_갑지0601_총괄갑지_설계내역서1월7일_화명조경" xfId="584"/>
    <cellStyle name="1_total_갑지0601_총괄갑지_설계내역서1월7일_화명조경_1차 기성 내역서 0612023" xfId="585"/>
    <cellStyle name="1_total_갑지0601_총괄갑지_설계내역서1월7일_화명조경_3차네고견적(061017-1)" xfId="586"/>
    <cellStyle name="1_total_갑지0601_총괄갑지_설계내역서1월7일_화명조경_백화점화장실인테리어" xfId="587"/>
    <cellStyle name="1_total_갑지0601_총괄갑지_설계내역서1월7일_화명조경_백화점화장실인테리어_1차 기성 내역서 0612023" xfId="588"/>
    <cellStyle name="1_total_갑지0601_총괄갑지_설계내역서1월7일_화명조경_백화점화장실인테리어_3차네고견적(061017-1)" xfId="589"/>
    <cellStyle name="1_total_갑지0601_총괄갑지_화명조경" xfId="590"/>
    <cellStyle name="1_total_갑지0601_총괄갑지_화명조경_1차 기성 내역서 0612023" xfId="591"/>
    <cellStyle name="1_total_갑지0601_총괄갑지_화명조경_3차네고견적(061017-1)" xfId="592"/>
    <cellStyle name="1_total_갑지0601_총괄갑지_화명조경_백화점화장실인테리어" xfId="593"/>
    <cellStyle name="1_total_갑지0601_총괄갑지_화명조경_백화점화장실인테리어_1차 기성 내역서 0612023" xfId="594"/>
    <cellStyle name="1_total_갑지0601_총괄갑지_화명조경_백화점화장실인테리어_3차네고견적(061017-1)" xfId="595"/>
    <cellStyle name="1_total_갑지0601_총괄내역서" xfId="596"/>
    <cellStyle name="1_total_갑지0601_총괄내역서_1차 기성 내역서 0612023" xfId="597"/>
    <cellStyle name="1_total_갑지0601_총괄내역서_3차네고견적(061017-1)" xfId="598"/>
    <cellStyle name="1_total_갑지0601_총괄내역서_백화점화장실인테리어" xfId="599"/>
    <cellStyle name="1_total_갑지0601_총괄내역서_백화점화장실인테리어_1차 기성 내역서 0612023" xfId="600"/>
    <cellStyle name="1_total_갑지0601_총괄내역서_백화점화장실인테리어_3차네고견적(061017-1)" xfId="601"/>
    <cellStyle name="1_total_갑지0601_총괄내역서_설계내역서" xfId="602"/>
    <cellStyle name="1_total_갑지0601_총괄내역서_설계내역서_1차 기성 내역서 0612023" xfId="603"/>
    <cellStyle name="1_total_갑지0601_총괄내역서_설계내역서_3차네고견적(061017-1)" xfId="604"/>
    <cellStyle name="1_total_갑지0601_총괄내역서_설계내역서_백화점화장실인테리어" xfId="605"/>
    <cellStyle name="1_total_갑지0601_총괄내역서_설계내역서_백화점화장실인테리어_1차 기성 내역서 0612023" xfId="606"/>
    <cellStyle name="1_total_갑지0601_총괄내역서_설계내역서_백화점화장실인테리어_3차네고견적(061017-1)" xfId="607"/>
    <cellStyle name="1_total_갑지0601_총괄내역서_설계내역서_화명조경" xfId="608"/>
    <cellStyle name="1_total_갑지0601_총괄내역서_설계내역서_화명조경_1차 기성 내역서 0612023" xfId="609"/>
    <cellStyle name="1_total_갑지0601_총괄내역서_설계내역서_화명조경_3차네고견적(061017-1)" xfId="610"/>
    <cellStyle name="1_total_갑지0601_총괄내역서_설계내역서_화명조경_백화점화장실인테리어" xfId="611"/>
    <cellStyle name="1_total_갑지0601_총괄내역서_설계내역서_화명조경_백화점화장실인테리어_1차 기성 내역서 0612023" xfId="612"/>
    <cellStyle name="1_total_갑지0601_총괄내역서_설계내역서_화명조경_백화점화장실인테리어_3차네고견적(061017-1)" xfId="613"/>
    <cellStyle name="1_total_갑지0601_총괄내역서_설계내역서1월7일" xfId="614"/>
    <cellStyle name="1_total_갑지0601_총괄내역서_설계내역서1월7일_1차 기성 내역서 0612023" xfId="615"/>
    <cellStyle name="1_total_갑지0601_총괄내역서_설계내역서1월7일_3차네고견적(061017-1)" xfId="616"/>
    <cellStyle name="1_total_갑지0601_총괄내역서_설계내역서1월7일_백화점화장실인테리어" xfId="617"/>
    <cellStyle name="1_total_갑지0601_총괄내역서_설계내역서1월7일_백화점화장실인테리어_1차 기성 내역서 0612023" xfId="618"/>
    <cellStyle name="1_total_갑지0601_총괄내역서_설계내역서1월7일_백화점화장실인테리어_3차네고견적(061017-1)" xfId="619"/>
    <cellStyle name="1_total_갑지0601_총괄내역서_설계내역서1월7일_화명조경" xfId="620"/>
    <cellStyle name="1_total_갑지0601_총괄내역서_설계내역서1월7일_화명조경_1차 기성 내역서 0612023" xfId="621"/>
    <cellStyle name="1_total_갑지0601_총괄내역서_설계내역서1월7일_화명조경_3차네고견적(061017-1)" xfId="622"/>
    <cellStyle name="1_total_갑지0601_총괄내역서_설계내역서1월7일_화명조경_백화점화장실인테리어" xfId="623"/>
    <cellStyle name="1_total_갑지0601_총괄내역서_설계내역서1월7일_화명조경_백화점화장실인테리어_1차 기성 내역서 0612023" xfId="624"/>
    <cellStyle name="1_total_갑지0601_총괄내역서_설계내역서1월7일_화명조경_백화점화장실인테리어_3차네고견적(061017-1)" xfId="625"/>
    <cellStyle name="1_total_갑지0601_총괄내역서_화명조경" xfId="626"/>
    <cellStyle name="1_total_갑지0601_총괄내역서_화명조경_1차 기성 내역서 0612023" xfId="627"/>
    <cellStyle name="1_total_갑지0601_총괄내역서_화명조경_3차네고견적(061017-1)" xfId="628"/>
    <cellStyle name="1_total_갑지0601_총괄내역서_화명조경_백화점화장실인테리어" xfId="629"/>
    <cellStyle name="1_total_갑지0601_총괄내역서_화명조경_백화점화장실인테리어_1차 기성 내역서 0612023" xfId="630"/>
    <cellStyle name="1_total_갑지0601_총괄내역서_화명조경_백화점화장실인테리어_3차네고견적(061017-1)" xfId="631"/>
    <cellStyle name="1_total_갑지0601_화명조경" xfId="632"/>
    <cellStyle name="1_total_갑지0601_화명조경_1차 기성 내역서 0612023" xfId="633"/>
    <cellStyle name="1_total_갑지0601_화명조경_3차네고견적(061017-1)" xfId="634"/>
    <cellStyle name="1_total_갑지0601_화명조경_백화점화장실인테리어" xfId="635"/>
    <cellStyle name="1_total_갑지0601_화명조경_백화점화장실인테리어_1차 기성 내역서 0612023" xfId="636"/>
    <cellStyle name="1_total_갑지0601_화명조경_백화점화장실인테리어_3차네고견적(061017-1)" xfId="637"/>
    <cellStyle name="1_total_백화점화장실인테리어" xfId="638"/>
    <cellStyle name="1_total_백화점화장실인테리어_1차 기성 내역서 0612023" xfId="639"/>
    <cellStyle name="1_total_백화점화장실인테리어_3차네고견적(061017-1)" xfId="640"/>
    <cellStyle name="1_total_설계내역서" xfId="641"/>
    <cellStyle name="1_total_설계내역서_1차 기성 내역서 0612023" xfId="642"/>
    <cellStyle name="1_total_설계내역서_3차네고견적(061017-1)" xfId="643"/>
    <cellStyle name="1_total_설계내역서_백화점화장실인테리어" xfId="644"/>
    <cellStyle name="1_total_설계내역서_백화점화장실인테리어_1차 기성 내역서 0612023" xfId="645"/>
    <cellStyle name="1_total_설계내역서_백화점화장실인테리어_3차네고견적(061017-1)" xfId="646"/>
    <cellStyle name="1_total_설계내역서_화명조경" xfId="647"/>
    <cellStyle name="1_total_설계내역서_화명조경_1차 기성 내역서 0612023" xfId="648"/>
    <cellStyle name="1_total_설계내역서_화명조경_3차네고견적(061017-1)" xfId="649"/>
    <cellStyle name="1_total_설계내역서_화명조경_백화점화장실인테리어" xfId="650"/>
    <cellStyle name="1_total_설계내역서_화명조경_백화점화장실인테리어_1차 기성 내역서 0612023" xfId="651"/>
    <cellStyle name="1_total_설계내역서_화명조경_백화점화장실인테리어_3차네고견적(061017-1)" xfId="652"/>
    <cellStyle name="1_total_설계내역서1월7일" xfId="653"/>
    <cellStyle name="1_total_설계내역서1월7일_1차 기성 내역서 0612023" xfId="654"/>
    <cellStyle name="1_total_설계내역서1월7일_3차네고견적(061017-1)" xfId="655"/>
    <cellStyle name="1_total_설계내역서1월7일_백화점화장실인테리어" xfId="656"/>
    <cellStyle name="1_total_설계내역서1월7일_백화점화장실인테리어_1차 기성 내역서 0612023" xfId="657"/>
    <cellStyle name="1_total_설계내역서1월7일_백화점화장실인테리어_3차네고견적(061017-1)" xfId="658"/>
    <cellStyle name="1_total_설계내역서1월7일_화명조경" xfId="659"/>
    <cellStyle name="1_total_설계내역서1월7일_화명조경_1차 기성 내역서 0612023" xfId="660"/>
    <cellStyle name="1_total_설계내역서1월7일_화명조경_3차네고견적(061017-1)" xfId="661"/>
    <cellStyle name="1_total_설계내역서1월7일_화명조경_백화점화장실인테리어" xfId="662"/>
    <cellStyle name="1_total_설계내역서1월7일_화명조경_백화점화장실인테리어_1차 기성 내역서 0612023" xfId="663"/>
    <cellStyle name="1_total_설계내역서1월7일_화명조경_백화점화장실인테리어_3차네고견적(061017-1)" xfId="664"/>
    <cellStyle name="1_total_수원변경수량산출" xfId="665"/>
    <cellStyle name="1_total_수원변경수량산출_1차 기성 내역서 0612023" xfId="666"/>
    <cellStyle name="1_total_수원변경수량산출_3차네고견적(061017-1)" xfId="667"/>
    <cellStyle name="1_total_수원변경수량산출_백화점화장실인테리어" xfId="668"/>
    <cellStyle name="1_total_수원변경수량산출_백화점화장실인테리어_1차 기성 내역서 0612023" xfId="669"/>
    <cellStyle name="1_total_수원변경수량산출_백화점화장실인테리어_3차네고견적(061017-1)" xfId="670"/>
    <cellStyle name="1_total_수원변경수량산출_설계내역서" xfId="671"/>
    <cellStyle name="1_total_수원변경수량산출_설계내역서_1차 기성 내역서 0612023" xfId="672"/>
    <cellStyle name="1_total_수원변경수량산출_설계내역서_3차네고견적(061017-1)" xfId="673"/>
    <cellStyle name="1_total_수원변경수량산출_설계내역서_백화점화장실인테리어" xfId="674"/>
    <cellStyle name="1_total_수원변경수량산출_설계내역서_백화점화장실인테리어_1차 기성 내역서 0612023" xfId="675"/>
    <cellStyle name="1_total_수원변경수량산출_설계내역서_백화점화장실인테리어_3차네고견적(061017-1)" xfId="676"/>
    <cellStyle name="1_total_수원변경수량산출_설계내역서_화명조경" xfId="677"/>
    <cellStyle name="1_total_수원변경수량산출_설계내역서_화명조경_1차 기성 내역서 0612023" xfId="678"/>
    <cellStyle name="1_total_수원변경수량산출_설계내역서_화명조경_3차네고견적(061017-1)" xfId="679"/>
    <cellStyle name="1_total_수원변경수량산출_설계내역서_화명조경_백화점화장실인테리어" xfId="680"/>
    <cellStyle name="1_total_수원변경수량산출_설계내역서_화명조경_백화점화장실인테리어_1차 기성 내역서 0612023" xfId="681"/>
    <cellStyle name="1_total_수원변경수량산출_설계내역서_화명조경_백화점화장실인테리어_3차네고견적(061017-1)" xfId="682"/>
    <cellStyle name="1_total_수원변경수량산출_설계내역서1월7일" xfId="683"/>
    <cellStyle name="1_total_수원변경수량산출_설계내역서1월7일_1차 기성 내역서 0612023" xfId="684"/>
    <cellStyle name="1_total_수원변경수량산출_설계내역서1월7일_3차네고견적(061017-1)" xfId="685"/>
    <cellStyle name="1_total_수원변경수량산출_설계내역서1월7일_백화점화장실인테리어" xfId="686"/>
    <cellStyle name="1_total_수원변경수량산출_설계내역서1월7일_백화점화장실인테리어_1차 기성 내역서 0612023" xfId="687"/>
    <cellStyle name="1_total_수원변경수량산출_설계내역서1월7일_백화점화장실인테리어_3차네고견적(061017-1)" xfId="688"/>
    <cellStyle name="1_total_수원변경수량산출_설계내역서1월7일_화명조경" xfId="689"/>
    <cellStyle name="1_total_수원변경수량산출_설계내역서1월7일_화명조경_1차 기성 내역서 0612023" xfId="690"/>
    <cellStyle name="1_total_수원변경수량산출_설계내역서1월7일_화명조경_3차네고견적(061017-1)" xfId="691"/>
    <cellStyle name="1_total_수원변경수량산출_설계내역서1월7일_화명조경_백화점화장실인테리어" xfId="692"/>
    <cellStyle name="1_total_수원변경수량산출_설계내역서1월7일_화명조경_백화점화장실인테리어_1차 기성 내역서 0612023" xfId="693"/>
    <cellStyle name="1_total_수원변경수량산출_설계내역서1월7일_화명조경_백화점화장실인테리어_3차네고견적(061017-1)" xfId="694"/>
    <cellStyle name="1_total_수원변경수량산출_화명조경" xfId="695"/>
    <cellStyle name="1_total_수원변경수량산출_화명조경_1차 기성 내역서 0612023" xfId="696"/>
    <cellStyle name="1_total_수원변경수량산출_화명조경_3차네고견적(061017-1)" xfId="697"/>
    <cellStyle name="1_total_수원변경수량산출_화명조경_백화점화장실인테리어" xfId="698"/>
    <cellStyle name="1_total_수원변경수량산출_화명조경_백화점화장실인테리어_1차 기성 내역서 0612023" xfId="699"/>
    <cellStyle name="1_total_수원변경수량산출_화명조경_백화점화장실인테리어_3차네고견적(061017-1)" xfId="700"/>
    <cellStyle name="1_total_쌍용수량0905" xfId="701"/>
    <cellStyle name="1_total_쌍용수량0905_1차 기성 내역서 0612023" xfId="702"/>
    <cellStyle name="1_total_쌍용수량0905_3차네고견적(061017-1)" xfId="703"/>
    <cellStyle name="1_total_쌍용수량0905_백화점화장실인테리어" xfId="704"/>
    <cellStyle name="1_total_쌍용수량0905_백화점화장실인테리어_1차 기성 내역서 0612023" xfId="705"/>
    <cellStyle name="1_total_쌍용수량0905_백화점화장실인테리어_3차네고견적(061017-1)" xfId="706"/>
    <cellStyle name="1_total_쌍용수량0905_설계내역서" xfId="707"/>
    <cellStyle name="1_total_쌍용수량0905_설계내역서_1차 기성 내역서 0612023" xfId="708"/>
    <cellStyle name="1_total_쌍용수량0905_설계내역서_3차네고견적(061017-1)" xfId="709"/>
    <cellStyle name="1_total_쌍용수량0905_설계내역서_백화점화장실인테리어" xfId="710"/>
    <cellStyle name="1_total_쌍용수량0905_설계내역서_백화점화장실인테리어_1차 기성 내역서 0612023" xfId="711"/>
    <cellStyle name="1_total_쌍용수량0905_설계내역서_백화점화장실인테리어_3차네고견적(061017-1)" xfId="712"/>
    <cellStyle name="1_total_쌍용수량0905_설계내역서_화명조경" xfId="713"/>
    <cellStyle name="1_total_쌍용수량0905_설계내역서_화명조경_1차 기성 내역서 0612023" xfId="714"/>
    <cellStyle name="1_total_쌍용수량0905_설계내역서_화명조경_3차네고견적(061017-1)" xfId="715"/>
    <cellStyle name="1_total_쌍용수량0905_설계내역서_화명조경_백화점화장실인테리어" xfId="716"/>
    <cellStyle name="1_total_쌍용수량0905_설계내역서_화명조경_백화점화장실인테리어_1차 기성 내역서 0612023" xfId="717"/>
    <cellStyle name="1_total_쌍용수량0905_설계내역서_화명조경_백화점화장실인테리어_3차네고견적(061017-1)" xfId="718"/>
    <cellStyle name="1_total_쌍용수량0905_설계내역서1월7일" xfId="719"/>
    <cellStyle name="1_total_쌍용수량0905_설계내역서1월7일_1차 기성 내역서 0612023" xfId="720"/>
    <cellStyle name="1_total_쌍용수량0905_설계내역서1월7일_3차네고견적(061017-1)" xfId="721"/>
    <cellStyle name="1_total_쌍용수량0905_설계내역서1월7일_백화점화장실인테리어" xfId="722"/>
    <cellStyle name="1_total_쌍용수량0905_설계내역서1월7일_백화점화장실인테리어_1차 기성 내역서 0612023" xfId="723"/>
    <cellStyle name="1_total_쌍용수량0905_설계내역서1월7일_백화점화장실인테리어_3차네고견적(061017-1)" xfId="724"/>
    <cellStyle name="1_total_쌍용수량0905_설계내역서1월7일_화명조경" xfId="725"/>
    <cellStyle name="1_total_쌍용수량0905_설계내역서1월7일_화명조경_1차 기성 내역서 0612023" xfId="726"/>
    <cellStyle name="1_total_쌍용수량0905_설계내역서1월7일_화명조경_3차네고견적(061017-1)" xfId="727"/>
    <cellStyle name="1_total_쌍용수량0905_설계내역서1월7일_화명조경_백화점화장실인테리어" xfId="728"/>
    <cellStyle name="1_total_쌍용수량0905_설계내역서1월7일_화명조경_백화점화장실인테리어_1차 기성 내역서 0612023" xfId="729"/>
    <cellStyle name="1_total_쌍용수량0905_설계내역서1월7일_화명조경_백화점화장실인테리어_3차네고견적(061017-1)" xfId="730"/>
    <cellStyle name="1_total_쌍용수량0905_화명조경" xfId="731"/>
    <cellStyle name="1_total_쌍용수량0905_화명조경_1차 기성 내역서 0612023" xfId="732"/>
    <cellStyle name="1_total_쌍용수량0905_화명조경_3차네고견적(061017-1)" xfId="733"/>
    <cellStyle name="1_total_쌍용수량0905_화명조경_백화점화장실인테리어" xfId="734"/>
    <cellStyle name="1_total_쌍용수량0905_화명조경_백화점화장실인테리어_1차 기성 내역서 0612023" xfId="735"/>
    <cellStyle name="1_total_쌍용수량0905_화명조경_백화점화장실인테리어_3차네고견적(061017-1)" xfId="736"/>
    <cellStyle name="1_total_은파수량집계" xfId="737"/>
    <cellStyle name="1_total_은파수량집계_1차 기성 내역서 0612023" xfId="738"/>
    <cellStyle name="1_total_은파수량집계_3차네고견적(061017-1)" xfId="739"/>
    <cellStyle name="1_total_은파수량집계_백화점화장실인테리어" xfId="740"/>
    <cellStyle name="1_total_은파수량집계_백화점화장실인테리어_1차 기성 내역서 0612023" xfId="741"/>
    <cellStyle name="1_total_은파수량집계_백화점화장실인테리어_3차네고견적(061017-1)" xfId="742"/>
    <cellStyle name="1_total_은파수량집계_설계내역서" xfId="743"/>
    <cellStyle name="1_total_은파수량집계_설계내역서_1차 기성 내역서 0612023" xfId="744"/>
    <cellStyle name="1_total_은파수량집계_설계내역서_3차네고견적(061017-1)" xfId="745"/>
    <cellStyle name="1_total_은파수량집계_설계내역서_백화점화장실인테리어" xfId="746"/>
    <cellStyle name="1_total_은파수량집계_설계내역서_백화점화장실인테리어_1차 기성 내역서 0612023" xfId="747"/>
    <cellStyle name="1_total_은파수량집계_설계내역서_백화점화장실인테리어_3차네고견적(061017-1)" xfId="748"/>
    <cellStyle name="1_total_은파수량집계_설계내역서_화명조경" xfId="749"/>
    <cellStyle name="1_total_은파수량집계_설계내역서_화명조경_1차 기성 내역서 0612023" xfId="750"/>
    <cellStyle name="1_total_은파수량집계_설계내역서_화명조경_3차네고견적(061017-1)" xfId="751"/>
    <cellStyle name="1_total_은파수량집계_설계내역서_화명조경_백화점화장실인테리어" xfId="752"/>
    <cellStyle name="1_total_은파수량집계_설계내역서_화명조경_백화점화장실인테리어_1차 기성 내역서 0612023" xfId="753"/>
    <cellStyle name="1_total_은파수량집계_설계내역서_화명조경_백화점화장실인테리어_3차네고견적(061017-1)" xfId="754"/>
    <cellStyle name="1_total_은파수량집계_설계내역서1월7일" xfId="755"/>
    <cellStyle name="1_total_은파수량집계_설계내역서1월7일_1차 기성 내역서 0612023" xfId="756"/>
    <cellStyle name="1_total_은파수량집계_설계내역서1월7일_3차네고견적(061017-1)" xfId="757"/>
    <cellStyle name="1_total_은파수량집계_설계내역서1월7일_백화점화장실인테리어" xfId="758"/>
    <cellStyle name="1_total_은파수량집계_설계내역서1월7일_백화점화장실인테리어_1차 기성 내역서 0612023" xfId="759"/>
    <cellStyle name="1_total_은파수량집계_설계내역서1월7일_백화점화장실인테리어_3차네고견적(061017-1)" xfId="760"/>
    <cellStyle name="1_total_은파수량집계_설계내역서1월7일_화명조경" xfId="761"/>
    <cellStyle name="1_total_은파수량집계_설계내역서1월7일_화명조경_1차 기성 내역서 0612023" xfId="762"/>
    <cellStyle name="1_total_은파수량집계_설계내역서1월7일_화명조경_3차네고견적(061017-1)" xfId="763"/>
    <cellStyle name="1_total_은파수량집계_설계내역서1월7일_화명조경_백화점화장실인테리어" xfId="764"/>
    <cellStyle name="1_total_은파수량집계_설계내역서1월7일_화명조경_백화점화장실인테리어_1차 기성 내역서 0612023" xfId="765"/>
    <cellStyle name="1_total_은파수량집계_설계내역서1월7일_화명조경_백화점화장실인테리어_3차네고견적(061017-1)" xfId="766"/>
    <cellStyle name="1_total_은파수량집계_화명조경" xfId="767"/>
    <cellStyle name="1_total_은파수량집계_화명조경_1차 기성 내역서 0612023" xfId="768"/>
    <cellStyle name="1_total_은파수량집계_화명조경_3차네고견적(061017-1)" xfId="769"/>
    <cellStyle name="1_total_은파수량집계_화명조경_백화점화장실인테리어" xfId="770"/>
    <cellStyle name="1_total_은파수량집계_화명조경_백화점화장실인테리어_1차 기성 내역서 0612023" xfId="771"/>
    <cellStyle name="1_total_은파수량집계_화명조경_백화점화장실인테리어_3차네고견적(061017-1)" xfId="772"/>
    <cellStyle name="1_total_터미널1-0" xfId="773"/>
    <cellStyle name="1_total_터미널1-0_1차 기성 내역서 0612023" xfId="774"/>
    <cellStyle name="1_total_터미널1-0_3차네고견적(061017-1)" xfId="775"/>
    <cellStyle name="1_total_터미널1-0_백화점화장실인테리어" xfId="776"/>
    <cellStyle name="1_total_터미널1-0_백화점화장실인테리어_1차 기성 내역서 0612023" xfId="777"/>
    <cellStyle name="1_total_터미널1-0_백화점화장실인테리어_3차네고견적(061017-1)" xfId="778"/>
    <cellStyle name="1_total_터미널1-0_화명조경" xfId="779"/>
    <cellStyle name="1_total_터미널1-0_화명조경_1차 기성 내역서 0612023" xfId="780"/>
    <cellStyle name="1_total_터미널1-0_화명조경_3차네고견적(061017-1)" xfId="781"/>
    <cellStyle name="1_total_터미널1-0_화명조경_백화점화장실인테리어" xfId="782"/>
    <cellStyle name="1_total_터미널1-0_화명조경_백화점화장실인테리어_1차 기성 내역서 0612023" xfId="783"/>
    <cellStyle name="1_total_터미널1-0_화명조경_백화점화장실인테리어_3차네고견적(061017-1)" xfId="784"/>
    <cellStyle name="1_total_화명조경" xfId="785"/>
    <cellStyle name="1_total_화명조경_1차 기성 내역서 0612023" xfId="786"/>
    <cellStyle name="1_total_화명조경_3차네고견적(061017-1)" xfId="787"/>
    <cellStyle name="1_total_화명조경_백화점화장실인테리어" xfId="788"/>
    <cellStyle name="1_total_화명조경_백화점화장실인테리어_1차 기성 내역서 0612023" xfId="789"/>
    <cellStyle name="1_total_화명조경_백화점화장실인테리어_3차네고견적(061017-1)" xfId="790"/>
    <cellStyle name="1_tree" xfId="791"/>
    <cellStyle name="1_tree_1차 기성 내역서 0612023" xfId="792"/>
    <cellStyle name="1_tree_3차네고견적(061017-1)" xfId="793"/>
    <cellStyle name="1_tree_Sheet1" xfId="794"/>
    <cellStyle name="1_tree_Sheet1_1차 기성 내역서 0612023" xfId="795"/>
    <cellStyle name="1_tree_Sheet1_3차네고견적(061017-1)" xfId="796"/>
    <cellStyle name="1_tree_갑지0601" xfId="797"/>
    <cellStyle name="1_tree_갑지0601_00갑지" xfId="798"/>
    <cellStyle name="1_tree_갑지0601_00갑지_1차 기성 내역서 0612023" xfId="799"/>
    <cellStyle name="1_tree_갑지0601_00갑지_3차네고견적(061017-1)" xfId="800"/>
    <cellStyle name="1_tree_갑지0601_00갑지_백화점화장실인테리어" xfId="801"/>
    <cellStyle name="1_tree_갑지0601_00갑지_백화점화장실인테리어_1차 기성 내역서 0612023" xfId="802"/>
    <cellStyle name="1_tree_갑지0601_00갑지_백화점화장실인테리어_3차네고견적(061017-1)" xfId="803"/>
    <cellStyle name="1_tree_갑지0601_00갑지_설계내역서" xfId="804"/>
    <cellStyle name="1_tree_갑지0601_00갑지_설계내역서_1차 기성 내역서 0612023" xfId="805"/>
    <cellStyle name="1_tree_갑지0601_00갑지_설계내역서_3차네고견적(061017-1)" xfId="806"/>
    <cellStyle name="1_tree_갑지0601_00갑지_설계내역서_백화점화장실인테리어" xfId="807"/>
    <cellStyle name="1_tree_갑지0601_00갑지_설계내역서_백화점화장실인테리어_1차 기성 내역서 0612023" xfId="808"/>
    <cellStyle name="1_tree_갑지0601_00갑지_설계내역서_백화점화장실인테리어_3차네고견적(061017-1)" xfId="809"/>
    <cellStyle name="1_tree_갑지0601_00갑지_설계내역서_화명조경" xfId="810"/>
    <cellStyle name="1_tree_갑지0601_00갑지_설계내역서_화명조경_1차 기성 내역서 0612023" xfId="811"/>
    <cellStyle name="1_tree_갑지0601_00갑지_설계내역서_화명조경_3차네고견적(061017-1)" xfId="812"/>
    <cellStyle name="1_tree_갑지0601_00갑지_설계내역서_화명조경_백화점화장실인테리어" xfId="813"/>
    <cellStyle name="1_tree_갑지0601_00갑지_설계내역서_화명조경_백화점화장실인테리어_1차 기성 내역서 0612023" xfId="814"/>
    <cellStyle name="1_tree_갑지0601_00갑지_설계내역서_화명조경_백화점화장실인테리어_3차네고견적(061017-1)" xfId="815"/>
    <cellStyle name="1_tree_갑지0601_00갑지_설계내역서1월7일" xfId="816"/>
    <cellStyle name="1_tree_갑지0601_00갑지_설계내역서1월7일_1차 기성 내역서 0612023" xfId="817"/>
    <cellStyle name="1_tree_갑지0601_00갑지_설계내역서1월7일_3차네고견적(061017-1)" xfId="818"/>
    <cellStyle name="1_tree_갑지0601_00갑지_설계내역서1월7일_백화점화장실인테리어" xfId="819"/>
    <cellStyle name="1_tree_갑지0601_00갑지_설계내역서1월7일_백화점화장실인테리어_1차 기성 내역서 0612023" xfId="820"/>
    <cellStyle name="1_tree_갑지0601_00갑지_설계내역서1월7일_백화점화장실인테리어_3차네고견적(061017-1)" xfId="821"/>
    <cellStyle name="1_tree_갑지0601_00갑지_설계내역서1월7일_화명조경" xfId="822"/>
    <cellStyle name="1_tree_갑지0601_00갑지_설계내역서1월7일_화명조경_1차 기성 내역서 0612023" xfId="823"/>
    <cellStyle name="1_tree_갑지0601_00갑지_설계내역서1월7일_화명조경_3차네고견적(061017-1)" xfId="824"/>
    <cellStyle name="1_tree_갑지0601_00갑지_설계내역서1월7일_화명조경_백화점화장실인테리어" xfId="825"/>
    <cellStyle name="1_tree_갑지0601_00갑지_설계내역서1월7일_화명조경_백화점화장실인테리어_1차 기성 내역서 0612023" xfId="826"/>
    <cellStyle name="1_tree_갑지0601_00갑지_설계내역서1월7일_화명조경_백화점화장실인테리어_3차네고견적(061017-1)" xfId="827"/>
    <cellStyle name="1_tree_갑지0601_00갑지_화명조경" xfId="828"/>
    <cellStyle name="1_tree_갑지0601_00갑지_화명조경_1차 기성 내역서 0612023" xfId="829"/>
    <cellStyle name="1_tree_갑지0601_00갑지_화명조경_3차네고견적(061017-1)" xfId="830"/>
    <cellStyle name="1_tree_갑지0601_00갑지_화명조경_백화점화장실인테리어" xfId="831"/>
    <cellStyle name="1_tree_갑지0601_00갑지_화명조경_백화점화장실인테리어_1차 기성 내역서 0612023" xfId="832"/>
    <cellStyle name="1_tree_갑지0601_00갑지_화명조경_백화점화장실인테리어_3차네고견적(061017-1)" xfId="833"/>
    <cellStyle name="1_tree_갑지0601_1차 기성 내역서 0612023" xfId="834"/>
    <cellStyle name="1_tree_갑지0601_3차네고견적(061017-1)" xfId="835"/>
    <cellStyle name="1_tree_갑지0601_과천놀이터설계서" xfId="836"/>
    <cellStyle name="1_tree_갑지0601_과천놀이터설계서_1차 기성 내역서 0612023" xfId="837"/>
    <cellStyle name="1_tree_갑지0601_과천놀이터설계서_3차네고견적(061017-1)" xfId="838"/>
    <cellStyle name="1_tree_갑지0601_과천놀이터설계서_백화점화장실인테리어" xfId="839"/>
    <cellStyle name="1_tree_갑지0601_과천놀이터설계서_백화점화장실인테리어_1차 기성 내역서 0612023" xfId="840"/>
    <cellStyle name="1_tree_갑지0601_과천놀이터설계서_백화점화장실인테리어_3차네고견적(061017-1)" xfId="841"/>
    <cellStyle name="1_tree_갑지0601_과천놀이터설계서_설계내역서" xfId="842"/>
    <cellStyle name="1_tree_갑지0601_과천놀이터설계서_설계내역서_1차 기성 내역서 0612023" xfId="843"/>
    <cellStyle name="1_tree_갑지0601_과천놀이터설계서_설계내역서_3차네고견적(061017-1)" xfId="844"/>
    <cellStyle name="1_tree_갑지0601_과천놀이터설계서_설계내역서_백화점화장실인테리어" xfId="845"/>
    <cellStyle name="1_tree_갑지0601_과천놀이터설계서_설계내역서_백화점화장실인테리어_1차 기성 내역서 0612023" xfId="846"/>
    <cellStyle name="1_tree_갑지0601_과천놀이터설계서_설계내역서_백화점화장실인테리어_3차네고견적(061017-1)" xfId="847"/>
    <cellStyle name="1_tree_갑지0601_과천놀이터설계서_설계내역서_화명조경" xfId="848"/>
    <cellStyle name="1_tree_갑지0601_과천놀이터설계서_설계내역서_화명조경_1차 기성 내역서 0612023" xfId="849"/>
    <cellStyle name="1_tree_갑지0601_과천놀이터설계서_설계내역서_화명조경_3차네고견적(061017-1)" xfId="850"/>
    <cellStyle name="1_tree_갑지0601_과천놀이터설계서_설계내역서_화명조경_백화점화장실인테리어" xfId="851"/>
    <cellStyle name="1_tree_갑지0601_과천놀이터설계서_설계내역서_화명조경_백화점화장실인테리어_1차 기성 내역서 0612023" xfId="852"/>
    <cellStyle name="1_tree_갑지0601_과천놀이터설계서_설계내역서_화명조경_백화점화장실인테리어_3차네고견적(061017-1)" xfId="853"/>
    <cellStyle name="1_tree_갑지0601_과천놀이터설계서_설계내역서1월7일" xfId="854"/>
    <cellStyle name="1_tree_갑지0601_과천놀이터설계서_설계내역서1월7일_1차 기성 내역서 0612023" xfId="855"/>
    <cellStyle name="1_tree_갑지0601_과천놀이터설계서_설계내역서1월7일_3차네고견적(061017-1)" xfId="856"/>
    <cellStyle name="1_tree_갑지0601_과천놀이터설계서_설계내역서1월7일_백화점화장실인테리어" xfId="857"/>
    <cellStyle name="1_tree_갑지0601_과천놀이터설계서_설계내역서1월7일_백화점화장실인테리어_1차 기성 내역서 0612023" xfId="858"/>
    <cellStyle name="1_tree_갑지0601_과천놀이터설계서_설계내역서1월7일_백화점화장실인테리어_3차네고견적(061017-1)" xfId="859"/>
    <cellStyle name="1_tree_갑지0601_과천놀이터설계서_설계내역서1월7일_화명조경" xfId="860"/>
    <cellStyle name="1_tree_갑지0601_과천놀이터설계서_설계내역서1월7일_화명조경_1차 기성 내역서 0612023" xfId="861"/>
    <cellStyle name="1_tree_갑지0601_과천놀이터설계서_설계내역서1월7일_화명조경_3차네고견적(061017-1)" xfId="862"/>
    <cellStyle name="1_tree_갑지0601_과천놀이터설계서_설계내역서1월7일_화명조경_백화점화장실인테리어" xfId="863"/>
    <cellStyle name="1_tree_갑지0601_과천놀이터설계서_설계내역서1월7일_화명조경_백화점화장실인테리어_1차 기성 내역서 0612023" xfId="864"/>
    <cellStyle name="1_tree_갑지0601_과천놀이터설계서_설계내역서1월7일_화명조경_백화점화장실인테리어_3차네고견적(061017-1)" xfId="865"/>
    <cellStyle name="1_tree_갑지0601_과천놀이터설계서_화명조경" xfId="866"/>
    <cellStyle name="1_tree_갑지0601_과천놀이터설계서_화명조경_1차 기성 내역서 0612023" xfId="867"/>
    <cellStyle name="1_tree_갑지0601_과천놀이터설계서_화명조경_3차네고견적(061017-1)" xfId="868"/>
    <cellStyle name="1_tree_갑지0601_과천놀이터설계서_화명조경_백화점화장실인테리어" xfId="869"/>
    <cellStyle name="1_tree_갑지0601_과천놀이터설계서_화명조경_백화점화장실인테리어_1차 기성 내역서 0612023" xfId="870"/>
    <cellStyle name="1_tree_갑지0601_과천놀이터설계서_화명조경_백화점화장실인테리어_3차네고견적(061017-1)" xfId="871"/>
    <cellStyle name="1_tree_갑지0601_백화점화장실인테리어" xfId="872"/>
    <cellStyle name="1_tree_갑지0601_백화점화장실인테리어_1차 기성 내역서 0612023" xfId="873"/>
    <cellStyle name="1_tree_갑지0601_백화점화장실인테리어_3차네고견적(061017-1)" xfId="874"/>
    <cellStyle name="1_tree_갑지0601_총괄갑지" xfId="875"/>
    <cellStyle name="1_tree_갑지0601_총괄갑지_1차 기성 내역서 0612023" xfId="876"/>
    <cellStyle name="1_tree_갑지0601_총괄갑지_3차네고견적(061017-1)" xfId="877"/>
    <cellStyle name="1_tree_갑지0601_총괄갑지_백화점화장실인테리어" xfId="878"/>
    <cellStyle name="1_tree_갑지0601_총괄갑지_백화점화장실인테리어_1차 기성 내역서 0612023" xfId="879"/>
    <cellStyle name="1_tree_갑지0601_총괄갑지_백화점화장실인테리어_3차네고견적(061017-1)" xfId="880"/>
    <cellStyle name="1_tree_갑지0601_총괄갑지_설계내역서" xfId="881"/>
    <cellStyle name="1_tree_갑지0601_총괄갑지_설계내역서_1차 기성 내역서 0612023" xfId="882"/>
    <cellStyle name="1_tree_갑지0601_총괄갑지_설계내역서_3차네고견적(061017-1)" xfId="883"/>
    <cellStyle name="1_tree_갑지0601_총괄갑지_설계내역서_백화점화장실인테리어" xfId="884"/>
    <cellStyle name="1_tree_갑지0601_총괄갑지_설계내역서_백화점화장실인테리어_1차 기성 내역서 0612023" xfId="885"/>
    <cellStyle name="1_tree_갑지0601_총괄갑지_설계내역서_백화점화장실인테리어_3차네고견적(061017-1)" xfId="886"/>
    <cellStyle name="1_tree_갑지0601_총괄갑지_설계내역서_화명조경" xfId="887"/>
    <cellStyle name="1_tree_갑지0601_총괄갑지_설계내역서_화명조경_1차 기성 내역서 0612023" xfId="888"/>
    <cellStyle name="1_tree_갑지0601_총괄갑지_설계내역서_화명조경_3차네고견적(061017-1)" xfId="889"/>
    <cellStyle name="1_tree_갑지0601_총괄갑지_설계내역서_화명조경_백화점화장실인테리어" xfId="890"/>
    <cellStyle name="1_tree_갑지0601_총괄갑지_설계내역서_화명조경_백화점화장실인테리어_1차 기성 내역서 0612023" xfId="891"/>
    <cellStyle name="1_tree_갑지0601_총괄갑지_설계내역서_화명조경_백화점화장실인테리어_3차네고견적(061017-1)" xfId="892"/>
    <cellStyle name="1_tree_갑지0601_총괄갑지_설계내역서1월7일" xfId="893"/>
    <cellStyle name="1_tree_갑지0601_총괄갑지_설계내역서1월7일_1차 기성 내역서 0612023" xfId="894"/>
    <cellStyle name="1_tree_갑지0601_총괄갑지_설계내역서1월7일_3차네고견적(061017-1)" xfId="895"/>
    <cellStyle name="1_tree_갑지0601_총괄갑지_설계내역서1월7일_백화점화장실인테리어" xfId="896"/>
    <cellStyle name="1_tree_갑지0601_총괄갑지_설계내역서1월7일_백화점화장실인테리어_1차 기성 내역서 0612023" xfId="897"/>
    <cellStyle name="1_tree_갑지0601_총괄갑지_설계내역서1월7일_백화점화장실인테리어_3차네고견적(061017-1)" xfId="898"/>
    <cellStyle name="1_tree_갑지0601_총괄갑지_설계내역서1월7일_화명조경" xfId="899"/>
    <cellStyle name="1_tree_갑지0601_총괄갑지_설계내역서1월7일_화명조경_1차 기성 내역서 0612023" xfId="900"/>
    <cellStyle name="1_tree_갑지0601_총괄갑지_설계내역서1월7일_화명조경_3차네고견적(061017-1)" xfId="901"/>
    <cellStyle name="1_tree_갑지0601_총괄갑지_설계내역서1월7일_화명조경_백화점화장실인테리어" xfId="902"/>
    <cellStyle name="1_tree_갑지0601_총괄갑지_설계내역서1월7일_화명조경_백화점화장실인테리어_1차 기성 내역서 0612023" xfId="903"/>
    <cellStyle name="1_tree_갑지0601_총괄갑지_설계내역서1월7일_화명조경_백화점화장실인테리어_3차네고견적(061017-1)" xfId="904"/>
    <cellStyle name="1_tree_갑지0601_총괄갑지_화명조경" xfId="905"/>
    <cellStyle name="1_tree_갑지0601_총괄갑지_화명조경_1차 기성 내역서 0612023" xfId="906"/>
    <cellStyle name="1_tree_갑지0601_총괄갑지_화명조경_3차네고견적(061017-1)" xfId="907"/>
    <cellStyle name="1_tree_갑지0601_총괄갑지_화명조경_백화점화장실인테리어" xfId="908"/>
    <cellStyle name="1_tree_갑지0601_총괄갑지_화명조경_백화점화장실인테리어_1차 기성 내역서 0612023" xfId="909"/>
    <cellStyle name="1_tree_갑지0601_총괄갑지_화명조경_백화점화장실인테리어_3차네고견적(061017-1)" xfId="910"/>
    <cellStyle name="1_tree_갑지0601_총괄내역서" xfId="911"/>
    <cellStyle name="1_tree_갑지0601_총괄내역서_1차 기성 내역서 0612023" xfId="912"/>
    <cellStyle name="1_tree_갑지0601_총괄내역서_3차네고견적(061017-1)" xfId="913"/>
    <cellStyle name="1_tree_갑지0601_총괄내역서_백화점화장실인테리어" xfId="914"/>
    <cellStyle name="1_tree_갑지0601_총괄내역서_백화점화장실인테리어_1차 기성 내역서 0612023" xfId="915"/>
    <cellStyle name="1_tree_갑지0601_총괄내역서_백화점화장실인테리어_3차네고견적(061017-1)" xfId="916"/>
    <cellStyle name="1_tree_갑지0601_총괄내역서_설계내역서" xfId="917"/>
    <cellStyle name="1_tree_갑지0601_총괄내역서_설계내역서_1차 기성 내역서 0612023" xfId="918"/>
    <cellStyle name="1_tree_갑지0601_총괄내역서_설계내역서_3차네고견적(061017-1)" xfId="919"/>
    <cellStyle name="1_tree_갑지0601_총괄내역서_설계내역서_백화점화장실인테리어" xfId="920"/>
    <cellStyle name="1_tree_갑지0601_총괄내역서_설계내역서_백화점화장실인테리어_1차 기성 내역서 0612023" xfId="921"/>
    <cellStyle name="1_tree_갑지0601_총괄내역서_설계내역서_백화점화장실인테리어_3차네고견적(061017-1)" xfId="922"/>
    <cellStyle name="1_tree_갑지0601_총괄내역서_설계내역서_화명조경" xfId="923"/>
    <cellStyle name="1_tree_갑지0601_총괄내역서_설계내역서_화명조경_1차 기성 내역서 0612023" xfId="924"/>
    <cellStyle name="1_tree_갑지0601_총괄내역서_설계내역서_화명조경_3차네고견적(061017-1)" xfId="925"/>
    <cellStyle name="1_tree_갑지0601_총괄내역서_설계내역서_화명조경_백화점화장실인테리어" xfId="926"/>
    <cellStyle name="1_tree_갑지0601_총괄내역서_설계내역서_화명조경_백화점화장실인테리어_1차 기성 내역서 0612023" xfId="927"/>
    <cellStyle name="1_tree_갑지0601_총괄내역서_설계내역서_화명조경_백화점화장실인테리어_3차네고견적(061017-1)" xfId="928"/>
    <cellStyle name="1_tree_갑지0601_총괄내역서_설계내역서1월7일" xfId="929"/>
    <cellStyle name="1_tree_갑지0601_총괄내역서_설계내역서1월7일_1차 기성 내역서 0612023" xfId="930"/>
    <cellStyle name="1_tree_갑지0601_총괄내역서_설계내역서1월7일_3차네고견적(061017-1)" xfId="931"/>
    <cellStyle name="1_tree_갑지0601_총괄내역서_설계내역서1월7일_백화점화장실인테리어" xfId="932"/>
    <cellStyle name="1_tree_갑지0601_총괄내역서_설계내역서1월7일_백화점화장실인테리어_1차 기성 내역서 0612023" xfId="933"/>
    <cellStyle name="1_tree_갑지0601_총괄내역서_설계내역서1월7일_백화점화장실인테리어_3차네고견적(061017-1)" xfId="934"/>
    <cellStyle name="1_tree_갑지0601_총괄내역서_설계내역서1월7일_화명조경" xfId="935"/>
    <cellStyle name="1_tree_갑지0601_총괄내역서_설계내역서1월7일_화명조경_1차 기성 내역서 0612023" xfId="936"/>
    <cellStyle name="1_tree_갑지0601_총괄내역서_설계내역서1월7일_화명조경_3차네고견적(061017-1)" xfId="937"/>
    <cellStyle name="1_tree_갑지0601_총괄내역서_설계내역서1월7일_화명조경_백화점화장실인테리어" xfId="938"/>
    <cellStyle name="1_tree_갑지0601_총괄내역서_설계내역서1월7일_화명조경_백화점화장실인테리어_1차 기성 내역서 0612023" xfId="939"/>
    <cellStyle name="1_tree_갑지0601_총괄내역서_설계내역서1월7일_화명조경_백화점화장실인테리어_3차네고견적(061017-1)" xfId="940"/>
    <cellStyle name="1_tree_갑지0601_총괄내역서_화명조경" xfId="941"/>
    <cellStyle name="1_tree_갑지0601_총괄내역서_화명조경_1차 기성 내역서 0612023" xfId="942"/>
    <cellStyle name="1_tree_갑지0601_총괄내역서_화명조경_3차네고견적(061017-1)" xfId="943"/>
    <cellStyle name="1_tree_갑지0601_총괄내역서_화명조경_백화점화장실인테리어" xfId="944"/>
    <cellStyle name="1_tree_갑지0601_총괄내역서_화명조경_백화점화장실인테리어_1차 기성 내역서 0612023" xfId="945"/>
    <cellStyle name="1_tree_갑지0601_총괄내역서_화명조경_백화점화장실인테리어_3차네고견적(061017-1)" xfId="946"/>
    <cellStyle name="1_tree_갑지0601_화명조경" xfId="947"/>
    <cellStyle name="1_tree_갑지0601_화명조경_1차 기성 내역서 0612023" xfId="948"/>
    <cellStyle name="1_tree_갑지0601_화명조경_3차네고견적(061017-1)" xfId="949"/>
    <cellStyle name="1_tree_갑지0601_화명조경_백화점화장실인테리어" xfId="950"/>
    <cellStyle name="1_tree_갑지0601_화명조경_백화점화장실인테리어_1차 기성 내역서 0612023" xfId="951"/>
    <cellStyle name="1_tree_갑지0601_화명조경_백화점화장실인테리어_3차네고견적(061017-1)" xfId="952"/>
    <cellStyle name="1_tree_남해총괄표" xfId="953"/>
    <cellStyle name="1_tree_남해총괄표_1차 기성 내역서 0612023" xfId="954"/>
    <cellStyle name="1_tree_남해총괄표_3차네고견적(061017-1)" xfId="955"/>
    <cellStyle name="1_tree_남해총괄표_백화점화장실인테리어" xfId="956"/>
    <cellStyle name="1_tree_남해총괄표_백화점화장실인테리어_1차 기성 내역서 0612023" xfId="957"/>
    <cellStyle name="1_tree_남해총괄표_백화점화장실인테리어_3차네고견적(061017-1)" xfId="958"/>
    <cellStyle name="1_tree_남해총괄표_설계내역서" xfId="959"/>
    <cellStyle name="1_tree_남해총괄표_설계내역서_1차 기성 내역서 0612023" xfId="960"/>
    <cellStyle name="1_tree_남해총괄표_설계내역서_3차네고견적(061017-1)" xfId="961"/>
    <cellStyle name="1_tree_남해총괄표_설계내역서_백화점화장실인테리어" xfId="962"/>
    <cellStyle name="1_tree_남해총괄표_설계내역서_백화점화장실인테리어_1차 기성 내역서 0612023" xfId="963"/>
    <cellStyle name="1_tree_남해총괄표_설계내역서_백화점화장실인테리어_3차네고견적(061017-1)" xfId="964"/>
    <cellStyle name="1_tree_남해총괄표_설계내역서_화명조경" xfId="965"/>
    <cellStyle name="1_tree_남해총괄표_설계내역서_화명조경_1차 기성 내역서 0612023" xfId="966"/>
    <cellStyle name="1_tree_남해총괄표_설계내역서_화명조경_3차네고견적(061017-1)" xfId="967"/>
    <cellStyle name="1_tree_남해총괄표_설계내역서_화명조경_백화점화장실인테리어" xfId="968"/>
    <cellStyle name="1_tree_남해총괄표_설계내역서_화명조경_백화점화장실인테리어_1차 기성 내역서 0612023" xfId="969"/>
    <cellStyle name="1_tree_남해총괄표_설계내역서_화명조경_백화점화장실인테리어_3차네고견적(061017-1)" xfId="970"/>
    <cellStyle name="1_tree_남해총괄표_설계내역서1월7일" xfId="971"/>
    <cellStyle name="1_tree_남해총괄표_설계내역서1월7일_1차 기성 내역서 0612023" xfId="972"/>
    <cellStyle name="1_tree_남해총괄표_설계내역서1월7일_3차네고견적(061017-1)" xfId="973"/>
    <cellStyle name="1_tree_남해총괄표_설계내역서1월7일_백화점화장실인테리어" xfId="974"/>
    <cellStyle name="1_tree_남해총괄표_설계내역서1월7일_백화점화장실인테리어_1차 기성 내역서 0612023" xfId="975"/>
    <cellStyle name="1_tree_남해총괄표_설계내역서1월7일_백화점화장실인테리어_3차네고견적(061017-1)" xfId="976"/>
    <cellStyle name="1_tree_남해총괄표_설계내역서1월7일_화명조경" xfId="977"/>
    <cellStyle name="1_tree_남해총괄표_설계내역서1월7일_화명조경_1차 기성 내역서 0612023" xfId="978"/>
    <cellStyle name="1_tree_남해총괄표_설계내역서1월7일_화명조경_3차네고견적(061017-1)" xfId="979"/>
    <cellStyle name="1_tree_남해총괄표_설계내역서1월7일_화명조경_백화점화장실인테리어" xfId="980"/>
    <cellStyle name="1_tree_남해총괄표_설계내역서1월7일_화명조경_백화점화장실인테리어_1차 기성 내역서 0612023" xfId="981"/>
    <cellStyle name="1_tree_남해총괄표_설계내역서1월7일_화명조경_백화점화장실인테리어_3차네고견적(061017-1)" xfId="982"/>
    <cellStyle name="1_tree_남해총괄표_화명조경" xfId="983"/>
    <cellStyle name="1_tree_남해총괄표_화명조경_1차 기성 내역서 0612023" xfId="984"/>
    <cellStyle name="1_tree_남해총괄표_화명조경_3차네고견적(061017-1)" xfId="985"/>
    <cellStyle name="1_tree_남해총괄표_화명조경_백화점화장실인테리어" xfId="986"/>
    <cellStyle name="1_tree_남해총괄표_화명조경_백화점화장실인테리어_1차 기성 내역서 0612023" xfId="987"/>
    <cellStyle name="1_tree_남해총괄표_화명조경_백화점화장실인테리어_3차네고견적(061017-1)" xfId="988"/>
    <cellStyle name="1_tree_마운딩수량" xfId="989"/>
    <cellStyle name="1_tree_마운딩수량_1차 기성 내역서 0612023" xfId="990"/>
    <cellStyle name="1_tree_마운딩수량_3차네고견적(061017-1)" xfId="991"/>
    <cellStyle name="1_tree_마운딩수량_갑지0601" xfId="992"/>
    <cellStyle name="1_tree_마운딩수량_갑지0601_00갑지" xfId="993"/>
    <cellStyle name="1_tree_마운딩수량_갑지0601_00갑지_1차 기성 내역서 0612023" xfId="994"/>
    <cellStyle name="1_tree_마운딩수량_갑지0601_00갑지_3차네고견적(061017-1)" xfId="995"/>
    <cellStyle name="1_tree_마운딩수량_갑지0601_00갑지_백화점화장실인테리어" xfId="996"/>
    <cellStyle name="1_tree_마운딩수량_갑지0601_00갑지_백화점화장실인테리어_1차 기성 내역서 0612023" xfId="997"/>
    <cellStyle name="1_tree_마운딩수량_갑지0601_00갑지_백화점화장실인테리어_3차네고견적(061017-1)" xfId="998"/>
    <cellStyle name="1_tree_마운딩수량_갑지0601_00갑지_설계내역서" xfId="999"/>
    <cellStyle name="1_tree_마운딩수량_갑지0601_00갑지_설계내역서_1차 기성 내역서 0612023" xfId="1000"/>
    <cellStyle name="1_tree_마운딩수량_갑지0601_00갑지_설계내역서_3차네고견적(061017-1)" xfId="1001"/>
    <cellStyle name="1_tree_마운딩수량_갑지0601_00갑지_설계내역서_백화점화장실인테리어" xfId="1002"/>
    <cellStyle name="1_tree_마운딩수량_갑지0601_00갑지_설계내역서_백화점화장실인테리어_1차 기성 내역서 0612023" xfId="1003"/>
    <cellStyle name="1_tree_마운딩수량_갑지0601_00갑지_설계내역서_백화점화장실인테리어_3차네고견적(061017-1)" xfId="1004"/>
    <cellStyle name="1_tree_마운딩수량_갑지0601_00갑지_설계내역서_화명조경" xfId="1005"/>
    <cellStyle name="1_tree_마운딩수량_갑지0601_00갑지_설계내역서_화명조경_1차 기성 내역서 0612023" xfId="1006"/>
    <cellStyle name="1_tree_마운딩수량_갑지0601_00갑지_설계내역서_화명조경_3차네고견적(061017-1)" xfId="1007"/>
    <cellStyle name="1_tree_마운딩수량_갑지0601_00갑지_설계내역서_화명조경_백화점화장실인테리어" xfId="1008"/>
    <cellStyle name="1_tree_마운딩수량_갑지0601_00갑지_설계내역서_화명조경_백화점화장실인테리어_1차 기성 내역서 0612023" xfId="1009"/>
    <cellStyle name="1_tree_마운딩수량_갑지0601_00갑지_설계내역서_화명조경_백화점화장실인테리어_3차네고견적(061017-1)" xfId="1010"/>
    <cellStyle name="1_tree_마운딩수량_갑지0601_00갑지_설계내역서1월7일" xfId="1011"/>
    <cellStyle name="1_tree_마운딩수량_갑지0601_00갑지_설계내역서1월7일_1차 기성 내역서 0612023" xfId="1012"/>
    <cellStyle name="1_tree_마운딩수량_갑지0601_00갑지_설계내역서1월7일_3차네고견적(061017-1)" xfId="1013"/>
    <cellStyle name="1_tree_마운딩수량_갑지0601_00갑지_설계내역서1월7일_백화점화장실인테리어" xfId="1014"/>
    <cellStyle name="1_tree_마운딩수량_갑지0601_00갑지_설계내역서1월7일_백화점화장실인테리어_1차 기성 내역서 0612023" xfId="1015"/>
    <cellStyle name="1_tree_마운딩수량_갑지0601_00갑지_설계내역서1월7일_백화점화장실인테리어_3차네고견적(061017-1)" xfId="1016"/>
    <cellStyle name="1_tree_마운딩수량_갑지0601_00갑지_설계내역서1월7일_화명조경" xfId="1017"/>
    <cellStyle name="1_tree_마운딩수량_갑지0601_00갑지_설계내역서1월7일_화명조경_1차 기성 내역서 0612023" xfId="1018"/>
    <cellStyle name="1_tree_마운딩수량_갑지0601_00갑지_설계내역서1월7일_화명조경_3차네고견적(061017-1)" xfId="1019"/>
    <cellStyle name="1_tree_마운딩수량_갑지0601_00갑지_설계내역서1월7일_화명조경_백화점화장실인테리어" xfId="1020"/>
    <cellStyle name="1_tree_마운딩수량_갑지0601_00갑지_설계내역서1월7일_화명조경_백화점화장실인테리어_1차 기성 내역서 0612023" xfId="1021"/>
    <cellStyle name="1_tree_마운딩수량_갑지0601_00갑지_설계내역서1월7일_화명조경_백화점화장실인테리어_3차네고견적(061017-1)" xfId="1022"/>
    <cellStyle name="1_tree_마운딩수량_갑지0601_00갑지_화명조경" xfId="1023"/>
    <cellStyle name="1_tree_마운딩수량_갑지0601_00갑지_화명조경_1차 기성 내역서 0612023" xfId="1024"/>
    <cellStyle name="1_tree_마운딩수량_갑지0601_00갑지_화명조경_3차네고견적(061017-1)" xfId="1025"/>
    <cellStyle name="1_tree_마운딩수량_갑지0601_00갑지_화명조경_백화점화장실인테리어" xfId="1026"/>
    <cellStyle name="1_tree_마운딩수량_갑지0601_00갑지_화명조경_백화점화장실인테리어_1차 기성 내역서 0612023" xfId="1027"/>
    <cellStyle name="1_tree_마운딩수량_갑지0601_00갑지_화명조경_백화점화장실인테리어_3차네고견적(061017-1)" xfId="1028"/>
    <cellStyle name="1_tree_마운딩수량_갑지0601_1차 기성 내역서 0612023" xfId="1029"/>
    <cellStyle name="1_tree_마운딩수량_갑지0601_3차네고견적(061017-1)" xfId="1030"/>
    <cellStyle name="1_tree_마운딩수량_갑지0601_과천놀이터설계서" xfId="1031"/>
    <cellStyle name="1_tree_마운딩수량_갑지0601_과천놀이터설계서_1차 기성 내역서 0612023" xfId="1032"/>
    <cellStyle name="1_tree_마운딩수량_갑지0601_과천놀이터설계서_3차네고견적(061017-1)" xfId="1033"/>
    <cellStyle name="1_tree_마운딩수량_갑지0601_과천놀이터설계서_백화점화장실인테리어" xfId="1034"/>
    <cellStyle name="1_tree_마운딩수량_갑지0601_과천놀이터설계서_백화점화장실인테리어_1차 기성 내역서 0612023" xfId="1035"/>
    <cellStyle name="1_tree_마운딩수량_갑지0601_과천놀이터설계서_백화점화장실인테리어_3차네고견적(061017-1)" xfId="1036"/>
    <cellStyle name="1_tree_마운딩수량_갑지0601_과천놀이터설계서_설계내역서" xfId="1037"/>
    <cellStyle name="1_tree_마운딩수량_갑지0601_과천놀이터설계서_설계내역서_1차 기성 내역서 0612023" xfId="1038"/>
    <cellStyle name="1_tree_마운딩수량_갑지0601_과천놀이터설계서_설계내역서_3차네고견적(061017-1)" xfId="1039"/>
    <cellStyle name="1_tree_마운딩수량_갑지0601_과천놀이터설계서_설계내역서_백화점화장실인테리어" xfId="1040"/>
    <cellStyle name="1_tree_마운딩수량_갑지0601_과천놀이터설계서_설계내역서_백화점화장실인테리어_1차 기성 내역서 0612023" xfId="1041"/>
    <cellStyle name="1_tree_마운딩수량_갑지0601_과천놀이터설계서_설계내역서_백화점화장실인테리어_3차네고견적(061017-1)" xfId="1042"/>
    <cellStyle name="1_tree_마운딩수량_갑지0601_과천놀이터설계서_설계내역서_화명조경" xfId="1043"/>
    <cellStyle name="1_tree_마운딩수량_갑지0601_과천놀이터설계서_설계내역서_화명조경_1차 기성 내역서 0612023" xfId="1044"/>
    <cellStyle name="1_tree_마운딩수량_갑지0601_과천놀이터설계서_설계내역서_화명조경_3차네고견적(061017-1)" xfId="1045"/>
    <cellStyle name="1_tree_마운딩수량_갑지0601_과천놀이터설계서_설계내역서_화명조경_백화점화장실인테리어" xfId="1046"/>
    <cellStyle name="1_tree_마운딩수량_갑지0601_과천놀이터설계서_설계내역서_화명조경_백화점화장실인테리어_1차 기성 내역서 0612023" xfId="1047"/>
    <cellStyle name="1_tree_마운딩수량_갑지0601_과천놀이터설계서_설계내역서_화명조경_백화점화장실인테리어_3차네고견적(061017-1)" xfId="1048"/>
    <cellStyle name="1_tree_마운딩수량_갑지0601_과천놀이터설계서_설계내역서1월7일" xfId="1049"/>
    <cellStyle name="1_tree_마운딩수량_갑지0601_과천놀이터설계서_설계내역서1월7일_1차 기성 내역서 0612023" xfId="1050"/>
    <cellStyle name="1_tree_마운딩수량_갑지0601_과천놀이터설계서_설계내역서1월7일_3차네고견적(061017-1)" xfId="1051"/>
    <cellStyle name="1_tree_마운딩수량_갑지0601_과천놀이터설계서_설계내역서1월7일_백화점화장실인테리어" xfId="1052"/>
    <cellStyle name="1_tree_마운딩수량_갑지0601_과천놀이터설계서_설계내역서1월7일_백화점화장실인테리어_1차 기성 내역서 0612023" xfId="1053"/>
    <cellStyle name="1_tree_마운딩수량_갑지0601_과천놀이터설계서_설계내역서1월7일_백화점화장실인테리어_3차네고견적(061017-1)" xfId="1054"/>
    <cellStyle name="1_tree_마운딩수량_갑지0601_과천놀이터설계서_설계내역서1월7일_화명조경" xfId="1055"/>
    <cellStyle name="1_tree_마운딩수량_갑지0601_과천놀이터설계서_설계내역서1월7일_화명조경_1차 기성 내역서 0612023" xfId="1056"/>
    <cellStyle name="1_tree_마운딩수량_갑지0601_과천놀이터설계서_설계내역서1월7일_화명조경_3차네고견적(061017-1)" xfId="1057"/>
    <cellStyle name="1_tree_마운딩수량_갑지0601_과천놀이터설계서_설계내역서1월7일_화명조경_백화점화장실인테리어" xfId="1058"/>
    <cellStyle name="1_tree_마운딩수량_갑지0601_과천놀이터설계서_설계내역서1월7일_화명조경_백화점화장실인테리어_1차 기성 내역서 0612023" xfId="1059"/>
    <cellStyle name="1_tree_마운딩수량_갑지0601_과천놀이터설계서_설계내역서1월7일_화명조경_백화점화장실인테리어_3차네고견적(061017-1)" xfId="1060"/>
    <cellStyle name="1_tree_마운딩수량_갑지0601_과천놀이터설계서_화명조경" xfId="1061"/>
    <cellStyle name="1_tree_마운딩수량_갑지0601_과천놀이터설계서_화명조경_1차 기성 내역서 0612023" xfId="1062"/>
    <cellStyle name="1_tree_마운딩수량_갑지0601_과천놀이터설계서_화명조경_3차네고견적(061017-1)" xfId="1063"/>
    <cellStyle name="1_tree_마운딩수량_갑지0601_과천놀이터설계서_화명조경_백화점화장실인테리어" xfId="1064"/>
    <cellStyle name="1_tree_마운딩수량_갑지0601_과천놀이터설계서_화명조경_백화점화장실인테리어_1차 기성 내역서 0612023" xfId="1065"/>
    <cellStyle name="1_tree_마운딩수량_갑지0601_과천놀이터설계서_화명조경_백화점화장실인테리어_3차네고견적(061017-1)" xfId="1066"/>
    <cellStyle name="1_tree_마운딩수량_갑지0601_백화점화장실인테리어" xfId="1067"/>
    <cellStyle name="1_tree_마운딩수량_갑지0601_백화점화장실인테리어_1차 기성 내역서 0612023" xfId="1068"/>
    <cellStyle name="1_tree_마운딩수량_갑지0601_백화점화장실인테리어_3차네고견적(061017-1)" xfId="1069"/>
    <cellStyle name="1_tree_마운딩수량_갑지0601_총괄갑지" xfId="1070"/>
    <cellStyle name="1_tree_마운딩수량_갑지0601_총괄갑지_1차 기성 내역서 0612023" xfId="1071"/>
    <cellStyle name="1_tree_마운딩수량_갑지0601_총괄갑지_3차네고견적(061017-1)" xfId="1072"/>
    <cellStyle name="1_tree_마운딩수량_갑지0601_총괄갑지_백화점화장실인테리어" xfId="1073"/>
    <cellStyle name="1_tree_마운딩수량_갑지0601_총괄갑지_백화점화장실인테리어_1차 기성 내역서 0612023" xfId="1074"/>
    <cellStyle name="1_tree_마운딩수량_갑지0601_총괄갑지_백화점화장실인테리어_3차네고견적(061017-1)" xfId="1075"/>
    <cellStyle name="1_tree_마운딩수량_갑지0601_총괄갑지_설계내역서" xfId="1076"/>
    <cellStyle name="1_tree_마운딩수량_갑지0601_총괄갑지_설계내역서_1차 기성 내역서 0612023" xfId="1077"/>
    <cellStyle name="1_tree_마운딩수량_갑지0601_총괄갑지_설계내역서_3차네고견적(061017-1)" xfId="1078"/>
    <cellStyle name="1_tree_마운딩수량_갑지0601_총괄갑지_설계내역서_백화점화장실인테리어" xfId="1079"/>
    <cellStyle name="1_tree_마운딩수량_갑지0601_총괄갑지_설계내역서_백화점화장실인테리어_1차 기성 내역서 0612023" xfId="1080"/>
    <cellStyle name="1_tree_마운딩수량_갑지0601_총괄갑지_설계내역서_백화점화장실인테리어_3차네고견적(061017-1)" xfId="1081"/>
    <cellStyle name="1_tree_마운딩수량_갑지0601_총괄갑지_설계내역서_화명조경" xfId="1082"/>
    <cellStyle name="1_tree_마운딩수량_갑지0601_총괄갑지_설계내역서_화명조경_1차 기성 내역서 0612023" xfId="1083"/>
    <cellStyle name="1_tree_마운딩수량_갑지0601_총괄갑지_설계내역서_화명조경_3차네고견적(061017-1)" xfId="1084"/>
    <cellStyle name="1_tree_마운딩수량_갑지0601_총괄갑지_설계내역서_화명조경_백화점화장실인테리어" xfId="1085"/>
    <cellStyle name="1_tree_마운딩수량_갑지0601_총괄갑지_설계내역서_화명조경_백화점화장실인테리어_1차 기성 내역서 0612023" xfId="1086"/>
    <cellStyle name="1_tree_마운딩수량_갑지0601_총괄갑지_설계내역서_화명조경_백화점화장실인테리어_3차네고견적(061017-1)" xfId="1087"/>
    <cellStyle name="1_tree_마운딩수량_갑지0601_총괄갑지_설계내역서1월7일" xfId="1088"/>
    <cellStyle name="1_tree_마운딩수량_갑지0601_총괄갑지_설계내역서1월7일_1차 기성 내역서 0612023" xfId="1089"/>
    <cellStyle name="1_tree_마운딩수량_갑지0601_총괄갑지_설계내역서1월7일_3차네고견적(061017-1)" xfId="1090"/>
    <cellStyle name="1_tree_마운딩수량_갑지0601_총괄갑지_설계내역서1월7일_백화점화장실인테리어" xfId="1091"/>
    <cellStyle name="1_tree_마운딩수량_갑지0601_총괄갑지_설계내역서1월7일_백화점화장실인테리어_1차 기성 내역서 0612023" xfId="1092"/>
    <cellStyle name="1_tree_마운딩수량_갑지0601_총괄갑지_설계내역서1월7일_백화점화장실인테리어_3차네고견적(061017-1)" xfId="1093"/>
    <cellStyle name="1_tree_마운딩수량_갑지0601_총괄갑지_설계내역서1월7일_화명조경" xfId="1094"/>
    <cellStyle name="1_tree_마운딩수량_갑지0601_총괄갑지_설계내역서1월7일_화명조경_1차 기성 내역서 0612023" xfId="1095"/>
    <cellStyle name="1_tree_마운딩수량_갑지0601_총괄갑지_설계내역서1월7일_화명조경_3차네고견적(061017-1)" xfId="1096"/>
    <cellStyle name="1_tree_마운딩수량_갑지0601_총괄갑지_설계내역서1월7일_화명조경_백화점화장실인테리어" xfId="1097"/>
    <cellStyle name="1_tree_마운딩수량_갑지0601_총괄갑지_설계내역서1월7일_화명조경_백화점화장실인테리어_1차 기성 내역서 0612023" xfId="1098"/>
    <cellStyle name="1_tree_마운딩수량_갑지0601_총괄갑지_설계내역서1월7일_화명조경_백화점화장실인테리어_3차네고견적(061017-1)" xfId="1099"/>
    <cellStyle name="1_tree_마운딩수량_갑지0601_총괄갑지_화명조경" xfId="1100"/>
    <cellStyle name="1_tree_마운딩수량_갑지0601_총괄갑지_화명조경_1차 기성 내역서 0612023" xfId="1101"/>
    <cellStyle name="1_tree_마운딩수량_갑지0601_총괄갑지_화명조경_3차네고견적(061017-1)" xfId="1102"/>
    <cellStyle name="1_tree_마운딩수량_갑지0601_총괄갑지_화명조경_백화점화장실인테리어" xfId="1103"/>
    <cellStyle name="1_tree_마운딩수량_갑지0601_총괄갑지_화명조경_백화점화장실인테리어_1차 기성 내역서 0612023" xfId="1104"/>
    <cellStyle name="1_tree_마운딩수량_갑지0601_총괄갑지_화명조경_백화점화장실인테리어_3차네고견적(061017-1)" xfId="1105"/>
    <cellStyle name="1_tree_마운딩수량_갑지0601_총괄내역서" xfId="1106"/>
    <cellStyle name="1_tree_마운딩수량_갑지0601_총괄내역서_1차 기성 내역서 0612023" xfId="1107"/>
    <cellStyle name="1_tree_마운딩수량_갑지0601_총괄내역서_3차네고견적(061017-1)" xfId="1108"/>
    <cellStyle name="1_tree_마운딩수량_갑지0601_총괄내역서_백화점화장실인테리어" xfId="1109"/>
    <cellStyle name="1_tree_마운딩수량_갑지0601_총괄내역서_백화점화장실인테리어_1차 기성 내역서 0612023" xfId="1110"/>
    <cellStyle name="1_tree_마운딩수량_갑지0601_총괄내역서_백화점화장실인테리어_3차네고견적(061017-1)" xfId="1111"/>
    <cellStyle name="1_tree_마운딩수량_갑지0601_총괄내역서_설계내역서" xfId="1112"/>
    <cellStyle name="1_tree_마운딩수량_갑지0601_총괄내역서_설계내역서_1차 기성 내역서 0612023" xfId="1113"/>
    <cellStyle name="1_tree_마운딩수량_갑지0601_총괄내역서_설계내역서_3차네고견적(061017-1)" xfId="1114"/>
    <cellStyle name="1_tree_마운딩수량_갑지0601_총괄내역서_설계내역서_백화점화장실인테리어" xfId="1115"/>
    <cellStyle name="1_tree_마운딩수량_갑지0601_총괄내역서_설계내역서_백화점화장실인테리어_1차 기성 내역서 0612023" xfId="1116"/>
    <cellStyle name="1_tree_마운딩수량_갑지0601_총괄내역서_설계내역서_백화점화장실인테리어_3차네고견적(061017-1)" xfId="1117"/>
    <cellStyle name="1_tree_마운딩수량_갑지0601_총괄내역서_설계내역서_화명조경" xfId="1118"/>
    <cellStyle name="1_tree_마운딩수량_갑지0601_총괄내역서_설계내역서_화명조경_1차 기성 내역서 0612023" xfId="1119"/>
    <cellStyle name="1_tree_마운딩수량_갑지0601_총괄내역서_설계내역서_화명조경_3차네고견적(061017-1)" xfId="1120"/>
    <cellStyle name="1_tree_마운딩수량_갑지0601_총괄내역서_설계내역서_화명조경_백화점화장실인테리어" xfId="1121"/>
    <cellStyle name="1_tree_마운딩수량_갑지0601_총괄내역서_설계내역서_화명조경_백화점화장실인테리어_1차 기성 내역서 0612023" xfId="1122"/>
    <cellStyle name="1_tree_마운딩수량_갑지0601_총괄내역서_설계내역서_화명조경_백화점화장실인테리어_3차네고견적(061017-1)" xfId="1123"/>
    <cellStyle name="1_tree_마운딩수량_갑지0601_총괄내역서_설계내역서1월7일" xfId="1124"/>
    <cellStyle name="1_tree_마운딩수량_갑지0601_총괄내역서_설계내역서1월7일_1차 기성 내역서 0612023" xfId="1125"/>
    <cellStyle name="1_tree_마운딩수량_갑지0601_총괄내역서_설계내역서1월7일_3차네고견적(061017-1)" xfId="1126"/>
    <cellStyle name="1_tree_마운딩수량_갑지0601_총괄내역서_설계내역서1월7일_백화점화장실인테리어" xfId="1127"/>
    <cellStyle name="1_tree_마운딩수량_갑지0601_총괄내역서_설계내역서1월7일_백화점화장실인테리어_1차 기성 내역서 0612023" xfId="1128"/>
    <cellStyle name="1_tree_마운딩수량_갑지0601_총괄내역서_설계내역서1월7일_백화점화장실인테리어_3차네고견적(061017-1)" xfId="1129"/>
    <cellStyle name="1_tree_마운딩수량_갑지0601_총괄내역서_설계내역서1월7일_화명조경" xfId="1130"/>
    <cellStyle name="1_tree_마운딩수량_갑지0601_총괄내역서_설계내역서1월7일_화명조경_1차 기성 내역서 0612023" xfId="1131"/>
    <cellStyle name="1_tree_마운딩수량_갑지0601_총괄내역서_설계내역서1월7일_화명조경_3차네고견적(061017-1)" xfId="1132"/>
    <cellStyle name="1_tree_마운딩수량_갑지0601_총괄내역서_설계내역서1월7일_화명조경_백화점화장실인테리어" xfId="1133"/>
    <cellStyle name="1_tree_마운딩수량_갑지0601_총괄내역서_설계내역서1월7일_화명조경_백화점화장실인테리어_1차 기성 내역서 0612023" xfId="1134"/>
    <cellStyle name="1_tree_마운딩수량_갑지0601_총괄내역서_설계내역서1월7일_화명조경_백화점화장실인테리어_3차네고견적(061017-1)" xfId="1135"/>
    <cellStyle name="1_tree_마운딩수량_갑지0601_총괄내역서_화명조경" xfId="1136"/>
    <cellStyle name="1_tree_마운딩수량_갑지0601_총괄내역서_화명조경_1차 기성 내역서 0612023" xfId="1137"/>
    <cellStyle name="1_tree_마운딩수량_갑지0601_총괄내역서_화명조경_3차네고견적(061017-1)" xfId="1138"/>
    <cellStyle name="1_tree_마운딩수량_갑지0601_총괄내역서_화명조경_백화점화장실인테리어" xfId="1139"/>
    <cellStyle name="1_tree_마운딩수량_갑지0601_총괄내역서_화명조경_백화점화장실인테리어_1차 기성 내역서 0612023" xfId="1140"/>
    <cellStyle name="1_tree_마운딩수량_갑지0601_총괄내역서_화명조경_백화점화장실인테리어_3차네고견적(061017-1)" xfId="1141"/>
    <cellStyle name="1_tree_마운딩수량_갑지0601_화명조경" xfId="1142"/>
    <cellStyle name="1_tree_마운딩수량_갑지0601_화명조경_1차 기성 내역서 0612023" xfId="1143"/>
    <cellStyle name="1_tree_마운딩수량_갑지0601_화명조경_3차네고견적(061017-1)" xfId="1144"/>
    <cellStyle name="1_tree_마운딩수량_갑지0601_화명조경_백화점화장실인테리어" xfId="1145"/>
    <cellStyle name="1_tree_마운딩수량_갑지0601_화명조경_백화점화장실인테리어_1차 기성 내역서 0612023" xfId="1146"/>
    <cellStyle name="1_tree_마운딩수량_갑지0601_화명조경_백화점화장실인테리어_3차네고견적(061017-1)" xfId="1147"/>
    <cellStyle name="1_tree_마운딩수량_백화점화장실인테리어" xfId="1148"/>
    <cellStyle name="1_tree_마운딩수량_백화점화장실인테리어_1차 기성 내역서 0612023" xfId="1149"/>
    <cellStyle name="1_tree_마운딩수량_백화점화장실인테리어_3차네고견적(061017-1)" xfId="1150"/>
    <cellStyle name="1_tree_마운딩수량_설계내역서" xfId="1151"/>
    <cellStyle name="1_tree_마운딩수량_설계내역서_1차 기성 내역서 0612023" xfId="1152"/>
    <cellStyle name="1_tree_마운딩수량_설계내역서_3차네고견적(061017-1)" xfId="1153"/>
    <cellStyle name="1_tree_마운딩수량_설계내역서_백화점화장실인테리어" xfId="1154"/>
    <cellStyle name="1_tree_마운딩수량_설계내역서_백화점화장실인테리어_1차 기성 내역서 0612023" xfId="1155"/>
    <cellStyle name="1_tree_마운딩수량_설계내역서_백화점화장실인테리어_3차네고견적(061017-1)" xfId="1156"/>
    <cellStyle name="1_tree_마운딩수량_설계내역서_화명조경" xfId="1157"/>
    <cellStyle name="1_tree_마운딩수량_설계내역서_화명조경_1차 기성 내역서 0612023" xfId="1158"/>
    <cellStyle name="1_tree_마운딩수량_설계내역서_화명조경_3차네고견적(061017-1)" xfId="1159"/>
    <cellStyle name="1_tree_마운딩수량_설계내역서_화명조경_백화점화장실인테리어" xfId="1160"/>
    <cellStyle name="1_tree_마운딩수량_설계내역서_화명조경_백화점화장실인테리어_1차 기성 내역서 0612023" xfId="1161"/>
    <cellStyle name="1_tree_마운딩수량_설계내역서_화명조경_백화점화장실인테리어_3차네고견적(061017-1)" xfId="1162"/>
    <cellStyle name="1_tree_마운딩수량_설계내역서1월7일" xfId="1163"/>
    <cellStyle name="1_tree_마운딩수량_설계내역서1월7일_1차 기성 내역서 0612023" xfId="1164"/>
    <cellStyle name="1_tree_마운딩수량_설계내역서1월7일_3차네고견적(061017-1)" xfId="1165"/>
    <cellStyle name="1_tree_마운딩수량_설계내역서1월7일_백화점화장실인테리어" xfId="1166"/>
    <cellStyle name="1_tree_마운딩수량_설계내역서1월7일_백화점화장실인테리어_1차 기성 내역서 0612023" xfId="1167"/>
    <cellStyle name="1_tree_마운딩수량_설계내역서1월7일_백화점화장실인테리어_3차네고견적(061017-1)" xfId="1168"/>
    <cellStyle name="1_tree_마운딩수량_설계내역서1월7일_화명조경" xfId="1169"/>
    <cellStyle name="1_tree_마운딩수량_설계내역서1월7일_화명조경_1차 기성 내역서 0612023" xfId="1170"/>
    <cellStyle name="1_tree_마운딩수량_설계내역서1월7일_화명조경_3차네고견적(061017-1)" xfId="1171"/>
    <cellStyle name="1_tree_마운딩수량_설계내역서1월7일_화명조경_백화점화장실인테리어" xfId="1172"/>
    <cellStyle name="1_tree_마운딩수량_설계내역서1월7일_화명조경_백화점화장실인테리어_1차 기성 내역서 0612023" xfId="1173"/>
    <cellStyle name="1_tree_마운딩수량_설계내역서1월7일_화명조경_백화점화장실인테리어_3차네고견적(061017-1)" xfId="1174"/>
    <cellStyle name="1_tree_마운딩수량_화명조경" xfId="1175"/>
    <cellStyle name="1_tree_마운딩수량_화명조경_1차 기성 내역서 0612023" xfId="1176"/>
    <cellStyle name="1_tree_마운딩수량_화명조경_3차네고견적(061017-1)" xfId="1177"/>
    <cellStyle name="1_tree_마운딩수량_화명조경_백화점화장실인테리어" xfId="1178"/>
    <cellStyle name="1_tree_마운딩수량_화명조경_백화점화장실인테리어_1차 기성 내역서 0612023" xfId="1179"/>
    <cellStyle name="1_tree_마운딩수량_화명조경_백화점화장실인테리어_3차네고견적(061017-1)" xfId="1180"/>
    <cellStyle name="1_tree_백화점화장실인테리어" xfId="1181"/>
    <cellStyle name="1_tree_백화점화장실인테리어_1차 기성 내역서 0612023" xfId="1182"/>
    <cellStyle name="1_tree_백화점화장실인테리어_3차네고견적(061017-1)" xfId="1183"/>
    <cellStyle name="1_tree_설계내역서" xfId="1184"/>
    <cellStyle name="1_tree_설계내역서_1차 기성 내역서 0612023" xfId="1185"/>
    <cellStyle name="1_tree_설계내역서_3차네고견적(061017-1)" xfId="1186"/>
    <cellStyle name="1_tree_설계내역서_백화점화장실인테리어" xfId="1187"/>
    <cellStyle name="1_tree_설계내역서_백화점화장실인테리어_1차 기성 내역서 0612023" xfId="1188"/>
    <cellStyle name="1_tree_설계내역서_백화점화장실인테리어_3차네고견적(061017-1)" xfId="1189"/>
    <cellStyle name="1_tree_설계내역서_화명조경" xfId="1190"/>
    <cellStyle name="1_tree_설계내역서_화명조경_1차 기성 내역서 0612023" xfId="1191"/>
    <cellStyle name="1_tree_설계내역서_화명조경_3차네고견적(061017-1)" xfId="1192"/>
    <cellStyle name="1_tree_설계내역서_화명조경_백화점화장실인테리어" xfId="1193"/>
    <cellStyle name="1_tree_설계내역서_화명조경_백화점화장실인테리어_1차 기성 내역서 0612023" xfId="1194"/>
    <cellStyle name="1_tree_설계내역서_화명조경_백화점화장실인테리어_3차네고견적(061017-1)" xfId="1195"/>
    <cellStyle name="1_tree_설계내역서1월7일" xfId="1196"/>
    <cellStyle name="1_tree_설계내역서1월7일_1차 기성 내역서 0612023" xfId="1197"/>
    <cellStyle name="1_tree_설계내역서1월7일_3차네고견적(061017-1)" xfId="1198"/>
    <cellStyle name="1_tree_설계내역서1월7일_백화점화장실인테리어" xfId="1199"/>
    <cellStyle name="1_tree_설계내역서1월7일_백화점화장실인테리어_1차 기성 내역서 0612023" xfId="1200"/>
    <cellStyle name="1_tree_설계내역서1월7일_백화점화장실인테리어_3차네고견적(061017-1)" xfId="1201"/>
    <cellStyle name="1_tree_설계내역서1월7일_화명조경" xfId="1202"/>
    <cellStyle name="1_tree_설계내역서1월7일_화명조경_1차 기성 내역서 0612023" xfId="1203"/>
    <cellStyle name="1_tree_설계내역서1월7일_화명조경_3차네고견적(061017-1)" xfId="1204"/>
    <cellStyle name="1_tree_설계내역서1월7일_화명조경_백화점화장실인테리어" xfId="1205"/>
    <cellStyle name="1_tree_설계내역서1월7일_화명조경_백화점화장실인테리어_1차 기성 내역서 0612023" xfId="1206"/>
    <cellStyle name="1_tree_설계내역서1월7일_화명조경_백화점화장실인테리어_3차네고견적(061017-1)" xfId="1207"/>
    <cellStyle name="1_tree_수원변경수량산출" xfId="1208"/>
    <cellStyle name="1_tree_수원변경수량산출_1차 기성 내역서 0612023" xfId="1209"/>
    <cellStyle name="1_tree_수원변경수량산출_3차네고견적(061017-1)" xfId="1210"/>
    <cellStyle name="1_tree_수원변경수량산출_백화점화장실인테리어" xfId="1211"/>
    <cellStyle name="1_tree_수원변경수량산출_백화점화장실인테리어_1차 기성 내역서 0612023" xfId="1212"/>
    <cellStyle name="1_tree_수원변경수량산출_백화점화장실인테리어_3차네고견적(061017-1)" xfId="1213"/>
    <cellStyle name="1_tree_수원변경수량산출_설계내역서" xfId="1214"/>
    <cellStyle name="1_tree_수원변경수량산출_설계내역서_1차 기성 내역서 0612023" xfId="1215"/>
    <cellStyle name="1_tree_수원변경수량산출_설계내역서_3차네고견적(061017-1)" xfId="1216"/>
    <cellStyle name="1_tree_수원변경수량산출_설계내역서_백화점화장실인테리어" xfId="1217"/>
    <cellStyle name="1_tree_수원변경수량산출_설계내역서_백화점화장실인테리어_1차 기성 내역서 0612023" xfId="1218"/>
    <cellStyle name="1_tree_수원변경수량산출_설계내역서_백화점화장실인테리어_3차네고견적(061017-1)" xfId="1219"/>
    <cellStyle name="1_tree_수원변경수량산출_설계내역서_화명조경" xfId="1220"/>
    <cellStyle name="1_tree_수원변경수량산출_설계내역서_화명조경_1차 기성 내역서 0612023" xfId="1221"/>
    <cellStyle name="1_tree_수원변경수량산출_설계내역서_화명조경_3차네고견적(061017-1)" xfId="1222"/>
    <cellStyle name="1_tree_수원변경수량산출_설계내역서_화명조경_백화점화장실인테리어" xfId="1223"/>
    <cellStyle name="1_tree_수원변경수량산출_설계내역서_화명조경_백화점화장실인테리어_1차 기성 내역서 0612023" xfId="1224"/>
    <cellStyle name="1_tree_수원변경수량산출_설계내역서_화명조경_백화점화장실인테리어_3차네고견적(061017-1)" xfId="1225"/>
    <cellStyle name="1_tree_수원변경수량산출_설계내역서1월7일" xfId="1226"/>
    <cellStyle name="1_tree_수원변경수량산출_설계내역서1월7일_1차 기성 내역서 0612023" xfId="1227"/>
    <cellStyle name="1_tree_수원변경수량산출_설계내역서1월7일_3차네고견적(061017-1)" xfId="1228"/>
    <cellStyle name="1_tree_수원변경수량산출_설계내역서1월7일_백화점화장실인테리어" xfId="1229"/>
    <cellStyle name="1_tree_수원변경수량산출_설계내역서1월7일_백화점화장실인테리어_1차 기성 내역서 0612023" xfId="1230"/>
    <cellStyle name="1_tree_수원변경수량산출_설계내역서1월7일_백화점화장실인테리어_3차네고견적(061017-1)" xfId="1231"/>
    <cellStyle name="1_tree_수원변경수량산출_설계내역서1월7일_화명조경" xfId="1232"/>
    <cellStyle name="1_tree_수원변경수량산출_설계내역서1월7일_화명조경_1차 기성 내역서 0612023" xfId="1233"/>
    <cellStyle name="1_tree_수원변경수량산출_설계내역서1월7일_화명조경_3차네고견적(061017-1)" xfId="1234"/>
    <cellStyle name="1_tree_수원변경수량산출_설계내역서1월7일_화명조경_백화점화장실인테리어" xfId="1235"/>
    <cellStyle name="1_tree_수원변경수량산출_설계내역서1월7일_화명조경_백화점화장실인테리어_1차 기성 내역서 0612023" xfId="1236"/>
    <cellStyle name="1_tree_수원변경수량산출_설계내역서1월7일_화명조경_백화점화장실인테리어_3차네고견적(061017-1)" xfId="1237"/>
    <cellStyle name="1_tree_수원변경수량산출_화명조경" xfId="1238"/>
    <cellStyle name="1_tree_수원변경수량산출_화명조경_1차 기성 내역서 0612023" xfId="1239"/>
    <cellStyle name="1_tree_수원변경수량산출_화명조경_3차네고견적(061017-1)" xfId="1240"/>
    <cellStyle name="1_tree_수원변경수량산출_화명조경_백화점화장실인테리어" xfId="1241"/>
    <cellStyle name="1_tree_수원변경수량산출_화명조경_백화점화장실인테리어_1차 기성 내역서 0612023" xfId="1242"/>
    <cellStyle name="1_tree_수원변경수량산출_화명조경_백화점화장실인테리어_3차네고견적(061017-1)" xfId="1243"/>
    <cellStyle name="1_tree_쌍용수량0905" xfId="1244"/>
    <cellStyle name="1_tree_쌍용수량0905_1차 기성 내역서 0612023" xfId="1245"/>
    <cellStyle name="1_tree_쌍용수량0905_3차네고견적(061017-1)" xfId="1246"/>
    <cellStyle name="1_tree_쌍용수량0905_백화점화장실인테리어" xfId="1247"/>
    <cellStyle name="1_tree_쌍용수량0905_백화점화장실인테리어_1차 기성 내역서 0612023" xfId="1248"/>
    <cellStyle name="1_tree_쌍용수량0905_백화점화장실인테리어_3차네고견적(061017-1)" xfId="1249"/>
    <cellStyle name="1_tree_쌍용수량0905_설계내역서" xfId="1250"/>
    <cellStyle name="1_tree_쌍용수량0905_설계내역서_1차 기성 내역서 0612023" xfId="1251"/>
    <cellStyle name="1_tree_쌍용수량0905_설계내역서_3차네고견적(061017-1)" xfId="1252"/>
    <cellStyle name="1_tree_쌍용수량0905_설계내역서_백화점화장실인테리어" xfId="1253"/>
    <cellStyle name="1_tree_쌍용수량0905_설계내역서_백화점화장실인테리어_1차 기성 내역서 0612023" xfId="1254"/>
    <cellStyle name="1_tree_쌍용수량0905_설계내역서_백화점화장실인테리어_3차네고견적(061017-1)" xfId="1255"/>
    <cellStyle name="1_tree_쌍용수량0905_설계내역서_화명조경" xfId="1256"/>
    <cellStyle name="1_tree_쌍용수량0905_설계내역서_화명조경_1차 기성 내역서 0612023" xfId="1257"/>
    <cellStyle name="1_tree_쌍용수량0905_설계내역서_화명조경_3차네고견적(061017-1)" xfId="1258"/>
    <cellStyle name="1_tree_쌍용수량0905_설계내역서_화명조경_백화점화장실인테리어" xfId="1259"/>
    <cellStyle name="1_tree_쌍용수량0905_설계내역서_화명조경_백화점화장실인테리어_1차 기성 내역서 0612023" xfId="1260"/>
    <cellStyle name="1_tree_쌍용수량0905_설계내역서_화명조경_백화점화장실인테리어_3차네고견적(061017-1)" xfId="1261"/>
    <cellStyle name="1_tree_쌍용수량0905_설계내역서1월7일" xfId="1262"/>
    <cellStyle name="1_tree_쌍용수량0905_설계내역서1월7일_1차 기성 내역서 0612023" xfId="1263"/>
    <cellStyle name="1_tree_쌍용수량0905_설계내역서1월7일_3차네고견적(061017-1)" xfId="1264"/>
    <cellStyle name="1_tree_쌍용수량0905_설계내역서1월7일_백화점화장실인테리어" xfId="1265"/>
    <cellStyle name="1_tree_쌍용수량0905_설계내역서1월7일_백화점화장실인테리어_1차 기성 내역서 0612023" xfId="1266"/>
    <cellStyle name="1_tree_쌍용수량0905_설계내역서1월7일_백화점화장실인테리어_3차네고견적(061017-1)" xfId="1267"/>
    <cellStyle name="1_tree_쌍용수량0905_설계내역서1월7일_화명조경" xfId="1268"/>
    <cellStyle name="1_tree_쌍용수량0905_설계내역서1월7일_화명조경_1차 기성 내역서 0612023" xfId="1269"/>
    <cellStyle name="1_tree_쌍용수량0905_설계내역서1월7일_화명조경_3차네고견적(061017-1)" xfId="1270"/>
    <cellStyle name="1_tree_쌍용수량0905_설계내역서1월7일_화명조경_백화점화장실인테리어" xfId="1271"/>
    <cellStyle name="1_tree_쌍용수량0905_설계내역서1월7일_화명조경_백화점화장실인테리어_1차 기성 내역서 0612023" xfId="1272"/>
    <cellStyle name="1_tree_쌍용수량0905_설계내역서1월7일_화명조경_백화점화장실인테리어_3차네고견적(061017-1)" xfId="1273"/>
    <cellStyle name="1_tree_쌍용수량0905_화명조경" xfId="1274"/>
    <cellStyle name="1_tree_쌍용수량0905_화명조경_1차 기성 내역서 0612023" xfId="1275"/>
    <cellStyle name="1_tree_쌍용수량0905_화명조경_3차네고견적(061017-1)" xfId="1276"/>
    <cellStyle name="1_tree_쌍용수량0905_화명조경_백화점화장실인테리어" xfId="1277"/>
    <cellStyle name="1_tree_쌍용수량0905_화명조경_백화점화장실인테리어_1차 기성 내역서 0612023" xfId="1278"/>
    <cellStyle name="1_tree_쌍용수량0905_화명조경_백화점화장실인테리어_3차네고견적(061017-1)" xfId="1279"/>
    <cellStyle name="1_tree_원가계산서" xfId="1280"/>
    <cellStyle name="1_tree_원가계산서_00갑지" xfId="1281"/>
    <cellStyle name="1_tree_원가계산서_00갑지_1차 기성 내역서 0612023" xfId="1282"/>
    <cellStyle name="1_tree_원가계산서_00갑지_3차네고견적(061017-1)" xfId="1283"/>
    <cellStyle name="1_tree_원가계산서_00갑지_백화점화장실인테리어" xfId="1284"/>
    <cellStyle name="1_tree_원가계산서_00갑지_백화점화장실인테리어_1차 기성 내역서 0612023" xfId="1285"/>
    <cellStyle name="1_tree_원가계산서_00갑지_백화점화장실인테리어_3차네고견적(061017-1)" xfId="1286"/>
    <cellStyle name="1_tree_원가계산서_00갑지_설계내역서" xfId="1287"/>
    <cellStyle name="1_tree_원가계산서_00갑지_설계내역서_1차 기성 내역서 0612023" xfId="1288"/>
    <cellStyle name="1_tree_원가계산서_00갑지_설계내역서_3차네고견적(061017-1)" xfId="1289"/>
    <cellStyle name="1_tree_원가계산서_00갑지_설계내역서_백화점화장실인테리어" xfId="1290"/>
    <cellStyle name="1_tree_원가계산서_00갑지_설계내역서_백화점화장실인테리어_1차 기성 내역서 0612023" xfId="1291"/>
    <cellStyle name="1_tree_원가계산서_00갑지_설계내역서_백화점화장실인테리어_3차네고견적(061017-1)" xfId="1292"/>
    <cellStyle name="1_tree_원가계산서_00갑지_설계내역서_화명조경" xfId="1293"/>
    <cellStyle name="1_tree_원가계산서_00갑지_설계내역서_화명조경_1차 기성 내역서 0612023" xfId="1294"/>
    <cellStyle name="1_tree_원가계산서_00갑지_설계내역서_화명조경_3차네고견적(061017-1)" xfId="1295"/>
    <cellStyle name="1_tree_원가계산서_00갑지_설계내역서_화명조경_백화점화장실인테리어" xfId="1296"/>
    <cellStyle name="1_tree_원가계산서_00갑지_설계내역서_화명조경_백화점화장실인테리어_1차 기성 내역서 0612023" xfId="1297"/>
    <cellStyle name="1_tree_원가계산서_00갑지_설계내역서_화명조경_백화점화장실인테리어_3차네고견적(061017-1)" xfId="1298"/>
    <cellStyle name="1_tree_원가계산서_00갑지_설계내역서1월7일" xfId="1299"/>
    <cellStyle name="1_tree_원가계산서_00갑지_설계내역서1월7일_1차 기성 내역서 0612023" xfId="1300"/>
    <cellStyle name="1_tree_원가계산서_00갑지_설계내역서1월7일_3차네고견적(061017-1)" xfId="1301"/>
    <cellStyle name="1_tree_원가계산서_00갑지_설계내역서1월7일_백화점화장실인테리어" xfId="1302"/>
    <cellStyle name="1_tree_원가계산서_00갑지_설계내역서1월7일_백화점화장실인테리어_1차 기성 내역서 0612023" xfId="1303"/>
    <cellStyle name="1_tree_원가계산서_00갑지_설계내역서1월7일_백화점화장실인테리어_3차네고견적(061017-1)" xfId="1304"/>
    <cellStyle name="1_tree_원가계산서_00갑지_설계내역서1월7일_화명조경" xfId="1305"/>
    <cellStyle name="1_tree_원가계산서_00갑지_설계내역서1월7일_화명조경_1차 기성 내역서 0612023" xfId="1306"/>
    <cellStyle name="1_tree_원가계산서_00갑지_설계내역서1월7일_화명조경_3차네고견적(061017-1)" xfId="1307"/>
    <cellStyle name="1_tree_원가계산서_00갑지_설계내역서1월7일_화명조경_백화점화장실인테리어" xfId="1308"/>
    <cellStyle name="1_tree_원가계산서_00갑지_설계내역서1월7일_화명조경_백화점화장실인테리어_1차 기성 내역서 0612023" xfId="1309"/>
    <cellStyle name="1_tree_원가계산서_00갑지_설계내역서1월7일_화명조경_백화점화장실인테리어_3차네고견적(061017-1)" xfId="1310"/>
    <cellStyle name="1_tree_원가계산서_00갑지_화명조경" xfId="1311"/>
    <cellStyle name="1_tree_원가계산서_00갑지_화명조경_1차 기성 내역서 0612023" xfId="1312"/>
    <cellStyle name="1_tree_원가계산서_00갑지_화명조경_3차네고견적(061017-1)" xfId="1313"/>
    <cellStyle name="1_tree_원가계산서_00갑지_화명조경_백화점화장실인테리어" xfId="1314"/>
    <cellStyle name="1_tree_원가계산서_00갑지_화명조경_백화점화장실인테리어_1차 기성 내역서 0612023" xfId="1315"/>
    <cellStyle name="1_tree_원가계산서_00갑지_화명조경_백화점화장실인테리어_3차네고견적(061017-1)" xfId="1316"/>
    <cellStyle name="1_tree_원가계산서_1차 기성 내역서 0612023" xfId="1317"/>
    <cellStyle name="1_tree_원가계산서_3차네고견적(061017-1)" xfId="1318"/>
    <cellStyle name="1_tree_원가계산서_과천놀이터설계서" xfId="1319"/>
    <cellStyle name="1_tree_원가계산서_과천놀이터설계서_1차 기성 내역서 0612023" xfId="1320"/>
    <cellStyle name="1_tree_원가계산서_과천놀이터설계서_3차네고견적(061017-1)" xfId="1321"/>
    <cellStyle name="1_tree_원가계산서_과천놀이터설계서_백화점화장실인테리어" xfId="1322"/>
    <cellStyle name="1_tree_원가계산서_과천놀이터설계서_백화점화장실인테리어_1차 기성 내역서 0612023" xfId="1323"/>
    <cellStyle name="1_tree_원가계산서_과천놀이터설계서_백화점화장실인테리어_3차네고견적(061017-1)" xfId="1324"/>
    <cellStyle name="1_tree_원가계산서_과천놀이터설계서_설계내역서" xfId="1325"/>
    <cellStyle name="1_tree_원가계산서_과천놀이터설계서_설계내역서_1차 기성 내역서 0612023" xfId="1326"/>
    <cellStyle name="1_tree_원가계산서_과천놀이터설계서_설계내역서_3차네고견적(061017-1)" xfId="1327"/>
    <cellStyle name="1_tree_원가계산서_과천놀이터설계서_설계내역서_백화점화장실인테리어" xfId="1328"/>
    <cellStyle name="1_tree_원가계산서_과천놀이터설계서_설계내역서_백화점화장실인테리어_1차 기성 내역서 0612023" xfId="1329"/>
    <cellStyle name="1_tree_원가계산서_과천놀이터설계서_설계내역서_백화점화장실인테리어_3차네고견적(061017-1)" xfId="1330"/>
    <cellStyle name="1_tree_원가계산서_과천놀이터설계서_설계내역서_화명조경" xfId="1331"/>
    <cellStyle name="1_tree_원가계산서_과천놀이터설계서_설계내역서_화명조경_1차 기성 내역서 0612023" xfId="1332"/>
    <cellStyle name="1_tree_원가계산서_과천놀이터설계서_설계내역서_화명조경_3차네고견적(061017-1)" xfId="1333"/>
    <cellStyle name="1_tree_원가계산서_과천놀이터설계서_설계내역서_화명조경_백화점화장실인테리어" xfId="1334"/>
    <cellStyle name="1_tree_원가계산서_과천놀이터설계서_설계내역서_화명조경_백화점화장실인테리어_1차 기성 내역서 0612023" xfId="1335"/>
    <cellStyle name="1_tree_원가계산서_과천놀이터설계서_설계내역서_화명조경_백화점화장실인테리어_3차네고견적(061017-1)" xfId="1336"/>
    <cellStyle name="1_tree_원가계산서_과천놀이터설계서_설계내역서1월7일" xfId="1337"/>
    <cellStyle name="1_tree_원가계산서_과천놀이터설계서_설계내역서1월7일_1차 기성 내역서 0612023" xfId="1338"/>
    <cellStyle name="1_tree_원가계산서_과천놀이터설계서_설계내역서1월7일_3차네고견적(061017-1)" xfId="1339"/>
    <cellStyle name="1_tree_원가계산서_과천놀이터설계서_설계내역서1월7일_백화점화장실인테리어" xfId="1340"/>
    <cellStyle name="1_tree_원가계산서_과천놀이터설계서_설계내역서1월7일_백화점화장실인테리어_1차 기성 내역서 0612023" xfId="1341"/>
    <cellStyle name="1_tree_원가계산서_과천놀이터설계서_설계내역서1월7일_백화점화장실인테리어_3차네고견적(061017-1)" xfId="1342"/>
    <cellStyle name="1_tree_원가계산서_과천놀이터설계서_설계내역서1월7일_화명조경" xfId="1343"/>
    <cellStyle name="1_tree_원가계산서_과천놀이터설계서_설계내역서1월7일_화명조경_1차 기성 내역서 0612023" xfId="1344"/>
    <cellStyle name="1_tree_원가계산서_과천놀이터설계서_설계내역서1월7일_화명조경_3차네고견적(061017-1)" xfId="1345"/>
    <cellStyle name="1_tree_원가계산서_과천놀이터설계서_설계내역서1월7일_화명조경_백화점화장실인테리어" xfId="1346"/>
    <cellStyle name="1_tree_원가계산서_과천놀이터설계서_설계내역서1월7일_화명조경_백화점화장실인테리어_1차 기성 내역서 0612023" xfId="1347"/>
    <cellStyle name="1_tree_원가계산서_과천놀이터설계서_설계내역서1월7일_화명조경_백화점화장실인테리어_3차네고견적(061017-1)" xfId="1348"/>
    <cellStyle name="1_tree_원가계산서_과천놀이터설계서_화명조경" xfId="1349"/>
    <cellStyle name="1_tree_원가계산서_과천놀이터설계서_화명조경_1차 기성 내역서 0612023" xfId="1350"/>
    <cellStyle name="1_tree_원가계산서_과천놀이터설계서_화명조경_3차네고견적(061017-1)" xfId="1351"/>
    <cellStyle name="1_tree_원가계산서_과천놀이터설계서_화명조경_백화점화장실인테리어" xfId="1352"/>
    <cellStyle name="1_tree_원가계산서_과천놀이터설계서_화명조경_백화점화장실인테리어_1차 기성 내역서 0612023" xfId="1353"/>
    <cellStyle name="1_tree_원가계산서_과천놀이터설계서_화명조경_백화점화장실인테리어_3차네고견적(061017-1)" xfId="1354"/>
    <cellStyle name="1_tree_원가계산서_백화점화장실인테리어" xfId="1355"/>
    <cellStyle name="1_tree_원가계산서_백화점화장실인테리어_1차 기성 내역서 0612023" xfId="1356"/>
    <cellStyle name="1_tree_원가계산서_백화점화장실인테리어_3차네고견적(061017-1)" xfId="1357"/>
    <cellStyle name="1_tree_원가계산서_총괄갑지" xfId="1358"/>
    <cellStyle name="1_tree_원가계산서_총괄갑지_1차 기성 내역서 0612023" xfId="1359"/>
    <cellStyle name="1_tree_원가계산서_총괄갑지_3차네고견적(061017-1)" xfId="1360"/>
    <cellStyle name="1_tree_원가계산서_총괄갑지_백화점화장실인테리어" xfId="1361"/>
    <cellStyle name="1_tree_원가계산서_총괄갑지_백화점화장실인테리어_1차 기성 내역서 0612023" xfId="1362"/>
    <cellStyle name="1_tree_원가계산서_총괄갑지_백화점화장실인테리어_3차네고견적(061017-1)" xfId="1363"/>
    <cellStyle name="1_tree_원가계산서_총괄갑지_설계내역서" xfId="1364"/>
    <cellStyle name="1_tree_원가계산서_총괄갑지_설계내역서_1차 기성 내역서 0612023" xfId="1365"/>
    <cellStyle name="1_tree_원가계산서_총괄갑지_설계내역서_3차네고견적(061017-1)" xfId="1366"/>
    <cellStyle name="1_tree_원가계산서_총괄갑지_설계내역서_백화점화장실인테리어" xfId="1367"/>
    <cellStyle name="1_tree_원가계산서_총괄갑지_설계내역서_백화점화장실인테리어_1차 기성 내역서 0612023" xfId="1368"/>
    <cellStyle name="1_tree_원가계산서_총괄갑지_설계내역서_백화점화장실인테리어_3차네고견적(061017-1)" xfId="1369"/>
    <cellStyle name="1_tree_원가계산서_총괄갑지_설계내역서_화명조경" xfId="1370"/>
    <cellStyle name="1_tree_원가계산서_총괄갑지_설계내역서_화명조경_1차 기성 내역서 0612023" xfId="1371"/>
    <cellStyle name="1_tree_원가계산서_총괄갑지_설계내역서_화명조경_3차네고견적(061017-1)" xfId="1372"/>
    <cellStyle name="1_tree_원가계산서_총괄갑지_설계내역서_화명조경_백화점화장실인테리어" xfId="1373"/>
    <cellStyle name="1_tree_원가계산서_총괄갑지_설계내역서_화명조경_백화점화장실인테리어_1차 기성 내역서 0612023" xfId="1374"/>
    <cellStyle name="1_tree_원가계산서_총괄갑지_설계내역서_화명조경_백화점화장실인테리어_3차네고견적(061017-1)" xfId="1375"/>
    <cellStyle name="1_tree_원가계산서_총괄갑지_설계내역서1월7일" xfId="1376"/>
    <cellStyle name="1_tree_원가계산서_총괄갑지_설계내역서1월7일_1차 기성 내역서 0612023" xfId="1377"/>
    <cellStyle name="1_tree_원가계산서_총괄갑지_설계내역서1월7일_3차네고견적(061017-1)" xfId="1378"/>
    <cellStyle name="1_tree_원가계산서_총괄갑지_설계내역서1월7일_백화점화장실인테리어" xfId="1379"/>
    <cellStyle name="1_tree_원가계산서_총괄갑지_설계내역서1월7일_백화점화장실인테리어_1차 기성 내역서 0612023" xfId="1380"/>
    <cellStyle name="1_tree_원가계산서_총괄갑지_설계내역서1월7일_백화점화장실인테리어_3차네고견적(061017-1)" xfId="1381"/>
    <cellStyle name="1_tree_원가계산서_총괄갑지_설계내역서1월7일_화명조경" xfId="1382"/>
    <cellStyle name="1_tree_원가계산서_총괄갑지_설계내역서1월7일_화명조경_1차 기성 내역서 0612023" xfId="1383"/>
    <cellStyle name="1_tree_원가계산서_총괄갑지_설계내역서1월7일_화명조경_3차네고견적(061017-1)" xfId="1384"/>
    <cellStyle name="1_tree_원가계산서_총괄갑지_설계내역서1월7일_화명조경_백화점화장실인테리어" xfId="1385"/>
    <cellStyle name="1_tree_원가계산서_총괄갑지_설계내역서1월7일_화명조경_백화점화장실인테리어_1차 기성 내역서 0612023" xfId="1386"/>
    <cellStyle name="1_tree_원가계산서_총괄갑지_설계내역서1월7일_화명조경_백화점화장실인테리어_3차네고견적(061017-1)" xfId="1387"/>
    <cellStyle name="1_tree_원가계산서_총괄갑지_화명조경" xfId="1388"/>
    <cellStyle name="1_tree_원가계산서_총괄갑지_화명조경_1차 기성 내역서 0612023" xfId="1389"/>
    <cellStyle name="1_tree_원가계산서_총괄갑지_화명조경_3차네고견적(061017-1)" xfId="1390"/>
    <cellStyle name="1_tree_원가계산서_총괄갑지_화명조경_백화점화장실인테리어" xfId="1391"/>
    <cellStyle name="1_tree_원가계산서_총괄갑지_화명조경_백화점화장실인테리어_1차 기성 내역서 0612023" xfId="1392"/>
    <cellStyle name="1_tree_원가계산서_총괄갑지_화명조경_백화점화장실인테리어_3차네고견적(061017-1)" xfId="1393"/>
    <cellStyle name="1_tree_원가계산서_총괄내역서" xfId="1394"/>
    <cellStyle name="1_tree_원가계산서_총괄내역서_1차 기성 내역서 0612023" xfId="1395"/>
    <cellStyle name="1_tree_원가계산서_총괄내역서_3차네고견적(061017-1)" xfId="1396"/>
    <cellStyle name="1_tree_원가계산서_총괄내역서_백화점화장실인테리어" xfId="1397"/>
    <cellStyle name="1_tree_원가계산서_총괄내역서_백화점화장실인테리어_1차 기성 내역서 0612023" xfId="1398"/>
    <cellStyle name="1_tree_원가계산서_총괄내역서_백화점화장실인테리어_3차네고견적(061017-1)" xfId="1399"/>
    <cellStyle name="1_tree_원가계산서_총괄내역서_설계내역서" xfId="1400"/>
    <cellStyle name="1_tree_원가계산서_총괄내역서_설계내역서_1차 기성 내역서 0612023" xfId="1401"/>
    <cellStyle name="1_tree_원가계산서_총괄내역서_설계내역서_3차네고견적(061017-1)" xfId="1402"/>
    <cellStyle name="1_tree_원가계산서_총괄내역서_설계내역서_백화점화장실인테리어" xfId="1403"/>
    <cellStyle name="1_tree_원가계산서_총괄내역서_설계내역서_백화점화장실인테리어_1차 기성 내역서 0612023" xfId="1404"/>
    <cellStyle name="1_tree_원가계산서_총괄내역서_설계내역서_백화점화장실인테리어_3차네고견적(061017-1)" xfId="1405"/>
    <cellStyle name="1_tree_원가계산서_총괄내역서_설계내역서_화명조경" xfId="1406"/>
    <cellStyle name="1_tree_원가계산서_총괄내역서_설계내역서_화명조경_1차 기성 내역서 0612023" xfId="1407"/>
    <cellStyle name="1_tree_원가계산서_총괄내역서_설계내역서_화명조경_3차네고견적(061017-1)" xfId="1408"/>
    <cellStyle name="1_tree_원가계산서_총괄내역서_설계내역서_화명조경_백화점화장실인테리어" xfId="1409"/>
    <cellStyle name="1_tree_원가계산서_총괄내역서_설계내역서_화명조경_백화점화장실인테리어_1차 기성 내역서 0612023" xfId="1410"/>
    <cellStyle name="1_tree_원가계산서_총괄내역서_설계내역서_화명조경_백화점화장실인테리어_3차네고견적(061017-1)" xfId="1411"/>
    <cellStyle name="1_tree_원가계산서_총괄내역서_설계내역서1월7일" xfId="1412"/>
    <cellStyle name="1_tree_원가계산서_총괄내역서_설계내역서1월7일_1차 기성 내역서 0612023" xfId="1413"/>
    <cellStyle name="1_tree_원가계산서_총괄내역서_설계내역서1월7일_3차네고견적(061017-1)" xfId="1414"/>
    <cellStyle name="1_tree_원가계산서_총괄내역서_설계내역서1월7일_백화점화장실인테리어" xfId="1415"/>
    <cellStyle name="1_tree_원가계산서_총괄내역서_설계내역서1월7일_백화점화장실인테리어_1차 기성 내역서 0612023" xfId="1416"/>
    <cellStyle name="1_tree_원가계산서_총괄내역서_설계내역서1월7일_백화점화장실인테리어_3차네고견적(061017-1)" xfId="1417"/>
    <cellStyle name="1_tree_원가계산서_총괄내역서_설계내역서1월7일_화명조경" xfId="1418"/>
    <cellStyle name="1_tree_원가계산서_총괄내역서_설계내역서1월7일_화명조경_1차 기성 내역서 0612023" xfId="1419"/>
    <cellStyle name="1_tree_원가계산서_총괄내역서_설계내역서1월7일_화명조경_3차네고견적(061017-1)" xfId="1420"/>
    <cellStyle name="1_tree_원가계산서_총괄내역서_설계내역서1월7일_화명조경_백화점화장실인테리어" xfId="1421"/>
    <cellStyle name="1_tree_원가계산서_총괄내역서_설계내역서1월7일_화명조경_백화점화장실인테리어_1차 기성 내역서 0612023" xfId="1422"/>
    <cellStyle name="1_tree_원가계산서_총괄내역서_설계내역서1월7일_화명조경_백화점화장실인테리어_3차네고견적(061017-1)" xfId="1423"/>
    <cellStyle name="1_tree_원가계산서_총괄내역서_화명조경" xfId="1424"/>
    <cellStyle name="1_tree_원가계산서_총괄내역서_화명조경_1차 기성 내역서 0612023" xfId="1425"/>
    <cellStyle name="1_tree_원가계산서_총괄내역서_화명조경_3차네고견적(061017-1)" xfId="1426"/>
    <cellStyle name="1_tree_원가계산서_총괄내역서_화명조경_백화점화장실인테리어" xfId="1427"/>
    <cellStyle name="1_tree_원가계산서_총괄내역서_화명조경_백화점화장실인테리어_1차 기성 내역서 0612023" xfId="1428"/>
    <cellStyle name="1_tree_원가계산서_총괄내역서_화명조경_백화점화장실인테리어_3차네고견적(061017-1)" xfId="1429"/>
    <cellStyle name="1_tree_원가계산서_화명조경" xfId="1430"/>
    <cellStyle name="1_tree_원가계산서_화명조경_1차 기성 내역서 0612023" xfId="1431"/>
    <cellStyle name="1_tree_원가계산서_화명조경_3차네고견적(061017-1)" xfId="1432"/>
    <cellStyle name="1_tree_원가계산서_화명조경_백화점화장실인테리어" xfId="1433"/>
    <cellStyle name="1_tree_원가계산서_화명조경_백화점화장실인테리어_1차 기성 내역서 0612023" xfId="1434"/>
    <cellStyle name="1_tree_원가계산서_화명조경_백화점화장실인테리어_3차네고견적(061017-1)" xfId="1435"/>
    <cellStyle name="1_tree_은파수량집계" xfId="1436"/>
    <cellStyle name="1_tree_은파수량집계_1차 기성 내역서 0612023" xfId="1437"/>
    <cellStyle name="1_tree_은파수량집계_3차네고견적(061017-1)" xfId="1438"/>
    <cellStyle name="1_tree_은파수량집계_백화점화장실인테리어" xfId="1439"/>
    <cellStyle name="1_tree_은파수량집계_백화점화장실인테리어_1차 기성 내역서 0612023" xfId="1440"/>
    <cellStyle name="1_tree_은파수량집계_백화점화장실인테리어_3차네고견적(061017-1)" xfId="1441"/>
    <cellStyle name="1_tree_은파수량집계_설계내역서" xfId="1442"/>
    <cellStyle name="1_tree_은파수량집계_설계내역서_1차 기성 내역서 0612023" xfId="1443"/>
    <cellStyle name="1_tree_은파수량집계_설계내역서_3차네고견적(061017-1)" xfId="1444"/>
    <cellStyle name="1_tree_은파수량집계_설계내역서_백화점화장실인테리어" xfId="1445"/>
    <cellStyle name="1_tree_은파수량집계_설계내역서_백화점화장실인테리어_1차 기성 내역서 0612023" xfId="1446"/>
    <cellStyle name="1_tree_은파수량집계_설계내역서_백화점화장실인테리어_3차네고견적(061017-1)" xfId="1447"/>
    <cellStyle name="1_tree_은파수량집계_설계내역서_화명조경" xfId="1448"/>
    <cellStyle name="1_tree_은파수량집계_설계내역서_화명조경_1차 기성 내역서 0612023" xfId="1449"/>
    <cellStyle name="1_tree_은파수량집계_설계내역서_화명조경_3차네고견적(061017-1)" xfId="1450"/>
    <cellStyle name="1_tree_은파수량집계_설계내역서_화명조경_백화점화장실인테리어" xfId="1451"/>
    <cellStyle name="1_tree_은파수량집계_설계내역서_화명조경_백화점화장실인테리어_1차 기성 내역서 0612023" xfId="1452"/>
    <cellStyle name="1_tree_은파수량집계_설계내역서_화명조경_백화점화장실인테리어_3차네고견적(061017-1)" xfId="1453"/>
    <cellStyle name="1_tree_은파수량집계_설계내역서1월7일" xfId="1454"/>
    <cellStyle name="1_tree_은파수량집계_설계내역서1월7일_1차 기성 내역서 0612023" xfId="1455"/>
    <cellStyle name="1_tree_은파수량집계_설계내역서1월7일_3차네고견적(061017-1)" xfId="1456"/>
    <cellStyle name="1_tree_은파수량집계_설계내역서1월7일_백화점화장실인테리어" xfId="1457"/>
    <cellStyle name="1_tree_은파수량집계_설계내역서1월7일_백화점화장실인테리어_1차 기성 내역서 0612023" xfId="1458"/>
    <cellStyle name="1_tree_은파수량집계_설계내역서1월7일_백화점화장실인테리어_3차네고견적(061017-1)" xfId="1459"/>
    <cellStyle name="1_tree_은파수량집계_설계내역서1월7일_화명조경" xfId="1460"/>
    <cellStyle name="1_tree_은파수량집계_설계내역서1월7일_화명조경_1차 기성 내역서 0612023" xfId="1461"/>
    <cellStyle name="1_tree_은파수량집계_설계내역서1월7일_화명조경_3차네고견적(061017-1)" xfId="1462"/>
    <cellStyle name="1_tree_은파수량집계_설계내역서1월7일_화명조경_백화점화장실인테리어" xfId="1463"/>
    <cellStyle name="1_tree_은파수량집계_설계내역서1월7일_화명조경_백화점화장실인테리어_1차 기성 내역서 0612023" xfId="1464"/>
    <cellStyle name="1_tree_은파수량집계_설계내역서1월7일_화명조경_백화점화장실인테리어_3차네고견적(061017-1)" xfId="1465"/>
    <cellStyle name="1_tree_은파수량집계_화명조경" xfId="1466"/>
    <cellStyle name="1_tree_은파수량집계_화명조경_1차 기성 내역서 0612023" xfId="1467"/>
    <cellStyle name="1_tree_은파수량집계_화명조경_3차네고견적(061017-1)" xfId="1468"/>
    <cellStyle name="1_tree_은파수량집계_화명조경_백화점화장실인테리어" xfId="1469"/>
    <cellStyle name="1_tree_은파수량집계_화명조경_백화점화장실인테리어_1차 기성 내역서 0612023" xfId="1470"/>
    <cellStyle name="1_tree_은파수량집계_화명조경_백화점화장실인테리어_3차네고견적(061017-1)" xfId="1471"/>
    <cellStyle name="1_tree_터미널1-0" xfId="1472"/>
    <cellStyle name="1_tree_터미널1-0_1" xfId="1473"/>
    <cellStyle name="1_tree_터미널1-0_1_1차 기성 내역서 0612023" xfId="1474"/>
    <cellStyle name="1_tree_터미널1-0_1_3차네고견적(061017-1)" xfId="1475"/>
    <cellStyle name="1_tree_터미널1-0_1_백화점화장실인테리어" xfId="1476"/>
    <cellStyle name="1_tree_터미널1-0_1_백화점화장실인테리어_1차 기성 내역서 0612023" xfId="1477"/>
    <cellStyle name="1_tree_터미널1-0_1_백화점화장실인테리어_3차네고견적(061017-1)" xfId="1478"/>
    <cellStyle name="1_tree_터미널1-0_1_화명조경" xfId="1479"/>
    <cellStyle name="1_tree_터미널1-0_1_화명조경_1차 기성 내역서 0612023" xfId="1480"/>
    <cellStyle name="1_tree_터미널1-0_1_화명조경_3차네고견적(061017-1)" xfId="1481"/>
    <cellStyle name="1_tree_터미널1-0_1_화명조경_백화점화장실인테리어" xfId="1482"/>
    <cellStyle name="1_tree_터미널1-0_1_화명조경_백화점화장실인테리어_1차 기성 내역서 0612023" xfId="1483"/>
    <cellStyle name="1_tree_터미널1-0_1_화명조경_백화점화장실인테리어_3차네고견적(061017-1)" xfId="1484"/>
    <cellStyle name="1_tree_터미널1-0_1차 기성 내역서 0612023" xfId="1485"/>
    <cellStyle name="1_tree_터미널1-0_3차네고견적(061017-1)" xfId="1486"/>
    <cellStyle name="1_tree_터미널1-0_백화점화장실인테리어" xfId="1487"/>
    <cellStyle name="1_tree_터미널1-0_백화점화장실인테리어_1차 기성 내역서 0612023" xfId="1488"/>
    <cellStyle name="1_tree_터미널1-0_백화점화장실인테리어_3차네고견적(061017-1)" xfId="1489"/>
    <cellStyle name="1_tree_터미널1-0_설계내역서" xfId="1490"/>
    <cellStyle name="1_tree_터미널1-0_설계내역서_1차 기성 내역서 0612023" xfId="1491"/>
    <cellStyle name="1_tree_터미널1-0_설계내역서_3차네고견적(061017-1)" xfId="1492"/>
    <cellStyle name="1_tree_터미널1-0_설계내역서_백화점화장실인테리어" xfId="1493"/>
    <cellStyle name="1_tree_터미널1-0_설계내역서_백화점화장실인테리어_1차 기성 내역서 0612023" xfId="1494"/>
    <cellStyle name="1_tree_터미널1-0_설계내역서_백화점화장실인테리어_3차네고견적(061017-1)" xfId="1495"/>
    <cellStyle name="1_tree_터미널1-0_설계내역서_화명조경" xfId="1496"/>
    <cellStyle name="1_tree_터미널1-0_설계내역서_화명조경_1차 기성 내역서 0612023" xfId="1497"/>
    <cellStyle name="1_tree_터미널1-0_설계내역서_화명조경_3차네고견적(061017-1)" xfId="1498"/>
    <cellStyle name="1_tree_터미널1-0_설계내역서_화명조경_백화점화장실인테리어" xfId="1499"/>
    <cellStyle name="1_tree_터미널1-0_설계내역서_화명조경_백화점화장실인테리어_1차 기성 내역서 0612023" xfId="1500"/>
    <cellStyle name="1_tree_터미널1-0_설계내역서_화명조경_백화점화장실인테리어_3차네고견적(061017-1)" xfId="1501"/>
    <cellStyle name="1_tree_터미널1-0_설계내역서1월7일" xfId="1502"/>
    <cellStyle name="1_tree_터미널1-0_설계내역서1월7일_1차 기성 내역서 0612023" xfId="1503"/>
    <cellStyle name="1_tree_터미널1-0_설계내역서1월7일_3차네고견적(061017-1)" xfId="1504"/>
    <cellStyle name="1_tree_터미널1-0_설계내역서1월7일_백화점화장실인테리어" xfId="1505"/>
    <cellStyle name="1_tree_터미널1-0_설계내역서1월7일_백화점화장실인테리어_1차 기성 내역서 0612023" xfId="1506"/>
    <cellStyle name="1_tree_터미널1-0_설계내역서1월7일_백화점화장실인테리어_3차네고견적(061017-1)" xfId="1507"/>
    <cellStyle name="1_tree_터미널1-0_설계내역서1월7일_화명조경" xfId="1508"/>
    <cellStyle name="1_tree_터미널1-0_설계내역서1월7일_화명조경_1차 기성 내역서 0612023" xfId="1509"/>
    <cellStyle name="1_tree_터미널1-0_설계내역서1월7일_화명조경_3차네고견적(061017-1)" xfId="1510"/>
    <cellStyle name="1_tree_터미널1-0_설계내역서1월7일_화명조경_백화점화장실인테리어" xfId="1511"/>
    <cellStyle name="1_tree_터미널1-0_설계내역서1월7일_화명조경_백화점화장실인테리어_1차 기성 내역서 0612023" xfId="1512"/>
    <cellStyle name="1_tree_터미널1-0_설계내역서1월7일_화명조경_백화점화장실인테리어_3차네고견적(061017-1)" xfId="1513"/>
    <cellStyle name="1_tree_터미널1-0_쌍용수량0905" xfId="1514"/>
    <cellStyle name="1_tree_터미널1-0_쌍용수량0905_1차 기성 내역서 0612023" xfId="1515"/>
    <cellStyle name="1_tree_터미널1-0_쌍용수량0905_3차네고견적(061017-1)" xfId="1516"/>
    <cellStyle name="1_tree_터미널1-0_쌍용수량0905_백화점화장실인테리어" xfId="1517"/>
    <cellStyle name="1_tree_터미널1-0_쌍용수량0905_백화점화장실인테리어_1차 기성 내역서 0612023" xfId="1518"/>
    <cellStyle name="1_tree_터미널1-0_쌍용수량0905_백화점화장실인테리어_3차네고견적(061017-1)" xfId="1519"/>
    <cellStyle name="1_tree_터미널1-0_쌍용수량0905_설계내역서" xfId="1520"/>
    <cellStyle name="1_tree_터미널1-0_쌍용수량0905_설계내역서_1차 기성 내역서 0612023" xfId="1521"/>
    <cellStyle name="1_tree_터미널1-0_쌍용수량0905_설계내역서_3차네고견적(061017-1)" xfId="1522"/>
    <cellStyle name="1_tree_터미널1-0_쌍용수량0905_설계내역서_백화점화장실인테리어" xfId="1523"/>
    <cellStyle name="1_tree_터미널1-0_쌍용수량0905_설계내역서_백화점화장실인테리어_1차 기성 내역서 0612023" xfId="1524"/>
    <cellStyle name="1_tree_터미널1-0_쌍용수량0905_설계내역서_백화점화장실인테리어_3차네고견적(061017-1)" xfId="1525"/>
    <cellStyle name="1_tree_터미널1-0_쌍용수량0905_설계내역서_화명조경" xfId="1526"/>
    <cellStyle name="1_tree_터미널1-0_쌍용수량0905_설계내역서_화명조경_1차 기성 내역서 0612023" xfId="1527"/>
    <cellStyle name="1_tree_터미널1-0_쌍용수량0905_설계내역서_화명조경_3차네고견적(061017-1)" xfId="1528"/>
    <cellStyle name="1_tree_터미널1-0_쌍용수량0905_설계내역서_화명조경_백화점화장실인테리어" xfId="1529"/>
    <cellStyle name="1_tree_터미널1-0_쌍용수량0905_설계내역서_화명조경_백화점화장실인테리어_1차 기성 내역서 0612023" xfId="1530"/>
    <cellStyle name="1_tree_터미널1-0_쌍용수량0905_설계내역서_화명조경_백화점화장실인테리어_3차네고견적(061017-1)" xfId="1531"/>
    <cellStyle name="1_tree_터미널1-0_쌍용수량0905_설계내역서1월7일" xfId="1532"/>
    <cellStyle name="1_tree_터미널1-0_쌍용수량0905_설계내역서1월7일_1차 기성 내역서 0612023" xfId="1533"/>
    <cellStyle name="1_tree_터미널1-0_쌍용수량0905_설계내역서1월7일_3차네고견적(061017-1)" xfId="1534"/>
    <cellStyle name="1_tree_터미널1-0_쌍용수량0905_설계내역서1월7일_백화점화장실인테리어" xfId="1535"/>
    <cellStyle name="1_tree_터미널1-0_쌍용수량0905_설계내역서1월7일_백화점화장실인테리어_1차 기성 내역서 0612023" xfId="1536"/>
    <cellStyle name="1_tree_터미널1-0_쌍용수량0905_설계내역서1월7일_백화점화장실인테리어_3차네고견적(061017-1)" xfId="1537"/>
    <cellStyle name="1_tree_터미널1-0_쌍용수량0905_설계내역서1월7일_화명조경" xfId="1538"/>
    <cellStyle name="1_tree_터미널1-0_쌍용수량0905_설계내역서1월7일_화명조경_1차 기성 내역서 0612023" xfId="1539"/>
    <cellStyle name="1_tree_터미널1-0_쌍용수량0905_설계내역서1월7일_화명조경_3차네고견적(061017-1)" xfId="1540"/>
    <cellStyle name="1_tree_터미널1-0_쌍용수량0905_설계내역서1월7일_화명조경_백화점화장실인테리어" xfId="1541"/>
    <cellStyle name="1_tree_터미널1-0_쌍용수량0905_설계내역서1월7일_화명조경_백화점화장실인테리어_1차 기성 내역서 0612023" xfId="1542"/>
    <cellStyle name="1_tree_터미널1-0_쌍용수량0905_설계내역서1월7일_화명조경_백화점화장실인테리어_3차네고견적(061017-1)" xfId="1543"/>
    <cellStyle name="1_tree_터미널1-0_쌍용수량0905_화명조경" xfId="1544"/>
    <cellStyle name="1_tree_터미널1-0_쌍용수량0905_화명조경_1차 기성 내역서 0612023" xfId="1545"/>
    <cellStyle name="1_tree_터미널1-0_쌍용수량0905_화명조경_3차네고견적(061017-1)" xfId="1546"/>
    <cellStyle name="1_tree_터미널1-0_쌍용수량0905_화명조경_백화점화장실인테리어" xfId="1547"/>
    <cellStyle name="1_tree_터미널1-0_쌍용수량0905_화명조경_백화점화장실인테리어_1차 기성 내역서 0612023" xfId="1548"/>
    <cellStyle name="1_tree_터미널1-0_쌍용수량0905_화명조경_백화점화장실인테리어_3차네고견적(061017-1)" xfId="1549"/>
    <cellStyle name="1_tree_터미널1-0_화명조경" xfId="1550"/>
    <cellStyle name="1_tree_터미널1-0_화명조경_1차 기성 내역서 0612023" xfId="1551"/>
    <cellStyle name="1_tree_터미널1-0_화명조경_3차네고견적(061017-1)" xfId="1552"/>
    <cellStyle name="1_tree_터미널1-0_화명조경_백화점화장실인테리어" xfId="1553"/>
    <cellStyle name="1_tree_터미널1-0_화명조경_백화점화장실인테리어_1차 기성 내역서 0612023" xfId="1554"/>
    <cellStyle name="1_tree_터미널1-0_화명조경_백화점화장실인테리어_3차네고견적(061017-1)" xfId="1555"/>
    <cellStyle name="1_tree_한풍집계" xfId="1556"/>
    <cellStyle name="1_tree_한풍집계_1차 기성 내역서 0612023" xfId="1557"/>
    <cellStyle name="1_tree_한풍집계_3차네고견적(061017-1)" xfId="1558"/>
    <cellStyle name="1_tree_한풍집계_갑지0601" xfId="1559"/>
    <cellStyle name="1_tree_한풍집계_갑지0601_00갑지" xfId="1560"/>
    <cellStyle name="1_tree_한풍집계_갑지0601_00갑지_1차 기성 내역서 0612023" xfId="1561"/>
    <cellStyle name="1_tree_한풍집계_갑지0601_00갑지_3차네고견적(061017-1)" xfId="1562"/>
    <cellStyle name="1_tree_한풍집계_갑지0601_00갑지_백화점화장실인테리어" xfId="1563"/>
    <cellStyle name="1_tree_한풍집계_갑지0601_00갑지_백화점화장실인테리어_1차 기성 내역서 0612023" xfId="1564"/>
    <cellStyle name="1_tree_한풍집계_갑지0601_00갑지_백화점화장실인테리어_3차네고견적(061017-1)" xfId="1565"/>
    <cellStyle name="1_tree_한풍집계_갑지0601_00갑지_설계내역서" xfId="1566"/>
    <cellStyle name="1_tree_한풍집계_갑지0601_00갑지_설계내역서_1차 기성 내역서 0612023" xfId="1567"/>
    <cellStyle name="1_tree_한풍집계_갑지0601_00갑지_설계내역서_3차네고견적(061017-1)" xfId="1568"/>
    <cellStyle name="1_tree_한풍집계_갑지0601_00갑지_설계내역서_백화점화장실인테리어" xfId="1569"/>
    <cellStyle name="1_tree_한풍집계_갑지0601_00갑지_설계내역서_백화점화장실인테리어_1차 기성 내역서 0612023" xfId="1570"/>
    <cellStyle name="1_tree_한풍집계_갑지0601_00갑지_설계내역서_백화점화장실인테리어_3차네고견적(061017-1)" xfId="1571"/>
    <cellStyle name="1_tree_한풍집계_갑지0601_00갑지_설계내역서_화명조경" xfId="1572"/>
    <cellStyle name="1_tree_한풍집계_갑지0601_00갑지_설계내역서_화명조경_1차 기성 내역서 0612023" xfId="1573"/>
    <cellStyle name="1_tree_한풍집계_갑지0601_00갑지_설계내역서_화명조경_3차네고견적(061017-1)" xfId="1574"/>
    <cellStyle name="1_tree_한풍집계_갑지0601_00갑지_설계내역서_화명조경_백화점화장실인테리어" xfId="1575"/>
    <cellStyle name="1_tree_한풍집계_갑지0601_00갑지_설계내역서_화명조경_백화점화장실인테리어_1차 기성 내역서 0612023" xfId="1576"/>
    <cellStyle name="1_tree_한풍집계_갑지0601_00갑지_설계내역서_화명조경_백화점화장실인테리어_3차네고견적(061017-1)" xfId="1577"/>
    <cellStyle name="1_tree_한풍집계_갑지0601_00갑지_설계내역서1월7일" xfId="1578"/>
    <cellStyle name="1_tree_한풍집계_갑지0601_00갑지_설계내역서1월7일_1차 기성 내역서 0612023" xfId="1579"/>
    <cellStyle name="1_tree_한풍집계_갑지0601_00갑지_설계내역서1월7일_3차네고견적(061017-1)" xfId="1580"/>
    <cellStyle name="1_tree_한풍집계_갑지0601_00갑지_설계내역서1월7일_백화점화장실인테리어" xfId="1581"/>
    <cellStyle name="1_tree_한풍집계_갑지0601_00갑지_설계내역서1월7일_백화점화장실인테리어_1차 기성 내역서 0612023" xfId="1582"/>
    <cellStyle name="1_tree_한풍집계_갑지0601_00갑지_설계내역서1월7일_백화점화장실인테리어_3차네고견적(061017-1)" xfId="1583"/>
    <cellStyle name="1_tree_한풍집계_갑지0601_00갑지_설계내역서1월7일_화명조경" xfId="1584"/>
    <cellStyle name="1_tree_한풍집계_갑지0601_00갑지_설계내역서1월7일_화명조경_1차 기성 내역서 0612023" xfId="1585"/>
    <cellStyle name="1_tree_한풍집계_갑지0601_00갑지_설계내역서1월7일_화명조경_3차네고견적(061017-1)" xfId="1586"/>
    <cellStyle name="1_tree_한풍집계_갑지0601_00갑지_설계내역서1월7일_화명조경_백화점화장실인테리어" xfId="1587"/>
    <cellStyle name="1_tree_한풍집계_갑지0601_00갑지_설계내역서1월7일_화명조경_백화점화장실인테리어_1차 기성 내역서 0612023" xfId="1588"/>
    <cellStyle name="1_tree_한풍집계_갑지0601_00갑지_설계내역서1월7일_화명조경_백화점화장실인테리어_3차네고견적(061017-1)" xfId="1589"/>
    <cellStyle name="1_tree_한풍집계_갑지0601_00갑지_화명조경" xfId="1590"/>
    <cellStyle name="1_tree_한풍집계_갑지0601_00갑지_화명조경_1차 기성 내역서 0612023" xfId="1591"/>
    <cellStyle name="1_tree_한풍집계_갑지0601_00갑지_화명조경_3차네고견적(061017-1)" xfId="1592"/>
    <cellStyle name="1_tree_한풍집계_갑지0601_00갑지_화명조경_백화점화장실인테리어" xfId="1593"/>
    <cellStyle name="1_tree_한풍집계_갑지0601_00갑지_화명조경_백화점화장실인테리어_1차 기성 내역서 0612023" xfId="1594"/>
    <cellStyle name="1_tree_한풍집계_갑지0601_00갑지_화명조경_백화점화장실인테리어_3차네고견적(061017-1)" xfId="1595"/>
    <cellStyle name="1_tree_한풍집계_갑지0601_1차 기성 내역서 0612023" xfId="1596"/>
    <cellStyle name="1_tree_한풍집계_갑지0601_3차네고견적(061017-1)" xfId="1597"/>
    <cellStyle name="1_tree_한풍집계_갑지0601_과천놀이터설계서" xfId="1598"/>
    <cellStyle name="1_tree_한풍집계_갑지0601_과천놀이터설계서_1차 기성 내역서 0612023" xfId="1599"/>
    <cellStyle name="1_tree_한풍집계_갑지0601_과천놀이터설계서_3차네고견적(061017-1)" xfId="1600"/>
    <cellStyle name="1_tree_한풍집계_갑지0601_과천놀이터설계서_백화점화장실인테리어" xfId="1601"/>
    <cellStyle name="1_tree_한풍집계_갑지0601_과천놀이터설계서_백화점화장실인테리어_1차 기성 내역서 0612023" xfId="1602"/>
    <cellStyle name="1_tree_한풍집계_갑지0601_과천놀이터설계서_백화점화장실인테리어_3차네고견적(061017-1)" xfId="1603"/>
    <cellStyle name="1_tree_한풍집계_갑지0601_과천놀이터설계서_설계내역서" xfId="1604"/>
    <cellStyle name="1_tree_한풍집계_갑지0601_과천놀이터설계서_설계내역서_1차 기성 내역서 0612023" xfId="1605"/>
    <cellStyle name="1_tree_한풍집계_갑지0601_과천놀이터설계서_설계내역서_3차네고견적(061017-1)" xfId="1606"/>
    <cellStyle name="1_tree_한풍집계_갑지0601_과천놀이터설계서_설계내역서_백화점화장실인테리어" xfId="1607"/>
    <cellStyle name="1_tree_한풍집계_갑지0601_과천놀이터설계서_설계내역서_백화점화장실인테리어_1차 기성 내역서 0612023" xfId="1608"/>
    <cellStyle name="1_tree_한풍집계_갑지0601_과천놀이터설계서_설계내역서_백화점화장실인테리어_3차네고견적(061017-1)" xfId="1609"/>
    <cellStyle name="1_tree_한풍집계_갑지0601_과천놀이터설계서_설계내역서_화명조경" xfId="1610"/>
    <cellStyle name="1_tree_한풍집계_갑지0601_과천놀이터설계서_설계내역서_화명조경_1차 기성 내역서 0612023" xfId="1611"/>
    <cellStyle name="1_tree_한풍집계_갑지0601_과천놀이터설계서_설계내역서_화명조경_3차네고견적(061017-1)" xfId="1612"/>
    <cellStyle name="1_tree_한풍집계_갑지0601_과천놀이터설계서_설계내역서_화명조경_백화점화장실인테리어" xfId="1613"/>
    <cellStyle name="1_tree_한풍집계_갑지0601_과천놀이터설계서_설계내역서_화명조경_백화점화장실인테리어_1차 기성 내역서 0612023" xfId="1614"/>
    <cellStyle name="1_tree_한풍집계_갑지0601_과천놀이터설계서_설계내역서_화명조경_백화점화장실인테리어_3차네고견적(061017-1)" xfId="1615"/>
    <cellStyle name="1_tree_한풍집계_갑지0601_과천놀이터설계서_설계내역서1월7일" xfId="1616"/>
    <cellStyle name="1_tree_한풍집계_갑지0601_과천놀이터설계서_설계내역서1월7일_1차 기성 내역서 0612023" xfId="1617"/>
    <cellStyle name="1_tree_한풍집계_갑지0601_과천놀이터설계서_설계내역서1월7일_3차네고견적(061017-1)" xfId="1618"/>
    <cellStyle name="1_tree_한풍집계_갑지0601_과천놀이터설계서_설계내역서1월7일_백화점화장실인테리어" xfId="1619"/>
    <cellStyle name="1_tree_한풍집계_갑지0601_과천놀이터설계서_설계내역서1월7일_백화점화장실인테리어_1차 기성 내역서 0612023" xfId="1620"/>
    <cellStyle name="1_tree_한풍집계_갑지0601_과천놀이터설계서_설계내역서1월7일_백화점화장실인테리어_3차네고견적(061017-1)" xfId="1621"/>
    <cellStyle name="1_tree_한풍집계_갑지0601_과천놀이터설계서_설계내역서1월7일_화명조경" xfId="1622"/>
    <cellStyle name="1_tree_한풍집계_갑지0601_과천놀이터설계서_설계내역서1월7일_화명조경_1차 기성 내역서 0612023" xfId="1623"/>
    <cellStyle name="1_tree_한풍집계_갑지0601_과천놀이터설계서_설계내역서1월7일_화명조경_3차네고견적(061017-1)" xfId="1624"/>
    <cellStyle name="1_tree_한풍집계_갑지0601_과천놀이터설계서_설계내역서1월7일_화명조경_백화점화장실인테리어" xfId="1625"/>
    <cellStyle name="1_tree_한풍집계_갑지0601_과천놀이터설계서_설계내역서1월7일_화명조경_백화점화장실인테리어_1차 기성 내역서 0612023" xfId="1626"/>
    <cellStyle name="1_tree_한풍집계_갑지0601_과천놀이터설계서_설계내역서1월7일_화명조경_백화점화장실인테리어_3차네고견적(061017-1)" xfId="1627"/>
    <cellStyle name="1_tree_한풍집계_갑지0601_과천놀이터설계서_화명조경" xfId="1628"/>
    <cellStyle name="1_tree_한풍집계_갑지0601_과천놀이터설계서_화명조경_1차 기성 내역서 0612023" xfId="1629"/>
    <cellStyle name="1_tree_한풍집계_갑지0601_과천놀이터설계서_화명조경_3차네고견적(061017-1)" xfId="1630"/>
    <cellStyle name="1_tree_한풍집계_갑지0601_과천놀이터설계서_화명조경_백화점화장실인테리어" xfId="1631"/>
    <cellStyle name="1_tree_한풍집계_갑지0601_과천놀이터설계서_화명조경_백화점화장실인테리어_1차 기성 내역서 0612023" xfId="1632"/>
    <cellStyle name="1_tree_한풍집계_갑지0601_과천놀이터설계서_화명조경_백화점화장실인테리어_3차네고견적(061017-1)" xfId="1633"/>
    <cellStyle name="1_tree_한풍집계_갑지0601_백화점화장실인테리어" xfId="1634"/>
    <cellStyle name="1_tree_한풍집계_갑지0601_백화점화장실인테리어_1차 기성 내역서 0612023" xfId="1635"/>
    <cellStyle name="1_tree_한풍집계_갑지0601_백화점화장실인테리어_3차네고견적(061017-1)" xfId="1636"/>
    <cellStyle name="1_tree_한풍집계_갑지0601_총괄갑지" xfId="1637"/>
    <cellStyle name="1_tree_한풍집계_갑지0601_총괄갑지_1차 기성 내역서 0612023" xfId="1638"/>
    <cellStyle name="1_tree_한풍집계_갑지0601_총괄갑지_3차네고견적(061017-1)" xfId="1639"/>
    <cellStyle name="1_tree_한풍집계_갑지0601_총괄갑지_백화점화장실인테리어" xfId="1640"/>
    <cellStyle name="1_tree_한풍집계_갑지0601_총괄갑지_백화점화장실인테리어_1차 기성 내역서 0612023" xfId="1641"/>
    <cellStyle name="1_tree_한풍집계_갑지0601_총괄갑지_백화점화장실인테리어_3차네고견적(061017-1)" xfId="1642"/>
    <cellStyle name="1_tree_한풍집계_갑지0601_총괄갑지_설계내역서" xfId="1643"/>
    <cellStyle name="1_tree_한풍집계_갑지0601_총괄갑지_설계내역서_1차 기성 내역서 0612023" xfId="1644"/>
    <cellStyle name="1_tree_한풍집계_갑지0601_총괄갑지_설계내역서_3차네고견적(061017-1)" xfId="1645"/>
    <cellStyle name="1_tree_한풍집계_갑지0601_총괄갑지_설계내역서_백화점화장실인테리어" xfId="1646"/>
    <cellStyle name="1_tree_한풍집계_갑지0601_총괄갑지_설계내역서_백화점화장실인테리어_1차 기성 내역서 0612023" xfId="1647"/>
    <cellStyle name="1_tree_한풍집계_갑지0601_총괄갑지_설계내역서_백화점화장실인테리어_3차네고견적(061017-1)" xfId="1648"/>
    <cellStyle name="1_tree_한풍집계_갑지0601_총괄갑지_설계내역서_화명조경" xfId="1649"/>
    <cellStyle name="1_tree_한풍집계_갑지0601_총괄갑지_설계내역서_화명조경_1차 기성 내역서 0612023" xfId="1650"/>
    <cellStyle name="1_tree_한풍집계_갑지0601_총괄갑지_설계내역서_화명조경_3차네고견적(061017-1)" xfId="1651"/>
    <cellStyle name="1_tree_한풍집계_갑지0601_총괄갑지_설계내역서_화명조경_백화점화장실인테리어" xfId="1652"/>
    <cellStyle name="1_tree_한풍집계_갑지0601_총괄갑지_설계내역서_화명조경_백화점화장실인테리어_1차 기성 내역서 0612023" xfId="1653"/>
    <cellStyle name="1_tree_한풍집계_갑지0601_총괄갑지_설계내역서_화명조경_백화점화장실인테리어_3차네고견적(061017-1)" xfId="1654"/>
    <cellStyle name="1_tree_한풍집계_갑지0601_총괄갑지_설계내역서1월7일" xfId="1655"/>
    <cellStyle name="1_tree_한풍집계_갑지0601_총괄갑지_설계내역서1월7일_1차 기성 내역서 0612023" xfId="1656"/>
    <cellStyle name="1_tree_한풍집계_갑지0601_총괄갑지_설계내역서1월7일_3차네고견적(061017-1)" xfId="1657"/>
    <cellStyle name="1_tree_한풍집계_갑지0601_총괄갑지_설계내역서1월7일_백화점화장실인테리어" xfId="1658"/>
    <cellStyle name="1_tree_한풍집계_갑지0601_총괄갑지_설계내역서1월7일_백화점화장실인테리어_1차 기성 내역서 0612023" xfId="1659"/>
    <cellStyle name="1_tree_한풍집계_갑지0601_총괄갑지_설계내역서1월7일_백화점화장실인테리어_3차네고견적(061017-1)" xfId="1660"/>
    <cellStyle name="1_tree_한풍집계_갑지0601_총괄갑지_설계내역서1월7일_화명조경" xfId="1661"/>
    <cellStyle name="1_tree_한풍집계_갑지0601_총괄갑지_설계내역서1월7일_화명조경_1차 기성 내역서 0612023" xfId="1662"/>
    <cellStyle name="1_tree_한풍집계_갑지0601_총괄갑지_설계내역서1월7일_화명조경_3차네고견적(061017-1)" xfId="1663"/>
    <cellStyle name="1_tree_한풍집계_갑지0601_총괄갑지_설계내역서1월7일_화명조경_백화점화장실인테리어" xfId="1664"/>
    <cellStyle name="1_tree_한풍집계_갑지0601_총괄갑지_설계내역서1월7일_화명조경_백화점화장실인테리어_1차 기성 내역서 0612023" xfId="1665"/>
    <cellStyle name="1_tree_한풍집계_갑지0601_총괄갑지_설계내역서1월7일_화명조경_백화점화장실인테리어_3차네고견적(061017-1)" xfId="1666"/>
    <cellStyle name="1_tree_한풍집계_갑지0601_총괄갑지_화명조경" xfId="1667"/>
    <cellStyle name="1_tree_한풍집계_갑지0601_총괄갑지_화명조경_1차 기성 내역서 0612023" xfId="1668"/>
    <cellStyle name="1_tree_한풍집계_갑지0601_총괄갑지_화명조경_3차네고견적(061017-1)" xfId="1669"/>
    <cellStyle name="1_tree_한풍집계_갑지0601_총괄갑지_화명조경_백화점화장실인테리어" xfId="1670"/>
    <cellStyle name="1_tree_한풍집계_갑지0601_총괄갑지_화명조경_백화점화장실인테리어_1차 기성 내역서 0612023" xfId="1671"/>
    <cellStyle name="1_tree_한풍집계_갑지0601_총괄갑지_화명조경_백화점화장실인테리어_3차네고견적(061017-1)" xfId="1672"/>
    <cellStyle name="1_tree_한풍집계_갑지0601_총괄내역서" xfId="1673"/>
    <cellStyle name="1_tree_한풍집계_갑지0601_총괄내역서_1차 기성 내역서 0612023" xfId="1674"/>
    <cellStyle name="1_tree_한풍집계_갑지0601_총괄내역서_3차네고견적(061017-1)" xfId="1675"/>
    <cellStyle name="1_tree_한풍집계_갑지0601_총괄내역서_백화점화장실인테리어" xfId="1676"/>
    <cellStyle name="1_tree_한풍집계_갑지0601_총괄내역서_백화점화장실인테리어_1차 기성 내역서 0612023" xfId="1677"/>
    <cellStyle name="1_tree_한풍집계_갑지0601_총괄내역서_백화점화장실인테리어_3차네고견적(061017-1)" xfId="1678"/>
    <cellStyle name="1_tree_한풍집계_갑지0601_총괄내역서_설계내역서" xfId="1679"/>
    <cellStyle name="1_tree_한풍집계_갑지0601_총괄내역서_설계내역서_1차 기성 내역서 0612023" xfId="1680"/>
    <cellStyle name="1_tree_한풍집계_갑지0601_총괄내역서_설계내역서_3차네고견적(061017-1)" xfId="1681"/>
    <cellStyle name="1_tree_한풍집계_갑지0601_총괄내역서_설계내역서_백화점화장실인테리어" xfId="1682"/>
    <cellStyle name="1_tree_한풍집계_갑지0601_총괄내역서_설계내역서_백화점화장실인테리어_1차 기성 내역서 0612023" xfId="1683"/>
    <cellStyle name="1_tree_한풍집계_갑지0601_총괄내역서_설계내역서_백화점화장실인테리어_3차네고견적(061017-1)" xfId="1684"/>
    <cellStyle name="1_tree_한풍집계_갑지0601_총괄내역서_설계내역서_화명조경" xfId="1685"/>
    <cellStyle name="1_tree_한풍집계_갑지0601_총괄내역서_설계내역서_화명조경_1차 기성 내역서 0612023" xfId="1686"/>
    <cellStyle name="1_tree_한풍집계_갑지0601_총괄내역서_설계내역서_화명조경_3차네고견적(061017-1)" xfId="1687"/>
    <cellStyle name="1_tree_한풍집계_갑지0601_총괄내역서_설계내역서_화명조경_백화점화장실인테리어" xfId="1688"/>
    <cellStyle name="1_tree_한풍집계_갑지0601_총괄내역서_설계내역서_화명조경_백화점화장실인테리어_1차 기성 내역서 0612023" xfId="1689"/>
    <cellStyle name="1_tree_한풍집계_갑지0601_총괄내역서_설계내역서_화명조경_백화점화장실인테리어_3차네고견적(061017-1)" xfId="1690"/>
    <cellStyle name="1_tree_한풍집계_갑지0601_총괄내역서_설계내역서1월7일" xfId="1691"/>
    <cellStyle name="1_tree_한풍집계_갑지0601_총괄내역서_설계내역서1월7일_1차 기성 내역서 0612023" xfId="1692"/>
    <cellStyle name="1_tree_한풍집계_갑지0601_총괄내역서_설계내역서1월7일_3차네고견적(061017-1)" xfId="1693"/>
    <cellStyle name="1_tree_한풍집계_갑지0601_총괄내역서_설계내역서1월7일_백화점화장실인테리어" xfId="1694"/>
    <cellStyle name="1_tree_한풍집계_갑지0601_총괄내역서_설계내역서1월7일_백화점화장실인테리어_1차 기성 내역서 0612023" xfId="1695"/>
    <cellStyle name="1_tree_한풍집계_갑지0601_총괄내역서_설계내역서1월7일_백화점화장실인테리어_3차네고견적(061017-1)" xfId="1696"/>
    <cellStyle name="1_tree_한풍집계_갑지0601_총괄내역서_설계내역서1월7일_화명조경" xfId="1697"/>
    <cellStyle name="1_tree_한풍집계_갑지0601_총괄내역서_설계내역서1월7일_화명조경_1차 기성 내역서 0612023" xfId="1698"/>
    <cellStyle name="1_tree_한풍집계_갑지0601_총괄내역서_설계내역서1월7일_화명조경_3차네고견적(061017-1)" xfId="1699"/>
    <cellStyle name="1_tree_한풍집계_갑지0601_총괄내역서_설계내역서1월7일_화명조경_백화점화장실인테리어" xfId="1700"/>
    <cellStyle name="1_tree_한풍집계_갑지0601_총괄내역서_설계내역서1월7일_화명조경_백화점화장실인테리어_1차 기성 내역서 0612023" xfId="1701"/>
    <cellStyle name="1_tree_한풍집계_갑지0601_총괄내역서_설계내역서1월7일_화명조경_백화점화장실인테리어_3차네고견적(061017-1)" xfId="1702"/>
    <cellStyle name="1_tree_한풍집계_갑지0601_총괄내역서_화명조경" xfId="1703"/>
    <cellStyle name="1_tree_한풍집계_갑지0601_총괄내역서_화명조경_1차 기성 내역서 0612023" xfId="1704"/>
    <cellStyle name="1_tree_한풍집계_갑지0601_총괄내역서_화명조경_3차네고견적(061017-1)" xfId="1705"/>
    <cellStyle name="1_tree_한풍집계_갑지0601_총괄내역서_화명조경_백화점화장실인테리어" xfId="1706"/>
    <cellStyle name="1_tree_한풍집계_갑지0601_총괄내역서_화명조경_백화점화장실인테리어_1차 기성 내역서 0612023" xfId="1707"/>
    <cellStyle name="1_tree_한풍집계_갑지0601_총괄내역서_화명조경_백화점화장실인테리어_3차네고견적(061017-1)" xfId="1708"/>
    <cellStyle name="1_tree_한풍집계_갑지0601_화명조경" xfId="1709"/>
    <cellStyle name="1_tree_한풍집계_갑지0601_화명조경_1차 기성 내역서 0612023" xfId="1710"/>
    <cellStyle name="1_tree_한풍집계_갑지0601_화명조경_3차네고견적(061017-1)" xfId="1711"/>
    <cellStyle name="1_tree_한풍집계_갑지0601_화명조경_백화점화장실인테리어" xfId="1712"/>
    <cellStyle name="1_tree_한풍집계_갑지0601_화명조경_백화점화장실인테리어_1차 기성 내역서 0612023" xfId="1713"/>
    <cellStyle name="1_tree_한풍집계_갑지0601_화명조경_백화점화장실인테리어_3차네고견적(061017-1)" xfId="1714"/>
    <cellStyle name="1_tree_한풍집계_백화점화장실인테리어" xfId="1715"/>
    <cellStyle name="1_tree_한풍집계_백화점화장실인테리어_1차 기성 내역서 0612023" xfId="1716"/>
    <cellStyle name="1_tree_한풍집계_백화점화장실인테리어_3차네고견적(061017-1)" xfId="1717"/>
    <cellStyle name="1_tree_한풍집계_설계내역서" xfId="1718"/>
    <cellStyle name="1_tree_한풍집계_설계내역서_1차 기성 내역서 0612023" xfId="1719"/>
    <cellStyle name="1_tree_한풍집계_설계내역서_3차네고견적(061017-1)" xfId="1720"/>
    <cellStyle name="1_tree_한풍집계_설계내역서_백화점화장실인테리어" xfId="1721"/>
    <cellStyle name="1_tree_한풍집계_설계내역서_백화점화장실인테리어_1차 기성 내역서 0612023" xfId="1722"/>
    <cellStyle name="1_tree_한풍집계_설계내역서_백화점화장실인테리어_3차네고견적(061017-1)" xfId="1723"/>
    <cellStyle name="1_tree_한풍집계_설계내역서_화명조경" xfId="1724"/>
    <cellStyle name="1_tree_한풍집계_설계내역서_화명조경_1차 기성 내역서 0612023" xfId="1725"/>
    <cellStyle name="1_tree_한풍집계_설계내역서_화명조경_3차네고견적(061017-1)" xfId="1726"/>
    <cellStyle name="1_tree_한풍집계_설계내역서_화명조경_백화점화장실인테리어" xfId="1727"/>
    <cellStyle name="1_tree_한풍집계_설계내역서_화명조경_백화점화장실인테리어_1차 기성 내역서 0612023" xfId="1728"/>
    <cellStyle name="1_tree_한풍집계_설계내역서_화명조경_백화점화장실인테리어_3차네고견적(061017-1)" xfId="1729"/>
    <cellStyle name="1_tree_한풍집계_설계내역서1월7일" xfId="1730"/>
    <cellStyle name="1_tree_한풍집계_설계내역서1월7일_1차 기성 내역서 0612023" xfId="1731"/>
    <cellStyle name="1_tree_한풍집계_설계내역서1월7일_3차네고견적(061017-1)" xfId="1732"/>
    <cellStyle name="1_tree_한풍집계_설계내역서1월7일_백화점화장실인테리어" xfId="1733"/>
    <cellStyle name="1_tree_한풍집계_설계내역서1월7일_백화점화장실인테리어_1차 기성 내역서 0612023" xfId="1734"/>
    <cellStyle name="1_tree_한풍집계_설계내역서1월7일_백화점화장실인테리어_3차네고견적(061017-1)" xfId="1735"/>
    <cellStyle name="1_tree_한풍집계_설계내역서1월7일_화명조경" xfId="1736"/>
    <cellStyle name="1_tree_한풍집계_설계내역서1월7일_화명조경_1차 기성 내역서 0612023" xfId="1737"/>
    <cellStyle name="1_tree_한풍집계_설계내역서1월7일_화명조경_3차네고견적(061017-1)" xfId="1738"/>
    <cellStyle name="1_tree_한풍집계_설계내역서1월7일_화명조경_백화점화장실인테리어" xfId="1739"/>
    <cellStyle name="1_tree_한풍집계_설계내역서1월7일_화명조경_백화점화장실인테리어_1차 기성 내역서 0612023" xfId="1740"/>
    <cellStyle name="1_tree_한풍집계_설계내역서1월7일_화명조경_백화점화장실인테리어_3차네고견적(061017-1)" xfId="1741"/>
    <cellStyle name="1_tree_한풍집계_쌍용수량0905" xfId="1742"/>
    <cellStyle name="1_tree_한풍집계_쌍용수량0905_1차 기성 내역서 0612023" xfId="1743"/>
    <cellStyle name="1_tree_한풍집계_쌍용수량0905_3차네고견적(061017-1)" xfId="1744"/>
    <cellStyle name="1_tree_한풍집계_쌍용수량0905_백화점화장실인테리어" xfId="1745"/>
    <cellStyle name="1_tree_한풍집계_쌍용수량0905_백화점화장실인테리어_1차 기성 내역서 0612023" xfId="1746"/>
    <cellStyle name="1_tree_한풍집계_쌍용수량0905_백화점화장실인테리어_3차네고견적(061017-1)" xfId="1747"/>
    <cellStyle name="1_tree_한풍집계_쌍용수량0905_설계내역서" xfId="1748"/>
    <cellStyle name="1_tree_한풍집계_쌍용수량0905_설계내역서_1차 기성 내역서 0612023" xfId="1749"/>
    <cellStyle name="1_tree_한풍집계_쌍용수량0905_설계내역서_3차네고견적(061017-1)" xfId="1750"/>
    <cellStyle name="1_tree_한풍집계_쌍용수량0905_설계내역서_백화점화장실인테리어" xfId="1751"/>
    <cellStyle name="1_tree_한풍집계_쌍용수량0905_설계내역서_백화점화장실인테리어_1차 기성 내역서 0612023" xfId="1752"/>
    <cellStyle name="1_tree_한풍집계_쌍용수량0905_설계내역서_백화점화장실인테리어_3차네고견적(061017-1)" xfId="1753"/>
    <cellStyle name="1_tree_한풍집계_쌍용수량0905_설계내역서_화명조경" xfId="1754"/>
    <cellStyle name="1_tree_한풍집계_쌍용수량0905_설계내역서_화명조경_1차 기성 내역서 0612023" xfId="1755"/>
    <cellStyle name="1_tree_한풍집계_쌍용수량0905_설계내역서_화명조경_3차네고견적(061017-1)" xfId="1756"/>
    <cellStyle name="1_tree_한풍집계_쌍용수량0905_설계내역서_화명조경_백화점화장실인테리어" xfId="1757"/>
    <cellStyle name="1_tree_한풍집계_쌍용수량0905_설계내역서_화명조경_백화점화장실인테리어_1차 기성 내역서 0612023" xfId="1758"/>
    <cellStyle name="1_tree_한풍집계_쌍용수량0905_설계내역서_화명조경_백화점화장실인테리어_3차네고견적(061017-1)" xfId="1759"/>
    <cellStyle name="1_tree_한풍집계_쌍용수량0905_설계내역서1월7일" xfId="1760"/>
    <cellStyle name="1_tree_한풍집계_쌍용수량0905_설계내역서1월7일_1차 기성 내역서 0612023" xfId="1761"/>
    <cellStyle name="1_tree_한풍집계_쌍용수량0905_설계내역서1월7일_3차네고견적(061017-1)" xfId="1762"/>
    <cellStyle name="1_tree_한풍집계_쌍용수량0905_설계내역서1월7일_백화점화장실인테리어" xfId="1763"/>
    <cellStyle name="1_tree_한풍집계_쌍용수량0905_설계내역서1월7일_백화점화장실인테리어_1차 기성 내역서 0612023" xfId="1764"/>
    <cellStyle name="1_tree_한풍집계_쌍용수량0905_설계내역서1월7일_백화점화장실인테리어_3차네고견적(061017-1)" xfId="1765"/>
    <cellStyle name="1_tree_한풍집계_쌍용수량0905_설계내역서1월7일_화명조경" xfId="1766"/>
    <cellStyle name="1_tree_한풍집계_쌍용수량0905_설계내역서1월7일_화명조경_1차 기성 내역서 0612023" xfId="1767"/>
    <cellStyle name="1_tree_한풍집계_쌍용수량0905_설계내역서1월7일_화명조경_3차네고견적(061017-1)" xfId="1768"/>
    <cellStyle name="1_tree_한풍집계_쌍용수량0905_설계내역서1월7일_화명조경_백화점화장실인테리어" xfId="1769"/>
    <cellStyle name="1_tree_한풍집계_쌍용수량0905_설계내역서1월7일_화명조경_백화점화장실인테리어_1차 기성 내역서 0612023" xfId="1770"/>
    <cellStyle name="1_tree_한풍집계_쌍용수량0905_설계내역서1월7일_화명조경_백화점화장실인테리어_3차네고견적(061017-1)" xfId="1771"/>
    <cellStyle name="1_tree_한풍집계_쌍용수량0905_화명조경" xfId="1772"/>
    <cellStyle name="1_tree_한풍집계_쌍용수량0905_화명조경_1차 기성 내역서 0612023" xfId="1773"/>
    <cellStyle name="1_tree_한풍집계_쌍용수량0905_화명조경_3차네고견적(061017-1)" xfId="1774"/>
    <cellStyle name="1_tree_한풍집계_쌍용수량0905_화명조경_백화점화장실인테리어" xfId="1775"/>
    <cellStyle name="1_tree_한풍집계_쌍용수량0905_화명조경_백화점화장실인테리어_1차 기성 내역서 0612023" xfId="1776"/>
    <cellStyle name="1_tree_한풍집계_쌍용수량0905_화명조경_백화점화장실인테리어_3차네고견적(061017-1)" xfId="1777"/>
    <cellStyle name="1_tree_한풍집계_터미널1-0" xfId="1778"/>
    <cellStyle name="1_tree_한풍집계_터미널1-0_1차 기성 내역서 0612023" xfId="1779"/>
    <cellStyle name="1_tree_한풍집계_터미널1-0_3차네고견적(061017-1)" xfId="1780"/>
    <cellStyle name="1_tree_한풍집계_터미널1-0_백화점화장실인테리어" xfId="1781"/>
    <cellStyle name="1_tree_한풍집계_터미널1-0_백화점화장실인테리어_1차 기성 내역서 0612023" xfId="1782"/>
    <cellStyle name="1_tree_한풍집계_터미널1-0_백화점화장실인테리어_3차네고견적(061017-1)" xfId="1783"/>
    <cellStyle name="1_tree_한풍집계_터미널1-0_화명조경" xfId="1784"/>
    <cellStyle name="1_tree_한풍집계_터미널1-0_화명조경_1차 기성 내역서 0612023" xfId="1785"/>
    <cellStyle name="1_tree_한풍집계_터미널1-0_화명조경_3차네고견적(061017-1)" xfId="1786"/>
    <cellStyle name="1_tree_한풍집계_터미널1-0_화명조경_백화점화장실인테리어" xfId="1787"/>
    <cellStyle name="1_tree_한풍집계_터미널1-0_화명조경_백화점화장실인테리어_1차 기성 내역서 0612023" xfId="1788"/>
    <cellStyle name="1_tree_한풍집계_터미널1-0_화명조경_백화점화장실인테리어_3차네고견적(061017-1)" xfId="1789"/>
    <cellStyle name="1_tree_한풍집계_화명조경" xfId="1790"/>
    <cellStyle name="1_tree_한풍집계_화명조경_1차 기성 내역서 0612023" xfId="1791"/>
    <cellStyle name="1_tree_한풍집계_화명조경_3차네고견적(061017-1)" xfId="1792"/>
    <cellStyle name="1_tree_한풍집계_화명조경_백화점화장실인테리어" xfId="1793"/>
    <cellStyle name="1_tree_한풍집계_화명조경_백화점화장실인테리어_1차 기성 내역서 0612023" xfId="1794"/>
    <cellStyle name="1_tree_한풍집계_화명조경_백화점화장실인테리어_3차네고견적(061017-1)" xfId="1795"/>
    <cellStyle name="1_tree_화명조경" xfId="1796"/>
    <cellStyle name="1_tree_화명조경_1차 기성 내역서 0612023" xfId="1797"/>
    <cellStyle name="1_tree_화명조경_3차네고견적(061017-1)" xfId="1798"/>
    <cellStyle name="1_tree_화명조경_백화점화장실인테리어" xfId="1799"/>
    <cellStyle name="1_tree_화명조경_백화점화장실인테리어_1차 기성 내역서 0612023" xfId="1800"/>
    <cellStyle name="1_tree_화명조경_백화점화장실인테리어_3차네고견적(061017-1)" xfId="1801"/>
    <cellStyle name="1_남해총괄표" xfId="1802"/>
    <cellStyle name="1_남해총괄표_1차 기성 내역서 0612023" xfId="1803"/>
    <cellStyle name="1_남해총괄표_3차네고견적(061017-1)" xfId="1804"/>
    <cellStyle name="1_남해총괄표_문화센타" xfId="1805"/>
    <cellStyle name="1_남해총괄표_백화점화장실인테리어" xfId="1806"/>
    <cellStyle name="1_남해총괄표_백화점화장실인테리어_1차 기성 내역서 0612023" xfId="1807"/>
    <cellStyle name="1_남해총괄표_백화점화장실인테리어_3차네고견적(061017-1)" xfId="1808"/>
    <cellStyle name="1_남해총괄표_백화점화장실인테리어_문화센타" xfId="1809"/>
    <cellStyle name="1_남해총괄표_설계내역서" xfId="1810"/>
    <cellStyle name="1_남해총괄표_설계내역서_1차 기성 내역서 0612023" xfId="1811"/>
    <cellStyle name="1_남해총괄표_설계내역서_3차네고견적(061017-1)" xfId="1812"/>
    <cellStyle name="1_남해총괄표_설계내역서_문화센타" xfId="1813"/>
    <cellStyle name="1_남해총괄표_설계내역서_백화점화장실인테리어" xfId="1814"/>
    <cellStyle name="1_남해총괄표_설계내역서_백화점화장실인테리어_1차 기성 내역서 0612023" xfId="1815"/>
    <cellStyle name="1_남해총괄표_설계내역서_백화점화장실인테리어_3차네고견적(061017-1)" xfId="1816"/>
    <cellStyle name="1_남해총괄표_설계내역서_백화점화장실인테리어_문화센타" xfId="1817"/>
    <cellStyle name="1_남해총괄표_설계내역서_화명조경" xfId="1818"/>
    <cellStyle name="1_남해총괄표_설계내역서_화명조경_1차 기성 내역서 0612023" xfId="1819"/>
    <cellStyle name="1_남해총괄표_설계내역서_화명조경_3차네고견적(061017-1)" xfId="1820"/>
    <cellStyle name="1_남해총괄표_설계내역서_화명조경_문화센타" xfId="1821"/>
    <cellStyle name="1_남해총괄표_설계내역서_화명조경_백화점화장실인테리어" xfId="1822"/>
    <cellStyle name="1_남해총괄표_설계내역서_화명조경_백화점화장실인테리어_1차 기성 내역서 0612023" xfId="1823"/>
    <cellStyle name="1_남해총괄표_설계내역서_화명조경_백화점화장실인테리어_3차네고견적(061017-1)" xfId="1824"/>
    <cellStyle name="1_남해총괄표_설계내역서_화명조경_백화점화장실인테리어_문화센타" xfId="1825"/>
    <cellStyle name="1_남해총괄표_설계내역서1월7일" xfId="1826"/>
    <cellStyle name="1_남해총괄표_설계내역서1월7일_1차 기성 내역서 0612023" xfId="1827"/>
    <cellStyle name="1_남해총괄표_설계내역서1월7일_3차네고견적(061017-1)" xfId="1828"/>
    <cellStyle name="1_남해총괄표_설계내역서1월7일_문화센타" xfId="1829"/>
    <cellStyle name="1_남해총괄표_설계내역서1월7일_백화점화장실인테리어" xfId="1830"/>
    <cellStyle name="1_남해총괄표_설계내역서1월7일_백화점화장실인테리어_1차 기성 내역서 0612023" xfId="1831"/>
    <cellStyle name="1_남해총괄표_설계내역서1월7일_백화점화장실인테리어_3차네고견적(061017-1)" xfId="1832"/>
    <cellStyle name="1_남해총괄표_설계내역서1월7일_백화점화장실인테리어_문화센타" xfId="1833"/>
    <cellStyle name="1_남해총괄표_설계내역서1월7일_화명조경" xfId="1834"/>
    <cellStyle name="1_남해총괄표_설계내역서1월7일_화명조경_1차 기성 내역서 0612023" xfId="1835"/>
    <cellStyle name="1_남해총괄표_설계내역서1월7일_화명조경_3차네고견적(061017-1)" xfId="1836"/>
    <cellStyle name="1_남해총괄표_설계내역서1월7일_화명조경_문화센타" xfId="1837"/>
    <cellStyle name="1_남해총괄표_설계내역서1월7일_화명조경_백화점화장실인테리어" xfId="1838"/>
    <cellStyle name="1_남해총괄표_설계내역서1월7일_화명조경_백화점화장실인테리어_1차 기성 내역서 0612023" xfId="1839"/>
    <cellStyle name="1_남해총괄표_설계내역서1월7일_화명조경_백화점화장실인테리어_3차네고견적(061017-1)" xfId="1840"/>
    <cellStyle name="1_남해총괄표_설계내역서1월7일_화명조경_백화점화장실인테리어_문화센타" xfId="1841"/>
    <cellStyle name="1_남해총괄표_화명조경" xfId="1842"/>
    <cellStyle name="1_남해총괄표_화명조경_1차 기성 내역서 0612023" xfId="1843"/>
    <cellStyle name="1_남해총괄표_화명조경_3차네고견적(061017-1)" xfId="1844"/>
    <cellStyle name="1_남해총괄표_화명조경_백화점화장실인테리어" xfId="1845"/>
    <cellStyle name="1_남해총괄표_화명조경_백화점화장실인테리어_1차 기성 내역서 0612023" xfId="1846"/>
    <cellStyle name="1_남해총괄표_화명조경_백화점화장실인테리어_3차네고견적(061017-1)" xfId="1847"/>
    <cellStyle name="1_단가조사표" xfId="1848"/>
    <cellStyle name="1_수원변경수량산출" xfId="1849"/>
    <cellStyle name="1_쌍용수량0905" xfId="1850"/>
    <cellStyle name="1_쌍용수량0905_1차 기성 내역서 0612023" xfId="1851"/>
    <cellStyle name="1_쌍용수량0905_3차네고견적(061017-1)" xfId="1852"/>
    <cellStyle name="1_쌍용수량0905_백화점화장실인테리어" xfId="1853"/>
    <cellStyle name="1_쌍용수량0905_백화점화장실인테리어_1차 기성 내역서 0612023" xfId="1854"/>
    <cellStyle name="1_쌍용수량0905_백화점화장실인테리어_3차네고견적(061017-1)" xfId="1855"/>
    <cellStyle name="1_쌍용수량0905_설계내역서" xfId="1856"/>
    <cellStyle name="1_쌍용수량0905_설계내역서_1차 기성 내역서 0612023" xfId="1857"/>
    <cellStyle name="1_쌍용수량0905_설계내역서_3차네고견적(061017-1)" xfId="1858"/>
    <cellStyle name="1_쌍용수량0905_설계내역서_백화점화장실인테리어" xfId="1859"/>
    <cellStyle name="1_쌍용수량0905_설계내역서_백화점화장실인테리어_1차 기성 내역서 0612023" xfId="1860"/>
    <cellStyle name="1_쌍용수량0905_설계내역서_백화점화장실인테리어_3차네고견적(061017-1)" xfId="1861"/>
    <cellStyle name="1_쌍용수량0905_설계내역서_화명조경" xfId="1862"/>
    <cellStyle name="1_쌍용수량0905_설계내역서_화명조경_1차 기성 내역서 0612023" xfId="1863"/>
    <cellStyle name="1_쌍용수량0905_설계내역서_화명조경_3차네고견적(061017-1)" xfId="1864"/>
    <cellStyle name="1_쌍용수량0905_설계내역서_화명조경_백화점화장실인테리어" xfId="1865"/>
    <cellStyle name="1_쌍용수량0905_설계내역서_화명조경_백화점화장실인테리어_1차 기성 내역서 0612023" xfId="1866"/>
    <cellStyle name="1_쌍용수량0905_설계내역서_화명조경_백화점화장실인테리어_3차네고견적(061017-1)" xfId="1867"/>
    <cellStyle name="1_쌍용수량0905_설계내역서1월7일" xfId="1868"/>
    <cellStyle name="1_쌍용수량0905_설계내역서1월7일_1차 기성 내역서 0612023" xfId="1869"/>
    <cellStyle name="1_쌍용수량0905_설계내역서1월7일_3차네고견적(061017-1)" xfId="1870"/>
    <cellStyle name="1_쌍용수량0905_설계내역서1월7일_백화점화장실인테리어" xfId="1871"/>
    <cellStyle name="1_쌍용수량0905_설계내역서1월7일_백화점화장실인테리어_1차 기성 내역서 0612023" xfId="1872"/>
    <cellStyle name="1_쌍용수량0905_설계내역서1월7일_백화점화장실인테리어_3차네고견적(061017-1)" xfId="1873"/>
    <cellStyle name="1_쌍용수량0905_설계내역서1월7일_화명조경" xfId="1874"/>
    <cellStyle name="1_쌍용수량0905_설계내역서1월7일_화명조경_1차 기성 내역서 0612023" xfId="1875"/>
    <cellStyle name="1_쌍용수량0905_설계내역서1월7일_화명조경_3차네고견적(061017-1)" xfId="1876"/>
    <cellStyle name="1_쌍용수량0905_설계내역서1월7일_화명조경_백화점화장실인테리어" xfId="1877"/>
    <cellStyle name="1_쌍용수량0905_설계내역서1월7일_화명조경_백화점화장실인테리어_1차 기성 내역서 0612023" xfId="1878"/>
    <cellStyle name="1_쌍용수량0905_설계내역서1월7일_화명조경_백화점화장실인테리어_3차네고견적(061017-1)" xfId="1879"/>
    <cellStyle name="1_쌍용수량0905_화명조경" xfId="1880"/>
    <cellStyle name="1_쌍용수량0905_화명조경_1차 기성 내역서 0612023" xfId="1881"/>
    <cellStyle name="1_쌍용수량0905_화명조경_3차네고견적(061017-1)" xfId="1882"/>
    <cellStyle name="1_쌍용수량0905_화명조경_백화점화장실인테리어" xfId="1883"/>
    <cellStyle name="1_쌍용수량0905_화명조경_백화점화장실인테리어_1차 기성 내역서 0612023" xfId="1884"/>
    <cellStyle name="1_쌍용수량0905_화명조경_백화점화장실인테리어_3차네고견적(061017-1)" xfId="1885"/>
    <cellStyle name="1_원가계산서" xfId="1886"/>
    <cellStyle name="1_원가계산서_00갑지" xfId="1887"/>
    <cellStyle name="1_원가계산서_00갑지_1차 기성 내역서 0612023" xfId="1888"/>
    <cellStyle name="1_원가계산서_00갑지_3차네고견적(061017-1)" xfId="1889"/>
    <cellStyle name="1_원가계산서_00갑지_백화점화장실인테리어" xfId="1890"/>
    <cellStyle name="1_원가계산서_00갑지_백화점화장실인테리어_1차 기성 내역서 0612023" xfId="1891"/>
    <cellStyle name="1_원가계산서_00갑지_백화점화장실인테리어_3차네고견적(061017-1)" xfId="1892"/>
    <cellStyle name="1_원가계산서_00갑지_설계내역서" xfId="1893"/>
    <cellStyle name="1_원가계산서_00갑지_설계내역서_1차 기성 내역서 0612023" xfId="1894"/>
    <cellStyle name="1_원가계산서_00갑지_설계내역서_3차네고견적(061017-1)" xfId="1895"/>
    <cellStyle name="1_원가계산서_00갑지_설계내역서_백화점화장실인테리어" xfId="1896"/>
    <cellStyle name="1_원가계산서_00갑지_설계내역서_백화점화장실인테리어_1차 기성 내역서 0612023" xfId="1897"/>
    <cellStyle name="1_원가계산서_00갑지_설계내역서_백화점화장실인테리어_3차네고견적(061017-1)" xfId="1898"/>
    <cellStyle name="1_원가계산서_00갑지_설계내역서_화명조경" xfId="1899"/>
    <cellStyle name="1_원가계산서_00갑지_설계내역서_화명조경_1차 기성 내역서 0612023" xfId="1900"/>
    <cellStyle name="1_원가계산서_00갑지_설계내역서_화명조경_3차네고견적(061017-1)" xfId="1901"/>
    <cellStyle name="1_원가계산서_00갑지_설계내역서_화명조경_백화점화장실인테리어" xfId="1902"/>
    <cellStyle name="1_원가계산서_00갑지_설계내역서_화명조경_백화점화장실인테리어_1차 기성 내역서 0612023" xfId="1903"/>
    <cellStyle name="1_원가계산서_00갑지_설계내역서_화명조경_백화점화장실인테리어_3차네고견적(061017-1)" xfId="1904"/>
    <cellStyle name="1_원가계산서_00갑지_설계내역서1월7일" xfId="1905"/>
    <cellStyle name="1_원가계산서_00갑지_설계내역서1월7일_1차 기성 내역서 0612023" xfId="1906"/>
    <cellStyle name="1_원가계산서_00갑지_설계내역서1월7일_3차네고견적(061017-1)" xfId="1907"/>
    <cellStyle name="1_원가계산서_00갑지_설계내역서1월7일_백화점화장실인테리어" xfId="1908"/>
    <cellStyle name="1_원가계산서_00갑지_설계내역서1월7일_백화점화장실인테리어_1차 기성 내역서 0612023" xfId="1909"/>
    <cellStyle name="1_원가계산서_00갑지_설계내역서1월7일_백화점화장실인테리어_3차네고견적(061017-1)" xfId="1910"/>
    <cellStyle name="1_원가계산서_00갑지_설계내역서1월7일_화명조경" xfId="1911"/>
    <cellStyle name="1_원가계산서_00갑지_설계내역서1월7일_화명조경_1차 기성 내역서 0612023" xfId="1912"/>
    <cellStyle name="1_원가계산서_00갑지_설계내역서1월7일_화명조경_3차네고견적(061017-1)" xfId="1913"/>
    <cellStyle name="1_원가계산서_00갑지_설계내역서1월7일_화명조경_백화점화장실인테리어" xfId="1914"/>
    <cellStyle name="1_원가계산서_00갑지_설계내역서1월7일_화명조경_백화점화장실인테리어_1차 기성 내역서 0612023" xfId="1915"/>
    <cellStyle name="1_원가계산서_00갑지_설계내역서1월7일_화명조경_백화점화장실인테리어_3차네고견적(061017-1)" xfId="1916"/>
    <cellStyle name="1_원가계산서_00갑지_화명조경" xfId="1917"/>
    <cellStyle name="1_원가계산서_00갑지_화명조경_1차 기성 내역서 0612023" xfId="1918"/>
    <cellStyle name="1_원가계산서_00갑지_화명조경_3차네고견적(061017-1)" xfId="1919"/>
    <cellStyle name="1_원가계산서_00갑지_화명조경_백화점화장실인테리어" xfId="1920"/>
    <cellStyle name="1_원가계산서_00갑지_화명조경_백화점화장실인테리어_1차 기성 내역서 0612023" xfId="1921"/>
    <cellStyle name="1_원가계산서_00갑지_화명조경_백화점화장실인테리어_3차네고견적(061017-1)" xfId="1922"/>
    <cellStyle name="1_원가계산서_1차 기성 내역서 0612023" xfId="1923"/>
    <cellStyle name="1_원가계산서_3차네고견적(061017-1)" xfId="1924"/>
    <cellStyle name="1_원가계산서_과천놀이터설계서" xfId="1925"/>
    <cellStyle name="1_원가계산서_과천놀이터설계서_1차 기성 내역서 0612023" xfId="1926"/>
    <cellStyle name="1_원가계산서_과천놀이터설계서_3차네고견적(061017-1)" xfId="1927"/>
    <cellStyle name="1_원가계산서_과천놀이터설계서_백화점화장실인테리어" xfId="1928"/>
    <cellStyle name="1_원가계산서_과천놀이터설계서_백화점화장실인테리어_1차 기성 내역서 0612023" xfId="1929"/>
    <cellStyle name="1_원가계산서_과천놀이터설계서_백화점화장실인테리어_3차네고견적(061017-1)" xfId="1930"/>
    <cellStyle name="1_원가계산서_과천놀이터설계서_설계내역서" xfId="1931"/>
    <cellStyle name="1_원가계산서_과천놀이터설계서_설계내역서_1차 기성 내역서 0612023" xfId="1932"/>
    <cellStyle name="1_원가계산서_과천놀이터설계서_설계내역서_3차네고견적(061017-1)" xfId="1933"/>
    <cellStyle name="1_원가계산서_과천놀이터설계서_설계내역서_백화점화장실인테리어" xfId="1934"/>
    <cellStyle name="1_원가계산서_과천놀이터설계서_설계내역서_백화점화장실인테리어_1차 기성 내역서 0612023" xfId="1935"/>
    <cellStyle name="1_원가계산서_과천놀이터설계서_설계내역서_백화점화장실인테리어_3차네고견적(061017-1)" xfId="1936"/>
    <cellStyle name="1_원가계산서_과천놀이터설계서_설계내역서_화명조경" xfId="1937"/>
    <cellStyle name="1_원가계산서_과천놀이터설계서_설계내역서_화명조경_1차 기성 내역서 0612023" xfId="1938"/>
    <cellStyle name="1_원가계산서_과천놀이터설계서_설계내역서_화명조경_3차네고견적(061017-1)" xfId="1939"/>
    <cellStyle name="1_원가계산서_과천놀이터설계서_설계내역서_화명조경_백화점화장실인테리어" xfId="1940"/>
    <cellStyle name="1_원가계산서_과천놀이터설계서_설계내역서_화명조경_백화점화장실인테리어_1차 기성 내역서 0612023" xfId="1941"/>
    <cellStyle name="1_원가계산서_과천놀이터설계서_설계내역서_화명조경_백화점화장실인테리어_3차네고견적(061017-1)" xfId="1942"/>
    <cellStyle name="1_원가계산서_과천놀이터설계서_설계내역서1월7일" xfId="1943"/>
    <cellStyle name="1_원가계산서_과천놀이터설계서_설계내역서1월7일_1차 기성 내역서 0612023" xfId="1944"/>
    <cellStyle name="1_원가계산서_과천놀이터설계서_설계내역서1월7일_3차네고견적(061017-1)" xfId="1945"/>
    <cellStyle name="1_원가계산서_과천놀이터설계서_설계내역서1월7일_백화점화장실인테리어" xfId="1946"/>
    <cellStyle name="1_원가계산서_과천놀이터설계서_설계내역서1월7일_백화점화장실인테리어_1차 기성 내역서 0612023" xfId="1947"/>
    <cellStyle name="1_원가계산서_과천놀이터설계서_설계내역서1월7일_백화점화장실인테리어_3차네고견적(061017-1)" xfId="1948"/>
    <cellStyle name="1_원가계산서_과천놀이터설계서_설계내역서1월7일_화명조경" xfId="1949"/>
    <cellStyle name="1_원가계산서_과천놀이터설계서_설계내역서1월7일_화명조경_1차 기성 내역서 0612023" xfId="1950"/>
    <cellStyle name="1_원가계산서_과천놀이터설계서_설계내역서1월7일_화명조경_3차네고견적(061017-1)" xfId="1951"/>
    <cellStyle name="1_원가계산서_과천놀이터설계서_설계내역서1월7일_화명조경_백화점화장실인테리어" xfId="1952"/>
    <cellStyle name="1_원가계산서_과천놀이터설계서_설계내역서1월7일_화명조경_백화점화장실인테리어_1차 기성 내역서 0612023" xfId="1953"/>
    <cellStyle name="1_원가계산서_과천놀이터설계서_설계내역서1월7일_화명조경_백화점화장실인테리어_3차네고견적(061017-1)" xfId="1954"/>
    <cellStyle name="1_원가계산서_과천놀이터설계서_화명조경" xfId="1955"/>
    <cellStyle name="1_원가계산서_과천놀이터설계서_화명조경_1차 기성 내역서 0612023" xfId="1956"/>
    <cellStyle name="1_원가계산서_과천놀이터설계서_화명조경_3차네고견적(061017-1)" xfId="1957"/>
    <cellStyle name="1_원가계산서_과천놀이터설계서_화명조경_백화점화장실인테리어" xfId="1958"/>
    <cellStyle name="1_원가계산서_과천놀이터설계서_화명조경_백화점화장실인테리어_1차 기성 내역서 0612023" xfId="1959"/>
    <cellStyle name="1_원가계산서_과천놀이터설계서_화명조경_백화점화장실인테리어_3차네고견적(061017-1)" xfId="1960"/>
    <cellStyle name="1_원가계산서_백화점화장실인테리어" xfId="1961"/>
    <cellStyle name="1_원가계산서_백화점화장실인테리어_1차 기성 내역서 0612023" xfId="1962"/>
    <cellStyle name="1_원가계산서_백화점화장실인테리어_3차네고견적(061017-1)" xfId="1963"/>
    <cellStyle name="1_원가계산서_총괄갑지" xfId="1964"/>
    <cellStyle name="1_원가계산서_총괄갑지_1차 기성 내역서 0612023" xfId="1965"/>
    <cellStyle name="1_원가계산서_총괄갑지_3차네고견적(061017-1)" xfId="1966"/>
    <cellStyle name="1_원가계산서_총괄갑지_백화점화장실인테리어" xfId="1967"/>
    <cellStyle name="1_원가계산서_총괄갑지_백화점화장실인테리어_1차 기성 내역서 0612023" xfId="1968"/>
    <cellStyle name="1_원가계산서_총괄갑지_백화점화장실인테리어_3차네고견적(061017-1)" xfId="1969"/>
    <cellStyle name="1_원가계산서_총괄갑지_설계내역서" xfId="1970"/>
    <cellStyle name="1_원가계산서_총괄갑지_설계내역서_1차 기성 내역서 0612023" xfId="1971"/>
    <cellStyle name="1_원가계산서_총괄갑지_설계내역서_3차네고견적(061017-1)" xfId="1972"/>
    <cellStyle name="1_원가계산서_총괄갑지_설계내역서_백화점화장실인테리어" xfId="1973"/>
    <cellStyle name="1_원가계산서_총괄갑지_설계내역서_백화점화장실인테리어_1차 기성 내역서 0612023" xfId="1974"/>
    <cellStyle name="1_원가계산서_총괄갑지_설계내역서_백화점화장실인테리어_3차네고견적(061017-1)" xfId="1975"/>
    <cellStyle name="1_원가계산서_총괄갑지_설계내역서_화명조경" xfId="1976"/>
    <cellStyle name="1_원가계산서_총괄갑지_설계내역서_화명조경_1차 기성 내역서 0612023" xfId="1977"/>
    <cellStyle name="1_원가계산서_총괄갑지_설계내역서_화명조경_3차네고견적(061017-1)" xfId="1978"/>
    <cellStyle name="1_원가계산서_총괄갑지_설계내역서_화명조경_백화점화장실인테리어" xfId="1979"/>
    <cellStyle name="1_원가계산서_총괄갑지_설계내역서_화명조경_백화점화장실인테리어_1차 기성 내역서 0612023" xfId="1980"/>
    <cellStyle name="1_원가계산서_총괄갑지_설계내역서_화명조경_백화점화장실인테리어_3차네고견적(061017-1)" xfId="1981"/>
    <cellStyle name="1_원가계산서_총괄갑지_설계내역서1월7일" xfId="1982"/>
    <cellStyle name="1_원가계산서_총괄갑지_설계내역서1월7일_1차 기성 내역서 0612023" xfId="1983"/>
    <cellStyle name="1_원가계산서_총괄갑지_설계내역서1월7일_3차네고견적(061017-1)" xfId="1984"/>
    <cellStyle name="1_원가계산서_총괄갑지_설계내역서1월7일_백화점화장실인테리어" xfId="1985"/>
    <cellStyle name="1_원가계산서_총괄갑지_설계내역서1월7일_백화점화장실인테리어_1차 기성 내역서 0612023" xfId="1986"/>
    <cellStyle name="1_원가계산서_총괄갑지_설계내역서1월7일_백화점화장실인테리어_3차네고견적(061017-1)" xfId="1987"/>
    <cellStyle name="1_원가계산서_총괄갑지_설계내역서1월7일_화명조경" xfId="1988"/>
    <cellStyle name="1_원가계산서_총괄갑지_설계내역서1월7일_화명조경_1차 기성 내역서 0612023" xfId="1989"/>
    <cellStyle name="1_원가계산서_총괄갑지_설계내역서1월7일_화명조경_3차네고견적(061017-1)" xfId="1990"/>
    <cellStyle name="1_원가계산서_총괄갑지_설계내역서1월7일_화명조경_백화점화장실인테리어" xfId="1991"/>
    <cellStyle name="1_원가계산서_총괄갑지_설계내역서1월7일_화명조경_백화점화장실인테리어_1차 기성 내역서 0612023" xfId="1992"/>
    <cellStyle name="1_원가계산서_총괄갑지_설계내역서1월7일_화명조경_백화점화장실인테리어_3차네고견적(061017-1)" xfId="1993"/>
    <cellStyle name="1_원가계산서_총괄갑지_화명조경" xfId="1994"/>
    <cellStyle name="1_원가계산서_총괄갑지_화명조경_1차 기성 내역서 0612023" xfId="1995"/>
    <cellStyle name="1_원가계산서_총괄갑지_화명조경_3차네고견적(061017-1)" xfId="1996"/>
    <cellStyle name="1_원가계산서_총괄갑지_화명조경_백화점화장실인테리어" xfId="1997"/>
    <cellStyle name="1_원가계산서_총괄갑지_화명조경_백화점화장실인테리어_1차 기성 내역서 0612023" xfId="1998"/>
    <cellStyle name="1_원가계산서_총괄갑지_화명조경_백화점화장실인테리어_3차네고견적(061017-1)" xfId="1999"/>
    <cellStyle name="1_원가계산서_총괄내역서" xfId="2000"/>
    <cellStyle name="1_원가계산서_총괄내역서_1차 기성 내역서 0612023" xfId="2001"/>
    <cellStyle name="1_원가계산서_총괄내역서_3차네고견적(061017-1)" xfId="2002"/>
    <cellStyle name="1_원가계산서_총괄내역서_백화점화장실인테리어" xfId="2003"/>
    <cellStyle name="1_원가계산서_총괄내역서_백화점화장실인테리어_1차 기성 내역서 0612023" xfId="2004"/>
    <cellStyle name="1_원가계산서_총괄내역서_백화점화장실인테리어_3차네고견적(061017-1)" xfId="2005"/>
    <cellStyle name="1_원가계산서_총괄내역서_설계내역서" xfId="2006"/>
    <cellStyle name="1_원가계산서_총괄내역서_설계내역서_1차 기성 내역서 0612023" xfId="2007"/>
    <cellStyle name="1_원가계산서_총괄내역서_설계내역서_3차네고견적(061017-1)" xfId="2008"/>
    <cellStyle name="1_원가계산서_총괄내역서_설계내역서_백화점화장실인테리어" xfId="2009"/>
    <cellStyle name="1_원가계산서_총괄내역서_설계내역서_백화점화장실인테리어_1차 기성 내역서 0612023" xfId="2010"/>
    <cellStyle name="1_원가계산서_총괄내역서_설계내역서_백화점화장실인테리어_3차네고견적(061017-1)" xfId="2011"/>
    <cellStyle name="1_원가계산서_총괄내역서_설계내역서_화명조경" xfId="2012"/>
    <cellStyle name="1_원가계산서_총괄내역서_설계내역서_화명조경_1차 기성 내역서 0612023" xfId="2013"/>
    <cellStyle name="1_원가계산서_총괄내역서_설계내역서_화명조경_3차네고견적(061017-1)" xfId="2014"/>
    <cellStyle name="1_원가계산서_총괄내역서_설계내역서_화명조경_백화점화장실인테리어" xfId="2015"/>
    <cellStyle name="1_원가계산서_총괄내역서_설계내역서_화명조경_백화점화장실인테리어_1차 기성 내역서 0612023" xfId="2016"/>
    <cellStyle name="1_원가계산서_총괄내역서_설계내역서_화명조경_백화점화장실인테리어_3차네고견적(061017-1)" xfId="2017"/>
    <cellStyle name="1_원가계산서_총괄내역서_설계내역서1월7일" xfId="2018"/>
    <cellStyle name="1_원가계산서_총괄내역서_설계내역서1월7일_1차 기성 내역서 0612023" xfId="2019"/>
    <cellStyle name="1_원가계산서_총괄내역서_설계내역서1월7일_3차네고견적(061017-1)" xfId="2020"/>
    <cellStyle name="1_원가계산서_총괄내역서_설계내역서1월7일_백화점화장실인테리어" xfId="2021"/>
    <cellStyle name="1_원가계산서_총괄내역서_설계내역서1월7일_백화점화장실인테리어_1차 기성 내역서 0612023" xfId="2022"/>
    <cellStyle name="1_원가계산서_총괄내역서_설계내역서1월7일_백화점화장실인테리어_3차네고견적(061017-1)" xfId="2023"/>
    <cellStyle name="1_원가계산서_총괄내역서_설계내역서1월7일_화명조경" xfId="2024"/>
    <cellStyle name="1_원가계산서_총괄내역서_설계내역서1월7일_화명조경_1차 기성 내역서 0612023" xfId="2025"/>
    <cellStyle name="1_원가계산서_총괄내역서_설계내역서1월7일_화명조경_3차네고견적(061017-1)" xfId="2026"/>
    <cellStyle name="1_원가계산서_총괄내역서_설계내역서1월7일_화명조경_백화점화장실인테리어" xfId="2027"/>
    <cellStyle name="1_원가계산서_총괄내역서_설계내역서1월7일_화명조경_백화점화장실인테리어_1차 기성 내역서 0612023" xfId="2028"/>
    <cellStyle name="1_원가계산서_총괄내역서_설계내역서1월7일_화명조경_백화점화장실인테리어_3차네고견적(061017-1)" xfId="2029"/>
    <cellStyle name="1_원가계산서_총괄내역서_화명조경" xfId="2030"/>
    <cellStyle name="1_원가계산서_총괄내역서_화명조경_1차 기성 내역서 0612023" xfId="2031"/>
    <cellStyle name="1_원가계산서_총괄내역서_화명조경_3차네고견적(061017-1)" xfId="2032"/>
    <cellStyle name="1_원가계산서_총괄내역서_화명조경_백화점화장실인테리어" xfId="2033"/>
    <cellStyle name="1_원가계산서_총괄내역서_화명조경_백화점화장실인테리어_1차 기성 내역서 0612023" xfId="2034"/>
    <cellStyle name="1_원가계산서_총괄내역서_화명조경_백화점화장실인테리어_3차네고견적(061017-1)" xfId="2035"/>
    <cellStyle name="1_원가계산서_화명조경" xfId="2036"/>
    <cellStyle name="1_원가계산서_화명조경_1차 기성 내역서 0612023" xfId="2037"/>
    <cellStyle name="1_원가계산서_화명조경_3차네고견적(061017-1)" xfId="2038"/>
    <cellStyle name="1_원가계산서_화명조경_백화점화장실인테리어" xfId="2039"/>
    <cellStyle name="1_원가계산서_화명조경_백화점화장실인테리어_1차 기성 내역서 0612023" xfId="2040"/>
    <cellStyle name="1_원가계산서_화명조경_백화점화장실인테리어_3차네고견적(061017-1)" xfId="2041"/>
    <cellStyle name="1_은파수량집계" xfId="2042"/>
    <cellStyle name="1_터미널1-0" xfId="2043"/>
    <cellStyle name="1_터미널1-0_1차 기성 내역서 0612023" xfId="2044"/>
    <cellStyle name="1_터미널1-0_3차네고견적(061017-1)" xfId="2045"/>
    <cellStyle name="1_터미널1-0_백화점화장실인테리어" xfId="2046"/>
    <cellStyle name="1_터미널1-0_백화점화장실인테리어_1차 기성 내역서 0612023" xfId="2047"/>
    <cellStyle name="1_터미널1-0_백화점화장실인테리어_3차네고견적(061017-1)" xfId="2048"/>
    <cellStyle name="1_터미널1-0_설계내역서" xfId="2049"/>
    <cellStyle name="1_터미널1-0_설계내역서_1차 기성 내역서 0612023" xfId="2050"/>
    <cellStyle name="1_터미널1-0_설계내역서_3차네고견적(061017-1)" xfId="2051"/>
    <cellStyle name="1_터미널1-0_설계내역서_백화점화장실인테리어" xfId="2052"/>
    <cellStyle name="1_터미널1-0_설계내역서_백화점화장실인테리어_1차 기성 내역서 0612023" xfId="2053"/>
    <cellStyle name="1_터미널1-0_설계내역서_백화점화장실인테리어_3차네고견적(061017-1)" xfId="2054"/>
    <cellStyle name="1_터미널1-0_설계내역서_화명조경" xfId="2055"/>
    <cellStyle name="1_터미널1-0_설계내역서_화명조경_1차 기성 내역서 0612023" xfId="2056"/>
    <cellStyle name="1_터미널1-0_설계내역서_화명조경_3차네고견적(061017-1)" xfId="2057"/>
    <cellStyle name="1_터미널1-0_설계내역서_화명조경_백화점화장실인테리어" xfId="2058"/>
    <cellStyle name="1_터미널1-0_설계내역서_화명조경_백화점화장실인테리어_1차 기성 내역서 0612023" xfId="2059"/>
    <cellStyle name="1_터미널1-0_설계내역서_화명조경_백화점화장실인테리어_3차네고견적(061017-1)" xfId="2060"/>
    <cellStyle name="1_터미널1-0_설계내역서1월7일" xfId="2061"/>
    <cellStyle name="1_터미널1-0_설계내역서1월7일_1차 기성 내역서 0612023" xfId="2062"/>
    <cellStyle name="1_터미널1-0_설계내역서1월7일_3차네고견적(061017-1)" xfId="2063"/>
    <cellStyle name="1_터미널1-0_설계내역서1월7일_백화점화장실인테리어" xfId="2064"/>
    <cellStyle name="1_터미널1-0_설계내역서1월7일_백화점화장실인테리어_1차 기성 내역서 0612023" xfId="2065"/>
    <cellStyle name="1_터미널1-0_설계내역서1월7일_백화점화장실인테리어_3차네고견적(061017-1)" xfId="2066"/>
    <cellStyle name="1_터미널1-0_설계내역서1월7일_화명조경" xfId="2067"/>
    <cellStyle name="1_터미널1-0_설계내역서1월7일_화명조경_1차 기성 내역서 0612023" xfId="2068"/>
    <cellStyle name="1_터미널1-0_설계내역서1월7일_화명조경_3차네고견적(061017-1)" xfId="2069"/>
    <cellStyle name="1_터미널1-0_설계내역서1월7일_화명조경_백화점화장실인테리어" xfId="2070"/>
    <cellStyle name="1_터미널1-0_설계내역서1월7일_화명조경_백화점화장실인테리어_1차 기성 내역서 0612023" xfId="2071"/>
    <cellStyle name="1_터미널1-0_설계내역서1월7일_화명조경_백화점화장실인테리어_3차네고견적(061017-1)" xfId="2072"/>
    <cellStyle name="1_터미널1-0_쌍용수량0905" xfId="2073"/>
    <cellStyle name="1_터미널1-0_쌍용수량0905_1차 기성 내역서 0612023" xfId="2074"/>
    <cellStyle name="1_터미널1-0_쌍용수량0905_3차네고견적(061017-1)" xfId="2075"/>
    <cellStyle name="1_터미널1-0_쌍용수량0905_백화점화장실인테리어" xfId="2076"/>
    <cellStyle name="1_터미널1-0_쌍용수량0905_백화점화장실인테리어_1차 기성 내역서 0612023" xfId="2077"/>
    <cellStyle name="1_터미널1-0_쌍용수량0905_백화점화장실인테리어_3차네고견적(061017-1)" xfId="2078"/>
    <cellStyle name="1_터미널1-0_쌍용수량0905_설계내역서" xfId="2079"/>
    <cellStyle name="1_터미널1-0_쌍용수량0905_설계내역서_1차 기성 내역서 0612023" xfId="2080"/>
    <cellStyle name="1_터미널1-0_쌍용수량0905_설계내역서_3차네고견적(061017-1)" xfId="2081"/>
    <cellStyle name="1_터미널1-0_쌍용수량0905_설계내역서_백화점화장실인테리어" xfId="2082"/>
    <cellStyle name="1_터미널1-0_쌍용수량0905_설계내역서_백화점화장실인테리어_1차 기성 내역서 0612023" xfId="2083"/>
    <cellStyle name="1_터미널1-0_쌍용수량0905_설계내역서_백화점화장실인테리어_3차네고견적(061017-1)" xfId="2084"/>
    <cellStyle name="1_터미널1-0_쌍용수량0905_설계내역서_화명조경" xfId="2085"/>
    <cellStyle name="1_터미널1-0_쌍용수량0905_설계내역서_화명조경_1차 기성 내역서 0612023" xfId="2086"/>
    <cellStyle name="1_터미널1-0_쌍용수량0905_설계내역서_화명조경_3차네고견적(061017-1)" xfId="2087"/>
    <cellStyle name="1_터미널1-0_쌍용수량0905_설계내역서_화명조경_백화점화장실인테리어" xfId="2088"/>
    <cellStyle name="1_터미널1-0_쌍용수량0905_설계내역서_화명조경_백화점화장실인테리어_1차 기성 내역서 0612023" xfId="2089"/>
    <cellStyle name="1_터미널1-0_쌍용수량0905_설계내역서_화명조경_백화점화장실인테리어_3차네고견적(061017-1)" xfId="2090"/>
    <cellStyle name="1_터미널1-0_쌍용수량0905_설계내역서1월7일" xfId="2091"/>
    <cellStyle name="1_터미널1-0_쌍용수량0905_설계내역서1월7일_1차 기성 내역서 0612023" xfId="2092"/>
    <cellStyle name="1_터미널1-0_쌍용수량0905_설계내역서1월7일_3차네고견적(061017-1)" xfId="2093"/>
    <cellStyle name="1_터미널1-0_쌍용수량0905_설계내역서1월7일_백화점화장실인테리어" xfId="2094"/>
    <cellStyle name="1_터미널1-0_쌍용수량0905_설계내역서1월7일_백화점화장실인테리어_1차 기성 내역서 0612023" xfId="2095"/>
    <cellStyle name="1_터미널1-0_쌍용수량0905_설계내역서1월7일_백화점화장실인테리어_3차네고견적(061017-1)" xfId="2096"/>
    <cellStyle name="1_터미널1-0_쌍용수량0905_설계내역서1월7일_화명조경" xfId="2097"/>
    <cellStyle name="1_터미널1-0_쌍용수량0905_설계내역서1월7일_화명조경_1차 기성 내역서 0612023" xfId="2098"/>
    <cellStyle name="1_터미널1-0_쌍용수량0905_설계내역서1월7일_화명조경_3차네고견적(061017-1)" xfId="2099"/>
    <cellStyle name="1_터미널1-0_쌍용수량0905_설계내역서1월7일_화명조경_백화점화장실인테리어" xfId="2100"/>
    <cellStyle name="1_터미널1-0_쌍용수량0905_설계내역서1월7일_화명조경_백화점화장실인테리어_1차 기성 내역서 0612023" xfId="2101"/>
    <cellStyle name="1_터미널1-0_쌍용수량0905_설계내역서1월7일_화명조경_백화점화장실인테리어_3차네고견적(061017-1)" xfId="2102"/>
    <cellStyle name="1_터미널1-0_쌍용수량0905_화명조경" xfId="2103"/>
    <cellStyle name="1_터미널1-0_쌍용수량0905_화명조경_1차 기성 내역서 0612023" xfId="2104"/>
    <cellStyle name="1_터미널1-0_쌍용수량0905_화명조경_3차네고견적(061017-1)" xfId="2105"/>
    <cellStyle name="1_터미널1-0_쌍용수량0905_화명조경_백화점화장실인테리어" xfId="2106"/>
    <cellStyle name="1_터미널1-0_쌍용수량0905_화명조경_백화점화장실인테리어_1차 기성 내역서 0612023" xfId="2107"/>
    <cellStyle name="1_터미널1-0_쌍용수량0905_화명조경_백화점화장실인테리어_3차네고견적(061017-1)" xfId="2108"/>
    <cellStyle name="1_터미널1-0_화명조경" xfId="2109"/>
    <cellStyle name="1_터미널1-0_화명조경_1차 기성 내역서 0612023" xfId="2110"/>
    <cellStyle name="1_터미널1-0_화명조경_3차네고견적(061017-1)" xfId="2111"/>
    <cellStyle name="1_터미널1-0_화명조경_백화점화장실인테리어" xfId="2112"/>
    <cellStyle name="1_터미널1-0_화명조경_백화점화장실인테리어_1차 기성 내역서 0612023" xfId="2113"/>
    <cellStyle name="1_터미널1-0_화명조경_백화점화장실인테리어_3차네고견적(061017-1)" xfId="2114"/>
    <cellStyle name="10" xfId="2115"/>
    <cellStyle name="11" xfId="2116"/>
    <cellStyle name="111" xfId="2117"/>
    <cellStyle name="¹e" xfId="2118"/>
    <cellStyle name="¹éº" xfId="2119"/>
    <cellStyle name="¹éºÐÀ²_±¸¸Å³³±â" xfId="2120"/>
    <cellStyle name="2" xfId="2121"/>
    <cellStyle name="2)" xfId="2122"/>
    <cellStyle name="2_단가조사표" xfId="2123"/>
    <cellStyle name="2자리" xfId="2124"/>
    <cellStyle name="³f¹ô[0]_pldt" xfId="2125"/>
    <cellStyle name="³f¹ô_pldt" xfId="2126"/>
    <cellStyle name="60" xfId="2127"/>
    <cellStyle name="_x0014_7." xfId="2128"/>
    <cellStyle name="82" xfId="2129"/>
    <cellStyle name="90" xfId="2130"/>
    <cellStyle name="A" xfId="2131"/>
    <cellStyle name="A_02-도급공사비내역" xfId="2132"/>
    <cellStyle name="A_04028적산수량집계" xfId="2133"/>
    <cellStyle name="a_0514회의확정자료" xfId="2134"/>
    <cellStyle name="A_0901작업1-금액분리" xfId="2135"/>
    <cellStyle name="A_A0509-가실행(파주)" xfId="2136"/>
    <cellStyle name="a_A-0902건축공사확정(대안포함)" xfId="2137"/>
    <cellStyle name="a_A-0902조경공사확정(대안포함)" xfId="2138"/>
    <cellStyle name="A_BOOKCITY(전기)" xfId="2139"/>
    <cellStyle name="A_BOOKCITY(전기)_04028적산수량집계" xfId="2140"/>
    <cellStyle name="A_Z01-본작업" xfId="2141"/>
    <cellStyle name="A_가실행(3th)" xfId="2142"/>
    <cellStyle name="A_결정01-총괄가실행(0820)" xfId="2143"/>
    <cellStyle name="A_공설운동진입(가실행)" xfId="2144"/>
    <cellStyle name="A_공설운동진입(가실행)_04028적산수량집계" xfId="2145"/>
    <cellStyle name="A_공설운동진입(가실행)_BOOKCITY(전기)" xfId="2146"/>
    <cellStyle name="A_공설운동진입(가실행)_BOOKCITY(전기)_04028적산수량집계" xfId="2147"/>
    <cellStyle name="A_공설운동진입(가실행)_사본 - 파주 북시티(이채)" xfId="2148"/>
    <cellStyle name="A_공설운동진입(가실행)_사본 - 파주 북시티(이채)_04028적산수량집계" xfId="2149"/>
    <cellStyle name="A_공설운동진입(가실행)_파주 BOOK CITY(통보용)" xfId="2150"/>
    <cellStyle name="A_공설운동진입(가실행)_파주 BOOK CITY(통보용)_04028적산수량집계" xfId="2151"/>
    <cellStyle name="A_공설운동진입(가실행)_파주 BOOK CITY가실행내역" xfId="2152"/>
    <cellStyle name="A_공설운동진입(가실행)_파주 BOOK CITY가실행내역_04028적산수량집계" xfId="2153"/>
    <cellStyle name="A_공설운동진입(가실행)_파주 북시티(이채)제출" xfId="2154"/>
    <cellStyle name="A_공설운동진입(가실행)_파주 북시티(이채)제출_04028적산수량집계" xfId="2155"/>
    <cellStyle name="A_공설운동진입(가실행)_파주 북시티(전체)제출(변경전)" xfId="2156"/>
    <cellStyle name="A_공설운동진입(가실행)_파주 북시티(전체)제출(변경전)_04028적산수량집계" xfId="2157"/>
    <cellStyle name="a_공항관련공사비 비교" xfId="2158"/>
    <cellStyle name="A_당팀-가실행작업" xfId="2159"/>
    <cellStyle name="A_도급공사변경Ⅰ(0626)" xfId="2160"/>
    <cellStyle name="A_보고02-건축공사감액보고서(0714)" xfId="2161"/>
    <cellStyle name="A_분석001-구조체투입관련" xfId="2162"/>
    <cellStyle name="A_사본 - 0429파본사" xfId="2163"/>
    <cellStyle name="A_사본 - 파주 북시티(이채)" xfId="2164"/>
    <cellStyle name="A_사본 - 파주 북시티(이채)_04028적산수량집계" xfId="2165"/>
    <cellStyle name="A_실행01-총괄가실행(0828)" xfId="2166"/>
    <cellStyle name="a_자료03-대안수량조정실행대비표" xfId="2167"/>
    <cellStyle name="a_자료06-토목공사" xfId="2168"/>
    <cellStyle name="a_작업01-조경공사0709" xfId="2169"/>
    <cellStyle name="a_참고02-당초가실행" xfId="2170"/>
    <cellStyle name="A_토목내역서" xfId="2171"/>
    <cellStyle name="A_토목내역서_04028적산수량집계" xfId="2172"/>
    <cellStyle name="A_토목내역서_BOOKCITY(전기)" xfId="2173"/>
    <cellStyle name="A_토목내역서_BOOKCITY(전기)_04028적산수량집계" xfId="2174"/>
    <cellStyle name="A_토목내역서_공설운동진입(가실행)" xfId="2175"/>
    <cellStyle name="A_토목내역서_공설운동진입(가실행)_04028적산수량집계" xfId="2176"/>
    <cellStyle name="A_토목내역서_공설운동진입(가실행)_BOOKCITY(전기)" xfId="2177"/>
    <cellStyle name="A_토목내역서_공설운동진입(가실행)_BOOKCITY(전기)_04028적산수량집계" xfId="2178"/>
    <cellStyle name="A_토목내역서_공설운동진입(가실행)_사본 - 파주 북시티(이채)" xfId="2179"/>
    <cellStyle name="A_토목내역서_공설운동진입(가실행)_사본 - 파주 북시티(이채)_04028적산수량집계" xfId="2180"/>
    <cellStyle name="A_토목내역서_공설운동진입(가실행)_파주 BOOK CITY(통보용)" xfId="2181"/>
    <cellStyle name="A_토목내역서_공설운동진입(가실행)_파주 BOOK CITY(통보용)_04028적산수량집계" xfId="2182"/>
    <cellStyle name="A_토목내역서_공설운동진입(가실행)_파주 BOOK CITY가실행내역" xfId="2183"/>
    <cellStyle name="A_토목내역서_공설운동진입(가실행)_파주 BOOK CITY가실행내역_04028적산수량집계" xfId="2184"/>
    <cellStyle name="A_토목내역서_공설운동진입(가실행)_파주 북시티(이채)제출" xfId="2185"/>
    <cellStyle name="A_토목내역서_공설운동진입(가실행)_파주 북시티(이채)제출_04028적산수량집계" xfId="2186"/>
    <cellStyle name="A_토목내역서_공설운동진입(가실행)_파주 북시티(전체)제출(변경전)" xfId="2187"/>
    <cellStyle name="A_토목내역서_공설운동진입(가실행)_파주 북시티(전체)제출(변경전)_04028적산수량집계" xfId="2188"/>
    <cellStyle name="A_토목내역서_사본 - 파주 북시티(이채)" xfId="2189"/>
    <cellStyle name="A_토목내역서_사본 - 파주 북시티(이채)_04028적산수량집계" xfId="2190"/>
    <cellStyle name="A_토목내역서_파주 BOOK CITY(통보용)" xfId="2191"/>
    <cellStyle name="A_토목내역서_파주 BOOK CITY(통보용)_04028적산수량집계" xfId="2192"/>
    <cellStyle name="A_토목내역서_파주 BOOK CITY가실행내역" xfId="2193"/>
    <cellStyle name="A_토목내역서_파주 BOOK CITY가실행내역_04028적산수량집계" xfId="2194"/>
    <cellStyle name="A_토목내역서_파주 북시티(이채)제출" xfId="2195"/>
    <cellStyle name="A_토목내역서_파주 북시티(이채)제출_04028적산수량집계" xfId="2196"/>
    <cellStyle name="A_토목내역서_파주 북시티(전체)제출(변경전)" xfId="2197"/>
    <cellStyle name="A_토목내역서_파주 북시티(전체)제출(변경전)_04028적산수량집계" xfId="2198"/>
    <cellStyle name="A_파주 BOOK CITY(통보용)" xfId="2199"/>
    <cellStyle name="A_파주 BOOK CITY(통보용)_04028적산수량집계" xfId="2200"/>
    <cellStyle name="A_파주 BOOK CITY가실행내역" xfId="2201"/>
    <cellStyle name="A_파주 BOOK CITY가실행내역_04028적산수량집계" xfId="2202"/>
    <cellStyle name="A_파주 북시티(이채)제출" xfId="2203"/>
    <cellStyle name="A_파주 북시티(이채)제출_04028적산수량집계" xfId="2204"/>
    <cellStyle name="A_파주 북시티(전체)제출(변경전)" xfId="2205"/>
    <cellStyle name="A_파주 북시티(전체)제출(변경전)_04028적산수량집계" xfId="2206"/>
    <cellStyle name="a_파주1차가실행(통합)-대안1-현장분" xfId="2207"/>
    <cellStyle name="A¨­￠￢￠O [0]_¨uc¨oA " xfId="2208"/>
    <cellStyle name="A¨­¢¬¢Ò [0]_INQUIRY ¢¯¥ì¨ú¡ÀA©¬A©ª " xfId="2209"/>
    <cellStyle name="A¨­￠￢￠O_¨uc¨oA " xfId="2210"/>
    <cellStyle name="A¨­¢¬¢Ò_INQUIRY ¢¯¥ì¨ú¡ÀA©¬A©ª " xfId="2211"/>
    <cellStyle name="Aⓒ­" xfId="2212"/>
    <cellStyle name="Ae" xfId="2213"/>
    <cellStyle name="Åë" xfId="2214"/>
    <cellStyle name="Aee­ " xfId="2215"/>
    <cellStyle name="Åëè­ [" xfId="2216"/>
    <cellStyle name="AeE­ [0]_ 2ÆAAþº° " xfId="2217"/>
    <cellStyle name="ÅëÈ­ [0]_´ëºñÇ¥" xfId="2218"/>
    <cellStyle name="AeE­ [0]_°ø A¤ C￥  BAR (sample) " xfId="2219"/>
    <cellStyle name="ÅëÈ­ [0]_2000¼ÕÈ® " xfId="2220"/>
    <cellStyle name="AeE­ [0]_95³aAN°y¼o·R " xfId="2221"/>
    <cellStyle name="ÅëÈ­ [0]_Á¤»ê¼­°©Áö" xfId="2222"/>
    <cellStyle name="AeE­ [0]_INQUIRY ¿μ¾÷AßAø " xfId="2223"/>
    <cellStyle name="ÅëÈ­ [0]_kc-elec system check list" xfId="2224"/>
    <cellStyle name="AeE­ [0]_º≫¼± ±æ¾i±uºI ¼o·R Ay°eC￥ " xfId="2225"/>
    <cellStyle name="ÅëÈ­ [0]_RESULTS" xfId="2226"/>
    <cellStyle name="AeE­ [0]_μμ±Þ°ø≫cºn " xfId="2227"/>
    <cellStyle name="AeE­_ 2ÆAAþº° " xfId="2228"/>
    <cellStyle name="ÅëÈ­_´ëºñÇ¥" xfId="2229"/>
    <cellStyle name="AeE­_°ø A¤ C￥  BAR (sample) " xfId="2230"/>
    <cellStyle name="ÅëÈ­_Á¤»ê¼­°©Áö" xfId="2231"/>
    <cellStyle name="AeE­_INQUIRY ¿μ¾÷AßAø " xfId="2232"/>
    <cellStyle name="ÅëÈ­_kc-elec system check list" xfId="2233"/>
    <cellStyle name="AeE­_º≫¼± ±æ¾i±uºI ¼o·R Ay°eC￥ " xfId="2234"/>
    <cellStyle name="ÅëÈ­_RESULTS" xfId="2235"/>
    <cellStyle name="Aee¡" xfId="2236"/>
    <cellStyle name="AeE¡© [0]_INQUIRY ¢¯¥ì¨ú¡ÀA©¬A©ª " xfId="2237"/>
    <cellStyle name="AeE¡©_INQUIRY ¢¯¥ì¨ú¡ÀA©¬A©ª " xfId="2238"/>
    <cellStyle name="AeE¡ⓒ [0]_¨uc¨oA " xfId="2239"/>
    <cellStyle name="AeE¡ⓒ_¨uc¨oA " xfId="2240"/>
    <cellStyle name="ALIGNMENT" xfId="2241"/>
    <cellStyle name="args.style" xfId="2242"/>
    <cellStyle name="Äþ" xfId="2243"/>
    <cellStyle name="Aþ¸" xfId="2244"/>
    <cellStyle name="Äþ¸¶ [" xfId="2245"/>
    <cellStyle name="AÞ¸¶ [0]_ 2ÆAAþº° " xfId="2246"/>
    <cellStyle name="ÄÞ¸¶ [0]_´ëºñÇ¥" xfId="2247"/>
    <cellStyle name="AÞ¸¶ [0]_°¡³ª´U " xfId="2248"/>
    <cellStyle name="ÄÞ¸¶ [0]_º¯°æ¹®Ã³_Àç¹«È°µ¿ " xfId="2249"/>
    <cellStyle name="AÞ¸¶_ 2ÆAAþº° " xfId="2250"/>
    <cellStyle name="ÄÞ¸¶_´ëºñÇ¥" xfId="2251"/>
    <cellStyle name="AÞ¸¶_°ø A¤ C￥  BAR (sample) " xfId="2252"/>
    <cellStyle name="ÄÞ¸¶_2000¼ÕÈ® " xfId="2253"/>
    <cellStyle name="_x0001_b" xfId="2254"/>
    <cellStyle name="blank" xfId="2255"/>
    <cellStyle name="blank - Style1" xfId="2256"/>
    <cellStyle name="Body" xfId="2257"/>
    <cellStyle name="C" xfId="2258"/>
    <cellStyle name="C_04028적산수량집계" xfId="2259"/>
    <cellStyle name="C_BOOKCITY(전기)" xfId="2260"/>
    <cellStyle name="C_BOOKCITY(전기)_04028적산수량집계" xfId="2261"/>
    <cellStyle name="C_공설운동진입(가실행)" xfId="2262"/>
    <cellStyle name="C_공설운동진입(가실행)_04028적산수량집계" xfId="2263"/>
    <cellStyle name="C_공설운동진입(가실행)_BOOKCITY(전기)" xfId="2264"/>
    <cellStyle name="C_공설운동진입(가실행)_BOOKCITY(전기)_04028적산수량집계" xfId="2265"/>
    <cellStyle name="C_공설운동진입(가실행)_사본 - 파주 북시티(이채)" xfId="2266"/>
    <cellStyle name="C_공설운동진입(가실행)_사본 - 파주 북시티(이채)_04028적산수량집계" xfId="2267"/>
    <cellStyle name="C_공설운동진입(가실행)_파주 BOOK CITY(통보용)" xfId="2268"/>
    <cellStyle name="C_공설운동진입(가실행)_파주 BOOK CITY(통보용)_04028적산수량집계" xfId="2269"/>
    <cellStyle name="C_공설운동진입(가실행)_파주 BOOK CITY가실행내역" xfId="2270"/>
    <cellStyle name="C_공설운동진입(가실행)_파주 BOOK CITY가실행내역_04028적산수량집계" xfId="2271"/>
    <cellStyle name="C_공설운동진입(가실행)_파주 북시티(이채)제출" xfId="2272"/>
    <cellStyle name="C_공설운동진입(가실행)_파주 북시티(이채)제출_04028적산수량집계" xfId="2273"/>
    <cellStyle name="C_공설운동진입(가실행)_파주 북시티(전체)제출(변경전)" xfId="2274"/>
    <cellStyle name="C_공설운동진입(가실행)_파주 북시티(전체)제출(변경전)_04028적산수량집계" xfId="2275"/>
    <cellStyle name="C_사본 - 파주 북시티(이채)" xfId="2276"/>
    <cellStyle name="C_사본 - 파주 북시티(이채)_04028적산수량집계" xfId="2277"/>
    <cellStyle name="C_토목내역서" xfId="2278"/>
    <cellStyle name="C_토목내역서_04028적산수량집계" xfId="2279"/>
    <cellStyle name="C_토목내역서_BOOKCITY(전기)" xfId="2280"/>
    <cellStyle name="C_토목내역서_BOOKCITY(전기)_04028적산수량집계" xfId="2281"/>
    <cellStyle name="C_토목내역서_공설운동진입(가실행)" xfId="2282"/>
    <cellStyle name="C_토목내역서_공설운동진입(가실행)_04028적산수량집계" xfId="2283"/>
    <cellStyle name="C_토목내역서_공설운동진입(가실행)_BOOKCITY(전기)" xfId="2284"/>
    <cellStyle name="C_토목내역서_공설운동진입(가실행)_BOOKCITY(전기)_04028적산수량집계" xfId="2285"/>
    <cellStyle name="C_토목내역서_공설운동진입(가실행)_사본 - 파주 북시티(이채)" xfId="2286"/>
    <cellStyle name="C_토목내역서_공설운동진입(가실행)_사본 - 파주 북시티(이채)_04028적산수량집계" xfId="2287"/>
    <cellStyle name="C_토목내역서_공설운동진입(가실행)_파주 BOOK CITY(통보용)" xfId="2288"/>
    <cellStyle name="C_토목내역서_공설운동진입(가실행)_파주 BOOK CITY(통보용)_04028적산수량집계" xfId="2289"/>
    <cellStyle name="C_토목내역서_공설운동진입(가실행)_파주 BOOK CITY가실행내역" xfId="2290"/>
    <cellStyle name="C_토목내역서_공설운동진입(가실행)_파주 BOOK CITY가실행내역_04028적산수량집계" xfId="2291"/>
    <cellStyle name="C_토목내역서_공설운동진입(가실행)_파주 북시티(이채)제출" xfId="2292"/>
    <cellStyle name="C_토목내역서_공설운동진입(가실행)_파주 북시티(이채)제출_04028적산수량집계" xfId="2293"/>
    <cellStyle name="C_토목내역서_공설운동진입(가실행)_파주 북시티(전체)제출(변경전)" xfId="2294"/>
    <cellStyle name="C_토목내역서_공설운동진입(가실행)_파주 북시티(전체)제출(변경전)_04028적산수량집계" xfId="2295"/>
    <cellStyle name="C_토목내역서_사본 - 파주 북시티(이채)" xfId="2296"/>
    <cellStyle name="C_토목내역서_사본 - 파주 북시티(이채)_04028적산수량집계" xfId="2297"/>
    <cellStyle name="C_토목내역서_파주 BOOK CITY(통보용)" xfId="2298"/>
    <cellStyle name="C_토목내역서_파주 BOOK CITY(통보용)_04028적산수량집계" xfId="2299"/>
    <cellStyle name="C_토목내역서_파주 BOOK CITY가실행내역" xfId="2300"/>
    <cellStyle name="C_토목내역서_파주 BOOK CITY가실행내역_04028적산수량집계" xfId="2301"/>
    <cellStyle name="C_토목내역서_파주 북시티(이채)제출" xfId="2302"/>
    <cellStyle name="C_토목내역서_파주 북시티(이채)제출_04028적산수량집계" xfId="2303"/>
    <cellStyle name="C_토목내역서_파주 북시티(전체)제출(변경전)" xfId="2304"/>
    <cellStyle name="C_토목내역서_파주 북시티(전체)제출(변경전)_04028적산수량집계" xfId="2305"/>
    <cellStyle name="C_파주 BOOK CITY(통보용)" xfId="2306"/>
    <cellStyle name="C_파주 BOOK CITY(통보용)_04028적산수량집계" xfId="2307"/>
    <cellStyle name="C_파주 BOOK CITY가실행내역" xfId="2308"/>
    <cellStyle name="C_파주 BOOK CITY가실행내역_04028적산수량집계" xfId="2309"/>
    <cellStyle name="C_파주 북시티(이채)제출" xfId="2310"/>
    <cellStyle name="C_파주 북시티(이채)제출_04028적산수량집계" xfId="2311"/>
    <cellStyle name="C_파주 북시티(전체)제출(변경전)" xfId="2312"/>
    <cellStyle name="C_파주 북시티(전체)제출(변경전)_04028적산수량집계" xfId="2313"/>
    <cellStyle name="C¡IA¨ª_  FAB AIA￠´  " xfId="2314"/>
    <cellStyle name="C¡ÍA¨ª_¡íc¨ú¡À¨¬I¨¬¡Æ AN¡Æe " xfId="2315"/>
    <cellStyle name="C¡IA¨ª_AO¨uRCN¡¾U " xfId="2316"/>
    <cellStyle name="Ç¥" xfId="2317"/>
    <cellStyle name="C￥AØ_  FAB AIA¤  " xfId="2318"/>
    <cellStyle name="Ç¥ÁØ_(Á¤º¸ºÎ¹®)¿ùº°ÀÎ¿ø°èÈ¹" xfId="2319"/>
    <cellStyle name="C￥AØ_´eAN°yC￥ " xfId="2320"/>
    <cellStyle name="Ç¥ÁØ_´ëºñÇ¥" xfId="2321"/>
    <cellStyle name="C￥AØ_´eºnC￥ (2)_1_ºI´eAa°ø " xfId="2322"/>
    <cellStyle name="Ç¥ÁØ_´ëºñÇ¥ (2)_1_ºÎ´ëÅä°ø " xfId="2323"/>
    <cellStyle name="C￥AØ_´eºnC￥ (2)_ºI´eAa°ø " xfId="2324"/>
    <cellStyle name="Ç¥ÁØ_´ëºñÇ¥ (2)_ºÎ´ëÅä°ø " xfId="2325"/>
    <cellStyle name="C￥AØ_≫c¾÷ºIº° AN°e " xfId="2326"/>
    <cellStyle name="Ç¥ÁØ_°ø¹®" xfId="2327"/>
    <cellStyle name="C￥AØ_¼³°e¿e¿ª" xfId="2328"/>
    <cellStyle name="Ç¥ÁØ_¼öÀÍ¼º " xfId="2329"/>
    <cellStyle name="C￥AØ_¹y¸eº¸E￡ " xfId="2330"/>
    <cellStyle name="Ç¥ÁØ_5-1±¤°í " xfId="2331"/>
    <cellStyle name="C￥AØ_95³aAN°y¼o·R " xfId="2332"/>
    <cellStyle name="Ç¥ÁØ_Áý°èÇ¥(2¿ù) " xfId="2333"/>
    <cellStyle name="C￥AØ_CoAo¹yAI °A¾×¿ⓒ½A " xfId="2334"/>
    <cellStyle name="Ç¥ÁØ_ÇöÈ²_¹®Á¦Á¡ " xfId="2335"/>
    <cellStyle name="C￥AØ_E¸AaAO½A " xfId="2336"/>
    <cellStyle name="Ç¥ÁØ_ÈÞÀÏ±Ù·Î" xfId="2337"/>
    <cellStyle name="C￥AØ_FIRE " xfId="2338"/>
    <cellStyle name="Ç¥ÁØ_HATCO HQ" xfId="2339"/>
    <cellStyle name="C￥AØ_LIGHTNING " xfId="2340"/>
    <cellStyle name="Ç¥ÁØ_º¯°æ(ÃÖÁ¾)" xfId="2341"/>
    <cellStyle name="C￥AØ_PERSONAL" xfId="2342"/>
    <cellStyle name="Ç¥ÁØ_RESULTS" xfId="2343"/>
    <cellStyle name="Calc Currency (0)" xfId="2344"/>
    <cellStyle name="Calc Currency (2)" xfId="2345"/>
    <cellStyle name="Calc Percent (0)" xfId="2346"/>
    <cellStyle name="Calc Percent (1)" xfId="2347"/>
    <cellStyle name="Calc Percent (2)" xfId="2348"/>
    <cellStyle name="Calc Units (0)" xfId="2349"/>
    <cellStyle name="Calc Units (1)" xfId="2350"/>
    <cellStyle name="Calc Units (2)" xfId="2351"/>
    <cellStyle name="category" xfId="2352"/>
    <cellStyle name="ÇÏÀÌÆÛ¸µÅ©" xfId="2353"/>
    <cellStyle name="CIAIÆU¸μAⓒ" xfId="2354"/>
    <cellStyle name="ⓒo" xfId="2355"/>
    <cellStyle name="Comma" xfId="2356"/>
    <cellStyle name="Comma  - Style2" xfId="2357"/>
    <cellStyle name="Comma  - Style3" xfId="2358"/>
    <cellStyle name="Comma  - Style4" xfId="2359"/>
    <cellStyle name="Comma  - Style5" xfId="2360"/>
    <cellStyle name="Comma  - Style6" xfId="2361"/>
    <cellStyle name="Comma  - Style7" xfId="2362"/>
    <cellStyle name="Comma  - Style8" xfId="2363"/>
    <cellStyle name="Comma [0]" xfId="2587"/>
    <cellStyle name="Comma [00]" xfId="2364"/>
    <cellStyle name="comma zerodec" xfId="2365"/>
    <cellStyle name="Comma_ SG&amp;A Bridge" xfId="2366"/>
    <cellStyle name="Comma0" xfId="2367"/>
    <cellStyle name="Copied" xfId="2368"/>
    <cellStyle name="Curren?_x0012_퐀_x0017_?" xfId="2369"/>
    <cellStyle name="Currency" xfId="2370"/>
    <cellStyle name="Currency [0]" xfId="2371"/>
    <cellStyle name="Currency [00]" xfId="2372"/>
    <cellStyle name="Currency_ SG&amp;A Bridge " xfId="2373"/>
    <cellStyle name="Currency0" xfId="2374"/>
    <cellStyle name="Currency1" xfId="2375"/>
    <cellStyle name="Date" xfId="2376"/>
    <cellStyle name="Date Short" xfId="2377"/>
    <cellStyle name="Date_견적양식(가로)" xfId="2378"/>
    <cellStyle name="DELTA" xfId="2379"/>
    <cellStyle name="Dezimal [0]_Compiling Utility Macros" xfId="2380"/>
    <cellStyle name="Dezimal_Compiling Utility Macros" xfId="2381"/>
    <cellStyle name="Dollar (zero dec)" xfId="2382"/>
    <cellStyle name="En-t?e 1" xfId="2383"/>
    <cellStyle name="En-t?e 2" xfId="2384"/>
    <cellStyle name="Enter Currency (0)" xfId="2385"/>
    <cellStyle name="Enter Currency (2)" xfId="2386"/>
    <cellStyle name="Enter Units (0)" xfId="2387"/>
    <cellStyle name="Enter Units (1)" xfId="2388"/>
    <cellStyle name="Enter Units (2)" xfId="2389"/>
    <cellStyle name="Entered" xfId="2390"/>
    <cellStyle name="Euro" xfId="2391"/>
    <cellStyle name="F2" xfId="2392"/>
    <cellStyle name="F3" xfId="2393"/>
    <cellStyle name="F4" xfId="2394"/>
    <cellStyle name="F5" xfId="2395"/>
    <cellStyle name="F6" xfId="2396"/>
    <cellStyle name="F7" xfId="2397"/>
    <cellStyle name="F8" xfId="2398"/>
    <cellStyle name="Financier0" xfId="2399"/>
    <cellStyle name="Fixed" xfId="2400"/>
    <cellStyle name="Followed Hyperlink" xfId="2401"/>
    <cellStyle name="G10" xfId="2402"/>
    <cellStyle name="Grey" xfId="2403"/>
    <cellStyle name="H1" xfId="2404"/>
    <cellStyle name="H2" xfId="2405"/>
    <cellStyle name="HEADER" xfId="2406"/>
    <cellStyle name="Header1" xfId="2407"/>
    <cellStyle name="Header2" xfId="2408"/>
    <cellStyle name="Heading 1" xfId="2409"/>
    <cellStyle name="Heading 2" xfId="2410"/>
    <cellStyle name="Heading1" xfId="2411"/>
    <cellStyle name="Heading2" xfId="2412"/>
    <cellStyle name="HEADINGS" xfId="2413"/>
    <cellStyle name="HEADINGSTOP" xfId="2414"/>
    <cellStyle name="Helv8_PFD4.XLS" xfId="2415"/>
    <cellStyle name="Hyperlink" xfId="2416"/>
    <cellStyle name="Input [yellow]" xfId="2417"/>
    <cellStyle name="L`" xfId="2418"/>
    <cellStyle name="Link Currency (0)" xfId="2419"/>
    <cellStyle name="Link Currency (2)" xfId="2420"/>
    <cellStyle name="Link Units (0)" xfId="2421"/>
    <cellStyle name="Link Units (1)" xfId="2422"/>
    <cellStyle name="Link Units (2)" xfId="2423"/>
    <cellStyle name="Milliers [0]_399GC10" xfId="2424"/>
    <cellStyle name="Milliers_399GC10" xfId="2425"/>
    <cellStyle name="mma_CASH &amp; DSO" xfId="2426"/>
    <cellStyle name="Model" xfId="2427"/>
    <cellStyle name="Mon?aire [0]_399GC10" xfId="2428"/>
    <cellStyle name="Mon?aire_399GC10" xfId="2429"/>
    <cellStyle name="Mon?aire0" xfId="2430"/>
    <cellStyle name="no dec" xfId="2431"/>
    <cellStyle name="Normal - Style1" xfId="2432"/>
    <cellStyle name="Normal - Style2" xfId="2433"/>
    <cellStyle name="Normal - Style3" xfId="2434"/>
    <cellStyle name="Normal - Style4" xfId="2435"/>
    <cellStyle name="Normal - Style5" xfId="2436"/>
    <cellStyle name="Normal - Style6" xfId="2437"/>
    <cellStyle name="Normal - Style7" xfId="2438"/>
    <cellStyle name="Normal - Style8" xfId="2439"/>
    <cellStyle name="Normal - 유형1" xfId="2440"/>
    <cellStyle name="Œ…?æ맖?e [0.00]_guyan" xfId="2441"/>
    <cellStyle name="Œ…?æ맖?e_guyan" xfId="2442"/>
    <cellStyle name="oh" xfId="2443"/>
    <cellStyle name="per.style" xfId="2444"/>
    <cellStyle name="Percent" xfId="2445"/>
    <cellStyle name="Percent (0)" xfId="2446"/>
    <cellStyle name="Percent [0]" xfId="2447"/>
    <cellStyle name="Percent [00]" xfId="2448"/>
    <cellStyle name="Percent [2]" xfId="2449"/>
    <cellStyle name="Percent_#6 Temps &amp; Contractors" xfId="2450"/>
    <cellStyle name="PrePop Currency (0)" xfId="2451"/>
    <cellStyle name="PrePop Currency (2)" xfId="2452"/>
    <cellStyle name="PrePop Units (0)" xfId="2453"/>
    <cellStyle name="PrePop Units (1)" xfId="2454"/>
    <cellStyle name="PrePop Units (2)" xfId="2455"/>
    <cellStyle name="regstoresfromspecstores" xfId="2456"/>
    <cellStyle name="RevList" xfId="2457"/>
    <cellStyle name="RLTJD(S" xfId="2458"/>
    <cellStyle name="s]_x000d__x000a_run=c:\Hedgehog\app31.exe_x000d__x000a_spooler=yes_x000d__x000a_load=_x000d__x000a_run=_x000d__x000a_Beep=yes_x000d__x000a_NullPort=None_x000d__x000a_BorderWidth=3_x000d__x000a_CursorBlinkRate=530_x000d__x000a_D" xfId="2459"/>
    <cellStyle name="SAPBEXaggData" xfId="2460"/>
    <cellStyle name="SAPBEXstdData" xfId="2461"/>
    <cellStyle name="sh" xfId="2462"/>
    <cellStyle name="SHADEDSTORES" xfId="2463"/>
    <cellStyle name="specstores" xfId="2464"/>
    <cellStyle name="ssh" xfId="2465"/>
    <cellStyle name="STANDARD" xfId="2466"/>
    <cellStyle name="subhead" xfId="2467"/>
    <cellStyle name="Subtotal" xfId="2468"/>
    <cellStyle name="Text Indent A" xfId="2469"/>
    <cellStyle name="Text Indent B" xfId="2470"/>
    <cellStyle name="Text Indent C" xfId="2471"/>
    <cellStyle name="Title" xfId="2472"/>
    <cellStyle name="title [1]" xfId="2473"/>
    <cellStyle name="title [2]" xfId="2474"/>
    <cellStyle name="Title_견적양식(가로)" xfId="2475"/>
    <cellStyle name="Total" xfId="2476"/>
    <cellStyle name="UM" xfId="2477"/>
    <cellStyle name="Virgule fixe" xfId="2478"/>
    <cellStyle name="W?rung [0]_Compiling Utility Macros" xfId="2479"/>
    <cellStyle name="W?rung_Compiling Utility Macros" xfId="2480"/>
    <cellStyle name="_x0008_z" xfId="2481"/>
    <cellStyle name="μU¿¡ ¿A´A CIAIÆU¸μAⓒ" xfId="2482"/>
    <cellStyle name="|?ドE" xfId="2483"/>
    <cellStyle name="견적" xfId="2484"/>
    <cellStyle name="고정소숫점" xfId="2485"/>
    <cellStyle name="고정출력1" xfId="2486"/>
    <cellStyle name="고정출력2" xfId="2487"/>
    <cellStyle name="공사원가계산서(조경)" xfId="2488"/>
    <cellStyle name="기계" xfId="2489"/>
    <cellStyle name="기본숫자" xfId="2490"/>
    <cellStyle name="기성(내용)" xfId="2491"/>
    <cellStyle name="기성(내용2)" xfId="2492"/>
    <cellStyle name="끼_x0001_?" xfId="2493"/>
    <cellStyle name="날짜" xfId="2494"/>
    <cellStyle name="내역서" xfId="2495"/>
    <cellStyle name="단가" xfId="2496"/>
    <cellStyle name="달러" xfId="2497"/>
    <cellStyle name="돋움채" xfId="2498"/>
    <cellStyle name="뒤에 오는 하이퍼링크" xfId="2499"/>
    <cellStyle name="똿떓죶Ø괻 [0.00]_NT Server " xfId="2500"/>
    <cellStyle name="똿떓죶Ø괻_NT Server " xfId="2501"/>
    <cellStyle name="똿뗦먛귟 [0.00]_laroux" xfId="2502"/>
    <cellStyle name="똿뗦먛귟_laroux" xfId="2503"/>
    <cellStyle name="마이너스키" xfId="2504"/>
    <cellStyle name="묮뎋 [0.00]_NT Server " xfId="2505"/>
    <cellStyle name="묮뎋_NT Server " xfId="2506"/>
    <cellStyle name="물량집계(갑)" xfId="2507"/>
    <cellStyle name="믅됞 [0.00]_laroux" xfId="2508"/>
    <cellStyle name="믅됞_laroux" xfId="2509"/>
    <cellStyle name="배분" xfId="2510"/>
    <cellStyle name="백" xfId="2511"/>
    <cellStyle name="백_04028적산수량집계" xfId="2512"/>
    <cellStyle name="백_BOOKCITY(전기)" xfId="2513"/>
    <cellStyle name="백_BOOKCITY(전기)_04028적산수량집계" xfId="2514"/>
    <cellStyle name="백_TRU내역서" xfId="2515"/>
    <cellStyle name="백_견적양식(가로)" xfId="2516"/>
    <cellStyle name="백_공설운동진입(가실행)" xfId="2517"/>
    <cellStyle name="백_공설운동진입(가실행)_04028적산수량집계" xfId="2518"/>
    <cellStyle name="백_공설운동진입(가실행)_BOOKCITY(전기)" xfId="2519"/>
    <cellStyle name="백_공설운동진입(가실행)_BOOKCITY(전기)_04028적산수량집계" xfId="2520"/>
    <cellStyle name="백_공설운동진입(가실행)_사본 - 파주 북시티(이채)" xfId="2521"/>
    <cellStyle name="백_공설운동진입(가실행)_사본 - 파주 북시티(이채)_04028적산수량집계" xfId="2522"/>
    <cellStyle name="백_공설운동진입(가실행)_파주 BOOK CITY(통보용)" xfId="2523"/>
    <cellStyle name="백_공설운동진입(가실행)_파주 BOOK CITY(통보용)_04028적산수량집계" xfId="2524"/>
    <cellStyle name="백_공설운동진입(가실행)_파주 BOOK CITY가실행내역" xfId="2525"/>
    <cellStyle name="백_공설운동진입(가실행)_파주 BOOK CITY가실행내역_04028적산수량집계" xfId="2526"/>
    <cellStyle name="백_공설운동진입(가실행)_파주 북시티(이채)제출" xfId="2527"/>
    <cellStyle name="백_공설운동진입(가실행)_파주 북시티(이채)제출_04028적산수량집계" xfId="2528"/>
    <cellStyle name="백_공설운동진입(가실행)_파주 북시티(전체)제출(변경전)" xfId="2529"/>
    <cellStyle name="백_공설운동진입(가실행)_파주 북시티(전체)제출(변경전)_04028적산수량집계" xfId="2530"/>
    <cellStyle name="백_사본 - 파주 북시티(이채)" xfId="2531"/>
    <cellStyle name="백_사본 - 파주 북시티(이채)_04028적산수량집계" xfId="2532"/>
    <cellStyle name="백_정산내역(0515)-검토" xfId="2533"/>
    <cellStyle name="백_토목내역서" xfId="2534"/>
    <cellStyle name="백_토목내역서_04028적산수량집계" xfId="2535"/>
    <cellStyle name="백_토목내역서_BOOKCITY(전기)" xfId="2536"/>
    <cellStyle name="백_토목내역서_BOOKCITY(전기)_04028적산수량집계" xfId="2537"/>
    <cellStyle name="백_토목내역서_공설운동진입(가실행)" xfId="2538"/>
    <cellStyle name="백_토목내역서_공설운동진입(가실행)_04028적산수량집계" xfId="2539"/>
    <cellStyle name="백_토목내역서_공설운동진입(가실행)_BOOKCITY(전기)" xfId="2540"/>
    <cellStyle name="백_토목내역서_공설운동진입(가실행)_BOOKCITY(전기)_04028적산수량집계" xfId="2541"/>
    <cellStyle name="백_토목내역서_공설운동진입(가실행)_사본 - 파주 북시티(이채)" xfId="2542"/>
    <cellStyle name="백_토목내역서_공설운동진입(가실행)_사본 - 파주 북시티(이채)_04028적산수량집계" xfId="2543"/>
    <cellStyle name="백_토목내역서_공설운동진입(가실행)_파주 BOOK CITY(통보용)" xfId="2544"/>
    <cellStyle name="백_토목내역서_공설운동진입(가실행)_파주 BOOK CITY(통보용)_04028적산수량집계" xfId="2545"/>
    <cellStyle name="백_토목내역서_공설운동진입(가실행)_파주 BOOK CITY가실행내역" xfId="2546"/>
    <cellStyle name="백_토목내역서_공설운동진입(가실행)_파주 BOOK CITY가실행내역_04028적산수량집계" xfId="2547"/>
    <cellStyle name="백_토목내역서_공설운동진입(가실행)_파주 북시티(이채)제출" xfId="2548"/>
    <cellStyle name="백_토목내역서_공설운동진입(가실행)_파주 북시티(이채)제출_04028적산수량집계" xfId="2549"/>
    <cellStyle name="백_토목내역서_공설운동진입(가실행)_파주 북시티(전체)제출(변경전)" xfId="2550"/>
    <cellStyle name="백_토목내역서_공설운동진입(가실행)_파주 북시티(전체)제출(변경전)_04028적산수량집계" xfId="2551"/>
    <cellStyle name="백_토목내역서_사본 - 파주 북시티(이채)" xfId="2552"/>
    <cellStyle name="백_토목내역서_사본 - 파주 북시티(이채)_04028적산수량집계" xfId="2553"/>
    <cellStyle name="백_토목내역서_파주 BOOK CITY(통보용)" xfId="2554"/>
    <cellStyle name="백_토목내역서_파주 BOOK CITY(통보용)_04028적산수량집계" xfId="2555"/>
    <cellStyle name="백_토목내역서_파주 BOOK CITY가실행내역" xfId="2556"/>
    <cellStyle name="백_토목내역서_파주 BOOK CITY가실행내역_04028적산수량집계" xfId="2557"/>
    <cellStyle name="백_토목내역서_파주 북시티(이채)제출" xfId="2558"/>
    <cellStyle name="백_토목내역서_파주 북시티(이채)제출_04028적산수량집계" xfId="2559"/>
    <cellStyle name="백_토목내역서_파주 북시티(전체)제출(변경전)" xfId="2560"/>
    <cellStyle name="백_토목내역서_파주 북시티(전체)제출(변경전)_04028적산수량집계" xfId="2561"/>
    <cellStyle name="백_파주 BOOK CITY(통보용)" xfId="2562"/>
    <cellStyle name="백_파주 BOOK CITY(통보용)_04028적산수량집계" xfId="2563"/>
    <cellStyle name="백_파주 BOOK CITY가실행내역" xfId="2564"/>
    <cellStyle name="백_파주 BOOK CITY가실행내역_04028적산수량집계" xfId="2565"/>
    <cellStyle name="백_파주 북시티(이채)제출" xfId="2566"/>
    <cellStyle name="백_파주 북시티(이채)제출_04028적산수량집계" xfId="2567"/>
    <cellStyle name="백_파주 북시티(전체)제출(변경전)" xfId="2568"/>
    <cellStyle name="백_파주 북시티(전체)제출(변경전)_04028적산수량집계" xfId="2569"/>
    <cellStyle name="백분율 [△1]" xfId="2570"/>
    <cellStyle name="백분율 [△2]" xfId="2571"/>
    <cellStyle name="백분율 [0]" xfId="2572"/>
    <cellStyle name="백분율 [2]" xfId="2573"/>
    <cellStyle name="백분율 2" xfId="2574"/>
    <cellStyle name="백분율［△1］" xfId="2575"/>
    <cellStyle name="백분율［△2］" xfId="2576"/>
    <cellStyle name="분수" xfId="2577"/>
    <cellStyle name="뷭?" xfId="2578"/>
    <cellStyle name="빨간색" xfId="2579"/>
    <cellStyle name="常规_PhaseⅡ Detail" xfId="2580"/>
    <cellStyle name="선택영역의 가운데로" xfId="2581"/>
    <cellStyle name="설계서" xfId="2582"/>
    <cellStyle name="수량" xfId="2583"/>
    <cellStyle name="수량1" xfId="2584"/>
    <cellStyle name="수목명" xfId="2585"/>
    <cellStyle name="숫자(R)" xfId="2586"/>
    <cellStyle name="쉼표 [0]" xfId="2868" builtinId="6"/>
    <cellStyle name="쉼표 [0] 2" xfId="2588"/>
    <cellStyle name="쉼표 [0] 2 2" xfId="2589"/>
    <cellStyle name="쉼표 [0] 2 2 2" xfId="2863"/>
    <cellStyle name="쉼표 [0] 2 2 2 2" xfId="2864"/>
    <cellStyle name="쉼표 [0] 3" xfId="2590"/>
    <cellStyle name="쉼표 [0] 3 2" xfId="2866"/>
    <cellStyle name="쉼표 [0] 4" xfId="2591"/>
    <cellStyle name="쉼표 [0] 5" xfId="2870"/>
    <cellStyle name="스타일 1" xfId="2592"/>
    <cellStyle name="스타일 10" xfId="2593"/>
    <cellStyle name="스타일 11" xfId="2594"/>
    <cellStyle name="스타일 12" xfId="2595"/>
    <cellStyle name="스타일 13" xfId="2596"/>
    <cellStyle name="스타일 14" xfId="2597"/>
    <cellStyle name="스타일 15" xfId="2598"/>
    <cellStyle name="스타일 16" xfId="2599"/>
    <cellStyle name="스타일 17" xfId="2600"/>
    <cellStyle name="스타일 18" xfId="2601"/>
    <cellStyle name="스타일 19" xfId="2602"/>
    <cellStyle name="스타일 2" xfId="2603"/>
    <cellStyle name="스타일 20" xfId="2604"/>
    <cellStyle name="스타일 21" xfId="2605"/>
    <cellStyle name="스타일 22" xfId="2606"/>
    <cellStyle name="스타일 23" xfId="2607"/>
    <cellStyle name="스타일 24" xfId="2608"/>
    <cellStyle name="스타일 25" xfId="2609"/>
    <cellStyle name="스타일 26" xfId="2610"/>
    <cellStyle name="스타일 27" xfId="2611"/>
    <cellStyle name="스타일 28" xfId="2612"/>
    <cellStyle name="스타일 29" xfId="2613"/>
    <cellStyle name="스타일 3" xfId="2614"/>
    <cellStyle name="스타일 30" xfId="2615"/>
    <cellStyle name="스타일 31" xfId="2616"/>
    <cellStyle name="스타일 32" xfId="2617"/>
    <cellStyle name="스타일 33" xfId="2618"/>
    <cellStyle name="스타일 34" xfId="2619"/>
    <cellStyle name="스타일 35" xfId="2620"/>
    <cellStyle name="스타일 36" xfId="2621"/>
    <cellStyle name="스타일 37" xfId="2622"/>
    <cellStyle name="스타일 38" xfId="2623"/>
    <cellStyle name="스타일 39" xfId="2624"/>
    <cellStyle name="스타일 4" xfId="2625"/>
    <cellStyle name="스타일 40" xfId="2626"/>
    <cellStyle name="스타일 41" xfId="2627"/>
    <cellStyle name="스타일 42" xfId="2628"/>
    <cellStyle name="스타일 43" xfId="2629"/>
    <cellStyle name="스타일 44" xfId="2630"/>
    <cellStyle name="스타일 45" xfId="2631"/>
    <cellStyle name="스타일 5" xfId="2632"/>
    <cellStyle name="스타일 6" xfId="2633"/>
    <cellStyle name="스타일 7" xfId="2634"/>
    <cellStyle name="스타일 8" xfId="2635"/>
    <cellStyle name="스타일 9" xfId="2636"/>
    <cellStyle name="안건회계법인" xfId="2637"/>
    <cellStyle name="열어본 하이퍼링크" xfId="2638"/>
    <cellStyle name="옛체" xfId="2639"/>
    <cellStyle name="왼쪽2" xfId="2640"/>
    <cellStyle name="원" xfId="2641"/>
    <cellStyle name="원_02대여금" xfId="2642"/>
    <cellStyle name="원_02투자" xfId="2643"/>
    <cellStyle name="원_02투자및대여금종합" xfId="2644"/>
    <cellStyle name="원_NCF6BB2F" xfId="2645"/>
    <cellStyle name="원_남양주무궁화공정표(03.08.22)" xfId="2646"/>
    <cellStyle name="원_환경1팀수주최종본" xfId="2647"/>
    <cellStyle name="일위대가" xfId="2648"/>
    <cellStyle name="자리수" xfId="2649"/>
    <cellStyle name="자리수 - 유형1" xfId="2650"/>
    <cellStyle name="자리수_견적양식(가로)" xfId="2651"/>
    <cellStyle name="자리수0" xfId="2652"/>
    <cellStyle name="제목 1(左)" xfId="2653"/>
    <cellStyle name="제목 1(中)" xfId="2654"/>
    <cellStyle name="제목[1 줄]" xfId="2655"/>
    <cellStyle name="제목[2줄 아래]" xfId="2656"/>
    <cellStyle name="제목[2줄 위]" xfId="2657"/>
    <cellStyle name="제목1" xfId="2658"/>
    <cellStyle name="지정되지 않음" xfId="2659"/>
    <cellStyle name="콤" xfId="2660"/>
    <cellStyle name="콤_04028적산수량집계" xfId="2661"/>
    <cellStyle name="콤_BOOKCITY(전기)" xfId="2662"/>
    <cellStyle name="콤_BOOKCITY(전기)_04028적산수량집계" xfId="2663"/>
    <cellStyle name="콤_공설운동진입(가실행)" xfId="2664"/>
    <cellStyle name="콤_공설운동진입(가실행)_04028적산수량집계" xfId="2665"/>
    <cellStyle name="콤_공설운동진입(가실행)_BOOKCITY(전기)" xfId="2666"/>
    <cellStyle name="콤_공설운동진입(가실행)_BOOKCITY(전기)_04028적산수량집계" xfId="2667"/>
    <cellStyle name="콤_공설운동진입(가실행)_사본 - 파주 북시티(이채)" xfId="2668"/>
    <cellStyle name="콤_공설운동진입(가실행)_사본 - 파주 북시티(이채)_04028적산수량집계" xfId="2669"/>
    <cellStyle name="콤_공설운동진입(가실행)_파주 BOOK CITY(통보용)" xfId="2670"/>
    <cellStyle name="콤_공설운동진입(가실행)_파주 BOOK CITY(통보용)_04028적산수량집계" xfId="2671"/>
    <cellStyle name="콤_공설운동진입(가실행)_파주 BOOK CITY가실행내역" xfId="2672"/>
    <cellStyle name="콤_공설운동진입(가실행)_파주 BOOK CITY가실행내역_04028적산수량집계" xfId="2673"/>
    <cellStyle name="콤_공설운동진입(가실행)_파주 북시티(이채)제출" xfId="2674"/>
    <cellStyle name="콤_공설운동진입(가실행)_파주 북시티(이채)제출_04028적산수량집계" xfId="2675"/>
    <cellStyle name="콤_공설운동진입(가실행)_파주 북시티(전체)제출(변경전)" xfId="2676"/>
    <cellStyle name="콤_공설운동진입(가실행)_파주 북시티(전체)제출(변경전)_04028적산수량집계" xfId="2677"/>
    <cellStyle name="콤_사본 - 파주 북시티(이채)" xfId="2678"/>
    <cellStyle name="콤_사본 - 파주 북시티(이채)_04028적산수량집계" xfId="2679"/>
    <cellStyle name="콤_토목내역서" xfId="2680"/>
    <cellStyle name="콤_토목내역서_04028적산수량집계" xfId="2681"/>
    <cellStyle name="콤_토목내역서_BOOKCITY(전기)" xfId="2682"/>
    <cellStyle name="콤_토목내역서_BOOKCITY(전기)_04028적산수량집계" xfId="2683"/>
    <cellStyle name="콤_토목내역서_공설운동진입(가실행)" xfId="2684"/>
    <cellStyle name="콤_토목내역서_공설운동진입(가실행)_04028적산수량집계" xfId="2685"/>
    <cellStyle name="콤_토목내역서_공설운동진입(가실행)_BOOKCITY(전기)" xfId="2686"/>
    <cellStyle name="콤_토목내역서_공설운동진입(가실행)_BOOKCITY(전기)_04028적산수량집계" xfId="2687"/>
    <cellStyle name="콤_토목내역서_공설운동진입(가실행)_사본 - 파주 북시티(이채)" xfId="2688"/>
    <cellStyle name="콤_토목내역서_공설운동진입(가실행)_사본 - 파주 북시티(이채)_04028적산수량집계" xfId="2689"/>
    <cellStyle name="콤_토목내역서_공설운동진입(가실행)_파주 BOOK CITY(통보용)" xfId="2690"/>
    <cellStyle name="콤_토목내역서_공설운동진입(가실행)_파주 BOOK CITY(통보용)_04028적산수량집계" xfId="2691"/>
    <cellStyle name="콤_토목내역서_공설운동진입(가실행)_파주 BOOK CITY가실행내역" xfId="2692"/>
    <cellStyle name="콤_토목내역서_공설운동진입(가실행)_파주 BOOK CITY가실행내역_04028적산수량집계" xfId="2693"/>
    <cellStyle name="콤_토목내역서_공설운동진입(가실행)_파주 북시티(이채)제출" xfId="2694"/>
    <cellStyle name="콤_토목내역서_공설운동진입(가실행)_파주 북시티(이채)제출_04028적산수량집계" xfId="2695"/>
    <cellStyle name="콤_토목내역서_공설운동진입(가실행)_파주 북시티(전체)제출(변경전)" xfId="2696"/>
    <cellStyle name="콤_토목내역서_공설운동진입(가실행)_파주 북시티(전체)제출(변경전)_04028적산수량집계" xfId="2697"/>
    <cellStyle name="콤_토목내역서_사본 - 파주 북시티(이채)" xfId="2698"/>
    <cellStyle name="콤_토목내역서_사본 - 파주 북시티(이채)_04028적산수량집계" xfId="2699"/>
    <cellStyle name="콤_토목내역서_파주 BOOK CITY(통보용)" xfId="2700"/>
    <cellStyle name="콤_토목내역서_파주 BOOK CITY(통보용)_04028적산수량집계" xfId="2701"/>
    <cellStyle name="콤_토목내역서_파주 BOOK CITY가실행내역" xfId="2702"/>
    <cellStyle name="콤_토목내역서_파주 BOOK CITY가실행내역_04028적산수량집계" xfId="2703"/>
    <cellStyle name="콤_토목내역서_파주 북시티(이채)제출" xfId="2704"/>
    <cellStyle name="콤_토목내역서_파주 북시티(이채)제출_04028적산수량집계" xfId="2705"/>
    <cellStyle name="콤_토목내역서_파주 북시티(전체)제출(변경전)" xfId="2706"/>
    <cellStyle name="콤_토목내역서_파주 북시티(전체)제출(변경전)_04028적산수량집계" xfId="2707"/>
    <cellStyle name="콤_파주 BOOK CITY(통보용)" xfId="2708"/>
    <cellStyle name="콤_파주 BOOK CITY(통보용)_04028적산수량집계" xfId="2709"/>
    <cellStyle name="콤_파주 BOOK CITY가실행내역" xfId="2710"/>
    <cellStyle name="콤_파주 BOOK CITY가실행내역_04028적산수량집계" xfId="2711"/>
    <cellStyle name="콤_파주 북시티(이채)제출" xfId="2712"/>
    <cellStyle name="콤_파주 북시티(이채)제출_04028적산수량집계" xfId="2713"/>
    <cellStyle name="콤_파주 북시티(전체)제출(변경전)" xfId="2714"/>
    <cellStyle name="콤_파주 북시티(전체)제출(변경전)_04028적산수량집계" xfId="2715"/>
    <cellStyle name="콤냡?&lt;_x000f_$??: `1_1 " xfId="2716"/>
    <cellStyle name="콤마" xfId="2717"/>
    <cellStyle name="콤마 [" xfId="2718"/>
    <cellStyle name="콤마 [#]" xfId="2719"/>
    <cellStyle name="콤마 []" xfId="2720"/>
    <cellStyle name="콤마 [0]" xfId="2721"/>
    <cellStyle name="콤마 [2]" xfId="2722"/>
    <cellStyle name="콤마 [금액]" xfId="2723"/>
    <cellStyle name="콤마 [소수]" xfId="2724"/>
    <cellStyle name="콤마 [수량]" xfId="2725"/>
    <cellStyle name="콤마 1" xfId="2726"/>
    <cellStyle name="콤마[ ]" xfId="2727"/>
    <cellStyle name="콤마[*]" xfId="2728"/>
    <cellStyle name="콤마[,]" xfId="2729"/>
    <cellStyle name="콤마[.]" xfId="2730"/>
    <cellStyle name="콤마[0]" xfId="2731"/>
    <cellStyle name="콤마_  종  합  " xfId="2732"/>
    <cellStyle name="통" xfId="2733"/>
    <cellStyle name="통_04028적산수량집계" xfId="2734"/>
    <cellStyle name="통_BOOKCITY(전기)" xfId="2735"/>
    <cellStyle name="통_BOOKCITY(전기)_04028적산수량집계" xfId="2736"/>
    <cellStyle name="통_공설운동진입(가실행)" xfId="2737"/>
    <cellStyle name="통_공설운동진입(가실행)_04028적산수량집계" xfId="2738"/>
    <cellStyle name="통_공설운동진입(가실행)_BOOKCITY(전기)" xfId="2739"/>
    <cellStyle name="통_공설운동진입(가실행)_BOOKCITY(전기)_04028적산수량집계" xfId="2740"/>
    <cellStyle name="통_공설운동진입(가실행)_사본 - 파주 북시티(이채)" xfId="2741"/>
    <cellStyle name="통_공설운동진입(가실행)_사본 - 파주 북시티(이채)_04028적산수량집계" xfId="2742"/>
    <cellStyle name="통_공설운동진입(가실행)_파주 BOOK CITY(통보용)" xfId="2743"/>
    <cellStyle name="통_공설운동진입(가실행)_파주 BOOK CITY(통보용)_04028적산수량집계" xfId="2744"/>
    <cellStyle name="통_공설운동진입(가실행)_파주 BOOK CITY가실행내역" xfId="2745"/>
    <cellStyle name="통_공설운동진입(가실행)_파주 BOOK CITY가실행내역_04028적산수량집계" xfId="2746"/>
    <cellStyle name="통_공설운동진입(가실행)_파주 북시티(이채)제출" xfId="2747"/>
    <cellStyle name="통_공설운동진입(가실행)_파주 북시티(이채)제출_04028적산수량집계" xfId="2748"/>
    <cellStyle name="통_공설운동진입(가실행)_파주 북시티(전체)제출(변경전)" xfId="2749"/>
    <cellStyle name="통_공설운동진입(가실행)_파주 북시티(전체)제출(변경전)_04028적산수량집계" xfId="2750"/>
    <cellStyle name="통_사본 - 파주 북시티(이채)" xfId="2751"/>
    <cellStyle name="통_사본 - 파주 북시티(이채)_04028적산수량집계" xfId="2752"/>
    <cellStyle name="통_토목내역서" xfId="2753"/>
    <cellStyle name="통_토목내역서_04028적산수량집계" xfId="2754"/>
    <cellStyle name="통_토목내역서_BOOKCITY(전기)" xfId="2755"/>
    <cellStyle name="통_토목내역서_BOOKCITY(전기)_04028적산수량집계" xfId="2756"/>
    <cellStyle name="통_토목내역서_공설운동진입(가실행)" xfId="2757"/>
    <cellStyle name="통_토목내역서_공설운동진입(가실행)_04028적산수량집계" xfId="2758"/>
    <cellStyle name="통_토목내역서_공설운동진입(가실행)_BOOKCITY(전기)" xfId="2759"/>
    <cellStyle name="통_토목내역서_공설운동진입(가실행)_BOOKCITY(전기)_04028적산수량집계" xfId="2760"/>
    <cellStyle name="통_토목내역서_공설운동진입(가실행)_사본 - 파주 북시티(이채)" xfId="2761"/>
    <cellStyle name="통_토목내역서_공설운동진입(가실행)_사본 - 파주 북시티(이채)_04028적산수량집계" xfId="2762"/>
    <cellStyle name="통_토목내역서_공설운동진입(가실행)_파주 BOOK CITY(통보용)" xfId="2763"/>
    <cellStyle name="통_토목내역서_공설운동진입(가실행)_파주 BOOK CITY(통보용)_04028적산수량집계" xfId="2764"/>
    <cellStyle name="통_토목내역서_공설운동진입(가실행)_파주 BOOK CITY가실행내역" xfId="2765"/>
    <cellStyle name="통_토목내역서_공설운동진입(가실행)_파주 BOOK CITY가실행내역_04028적산수량집계" xfId="2766"/>
    <cellStyle name="통_토목내역서_공설운동진입(가실행)_파주 북시티(이채)제출" xfId="2767"/>
    <cellStyle name="통_토목내역서_공설운동진입(가실행)_파주 북시티(이채)제출_04028적산수량집계" xfId="2768"/>
    <cellStyle name="통_토목내역서_공설운동진입(가실행)_파주 북시티(전체)제출(변경전)" xfId="2769"/>
    <cellStyle name="통_토목내역서_공설운동진입(가실행)_파주 북시티(전체)제출(변경전)_04028적산수량집계" xfId="2770"/>
    <cellStyle name="통_토목내역서_사본 - 파주 북시티(이채)" xfId="2771"/>
    <cellStyle name="통_토목내역서_사본 - 파주 북시티(이채)_04028적산수량집계" xfId="2772"/>
    <cellStyle name="통_토목내역서_파주 BOOK CITY(통보용)" xfId="2773"/>
    <cellStyle name="통_토목내역서_파주 BOOK CITY(통보용)_04028적산수량집계" xfId="2774"/>
    <cellStyle name="통_토목내역서_파주 BOOK CITY가실행내역" xfId="2775"/>
    <cellStyle name="통_토목내역서_파주 BOOK CITY가실행내역_04028적산수량집계" xfId="2776"/>
    <cellStyle name="통_토목내역서_파주 북시티(이채)제출" xfId="2777"/>
    <cellStyle name="통_토목내역서_파주 북시티(이채)제출_04028적산수량집계" xfId="2778"/>
    <cellStyle name="통_토목내역서_파주 북시티(전체)제출(변경전)" xfId="2779"/>
    <cellStyle name="통_토목내역서_파주 북시티(전체)제출(변경전)_04028적산수량집계" xfId="2780"/>
    <cellStyle name="통_파주 BOOK CITY(통보용)" xfId="2781"/>
    <cellStyle name="통_파주 BOOK CITY(통보용)_04028적산수량집계" xfId="2782"/>
    <cellStyle name="통_파주 BOOK CITY가실행내역" xfId="2783"/>
    <cellStyle name="통_파주 BOOK CITY가실행내역_04028적산수량집계" xfId="2784"/>
    <cellStyle name="통_파주 북시티(이채)제출" xfId="2785"/>
    <cellStyle name="통_파주 북시티(이채)제출_04028적산수량집계" xfId="2786"/>
    <cellStyle name="통_파주 북시티(전체)제출(변경전)" xfId="2787"/>
    <cellStyle name="통_파주 북시티(전체)제출(변경전)_04028적산수량집계" xfId="2788"/>
    <cellStyle name="통화 [" xfId="2789"/>
    <cellStyle name="퍼센트" xfId="2790"/>
    <cellStyle name="표" xfId="2791"/>
    <cellStyle name="표_04028적산수량집계" xfId="2792"/>
    <cellStyle name="표_BOOKCITY(전기)" xfId="2793"/>
    <cellStyle name="표_BOOKCITY(전기)_04028적산수량집계" xfId="2794"/>
    <cellStyle name="표_공설운동진입(가실행)" xfId="2795"/>
    <cellStyle name="표_공설운동진입(가실행)_04028적산수량집계" xfId="2796"/>
    <cellStyle name="표_공설운동진입(가실행)_BOOKCITY(전기)" xfId="2797"/>
    <cellStyle name="표_공설운동진입(가실행)_BOOKCITY(전기)_04028적산수량집계" xfId="2798"/>
    <cellStyle name="표_공설운동진입(가실행)_사본 - 파주 북시티(이채)" xfId="2799"/>
    <cellStyle name="표_공설운동진입(가실행)_사본 - 파주 북시티(이채)_04028적산수량집계" xfId="2800"/>
    <cellStyle name="표_공설운동진입(가실행)_파주 BOOK CITY(통보용)" xfId="2801"/>
    <cellStyle name="표_공설운동진입(가실행)_파주 BOOK CITY(통보용)_04028적산수량집계" xfId="2802"/>
    <cellStyle name="표_공설운동진입(가실행)_파주 BOOK CITY가실행내역" xfId="2803"/>
    <cellStyle name="표_공설운동진입(가실행)_파주 BOOK CITY가실행내역_04028적산수량집계" xfId="2804"/>
    <cellStyle name="표_공설운동진입(가실행)_파주 북시티(이채)제출" xfId="2805"/>
    <cellStyle name="표_공설운동진입(가실행)_파주 북시티(이채)제출_04028적산수량집계" xfId="2806"/>
    <cellStyle name="표_공설운동진입(가실행)_파주 북시티(전체)제출(변경전)" xfId="2807"/>
    <cellStyle name="표_공설운동진입(가실행)_파주 북시티(전체)제출(변경전)_04028적산수량집계" xfId="2808"/>
    <cellStyle name="표_사본 - 파주 북시티(이채)" xfId="2809"/>
    <cellStyle name="표_사본 - 파주 북시티(이채)_04028적산수량집계" xfId="2810"/>
    <cellStyle name="표_토목내역서" xfId="2811"/>
    <cellStyle name="표_토목내역서_04028적산수량집계" xfId="2812"/>
    <cellStyle name="표_토목내역서_BOOKCITY(전기)" xfId="2813"/>
    <cellStyle name="표_토목내역서_BOOKCITY(전기)_04028적산수량집계" xfId="2814"/>
    <cellStyle name="표_토목내역서_공설운동진입(가실행)" xfId="2815"/>
    <cellStyle name="표_토목내역서_공설운동진입(가실행)_04028적산수량집계" xfId="2816"/>
    <cellStyle name="표_토목내역서_공설운동진입(가실행)_BOOKCITY(전기)" xfId="2817"/>
    <cellStyle name="표_토목내역서_공설운동진입(가실행)_BOOKCITY(전기)_04028적산수량집계" xfId="2818"/>
    <cellStyle name="표_토목내역서_공설운동진입(가실행)_사본 - 파주 북시티(이채)" xfId="2819"/>
    <cellStyle name="표_토목내역서_공설운동진입(가실행)_사본 - 파주 북시티(이채)_04028적산수량집계" xfId="2820"/>
    <cellStyle name="표_토목내역서_공설운동진입(가실행)_파주 BOOK CITY(통보용)" xfId="2821"/>
    <cellStyle name="표_토목내역서_공설운동진입(가실행)_파주 BOOK CITY(통보용)_04028적산수량집계" xfId="2822"/>
    <cellStyle name="표_토목내역서_공설운동진입(가실행)_파주 BOOK CITY가실행내역" xfId="2823"/>
    <cellStyle name="표_토목내역서_공설운동진입(가실행)_파주 BOOK CITY가실행내역_04028적산수량집계" xfId="2824"/>
    <cellStyle name="표_토목내역서_공설운동진입(가실행)_파주 북시티(이채)제출" xfId="2825"/>
    <cellStyle name="표_토목내역서_공설운동진입(가실행)_파주 북시티(이채)제출_04028적산수량집계" xfId="2826"/>
    <cellStyle name="표_토목내역서_공설운동진입(가실행)_파주 북시티(전체)제출(변경전)" xfId="2827"/>
    <cellStyle name="표_토목내역서_공설운동진입(가실행)_파주 북시티(전체)제출(변경전)_04028적산수량집계" xfId="2828"/>
    <cellStyle name="표_토목내역서_사본 - 파주 북시티(이채)" xfId="2829"/>
    <cellStyle name="표_토목내역서_사본 - 파주 북시티(이채)_04028적산수량집계" xfId="2830"/>
    <cellStyle name="표_토목내역서_파주 BOOK CITY(통보용)" xfId="2831"/>
    <cellStyle name="표_토목내역서_파주 BOOK CITY(통보용)_04028적산수량집계" xfId="2832"/>
    <cellStyle name="표_토목내역서_파주 BOOK CITY가실행내역" xfId="2833"/>
    <cellStyle name="표_토목내역서_파주 BOOK CITY가실행내역_04028적산수량집계" xfId="2834"/>
    <cellStyle name="표_토목내역서_파주 북시티(이채)제출" xfId="2835"/>
    <cellStyle name="표_토목내역서_파주 북시티(이채)제출_04028적산수량집계" xfId="2836"/>
    <cellStyle name="표_토목내역서_파주 북시티(전체)제출(변경전)" xfId="2837"/>
    <cellStyle name="표_토목내역서_파주 북시티(전체)제출(변경전)_04028적산수량집계" xfId="2838"/>
    <cellStyle name="표_파주 BOOK CITY(통보용)" xfId="2839"/>
    <cellStyle name="표_파주 BOOK CITY(통보용)_04028적산수량집계" xfId="2840"/>
    <cellStyle name="표_파주 BOOK CITY가실행내역" xfId="2841"/>
    <cellStyle name="표_파주 BOOK CITY가실행내역_04028적산수량집계" xfId="2842"/>
    <cellStyle name="표_파주 북시티(이채)제출" xfId="2843"/>
    <cellStyle name="표_파주 북시티(이채)제출_04028적산수량집계" xfId="2844"/>
    <cellStyle name="표_파주 북시티(전체)제출(변경전)" xfId="2845"/>
    <cellStyle name="표_파주 북시티(전체)제출(변경전)_04028적산수량집계" xfId="2846"/>
    <cellStyle name="표머릿글(上)" xfId="2847"/>
    <cellStyle name="표머릿글(中)" xfId="2848"/>
    <cellStyle name="표머릿글(下)" xfId="2849"/>
    <cellStyle name="표준" xfId="0" builtinId="0"/>
    <cellStyle name="표준 2" xfId="2850"/>
    <cellStyle name="표준 2 2" xfId="2867"/>
    <cellStyle name="표준 2 32" xfId="2860"/>
    <cellStyle name="표준 28" xfId="2865"/>
    <cellStyle name="표준 3" xfId="2851"/>
    <cellStyle name="표준 3 2" xfId="2862"/>
    <cellStyle name="표준 3 2 2" xfId="2861"/>
    <cellStyle name="표준 4" xfId="2852"/>
    <cellStyle name="표준 5" xfId="2853"/>
    <cellStyle name="標準_Akia(F）-8" xfId="2854"/>
    <cellStyle name="표준_NY-FORM 2 2" xfId="2869"/>
    <cellStyle name="표준1" xfId="2855"/>
    <cellStyle name="표쥰" xfId="2856"/>
    <cellStyle name="합산" xfId="2857"/>
    <cellStyle name="화폐기호" xfId="2858"/>
    <cellStyle name="화폐기호0" xfId="285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49;&#50857;&#48177;&#44284;&#51109;\EDATA\SINGLE\OFFICE40\temp\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ed1\need1%20F\&#48317;&#49328;%20&#50668;&#51032;&#46020;M.H\3&#52789;%20&#49888;&#47548;&#46041;\&#45768;&#46300;&#51068;&#51648;\Mine\&#47084;&#49884;&#50500;\&#54620;&#44397;&#45824;&#49324;&#44288;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4221;&#51652;-pc\f\&#54532;&#47196;&#51229;&#53944;\00.&#54060;&#50500;&#49884;&#50500;&#54168;&#51060;&#54140;.&#50976;&#52404;,&#51064;&#48260;&#53552;%20&#51204;&#52404;&#51652;&#45800;\2001&#45380;%20&#51064;&#48260;&#53552;&#50752;%20&#50976;&#52404;\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scljh\c\EXCEL\&#49688;&#51452;\&#49324;&#50629;&#49457;~1\96\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4221;&#51652;-pc\f\WINDOWS\&#48148;&#53461;%20&#54868;&#47732;\Everland\Halla\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dedms\Mepss\&#51648;&#54840;Docu\4.&#44592;&#53440;\2.&#50577;&#49885;\&#51473;&#50836;&#54620;%20&#50577;&#49885;\@&#54364;&#51456;&#50577;&#49885;\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k\&#47784;&#54644;&#46356;&#51088;&#51064;\MSOFFICE\EXCEL\YOON\&#51473;&#51216;&#49324;&#50629;\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109;&#49457;&#49340;\&#44277;&#50976;\JABO\O12060\INFORM\MYENGBU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IVIL_EST\EST\My%20Documents\&#51077;&#52272;\&#48264;&#50689;&#47196;\&#47924;&#50504;&#54616;&#49688;\&#49892;&#54665;(1)\&#45236;&#50669;&#49436;(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60;&#46041;&#54788;\MY%20DOCUMENTS\MSOFFICE\EXCEL\YOON\&#51473;&#51216;&#49324;&#50629;\&#50629;&#52404;FIX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52632;&#44600;\E\KBLEE\&#44592;&#53440;\&#54364;&#51456;\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DEDMS\Mepss\&#44204;&#51201;&#49892;\&#44592;&#51456;\&#44060;&#47029;&#44204;&#51201;\APT\FORM\970715&#50577;&#4988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900;&#54805;&#49453;\C\My%20Documents\My%20Documents\&#44368;&#48372;&#51613;&#44428;\LOTUS\&#44144;&#51228;&#46020;\&#44144;&#51228;&#4602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k\&#47784;&#54644;&#46356;&#51088;&#51064;\&#51473;&#50669;&#54924;&#51032;\96&#45380;10&#50900;\&#44288;&#47532;&#48376;&#48512;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4018\c\ESTI96\&#44053;&#51652;&#51109;&#55141;\&#54980;&#45796;&#45236;&#5066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k\&#47784;&#54644;&#46356;&#51088;&#51064;\My%20Documents\&#51077;&#52272;\&#48264;&#50689;&#47196;\&#47924;&#50504;&#54616;&#49688;\&#49892;&#54665;(1)\&#45236;&#50669;&#49436;(1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&#51077;&#52272;&#45236;&#50669;\&#44592;&#50500;&#45824;&#44368;\&#44592;&#50500;&#45824;&#4436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1775\c\ESTI96\&#44053;&#51652;&#51109;&#55141;\&#54980;&#45796;&#45236;&#50669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5;&#49849;&#54872;\C\MSOFFICE\EXCEL\YOON\&#51473;&#51216;&#49324;&#50629;\&#50629;&#52404;FIX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KEC_EB1\EB_1\1KON\YANGSIK\GAEYOXL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&#44608;&#50857;&#44592;\&#50641;&#49472;\GUMI4B2\&#44396;&#48120;4&#45800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S P-Q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사자료총집계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가예산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23"/>
  <sheetViews>
    <sheetView view="pageBreakPreview" zoomScale="145" zoomScaleNormal="100" zoomScaleSheetLayoutView="145" workbookViewId="0">
      <selection activeCell="C6" sqref="C6"/>
    </sheetView>
  </sheetViews>
  <sheetFormatPr defaultColWidth="9" defaultRowHeight="18" customHeight="1"/>
  <cols>
    <col min="1" max="1" width="13.5703125" style="69" customWidth="1"/>
    <col min="2" max="2" width="8.140625" style="69" customWidth="1"/>
    <col min="3" max="3" width="8.85546875" style="69" customWidth="1"/>
    <col min="4" max="4" width="23.140625" style="69" customWidth="1"/>
    <col min="5" max="5" width="16.85546875" style="69" customWidth="1"/>
    <col min="6" max="6" width="30.85546875" style="69" customWidth="1"/>
    <col min="7" max="7" width="17.85546875" style="69" customWidth="1"/>
    <col min="8" max="8" width="22.140625" style="69" customWidth="1"/>
    <col min="9" max="9" width="5.5703125" style="69" customWidth="1"/>
    <col min="10" max="256" width="9.140625" style="69"/>
    <col min="257" max="257" width="13.5703125" style="69" customWidth="1"/>
    <col min="258" max="258" width="8.140625" style="69" customWidth="1"/>
    <col min="259" max="259" width="8.85546875" style="69" customWidth="1"/>
    <col min="260" max="260" width="23.140625" style="69" customWidth="1"/>
    <col min="261" max="261" width="16.85546875" style="69" customWidth="1"/>
    <col min="262" max="262" width="18.85546875" style="69" customWidth="1"/>
    <col min="263" max="263" width="17.85546875" style="69" customWidth="1"/>
    <col min="264" max="264" width="22.140625" style="69" customWidth="1"/>
    <col min="265" max="265" width="5.5703125" style="69" customWidth="1"/>
    <col min="266" max="512" width="9.140625" style="69"/>
    <col min="513" max="513" width="13.5703125" style="69" customWidth="1"/>
    <col min="514" max="514" width="8.140625" style="69" customWidth="1"/>
    <col min="515" max="515" width="8.85546875" style="69" customWidth="1"/>
    <col min="516" max="516" width="23.140625" style="69" customWidth="1"/>
    <col min="517" max="517" width="16.85546875" style="69" customWidth="1"/>
    <col min="518" max="518" width="18.85546875" style="69" customWidth="1"/>
    <col min="519" max="519" width="17.85546875" style="69" customWidth="1"/>
    <col min="520" max="520" width="22.140625" style="69" customWidth="1"/>
    <col min="521" max="521" width="5.5703125" style="69" customWidth="1"/>
    <col min="522" max="768" width="9.140625" style="69"/>
    <col min="769" max="769" width="13.5703125" style="69" customWidth="1"/>
    <col min="770" max="770" width="8.140625" style="69" customWidth="1"/>
    <col min="771" max="771" width="8.85546875" style="69" customWidth="1"/>
    <col min="772" max="772" width="23.140625" style="69" customWidth="1"/>
    <col min="773" max="773" width="16.85546875" style="69" customWidth="1"/>
    <col min="774" max="774" width="18.85546875" style="69" customWidth="1"/>
    <col min="775" max="775" width="17.85546875" style="69" customWidth="1"/>
    <col min="776" max="776" width="22.140625" style="69" customWidth="1"/>
    <col min="777" max="777" width="5.5703125" style="69" customWidth="1"/>
    <col min="778" max="1024" width="9.140625" style="69"/>
    <col min="1025" max="1025" width="13.5703125" style="69" customWidth="1"/>
    <col min="1026" max="1026" width="8.140625" style="69" customWidth="1"/>
    <col min="1027" max="1027" width="8.85546875" style="69" customWidth="1"/>
    <col min="1028" max="1028" width="23.140625" style="69" customWidth="1"/>
    <col min="1029" max="1029" width="16.85546875" style="69" customWidth="1"/>
    <col min="1030" max="1030" width="18.85546875" style="69" customWidth="1"/>
    <col min="1031" max="1031" width="17.85546875" style="69" customWidth="1"/>
    <col min="1032" max="1032" width="22.140625" style="69" customWidth="1"/>
    <col min="1033" max="1033" width="5.5703125" style="69" customWidth="1"/>
    <col min="1034" max="1280" width="9.140625" style="69"/>
    <col min="1281" max="1281" width="13.5703125" style="69" customWidth="1"/>
    <col min="1282" max="1282" width="8.140625" style="69" customWidth="1"/>
    <col min="1283" max="1283" width="8.85546875" style="69" customWidth="1"/>
    <col min="1284" max="1284" width="23.140625" style="69" customWidth="1"/>
    <col min="1285" max="1285" width="16.85546875" style="69" customWidth="1"/>
    <col min="1286" max="1286" width="18.85546875" style="69" customWidth="1"/>
    <col min="1287" max="1287" width="17.85546875" style="69" customWidth="1"/>
    <col min="1288" max="1288" width="22.140625" style="69" customWidth="1"/>
    <col min="1289" max="1289" width="5.5703125" style="69" customWidth="1"/>
    <col min="1290" max="1536" width="9.140625" style="69"/>
    <col min="1537" max="1537" width="13.5703125" style="69" customWidth="1"/>
    <col min="1538" max="1538" width="8.140625" style="69" customWidth="1"/>
    <col min="1539" max="1539" width="8.85546875" style="69" customWidth="1"/>
    <col min="1540" max="1540" width="23.140625" style="69" customWidth="1"/>
    <col min="1541" max="1541" width="16.85546875" style="69" customWidth="1"/>
    <col min="1542" max="1542" width="18.85546875" style="69" customWidth="1"/>
    <col min="1543" max="1543" width="17.85546875" style="69" customWidth="1"/>
    <col min="1544" max="1544" width="22.140625" style="69" customWidth="1"/>
    <col min="1545" max="1545" width="5.5703125" style="69" customWidth="1"/>
    <col min="1546" max="1792" width="9.140625" style="69"/>
    <col min="1793" max="1793" width="13.5703125" style="69" customWidth="1"/>
    <col min="1794" max="1794" width="8.140625" style="69" customWidth="1"/>
    <col min="1795" max="1795" width="8.85546875" style="69" customWidth="1"/>
    <col min="1796" max="1796" width="23.140625" style="69" customWidth="1"/>
    <col min="1797" max="1797" width="16.85546875" style="69" customWidth="1"/>
    <col min="1798" max="1798" width="18.85546875" style="69" customWidth="1"/>
    <col min="1799" max="1799" width="17.85546875" style="69" customWidth="1"/>
    <col min="1800" max="1800" width="22.140625" style="69" customWidth="1"/>
    <col min="1801" max="1801" width="5.5703125" style="69" customWidth="1"/>
    <col min="1802" max="2048" width="9.140625" style="69"/>
    <col min="2049" max="2049" width="13.5703125" style="69" customWidth="1"/>
    <col min="2050" max="2050" width="8.140625" style="69" customWidth="1"/>
    <col min="2051" max="2051" width="8.85546875" style="69" customWidth="1"/>
    <col min="2052" max="2052" width="23.140625" style="69" customWidth="1"/>
    <col min="2053" max="2053" width="16.85546875" style="69" customWidth="1"/>
    <col min="2054" max="2054" width="18.85546875" style="69" customWidth="1"/>
    <col min="2055" max="2055" width="17.85546875" style="69" customWidth="1"/>
    <col min="2056" max="2056" width="22.140625" style="69" customWidth="1"/>
    <col min="2057" max="2057" width="5.5703125" style="69" customWidth="1"/>
    <col min="2058" max="2304" width="9.140625" style="69"/>
    <col min="2305" max="2305" width="13.5703125" style="69" customWidth="1"/>
    <col min="2306" max="2306" width="8.140625" style="69" customWidth="1"/>
    <col min="2307" max="2307" width="8.85546875" style="69" customWidth="1"/>
    <col min="2308" max="2308" width="23.140625" style="69" customWidth="1"/>
    <col min="2309" max="2309" width="16.85546875" style="69" customWidth="1"/>
    <col min="2310" max="2310" width="18.85546875" style="69" customWidth="1"/>
    <col min="2311" max="2311" width="17.85546875" style="69" customWidth="1"/>
    <col min="2312" max="2312" width="22.140625" style="69" customWidth="1"/>
    <col min="2313" max="2313" width="5.5703125" style="69" customWidth="1"/>
    <col min="2314" max="2560" width="9.140625" style="69"/>
    <col min="2561" max="2561" width="13.5703125" style="69" customWidth="1"/>
    <col min="2562" max="2562" width="8.140625" style="69" customWidth="1"/>
    <col min="2563" max="2563" width="8.85546875" style="69" customWidth="1"/>
    <col min="2564" max="2564" width="23.140625" style="69" customWidth="1"/>
    <col min="2565" max="2565" width="16.85546875" style="69" customWidth="1"/>
    <col min="2566" max="2566" width="18.85546875" style="69" customWidth="1"/>
    <col min="2567" max="2567" width="17.85546875" style="69" customWidth="1"/>
    <col min="2568" max="2568" width="22.140625" style="69" customWidth="1"/>
    <col min="2569" max="2569" width="5.5703125" style="69" customWidth="1"/>
    <col min="2570" max="2816" width="9.140625" style="69"/>
    <col min="2817" max="2817" width="13.5703125" style="69" customWidth="1"/>
    <col min="2818" max="2818" width="8.140625" style="69" customWidth="1"/>
    <col min="2819" max="2819" width="8.85546875" style="69" customWidth="1"/>
    <col min="2820" max="2820" width="23.140625" style="69" customWidth="1"/>
    <col min="2821" max="2821" width="16.85546875" style="69" customWidth="1"/>
    <col min="2822" max="2822" width="18.85546875" style="69" customWidth="1"/>
    <col min="2823" max="2823" width="17.85546875" style="69" customWidth="1"/>
    <col min="2824" max="2824" width="22.140625" style="69" customWidth="1"/>
    <col min="2825" max="2825" width="5.5703125" style="69" customWidth="1"/>
    <col min="2826" max="3072" width="9.140625" style="69"/>
    <col min="3073" max="3073" width="13.5703125" style="69" customWidth="1"/>
    <col min="3074" max="3074" width="8.140625" style="69" customWidth="1"/>
    <col min="3075" max="3075" width="8.85546875" style="69" customWidth="1"/>
    <col min="3076" max="3076" width="23.140625" style="69" customWidth="1"/>
    <col min="3077" max="3077" width="16.85546875" style="69" customWidth="1"/>
    <col min="3078" max="3078" width="18.85546875" style="69" customWidth="1"/>
    <col min="3079" max="3079" width="17.85546875" style="69" customWidth="1"/>
    <col min="3080" max="3080" width="22.140625" style="69" customWidth="1"/>
    <col min="3081" max="3081" width="5.5703125" style="69" customWidth="1"/>
    <col min="3082" max="3328" width="9.140625" style="69"/>
    <col min="3329" max="3329" width="13.5703125" style="69" customWidth="1"/>
    <col min="3330" max="3330" width="8.140625" style="69" customWidth="1"/>
    <col min="3331" max="3331" width="8.85546875" style="69" customWidth="1"/>
    <col min="3332" max="3332" width="23.140625" style="69" customWidth="1"/>
    <col min="3333" max="3333" width="16.85546875" style="69" customWidth="1"/>
    <col min="3334" max="3334" width="18.85546875" style="69" customWidth="1"/>
    <col min="3335" max="3335" width="17.85546875" style="69" customWidth="1"/>
    <col min="3336" max="3336" width="22.140625" style="69" customWidth="1"/>
    <col min="3337" max="3337" width="5.5703125" style="69" customWidth="1"/>
    <col min="3338" max="3584" width="9.140625" style="69"/>
    <col min="3585" max="3585" width="13.5703125" style="69" customWidth="1"/>
    <col min="3586" max="3586" width="8.140625" style="69" customWidth="1"/>
    <col min="3587" max="3587" width="8.85546875" style="69" customWidth="1"/>
    <col min="3588" max="3588" width="23.140625" style="69" customWidth="1"/>
    <col min="3589" max="3589" width="16.85546875" style="69" customWidth="1"/>
    <col min="3590" max="3590" width="18.85546875" style="69" customWidth="1"/>
    <col min="3591" max="3591" width="17.85546875" style="69" customWidth="1"/>
    <col min="3592" max="3592" width="22.140625" style="69" customWidth="1"/>
    <col min="3593" max="3593" width="5.5703125" style="69" customWidth="1"/>
    <col min="3594" max="3840" width="9.140625" style="69"/>
    <col min="3841" max="3841" width="13.5703125" style="69" customWidth="1"/>
    <col min="3842" max="3842" width="8.140625" style="69" customWidth="1"/>
    <col min="3843" max="3843" width="8.85546875" style="69" customWidth="1"/>
    <col min="3844" max="3844" width="23.140625" style="69" customWidth="1"/>
    <col min="3845" max="3845" width="16.85546875" style="69" customWidth="1"/>
    <col min="3846" max="3846" width="18.85546875" style="69" customWidth="1"/>
    <col min="3847" max="3847" width="17.85546875" style="69" customWidth="1"/>
    <col min="3848" max="3848" width="22.140625" style="69" customWidth="1"/>
    <col min="3849" max="3849" width="5.5703125" style="69" customWidth="1"/>
    <col min="3850" max="4096" width="9.140625" style="69"/>
    <col min="4097" max="4097" width="13.5703125" style="69" customWidth="1"/>
    <col min="4098" max="4098" width="8.140625" style="69" customWidth="1"/>
    <col min="4099" max="4099" width="8.85546875" style="69" customWidth="1"/>
    <col min="4100" max="4100" width="23.140625" style="69" customWidth="1"/>
    <col min="4101" max="4101" width="16.85546875" style="69" customWidth="1"/>
    <col min="4102" max="4102" width="18.85546875" style="69" customWidth="1"/>
    <col min="4103" max="4103" width="17.85546875" style="69" customWidth="1"/>
    <col min="4104" max="4104" width="22.140625" style="69" customWidth="1"/>
    <col min="4105" max="4105" width="5.5703125" style="69" customWidth="1"/>
    <col min="4106" max="4352" width="9.140625" style="69"/>
    <col min="4353" max="4353" width="13.5703125" style="69" customWidth="1"/>
    <col min="4354" max="4354" width="8.140625" style="69" customWidth="1"/>
    <col min="4355" max="4355" width="8.85546875" style="69" customWidth="1"/>
    <col min="4356" max="4356" width="23.140625" style="69" customWidth="1"/>
    <col min="4357" max="4357" width="16.85546875" style="69" customWidth="1"/>
    <col min="4358" max="4358" width="18.85546875" style="69" customWidth="1"/>
    <col min="4359" max="4359" width="17.85546875" style="69" customWidth="1"/>
    <col min="4360" max="4360" width="22.140625" style="69" customWidth="1"/>
    <col min="4361" max="4361" width="5.5703125" style="69" customWidth="1"/>
    <col min="4362" max="4608" width="9.140625" style="69"/>
    <col min="4609" max="4609" width="13.5703125" style="69" customWidth="1"/>
    <col min="4610" max="4610" width="8.140625" style="69" customWidth="1"/>
    <col min="4611" max="4611" width="8.85546875" style="69" customWidth="1"/>
    <col min="4612" max="4612" width="23.140625" style="69" customWidth="1"/>
    <col min="4613" max="4613" width="16.85546875" style="69" customWidth="1"/>
    <col min="4614" max="4614" width="18.85546875" style="69" customWidth="1"/>
    <col min="4615" max="4615" width="17.85546875" style="69" customWidth="1"/>
    <col min="4616" max="4616" width="22.140625" style="69" customWidth="1"/>
    <col min="4617" max="4617" width="5.5703125" style="69" customWidth="1"/>
    <col min="4618" max="4864" width="9.140625" style="69"/>
    <col min="4865" max="4865" width="13.5703125" style="69" customWidth="1"/>
    <col min="4866" max="4866" width="8.140625" style="69" customWidth="1"/>
    <col min="4867" max="4867" width="8.85546875" style="69" customWidth="1"/>
    <col min="4868" max="4868" width="23.140625" style="69" customWidth="1"/>
    <col min="4869" max="4869" width="16.85546875" style="69" customWidth="1"/>
    <col min="4870" max="4870" width="18.85546875" style="69" customWidth="1"/>
    <col min="4871" max="4871" width="17.85546875" style="69" customWidth="1"/>
    <col min="4872" max="4872" width="22.140625" style="69" customWidth="1"/>
    <col min="4873" max="4873" width="5.5703125" style="69" customWidth="1"/>
    <col min="4874" max="5120" width="9.140625" style="69"/>
    <col min="5121" max="5121" width="13.5703125" style="69" customWidth="1"/>
    <col min="5122" max="5122" width="8.140625" style="69" customWidth="1"/>
    <col min="5123" max="5123" width="8.85546875" style="69" customWidth="1"/>
    <col min="5124" max="5124" width="23.140625" style="69" customWidth="1"/>
    <col min="5125" max="5125" width="16.85546875" style="69" customWidth="1"/>
    <col min="5126" max="5126" width="18.85546875" style="69" customWidth="1"/>
    <col min="5127" max="5127" width="17.85546875" style="69" customWidth="1"/>
    <col min="5128" max="5128" width="22.140625" style="69" customWidth="1"/>
    <col min="5129" max="5129" width="5.5703125" style="69" customWidth="1"/>
    <col min="5130" max="5376" width="9.140625" style="69"/>
    <col min="5377" max="5377" width="13.5703125" style="69" customWidth="1"/>
    <col min="5378" max="5378" width="8.140625" style="69" customWidth="1"/>
    <col min="5379" max="5379" width="8.85546875" style="69" customWidth="1"/>
    <col min="5380" max="5380" width="23.140625" style="69" customWidth="1"/>
    <col min="5381" max="5381" width="16.85546875" style="69" customWidth="1"/>
    <col min="5382" max="5382" width="18.85546875" style="69" customWidth="1"/>
    <col min="5383" max="5383" width="17.85546875" style="69" customWidth="1"/>
    <col min="5384" max="5384" width="22.140625" style="69" customWidth="1"/>
    <col min="5385" max="5385" width="5.5703125" style="69" customWidth="1"/>
    <col min="5386" max="5632" width="9.140625" style="69"/>
    <col min="5633" max="5633" width="13.5703125" style="69" customWidth="1"/>
    <col min="5634" max="5634" width="8.140625" style="69" customWidth="1"/>
    <col min="5635" max="5635" width="8.85546875" style="69" customWidth="1"/>
    <col min="5636" max="5636" width="23.140625" style="69" customWidth="1"/>
    <col min="5637" max="5637" width="16.85546875" style="69" customWidth="1"/>
    <col min="5638" max="5638" width="18.85546875" style="69" customWidth="1"/>
    <col min="5639" max="5639" width="17.85546875" style="69" customWidth="1"/>
    <col min="5640" max="5640" width="22.140625" style="69" customWidth="1"/>
    <col min="5641" max="5641" width="5.5703125" style="69" customWidth="1"/>
    <col min="5642" max="5888" width="9.140625" style="69"/>
    <col min="5889" max="5889" width="13.5703125" style="69" customWidth="1"/>
    <col min="5890" max="5890" width="8.140625" style="69" customWidth="1"/>
    <col min="5891" max="5891" width="8.85546875" style="69" customWidth="1"/>
    <col min="5892" max="5892" width="23.140625" style="69" customWidth="1"/>
    <col min="5893" max="5893" width="16.85546875" style="69" customWidth="1"/>
    <col min="5894" max="5894" width="18.85546875" style="69" customWidth="1"/>
    <col min="5895" max="5895" width="17.85546875" style="69" customWidth="1"/>
    <col min="5896" max="5896" width="22.140625" style="69" customWidth="1"/>
    <col min="5897" max="5897" width="5.5703125" style="69" customWidth="1"/>
    <col min="5898" max="6144" width="9.140625" style="69"/>
    <col min="6145" max="6145" width="13.5703125" style="69" customWidth="1"/>
    <col min="6146" max="6146" width="8.140625" style="69" customWidth="1"/>
    <col min="6147" max="6147" width="8.85546875" style="69" customWidth="1"/>
    <col min="6148" max="6148" width="23.140625" style="69" customWidth="1"/>
    <col min="6149" max="6149" width="16.85546875" style="69" customWidth="1"/>
    <col min="6150" max="6150" width="18.85546875" style="69" customWidth="1"/>
    <col min="6151" max="6151" width="17.85546875" style="69" customWidth="1"/>
    <col min="6152" max="6152" width="22.140625" style="69" customWidth="1"/>
    <col min="6153" max="6153" width="5.5703125" style="69" customWidth="1"/>
    <col min="6154" max="6400" width="9.140625" style="69"/>
    <col min="6401" max="6401" width="13.5703125" style="69" customWidth="1"/>
    <col min="6402" max="6402" width="8.140625" style="69" customWidth="1"/>
    <col min="6403" max="6403" width="8.85546875" style="69" customWidth="1"/>
    <col min="6404" max="6404" width="23.140625" style="69" customWidth="1"/>
    <col min="6405" max="6405" width="16.85546875" style="69" customWidth="1"/>
    <col min="6406" max="6406" width="18.85546875" style="69" customWidth="1"/>
    <col min="6407" max="6407" width="17.85546875" style="69" customWidth="1"/>
    <col min="6408" max="6408" width="22.140625" style="69" customWidth="1"/>
    <col min="6409" max="6409" width="5.5703125" style="69" customWidth="1"/>
    <col min="6410" max="6656" width="9.140625" style="69"/>
    <col min="6657" max="6657" width="13.5703125" style="69" customWidth="1"/>
    <col min="6658" max="6658" width="8.140625" style="69" customWidth="1"/>
    <col min="6659" max="6659" width="8.85546875" style="69" customWidth="1"/>
    <col min="6660" max="6660" width="23.140625" style="69" customWidth="1"/>
    <col min="6661" max="6661" width="16.85546875" style="69" customWidth="1"/>
    <col min="6662" max="6662" width="18.85546875" style="69" customWidth="1"/>
    <col min="6663" max="6663" width="17.85546875" style="69" customWidth="1"/>
    <col min="6664" max="6664" width="22.140625" style="69" customWidth="1"/>
    <col min="6665" max="6665" width="5.5703125" style="69" customWidth="1"/>
    <col min="6666" max="6912" width="9.140625" style="69"/>
    <col min="6913" max="6913" width="13.5703125" style="69" customWidth="1"/>
    <col min="6914" max="6914" width="8.140625" style="69" customWidth="1"/>
    <col min="6915" max="6915" width="8.85546875" style="69" customWidth="1"/>
    <col min="6916" max="6916" width="23.140625" style="69" customWidth="1"/>
    <col min="6917" max="6917" width="16.85546875" style="69" customWidth="1"/>
    <col min="6918" max="6918" width="18.85546875" style="69" customWidth="1"/>
    <col min="6919" max="6919" width="17.85546875" style="69" customWidth="1"/>
    <col min="6920" max="6920" width="22.140625" style="69" customWidth="1"/>
    <col min="6921" max="6921" width="5.5703125" style="69" customWidth="1"/>
    <col min="6922" max="7168" width="9.140625" style="69"/>
    <col min="7169" max="7169" width="13.5703125" style="69" customWidth="1"/>
    <col min="7170" max="7170" width="8.140625" style="69" customWidth="1"/>
    <col min="7171" max="7171" width="8.85546875" style="69" customWidth="1"/>
    <col min="7172" max="7172" width="23.140625" style="69" customWidth="1"/>
    <col min="7173" max="7173" width="16.85546875" style="69" customWidth="1"/>
    <col min="7174" max="7174" width="18.85546875" style="69" customWidth="1"/>
    <col min="7175" max="7175" width="17.85546875" style="69" customWidth="1"/>
    <col min="7176" max="7176" width="22.140625" style="69" customWidth="1"/>
    <col min="7177" max="7177" width="5.5703125" style="69" customWidth="1"/>
    <col min="7178" max="7424" width="9.140625" style="69"/>
    <col min="7425" max="7425" width="13.5703125" style="69" customWidth="1"/>
    <col min="7426" max="7426" width="8.140625" style="69" customWidth="1"/>
    <col min="7427" max="7427" width="8.85546875" style="69" customWidth="1"/>
    <col min="7428" max="7428" width="23.140625" style="69" customWidth="1"/>
    <col min="7429" max="7429" width="16.85546875" style="69" customWidth="1"/>
    <col min="7430" max="7430" width="18.85546875" style="69" customWidth="1"/>
    <col min="7431" max="7431" width="17.85546875" style="69" customWidth="1"/>
    <col min="7432" max="7432" width="22.140625" style="69" customWidth="1"/>
    <col min="7433" max="7433" width="5.5703125" style="69" customWidth="1"/>
    <col min="7434" max="7680" width="9.140625" style="69"/>
    <col min="7681" max="7681" width="13.5703125" style="69" customWidth="1"/>
    <col min="7682" max="7682" width="8.140625" style="69" customWidth="1"/>
    <col min="7683" max="7683" width="8.85546875" style="69" customWidth="1"/>
    <col min="7684" max="7684" width="23.140625" style="69" customWidth="1"/>
    <col min="7685" max="7685" width="16.85546875" style="69" customWidth="1"/>
    <col min="7686" max="7686" width="18.85546875" style="69" customWidth="1"/>
    <col min="7687" max="7687" width="17.85546875" style="69" customWidth="1"/>
    <col min="7688" max="7688" width="22.140625" style="69" customWidth="1"/>
    <col min="7689" max="7689" width="5.5703125" style="69" customWidth="1"/>
    <col min="7690" max="7936" width="9.140625" style="69"/>
    <col min="7937" max="7937" width="13.5703125" style="69" customWidth="1"/>
    <col min="7938" max="7938" width="8.140625" style="69" customWidth="1"/>
    <col min="7939" max="7939" width="8.85546875" style="69" customWidth="1"/>
    <col min="7940" max="7940" width="23.140625" style="69" customWidth="1"/>
    <col min="7941" max="7941" width="16.85546875" style="69" customWidth="1"/>
    <col min="7942" max="7942" width="18.85546875" style="69" customWidth="1"/>
    <col min="7943" max="7943" width="17.85546875" style="69" customWidth="1"/>
    <col min="7944" max="7944" width="22.140625" style="69" customWidth="1"/>
    <col min="7945" max="7945" width="5.5703125" style="69" customWidth="1"/>
    <col min="7946" max="8192" width="9.140625" style="69"/>
    <col min="8193" max="8193" width="13.5703125" style="69" customWidth="1"/>
    <col min="8194" max="8194" width="8.140625" style="69" customWidth="1"/>
    <col min="8195" max="8195" width="8.85546875" style="69" customWidth="1"/>
    <col min="8196" max="8196" width="23.140625" style="69" customWidth="1"/>
    <col min="8197" max="8197" width="16.85546875" style="69" customWidth="1"/>
    <col min="8198" max="8198" width="18.85546875" style="69" customWidth="1"/>
    <col min="8199" max="8199" width="17.85546875" style="69" customWidth="1"/>
    <col min="8200" max="8200" width="22.140625" style="69" customWidth="1"/>
    <col min="8201" max="8201" width="5.5703125" style="69" customWidth="1"/>
    <col min="8202" max="8448" width="9.140625" style="69"/>
    <col min="8449" max="8449" width="13.5703125" style="69" customWidth="1"/>
    <col min="8450" max="8450" width="8.140625" style="69" customWidth="1"/>
    <col min="8451" max="8451" width="8.85546875" style="69" customWidth="1"/>
    <col min="8452" max="8452" width="23.140625" style="69" customWidth="1"/>
    <col min="8453" max="8453" width="16.85546875" style="69" customWidth="1"/>
    <col min="8454" max="8454" width="18.85546875" style="69" customWidth="1"/>
    <col min="8455" max="8455" width="17.85546875" style="69" customWidth="1"/>
    <col min="8456" max="8456" width="22.140625" style="69" customWidth="1"/>
    <col min="8457" max="8457" width="5.5703125" style="69" customWidth="1"/>
    <col min="8458" max="8704" width="9.140625" style="69"/>
    <col min="8705" max="8705" width="13.5703125" style="69" customWidth="1"/>
    <col min="8706" max="8706" width="8.140625" style="69" customWidth="1"/>
    <col min="8707" max="8707" width="8.85546875" style="69" customWidth="1"/>
    <col min="8708" max="8708" width="23.140625" style="69" customWidth="1"/>
    <col min="8709" max="8709" width="16.85546875" style="69" customWidth="1"/>
    <col min="8710" max="8710" width="18.85546875" style="69" customWidth="1"/>
    <col min="8711" max="8711" width="17.85546875" style="69" customWidth="1"/>
    <col min="8712" max="8712" width="22.140625" style="69" customWidth="1"/>
    <col min="8713" max="8713" width="5.5703125" style="69" customWidth="1"/>
    <col min="8714" max="8960" width="9.140625" style="69"/>
    <col min="8961" max="8961" width="13.5703125" style="69" customWidth="1"/>
    <col min="8962" max="8962" width="8.140625" style="69" customWidth="1"/>
    <col min="8963" max="8963" width="8.85546875" style="69" customWidth="1"/>
    <col min="8964" max="8964" width="23.140625" style="69" customWidth="1"/>
    <col min="8965" max="8965" width="16.85546875" style="69" customWidth="1"/>
    <col min="8966" max="8966" width="18.85546875" style="69" customWidth="1"/>
    <col min="8967" max="8967" width="17.85546875" style="69" customWidth="1"/>
    <col min="8968" max="8968" width="22.140625" style="69" customWidth="1"/>
    <col min="8969" max="8969" width="5.5703125" style="69" customWidth="1"/>
    <col min="8970" max="9216" width="9.140625" style="69"/>
    <col min="9217" max="9217" width="13.5703125" style="69" customWidth="1"/>
    <col min="9218" max="9218" width="8.140625" style="69" customWidth="1"/>
    <col min="9219" max="9219" width="8.85546875" style="69" customWidth="1"/>
    <col min="9220" max="9220" width="23.140625" style="69" customWidth="1"/>
    <col min="9221" max="9221" width="16.85546875" style="69" customWidth="1"/>
    <col min="9222" max="9222" width="18.85546875" style="69" customWidth="1"/>
    <col min="9223" max="9223" width="17.85546875" style="69" customWidth="1"/>
    <col min="9224" max="9224" width="22.140625" style="69" customWidth="1"/>
    <col min="9225" max="9225" width="5.5703125" style="69" customWidth="1"/>
    <col min="9226" max="9472" width="9.140625" style="69"/>
    <col min="9473" max="9473" width="13.5703125" style="69" customWidth="1"/>
    <col min="9474" max="9474" width="8.140625" style="69" customWidth="1"/>
    <col min="9475" max="9475" width="8.85546875" style="69" customWidth="1"/>
    <col min="9476" max="9476" width="23.140625" style="69" customWidth="1"/>
    <col min="9477" max="9477" width="16.85546875" style="69" customWidth="1"/>
    <col min="9478" max="9478" width="18.85546875" style="69" customWidth="1"/>
    <col min="9479" max="9479" width="17.85546875" style="69" customWidth="1"/>
    <col min="9480" max="9480" width="22.140625" style="69" customWidth="1"/>
    <col min="9481" max="9481" width="5.5703125" style="69" customWidth="1"/>
    <col min="9482" max="9728" width="9.140625" style="69"/>
    <col min="9729" max="9729" width="13.5703125" style="69" customWidth="1"/>
    <col min="9730" max="9730" width="8.140625" style="69" customWidth="1"/>
    <col min="9731" max="9731" width="8.85546875" style="69" customWidth="1"/>
    <col min="9732" max="9732" width="23.140625" style="69" customWidth="1"/>
    <col min="9733" max="9733" width="16.85546875" style="69" customWidth="1"/>
    <col min="9734" max="9734" width="18.85546875" style="69" customWidth="1"/>
    <col min="9735" max="9735" width="17.85546875" style="69" customWidth="1"/>
    <col min="9736" max="9736" width="22.140625" style="69" customWidth="1"/>
    <col min="9737" max="9737" width="5.5703125" style="69" customWidth="1"/>
    <col min="9738" max="9984" width="9.140625" style="69"/>
    <col min="9985" max="9985" width="13.5703125" style="69" customWidth="1"/>
    <col min="9986" max="9986" width="8.140625" style="69" customWidth="1"/>
    <col min="9987" max="9987" width="8.85546875" style="69" customWidth="1"/>
    <col min="9988" max="9988" width="23.140625" style="69" customWidth="1"/>
    <col min="9989" max="9989" width="16.85546875" style="69" customWidth="1"/>
    <col min="9990" max="9990" width="18.85546875" style="69" customWidth="1"/>
    <col min="9991" max="9991" width="17.85546875" style="69" customWidth="1"/>
    <col min="9992" max="9992" width="22.140625" style="69" customWidth="1"/>
    <col min="9993" max="9993" width="5.5703125" style="69" customWidth="1"/>
    <col min="9994" max="10240" width="9.140625" style="69"/>
    <col min="10241" max="10241" width="13.5703125" style="69" customWidth="1"/>
    <col min="10242" max="10242" width="8.140625" style="69" customWidth="1"/>
    <col min="10243" max="10243" width="8.85546875" style="69" customWidth="1"/>
    <col min="10244" max="10244" width="23.140625" style="69" customWidth="1"/>
    <col min="10245" max="10245" width="16.85546875" style="69" customWidth="1"/>
    <col min="10246" max="10246" width="18.85546875" style="69" customWidth="1"/>
    <col min="10247" max="10247" width="17.85546875" style="69" customWidth="1"/>
    <col min="10248" max="10248" width="22.140625" style="69" customWidth="1"/>
    <col min="10249" max="10249" width="5.5703125" style="69" customWidth="1"/>
    <col min="10250" max="10496" width="9.140625" style="69"/>
    <col min="10497" max="10497" width="13.5703125" style="69" customWidth="1"/>
    <col min="10498" max="10498" width="8.140625" style="69" customWidth="1"/>
    <col min="10499" max="10499" width="8.85546875" style="69" customWidth="1"/>
    <col min="10500" max="10500" width="23.140625" style="69" customWidth="1"/>
    <col min="10501" max="10501" width="16.85546875" style="69" customWidth="1"/>
    <col min="10502" max="10502" width="18.85546875" style="69" customWidth="1"/>
    <col min="10503" max="10503" width="17.85546875" style="69" customWidth="1"/>
    <col min="10504" max="10504" width="22.140625" style="69" customWidth="1"/>
    <col min="10505" max="10505" width="5.5703125" style="69" customWidth="1"/>
    <col min="10506" max="10752" width="9.140625" style="69"/>
    <col min="10753" max="10753" width="13.5703125" style="69" customWidth="1"/>
    <col min="10754" max="10754" width="8.140625" style="69" customWidth="1"/>
    <col min="10755" max="10755" width="8.85546875" style="69" customWidth="1"/>
    <col min="10756" max="10756" width="23.140625" style="69" customWidth="1"/>
    <col min="10757" max="10757" width="16.85546875" style="69" customWidth="1"/>
    <col min="10758" max="10758" width="18.85546875" style="69" customWidth="1"/>
    <col min="10759" max="10759" width="17.85546875" style="69" customWidth="1"/>
    <col min="10760" max="10760" width="22.140625" style="69" customWidth="1"/>
    <col min="10761" max="10761" width="5.5703125" style="69" customWidth="1"/>
    <col min="10762" max="11008" width="9.140625" style="69"/>
    <col min="11009" max="11009" width="13.5703125" style="69" customWidth="1"/>
    <col min="11010" max="11010" width="8.140625" style="69" customWidth="1"/>
    <col min="11011" max="11011" width="8.85546875" style="69" customWidth="1"/>
    <col min="11012" max="11012" width="23.140625" style="69" customWidth="1"/>
    <col min="11013" max="11013" width="16.85546875" style="69" customWidth="1"/>
    <col min="11014" max="11014" width="18.85546875" style="69" customWidth="1"/>
    <col min="11015" max="11015" width="17.85546875" style="69" customWidth="1"/>
    <col min="11016" max="11016" width="22.140625" style="69" customWidth="1"/>
    <col min="11017" max="11017" width="5.5703125" style="69" customWidth="1"/>
    <col min="11018" max="11264" width="9.140625" style="69"/>
    <col min="11265" max="11265" width="13.5703125" style="69" customWidth="1"/>
    <col min="11266" max="11266" width="8.140625" style="69" customWidth="1"/>
    <col min="11267" max="11267" width="8.85546875" style="69" customWidth="1"/>
    <col min="11268" max="11268" width="23.140625" style="69" customWidth="1"/>
    <col min="11269" max="11269" width="16.85546875" style="69" customWidth="1"/>
    <col min="11270" max="11270" width="18.85546875" style="69" customWidth="1"/>
    <col min="11271" max="11271" width="17.85546875" style="69" customWidth="1"/>
    <col min="11272" max="11272" width="22.140625" style="69" customWidth="1"/>
    <col min="11273" max="11273" width="5.5703125" style="69" customWidth="1"/>
    <col min="11274" max="11520" width="9.140625" style="69"/>
    <col min="11521" max="11521" width="13.5703125" style="69" customWidth="1"/>
    <col min="11522" max="11522" width="8.140625" style="69" customWidth="1"/>
    <col min="11523" max="11523" width="8.85546875" style="69" customWidth="1"/>
    <col min="11524" max="11524" width="23.140625" style="69" customWidth="1"/>
    <col min="11525" max="11525" width="16.85546875" style="69" customWidth="1"/>
    <col min="11526" max="11526" width="18.85546875" style="69" customWidth="1"/>
    <col min="11527" max="11527" width="17.85546875" style="69" customWidth="1"/>
    <col min="11528" max="11528" width="22.140625" style="69" customWidth="1"/>
    <col min="11529" max="11529" width="5.5703125" style="69" customWidth="1"/>
    <col min="11530" max="11776" width="9.140625" style="69"/>
    <col min="11777" max="11777" width="13.5703125" style="69" customWidth="1"/>
    <col min="11778" max="11778" width="8.140625" style="69" customWidth="1"/>
    <col min="11779" max="11779" width="8.85546875" style="69" customWidth="1"/>
    <col min="11780" max="11780" width="23.140625" style="69" customWidth="1"/>
    <col min="11781" max="11781" width="16.85546875" style="69" customWidth="1"/>
    <col min="11782" max="11782" width="18.85546875" style="69" customWidth="1"/>
    <col min="11783" max="11783" width="17.85546875" style="69" customWidth="1"/>
    <col min="11784" max="11784" width="22.140625" style="69" customWidth="1"/>
    <col min="11785" max="11785" width="5.5703125" style="69" customWidth="1"/>
    <col min="11786" max="12032" width="9.140625" style="69"/>
    <col min="12033" max="12033" width="13.5703125" style="69" customWidth="1"/>
    <col min="12034" max="12034" width="8.140625" style="69" customWidth="1"/>
    <col min="12035" max="12035" width="8.85546875" style="69" customWidth="1"/>
    <col min="12036" max="12036" width="23.140625" style="69" customWidth="1"/>
    <col min="12037" max="12037" width="16.85546875" style="69" customWidth="1"/>
    <col min="12038" max="12038" width="18.85546875" style="69" customWidth="1"/>
    <col min="12039" max="12039" width="17.85546875" style="69" customWidth="1"/>
    <col min="12040" max="12040" width="22.140625" style="69" customWidth="1"/>
    <col min="12041" max="12041" width="5.5703125" style="69" customWidth="1"/>
    <col min="12042" max="12288" width="9.140625" style="69"/>
    <col min="12289" max="12289" width="13.5703125" style="69" customWidth="1"/>
    <col min="12290" max="12290" width="8.140625" style="69" customWidth="1"/>
    <col min="12291" max="12291" width="8.85546875" style="69" customWidth="1"/>
    <col min="12292" max="12292" width="23.140625" style="69" customWidth="1"/>
    <col min="12293" max="12293" width="16.85546875" style="69" customWidth="1"/>
    <col min="12294" max="12294" width="18.85546875" style="69" customWidth="1"/>
    <col min="12295" max="12295" width="17.85546875" style="69" customWidth="1"/>
    <col min="12296" max="12296" width="22.140625" style="69" customWidth="1"/>
    <col min="12297" max="12297" width="5.5703125" style="69" customWidth="1"/>
    <col min="12298" max="12544" width="9.140625" style="69"/>
    <col min="12545" max="12545" width="13.5703125" style="69" customWidth="1"/>
    <col min="12546" max="12546" width="8.140625" style="69" customWidth="1"/>
    <col min="12547" max="12547" width="8.85546875" style="69" customWidth="1"/>
    <col min="12548" max="12548" width="23.140625" style="69" customWidth="1"/>
    <col min="12549" max="12549" width="16.85546875" style="69" customWidth="1"/>
    <col min="12550" max="12550" width="18.85546875" style="69" customWidth="1"/>
    <col min="12551" max="12551" width="17.85546875" style="69" customWidth="1"/>
    <col min="12552" max="12552" width="22.140625" style="69" customWidth="1"/>
    <col min="12553" max="12553" width="5.5703125" style="69" customWidth="1"/>
    <col min="12554" max="12800" width="9.140625" style="69"/>
    <col min="12801" max="12801" width="13.5703125" style="69" customWidth="1"/>
    <col min="12802" max="12802" width="8.140625" style="69" customWidth="1"/>
    <col min="12803" max="12803" width="8.85546875" style="69" customWidth="1"/>
    <col min="12804" max="12804" width="23.140625" style="69" customWidth="1"/>
    <col min="12805" max="12805" width="16.85546875" style="69" customWidth="1"/>
    <col min="12806" max="12806" width="18.85546875" style="69" customWidth="1"/>
    <col min="12807" max="12807" width="17.85546875" style="69" customWidth="1"/>
    <col min="12808" max="12808" width="22.140625" style="69" customWidth="1"/>
    <col min="12809" max="12809" width="5.5703125" style="69" customWidth="1"/>
    <col min="12810" max="13056" width="9.140625" style="69"/>
    <col min="13057" max="13057" width="13.5703125" style="69" customWidth="1"/>
    <col min="13058" max="13058" width="8.140625" style="69" customWidth="1"/>
    <col min="13059" max="13059" width="8.85546875" style="69" customWidth="1"/>
    <col min="13060" max="13060" width="23.140625" style="69" customWidth="1"/>
    <col min="13061" max="13061" width="16.85546875" style="69" customWidth="1"/>
    <col min="13062" max="13062" width="18.85546875" style="69" customWidth="1"/>
    <col min="13063" max="13063" width="17.85546875" style="69" customWidth="1"/>
    <col min="13064" max="13064" width="22.140625" style="69" customWidth="1"/>
    <col min="13065" max="13065" width="5.5703125" style="69" customWidth="1"/>
    <col min="13066" max="13312" width="9.140625" style="69"/>
    <col min="13313" max="13313" width="13.5703125" style="69" customWidth="1"/>
    <col min="13314" max="13314" width="8.140625" style="69" customWidth="1"/>
    <col min="13315" max="13315" width="8.85546875" style="69" customWidth="1"/>
    <col min="13316" max="13316" width="23.140625" style="69" customWidth="1"/>
    <col min="13317" max="13317" width="16.85546875" style="69" customWidth="1"/>
    <col min="13318" max="13318" width="18.85546875" style="69" customWidth="1"/>
    <col min="13319" max="13319" width="17.85546875" style="69" customWidth="1"/>
    <col min="13320" max="13320" width="22.140625" style="69" customWidth="1"/>
    <col min="13321" max="13321" width="5.5703125" style="69" customWidth="1"/>
    <col min="13322" max="13568" width="9.140625" style="69"/>
    <col min="13569" max="13569" width="13.5703125" style="69" customWidth="1"/>
    <col min="13570" max="13570" width="8.140625" style="69" customWidth="1"/>
    <col min="13571" max="13571" width="8.85546875" style="69" customWidth="1"/>
    <col min="13572" max="13572" width="23.140625" style="69" customWidth="1"/>
    <col min="13573" max="13573" width="16.85546875" style="69" customWidth="1"/>
    <col min="13574" max="13574" width="18.85546875" style="69" customWidth="1"/>
    <col min="13575" max="13575" width="17.85546875" style="69" customWidth="1"/>
    <col min="13576" max="13576" width="22.140625" style="69" customWidth="1"/>
    <col min="13577" max="13577" width="5.5703125" style="69" customWidth="1"/>
    <col min="13578" max="13824" width="9.140625" style="69"/>
    <col min="13825" max="13825" width="13.5703125" style="69" customWidth="1"/>
    <col min="13826" max="13826" width="8.140625" style="69" customWidth="1"/>
    <col min="13827" max="13827" width="8.85546875" style="69" customWidth="1"/>
    <col min="13828" max="13828" width="23.140625" style="69" customWidth="1"/>
    <col min="13829" max="13829" width="16.85546875" style="69" customWidth="1"/>
    <col min="13830" max="13830" width="18.85546875" style="69" customWidth="1"/>
    <col min="13831" max="13831" width="17.85546875" style="69" customWidth="1"/>
    <col min="13832" max="13832" width="22.140625" style="69" customWidth="1"/>
    <col min="13833" max="13833" width="5.5703125" style="69" customWidth="1"/>
    <col min="13834" max="14080" width="9.140625" style="69"/>
    <col min="14081" max="14081" width="13.5703125" style="69" customWidth="1"/>
    <col min="14082" max="14082" width="8.140625" style="69" customWidth="1"/>
    <col min="14083" max="14083" width="8.85546875" style="69" customWidth="1"/>
    <col min="14084" max="14084" width="23.140625" style="69" customWidth="1"/>
    <col min="14085" max="14085" width="16.85546875" style="69" customWidth="1"/>
    <col min="14086" max="14086" width="18.85546875" style="69" customWidth="1"/>
    <col min="14087" max="14087" width="17.85546875" style="69" customWidth="1"/>
    <col min="14088" max="14088" width="22.140625" style="69" customWidth="1"/>
    <col min="14089" max="14089" width="5.5703125" style="69" customWidth="1"/>
    <col min="14090" max="14336" width="9.140625" style="69"/>
    <col min="14337" max="14337" width="13.5703125" style="69" customWidth="1"/>
    <col min="14338" max="14338" width="8.140625" style="69" customWidth="1"/>
    <col min="14339" max="14339" width="8.85546875" style="69" customWidth="1"/>
    <col min="14340" max="14340" width="23.140625" style="69" customWidth="1"/>
    <col min="14341" max="14341" width="16.85546875" style="69" customWidth="1"/>
    <col min="14342" max="14342" width="18.85546875" style="69" customWidth="1"/>
    <col min="14343" max="14343" width="17.85546875" style="69" customWidth="1"/>
    <col min="14344" max="14344" width="22.140625" style="69" customWidth="1"/>
    <col min="14345" max="14345" width="5.5703125" style="69" customWidth="1"/>
    <col min="14346" max="14592" width="9.140625" style="69"/>
    <col min="14593" max="14593" width="13.5703125" style="69" customWidth="1"/>
    <col min="14594" max="14594" width="8.140625" style="69" customWidth="1"/>
    <col min="14595" max="14595" width="8.85546875" style="69" customWidth="1"/>
    <col min="14596" max="14596" width="23.140625" style="69" customWidth="1"/>
    <col min="14597" max="14597" width="16.85546875" style="69" customWidth="1"/>
    <col min="14598" max="14598" width="18.85546875" style="69" customWidth="1"/>
    <col min="14599" max="14599" width="17.85546875" style="69" customWidth="1"/>
    <col min="14600" max="14600" width="22.140625" style="69" customWidth="1"/>
    <col min="14601" max="14601" width="5.5703125" style="69" customWidth="1"/>
    <col min="14602" max="14848" width="9.140625" style="69"/>
    <col min="14849" max="14849" width="13.5703125" style="69" customWidth="1"/>
    <col min="14850" max="14850" width="8.140625" style="69" customWidth="1"/>
    <col min="14851" max="14851" width="8.85546875" style="69" customWidth="1"/>
    <col min="14852" max="14852" width="23.140625" style="69" customWidth="1"/>
    <col min="14853" max="14853" width="16.85546875" style="69" customWidth="1"/>
    <col min="14854" max="14854" width="18.85546875" style="69" customWidth="1"/>
    <col min="14855" max="14855" width="17.85546875" style="69" customWidth="1"/>
    <col min="14856" max="14856" width="22.140625" style="69" customWidth="1"/>
    <col min="14857" max="14857" width="5.5703125" style="69" customWidth="1"/>
    <col min="14858" max="15104" width="9.140625" style="69"/>
    <col min="15105" max="15105" width="13.5703125" style="69" customWidth="1"/>
    <col min="15106" max="15106" width="8.140625" style="69" customWidth="1"/>
    <col min="15107" max="15107" width="8.85546875" style="69" customWidth="1"/>
    <col min="15108" max="15108" width="23.140625" style="69" customWidth="1"/>
    <col min="15109" max="15109" width="16.85546875" style="69" customWidth="1"/>
    <col min="15110" max="15110" width="18.85546875" style="69" customWidth="1"/>
    <col min="15111" max="15111" width="17.85546875" style="69" customWidth="1"/>
    <col min="15112" max="15112" width="22.140625" style="69" customWidth="1"/>
    <col min="15113" max="15113" width="5.5703125" style="69" customWidth="1"/>
    <col min="15114" max="15360" width="9.140625" style="69"/>
    <col min="15361" max="15361" width="13.5703125" style="69" customWidth="1"/>
    <col min="15362" max="15362" width="8.140625" style="69" customWidth="1"/>
    <col min="15363" max="15363" width="8.85546875" style="69" customWidth="1"/>
    <col min="15364" max="15364" width="23.140625" style="69" customWidth="1"/>
    <col min="15365" max="15365" width="16.85546875" style="69" customWidth="1"/>
    <col min="15366" max="15366" width="18.85546875" style="69" customWidth="1"/>
    <col min="15367" max="15367" width="17.85546875" style="69" customWidth="1"/>
    <col min="15368" max="15368" width="22.140625" style="69" customWidth="1"/>
    <col min="15369" max="15369" width="5.5703125" style="69" customWidth="1"/>
    <col min="15370" max="15616" width="9.140625" style="69"/>
    <col min="15617" max="15617" width="13.5703125" style="69" customWidth="1"/>
    <col min="15618" max="15618" width="8.140625" style="69" customWidth="1"/>
    <col min="15619" max="15619" width="8.85546875" style="69" customWidth="1"/>
    <col min="15620" max="15620" width="23.140625" style="69" customWidth="1"/>
    <col min="15621" max="15621" width="16.85546875" style="69" customWidth="1"/>
    <col min="15622" max="15622" width="18.85546875" style="69" customWidth="1"/>
    <col min="15623" max="15623" width="17.85546875" style="69" customWidth="1"/>
    <col min="15624" max="15624" width="22.140625" style="69" customWidth="1"/>
    <col min="15625" max="15625" width="5.5703125" style="69" customWidth="1"/>
    <col min="15626" max="15872" width="9.140625" style="69"/>
    <col min="15873" max="15873" width="13.5703125" style="69" customWidth="1"/>
    <col min="15874" max="15874" width="8.140625" style="69" customWidth="1"/>
    <col min="15875" max="15875" width="8.85546875" style="69" customWidth="1"/>
    <col min="15876" max="15876" width="23.140625" style="69" customWidth="1"/>
    <col min="15877" max="15877" width="16.85546875" style="69" customWidth="1"/>
    <col min="15878" max="15878" width="18.85546875" style="69" customWidth="1"/>
    <col min="15879" max="15879" width="17.85546875" style="69" customWidth="1"/>
    <col min="15880" max="15880" width="22.140625" style="69" customWidth="1"/>
    <col min="15881" max="15881" width="5.5703125" style="69" customWidth="1"/>
    <col min="15882" max="16128" width="9.140625" style="69"/>
    <col min="16129" max="16129" width="13.5703125" style="69" customWidth="1"/>
    <col min="16130" max="16130" width="8.140625" style="69" customWidth="1"/>
    <col min="16131" max="16131" width="8.85546875" style="69" customWidth="1"/>
    <col min="16132" max="16132" width="23.140625" style="69" customWidth="1"/>
    <col min="16133" max="16133" width="16.85546875" style="69" customWidth="1"/>
    <col min="16134" max="16134" width="18.85546875" style="69" customWidth="1"/>
    <col min="16135" max="16135" width="17.85546875" style="69" customWidth="1"/>
    <col min="16136" max="16136" width="22.140625" style="69" customWidth="1"/>
    <col min="16137" max="16137" width="5.5703125" style="69" customWidth="1"/>
    <col min="16138" max="16384" width="9.140625" style="69"/>
  </cols>
  <sheetData>
    <row r="1" spans="1:8" ht="27">
      <c r="A1" s="485" t="s">
        <v>59</v>
      </c>
      <c r="B1" s="486"/>
      <c r="C1" s="486"/>
      <c r="D1" s="486"/>
      <c r="E1" s="486"/>
      <c r="F1" s="486"/>
      <c r="G1" s="486"/>
      <c r="H1" s="486"/>
    </row>
    <row r="2" spans="1:8" ht="27">
      <c r="A2" s="70"/>
      <c r="B2" s="71"/>
      <c r="C2" s="71"/>
      <c r="D2" s="71"/>
      <c r="E2" s="71"/>
      <c r="F2" s="71"/>
      <c r="G2" s="71"/>
      <c r="H2" s="71"/>
    </row>
    <row r="3" spans="1:8">
      <c r="A3" s="72" t="s">
        <v>623</v>
      </c>
      <c r="B3" s="72"/>
      <c r="C3" s="72"/>
      <c r="D3" s="72"/>
      <c r="E3" s="73"/>
      <c r="F3" s="487">
        <f ca="1">TODAY()</f>
        <v>46049</v>
      </c>
      <c r="G3" s="487"/>
      <c r="H3" s="487"/>
    </row>
    <row r="4" spans="1:8">
      <c r="A4" s="71"/>
      <c r="B4" s="74"/>
      <c r="C4" s="74"/>
      <c r="D4" s="74"/>
      <c r="E4" s="74"/>
      <c r="F4" s="74"/>
      <c r="G4" s="74"/>
      <c r="H4" s="74"/>
    </row>
    <row r="5" spans="1:8">
      <c r="A5" s="488" t="s">
        <v>58</v>
      </c>
      <c r="B5" s="488"/>
      <c r="C5" s="75" t="s">
        <v>624</v>
      </c>
      <c r="D5" s="75"/>
      <c r="E5" s="75"/>
      <c r="F5" s="75"/>
      <c r="G5" s="75"/>
      <c r="H5" s="74"/>
    </row>
    <row r="6" spans="1:8">
      <c r="A6" s="71"/>
      <c r="B6" s="74"/>
      <c r="C6" s="74"/>
      <c r="D6" s="74"/>
      <c r="E6" s="74"/>
      <c r="F6" s="74"/>
      <c r="G6" s="74"/>
      <c r="H6" s="74"/>
    </row>
    <row r="7" spans="1:8">
      <c r="A7" s="488" t="s">
        <v>57</v>
      </c>
      <c r="B7" s="488"/>
      <c r="C7" s="76" t="s">
        <v>56</v>
      </c>
      <c r="D7" s="76" t="str">
        <f>NUMBERSTRING(D8,1)&amp;"원정-부가세 별도"</f>
        <v>일억팔천오백육십사만일천사백삼십이원정-부가세 별도</v>
      </c>
      <c r="E7" s="75"/>
      <c r="F7" s="75"/>
      <c r="G7" s="75"/>
      <c r="H7" s="74"/>
    </row>
    <row r="8" spans="1:8">
      <c r="A8" s="71"/>
      <c r="B8" s="74"/>
      <c r="C8" s="77" t="s">
        <v>55</v>
      </c>
      <c r="D8" s="78">
        <f>' 갑지-1'!L26</f>
        <v>185641432.05606186</v>
      </c>
      <c r="E8" s="74" t="s">
        <v>54</v>
      </c>
      <c r="F8" s="74"/>
      <c r="G8" s="74"/>
      <c r="H8" s="74"/>
    </row>
    <row r="9" spans="1:8">
      <c r="A9" s="71"/>
      <c r="B9" s="74"/>
      <c r="C9" s="74"/>
      <c r="D9" s="74"/>
      <c r="E9" s="74"/>
      <c r="F9" s="74"/>
      <c r="G9" s="74"/>
      <c r="H9" s="74"/>
    </row>
    <row r="10" spans="1:8">
      <c r="A10" s="347" t="s">
        <v>252</v>
      </c>
      <c r="B10" s="74"/>
      <c r="C10" s="74"/>
      <c r="D10" s="74"/>
      <c r="E10" s="74"/>
      <c r="F10" s="74"/>
      <c r="G10" s="74"/>
      <c r="H10" s="74"/>
    </row>
    <row r="11" spans="1:8">
      <c r="A11" s="71"/>
      <c r="B11" s="71"/>
      <c r="C11" s="71"/>
      <c r="D11" s="71"/>
      <c r="E11" s="74"/>
      <c r="F11" s="74"/>
      <c r="G11" s="74"/>
      <c r="H11" s="74"/>
    </row>
    <row r="12" spans="1:8" ht="15.75" customHeight="1">
      <c r="A12" s="191"/>
      <c r="B12" s="192"/>
      <c r="C12" s="192"/>
      <c r="D12" s="192"/>
      <c r="E12" s="193"/>
      <c r="F12" s="193"/>
      <c r="G12" s="193"/>
      <c r="H12" s="194"/>
    </row>
    <row r="13" spans="1:8" ht="15.75" customHeight="1">
      <c r="A13" s="195" t="s">
        <v>53</v>
      </c>
      <c r="B13" s="196"/>
      <c r="C13" s="79"/>
      <c r="D13" s="79"/>
      <c r="E13" s="79"/>
      <c r="F13" s="197"/>
      <c r="G13" s="197"/>
      <c r="H13" s="198"/>
    </row>
    <row r="14" spans="1:8" ht="15.75" customHeight="1">
      <c r="A14" s="199" t="s">
        <v>52</v>
      </c>
      <c r="B14" s="200" t="s">
        <v>168</v>
      </c>
      <c r="C14" s="196"/>
      <c r="D14" s="74"/>
      <c r="E14" s="80"/>
      <c r="F14" s="74"/>
      <c r="G14" s="74"/>
      <c r="H14" s="201"/>
    </row>
    <row r="15" spans="1:8" ht="15.75" customHeight="1">
      <c r="A15" s="199" t="s">
        <v>16</v>
      </c>
      <c r="B15" s="425" t="s">
        <v>152</v>
      </c>
      <c r="C15" s="79"/>
      <c r="D15" s="79"/>
      <c r="E15" s="79"/>
      <c r="F15" s="79"/>
      <c r="G15" s="79"/>
      <c r="H15" s="202" t="s">
        <v>51</v>
      </c>
    </row>
    <row r="16" spans="1:8" ht="15.75" customHeight="1">
      <c r="A16" s="199" t="s">
        <v>17</v>
      </c>
      <c r="B16" s="200"/>
      <c r="C16" s="79"/>
      <c r="D16" s="79"/>
      <c r="E16" s="79"/>
      <c r="F16" s="79"/>
      <c r="G16" s="79"/>
      <c r="H16" s="202"/>
    </row>
    <row r="17" spans="1:8" ht="15.75" customHeight="1">
      <c r="A17" s="199" t="s">
        <v>18</v>
      </c>
      <c r="B17" s="200"/>
      <c r="C17" s="79"/>
      <c r="D17" s="79"/>
      <c r="E17" s="79"/>
      <c r="F17" s="79"/>
      <c r="G17" s="79"/>
      <c r="H17" s="202"/>
    </row>
    <row r="18" spans="1:8" ht="15.75" customHeight="1">
      <c r="A18" s="199" t="s">
        <v>19</v>
      </c>
      <c r="B18" s="200"/>
      <c r="C18" s="79"/>
      <c r="D18" s="79"/>
      <c r="E18" s="79"/>
      <c r="F18" s="79"/>
      <c r="G18" s="79"/>
      <c r="H18" s="202"/>
    </row>
    <row r="19" spans="1:8" ht="15.75" customHeight="1">
      <c r="A19" s="199" t="s">
        <v>20</v>
      </c>
      <c r="B19" s="200"/>
      <c r="C19" s="79"/>
      <c r="D19" s="79"/>
      <c r="E19" s="79"/>
      <c r="F19" s="79"/>
      <c r="G19" s="79"/>
      <c r="H19" s="202"/>
    </row>
    <row r="20" spans="1:8" ht="15.75" customHeight="1">
      <c r="A20" s="203" t="s">
        <v>50</v>
      </c>
      <c r="B20" s="204"/>
      <c r="C20" s="205"/>
      <c r="D20" s="205"/>
      <c r="E20" s="205"/>
      <c r="F20" s="206"/>
      <c r="G20" s="206"/>
      <c r="H20" s="207"/>
    </row>
    <row r="21" spans="1:8" ht="27">
      <c r="A21" s="79"/>
      <c r="B21" s="81"/>
      <c r="C21" s="81"/>
      <c r="D21" s="81"/>
      <c r="E21" s="82"/>
      <c r="F21" s="82"/>
      <c r="G21" s="489" t="s">
        <v>570</v>
      </c>
      <c r="H21" s="489"/>
    </row>
    <row r="22" spans="1:8" ht="27">
      <c r="A22" s="79"/>
      <c r="B22" s="83"/>
      <c r="C22" s="83"/>
      <c r="D22" s="81"/>
      <c r="E22" s="82"/>
      <c r="F22" s="82"/>
      <c r="G22" s="80" t="s">
        <v>569</v>
      </c>
      <c r="H22" s="81"/>
    </row>
    <row r="23" spans="1:8" ht="27">
      <c r="A23" s="79"/>
      <c r="B23" s="81"/>
      <c r="C23" s="81"/>
      <c r="D23" s="81"/>
      <c r="E23" s="82"/>
      <c r="F23" s="82"/>
      <c r="G23" s="80"/>
      <c r="H23" s="81"/>
    </row>
  </sheetData>
  <mergeCells count="5">
    <mergeCell ref="A1:H1"/>
    <mergeCell ref="F3:H3"/>
    <mergeCell ref="A5:B5"/>
    <mergeCell ref="A7:B7"/>
    <mergeCell ref="G21:H21"/>
  </mergeCells>
  <phoneticPr fontId="22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Q48"/>
  <sheetViews>
    <sheetView tabSelected="1" view="pageBreakPreview" zoomScaleSheetLayoutView="100" workbookViewId="0">
      <selection activeCell="G17" sqref="G17"/>
    </sheetView>
  </sheetViews>
  <sheetFormatPr defaultColWidth="9.140625" defaultRowHeight="19.5" customHeight="1" outlineLevelCol="1"/>
  <cols>
    <col min="1" max="1" width="19.140625" style="160" bestFit="1" customWidth="1"/>
    <col min="2" max="2" width="32.85546875" style="161" customWidth="1"/>
    <col min="3" max="3" width="24.5703125" style="115" customWidth="1"/>
    <col min="4" max="5" width="8.85546875" style="162" customWidth="1"/>
    <col min="6" max="6" width="21.5703125" style="163" customWidth="1"/>
    <col min="7" max="7" width="14.85546875" style="164" customWidth="1" outlineLevel="1"/>
    <col min="8" max="8" width="17.85546875" style="164" customWidth="1" outlineLevel="1"/>
    <col min="9" max="9" width="14.85546875" style="164" customWidth="1" outlineLevel="1"/>
    <col min="10" max="10" width="17.85546875" style="164" customWidth="1" outlineLevel="1"/>
    <col min="11" max="11" width="14.85546875" style="164" customWidth="1"/>
    <col min="12" max="12" width="17.85546875" style="164" customWidth="1"/>
    <col min="13" max="13" width="23.140625" style="165" customWidth="1"/>
    <col min="14" max="14" width="9.140625" style="106"/>
    <col min="15" max="15" width="12.42578125" style="106" bestFit="1" customWidth="1"/>
    <col min="16" max="16" width="9.140625" style="106"/>
    <col min="17" max="17" width="15.140625" style="106" bestFit="1" customWidth="1"/>
    <col min="18" max="16384" width="9.140625" style="106"/>
  </cols>
  <sheetData>
    <row r="1" spans="1:13" s="84" customFormat="1" ht="35.1" customHeight="1">
      <c r="A1" s="492" t="s">
        <v>625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</row>
    <row r="2" spans="1:13" s="84" customFormat="1" ht="24" customHeigh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s="84" customFormat="1" ht="24" customHeight="1">
      <c r="A3" s="175" t="s">
        <v>623</v>
      </c>
      <c r="B3" s="86"/>
      <c r="C3" s="86"/>
      <c r="D3" s="86"/>
      <c r="E3" s="86"/>
      <c r="F3" s="178"/>
      <c r="G3" s="86"/>
      <c r="H3" s="86"/>
      <c r="I3" s="86"/>
      <c r="J3" s="86"/>
      <c r="K3" s="86"/>
      <c r="L3" s="86"/>
      <c r="M3" s="86"/>
    </row>
    <row r="4" spans="1:13" s="87" customFormat="1" ht="18" customHeight="1">
      <c r="A4" s="490" t="s">
        <v>10</v>
      </c>
      <c r="B4" s="493" t="s">
        <v>4</v>
      </c>
      <c r="C4" s="490" t="s">
        <v>5</v>
      </c>
      <c r="D4" s="490" t="s">
        <v>37</v>
      </c>
      <c r="E4" s="490" t="s">
        <v>6</v>
      </c>
      <c r="F4" s="495" t="s">
        <v>7</v>
      </c>
      <c r="G4" s="497" t="s">
        <v>60</v>
      </c>
      <c r="H4" s="497"/>
      <c r="I4" s="497" t="s">
        <v>61</v>
      </c>
      <c r="J4" s="497"/>
      <c r="K4" s="497" t="s">
        <v>62</v>
      </c>
      <c r="L4" s="497"/>
      <c r="M4" s="490" t="s">
        <v>8</v>
      </c>
    </row>
    <row r="5" spans="1:13" s="87" customFormat="1" ht="18" customHeight="1">
      <c r="A5" s="491"/>
      <c r="B5" s="494"/>
      <c r="C5" s="491"/>
      <c r="D5" s="491"/>
      <c r="E5" s="491"/>
      <c r="F5" s="496"/>
      <c r="G5" s="88" t="s">
        <v>0</v>
      </c>
      <c r="H5" s="88" t="s">
        <v>1</v>
      </c>
      <c r="I5" s="88" t="s">
        <v>0</v>
      </c>
      <c r="J5" s="88" t="s">
        <v>1</v>
      </c>
      <c r="K5" s="88" t="s">
        <v>0</v>
      </c>
      <c r="L5" s="88" t="s">
        <v>1</v>
      </c>
      <c r="M5" s="491"/>
    </row>
    <row r="6" spans="1:13" s="97" customFormat="1" ht="18" customHeight="1">
      <c r="A6" s="89" t="s">
        <v>14</v>
      </c>
      <c r="B6" s="90" t="s">
        <v>626</v>
      </c>
      <c r="C6" s="91"/>
      <c r="D6" s="92"/>
      <c r="E6" s="93"/>
      <c r="F6" s="94"/>
      <c r="G6" s="95"/>
      <c r="H6" s="95"/>
      <c r="I6" s="95"/>
      <c r="J6" s="95"/>
      <c r="K6" s="95"/>
      <c r="L6" s="95"/>
      <c r="M6" s="96"/>
    </row>
    <row r="7" spans="1:13" ht="18" customHeight="1">
      <c r="A7" s="98" t="s">
        <v>45</v>
      </c>
      <c r="B7" s="99" t="s">
        <v>476</v>
      </c>
      <c r="C7" s="100"/>
      <c r="D7" s="101"/>
      <c r="E7" s="102" t="s">
        <v>36</v>
      </c>
      <c r="F7" s="103">
        <v>1</v>
      </c>
      <c r="G7" s="104"/>
      <c r="H7" s="104">
        <f>상세!H10</f>
        <v>93697428</v>
      </c>
      <c r="I7" s="104"/>
      <c r="J7" s="104">
        <v>0</v>
      </c>
      <c r="K7" s="104"/>
      <c r="L7" s="104">
        <f>H7</f>
        <v>93697428</v>
      </c>
      <c r="M7" s="105"/>
    </row>
    <row r="8" spans="1:13" ht="18" customHeight="1">
      <c r="A8" s="98" t="s">
        <v>25</v>
      </c>
      <c r="B8" s="99" t="s">
        <v>477</v>
      </c>
      <c r="C8" s="100"/>
      <c r="D8" s="101"/>
      <c r="E8" s="102" t="s">
        <v>36</v>
      </c>
      <c r="F8" s="103">
        <v>1</v>
      </c>
      <c r="G8" s="104"/>
      <c r="H8" s="104">
        <v>0</v>
      </c>
      <c r="I8" s="104"/>
      <c r="J8" s="104">
        <f>상세!J10</f>
        <v>56011606.666666672</v>
      </c>
      <c r="K8" s="104"/>
      <c r="L8" s="104">
        <f>J8</f>
        <v>56011606.666666672</v>
      </c>
      <c r="M8" s="105"/>
    </row>
    <row r="9" spans="1:13" ht="18" customHeight="1">
      <c r="A9" s="98"/>
      <c r="B9" s="99"/>
      <c r="C9" s="100"/>
      <c r="D9" s="101"/>
      <c r="E9" s="102"/>
      <c r="F9" s="103"/>
      <c r="G9" s="104"/>
      <c r="H9" s="104"/>
      <c r="I9" s="104"/>
      <c r="J9" s="104"/>
      <c r="K9" s="104"/>
      <c r="L9" s="104"/>
      <c r="M9" s="105"/>
    </row>
    <row r="10" spans="1:13" s="114" customFormat="1" ht="18" customHeight="1">
      <c r="A10" s="107"/>
      <c r="B10" s="107" t="s">
        <v>97</v>
      </c>
      <c r="C10" s="108"/>
      <c r="D10" s="109"/>
      <c r="E10" s="110"/>
      <c r="F10" s="111"/>
      <c r="G10" s="112"/>
      <c r="H10" s="112">
        <f>상세!H10</f>
        <v>93697428</v>
      </c>
      <c r="I10" s="112"/>
      <c r="J10" s="112">
        <f>상세!J10</f>
        <v>56011606.666666672</v>
      </c>
      <c r="K10" s="112"/>
      <c r="L10" s="112">
        <f>L8+L7</f>
        <v>149709034.66666669</v>
      </c>
      <c r="M10" s="113"/>
    </row>
    <row r="11" spans="1:13" ht="18" customHeight="1">
      <c r="A11" s="181"/>
      <c r="B11" s="182"/>
      <c r="C11" s="183"/>
      <c r="D11" s="184"/>
      <c r="E11" s="185"/>
      <c r="F11" s="396"/>
      <c r="G11" s="187"/>
      <c r="H11" s="187"/>
      <c r="I11" s="104"/>
      <c r="J11" s="104"/>
      <c r="K11" s="104"/>
      <c r="L11" s="104"/>
      <c r="M11" s="105"/>
    </row>
    <row r="12" spans="1:13" ht="18" customHeight="1">
      <c r="A12" s="181" t="s">
        <v>478</v>
      </c>
      <c r="B12" s="99" t="s">
        <v>479</v>
      </c>
      <c r="C12" s="183" t="s">
        <v>485</v>
      </c>
      <c r="D12" s="121"/>
      <c r="E12" s="395">
        <v>3.56E-2</v>
      </c>
      <c r="F12" s="186">
        <v>1</v>
      </c>
      <c r="G12" s="118"/>
      <c r="H12" s="118"/>
      <c r="I12" s="389"/>
      <c r="J12" s="104"/>
      <c r="K12" s="104"/>
      <c r="L12" s="104">
        <f>J10*E12</f>
        <v>1994013.1973333335</v>
      </c>
      <c r="M12" s="105"/>
    </row>
    <row r="13" spans="1:13" ht="18" customHeight="1">
      <c r="A13" s="181" t="s">
        <v>491</v>
      </c>
      <c r="B13" s="182" t="s">
        <v>480</v>
      </c>
      <c r="C13" s="183" t="s">
        <v>486</v>
      </c>
      <c r="D13" s="121"/>
      <c r="E13" s="392">
        <v>1.01E-2</v>
      </c>
      <c r="F13" s="393">
        <v>1</v>
      </c>
      <c r="G13" s="118"/>
      <c r="H13" s="118"/>
      <c r="I13" s="389"/>
      <c r="J13" s="104"/>
      <c r="K13" s="104"/>
      <c r="L13" s="104">
        <f>J10*E13</f>
        <v>565717.22733333334</v>
      </c>
      <c r="M13" s="105"/>
    </row>
    <row r="14" spans="1:13" ht="18" customHeight="1">
      <c r="A14" s="181" t="s">
        <v>478</v>
      </c>
      <c r="B14" s="182" t="s">
        <v>481</v>
      </c>
      <c r="C14" s="183" t="s">
        <v>487</v>
      </c>
      <c r="D14" s="184"/>
      <c r="E14" s="395">
        <v>3.5450000000000002E-2</v>
      </c>
      <c r="F14" s="396">
        <v>1</v>
      </c>
      <c r="G14" s="397"/>
      <c r="H14" s="118"/>
      <c r="I14" s="389"/>
      <c r="J14" s="104"/>
      <c r="K14" s="104"/>
      <c r="L14" s="104">
        <f>J10*E14</f>
        <v>1985611.4563333336</v>
      </c>
      <c r="M14" s="105"/>
    </row>
    <row r="15" spans="1:13" ht="18" customHeight="1">
      <c r="A15" s="181" t="s">
        <v>491</v>
      </c>
      <c r="B15" s="182" t="s">
        <v>482</v>
      </c>
      <c r="C15" s="183" t="s">
        <v>488</v>
      </c>
      <c r="D15" s="121"/>
      <c r="E15" s="395">
        <v>4.4999999999999998E-2</v>
      </c>
      <c r="F15" s="396">
        <v>1</v>
      </c>
      <c r="G15" s="397"/>
      <c r="H15" s="118"/>
      <c r="I15" s="389"/>
      <c r="J15" s="104"/>
      <c r="K15" s="104"/>
      <c r="L15" s="104">
        <f>J10*E15</f>
        <v>2520522.3000000003</v>
      </c>
      <c r="M15" s="105"/>
    </row>
    <row r="16" spans="1:13" ht="18" customHeight="1">
      <c r="A16" s="181" t="s">
        <v>491</v>
      </c>
      <c r="B16" s="182" t="s">
        <v>483</v>
      </c>
      <c r="C16" s="183" t="s">
        <v>489</v>
      </c>
      <c r="D16" s="184"/>
      <c r="E16" s="390">
        <v>0.1295</v>
      </c>
      <c r="F16" s="393">
        <v>1</v>
      </c>
      <c r="G16" s="118"/>
      <c r="H16" s="118"/>
      <c r="I16" s="389"/>
      <c r="J16" s="104"/>
      <c r="K16" s="104"/>
      <c r="L16" s="104">
        <f>L14*E16</f>
        <v>257136.68359516672</v>
      </c>
      <c r="M16" s="105"/>
    </row>
    <row r="17" spans="1:17" ht="18" customHeight="1">
      <c r="A17" s="181" t="s">
        <v>478</v>
      </c>
      <c r="B17" s="182" t="s">
        <v>484</v>
      </c>
      <c r="C17" s="183" t="s">
        <v>490</v>
      </c>
      <c r="D17" s="121"/>
      <c r="E17" s="394">
        <v>3.1099999999999999E-2</v>
      </c>
      <c r="F17" s="393">
        <v>1</v>
      </c>
      <c r="G17" s="187"/>
      <c r="H17" s="118"/>
      <c r="I17" s="389"/>
      <c r="J17" s="104"/>
      <c r="K17" s="104"/>
      <c r="L17" s="104">
        <f>L10*E17</f>
        <v>4655950.9781333338</v>
      </c>
      <c r="M17" s="105"/>
    </row>
    <row r="18" spans="1:17" ht="18" customHeight="1">
      <c r="A18" s="181" t="s">
        <v>478</v>
      </c>
      <c r="B18" s="182" t="s">
        <v>492</v>
      </c>
      <c r="C18" s="183"/>
      <c r="D18" s="121"/>
      <c r="E18" s="395">
        <v>0.02</v>
      </c>
      <c r="F18" s="396">
        <v>1</v>
      </c>
      <c r="G18" s="118"/>
      <c r="H18" s="118"/>
      <c r="I18" s="389"/>
      <c r="J18" s="104"/>
      <c r="K18" s="104"/>
      <c r="L18" s="104">
        <f>L10*E18</f>
        <v>2994180.6933333338</v>
      </c>
      <c r="M18" s="105"/>
      <c r="Q18" s="398"/>
    </row>
    <row r="19" spans="1:17" ht="18" customHeight="1">
      <c r="A19" s="121" t="s">
        <v>23</v>
      </c>
      <c r="B19" s="100" t="s">
        <v>153</v>
      </c>
      <c r="C19" s="100"/>
      <c r="D19" s="166"/>
      <c r="E19" s="390">
        <v>0.04</v>
      </c>
      <c r="F19" s="116">
        <v>1</v>
      </c>
      <c r="G19" s="117"/>
      <c r="H19" s="118"/>
      <c r="I19" s="179"/>
      <c r="J19" s="118"/>
      <c r="K19" s="118"/>
      <c r="L19" s="353">
        <f>L10*E19</f>
        <v>5988361.3866666676</v>
      </c>
      <c r="M19" s="105"/>
      <c r="Q19" s="398"/>
    </row>
    <row r="20" spans="1:17" s="287" customFormat="1" ht="18" customHeight="1">
      <c r="A20" s="280" t="s">
        <v>23</v>
      </c>
      <c r="B20" s="281" t="s">
        <v>154</v>
      </c>
      <c r="C20" s="281"/>
      <c r="D20" s="282"/>
      <c r="E20" s="395">
        <v>0.1</v>
      </c>
      <c r="F20" s="283">
        <v>1</v>
      </c>
      <c r="G20" s="284"/>
      <c r="H20" s="285"/>
      <c r="I20" s="286"/>
      <c r="J20" s="285"/>
      <c r="K20" s="285"/>
      <c r="L20" s="353">
        <f>L10*E20</f>
        <v>14970903.466666669</v>
      </c>
      <c r="M20" s="159"/>
    </row>
    <row r="21" spans="1:17" ht="18" customHeight="1">
      <c r="A21" s="121"/>
      <c r="B21" s="100"/>
      <c r="C21" s="190"/>
      <c r="D21" s="189"/>
      <c r="E21" s="102"/>
      <c r="F21" s="391"/>
      <c r="G21" s="117"/>
      <c r="H21" s="118"/>
      <c r="I21" s="179"/>
      <c r="J21" s="118"/>
      <c r="K21" s="118"/>
      <c r="L21" s="119"/>
      <c r="M21" s="105"/>
      <c r="Q21" s="398"/>
    </row>
    <row r="22" spans="1:17" ht="18" customHeight="1">
      <c r="A22" s="121"/>
      <c r="B22" s="100"/>
      <c r="C22" s="120"/>
      <c r="D22" s="121"/>
      <c r="E22" s="122"/>
      <c r="F22" s="116"/>
      <c r="G22" s="117"/>
      <c r="H22" s="118"/>
      <c r="I22" s="179"/>
      <c r="J22" s="118"/>
      <c r="K22" s="118"/>
      <c r="L22" s="118"/>
      <c r="M22" s="105"/>
    </row>
    <row r="23" spans="1:17" s="130" customFormat="1" ht="18" customHeight="1">
      <c r="A23" s="124"/>
      <c r="B23" s="107" t="s">
        <v>139</v>
      </c>
      <c r="C23" s="123"/>
      <c r="D23" s="124"/>
      <c r="E23" s="125"/>
      <c r="F23" s="126"/>
      <c r="G23" s="127"/>
      <c r="H23" s="128"/>
      <c r="I23" s="180"/>
      <c r="J23" s="128"/>
      <c r="K23" s="128"/>
      <c r="L23" s="128">
        <f>SUM(L12:L22)</f>
        <v>35932397.389395177</v>
      </c>
      <c r="M23" s="129"/>
    </row>
    <row r="24" spans="1:17" s="130" customFormat="1" ht="18" customHeight="1">
      <c r="A24" s="124"/>
      <c r="B24" s="107"/>
      <c r="C24" s="123"/>
      <c r="D24" s="124"/>
      <c r="E24" s="125"/>
      <c r="F24" s="126" t="s">
        <v>189</v>
      </c>
      <c r="G24" s="127"/>
      <c r="H24" s="128"/>
      <c r="I24" s="180"/>
      <c r="J24" s="128"/>
      <c r="K24" s="128"/>
      <c r="L24" s="128"/>
      <c r="M24" s="129"/>
    </row>
    <row r="25" spans="1:17" ht="18" customHeight="1">
      <c r="A25" s="188"/>
      <c r="B25" s="189"/>
      <c r="C25" s="190"/>
      <c r="D25" s="101"/>
      <c r="E25" s="102"/>
      <c r="F25" s="103"/>
      <c r="G25" s="104"/>
      <c r="H25" s="104"/>
      <c r="I25" s="104"/>
      <c r="J25" s="104"/>
      <c r="K25" s="104" t="s">
        <v>146</v>
      </c>
      <c r="L25" s="104"/>
      <c r="M25" s="105"/>
    </row>
    <row r="26" spans="1:17" s="138" customFormat="1" ht="18" customHeight="1">
      <c r="A26" s="131"/>
      <c r="B26" s="131" t="s">
        <v>140</v>
      </c>
      <c r="C26" s="132"/>
      <c r="D26" s="133"/>
      <c r="E26" s="134"/>
      <c r="F26" s="135"/>
      <c r="G26" s="136"/>
      <c r="H26" s="136"/>
      <c r="I26" s="136"/>
      <c r="J26" s="136"/>
      <c r="K26" s="136"/>
      <c r="L26" s="136">
        <f>L10+L23+L24-L25</f>
        <v>185641432.05606186</v>
      </c>
      <c r="M26" s="137" t="s">
        <v>167</v>
      </c>
    </row>
    <row r="27" spans="1:17" ht="18" customHeight="1">
      <c r="A27" s="139"/>
      <c r="B27" s="140"/>
      <c r="C27" s="141"/>
      <c r="D27" s="142"/>
      <c r="E27" s="142"/>
      <c r="F27" s="143"/>
      <c r="G27" s="144"/>
      <c r="H27" s="144"/>
      <c r="I27" s="144"/>
      <c r="J27" s="144"/>
      <c r="K27" s="144"/>
      <c r="L27" s="144"/>
      <c r="M27" s="145"/>
    </row>
    <row r="28" spans="1:17" ht="18" customHeight="1">
      <c r="A28" s="146"/>
      <c r="B28" s="147"/>
      <c r="C28" s="148"/>
      <c r="D28" s="149"/>
      <c r="E28" s="149"/>
      <c r="F28" s="150"/>
      <c r="G28" s="151"/>
      <c r="H28" s="151"/>
      <c r="I28" s="151"/>
      <c r="J28" s="151"/>
      <c r="K28" s="151"/>
      <c r="L28" s="151"/>
      <c r="M28" s="152"/>
    </row>
    <row r="29" spans="1:17" ht="18" customHeight="1">
      <c r="A29" s="146"/>
      <c r="B29" s="147"/>
      <c r="C29" s="148"/>
      <c r="D29" s="149"/>
      <c r="E29" s="149"/>
      <c r="F29" s="150"/>
      <c r="G29" s="151"/>
      <c r="H29" s="151"/>
      <c r="I29" s="151"/>
      <c r="J29" s="151"/>
      <c r="K29" s="151"/>
      <c r="L29" s="151"/>
      <c r="M29" s="152"/>
    </row>
    <row r="30" spans="1:17" ht="18" customHeight="1">
      <c r="A30" s="146"/>
      <c r="B30" s="147"/>
      <c r="C30" s="148"/>
      <c r="D30" s="149"/>
      <c r="E30" s="149"/>
      <c r="F30" s="150"/>
      <c r="G30" s="151"/>
      <c r="H30" s="151"/>
      <c r="I30" s="151"/>
      <c r="J30" s="151"/>
      <c r="K30" s="151"/>
      <c r="L30" s="151"/>
      <c r="M30" s="152"/>
    </row>
    <row r="31" spans="1:17" ht="18" customHeight="1">
      <c r="A31" s="146"/>
      <c r="B31" s="277" t="s">
        <v>189</v>
      </c>
      <c r="C31" s="148"/>
      <c r="D31" s="149"/>
      <c r="E31" s="149"/>
      <c r="F31" s="150"/>
      <c r="G31" s="151"/>
      <c r="H31" s="151"/>
      <c r="I31" s="151"/>
      <c r="J31" s="151"/>
      <c r="K31" s="151"/>
      <c r="L31" s="151"/>
      <c r="M31" s="152"/>
    </row>
    <row r="32" spans="1:17" ht="18" customHeight="1">
      <c r="A32" s="146" t="s">
        <v>40</v>
      </c>
      <c r="B32" s="147" t="s">
        <v>49</v>
      </c>
      <c r="C32" s="148"/>
      <c r="D32" s="149"/>
      <c r="E32" s="149"/>
      <c r="F32" s="150"/>
      <c r="G32" s="151"/>
      <c r="H32" s="151"/>
      <c r="I32" s="151"/>
      <c r="J32" s="151"/>
      <c r="K32" s="151"/>
      <c r="L32" s="151"/>
      <c r="M32" s="152"/>
    </row>
    <row r="33" spans="1:15" ht="18" customHeight="1">
      <c r="A33" s="146" t="s">
        <v>44</v>
      </c>
      <c r="B33" s="147" t="s">
        <v>168</v>
      </c>
      <c r="C33" s="148"/>
      <c r="D33" s="149"/>
      <c r="E33" s="149"/>
      <c r="F33" s="150"/>
      <c r="G33" s="151"/>
      <c r="H33" s="151"/>
      <c r="I33" s="151"/>
      <c r="J33" s="151"/>
      <c r="K33" s="151"/>
      <c r="L33" s="151"/>
      <c r="M33" s="152"/>
    </row>
    <row r="34" spans="1:15" ht="18" customHeight="1">
      <c r="A34" s="170" t="s">
        <v>44</v>
      </c>
      <c r="B34" s="427" t="s">
        <v>151</v>
      </c>
      <c r="C34" s="148"/>
      <c r="D34" s="149"/>
      <c r="E34" s="149"/>
      <c r="F34" s="150"/>
      <c r="G34" s="151"/>
      <c r="H34" s="151"/>
      <c r="I34" s="151"/>
      <c r="J34" s="151"/>
      <c r="K34" s="151"/>
      <c r="L34" s="151"/>
      <c r="M34" s="152"/>
    </row>
    <row r="35" spans="1:15" ht="18" customHeight="1">
      <c r="A35" s="146"/>
      <c r="B35" s="147"/>
      <c r="C35" s="148"/>
      <c r="D35" s="149"/>
      <c r="E35" s="149"/>
      <c r="F35" s="150"/>
      <c r="G35" s="151"/>
      <c r="H35" s="151"/>
      <c r="I35" s="151"/>
      <c r="J35" s="151"/>
      <c r="K35" s="151"/>
      <c r="L35" s="151"/>
      <c r="M35" s="152"/>
    </row>
    <row r="36" spans="1:15" ht="18" customHeight="1">
      <c r="A36" s="153"/>
      <c r="B36" s="154"/>
      <c r="C36" s="155"/>
      <c r="D36" s="156"/>
      <c r="E36" s="156"/>
      <c r="F36" s="157"/>
      <c r="G36" s="158"/>
      <c r="H36" s="158"/>
      <c r="I36" s="158"/>
      <c r="J36" s="158"/>
      <c r="K36" s="158"/>
      <c r="L36" s="158"/>
      <c r="M36" s="152"/>
    </row>
    <row r="48" spans="1:15" ht="19.5" customHeight="1">
      <c r="O48" s="106">
        <f>112686983*0.25</f>
        <v>28171745.75</v>
      </c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2" type="noConversion"/>
  <pageMargins left="0.7" right="0.7" top="0.75" bottom="0.75" header="0.3" footer="0.3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S467"/>
  <sheetViews>
    <sheetView view="pageBreakPreview" topLeftCell="C1" zoomScale="133" zoomScaleSheetLayoutView="100" workbookViewId="0">
      <pane ySplit="4" topLeftCell="A424" activePane="bottomLeft" state="frozen"/>
      <selection activeCell="C38" sqref="C38"/>
      <selection pane="bottomLeft" activeCell="L464" sqref="L464"/>
    </sheetView>
  </sheetViews>
  <sheetFormatPr defaultColWidth="9.140625" defaultRowHeight="19.5" customHeight="1"/>
  <cols>
    <col min="1" max="1" width="8.85546875" style="63" bestFit="1" customWidth="1"/>
    <col min="2" max="2" width="32.85546875" style="64" customWidth="1"/>
    <col min="3" max="3" width="27.85546875" style="65" customWidth="1"/>
    <col min="4" max="4" width="17.85546875" style="66" customWidth="1"/>
    <col min="5" max="5" width="8.85546875" style="66" customWidth="1"/>
    <col min="6" max="6" width="9.42578125" style="67" bestFit="1" customWidth="1"/>
    <col min="7" max="7" width="14.85546875" style="68" customWidth="1"/>
    <col min="8" max="8" width="18" style="68" customWidth="1"/>
    <col min="9" max="9" width="14.85546875" style="68" customWidth="1"/>
    <col min="10" max="10" width="18" style="68" customWidth="1"/>
    <col min="11" max="11" width="14.85546875" style="68" customWidth="1"/>
    <col min="12" max="12" width="18" style="68" customWidth="1"/>
    <col min="13" max="13" width="20.5703125" style="248" customWidth="1"/>
    <col min="14" max="16384" width="9.140625" style="9"/>
  </cols>
  <sheetData>
    <row r="1" spans="1:13" s="1" customFormat="1" ht="35.1" customHeight="1">
      <c r="A1" s="503" t="s">
        <v>625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</row>
    <row r="2" spans="1:13" s="256" customFormat="1" ht="18" customHeight="1">
      <c r="A2" s="504" t="s">
        <v>10</v>
      </c>
      <c r="B2" s="505" t="s">
        <v>4</v>
      </c>
      <c r="C2" s="506" t="s">
        <v>114</v>
      </c>
      <c r="D2" s="506" t="s">
        <v>141</v>
      </c>
      <c r="E2" s="506" t="s">
        <v>6</v>
      </c>
      <c r="F2" s="507" t="s">
        <v>7</v>
      </c>
      <c r="G2" s="508" t="s">
        <v>2</v>
      </c>
      <c r="H2" s="508"/>
      <c r="I2" s="508" t="s">
        <v>9</v>
      </c>
      <c r="J2" s="508"/>
      <c r="K2" s="508" t="s">
        <v>3</v>
      </c>
      <c r="L2" s="508"/>
      <c r="M2" s="501" t="s">
        <v>8</v>
      </c>
    </row>
    <row r="3" spans="1:13" s="256" customFormat="1" ht="18" customHeight="1">
      <c r="A3" s="504"/>
      <c r="B3" s="505"/>
      <c r="C3" s="506"/>
      <c r="D3" s="506"/>
      <c r="E3" s="506"/>
      <c r="F3" s="507"/>
      <c r="G3" s="259" t="s">
        <v>0</v>
      </c>
      <c r="H3" s="259" t="s">
        <v>1</v>
      </c>
      <c r="I3" s="259" t="s">
        <v>0</v>
      </c>
      <c r="J3" s="259" t="s">
        <v>1</v>
      </c>
      <c r="K3" s="259" t="s">
        <v>0</v>
      </c>
      <c r="L3" s="259" t="s">
        <v>1</v>
      </c>
      <c r="M3" s="502"/>
    </row>
    <row r="4" spans="1:13" ht="18" customHeight="1">
      <c r="A4" s="2"/>
      <c r="B4" s="3"/>
      <c r="C4" s="4"/>
      <c r="D4" s="5"/>
      <c r="E4" s="5"/>
      <c r="F4" s="6"/>
      <c r="G4" s="7"/>
      <c r="H4" s="7"/>
      <c r="I4" s="7"/>
      <c r="J4" s="7"/>
      <c r="K4" s="7"/>
      <c r="L4" s="8"/>
      <c r="M4" s="177"/>
    </row>
    <row r="5" spans="1:13" ht="18" customHeight="1">
      <c r="A5" s="10"/>
      <c r="B5" s="11"/>
      <c r="C5" s="12"/>
      <c r="D5" s="5"/>
      <c r="E5" s="5"/>
      <c r="F5" s="6"/>
      <c r="G5" s="7"/>
      <c r="H5" s="7"/>
      <c r="I5" s="7"/>
      <c r="J5" s="7"/>
      <c r="K5" s="7"/>
      <c r="L5" s="8"/>
      <c r="M5" s="177"/>
    </row>
    <row r="6" spans="1:13" s="20" customFormat="1" ht="18" customHeight="1">
      <c r="A6" s="13" t="s">
        <v>14</v>
      </c>
      <c r="B6" s="14" t="s">
        <v>626</v>
      </c>
      <c r="C6" s="15"/>
      <c r="D6" s="16"/>
      <c r="E6" s="16"/>
      <c r="F6" s="17"/>
      <c r="G6" s="18"/>
      <c r="H6" s="18"/>
      <c r="I6" s="18"/>
      <c r="J6" s="18"/>
      <c r="K6" s="18"/>
      <c r="L6" s="19"/>
      <c r="M6" s="249"/>
    </row>
    <row r="7" spans="1:13" ht="18" customHeight="1">
      <c r="A7" s="10" t="s">
        <v>22</v>
      </c>
      <c r="B7" s="11" t="str">
        <f>B12</f>
        <v>가설공사</v>
      </c>
      <c r="C7" s="12"/>
      <c r="D7" s="5"/>
      <c r="E7" s="5" t="s">
        <v>36</v>
      </c>
      <c r="F7" s="6">
        <v>1</v>
      </c>
      <c r="G7" s="7"/>
      <c r="H7" s="7">
        <f>H27</f>
        <v>3886000</v>
      </c>
      <c r="I7" s="7"/>
      <c r="J7" s="7">
        <f>J27</f>
        <v>3064000</v>
      </c>
      <c r="K7" s="7"/>
      <c r="L7" s="8">
        <f>L27</f>
        <v>6950000</v>
      </c>
      <c r="M7" s="177"/>
    </row>
    <row r="8" spans="1:13" ht="18" customHeight="1">
      <c r="A8" s="10" t="s">
        <v>25</v>
      </c>
      <c r="B8" s="11" t="str">
        <f>B29</f>
        <v>인테리어 공사</v>
      </c>
      <c r="C8" s="12"/>
      <c r="D8" s="5"/>
      <c r="E8" s="5" t="s">
        <v>36</v>
      </c>
      <c r="F8" s="6">
        <v>1</v>
      </c>
      <c r="G8" s="7"/>
      <c r="H8" s="7">
        <f>H40</f>
        <v>89811428</v>
      </c>
      <c r="I8" s="7"/>
      <c r="J8" s="7">
        <f>J40</f>
        <v>52947606.666666672</v>
      </c>
      <c r="K8" s="7"/>
      <c r="L8" s="8">
        <f>L40</f>
        <v>142759034.66666669</v>
      </c>
      <c r="M8" s="177"/>
    </row>
    <row r="9" spans="1:13" ht="18" customHeight="1">
      <c r="A9" s="10"/>
      <c r="B9" s="11"/>
      <c r="C9" s="12"/>
      <c r="D9" s="5"/>
      <c r="E9" s="5"/>
      <c r="F9" s="6"/>
      <c r="G9" s="7"/>
      <c r="H9" s="7"/>
      <c r="I9" s="7"/>
      <c r="J9" s="7"/>
      <c r="K9" s="7"/>
      <c r="L9" s="8"/>
      <c r="M9" s="177"/>
    </row>
    <row r="10" spans="1:13" s="21" customFormat="1" ht="18" customHeight="1">
      <c r="A10" s="214"/>
      <c r="B10" s="214" t="s">
        <v>97</v>
      </c>
      <c r="C10" s="215"/>
      <c r="D10" s="216"/>
      <c r="E10" s="216"/>
      <c r="F10" s="217"/>
      <c r="G10" s="218"/>
      <c r="H10" s="218">
        <f>SUM(H7:H9)</f>
        <v>93697428</v>
      </c>
      <c r="I10" s="218"/>
      <c r="J10" s="218">
        <f>SUM(J7:J9)</f>
        <v>56011606.666666672</v>
      </c>
      <c r="K10" s="218"/>
      <c r="L10" s="219">
        <f>SUM(L7:L9)</f>
        <v>149709034.66666669</v>
      </c>
      <c r="M10" s="250"/>
    </row>
    <row r="11" spans="1:13" s="224" customFormat="1" ht="18" customHeight="1">
      <c r="A11" s="10"/>
      <c r="B11" s="11"/>
      <c r="C11" s="12"/>
      <c r="D11" s="208"/>
      <c r="E11" s="208"/>
      <c r="F11" s="209"/>
      <c r="G11" s="223"/>
      <c r="H11" s="223"/>
      <c r="I11" s="223"/>
      <c r="J11" s="223"/>
      <c r="K11" s="223"/>
      <c r="L11" s="223"/>
      <c r="M11" s="251"/>
    </row>
    <row r="12" spans="1:13" s="228" customFormat="1" ht="18" customHeight="1">
      <c r="A12" s="22" t="s">
        <v>22</v>
      </c>
      <c r="B12" s="23" t="s">
        <v>74</v>
      </c>
      <c r="C12" s="24"/>
      <c r="D12" s="225"/>
      <c r="E12" s="225"/>
      <c r="F12" s="226"/>
      <c r="G12" s="227"/>
      <c r="H12" s="227"/>
      <c r="I12" s="227"/>
      <c r="J12" s="227"/>
      <c r="K12" s="227"/>
      <c r="L12" s="227"/>
      <c r="M12" s="252"/>
    </row>
    <row r="13" spans="1:13" s="224" customFormat="1" ht="18" customHeight="1">
      <c r="A13" s="10" t="s">
        <v>63</v>
      </c>
      <c r="B13" s="11" t="s">
        <v>72</v>
      </c>
      <c r="C13" s="12"/>
      <c r="D13" s="208"/>
      <c r="E13" s="208" t="s">
        <v>11</v>
      </c>
      <c r="F13" s="209">
        <v>168</v>
      </c>
      <c r="G13" s="210">
        <v>2000</v>
      </c>
      <c r="H13" s="210">
        <f t="shared" ref="H13:H22" si="0">F13*G13</f>
        <v>336000</v>
      </c>
      <c r="I13" s="210">
        <v>8000</v>
      </c>
      <c r="J13" s="210">
        <f t="shared" ref="J13:J17" si="1">F13*I13</f>
        <v>1344000</v>
      </c>
      <c r="K13" s="210">
        <f t="shared" ref="K13:K17" si="2">G13+I13</f>
        <v>10000</v>
      </c>
      <c r="L13" s="210">
        <f t="shared" ref="L13:L17" si="3">F13*K13</f>
        <v>1680000</v>
      </c>
      <c r="M13" s="177"/>
    </row>
    <row r="14" spans="1:13" s="224" customFormat="1" ht="18" customHeight="1">
      <c r="A14" s="10" t="s">
        <v>63</v>
      </c>
      <c r="B14" s="11" t="s">
        <v>24</v>
      </c>
      <c r="C14" s="12"/>
      <c r="D14" s="208" t="s">
        <v>189</v>
      </c>
      <c r="E14" s="208" t="s">
        <v>142</v>
      </c>
      <c r="F14" s="209">
        <v>6</v>
      </c>
      <c r="G14" s="210">
        <v>0</v>
      </c>
      <c r="H14" s="210">
        <f t="shared" si="0"/>
        <v>0</v>
      </c>
      <c r="I14" s="210">
        <v>170000</v>
      </c>
      <c r="J14" s="210">
        <f t="shared" si="1"/>
        <v>1020000</v>
      </c>
      <c r="K14" s="210">
        <f t="shared" si="2"/>
        <v>170000</v>
      </c>
      <c r="L14" s="210">
        <f t="shared" si="3"/>
        <v>1020000</v>
      </c>
      <c r="M14" s="177"/>
    </row>
    <row r="15" spans="1:13" s="224" customFormat="1" ht="18" customHeight="1">
      <c r="A15" s="10" t="s">
        <v>63</v>
      </c>
      <c r="B15" s="11" t="s">
        <v>390</v>
      </c>
      <c r="C15" s="12" t="s">
        <v>538</v>
      </c>
      <c r="D15" s="208" t="s">
        <v>189</v>
      </c>
      <c r="E15" s="208" t="s">
        <v>621</v>
      </c>
      <c r="F15" s="209">
        <v>2</v>
      </c>
      <c r="G15" s="210">
        <v>0</v>
      </c>
      <c r="H15" s="210">
        <f t="shared" ref="H15" si="4">F15*G15</f>
        <v>0</v>
      </c>
      <c r="I15" s="210">
        <v>350000</v>
      </c>
      <c r="J15" s="210">
        <f t="shared" ref="J15" si="5">F15*I15</f>
        <v>700000</v>
      </c>
      <c r="K15" s="210">
        <f t="shared" ref="K15" si="6">G15+I15</f>
        <v>350000</v>
      </c>
      <c r="L15" s="210">
        <f t="shared" ref="L15" si="7">F15*K15</f>
        <v>700000</v>
      </c>
      <c r="M15" s="177"/>
    </row>
    <row r="16" spans="1:13" s="224" customFormat="1" ht="18" customHeight="1">
      <c r="A16" s="10" t="s">
        <v>77</v>
      </c>
      <c r="B16" s="11" t="s">
        <v>84</v>
      </c>
      <c r="C16" s="12" t="s">
        <v>537</v>
      </c>
      <c r="D16" s="208" t="s">
        <v>189</v>
      </c>
      <c r="E16" s="208" t="s">
        <v>75</v>
      </c>
      <c r="F16" s="209">
        <v>1</v>
      </c>
      <c r="G16" s="210">
        <v>350000</v>
      </c>
      <c r="H16" s="210">
        <f>F16*G16</f>
        <v>350000</v>
      </c>
      <c r="I16" s="210">
        <v>0</v>
      </c>
      <c r="J16" s="210">
        <f>F16*I16</f>
        <v>0</v>
      </c>
      <c r="K16" s="210">
        <f>G16+I16</f>
        <v>350000</v>
      </c>
      <c r="L16" s="210">
        <f>F16*K16</f>
        <v>350000</v>
      </c>
      <c r="M16" s="177"/>
    </row>
    <row r="17" spans="1:13" s="224" customFormat="1" ht="18" customHeight="1">
      <c r="A17" s="10" t="s">
        <v>64</v>
      </c>
      <c r="B17" s="11" t="s">
        <v>375</v>
      </c>
      <c r="C17" s="12"/>
      <c r="D17" s="208"/>
      <c r="E17" s="208" t="s">
        <v>76</v>
      </c>
      <c r="F17" s="209">
        <v>1</v>
      </c>
      <c r="G17" s="210">
        <v>200000</v>
      </c>
      <c r="H17" s="210">
        <f t="shared" si="0"/>
        <v>200000</v>
      </c>
      <c r="I17" s="210">
        <v>0</v>
      </c>
      <c r="J17" s="210">
        <f t="shared" si="1"/>
        <v>0</v>
      </c>
      <c r="K17" s="210">
        <f t="shared" si="2"/>
        <v>200000</v>
      </c>
      <c r="L17" s="210">
        <f t="shared" si="3"/>
        <v>200000</v>
      </c>
      <c r="M17" s="177"/>
    </row>
    <row r="18" spans="1:13" s="415" customFormat="1" ht="18" customHeight="1">
      <c r="A18" s="399" t="s">
        <v>566</v>
      </c>
      <c r="B18" s="400" t="s">
        <v>169</v>
      </c>
      <c r="C18" s="401" t="s">
        <v>143</v>
      </c>
      <c r="D18" s="412" t="s">
        <v>189</v>
      </c>
      <c r="E18" s="412" t="s">
        <v>75</v>
      </c>
      <c r="F18" s="413">
        <v>0</v>
      </c>
      <c r="G18" s="414">
        <v>0</v>
      </c>
      <c r="H18" s="414">
        <f>F18*G18</f>
        <v>0</v>
      </c>
      <c r="I18" s="414">
        <v>0</v>
      </c>
      <c r="J18" s="414">
        <f>F18*I18</f>
        <v>0</v>
      </c>
      <c r="K18" s="414">
        <f>G18+I18</f>
        <v>0</v>
      </c>
      <c r="L18" s="414">
        <f>F18*K18</f>
        <v>0</v>
      </c>
      <c r="M18" s="403"/>
    </row>
    <row r="19" spans="1:13" s="415" customFormat="1" ht="18" customHeight="1">
      <c r="A19" s="399" t="s">
        <v>567</v>
      </c>
      <c r="B19" s="400" t="s">
        <v>551</v>
      </c>
      <c r="C19" s="401" t="s">
        <v>143</v>
      </c>
      <c r="D19" s="412"/>
      <c r="E19" s="412" t="s">
        <v>75</v>
      </c>
      <c r="F19" s="413">
        <v>0</v>
      </c>
      <c r="G19" s="414">
        <v>0</v>
      </c>
      <c r="H19" s="414">
        <f>F19*G19</f>
        <v>0</v>
      </c>
      <c r="I19" s="414">
        <v>0</v>
      </c>
      <c r="J19" s="414">
        <f>F19*I19</f>
        <v>0</v>
      </c>
      <c r="K19" s="414">
        <f>G19+I19</f>
        <v>0</v>
      </c>
      <c r="L19" s="414">
        <f>F19*K19</f>
        <v>0</v>
      </c>
      <c r="M19" s="403"/>
    </row>
    <row r="20" spans="1:13" s="411" customFormat="1" ht="18" hidden="1" customHeight="1">
      <c r="A20" s="404" t="s">
        <v>554</v>
      </c>
      <c r="B20" s="405" t="s">
        <v>552</v>
      </c>
      <c r="C20" s="406" t="s">
        <v>553</v>
      </c>
      <c r="D20" s="407"/>
      <c r="E20" s="407" t="s">
        <v>75</v>
      </c>
      <c r="F20" s="408">
        <v>0</v>
      </c>
      <c r="G20" s="409">
        <v>8110000</v>
      </c>
      <c r="H20" s="409">
        <f>F20*G20</f>
        <v>0</v>
      </c>
      <c r="I20" s="409">
        <v>0</v>
      </c>
      <c r="J20" s="409">
        <f>F20*I20</f>
        <v>0</v>
      </c>
      <c r="K20" s="409">
        <f>G20+I20</f>
        <v>8110000</v>
      </c>
      <c r="L20" s="409">
        <f>F20*K20</f>
        <v>0</v>
      </c>
      <c r="M20" s="410"/>
    </row>
    <row r="21" spans="1:13" s="415" customFormat="1" ht="18" hidden="1" customHeight="1">
      <c r="A21" s="399" t="s">
        <v>248</v>
      </c>
      <c r="B21" s="400" t="s">
        <v>555</v>
      </c>
      <c r="C21" s="401" t="s">
        <v>568</v>
      </c>
      <c r="D21" s="412"/>
      <c r="E21" s="412" t="s">
        <v>75</v>
      </c>
      <c r="F21" s="413">
        <v>0</v>
      </c>
      <c r="G21" s="414"/>
      <c r="H21" s="414"/>
      <c r="I21" s="414"/>
      <c r="J21" s="414"/>
      <c r="K21" s="414"/>
      <c r="L21" s="414"/>
      <c r="M21" s="403"/>
    </row>
    <row r="22" spans="1:13" s="229" customFormat="1" ht="18" customHeight="1">
      <c r="A22" s="167" t="s">
        <v>78</v>
      </c>
      <c r="B22" s="168" t="s">
        <v>550</v>
      </c>
      <c r="C22" s="169" t="s">
        <v>238</v>
      </c>
      <c r="D22" s="211"/>
      <c r="E22" s="211" t="s">
        <v>239</v>
      </c>
      <c r="F22" s="212">
        <v>0</v>
      </c>
      <c r="G22" s="213">
        <v>0</v>
      </c>
      <c r="H22" s="213">
        <f t="shared" si="0"/>
        <v>0</v>
      </c>
      <c r="I22" s="213">
        <v>300000</v>
      </c>
      <c r="J22" s="213">
        <f t="shared" ref="J22" si="8">F22*I22</f>
        <v>0</v>
      </c>
      <c r="K22" s="213">
        <f t="shared" ref="K22" si="9">G22+I22</f>
        <v>300000</v>
      </c>
      <c r="L22" s="213">
        <f t="shared" ref="L22" si="10">F22*K22</f>
        <v>0</v>
      </c>
      <c r="M22" s="177"/>
    </row>
    <row r="23" spans="1:13" s="229" customFormat="1" ht="18" hidden="1" customHeight="1">
      <c r="A23" s="167" t="s">
        <v>176</v>
      </c>
      <c r="B23" s="168" t="s">
        <v>175</v>
      </c>
      <c r="C23" s="169" t="s">
        <v>143</v>
      </c>
      <c r="D23" s="211"/>
      <c r="E23" s="211" t="s">
        <v>170</v>
      </c>
      <c r="F23" s="212">
        <v>0</v>
      </c>
      <c r="G23" s="213">
        <v>0</v>
      </c>
      <c r="H23" s="213">
        <f>F23*G23</f>
        <v>0</v>
      </c>
      <c r="I23" s="213">
        <v>0</v>
      </c>
      <c r="J23" s="213">
        <f>F23*I23</f>
        <v>0</v>
      </c>
      <c r="K23" s="213">
        <f>G23+I23</f>
        <v>0</v>
      </c>
      <c r="L23" s="213">
        <f>F23*K23</f>
        <v>0</v>
      </c>
      <c r="M23" s="176"/>
    </row>
    <row r="24" spans="1:13" s="224" customFormat="1" ht="18" customHeight="1">
      <c r="A24" s="10" t="s">
        <v>81</v>
      </c>
      <c r="B24" s="11" t="s">
        <v>82</v>
      </c>
      <c r="C24" s="12" t="s">
        <v>83</v>
      </c>
      <c r="D24" s="208"/>
      <c r="E24" s="208" t="s">
        <v>73</v>
      </c>
      <c r="F24" s="209">
        <v>6</v>
      </c>
      <c r="G24" s="210">
        <v>500000</v>
      </c>
      <c r="H24" s="210">
        <f>F24*G24</f>
        <v>3000000</v>
      </c>
      <c r="I24" s="210">
        <v>0</v>
      </c>
      <c r="J24" s="210">
        <f>F24*I24</f>
        <v>0</v>
      </c>
      <c r="K24" s="210">
        <f>G24+I24</f>
        <v>500000</v>
      </c>
      <c r="L24" s="210">
        <f>F24*K24</f>
        <v>3000000</v>
      </c>
      <c r="M24" s="177"/>
    </row>
    <row r="25" spans="1:13" s="229" customFormat="1" ht="18" customHeight="1">
      <c r="A25" s="167" t="s">
        <v>79</v>
      </c>
      <c r="B25" s="168" t="s">
        <v>80</v>
      </c>
      <c r="C25" s="169" t="s">
        <v>200</v>
      </c>
      <c r="D25" s="211" t="s">
        <v>201</v>
      </c>
      <c r="E25" s="211" t="s">
        <v>70</v>
      </c>
      <c r="F25" s="212">
        <f>F13/3.3</f>
        <v>50.909090909090914</v>
      </c>
      <c r="G25" s="213">
        <v>5000</v>
      </c>
      <c r="H25" s="213">
        <f>F25*G25</f>
        <v>254545.45454545456</v>
      </c>
      <c r="I25" s="213">
        <v>15000</v>
      </c>
      <c r="J25" s="213">
        <f>F25*I25</f>
        <v>763636.36363636365</v>
      </c>
      <c r="K25" s="213">
        <f>G25+I25</f>
        <v>20000</v>
      </c>
      <c r="L25" s="279">
        <f>F25*K25</f>
        <v>1018181.8181818182</v>
      </c>
      <c r="M25" s="213" t="s">
        <v>204</v>
      </c>
    </row>
    <row r="26" spans="1:13" s="224" customFormat="1" ht="18" customHeight="1">
      <c r="A26" s="10"/>
      <c r="B26" s="11"/>
      <c r="C26" s="12"/>
      <c r="D26" s="208"/>
      <c r="E26" s="208"/>
      <c r="F26" s="208"/>
      <c r="G26" s="210"/>
      <c r="H26" s="210"/>
      <c r="I26" s="210"/>
      <c r="J26" s="210"/>
      <c r="K26" s="210"/>
      <c r="L26" s="210"/>
      <c r="M26" s="177"/>
    </row>
    <row r="27" spans="1:13" s="232" customFormat="1" ht="18" customHeight="1">
      <c r="A27" s="31"/>
      <c r="B27" s="32" t="s">
        <v>35</v>
      </c>
      <c r="C27" s="33"/>
      <c r="D27" s="230"/>
      <c r="E27" s="230"/>
      <c r="F27" s="230"/>
      <c r="G27" s="231"/>
      <c r="H27" s="231">
        <f>SUM(H13:H24)</f>
        <v>3886000</v>
      </c>
      <c r="I27" s="231"/>
      <c r="J27" s="231">
        <f>SUM(J13:J24)</f>
        <v>3064000</v>
      </c>
      <c r="K27" s="231"/>
      <c r="L27" s="231">
        <f>SUM(L13:L24)</f>
        <v>6950000</v>
      </c>
      <c r="M27" s="177"/>
    </row>
    <row r="28" spans="1:13" s="224" customFormat="1" ht="18" customHeight="1">
      <c r="A28" s="10"/>
      <c r="B28" s="11"/>
      <c r="C28" s="12"/>
      <c r="D28" s="208"/>
      <c r="E28" s="208"/>
      <c r="F28" s="208"/>
      <c r="G28" s="210"/>
      <c r="H28" s="210"/>
      <c r="I28" s="210"/>
      <c r="J28" s="233"/>
      <c r="K28" s="210"/>
      <c r="L28" s="210"/>
      <c r="M28" s="177"/>
    </row>
    <row r="29" spans="1:13" s="26" customFormat="1" ht="18" customHeight="1">
      <c r="A29" s="220" t="s">
        <v>25</v>
      </c>
      <c r="B29" s="221" t="s">
        <v>98</v>
      </c>
      <c r="C29" s="222"/>
      <c r="D29" s="25"/>
      <c r="E29" s="25"/>
      <c r="F29" s="40"/>
      <c r="G29" s="41"/>
      <c r="H29" s="41"/>
      <c r="I29" s="41"/>
      <c r="J29" s="41"/>
      <c r="K29" s="41"/>
      <c r="L29" s="42"/>
      <c r="M29" s="253"/>
    </row>
    <row r="30" spans="1:13" ht="18" customHeight="1">
      <c r="A30" s="43" t="s">
        <v>15</v>
      </c>
      <c r="B30" s="11" t="str">
        <f>B43</f>
        <v>철거 / 설비 공사</v>
      </c>
      <c r="C30" s="12"/>
      <c r="D30" s="5"/>
      <c r="E30" s="5" t="s">
        <v>36</v>
      </c>
      <c r="F30" s="27">
        <v>1</v>
      </c>
      <c r="G30" s="28"/>
      <c r="H30" s="28">
        <f>H70</f>
        <v>4456950</v>
      </c>
      <c r="I30" s="28"/>
      <c r="J30" s="28">
        <f>J70</f>
        <v>8960766.6666666679</v>
      </c>
      <c r="K30" s="28"/>
      <c r="L30" s="29">
        <f>L70</f>
        <v>13417716.666666668</v>
      </c>
      <c r="M30" s="177"/>
    </row>
    <row r="31" spans="1:13" ht="18" customHeight="1">
      <c r="A31" s="43" t="s">
        <v>16</v>
      </c>
      <c r="B31" s="11" t="str">
        <f>B72</f>
        <v>필름 공사</v>
      </c>
      <c r="C31" s="12"/>
      <c r="D31" s="5"/>
      <c r="E31" s="5" t="s">
        <v>36</v>
      </c>
      <c r="F31" s="27">
        <v>1</v>
      </c>
      <c r="G31" s="28"/>
      <c r="H31" s="28">
        <f>H88</f>
        <v>1880270</v>
      </c>
      <c r="I31" s="28"/>
      <c r="J31" s="28">
        <f>J88</f>
        <v>3431060</v>
      </c>
      <c r="K31" s="28"/>
      <c r="L31" s="29">
        <f>L88</f>
        <v>5311330</v>
      </c>
      <c r="M31" s="177"/>
    </row>
    <row r="32" spans="1:13" ht="18" customHeight="1">
      <c r="A32" s="43" t="s">
        <v>17</v>
      </c>
      <c r="B32" s="11" t="str">
        <f>B90</f>
        <v>가구 공사</v>
      </c>
      <c r="C32" s="12"/>
      <c r="D32" s="5"/>
      <c r="E32" s="5" t="s">
        <v>36</v>
      </c>
      <c r="F32" s="27">
        <v>1</v>
      </c>
      <c r="G32" s="28"/>
      <c r="H32" s="28">
        <f>H202</f>
        <v>21063000</v>
      </c>
      <c r="I32" s="28"/>
      <c r="J32" s="28">
        <f>J202</f>
        <v>6657000</v>
      </c>
      <c r="K32" s="28"/>
      <c r="L32" s="29">
        <f>L202</f>
        <v>27720000</v>
      </c>
      <c r="M32" s="177"/>
    </row>
    <row r="33" spans="1:13" ht="18" customHeight="1">
      <c r="A33" s="43" t="s">
        <v>18</v>
      </c>
      <c r="B33" s="11" t="str">
        <f>B204</f>
        <v>전기 공사</v>
      </c>
      <c r="C33" s="12"/>
      <c r="D33" s="5"/>
      <c r="E33" s="5" t="s">
        <v>36</v>
      </c>
      <c r="F33" s="27">
        <v>1</v>
      </c>
      <c r="G33" s="28"/>
      <c r="H33" s="28">
        <f>H299</f>
        <v>6838900</v>
      </c>
      <c r="I33" s="28"/>
      <c r="J33" s="28">
        <f>J299</f>
        <v>4027000</v>
      </c>
      <c r="K33" s="28"/>
      <c r="L33" s="29">
        <f>L299</f>
        <v>10865900</v>
      </c>
      <c r="M33" s="177"/>
    </row>
    <row r="34" spans="1:13" s="59" customFormat="1" ht="18" customHeight="1">
      <c r="A34" s="234" t="s">
        <v>19</v>
      </c>
      <c r="B34" s="53" t="str">
        <f>B301</f>
        <v>화장실 공사</v>
      </c>
      <c r="C34" s="54"/>
      <c r="D34" s="55"/>
      <c r="E34" s="55" t="s">
        <v>36</v>
      </c>
      <c r="F34" s="235">
        <v>1</v>
      </c>
      <c r="G34" s="57"/>
      <c r="H34" s="57">
        <f>H367</f>
        <v>10145800</v>
      </c>
      <c r="I34" s="57"/>
      <c r="J34" s="57">
        <f>J367</f>
        <v>3700000</v>
      </c>
      <c r="K34" s="57"/>
      <c r="L34" s="58">
        <f>L367</f>
        <v>13845800</v>
      </c>
      <c r="M34" s="176"/>
    </row>
    <row r="35" spans="1:13" s="59" customFormat="1" ht="18" customHeight="1">
      <c r="A35" s="234" t="s">
        <v>20</v>
      </c>
      <c r="B35" s="53" t="str">
        <f>B369</f>
        <v>타일 공사</v>
      </c>
      <c r="C35" s="54"/>
      <c r="D35" s="55"/>
      <c r="E35" s="55" t="s">
        <v>36</v>
      </c>
      <c r="F35" s="235">
        <v>1</v>
      </c>
      <c r="G35" s="57"/>
      <c r="H35" s="57">
        <f>H392</f>
        <v>4205350</v>
      </c>
      <c r="I35" s="57"/>
      <c r="J35" s="57">
        <f>J392</f>
        <v>5599500</v>
      </c>
      <c r="K35" s="57"/>
      <c r="L35" s="58">
        <f>L392</f>
        <v>9804850</v>
      </c>
      <c r="M35" s="176"/>
    </row>
    <row r="36" spans="1:13" ht="18" customHeight="1">
      <c r="A36" s="43" t="s">
        <v>21</v>
      </c>
      <c r="B36" s="11" t="str">
        <f>B394</f>
        <v>도배 공사</v>
      </c>
      <c r="C36" s="12"/>
      <c r="D36" s="5"/>
      <c r="E36" s="5" t="s">
        <v>36</v>
      </c>
      <c r="F36" s="27">
        <v>1</v>
      </c>
      <c r="G36" s="28"/>
      <c r="H36" s="28">
        <f>H405</f>
        <v>5400318</v>
      </c>
      <c r="I36" s="28"/>
      <c r="J36" s="28">
        <f>J405</f>
        <v>5940000</v>
      </c>
      <c r="K36" s="28"/>
      <c r="L36" s="29">
        <f>L405</f>
        <v>11340318</v>
      </c>
      <c r="M36" s="177"/>
    </row>
    <row r="37" spans="1:13" ht="18" customHeight="1">
      <c r="A37" s="43" t="s">
        <v>26</v>
      </c>
      <c r="B37" s="11" t="str">
        <f>B407</f>
        <v>도장 공사</v>
      </c>
      <c r="C37" s="12"/>
      <c r="D37" s="5"/>
      <c r="E37" s="5" t="s">
        <v>36</v>
      </c>
      <c r="F37" s="27">
        <v>1</v>
      </c>
      <c r="G37" s="28"/>
      <c r="H37" s="28">
        <f>H412</f>
        <v>310000</v>
      </c>
      <c r="I37" s="28"/>
      <c r="J37" s="28">
        <f>J412</f>
        <v>890000</v>
      </c>
      <c r="K37" s="28"/>
      <c r="L37" s="29">
        <f>L412</f>
        <v>1200000</v>
      </c>
      <c r="M37" s="177"/>
    </row>
    <row r="38" spans="1:13" ht="18" customHeight="1">
      <c r="A38" s="43" t="s">
        <v>27</v>
      </c>
      <c r="B38" s="11" t="str">
        <f>B414</f>
        <v>마루 공사</v>
      </c>
      <c r="C38" s="12"/>
      <c r="D38" s="5"/>
      <c r="E38" s="5" t="s">
        <v>36</v>
      </c>
      <c r="F38" s="27">
        <v>1</v>
      </c>
      <c r="G38" s="28"/>
      <c r="H38" s="28">
        <f>H424</f>
        <v>21243999.999999996</v>
      </c>
      <c r="I38" s="28"/>
      <c r="J38" s="28">
        <f>J424</f>
        <v>0</v>
      </c>
      <c r="K38" s="28"/>
      <c r="L38" s="29">
        <f>L424</f>
        <v>21243999.999999996</v>
      </c>
      <c r="M38" s="177"/>
    </row>
    <row r="39" spans="1:13" ht="18" customHeight="1">
      <c r="A39" s="43" t="s">
        <v>47</v>
      </c>
      <c r="B39" s="11" t="str">
        <f>B426</f>
        <v>목공사</v>
      </c>
      <c r="C39" s="12"/>
      <c r="D39" s="5"/>
      <c r="E39" s="5" t="s">
        <v>36</v>
      </c>
      <c r="F39" s="27">
        <v>1</v>
      </c>
      <c r="G39" s="28"/>
      <c r="H39" s="28">
        <f>H464</f>
        <v>14266840</v>
      </c>
      <c r="I39" s="28"/>
      <c r="J39" s="28">
        <f>J464</f>
        <v>13742280</v>
      </c>
      <c r="K39" s="28"/>
      <c r="L39" s="29">
        <f>L464</f>
        <v>28009120</v>
      </c>
      <c r="M39" s="177"/>
    </row>
    <row r="40" spans="1:13" s="38" customFormat="1" ht="18" customHeight="1">
      <c r="A40" s="31"/>
      <c r="B40" s="32" t="s">
        <v>35</v>
      </c>
      <c r="C40" s="33"/>
      <c r="D40" s="34"/>
      <c r="E40" s="34"/>
      <c r="F40" s="35"/>
      <c r="G40" s="36"/>
      <c r="H40" s="36">
        <f>SUM(H30:H39)</f>
        <v>89811428</v>
      </c>
      <c r="I40" s="36"/>
      <c r="J40" s="36">
        <f>SUM(J30:J39)</f>
        <v>52947606.666666672</v>
      </c>
      <c r="K40" s="36"/>
      <c r="L40" s="37">
        <f>SUM(L30:L39)</f>
        <v>142759034.66666669</v>
      </c>
      <c r="M40" s="254"/>
    </row>
    <row r="41" spans="1:13" ht="18" customHeight="1">
      <c r="A41" s="10"/>
      <c r="B41" s="11"/>
      <c r="C41" s="12"/>
      <c r="D41" s="5"/>
      <c r="E41" s="5"/>
      <c r="F41" s="30"/>
      <c r="G41" s="28"/>
      <c r="H41" s="28"/>
      <c r="I41" s="28"/>
      <c r="J41" s="28"/>
      <c r="K41" s="28"/>
      <c r="L41" s="29"/>
      <c r="M41" s="177"/>
    </row>
    <row r="42" spans="1:13" ht="18" customHeight="1">
      <c r="A42" s="10"/>
      <c r="B42" s="11"/>
      <c r="C42" s="12"/>
      <c r="D42" s="5"/>
      <c r="E42" s="5"/>
      <c r="F42" s="30"/>
      <c r="G42" s="28"/>
      <c r="H42" s="28"/>
      <c r="I42" s="28"/>
      <c r="J42" s="39"/>
      <c r="K42" s="28"/>
      <c r="L42" s="29"/>
      <c r="M42" s="177"/>
    </row>
    <row r="43" spans="1:13" s="20" customFormat="1" ht="18" customHeight="1">
      <c r="A43" s="44" t="s">
        <v>28</v>
      </c>
      <c r="B43" s="45" t="s">
        <v>93</v>
      </c>
      <c r="C43" s="276"/>
      <c r="D43" s="16"/>
      <c r="E43" s="16"/>
      <c r="F43" s="47"/>
      <c r="G43" s="48"/>
      <c r="H43" s="48"/>
      <c r="I43" s="48"/>
      <c r="J43" s="48"/>
      <c r="K43" s="48"/>
      <c r="L43" s="49"/>
      <c r="M43" s="249"/>
    </row>
    <row r="44" spans="1:13" ht="18" customHeight="1">
      <c r="A44" s="10" t="s">
        <v>65</v>
      </c>
      <c r="B44" s="11" t="s">
        <v>88</v>
      </c>
      <c r="C44" s="12"/>
      <c r="D44" s="5" t="s">
        <v>254</v>
      </c>
      <c r="E44" s="5" t="s">
        <v>70</v>
      </c>
      <c r="F44" s="50">
        <f>121/3.3</f>
        <v>36.666666666666671</v>
      </c>
      <c r="G44" s="28">
        <v>3000</v>
      </c>
      <c r="H44" s="28">
        <f t="shared" ref="H44:H68" si="11">F44*G44</f>
        <v>110000.00000000001</v>
      </c>
      <c r="I44" s="28">
        <v>25000</v>
      </c>
      <c r="J44" s="28">
        <f t="shared" ref="J44:J68" si="12">F44*I44</f>
        <v>916666.66666666674</v>
      </c>
      <c r="K44" s="28">
        <f t="shared" ref="K44:K68" si="13">G44+I44</f>
        <v>28000</v>
      </c>
      <c r="L44" s="29">
        <f t="shared" ref="L44:L68" si="14">F44*K44</f>
        <v>1026666.6666666667</v>
      </c>
      <c r="M44" s="177"/>
    </row>
    <row r="45" spans="1:13" ht="18" customHeight="1">
      <c r="A45" s="10" t="s">
        <v>65</v>
      </c>
      <c r="B45" s="11" t="s">
        <v>147</v>
      </c>
      <c r="C45" s="12"/>
      <c r="D45" s="5" t="s">
        <v>253</v>
      </c>
      <c r="E45" s="5" t="s">
        <v>376</v>
      </c>
      <c r="F45" s="50">
        <v>8.1300000000000008</v>
      </c>
      <c r="G45" s="28">
        <v>15000</v>
      </c>
      <c r="H45" s="28">
        <f t="shared" si="11"/>
        <v>121950.00000000001</v>
      </c>
      <c r="I45" s="28">
        <v>70000</v>
      </c>
      <c r="J45" s="28">
        <f t="shared" si="12"/>
        <v>569100</v>
      </c>
      <c r="K45" s="28">
        <f t="shared" si="13"/>
        <v>85000</v>
      </c>
      <c r="L45" s="29">
        <f t="shared" si="14"/>
        <v>691050.00000000012</v>
      </c>
      <c r="M45" s="177"/>
    </row>
    <row r="46" spans="1:13" ht="18" customHeight="1">
      <c r="A46" s="10" t="s">
        <v>66</v>
      </c>
      <c r="B46" s="11" t="s">
        <v>85</v>
      </c>
      <c r="C46" s="12"/>
      <c r="D46" s="5" t="s">
        <v>255</v>
      </c>
      <c r="E46" s="5" t="s">
        <v>75</v>
      </c>
      <c r="F46" s="50">
        <v>2</v>
      </c>
      <c r="G46" s="28">
        <v>0</v>
      </c>
      <c r="H46" s="28">
        <f t="shared" si="11"/>
        <v>0</v>
      </c>
      <c r="I46" s="28">
        <v>650000</v>
      </c>
      <c r="J46" s="28">
        <f t="shared" si="12"/>
        <v>1300000</v>
      </c>
      <c r="K46" s="28">
        <f t="shared" si="13"/>
        <v>650000</v>
      </c>
      <c r="L46" s="29">
        <f t="shared" si="14"/>
        <v>1300000</v>
      </c>
      <c r="M46" s="29"/>
    </row>
    <row r="47" spans="1:13" s="59" customFormat="1" ht="18" hidden="1" customHeight="1">
      <c r="A47" s="52" t="s">
        <v>65</v>
      </c>
      <c r="B47" s="53" t="s">
        <v>213</v>
      </c>
      <c r="C47" s="54"/>
      <c r="D47" s="55" t="s">
        <v>321</v>
      </c>
      <c r="E47" s="55" t="s">
        <v>75</v>
      </c>
      <c r="F47" s="56">
        <v>0</v>
      </c>
      <c r="G47" s="57">
        <v>20000</v>
      </c>
      <c r="H47" s="57">
        <f t="shared" si="11"/>
        <v>0</v>
      </c>
      <c r="I47" s="57">
        <v>230000</v>
      </c>
      <c r="J47" s="57">
        <f t="shared" si="12"/>
        <v>0</v>
      </c>
      <c r="K47" s="57">
        <f t="shared" si="13"/>
        <v>250000</v>
      </c>
      <c r="L47" s="58">
        <f t="shared" si="14"/>
        <v>0</v>
      </c>
      <c r="M47" s="177"/>
    </row>
    <row r="48" spans="1:13" ht="18" customHeight="1">
      <c r="A48" s="10" t="s">
        <v>65</v>
      </c>
      <c r="B48" s="11" t="s">
        <v>86</v>
      </c>
      <c r="C48" s="12"/>
      <c r="D48" s="5"/>
      <c r="E48" s="5" t="s">
        <v>11</v>
      </c>
      <c r="F48" s="50">
        <f>F13</f>
        <v>168</v>
      </c>
      <c r="G48" s="28">
        <v>8000</v>
      </c>
      <c r="H48" s="28">
        <f t="shared" si="11"/>
        <v>1344000</v>
      </c>
      <c r="I48" s="28">
        <v>18000</v>
      </c>
      <c r="J48" s="28">
        <f t="shared" si="12"/>
        <v>3024000</v>
      </c>
      <c r="K48" s="28">
        <f t="shared" si="13"/>
        <v>26000</v>
      </c>
      <c r="L48" s="29">
        <f t="shared" si="14"/>
        <v>4368000</v>
      </c>
      <c r="M48" s="177"/>
    </row>
    <row r="49" spans="1:13" ht="18" customHeight="1">
      <c r="A49" s="10" t="s">
        <v>65</v>
      </c>
      <c r="B49" s="11" t="s">
        <v>219</v>
      </c>
      <c r="C49" s="12"/>
      <c r="D49" s="380" t="s">
        <v>223</v>
      </c>
      <c r="E49" s="5" t="s">
        <v>11</v>
      </c>
      <c r="F49" s="50">
        <v>62</v>
      </c>
      <c r="G49" s="28">
        <v>8000</v>
      </c>
      <c r="H49" s="28">
        <f t="shared" ref="H49" si="15">F49*G49</f>
        <v>496000</v>
      </c>
      <c r="I49" s="28">
        <v>7000</v>
      </c>
      <c r="J49" s="28">
        <f t="shared" ref="J49" si="16">F49*I49</f>
        <v>434000</v>
      </c>
      <c r="K49" s="28">
        <f t="shared" ref="K49" si="17">G49+I49</f>
        <v>15000</v>
      </c>
      <c r="L49" s="29">
        <f t="shared" ref="L49" si="18">F49*K49</f>
        <v>930000</v>
      </c>
      <c r="M49" s="381"/>
    </row>
    <row r="50" spans="1:13" s="265" customFormat="1" ht="18" hidden="1" customHeight="1">
      <c r="A50" s="167" t="s">
        <v>65</v>
      </c>
      <c r="B50" s="168" t="s">
        <v>219</v>
      </c>
      <c r="C50" s="169"/>
      <c r="D50" s="331" t="s">
        <v>223</v>
      </c>
      <c r="E50" s="261" t="s">
        <v>11</v>
      </c>
      <c r="F50" s="266">
        <v>0</v>
      </c>
      <c r="G50" s="262">
        <v>8000</v>
      </c>
      <c r="H50" s="262">
        <f t="shared" ref="H50" si="19">F50*G50</f>
        <v>0</v>
      </c>
      <c r="I50" s="262">
        <v>7000</v>
      </c>
      <c r="J50" s="262">
        <f t="shared" ref="J50" si="20">F50*I50</f>
        <v>0</v>
      </c>
      <c r="K50" s="262">
        <f t="shared" ref="K50" si="21">G50+I50</f>
        <v>15000</v>
      </c>
      <c r="L50" s="263">
        <f t="shared" ref="L50" si="22">F50*K50</f>
        <v>0</v>
      </c>
      <c r="M50" s="332" t="s">
        <v>286</v>
      </c>
    </row>
    <row r="51" spans="1:13" ht="18" customHeight="1">
      <c r="A51" s="10" t="s">
        <v>65</v>
      </c>
      <c r="B51" s="11" t="s">
        <v>174</v>
      </c>
      <c r="C51" s="12"/>
      <c r="D51" s="5"/>
      <c r="E51" s="5" t="s">
        <v>173</v>
      </c>
      <c r="F51" s="50">
        <v>1</v>
      </c>
      <c r="G51" s="28"/>
      <c r="H51" s="28">
        <f t="shared" si="11"/>
        <v>0</v>
      </c>
      <c r="I51" s="28">
        <v>200000</v>
      </c>
      <c r="J51" s="28">
        <f t="shared" si="12"/>
        <v>200000</v>
      </c>
      <c r="K51" s="28">
        <f t="shared" si="13"/>
        <v>200000</v>
      </c>
      <c r="L51" s="29">
        <f t="shared" si="14"/>
        <v>200000</v>
      </c>
      <c r="M51" s="177"/>
    </row>
    <row r="52" spans="1:13" s="344" customFormat="1" ht="18" hidden="1" customHeight="1">
      <c r="A52" s="167" t="s">
        <v>244</v>
      </c>
      <c r="B52" s="337" t="s">
        <v>245</v>
      </c>
      <c r="C52" s="338"/>
      <c r="D52" s="339"/>
      <c r="E52" s="339" t="s">
        <v>246</v>
      </c>
      <c r="F52" s="340">
        <v>0</v>
      </c>
      <c r="G52" s="341"/>
      <c r="H52" s="341"/>
      <c r="I52" s="341"/>
      <c r="J52" s="341"/>
      <c r="K52" s="341"/>
      <c r="L52" s="342"/>
      <c r="M52" s="343" t="s">
        <v>285</v>
      </c>
    </row>
    <row r="53" spans="1:13" s="321" customFormat="1" ht="18" hidden="1" customHeight="1">
      <c r="A53" s="10" t="s">
        <v>91</v>
      </c>
      <c r="B53" s="314" t="s">
        <v>87</v>
      </c>
      <c r="C53" s="315"/>
      <c r="D53" s="316" t="s">
        <v>507</v>
      </c>
      <c r="E53" s="316" t="s">
        <v>186</v>
      </c>
      <c r="F53" s="317">
        <v>0</v>
      </c>
      <c r="G53" s="318">
        <v>500000</v>
      </c>
      <c r="H53" s="318">
        <f t="shared" ref="H53" si="23">F53*G53</f>
        <v>0</v>
      </c>
      <c r="I53" s="318">
        <v>700000</v>
      </c>
      <c r="J53" s="318">
        <f t="shared" ref="J53" si="24">F53*I53</f>
        <v>0</v>
      </c>
      <c r="K53" s="318">
        <f t="shared" ref="K53" si="25">G53+I53</f>
        <v>1200000</v>
      </c>
      <c r="L53" s="319">
        <f t="shared" ref="L53" si="26">F53*K53</f>
        <v>0</v>
      </c>
      <c r="M53" s="320"/>
    </row>
    <row r="54" spans="1:13" s="321" customFormat="1" ht="18" hidden="1" customHeight="1">
      <c r="A54" s="10" t="s">
        <v>91</v>
      </c>
      <c r="B54" s="314" t="s">
        <v>87</v>
      </c>
      <c r="C54" s="315"/>
      <c r="D54" s="316" t="s">
        <v>508</v>
      </c>
      <c r="E54" s="316" t="s">
        <v>186</v>
      </c>
      <c r="F54" s="317">
        <v>0</v>
      </c>
      <c r="G54" s="318">
        <v>300000</v>
      </c>
      <c r="H54" s="318">
        <f t="shared" si="11"/>
        <v>0</v>
      </c>
      <c r="I54" s="318">
        <v>500000</v>
      </c>
      <c r="J54" s="318">
        <f t="shared" si="12"/>
        <v>0</v>
      </c>
      <c r="K54" s="318">
        <f t="shared" si="13"/>
        <v>800000</v>
      </c>
      <c r="L54" s="319">
        <f t="shared" si="14"/>
        <v>0</v>
      </c>
      <c r="M54" s="320"/>
    </row>
    <row r="55" spans="1:13" ht="18" hidden="1" customHeight="1">
      <c r="A55" s="10" t="s">
        <v>91</v>
      </c>
      <c r="B55" s="11" t="s">
        <v>212</v>
      </c>
      <c r="C55" s="12" t="s">
        <v>509</v>
      </c>
      <c r="D55" s="5" t="s">
        <v>321</v>
      </c>
      <c r="E55" s="5" t="s">
        <v>75</v>
      </c>
      <c r="F55" s="50">
        <v>0</v>
      </c>
      <c r="G55" s="28">
        <v>50000</v>
      </c>
      <c r="H55" s="28">
        <f t="shared" ref="H55" si="27">F55*G55</f>
        <v>0</v>
      </c>
      <c r="I55" s="28">
        <v>250000</v>
      </c>
      <c r="J55" s="28">
        <f t="shared" si="12"/>
        <v>0</v>
      </c>
      <c r="K55" s="28">
        <f t="shared" si="13"/>
        <v>300000</v>
      </c>
      <c r="L55" s="29">
        <f t="shared" si="14"/>
        <v>0</v>
      </c>
      <c r="M55" s="177"/>
    </row>
    <row r="56" spans="1:13" ht="18" customHeight="1">
      <c r="A56" s="10" t="s">
        <v>91</v>
      </c>
      <c r="B56" s="11" t="s">
        <v>212</v>
      </c>
      <c r="C56" s="12" t="s">
        <v>678</v>
      </c>
      <c r="D56" s="5" t="s">
        <v>677</v>
      </c>
      <c r="E56" s="5" t="s">
        <v>75</v>
      </c>
      <c r="F56" s="50">
        <v>2</v>
      </c>
      <c r="G56" s="28">
        <v>150000</v>
      </c>
      <c r="H56" s="28">
        <f t="shared" si="11"/>
        <v>300000</v>
      </c>
      <c r="I56" s="28">
        <v>250000</v>
      </c>
      <c r="J56" s="28">
        <f t="shared" ref="J56" si="28">F56*I56</f>
        <v>500000</v>
      </c>
      <c r="K56" s="28">
        <f t="shared" ref="K56" si="29">G56+I56</f>
        <v>400000</v>
      </c>
      <c r="L56" s="29">
        <f t="shared" ref="L56" si="30">F56*K56</f>
        <v>800000</v>
      </c>
      <c r="M56" s="177"/>
    </row>
    <row r="57" spans="1:13" ht="18" customHeight="1">
      <c r="A57" s="10" t="s">
        <v>91</v>
      </c>
      <c r="B57" s="11" t="s">
        <v>89</v>
      </c>
      <c r="C57" s="12" t="s">
        <v>205</v>
      </c>
      <c r="D57" s="5" t="s">
        <v>256</v>
      </c>
      <c r="E57" s="5" t="s">
        <v>75</v>
      </c>
      <c r="F57" s="50">
        <v>2</v>
      </c>
      <c r="G57" s="28">
        <v>100000</v>
      </c>
      <c r="H57" s="28">
        <f t="shared" ref="H57:H67" si="31">F57*G57</f>
        <v>200000</v>
      </c>
      <c r="I57" s="28">
        <v>250000</v>
      </c>
      <c r="J57" s="28">
        <f t="shared" si="12"/>
        <v>500000</v>
      </c>
      <c r="K57" s="28">
        <f t="shared" si="13"/>
        <v>350000</v>
      </c>
      <c r="L57" s="29">
        <f t="shared" si="14"/>
        <v>700000</v>
      </c>
      <c r="M57" s="177"/>
    </row>
    <row r="58" spans="1:13" ht="18" customHeight="1">
      <c r="A58" s="10" t="s">
        <v>91</v>
      </c>
      <c r="B58" s="11" t="s">
        <v>89</v>
      </c>
      <c r="C58" s="12" t="s">
        <v>205</v>
      </c>
      <c r="D58" s="5" t="s">
        <v>571</v>
      </c>
      <c r="E58" s="5" t="s">
        <v>75</v>
      </c>
      <c r="F58" s="50">
        <v>1</v>
      </c>
      <c r="G58" s="28">
        <v>100000</v>
      </c>
      <c r="H58" s="28">
        <f t="shared" ref="H58:H59" si="32">F58*G58</f>
        <v>100000</v>
      </c>
      <c r="I58" s="28">
        <v>250000</v>
      </c>
      <c r="J58" s="28">
        <f t="shared" ref="J58:J59" si="33">F58*I58</f>
        <v>250000</v>
      </c>
      <c r="K58" s="28">
        <f t="shared" ref="K58:K59" si="34">G58+I58</f>
        <v>350000</v>
      </c>
      <c r="L58" s="29">
        <f t="shared" ref="L58:L59" si="35">F58*K58</f>
        <v>350000</v>
      </c>
      <c r="M58" s="177"/>
    </row>
    <row r="59" spans="1:13" s="431" customFormat="1" ht="18" customHeight="1">
      <c r="A59" s="399" t="s">
        <v>232</v>
      </c>
      <c r="B59" s="400" t="s">
        <v>386</v>
      </c>
      <c r="C59" s="401"/>
      <c r="D59" s="428" t="s">
        <v>380</v>
      </c>
      <c r="E59" s="428" t="s">
        <v>387</v>
      </c>
      <c r="F59" s="429">
        <v>0</v>
      </c>
      <c r="G59" s="402">
        <v>1700000</v>
      </c>
      <c r="H59" s="402">
        <f t="shared" si="32"/>
        <v>0</v>
      </c>
      <c r="I59" s="402">
        <v>0</v>
      </c>
      <c r="J59" s="402">
        <f t="shared" si="33"/>
        <v>0</v>
      </c>
      <c r="K59" s="402">
        <f t="shared" si="34"/>
        <v>1700000</v>
      </c>
      <c r="L59" s="430">
        <f t="shared" si="35"/>
        <v>0</v>
      </c>
      <c r="M59" s="403"/>
    </row>
    <row r="60" spans="1:13" s="431" customFormat="1" ht="18" customHeight="1">
      <c r="A60" s="399" t="s">
        <v>248</v>
      </c>
      <c r="B60" s="400" t="s">
        <v>187</v>
      </c>
      <c r="C60" s="401" t="s">
        <v>474</v>
      </c>
      <c r="D60" s="428" t="s">
        <v>381</v>
      </c>
      <c r="E60" s="428" t="s">
        <v>188</v>
      </c>
      <c r="F60" s="429">
        <v>1</v>
      </c>
      <c r="G60" s="402">
        <v>110000</v>
      </c>
      <c r="H60" s="402">
        <f t="shared" si="31"/>
        <v>110000</v>
      </c>
      <c r="I60" s="402">
        <v>50000</v>
      </c>
      <c r="J60" s="402">
        <f t="shared" si="12"/>
        <v>50000</v>
      </c>
      <c r="K60" s="402">
        <f t="shared" si="13"/>
        <v>160000</v>
      </c>
      <c r="L60" s="430">
        <f t="shared" si="14"/>
        <v>160000</v>
      </c>
      <c r="M60" s="509" t="s">
        <v>591</v>
      </c>
    </row>
    <row r="61" spans="1:13" s="431" customFormat="1" ht="18" customHeight="1">
      <c r="A61" s="399" t="s">
        <v>248</v>
      </c>
      <c r="B61" s="400" t="s">
        <v>187</v>
      </c>
      <c r="C61" s="401" t="s">
        <v>385</v>
      </c>
      <c r="D61" s="428" t="s">
        <v>380</v>
      </c>
      <c r="E61" s="428" t="s">
        <v>383</v>
      </c>
      <c r="F61" s="429">
        <v>7</v>
      </c>
      <c r="G61" s="402">
        <v>35000</v>
      </c>
      <c r="H61" s="402">
        <f>F61*G61</f>
        <v>245000</v>
      </c>
      <c r="I61" s="402">
        <v>11000</v>
      </c>
      <c r="J61" s="402">
        <f t="shared" ref="J61:J62" si="36">F61*I61</f>
        <v>77000</v>
      </c>
      <c r="K61" s="402">
        <f t="shared" ref="K61:K62" si="37">G61+I61</f>
        <v>46000</v>
      </c>
      <c r="L61" s="430">
        <f t="shared" ref="L61:L62" si="38">F61*K61</f>
        <v>322000</v>
      </c>
      <c r="M61" s="510"/>
    </row>
    <row r="62" spans="1:13" s="431" customFormat="1" ht="18" customHeight="1">
      <c r="A62" s="399" t="s">
        <v>248</v>
      </c>
      <c r="B62" s="400" t="s">
        <v>378</v>
      </c>
      <c r="C62" s="401" t="s">
        <v>379</v>
      </c>
      <c r="D62" s="428" t="s">
        <v>380</v>
      </c>
      <c r="E62" s="428" t="s">
        <v>383</v>
      </c>
      <c r="F62" s="429">
        <v>1</v>
      </c>
      <c r="G62" s="402">
        <v>120000</v>
      </c>
      <c r="H62" s="402">
        <f>F62*G62</f>
        <v>120000</v>
      </c>
      <c r="I62" s="402">
        <v>30000</v>
      </c>
      <c r="J62" s="402">
        <f t="shared" si="36"/>
        <v>30000</v>
      </c>
      <c r="K62" s="402">
        <f t="shared" si="37"/>
        <v>150000</v>
      </c>
      <c r="L62" s="430">
        <f t="shared" si="38"/>
        <v>150000</v>
      </c>
      <c r="M62" s="510"/>
    </row>
    <row r="63" spans="1:13" s="431" customFormat="1" ht="18" customHeight="1">
      <c r="A63" s="399" t="s">
        <v>248</v>
      </c>
      <c r="B63" s="400" t="s">
        <v>187</v>
      </c>
      <c r="C63" s="401" t="s">
        <v>388</v>
      </c>
      <c r="D63" s="428" t="s">
        <v>223</v>
      </c>
      <c r="E63" s="428" t="s">
        <v>38</v>
      </c>
      <c r="F63" s="429">
        <v>1</v>
      </c>
      <c r="G63" s="402">
        <v>350000</v>
      </c>
      <c r="H63" s="402">
        <f>F63*G63</f>
        <v>350000</v>
      </c>
      <c r="I63" s="402">
        <v>50000</v>
      </c>
      <c r="J63" s="402">
        <f>F63*I63</f>
        <v>50000</v>
      </c>
      <c r="K63" s="402">
        <f>G63+I63</f>
        <v>400000</v>
      </c>
      <c r="L63" s="430">
        <f>F63*K63</f>
        <v>400000</v>
      </c>
      <c r="M63" s="510"/>
    </row>
    <row r="64" spans="1:13" s="431" customFormat="1" ht="18" customHeight="1">
      <c r="A64" s="399" t="s">
        <v>248</v>
      </c>
      <c r="B64" s="400" t="s">
        <v>187</v>
      </c>
      <c r="C64" s="401" t="s">
        <v>382</v>
      </c>
      <c r="D64" s="428" t="s">
        <v>384</v>
      </c>
      <c r="E64" s="428" t="s">
        <v>188</v>
      </c>
      <c r="F64" s="429">
        <v>4</v>
      </c>
      <c r="G64" s="402">
        <v>70000</v>
      </c>
      <c r="H64" s="402">
        <f t="shared" ref="H64" si="39">F64*G64</f>
        <v>280000</v>
      </c>
      <c r="I64" s="402">
        <v>20000</v>
      </c>
      <c r="J64" s="402">
        <f t="shared" ref="J64" si="40">F64*I64</f>
        <v>80000</v>
      </c>
      <c r="K64" s="402">
        <f t="shared" ref="K64" si="41">G64+I64</f>
        <v>90000</v>
      </c>
      <c r="L64" s="430">
        <f t="shared" ref="L64" si="42">F64*K64</f>
        <v>360000</v>
      </c>
      <c r="M64" s="511"/>
    </row>
    <row r="65" spans="1:13" ht="18" hidden="1" customHeight="1">
      <c r="A65" s="10" t="s">
        <v>377</v>
      </c>
      <c r="B65" s="11" t="s">
        <v>378</v>
      </c>
      <c r="C65" s="12"/>
      <c r="D65" s="5"/>
      <c r="E65" s="5"/>
      <c r="F65" s="50"/>
      <c r="G65" s="28"/>
      <c r="H65" s="28"/>
      <c r="I65" s="28"/>
      <c r="J65" s="28"/>
      <c r="K65" s="28"/>
      <c r="L65" s="29"/>
      <c r="M65" s="264"/>
    </row>
    <row r="66" spans="1:13" ht="18" hidden="1" customHeight="1">
      <c r="A66" s="10"/>
      <c r="B66" s="11"/>
      <c r="C66" s="12"/>
      <c r="D66" s="5"/>
      <c r="E66" s="5"/>
      <c r="F66" s="50"/>
      <c r="G66" s="28"/>
      <c r="H66" s="28"/>
      <c r="I66" s="28"/>
      <c r="J66" s="28"/>
      <c r="K66" s="28"/>
      <c r="L66" s="29"/>
      <c r="M66" s="264"/>
    </row>
    <row r="67" spans="1:13" ht="18" customHeight="1">
      <c r="A67" s="10" t="s">
        <v>92</v>
      </c>
      <c r="B67" s="11" t="s">
        <v>90</v>
      </c>
      <c r="C67" s="12" t="s">
        <v>210</v>
      </c>
      <c r="D67" s="5" t="s">
        <v>197</v>
      </c>
      <c r="E67" s="5" t="s">
        <v>38</v>
      </c>
      <c r="F67" s="50">
        <v>2</v>
      </c>
      <c r="G67" s="28">
        <v>100000</v>
      </c>
      <c r="H67" s="28">
        <f t="shared" si="31"/>
        <v>200000</v>
      </c>
      <c r="I67" s="28">
        <v>250000</v>
      </c>
      <c r="J67" s="28">
        <f t="shared" ref="J67" si="43">F67*I67</f>
        <v>500000</v>
      </c>
      <c r="K67" s="28">
        <f t="shared" ref="K67" si="44">G67+I67</f>
        <v>350000</v>
      </c>
      <c r="L67" s="29">
        <f t="shared" ref="L67" si="45">F67*K67</f>
        <v>700000</v>
      </c>
      <c r="M67" s="177"/>
    </row>
    <row r="68" spans="1:13" ht="18" customHeight="1">
      <c r="A68" s="10" t="s">
        <v>92</v>
      </c>
      <c r="B68" s="11" t="s">
        <v>90</v>
      </c>
      <c r="C68" s="12" t="s">
        <v>506</v>
      </c>
      <c r="D68" s="5" t="s">
        <v>197</v>
      </c>
      <c r="E68" s="5" t="s">
        <v>164</v>
      </c>
      <c r="F68" s="50">
        <v>2</v>
      </c>
      <c r="G68" s="28">
        <v>240000</v>
      </c>
      <c r="H68" s="28">
        <f t="shared" si="11"/>
        <v>480000</v>
      </c>
      <c r="I68" s="28">
        <v>240000</v>
      </c>
      <c r="J68" s="28">
        <f t="shared" si="12"/>
        <v>480000</v>
      </c>
      <c r="K68" s="28">
        <f t="shared" si="13"/>
        <v>480000</v>
      </c>
      <c r="L68" s="29">
        <f t="shared" si="14"/>
        <v>960000</v>
      </c>
      <c r="M68" s="177"/>
    </row>
    <row r="69" spans="1:13" s="431" customFormat="1" ht="18" customHeight="1">
      <c r="A69" s="438" t="s">
        <v>224</v>
      </c>
      <c r="B69" s="400" t="s">
        <v>225</v>
      </c>
      <c r="C69" s="401"/>
      <c r="D69" s="428"/>
      <c r="E69" s="428" t="s">
        <v>38</v>
      </c>
      <c r="F69" s="429"/>
      <c r="G69" s="402">
        <v>350000</v>
      </c>
      <c r="H69" s="402">
        <f t="shared" ref="H69" si="46">F69*G69</f>
        <v>0</v>
      </c>
      <c r="I69" s="402">
        <v>0</v>
      </c>
      <c r="J69" s="402">
        <f t="shared" ref="J69" si="47">F69*I69</f>
        <v>0</v>
      </c>
      <c r="K69" s="402">
        <f t="shared" ref="K69" si="48">G69+I69</f>
        <v>350000</v>
      </c>
      <c r="L69" s="430">
        <f t="shared" ref="L69" si="49">F69*K69</f>
        <v>0</v>
      </c>
      <c r="M69" s="403"/>
    </row>
    <row r="70" spans="1:13" s="20" customFormat="1" ht="18" customHeight="1">
      <c r="A70" s="13"/>
      <c r="B70" s="13" t="s">
        <v>13</v>
      </c>
      <c r="C70" s="15"/>
      <c r="D70" s="16"/>
      <c r="E70" s="16"/>
      <c r="F70" s="51"/>
      <c r="G70" s="48" t="s">
        <v>189</v>
      </c>
      <c r="H70" s="49">
        <f>SUM(H44:H69)</f>
        <v>4456950</v>
      </c>
      <c r="I70" s="48"/>
      <c r="J70" s="49">
        <f>SUM(J44:J69)</f>
        <v>8960766.6666666679</v>
      </c>
      <c r="K70" s="48"/>
      <c r="L70" s="49">
        <f>SUM(L44:L69)</f>
        <v>13417716.666666668</v>
      </c>
      <c r="M70" s="177"/>
    </row>
    <row r="71" spans="1:13" ht="18" customHeight="1">
      <c r="A71" s="13"/>
      <c r="B71" s="14"/>
      <c r="C71" s="12"/>
      <c r="D71" s="5"/>
      <c r="E71" s="5"/>
      <c r="F71" s="50"/>
      <c r="G71" s="28"/>
      <c r="H71" s="28"/>
      <c r="I71" s="28"/>
      <c r="J71" s="28"/>
      <c r="K71" s="28"/>
      <c r="L71" s="29"/>
      <c r="M71" s="177"/>
    </row>
    <row r="72" spans="1:13" s="20" customFormat="1" ht="18" customHeight="1">
      <c r="A72" s="44" t="s">
        <v>29</v>
      </c>
      <c r="B72" s="45" t="s">
        <v>94</v>
      </c>
      <c r="C72" s="46"/>
      <c r="D72" s="16"/>
      <c r="E72" s="16"/>
      <c r="F72" s="51"/>
      <c r="G72" s="48"/>
      <c r="H72" s="48"/>
      <c r="I72" s="48"/>
      <c r="J72" s="48"/>
      <c r="K72" s="48"/>
      <c r="L72" s="49"/>
      <c r="M72" s="177"/>
    </row>
    <row r="73" spans="1:13" s="59" customFormat="1" ht="18" customHeight="1">
      <c r="A73" s="52">
        <v>-1</v>
      </c>
      <c r="B73" s="53" t="s">
        <v>95</v>
      </c>
      <c r="C73" s="54"/>
      <c r="D73" s="55"/>
      <c r="E73" s="55"/>
      <c r="F73" s="56"/>
      <c r="G73" s="57"/>
      <c r="H73" s="57"/>
      <c r="I73" s="57"/>
      <c r="J73" s="57"/>
      <c r="K73" s="57"/>
      <c r="L73" s="58"/>
      <c r="M73" s="177"/>
    </row>
    <row r="74" spans="1:13" s="59" customFormat="1" ht="18" customHeight="1">
      <c r="A74" s="60" t="s">
        <v>160</v>
      </c>
      <c r="B74" s="53" t="s">
        <v>207</v>
      </c>
      <c r="C74" s="62" t="s">
        <v>260</v>
      </c>
      <c r="D74" s="55" t="s">
        <v>262</v>
      </c>
      <c r="E74" s="55" t="s">
        <v>158</v>
      </c>
      <c r="F74" s="61">
        <v>1</v>
      </c>
      <c r="G74" s="57">
        <v>50000</v>
      </c>
      <c r="H74" s="57">
        <f t="shared" ref="H74:H86" si="50">F74*G74</f>
        <v>50000</v>
      </c>
      <c r="I74" s="57">
        <v>150000</v>
      </c>
      <c r="J74" s="57">
        <f t="shared" ref="J74" si="51">F74*I74</f>
        <v>150000</v>
      </c>
      <c r="K74" s="57">
        <f t="shared" ref="K74:K84" si="52">G74+I74</f>
        <v>200000</v>
      </c>
      <c r="L74" s="58">
        <f t="shared" ref="L74:L84" si="53">F74*K74</f>
        <v>200000</v>
      </c>
      <c r="M74" s="273"/>
    </row>
    <row r="75" spans="1:13" s="59" customFormat="1" ht="18" hidden="1" customHeight="1">
      <c r="A75" s="60" t="s">
        <v>229</v>
      </c>
      <c r="B75" s="53" t="s">
        <v>230</v>
      </c>
      <c r="C75" s="62" t="s">
        <v>533</v>
      </c>
      <c r="D75" s="55" t="s">
        <v>261</v>
      </c>
      <c r="E75" s="55" t="s">
        <v>41</v>
      </c>
      <c r="F75" s="61">
        <v>0</v>
      </c>
      <c r="G75" s="57">
        <v>7800</v>
      </c>
      <c r="H75" s="57">
        <f t="shared" si="50"/>
        <v>0</v>
      </c>
      <c r="I75" s="57">
        <v>12200</v>
      </c>
      <c r="J75" s="57">
        <f t="shared" ref="J75:J76" si="54">F75*I75</f>
        <v>0</v>
      </c>
      <c r="K75" s="57">
        <f t="shared" ref="K75:K76" si="55">G75+I75</f>
        <v>20000</v>
      </c>
      <c r="L75" s="58">
        <f t="shared" ref="L75:L76" si="56">F75*K75</f>
        <v>0</v>
      </c>
      <c r="M75" s="273"/>
    </row>
    <row r="76" spans="1:13" s="59" customFormat="1" ht="18" customHeight="1">
      <c r="A76" s="60" t="s">
        <v>44</v>
      </c>
      <c r="B76" s="53" t="s">
        <v>231</v>
      </c>
      <c r="C76" s="62" t="s">
        <v>260</v>
      </c>
      <c r="D76" s="55" t="s">
        <v>171</v>
      </c>
      <c r="E76" s="55" t="s">
        <v>41</v>
      </c>
      <c r="F76" s="61">
        <v>14.4</v>
      </c>
      <c r="G76" s="57">
        <v>7500</v>
      </c>
      <c r="H76" s="57">
        <f t="shared" ref="H76" si="57">F76*G76</f>
        <v>108000</v>
      </c>
      <c r="I76" s="57">
        <v>12200</v>
      </c>
      <c r="J76" s="57">
        <f t="shared" si="54"/>
        <v>175680</v>
      </c>
      <c r="K76" s="57">
        <f t="shared" si="55"/>
        <v>19700</v>
      </c>
      <c r="L76" s="58">
        <f t="shared" si="56"/>
        <v>283680</v>
      </c>
      <c r="M76" s="273"/>
    </row>
    <row r="77" spans="1:13" s="59" customFormat="1" ht="18" customHeight="1">
      <c r="A77" s="60" t="s">
        <v>44</v>
      </c>
      <c r="B77" s="53" t="s">
        <v>208</v>
      </c>
      <c r="C77" s="62" t="s">
        <v>260</v>
      </c>
      <c r="D77" s="55" t="s">
        <v>137</v>
      </c>
      <c r="E77" s="55" t="s">
        <v>39</v>
      </c>
      <c r="F77" s="61">
        <v>76</v>
      </c>
      <c r="G77" s="57">
        <v>3300</v>
      </c>
      <c r="H77" s="57">
        <f t="shared" si="50"/>
        <v>250800</v>
      </c>
      <c r="I77" s="57">
        <v>6600</v>
      </c>
      <c r="J77" s="57">
        <f t="shared" ref="J77" si="58">F77*I77</f>
        <v>501600</v>
      </c>
      <c r="K77" s="57">
        <f t="shared" si="52"/>
        <v>9900</v>
      </c>
      <c r="L77" s="58">
        <f t="shared" si="53"/>
        <v>752400</v>
      </c>
      <c r="M77" s="273"/>
    </row>
    <row r="78" spans="1:13" s="59" customFormat="1" ht="18" customHeight="1">
      <c r="A78" s="60" t="s">
        <v>44</v>
      </c>
      <c r="B78" s="53" t="s">
        <v>622</v>
      </c>
      <c r="C78" s="62" t="s">
        <v>260</v>
      </c>
      <c r="D78" s="55" t="s">
        <v>137</v>
      </c>
      <c r="E78" s="55" t="s">
        <v>39</v>
      </c>
      <c r="F78" s="61">
        <f>((1.85+1.95+3.53+1.84+0.98+1.2)*2+(2.3*12))*3</f>
        <v>150.89999999999998</v>
      </c>
      <c r="G78" s="57">
        <v>3300</v>
      </c>
      <c r="H78" s="57">
        <f t="shared" ref="H78" si="59">F78*G78</f>
        <v>497969.99999999994</v>
      </c>
      <c r="I78" s="57">
        <v>12200</v>
      </c>
      <c r="J78" s="57">
        <f t="shared" ref="J78" si="60">F78*I78</f>
        <v>1840979.9999999998</v>
      </c>
      <c r="K78" s="57">
        <f t="shared" ref="K78" si="61">G78+I78</f>
        <v>15500</v>
      </c>
      <c r="L78" s="58">
        <f t="shared" ref="L78" si="62">F78*K78</f>
        <v>2338949.9999999995</v>
      </c>
      <c r="M78" s="273"/>
    </row>
    <row r="79" spans="1:13" s="59" customFormat="1" ht="18" customHeight="1">
      <c r="A79" s="60" t="s">
        <v>160</v>
      </c>
      <c r="B79" s="53" t="s">
        <v>155</v>
      </c>
      <c r="C79" s="62" t="s">
        <v>572</v>
      </c>
      <c r="D79" s="55" t="s">
        <v>137</v>
      </c>
      <c r="E79" s="55" t="s">
        <v>41</v>
      </c>
      <c r="F79" s="61">
        <v>49</v>
      </c>
      <c r="G79" s="57">
        <v>14000</v>
      </c>
      <c r="H79" s="57">
        <f t="shared" si="50"/>
        <v>686000</v>
      </c>
      <c r="I79" s="57">
        <v>12200</v>
      </c>
      <c r="J79" s="57">
        <f t="shared" ref="J79" si="63">F79*I79</f>
        <v>597800</v>
      </c>
      <c r="K79" s="57">
        <f t="shared" si="52"/>
        <v>26200</v>
      </c>
      <c r="L79" s="58">
        <f t="shared" si="53"/>
        <v>1283800</v>
      </c>
      <c r="M79" s="273"/>
    </row>
    <row r="80" spans="1:13" s="59" customFormat="1" ht="18" hidden="1" customHeight="1">
      <c r="A80" s="60" t="s">
        <v>44</v>
      </c>
      <c r="B80" s="53" t="s">
        <v>231</v>
      </c>
      <c r="C80" s="62" t="s">
        <v>546</v>
      </c>
      <c r="D80" s="55" t="s">
        <v>532</v>
      </c>
      <c r="E80" s="55" t="s">
        <v>41</v>
      </c>
      <c r="F80" s="61">
        <v>0</v>
      </c>
      <c r="G80" s="57">
        <v>14000</v>
      </c>
      <c r="H80" s="57">
        <f t="shared" ref="H80:H81" si="64">F80*G80</f>
        <v>0</v>
      </c>
      <c r="I80" s="57">
        <v>12200</v>
      </c>
      <c r="J80" s="57">
        <f t="shared" ref="J80" si="65">F80*I80</f>
        <v>0</v>
      </c>
      <c r="K80" s="57">
        <f t="shared" ref="K80:K81" si="66">G80+I80</f>
        <v>26200</v>
      </c>
      <c r="L80" s="58">
        <f t="shared" ref="L80" si="67">F80*K80</f>
        <v>0</v>
      </c>
      <c r="M80" s="273"/>
    </row>
    <row r="81" spans="1:16" s="59" customFormat="1" ht="18" customHeight="1">
      <c r="A81" s="60" t="s">
        <v>44</v>
      </c>
      <c r="B81" s="53" t="s">
        <v>615</v>
      </c>
      <c r="C81" s="62" t="s">
        <v>572</v>
      </c>
      <c r="D81" s="55" t="s">
        <v>256</v>
      </c>
      <c r="E81" s="55" t="s">
        <v>39</v>
      </c>
      <c r="F81" s="61">
        <v>25</v>
      </c>
      <c r="G81" s="57">
        <v>7500</v>
      </c>
      <c r="H81" s="57">
        <f t="shared" si="64"/>
        <v>187500</v>
      </c>
      <c r="I81" s="57">
        <v>6600</v>
      </c>
      <c r="J81" s="57">
        <f>F81*I81</f>
        <v>165000</v>
      </c>
      <c r="K81" s="57">
        <f t="shared" si="66"/>
        <v>14100</v>
      </c>
      <c r="L81" s="58">
        <f t="shared" ref="L81" si="68">F81*K81</f>
        <v>352500</v>
      </c>
      <c r="M81" s="273"/>
    </row>
    <row r="82" spans="1:16" s="59" customFormat="1" ht="18" hidden="1" customHeight="1">
      <c r="A82" s="60" t="s">
        <v>44</v>
      </c>
      <c r="B82" s="53" t="s">
        <v>616</v>
      </c>
      <c r="C82" s="62" t="s">
        <v>572</v>
      </c>
      <c r="D82" s="55" t="s">
        <v>307</v>
      </c>
      <c r="E82" s="55" t="s">
        <v>39</v>
      </c>
      <c r="F82" s="61">
        <v>0</v>
      </c>
      <c r="G82" s="57">
        <v>7500</v>
      </c>
      <c r="H82" s="57">
        <f t="shared" ref="H82" si="69">F82*G82</f>
        <v>0</v>
      </c>
      <c r="I82" s="57">
        <v>6600</v>
      </c>
      <c r="J82" s="57">
        <f>F82*I82</f>
        <v>0</v>
      </c>
      <c r="K82" s="57">
        <f t="shared" ref="K82" si="70">G82+I82</f>
        <v>14100</v>
      </c>
      <c r="L82" s="58">
        <f t="shared" ref="L82" si="71">F82*K82</f>
        <v>0</v>
      </c>
      <c r="M82" s="273"/>
    </row>
    <row r="83" spans="1:16" s="59" customFormat="1" ht="18" hidden="1" customHeight="1">
      <c r="A83" s="60" t="s">
        <v>44</v>
      </c>
      <c r="B83" s="53" t="s">
        <v>614</v>
      </c>
      <c r="C83" s="62" t="s">
        <v>572</v>
      </c>
      <c r="D83" s="55" t="s">
        <v>620</v>
      </c>
      <c r="E83" s="55" t="s">
        <v>39</v>
      </c>
      <c r="F83" s="61">
        <v>0</v>
      </c>
      <c r="G83" s="57">
        <v>7500</v>
      </c>
      <c r="H83" s="57">
        <f t="shared" ref="H83" si="72">F83*G83</f>
        <v>0</v>
      </c>
      <c r="I83" s="57">
        <v>6600</v>
      </c>
      <c r="J83" s="57">
        <f>F83*I83</f>
        <v>0</v>
      </c>
      <c r="K83" s="57">
        <f t="shared" ref="K83" si="73">G83+I83</f>
        <v>14100</v>
      </c>
      <c r="L83" s="58">
        <f t="shared" ref="L83" si="74">F83*K83</f>
        <v>0</v>
      </c>
      <c r="M83" s="273"/>
    </row>
    <row r="84" spans="1:16" s="59" customFormat="1" ht="18" hidden="1" customHeight="1">
      <c r="A84" s="60" t="s">
        <v>160</v>
      </c>
      <c r="B84" s="53" t="s">
        <v>231</v>
      </c>
      <c r="C84" s="62" t="s">
        <v>572</v>
      </c>
      <c r="D84" s="55" t="s">
        <v>234</v>
      </c>
      <c r="E84" s="55" t="s">
        <v>11</v>
      </c>
      <c r="F84" s="288">
        <v>0</v>
      </c>
      <c r="G84" s="57">
        <v>21000</v>
      </c>
      <c r="H84" s="57">
        <f t="shared" si="50"/>
        <v>0</v>
      </c>
      <c r="I84" s="57">
        <v>16500</v>
      </c>
      <c r="J84" s="57">
        <f t="shared" ref="J84" si="75">F84*I84</f>
        <v>0</v>
      </c>
      <c r="K84" s="57">
        <f t="shared" si="52"/>
        <v>37500</v>
      </c>
      <c r="L84" s="58">
        <f t="shared" si="53"/>
        <v>0</v>
      </c>
      <c r="M84" s="273"/>
      <c r="N84" s="289"/>
    </row>
    <row r="85" spans="1:16" s="59" customFormat="1" ht="18" hidden="1" customHeight="1">
      <c r="A85" s="60" t="s">
        <v>281</v>
      </c>
      <c r="B85" s="53" t="s">
        <v>282</v>
      </c>
      <c r="C85" s="62" t="s">
        <v>299</v>
      </c>
      <c r="D85" s="55" t="s">
        <v>277</v>
      </c>
      <c r="E85" s="55" t="s">
        <v>283</v>
      </c>
      <c r="F85" s="288"/>
      <c r="G85" s="57">
        <f>18000*15</f>
        <v>270000</v>
      </c>
      <c r="H85" s="57">
        <f t="shared" si="50"/>
        <v>0</v>
      </c>
      <c r="I85" s="57">
        <v>150000</v>
      </c>
      <c r="J85" s="57">
        <f t="shared" ref="J85" si="76">F85*I85</f>
        <v>0</v>
      </c>
      <c r="K85" s="57">
        <f t="shared" ref="K85" si="77">G85+I85</f>
        <v>420000</v>
      </c>
      <c r="L85" s="58">
        <f t="shared" ref="L85" si="78">F85*K85</f>
        <v>0</v>
      </c>
      <c r="M85" s="273"/>
      <c r="N85" s="289"/>
    </row>
    <row r="86" spans="1:16" s="59" customFormat="1" ht="18" customHeight="1">
      <c r="A86" s="60" t="s">
        <v>257</v>
      </c>
      <c r="B86" s="53" t="s">
        <v>258</v>
      </c>
      <c r="C86" s="62"/>
      <c r="D86" s="55" t="s">
        <v>263</v>
      </c>
      <c r="E86" s="55" t="s">
        <v>259</v>
      </c>
      <c r="F86" s="288">
        <v>1</v>
      </c>
      <c r="G86" s="57">
        <v>100000</v>
      </c>
      <c r="H86" s="57">
        <f t="shared" si="50"/>
        <v>100000</v>
      </c>
      <c r="I86" s="57">
        <v>0</v>
      </c>
      <c r="J86" s="57">
        <v>0</v>
      </c>
      <c r="K86" s="57">
        <f t="shared" ref="K86" si="79">G86+I86</f>
        <v>100000</v>
      </c>
      <c r="L86" s="58">
        <f t="shared" ref="L86" si="80">F86*K86</f>
        <v>100000</v>
      </c>
      <c r="M86" s="273"/>
      <c r="N86" s="289"/>
    </row>
    <row r="87" spans="1:16" s="344" customFormat="1" ht="18" hidden="1" customHeight="1">
      <c r="A87" s="260" t="s">
        <v>160</v>
      </c>
      <c r="B87" s="337" t="s">
        <v>96</v>
      </c>
      <c r="C87" s="62"/>
      <c r="D87" s="339"/>
      <c r="E87" s="339" t="s">
        <v>39</v>
      </c>
      <c r="F87" s="348">
        <v>0</v>
      </c>
      <c r="G87" s="341">
        <v>3300</v>
      </c>
      <c r="H87" s="341">
        <f>F87*G87</f>
        <v>0</v>
      </c>
      <c r="I87" s="341"/>
      <c r="J87" s="341"/>
      <c r="K87" s="341">
        <f>G87+I87</f>
        <v>3300</v>
      </c>
      <c r="L87" s="342">
        <f>F87*K87</f>
        <v>0</v>
      </c>
      <c r="M87" s="273" t="s">
        <v>373</v>
      </c>
    </row>
    <row r="88" spans="1:16" s="241" customFormat="1" ht="18" customHeight="1">
      <c r="A88" s="236"/>
      <c r="B88" s="236" t="s">
        <v>13</v>
      </c>
      <c r="C88" s="237"/>
      <c r="D88" s="238"/>
      <c r="E88" s="238"/>
      <c r="F88" s="239"/>
      <c r="G88" s="240"/>
      <c r="H88" s="240">
        <f>SUM(H74:H87)</f>
        <v>1880270</v>
      </c>
      <c r="I88" s="240"/>
      <c r="J88" s="240">
        <f>SUM(J74:J87)</f>
        <v>3431060</v>
      </c>
      <c r="K88" s="240"/>
      <c r="L88" s="240">
        <f>SUM(L74:L87)</f>
        <v>5311330</v>
      </c>
      <c r="M88" s="176"/>
    </row>
    <row r="89" spans="1:16" ht="18" customHeight="1">
      <c r="A89" s="10"/>
      <c r="B89" s="11"/>
      <c r="C89" s="12"/>
      <c r="D89" s="5"/>
      <c r="E89" s="5"/>
      <c r="F89" s="50"/>
      <c r="G89" s="28"/>
      <c r="H89" s="28"/>
      <c r="I89" s="28"/>
      <c r="J89" s="28"/>
      <c r="K89" s="28"/>
      <c r="L89" s="29"/>
      <c r="M89" s="177"/>
    </row>
    <row r="90" spans="1:16" s="20" customFormat="1" ht="18" customHeight="1">
      <c r="A90" s="44" t="s">
        <v>30</v>
      </c>
      <c r="B90" s="45" t="s">
        <v>99</v>
      </c>
      <c r="C90" s="46"/>
      <c r="D90" s="16"/>
      <c r="E90" s="16"/>
      <c r="F90" s="51"/>
      <c r="G90" s="48"/>
      <c r="H90" s="48"/>
      <c r="I90" s="48"/>
      <c r="J90" s="48"/>
      <c r="K90" s="48"/>
      <c r="L90" s="49"/>
      <c r="M90" s="177"/>
    </row>
    <row r="91" spans="1:16" s="59" customFormat="1" ht="18" customHeight="1">
      <c r="A91" s="52">
        <v>-1</v>
      </c>
      <c r="B91" s="53" t="s">
        <v>516</v>
      </c>
      <c r="C91" s="54"/>
      <c r="D91" s="55"/>
      <c r="E91" s="55"/>
      <c r="F91" s="56"/>
      <c r="G91" s="57"/>
      <c r="H91" s="57"/>
      <c r="I91" s="57"/>
      <c r="J91" s="57"/>
      <c r="K91" s="57"/>
      <c r="L91" s="58"/>
      <c r="M91" s="177"/>
    </row>
    <row r="92" spans="1:16" s="274" customFormat="1" ht="18" customHeight="1">
      <c r="A92" s="258" t="s">
        <v>160</v>
      </c>
      <c r="B92" s="267" t="s">
        <v>629</v>
      </c>
      <c r="C92" s="432" t="s">
        <v>628</v>
      </c>
      <c r="D92" s="269" t="s">
        <v>300</v>
      </c>
      <c r="E92" s="433" t="s">
        <v>38</v>
      </c>
      <c r="F92" s="270">
        <v>3</v>
      </c>
      <c r="G92" s="271">
        <v>2100000</v>
      </c>
      <c r="H92" s="271">
        <f>F92*G92</f>
        <v>6300000</v>
      </c>
      <c r="I92" s="271">
        <v>500000</v>
      </c>
      <c r="J92" s="271">
        <f>F92*I92</f>
        <v>1500000</v>
      </c>
      <c r="K92" s="271">
        <f>G92+I92</f>
        <v>2600000</v>
      </c>
      <c r="L92" s="272">
        <f>F92*K92</f>
        <v>7800000</v>
      </c>
      <c r="M92" s="264" t="s">
        <v>320</v>
      </c>
    </row>
    <row r="93" spans="1:16" s="274" customFormat="1" ht="18" customHeight="1">
      <c r="A93" s="258" t="s">
        <v>44</v>
      </c>
      <c r="B93" s="267" t="s">
        <v>629</v>
      </c>
      <c r="C93" s="432" t="s">
        <v>627</v>
      </c>
      <c r="D93" s="269" t="s">
        <v>256</v>
      </c>
      <c r="E93" s="433" t="s">
        <v>38</v>
      </c>
      <c r="F93" s="270">
        <v>2</v>
      </c>
      <c r="G93" s="271">
        <v>350000</v>
      </c>
      <c r="H93" s="271">
        <f>F93*G93</f>
        <v>700000</v>
      </c>
      <c r="I93" s="271">
        <v>500000</v>
      </c>
      <c r="J93" s="271">
        <f>F93*I93</f>
        <v>1000000</v>
      </c>
      <c r="K93" s="271">
        <f>G93+I93</f>
        <v>850000</v>
      </c>
      <c r="L93" s="272">
        <f>F93*K93</f>
        <v>1700000</v>
      </c>
      <c r="M93" s="264" t="s">
        <v>320</v>
      </c>
    </row>
    <row r="94" spans="1:16" s="362" customFormat="1" ht="18" customHeight="1">
      <c r="A94" s="371" t="s">
        <v>44</v>
      </c>
      <c r="B94" s="355" t="s">
        <v>629</v>
      </c>
      <c r="C94" s="447" t="s">
        <v>638</v>
      </c>
      <c r="D94" s="357" t="s">
        <v>639</v>
      </c>
      <c r="E94" s="448" t="s">
        <v>41</v>
      </c>
      <c r="F94" s="358"/>
      <c r="G94" s="359"/>
      <c r="H94" s="359">
        <f>F94*G94</f>
        <v>0</v>
      </c>
      <c r="I94" s="359">
        <v>0</v>
      </c>
      <c r="J94" s="359">
        <f>F94*I94</f>
        <v>0</v>
      </c>
      <c r="K94" s="359">
        <f>G94+I94</f>
        <v>0</v>
      </c>
      <c r="L94" s="360">
        <f>F94*K94</f>
        <v>0</v>
      </c>
      <c r="M94" s="361" t="s">
        <v>320</v>
      </c>
    </row>
    <row r="95" spans="1:16" s="59" customFormat="1" ht="18" customHeight="1">
      <c r="A95" s="60"/>
      <c r="B95" s="53"/>
      <c r="C95" s="309"/>
      <c r="D95" s="55"/>
      <c r="E95" s="310"/>
      <c r="F95" s="61"/>
      <c r="G95" s="57"/>
      <c r="H95" s="57"/>
      <c r="I95" s="57"/>
      <c r="J95" s="57"/>
      <c r="K95" s="57"/>
      <c r="L95" s="58"/>
      <c r="M95" s="177"/>
    </row>
    <row r="96" spans="1:16" s="59" customFormat="1" ht="18" customHeight="1">
      <c r="A96" s="60" t="s">
        <v>44</v>
      </c>
      <c r="B96" s="53" t="s">
        <v>395</v>
      </c>
      <c r="C96" s="62"/>
      <c r="D96" s="55" t="s">
        <v>243</v>
      </c>
      <c r="E96" s="55" t="s">
        <v>101</v>
      </c>
      <c r="F96" s="61">
        <v>2</v>
      </c>
      <c r="G96" s="57">
        <v>130000</v>
      </c>
      <c r="H96" s="57">
        <f t="shared" ref="H96:H101" si="81">F96*G96</f>
        <v>260000</v>
      </c>
      <c r="I96" s="57">
        <v>50000</v>
      </c>
      <c r="J96" s="57">
        <f>F96*I96</f>
        <v>100000</v>
      </c>
      <c r="K96" s="57">
        <f t="shared" ref="K96:K101" si="82">G96+I96</f>
        <v>180000</v>
      </c>
      <c r="L96" s="58">
        <f>F96*K96</f>
        <v>360000</v>
      </c>
      <c r="M96" s="177"/>
      <c r="O96" s="278"/>
      <c r="P96" s="278"/>
    </row>
    <row r="97" spans="1:16" s="275" customFormat="1" ht="18" customHeight="1">
      <c r="A97" s="363" t="s">
        <v>44</v>
      </c>
      <c r="B97" s="364" t="s">
        <v>395</v>
      </c>
      <c r="C97" s="365" t="s">
        <v>630</v>
      </c>
      <c r="D97" s="366" t="s">
        <v>243</v>
      </c>
      <c r="E97" s="366" t="s">
        <v>101</v>
      </c>
      <c r="F97" s="367">
        <v>6</v>
      </c>
      <c r="G97" s="368">
        <v>0</v>
      </c>
      <c r="H97" s="368">
        <f t="shared" si="81"/>
        <v>0</v>
      </c>
      <c r="I97" s="368">
        <v>50000</v>
      </c>
      <c r="J97" s="368">
        <f>F97*I97</f>
        <v>300000</v>
      </c>
      <c r="K97" s="368">
        <f t="shared" si="82"/>
        <v>50000</v>
      </c>
      <c r="L97" s="369">
        <f>F97*K97</f>
        <v>300000</v>
      </c>
      <c r="M97" s="370"/>
      <c r="O97" s="278"/>
      <c r="P97" s="278"/>
    </row>
    <row r="98" spans="1:16" s="59" customFormat="1" ht="18" customHeight="1">
      <c r="A98" s="60" t="s">
        <v>44</v>
      </c>
      <c r="B98" s="53" t="s">
        <v>395</v>
      </c>
      <c r="C98" s="62"/>
      <c r="D98" s="55" t="s">
        <v>243</v>
      </c>
      <c r="E98" s="55" t="s">
        <v>101</v>
      </c>
      <c r="F98" s="61">
        <v>2</v>
      </c>
      <c r="G98" s="57">
        <v>130000</v>
      </c>
      <c r="H98" s="57">
        <f t="shared" si="81"/>
        <v>260000</v>
      </c>
      <c r="I98" s="57">
        <v>50000</v>
      </c>
      <c r="J98" s="57">
        <f>F98*I98</f>
        <v>100000</v>
      </c>
      <c r="K98" s="57">
        <f t="shared" si="82"/>
        <v>180000</v>
      </c>
      <c r="L98" s="58">
        <f>F98*K98</f>
        <v>360000</v>
      </c>
      <c r="M98" s="177"/>
      <c r="O98" s="278"/>
      <c r="P98" s="278"/>
    </row>
    <row r="99" spans="1:16" s="59" customFormat="1" ht="18" customHeight="1">
      <c r="A99" s="60" t="s">
        <v>12</v>
      </c>
      <c r="B99" s="53" t="s">
        <v>394</v>
      </c>
      <c r="C99" s="62" t="s">
        <v>631</v>
      </c>
      <c r="D99" s="55" t="s">
        <v>243</v>
      </c>
      <c r="E99" s="55" t="s">
        <v>38</v>
      </c>
      <c r="F99" s="61">
        <v>2</v>
      </c>
      <c r="G99" s="57">
        <v>120000</v>
      </c>
      <c r="H99" s="57">
        <f t="shared" si="81"/>
        <v>240000</v>
      </c>
      <c r="I99" s="57">
        <v>20000</v>
      </c>
      <c r="J99" s="57">
        <f t="shared" ref="J99:J100" si="83">F99*I99</f>
        <v>40000</v>
      </c>
      <c r="K99" s="57">
        <f t="shared" si="82"/>
        <v>140000</v>
      </c>
      <c r="L99" s="58">
        <f t="shared" ref="L99:L100" si="84">F99*K99</f>
        <v>280000</v>
      </c>
      <c r="M99" s="177"/>
    </row>
    <row r="100" spans="1:16" s="59" customFormat="1" ht="18" customHeight="1">
      <c r="A100" s="60" t="s">
        <v>12</v>
      </c>
      <c r="B100" s="53" t="s">
        <v>573</v>
      </c>
      <c r="C100" s="62" t="s">
        <v>199</v>
      </c>
      <c r="D100" s="55" t="s">
        <v>243</v>
      </c>
      <c r="E100" s="55" t="s">
        <v>39</v>
      </c>
      <c r="F100" s="61">
        <v>1.2</v>
      </c>
      <c r="G100" s="57">
        <v>160000</v>
      </c>
      <c r="H100" s="57">
        <f t="shared" si="81"/>
        <v>192000</v>
      </c>
      <c r="I100" s="57">
        <v>50000</v>
      </c>
      <c r="J100" s="57">
        <f t="shared" si="83"/>
        <v>60000</v>
      </c>
      <c r="K100" s="57">
        <f t="shared" si="82"/>
        <v>210000</v>
      </c>
      <c r="L100" s="58">
        <f t="shared" si="84"/>
        <v>252000</v>
      </c>
      <c r="M100" s="177"/>
    </row>
    <row r="101" spans="1:16" s="59" customFormat="1" ht="18" customHeight="1">
      <c r="A101" s="60" t="s">
        <v>44</v>
      </c>
      <c r="B101" s="53" t="s">
        <v>395</v>
      </c>
      <c r="C101" s="62"/>
      <c r="D101" s="55" t="s">
        <v>243</v>
      </c>
      <c r="E101" s="55" t="s">
        <v>101</v>
      </c>
      <c r="F101" s="61">
        <v>2</v>
      </c>
      <c r="G101" s="57">
        <v>130000</v>
      </c>
      <c r="H101" s="57">
        <f t="shared" si="81"/>
        <v>260000</v>
      </c>
      <c r="I101" s="57">
        <v>50000</v>
      </c>
      <c r="J101" s="57">
        <f>F101*I101</f>
        <v>100000</v>
      </c>
      <c r="K101" s="57">
        <f t="shared" si="82"/>
        <v>180000</v>
      </c>
      <c r="L101" s="58">
        <f>F101*K101</f>
        <v>360000</v>
      </c>
      <c r="M101" s="177"/>
      <c r="O101" s="278"/>
      <c r="P101" s="278"/>
    </row>
    <row r="102" spans="1:16" s="59" customFormat="1" ht="18" customHeight="1">
      <c r="A102" s="60" t="s">
        <v>12</v>
      </c>
      <c r="B102" s="53" t="s">
        <v>632</v>
      </c>
      <c r="C102" s="62" t="s">
        <v>631</v>
      </c>
      <c r="D102" s="55" t="s">
        <v>243</v>
      </c>
      <c r="E102" s="55" t="s">
        <v>38</v>
      </c>
      <c r="F102" s="61">
        <v>2</v>
      </c>
      <c r="G102" s="57">
        <v>120000</v>
      </c>
      <c r="H102" s="57">
        <f t="shared" ref="H102" si="85">F102*G102</f>
        <v>240000</v>
      </c>
      <c r="I102" s="57">
        <v>20000</v>
      </c>
      <c r="J102" s="57">
        <f t="shared" ref="J102" si="86">F102*I102</f>
        <v>40000</v>
      </c>
      <c r="K102" s="57">
        <f t="shared" ref="K102" si="87">G102+I102</f>
        <v>140000</v>
      </c>
      <c r="L102" s="58">
        <f t="shared" ref="L102" si="88">F102*K102</f>
        <v>280000</v>
      </c>
      <c r="M102" s="177"/>
    </row>
    <row r="103" spans="1:16" s="59" customFormat="1" ht="18" customHeight="1">
      <c r="A103" s="60" t="s">
        <v>44</v>
      </c>
      <c r="B103" s="53" t="s">
        <v>500</v>
      </c>
      <c r="C103" s="62" t="s">
        <v>633</v>
      </c>
      <c r="D103" s="55" t="s">
        <v>243</v>
      </c>
      <c r="E103" s="55" t="s">
        <v>38</v>
      </c>
      <c r="F103" s="61">
        <v>2</v>
      </c>
      <c r="G103" s="57">
        <v>140000</v>
      </c>
      <c r="H103" s="57">
        <f t="shared" ref="H103:H109" si="89">F103*G103</f>
        <v>280000</v>
      </c>
      <c r="I103" s="57">
        <v>20000</v>
      </c>
      <c r="J103" s="57">
        <f>F103*I103</f>
        <v>40000</v>
      </c>
      <c r="K103" s="57">
        <f t="shared" ref="K103:K109" si="90">G103+I103</f>
        <v>160000</v>
      </c>
      <c r="L103" s="58">
        <f>F103*K103</f>
        <v>320000</v>
      </c>
      <c r="M103" s="177"/>
    </row>
    <row r="104" spans="1:16" s="59" customFormat="1" ht="18" customHeight="1">
      <c r="A104" s="60" t="s">
        <v>44</v>
      </c>
      <c r="B104" s="53" t="s">
        <v>395</v>
      </c>
      <c r="C104" s="62"/>
      <c r="D104" s="55" t="s">
        <v>243</v>
      </c>
      <c r="E104" s="55" t="s">
        <v>101</v>
      </c>
      <c r="F104" s="61">
        <v>3</v>
      </c>
      <c r="G104" s="57">
        <v>130000</v>
      </c>
      <c r="H104" s="57">
        <f t="shared" si="89"/>
        <v>390000</v>
      </c>
      <c r="I104" s="57">
        <v>50000</v>
      </c>
      <c r="J104" s="57">
        <f>F104*I104</f>
        <v>150000</v>
      </c>
      <c r="K104" s="57">
        <f t="shared" si="90"/>
        <v>180000</v>
      </c>
      <c r="L104" s="58">
        <f>F104*K104</f>
        <v>540000</v>
      </c>
      <c r="M104" s="177"/>
      <c r="O104" s="278"/>
      <c r="P104" s="278"/>
    </row>
    <row r="105" spans="1:16" s="59" customFormat="1" ht="18" hidden="1" customHeight="1">
      <c r="A105" s="60" t="s">
        <v>12</v>
      </c>
      <c r="B105" s="53" t="s">
        <v>399</v>
      </c>
      <c r="C105" s="62" t="s">
        <v>404</v>
      </c>
      <c r="D105" s="55" t="s">
        <v>243</v>
      </c>
      <c r="E105" s="55" t="s">
        <v>38</v>
      </c>
      <c r="F105" s="61"/>
      <c r="G105" s="57">
        <v>120000</v>
      </c>
      <c r="H105" s="57">
        <f t="shared" si="89"/>
        <v>0</v>
      </c>
      <c r="I105" s="57">
        <v>20000</v>
      </c>
      <c r="J105" s="57">
        <f t="shared" ref="J105:J106" si="91">F105*I105</f>
        <v>0</v>
      </c>
      <c r="K105" s="57">
        <f t="shared" si="90"/>
        <v>140000</v>
      </c>
      <c r="L105" s="58">
        <f t="shared" ref="L105:L106" si="92">F105*K105</f>
        <v>0</v>
      </c>
      <c r="M105" s="177"/>
    </row>
    <row r="106" spans="1:16" s="59" customFormat="1" ht="18" hidden="1" customHeight="1">
      <c r="A106" s="60" t="s">
        <v>12</v>
      </c>
      <c r="B106" s="53" t="s">
        <v>394</v>
      </c>
      <c r="C106" s="62" t="s">
        <v>574</v>
      </c>
      <c r="D106" s="55" t="s">
        <v>243</v>
      </c>
      <c r="E106" s="55" t="s">
        <v>38</v>
      </c>
      <c r="F106" s="61"/>
      <c r="G106" s="57">
        <v>120000</v>
      </c>
      <c r="H106" s="57">
        <f t="shared" si="89"/>
        <v>0</v>
      </c>
      <c r="I106" s="57">
        <v>20000</v>
      </c>
      <c r="J106" s="57">
        <f t="shared" si="91"/>
        <v>0</v>
      </c>
      <c r="K106" s="57">
        <f t="shared" si="90"/>
        <v>140000</v>
      </c>
      <c r="L106" s="58">
        <f t="shared" si="92"/>
        <v>0</v>
      </c>
      <c r="M106" s="177"/>
    </row>
    <row r="107" spans="1:16" s="59" customFormat="1" ht="18" hidden="1" customHeight="1">
      <c r="A107" s="60" t="s">
        <v>12</v>
      </c>
      <c r="B107" s="53" t="s">
        <v>573</v>
      </c>
      <c r="C107" s="62" t="s">
        <v>199</v>
      </c>
      <c r="D107" s="55" t="s">
        <v>301</v>
      </c>
      <c r="E107" s="55" t="s">
        <v>233</v>
      </c>
      <c r="F107" s="61"/>
      <c r="G107" s="57">
        <v>160000</v>
      </c>
      <c r="H107" s="57">
        <f t="shared" si="89"/>
        <v>0</v>
      </c>
      <c r="I107" s="57">
        <v>50000</v>
      </c>
      <c r="J107" s="57">
        <f t="shared" ref="J107" si="93">F107*I107</f>
        <v>0</v>
      </c>
      <c r="K107" s="57">
        <f t="shared" si="90"/>
        <v>210000</v>
      </c>
      <c r="L107" s="58">
        <f t="shared" ref="L107" si="94">F107*K107</f>
        <v>0</v>
      </c>
      <c r="M107" s="177"/>
    </row>
    <row r="108" spans="1:16" s="59" customFormat="1" ht="18" hidden="1" customHeight="1">
      <c r="A108" s="60" t="s">
        <v>44</v>
      </c>
      <c r="B108" s="53" t="s">
        <v>395</v>
      </c>
      <c r="C108" s="62"/>
      <c r="D108" s="55" t="s">
        <v>267</v>
      </c>
      <c r="E108" s="55" t="s">
        <v>101</v>
      </c>
      <c r="F108" s="61"/>
      <c r="G108" s="57">
        <v>130000</v>
      </c>
      <c r="H108" s="57">
        <f t="shared" si="89"/>
        <v>0</v>
      </c>
      <c r="I108" s="57">
        <v>50000</v>
      </c>
      <c r="J108" s="57">
        <f>F108*I108</f>
        <v>0</v>
      </c>
      <c r="K108" s="57">
        <f t="shared" si="90"/>
        <v>180000</v>
      </c>
      <c r="L108" s="58">
        <f>F108*K108</f>
        <v>0</v>
      </c>
      <c r="M108" s="177"/>
      <c r="O108" s="278"/>
      <c r="P108" s="278"/>
    </row>
    <row r="109" spans="1:16" s="59" customFormat="1" ht="18" hidden="1" customHeight="1">
      <c r="A109" s="60" t="s">
        <v>12</v>
      </c>
      <c r="B109" s="53" t="s">
        <v>575</v>
      </c>
      <c r="C109" s="62" t="s">
        <v>404</v>
      </c>
      <c r="D109" s="55" t="s">
        <v>243</v>
      </c>
      <c r="E109" s="55" t="s">
        <v>38</v>
      </c>
      <c r="F109" s="61"/>
      <c r="G109" s="57">
        <v>120000</v>
      </c>
      <c r="H109" s="57">
        <f t="shared" si="89"/>
        <v>0</v>
      </c>
      <c r="I109" s="57">
        <v>20000</v>
      </c>
      <c r="J109" s="57">
        <f t="shared" ref="J109:J110" si="95">F109*I109</f>
        <v>0</v>
      </c>
      <c r="K109" s="57">
        <f t="shared" si="90"/>
        <v>140000</v>
      </c>
      <c r="L109" s="58">
        <f t="shared" ref="L109:L110" si="96">F109*K109</f>
        <v>0</v>
      </c>
      <c r="M109" s="177"/>
    </row>
    <row r="110" spans="1:16" s="59" customFormat="1" ht="18" hidden="1" customHeight="1">
      <c r="A110" s="60" t="s">
        <v>44</v>
      </c>
      <c r="B110" s="53" t="s">
        <v>576</v>
      </c>
      <c r="C110" s="62"/>
      <c r="D110" s="55" t="s">
        <v>243</v>
      </c>
      <c r="E110" s="55" t="s">
        <v>101</v>
      </c>
      <c r="F110" s="61"/>
      <c r="G110" s="57">
        <v>160000</v>
      </c>
      <c r="H110" s="57">
        <f t="shared" ref="H110" si="97">F110*G110</f>
        <v>0</v>
      </c>
      <c r="I110" s="57">
        <v>50000</v>
      </c>
      <c r="J110" s="57">
        <f t="shared" si="95"/>
        <v>0</v>
      </c>
      <c r="K110" s="57">
        <f t="shared" ref="K110" si="98">G110+I110</f>
        <v>210000</v>
      </c>
      <c r="L110" s="58">
        <f t="shared" si="96"/>
        <v>0</v>
      </c>
      <c r="M110" s="176"/>
    </row>
    <row r="111" spans="1:16" s="59" customFormat="1" ht="18" hidden="1" customHeight="1">
      <c r="A111" s="60" t="s">
        <v>44</v>
      </c>
      <c r="B111" s="53" t="s">
        <v>395</v>
      </c>
      <c r="C111" s="62"/>
      <c r="D111" s="55" t="s">
        <v>243</v>
      </c>
      <c r="E111" s="55" t="s">
        <v>101</v>
      </c>
      <c r="F111" s="61"/>
      <c r="G111" s="57">
        <v>130000</v>
      </c>
      <c r="H111" s="57">
        <f>F111*G111</f>
        <v>0</v>
      </c>
      <c r="I111" s="57">
        <v>50000</v>
      </c>
      <c r="J111" s="57">
        <f>F111*I111</f>
        <v>0</v>
      </c>
      <c r="K111" s="57">
        <f>G111+I111</f>
        <v>180000</v>
      </c>
      <c r="L111" s="58">
        <f>F111*K111</f>
        <v>0</v>
      </c>
      <c r="M111" s="177"/>
      <c r="O111" s="278"/>
      <c r="P111" s="278"/>
    </row>
    <row r="112" spans="1:16" s="59" customFormat="1" ht="18" hidden="1" customHeight="1">
      <c r="A112" s="60" t="s">
        <v>12</v>
      </c>
      <c r="B112" s="53" t="s">
        <v>575</v>
      </c>
      <c r="C112" s="62" t="s">
        <v>404</v>
      </c>
      <c r="D112" s="55" t="s">
        <v>243</v>
      </c>
      <c r="E112" s="55" t="s">
        <v>38</v>
      </c>
      <c r="F112" s="61"/>
      <c r="G112" s="57">
        <v>120000</v>
      </c>
      <c r="H112" s="57">
        <f>F112*G112</f>
        <v>0</v>
      </c>
      <c r="I112" s="57">
        <v>20000</v>
      </c>
      <c r="J112" s="57">
        <f t="shared" ref="J112" si="99">F112*I112</f>
        <v>0</v>
      </c>
      <c r="K112" s="57">
        <f>G112+I112</f>
        <v>140000</v>
      </c>
      <c r="L112" s="58">
        <f t="shared" ref="L112" si="100">F112*K112</f>
        <v>0</v>
      </c>
      <c r="M112" s="177"/>
    </row>
    <row r="113" spans="1:13" s="59" customFormat="1" ht="18" hidden="1" customHeight="1">
      <c r="A113" s="60" t="s">
        <v>44</v>
      </c>
      <c r="B113" s="53" t="s">
        <v>577</v>
      </c>
      <c r="C113" s="62"/>
      <c r="D113" s="55" t="s">
        <v>301</v>
      </c>
      <c r="E113" s="55" t="s">
        <v>39</v>
      </c>
      <c r="F113" s="61"/>
      <c r="G113" s="57">
        <v>350000</v>
      </c>
      <c r="H113" s="57">
        <f t="shared" ref="H113" si="101">F113*G113</f>
        <v>0</v>
      </c>
      <c r="I113" s="57">
        <v>50000</v>
      </c>
      <c r="J113" s="57">
        <f t="shared" ref="J113" si="102">F113*I113</f>
        <v>0</v>
      </c>
      <c r="K113" s="57">
        <f t="shared" ref="K113" si="103">G113+I113</f>
        <v>400000</v>
      </c>
      <c r="L113" s="58">
        <f t="shared" ref="L113" si="104">F113*K113</f>
        <v>0</v>
      </c>
      <c r="M113" s="176"/>
    </row>
    <row r="114" spans="1:13" s="59" customFormat="1" ht="18" hidden="1" customHeight="1">
      <c r="A114" s="60" t="s">
        <v>44</v>
      </c>
      <c r="B114" s="53" t="s">
        <v>391</v>
      </c>
      <c r="C114" s="62"/>
      <c r="D114" s="55" t="s">
        <v>243</v>
      </c>
      <c r="E114" s="55" t="s">
        <v>392</v>
      </c>
      <c r="F114" s="61"/>
      <c r="G114" s="57">
        <v>10000</v>
      </c>
      <c r="H114" s="57">
        <f t="shared" ref="H114" si="105">F114*G114</f>
        <v>0</v>
      </c>
      <c r="I114" s="57">
        <v>0</v>
      </c>
      <c r="J114" s="57">
        <f t="shared" ref="J114" si="106">F114*I114</f>
        <v>0</v>
      </c>
      <c r="K114" s="57">
        <f t="shared" ref="K114" si="107">G114+I114</f>
        <v>10000</v>
      </c>
      <c r="L114" s="58">
        <f t="shared" ref="L114" si="108">F114*K114</f>
        <v>0</v>
      </c>
      <c r="M114" s="176"/>
    </row>
    <row r="115" spans="1:13" s="59" customFormat="1" ht="18" hidden="1" customHeight="1">
      <c r="A115" s="60" t="s">
        <v>44</v>
      </c>
      <c r="B115" s="53" t="s">
        <v>578</v>
      </c>
      <c r="C115" s="62"/>
      <c r="D115" s="55" t="s">
        <v>243</v>
      </c>
      <c r="E115" s="55" t="s">
        <v>392</v>
      </c>
      <c r="F115" s="61"/>
      <c r="G115" s="57">
        <v>160000</v>
      </c>
      <c r="H115" s="57">
        <f t="shared" ref="H115:H117" si="109">F115*G115</f>
        <v>0</v>
      </c>
      <c r="I115" s="57">
        <v>50000</v>
      </c>
      <c r="J115" s="57">
        <f t="shared" ref="J115:J117" si="110">F115*I115</f>
        <v>0</v>
      </c>
      <c r="K115" s="57">
        <f t="shared" ref="K115:K117" si="111">G115+I115</f>
        <v>210000</v>
      </c>
      <c r="L115" s="58">
        <f t="shared" ref="L115:L117" si="112">F115*K115</f>
        <v>0</v>
      </c>
      <c r="M115" s="176"/>
    </row>
    <row r="116" spans="1:13" s="59" customFormat="1" ht="18" hidden="1" customHeight="1">
      <c r="A116" s="60" t="s">
        <v>44</v>
      </c>
      <c r="B116" s="53" t="s">
        <v>579</v>
      </c>
      <c r="C116" s="62"/>
      <c r="D116" s="55" t="s">
        <v>243</v>
      </c>
      <c r="E116" s="55" t="s">
        <v>392</v>
      </c>
      <c r="F116" s="61"/>
      <c r="G116" s="57">
        <v>150000</v>
      </c>
      <c r="H116" s="57">
        <f t="shared" si="109"/>
        <v>0</v>
      </c>
      <c r="I116" s="57">
        <v>50000</v>
      </c>
      <c r="J116" s="57">
        <f t="shared" si="110"/>
        <v>0</v>
      </c>
      <c r="K116" s="57">
        <f t="shared" si="111"/>
        <v>200000</v>
      </c>
      <c r="L116" s="58">
        <f t="shared" si="112"/>
        <v>0</v>
      </c>
      <c r="M116" s="176"/>
    </row>
    <row r="117" spans="1:13" s="59" customFormat="1" ht="18" hidden="1" customHeight="1">
      <c r="A117" s="60" t="s">
        <v>44</v>
      </c>
      <c r="B117" s="53" t="s">
        <v>580</v>
      </c>
      <c r="C117" s="62"/>
      <c r="D117" s="55" t="s">
        <v>243</v>
      </c>
      <c r="E117" s="55" t="s">
        <v>392</v>
      </c>
      <c r="F117" s="61"/>
      <c r="G117" s="57">
        <v>20000</v>
      </c>
      <c r="H117" s="57">
        <f t="shared" si="109"/>
        <v>0</v>
      </c>
      <c r="I117" s="57">
        <v>0</v>
      </c>
      <c r="J117" s="57">
        <f t="shared" si="110"/>
        <v>0</v>
      </c>
      <c r="K117" s="57">
        <f t="shared" si="111"/>
        <v>20000</v>
      </c>
      <c r="L117" s="58">
        <f t="shared" si="112"/>
        <v>0</v>
      </c>
      <c r="M117" s="176"/>
    </row>
    <row r="118" spans="1:13" s="59" customFormat="1" ht="18" customHeight="1">
      <c r="A118" s="60" t="s">
        <v>410</v>
      </c>
      <c r="B118" s="53" t="s">
        <v>411</v>
      </c>
      <c r="C118" s="309" t="s">
        <v>412</v>
      </c>
      <c r="D118" s="382" t="s">
        <v>413</v>
      </c>
      <c r="E118" s="55" t="s">
        <v>414</v>
      </c>
      <c r="F118" s="61">
        <v>1</v>
      </c>
      <c r="G118" s="57">
        <v>200000</v>
      </c>
      <c r="H118" s="57">
        <f>F118*G118</f>
        <v>200000</v>
      </c>
      <c r="I118" s="57">
        <v>550000</v>
      </c>
      <c r="J118" s="57">
        <f>F118*I118</f>
        <v>550000</v>
      </c>
      <c r="K118" s="57">
        <f>G118+I118</f>
        <v>750000</v>
      </c>
      <c r="L118" s="58">
        <f>F118*K118</f>
        <v>750000</v>
      </c>
      <c r="M118" s="176"/>
    </row>
    <row r="119" spans="1:13" s="59" customFormat="1" ht="18" customHeight="1">
      <c r="A119" s="60" t="s">
        <v>44</v>
      </c>
      <c r="B119" s="53" t="s">
        <v>402</v>
      </c>
      <c r="C119" s="62"/>
      <c r="D119" s="55" t="s">
        <v>243</v>
      </c>
      <c r="E119" s="55" t="s">
        <v>39</v>
      </c>
      <c r="F119" s="61">
        <v>6.4</v>
      </c>
      <c r="G119" s="57">
        <v>160000</v>
      </c>
      <c r="H119" s="57">
        <f t="shared" ref="H119" si="113">F119*G119</f>
        <v>1024000</v>
      </c>
      <c r="I119" s="57">
        <v>50000</v>
      </c>
      <c r="J119" s="57">
        <f t="shared" ref="J119" si="114">F119*I119</f>
        <v>320000</v>
      </c>
      <c r="K119" s="57">
        <f t="shared" ref="K119" si="115">G119+I119</f>
        <v>210000</v>
      </c>
      <c r="L119" s="58">
        <f t="shared" ref="L119" si="116">F119*K119</f>
        <v>1344000</v>
      </c>
      <c r="M119" s="177"/>
    </row>
    <row r="120" spans="1:13" s="423" customFormat="1" ht="18" customHeight="1">
      <c r="A120" s="258" t="s">
        <v>44</v>
      </c>
      <c r="B120" s="417" t="s">
        <v>641</v>
      </c>
      <c r="C120" s="418" t="s">
        <v>320</v>
      </c>
      <c r="D120" s="419" t="s">
        <v>243</v>
      </c>
      <c r="E120" s="419" t="s">
        <v>75</v>
      </c>
      <c r="F120" s="420">
        <v>1</v>
      </c>
      <c r="G120" s="421"/>
      <c r="H120" s="421"/>
      <c r="I120" s="421"/>
      <c r="J120" s="421"/>
      <c r="K120" s="421"/>
      <c r="L120" s="422"/>
      <c r="M120" s="403"/>
    </row>
    <row r="121" spans="1:13" s="423" customFormat="1" ht="18" customHeight="1">
      <c r="A121" s="258" t="s">
        <v>44</v>
      </c>
      <c r="B121" s="417" t="s">
        <v>355</v>
      </c>
      <c r="C121" s="418" t="s">
        <v>320</v>
      </c>
      <c r="D121" s="419" t="s">
        <v>243</v>
      </c>
      <c r="E121" s="419" t="s">
        <v>75</v>
      </c>
      <c r="F121" s="420">
        <v>1</v>
      </c>
      <c r="G121" s="421"/>
      <c r="H121" s="421"/>
      <c r="I121" s="421"/>
      <c r="J121" s="421"/>
      <c r="K121" s="421"/>
      <c r="L121" s="422"/>
      <c r="M121" s="403"/>
    </row>
    <row r="122" spans="1:13" s="59" customFormat="1" ht="18" customHeight="1">
      <c r="A122" s="60" t="s">
        <v>160</v>
      </c>
      <c r="B122" s="53" t="s">
        <v>640</v>
      </c>
      <c r="C122" s="62"/>
      <c r="D122" s="55" t="s">
        <v>637</v>
      </c>
      <c r="E122" s="55" t="s">
        <v>39</v>
      </c>
      <c r="F122" s="61">
        <v>1.7</v>
      </c>
      <c r="G122" s="57">
        <v>160000</v>
      </c>
      <c r="H122" s="57">
        <f>F122*G122</f>
        <v>272000</v>
      </c>
      <c r="I122" s="57">
        <v>50000</v>
      </c>
      <c r="J122" s="57">
        <f>F122*I122</f>
        <v>85000</v>
      </c>
      <c r="K122" s="57">
        <f>G122+I122</f>
        <v>210000</v>
      </c>
      <c r="L122" s="58">
        <f>F122*K122</f>
        <v>357000</v>
      </c>
      <c r="M122" s="177"/>
    </row>
    <row r="123" spans="1:13" s="59" customFormat="1" ht="18" customHeight="1">
      <c r="A123" s="60" t="s">
        <v>44</v>
      </c>
      <c r="B123" s="53" t="s">
        <v>640</v>
      </c>
      <c r="C123" s="62"/>
      <c r="D123" s="55" t="s">
        <v>637</v>
      </c>
      <c r="E123" s="55" t="s">
        <v>39</v>
      </c>
      <c r="F123" s="61">
        <v>1.2</v>
      </c>
      <c r="G123" s="57">
        <v>160000</v>
      </c>
      <c r="H123" s="57">
        <f>F123*G123</f>
        <v>192000</v>
      </c>
      <c r="I123" s="57">
        <v>50000</v>
      </c>
      <c r="J123" s="57">
        <f>F123*I123</f>
        <v>60000</v>
      </c>
      <c r="K123" s="57">
        <f>G123+I123</f>
        <v>210000</v>
      </c>
      <c r="L123" s="58">
        <f>F123*K123</f>
        <v>252000</v>
      </c>
      <c r="M123" s="177"/>
    </row>
    <row r="124" spans="1:13" s="59" customFormat="1" ht="18" customHeight="1">
      <c r="A124" s="60" t="s">
        <v>160</v>
      </c>
      <c r="B124" s="53" t="s">
        <v>172</v>
      </c>
      <c r="C124" s="62"/>
      <c r="D124" s="55" t="s">
        <v>637</v>
      </c>
      <c r="E124" s="55" t="s">
        <v>39</v>
      </c>
      <c r="F124" s="61">
        <v>5.6</v>
      </c>
      <c r="G124" s="57">
        <v>160000</v>
      </c>
      <c r="H124" s="57">
        <f t="shared" ref="H124" si="117">F124*G124</f>
        <v>896000</v>
      </c>
      <c r="I124" s="57">
        <v>50000</v>
      </c>
      <c r="J124" s="57">
        <f t="shared" ref="J124" si="118">F124*I124</f>
        <v>280000</v>
      </c>
      <c r="K124" s="57">
        <f t="shared" ref="K124" si="119">G124+I124</f>
        <v>210000</v>
      </c>
      <c r="L124" s="58">
        <f t="shared" ref="L124" si="120">F124*K124</f>
        <v>1176000</v>
      </c>
      <c r="M124" s="177"/>
    </row>
    <row r="125" spans="1:13" s="484" customFormat="1" ht="18" customHeight="1">
      <c r="A125" s="449" t="s">
        <v>160</v>
      </c>
      <c r="B125" s="405" t="s">
        <v>539</v>
      </c>
      <c r="C125" s="463" t="s">
        <v>635</v>
      </c>
      <c r="D125" s="449" t="s">
        <v>267</v>
      </c>
      <c r="E125" s="482" t="s">
        <v>42</v>
      </c>
      <c r="F125" s="483">
        <v>1</v>
      </c>
      <c r="G125" s="454">
        <v>1700000</v>
      </c>
      <c r="H125" s="454">
        <f t="shared" ref="H125:H131" si="121">F125*G125</f>
        <v>1700000</v>
      </c>
      <c r="I125" s="454">
        <v>50000</v>
      </c>
      <c r="J125" s="454">
        <f t="shared" ref="J125:J131" si="122">F125*I125</f>
        <v>50000</v>
      </c>
      <c r="K125" s="454">
        <f t="shared" ref="K125" si="123">G125+I125</f>
        <v>1750000</v>
      </c>
      <c r="L125" s="455">
        <f t="shared" ref="L125:L131" si="124">F125*K125</f>
        <v>1750000</v>
      </c>
      <c r="M125" s="480"/>
    </row>
    <row r="126" spans="1:13" s="484" customFormat="1" ht="18" customHeight="1">
      <c r="A126" s="449" t="s">
        <v>44</v>
      </c>
      <c r="B126" s="405" t="s">
        <v>636</v>
      </c>
      <c r="C126" s="463" t="s">
        <v>681</v>
      </c>
      <c r="D126" s="478" t="s">
        <v>637</v>
      </c>
      <c r="E126" s="482" t="s">
        <v>42</v>
      </c>
      <c r="F126" s="483">
        <v>1</v>
      </c>
      <c r="G126" s="454">
        <v>68000</v>
      </c>
      <c r="H126" s="454">
        <f t="shared" si="121"/>
        <v>68000</v>
      </c>
      <c r="I126" s="454">
        <v>50000</v>
      </c>
      <c r="J126" s="454">
        <f t="shared" si="122"/>
        <v>50000</v>
      </c>
      <c r="K126" s="454">
        <f t="shared" ref="K126" si="125">G126+I126</f>
        <v>118000</v>
      </c>
      <c r="L126" s="455">
        <f t="shared" si="124"/>
        <v>118000</v>
      </c>
      <c r="M126" s="480"/>
    </row>
    <row r="127" spans="1:13" s="59" customFormat="1" ht="18" customHeight="1">
      <c r="A127" s="60" t="s">
        <v>44</v>
      </c>
      <c r="B127" s="53" t="s">
        <v>540</v>
      </c>
      <c r="C127" s="309" t="s">
        <v>634</v>
      </c>
      <c r="D127" s="60" t="s">
        <v>243</v>
      </c>
      <c r="E127" s="55" t="s">
        <v>42</v>
      </c>
      <c r="F127" s="61">
        <v>1</v>
      </c>
      <c r="G127" s="57">
        <v>480000</v>
      </c>
      <c r="H127" s="57">
        <f t="shared" si="121"/>
        <v>480000</v>
      </c>
      <c r="I127" s="57">
        <v>50000</v>
      </c>
      <c r="J127" s="57">
        <f t="shared" si="122"/>
        <v>50000</v>
      </c>
      <c r="K127" s="57">
        <f>G127+I127</f>
        <v>530000</v>
      </c>
      <c r="L127" s="58">
        <f t="shared" si="124"/>
        <v>530000</v>
      </c>
      <c r="M127" s="426"/>
    </row>
    <row r="128" spans="1:13" s="481" customFormat="1" ht="18" customHeight="1">
      <c r="A128" s="171" t="s">
        <v>44</v>
      </c>
      <c r="B128" s="11" t="s">
        <v>541</v>
      </c>
      <c r="C128" s="477" t="s">
        <v>682</v>
      </c>
      <c r="D128" s="171" t="s">
        <v>637</v>
      </c>
      <c r="E128" s="478" t="s">
        <v>42</v>
      </c>
      <c r="F128" s="479">
        <v>1</v>
      </c>
      <c r="G128" s="28">
        <v>95000</v>
      </c>
      <c r="H128" s="28">
        <f t="shared" si="121"/>
        <v>95000</v>
      </c>
      <c r="I128" s="28">
        <v>50000</v>
      </c>
      <c r="J128" s="28">
        <f t="shared" si="122"/>
        <v>50000</v>
      </c>
      <c r="K128" s="28">
        <f>G128+I128</f>
        <v>145000</v>
      </c>
      <c r="L128" s="29">
        <f t="shared" si="124"/>
        <v>145000</v>
      </c>
      <c r="M128" s="480"/>
    </row>
    <row r="129" spans="1:16" s="59" customFormat="1" ht="18" hidden="1" customHeight="1">
      <c r="A129" s="60" t="s">
        <v>160</v>
      </c>
      <c r="B129" s="53" t="s">
        <v>540</v>
      </c>
      <c r="C129" s="309" t="s">
        <v>581</v>
      </c>
      <c r="D129" s="60" t="s">
        <v>267</v>
      </c>
      <c r="E129" s="55" t="s">
        <v>42</v>
      </c>
      <c r="F129" s="61"/>
      <c r="G129" s="57">
        <v>535000</v>
      </c>
      <c r="H129" s="57">
        <f t="shared" si="121"/>
        <v>0</v>
      </c>
      <c r="I129" s="57">
        <v>50000</v>
      </c>
      <c r="J129" s="57">
        <f t="shared" si="122"/>
        <v>0</v>
      </c>
      <c r="K129" s="57">
        <f>G129+I129</f>
        <v>585000</v>
      </c>
      <c r="L129" s="58">
        <f t="shared" si="124"/>
        <v>0</v>
      </c>
      <c r="M129" s="426"/>
    </row>
    <row r="130" spans="1:16" s="59" customFormat="1" ht="18" hidden="1" customHeight="1">
      <c r="A130" s="60" t="s">
        <v>44</v>
      </c>
      <c r="B130" s="53" t="s">
        <v>541</v>
      </c>
      <c r="C130" s="309" t="s">
        <v>542</v>
      </c>
      <c r="D130" s="60" t="s">
        <v>267</v>
      </c>
      <c r="E130" s="55" t="s">
        <v>42</v>
      </c>
      <c r="F130" s="61"/>
      <c r="G130" s="57">
        <v>295000</v>
      </c>
      <c r="H130" s="57">
        <f t="shared" si="121"/>
        <v>0</v>
      </c>
      <c r="I130" s="57">
        <v>50000</v>
      </c>
      <c r="J130" s="57">
        <f t="shared" si="122"/>
        <v>0</v>
      </c>
      <c r="K130" s="57">
        <f>G130+I130</f>
        <v>345000</v>
      </c>
      <c r="L130" s="58">
        <f t="shared" si="124"/>
        <v>0</v>
      </c>
      <c r="M130" s="426"/>
    </row>
    <row r="131" spans="1:16" s="59" customFormat="1" ht="18" hidden="1" customHeight="1">
      <c r="A131" s="60" t="s">
        <v>44</v>
      </c>
      <c r="B131" s="53" t="s">
        <v>395</v>
      </c>
      <c r="C131" s="62"/>
      <c r="D131" s="55" t="s">
        <v>300</v>
      </c>
      <c r="E131" s="55" t="s">
        <v>101</v>
      </c>
      <c r="F131" s="61"/>
      <c r="G131" s="57">
        <v>130000</v>
      </c>
      <c r="H131" s="57">
        <f t="shared" si="121"/>
        <v>0</v>
      </c>
      <c r="I131" s="57">
        <v>50000</v>
      </c>
      <c r="J131" s="57">
        <f t="shared" si="122"/>
        <v>0</v>
      </c>
      <c r="K131" s="57">
        <f>G131+I131</f>
        <v>180000</v>
      </c>
      <c r="L131" s="58">
        <f t="shared" si="124"/>
        <v>0</v>
      </c>
      <c r="M131" s="177"/>
      <c r="O131" s="278"/>
      <c r="P131" s="278"/>
    </row>
    <row r="132" spans="1:16" s="59" customFormat="1" ht="18" customHeight="1">
      <c r="A132" s="60"/>
      <c r="B132" s="53"/>
      <c r="C132" s="62"/>
      <c r="D132" s="55"/>
      <c r="E132" s="55"/>
      <c r="F132" s="61"/>
      <c r="G132" s="57"/>
      <c r="H132" s="57"/>
      <c r="I132" s="57"/>
      <c r="J132" s="57"/>
      <c r="K132" s="57"/>
      <c r="L132" s="58"/>
      <c r="M132" s="177"/>
      <c r="O132" s="278"/>
      <c r="P132" s="278"/>
    </row>
    <row r="133" spans="1:16" s="59" customFormat="1" ht="18" hidden="1" customHeight="1">
      <c r="A133" s="52">
        <v>-1</v>
      </c>
      <c r="B133" s="53" t="s">
        <v>397</v>
      </c>
      <c r="C133" s="54"/>
      <c r="D133" s="55"/>
      <c r="E133" s="55"/>
      <c r="F133" s="56"/>
      <c r="G133" s="57"/>
      <c r="H133" s="57"/>
      <c r="I133" s="57"/>
      <c r="J133" s="57"/>
      <c r="K133" s="57"/>
      <c r="L133" s="58"/>
      <c r="M133" s="177"/>
    </row>
    <row r="134" spans="1:16" s="59" customFormat="1" ht="18" hidden="1" customHeight="1">
      <c r="A134" s="60" t="s">
        <v>44</v>
      </c>
      <c r="B134" s="53" t="s">
        <v>396</v>
      </c>
      <c r="C134" s="62"/>
      <c r="D134" s="55" t="s">
        <v>301</v>
      </c>
      <c r="E134" s="55" t="s">
        <v>101</v>
      </c>
      <c r="F134" s="61"/>
      <c r="G134" s="57">
        <v>130000</v>
      </c>
      <c r="H134" s="57">
        <f>F134*G134</f>
        <v>0</v>
      </c>
      <c r="I134" s="57">
        <v>50000</v>
      </c>
      <c r="J134" s="57">
        <f>F134*I134</f>
        <v>0</v>
      </c>
      <c r="K134" s="57">
        <f>G134+I134</f>
        <v>180000</v>
      </c>
      <c r="L134" s="58">
        <f>F134*K134</f>
        <v>0</v>
      </c>
      <c r="M134" s="177"/>
      <c r="O134" s="278"/>
      <c r="P134" s="278"/>
    </row>
    <row r="135" spans="1:16" s="59" customFormat="1" ht="18" hidden="1" customHeight="1">
      <c r="A135" s="60" t="s">
        <v>44</v>
      </c>
      <c r="B135" s="53" t="s">
        <v>399</v>
      </c>
      <c r="C135" s="62" t="s">
        <v>400</v>
      </c>
      <c r="D135" s="55" t="s">
        <v>243</v>
      </c>
      <c r="E135" s="55" t="s">
        <v>401</v>
      </c>
      <c r="F135" s="61"/>
      <c r="G135" s="57">
        <v>120000</v>
      </c>
      <c r="H135" s="57">
        <f>F135*G135</f>
        <v>0</v>
      </c>
      <c r="I135" s="57">
        <v>20000</v>
      </c>
      <c r="J135" s="57">
        <f>F135*I135</f>
        <v>0</v>
      </c>
      <c r="K135" s="57">
        <f>G135+I135</f>
        <v>140000</v>
      </c>
      <c r="L135" s="58">
        <f>F135*K135</f>
        <v>0</v>
      </c>
      <c r="M135" s="177"/>
      <c r="O135" s="278"/>
      <c r="P135" s="278"/>
    </row>
    <row r="136" spans="1:16" s="59" customFormat="1" ht="18" hidden="1" customHeight="1">
      <c r="A136" s="60" t="s">
        <v>342</v>
      </c>
      <c r="B136" s="53" t="s">
        <v>344</v>
      </c>
      <c r="C136" s="62"/>
      <c r="D136" s="55" t="s">
        <v>243</v>
      </c>
      <c r="E136" s="55" t="s">
        <v>343</v>
      </c>
      <c r="F136" s="61"/>
      <c r="G136" s="57">
        <v>180000</v>
      </c>
      <c r="H136" s="57">
        <f>F136*G136</f>
        <v>0</v>
      </c>
      <c r="I136" s="57">
        <v>50000</v>
      </c>
      <c r="J136" s="57">
        <f t="shared" ref="J136" si="126">F136*I136</f>
        <v>0</v>
      </c>
      <c r="K136" s="57">
        <f>G136+I136</f>
        <v>230000</v>
      </c>
      <c r="L136" s="58">
        <f t="shared" ref="L136" si="127">F136*K136</f>
        <v>0</v>
      </c>
      <c r="M136" s="177"/>
    </row>
    <row r="137" spans="1:16" s="59" customFormat="1" ht="18" hidden="1" customHeight="1">
      <c r="A137" s="60" t="s">
        <v>342</v>
      </c>
      <c r="B137" s="53" t="s">
        <v>398</v>
      </c>
      <c r="C137" s="62"/>
      <c r="D137" s="55" t="s">
        <v>243</v>
      </c>
      <c r="E137" s="55" t="s">
        <v>38</v>
      </c>
      <c r="F137" s="61"/>
      <c r="G137" s="57">
        <v>120000</v>
      </c>
      <c r="H137" s="57">
        <f>F137*G137</f>
        <v>0</v>
      </c>
      <c r="I137" s="57">
        <v>50000</v>
      </c>
      <c r="J137" s="57">
        <f t="shared" ref="J137" si="128">F137*I137</f>
        <v>0</v>
      </c>
      <c r="K137" s="57">
        <f>G137+I137</f>
        <v>170000</v>
      </c>
      <c r="L137" s="58">
        <f t="shared" ref="L137" si="129">F137*K137</f>
        <v>0</v>
      </c>
      <c r="M137" s="177"/>
    </row>
    <row r="138" spans="1:16" s="59" customFormat="1" ht="18" hidden="1" customHeight="1">
      <c r="A138" s="60" t="s">
        <v>160</v>
      </c>
      <c r="B138" s="53" t="s">
        <v>270</v>
      </c>
      <c r="C138" s="309" t="s">
        <v>341</v>
      </c>
      <c r="D138" s="60" t="s">
        <v>267</v>
      </c>
      <c r="E138" s="55" t="s">
        <v>42</v>
      </c>
      <c r="F138" s="61"/>
      <c r="G138" s="57">
        <v>295000</v>
      </c>
      <c r="H138" s="57">
        <f t="shared" ref="H138" si="130">F138*G138</f>
        <v>0</v>
      </c>
      <c r="I138" s="57">
        <v>50000</v>
      </c>
      <c r="J138" s="57">
        <f t="shared" ref="J138" si="131">F138*I138</f>
        <v>0</v>
      </c>
      <c r="K138" s="57">
        <f t="shared" ref="K138" si="132">G138+I138</f>
        <v>345000</v>
      </c>
      <c r="L138" s="58">
        <f t="shared" ref="L138" si="133">F138*K138</f>
        <v>0</v>
      </c>
      <c r="M138" s="176"/>
    </row>
    <row r="139" spans="1:16" s="59" customFormat="1" ht="18" hidden="1" customHeight="1">
      <c r="A139" s="60" t="s">
        <v>160</v>
      </c>
      <c r="B139" s="53" t="s">
        <v>402</v>
      </c>
      <c r="C139" s="62"/>
      <c r="D139" s="55" t="s">
        <v>243</v>
      </c>
      <c r="E139" s="55" t="s">
        <v>39</v>
      </c>
      <c r="F139" s="61"/>
      <c r="G139" s="57">
        <v>160000</v>
      </c>
      <c r="H139" s="57">
        <f>F139*G139</f>
        <v>0</v>
      </c>
      <c r="I139" s="57">
        <v>50000</v>
      </c>
      <c r="J139" s="57">
        <f>F139*I139</f>
        <v>0</v>
      </c>
      <c r="K139" s="57">
        <f>G139+I139</f>
        <v>210000</v>
      </c>
      <c r="L139" s="58">
        <f>F139*K139</f>
        <v>0</v>
      </c>
      <c r="M139" s="177"/>
    </row>
    <row r="140" spans="1:16" s="59" customFormat="1" ht="18" hidden="1" customHeight="1">
      <c r="A140" s="60" t="s">
        <v>160</v>
      </c>
      <c r="B140" s="53" t="s">
        <v>403</v>
      </c>
      <c r="C140" s="62" t="s">
        <v>404</v>
      </c>
      <c r="D140" s="55" t="s">
        <v>243</v>
      </c>
      <c r="E140" s="55" t="s">
        <v>392</v>
      </c>
      <c r="F140" s="61"/>
      <c r="G140" s="57">
        <v>120000</v>
      </c>
      <c r="H140" s="57">
        <f>F140*G140</f>
        <v>0</v>
      </c>
      <c r="I140" s="57">
        <v>20000</v>
      </c>
      <c r="J140" s="57">
        <f>F140*I140</f>
        <v>0</v>
      </c>
      <c r="K140" s="57">
        <f>G140+I140</f>
        <v>140000</v>
      </c>
      <c r="L140" s="58">
        <f>F140*K140</f>
        <v>0</v>
      </c>
      <c r="M140" s="177"/>
    </row>
    <row r="141" spans="1:16" s="59" customFormat="1" ht="18" hidden="1" customHeight="1">
      <c r="A141" s="60" t="s">
        <v>405</v>
      </c>
      <c r="B141" s="53" t="s">
        <v>406</v>
      </c>
      <c r="C141" s="309" t="s">
        <v>409</v>
      </c>
      <c r="D141" s="382" t="s">
        <v>407</v>
      </c>
      <c r="E141" s="55" t="s">
        <v>408</v>
      </c>
      <c r="F141" s="61"/>
      <c r="G141" s="57">
        <v>390000</v>
      </c>
      <c r="H141" s="57">
        <f>F141*G141</f>
        <v>0</v>
      </c>
      <c r="I141" s="57">
        <v>70000</v>
      </c>
      <c r="J141" s="57">
        <f>F141*I141</f>
        <v>0</v>
      </c>
      <c r="K141" s="57">
        <f>G141+I141</f>
        <v>460000</v>
      </c>
      <c r="L141" s="58">
        <f>F141*K141</f>
        <v>0</v>
      </c>
      <c r="M141" s="273" t="s">
        <v>389</v>
      </c>
    </row>
    <row r="142" spans="1:16" s="59" customFormat="1" ht="18" hidden="1" customHeight="1">
      <c r="A142" s="60" t="s">
        <v>428</v>
      </c>
      <c r="B142" s="53" t="s">
        <v>429</v>
      </c>
      <c r="C142" s="309"/>
      <c r="D142" s="382" t="s">
        <v>430</v>
      </c>
      <c r="E142" s="55" t="s">
        <v>431</v>
      </c>
      <c r="F142" s="61"/>
      <c r="G142" s="57">
        <v>10000</v>
      </c>
      <c r="H142" s="57">
        <f>F142*G142</f>
        <v>0</v>
      </c>
      <c r="I142" s="57">
        <v>20000</v>
      </c>
      <c r="J142" s="57">
        <f>F142*I142</f>
        <v>0</v>
      </c>
      <c r="K142" s="57">
        <f>G142+I142</f>
        <v>30000</v>
      </c>
      <c r="L142" s="58">
        <f>F142*K142</f>
        <v>0</v>
      </c>
      <c r="M142" s="176"/>
    </row>
    <row r="143" spans="1:16" s="59" customFormat="1" ht="18" hidden="1" customHeight="1">
      <c r="A143" s="60"/>
      <c r="B143" s="53"/>
      <c r="C143" s="62"/>
      <c r="D143" s="55"/>
      <c r="E143" s="55"/>
      <c r="F143" s="57"/>
      <c r="G143" s="57"/>
      <c r="H143" s="57"/>
      <c r="I143" s="57"/>
      <c r="J143" s="57"/>
      <c r="K143" s="57"/>
      <c r="L143" s="58"/>
      <c r="M143" s="177"/>
    </row>
    <row r="144" spans="1:16" s="59" customFormat="1" ht="18" hidden="1" customHeight="1">
      <c r="A144" s="52">
        <v>-1</v>
      </c>
      <c r="B144" s="53" t="s">
        <v>438</v>
      </c>
      <c r="C144" s="54"/>
      <c r="D144" s="55"/>
      <c r="E144" s="55"/>
      <c r="F144" s="61"/>
      <c r="G144" s="57"/>
      <c r="H144" s="57"/>
      <c r="I144" s="57"/>
      <c r="J144" s="57"/>
      <c r="K144" s="57"/>
      <c r="L144" s="58"/>
      <c r="M144" s="177"/>
    </row>
    <row r="145" spans="1:19" s="330" customFormat="1" ht="18" hidden="1" customHeight="1">
      <c r="A145" s="60" t="s">
        <v>12</v>
      </c>
      <c r="B145" s="323" t="s">
        <v>415</v>
      </c>
      <c r="C145" s="324"/>
      <c r="D145" s="325" t="s">
        <v>417</v>
      </c>
      <c r="E145" s="325" t="s">
        <v>416</v>
      </c>
      <c r="F145" s="326"/>
      <c r="G145" s="327">
        <v>130000</v>
      </c>
      <c r="H145" s="327">
        <f>F145*G145</f>
        <v>0</v>
      </c>
      <c r="I145" s="327">
        <v>50000</v>
      </c>
      <c r="J145" s="327">
        <f>F145*I145</f>
        <v>0</v>
      </c>
      <c r="K145" s="327">
        <f>G145+I145</f>
        <v>180000</v>
      </c>
      <c r="L145" s="328">
        <f>F145*K145</f>
        <v>0</v>
      </c>
      <c r="M145" s="329"/>
    </row>
    <row r="146" spans="1:19" s="59" customFormat="1" ht="18" hidden="1" customHeight="1">
      <c r="A146" s="60" t="s">
        <v>12</v>
      </c>
      <c r="B146" s="53" t="s">
        <v>198</v>
      </c>
      <c r="C146" s="62"/>
      <c r="D146" s="55" t="s">
        <v>302</v>
      </c>
      <c r="E146" s="55" t="s">
        <v>101</v>
      </c>
      <c r="F146" s="61"/>
      <c r="G146" s="57">
        <v>130000</v>
      </c>
      <c r="H146" s="57">
        <f>F146*G146</f>
        <v>0</v>
      </c>
      <c r="I146" s="57">
        <v>30000</v>
      </c>
      <c r="J146" s="57">
        <f>F146*I146</f>
        <v>0</v>
      </c>
      <c r="K146" s="57">
        <f>G146+I146</f>
        <v>160000</v>
      </c>
      <c r="L146" s="58">
        <f>F146*K146</f>
        <v>0</v>
      </c>
      <c r="M146" s="177"/>
    </row>
    <row r="147" spans="1:19" s="59" customFormat="1" ht="18" hidden="1" customHeight="1">
      <c r="A147" s="60" t="s">
        <v>160</v>
      </c>
      <c r="B147" s="53" t="s">
        <v>315</v>
      </c>
      <c r="C147" s="62"/>
      <c r="D147" s="55" t="s">
        <v>418</v>
      </c>
      <c r="E147" s="55" t="s">
        <v>39</v>
      </c>
      <c r="F147" s="61"/>
      <c r="G147" s="57">
        <v>160000</v>
      </c>
      <c r="H147" s="57">
        <f t="shared" ref="H147" si="134">F147*G147</f>
        <v>0</v>
      </c>
      <c r="I147" s="57">
        <v>50000</v>
      </c>
      <c r="J147" s="57">
        <f t="shared" ref="J147:J148" si="135">F147*I147</f>
        <v>0</v>
      </c>
      <c r="K147" s="57">
        <f t="shared" ref="K147" si="136">G147+I147</f>
        <v>210000</v>
      </c>
      <c r="L147" s="58">
        <f t="shared" ref="L147:L148" si="137">F147*K147</f>
        <v>0</v>
      </c>
      <c r="M147" s="177"/>
    </row>
    <row r="148" spans="1:19" s="59" customFormat="1" ht="18" hidden="1" customHeight="1">
      <c r="A148" s="60" t="s">
        <v>12</v>
      </c>
      <c r="B148" s="53" t="s">
        <v>419</v>
      </c>
      <c r="C148" s="62"/>
      <c r="D148" s="55" t="s">
        <v>307</v>
      </c>
      <c r="E148" s="55" t="s">
        <v>39</v>
      </c>
      <c r="F148" s="61"/>
      <c r="G148" s="57">
        <v>160000</v>
      </c>
      <c r="H148" s="57">
        <f t="shared" ref="H148:H149" si="138">F148*G148</f>
        <v>0</v>
      </c>
      <c r="I148" s="57">
        <v>50000</v>
      </c>
      <c r="J148" s="57">
        <f t="shared" si="135"/>
        <v>0</v>
      </c>
      <c r="K148" s="57">
        <f t="shared" ref="K148:K149" si="139">G148+I148</f>
        <v>210000</v>
      </c>
      <c r="L148" s="58">
        <f t="shared" si="137"/>
        <v>0</v>
      </c>
      <c r="M148" s="177"/>
      <c r="S148" s="59">
        <f>(0.51*1.372)+(0.51*0.934)</f>
        <v>1.1760600000000001</v>
      </c>
    </row>
    <row r="149" spans="1:19" s="59" customFormat="1" ht="18" hidden="1" customHeight="1">
      <c r="A149" s="60" t="s">
        <v>12</v>
      </c>
      <c r="B149" s="53" t="s">
        <v>420</v>
      </c>
      <c r="C149" s="62"/>
      <c r="D149" s="55" t="s">
        <v>421</v>
      </c>
      <c r="E149" s="55" t="s">
        <v>422</v>
      </c>
      <c r="F149" s="61"/>
      <c r="G149" s="57">
        <v>100000</v>
      </c>
      <c r="H149" s="57">
        <f t="shared" si="138"/>
        <v>0</v>
      </c>
      <c r="I149" s="57">
        <v>55000</v>
      </c>
      <c r="J149" s="57">
        <f>F149*I149</f>
        <v>0</v>
      </c>
      <c r="K149" s="57">
        <f t="shared" si="139"/>
        <v>155000</v>
      </c>
      <c r="L149" s="58">
        <f>F149*K149</f>
        <v>0</v>
      </c>
      <c r="M149" s="177"/>
      <c r="S149" s="59">
        <f>150000</f>
        <v>150000</v>
      </c>
    </row>
    <row r="150" spans="1:19" s="59" customFormat="1" ht="18" hidden="1" customHeight="1">
      <c r="A150" s="60" t="s">
        <v>305</v>
      </c>
      <c r="B150" s="53" t="s">
        <v>423</v>
      </c>
      <c r="C150" s="62" t="s">
        <v>424</v>
      </c>
      <c r="D150" s="55" t="s">
        <v>421</v>
      </c>
      <c r="E150" s="55" t="s">
        <v>38</v>
      </c>
      <c r="F150" s="61"/>
      <c r="G150" s="57">
        <v>120000</v>
      </c>
      <c r="H150" s="57">
        <f t="shared" ref="H150:H153" si="140">F150*G150</f>
        <v>0</v>
      </c>
      <c r="I150" s="57">
        <v>20000</v>
      </c>
      <c r="J150" s="57">
        <f t="shared" ref="J150" si="141">F150*I150</f>
        <v>0</v>
      </c>
      <c r="K150" s="57">
        <f t="shared" ref="K150" si="142">G150+I150</f>
        <v>140000</v>
      </c>
      <c r="L150" s="58">
        <f t="shared" ref="L150" si="143">F150*K150</f>
        <v>0</v>
      </c>
      <c r="M150" s="177"/>
      <c r="S150" s="59">
        <f>S149/S148</f>
        <v>127544.51303504923</v>
      </c>
    </row>
    <row r="151" spans="1:19" s="59" customFormat="1" ht="18" hidden="1" customHeight="1">
      <c r="A151" s="60" t="s">
        <v>44</v>
      </c>
      <c r="B151" s="53" t="s">
        <v>308</v>
      </c>
      <c r="C151" s="62"/>
      <c r="D151" s="55" t="s">
        <v>303</v>
      </c>
      <c r="E151" s="55" t="s">
        <v>39</v>
      </c>
      <c r="F151" s="61"/>
      <c r="G151" s="57">
        <v>230000</v>
      </c>
      <c r="H151" s="57">
        <f t="shared" si="140"/>
        <v>0</v>
      </c>
      <c r="I151" s="57">
        <v>50000</v>
      </c>
      <c r="J151" s="57">
        <f t="shared" ref="J151" si="144">F151*I151</f>
        <v>0</v>
      </c>
      <c r="K151" s="57">
        <f t="shared" ref="K151" si="145">G151+I151</f>
        <v>280000</v>
      </c>
      <c r="L151" s="58">
        <f t="shared" ref="L151" si="146">F151*K151</f>
        <v>0</v>
      </c>
      <c r="M151" s="176"/>
    </row>
    <row r="152" spans="1:19" s="59" customFormat="1" ht="18" hidden="1" customHeight="1">
      <c r="A152" s="60" t="s">
        <v>305</v>
      </c>
      <c r="B152" s="53" t="s">
        <v>304</v>
      </c>
      <c r="C152" s="62" t="s">
        <v>271</v>
      </c>
      <c r="D152" s="55" t="s">
        <v>303</v>
      </c>
      <c r="E152" s="55" t="s">
        <v>272</v>
      </c>
      <c r="F152" s="61"/>
      <c r="G152" s="57">
        <v>69000</v>
      </c>
      <c r="H152" s="57">
        <f>F152*G152</f>
        <v>0</v>
      </c>
      <c r="I152" s="57">
        <v>30000</v>
      </c>
      <c r="J152" s="57">
        <f>F152*I152</f>
        <v>0</v>
      </c>
      <c r="K152" s="57">
        <f>G152+I152</f>
        <v>99000</v>
      </c>
      <c r="L152" s="58">
        <f>F152*K152</f>
        <v>0</v>
      </c>
      <c r="M152" s="177"/>
    </row>
    <row r="153" spans="1:19" s="59" customFormat="1" ht="18" hidden="1" customHeight="1">
      <c r="A153" s="60" t="s">
        <v>497</v>
      </c>
      <c r="B153" s="53" t="s">
        <v>503</v>
      </c>
      <c r="C153" s="62" t="s">
        <v>504</v>
      </c>
      <c r="D153" s="55" t="s">
        <v>307</v>
      </c>
      <c r="E153" s="55" t="s">
        <v>38</v>
      </c>
      <c r="F153" s="61"/>
      <c r="G153" s="57">
        <v>1550000</v>
      </c>
      <c r="H153" s="57">
        <f t="shared" si="140"/>
        <v>0</v>
      </c>
      <c r="I153" s="57">
        <v>0</v>
      </c>
      <c r="J153" s="57">
        <f t="shared" ref="J153" si="147">F153*I153</f>
        <v>0</v>
      </c>
      <c r="K153" s="57">
        <f>G153+I153</f>
        <v>1550000</v>
      </c>
      <c r="L153" s="58">
        <f t="shared" ref="L153" si="148">F153*K153</f>
        <v>0</v>
      </c>
      <c r="M153" s="177"/>
    </row>
    <row r="154" spans="1:19" s="59" customFormat="1" ht="18" hidden="1" customHeight="1">
      <c r="A154" s="60"/>
      <c r="B154" s="53"/>
      <c r="C154" s="62"/>
      <c r="D154" s="55"/>
      <c r="E154" s="55"/>
      <c r="F154" s="61"/>
      <c r="G154" s="57"/>
      <c r="H154" s="57"/>
      <c r="I154" s="57"/>
      <c r="J154" s="57"/>
      <c r="K154" s="57"/>
      <c r="L154" s="58"/>
      <c r="M154" s="177"/>
    </row>
    <row r="155" spans="1:19" s="59" customFormat="1" ht="18" hidden="1" customHeight="1">
      <c r="A155" s="60" t="s">
        <v>432</v>
      </c>
      <c r="B155" s="53" t="s">
        <v>433</v>
      </c>
      <c r="C155" s="62" t="s">
        <v>435</v>
      </c>
      <c r="D155" s="55" t="s">
        <v>434</v>
      </c>
      <c r="E155" s="55" t="s">
        <v>436</v>
      </c>
      <c r="F155" s="61"/>
      <c r="G155" s="57">
        <v>4500</v>
      </c>
      <c r="H155" s="57">
        <f t="shared" ref="H155" si="149">F155*G155</f>
        <v>0</v>
      </c>
      <c r="I155" s="57">
        <v>2000</v>
      </c>
      <c r="J155" s="57">
        <f t="shared" ref="J155" si="150">F155*I155</f>
        <v>0</v>
      </c>
      <c r="K155" s="57">
        <f t="shared" ref="K155" si="151">G155+I155</f>
        <v>6500</v>
      </c>
      <c r="L155" s="58">
        <f t="shared" ref="L155" si="152">F155*K155</f>
        <v>0</v>
      </c>
      <c r="M155" s="177"/>
    </row>
    <row r="156" spans="1:19" s="59" customFormat="1" ht="18" hidden="1" customHeight="1">
      <c r="A156" s="60" t="s">
        <v>498</v>
      </c>
      <c r="B156" s="53" t="s">
        <v>500</v>
      </c>
      <c r="C156" s="62" t="s">
        <v>501</v>
      </c>
      <c r="D156" s="55" t="s">
        <v>502</v>
      </c>
      <c r="E156" s="55" t="s">
        <v>38</v>
      </c>
      <c r="F156" s="61"/>
      <c r="G156" s="57">
        <v>120000</v>
      </c>
      <c r="H156" s="57">
        <f>F156*G156</f>
        <v>0</v>
      </c>
      <c r="I156" s="57">
        <v>20000</v>
      </c>
      <c r="J156" s="57">
        <f>F156*I156</f>
        <v>0</v>
      </c>
      <c r="K156" s="57">
        <f>G156+I156</f>
        <v>140000</v>
      </c>
      <c r="L156" s="58">
        <f>F156*K156</f>
        <v>0</v>
      </c>
      <c r="M156" s="177"/>
    </row>
    <row r="157" spans="1:19" s="59" customFormat="1" ht="18" hidden="1" customHeight="1">
      <c r="A157" s="60" t="s">
        <v>44</v>
      </c>
      <c r="B157" s="53" t="s">
        <v>395</v>
      </c>
      <c r="C157" s="62"/>
      <c r="D157" s="55" t="s">
        <v>267</v>
      </c>
      <c r="E157" s="55" t="s">
        <v>101</v>
      </c>
      <c r="F157" s="61"/>
      <c r="G157" s="57">
        <v>130000</v>
      </c>
      <c r="H157" s="57">
        <f>F157*G157</f>
        <v>0</v>
      </c>
      <c r="I157" s="57">
        <v>50000</v>
      </c>
      <c r="J157" s="57">
        <f>F157*I157</f>
        <v>0</v>
      </c>
      <c r="K157" s="57">
        <f>G157+I157</f>
        <v>180000</v>
      </c>
      <c r="L157" s="58">
        <f>F157*K157</f>
        <v>0</v>
      </c>
      <c r="M157" s="177"/>
      <c r="O157" s="278"/>
      <c r="P157" s="278"/>
    </row>
    <row r="158" spans="1:19" s="59" customFormat="1" ht="18" hidden="1" customHeight="1">
      <c r="A158" s="60" t="s">
        <v>44</v>
      </c>
      <c r="B158" s="53" t="s">
        <v>315</v>
      </c>
      <c r="C158" s="62"/>
      <c r="D158" s="55" t="s">
        <v>611</v>
      </c>
      <c r="E158" s="55" t="s">
        <v>39</v>
      </c>
      <c r="F158" s="61"/>
      <c r="G158" s="57">
        <v>160000</v>
      </c>
      <c r="H158" s="57">
        <f>F158*G158</f>
        <v>0</v>
      </c>
      <c r="I158" s="57">
        <v>50000</v>
      </c>
      <c r="J158" s="57">
        <f>F158*I158</f>
        <v>0</v>
      </c>
      <c r="K158" s="57">
        <f>G158+I158</f>
        <v>210000</v>
      </c>
      <c r="L158" s="58">
        <f>F158*K158</f>
        <v>0</v>
      </c>
      <c r="M158" s="177"/>
    </row>
    <row r="159" spans="1:19" s="59" customFormat="1" ht="18" hidden="1" customHeight="1">
      <c r="A159" s="60"/>
      <c r="B159" s="53"/>
      <c r="C159" s="62"/>
      <c r="D159" s="55"/>
      <c r="E159" s="55"/>
      <c r="F159" s="61"/>
      <c r="G159" s="57"/>
      <c r="H159" s="57"/>
      <c r="I159" s="57"/>
      <c r="J159" s="57"/>
      <c r="K159" s="57"/>
      <c r="L159" s="58"/>
      <c r="M159" s="177"/>
    </row>
    <row r="160" spans="1:19" s="59" customFormat="1" ht="18" customHeight="1">
      <c r="A160" s="60">
        <v>-1</v>
      </c>
      <c r="B160" s="53" t="s">
        <v>517</v>
      </c>
      <c r="C160" s="62"/>
      <c r="D160" s="55"/>
      <c r="E160" s="55"/>
      <c r="F160" s="61"/>
      <c r="G160" s="57"/>
      <c r="H160" s="57"/>
      <c r="I160" s="57"/>
      <c r="J160" s="57"/>
      <c r="K160" s="57"/>
      <c r="L160" s="58"/>
      <c r="M160" s="177"/>
    </row>
    <row r="161" spans="1:13" s="59" customFormat="1" ht="18" customHeight="1">
      <c r="A161" s="60" t="s">
        <v>513</v>
      </c>
      <c r="B161" s="53" t="s">
        <v>519</v>
      </c>
      <c r="C161" s="62" t="s">
        <v>642</v>
      </c>
      <c r="D161" s="55" t="s">
        <v>520</v>
      </c>
      <c r="E161" s="55" t="s">
        <v>521</v>
      </c>
      <c r="F161" s="61">
        <v>1</v>
      </c>
      <c r="G161" s="57">
        <v>1800000</v>
      </c>
      <c r="H161" s="57">
        <f>F161*G161</f>
        <v>1800000</v>
      </c>
      <c r="I161" s="57">
        <v>200000</v>
      </c>
      <c r="J161" s="57">
        <f>F161*I161</f>
        <v>200000</v>
      </c>
      <c r="K161" s="57">
        <f>G161+I161</f>
        <v>2000000</v>
      </c>
      <c r="L161" s="58">
        <f>F161*K161</f>
        <v>2000000</v>
      </c>
      <c r="M161" s="177"/>
    </row>
    <row r="162" spans="1:13" s="59" customFormat="1" ht="18" customHeight="1">
      <c r="A162" s="60"/>
      <c r="B162" s="53"/>
      <c r="C162" s="62"/>
      <c r="D162" s="55"/>
      <c r="E162" s="55"/>
      <c r="F162" s="61"/>
      <c r="G162" s="57"/>
      <c r="H162" s="57"/>
      <c r="I162" s="57"/>
      <c r="J162" s="57"/>
      <c r="K162" s="57"/>
      <c r="L162" s="58"/>
      <c r="M162" s="177"/>
    </row>
    <row r="163" spans="1:13" s="59" customFormat="1" ht="18" hidden="1" customHeight="1">
      <c r="A163" s="60">
        <v>-1</v>
      </c>
      <c r="B163" s="53" t="s">
        <v>582</v>
      </c>
      <c r="C163" s="62"/>
      <c r="D163" s="55"/>
      <c r="E163" s="55"/>
      <c r="F163" s="61"/>
      <c r="G163" s="57"/>
      <c r="H163" s="57"/>
      <c r="I163" s="57"/>
      <c r="J163" s="57"/>
      <c r="K163" s="57"/>
      <c r="L163" s="58"/>
      <c r="M163" s="177"/>
    </row>
    <row r="164" spans="1:13" s="59" customFormat="1" ht="18" hidden="1" customHeight="1">
      <c r="A164" s="60" t="s">
        <v>518</v>
      </c>
      <c r="B164" s="53" t="s">
        <v>544</v>
      </c>
      <c r="C164" s="62"/>
      <c r="D164" s="55" t="s">
        <v>582</v>
      </c>
      <c r="E164" s="55" t="s">
        <v>514</v>
      </c>
      <c r="F164" s="61"/>
      <c r="G164" s="57">
        <v>140000</v>
      </c>
      <c r="H164" s="57">
        <f>F164*G164</f>
        <v>0</v>
      </c>
      <c r="I164" s="57">
        <v>20000</v>
      </c>
      <c r="J164" s="57">
        <f>F164*I164</f>
        <v>0</v>
      </c>
      <c r="K164" s="57">
        <f>G164+I164</f>
        <v>160000</v>
      </c>
      <c r="L164" s="58">
        <f>F164*K164</f>
        <v>0</v>
      </c>
      <c r="M164" s="177"/>
    </row>
    <row r="165" spans="1:13" s="59" customFormat="1" ht="18" hidden="1" customHeight="1">
      <c r="A165" s="60"/>
      <c r="B165" s="53"/>
      <c r="C165" s="62"/>
      <c r="D165" s="55"/>
      <c r="E165" s="55"/>
      <c r="F165" s="61"/>
      <c r="G165" s="57"/>
      <c r="H165" s="57"/>
      <c r="I165" s="57"/>
      <c r="J165" s="57"/>
      <c r="K165" s="57"/>
      <c r="L165" s="58"/>
      <c r="M165" s="177"/>
    </row>
    <row r="166" spans="1:13" s="59" customFormat="1" ht="18" hidden="1" customHeight="1">
      <c r="A166" s="60">
        <v>-1</v>
      </c>
      <c r="B166" s="53" t="s">
        <v>583</v>
      </c>
      <c r="C166" s="62"/>
      <c r="D166" s="55"/>
      <c r="E166" s="55"/>
      <c r="F166" s="61"/>
      <c r="G166" s="57"/>
      <c r="H166" s="57"/>
      <c r="I166" s="57"/>
      <c r="J166" s="57"/>
      <c r="K166" s="57"/>
      <c r="L166" s="58"/>
      <c r="M166" s="177"/>
    </row>
    <row r="167" spans="1:13" s="59" customFormat="1" ht="18" hidden="1" customHeight="1">
      <c r="A167" s="60" t="s">
        <v>44</v>
      </c>
      <c r="B167" s="53" t="s">
        <v>500</v>
      </c>
      <c r="C167" s="62"/>
      <c r="D167" s="55" t="s">
        <v>583</v>
      </c>
      <c r="E167" s="55" t="s">
        <v>38</v>
      </c>
      <c r="F167" s="61"/>
      <c r="G167" s="57">
        <v>140000</v>
      </c>
      <c r="H167" s="57">
        <f>F167*G167</f>
        <v>0</v>
      </c>
      <c r="I167" s="57">
        <v>20000</v>
      </c>
      <c r="J167" s="57">
        <f>F167*I167</f>
        <v>0</v>
      </c>
      <c r="K167" s="57">
        <f>G167+I167</f>
        <v>160000</v>
      </c>
      <c r="L167" s="58">
        <f>F167*K167</f>
        <v>0</v>
      </c>
      <c r="M167" s="177"/>
    </row>
    <row r="168" spans="1:13" s="59" customFormat="1" ht="18" hidden="1" customHeight="1">
      <c r="A168" s="60"/>
      <c r="B168" s="53"/>
      <c r="C168" s="62"/>
      <c r="D168" s="55"/>
      <c r="E168" s="55"/>
      <c r="F168" s="61"/>
      <c r="G168" s="57"/>
      <c r="H168" s="57"/>
      <c r="I168" s="57"/>
      <c r="J168" s="57"/>
      <c r="K168" s="57"/>
      <c r="L168" s="58"/>
      <c r="M168" s="177"/>
    </row>
    <row r="169" spans="1:13" s="59" customFormat="1" ht="18" customHeight="1">
      <c r="A169" s="52">
        <v>-1</v>
      </c>
      <c r="B169" s="53" t="s">
        <v>425</v>
      </c>
      <c r="C169" s="54"/>
      <c r="D169" s="55"/>
      <c r="E169" s="55"/>
      <c r="F169" s="56"/>
      <c r="G169" s="57"/>
      <c r="H169" s="57"/>
      <c r="I169" s="57"/>
      <c r="J169" s="57"/>
      <c r="K169" s="57"/>
      <c r="L169" s="58"/>
      <c r="M169" s="177"/>
    </row>
    <row r="170" spans="1:13" s="59" customFormat="1" ht="18" customHeight="1">
      <c r="A170" s="60" t="s">
        <v>44</v>
      </c>
      <c r="B170" s="53" t="s">
        <v>643</v>
      </c>
      <c r="C170" s="62" t="s">
        <v>644</v>
      </c>
      <c r="D170" s="55" t="s">
        <v>171</v>
      </c>
      <c r="E170" s="55" t="s">
        <v>101</v>
      </c>
      <c r="F170" s="61">
        <v>8</v>
      </c>
      <c r="G170" s="57">
        <v>130000</v>
      </c>
      <c r="H170" s="57">
        <f>F170*G170</f>
        <v>1040000</v>
      </c>
      <c r="I170" s="57">
        <v>50000</v>
      </c>
      <c r="J170" s="57">
        <f>F170*I170</f>
        <v>400000</v>
      </c>
      <c r="K170" s="57">
        <f>G170+I170</f>
        <v>180000</v>
      </c>
      <c r="L170" s="58">
        <f>F170*K170</f>
        <v>1440000</v>
      </c>
      <c r="M170" s="177"/>
    </row>
    <row r="171" spans="1:13" s="59" customFormat="1" ht="18" customHeight="1">
      <c r="A171" s="60" t="s">
        <v>44</v>
      </c>
      <c r="B171" s="53" t="s">
        <v>590</v>
      </c>
      <c r="C171" s="62" t="s">
        <v>589</v>
      </c>
      <c r="D171" s="55" t="s">
        <v>171</v>
      </c>
      <c r="E171" s="55" t="s">
        <v>38</v>
      </c>
      <c r="F171" s="61">
        <v>2</v>
      </c>
      <c r="G171" s="57">
        <v>140000</v>
      </c>
      <c r="H171" s="57">
        <f>F171*G171</f>
        <v>280000</v>
      </c>
      <c r="I171" s="57">
        <v>20000</v>
      </c>
      <c r="J171" s="57">
        <f>F171*I171</f>
        <v>40000</v>
      </c>
      <c r="K171" s="57">
        <f>G171+I171</f>
        <v>160000</v>
      </c>
      <c r="L171" s="58">
        <f>F171*K171</f>
        <v>320000</v>
      </c>
      <c r="M171" s="177"/>
    </row>
    <row r="172" spans="1:13" s="59" customFormat="1" ht="18" hidden="1" customHeight="1">
      <c r="A172" s="60" t="s">
        <v>44</v>
      </c>
      <c r="B172" s="53" t="s">
        <v>584</v>
      </c>
      <c r="C172" s="62"/>
      <c r="D172" s="55" t="s">
        <v>171</v>
      </c>
      <c r="E172" s="55" t="s">
        <v>39</v>
      </c>
      <c r="F172" s="61"/>
      <c r="G172" s="57">
        <v>160000</v>
      </c>
      <c r="H172" s="57">
        <f t="shared" ref="H172:H174" si="153">F172*G172</f>
        <v>0</v>
      </c>
      <c r="I172" s="57">
        <v>50000</v>
      </c>
      <c r="J172" s="57">
        <f t="shared" ref="J172:J174" si="154">F172*I172</f>
        <v>0</v>
      </c>
      <c r="K172" s="57">
        <f t="shared" ref="K172:K174" si="155">G172+I172</f>
        <v>210000</v>
      </c>
      <c r="L172" s="58">
        <f t="shared" ref="L172:L174" si="156">F172*K172</f>
        <v>0</v>
      </c>
      <c r="M172" s="176"/>
    </row>
    <row r="173" spans="1:13" s="59" customFormat="1" ht="18" hidden="1" customHeight="1">
      <c r="A173" s="60" t="s">
        <v>44</v>
      </c>
      <c r="B173" s="53" t="s">
        <v>391</v>
      </c>
      <c r="C173" s="62"/>
      <c r="D173" s="55" t="s">
        <v>243</v>
      </c>
      <c r="E173" s="55" t="s">
        <v>38</v>
      </c>
      <c r="F173" s="61"/>
      <c r="G173" s="57">
        <v>10000</v>
      </c>
      <c r="H173" s="57">
        <f t="shared" si="153"/>
        <v>0</v>
      </c>
      <c r="I173" s="57">
        <v>0</v>
      </c>
      <c r="J173" s="57">
        <f t="shared" si="154"/>
        <v>0</v>
      </c>
      <c r="K173" s="57">
        <f t="shared" si="155"/>
        <v>10000</v>
      </c>
      <c r="L173" s="58">
        <f t="shared" si="156"/>
        <v>0</v>
      </c>
      <c r="M173" s="176"/>
    </row>
    <row r="174" spans="1:13" s="59" customFormat="1" ht="18" customHeight="1">
      <c r="A174" s="60" t="s">
        <v>44</v>
      </c>
      <c r="B174" s="53" t="s">
        <v>585</v>
      </c>
      <c r="C174" s="62"/>
      <c r="D174" s="55" t="s">
        <v>171</v>
      </c>
      <c r="E174" s="55" t="s">
        <v>39</v>
      </c>
      <c r="F174" s="61">
        <v>1.6</v>
      </c>
      <c r="G174" s="57">
        <v>160000</v>
      </c>
      <c r="H174" s="57">
        <f t="shared" si="153"/>
        <v>256000</v>
      </c>
      <c r="I174" s="57">
        <v>50000</v>
      </c>
      <c r="J174" s="57">
        <f t="shared" si="154"/>
        <v>80000</v>
      </c>
      <c r="K174" s="57">
        <f t="shared" si="155"/>
        <v>210000</v>
      </c>
      <c r="L174" s="58">
        <f t="shared" si="156"/>
        <v>336000</v>
      </c>
      <c r="M174" s="176"/>
    </row>
    <row r="175" spans="1:13" s="59" customFormat="1" ht="18" hidden="1" customHeight="1">
      <c r="A175" s="60" t="s">
        <v>305</v>
      </c>
      <c r="B175" s="53" t="s">
        <v>586</v>
      </c>
      <c r="C175" s="62" t="s">
        <v>588</v>
      </c>
      <c r="D175" s="55" t="s">
        <v>171</v>
      </c>
      <c r="E175" s="55" t="s">
        <v>101</v>
      </c>
      <c r="F175" s="61"/>
      <c r="G175" s="57">
        <v>80000</v>
      </c>
      <c r="H175" s="57">
        <f t="shared" ref="H175:H177" si="157">F175*G175</f>
        <v>0</v>
      </c>
      <c r="I175" s="57">
        <v>50000</v>
      </c>
      <c r="J175" s="57">
        <f>F175*I175</f>
        <v>0</v>
      </c>
      <c r="K175" s="57">
        <f>G175+I175</f>
        <v>130000</v>
      </c>
      <c r="L175" s="58">
        <f>F175*K175</f>
        <v>0</v>
      </c>
      <c r="M175" s="177"/>
    </row>
    <row r="176" spans="1:13" s="59" customFormat="1" ht="18" hidden="1" customHeight="1">
      <c r="A176" s="60" t="s">
        <v>44</v>
      </c>
      <c r="B176" s="53" t="s">
        <v>587</v>
      </c>
      <c r="C176" s="62"/>
      <c r="D176" s="55" t="s">
        <v>171</v>
      </c>
      <c r="E176" s="55" t="s">
        <v>38</v>
      </c>
      <c r="F176" s="61"/>
      <c r="G176" s="57">
        <v>140000</v>
      </c>
      <c r="H176" s="57">
        <f>F176*G176</f>
        <v>0</v>
      </c>
      <c r="I176" s="57">
        <v>20000</v>
      </c>
      <c r="J176" s="57">
        <f>F176*I176</f>
        <v>0</v>
      </c>
      <c r="K176" s="57">
        <f>G176+I176</f>
        <v>160000</v>
      </c>
      <c r="L176" s="58">
        <f>F176*K176</f>
        <v>0</v>
      </c>
      <c r="M176" s="177"/>
    </row>
    <row r="177" spans="1:13" s="59" customFormat="1" ht="18" hidden="1" customHeight="1">
      <c r="A177" s="60" t="s">
        <v>512</v>
      </c>
      <c r="B177" s="53" t="s">
        <v>586</v>
      </c>
      <c r="C177" s="62" t="s">
        <v>589</v>
      </c>
      <c r="D177" s="55" t="s">
        <v>171</v>
      </c>
      <c r="E177" s="55" t="s">
        <v>101</v>
      </c>
      <c r="F177" s="61"/>
      <c r="G177" s="57">
        <v>160000</v>
      </c>
      <c r="H177" s="57">
        <f t="shared" si="157"/>
        <v>0</v>
      </c>
      <c r="I177" s="57">
        <v>20000</v>
      </c>
      <c r="J177" s="57">
        <f>F177*I177</f>
        <v>0</v>
      </c>
      <c r="K177" s="57">
        <f>G177+I177</f>
        <v>180000</v>
      </c>
      <c r="L177" s="58">
        <f>F177*K177</f>
        <v>0</v>
      </c>
      <c r="M177" s="177"/>
    </row>
    <row r="178" spans="1:13" s="59" customFormat="1" ht="18" hidden="1" customHeight="1">
      <c r="A178" s="60" t="s">
        <v>44</v>
      </c>
      <c r="B178" s="53" t="s">
        <v>590</v>
      </c>
      <c r="C178" s="62" t="s">
        <v>589</v>
      </c>
      <c r="D178" s="55" t="s">
        <v>171</v>
      </c>
      <c r="E178" s="55" t="s">
        <v>38</v>
      </c>
      <c r="F178" s="61"/>
      <c r="G178" s="57">
        <v>140000</v>
      </c>
      <c r="H178" s="57">
        <f>F178*G178</f>
        <v>0</v>
      </c>
      <c r="I178" s="57">
        <v>20000</v>
      </c>
      <c r="J178" s="57">
        <f>F178*I178</f>
        <v>0</v>
      </c>
      <c r="K178" s="57">
        <f>G178+I178</f>
        <v>160000</v>
      </c>
      <c r="L178" s="58">
        <f>F178*K178</f>
        <v>0</v>
      </c>
      <c r="M178" s="177"/>
    </row>
    <row r="179" spans="1:13" s="59" customFormat="1" ht="18" customHeight="1">
      <c r="A179" s="60"/>
      <c r="B179" s="53"/>
      <c r="C179" s="62"/>
      <c r="D179" s="55"/>
      <c r="E179" s="55"/>
      <c r="F179" s="61"/>
      <c r="G179" s="57"/>
      <c r="H179" s="57"/>
      <c r="I179" s="57"/>
      <c r="J179" s="57"/>
      <c r="K179" s="57"/>
      <c r="L179" s="58"/>
      <c r="M179" s="177"/>
    </row>
    <row r="180" spans="1:13" s="59" customFormat="1" ht="18" customHeight="1">
      <c r="A180" s="52">
        <v>-1</v>
      </c>
      <c r="B180" s="53" t="s">
        <v>426</v>
      </c>
      <c r="C180" s="54"/>
      <c r="D180" s="55"/>
      <c r="E180" s="55"/>
      <c r="F180" s="56"/>
      <c r="G180" s="57"/>
      <c r="H180" s="57"/>
      <c r="I180" s="57"/>
      <c r="J180" s="57"/>
      <c r="K180" s="57"/>
      <c r="L180" s="58"/>
      <c r="M180" s="177"/>
    </row>
    <row r="181" spans="1:13" s="59" customFormat="1" ht="18" customHeight="1">
      <c r="A181" s="60" t="s">
        <v>44</v>
      </c>
      <c r="B181" s="53" t="s">
        <v>576</v>
      </c>
      <c r="C181" s="62" t="s">
        <v>645</v>
      </c>
      <c r="D181" s="55" t="s">
        <v>234</v>
      </c>
      <c r="E181" s="55" t="s">
        <v>101</v>
      </c>
      <c r="F181" s="61">
        <v>2</v>
      </c>
      <c r="G181" s="57">
        <v>160000</v>
      </c>
      <c r="H181" s="57">
        <f t="shared" ref="H181" si="158">F181*G181</f>
        <v>320000</v>
      </c>
      <c r="I181" s="57">
        <v>50000</v>
      </c>
      <c r="J181" s="57">
        <f t="shared" ref="J181" si="159">F181*I181</f>
        <v>100000</v>
      </c>
      <c r="K181" s="57">
        <f t="shared" ref="K181" si="160">G181+I181</f>
        <v>210000</v>
      </c>
      <c r="L181" s="58">
        <f t="shared" ref="L181" si="161">F181*K181</f>
        <v>420000</v>
      </c>
      <c r="M181" s="176"/>
    </row>
    <row r="182" spans="1:13" s="59" customFormat="1" ht="18" customHeight="1">
      <c r="A182" s="60" t="s">
        <v>44</v>
      </c>
      <c r="B182" s="53" t="s">
        <v>576</v>
      </c>
      <c r="C182" s="62" t="s">
        <v>646</v>
      </c>
      <c r="D182" s="55" t="s">
        <v>234</v>
      </c>
      <c r="E182" s="55" t="s">
        <v>101</v>
      </c>
      <c r="F182" s="61">
        <v>3</v>
      </c>
      <c r="G182" s="57">
        <v>160000</v>
      </c>
      <c r="H182" s="57">
        <f t="shared" ref="H182:H185" si="162">F182*G182</f>
        <v>480000</v>
      </c>
      <c r="I182" s="57">
        <v>50000</v>
      </c>
      <c r="J182" s="57">
        <f t="shared" ref="J182:J184" si="163">F182*I182</f>
        <v>150000</v>
      </c>
      <c r="K182" s="57">
        <f t="shared" ref="K182:K184" si="164">G182+I182</f>
        <v>210000</v>
      </c>
      <c r="L182" s="58">
        <f t="shared" ref="L182:L184" si="165">F182*K182</f>
        <v>630000</v>
      </c>
      <c r="M182" s="176"/>
    </row>
    <row r="183" spans="1:13" s="59" customFormat="1" ht="18" customHeight="1">
      <c r="A183" s="60" t="s">
        <v>44</v>
      </c>
      <c r="B183" s="53" t="s">
        <v>650</v>
      </c>
      <c r="C183" s="62" t="s">
        <v>651</v>
      </c>
      <c r="D183" s="55" t="s">
        <v>234</v>
      </c>
      <c r="E183" s="55" t="s">
        <v>39</v>
      </c>
      <c r="F183" s="61">
        <v>5.6</v>
      </c>
      <c r="G183" s="57">
        <v>120000</v>
      </c>
      <c r="H183" s="57">
        <f t="shared" ref="H183" si="166">F183*G183</f>
        <v>672000</v>
      </c>
      <c r="I183" s="57">
        <v>20000</v>
      </c>
      <c r="J183" s="57">
        <f t="shared" ref="J183" si="167">F183*I183</f>
        <v>112000</v>
      </c>
      <c r="K183" s="57">
        <f t="shared" ref="K183" si="168">G183+I183</f>
        <v>140000</v>
      </c>
      <c r="L183" s="58">
        <f t="shared" ref="L183" si="169">F183*K183</f>
        <v>784000</v>
      </c>
      <c r="M183" s="177"/>
    </row>
    <row r="184" spans="1:13" s="59" customFormat="1" ht="18" customHeight="1">
      <c r="A184" s="60" t="s">
        <v>44</v>
      </c>
      <c r="B184" s="53" t="s">
        <v>649</v>
      </c>
      <c r="C184" s="62"/>
      <c r="D184" s="55" t="s">
        <v>234</v>
      </c>
      <c r="E184" s="55" t="s">
        <v>39</v>
      </c>
      <c r="F184" s="61">
        <v>5.6</v>
      </c>
      <c r="G184" s="57">
        <v>160000</v>
      </c>
      <c r="H184" s="57">
        <f t="shared" si="162"/>
        <v>896000</v>
      </c>
      <c r="I184" s="57">
        <v>50000</v>
      </c>
      <c r="J184" s="57">
        <f t="shared" si="163"/>
        <v>280000</v>
      </c>
      <c r="K184" s="57">
        <f t="shared" si="164"/>
        <v>210000</v>
      </c>
      <c r="L184" s="58">
        <f t="shared" si="165"/>
        <v>1176000</v>
      </c>
      <c r="M184" s="177"/>
    </row>
    <row r="185" spans="1:13" s="59" customFormat="1" ht="18" customHeight="1">
      <c r="A185" s="52" t="s">
        <v>44</v>
      </c>
      <c r="B185" s="53" t="s">
        <v>647</v>
      </c>
      <c r="C185" s="54"/>
      <c r="D185" s="55" t="s">
        <v>437</v>
      </c>
      <c r="E185" s="55" t="s">
        <v>101</v>
      </c>
      <c r="F185" s="56">
        <v>33</v>
      </c>
      <c r="G185" s="57">
        <v>30000</v>
      </c>
      <c r="H185" s="57">
        <f t="shared" si="162"/>
        <v>990000</v>
      </c>
      <c r="I185" s="57">
        <v>10000</v>
      </c>
      <c r="J185" s="57">
        <f t="shared" ref="J185" si="170">F185*I185</f>
        <v>330000</v>
      </c>
      <c r="K185" s="57">
        <f t="shared" ref="K185" si="171">G185+I185</f>
        <v>40000</v>
      </c>
      <c r="L185" s="58">
        <f t="shared" ref="L185" si="172">F185*K185</f>
        <v>1320000</v>
      </c>
      <c r="M185" s="177"/>
    </row>
    <row r="186" spans="1:13" s="59" customFormat="1" ht="18" customHeight="1">
      <c r="A186" s="52"/>
      <c r="B186" s="53"/>
      <c r="C186" s="54"/>
      <c r="D186" s="55"/>
      <c r="E186" s="55"/>
      <c r="F186" s="56"/>
      <c r="G186" s="57"/>
      <c r="H186" s="57"/>
      <c r="I186" s="57"/>
      <c r="J186" s="57"/>
      <c r="K186" s="57"/>
      <c r="L186" s="58"/>
      <c r="M186" s="177"/>
    </row>
    <row r="187" spans="1:13" s="59" customFormat="1" ht="18" hidden="1" customHeight="1">
      <c r="A187" s="60" t="s">
        <v>44</v>
      </c>
      <c r="B187" s="53" t="s">
        <v>309</v>
      </c>
      <c r="C187" s="62" t="s">
        <v>189</v>
      </c>
      <c r="D187" s="55" t="s">
        <v>234</v>
      </c>
      <c r="E187" s="55" t="s">
        <v>101</v>
      </c>
      <c r="F187" s="61"/>
      <c r="G187" s="57">
        <v>130000</v>
      </c>
      <c r="H187" s="57">
        <f>F187*G187</f>
        <v>0</v>
      </c>
      <c r="I187" s="57">
        <v>50000</v>
      </c>
      <c r="J187" s="57">
        <f>F187*I187</f>
        <v>0</v>
      </c>
      <c r="K187" s="57">
        <f>G187+I187</f>
        <v>180000</v>
      </c>
      <c r="L187" s="58">
        <f>F187*K187</f>
        <v>0</v>
      </c>
      <c r="M187" s="177"/>
    </row>
    <row r="188" spans="1:13" s="59" customFormat="1" ht="18" hidden="1" customHeight="1">
      <c r="A188" s="60" t="s">
        <v>160</v>
      </c>
      <c r="B188" s="53" t="s">
        <v>427</v>
      </c>
      <c r="C188" s="62" t="s">
        <v>393</v>
      </c>
      <c r="D188" s="55" t="s">
        <v>234</v>
      </c>
      <c r="E188" s="55" t="s">
        <v>38</v>
      </c>
      <c r="F188" s="61"/>
      <c r="G188" s="57">
        <v>120000</v>
      </c>
      <c r="H188" s="57">
        <f>F188*G188</f>
        <v>0</v>
      </c>
      <c r="I188" s="57">
        <v>20000</v>
      </c>
      <c r="J188" s="57">
        <f>F188*I188</f>
        <v>0</v>
      </c>
      <c r="K188" s="57">
        <f>G188+I188</f>
        <v>140000</v>
      </c>
      <c r="L188" s="58">
        <f>F188*K188</f>
        <v>0</v>
      </c>
      <c r="M188" s="177"/>
    </row>
    <row r="189" spans="1:13" s="59" customFormat="1" ht="18" hidden="1" customHeight="1">
      <c r="A189" s="60" t="s">
        <v>444</v>
      </c>
      <c r="B189" s="53" t="s">
        <v>445</v>
      </c>
      <c r="C189" s="62"/>
      <c r="D189" s="55" t="s">
        <v>446</v>
      </c>
      <c r="E189" s="55" t="s">
        <v>39</v>
      </c>
      <c r="F189" s="61"/>
      <c r="G189" s="57">
        <v>160000</v>
      </c>
      <c r="H189" s="57">
        <f t="shared" ref="H189" si="173">F189*G189</f>
        <v>0</v>
      </c>
      <c r="I189" s="57">
        <v>50000</v>
      </c>
      <c r="J189" s="57">
        <f t="shared" ref="J189" si="174">F189*I189</f>
        <v>0</v>
      </c>
      <c r="K189" s="57">
        <f t="shared" ref="K189" si="175">G189+I189</f>
        <v>210000</v>
      </c>
      <c r="L189" s="58">
        <f t="shared" ref="L189" si="176">F189*K189</f>
        <v>0</v>
      </c>
      <c r="M189" s="177"/>
    </row>
    <row r="190" spans="1:13" s="59" customFormat="1" ht="18" hidden="1" customHeight="1">
      <c r="A190" s="60" t="s">
        <v>44</v>
      </c>
      <c r="B190" s="53" t="s">
        <v>590</v>
      </c>
      <c r="C190" s="62" t="s">
        <v>437</v>
      </c>
      <c r="D190" s="55" t="s">
        <v>234</v>
      </c>
      <c r="E190" s="55" t="s">
        <v>38</v>
      </c>
      <c r="F190" s="61">
        <v>2</v>
      </c>
      <c r="G190" s="57">
        <v>140000</v>
      </c>
      <c r="H190" s="57">
        <f>F190*G190</f>
        <v>280000</v>
      </c>
      <c r="I190" s="57">
        <v>20000</v>
      </c>
      <c r="J190" s="57">
        <f>F190*I190</f>
        <v>40000</v>
      </c>
      <c r="K190" s="57">
        <f>G190+I190</f>
        <v>160000</v>
      </c>
      <c r="L190" s="58">
        <f>F190*K190</f>
        <v>320000</v>
      </c>
      <c r="M190" s="177"/>
    </row>
    <row r="191" spans="1:13" s="59" customFormat="1" ht="18" hidden="1" customHeight="1">
      <c r="A191" s="60"/>
      <c r="B191" s="53"/>
      <c r="C191" s="62"/>
      <c r="D191" s="55"/>
      <c r="E191" s="55"/>
      <c r="F191" s="61"/>
      <c r="G191" s="57"/>
      <c r="H191" s="57"/>
      <c r="I191" s="57"/>
      <c r="J191" s="57"/>
      <c r="K191" s="57"/>
      <c r="L191" s="58"/>
      <c r="M191" s="177"/>
    </row>
    <row r="192" spans="1:13" s="59" customFormat="1" ht="18" hidden="1" customHeight="1">
      <c r="A192" s="60">
        <v>-1</v>
      </c>
      <c r="B192" s="53" t="s">
        <v>439</v>
      </c>
      <c r="C192" s="62"/>
      <c r="D192" s="55"/>
      <c r="E192" s="55"/>
      <c r="F192" s="61"/>
      <c r="G192" s="57"/>
      <c r="H192" s="57"/>
      <c r="I192" s="57"/>
      <c r="J192" s="57"/>
      <c r="K192" s="57"/>
      <c r="L192" s="58"/>
      <c r="M192" s="177"/>
    </row>
    <row r="193" spans="1:15" s="59" customFormat="1" ht="18" hidden="1" customHeight="1">
      <c r="A193" s="60" t="s">
        <v>493</v>
      </c>
      <c r="B193" s="53" t="s">
        <v>494</v>
      </c>
      <c r="C193" s="62"/>
      <c r="D193" s="55" t="s">
        <v>441</v>
      </c>
      <c r="E193" s="55" t="s">
        <v>38</v>
      </c>
      <c r="F193" s="61"/>
      <c r="G193" s="57">
        <v>100000</v>
      </c>
      <c r="H193" s="57">
        <f>F193*G193</f>
        <v>0</v>
      </c>
      <c r="I193" s="57">
        <v>30000</v>
      </c>
      <c r="J193" s="57">
        <f>F193*I193</f>
        <v>0</v>
      </c>
      <c r="K193" s="57">
        <f>G193+I193</f>
        <v>130000</v>
      </c>
      <c r="L193" s="58">
        <f>F193*K193</f>
        <v>0</v>
      </c>
      <c r="M193" s="177"/>
    </row>
    <row r="194" spans="1:15" s="59" customFormat="1" ht="18" hidden="1" customHeight="1">
      <c r="A194" s="60" t="s">
        <v>493</v>
      </c>
      <c r="B194" s="53" t="s">
        <v>495</v>
      </c>
      <c r="C194" s="62"/>
      <c r="D194" s="55" t="s">
        <v>442</v>
      </c>
      <c r="E194" s="55" t="s">
        <v>38</v>
      </c>
      <c r="F194" s="61"/>
      <c r="G194" s="57">
        <v>100000</v>
      </c>
      <c r="H194" s="57">
        <f>F194*G194</f>
        <v>0</v>
      </c>
      <c r="I194" s="57">
        <v>30000</v>
      </c>
      <c r="J194" s="57">
        <f>F194*I194</f>
        <v>0</v>
      </c>
      <c r="K194" s="57">
        <f>G194+I194</f>
        <v>130000</v>
      </c>
      <c r="L194" s="58">
        <f>F194*K194</f>
        <v>0</v>
      </c>
      <c r="M194" s="177"/>
    </row>
    <row r="195" spans="1:15" s="59" customFormat="1" ht="18" hidden="1" customHeight="1">
      <c r="A195" s="60" t="s">
        <v>12</v>
      </c>
      <c r="B195" s="53" t="s">
        <v>440</v>
      </c>
      <c r="C195" s="62"/>
      <c r="D195" s="55" t="s">
        <v>441</v>
      </c>
      <c r="E195" s="55" t="s">
        <v>38</v>
      </c>
      <c r="F195" s="61"/>
      <c r="G195" s="57">
        <v>120000</v>
      </c>
      <c r="H195" s="57">
        <f>F195*G195</f>
        <v>0</v>
      </c>
      <c r="I195" s="57">
        <v>20000</v>
      </c>
      <c r="J195" s="57">
        <f>F195*I195</f>
        <v>0</v>
      </c>
      <c r="K195" s="57">
        <f>G195+I195</f>
        <v>140000</v>
      </c>
      <c r="L195" s="58">
        <f>F195*K195</f>
        <v>0</v>
      </c>
      <c r="M195" s="177"/>
    </row>
    <row r="196" spans="1:15" s="59" customFormat="1" ht="18" hidden="1" customHeight="1">
      <c r="A196" s="60" t="s">
        <v>160</v>
      </c>
      <c r="B196" s="53" t="s">
        <v>440</v>
      </c>
      <c r="C196" s="62"/>
      <c r="D196" s="55" t="s">
        <v>442</v>
      </c>
      <c r="E196" s="55" t="s">
        <v>38</v>
      </c>
      <c r="F196" s="61"/>
      <c r="G196" s="57">
        <v>120000</v>
      </c>
      <c r="H196" s="57">
        <f>F196*G196</f>
        <v>0</v>
      </c>
      <c r="I196" s="57">
        <v>20000</v>
      </c>
      <c r="J196" s="57">
        <f>F196*I196</f>
        <v>0</v>
      </c>
      <c r="K196" s="57">
        <f>G196+I196</f>
        <v>140000</v>
      </c>
      <c r="L196" s="58">
        <f>F196*K196</f>
        <v>0</v>
      </c>
      <c r="M196" s="177"/>
    </row>
    <row r="197" spans="1:15" s="59" customFormat="1" ht="18" hidden="1" customHeight="1">
      <c r="A197" s="60" t="s">
        <v>160</v>
      </c>
      <c r="B197" s="53" t="s">
        <v>315</v>
      </c>
      <c r="C197" s="62"/>
      <c r="D197" s="55" t="s">
        <v>443</v>
      </c>
      <c r="E197" s="55" t="s">
        <v>39</v>
      </c>
      <c r="F197" s="61"/>
      <c r="G197" s="57">
        <v>160000</v>
      </c>
      <c r="H197" s="57">
        <f t="shared" ref="H197" si="177">F197*G197</f>
        <v>0</v>
      </c>
      <c r="I197" s="57">
        <v>50000</v>
      </c>
      <c r="J197" s="57">
        <f t="shared" ref="J197" si="178">F197*I197</f>
        <v>0</v>
      </c>
      <c r="K197" s="57">
        <f t="shared" ref="K197" si="179">G197+I197</f>
        <v>210000</v>
      </c>
      <c r="L197" s="58">
        <f t="shared" ref="L197" si="180">F197*K197</f>
        <v>0</v>
      </c>
      <c r="M197" s="177"/>
    </row>
    <row r="198" spans="1:15" s="59" customFormat="1" ht="18" hidden="1" customHeight="1">
      <c r="A198" s="60" t="s">
        <v>305</v>
      </c>
      <c r="B198" s="311" t="s">
        <v>306</v>
      </c>
      <c r="C198" s="62"/>
      <c r="D198" s="55" t="s">
        <v>307</v>
      </c>
      <c r="E198" s="55" t="s">
        <v>164</v>
      </c>
      <c r="F198" s="61"/>
      <c r="G198" s="57">
        <v>150000</v>
      </c>
      <c r="H198" s="57">
        <f>F198*G198</f>
        <v>0</v>
      </c>
      <c r="I198" s="57">
        <v>30000</v>
      </c>
      <c r="J198" s="57">
        <f>F198*I198</f>
        <v>0</v>
      </c>
      <c r="K198" s="57">
        <f>G198+I198</f>
        <v>180000</v>
      </c>
      <c r="L198" s="58">
        <f>F198*K198</f>
        <v>0</v>
      </c>
      <c r="M198" s="177"/>
    </row>
    <row r="199" spans="1:15" s="59" customFormat="1" ht="18" hidden="1" customHeight="1">
      <c r="A199" s="60"/>
      <c r="B199" s="311"/>
      <c r="C199" s="62"/>
      <c r="D199" s="55"/>
      <c r="E199" s="55"/>
      <c r="F199" s="61"/>
      <c r="G199" s="57"/>
      <c r="H199" s="57"/>
      <c r="I199" s="57"/>
      <c r="J199" s="57"/>
      <c r="K199" s="57"/>
      <c r="L199" s="58"/>
      <c r="M199" s="177"/>
    </row>
    <row r="200" spans="1:15" s="59" customFormat="1" ht="18" customHeight="1">
      <c r="A200" s="167" t="s">
        <v>311</v>
      </c>
      <c r="B200" s="168" t="s">
        <v>312</v>
      </c>
      <c r="C200" s="169"/>
      <c r="D200" s="261"/>
      <c r="E200" s="261" t="s">
        <v>38</v>
      </c>
      <c r="F200" s="266">
        <v>1</v>
      </c>
      <c r="G200" s="262">
        <v>0</v>
      </c>
      <c r="H200" s="262">
        <f t="shared" ref="H200" si="181">F200*G200</f>
        <v>0</v>
      </c>
      <c r="I200" s="262">
        <v>0</v>
      </c>
      <c r="J200" s="262">
        <f t="shared" ref="J200" si="182">F200*I200</f>
        <v>0</v>
      </c>
      <c r="K200" s="262">
        <f t="shared" ref="K200" si="183">G200+I200</f>
        <v>0</v>
      </c>
      <c r="L200" s="263">
        <f t="shared" ref="L200" si="184">F200*K200</f>
        <v>0</v>
      </c>
      <c r="M200" s="177"/>
    </row>
    <row r="201" spans="1:15" ht="18" customHeight="1">
      <c r="A201" s="167"/>
      <c r="B201" s="498" t="s">
        <v>648</v>
      </c>
      <c r="C201" s="499"/>
      <c r="D201" s="499"/>
      <c r="E201" s="499"/>
      <c r="F201" s="499"/>
      <c r="G201" s="499"/>
      <c r="H201" s="499"/>
      <c r="I201" s="499"/>
      <c r="J201" s="499"/>
      <c r="K201" s="499"/>
      <c r="L201" s="500"/>
      <c r="M201" s="177"/>
    </row>
    <row r="202" spans="1:15" s="20" customFormat="1" ht="18" customHeight="1">
      <c r="A202" s="13"/>
      <c r="B202" s="13" t="s">
        <v>13</v>
      </c>
      <c r="C202" s="15"/>
      <c r="D202" s="16"/>
      <c r="E202" s="16"/>
      <c r="F202" s="173"/>
      <c r="G202" s="48"/>
      <c r="H202" s="48">
        <f>SUM(H92:H201)</f>
        <v>21063000</v>
      </c>
      <c r="I202" s="48"/>
      <c r="J202" s="48">
        <f>SUM(J92:J201)</f>
        <v>6657000</v>
      </c>
      <c r="K202" s="48"/>
      <c r="L202" s="48">
        <f>SUM(L92:L201)</f>
        <v>27720000</v>
      </c>
      <c r="M202" s="177"/>
    </row>
    <row r="203" spans="1:15" ht="18" customHeight="1">
      <c r="A203" s="13"/>
      <c r="B203" s="14"/>
      <c r="C203" s="12"/>
      <c r="D203" s="5"/>
      <c r="E203" s="5"/>
      <c r="F203" s="173"/>
      <c r="G203" s="28"/>
      <c r="H203" s="28"/>
      <c r="I203" s="28"/>
      <c r="J203" s="28"/>
      <c r="K203" s="28"/>
      <c r="L203" s="29"/>
      <c r="M203" s="177"/>
    </row>
    <row r="204" spans="1:15" s="20" customFormat="1" ht="18" customHeight="1">
      <c r="A204" s="44" t="s">
        <v>31</v>
      </c>
      <c r="B204" s="45" t="s">
        <v>102</v>
      </c>
      <c r="C204" s="46"/>
      <c r="D204" s="16"/>
      <c r="E204" s="16"/>
      <c r="F204" s="173"/>
      <c r="G204" s="48"/>
      <c r="H204" s="48"/>
      <c r="I204" s="48"/>
      <c r="J204" s="48"/>
      <c r="K204" s="48"/>
      <c r="L204" s="49"/>
      <c r="M204" s="177"/>
    </row>
    <row r="205" spans="1:15" s="59" customFormat="1" ht="18" customHeight="1">
      <c r="A205" s="52">
        <v>-1</v>
      </c>
      <c r="B205" s="53" t="s">
        <v>103</v>
      </c>
      <c r="C205" s="54"/>
      <c r="D205" s="55"/>
      <c r="E205" s="55"/>
      <c r="F205" s="56"/>
      <c r="G205" s="57"/>
      <c r="H205" s="57"/>
      <c r="I205" s="57"/>
      <c r="J205" s="57"/>
      <c r="K205" s="57"/>
      <c r="L205" s="58"/>
      <c r="M205" s="177"/>
    </row>
    <row r="206" spans="1:15" s="59" customFormat="1" ht="18" customHeight="1">
      <c r="A206" s="52">
        <v>-1</v>
      </c>
      <c r="B206" s="53" t="s">
        <v>447</v>
      </c>
      <c r="C206" s="54"/>
      <c r="D206" s="55"/>
      <c r="E206" s="55"/>
      <c r="F206" s="56"/>
      <c r="G206" s="57"/>
      <c r="H206" s="57"/>
      <c r="I206" s="57"/>
      <c r="J206" s="57"/>
      <c r="K206" s="57"/>
      <c r="L206" s="58"/>
      <c r="M206" s="177"/>
    </row>
    <row r="207" spans="1:15" s="275" customFormat="1" ht="18" hidden="1" customHeight="1">
      <c r="A207" s="363" t="s">
        <v>12</v>
      </c>
      <c r="B207" s="364" t="s">
        <v>363</v>
      </c>
      <c r="C207" s="365" t="s">
        <v>367</v>
      </c>
      <c r="D207" s="363" t="s">
        <v>234</v>
      </c>
      <c r="E207" s="366" t="s">
        <v>164</v>
      </c>
      <c r="F207" s="367">
        <v>0</v>
      </c>
      <c r="G207" s="368">
        <v>31000</v>
      </c>
      <c r="H207" s="368">
        <f t="shared" ref="H207" si="185">F207*G207</f>
        <v>0</v>
      </c>
      <c r="I207" s="368">
        <v>10000</v>
      </c>
      <c r="J207" s="368">
        <f t="shared" ref="J207" si="186">F207*I207</f>
        <v>0</v>
      </c>
      <c r="K207" s="368">
        <f t="shared" ref="K207" si="187">G207+I207</f>
        <v>41000</v>
      </c>
      <c r="L207" s="369">
        <f t="shared" ref="L207" si="188">F207*K207</f>
        <v>0</v>
      </c>
      <c r="M207" s="370"/>
    </row>
    <row r="208" spans="1:15" s="362" customFormat="1" ht="18" hidden="1" customHeight="1">
      <c r="A208" s="354" t="s">
        <v>313</v>
      </c>
      <c r="B208" s="355" t="s">
        <v>370</v>
      </c>
      <c r="C208" s="356" t="s">
        <v>371</v>
      </c>
      <c r="D208" s="357" t="s">
        <v>314</v>
      </c>
      <c r="E208" s="357" t="s">
        <v>38</v>
      </c>
      <c r="F208" s="358">
        <v>0</v>
      </c>
      <c r="G208" s="359">
        <v>58100</v>
      </c>
      <c r="H208" s="359">
        <f>F208*G208</f>
        <v>0</v>
      </c>
      <c r="I208" s="359">
        <v>20000</v>
      </c>
      <c r="J208" s="359">
        <f t="shared" ref="J208:J214" si="189">F208*I208</f>
        <v>0</v>
      </c>
      <c r="K208" s="359">
        <f t="shared" ref="K208:K214" si="190">G208+I208</f>
        <v>78100</v>
      </c>
      <c r="L208" s="360">
        <f t="shared" ref="L208:L214" si="191">F208*K208</f>
        <v>0</v>
      </c>
      <c r="M208" s="361"/>
      <c r="O208" s="362" t="s">
        <v>372</v>
      </c>
    </row>
    <row r="209" spans="1:13" s="423" customFormat="1" ht="18" customHeight="1">
      <c r="A209" s="416" t="s">
        <v>160</v>
      </c>
      <c r="B209" s="417" t="s">
        <v>561</v>
      </c>
      <c r="C209" s="418" t="s">
        <v>242</v>
      </c>
      <c r="D209" s="419" t="s">
        <v>448</v>
      </c>
      <c r="E209" s="419" t="s">
        <v>164</v>
      </c>
      <c r="F209" s="420">
        <v>1</v>
      </c>
      <c r="G209" s="421">
        <v>38000</v>
      </c>
      <c r="H209" s="421">
        <f>F209*G209</f>
        <v>38000</v>
      </c>
      <c r="I209" s="421">
        <v>5000</v>
      </c>
      <c r="J209" s="421">
        <f>F209*I209</f>
        <v>5000</v>
      </c>
      <c r="K209" s="421">
        <f>G209+I209</f>
        <v>43000</v>
      </c>
      <c r="L209" s="422">
        <f>F209*K209</f>
        <v>43000</v>
      </c>
      <c r="M209" s="424"/>
    </row>
    <row r="210" spans="1:13" s="423" customFormat="1" ht="18" customHeight="1">
      <c r="A210" s="416" t="s">
        <v>44</v>
      </c>
      <c r="B210" s="417" t="s">
        <v>561</v>
      </c>
      <c r="C210" s="418" t="s">
        <v>450</v>
      </c>
      <c r="D210" s="419" t="s">
        <v>448</v>
      </c>
      <c r="E210" s="419" t="s">
        <v>38</v>
      </c>
      <c r="F210" s="420">
        <v>1</v>
      </c>
      <c r="G210" s="421">
        <v>28500</v>
      </c>
      <c r="H210" s="421">
        <f t="shared" ref="H210" si="192">F210*G210</f>
        <v>28500</v>
      </c>
      <c r="I210" s="421">
        <v>5000</v>
      </c>
      <c r="J210" s="421">
        <f t="shared" ref="J210" si="193">F210*I210</f>
        <v>5000</v>
      </c>
      <c r="K210" s="421">
        <f t="shared" ref="K210" si="194">G210+I210</f>
        <v>33500</v>
      </c>
      <c r="L210" s="422">
        <f t="shared" ref="L210" si="195">F210*K210</f>
        <v>33500</v>
      </c>
      <c r="M210" s="424"/>
    </row>
    <row r="211" spans="1:13" s="423" customFormat="1" ht="18" hidden="1" customHeight="1">
      <c r="A211" s="416" t="s">
        <v>160</v>
      </c>
      <c r="B211" s="417" t="s">
        <v>561</v>
      </c>
      <c r="C211" s="418" t="s">
        <v>449</v>
      </c>
      <c r="D211" s="419" t="s">
        <v>448</v>
      </c>
      <c r="E211" s="419" t="s">
        <v>38</v>
      </c>
      <c r="F211" s="420">
        <v>0</v>
      </c>
      <c r="G211" s="421">
        <v>22000</v>
      </c>
      <c r="H211" s="421">
        <f>F211*G211</f>
        <v>0</v>
      </c>
      <c r="I211" s="421">
        <v>5000</v>
      </c>
      <c r="J211" s="421">
        <f>F211*I211</f>
        <v>0</v>
      </c>
      <c r="K211" s="421">
        <f>G211+I211</f>
        <v>27000</v>
      </c>
      <c r="L211" s="422">
        <f>F211*K211</f>
        <v>0</v>
      </c>
      <c r="M211" s="424"/>
    </row>
    <row r="212" spans="1:13" s="423" customFormat="1" ht="18" hidden="1" customHeight="1">
      <c r="A212" s="416" t="s">
        <v>160</v>
      </c>
      <c r="B212" s="417" t="s">
        <v>561</v>
      </c>
      <c r="C212" s="418" t="s">
        <v>449</v>
      </c>
      <c r="D212" s="419" t="s">
        <v>223</v>
      </c>
      <c r="E212" s="419" t="s">
        <v>38</v>
      </c>
      <c r="F212" s="420"/>
      <c r="G212" s="421">
        <v>22000</v>
      </c>
      <c r="H212" s="421">
        <f>F212*G212</f>
        <v>0</v>
      </c>
      <c r="I212" s="421">
        <v>5000</v>
      </c>
      <c r="J212" s="421">
        <f>F212*I212</f>
        <v>0</v>
      </c>
      <c r="K212" s="421">
        <f>G212+I212</f>
        <v>27000</v>
      </c>
      <c r="L212" s="422">
        <f>F212*K212</f>
        <v>0</v>
      </c>
      <c r="M212" s="424"/>
    </row>
    <row r="213" spans="1:13" s="423" customFormat="1" ht="18" customHeight="1">
      <c r="A213" s="416" t="s">
        <v>216</v>
      </c>
      <c r="B213" s="417" t="s">
        <v>561</v>
      </c>
      <c r="C213" s="418" t="s">
        <v>242</v>
      </c>
      <c r="D213" s="419" t="s">
        <v>223</v>
      </c>
      <c r="E213" s="419" t="s">
        <v>240</v>
      </c>
      <c r="F213" s="420">
        <v>5</v>
      </c>
      <c r="G213" s="421">
        <v>32500</v>
      </c>
      <c r="H213" s="421">
        <f t="shared" ref="H213:H214" si="196">F213*G213</f>
        <v>162500</v>
      </c>
      <c r="I213" s="421">
        <v>5000</v>
      </c>
      <c r="J213" s="421">
        <f t="shared" si="189"/>
        <v>25000</v>
      </c>
      <c r="K213" s="421">
        <f t="shared" si="190"/>
        <v>37500</v>
      </c>
      <c r="L213" s="422">
        <f t="shared" si="191"/>
        <v>187500</v>
      </c>
      <c r="M213" s="424"/>
    </row>
    <row r="214" spans="1:13" s="423" customFormat="1" ht="18" customHeight="1">
      <c r="A214" s="416" t="s">
        <v>216</v>
      </c>
      <c r="B214" s="417" t="s">
        <v>561</v>
      </c>
      <c r="C214" s="418" t="s">
        <v>607</v>
      </c>
      <c r="D214" s="419" t="s">
        <v>223</v>
      </c>
      <c r="E214" s="419" t="s">
        <v>240</v>
      </c>
      <c r="F214" s="420">
        <v>1</v>
      </c>
      <c r="G214" s="421">
        <v>49000</v>
      </c>
      <c r="H214" s="421">
        <f t="shared" si="196"/>
        <v>49000</v>
      </c>
      <c r="I214" s="421">
        <v>5000</v>
      </c>
      <c r="J214" s="421">
        <f t="shared" si="189"/>
        <v>5000</v>
      </c>
      <c r="K214" s="421">
        <f t="shared" si="190"/>
        <v>54000</v>
      </c>
      <c r="L214" s="422">
        <f t="shared" si="191"/>
        <v>54000</v>
      </c>
      <c r="M214" s="424"/>
    </row>
    <row r="215" spans="1:13" s="423" customFormat="1" ht="18" customHeight="1">
      <c r="A215" s="416" t="s">
        <v>216</v>
      </c>
      <c r="B215" s="417" t="s">
        <v>561</v>
      </c>
      <c r="C215" s="418" t="s">
        <v>241</v>
      </c>
      <c r="D215" s="419" t="s">
        <v>223</v>
      </c>
      <c r="E215" s="419" t="s">
        <v>240</v>
      </c>
      <c r="F215" s="420">
        <v>16</v>
      </c>
      <c r="G215" s="421">
        <v>22600</v>
      </c>
      <c r="H215" s="421">
        <f>F215*G215</f>
        <v>361600</v>
      </c>
      <c r="I215" s="421">
        <v>5000</v>
      </c>
      <c r="J215" s="421">
        <f>F215*I215</f>
        <v>80000</v>
      </c>
      <c r="K215" s="421">
        <f>G215+I215</f>
        <v>27600</v>
      </c>
      <c r="L215" s="422">
        <f>F215*K215</f>
        <v>441600</v>
      </c>
      <c r="M215" s="424"/>
    </row>
    <row r="216" spans="1:13" s="423" customFormat="1" ht="18" customHeight="1">
      <c r="A216" s="416" t="s">
        <v>160</v>
      </c>
      <c r="B216" s="417" t="s">
        <v>561</v>
      </c>
      <c r="C216" s="418" t="s">
        <v>560</v>
      </c>
      <c r="D216" s="419" t="s">
        <v>223</v>
      </c>
      <c r="E216" s="419" t="s">
        <v>38</v>
      </c>
      <c r="F216" s="420">
        <v>1</v>
      </c>
      <c r="G216" s="421">
        <v>73300</v>
      </c>
      <c r="H216" s="421">
        <f t="shared" ref="H216" si="197">F216*G216</f>
        <v>73300</v>
      </c>
      <c r="I216" s="421">
        <v>5000</v>
      </c>
      <c r="J216" s="421">
        <f t="shared" ref="J216" si="198">F216*I216</f>
        <v>5000</v>
      </c>
      <c r="K216" s="421">
        <f t="shared" ref="K216" si="199">G216+I216</f>
        <v>78300</v>
      </c>
      <c r="L216" s="422">
        <f t="shared" ref="L216" si="200">F216*K216</f>
        <v>78300</v>
      </c>
      <c r="M216" s="424"/>
    </row>
    <row r="217" spans="1:13" s="423" customFormat="1" ht="18" customHeight="1">
      <c r="A217" s="416" t="s">
        <v>44</v>
      </c>
      <c r="B217" s="417" t="s">
        <v>561</v>
      </c>
      <c r="C217" s="418" t="s">
        <v>450</v>
      </c>
      <c r="D217" s="419" t="s">
        <v>223</v>
      </c>
      <c r="E217" s="419" t="s">
        <v>38</v>
      </c>
      <c r="F217" s="420">
        <v>7</v>
      </c>
      <c r="G217" s="421">
        <v>28500</v>
      </c>
      <c r="H217" s="421">
        <f t="shared" ref="H217" si="201">F217*G217</f>
        <v>199500</v>
      </c>
      <c r="I217" s="421">
        <v>5000</v>
      </c>
      <c r="J217" s="421">
        <f t="shared" ref="J217" si="202">F217*I217</f>
        <v>35000</v>
      </c>
      <c r="K217" s="421">
        <f t="shared" ref="K217" si="203">G217+I217</f>
        <v>33500</v>
      </c>
      <c r="L217" s="422">
        <f t="shared" ref="L217" si="204">F217*K217</f>
        <v>234500</v>
      </c>
      <c r="M217" s="424"/>
    </row>
    <row r="218" spans="1:13" s="423" customFormat="1" ht="18" hidden="1" customHeight="1">
      <c r="A218" s="416" t="s">
        <v>44</v>
      </c>
      <c r="B218" s="417" t="s">
        <v>561</v>
      </c>
      <c r="C218" s="418" t="s">
        <v>559</v>
      </c>
      <c r="D218" s="419" t="s">
        <v>223</v>
      </c>
      <c r="E218" s="419" t="s">
        <v>38</v>
      </c>
      <c r="F218" s="420">
        <v>0</v>
      </c>
      <c r="G218" s="421">
        <v>47300</v>
      </c>
      <c r="H218" s="421">
        <f t="shared" ref="H218" si="205">F218*G218</f>
        <v>0</v>
      </c>
      <c r="I218" s="421">
        <v>5000</v>
      </c>
      <c r="J218" s="421">
        <f t="shared" ref="J218" si="206">F218*I218</f>
        <v>0</v>
      </c>
      <c r="K218" s="421">
        <f t="shared" ref="K218" si="207">G218+I218</f>
        <v>52300</v>
      </c>
      <c r="L218" s="422">
        <f t="shared" ref="L218" si="208">F218*K218</f>
        <v>0</v>
      </c>
      <c r="M218" s="424"/>
    </row>
    <row r="219" spans="1:13" s="59" customFormat="1" ht="18" hidden="1" customHeight="1">
      <c r="A219" s="60" t="s">
        <v>12</v>
      </c>
      <c r="B219" s="53" t="s">
        <v>563</v>
      </c>
      <c r="C219" s="62" t="s">
        <v>564</v>
      </c>
      <c r="D219" s="55" t="s">
        <v>223</v>
      </c>
      <c r="E219" s="55" t="s">
        <v>38</v>
      </c>
      <c r="F219" s="61">
        <v>0</v>
      </c>
      <c r="G219" s="57">
        <v>70000</v>
      </c>
      <c r="H219" s="57">
        <f>F219*G219</f>
        <v>0</v>
      </c>
      <c r="I219" s="57">
        <v>20000</v>
      </c>
      <c r="J219" s="57">
        <f>F219*I219</f>
        <v>0</v>
      </c>
      <c r="K219" s="57">
        <f>G219+I219</f>
        <v>90000</v>
      </c>
      <c r="L219" s="58">
        <f>F219*K219</f>
        <v>0</v>
      </c>
      <c r="M219" s="177"/>
    </row>
    <row r="220" spans="1:13" s="423" customFormat="1" ht="18" customHeight="1">
      <c r="A220" s="416" t="s">
        <v>44</v>
      </c>
      <c r="B220" s="417" t="s">
        <v>561</v>
      </c>
      <c r="C220" s="418" t="s">
        <v>653</v>
      </c>
      <c r="D220" s="419" t="s">
        <v>223</v>
      </c>
      <c r="E220" s="419" t="s">
        <v>38</v>
      </c>
      <c r="F220" s="420">
        <v>1</v>
      </c>
      <c r="G220" s="421">
        <v>66700</v>
      </c>
      <c r="H220" s="421">
        <f t="shared" ref="H220" si="209">F220*G220</f>
        <v>66700</v>
      </c>
      <c r="I220" s="421">
        <v>5000</v>
      </c>
      <c r="J220" s="421">
        <f t="shared" ref="J220" si="210">F220*I220</f>
        <v>5000</v>
      </c>
      <c r="K220" s="421">
        <f t="shared" ref="K220" si="211">G220+I220</f>
        <v>71700</v>
      </c>
      <c r="L220" s="422">
        <f t="shared" ref="L220" si="212">F220*K220</f>
        <v>71700</v>
      </c>
      <c r="M220" s="424"/>
    </row>
    <row r="221" spans="1:13" s="59" customFormat="1" ht="18" customHeight="1">
      <c r="A221" s="60" t="s">
        <v>12</v>
      </c>
      <c r="B221" s="53" t="s">
        <v>269</v>
      </c>
      <c r="C221" s="62"/>
      <c r="D221" s="55" t="s">
        <v>452</v>
      </c>
      <c r="E221" s="55" t="s">
        <v>38</v>
      </c>
      <c r="F221" s="61">
        <v>27</v>
      </c>
      <c r="G221" s="57">
        <v>5000</v>
      </c>
      <c r="H221" s="57">
        <f>F221*G221</f>
        <v>135000</v>
      </c>
      <c r="I221" s="57">
        <v>8000</v>
      </c>
      <c r="J221" s="57">
        <f>F221*I221</f>
        <v>216000</v>
      </c>
      <c r="K221" s="57">
        <f>G221+I221</f>
        <v>13000</v>
      </c>
      <c r="L221" s="58">
        <f>F221*K221</f>
        <v>351000</v>
      </c>
      <c r="M221" s="177"/>
    </row>
    <row r="222" spans="1:13" s="423" customFormat="1" ht="18" hidden="1" customHeight="1">
      <c r="A222" s="258" t="s">
        <v>325</v>
      </c>
      <c r="B222" s="417" t="s">
        <v>557</v>
      </c>
      <c r="C222" s="418" t="s">
        <v>558</v>
      </c>
      <c r="D222" s="419" t="s">
        <v>223</v>
      </c>
      <c r="E222" s="419" t="s">
        <v>38</v>
      </c>
      <c r="F222" s="420">
        <v>0</v>
      </c>
      <c r="G222" s="421">
        <v>0</v>
      </c>
      <c r="H222" s="421">
        <f>F222*G222</f>
        <v>0</v>
      </c>
      <c r="I222" s="421">
        <v>8000</v>
      </c>
      <c r="J222" s="421">
        <f>F222*I222</f>
        <v>0</v>
      </c>
      <c r="K222" s="421">
        <f>G222+I222</f>
        <v>8000</v>
      </c>
      <c r="L222" s="422">
        <f>F222*K222</f>
        <v>0</v>
      </c>
      <c r="M222" s="424"/>
    </row>
    <row r="223" spans="1:13" s="59" customFormat="1" ht="18" customHeight="1">
      <c r="A223" s="60" t="s">
        <v>12</v>
      </c>
      <c r="B223" s="53" t="s">
        <v>104</v>
      </c>
      <c r="C223" s="62" t="s">
        <v>265</v>
      </c>
      <c r="D223" s="60" t="s">
        <v>223</v>
      </c>
      <c r="E223" s="55" t="s">
        <v>39</v>
      </c>
      <c r="F223" s="61">
        <f>5+4+4+3+3+3</f>
        <v>22</v>
      </c>
      <c r="G223" s="57">
        <v>24000</v>
      </c>
      <c r="H223" s="57">
        <f t="shared" ref="H223:H225" si="213">F223*G223</f>
        <v>528000</v>
      </c>
      <c r="I223" s="57">
        <v>20000</v>
      </c>
      <c r="J223" s="57">
        <f t="shared" ref="J223:J225" si="214">F223*I223</f>
        <v>440000</v>
      </c>
      <c r="K223" s="57">
        <f t="shared" ref="K223:K225" si="215">G223+I223</f>
        <v>44000</v>
      </c>
      <c r="L223" s="58">
        <f t="shared" ref="L223:L225" si="216">F223*K223</f>
        <v>968000</v>
      </c>
      <c r="M223" s="177"/>
    </row>
    <row r="224" spans="1:13" s="59" customFormat="1" ht="18" customHeight="1">
      <c r="A224" s="60" t="s">
        <v>297</v>
      </c>
      <c r="B224" s="53" t="s">
        <v>104</v>
      </c>
      <c r="C224" s="62" t="s">
        <v>266</v>
      </c>
      <c r="D224" s="55" t="s">
        <v>223</v>
      </c>
      <c r="E224" s="55" t="s">
        <v>164</v>
      </c>
      <c r="F224" s="61">
        <v>4</v>
      </c>
      <c r="G224" s="57">
        <v>18000</v>
      </c>
      <c r="H224" s="57">
        <f t="shared" si="213"/>
        <v>72000</v>
      </c>
      <c r="I224" s="57">
        <v>5000</v>
      </c>
      <c r="J224" s="57">
        <f t="shared" si="214"/>
        <v>20000</v>
      </c>
      <c r="K224" s="57">
        <f t="shared" si="215"/>
        <v>23000</v>
      </c>
      <c r="L224" s="58">
        <f t="shared" si="216"/>
        <v>92000</v>
      </c>
      <c r="M224" s="312"/>
    </row>
    <row r="225" spans="1:14" ht="18" customHeight="1">
      <c r="A225" s="171" t="s">
        <v>12</v>
      </c>
      <c r="B225" s="11" t="s">
        <v>654</v>
      </c>
      <c r="C225" s="172" t="s">
        <v>655</v>
      </c>
      <c r="D225" s="55" t="s">
        <v>223</v>
      </c>
      <c r="E225" s="55" t="s">
        <v>39</v>
      </c>
      <c r="F225" s="173">
        <f>3.2+3.2+4+4</f>
        <v>14.4</v>
      </c>
      <c r="G225" s="28">
        <v>55000</v>
      </c>
      <c r="H225" s="28">
        <f t="shared" si="213"/>
        <v>792000</v>
      </c>
      <c r="I225" s="28">
        <v>8000</v>
      </c>
      <c r="J225" s="28">
        <f t="shared" si="214"/>
        <v>115200</v>
      </c>
      <c r="K225" s="28">
        <f t="shared" si="215"/>
        <v>63000</v>
      </c>
      <c r="L225" s="29">
        <f t="shared" si="216"/>
        <v>907200</v>
      </c>
      <c r="M225" s="177"/>
      <c r="N225" s="9">
        <v>37000</v>
      </c>
    </row>
    <row r="226" spans="1:14" ht="18" customHeight="1">
      <c r="A226" s="171" t="s">
        <v>12</v>
      </c>
      <c r="B226" s="11" t="s">
        <v>455</v>
      </c>
      <c r="C226" s="172" t="s">
        <v>456</v>
      </c>
      <c r="D226" s="55" t="s">
        <v>223</v>
      </c>
      <c r="E226" s="55" t="s">
        <v>39</v>
      </c>
      <c r="F226" s="173">
        <f>1.6+8.8+2.5+6.2</f>
        <v>19.100000000000001</v>
      </c>
      <c r="G226" s="28">
        <v>38000</v>
      </c>
      <c r="H226" s="28">
        <f t="shared" ref="H226:H227" si="217">F226*G226</f>
        <v>725800</v>
      </c>
      <c r="I226" s="28">
        <v>8000</v>
      </c>
      <c r="J226" s="28">
        <f t="shared" ref="J226:J227" si="218">F226*I226</f>
        <v>152800</v>
      </c>
      <c r="K226" s="28">
        <f t="shared" ref="K226" si="219">G226+I226</f>
        <v>46000</v>
      </c>
      <c r="L226" s="29">
        <f t="shared" ref="L226" si="220">F226*K226</f>
        <v>878600.00000000012</v>
      </c>
      <c r="M226" s="177"/>
      <c r="N226" s="9">
        <v>37000</v>
      </c>
    </row>
    <row r="227" spans="1:14" s="423" customFormat="1" ht="18" customHeight="1">
      <c r="A227" s="416" t="s">
        <v>313</v>
      </c>
      <c r="B227" s="417" t="s">
        <v>455</v>
      </c>
      <c r="C227" s="418" t="s">
        <v>475</v>
      </c>
      <c r="D227" s="419" t="s">
        <v>223</v>
      </c>
      <c r="E227" s="419" t="s">
        <v>164</v>
      </c>
      <c r="F227" s="420">
        <v>0</v>
      </c>
      <c r="G227" s="421">
        <v>130000</v>
      </c>
      <c r="H227" s="402">
        <f t="shared" si="217"/>
        <v>0</v>
      </c>
      <c r="I227" s="402">
        <v>5000</v>
      </c>
      <c r="J227" s="402">
        <f t="shared" si="218"/>
        <v>0</v>
      </c>
      <c r="K227" s="421">
        <f>G227+I227</f>
        <v>135000</v>
      </c>
      <c r="L227" s="422">
        <f>F227*K227</f>
        <v>0</v>
      </c>
      <c r="M227" s="424"/>
    </row>
    <row r="228" spans="1:14" s="423" customFormat="1" ht="18" customHeight="1">
      <c r="A228" s="416" t="s">
        <v>160</v>
      </c>
      <c r="B228" s="417" t="s">
        <v>455</v>
      </c>
      <c r="C228" s="418" t="s">
        <v>457</v>
      </c>
      <c r="D228" s="419" t="s">
        <v>223</v>
      </c>
      <c r="E228" s="419" t="s">
        <v>38</v>
      </c>
      <c r="F228" s="420">
        <v>0</v>
      </c>
      <c r="G228" s="421">
        <v>0</v>
      </c>
      <c r="H228" s="402">
        <f t="shared" ref="H228" si="221">F228*G228</f>
        <v>0</v>
      </c>
      <c r="I228" s="402">
        <v>0</v>
      </c>
      <c r="J228" s="402">
        <f t="shared" ref="J228" si="222">F228*I228</f>
        <v>0</v>
      </c>
      <c r="K228" s="421">
        <f>G228+I228</f>
        <v>0</v>
      </c>
      <c r="L228" s="422">
        <f>F228*K228</f>
        <v>0</v>
      </c>
      <c r="M228" s="424"/>
    </row>
    <row r="229" spans="1:14" s="423" customFormat="1" ht="18" customHeight="1">
      <c r="A229" s="416" t="s">
        <v>44</v>
      </c>
      <c r="B229" s="417" t="s">
        <v>652</v>
      </c>
      <c r="C229" s="418" t="s">
        <v>320</v>
      </c>
      <c r="D229" s="419" t="s">
        <v>223</v>
      </c>
      <c r="E229" s="419" t="s">
        <v>38</v>
      </c>
      <c r="F229" s="420">
        <v>1</v>
      </c>
      <c r="G229" s="421">
        <v>0</v>
      </c>
      <c r="H229" s="402">
        <f t="shared" ref="H229" si="223">F229*G229</f>
        <v>0</v>
      </c>
      <c r="I229" s="402">
        <v>0</v>
      </c>
      <c r="J229" s="402">
        <f t="shared" ref="J229" si="224">F229*I229</f>
        <v>0</v>
      </c>
      <c r="K229" s="421">
        <f>G229+I229</f>
        <v>0</v>
      </c>
      <c r="L229" s="422">
        <f>F229*K229</f>
        <v>0</v>
      </c>
      <c r="M229" s="424"/>
    </row>
    <row r="230" spans="1:14" s="59" customFormat="1" ht="18" customHeight="1">
      <c r="A230" s="60"/>
      <c r="B230" s="53"/>
      <c r="C230" s="62"/>
      <c r="D230" s="55"/>
      <c r="E230" s="55"/>
      <c r="F230" s="61"/>
      <c r="G230" s="57"/>
      <c r="H230" s="57"/>
      <c r="I230" s="57"/>
      <c r="J230" s="57"/>
      <c r="K230" s="57"/>
      <c r="L230" s="58"/>
      <c r="M230" s="312"/>
    </row>
    <row r="231" spans="1:14" s="59" customFormat="1" ht="18" customHeight="1">
      <c r="A231" s="60">
        <v>-1</v>
      </c>
      <c r="B231" s="53" t="s">
        <v>453</v>
      </c>
      <c r="C231" s="62"/>
      <c r="D231" s="55"/>
      <c r="E231" s="55"/>
      <c r="F231" s="61"/>
      <c r="G231" s="57"/>
      <c r="H231" s="57"/>
      <c r="I231" s="57"/>
      <c r="J231" s="57"/>
      <c r="K231" s="57"/>
      <c r="L231" s="58"/>
      <c r="M231" s="312"/>
    </row>
    <row r="232" spans="1:14" s="59" customFormat="1" ht="18" customHeight="1">
      <c r="A232" s="60" t="s">
        <v>12</v>
      </c>
      <c r="B232" s="53" t="s">
        <v>269</v>
      </c>
      <c r="C232" s="62"/>
      <c r="D232" s="55" t="s">
        <v>322</v>
      </c>
      <c r="E232" s="55" t="s">
        <v>38</v>
      </c>
      <c r="F232" s="61">
        <v>4</v>
      </c>
      <c r="G232" s="57">
        <v>5000</v>
      </c>
      <c r="H232" s="57">
        <f>F232*G232</f>
        <v>20000</v>
      </c>
      <c r="I232" s="57">
        <v>8000</v>
      </c>
      <c r="J232" s="57">
        <f>F232*I232</f>
        <v>32000</v>
      </c>
      <c r="K232" s="57">
        <f>G232+I232</f>
        <v>13000</v>
      </c>
      <c r="L232" s="58">
        <f>F232*K232</f>
        <v>52000</v>
      </c>
      <c r="M232" s="177"/>
    </row>
    <row r="233" spans="1:14" s="59" customFormat="1" ht="18" hidden="1" customHeight="1">
      <c r="A233" s="60" t="s">
        <v>12</v>
      </c>
      <c r="B233" s="53" t="s">
        <v>104</v>
      </c>
      <c r="C233" s="62" t="s">
        <v>265</v>
      </c>
      <c r="D233" s="55" t="s">
        <v>322</v>
      </c>
      <c r="E233" s="55" t="s">
        <v>39</v>
      </c>
      <c r="F233" s="61">
        <v>0</v>
      </c>
      <c r="G233" s="57">
        <v>24000</v>
      </c>
      <c r="H233" s="57">
        <f t="shared" ref="H233:H236" si="225">F233*G233</f>
        <v>0</v>
      </c>
      <c r="I233" s="57">
        <v>20000</v>
      </c>
      <c r="J233" s="57">
        <f t="shared" ref="J233:J236" si="226">F233*I233</f>
        <v>0</v>
      </c>
      <c r="K233" s="57">
        <f t="shared" ref="K233:K236" si="227">G233+I233</f>
        <v>44000</v>
      </c>
      <c r="L233" s="58">
        <f t="shared" ref="L233:L236" si="228">F233*K233</f>
        <v>0</v>
      </c>
      <c r="M233" s="177"/>
    </row>
    <row r="234" spans="1:14" s="59" customFormat="1" ht="18" hidden="1" customHeight="1">
      <c r="A234" s="60" t="s">
        <v>297</v>
      </c>
      <c r="B234" s="53" t="s">
        <v>104</v>
      </c>
      <c r="C234" s="62" t="s">
        <v>266</v>
      </c>
      <c r="D234" s="55" t="s">
        <v>322</v>
      </c>
      <c r="E234" s="55" t="s">
        <v>164</v>
      </c>
      <c r="F234" s="61">
        <v>0</v>
      </c>
      <c r="G234" s="57">
        <v>18000</v>
      </c>
      <c r="H234" s="57">
        <f t="shared" si="225"/>
        <v>0</v>
      </c>
      <c r="I234" s="57">
        <v>5000</v>
      </c>
      <c r="J234" s="57">
        <f t="shared" si="226"/>
        <v>0</v>
      </c>
      <c r="K234" s="57">
        <f t="shared" si="227"/>
        <v>23000</v>
      </c>
      <c r="L234" s="58">
        <f t="shared" si="228"/>
        <v>0</v>
      </c>
      <c r="M234" s="312"/>
    </row>
    <row r="235" spans="1:14" s="59" customFormat="1" ht="18" customHeight="1">
      <c r="A235" s="60" t="s">
        <v>12</v>
      </c>
      <c r="B235" s="53" t="s">
        <v>104</v>
      </c>
      <c r="C235" s="62" t="s">
        <v>265</v>
      </c>
      <c r="D235" s="55" t="s">
        <v>322</v>
      </c>
      <c r="E235" s="55" t="s">
        <v>39</v>
      </c>
      <c r="F235" s="61">
        <v>1.5</v>
      </c>
      <c r="G235" s="57">
        <v>24000</v>
      </c>
      <c r="H235" s="57">
        <f t="shared" si="225"/>
        <v>36000</v>
      </c>
      <c r="I235" s="57">
        <v>20000</v>
      </c>
      <c r="J235" s="57">
        <f t="shared" si="226"/>
        <v>30000</v>
      </c>
      <c r="K235" s="57">
        <f t="shared" si="227"/>
        <v>44000</v>
      </c>
      <c r="L235" s="58">
        <f t="shared" si="228"/>
        <v>66000</v>
      </c>
      <c r="M235" s="177"/>
    </row>
    <row r="236" spans="1:14" s="59" customFormat="1" ht="18" customHeight="1">
      <c r="A236" s="60" t="s">
        <v>44</v>
      </c>
      <c r="B236" s="53" t="s">
        <v>104</v>
      </c>
      <c r="C236" s="62" t="s">
        <v>266</v>
      </c>
      <c r="D236" s="55" t="s">
        <v>322</v>
      </c>
      <c r="E236" s="55" t="s">
        <v>38</v>
      </c>
      <c r="F236" s="61">
        <v>1</v>
      </c>
      <c r="G236" s="57">
        <v>18000</v>
      </c>
      <c r="H236" s="57">
        <f t="shared" si="225"/>
        <v>18000</v>
      </c>
      <c r="I236" s="57">
        <v>5000</v>
      </c>
      <c r="J236" s="57">
        <f t="shared" si="226"/>
        <v>5000</v>
      </c>
      <c r="K236" s="57">
        <f t="shared" si="227"/>
        <v>23000</v>
      </c>
      <c r="L236" s="58">
        <f t="shared" si="228"/>
        <v>23000</v>
      </c>
      <c r="M236" s="312"/>
    </row>
    <row r="237" spans="1:14" s="59" customFormat="1" ht="18" customHeight="1">
      <c r="A237" s="60"/>
      <c r="B237" s="53"/>
      <c r="C237" s="62"/>
      <c r="D237" s="55"/>
      <c r="E237" s="55"/>
      <c r="F237" s="61"/>
      <c r="G237" s="57"/>
      <c r="H237" s="57"/>
      <c r="I237" s="57"/>
      <c r="J237" s="57"/>
      <c r="K237" s="57"/>
      <c r="L237" s="58"/>
      <c r="M237" s="312"/>
    </row>
    <row r="238" spans="1:14" s="59" customFormat="1" ht="18" customHeight="1">
      <c r="A238" s="60">
        <v>-1</v>
      </c>
      <c r="B238" s="53" t="s">
        <v>582</v>
      </c>
      <c r="C238" s="62"/>
      <c r="D238" s="55"/>
      <c r="E238" s="55"/>
      <c r="F238" s="61"/>
      <c r="G238" s="57"/>
      <c r="H238" s="57"/>
      <c r="I238" s="57"/>
      <c r="J238" s="57"/>
      <c r="K238" s="57"/>
      <c r="L238" s="58"/>
      <c r="M238" s="312"/>
    </row>
    <row r="239" spans="1:14" s="59" customFormat="1" ht="18" hidden="1" customHeight="1">
      <c r="A239" s="60" t="s">
        <v>44</v>
      </c>
      <c r="B239" s="417" t="s">
        <v>561</v>
      </c>
      <c r="C239" s="418" t="s">
        <v>609</v>
      </c>
      <c r="D239" s="419" t="s">
        <v>582</v>
      </c>
      <c r="E239" s="419" t="s">
        <v>38</v>
      </c>
      <c r="F239" s="420">
        <v>0</v>
      </c>
      <c r="G239" s="421">
        <v>71000</v>
      </c>
      <c r="H239" s="421">
        <f t="shared" ref="H239" si="229">F239*G239</f>
        <v>0</v>
      </c>
      <c r="I239" s="421">
        <v>5000</v>
      </c>
      <c r="J239" s="421">
        <f t="shared" ref="J239" si="230">F239*I239</f>
        <v>0</v>
      </c>
      <c r="K239" s="421">
        <f t="shared" ref="K239" si="231">G239+I239</f>
        <v>76000</v>
      </c>
      <c r="L239" s="422">
        <f t="shared" ref="L239" si="232">F239*K239</f>
        <v>0</v>
      </c>
      <c r="M239" s="424" t="s">
        <v>610</v>
      </c>
    </row>
    <row r="240" spans="1:14" s="59" customFormat="1" ht="18" customHeight="1">
      <c r="A240" s="60" t="s">
        <v>12</v>
      </c>
      <c r="B240" s="53" t="s">
        <v>608</v>
      </c>
      <c r="C240" s="62"/>
      <c r="D240" s="55" t="s">
        <v>582</v>
      </c>
      <c r="E240" s="55" t="s">
        <v>38</v>
      </c>
      <c r="F240" s="61">
        <v>1</v>
      </c>
      <c r="G240" s="57">
        <v>60000</v>
      </c>
      <c r="H240" s="57">
        <f>F240*G240</f>
        <v>60000</v>
      </c>
      <c r="I240" s="57">
        <v>12000</v>
      </c>
      <c r="J240" s="57">
        <f>F240*I240</f>
        <v>12000</v>
      </c>
      <c r="K240" s="57">
        <f>G240+I240</f>
        <v>72000</v>
      </c>
      <c r="L240" s="58">
        <f>F240*K240</f>
        <v>72000</v>
      </c>
      <c r="M240" s="177"/>
    </row>
    <row r="241" spans="1:13" s="59" customFormat="1" ht="18" hidden="1" customHeight="1">
      <c r="A241" s="60" t="s">
        <v>44</v>
      </c>
      <c r="B241" s="53" t="s">
        <v>608</v>
      </c>
      <c r="C241" s="62"/>
      <c r="D241" s="55" t="s">
        <v>582</v>
      </c>
      <c r="E241" s="55" t="s">
        <v>38</v>
      </c>
      <c r="F241" s="61"/>
      <c r="G241" s="57"/>
      <c r="H241" s="57"/>
      <c r="I241" s="57"/>
      <c r="J241" s="57"/>
      <c r="K241" s="57"/>
      <c r="L241" s="58"/>
      <c r="M241" s="177"/>
    </row>
    <row r="242" spans="1:13" s="59" customFormat="1" ht="18" customHeight="1">
      <c r="A242" s="60" t="s">
        <v>12</v>
      </c>
      <c r="B242" s="53" t="s">
        <v>104</v>
      </c>
      <c r="C242" s="62" t="s">
        <v>265</v>
      </c>
      <c r="D242" s="55" t="s">
        <v>582</v>
      </c>
      <c r="E242" s="55" t="s">
        <v>39</v>
      </c>
      <c r="F242" s="61">
        <v>3</v>
      </c>
      <c r="G242" s="57">
        <v>24000</v>
      </c>
      <c r="H242" s="57">
        <f t="shared" ref="H242:H243" si="233">F242*G242</f>
        <v>72000</v>
      </c>
      <c r="I242" s="57">
        <v>20000</v>
      </c>
      <c r="J242" s="57">
        <f t="shared" ref="J242:J243" si="234">F242*I242</f>
        <v>60000</v>
      </c>
      <c r="K242" s="57">
        <f t="shared" ref="K242:K243" si="235">G242+I242</f>
        <v>44000</v>
      </c>
      <c r="L242" s="58">
        <f t="shared" ref="L242:L243" si="236">F242*K242</f>
        <v>132000</v>
      </c>
      <c r="M242" s="177"/>
    </row>
    <row r="243" spans="1:13" s="59" customFormat="1" ht="18" customHeight="1">
      <c r="A243" s="60" t="s">
        <v>297</v>
      </c>
      <c r="B243" s="53" t="s">
        <v>104</v>
      </c>
      <c r="C243" s="62" t="s">
        <v>266</v>
      </c>
      <c r="D243" s="55" t="s">
        <v>582</v>
      </c>
      <c r="E243" s="55" t="s">
        <v>164</v>
      </c>
      <c r="F243" s="61">
        <v>1</v>
      </c>
      <c r="G243" s="57">
        <v>18000</v>
      </c>
      <c r="H243" s="57">
        <f t="shared" si="233"/>
        <v>18000</v>
      </c>
      <c r="I243" s="57">
        <v>5000</v>
      </c>
      <c r="J243" s="57">
        <f t="shared" si="234"/>
        <v>5000</v>
      </c>
      <c r="K243" s="57">
        <f t="shared" si="235"/>
        <v>23000</v>
      </c>
      <c r="L243" s="58">
        <f t="shared" si="236"/>
        <v>23000</v>
      </c>
      <c r="M243" s="312"/>
    </row>
    <row r="244" spans="1:13" s="59" customFormat="1" ht="18" customHeight="1">
      <c r="A244" s="60"/>
      <c r="B244" s="53"/>
      <c r="C244" s="62"/>
      <c r="D244" s="55"/>
      <c r="E244" s="55"/>
      <c r="F244" s="61"/>
      <c r="G244" s="57"/>
      <c r="H244" s="57"/>
      <c r="I244" s="57"/>
      <c r="J244" s="57"/>
      <c r="K244" s="57"/>
      <c r="L244" s="58"/>
      <c r="M244" s="312"/>
    </row>
    <row r="245" spans="1:13" s="59" customFormat="1" ht="18" customHeight="1">
      <c r="A245" s="60">
        <v>-1</v>
      </c>
      <c r="B245" s="53" t="s">
        <v>583</v>
      </c>
      <c r="C245" s="62"/>
      <c r="D245" s="55"/>
      <c r="E245" s="55"/>
      <c r="F245" s="61"/>
      <c r="G245" s="57"/>
      <c r="H245" s="57"/>
      <c r="I245" s="57"/>
      <c r="J245" s="57"/>
      <c r="K245" s="57"/>
      <c r="L245" s="58"/>
      <c r="M245" s="312"/>
    </row>
    <row r="246" spans="1:13" s="59" customFormat="1" ht="18" customHeight="1">
      <c r="A246" s="60" t="s">
        <v>12</v>
      </c>
      <c r="B246" s="53" t="s">
        <v>608</v>
      </c>
      <c r="C246" s="62"/>
      <c r="D246" s="60" t="s">
        <v>583</v>
      </c>
      <c r="E246" s="55" t="s">
        <v>38</v>
      </c>
      <c r="F246" s="61">
        <v>1</v>
      </c>
      <c r="G246" s="57">
        <v>60000</v>
      </c>
      <c r="H246" s="57">
        <f>F246*G246</f>
        <v>60000</v>
      </c>
      <c r="I246" s="57">
        <v>12000</v>
      </c>
      <c r="J246" s="57">
        <f>F246*I246</f>
        <v>12000</v>
      </c>
      <c r="K246" s="57">
        <f>G246+I246</f>
        <v>72000</v>
      </c>
      <c r="L246" s="58">
        <f>F246*K246</f>
        <v>72000</v>
      </c>
      <c r="M246" s="177"/>
    </row>
    <row r="247" spans="1:13" s="59" customFormat="1" ht="18" customHeight="1">
      <c r="A247" s="60" t="s">
        <v>12</v>
      </c>
      <c r="B247" s="53" t="s">
        <v>104</v>
      </c>
      <c r="C247" s="62" t="s">
        <v>265</v>
      </c>
      <c r="D247" s="60" t="s">
        <v>583</v>
      </c>
      <c r="E247" s="55" t="s">
        <v>39</v>
      </c>
      <c r="F247" s="61">
        <v>3</v>
      </c>
      <c r="G247" s="57">
        <v>24000</v>
      </c>
      <c r="H247" s="57">
        <f t="shared" ref="H247:H248" si="237">F247*G247</f>
        <v>72000</v>
      </c>
      <c r="I247" s="57">
        <v>20000</v>
      </c>
      <c r="J247" s="57">
        <f t="shared" ref="J247:J248" si="238">F247*I247</f>
        <v>60000</v>
      </c>
      <c r="K247" s="57">
        <f t="shared" ref="K247:K248" si="239">G247+I247</f>
        <v>44000</v>
      </c>
      <c r="L247" s="58">
        <f t="shared" ref="L247:L248" si="240">F247*K247</f>
        <v>132000</v>
      </c>
      <c r="M247" s="177"/>
    </row>
    <row r="248" spans="1:13" s="59" customFormat="1" ht="18" customHeight="1">
      <c r="A248" s="60" t="s">
        <v>297</v>
      </c>
      <c r="B248" s="53" t="s">
        <v>104</v>
      </c>
      <c r="C248" s="62" t="s">
        <v>266</v>
      </c>
      <c r="D248" s="55" t="s">
        <v>583</v>
      </c>
      <c r="E248" s="55" t="s">
        <v>164</v>
      </c>
      <c r="F248" s="61">
        <v>1</v>
      </c>
      <c r="G248" s="57">
        <v>18000</v>
      </c>
      <c r="H248" s="57">
        <f t="shared" si="237"/>
        <v>18000</v>
      </c>
      <c r="I248" s="57">
        <v>5000</v>
      </c>
      <c r="J248" s="57">
        <f t="shared" si="238"/>
        <v>5000</v>
      </c>
      <c r="K248" s="57">
        <f t="shared" si="239"/>
        <v>23000</v>
      </c>
      <c r="L248" s="58">
        <f t="shared" si="240"/>
        <v>23000</v>
      </c>
      <c r="M248" s="312"/>
    </row>
    <row r="249" spans="1:13" s="59" customFormat="1" ht="18" customHeight="1">
      <c r="A249" s="60"/>
      <c r="B249" s="53"/>
      <c r="C249" s="62"/>
      <c r="D249" s="55"/>
      <c r="E249" s="55"/>
      <c r="F249" s="61"/>
      <c r="G249" s="57"/>
      <c r="H249" s="57"/>
      <c r="I249" s="57"/>
      <c r="J249" s="57"/>
      <c r="K249" s="57"/>
      <c r="L249" s="58"/>
      <c r="M249" s="312"/>
    </row>
    <row r="250" spans="1:13" s="59" customFormat="1" ht="18" customHeight="1">
      <c r="A250" s="60">
        <v>-1</v>
      </c>
      <c r="B250" s="53" t="s">
        <v>592</v>
      </c>
      <c r="C250" s="62"/>
      <c r="D250" s="55"/>
      <c r="E250" s="55"/>
      <c r="F250" s="61"/>
      <c r="G250" s="57"/>
      <c r="H250" s="57"/>
      <c r="I250" s="57"/>
      <c r="J250" s="57"/>
      <c r="K250" s="57"/>
      <c r="L250" s="58"/>
      <c r="M250" s="312"/>
    </row>
    <row r="251" spans="1:13" s="59" customFormat="1" ht="18" customHeight="1">
      <c r="A251" s="60" t="s">
        <v>12</v>
      </c>
      <c r="B251" s="53" t="s">
        <v>269</v>
      </c>
      <c r="C251" s="62"/>
      <c r="D251" s="55" t="s">
        <v>534</v>
      </c>
      <c r="E251" s="55" t="s">
        <v>38</v>
      </c>
      <c r="F251" s="61">
        <v>6</v>
      </c>
      <c r="G251" s="57">
        <v>5000</v>
      </c>
      <c r="H251" s="57">
        <f>F251*G251</f>
        <v>30000</v>
      </c>
      <c r="I251" s="57">
        <v>8000</v>
      </c>
      <c r="J251" s="57">
        <f>F251*I251</f>
        <v>48000</v>
      </c>
      <c r="K251" s="57">
        <f>G251+I251</f>
        <v>13000</v>
      </c>
      <c r="L251" s="58">
        <f>F251*K251</f>
        <v>78000</v>
      </c>
      <c r="M251" s="177"/>
    </row>
    <row r="252" spans="1:13" s="59" customFormat="1" ht="18" hidden="1" customHeight="1">
      <c r="A252" s="60" t="s">
        <v>12</v>
      </c>
      <c r="B252" s="53" t="s">
        <v>563</v>
      </c>
      <c r="C252" s="62" t="s">
        <v>564</v>
      </c>
      <c r="D252" s="55" t="s">
        <v>307</v>
      </c>
      <c r="E252" s="55" t="s">
        <v>38</v>
      </c>
      <c r="F252" s="61">
        <v>0</v>
      </c>
      <c r="G252" s="57">
        <v>70000</v>
      </c>
      <c r="H252" s="57">
        <f>F252*G252</f>
        <v>0</v>
      </c>
      <c r="I252" s="57">
        <v>20000</v>
      </c>
      <c r="J252" s="57">
        <f>F252*I252</f>
        <v>0</v>
      </c>
      <c r="K252" s="57">
        <f>G252+I252</f>
        <v>90000</v>
      </c>
      <c r="L252" s="58">
        <f>F252*K252</f>
        <v>0</v>
      </c>
      <c r="M252" s="177"/>
    </row>
    <row r="253" spans="1:13" s="59" customFormat="1" ht="18" hidden="1" customHeight="1">
      <c r="A253" s="60" t="s">
        <v>44</v>
      </c>
      <c r="B253" s="53" t="s">
        <v>556</v>
      </c>
      <c r="C253" s="62" t="s">
        <v>456</v>
      </c>
      <c r="D253" s="55" t="s">
        <v>534</v>
      </c>
      <c r="E253" s="55" t="s">
        <v>39</v>
      </c>
      <c r="F253" s="173">
        <v>18</v>
      </c>
      <c r="G253" s="28">
        <v>38000</v>
      </c>
      <c r="H253" s="28">
        <f t="shared" ref="H253:H255" si="241">F253*G253</f>
        <v>684000</v>
      </c>
      <c r="I253" s="28">
        <v>8000</v>
      </c>
      <c r="J253" s="28">
        <f t="shared" ref="J253:J255" si="242">F253*I253</f>
        <v>144000</v>
      </c>
      <c r="K253" s="28">
        <f t="shared" ref="K253" si="243">G253+I253</f>
        <v>46000</v>
      </c>
      <c r="L253" s="29">
        <f t="shared" ref="L253" si="244">F253*K253</f>
        <v>828000</v>
      </c>
      <c r="M253" s="177"/>
    </row>
    <row r="254" spans="1:13" s="423" customFormat="1" ht="18" hidden="1" customHeight="1">
      <c r="A254" s="258" t="s">
        <v>44</v>
      </c>
      <c r="B254" s="417" t="s">
        <v>556</v>
      </c>
      <c r="C254" s="418" t="s">
        <v>475</v>
      </c>
      <c r="D254" s="419" t="s">
        <v>534</v>
      </c>
      <c r="E254" s="419" t="s">
        <v>38</v>
      </c>
      <c r="F254" s="420">
        <v>0</v>
      </c>
      <c r="G254" s="421">
        <v>130000</v>
      </c>
      <c r="H254" s="402">
        <f t="shared" si="241"/>
        <v>0</v>
      </c>
      <c r="I254" s="402">
        <v>5000</v>
      </c>
      <c r="J254" s="402">
        <f t="shared" si="242"/>
        <v>0</v>
      </c>
      <c r="K254" s="421">
        <f>G254+I254</f>
        <v>135000</v>
      </c>
      <c r="L254" s="422">
        <f>F254*K254</f>
        <v>0</v>
      </c>
      <c r="M254" s="403"/>
    </row>
    <row r="255" spans="1:13" s="423" customFormat="1" ht="18" hidden="1" customHeight="1">
      <c r="A255" s="416" t="s">
        <v>44</v>
      </c>
      <c r="B255" s="417" t="s">
        <v>556</v>
      </c>
      <c r="C255" s="418" t="s">
        <v>457</v>
      </c>
      <c r="D255" s="419" t="s">
        <v>534</v>
      </c>
      <c r="E255" s="419" t="s">
        <v>38</v>
      </c>
      <c r="F255" s="420">
        <v>0</v>
      </c>
      <c r="G255" s="421">
        <v>0</v>
      </c>
      <c r="H255" s="402">
        <f t="shared" si="241"/>
        <v>0</v>
      </c>
      <c r="I255" s="402">
        <v>0</v>
      </c>
      <c r="J255" s="402">
        <f t="shared" si="242"/>
        <v>0</v>
      </c>
      <c r="K255" s="421">
        <f>G255+I255</f>
        <v>0</v>
      </c>
      <c r="L255" s="422">
        <f>F255*K255</f>
        <v>0</v>
      </c>
      <c r="M255" s="403"/>
    </row>
    <row r="256" spans="1:13" s="59" customFormat="1" ht="18" customHeight="1">
      <c r="A256" s="60" t="s">
        <v>12</v>
      </c>
      <c r="B256" s="53" t="s">
        <v>104</v>
      </c>
      <c r="C256" s="62" t="s">
        <v>265</v>
      </c>
      <c r="D256" s="55" t="s">
        <v>534</v>
      </c>
      <c r="E256" s="55" t="s">
        <v>39</v>
      </c>
      <c r="F256" s="61">
        <v>4</v>
      </c>
      <c r="G256" s="57">
        <v>24000</v>
      </c>
      <c r="H256" s="57">
        <f t="shared" ref="H256:H257" si="245">F256*G256</f>
        <v>96000</v>
      </c>
      <c r="I256" s="57">
        <v>20000</v>
      </c>
      <c r="J256" s="57">
        <f t="shared" ref="J256:J257" si="246">F256*I256</f>
        <v>80000</v>
      </c>
      <c r="K256" s="57">
        <f t="shared" ref="K256:K257" si="247">G256+I256</f>
        <v>44000</v>
      </c>
      <c r="L256" s="58">
        <f t="shared" ref="L256:L257" si="248">F256*K256</f>
        <v>176000</v>
      </c>
      <c r="M256" s="177"/>
    </row>
    <row r="257" spans="1:13" s="59" customFormat="1" ht="18" customHeight="1">
      <c r="A257" s="60" t="s">
        <v>160</v>
      </c>
      <c r="B257" s="53" t="s">
        <v>104</v>
      </c>
      <c r="C257" s="62" t="s">
        <v>266</v>
      </c>
      <c r="D257" s="55" t="s">
        <v>534</v>
      </c>
      <c r="E257" s="55" t="s">
        <v>38</v>
      </c>
      <c r="F257" s="61">
        <v>1</v>
      </c>
      <c r="G257" s="57">
        <v>18000</v>
      </c>
      <c r="H257" s="57">
        <f t="shared" si="245"/>
        <v>18000</v>
      </c>
      <c r="I257" s="57">
        <v>5000</v>
      </c>
      <c r="J257" s="57">
        <f t="shared" si="246"/>
        <v>5000</v>
      </c>
      <c r="K257" s="57">
        <f t="shared" si="247"/>
        <v>23000</v>
      </c>
      <c r="L257" s="58">
        <f t="shared" si="248"/>
        <v>23000</v>
      </c>
      <c r="M257" s="312"/>
    </row>
    <row r="258" spans="1:13" s="59" customFormat="1" ht="18" customHeight="1">
      <c r="A258" s="60"/>
      <c r="B258" s="53"/>
      <c r="C258" s="62"/>
      <c r="D258" s="55"/>
      <c r="E258" s="55"/>
      <c r="F258" s="61"/>
      <c r="G258" s="57"/>
      <c r="H258" s="57"/>
      <c r="I258" s="57"/>
      <c r="J258" s="57"/>
      <c r="K258" s="57"/>
      <c r="L258" s="58"/>
      <c r="M258" s="312"/>
    </row>
    <row r="259" spans="1:13" s="59" customFormat="1" ht="18" customHeight="1">
      <c r="A259" s="60">
        <v>-1</v>
      </c>
      <c r="B259" s="53" t="s">
        <v>234</v>
      </c>
      <c r="C259" s="62"/>
      <c r="D259" s="55"/>
      <c r="E259" s="55"/>
      <c r="F259" s="61"/>
      <c r="G259" s="57"/>
      <c r="H259" s="57"/>
      <c r="I259" s="57"/>
      <c r="J259" s="57"/>
      <c r="K259" s="57"/>
      <c r="L259" s="58"/>
      <c r="M259" s="312"/>
    </row>
    <row r="260" spans="1:13" s="59" customFormat="1" ht="18" customHeight="1">
      <c r="A260" s="60" t="s">
        <v>12</v>
      </c>
      <c r="B260" s="53" t="s">
        <v>269</v>
      </c>
      <c r="C260" s="62"/>
      <c r="D260" s="55" t="s">
        <v>234</v>
      </c>
      <c r="E260" s="55" t="s">
        <v>38</v>
      </c>
      <c r="F260" s="61">
        <v>10</v>
      </c>
      <c r="G260" s="57">
        <v>5000</v>
      </c>
      <c r="H260" s="57">
        <f>F260*G260</f>
        <v>50000</v>
      </c>
      <c r="I260" s="57">
        <v>8000</v>
      </c>
      <c r="J260" s="57">
        <f>F260*I260</f>
        <v>80000</v>
      </c>
      <c r="K260" s="57">
        <f>G260+I260</f>
        <v>13000</v>
      </c>
      <c r="L260" s="58">
        <f>F260*K260</f>
        <v>130000</v>
      </c>
      <c r="M260" s="177"/>
    </row>
    <row r="261" spans="1:13" s="423" customFormat="1" ht="18" customHeight="1">
      <c r="A261" s="258" t="s">
        <v>12</v>
      </c>
      <c r="B261" s="417" t="s">
        <v>104</v>
      </c>
      <c r="C261" s="418" t="s">
        <v>265</v>
      </c>
      <c r="D261" s="419" t="s">
        <v>234</v>
      </c>
      <c r="E261" s="419" t="s">
        <v>39</v>
      </c>
      <c r="F261" s="420">
        <v>0</v>
      </c>
      <c r="G261" s="421">
        <v>24000</v>
      </c>
      <c r="H261" s="421">
        <f t="shared" ref="H261:H262" si="249">F261*G261</f>
        <v>0</v>
      </c>
      <c r="I261" s="421">
        <v>20000</v>
      </c>
      <c r="J261" s="421">
        <f t="shared" ref="J261:J262" si="250">F261*I261</f>
        <v>0</v>
      </c>
      <c r="K261" s="421">
        <f t="shared" ref="K261:K262" si="251">G261+I261</f>
        <v>44000</v>
      </c>
      <c r="L261" s="422">
        <f t="shared" ref="L261:L262" si="252">F261*K261</f>
        <v>0</v>
      </c>
      <c r="M261" s="403"/>
    </row>
    <row r="262" spans="1:13" s="423" customFormat="1" ht="18" customHeight="1">
      <c r="A262" s="258" t="s">
        <v>297</v>
      </c>
      <c r="B262" s="417" t="s">
        <v>104</v>
      </c>
      <c r="C262" s="418" t="s">
        <v>266</v>
      </c>
      <c r="D262" s="419" t="s">
        <v>234</v>
      </c>
      <c r="E262" s="419" t="s">
        <v>164</v>
      </c>
      <c r="F262" s="420">
        <v>0</v>
      </c>
      <c r="G262" s="421">
        <v>18000</v>
      </c>
      <c r="H262" s="421">
        <f t="shared" si="249"/>
        <v>0</v>
      </c>
      <c r="I262" s="421">
        <v>5000</v>
      </c>
      <c r="J262" s="421">
        <f t="shared" si="250"/>
        <v>0</v>
      </c>
      <c r="K262" s="421">
        <f t="shared" si="251"/>
        <v>23000</v>
      </c>
      <c r="L262" s="422">
        <f t="shared" si="252"/>
        <v>0</v>
      </c>
      <c r="M262" s="424"/>
    </row>
    <row r="263" spans="1:13" s="59" customFormat="1" ht="18" customHeight="1">
      <c r="A263" s="60"/>
      <c r="B263" s="53"/>
      <c r="C263" s="62"/>
      <c r="D263" s="55"/>
      <c r="E263" s="55"/>
      <c r="F263" s="61"/>
      <c r="G263" s="57"/>
      <c r="H263" s="57"/>
      <c r="I263" s="57"/>
      <c r="J263" s="57"/>
      <c r="K263" s="57"/>
      <c r="L263" s="58"/>
      <c r="M263" s="312"/>
    </row>
    <row r="264" spans="1:13" s="59" customFormat="1" ht="18" hidden="1" customHeight="1">
      <c r="A264" s="60">
        <v>-1</v>
      </c>
      <c r="B264" s="53" t="s">
        <v>318</v>
      </c>
      <c r="C264" s="62"/>
      <c r="D264" s="55"/>
      <c r="E264" s="55"/>
      <c r="F264" s="61"/>
      <c r="G264" s="57"/>
      <c r="H264" s="57"/>
      <c r="I264" s="57"/>
      <c r="J264" s="57"/>
      <c r="K264" s="57"/>
      <c r="L264" s="58"/>
      <c r="M264" s="312"/>
    </row>
    <row r="265" spans="1:13" ht="18" hidden="1" customHeight="1">
      <c r="A265" s="171" t="s">
        <v>12</v>
      </c>
      <c r="B265" s="11" t="s">
        <v>363</v>
      </c>
      <c r="C265" s="172" t="s">
        <v>369</v>
      </c>
      <c r="D265" s="55" t="s">
        <v>171</v>
      </c>
      <c r="E265" s="55" t="s">
        <v>364</v>
      </c>
      <c r="F265" s="173"/>
      <c r="G265" s="28">
        <v>31000</v>
      </c>
      <c r="H265" s="28">
        <f t="shared" ref="H265" si="253">F265*G265</f>
        <v>0</v>
      </c>
      <c r="I265" s="28">
        <v>10000</v>
      </c>
      <c r="J265" s="28">
        <f t="shared" ref="J265" si="254">F265*I265</f>
        <v>0</v>
      </c>
      <c r="K265" s="28">
        <f t="shared" ref="K265" si="255">G265+I265</f>
        <v>41000</v>
      </c>
      <c r="L265" s="29">
        <f t="shared" ref="L265" si="256">F265*K265</f>
        <v>0</v>
      </c>
      <c r="M265" s="177"/>
    </row>
    <row r="266" spans="1:13" s="59" customFormat="1" ht="18" hidden="1" customHeight="1">
      <c r="A266" s="60" t="s">
        <v>12</v>
      </c>
      <c r="B266" s="53" t="s">
        <v>269</v>
      </c>
      <c r="C266" s="62"/>
      <c r="D266" s="55" t="s">
        <v>171</v>
      </c>
      <c r="E266" s="55" t="s">
        <v>38</v>
      </c>
      <c r="F266" s="61"/>
      <c r="G266" s="57">
        <v>5000</v>
      </c>
      <c r="H266" s="57">
        <f>F266*G266</f>
        <v>0</v>
      </c>
      <c r="I266" s="57">
        <v>8000</v>
      </c>
      <c r="J266" s="57">
        <f>F266*I266</f>
        <v>0</v>
      </c>
      <c r="K266" s="57">
        <f>G266+I266</f>
        <v>13000</v>
      </c>
      <c r="L266" s="58">
        <f>F266*K266</f>
        <v>0</v>
      </c>
      <c r="M266" s="177"/>
    </row>
    <row r="267" spans="1:13" s="59" customFormat="1" ht="18" hidden="1" customHeight="1">
      <c r="A267" s="60" t="s">
        <v>12</v>
      </c>
      <c r="B267" s="53" t="s">
        <v>104</v>
      </c>
      <c r="C267" s="62" t="s">
        <v>265</v>
      </c>
      <c r="D267" s="60" t="s">
        <v>323</v>
      </c>
      <c r="E267" s="55" t="s">
        <v>39</v>
      </c>
      <c r="F267" s="61"/>
      <c r="G267" s="57">
        <v>22000</v>
      </c>
      <c r="H267" s="57">
        <f t="shared" ref="H267:H268" si="257">F267*G267</f>
        <v>0</v>
      </c>
      <c r="I267" s="57">
        <v>20000</v>
      </c>
      <c r="J267" s="57">
        <f t="shared" ref="J267:J268" si="258">F267*I267</f>
        <v>0</v>
      </c>
      <c r="K267" s="57">
        <f t="shared" ref="K267:K268" si="259">G267+I267</f>
        <v>42000</v>
      </c>
      <c r="L267" s="58">
        <f t="shared" ref="L267:L268" si="260">F267*K267</f>
        <v>0</v>
      </c>
      <c r="M267" s="177"/>
    </row>
    <row r="268" spans="1:13" s="59" customFormat="1" ht="18" hidden="1" customHeight="1">
      <c r="A268" s="60" t="s">
        <v>297</v>
      </c>
      <c r="B268" s="53" t="s">
        <v>104</v>
      </c>
      <c r="C268" s="62" t="s">
        <v>266</v>
      </c>
      <c r="D268" s="55" t="s">
        <v>324</v>
      </c>
      <c r="E268" s="55" t="s">
        <v>164</v>
      </c>
      <c r="F268" s="61"/>
      <c r="G268" s="57">
        <v>13500</v>
      </c>
      <c r="H268" s="57">
        <f t="shared" si="257"/>
        <v>0</v>
      </c>
      <c r="I268" s="57">
        <v>5000</v>
      </c>
      <c r="J268" s="57">
        <f t="shared" si="258"/>
        <v>0</v>
      </c>
      <c r="K268" s="57">
        <f t="shared" si="259"/>
        <v>18500</v>
      </c>
      <c r="L268" s="58">
        <f t="shared" si="260"/>
        <v>0</v>
      </c>
      <c r="M268" s="312"/>
    </row>
    <row r="269" spans="1:13" s="379" customFormat="1" ht="18" hidden="1" customHeight="1">
      <c r="A269" s="371" t="s">
        <v>313</v>
      </c>
      <c r="B269" s="372" t="s">
        <v>319</v>
      </c>
      <c r="C269" s="373" t="s">
        <v>320</v>
      </c>
      <c r="D269" s="374" t="s">
        <v>323</v>
      </c>
      <c r="E269" s="374" t="s">
        <v>164</v>
      </c>
      <c r="F269" s="375"/>
      <c r="G269" s="376">
        <v>0</v>
      </c>
      <c r="H269" s="376">
        <f t="shared" ref="H269" si="261">F269*G269</f>
        <v>0</v>
      </c>
      <c r="I269" s="376">
        <v>0</v>
      </c>
      <c r="J269" s="376">
        <f t="shared" ref="J269" si="262">F269*I269</f>
        <v>0</v>
      </c>
      <c r="K269" s="376">
        <f t="shared" ref="K269" si="263">G269+I269</f>
        <v>0</v>
      </c>
      <c r="L269" s="377">
        <f t="shared" ref="L269" si="264">F269*K269</f>
        <v>0</v>
      </c>
      <c r="M269" s="378" t="s">
        <v>374</v>
      </c>
    </row>
    <row r="270" spans="1:13" s="59" customFormat="1" ht="18" hidden="1" customHeight="1">
      <c r="A270" s="60"/>
      <c r="B270" s="53"/>
      <c r="C270" s="62"/>
      <c r="D270" s="55"/>
      <c r="E270" s="55"/>
      <c r="F270" s="61"/>
      <c r="G270" s="57"/>
      <c r="H270" s="57"/>
      <c r="I270" s="57"/>
      <c r="J270" s="57"/>
      <c r="K270" s="57"/>
      <c r="L270" s="58"/>
      <c r="M270" s="312"/>
    </row>
    <row r="271" spans="1:13" s="59" customFormat="1" ht="18" customHeight="1">
      <c r="A271" s="60">
        <v>-1</v>
      </c>
      <c r="B271" s="53" t="s">
        <v>593</v>
      </c>
      <c r="C271" s="62"/>
      <c r="D271" s="55"/>
      <c r="E271" s="55"/>
      <c r="F271" s="61"/>
      <c r="G271" s="57"/>
      <c r="H271" s="57"/>
      <c r="I271" s="57"/>
      <c r="J271" s="57"/>
      <c r="K271" s="57"/>
      <c r="L271" s="58"/>
      <c r="M271" s="312"/>
    </row>
    <row r="272" spans="1:13" s="59" customFormat="1" ht="18" customHeight="1">
      <c r="A272" s="60" t="s">
        <v>12</v>
      </c>
      <c r="B272" s="53" t="s">
        <v>105</v>
      </c>
      <c r="C272" s="62" t="s">
        <v>594</v>
      </c>
      <c r="D272" s="55" t="s">
        <v>439</v>
      </c>
      <c r="E272" s="55" t="s">
        <v>38</v>
      </c>
      <c r="F272" s="61">
        <v>1</v>
      </c>
      <c r="G272" s="57">
        <v>15000</v>
      </c>
      <c r="H272" s="57">
        <f t="shared" ref="H272" si="265">F272*G272</f>
        <v>15000</v>
      </c>
      <c r="I272" s="57">
        <v>10000</v>
      </c>
      <c r="J272" s="57">
        <f t="shared" ref="J272" si="266">F272*I272</f>
        <v>10000</v>
      </c>
      <c r="K272" s="57">
        <f t="shared" ref="K272" si="267">G272+I272</f>
        <v>25000</v>
      </c>
      <c r="L272" s="58">
        <f t="shared" ref="L272" si="268">F272*K272</f>
        <v>25000</v>
      </c>
      <c r="M272" s="177"/>
    </row>
    <row r="273" spans="1:13" s="59" customFormat="1" ht="18" customHeight="1">
      <c r="A273" s="60"/>
      <c r="B273" s="53"/>
      <c r="C273" s="62"/>
      <c r="D273" s="55"/>
      <c r="E273" s="55"/>
      <c r="F273" s="61"/>
      <c r="G273" s="57"/>
      <c r="H273" s="57"/>
      <c r="I273" s="57"/>
      <c r="J273" s="57"/>
      <c r="K273" s="57"/>
      <c r="L273" s="58"/>
      <c r="M273" s="312"/>
    </row>
    <row r="274" spans="1:13" s="59" customFormat="1" ht="18" customHeight="1">
      <c r="A274" s="60">
        <v>-1</v>
      </c>
      <c r="B274" s="53" t="s">
        <v>112</v>
      </c>
      <c r="C274" s="62"/>
      <c r="D274" s="55"/>
      <c r="E274" s="55"/>
      <c r="F274" s="61"/>
      <c r="G274" s="57"/>
      <c r="H274" s="57"/>
      <c r="I274" s="57"/>
      <c r="J274" s="57"/>
      <c r="K274" s="57"/>
      <c r="L274" s="58"/>
      <c r="M274" s="312"/>
    </row>
    <row r="275" spans="1:13" s="59" customFormat="1" ht="18" customHeight="1">
      <c r="A275" s="60" t="s">
        <v>12</v>
      </c>
      <c r="B275" s="53" t="s">
        <v>269</v>
      </c>
      <c r="C275" s="62"/>
      <c r="D275" s="55" t="s">
        <v>321</v>
      </c>
      <c r="E275" s="55" t="s">
        <v>38</v>
      </c>
      <c r="F275" s="61">
        <v>6</v>
      </c>
      <c r="G275" s="57">
        <v>5000</v>
      </c>
      <c r="H275" s="57">
        <f>F275*G275</f>
        <v>30000</v>
      </c>
      <c r="I275" s="57">
        <v>8000</v>
      </c>
      <c r="J275" s="57">
        <f>F275*I275</f>
        <v>48000</v>
      </c>
      <c r="K275" s="57">
        <f>G275+I275</f>
        <v>13000</v>
      </c>
      <c r="L275" s="58">
        <f>F275*K275</f>
        <v>78000</v>
      </c>
      <c r="M275" s="177"/>
    </row>
    <row r="276" spans="1:13" s="59" customFormat="1" ht="18" hidden="1" customHeight="1">
      <c r="A276" s="60" t="s">
        <v>160</v>
      </c>
      <c r="B276" s="53" t="s">
        <v>561</v>
      </c>
      <c r="C276" s="62" t="s">
        <v>562</v>
      </c>
      <c r="D276" s="55" t="s">
        <v>234</v>
      </c>
      <c r="E276" s="55" t="s">
        <v>38</v>
      </c>
      <c r="F276" s="61"/>
      <c r="G276" s="57">
        <v>32000</v>
      </c>
      <c r="H276" s="57">
        <f>F276*G276</f>
        <v>0</v>
      </c>
      <c r="I276" s="57">
        <v>5000</v>
      </c>
      <c r="J276" s="57">
        <f>F276*I276</f>
        <v>0</v>
      </c>
      <c r="K276" s="57">
        <f>G276+I276</f>
        <v>37000</v>
      </c>
      <c r="L276" s="58">
        <f>F276*K276</f>
        <v>0</v>
      </c>
      <c r="M276" s="249"/>
    </row>
    <row r="277" spans="1:13" s="330" customFormat="1" ht="18" hidden="1" customHeight="1">
      <c r="A277" s="60" t="s">
        <v>44</v>
      </c>
      <c r="B277" s="53" t="s">
        <v>561</v>
      </c>
      <c r="C277" s="324" t="s">
        <v>241</v>
      </c>
      <c r="D277" s="325" t="s">
        <v>234</v>
      </c>
      <c r="E277" s="325" t="s">
        <v>38</v>
      </c>
      <c r="F277" s="326"/>
      <c r="G277" s="327">
        <v>22600</v>
      </c>
      <c r="H277" s="327">
        <f>F277*G277</f>
        <v>0</v>
      </c>
      <c r="I277" s="327">
        <v>5000</v>
      </c>
      <c r="J277" s="327">
        <f>F277*I277</f>
        <v>0</v>
      </c>
      <c r="K277" s="327">
        <f>G277+I277</f>
        <v>27600</v>
      </c>
      <c r="L277" s="328">
        <f>F277*K277</f>
        <v>0</v>
      </c>
      <c r="M277" s="383"/>
    </row>
    <row r="278" spans="1:13" s="59" customFormat="1" ht="18" hidden="1" customHeight="1">
      <c r="A278" s="60" t="s">
        <v>44</v>
      </c>
      <c r="B278" s="53" t="s">
        <v>561</v>
      </c>
      <c r="C278" s="62" t="s">
        <v>450</v>
      </c>
      <c r="D278" s="55" t="s">
        <v>234</v>
      </c>
      <c r="E278" s="55" t="s">
        <v>38</v>
      </c>
      <c r="F278" s="61"/>
      <c r="G278" s="57">
        <v>28500</v>
      </c>
      <c r="H278" s="57">
        <f t="shared" ref="H278" si="269">F278*G278</f>
        <v>0</v>
      </c>
      <c r="I278" s="57">
        <v>5000</v>
      </c>
      <c r="J278" s="57">
        <f t="shared" ref="J278" si="270">F278*I278</f>
        <v>0</v>
      </c>
      <c r="K278" s="57">
        <f t="shared" ref="K278" si="271">G278+I278</f>
        <v>33500</v>
      </c>
      <c r="L278" s="58">
        <f t="shared" ref="L278" si="272">F278*K278</f>
        <v>0</v>
      </c>
      <c r="M278" s="249"/>
    </row>
    <row r="279" spans="1:13" s="59" customFormat="1" ht="18" hidden="1" customHeight="1">
      <c r="A279" s="60" t="s">
        <v>12</v>
      </c>
      <c r="B279" s="53" t="s">
        <v>104</v>
      </c>
      <c r="C279" s="62" t="s">
        <v>265</v>
      </c>
      <c r="D279" s="55" t="s">
        <v>302</v>
      </c>
      <c r="E279" s="55" t="s">
        <v>39</v>
      </c>
      <c r="F279" s="61">
        <v>0</v>
      </c>
      <c r="G279" s="57">
        <v>24000</v>
      </c>
      <c r="H279" s="57">
        <f t="shared" ref="H279:H282" si="273">F279*G279</f>
        <v>0</v>
      </c>
      <c r="I279" s="57">
        <v>20000</v>
      </c>
      <c r="J279" s="57">
        <f t="shared" ref="J279:J282" si="274">F279*I279</f>
        <v>0</v>
      </c>
      <c r="K279" s="57">
        <f t="shared" ref="K279:K282" si="275">G279+I279</f>
        <v>44000</v>
      </c>
      <c r="L279" s="58">
        <f t="shared" ref="L279:L282" si="276">F279*K279</f>
        <v>0</v>
      </c>
      <c r="M279" s="177"/>
    </row>
    <row r="280" spans="1:13" s="59" customFormat="1" ht="18" hidden="1" customHeight="1">
      <c r="A280" s="60" t="s">
        <v>44</v>
      </c>
      <c r="B280" s="53" t="s">
        <v>104</v>
      </c>
      <c r="C280" s="62" t="s">
        <v>266</v>
      </c>
      <c r="D280" s="55" t="s">
        <v>302</v>
      </c>
      <c r="E280" s="55" t="s">
        <v>38</v>
      </c>
      <c r="F280" s="61">
        <v>0</v>
      </c>
      <c r="G280" s="57">
        <v>18000</v>
      </c>
      <c r="H280" s="57">
        <f t="shared" si="273"/>
        <v>0</v>
      </c>
      <c r="I280" s="57">
        <v>5000</v>
      </c>
      <c r="J280" s="57">
        <f t="shared" si="274"/>
        <v>0</v>
      </c>
      <c r="K280" s="57">
        <f t="shared" si="275"/>
        <v>23000</v>
      </c>
      <c r="L280" s="58">
        <f t="shared" si="276"/>
        <v>0</v>
      </c>
      <c r="M280" s="312"/>
    </row>
    <row r="281" spans="1:13" s="423" customFormat="1" ht="18" customHeight="1">
      <c r="A281" s="258" t="s">
        <v>12</v>
      </c>
      <c r="B281" s="417" t="s">
        <v>104</v>
      </c>
      <c r="C281" s="418" t="s">
        <v>265</v>
      </c>
      <c r="D281" s="419" t="s">
        <v>321</v>
      </c>
      <c r="E281" s="419" t="s">
        <v>39</v>
      </c>
      <c r="F281" s="420">
        <v>0</v>
      </c>
      <c r="G281" s="421">
        <v>24000</v>
      </c>
      <c r="H281" s="421">
        <f t="shared" si="273"/>
        <v>0</v>
      </c>
      <c r="I281" s="421">
        <v>20000</v>
      </c>
      <c r="J281" s="421">
        <f t="shared" si="274"/>
        <v>0</v>
      </c>
      <c r="K281" s="421">
        <f t="shared" si="275"/>
        <v>44000</v>
      </c>
      <c r="L281" s="422">
        <f t="shared" si="276"/>
        <v>0</v>
      </c>
      <c r="M281" s="403"/>
    </row>
    <row r="282" spans="1:13" s="423" customFormat="1" ht="18" customHeight="1">
      <c r="A282" s="258" t="s">
        <v>44</v>
      </c>
      <c r="B282" s="417" t="s">
        <v>104</v>
      </c>
      <c r="C282" s="418" t="s">
        <v>266</v>
      </c>
      <c r="D282" s="419" t="s">
        <v>321</v>
      </c>
      <c r="E282" s="419" t="s">
        <v>38</v>
      </c>
      <c r="F282" s="420">
        <v>0</v>
      </c>
      <c r="G282" s="421">
        <v>18000</v>
      </c>
      <c r="H282" s="421">
        <f t="shared" si="273"/>
        <v>0</v>
      </c>
      <c r="I282" s="421">
        <v>5000</v>
      </c>
      <c r="J282" s="421">
        <f t="shared" si="274"/>
        <v>0</v>
      </c>
      <c r="K282" s="421">
        <f t="shared" si="275"/>
        <v>23000</v>
      </c>
      <c r="L282" s="422">
        <f t="shared" si="276"/>
        <v>0</v>
      </c>
      <c r="M282" s="424"/>
    </row>
    <row r="283" spans="1:13" s="59" customFormat="1" ht="18" customHeight="1">
      <c r="A283" s="60"/>
      <c r="B283" s="53"/>
      <c r="C283" s="62"/>
      <c r="D283" s="55"/>
      <c r="E283" s="55"/>
      <c r="F283" s="61"/>
      <c r="G283" s="57"/>
      <c r="H283" s="57"/>
      <c r="I283" s="57"/>
      <c r="J283" s="57"/>
      <c r="K283" s="57"/>
      <c r="L283" s="58"/>
      <c r="M283" s="312"/>
    </row>
    <row r="284" spans="1:13" s="59" customFormat="1" ht="18" hidden="1" customHeight="1">
      <c r="A284" s="60">
        <v>-1</v>
      </c>
      <c r="B284" s="53" t="s">
        <v>326</v>
      </c>
      <c r="C284" s="62"/>
      <c r="D284" s="55"/>
      <c r="E284" s="55"/>
      <c r="F284" s="61"/>
      <c r="G284" s="57"/>
      <c r="H284" s="57"/>
      <c r="I284" s="57"/>
      <c r="J284" s="57"/>
      <c r="K284" s="57"/>
      <c r="L284" s="58"/>
      <c r="M284" s="312"/>
    </row>
    <row r="285" spans="1:13" ht="18" hidden="1" customHeight="1">
      <c r="A285" s="171" t="s">
        <v>12</v>
      </c>
      <c r="B285" s="11" t="s">
        <v>363</v>
      </c>
      <c r="C285" s="172" t="s">
        <v>365</v>
      </c>
      <c r="D285" s="171" t="s">
        <v>366</v>
      </c>
      <c r="E285" s="55" t="s">
        <v>364</v>
      </c>
      <c r="F285" s="173"/>
      <c r="G285" s="28">
        <v>92700</v>
      </c>
      <c r="H285" s="28">
        <f t="shared" ref="H285" si="277">F285*G285</f>
        <v>0</v>
      </c>
      <c r="I285" s="28">
        <v>10000</v>
      </c>
      <c r="J285" s="28">
        <f t="shared" ref="J285" si="278">F285*I285</f>
        <v>0</v>
      </c>
      <c r="K285" s="28">
        <f t="shared" ref="K285" si="279">G285+I285</f>
        <v>102700</v>
      </c>
      <c r="L285" s="29">
        <f t="shared" ref="L285" si="280">F285*K285</f>
        <v>0</v>
      </c>
      <c r="M285" s="177"/>
    </row>
    <row r="286" spans="1:13" s="275" customFormat="1" ht="18" hidden="1" customHeight="1">
      <c r="A286" s="363" t="s">
        <v>12</v>
      </c>
      <c r="B286" s="364" t="s">
        <v>363</v>
      </c>
      <c r="C286" s="365" t="s">
        <v>367</v>
      </c>
      <c r="D286" s="363" t="s">
        <v>368</v>
      </c>
      <c r="E286" s="366" t="s">
        <v>364</v>
      </c>
      <c r="F286" s="367"/>
      <c r="G286" s="368">
        <v>31000</v>
      </c>
      <c r="H286" s="368">
        <f t="shared" ref="H286" si="281">F286*G286</f>
        <v>0</v>
      </c>
      <c r="I286" s="368">
        <v>10000</v>
      </c>
      <c r="J286" s="368">
        <f t="shared" ref="J286" si="282">F286*I286</f>
        <v>0</v>
      </c>
      <c r="K286" s="368">
        <f t="shared" ref="K286" si="283">G286+I286</f>
        <v>41000</v>
      </c>
      <c r="L286" s="369">
        <f t="shared" ref="L286" si="284">F286*K286</f>
        <v>0</v>
      </c>
      <c r="M286" s="370"/>
    </row>
    <row r="287" spans="1:13" s="59" customFormat="1" ht="18" hidden="1" customHeight="1">
      <c r="A287" s="60" t="s">
        <v>12</v>
      </c>
      <c r="B287" s="53" t="s">
        <v>269</v>
      </c>
      <c r="C287" s="62"/>
      <c r="D287" s="55" t="s">
        <v>171</v>
      </c>
      <c r="E287" s="55" t="s">
        <v>38</v>
      </c>
      <c r="F287" s="61"/>
      <c r="G287" s="57">
        <v>5000</v>
      </c>
      <c r="H287" s="57">
        <f>F287*G287</f>
        <v>0</v>
      </c>
      <c r="I287" s="57">
        <v>8000</v>
      </c>
      <c r="J287" s="57">
        <f>F287*I287</f>
        <v>0</v>
      </c>
      <c r="K287" s="57">
        <f>G287+I287</f>
        <v>13000</v>
      </c>
      <c r="L287" s="58">
        <f>F287*K287</f>
        <v>0</v>
      </c>
      <c r="M287" s="177"/>
    </row>
    <row r="288" spans="1:13" s="59" customFormat="1" ht="18" hidden="1" customHeight="1">
      <c r="A288" s="60"/>
      <c r="B288" s="53"/>
      <c r="C288" s="62"/>
      <c r="D288" s="55"/>
      <c r="E288" s="55"/>
      <c r="F288" s="61"/>
      <c r="G288" s="57"/>
      <c r="H288" s="57"/>
      <c r="I288" s="57"/>
      <c r="J288" s="57"/>
      <c r="K288" s="57"/>
      <c r="L288" s="58"/>
      <c r="M288" s="312"/>
    </row>
    <row r="289" spans="1:13" s="59" customFormat="1" ht="18" customHeight="1">
      <c r="A289" s="60">
        <v>-1</v>
      </c>
      <c r="B289" s="53" t="s">
        <v>327</v>
      </c>
      <c r="C289" s="62"/>
      <c r="D289" s="55"/>
      <c r="E289" s="55"/>
      <c r="F289" s="61"/>
      <c r="G289" s="57"/>
      <c r="H289" s="57"/>
      <c r="I289" s="57"/>
      <c r="J289" s="57"/>
      <c r="K289" s="57"/>
      <c r="L289" s="58"/>
      <c r="M289" s="312"/>
    </row>
    <row r="290" spans="1:13" s="59" customFormat="1" ht="18" customHeight="1">
      <c r="A290" s="60" t="s">
        <v>12</v>
      </c>
      <c r="B290" s="53" t="s">
        <v>106</v>
      </c>
      <c r="C290" s="62" t="s">
        <v>515</v>
      </c>
      <c r="D290" s="55" t="s">
        <v>471</v>
      </c>
      <c r="E290" s="55" t="s">
        <v>39</v>
      </c>
      <c r="F290" s="61">
        <f>68*2</f>
        <v>136</v>
      </c>
      <c r="G290" s="57">
        <v>10000</v>
      </c>
      <c r="H290" s="57">
        <f t="shared" ref="H290:H297" si="285">F290*G290</f>
        <v>1360000</v>
      </c>
      <c r="I290" s="57">
        <v>12000</v>
      </c>
      <c r="J290" s="57">
        <f>F290*I290</f>
        <v>1632000</v>
      </c>
      <c r="K290" s="57">
        <f t="shared" ref="K290:K294" si="286">G290+I290</f>
        <v>22000</v>
      </c>
      <c r="L290" s="58">
        <f t="shared" ref="L290:L294" si="287">F290*K290</f>
        <v>2992000</v>
      </c>
      <c r="M290" s="176"/>
    </row>
    <row r="291" spans="1:13" s="59" customFormat="1" ht="18" customHeight="1">
      <c r="A291" s="60" t="s">
        <v>12</v>
      </c>
      <c r="B291" s="53" t="s">
        <v>157</v>
      </c>
      <c r="C291" s="62" t="s">
        <v>276</v>
      </c>
      <c r="D291" s="55" t="s">
        <v>472</v>
      </c>
      <c r="E291" s="55" t="s">
        <v>75</v>
      </c>
      <c r="F291" s="61">
        <v>1</v>
      </c>
      <c r="G291" s="57">
        <v>850000</v>
      </c>
      <c r="H291" s="57">
        <f t="shared" si="285"/>
        <v>850000</v>
      </c>
      <c r="I291" s="57">
        <v>600000</v>
      </c>
      <c r="J291" s="57">
        <f t="shared" ref="J291:J292" si="288">F291*I291</f>
        <v>600000</v>
      </c>
      <c r="K291" s="57">
        <f t="shared" si="286"/>
        <v>1450000</v>
      </c>
      <c r="L291" s="58">
        <f t="shared" si="287"/>
        <v>1450000</v>
      </c>
      <c r="M291" s="312"/>
    </row>
    <row r="292" spans="1:13" s="59" customFormat="1" ht="18" customHeight="1">
      <c r="A292" s="60" t="s">
        <v>12</v>
      </c>
      <c r="B292" s="53" t="s">
        <v>190</v>
      </c>
      <c r="C292" s="62" t="s">
        <v>191</v>
      </c>
      <c r="D292" s="55" t="s">
        <v>467</v>
      </c>
      <c r="E292" s="55" t="s">
        <v>75</v>
      </c>
      <c r="F292" s="61">
        <v>1</v>
      </c>
      <c r="G292" s="57">
        <v>100000</v>
      </c>
      <c r="H292" s="57">
        <f t="shared" si="285"/>
        <v>100000</v>
      </c>
      <c r="I292" s="57">
        <v>50000</v>
      </c>
      <c r="J292" s="57">
        <f t="shared" si="288"/>
        <v>50000</v>
      </c>
      <c r="K292" s="57">
        <f t="shared" si="286"/>
        <v>150000</v>
      </c>
      <c r="L292" s="58">
        <f t="shared" si="287"/>
        <v>150000</v>
      </c>
      <c r="M292" s="176"/>
    </row>
    <row r="293" spans="1:13" s="275" customFormat="1" ht="18" hidden="1" customHeight="1">
      <c r="A293" s="363" t="s">
        <v>44</v>
      </c>
      <c r="B293" s="364" t="s">
        <v>250</v>
      </c>
      <c r="C293" s="365" t="s">
        <v>249</v>
      </c>
      <c r="D293" s="366"/>
      <c r="E293" s="366" t="s">
        <v>38</v>
      </c>
      <c r="F293" s="367">
        <v>0</v>
      </c>
      <c r="G293" s="368">
        <v>0</v>
      </c>
      <c r="H293" s="368">
        <f t="shared" ref="H293" si="289">F293*G293</f>
        <v>0</v>
      </c>
      <c r="I293" s="368">
        <v>30000</v>
      </c>
      <c r="J293" s="368">
        <f>F293*I293</f>
        <v>0</v>
      </c>
      <c r="K293" s="368">
        <f t="shared" ref="K293" si="290">G293+I293</f>
        <v>30000</v>
      </c>
      <c r="L293" s="369">
        <f t="shared" ref="L293" si="291">F293*K293</f>
        <v>0</v>
      </c>
      <c r="M293" s="370"/>
    </row>
    <row r="294" spans="1:13" s="344" customFormat="1" ht="18" hidden="1" customHeight="1">
      <c r="A294" s="260" t="s">
        <v>160</v>
      </c>
      <c r="B294" s="337" t="s">
        <v>250</v>
      </c>
      <c r="C294" s="349" t="s">
        <v>249</v>
      </c>
      <c r="D294" s="339"/>
      <c r="E294" s="339" t="s">
        <v>38</v>
      </c>
      <c r="F294" s="348">
        <v>0</v>
      </c>
      <c r="G294" s="341">
        <v>0</v>
      </c>
      <c r="H294" s="341">
        <f t="shared" si="285"/>
        <v>0</v>
      </c>
      <c r="I294" s="341">
        <v>0</v>
      </c>
      <c r="J294" s="341">
        <f>F294*I294</f>
        <v>0</v>
      </c>
      <c r="K294" s="341">
        <f t="shared" si="286"/>
        <v>0</v>
      </c>
      <c r="L294" s="342">
        <f t="shared" si="287"/>
        <v>0</v>
      </c>
      <c r="M294" s="313" t="s">
        <v>203</v>
      </c>
    </row>
    <row r="295" spans="1:13" s="59" customFormat="1" ht="18" customHeight="1">
      <c r="A295" s="60"/>
      <c r="B295" s="53"/>
      <c r="C295" s="62"/>
      <c r="D295" s="55"/>
      <c r="E295" s="55"/>
      <c r="F295" s="61"/>
      <c r="G295" s="57"/>
      <c r="H295" s="57"/>
      <c r="I295" s="57"/>
      <c r="J295" s="57"/>
      <c r="K295" s="57"/>
      <c r="L295" s="58"/>
      <c r="M295" s="312"/>
    </row>
    <row r="296" spans="1:13" s="297" customFormat="1" ht="18" customHeight="1">
      <c r="A296" s="258" t="s">
        <v>313</v>
      </c>
      <c r="B296" s="290" t="s">
        <v>454</v>
      </c>
      <c r="C296" s="291" t="s">
        <v>619</v>
      </c>
      <c r="D296" s="292" t="s">
        <v>473</v>
      </c>
      <c r="E296" s="292" t="s">
        <v>334</v>
      </c>
      <c r="F296" s="293">
        <v>0</v>
      </c>
      <c r="G296" s="294">
        <v>250000</v>
      </c>
      <c r="H296" s="262">
        <f t="shared" si="285"/>
        <v>0</v>
      </c>
      <c r="I296" s="271">
        <v>350000</v>
      </c>
      <c r="J296" s="262">
        <f>F296*I296</f>
        <v>0</v>
      </c>
      <c r="K296" s="262">
        <f t="shared" ref="K296" si="292">G296+I296</f>
        <v>600000</v>
      </c>
      <c r="L296" s="263">
        <f t="shared" ref="L296" si="293">F296*K296</f>
        <v>0</v>
      </c>
      <c r="M296" s="333" t="s">
        <v>619</v>
      </c>
    </row>
    <row r="297" spans="1:13" s="297" customFormat="1" ht="18" customHeight="1">
      <c r="A297" s="258" t="s">
        <v>305</v>
      </c>
      <c r="B297" s="290" t="s">
        <v>352</v>
      </c>
      <c r="C297" s="291" t="s">
        <v>680</v>
      </c>
      <c r="D297" s="292" t="s">
        <v>451</v>
      </c>
      <c r="E297" s="292" t="s">
        <v>334</v>
      </c>
      <c r="F297" s="293">
        <v>0</v>
      </c>
      <c r="G297" s="294">
        <v>0</v>
      </c>
      <c r="H297" s="262">
        <f t="shared" si="285"/>
        <v>0</v>
      </c>
      <c r="I297" s="294">
        <v>0</v>
      </c>
      <c r="J297" s="262">
        <f>F297*I297</f>
        <v>0</v>
      </c>
      <c r="K297" s="262">
        <f t="shared" ref="K297" si="294">G297+I297</f>
        <v>0</v>
      </c>
      <c r="L297" s="263">
        <f t="shared" ref="L297" si="295">F297*K297</f>
        <v>0</v>
      </c>
      <c r="M297" s="333" t="s">
        <v>618</v>
      </c>
    </row>
    <row r="298" spans="1:13" s="59" customFormat="1" ht="18" customHeight="1">
      <c r="A298" s="236"/>
      <c r="B298" s="255"/>
      <c r="C298" s="54"/>
      <c r="D298" s="55"/>
      <c r="E298" s="55"/>
      <c r="F298" s="56"/>
      <c r="G298" s="57"/>
      <c r="H298" s="57"/>
      <c r="I298" s="57"/>
      <c r="J298" s="57"/>
      <c r="K298" s="57"/>
      <c r="L298" s="58"/>
      <c r="M298" s="176"/>
    </row>
    <row r="299" spans="1:13" s="241" customFormat="1" ht="18" customHeight="1">
      <c r="A299" s="236"/>
      <c r="B299" s="236" t="s">
        <v>13</v>
      </c>
      <c r="C299" s="237"/>
      <c r="D299" s="238"/>
      <c r="E299" s="238"/>
      <c r="F299" s="239"/>
      <c r="G299" s="240"/>
      <c r="H299" s="240">
        <f>SUM(H207:H297)</f>
        <v>6838900</v>
      </c>
      <c r="I299" s="240"/>
      <c r="J299" s="240">
        <f>SUM(J207:J297)</f>
        <v>4027000</v>
      </c>
      <c r="K299" s="240"/>
      <c r="L299" s="240">
        <f>SUM(L207:L297)</f>
        <v>10865900</v>
      </c>
      <c r="M299" s="176"/>
    </row>
    <row r="300" spans="1:13" ht="18" customHeight="1">
      <c r="A300" s="13"/>
      <c r="B300" s="14"/>
      <c r="C300" s="12"/>
      <c r="D300" s="5"/>
      <c r="E300" s="5"/>
      <c r="F300" s="50"/>
      <c r="G300" s="28"/>
      <c r="H300" s="28"/>
      <c r="I300" s="28"/>
      <c r="J300" s="28"/>
      <c r="K300" s="28"/>
      <c r="L300" s="29"/>
      <c r="M300" s="177"/>
    </row>
    <row r="301" spans="1:13" s="20" customFormat="1" ht="18" customHeight="1">
      <c r="A301" s="44" t="s">
        <v>32</v>
      </c>
      <c r="B301" s="45" t="s">
        <v>111</v>
      </c>
      <c r="C301" s="46"/>
      <c r="D301" s="16"/>
      <c r="E301" s="16"/>
      <c r="F301" s="51"/>
      <c r="G301" s="48"/>
      <c r="H301" s="48"/>
      <c r="I301" s="48"/>
      <c r="J301" s="48"/>
      <c r="K301" s="48"/>
      <c r="L301" s="49"/>
      <c r="M301" s="177"/>
    </row>
    <row r="302" spans="1:13" s="59" customFormat="1" ht="18" customHeight="1">
      <c r="A302" s="52">
        <v>-1</v>
      </c>
      <c r="B302" s="53" t="s">
        <v>162</v>
      </c>
      <c r="C302" s="54"/>
      <c r="D302" s="55"/>
      <c r="E302" s="55"/>
      <c r="F302" s="56"/>
      <c r="G302" s="57"/>
      <c r="H302" s="57"/>
      <c r="I302" s="57"/>
      <c r="J302" s="57"/>
      <c r="K302" s="57"/>
      <c r="L302" s="58"/>
      <c r="M302" s="177"/>
    </row>
    <row r="303" spans="1:13" s="59" customFormat="1" ht="18" customHeight="1">
      <c r="A303" s="60" t="s">
        <v>12</v>
      </c>
      <c r="B303" s="53" t="s">
        <v>144</v>
      </c>
      <c r="C303" s="54"/>
      <c r="D303" s="55" t="s">
        <v>496</v>
      </c>
      <c r="E303" s="55" t="s">
        <v>42</v>
      </c>
      <c r="F303" s="61">
        <v>2</v>
      </c>
      <c r="G303" s="57">
        <v>300000</v>
      </c>
      <c r="H303" s="57">
        <f t="shared" ref="H303:H308" si="296">F303*G303</f>
        <v>600000</v>
      </c>
      <c r="I303" s="57">
        <v>100000</v>
      </c>
      <c r="J303" s="57">
        <f t="shared" ref="J303:J308" si="297">F303*I303</f>
        <v>200000</v>
      </c>
      <c r="K303" s="57">
        <f t="shared" ref="K303:K308" si="298">G303+I303</f>
        <v>400000</v>
      </c>
      <c r="L303" s="58">
        <f t="shared" ref="L303:L356" si="299">F303*K303</f>
        <v>800000</v>
      </c>
      <c r="M303" s="307"/>
    </row>
    <row r="304" spans="1:13" s="59" customFormat="1" ht="18" hidden="1" customHeight="1">
      <c r="A304" s="60" t="s">
        <v>316</v>
      </c>
      <c r="B304" s="53" t="s">
        <v>317</v>
      </c>
      <c r="C304" s="54"/>
      <c r="D304" s="298" t="s">
        <v>113</v>
      </c>
      <c r="E304" s="55" t="s">
        <v>41</v>
      </c>
      <c r="F304" s="61"/>
      <c r="G304" s="57">
        <v>40000</v>
      </c>
      <c r="H304" s="57">
        <f t="shared" si="296"/>
        <v>0</v>
      </c>
      <c r="I304" s="57">
        <v>5000</v>
      </c>
      <c r="J304" s="57">
        <f t="shared" si="297"/>
        <v>0</v>
      </c>
      <c r="K304" s="57">
        <f t="shared" si="298"/>
        <v>45000</v>
      </c>
      <c r="L304" s="58">
        <f t="shared" ref="L304" si="300">F304*K304</f>
        <v>0</v>
      </c>
      <c r="M304" s="307"/>
    </row>
    <row r="305" spans="1:17" s="59" customFormat="1" ht="18" hidden="1" customHeight="1">
      <c r="A305" s="60" t="s">
        <v>160</v>
      </c>
      <c r="B305" s="53" t="s">
        <v>317</v>
      </c>
      <c r="C305" s="54"/>
      <c r="D305" s="55" t="s">
        <v>112</v>
      </c>
      <c r="E305" s="55" t="s">
        <v>531</v>
      </c>
      <c r="F305" s="61"/>
      <c r="G305" s="57">
        <v>40000</v>
      </c>
      <c r="H305" s="57">
        <f t="shared" si="296"/>
        <v>0</v>
      </c>
      <c r="I305" s="57">
        <v>5000</v>
      </c>
      <c r="J305" s="57">
        <f t="shared" si="297"/>
        <v>0</v>
      </c>
      <c r="K305" s="57">
        <f t="shared" si="298"/>
        <v>45000</v>
      </c>
      <c r="L305" s="58">
        <f t="shared" ref="L305:L307" si="301">F305*K305</f>
        <v>0</v>
      </c>
      <c r="M305" s="307"/>
      <c r="N305" s="59">
        <v>35000</v>
      </c>
      <c r="O305" s="59">
        <v>6.13</v>
      </c>
      <c r="Q305" s="59">
        <f>O305*N305</f>
        <v>214550</v>
      </c>
    </row>
    <row r="306" spans="1:17" s="305" customFormat="1" ht="18" customHeight="1">
      <c r="A306" s="298" t="s">
        <v>12</v>
      </c>
      <c r="B306" s="299" t="s">
        <v>108</v>
      </c>
      <c r="C306" s="300" t="s">
        <v>601</v>
      </c>
      <c r="D306" s="55" t="s">
        <v>113</v>
      </c>
      <c r="E306" s="301" t="s">
        <v>38</v>
      </c>
      <c r="F306" s="302">
        <v>2</v>
      </c>
      <c r="G306" s="303">
        <v>429000</v>
      </c>
      <c r="H306" s="57">
        <f t="shared" si="296"/>
        <v>858000</v>
      </c>
      <c r="I306" s="303">
        <v>30000</v>
      </c>
      <c r="J306" s="57">
        <f t="shared" si="297"/>
        <v>60000</v>
      </c>
      <c r="K306" s="57">
        <f t="shared" si="298"/>
        <v>459000</v>
      </c>
      <c r="L306" s="58">
        <f t="shared" si="301"/>
        <v>918000</v>
      </c>
      <c r="M306" s="304"/>
    </row>
    <row r="307" spans="1:17" s="305" customFormat="1" ht="18" hidden="1" customHeight="1">
      <c r="A307" s="298" t="s">
        <v>12</v>
      </c>
      <c r="B307" s="299" t="s">
        <v>108</v>
      </c>
      <c r="C307" s="300" t="s">
        <v>459</v>
      </c>
      <c r="D307" s="55" t="s">
        <v>496</v>
      </c>
      <c r="E307" s="301" t="s">
        <v>38</v>
      </c>
      <c r="F307" s="302">
        <v>0</v>
      </c>
      <c r="G307" s="303">
        <v>350000</v>
      </c>
      <c r="H307" s="57">
        <f t="shared" si="296"/>
        <v>0</v>
      </c>
      <c r="I307" s="303">
        <v>30000</v>
      </c>
      <c r="J307" s="57">
        <f t="shared" si="297"/>
        <v>0</v>
      </c>
      <c r="K307" s="57">
        <f t="shared" si="298"/>
        <v>380000</v>
      </c>
      <c r="L307" s="58">
        <f t="shared" si="301"/>
        <v>0</v>
      </c>
      <c r="M307" s="304"/>
    </row>
    <row r="308" spans="1:17" s="305" customFormat="1" ht="18" hidden="1" customHeight="1">
      <c r="A308" s="298" t="s">
        <v>12</v>
      </c>
      <c r="B308" s="299" t="s">
        <v>108</v>
      </c>
      <c r="C308" s="300" t="s">
        <v>600</v>
      </c>
      <c r="D308" s="434" t="s">
        <v>112</v>
      </c>
      <c r="E308" s="301" t="s">
        <v>38</v>
      </c>
      <c r="F308" s="302">
        <v>0</v>
      </c>
      <c r="G308" s="303">
        <v>112000</v>
      </c>
      <c r="H308" s="57">
        <f t="shared" si="296"/>
        <v>0</v>
      </c>
      <c r="I308" s="303">
        <v>30000</v>
      </c>
      <c r="J308" s="57">
        <f t="shared" si="297"/>
        <v>0</v>
      </c>
      <c r="K308" s="57">
        <f t="shared" si="298"/>
        <v>142000</v>
      </c>
      <c r="L308" s="58">
        <f t="shared" si="299"/>
        <v>0</v>
      </c>
      <c r="M308" s="304"/>
    </row>
    <row r="309" spans="1:17" s="59" customFormat="1" ht="18" customHeight="1">
      <c r="A309" s="52"/>
      <c r="B309" s="53"/>
      <c r="C309" s="54"/>
      <c r="D309" s="55"/>
      <c r="E309" s="55"/>
      <c r="F309" s="308"/>
      <c r="G309" s="57"/>
      <c r="H309" s="57"/>
      <c r="I309" s="57"/>
      <c r="J309" s="57"/>
      <c r="K309" s="57"/>
      <c r="L309" s="58"/>
      <c r="M309" s="176"/>
    </row>
    <row r="310" spans="1:17" s="59" customFormat="1" ht="18" customHeight="1">
      <c r="A310" s="52">
        <v>-1</v>
      </c>
      <c r="B310" s="53" t="s">
        <v>107</v>
      </c>
      <c r="C310" s="54"/>
      <c r="D310" s="55"/>
      <c r="E310" s="55"/>
      <c r="F310" s="56"/>
      <c r="G310" s="57"/>
      <c r="H310" s="57"/>
      <c r="I310" s="57"/>
      <c r="J310" s="57"/>
      <c r="K310" s="57"/>
      <c r="L310" s="58"/>
      <c r="M310" s="176"/>
    </row>
    <row r="311" spans="1:17" s="59" customFormat="1" ht="18" customHeight="1">
      <c r="A311" s="60" t="s">
        <v>160</v>
      </c>
      <c r="B311" s="53" t="s">
        <v>337</v>
      </c>
      <c r="C311" s="54" t="s">
        <v>338</v>
      </c>
      <c r="D311" s="55" t="s">
        <v>460</v>
      </c>
      <c r="E311" s="55" t="s">
        <v>38</v>
      </c>
      <c r="F311" s="61">
        <v>2</v>
      </c>
      <c r="G311" s="57">
        <v>150000</v>
      </c>
      <c r="H311" s="57">
        <f t="shared" ref="H311:H320" si="302">F311*G311</f>
        <v>300000</v>
      </c>
      <c r="I311" s="57">
        <v>200000</v>
      </c>
      <c r="J311" s="57">
        <f t="shared" ref="J311:J320" si="303">F311*I311</f>
        <v>400000</v>
      </c>
      <c r="K311" s="57">
        <f t="shared" ref="K311:K318" si="304">G311+I311</f>
        <v>350000</v>
      </c>
      <c r="L311" s="58">
        <f t="shared" ref="L311:L318" si="305">F311*K311</f>
        <v>700000</v>
      </c>
      <c r="M311" s="176"/>
    </row>
    <row r="312" spans="1:17" s="59" customFormat="1" ht="18" hidden="1" customHeight="1">
      <c r="A312" s="60" t="s">
        <v>160</v>
      </c>
      <c r="B312" s="53" t="s">
        <v>337</v>
      </c>
      <c r="C312" s="54" t="s">
        <v>338</v>
      </c>
      <c r="D312" s="55" t="s">
        <v>113</v>
      </c>
      <c r="E312" s="55" t="s">
        <v>38</v>
      </c>
      <c r="F312" s="61"/>
      <c r="G312" s="57">
        <v>250000</v>
      </c>
      <c r="H312" s="57">
        <f t="shared" si="302"/>
        <v>0</v>
      </c>
      <c r="I312" s="57">
        <v>200000</v>
      </c>
      <c r="J312" s="57">
        <f t="shared" si="303"/>
        <v>0</v>
      </c>
      <c r="K312" s="57">
        <f t="shared" si="304"/>
        <v>450000</v>
      </c>
      <c r="L312" s="58">
        <f t="shared" si="305"/>
        <v>0</v>
      </c>
      <c r="M312" s="176"/>
    </row>
    <row r="313" spans="1:17" s="330" customFormat="1" ht="18" hidden="1" customHeight="1">
      <c r="A313" s="60" t="s">
        <v>160</v>
      </c>
      <c r="B313" s="323" t="s">
        <v>328</v>
      </c>
      <c r="C313" s="384" t="s">
        <v>499</v>
      </c>
      <c r="D313" s="325" t="s">
        <v>458</v>
      </c>
      <c r="E313" s="325" t="s">
        <v>38</v>
      </c>
      <c r="F313" s="326"/>
      <c r="G313" s="327">
        <v>250000</v>
      </c>
      <c r="H313" s="327">
        <f t="shared" ref="H313:H318" si="306">F313*G313</f>
        <v>0</v>
      </c>
      <c r="I313" s="327">
        <v>50000</v>
      </c>
      <c r="J313" s="327">
        <f t="shared" ref="J313:J318" si="307">F313*I313</f>
        <v>0</v>
      </c>
      <c r="K313" s="327">
        <f t="shared" si="304"/>
        <v>300000</v>
      </c>
      <c r="L313" s="328">
        <f t="shared" si="305"/>
        <v>0</v>
      </c>
      <c r="M313" s="329"/>
    </row>
    <row r="314" spans="1:17" s="330" customFormat="1" ht="18" customHeight="1">
      <c r="A314" s="60" t="s">
        <v>44</v>
      </c>
      <c r="B314" s="323" t="s">
        <v>656</v>
      </c>
      <c r="C314" s="384" t="s">
        <v>658</v>
      </c>
      <c r="D314" s="325" t="s">
        <v>460</v>
      </c>
      <c r="E314" s="325" t="s">
        <v>38</v>
      </c>
      <c r="F314" s="326">
        <v>2</v>
      </c>
      <c r="G314" s="327">
        <f>125400+25000</f>
        <v>150400</v>
      </c>
      <c r="H314" s="327">
        <f t="shared" si="306"/>
        <v>300800</v>
      </c>
      <c r="I314" s="327">
        <v>50000</v>
      </c>
      <c r="J314" s="327">
        <f t="shared" si="307"/>
        <v>100000</v>
      </c>
      <c r="K314" s="327">
        <f t="shared" si="304"/>
        <v>200400</v>
      </c>
      <c r="L314" s="328">
        <f t="shared" si="305"/>
        <v>400800</v>
      </c>
      <c r="M314" s="329"/>
    </row>
    <row r="315" spans="1:17" s="59" customFormat="1" ht="18" customHeight="1">
      <c r="A315" s="60" t="s">
        <v>12</v>
      </c>
      <c r="B315" s="53" t="s">
        <v>109</v>
      </c>
      <c r="C315" s="54" t="s">
        <v>657</v>
      </c>
      <c r="D315" s="55" t="s">
        <v>460</v>
      </c>
      <c r="E315" s="55" t="s">
        <v>38</v>
      </c>
      <c r="F315" s="61">
        <v>2</v>
      </c>
      <c r="G315" s="57">
        <v>350000</v>
      </c>
      <c r="H315" s="57">
        <f t="shared" si="306"/>
        <v>700000</v>
      </c>
      <c r="I315" s="57">
        <v>50000</v>
      </c>
      <c r="J315" s="57">
        <f t="shared" si="307"/>
        <v>100000</v>
      </c>
      <c r="K315" s="57">
        <f t="shared" si="304"/>
        <v>400000</v>
      </c>
      <c r="L315" s="58">
        <f t="shared" si="305"/>
        <v>800000</v>
      </c>
      <c r="M315" s="176"/>
    </row>
    <row r="316" spans="1:17" s="330" customFormat="1" ht="18" hidden="1" customHeight="1">
      <c r="A316" s="60" t="s">
        <v>44</v>
      </c>
      <c r="B316" s="323" t="s">
        <v>597</v>
      </c>
      <c r="C316" s="384" t="s">
        <v>598</v>
      </c>
      <c r="D316" s="325" t="s">
        <v>113</v>
      </c>
      <c r="E316" s="325" t="s">
        <v>38</v>
      </c>
      <c r="F316" s="326">
        <v>0</v>
      </c>
      <c r="G316" s="327">
        <v>199000</v>
      </c>
      <c r="H316" s="327">
        <f t="shared" ref="H316:H317" si="308">F316*G316</f>
        <v>0</v>
      </c>
      <c r="I316" s="327">
        <v>50000</v>
      </c>
      <c r="J316" s="327">
        <f t="shared" ref="J316:J317" si="309">F316*I316</f>
        <v>0</v>
      </c>
      <c r="K316" s="327">
        <f t="shared" ref="K316:K317" si="310">G316+I316</f>
        <v>249000</v>
      </c>
      <c r="L316" s="328">
        <f t="shared" ref="L316:L317" si="311">F316*K316</f>
        <v>0</v>
      </c>
      <c r="M316" s="329"/>
    </row>
    <row r="317" spans="1:17" s="330" customFormat="1" ht="18" hidden="1" customHeight="1">
      <c r="A317" s="60" t="s">
        <v>44</v>
      </c>
      <c r="B317" s="323" t="s">
        <v>597</v>
      </c>
      <c r="C317" s="384" t="s">
        <v>599</v>
      </c>
      <c r="D317" s="325" t="s">
        <v>112</v>
      </c>
      <c r="E317" s="325" t="s">
        <v>38</v>
      </c>
      <c r="F317" s="326">
        <v>0</v>
      </c>
      <c r="G317" s="327">
        <v>264000</v>
      </c>
      <c r="H317" s="327">
        <f t="shared" si="308"/>
        <v>0</v>
      </c>
      <c r="I317" s="327">
        <v>50000</v>
      </c>
      <c r="J317" s="327">
        <f t="shared" si="309"/>
        <v>0</v>
      </c>
      <c r="K317" s="327">
        <f t="shared" si="310"/>
        <v>314000</v>
      </c>
      <c r="L317" s="328">
        <f t="shared" si="311"/>
        <v>0</v>
      </c>
      <c r="M317" s="329"/>
    </row>
    <row r="318" spans="1:17" s="330" customFormat="1" ht="18" hidden="1" customHeight="1">
      <c r="A318" s="60" t="s">
        <v>160</v>
      </c>
      <c r="B318" s="323" t="s">
        <v>511</v>
      </c>
      <c r="C318" s="384" t="s">
        <v>505</v>
      </c>
      <c r="D318" s="325" t="s">
        <v>461</v>
      </c>
      <c r="E318" s="325" t="s">
        <v>38</v>
      </c>
      <c r="F318" s="326"/>
      <c r="G318" s="327">
        <v>190000</v>
      </c>
      <c r="H318" s="327">
        <f t="shared" si="306"/>
        <v>0</v>
      </c>
      <c r="I318" s="327">
        <v>50000</v>
      </c>
      <c r="J318" s="327">
        <f t="shared" si="307"/>
        <v>0</v>
      </c>
      <c r="K318" s="327">
        <f t="shared" si="304"/>
        <v>240000</v>
      </c>
      <c r="L318" s="328">
        <f t="shared" si="305"/>
        <v>0</v>
      </c>
      <c r="M318" s="329"/>
    </row>
    <row r="319" spans="1:17" s="297" customFormat="1" ht="18" hidden="1" customHeight="1">
      <c r="A319" s="258" t="s">
        <v>305</v>
      </c>
      <c r="B319" s="290" t="s">
        <v>328</v>
      </c>
      <c r="C319" s="335" t="s">
        <v>362</v>
      </c>
      <c r="D319" s="292" t="s">
        <v>112</v>
      </c>
      <c r="E319" s="292" t="s">
        <v>38</v>
      </c>
      <c r="F319" s="293"/>
      <c r="G319" s="294">
        <v>180000</v>
      </c>
      <c r="H319" s="294">
        <f t="shared" si="302"/>
        <v>0</v>
      </c>
      <c r="I319" s="294">
        <v>50000</v>
      </c>
      <c r="J319" s="294">
        <f t="shared" si="303"/>
        <v>0</v>
      </c>
      <c r="K319" s="294">
        <f t="shared" ref="K319:K323" si="312">G319+I319</f>
        <v>230000</v>
      </c>
      <c r="L319" s="295">
        <f t="shared" ref="L319:L321" si="313">F319*K319</f>
        <v>0</v>
      </c>
      <c r="M319" s="296"/>
    </row>
    <row r="320" spans="1:17" s="297" customFormat="1" ht="18" hidden="1" customHeight="1">
      <c r="A320" s="258" t="s">
        <v>297</v>
      </c>
      <c r="B320" s="290" t="s">
        <v>110</v>
      </c>
      <c r="C320" s="335" t="s">
        <v>361</v>
      </c>
      <c r="D320" s="292" t="s">
        <v>329</v>
      </c>
      <c r="E320" s="292" t="s">
        <v>38</v>
      </c>
      <c r="F320" s="293"/>
      <c r="G320" s="294">
        <v>150000</v>
      </c>
      <c r="H320" s="294">
        <f t="shared" si="302"/>
        <v>0</v>
      </c>
      <c r="I320" s="294">
        <v>50000</v>
      </c>
      <c r="J320" s="294">
        <f t="shared" si="303"/>
        <v>0</v>
      </c>
      <c r="K320" s="294">
        <f t="shared" si="312"/>
        <v>200000</v>
      </c>
      <c r="L320" s="295">
        <f t="shared" ref="L320" si="314">F320*K320</f>
        <v>0</v>
      </c>
      <c r="M320" s="296"/>
    </row>
    <row r="321" spans="1:13" s="59" customFormat="1" ht="18" hidden="1" customHeight="1">
      <c r="A321" s="60" t="s">
        <v>12</v>
      </c>
      <c r="B321" s="53" t="s">
        <v>109</v>
      </c>
      <c r="C321" s="54" t="s">
        <v>215</v>
      </c>
      <c r="D321" s="55" t="s">
        <v>214</v>
      </c>
      <c r="E321" s="55" t="s">
        <v>38</v>
      </c>
      <c r="F321" s="61"/>
      <c r="G321" s="57">
        <v>450000</v>
      </c>
      <c r="H321" s="57">
        <f t="shared" ref="H321" si="315">F321*G321</f>
        <v>0</v>
      </c>
      <c r="I321" s="57">
        <v>50000</v>
      </c>
      <c r="J321" s="57">
        <f t="shared" ref="J321" si="316">F321*I321</f>
        <v>0</v>
      </c>
      <c r="K321" s="57">
        <f t="shared" si="312"/>
        <v>500000</v>
      </c>
      <c r="L321" s="58">
        <f t="shared" si="313"/>
        <v>0</v>
      </c>
      <c r="M321" s="176"/>
    </row>
    <row r="322" spans="1:13" s="59" customFormat="1" ht="18" hidden="1" customHeight="1">
      <c r="A322" s="60" t="s">
        <v>12</v>
      </c>
      <c r="B322" s="53" t="s">
        <v>109</v>
      </c>
      <c r="C322" s="54" t="s">
        <v>596</v>
      </c>
      <c r="D322" s="55" t="s">
        <v>460</v>
      </c>
      <c r="E322" s="55" t="s">
        <v>38</v>
      </c>
      <c r="F322" s="61">
        <v>0</v>
      </c>
      <c r="G322" s="57">
        <v>400000</v>
      </c>
      <c r="H322" s="57">
        <f t="shared" ref="H322:H356" si="317">F322*G322</f>
        <v>0</v>
      </c>
      <c r="I322" s="57">
        <v>50000</v>
      </c>
      <c r="J322" s="57">
        <f t="shared" ref="J322:J356" si="318">F322*I322</f>
        <v>0</v>
      </c>
      <c r="K322" s="57">
        <f t="shared" si="312"/>
        <v>450000</v>
      </c>
      <c r="L322" s="58">
        <f t="shared" si="299"/>
        <v>0</v>
      </c>
      <c r="M322" s="176"/>
    </row>
    <row r="323" spans="1:13" s="59" customFormat="1" ht="18" hidden="1" customHeight="1">
      <c r="A323" s="60" t="s">
        <v>257</v>
      </c>
      <c r="B323" s="53" t="s">
        <v>284</v>
      </c>
      <c r="C323" s="54" t="s">
        <v>529</v>
      </c>
      <c r="D323" s="55" t="s">
        <v>510</v>
      </c>
      <c r="E323" s="55" t="s">
        <v>38</v>
      </c>
      <c r="F323" s="61"/>
      <c r="G323" s="57">
        <v>630000</v>
      </c>
      <c r="H323" s="57">
        <f t="shared" si="317"/>
        <v>0</v>
      </c>
      <c r="I323" s="57">
        <v>50000</v>
      </c>
      <c r="J323" s="57">
        <f t="shared" si="318"/>
        <v>0</v>
      </c>
      <c r="K323" s="57">
        <f t="shared" si="312"/>
        <v>680000</v>
      </c>
      <c r="L323" s="58">
        <f t="shared" si="299"/>
        <v>0</v>
      </c>
      <c r="M323" s="176"/>
    </row>
    <row r="324" spans="1:13" s="59" customFormat="1" ht="18" hidden="1" customHeight="1">
      <c r="A324" s="60" t="s">
        <v>44</v>
      </c>
      <c r="B324" s="53" t="s">
        <v>284</v>
      </c>
      <c r="C324" s="54" t="s">
        <v>530</v>
      </c>
      <c r="D324" s="55" t="s">
        <v>113</v>
      </c>
      <c r="E324" s="55" t="s">
        <v>38</v>
      </c>
      <c r="F324" s="61"/>
      <c r="G324" s="57">
        <v>530000</v>
      </c>
      <c r="H324" s="57">
        <f t="shared" ref="H324:H325" si="319">F324*G324</f>
        <v>0</v>
      </c>
      <c r="I324" s="57">
        <v>50000</v>
      </c>
      <c r="J324" s="57">
        <f t="shared" ref="J324:J325" si="320">F324*I324</f>
        <v>0</v>
      </c>
      <c r="K324" s="57">
        <f t="shared" ref="K324:K325" si="321">G324+I324</f>
        <v>580000</v>
      </c>
      <c r="L324" s="58">
        <f t="shared" ref="L324:L325" si="322">F324*K324</f>
        <v>0</v>
      </c>
      <c r="M324" s="176"/>
    </row>
    <row r="325" spans="1:13" s="59" customFormat="1" ht="18" customHeight="1">
      <c r="A325" s="60" t="s">
        <v>12</v>
      </c>
      <c r="B325" s="53" t="s">
        <v>662</v>
      </c>
      <c r="C325" s="54" t="s">
        <v>663</v>
      </c>
      <c r="D325" s="55" t="s">
        <v>112</v>
      </c>
      <c r="E325" s="55" t="s">
        <v>38</v>
      </c>
      <c r="F325" s="61">
        <v>1</v>
      </c>
      <c r="G325" s="57">
        <v>340000</v>
      </c>
      <c r="H325" s="57">
        <f t="shared" si="319"/>
        <v>340000</v>
      </c>
      <c r="I325" s="57">
        <v>50000</v>
      </c>
      <c r="J325" s="57">
        <f t="shared" si="320"/>
        <v>50000</v>
      </c>
      <c r="K325" s="57">
        <f t="shared" si="321"/>
        <v>390000</v>
      </c>
      <c r="L325" s="58">
        <f t="shared" si="322"/>
        <v>390000</v>
      </c>
      <c r="M325" s="176"/>
    </row>
    <row r="326" spans="1:13" s="59" customFormat="1" ht="18" customHeight="1">
      <c r="A326" s="60"/>
      <c r="B326" s="53"/>
      <c r="C326" s="62"/>
      <c r="D326" s="55"/>
      <c r="E326" s="55"/>
      <c r="F326" s="61"/>
      <c r="G326" s="57"/>
      <c r="H326" s="57"/>
      <c r="I326" s="57"/>
      <c r="J326" s="57"/>
      <c r="K326" s="57"/>
      <c r="L326" s="58"/>
      <c r="M326" s="176"/>
    </row>
    <row r="327" spans="1:13" s="59" customFormat="1" ht="18" customHeight="1">
      <c r="A327" s="52">
        <v>-1</v>
      </c>
      <c r="B327" s="53" t="s">
        <v>100</v>
      </c>
      <c r="C327" s="54"/>
      <c r="D327" s="55"/>
      <c r="E327" s="55"/>
      <c r="F327" s="56"/>
      <c r="G327" s="57"/>
      <c r="H327" s="57"/>
      <c r="I327" s="57"/>
      <c r="J327" s="57"/>
      <c r="K327" s="57"/>
      <c r="L327" s="58"/>
      <c r="M327" s="176"/>
    </row>
    <row r="328" spans="1:13" s="468" customFormat="1" ht="18" customHeight="1">
      <c r="A328" s="10" t="s">
        <v>44</v>
      </c>
      <c r="B328" s="314" t="s">
        <v>115</v>
      </c>
      <c r="C328" s="315" t="s">
        <v>660</v>
      </c>
      <c r="D328" s="465" t="s">
        <v>113</v>
      </c>
      <c r="E328" s="465" t="s">
        <v>42</v>
      </c>
      <c r="F328" s="466">
        <v>1</v>
      </c>
      <c r="G328" s="318">
        <v>360000</v>
      </c>
      <c r="H328" s="318">
        <f t="shared" ref="H328:H329" si="323">F328*G328</f>
        <v>360000</v>
      </c>
      <c r="I328" s="318">
        <v>150000</v>
      </c>
      <c r="J328" s="318">
        <f t="shared" ref="J328:J329" si="324">F328*I328</f>
        <v>150000</v>
      </c>
      <c r="K328" s="318">
        <f t="shared" ref="K328" si="325">G328+I328</f>
        <v>510000</v>
      </c>
      <c r="L328" s="319">
        <f t="shared" ref="L328:L329" si="326">F328*K328</f>
        <v>510000</v>
      </c>
      <c r="M328" s="467" t="s">
        <v>603</v>
      </c>
    </row>
    <row r="329" spans="1:13" s="476" customFormat="1" ht="18" customHeight="1">
      <c r="A329" s="469" t="s">
        <v>44</v>
      </c>
      <c r="B329" s="470" t="s">
        <v>116</v>
      </c>
      <c r="C329" s="315" t="s">
        <v>660</v>
      </c>
      <c r="D329" s="471" t="s">
        <v>113</v>
      </c>
      <c r="E329" s="471" t="s">
        <v>42</v>
      </c>
      <c r="F329" s="472">
        <v>1</v>
      </c>
      <c r="G329" s="473">
        <v>2300000</v>
      </c>
      <c r="H329" s="473">
        <f t="shared" si="323"/>
        <v>2300000</v>
      </c>
      <c r="I329" s="473">
        <v>350000</v>
      </c>
      <c r="J329" s="473">
        <f t="shared" si="324"/>
        <v>350000</v>
      </c>
      <c r="K329" s="473">
        <f>G329+I329</f>
        <v>2650000</v>
      </c>
      <c r="L329" s="474">
        <f t="shared" si="326"/>
        <v>2650000</v>
      </c>
      <c r="M329" s="475" t="s">
        <v>603</v>
      </c>
    </row>
    <row r="330" spans="1:13" s="476" customFormat="1" ht="18" customHeight="1">
      <c r="A330" s="469" t="s">
        <v>44</v>
      </c>
      <c r="B330" s="470" t="s">
        <v>115</v>
      </c>
      <c r="C330" s="315" t="s">
        <v>660</v>
      </c>
      <c r="D330" s="471" t="s">
        <v>112</v>
      </c>
      <c r="E330" s="471" t="s">
        <v>42</v>
      </c>
      <c r="F330" s="472">
        <v>1</v>
      </c>
      <c r="G330" s="473">
        <v>225000</v>
      </c>
      <c r="H330" s="473">
        <f t="shared" ref="H330" si="327">F330*G330</f>
        <v>225000</v>
      </c>
      <c r="I330" s="473">
        <v>350000</v>
      </c>
      <c r="J330" s="473">
        <f t="shared" ref="J330" si="328">F330*I330</f>
        <v>350000</v>
      </c>
      <c r="K330" s="473">
        <f>G330+I330</f>
        <v>575000</v>
      </c>
      <c r="L330" s="474">
        <f t="shared" ref="L330" si="329">F330*K330</f>
        <v>575000</v>
      </c>
      <c r="M330" s="475" t="s">
        <v>603</v>
      </c>
    </row>
    <row r="331" spans="1:13" s="476" customFormat="1" ht="18" customHeight="1">
      <c r="A331" s="469" t="s">
        <v>44</v>
      </c>
      <c r="B331" s="470" t="s">
        <v>116</v>
      </c>
      <c r="C331" s="315" t="s">
        <v>660</v>
      </c>
      <c r="D331" s="471" t="s">
        <v>112</v>
      </c>
      <c r="E331" s="471" t="s">
        <v>42</v>
      </c>
      <c r="F331" s="472">
        <v>1</v>
      </c>
      <c r="G331" s="473">
        <v>1430000</v>
      </c>
      <c r="H331" s="473">
        <f t="shared" ref="H331:H332" si="330">F331*G331</f>
        <v>1430000</v>
      </c>
      <c r="I331" s="473">
        <v>350000</v>
      </c>
      <c r="J331" s="473">
        <f t="shared" ref="J331:J332" si="331">F331*I331</f>
        <v>350000</v>
      </c>
      <c r="K331" s="473">
        <f>G331+I331</f>
        <v>1780000</v>
      </c>
      <c r="L331" s="474">
        <f t="shared" ref="L331:L332" si="332">F331*K331</f>
        <v>1780000</v>
      </c>
      <c r="M331" s="475" t="s">
        <v>603</v>
      </c>
    </row>
    <row r="332" spans="1:13" s="476" customFormat="1" ht="18" customHeight="1">
      <c r="A332" s="469" t="s">
        <v>44</v>
      </c>
      <c r="B332" s="470" t="s">
        <v>659</v>
      </c>
      <c r="C332" s="315" t="s">
        <v>660</v>
      </c>
      <c r="D332" s="471" t="s">
        <v>112</v>
      </c>
      <c r="E332" s="471" t="s">
        <v>42</v>
      </c>
      <c r="F332" s="472">
        <v>1</v>
      </c>
      <c r="G332" s="473">
        <f>390000+146000</f>
        <v>536000</v>
      </c>
      <c r="H332" s="473">
        <f t="shared" si="330"/>
        <v>536000</v>
      </c>
      <c r="I332" s="473">
        <v>350000</v>
      </c>
      <c r="J332" s="473">
        <f t="shared" si="331"/>
        <v>350000</v>
      </c>
      <c r="K332" s="473">
        <f>G332+I332</f>
        <v>886000</v>
      </c>
      <c r="L332" s="474">
        <f t="shared" si="332"/>
        <v>886000</v>
      </c>
      <c r="M332" s="475" t="s">
        <v>603</v>
      </c>
    </row>
    <row r="333" spans="1:13" s="59" customFormat="1" ht="18" hidden="1" customHeight="1">
      <c r="A333" s="52"/>
      <c r="B333" s="53"/>
      <c r="C333" s="54"/>
      <c r="D333" s="55"/>
      <c r="E333" s="55"/>
      <c r="F333" s="56"/>
      <c r="G333" s="57"/>
      <c r="H333" s="57"/>
      <c r="I333" s="57"/>
      <c r="J333" s="57"/>
      <c r="K333" s="57"/>
      <c r="L333" s="58"/>
      <c r="M333" s="176"/>
    </row>
    <row r="334" spans="1:13" s="59" customFormat="1" ht="18" hidden="1" customHeight="1">
      <c r="A334" s="52"/>
      <c r="B334" s="53"/>
      <c r="C334" s="54"/>
      <c r="D334" s="55"/>
      <c r="E334" s="55"/>
      <c r="F334" s="56"/>
      <c r="G334" s="57"/>
      <c r="H334" s="57"/>
      <c r="I334" s="57"/>
      <c r="J334" s="57"/>
      <c r="K334" s="57"/>
      <c r="L334" s="58"/>
      <c r="M334" s="176"/>
    </row>
    <row r="335" spans="1:13" s="59" customFormat="1" ht="18" hidden="1" customHeight="1">
      <c r="A335" s="52"/>
      <c r="B335" s="53"/>
      <c r="C335" s="54"/>
      <c r="D335" s="55"/>
      <c r="E335" s="55"/>
      <c r="F335" s="56"/>
      <c r="G335" s="57"/>
      <c r="H335" s="57"/>
      <c r="I335" s="57"/>
      <c r="J335" s="57"/>
      <c r="K335" s="57"/>
      <c r="L335" s="58"/>
      <c r="M335" s="176"/>
    </row>
    <row r="336" spans="1:13" s="330" customFormat="1" ht="18" hidden="1" customHeight="1">
      <c r="A336" s="52" t="s">
        <v>216</v>
      </c>
      <c r="B336" s="323" t="s">
        <v>115</v>
      </c>
      <c r="C336" s="384" t="s">
        <v>606</v>
      </c>
      <c r="D336" s="325" t="s">
        <v>113</v>
      </c>
      <c r="E336" s="325" t="s">
        <v>42</v>
      </c>
      <c r="F336" s="345">
        <v>0</v>
      </c>
      <c r="G336" s="327">
        <v>0</v>
      </c>
      <c r="H336" s="327">
        <f t="shared" si="317"/>
        <v>0</v>
      </c>
      <c r="I336" s="327">
        <v>150000</v>
      </c>
      <c r="J336" s="327">
        <f t="shared" ref="J336" si="333">F336*I336</f>
        <v>0</v>
      </c>
      <c r="K336" s="327">
        <f t="shared" ref="K336:K342" si="334">G336+I336</f>
        <v>150000</v>
      </c>
      <c r="L336" s="328">
        <f t="shared" ref="L336" si="335">F336*K336</f>
        <v>0</v>
      </c>
      <c r="M336" s="296" t="s">
        <v>603</v>
      </c>
    </row>
    <row r="337" spans="1:13" s="330" customFormat="1" ht="18" hidden="1" customHeight="1">
      <c r="A337" s="52" t="s">
        <v>44</v>
      </c>
      <c r="B337" s="323" t="s">
        <v>357</v>
      </c>
      <c r="C337" s="384" t="s">
        <v>356</v>
      </c>
      <c r="D337" s="325" t="s">
        <v>113</v>
      </c>
      <c r="E337" s="325" t="s">
        <v>42</v>
      </c>
      <c r="F337" s="345"/>
      <c r="G337" s="327">
        <v>11000</v>
      </c>
      <c r="H337" s="327">
        <f t="shared" ref="H337" si="336">F337*G337</f>
        <v>0</v>
      </c>
      <c r="I337" s="327">
        <v>30000</v>
      </c>
      <c r="J337" s="327">
        <f t="shared" ref="J337" si="337">F337*I337</f>
        <v>0</v>
      </c>
      <c r="K337" s="327">
        <f t="shared" ref="K337" si="338">G337+I337</f>
        <v>41000</v>
      </c>
      <c r="L337" s="328">
        <f t="shared" ref="L337" si="339">F337*K337</f>
        <v>0</v>
      </c>
      <c r="M337" s="329"/>
    </row>
    <row r="338" spans="1:13" s="330" customFormat="1" ht="18" hidden="1" customHeight="1">
      <c r="A338" s="52" t="s">
        <v>216</v>
      </c>
      <c r="B338" s="323" t="s">
        <v>116</v>
      </c>
      <c r="C338" s="384" t="s">
        <v>605</v>
      </c>
      <c r="D338" s="325" t="s">
        <v>113</v>
      </c>
      <c r="E338" s="325" t="s">
        <v>42</v>
      </c>
      <c r="F338" s="345">
        <v>0</v>
      </c>
      <c r="G338" s="327">
        <v>0</v>
      </c>
      <c r="H338" s="327">
        <f t="shared" ref="H338" si="340">F338*G338</f>
        <v>0</v>
      </c>
      <c r="I338" s="327">
        <v>350000</v>
      </c>
      <c r="J338" s="327">
        <f t="shared" ref="J338" si="341">F338*I338</f>
        <v>0</v>
      </c>
      <c r="K338" s="327">
        <f>G338+I338</f>
        <v>350000</v>
      </c>
      <c r="L338" s="328">
        <f t="shared" ref="L338" si="342">F338*K338</f>
        <v>0</v>
      </c>
      <c r="M338" s="296" t="s">
        <v>603</v>
      </c>
    </row>
    <row r="339" spans="1:13" s="59" customFormat="1" ht="18" hidden="1" customHeight="1">
      <c r="A339" s="60" t="s">
        <v>12</v>
      </c>
      <c r="B339" s="53" t="s">
        <v>115</v>
      </c>
      <c r="C339" s="384" t="s">
        <v>606</v>
      </c>
      <c r="D339" s="55" t="s">
        <v>112</v>
      </c>
      <c r="E339" s="55" t="s">
        <v>42</v>
      </c>
      <c r="F339" s="56">
        <v>0</v>
      </c>
      <c r="G339" s="57">
        <v>0</v>
      </c>
      <c r="H339" s="57">
        <f>F339*G339</f>
        <v>0</v>
      </c>
      <c r="I339" s="57">
        <v>150000</v>
      </c>
      <c r="J339" s="57">
        <f>F339*I339</f>
        <v>0</v>
      </c>
      <c r="K339" s="57">
        <f t="shared" si="334"/>
        <v>150000</v>
      </c>
      <c r="L339" s="58">
        <f>F339*K339</f>
        <v>0</v>
      </c>
      <c r="M339" s="296" t="s">
        <v>603</v>
      </c>
    </row>
    <row r="340" spans="1:13" s="297" customFormat="1" ht="18" hidden="1" customHeight="1">
      <c r="A340" s="334" t="s">
        <v>217</v>
      </c>
      <c r="B340" s="290" t="s">
        <v>357</v>
      </c>
      <c r="C340" s="335" t="s">
        <v>356</v>
      </c>
      <c r="D340" s="292" t="s">
        <v>112</v>
      </c>
      <c r="E340" s="292" t="s">
        <v>42</v>
      </c>
      <c r="F340" s="336"/>
      <c r="G340" s="294">
        <v>0</v>
      </c>
      <c r="H340" s="294">
        <f t="shared" ref="H340" si="343">F340*G340</f>
        <v>0</v>
      </c>
      <c r="I340" s="294">
        <v>0</v>
      </c>
      <c r="J340" s="294">
        <f t="shared" ref="J340" si="344">F340*I340</f>
        <v>0</v>
      </c>
      <c r="K340" s="294">
        <f t="shared" si="334"/>
        <v>0</v>
      </c>
      <c r="L340" s="295">
        <f t="shared" ref="L340" si="345">F340*K340</f>
        <v>0</v>
      </c>
      <c r="M340" s="350"/>
    </row>
    <row r="341" spans="1:13" s="330" customFormat="1" ht="18" hidden="1" customHeight="1">
      <c r="A341" s="52" t="s">
        <v>44</v>
      </c>
      <c r="B341" s="323" t="s">
        <v>116</v>
      </c>
      <c r="C341" s="384" t="s">
        <v>464</v>
      </c>
      <c r="D341" s="325" t="s">
        <v>112</v>
      </c>
      <c r="E341" s="325" t="s">
        <v>42</v>
      </c>
      <c r="F341" s="345"/>
      <c r="G341" s="327">
        <v>250000</v>
      </c>
      <c r="H341" s="327">
        <f t="shared" ref="H341" si="346">F341*G341</f>
        <v>0</v>
      </c>
      <c r="I341" s="327">
        <v>50000</v>
      </c>
      <c r="J341" s="327">
        <f t="shared" ref="J341" si="347">F341*I341</f>
        <v>0</v>
      </c>
      <c r="K341" s="327">
        <f t="shared" ref="K341" si="348">G341+I341</f>
        <v>300000</v>
      </c>
      <c r="L341" s="328">
        <f t="shared" ref="L341" si="349">F341*K341</f>
        <v>0</v>
      </c>
      <c r="M341" s="383"/>
    </row>
    <row r="342" spans="1:13" s="59" customFormat="1" ht="18" hidden="1" customHeight="1">
      <c r="A342" s="60" t="s">
        <v>12</v>
      </c>
      <c r="B342" s="53" t="s">
        <v>226</v>
      </c>
      <c r="C342" s="62" t="s">
        <v>228</v>
      </c>
      <c r="D342" s="55" t="s">
        <v>227</v>
      </c>
      <c r="E342" s="55" t="s">
        <v>42</v>
      </c>
      <c r="F342" s="345"/>
      <c r="G342" s="57">
        <v>0</v>
      </c>
      <c r="H342" s="57">
        <f t="shared" ref="H342:H343" si="350">F342*G342</f>
        <v>0</v>
      </c>
      <c r="I342" s="57">
        <v>0</v>
      </c>
      <c r="J342" s="57">
        <f t="shared" ref="J342:J343" si="351">F342*I342</f>
        <v>0</v>
      </c>
      <c r="K342" s="57">
        <f t="shared" si="334"/>
        <v>0</v>
      </c>
      <c r="L342" s="58">
        <f t="shared" ref="L342:L343" si="352">F342*K342</f>
        <v>0</v>
      </c>
      <c r="M342" s="313"/>
    </row>
    <row r="343" spans="1:13" s="330" customFormat="1" ht="18" hidden="1" customHeight="1">
      <c r="A343" s="52" t="s">
        <v>44</v>
      </c>
      <c r="B343" s="323" t="s">
        <v>116</v>
      </c>
      <c r="C343" s="384" t="s">
        <v>605</v>
      </c>
      <c r="D343" s="325" t="s">
        <v>113</v>
      </c>
      <c r="E343" s="325" t="s">
        <v>42</v>
      </c>
      <c r="F343" s="345">
        <v>0</v>
      </c>
      <c r="G343" s="327">
        <v>0</v>
      </c>
      <c r="H343" s="327">
        <f t="shared" si="350"/>
        <v>0</v>
      </c>
      <c r="I343" s="327">
        <v>350000</v>
      </c>
      <c r="J343" s="327">
        <f t="shared" si="351"/>
        <v>0</v>
      </c>
      <c r="K343" s="327">
        <f>G343+I343</f>
        <v>350000</v>
      </c>
      <c r="L343" s="328">
        <f t="shared" si="352"/>
        <v>0</v>
      </c>
      <c r="M343" s="296" t="s">
        <v>603</v>
      </c>
    </row>
    <row r="344" spans="1:13" s="59" customFormat="1" ht="18" customHeight="1">
      <c r="A344" s="60"/>
      <c r="B344" s="53"/>
      <c r="C344" s="62"/>
      <c r="D344" s="55"/>
      <c r="E344" s="55"/>
      <c r="F344" s="61"/>
      <c r="G344" s="57"/>
      <c r="H344" s="57"/>
      <c r="I344" s="57"/>
      <c r="J344" s="57"/>
      <c r="K344" s="57"/>
      <c r="L344" s="58"/>
      <c r="M344" s="177"/>
    </row>
    <row r="345" spans="1:13" s="59" customFormat="1" ht="18" customHeight="1">
      <c r="A345" s="52">
        <v>-1</v>
      </c>
      <c r="B345" s="53" t="s">
        <v>120</v>
      </c>
      <c r="C345" s="54"/>
      <c r="D345" s="55"/>
      <c r="E345" s="55"/>
      <c r="F345" s="56"/>
      <c r="G345" s="57"/>
      <c r="H345" s="57"/>
      <c r="I345" s="57"/>
      <c r="J345" s="57"/>
      <c r="K345" s="57"/>
      <c r="L345" s="58"/>
      <c r="M345" s="177"/>
    </row>
    <row r="346" spans="1:13" s="59" customFormat="1" ht="18" hidden="1" customHeight="1">
      <c r="A346" s="60" t="s">
        <v>12</v>
      </c>
      <c r="B346" s="53" t="s">
        <v>206</v>
      </c>
      <c r="C346" s="54" t="s">
        <v>536</v>
      </c>
      <c r="D346" s="55" t="s">
        <v>113</v>
      </c>
      <c r="E346" s="55" t="s">
        <v>42</v>
      </c>
      <c r="F346" s="61">
        <v>0</v>
      </c>
      <c r="G346" s="57">
        <v>150000</v>
      </c>
      <c r="H346" s="57">
        <f t="shared" si="317"/>
        <v>0</v>
      </c>
      <c r="I346" s="57">
        <v>250000</v>
      </c>
      <c r="J346" s="57">
        <f t="shared" si="318"/>
        <v>0</v>
      </c>
      <c r="K346" s="57">
        <f t="shared" ref="K346" si="353">G346+I346</f>
        <v>400000</v>
      </c>
      <c r="L346" s="58">
        <f t="shared" si="299"/>
        <v>0</v>
      </c>
      <c r="M346" s="177"/>
    </row>
    <row r="347" spans="1:13" s="59" customFormat="1" ht="18" hidden="1" customHeight="1">
      <c r="A347" s="60" t="s">
        <v>44</v>
      </c>
      <c r="B347" s="53" t="s">
        <v>462</v>
      </c>
      <c r="C347" s="54" t="s">
        <v>463</v>
      </c>
      <c r="D347" s="55" t="s">
        <v>113</v>
      </c>
      <c r="E347" s="55" t="s">
        <v>42</v>
      </c>
      <c r="F347" s="61"/>
      <c r="G347" s="57">
        <v>270000</v>
      </c>
      <c r="H347" s="57">
        <f>F347*G347</f>
        <v>0</v>
      </c>
      <c r="I347" s="57">
        <v>50000</v>
      </c>
      <c r="J347" s="327">
        <f t="shared" ref="J347:J349" si="354">F347*I347</f>
        <v>0</v>
      </c>
      <c r="K347" s="57">
        <f>G347+I347</f>
        <v>320000</v>
      </c>
      <c r="L347" s="58">
        <f>F347*K347</f>
        <v>0</v>
      </c>
      <c r="M347" s="176"/>
    </row>
    <row r="348" spans="1:13" s="446" customFormat="1" ht="18" customHeight="1">
      <c r="A348" s="439" t="s">
        <v>44</v>
      </c>
      <c r="B348" s="440" t="s">
        <v>332</v>
      </c>
      <c r="C348" s="464" t="s">
        <v>320</v>
      </c>
      <c r="D348" s="441" t="s">
        <v>112</v>
      </c>
      <c r="E348" s="441" t="s">
        <v>42</v>
      </c>
      <c r="F348" s="442">
        <v>1</v>
      </c>
      <c r="G348" s="443">
        <v>0</v>
      </c>
      <c r="H348" s="443">
        <f>F348*G348</f>
        <v>0</v>
      </c>
      <c r="I348" s="443">
        <v>30000</v>
      </c>
      <c r="J348" s="443">
        <f t="shared" si="354"/>
        <v>30000</v>
      </c>
      <c r="K348" s="443">
        <f>G348+I348</f>
        <v>30000</v>
      </c>
      <c r="L348" s="444">
        <f>F348*K348</f>
        <v>30000</v>
      </c>
      <c r="M348" s="445" t="s">
        <v>603</v>
      </c>
    </row>
    <row r="349" spans="1:13" s="462" customFormat="1" ht="18" customHeight="1">
      <c r="A349" s="457" t="s">
        <v>12</v>
      </c>
      <c r="B349" s="458" t="s">
        <v>117</v>
      </c>
      <c r="C349" s="450" t="s">
        <v>664</v>
      </c>
      <c r="D349" s="459" t="s">
        <v>113</v>
      </c>
      <c r="E349" s="459" t="s">
        <v>42</v>
      </c>
      <c r="F349" s="460">
        <v>1</v>
      </c>
      <c r="G349" s="453">
        <v>48000</v>
      </c>
      <c r="H349" s="453">
        <f t="shared" ref="H349" si="355">F349*G349</f>
        <v>48000</v>
      </c>
      <c r="I349" s="453">
        <v>50000</v>
      </c>
      <c r="J349" s="453">
        <f t="shared" si="354"/>
        <v>50000</v>
      </c>
      <c r="K349" s="453">
        <f t="shared" ref="K349" si="356">G349+I349</f>
        <v>98000</v>
      </c>
      <c r="L349" s="461">
        <f t="shared" ref="L349" si="357">F349*K349</f>
        <v>98000</v>
      </c>
      <c r="M349" s="410" t="s">
        <v>320</v>
      </c>
    </row>
    <row r="350" spans="1:13" s="462" customFormat="1" ht="18" customHeight="1">
      <c r="A350" s="457" t="s">
        <v>12</v>
      </c>
      <c r="B350" s="458" t="s">
        <v>118</v>
      </c>
      <c r="C350" s="463" t="s">
        <v>664</v>
      </c>
      <c r="D350" s="459" t="s">
        <v>113</v>
      </c>
      <c r="E350" s="459" t="s">
        <v>42</v>
      </c>
      <c r="F350" s="460">
        <v>1</v>
      </c>
      <c r="G350" s="453">
        <v>127000</v>
      </c>
      <c r="H350" s="453">
        <f t="shared" ref="H350" si="358">F350*G350</f>
        <v>127000</v>
      </c>
      <c r="I350" s="453">
        <v>50000</v>
      </c>
      <c r="J350" s="453">
        <f t="shared" ref="J350" si="359">F350*I350</f>
        <v>50000</v>
      </c>
      <c r="K350" s="453">
        <f t="shared" ref="K350" si="360">G350+I350</f>
        <v>177000</v>
      </c>
      <c r="L350" s="461">
        <f t="shared" ref="L350" si="361">F350*K350</f>
        <v>177000</v>
      </c>
      <c r="M350" s="410" t="s">
        <v>320</v>
      </c>
    </row>
    <row r="351" spans="1:13" s="423" customFormat="1" ht="18" hidden="1" customHeight="1">
      <c r="A351" s="416" t="s">
        <v>44</v>
      </c>
      <c r="B351" s="417" t="s">
        <v>604</v>
      </c>
      <c r="C351" s="435"/>
      <c r="D351" s="419" t="s">
        <v>113</v>
      </c>
      <c r="E351" s="419" t="s">
        <v>42</v>
      </c>
      <c r="F351" s="420">
        <v>1</v>
      </c>
      <c r="G351" s="421"/>
      <c r="H351" s="421">
        <f t="shared" ref="H351" si="362">F351*G351</f>
        <v>0</v>
      </c>
      <c r="I351" s="421">
        <v>50000</v>
      </c>
      <c r="J351" s="421">
        <f t="shared" ref="J351" si="363">F351*I351</f>
        <v>50000</v>
      </c>
      <c r="K351" s="421">
        <f t="shared" ref="K351" si="364">G351+I351</f>
        <v>50000</v>
      </c>
      <c r="L351" s="422">
        <f t="shared" ref="L351" si="365">F351*K351</f>
        <v>50000</v>
      </c>
      <c r="M351" s="403" t="s">
        <v>320</v>
      </c>
    </row>
    <row r="352" spans="1:13" s="59" customFormat="1" ht="18" customHeight="1">
      <c r="A352" s="60" t="s">
        <v>12</v>
      </c>
      <c r="B352" s="53" t="s">
        <v>145</v>
      </c>
      <c r="C352" s="54" t="s">
        <v>148</v>
      </c>
      <c r="D352" s="55" t="s">
        <v>113</v>
      </c>
      <c r="E352" s="55" t="s">
        <v>75</v>
      </c>
      <c r="F352" s="61">
        <v>2</v>
      </c>
      <c r="G352" s="57">
        <v>32000</v>
      </c>
      <c r="H352" s="57">
        <f t="shared" si="317"/>
        <v>64000</v>
      </c>
      <c r="I352" s="57">
        <v>10000</v>
      </c>
      <c r="J352" s="57">
        <f t="shared" si="318"/>
        <v>20000</v>
      </c>
      <c r="K352" s="57">
        <f>G352+I352</f>
        <v>42000</v>
      </c>
      <c r="L352" s="58">
        <f t="shared" si="299"/>
        <v>84000</v>
      </c>
      <c r="M352" s="177"/>
    </row>
    <row r="353" spans="1:13" s="59" customFormat="1" ht="18" customHeight="1">
      <c r="A353" s="60" t="s">
        <v>177</v>
      </c>
      <c r="B353" s="53" t="s">
        <v>178</v>
      </c>
      <c r="C353" s="54" t="s">
        <v>218</v>
      </c>
      <c r="D353" s="55" t="s">
        <v>113</v>
      </c>
      <c r="E353" s="55" t="s">
        <v>179</v>
      </c>
      <c r="F353" s="61">
        <v>1</v>
      </c>
      <c r="G353" s="57">
        <v>250000</v>
      </c>
      <c r="H353" s="57">
        <f>F353*G353</f>
        <v>250000</v>
      </c>
      <c r="I353" s="57">
        <v>100000</v>
      </c>
      <c r="J353" s="57">
        <f>F353*I353</f>
        <v>100000</v>
      </c>
      <c r="K353" s="57">
        <f>G353+I353</f>
        <v>350000</v>
      </c>
      <c r="L353" s="58">
        <f>F353*K353</f>
        <v>350000</v>
      </c>
      <c r="M353" s="177"/>
    </row>
    <row r="354" spans="1:13" s="59" customFormat="1" ht="18" customHeight="1">
      <c r="A354" s="60"/>
      <c r="B354" s="53"/>
      <c r="C354" s="62"/>
      <c r="D354" s="55"/>
      <c r="E354" s="55"/>
      <c r="F354" s="61"/>
      <c r="G354" s="57"/>
      <c r="H354" s="57"/>
      <c r="I354" s="57"/>
      <c r="J354" s="57"/>
      <c r="K354" s="57"/>
      <c r="L354" s="58"/>
      <c r="M354" s="177"/>
    </row>
    <row r="355" spans="1:13" s="59" customFormat="1" ht="18" customHeight="1">
      <c r="A355" s="52">
        <v>-1</v>
      </c>
      <c r="B355" s="53" t="s">
        <v>119</v>
      </c>
      <c r="C355" s="54"/>
      <c r="D355" s="55"/>
      <c r="E355" s="55"/>
      <c r="F355" s="56"/>
      <c r="G355" s="57"/>
      <c r="H355" s="57"/>
      <c r="I355" s="57"/>
      <c r="J355" s="57"/>
      <c r="K355" s="57"/>
      <c r="L355" s="58"/>
      <c r="M355" s="177"/>
    </row>
    <row r="356" spans="1:13" s="330" customFormat="1" ht="18" customHeight="1">
      <c r="A356" s="60" t="s">
        <v>12</v>
      </c>
      <c r="B356" s="323" t="s">
        <v>206</v>
      </c>
      <c r="C356" s="384" t="s">
        <v>535</v>
      </c>
      <c r="D356" s="325" t="s">
        <v>112</v>
      </c>
      <c r="E356" s="325" t="s">
        <v>42</v>
      </c>
      <c r="F356" s="326">
        <v>1</v>
      </c>
      <c r="G356" s="327">
        <v>150000</v>
      </c>
      <c r="H356" s="327">
        <f t="shared" si="317"/>
        <v>150000</v>
      </c>
      <c r="I356" s="327">
        <v>250000</v>
      </c>
      <c r="J356" s="327">
        <f t="shared" si="318"/>
        <v>250000</v>
      </c>
      <c r="K356" s="327">
        <f t="shared" ref="K356" si="366">G356+I356</f>
        <v>400000</v>
      </c>
      <c r="L356" s="328">
        <f t="shared" si="299"/>
        <v>400000</v>
      </c>
      <c r="M356" s="320"/>
    </row>
    <row r="357" spans="1:13" s="446" customFormat="1" ht="18" customHeight="1">
      <c r="A357" s="439" t="s">
        <v>44</v>
      </c>
      <c r="B357" s="440" t="s">
        <v>332</v>
      </c>
      <c r="C357" s="464" t="s">
        <v>320</v>
      </c>
      <c r="D357" s="441" t="s">
        <v>112</v>
      </c>
      <c r="E357" s="441" t="s">
        <v>42</v>
      </c>
      <c r="F357" s="442">
        <v>1</v>
      </c>
      <c r="G357" s="443"/>
      <c r="H357" s="443">
        <f>F357*G357</f>
        <v>0</v>
      </c>
      <c r="I357" s="443">
        <v>30000</v>
      </c>
      <c r="J357" s="443">
        <f t="shared" ref="J357:J361" si="367">F357*I357</f>
        <v>30000</v>
      </c>
      <c r="K357" s="443">
        <f>G357+I357</f>
        <v>30000</v>
      </c>
      <c r="L357" s="444">
        <f>F357*K357</f>
        <v>30000</v>
      </c>
      <c r="M357" s="445" t="s">
        <v>603</v>
      </c>
    </row>
    <row r="358" spans="1:13" s="456" customFormat="1" ht="18" customHeight="1">
      <c r="A358" s="449" t="s">
        <v>12</v>
      </c>
      <c r="B358" s="405" t="s">
        <v>117</v>
      </c>
      <c r="C358" s="450" t="s">
        <v>664</v>
      </c>
      <c r="D358" s="451" t="s">
        <v>247</v>
      </c>
      <c r="E358" s="451" t="s">
        <v>42</v>
      </c>
      <c r="F358" s="452">
        <v>1</v>
      </c>
      <c r="G358" s="453">
        <v>48000</v>
      </c>
      <c r="H358" s="454">
        <f t="shared" ref="H358:H361" si="368">F358*G358</f>
        <v>48000</v>
      </c>
      <c r="I358" s="454">
        <v>50000</v>
      </c>
      <c r="J358" s="454">
        <f t="shared" si="367"/>
        <v>50000</v>
      </c>
      <c r="K358" s="454">
        <f t="shared" ref="K358:K361" si="369">G358+I358</f>
        <v>98000</v>
      </c>
      <c r="L358" s="455">
        <f t="shared" ref="L358:L361" si="370">F358*K358</f>
        <v>98000</v>
      </c>
      <c r="M358" s="410" t="s">
        <v>320</v>
      </c>
    </row>
    <row r="359" spans="1:13" s="431" customFormat="1" ht="18" hidden="1" customHeight="1">
      <c r="A359" s="436" t="s">
        <v>358</v>
      </c>
      <c r="B359" s="400" t="s">
        <v>359</v>
      </c>
      <c r="C359" s="435" t="s">
        <v>360</v>
      </c>
      <c r="D359" s="428" t="s">
        <v>112</v>
      </c>
      <c r="E359" s="428" t="s">
        <v>42</v>
      </c>
      <c r="F359" s="437"/>
      <c r="G359" s="402">
        <v>33000</v>
      </c>
      <c r="H359" s="402">
        <f t="shared" si="368"/>
        <v>0</v>
      </c>
      <c r="I359" s="402">
        <v>10000</v>
      </c>
      <c r="J359" s="402">
        <f t="shared" si="367"/>
        <v>0</v>
      </c>
      <c r="K359" s="402">
        <f t="shared" ref="K359" si="371">G359+I359</f>
        <v>43000</v>
      </c>
      <c r="L359" s="430">
        <f t="shared" ref="L359" si="372">F359*K359</f>
        <v>0</v>
      </c>
      <c r="M359" s="403"/>
    </row>
    <row r="360" spans="1:13" s="456" customFormat="1" ht="18" customHeight="1">
      <c r="A360" s="449" t="s">
        <v>12</v>
      </c>
      <c r="B360" s="405" t="s">
        <v>118</v>
      </c>
      <c r="C360" s="463" t="s">
        <v>320</v>
      </c>
      <c r="D360" s="451" t="s">
        <v>247</v>
      </c>
      <c r="E360" s="451" t="s">
        <v>42</v>
      </c>
      <c r="F360" s="452">
        <v>1</v>
      </c>
      <c r="G360" s="454">
        <v>127000</v>
      </c>
      <c r="H360" s="454">
        <f t="shared" si="368"/>
        <v>127000</v>
      </c>
      <c r="I360" s="454">
        <v>50000</v>
      </c>
      <c r="J360" s="454">
        <f t="shared" si="367"/>
        <v>50000</v>
      </c>
      <c r="K360" s="454">
        <f t="shared" si="369"/>
        <v>177000</v>
      </c>
      <c r="L360" s="455">
        <f t="shared" si="370"/>
        <v>177000</v>
      </c>
      <c r="M360" s="410" t="s">
        <v>320</v>
      </c>
    </row>
    <row r="361" spans="1:13" s="423" customFormat="1" ht="18" hidden="1" customHeight="1">
      <c r="A361" s="416" t="s">
        <v>44</v>
      </c>
      <c r="B361" s="417" t="s">
        <v>604</v>
      </c>
      <c r="C361" s="435"/>
      <c r="D361" s="419" t="s">
        <v>113</v>
      </c>
      <c r="E361" s="419" t="s">
        <v>42</v>
      </c>
      <c r="F361" s="420">
        <v>1</v>
      </c>
      <c r="G361" s="421"/>
      <c r="H361" s="421">
        <f t="shared" si="368"/>
        <v>0</v>
      </c>
      <c r="I361" s="421">
        <v>50000</v>
      </c>
      <c r="J361" s="421">
        <f t="shared" si="367"/>
        <v>50000</v>
      </c>
      <c r="K361" s="421">
        <f t="shared" si="369"/>
        <v>50000</v>
      </c>
      <c r="L361" s="422">
        <f t="shared" si="370"/>
        <v>50000</v>
      </c>
      <c r="M361" s="403" t="s">
        <v>320</v>
      </c>
    </row>
    <row r="362" spans="1:13" s="59" customFormat="1" ht="18" customHeight="1">
      <c r="A362" s="60" t="s">
        <v>12</v>
      </c>
      <c r="B362" s="53" t="s">
        <v>661</v>
      </c>
      <c r="C362" s="54" t="s">
        <v>463</v>
      </c>
      <c r="D362" s="55" t="s">
        <v>112</v>
      </c>
      <c r="E362" s="55" t="s">
        <v>75</v>
      </c>
      <c r="F362" s="61">
        <v>1</v>
      </c>
      <c r="G362" s="57">
        <v>180000</v>
      </c>
      <c r="H362" s="57">
        <f>F362*G362</f>
        <v>180000</v>
      </c>
      <c r="I362" s="57">
        <v>50000</v>
      </c>
      <c r="J362" s="57">
        <f>F362*I362</f>
        <v>50000</v>
      </c>
      <c r="K362" s="57">
        <f>G362+I362</f>
        <v>230000</v>
      </c>
      <c r="L362" s="58">
        <f>F362*K362</f>
        <v>230000</v>
      </c>
      <c r="M362" s="177"/>
    </row>
    <row r="363" spans="1:13" s="59" customFormat="1" ht="18" customHeight="1">
      <c r="A363" s="60" t="s">
        <v>12</v>
      </c>
      <c r="B363" s="53" t="s">
        <v>145</v>
      </c>
      <c r="C363" s="54" t="s">
        <v>148</v>
      </c>
      <c r="D363" s="55" t="s">
        <v>112</v>
      </c>
      <c r="E363" s="55" t="s">
        <v>75</v>
      </c>
      <c r="F363" s="61">
        <v>1</v>
      </c>
      <c r="G363" s="57">
        <v>32000</v>
      </c>
      <c r="H363" s="57">
        <f>F363*G363</f>
        <v>32000</v>
      </c>
      <c r="I363" s="57">
        <v>10000</v>
      </c>
      <c r="J363" s="57">
        <f>F363*I363</f>
        <v>10000</v>
      </c>
      <c r="K363" s="57">
        <f>G363+I363</f>
        <v>42000</v>
      </c>
      <c r="L363" s="58">
        <f>F363*K363</f>
        <v>42000</v>
      </c>
      <c r="M363" s="177"/>
    </row>
    <row r="364" spans="1:13" s="59" customFormat="1" ht="18" customHeight="1">
      <c r="A364" s="60" t="s">
        <v>44</v>
      </c>
      <c r="B364" s="53" t="s">
        <v>178</v>
      </c>
      <c r="C364" s="54" t="s">
        <v>218</v>
      </c>
      <c r="D364" s="55" t="s">
        <v>112</v>
      </c>
      <c r="E364" s="55" t="s">
        <v>75</v>
      </c>
      <c r="F364" s="61">
        <v>4</v>
      </c>
      <c r="G364" s="57">
        <v>250000</v>
      </c>
      <c r="H364" s="57">
        <f>F364*G364</f>
        <v>1000000</v>
      </c>
      <c r="I364" s="57">
        <v>100000</v>
      </c>
      <c r="J364" s="57">
        <f>F364*I364</f>
        <v>400000</v>
      </c>
      <c r="K364" s="57">
        <f>G364+I364</f>
        <v>350000</v>
      </c>
      <c r="L364" s="58">
        <f>F364*K364</f>
        <v>1400000</v>
      </c>
      <c r="M364" s="177"/>
    </row>
    <row r="365" spans="1:13" s="59" customFormat="1" ht="18" customHeight="1">
      <c r="A365" s="60" t="s">
        <v>12</v>
      </c>
      <c r="B365" s="53" t="s">
        <v>339</v>
      </c>
      <c r="C365" s="54" t="s">
        <v>340</v>
      </c>
      <c r="D365" s="55" t="s">
        <v>112</v>
      </c>
      <c r="E365" s="55" t="s">
        <v>42</v>
      </c>
      <c r="F365" s="61">
        <v>1</v>
      </c>
      <c r="G365" s="57">
        <v>170000</v>
      </c>
      <c r="H365" s="57">
        <f t="shared" ref="H365" si="373">F365*G365</f>
        <v>170000</v>
      </c>
      <c r="I365" s="57">
        <v>50000</v>
      </c>
      <c r="J365" s="57">
        <f t="shared" ref="J365" si="374">F365*I365</f>
        <v>50000</v>
      </c>
      <c r="K365" s="57">
        <f t="shared" ref="K365" si="375">G365+I365</f>
        <v>220000</v>
      </c>
      <c r="L365" s="58">
        <f t="shared" ref="L365" si="376">F365*K365</f>
        <v>220000</v>
      </c>
      <c r="M365" s="177"/>
    </row>
    <row r="366" spans="1:13" ht="18" hidden="1" customHeight="1">
      <c r="A366" s="10"/>
      <c r="B366" s="11"/>
      <c r="C366" s="12"/>
      <c r="D366" s="5"/>
      <c r="E366" s="5"/>
      <c r="F366" s="50"/>
      <c r="G366" s="28"/>
      <c r="H366" s="28"/>
      <c r="I366" s="28"/>
      <c r="J366" s="28"/>
      <c r="K366" s="28"/>
      <c r="L366" s="29"/>
      <c r="M366" s="177"/>
    </row>
    <row r="367" spans="1:13" s="20" customFormat="1" ht="18" customHeight="1">
      <c r="A367" s="13"/>
      <c r="B367" s="13" t="s">
        <v>13</v>
      </c>
      <c r="C367" s="15"/>
      <c r="D367" s="16"/>
      <c r="E367" s="16"/>
      <c r="F367" s="51"/>
      <c r="G367" s="48"/>
      <c r="H367" s="48">
        <f>SUM(H303:H365)</f>
        <v>10145800</v>
      </c>
      <c r="I367" s="48"/>
      <c r="J367" s="48">
        <f>SUM(J303:J365)</f>
        <v>3700000</v>
      </c>
      <c r="K367" s="48"/>
      <c r="L367" s="48">
        <f>SUM(L303:L365)</f>
        <v>13845800</v>
      </c>
      <c r="M367" s="177"/>
    </row>
    <row r="368" spans="1:13" ht="18" customHeight="1">
      <c r="A368" s="10"/>
      <c r="B368" s="11"/>
      <c r="C368" s="12"/>
      <c r="D368" s="5"/>
      <c r="E368" s="5"/>
      <c r="F368" s="50"/>
      <c r="G368" s="28"/>
      <c r="H368" s="28"/>
      <c r="I368" s="28"/>
      <c r="J368" s="28"/>
      <c r="K368" s="28"/>
      <c r="L368" s="29"/>
      <c r="M368" s="177"/>
    </row>
    <row r="369" spans="1:13" s="20" customFormat="1" ht="18" customHeight="1">
      <c r="A369" s="44" t="s">
        <v>33</v>
      </c>
      <c r="B369" s="45" t="s">
        <v>67</v>
      </c>
      <c r="C369" s="46"/>
      <c r="D369" s="16"/>
      <c r="E369" s="16"/>
      <c r="F369" s="51"/>
      <c r="G369" s="48"/>
      <c r="H369" s="48"/>
      <c r="I369" s="48"/>
      <c r="J369" s="48"/>
      <c r="K369" s="48"/>
      <c r="L369" s="49"/>
      <c r="M369" s="177"/>
    </row>
    <row r="370" spans="1:13" s="59" customFormat="1" ht="18" customHeight="1">
      <c r="A370" s="52">
        <v>-1</v>
      </c>
      <c r="B370" s="53" t="s">
        <v>121</v>
      </c>
      <c r="C370" s="54"/>
      <c r="D370" s="55"/>
      <c r="E370" s="55"/>
      <c r="F370" s="56"/>
      <c r="G370" s="57"/>
      <c r="H370" s="57"/>
      <c r="I370" s="57"/>
      <c r="J370" s="57"/>
      <c r="K370" s="57"/>
      <c r="L370" s="58"/>
      <c r="M370" s="177"/>
    </row>
    <row r="371" spans="1:13" s="59" customFormat="1" ht="18" customHeight="1">
      <c r="A371" s="60" t="s">
        <v>160</v>
      </c>
      <c r="B371" s="53" t="s">
        <v>293</v>
      </c>
      <c r="C371" s="54" t="s">
        <v>126</v>
      </c>
      <c r="D371" s="55"/>
      <c r="E371" s="55" t="s">
        <v>156</v>
      </c>
      <c r="F371" s="61">
        <f>6*1.44*1.25</f>
        <v>10.8</v>
      </c>
      <c r="G371" s="57">
        <v>31000</v>
      </c>
      <c r="H371" s="57">
        <f t="shared" ref="H371:H375" si="377">F371*G371</f>
        <v>334800</v>
      </c>
      <c r="I371" s="57">
        <v>70000</v>
      </c>
      <c r="J371" s="57">
        <f t="shared" ref="J371:J375" si="378">F371*I371</f>
        <v>756000</v>
      </c>
      <c r="K371" s="57">
        <f>G371+I371</f>
        <v>101000</v>
      </c>
      <c r="L371" s="58">
        <f>F371*K371</f>
        <v>1090800</v>
      </c>
      <c r="M371" s="264"/>
    </row>
    <row r="372" spans="1:13" s="59" customFormat="1" ht="18" customHeight="1">
      <c r="A372" s="60" t="s">
        <v>160</v>
      </c>
      <c r="B372" s="53" t="s">
        <v>294</v>
      </c>
      <c r="C372" s="54" t="s">
        <v>126</v>
      </c>
      <c r="D372" s="55"/>
      <c r="E372" s="55" t="s">
        <v>156</v>
      </c>
      <c r="F372" s="61">
        <f>3*1.44*1.25</f>
        <v>5.4</v>
      </c>
      <c r="G372" s="57">
        <v>31000</v>
      </c>
      <c r="H372" s="57">
        <f t="shared" ref="H372:H373" si="379">F372*G372</f>
        <v>167400</v>
      </c>
      <c r="I372" s="57">
        <v>70000</v>
      </c>
      <c r="J372" s="57">
        <f t="shared" si="378"/>
        <v>378000</v>
      </c>
      <c r="K372" s="57">
        <f>G372+I372</f>
        <v>101000</v>
      </c>
      <c r="L372" s="58">
        <f>F372*K372</f>
        <v>545400</v>
      </c>
      <c r="M372" s="264"/>
    </row>
    <row r="373" spans="1:13" s="59" customFormat="1" ht="18" customHeight="1">
      <c r="A373" s="60" t="s">
        <v>160</v>
      </c>
      <c r="B373" s="53" t="s">
        <v>295</v>
      </c>
      <c r="C373" s="54" t="s">
        <v>126</v>
      </c>
      <c r="D373" s="55"/>
      <c r="E373" s="55" t="s">
        <v>156</v>
      </c>
      <c r="F373" s="61">
        <f>21*1.25</f>
        <v>26.25</v>
      </c>
      <c r="G373" s="57">
        <v>31000</v>
      </c>
      <c r="H373" s="57">
        <f t="shared" si="379"/>
        <v>813750</v>
      </c>
      <c r="I373" s="57">
        <v>70000</v>
      </c>
      <c r="J373" s="57">
        <f t="shared" si="378"/>
        <v>1837500</v>
      </c>
      <c r="K373" s="57">
        <f>G373+I373</f>
        <v>101000</v>
      </c>
      <c r="L373" s="58">
        <f t="shared" ref="L373" si="380">F373*K373</f>
        <v>2651250</v>
      </c>
      <c r="M373" s="264"/>
    </row>
    <row r="374" spans="1:13" s="59" customFormat="1" ht="18" customHeight="1">
      <c r="A374" s="60" t="s">
        <v>160</v>
      </c>
      <c r="B374" s="53" t="s">
        <v>296</v>
      </c>
      <c r="C374" s="54" t="s">
        <v>126</v>
      </c>
      <c r="D374" s="55"/>
      <c r="E374" s="55" t="s">
        <v>156</v>
      </c>
      <c r="F374" s="61">
        <f>5*1.44*1.25</f>
        <v>9</v>
      </c>
      <c r="G374" s="57">
        <v>31000</v>
      </c>
      <c r="H374" s="57">
        <f t="shared" si="377"/>
        <v>279000</v>
      </c>
      <c r="I374" s="57">
        <v>70000</v>
      </c>
      <c r="J374" s="57">
        <f t="shared" si="378"/>
        <v>630000</v>
      </c>
      <c r="K374" s="57">
        <f>G374+I374</f>
        <v>101000</v>
      </c>
      <c r="L374" s="58">
        <f t="shared" ref="L374:L375" si="381">F374*K374</f>
        <v>909000</v>
      </c>
      <c r="M374" s="264"/>
    </row>
    <row r="375" spans="1:13" s="59" customFormat="1" ht="18" customHeight="1">
      <c r="A375" s="60" t="s">
        <v>160</v>
      </c>
      <c r="B375" s="53" t="s">
        <v>122</v>
      </c>
      <c r="C375" s="62" t="s">
        <v>123</v>
      </c>
      <c r="D375" s="55"/>
      <c r="E375" s="55" t="s">
        <v>75</v>
      </c>
      <c r="F375" s="61">
        <v>3</v>
      </c>
      <c r="G375" s="57">
        <v>350000</v>
      </c>
      <c r="H375" s="57">
        <f t="shared" si="377"/>
        <v>1050000</v>
      </c>
      <c r="I375" s="57">
        <v>0</v>
      </c>
      <c r="J375" s="57">
        <f t="shared" si="378"/>
        <v>0</v>
      </c>
      <c r="K375" s="57">
        <f>G375+I375</f>
        <v>350000</v>
      </c>
      <c r="L375" s="58">
        <f t="shared" si="381"/>
        <v>1050000</v>
      </c>
      <c r="M375" s="264"/>
    </row>
    <row r="376" spans="1:13" s="59" customFormat="1" ht="18" customHeight="1">
      <c r="A376" s="52"/>
      <c r="B376" s="53"/>
      <c r="C376" s="54"/>
      <c r="D376" s="55"/>
      <c r="E376" s="55"/>
      <c r="F376" s="56"/>
      <c r="G376" s="57"/>
      <c r="H376" s="57"/>
      <c r="I376" s="57"/>
      <c r="J376" s="57"/>
      <c r="K376" s="57"/>
      <c r="L376" s="58"/>
      <c r="M376" s="264"/>
    </row>
    <row r="377" spans="1:13" s="59" customFormat="1" ht="18" hidden="1" customHeight="1">
      <c r="A377" s="52">
        <v>-1</v>
      </c>
      <c r="B377" s="53" t="s">
        <v>209</v>
      </c>
      <c r="C377" s="54"/>
      <c r="D377" s="55"/>
      <c r="E377" s="55"/>
      <c r="F377" s="56"/>
      <c r="G377" s="57"/>
      <c r="H377" s="57"/>
      <c r="I377" s="57"/>
      <c r="J377" s="57"/>
      <c r="K377" s="57"/>
      <c r="L377" s="58"/>
      <c r="M377" s="264"/>
    </row>
    <row r="378" spans="1:13" s="59" customFormat="1" ht="18" hidden="1" customHeight="1">
      <c r="A378" s="52" t="s">
        <v>297</v>
      </c>
      <c r="B378" s="53" t="s">
        <v>298</v>
      </c>
      <c r="C378" s="54" t="s">
        <v>126</v>
      </c>
      <c r="D378" s="55"/>
      <c r="E378" s="55" t="s">
        <v>11</v>
      </c>
      <c r="F378" s="56"/>
      <c r="G378" s="57">
        <v>31000</v>
      </c>
      <c r="H378" s="57">
        <f t="shared" ref="H378" si="382">F378*G378</f>
        <v>0</v>
      </c>
      <c r="I378" s="57">
        <v>70000</v>
      </c>
      <c r="J378" s="57">
        <f t="shared" ref="J378:J381" si="383">F378*I378</f>
        <v>0</v>
      </c>
      <c r="K378" s="57">
        <f>G378+I378</f>
        <v>101000</v>
      </c>
      <c r="L378" s="58">
        <f t="shared" ref="L378" si="384">F378*K378</f>
        <v>0</v>
      </c>
      <c r="M378" s="264"/>
    </row>
    <row r="379" spans="1:13" s="59" customFormat="1" ht="18" hidden="1" customHeight="1">
      <c r="A379" s="52"/>
      <c r="B379" s="53"/>
      <c r="C379" s="54"/>
      <c r="D379" s="55"/>
      <c r="E379" s="55"/>
      <c r="F379" s="56"/>
      <c r="G379" s="57"/>
      <c r="H379" s="57"/>
      <c r="I379" s="57"/>
      <c r="J379" s="57"/>
      <c r="K379" s="57"/>
      <c r="L379" s="58"/>
      <c r="M379" s="264"/>
    </row>
    <row r="380" spans="1:13" s="59" customFormat="1" ht="18" hidden="1" customHeight="1">
      <c r="A380" s="52"/>
      <c r="B380" s="53"/>
      <c r="C380" s="54"/>
      <c r="D380" s="55"/>
      <c r="E380" s="55"/>
      <c r="F380" s="56"/>
      <c r="G380" s="57"/>
      <c r="H380" s="57"/>
      <c r="I380" s="57"/>
      <c r="J380" s="57"/>
      <c r="K380" s="57"/>
      <c r="L380" s="58"/>
      <c r="M380" s="264"/>
    </row>
    <row r="381" spans="1:13" s="59" customFormat="1" ht="18" customHeight="1">
      <c r="A381" s="60" t="s">
        <v>12</v>
      </c>
      <c r="B381" s="53" t="s">
        <v>220</v>
      </c>
      <c r="C381" s="54" t="s">
        <v>264</v>
      </c>
      <c r="D381" s="55"/>
      <c r="E381" s="55" t="s">
        <v>11</v>
      </c>
      <c r="F381" s="61">
        <f>5*1.44*1.25</f>
        <v>9</v>
      </c>
      <c r="G381" s="57">
        <v>15000</v>
      </c>
      <c r="H381" s="57">
        <f>F381*G381</f>
        <v>135000</v>
      </c>
      <c r="I381" s="57">
        <v>40000</v>
      </c>
      <c r="J381" s="57">
        <f t="shared" si="383"/>
        <v>360000</v>
      </c>
      <c r="K381" s="57">
        <f>G381+I381</f>
        <v>55000</v>
      </c>
      <c r="L381" s="58">
        <f>F381*K381</f>
        <v>495000</v>
      </c>
      <c r="M381" s="264"/>
    </row>
    <row r="382" spans="1:13" s="59" customFormat="1" ht="18" customHeight="1">
      <c r="A382" s="60"/>
      <c r="B382" s="53"/>
      <c r="C382" s="62"/>
      <c r="D382" s="55"/>
      <c r="E382" s="55"/>
      <c r="F382" s="61"/>
      <c r="G382" s="57"/>
      <c r="H382" s="57"/>
      <c r="I382" s="57"/>
      <c r="J382" s="57"/>
      <c r="K382" s="57"/>
      <c r="L382" s="58"/>
      <c r="M382" s="264"/>
    </row>
    <row r="383" spans="1:13" s="59" customFormat="1" ht="18" customHeight="1">
      <c r="A383" s="52">
        <v>-1</v>
      </c>
      <c r="B383" s="53" t="s">
        <v>124</v>
      </c>
      <c r="C383" s="54"/>
      <c r="D383" s="55"/>
      <c r="E383" s="55"/>
      <c r="F383" s="56"/>
      <c r="G383" s="57"/>
      <c r="H383" s="57"/>
      <c r="I383" s="57"/>
      <c r="J383" s="57"/>
      <c r="K383" s="57"/>
      <c r="L383" s="58"/>
      <c r="M383" s="264"/>
    </row>
    <row r="384" spans="1:13" s="59" customFormat="1" ht="18" hidden="1" customHeight="1">
      <c r="A384" s="60" t="s">
        <v>12</v>
      </c>
      <c r="B384" s="53" t="s">
        <v>291</v>
      </c>
      <c r="C384" s="54" t="s">
        <v>126</v>
      </c>
      <c r="D384" s="55" t="s">
        <v>292</v>
      </c>
      <c r="E384" s="55" t="s">
        <v>11</v>
      </c>
      <c r="F384" s="61"/>
      <c r="G384" s="57">
        <v>35000</v>
      </c>
      <c r="H384" s="57">
        <f>F384*G384</f>
        <v>0</v>
      </c>
      <c r="I384" s="57">
        <v>70000</v>
      </c>
      <c r="J384" s="57">
        <f t="shared" ref="J384:J385" si="385">F384*I384</f>
        <v>0</v>
      </c>
      <c r="K384" s="57">
        <f>G384+I384</f>
        <v>105000</v>
      </c>
      <c r="L384" s="58">
        <f>F384*K384</f>
        <v>0</v>
      </c>
      <c r="M384" s="264"/>
    </row>
    <row r="385" spans="1:13" s="59" customFormat="1" ht="18" customHeight="1">
      <c r="A385" s="60" t="s">
        <v>12</v>
      </c>
      <c r="B385" s="53" t="s">
        <v>125</v>
      </c>
      <c r="C385" s="54" t="s">
        <v>126</v>
      </c>
      <c r="D385" s="55"/>
      <c r="E385" s="55" t="s">
        <v>11</v>
      </c>
      <c r="F385" s="61">
        <f>6*1.44*1.25</f>
        <v>10.8</v>
      </c>
      <c r="G385" s="57">
        <v>31000</v>
      </c>
      <c r="H385" s="57">
        <f>F385*G385</f>
        <v>334800</v>
      </c>
      <c r="I385" s="57">
        <v>70000</v>
      </c>
      <c r="J385" s="57">
        <f t="shared" si="385"/>
        <v>756000</v>
      </c>
      <c r="K385" s="57">
        <f>G385+I385</f>
        <v>101000</v>
      </c>
      <c r="L385" s="58">
        <f>F385*K385</f>
        <v>1090800</v>
      </c>
      <c r="M385" s="264"/>
    </row>
    <row r="386" spans="1:13" ht="18" customHeight="1">
      <c r="A386" s="171" t="s">
        <v>160</v>
      </c>
      <c r="B386" s="11" t="s">
        <v>122</v>
      </c>
      <c r="C386" s="172" t="s">
        <v>123</v>
      </c>
      <c r="D386" s="5"/>
      <c r="E386" s="5" t="s">
        <v>75</v>
      </c>
      <c r="F386" s="173">
        <v>1</v>
      </c>
      <c r="G386" s="28">
        <v>350000</v>
      </c>
      <c r="H386" s="57">
        <f>F386*G386</f>
        <v>350000</v>
      </c>
      <c r="I386" s="28">
        <v>0</v>
      </c>
      <c r="J386" s="57">
        <f>F386*I386</f>
        <v>0</v>
      </c>
      <c r="K386" s="28">
        <f>G386+I386</f>
        <v>350000</v>
      </c>
      <c r="L386" s="58">
        <f>F386*K386</f>
        <v>350000</v>
      </c>
      <c r="M386" s="264"/>
    </row>
    <row r="387" spans="1:13" s="59" customFormat="1" ht="18" customHeight="1">
      <c r="A387" s="60"/>
      <c r="B387" s="53"/>
      <c r="C387" s="54"/>
      <c r="D387" s="55"/>
      <c r="E387" s="55"/>
      <c r="F387" s="61"/>
      <c r="G387" s="57"/>
      <c r="H387" s="57"/>
      <c r="I387" s="57"/>
      <c r="J387" s="57"/>
      <c r="K387" s="57"/>
      <c r="L387" s="58"/>
      <c r="M387" s="264"/>
    </row>
    <row r="388" spans="1:13" s="59" customFormat="1" ht="18" customHeight="1">
      <c r="A388" s="52">
        <v>-1</v>
      </c>
      <c r="B388" s="53" t="s">
        <v>124</v>
      </c>
      <c r="C388" s="54"/>
      <c r="D388" s="55"/>
      <c r="E388" s="55"/>
      <c r="F388" s="56"/>
      <c r="G388" s="57"/>
      <c r="H388" s="57"/>
      <c r="I388" s="57"/>
      <c r="J388" s="57"/>
      <c r="K388" s="57"/>
      <c r="L388" s="58"/>
      <c r="M388" s="264"/>
    </row>
    <row r="389" spans="1:13" s="59" customFormat="1" ht="18" customHeight="1">
      <c r="A389" s="60" t="s">
        <v>12</v>
      </c>
      <c r="B389" s="53" t="s">
        <v>667</v>
      </c>
      <c r="C389" s="54" t="s">
        <v>126</v>
      </c>
      <c r="D389" s="55"/>
      <c r="E389" s="55" t="s">
        <v>11</v>
      </c>
      <c r="F389" s="61">
        <f>7*1.44*1.25</f>
        <v>12.6</v>
      </c>
      <c r="G389" s="57">
        <v>31000</v>
      </c>
      <c r="H389" s="57">
        <f>F389*G389</f>
        <v>390600</v>
      </c>
      <c r="I389" s="57">
        <v>70000</v>
      </c>
      <c r="J389" s="57">
        <f t="shared" ref="J389" si="386">F389*I389</f>
        <v>882000</v>
      </c>
      <c r="K389" s="57">
        <f>G389+I389</f>
        <v>101000</v>
      </c>
      <c r="L389" s="58">
        <f>F389*K389</f>
        <v>1272600</v>
      </c>
      <c r="M389" s="264"/>
    </row>
    <row r="390" spans="1:13" ht="18" customHeight="1">
      <c r="A390" s="171" t="s">
        <v>44</v>
      </c>
      <c r="B390" s="11" t="s">
        <v>122</v>
      </c>
      <c r="C390" s="172" t="s">
        <v>123</v>
      </c>
      <c r="D390" s="5"/>
      <c r="E390" s="5" t="s">
        <v>75</v>
      </c>
      <c r="F390" s="173">
        <v>1</v>
      </c>
      <c r="G390" s="28">
        <v>350000</v>
      </c>
      <c r="H390" s="57">
        <f>F390*G390</f>
        <v>350000</v>
      </c>
      <c r="I390" s="28">
        <v>0</v>
      </c>
      <c r="J390" s="57">
        <f>F390*I390</f>
        <v>0</v>
      </c>
      <c r="K390" s="28">
        <f>G390+I390</f>
        <v>350000</v>
      </c>
      <c r="L390" s="58">
        <f>F390*K390</f>
        <v>350000</v>
      </c>
      <c r="M390" s="264"/>
    </row>
    <row r="391" spans="1:13" ht="18" customHeight="1">
      <c r="A391" s="10"/>
      <c r="B391" s="11"/>
      <c r="C391" s="12"/>
      <c r="D391" s="5"/>
      <c r="E391" s="5"/>
      <c r="F391" s="50"/>
      <c r="G391" s="28"/>
      <c r="H391" s="28"/>
      <c r="I391" s="28"/>
      <c r="J391" s="28"/>
      <c r="K391" s="28"/>
      <c r="L391" s="29"/>
      <c r="M391" s="177"/>
    </row>
    <row r="392" spans="1:13" s="20" customFormat="1" ht="18" customHeight="1">
      <c r="A392" s="13"/>
      <c r="B392" s="13" t="s">
        <v>13</v>
      </c>
      <c r="C392" s="15"/>
      <c r="D392" s="16"/>
      <c r="E392" s="16"/>
      <c r="F392" s="51"/>
      <c r="G392" s="177"/>
      <c r="H392" s="48">
        <f>SUM(H371:H390)</f>
        <v>4205350</v>
      </c>
      <c r="I392" s="48"/>
      <c r="J392" s="48">
        <f>SUM(J371:J390)</f>
        <v>5599500</v>
      </c>
      <c r="K392" s="48"/>
      <c r="L392" s="48">
        <f>SUM(L371:L390)</f>
        <v>9804850</v>
      </c>
      <c r="M392" s="177"/>
    </row>
    <row r="393" spans="1:13" ht="18" customHeight="1">
      <c r="A393" s="10"/>
      <c r="B393" s="11"/>
      <c r="C393" s="12"/>
      <c r="D393" s="5"/>
      <c r="E393" s="5"/>
      <c r="F393" s="50"/>
      <c r="G393" s="28"/>
      <c r="H393" s="28"/>
      <c r="I393" s="28"/>
      <c r="J393" s="28"/>
      <c r="K393" s="28"/>
      <c r="L393" s="29"/>
    </row>
    <row r="394" spans="1:13" s="20" customFormat="1" ht="18" customHeight="1">
      <c r="A394" s="44" t="s">
        <v>34</v>
      </c>
      <c r="B394" s="45" t="s">
        <v>68</v>
      </c>
      <c r="C394" s="46"/>
      <c r="D394" s="16"/>
      <c r="E394" s="16"/>
      <c r="F394" s="51"/>
      <c r="G394" s="48"/>
      <c r="H394" s="48"/>
      <c r="I394" s="48"/>
      <c r="J394" s="48"/>
      <c r="K394" s="48"/>
      <c r="L394" s="49"/>
      <c r="M394" s="177"/>
    </row>
    <row r="395" spans="1:13" ht="18" customHeight="1">
      <c r="A395" s="10">
        <v>-1</v>
      </c>
      <c r="B395" s="11" t="s">
        <v>128</v>
      </c>
      <c r="C395" s="12"/>
      <c r="D395" s="5"/>
      <c r="E395" s="5"/>
      <c r="F395" s="50"/>
      <c r="G395" s="28"/>
      <c r="H395" s="28"/>
      <c r="I395" s="28"/>
      <c r="J395" s="28"/>
      <c r="K395" s="28"/>
      <c r="L395" s="29"/>
      <c r="M395" s="177"/>
    </row>
    <row r="396" spans="1:13" ht="18" customHeight="1">
      <c r="A396" s="10" t="s">
        <v>160</v>
      </c>
      <c r="B396" s="11" t="s">
        <v>150</v>
      </c>
      <c r="C396" s="315" t="s">
        <v>545</v>
      </c>
      <c r="D396" s="5" t="s">
        <v>223</v>
      </c>
      <c r="E396" s="5" t="s">
        <v>41</v>
      </c>
      <c r="F396" s="50">
        <f>75*1.1</f>
        <v>82.5</v>
      </c>
      <c r="G396" s="28">
        <v>13800</v>
      </c>
      <c r="H396" s="28">
        <f t="shared" ref="H396:H403" si="387">F396*G396</f>
        <v>1138500</v>
      </c>
      <c r="I396" s="28">
        <v>12000</v>
      </c>
      <c r="J396" s="28">
        <f t="shared" ref="J396:J403" si="388">F396*I396</f>
        <v>990000</v>
      </c>
      <c r="K396" s="28">
        <f t="shared" ref="K396:K403" si="389">G396+I396</f>
        <v>25800</v>
      </c>
      <c r="L396" s="29">
        <f t="shared" ref="L396:L403" si="390">F396*K396</f>
        <v>2128500</v>
      </c>
      <c r="M396" s="264"/>
    </row>
    <row r="397" spans="1:13" s="321" customFormat="1" ht="18" customHeight="1">
      <c r="A397" s="10" t="s">
        <v>44</v>
      </c>
      <c r="B397" s="314" t="s">
        <v>150</v>
      </c>
      <c r="C397" s="315" t="s">
        <v>668</v>
      </c>
      <c r="D397" s="316" t="s">
        <v>137</v>
      </c>
      <c r="E397" s="316" t="s">
        <v>41</v>
      </c>
      <c r="F397" s="317">
        <f>63*1.1</f>
        <v>69.300000000000011</v>
      </c>
      <c r="G397" s="318">
        <v>8500</v>
      </c>
      <c r="H397" s="28">
        <f t="shared" ref="H397" si="391">F397*G397</f>
        <v>589050.00000000012</v>
      </c>
      <c r="I397" s="28">
        <v>12000</v>
      </c>
      <c r="J397" s="28">
        <f t="shared" ref="J397" si="392">F397*I397</f>
        <v>831600.00000000012</v>
      </c>
      <c r="K397" s="28">
        <f t="shared" ref="K397" si="393">G397+I397</f>
        <v>20500</v>
      </c>
      <c r="L397" s="29">
        <f t="shared" ref="L397" si="394">F397*K397</f>
        <v>1420650.0000000002</v>
      </c>
      <c r="M397" s="264"/>
    </row>
    <row r="398" spans="1:13" s="321" customFormat="1" ht="18" hidden="1" customHeight="1">
      <c r="A398" s="10" t="s">
        <v>44</v>
      </c>
      <c r="B398" s="314" t="s">
        <v>150</v>
      </c>
      <c r="C398" s="315" t="s">
        <v>193</v>
      </c>
      <c r="D398" s="316" t="s">
        <v>137</v>
      </c>
      <c r="E398" s="316" t="s">
        <v>41</v>
      </c>
      <c r="F398" s="317">
        <v>0</v>
      </c>
      <c r="G398" s="318">
        <v>8800</v>
      </c>
      <c r="H398" s="28">
        <f t="shared" si="387"/>
        <v>0</v>
      </c>
      <c r="I398" s="28">
        <v>12000</v>
      </c>
      <c r="J398" s="28">
        <f t="shared" si="388"/>
        <v>0</v>
      </c>
      <c r="K398" s="28">
        <f t="shared" si="389"/>
        <v>20800</v>
      </c>
      <c r="L398" s="29">
        <f t="shared" si="390"/>
        <v>0</v>
      </c>
      <c r="M398" s="264"/>
    </row>
    <row r="399" spans="1:13" s="321" customFormat="1" ht="18" customHeight="1">
      <c r="A399" s="10" t="s">
        <v>44</v>
      </c>
      <c r="B399" s="314" t="s">
        <v>149</v>
      </c>
      <c r="C399" s="315" t="s">
        <v>545</v>
      </c>
      <c r="D399" s="316" t="s">
        <v>223</v>
      </c>
      <c r="E399" s="316" t="s">
        <v>41</v>
      </c>
      <c r="F399" s="317">
        <f>54*2.4*1.1</f>
        <v>142.56</v>
      </c>
      <c r="G399" s="318">
        <v>13800</v>
      </c>
      <c r="H399" s="28">
        <f t="shared" si="387"/>
        <v>1967328</v>
      </c>
      <c r="I399" s="28">
        <v>12000</v>
      </c>
      <c r="J399" s="28">
        <f t="shared" si="388"/>
        <v>1710720</v>
      </c>
      <c r="K399" s="28">
        <f t="shared" si="389"/>
        <v>25800</v>
      </c>
      <c r="L399" s="29">
        <f t="shared" si="390"/>
        <v>3678048</v>
      </c>
      <c r="M399" s="264"/>
    </row>
    <row r="400" spans="1:13" s="321" customFormat="1" ht="18" customHeight="1">
      <c r="A400" s="10" t="s">
        <v>44</v>
      </c>
      <c r="B400" s="314" t="s">
        <v>149</v>
      </c>
      <c r="C400" s="315" t="s">
        <v>668</v>
      </c>
      <c r="D400" s="316" t="s">
        <v>137</v>
      </c>
      <c r="E400" s="316" t="s">
        <v>41</v>
      </c>
      <c r="F400" s="317">
        <f>76*2.4*1.1</f>
        <v>200.64000000000001</v>
      </c>
      <c r="G400" s="318">
        <v>8500</v>
      </c>
      <c r="H400" s="28">
        <f t="shared" ref="H400" si="395">F400*G400</f>
        <v>1705440.0000000002</v>
      </c>
      <c r="I400" s="28">
        <v>12000</v>
      </c>
      <c r="J400" s="28">
        <f t="shared" ref="J400" si="396">F400*I400</f>
        <v>2407680</v>
      </c>
      <c r="K400" s="28">
        <f t="shared" ref="K400" si="397">G400+I400</f>
        <v>20500</v>
      </c>
      <c r="L400" s="29">
        <f t="shared" ref="L400" si="398">F400*K400</f>
        <v>4113120.0000000005</v>
      </c>
      <c r="M400" s="264"/>
    </row>
    <row r="401" spans="1:13" s="321" customFormat="1" ht="18" hidden="1" customHeight="1">
      <c r="A401" s="10" t="s">
        <v>44</v>
      </c>
      <c r="B401" s="314" t="s">
        <v>149</v>
      </c>
      <c r="C401" s="315" t="s">
        <v>193</v>
      </c>
      <c r="D401" s="316" t="s">
        <v>137</v>
      </c>
      <c r="E401" s="316" t="s">
        <v>41</v>
      </c>
      <c r="F401" s="317">
        <v>0</v>
      </c>
      <c r="G401" s="318">
        <v>8800</v>
      </c>
      <c r="H401" s="28">
        <f t="shared" si="387"/>
        <v>0</v>
      </c>
      <c r="I401" s="28">
        <v>12000</v>
      </c>
      <c r="J401" s="28">
        <f t="shared" si="388"/>
        <v>0</v>
      </c>
      <c r="K401" s="28">
        <f t="shared" si="389"/>
        <v>20800</v>
      </c>
      <c r="L401" s="29">
        <f t="shared" si="390"/>
        <v>0</v>
      </c>
      <c r="M401" s="264"/>
    </row>
    <row r="402" spans="1:13" s="321" customFormat="1" ht="18" hidden="1" customHeight="1">
      <c r="A402" s="10" t="s">
        <v>44</v>
      </c>
      <c r="B402" s="314" t="s">
        <v>149</v>
      </c>
      <c r="C402" s="315" t="s">
        <v>545</v>
      </c>
      <c r="D402" s="316" t="s">
        <v>310</v>
      </c>
      <c r="E402" s="316" t="s">
        <v>41</v>
      </c>
      <c r="F402" s="317"/>
      <c r="G402" s="318">
        <v>13800</v>
      </c>
      <c r="H402" s="28">
        <f t="shared" si="387"/>
        <v>0</v>
      </c>
      <c r="I402" s="28">
        <v>12000</v>
      </c>
      <c r="J402" s="28">
        <f t="shared" si="388"/>
        <v>0</v>
      </c>
      <c r="K402" s="28">
        <f t="shared" si="389"/>
        <v>25800</v>
      </c>
      <c r="L402" s="29">
        <f t="shared" si="390"/>
        <v>0</v>
      </c>
      <c r="M402" s="264"/>
    </row>
    <row r="403" spans="1:13" s="321" customFormat="1" ht="18" hidden="1" customHeight="1">
      <c r="A403" s="10" t="s">
        <v>44</v>
      </c>
      <c r="B403" s="314" t="s">
        <v>149</v>
      </c>
      <c r="C403" s="315" t="s">
        <v>545</v>
      </c>
      <c r="D403" s="316" t="s">
        <v>523</v>
      </c>
      <c r="E403" s="316" t="s">
        <v>41</v>
      </c>
      <c r="F403" s="317"/>
      <c r="G403" s="318">
        <v>13800</v>
      </c>
      <c r="H403" s="28">
        <f t="shared" si="387"/>
        <v>0</v>
      </c>
      <c r="I403" s="28">
        <v>12000</v>
      </c>
      <c r="J403" s="28">
        <f t="shared" si="388"/>
        <v>0</v>
      </c>
      <c r="K403" s="28">
        <f t="shared" si="389"/>
        <v>25800</v>
      </c>
      <c r="L403" s="29">
        <f t="shared" si="390"/>
        <v>0</v>
      </c>
      <c r="M403" s="264"/>
    </row>
    <row r="404" spans="1:13" ht="18" customHeight="1">
      <c r="A404" s="10"/>
      <c r="B404" s="11"/>
      <c r="C404" s="12"/>
      <c r="D404" s="5"/>
      <c r="E404" s="5"/>
      <c r="G404" s="50"/>
      <c r="H404" s="28"/>
      <c r="I404" s="28"/>
      <c r="J404" s="28"/>
      <c r="K404" s="28"/>
      <c r="L404" s="29"/>
      <c r="M404" s="177"/>
    </row>
    <row r="405" spans="1:13" s="20" customFormat="1" ht="18" customHeight="1">
      <c r="A405" s="13"/>
      <c r="B405" s="13" t="s">
        <v>13</v>
      </c>
      <c r="C405" s="15"/>
      <c r="D405" s="16"/>
      <c r="E405" s="16"/>
      <c r="F405" s="51"/>
      <c r="G405" s="48"/>
      <c r="H405" s="48">
        <f>SUM(H395:H404)</f>
        <v>5400318</v>
      </c>
      <c r="I405" s="48"/>
      <c r="J405" s="48">
        <f>SUM(J395:J404)</f>
        <v>5940000</v>
      </c>
      <c r="K405" s="48"/>
      <c r="L405" s="48">
        <f>SUM(L395:L404)</f>
        <v>11340318</v>
      </c>
      <c r="M405" s="177"/>
    </row>
    <row r="406" spans="1:13" ht="18" customHeight="1">
      <c r="A406" s="10"/>
      <c r="B406" s="11"/>
      <c r="C406" s="12"/>
      <c r="D406" s="5"/>
      <c r="E406" s="5"/>
      <c r="F406" s="50"/>
      <c r="G406" s="28"/>
      <c r="H406" s="28"/>
      <c r="I406" s="28"/>
      <c r="J406" s="28"/>
      <c r="K406" s="28"/>
      <c r="L406" s="29"/>
      <c r="M406" s="177"/>
    </row>
    <row r="407" spans="1:13" s="20" customFormat="1" ht="18" customHeight="1">
      <c r="A407" s="44" t="s">
        <v>43</v>
      </c>
      <c r="B407" s="45" t="s">
        <v>69</v>
      </c>
      <c r="C407" s="46"/>
      <c r="D407" s="16"/>
      <c r="E407" s="16"/>
      <c r="F407" s="51"/>
      <c r="G407" s="48"/>
      <c r="H407" s="48"/>
      <c r="I407" s="48"/>
      <c r="J407" s="48"/>
      <c r="K407" s="48"/>
      <c r="L407" s="49"/>
      <c r="M407" s="177"/>
    </row>
    <row r="408" spans="1:13" ht="18" hidden="1" customHeight="1">
      <c r="A408" s="10">
        <v>-1</v>
      </c>
      <c r="B408" s="11" t="s">
        <v>130</v>
      </c>
      <c r="C408" s="12" t="s">
        <v>211</v>
      </c>
      <c r="D408" s="5"/>
      <c r="E408" s="5" t="s">
        <v>186</v>
      </c>
      <c r="F408" s="50">
        <v>0</v>
      </c>
      <c r="G408" s="28">
        <v>250000</v>
      </c>
      <c r="H408" s="28">
        <f>F408*G408</f>
        <v>0</v>
      </c>
      <c r="I408" s="28">
        <v>150000</v>
      </c>
      <c r="J408" s="28">
        <f>F408*I408</f>
        <v>0</v>
      </c>
      <c r="K408" s="28">
        <f>G408+I408</f>
        <v>400000</v>
      </c>
      <c r="L408" s="29">
        <f>F408*K408</f>
        <v>0</v>
      </c>
      <c r="M408" s="177"/>
    </row>
    <row r="409" spans="1:13" ht="18" customHeight="1">
      <c r="A409" s="10">
        <v>-1</v>
      </c>
      <c r="B409" s="11" t="s">
        <v>129</v>
      </c>
      <c r="C409" s="12" t="s">
        <v>192</v>
      </c>
      <c r="D409" s="5"/>
      <c r="E409" s="5" t="s">
        <v>142</v>
      </c>
      <c r="F409" s="50">
        <v>2</v>
      </c>
      <c r="G409" s="28">
        <v>55000</v>
      </c>
      <c r="H409" s="28">
        <f>F409*G409</f>
        <v>110000</v>
      </c>
      <c r="I409" s="28">
        <v>270000</v>
      </c>
      <c r="J409" s="28">
        <f>F409*I409</f>
        <v>540000</v>
      </c>
      <c r="K409" s="28">
        <f>G409+I409</f>
        <v>325000</v>
      </c>
      <c r="L409" s="29">
        <f>F409*K409</f>
        <v>650000</v>
      </c>
      <c r="M409" s="177"/>
    </row>
    <row r="410" spans="1:13" ht="18" customHeight="1">
      <c r="A410" s="10">
        <v>-1</v>
      </c>
      <c r="B410" s="11" t="s">
        <v>221</v>
      </c>
      <c r="C410" s="12" t="s">
        <v>222</v>
      </c>
      <c r="D410" s="5"/>
      <c r="E410" s="5" t="s">
        <v>75</v>
      </c>
      <c r="F410" s="50">
        <v>1</v>
      </c>
      <c r="G410" s="28">
        <v>200000</v>
      </c>
      <c r="H410" s="28">
        <f>F410*G410</f>
        <v>200000</v>
      </c>
      <c r="I410" s="28">
        <v>350000</v>
      </c>
      <c r="J410" s="28">
        <f>F410*I410</f>
        <v>350000</v>
      </c>
      <c r="K410" s="28">
        <f>G410+I410</f>
        <v>550000</v>
      </c>
      <c r="L410" s="29">
        <f>F410*K410</f>
        <v>550000</v>
      </c>
      <c r="M410" s="177"/>
    </row>
    <row r="411" spans="1:13" ht="18" customHeight="1">
      <c r="A411" s="10"/>
      <c r="B411" s="11"/>
      <c r="C411" s="12"/>
      <c r="D411" s="5"/>
      <c r="E411" s="5"/>
      <c r="F411" s="50"/>
      <c r="G411" s="28"/>
      <c r="H411" s="28"/>
      <c r="I411" s="28"/>
      <c r="J411" s="28"/>
      <c r="K411" s="28"/>
      <c r="L411" s="29"/>
      <c r="M411" s="177"/>
    </row>
    <row r="412" spans="1:13" s="20" customFormat="1" ht="18" customHeight="1">
      <c r="A412" s="13"/>
      <c r="B412" s="13" t="s">
        <v>13</v>
      </c>
      <c r="C412" s="15"/>
      <c r="D412" s="16"/>
      <c r="E412" s="16"/>
      <c r="F412" s="51"/>
      <c r="G412" s="48"/>
      <c r="H412" s="48">
        <f>SUM(H408:H411)</f>
        <v>310000</v>
      </c>
      <c r="I412" s="48"/>
      <c r="J412" s="48">
        <f>SUM(J408:J411)</f>
        <v>890000</v>
      </c>
      <c r="K412" s="48"/>
      <c r="L412" s="49">
        <f>SUM(L407:L411)</f>
        <v>1200000</v>
      </c>
      <c r="M412" s="177"/>
    </row>
    <row r="413" spans="1:13" ht="18" customHeight="1">
      <c r="A413" s="10"/>
      <c r="B413" s="11"/>
      <c r="C413" s="12"/>
      <c r="D413" s="5"/>
      <c r="E413" s="5"/>
      <c r="F413" s="50"/>
      <c r="G413" s="28"/>
      <c r="H413" s="28"/>
      <c r="I413" s="28"/>
      <c r="J413" s="28"/>
      <c r="K413" s="28"/>
      <c r="L413" s="29"/>
      <c r="M413" s="177"/>
    </row>
    <row r="414" spans="1:13" s="20" customFormat="1" ht="18" customHeight="1">
      <c r="A414" s="44" t="s">
        <v>46</v>
      </c>
      <c r="B414" s="45" t="s">
        <v>127</v>
      </c>
      <c r="C414" s="46"/>
      <c r="D414" s="16"/>
      <c r="E414" s="16"/>
      <c r="F414" s="51"/>
      <c r="G414" s="48"/>
      <c r="H414" s="48"/>
      <c r="I414" s="48"/>
      <c r="J414" s="48"/>
      <c r="K414" s="48"/>
      <c r="L414" s="49"/>
      <c r="M414" s="177"/>
    </row>
    <row r="415" spans="1:13" s="59" customFormat="1" ht="18" hidden="1" customHeight="1">
      <c r="A415" s="52">
        <v>-1</v>
      </c>
      <c r="B415" s="53" t="s">
        <v>547</v>
      </c>
      <c r="C415" s="54" t="s">
        <v>548</v>
      </c>
      <c r="D415" s="55" t="s">
        <v>348</v>
      </c>
      <c r="E415" s="55" t="s">
        <v>159</v>
      </c>
      <c r="F415" s="56"/>
      <c r="G415" s="57">
        <v>270000</v>
      </c>
      <c r="H415" s="57">
        <f t="shared" ref="H415:H422" si="399">F415*G415</f>
        <v>0</v>
      </c>
      <c r="I415" s="57">
        <v>0</v>
      </c>
      <c r="J415" s="57">
        <f t="shared" ref="J415:J422" si="400">F415*I415</f>
        <v>0</v>
      </c>
      <c r="K415" s="57">
        <f t="shared" ref="K415:K422" si="401">G415+I415</f>
        <v>270000</v>
      </c>
      <c r="L415" s="58">
        <f t="shared" ref="L415:L422" si="402">F415*K415</f>
        <v>0</v>
      </c>
      <c r="M415" s="176"/>
    </row>
    <row r="416" spans="1:13" s="59" customFormat="1" ht="18" hidden="1" customHeight="1">
      <c r="A416" s="52">
        <v>-1</v>
      </c>
      <c r="B416" s="53" t="s">
        <v>181</v>
      </c>
      <c r="C416" s="54" t="s">
        <v>565</v>
      </c>
      <c r="D416" s="55"/>
      <c r="E416" s="55" t="s">
        <v>70</v>
      </c>
      <c r="F416" s="56"/>
      <c r="G416" s="57">
        <v>149000</v>
      </c>
      <c r="H416" s="57">
        <f t="shared" si="399"/>
        <v>0</v>
      </c>
      <c r="I416" s="57">
        <v>0</v>
      </c>
      <c r="J416" s="57">
        <f t="shared" si="400"/>
        <v>0</v>
      </c>
      <c r="K416" s="57">
        <f t="shared" si="401"/>
        <v>149000</v>
      </c>
      <c r="L416" s="58">
        <f t="shared" si="402"/>
        <v>0</v>
      </c>
      <c r="M416" s="176"/>
    </row>
    <row r="417" spans="1:13" s="59" customFormat="1" ht="18" hidden="1" customHeight="1">
      <c r="A417" s="52">
        <v>-1</v>
      </c>
      <c r="B417" s="53" t="s">
        <v>181</v>
      </c>
      <c r="C417" s="54" t="s">
        <v>549</v>
      </c>
      <c r="D417" s="55"/>
      <c r="E417" s="55" t="s">
        <v>70</v>
      </c>
      <c r="F417" s="56"/>
      <c r="G417" s="57">
        <f>164000</f>
        <v>164000</v>
      </c>
      <c r="H417" s="57">
        <f t="shared" si="399"/>
        <v>0</v>
      </c>
      <c r="I417" s="57">
        <v>0</v>
      </c>
      <c r="J417" s="57">
        <f t="shared" si="400"/>
        <v>0</v>
      </c>
      <c r="K417" s="57">
        <f t="shared" si="401"/>
        <v>164000</v>
      </c>
      <c r="L417" s="58">
        <f t="shared" si="402"/>
        <v>0</v>
      </c>
      <c r="M417" s="176"/>
    </row>
    <row r="418" spans="1:13" s="59" customFormat="1" ht="18" hidden="1" customHeight="1">
      <c r="A418" s="52">
        <v>-1</v>
      </c>
      <c r="B418" s="53" t="s">
        <v>181</v>
      </c>
      <c r="C418" s="54" t="s">
        <v>602</v>
      </c>
      <c r="D418" s="55" t="s">
        <v>263</v>
      </c>
      <c r="E418" s="55" t="s">
        <v>70</v>
      </c>
      <c r="F418" s="56"/>
      <c r="G418" s="57">
        <v>149000</v>
      </c>
      <c r="H418" s="57">
        <f t="shared" si="399"/>
        <v>0</v>
      </c>
      <c r="I418" s="57">
        <v>0</v>
      </c>
      <c r="J418" s="57">
        <f t="shared" si="400"/>
        <v>0</v>
      </c>
      <c r="K418" s="57">
        <f t="shared" si="401"/>
        <v>149000</v>
      </c>
      <c r="L418" s="58">
        <f t="shared" si="402"/>
        <v>0</v>
      </c>
      <c r="M418" s="176"/>
    </row>
    <row r="419" spans="1:13" s="59" customFormat="1" ht="18" hidden="1" customHeight="1">
      <c r="A419" s="52">
        <v>-1</v>
      </c>
      <c r="B419" s="53" t="s">
        <v>181</v>
      </c>
      <c r="C419" s="54" t="s">
        <v>602</v>
      </c>
      <c r="D419" s="55" t="s">
        <v>263</v>
      </c>
      <c r="E419" s="55" t="s">
        <v>70</v>
      </c>
      <c r="F419" s="56">
        <v>0</v>
      </c>
      <c r="G419" s="57">
        <v>149000</v>
      </c>
      <c r="H419" s="57">
        <f t="shared" si="399"/>
        <v>0</v>
      </c>
      <c r="I419" s="57">
        <v>0</v>
      </c>
      <c r="J419" s="57">
        <f t="shared" si="400"/>
        <v>0</v>
      </c>
      <c r="K419" s="57">
        <f t="shared" si="401"/>
        <v>149000</v>
      </c>
      <c r="L419" s="58">
        <f t="shared" si="402"/>
        <v>0</v>
      </c>
      <c r="M419" s="176"/>
    </row>
    <row r="420" spans="1:13" s="59" customFormat="1" ht="18" customHeight="1">
      <c r="A420" s="52">
        <v>-1</v>
      </c>
      <c r="B420" s="53" t="s">
        <v>547</v>
      </c>
      <c r="C420" s="54" t="s">
        <v>665</v>
      </c>
      <c r="D420" s="55" t="s">
        <v>666</v>
      </c>
      <c r="E420" s="55" t="s">
        <v>70</v>
      </c>
      <c r="F420" s="56">
        <f>132/3.3*1.13</f>
        <v>45.199999999999996</v>
      </c>
      <c r="G420" s="57">
        <v>470000</v>
      </c>
      <c r="H420" s="57">
        <f t="shared" ref="H420" si="403">F420*G420</f>
        <v>21243999.999999996</v>
      </c>
      <c r="I420" s="57">
        <v>0</v>
      </c>
      <c r="J420" s="57">
        <f t="shared" ref="J420" si="404">F420*I420</f>
        <v>0</v>
      </c>
      <c r="K420" s="57">
        <f t="shared" ref="K420" si="405">G420+I420</f>
        <v>470000</v>
      </c>
      <c r="L420" s="58">
        <f t="shared" ref="L420" si="406">F420*K420</f>
        <v>21243999.999999996</v>
      </c>
      <c r="M420" s="176" t="s">
        <v>670</v>
      </c>
    </row>
    <row r="421" spans="1:13" s="59" customFormat="1" ht="18" hidden="1" customHeight="1">
      <c r="A421" s="52">
        <v>-1</v>
      </c>
      <c r="B421" s="53" t="s">
        <v>181</v>
      </c>
      <c r="C421" s="54"/>
      <c r="D421" s="55" t="s">
        <v>639</v>
      </c>
      <c r="E421" s="55" t="s">
        <v>70</v>
      </c>
      <c r="F421" s="56"/>
      <c r="G421" s="57">
        <v>153000</v>
      </c>
      <c r="H421" s="57">
        <f t="shared" si="399"/>
        <v>0</v>
      </c>
      <c r="I421" s="57">
        <v>0</v>
      </c>
      <c r="J421" s="57">
        <f t="shared" si="400"/>
        <v>0</v>
      </c>
      <c r="K421" s="57">
        <f t="shared" si="401"/>
        <v>153000</v>
      </c>
      <c r="L421" s="58">
        <f t="shared" si="402"/>
        <v>0</v>
      </c>
      <c r="M421" s="176"/>
    </row>
    <row r="422" spans="1:13" s="59" customFormat="1" ht="18" hidden="1" customHeight="1">
      <c r="A422" s="52">
        <v>-1</v>
      </c>
      <c r="B422" s="53" t="s">
        <v>181</v>
      </c>
      <c r="C422" s="54" t="s">
        <v>617</v>
      </c>
      <c r="D422" s="55" t="s">
        <v>263</v>
      </c>
      <c r="E422" s="55" t="s">
        <v>70</v>
      </c>
      <c r="F422" s="56"/>
      <c r="G422" s="57">
        <v>194000</v>
      </c>
      <c r="H422" s="57">
        <f t="shared" si="399"/>
        <v>0</v>
      </c>
      <c r="I422" s="57">
        <v>0</v>
      </c>
      <c r="J422" s="57">
        <f t="shared" si="400"/>
        <v>0</v>
      </c>
      <c r="K422" s="57">
        <f t="shared" si="401"/>
        <v>194000</v>
      </c>
      <c r="L422" s="58">
        <f t="shared" si="402"/>
        <v>0</v>
      </c>
      <c r="M422" s="176"/>
    </row>
    <row r="423" spans="1:13" ht="18" customHeight="1">
      <c r="A423" s="10"/>
      <c r="B423" s="11"/>
      <c r="C423" s="12"/>
      <c r="D423" s="5"/>
      <c r="E423" s="5"/>
      <c r="F423" s="50"/>
      <c r="G423" s="48"/>
      <c r="H423" s="57"/>
      <c r="I423" s="28"/>
      <c r="J423" s="57"/>
      <c r="K423" s="28"/>
      <c r="L423" s="29"/>
      <c r="M423" s="177"/>
    </row>
    <row r="424" spans="1:13" s="20" customFormat="1" ht="18" customHeight="1">
      <c r="A424" s="13"/>
      <c r="B424" s="13" t="s">
        <v>13</v>
      </c>
      <c r="C424" s="15"/>
      <c r="D424" s="16"/>
      <c r="E424" s="16"/>
      <c r="F424" s="51"/>
      <c r="H424" s="48">
        <f>SUM(H415:H420)</f>
        <v>21243999.999999996</v>
      </c>
      <c r="I424" s="48"/>
      <c r="J424" s="48">
        <f>SUM(J415:J420)</f>
        <v>0</v>
      </c>
      <c r="K424" s="48">
        <f>SUM(K415:K420)</f>
        <v>1351000</v>
      </c>
      <c r="L424" s="48">
        <f>SUM(L415:L420)</f>
        <v>21243999.999999996</v>
      </c>
      <c r="M424" s="177"/>
    </row>
    <row r="425" spans="1:13" ht="18" customHeight="1">
      <c r="A425" s="10"/>
      <c r="B425" s="11"/>
      <c r="C425" s="12"/>
      <c r="D425" s="5"/>
      <c r="E425" s="5"/>
      <c r="F425" s="50"/>
      <c r="G425" s="28"/>
      <c r="H425" s="28"/>
      <c r="I425" s="28"/>
      <c r="J425" s="28"/>
      <c r="K425" s="28"/>
      <c r="L425" s="29"/>
      <c r="M425" s="177"/>
    </row>
    <row r="426" spans="1:13" ht="18" customHeight="1">
      <c r="A426" s="44" t="s">
        <v>48</v>
      </c>
      <c r="B426" s="45" t="s">
        <v>131</v>
      </c>
      <c r="C426" s="46"/>
      <c r="D426" s="5"/>
      <c r="E426" s="5"/>
      <c r="F426" s="50"/>
      <c r="G426" s="28"/>
      <c r="H426" s="28"/>
      <c r="I426" s="28"/>
      <c r="J426" s="28"/>
      <c r="K426" s="28"/>
      <c r="L426" s="29"/>
      <c r="M426" s="177"/>
    </row>
    <row r="427" spans="1:13" s="59" customFormat="1" ht="18" customHeight="1">
      <c r="A427" s="60">
        <v>-1</v>
      </c>
      <c r="B427" s="53" t="s">
        <v>132</v>
      </c>
      <c r="C427" s="54" t="s">
        <v>133</v>
      </c>
      <c r="D427" s="55"/>
      <c r="E427" s="55" t="s">
        <v>75</v>
      </c>
      <c r="F427" s="61">
        <v>1</v>
      </c>
      <c r="G427" s="57"/>
      <c r="H427" s="57">
        <f>F427*G427</f>
        <v>0</v>
      </c>
      <c r="I427" s="174">
        <v>550000</v>
      </c>
      <c r="J427" s="57">
        <f>F427*I427</f>
        <v>550000</v>
      </c>
      <c r="K427" s="57">
        <f>G427+I427</f>
        <v>550000</v>
      </c>
      <c r="L427" s="58">
        <f>F427*K427</f>
        <v>550000</v>
      </c>
      <c r="M427" s="351"/>
    </row>
    <row r="428" spans="1:13" s="59" customFormat="1" ht="18" customHeight="1">
      <c r="A428" s="60"/>
      <c r="B428" s="53"/>
      <c r="C428" s="54"/>
      <c r="D428" s="55"/>
      <c r="E428" s="55"/>
      <c r="F428" s="61"/>
      <c r="G428" s="57"/>
      <c r="H428" s="57"/>
      <c r="I428" s="57"/>
      <c r="J428" s="57"/>
      <c r="K428" s="57"/>
      <c r="L428" s="58"/>
      <c r="M428" s="177"/>
    </row>
    <row r="429" spans="1:13" s="59" customFormat="1" ht="18" customHeight="1">
      <c r="A429" s="52">
        <v>-1</v>
      </c>
      <c r="B429" s="53" t="s">
        <v>161</v>
      </c>
      <c r="C429" s="54"/>
      <c r="D429" s="55"/>
      <c r="E429" s="55"/>
      <c r="F429" s="56"/>
      <c r="G429" s="57"/>
      <c r="H429" s="57"/>
      <c r="I429" s="28"/>
      <c r="J429" s="57"/>
      <c r="K429" s="57"/>
      <c r="L429" s="58"/>
      <c r="M429" s="177"/>
    </row>
    <row r="430" spans="1:13" ht="18" customHeight="1">
      <c r="A430" s="171" t="s">
        <v>12</v>
      </c>
      <c r="B430" s="346" t="s">
        <v>543</v>
      </c>
      <c r="C430" s="12"/>
      <c r="D430" s="5" t="s">
        <v>466</v>
      </c>
      <c r="E430" s="5" t="s">
        <v>41</v>
      </c>
      <c r="F430" s="173">
        <v>82.5</v>
      </c>
      <c r="G430" s="28">
        <v>12000</v>
      </c>
      <c r="H430" s="28">
        <f t="shared" ref="H430" si="407">F430*G430</f>
        <v>990000</v>
      </c>
      <c r="I430" s="28">
        <v>18000</v>
      </c>
      <c r="J430" s="28">
        <f t="shared" ref="J430" si="408">F430*I430</f>
        <v>1485000</v>
      </c>
      <c r="K430" s="28">
        <f t="shared" ref="K430" si="409">G430+I430</f>
        <v>30000</v>
      </c>
      <c r="L430" s="29">
        <f t="shared" ref="L430" si="410">F430*K430</f>
        <v>2475000</v>
      </c>
      <c r="M430" s="351"/>
    </row>
    <row r="431" spans="1:13" ht="18" hidden="1" customHeight="1">
      <c r="A431" s="171" t="s">
        <v>44</v>
      </c>
      <c r="B431" s="11" t="s">
        <v>251</v>
      </c>
      <c r="C431" s="12" t="s">
        <v>163</v>
      </c>
      <c r="D431" s="5" t="s">
        <v>467</v>
      </c>
      <c r="E431" s="5" t="s">
        <v>41</v>
      </c>
      <c r="F431" s="173"/>
      <c r="G431" s="28">
        <v>12000</v>
      </c>
      <c r="H431" s="28">
        <f t="shared" ref="H431:H434" si="411">F431*G431</f>
        <v>0</v>
      </c>
      <c r="I431" s="28">
        <v>8500</v>
      </c>
      <c r="J431" s="28">
        <f t="shared" ref="J431:J434" si="412">F431*I431</f>
        <v>0</v>
      </c>
      <c r="K431" s="28">
        <f t="shared" ref="K431:K434" si="413">G431+I431</f>
        <v>20500</v>
      </c>
      <c r="L431" s="29">
        <f t="shared" ref="L431:L434" si="414">F431*K431</f>
        <v>0</v>
      </c>
      <c r="M431" s="351"/>
    </row>
    <row r="432" spans="1:13" ht="18" customHeight="1">
      <c r="A432" s="171" t="s">
        <v>44</v>
      </c>
      <c r="B432" s="11" t="s">
        <v>669</v>
      </c>
      <c r="C432" s="12" t="s">
        <v>463</v>
      </c>
      <c r="D432" s="5" t="s">
        <v>307</v>
      </c>
      <c r="E432" s="5" t="s">
        <v>75</v>
      </c>
      <c r="F432" s="173">
        <v>1</v>
      </c>
      <c r="G432" s="28">
        <v>150000</v>
      </c>
      <c r="H432" s="28">
        <f t="shared" si="411"/>
        <v>150000</v>
      </c>
      <c r="I432" s="28">
        <v>250000</v>
      </c>
      <c r="J432" s="28">
        <f t="shared" si="412"/>
        <v>250000</v>
      </c>
      <c r="K432" s="28">
        <f t="shared" si="413"/>
        <v>400000</v>
      </c>
      <c r="L432" s="29">
        <f t="shared" si="414"/>
        <v>400000</v>
      </c>
      <c r="M432" s="351"/>
    </row>
    <row r="433" spans="1:16" ht="18" customHeight="1">
      <c r="A433" s="171" t="s">
        <v>44</v>
      </c>
      <c r="B433" s="11" t="s">
        <v>528</v>
      </c>
      <c r="C433" s="12" t="s">
        <v>463</v>
      </c>
      <c r="D433" s="5" t="s">
        <v>307</v>
      </c>
      <c r="E433" s="5" t="s">
        <v>75</v>
      </c>
      <c r="F433" s="173">
        <v>1</v>
      </c>
      <c r="G433" s="28">
        <v>65000</v>
      </c>
      <c r="H433" s="28">
        <f t="shared" ref="H433" si="415">F433*G433</f>
        <v>65000</v>
      </c>
      <c r="I433" s="28">
        <v>150000</v>
      </c>
      <c r="J433" s="28">
        <f t="shared" ref="J433" si="416">F433*I433</f>
        <v>150000</v>
      </c>
      <c r="K433" s="28">
        <f t="shared" ref="K433" si="417">G433+I433</f>
        <v>215000</v>
      </c>
      <c r="L433" s="29">
        <f t="shared" ref="L433" si="418">F433*K433</f>
        <v>215000</v>
      </c>
      <c r="M433" s="351"/>
    </row>
    <row r="434" spans="1:16" ht="18" hidden="1" customHeight="1">
      <c r="A434" s="171" t="s">
        <v>305</v>
      </c>
      <c r="B434" s="11" t="s">
        <v>335</v>
      </c>
      <c r="C434" s="12" t="s">
        <v>235</v>
      </c>
      <c r="D434" s="5" t="s">
        <v>465</v>
      </c>
      <c r="E434" s="5" t="s">
        <v>41</v>
      </c>
      <c r="F434" s="173"/>
      <c r="G434" s="28">
        <v>12000</v>
      </c>
      <c r="H434" s="28">
        <f t="shared" si="411"/>
        <v>0</v>
      </c>
      <c r="I434" s="28">
        <v>18000</v>
      </c>
      <c r="J434" s="28">
        <f t="shared" si="412"/>
        <v>0</v>
      </c>
      <c r="K434" s="28">
        <f t="shared" si="413"/>
        <v>30000</v>
      </c>
      <c r="L434" s="29">
        <f t="shared" si="414"/>
        <v>0</v>
      </c>
      <c r="M434" s="351"/>
    </row>
    <row r="435" spans="1:16" ht="18" hidden="1" customHeight="1">
      <c r="A435" s="171" t="s">
        <v>44</v>
      </c>
      <c r="B435" s="11" t="s">
        <v>336</v>
      </c>
      <c r="C435" s="12" t="s">
        <v>330</v>
      </c>
      <c r="D435" s="5" t="s">
        <v>465</v>
      </c>
      <c r="E435" s="5" t="s">
        <v>41</v>
      </c>
      <c r="F435" s="173"/>
      <c r="G435" s="28">
        <v>11000</v>
      </c>
      <c r="H435" s="28">
        <f t="shared" ref="H435" si="419">F435*G435</f>
        <v>0</v>
      </c>
      <c r="I435" s="28">
        <v>8500</v>
      </c>
      <c r="J435" s="28">
        <f t="shared" ref="J435" si="420">F435*I435</f>
        <v>0</v>
      </c>
      <c r="K435" s="28">
        <f t="shared" ref="K435" si="421">G435+I435</f>
        <v>19500</v>
      </c>
      <c r="L435" s="29">
        <f t="shared" ref="L435" si="422">F435*K435</f>
        <v>0</v>
      </c>
      <c r="M435" s="351"/>
    </row>
    <row r="436" spans="1:16" ht="18" hidden="1" customHeight="1">
      <c r="A436" s="171" t="s">
        <v>44</v>
      </c>
      <c r="B436" s="11" t="s">
        <v>251</v>
      </c>
      <c r="C436" s="12" t="s">
        <v>134</v>
      </c>
      <c r="D436" s="5" t="s">
        <v>273</v>
      </c>
      <c r="E436" s="5" t="s">
        <v>41</v>
      </c>
      <c r="F436" s="173"/>
      <c r="G436" s="28">
        <v>5000</v>
      </c>
      <c r="H436" s="28">
        <f t="shared" ref="H436" si="423">F436*G436</f>
        <v>0</v>
      </c>
      <c r="I436" s="28">
        <v>8500</v>
      </c>
      <c r="J436" s="28">
        <f t="shared" ref="J436" si="424">F436*I436</f>
        <v>0</v>
      </c>
      <c r="K436" s="28">
        <f t="shared" ref="K436" si="425">G436+I436</f>
        <v>13500</v>
      </c>
      <c r="L436" s="29">
        <f t="shared" ref="L436" si="426">F436*K436</f>
        <v>0</v>
      </c>
      <c r="M436" s="351"/>
    </row>
    <row r="437" spans="1:16" s="59" customFormat="1" ht="18" hidden="1" customHeight="1">
      <c r="A437" s="60" t="s">
        <v>183</v>
      </c>
      <c r="B437" s="53" t="s">
        <v>184</v>
      </c>
      <c r="C437" s="62" t="s">
        <v>274</v>
      </c>
      <c r="D437" s="55" t="s">
        <v>185</v>
      </c>
      <c r="E437" s="55" t="s">
        <v>182</v>
      </c>
      <c r="F437" s="61"/>
      <c r="G437" s="57">
        <v>2200</v>
      </c>
      <c r="H437" s="57">
        <f t="shared" ref="H437" si="427">F437*G437</f>
        <v>0</v>
      </c>
      <c r="I437" s="57">
        <v>5000</v>
      </c>
      <c r="J437" s="57">
        <f t="shared" ref="J437" si="428">F437*I437</f>
        <v>0</v>
      </c>
      <c r="K437" s="57">
        <f t="shared" ref="K437" si="429">G437+I437</f>
        <v>7200</v>
      </c>
      <c r="L437" s="58">
        <f t="shared" ref="L437" si="430">F437*K437</f>
        <v>0</v>
      </c>
      <c r="M437" s="351"/>
    </row>
    <row r="438" spans="1:16" s="330" customFormat="1" ht="18" hidden="1" customHeight="1">
      <c r="A438" s="60" t="s">
        <v>160</v>
      </c>
      <c r="B438" s="323" t="s">
        <v>184</v>
      </c>
      <c r="C438" s="324" t="s">
        <v>275</v>
      </c>
      <c r="D438" s="325" t="s">
        <v>185</v>
      </c>
      <c r="E438" s="325" t="s">
        <v>165</v>
      </c>
      <c r="F438" s="326"/>
      <c r="G438" s="327">
        <v>5500</v>
      </c>
      <c r="H438" s="327">
        <f t="shared" ref="H438" si="431">F438*G438</f>
        <v>0</v>
      </c>
      <c r="I438" s="327">
        <v>5000</v>
      </c>
      <c r="J438" s="327">
        <f t="shared" ref="J438" si="432">F438*I438</f>
        <v>0</v>
      </c>
      <c r="K438" s="327">
        <f t="shared" ref="K438" si="433">G438+I438</f>
        <v>10500</v>
      </c>
      <c r="L438" s="328">
        <f t="shared" ref="L438" si="434">F438*K438</f>
        <v>0</v>
      </c>
      <c r="M438" s="351"/>
    </row>
    <row r="439" spans="1:16" s="59" customFormat="1" ht="18" customHeight="1">
      <c r="A439" s="60"/>
      <c r="B439" s="53"/>
      <c r="C439" s="62"/>
      <c r="D439" s="55"/>
      <c r="E439" s="55"/>
      <c r="F439" s="61"/>
      <c r="G439" s="57"/>
      <c r="H439" s="57"/>
      <c r="I439" s="57"/>
      <c r="J439" s="57"/>
      <c r="K439" s="57"/>
      <c r="L439" s="58"/>
      <c r="M439" s="176"/>
    </row>
    <row r="440" spans="1:16" s="59" customFormat="1" ht="18" customHeight="1">
      <c r="A440" s="52">
        <v>-1</v>
      </c>
      <c r="B440" s="53" t="s">
        <v>135</v>
      </c>
      <c r="C440" s="54"/>
      <c r="D440" s="55"/>
      <c r="E440" s="55"/>
      <c r="F440" s="56"/>
      <c r="G440" s="57"/>
      <c r="H440" s="57"/>
      <c r="I440" s="57"/>
      <c r="J440" s="57"/>
      <c r="K440" s="57"/>
      <c r="L440" s="58"/>
      <c r="M440" s="176"/>
    </row>
    <row r="441" spans="1:16" s="59" customFormat="1" ht="18" hidden="1" customHeight="1">
      <c r="A441" s="52" t="s">
        <v>444</v>
      </c>
      <c r="B441" s="53" t="s">
        <v>468</v>
      </c>
      <c r="C441" s="54" t="s">
        <v>469</v>
      </c>
      <c r="D441" s="55" t="s">
        <v>451</v>
      </c>
      <c r="E441" s="55" t="s">
        <v>414</v>
      </c>
      <c r="F441" s="56"/>
      <c r="G441" s="57">
        <v>650000</v>
      </c>
      <c r="H441" s="57">
        <f t="shared" ref="H441:H447" si="435">F441*G441</f>
        <v>0</v>
      </c>
      <c r="I441" s="57">
        <v>700000</v>
      </c>
      <c r="J441" s="57">
        <f t="shared" ref="J441" si="436">F441*I441</f>
        <v>0</v>
      </c>
      <c r="K441" s="57">
        <f t="shared" ref="K441" si="437">G441+I441</f>
        <v>1350000</v>
      </c>
      <c r="L441" s="58">
        <f t="shared" ref="L441" si="438">F441*K441</f>
        <v>0</v>
      </c>
      <c r="M441" s="388"/>
    </row>
    <row r="442" spans="1:16" s="59" customFormat="1" ht="18" customHeight="1">
      <c r="A442" s="60" t="s">
        <v>12</v>
      </c>
      <c r="B442" s="53" t="s">
        <v>136</v>
      </c>
      <c r="C442" s="54" t="s">
        <v>236</v>
      </c>
      <c r="D442" s="55" t="s">
        <v>525</v>
      </c>
      <c r="E442" s="55" t="s">
        <v>41</v>
      </c>
      <c r="F442" s="61">
        <f>64*2.4+(25*2.4)</f>
        <v>213.6</v>
      </c>
      <c r="G442" s="57">
        <v>12000</v>
      </c>
      <c r="H442" s="57">
        <f t="shared" si="435"/>
        <v>2563200</v>
      </c>
      <c r="I442" s="57">
        <v>28000</v>
      </c>
      <c r="J442" s="57">
        <f t="shared" ref="J442:J447" si="439">F442*I442</f>
        <v>5980800</v>
      </c>
      <c r="K442" s="57">
        <f t="shared" ref="K442:K447" si="440">G442+I442</f>
        <v>40000</v>
      </c>
      <c r="L442" s="58">
        <f t="shared" ref="L442:L447" si="441">F442*K442</f>
        <v>8544000</v>
      </c>
      <c r="M442" s="351"/>
    </row>
    <row r="443" spans="1:16" ht="18" customHeight="1">
      <c r="A443" s="171" t="s">
        <v>44</v>
      </c>
      <c r="B443" s="11" t="s">
        <v>333</v>
      </c>
      <c r="C443" s="12" t="s">
        <v>163</v>
      </c>
      <c r="D443" s="5" t="s">
        <v>524</v>
      </c>
      <c r="E443" s="5" t="s">
        <v>41</v>
      </c>
      <c r="F443" s="61">
        <f>64*2.4+(25*2.4)</f>
        <v>213.6</v>
      </c>
      <c r="G443" s="28">
        <v>12000</v>
      </c>
      <c r="H443" s="28">
        <f t="shared" si="435"/>
        <v>2563200</v>
      </c>
      <c r="I443" s="28">
        <v>8500</v>
      </c>
      <c r="J443" s="28">
        <f t="shared" si="439"/>
        <v>1815600</v>
      </c>
      <c r="K443" s="28">
        <f t="shared" si="440"/>
        <v>20500</v>
      </c>
      <c r="L443" s="29">
        <f t="shared" si="441"/>
        <v>4378800</v>
      </c>
      <c r="M443" s="351"/>
    </row>
    <row r="444" spans="1:16" s="59" customFormat="1" ht="18" hidden="1" customHeight="1">
      <c r="A444" s="60" t="s">
        <v>44</v>
      </c>
      <c r="B444" s="53" t="s">
        <v>195</v>
      </c>
      <c r="C444" s="62" t="s">
        <v>196</v>
      </c>
      <c r="D444" s="55" t="s">
        <v>331</v>
      </c>
      <c r="E444" s="55" t="s">
        <v>41</v>
      </c>
      <c r="F444" s="61"/>
      <c r="G444" s="57">
        <v>5500</v>
      </c>
      <c r="H444" s="57" t="s">
        <v>350</v>
      </c>
      <c r="I444" s="57">
        <v>15000</v>
      </c>
      <c r="J444" s="57">
        <f>F444*I444</f>
        <v>0</v>
      </c>
      <c r="K444" s="57">
        <f>G444+I444</f>
        <v>20500</v>
      </c>
      <c r="L444" s="58">
        <f t="shared" si="441"/>
        <v>0</v>
      </c>
      <c r="M444" s="351"/>
    </row>
    <row r="445" spans="1:16" ht="18" customHeight="1">
      <c r="A445" s="171" t="s">
        <v>44</v>
      </c>
      <c r="B445" s="11" t="s">
        <v>333</v>
      </c>
      <c r="C445" s="12" t="s">
        <v>134</v>
      </c>
      <c r="D445" s="5" t="s">
        <v>676</v>
      </c>
      <c r="E445" s="5" t="s">
        <v>41</v>
      </c>
      <c r="F445" s="61">
        <v>18.239999999999998</v>
      </c>
      <c r="G445" s="28">
        <v>6000</v>
      </c>
      <c r="H445" s="28">
        <f t="shared" ref="H445" si="442">F445*G445</f>
        <v>109439.99999999999</v>
      </c>
      <c r="I445" s="28">
        <v>4500</v>
      </c>
      <c r="J445" s="28">
        <f t="shared" ref="J445" si="443">F445*I445</f>
        <v>82080</v>
      </c>
      <c r="K445" s="28">
        <f t="shared" ref="K445" si="444">G445+I445</f>
        <v>10500</v>
      </c>
      <c r="L445" s="29">
        <f t="shared" ref="L445" si="445">F445*K445</f>
        <v>191519.99999999997</v>
      </c>
      <c r="M445" s="351"/>
    </row>
    <row r="446" spans="1:16" s="59" customFormat="1" ht="18" customHeight="1">
      <c r="A446" s="60" t="s">
        <v>44</v>
      </c>
      <c r="B446" s="53" t="s">
        <v>180</v>
      </c>
      <c r="C446" s="62" t="s">
        <v>237</v>
      </c>
      <c r="D446" s="55" t="s">
        <v>171</v>
      </c>
      <c r="E446" s="55" t="s">
        <v>41</v>
      </c>
      <c r="F446" s="61">
        <f>6*2.4</f>
        <v>14.399999999999999</v>
      </c>
      <c r="G446" s="57">
        <v>25000</v>
      </c>
      <c r="H446" s="57">
        <f t="shared" si="435"/>
        <v>359999.99999999994</v>
      </c>
      <c r="I446" s="57">
        <v>27000</v>
      </c>
      <c r="J446" s="57">
        <f t="shared" si="439"/>
        <v>388799.99999999994</v>
      </c>
      <c r="K446" s="57">
        <f t="shared" si="440"/>
        <v>52000</v>
      </c>
      <c r="L446" s="58">
        <f t="shared" si="441"/>
        <v>748799.99999999988</v>
      </c>
      <c r="M446" s="351"/>
      <c r="P446" s="59">
        <v>140</v>
      </c>
    </row>
    <row r="447" spans="1:16" s="275" customFormat="1" ht="18" customHeight="1">
      <c r="A447" s="60" t="s">
        <v>44</v>
      </c>
      <c r="B447" s="306" t="s">
        <v>166</v>
      </c>
      <c r="C447" s="62" t="s">
        <v>202</v>
      </c>
      <c r="D447" s="55" t="s">
        <v>470</v>
      </c>
      <c r="E447" s="55" t="s">
        <v>39</v>
      </c>
      <c r="F447" s="61">
        <v>76</v>
      </c>
      <c r="G447" s="57">
        <v>1000</v>
      </c>
      <c r="H447" s="57">
        <f t="shared" si="435"/>
        <v>76000</v>
      </c>
      <c r="I447" s="57">
        <v>5000</v>
      </c>
      <c r="J447" s="57">
        <f t="shared" si="439"/>
        <v>380000</v>
      </c>
      <c r="K447" s="57">
        <f t="shared" si="440"/>
        <v>6000</v>
      </c>
      <c r="L447" s="58">
        <f t="shared" si="441"/>
        <v>456000</v>
      </c>
      <c r="M447" s="351"/>
    </row>
    <row r="448" spans="1:16" s="59" customFormat="1" ht="18" customHeight="1">
      <c r="A448" s="60"/>
      <c r="B448" s="53"/>
      <c r="C448" s="62"/>
      <c r="D448" s="55"/>
      <c r="E448" s="55"/>
      <c r="F448" s="61"/>
      <c r="G448" s="57"/>
      <c r="H448" s="57"/>
      <c r="I448" s="57"/>
      <c r="J448" s="57"/>
      <c r="K448" s="57"/>
      <c r="L448" s="58"/>
      <c r="M448" s="176"/>
    </row>
    <row r="449" spans="1:13" s="59" customFormat="1" ht="18" customHeight="1">
      <c r="A449" s="52">
        <v>-1</v>
      </c>
      <c r="B449" s="53" t="s">
        <v>138</v>
      </c>
      <c r="C449" s="54"/>
      <c r="D449" s="55"/>
      <c r="E449" s="55" t="s">
        <v>189</v>
      </c>
      <c r="F449" s="56"/>
      <c r="G449" s="57"/>
      <c r="H449" s="57"/>
      <c r="I449" s="57"/>
      <c r="J449" s="57"/>
      <c r="K449" s="57"/>
      <c r="L449" s="58"/>
      <c r="M449" s="176"/>
    </row>
    <row r="450" spans="1:13" s="274" customFormat="1" ht="18" hidden="1" customHeight="1">
      <c r="A450" s="258" t="s">
        <v>354</v>
      </c>
      <c r="B450" s="267" t="s">
        <v>355</v>
      </c>
      <c r="C450" s="268" t="s">
        <v>353</v>
      </c>
      <c r="D450" s="269"/>
      <c r="E450" s="269" t="s">
        <v>75</v>
      </c>
      <c r="F450" s="270"/>
      <c r="G450" s="271">
        <v>0</v>
      </c>
      <c r="H450" s="271">
        <f t="shared" ref="H450:H452" si="446">F450*G450</f>
        <v>0</v>
      </c>
      <c r="I450" s="271"/>
      <c r="J450" s="271">
        <f t="shared" ref="J450:J452" si="447">F450*I450</f>
        <v>0</v>
      </c>
      <c r="K450" s="271">
        <f t="shared" ref="K450:K452" si="448">G450+I450</f>
        <v>0</v>
      </c>
      <c r="L450" s="272">
        <f t="shared" ref="L450:L452" si="449">F450*K450</f>
        <v>0</v>
      </c>
      <c r="M450" s="273"/>
    </row>
    <row r="451" spans="1:13" s="59" customFormat="1" ht="18" customHeight="1">
      <c r="A451" s="60" t="s">
        <v>12</v>
      </c>
      <c r="B451" s="53" t="s">
        <v>673</v>
      </c>
      <c r="C451" s="62" t="s">
        <v>674</v>
      </c>
      <c r="D451" s="55" t="s">
        <v>137</v>
      </c>
      <c r="E451" s="55" t="s">
        <v>75</v>
      </c>
      <c r="F451" s="61">
        <v>1</v>
      </c>
      <c r="G451" s="57">
        <v>790000</v>
      </c>
      <c r="H451" s="57">
        <f t="shared" ref="H451" si="450">F451*G451</f>
        <v>790000</v>
      </c>
      <c r="I451" s="57">
        <v>200000</v>
      </c>
      <c r="J451" s="57">
        <f t="shared" ref="J451" si="451">F451*I451</f>
        <v>200000</v>
      </c>
      <c r="K451" s="57">
        <f t="shared" ref="K451" si="452">G451+I451</f>
        <v>990000</v>
      </c>
      <c r="L451" s="58">
        <f t="shared" ref="L451" si="453">F451*K451</f>
        <v>990000</v>
      </c>
      <c r="M451" s="351"/>
    </row>
    <row r="452" spans="1:13" s="59" customFormat="1" ht="18" customHeight="1">
      <c r="A452" s="60" t="s">
        <v>12</v>
      </c>
      <c r="B452" s="53" t="s">
        <v>672</v>
      </c>
      <c r="C452" s="62" t="s">
        <v>674</v>
      </c>
      <c r="D452" s="55" t="s">
        <v>137</v>
      </c>
      <c r="E452" s="55" t="s">
        <v>75</v>
      </c>
      <c r="F452" s="61">
        <v>2</v>
      </c>
      <c r="G452" s="57">
        <v>700000</v>
      </c>
      <c r="H452" s="57">
        <f t="shared" si="446"/>
        <v>1400000</v>
      </c>
      <c r="I452" s="57">
        <v>200000</v>
      </c>
      <c r="J452" s="57">
        <f t="shared" si="447"/>
        <v>400000</v>
      </c>
      <c r="K452" s="57">
        <f t="shared" si="448"/>
        <v>900000</v>
      </c>
      <c r="L452" s="58">
        <f t="shared" si="449"/>
        <v>1800000</v>
      </c>
      <c r="M452" s="351"/>
    </row>
    <row r="453" spans="1:13" s="59" customFormat="1" ht="18" customHeight="1">
      <c r="A453" s="60" t="s">
        <v>12</v>
      </c>
      <c r="B453" s="53" t="s">
        <v>675</v>
      </c>
      <c r="C453" s="62" t="s">
        <v>674</v>
      </c>
      <c r="D453" s="55" t="s">
        <v>137</v>
      </c>
      <c r="E453" s="55" t="s">
        <v>75</v>
      </c>
      <c r="F453" s="61">
        <v>4</v>
      </c>
      <c r="G453" s="57">
        <v>450000</v>
      </c>
      <c r="H453" s="57">
        <f t="shared" ref="H453" si="454">F453*G453</f>
        <v>1800000</v>
      </c>
      <c r="I453" s="57">
        <v>200000</v>
      </c>
      <c r="J453" s="57">
        <f t="shared" ref="J453" si="455">F453*I453</f>
        <v>800000</v>
      </c>
      <c r="K453" s="57">
        <f t="shared" ref="K453" si="456">G453+I453</f>
        <v>650000</v>
      </c>
      <c r="L453" s="58">
        <f t="shared" ref="L453" si="457">F453*K453</f>
        <v>2600000</v>
      </c>
      <c r="M453" s="351"/>
    </row>
    <row r="454" spans="1:13" s="59" customFormat="1" ht="18" customHeight="1">
      <c r="A454" s="60" t="s">
        <v>44</v>
      </c>
      <c r="B454" s="53" t="s">
        <v>595</v>
      </c>
      <c r="C454" s="62" t="s">
        <v>671</v>
      </c>
      <c r="D454" s="55" t="s">
        <v>137</v>
      </c>
      <c r="E454" s="55" t="s">
        <v>38</v>
      </c>
      <c r="F454" s="61">
        <v>6</v>
      </c>
      <c r="G454" s="57">
        <v>250000</v>
      </c>
      <c r="H454" s="57">
        <f t="shared" ref="H454:H455" si="458">F454*G454</f>
        <v>1500000</v>
      </c>
      <c r="I454" s="57">
        <v>70000</v>
      </c>
      <c r="J454" s="57">
        <f t="shared" ref="J454:J455" si="459">F454*I454</f>
        <v>420000</v>
      </c>
      <c r="K454" s="57">
        <f t="shared" ref="K454:K455" si="460">G454+I454</f>
        <v>320000</v>
      </c>
      <c r="L454" s="58">
        <f t="shared" ref="L454" si="461">F454*K454</f>
        <v>1920000</v>
      </c>
      <c r="M454" s="351"/>
    </row>
    <row r="455" spans="1:13" s="330" customFormat="1" ht="18" hidden="1" customHeight="1">
      <c r="A455" s="60" t="s">
        <v>44</v>
      </c>
      <c r="B455" s="323" t="s">
        <v>612</v>
      </c>
      <c r="C455" s="324" t="s">
        <v>613</v>
      </c>
      <c r="D455" s="325" t="s">
        <v>307</v>
      </c>
      <c r="E455" s="325" t="s">
        <v>75</v>
      </c>
      <c r="F455" s="326"/>
      <c r="G455" s="327">
        <v>200000</v>
      </c>
      <c r="H455" s="327">
        <f t="shared" si="458"/>
        <v>0</v>
      </c>
      <c r="I455" s="327">
        <v>420000</v>
      </c>
      <c r="J455" s="327">
        <f t="shared" si="459"/>
        <v>0</v>
      </c>
      <c r="K455" s="327">
        <f t="shared" si="460"/>
        <v>620000</v>
      </c>
      <c r="L455" s="328">
        <f>F455*K455</f>
        <v>0</v>
      </c>
      <c r="M455" s="352"/>
    </row>
    <row r="456" spans="1:13" s="330" customFormat="1" ht="18" hidden="1" customHeight="1">
      <c r="A456" s="60" t="s">
        <v>44</v>
      </c>
      <c r="B456" s="323" t="s">
        <v>194</v>
      </c>
      <c r="C456" s="324" t="s">
        <v>526</v>
      </c>
      <c r="D456" s="325" t="s">
        <v>527</v>
      </c>
      <c r="E456" s="325" t="s">
        <v>75</v>
      </c>
      <c r="F456" s="326"/>
      <c r="G456" s="327">
        <v>350000</v>
      </c>
      <c r="H456" s="327">
        <f t="shared" ref="H456" si="462">F456*G456</f>
        <v>0</v>
      </c>
      <c r="I456" s="327">
        <v>320000</v>
      </c>
      <c r="J456" s="327">
        <f t="shared" ref="J456" si="463">F456*I456</f>
        <v>0</v>
      </c>
      <c r="K456" s="327">
        <f t="shared" ref="K456" si="464">G456+I456</f>
        <v>670000</v>
      </c>
      <c r="L456" s="328">
        <f>F456*K456</f>
        <v>0</v>
      </c>
      <c r="M456" s="352"/>
    </row>
    <row r="457" spans="1:13" ht="18" hidden="1" customHeight="1">
      <c r="A457" s="171" t="s">
        <v>279</v>
      </c>
      <c r="B457" s="11" t="s">
        <v>280</v>
      </c>
      <c r="C457" s="172"/>
      <c r="D457" s="322" t="s">
        <v>347</v>
      </c>
      <c r="E457" s="5" t="s">
        <v>278</v>
      </c>
      <c r="F457" s="173"/>
      <c r="G457" s="28">
        <v>120000</v>
      </c>
      <c r="H457" s="57">
        <f t="shared" ref="H457:H459" si="465">F457*G457</f>
        <v>0</v>
      </c>
      <c r="I457" s="28">
        <v>150000</v>
      </c>
      <c r="J457" s="57">
        <f t="shared" ref="J457:J459" si="466">F457*I457</f>
        <v>0</v>
      </c>
      <c r="K457" s="57">
        <f t="shared" ref="K457:K459" si="467">G457+I457</f>
        <v>270000</v>
      </c>
      <c r="L457" s="58">
        <f t="shared" ref="L457:L461" si="468">F457*K457</f>
        <v>0</v>
      </c>
      <c r="M457" s="352"/>
    </row>
    <row r="458" spans="1:13" ht="18" hidden="1" customHeight="1">
      <c r="A458" s="171" t="s">
        <v>268</v>
      </c>
      <c r="B458" s="11" t="s">
        <v>349</v>
      </c>
      <c r="C458" s="172"/>
      <c r="D458" s="322" t="s">
        <v>277</v>
      </c>
      <c r="E458" s="5" t="s">
        <v>278</v>
      </c>
      <c r="F458" s="173"/>
      <c r="G458" s="28">
        <v>300000</v>
      </c>
      <c r="H458" s="57">
        <f t="shared" si="465"/>
        <v>0</v>
      </c>
      <c r="I458" s="28">
        <v>600000</v>
      </c>
      <c r="J458" s="57">
        <f t="shared" si="466"/>
        <v>0</v>
      </c>
      <c r="K458" s="57">
        <f t="shared" si="467"/>
        <v>900000</v>
      </c>
      <c r="L458" s="58">
        <f t="shared" si="468"/>
        <v>0</v>
      </c>
      <c r="M458" s="352"/>
    </row>
    <row r="459" spans="1:13" s="59" customFormat="1" ht="18" customHeight="1">
      <c r="A459" s="60" t="s">
        <v>44</v>
      </c>
      <c r="B459" s="53" t="s">
        <v>194</v>
      </c>
      <c r="C459" s="62" t="s">
        <v>526</v>
      </c>
      <c r="D459" s="55" t="s">
        <v>679</v>
      </c>
      <c r="E459" s="55" t="s">
        <v>75</v>
      </c>
      <c r="F459" s="61">
        <v>2</v>
      </c>
      <c r="G459" s="57">
        <v>350000</v>
      </c>
      <c r="H459" s="57">
        <f t="shared" si="465"/>
        <v>700000</v>
      </c>
      <c r="I459" s="57">
        <v>320000</v>
      </c>
      <c r="J459" s="57">
        <f t="shared" si="466"/>
        <v>640000</v>
      </c>
      <c r="K459" s="57">
        <f t="shared" si="467"/>
        <v>670000</v>
      </c>
      <c r="L459" s="58">
        <f t="shared" si="468"/>
        <v>1340000</v>
      </c>
      <c r="M459" s="351"/>
    </row>
    <row r="460" spans="1:13" s="265" customFormat="1" ht="18" customHeight="1">
      <c r="A460" s="260" t="s">
        <v>287</v>
      </c>
      <c r="B460" s="168" t="s">
        <v>289</v>
      </c>
      <c r="C460" s="385" t="s">
        <v>522</v>
      </c>
      <c r="D460" s="386" t="s">
        <v>243</v>
      </c>
      <c r="E460" s="261" t="s">
        <v>75</v>
      </c>
      <c r="F460" s="387">
        <v>1</v>
      </c>
      <c r="G460" s="262">
        <v>1200000</v>
      </c>
      <c r="H460" s="262">
        <f>F460*G460</f>
        <v>1200000</v>
      </c>
      <c r="I460" s="262">
        <v>200000</v>
      </c>
      <c r="J460" s="262">
        <f>F460*I460</f>
        <v>200000</v>
      </c>
      <c r="K460" s="262">
        <f>G460+I460</f>
        <v>1400000</v>
      </c>
      <c r="L460" s="263">
        <f t="shared" si="468"/>
        <v>1400000</v>
      </c>
      <c r="M460" s="263"/>
    </row>
    <row r="461" spans="1:13" ht="18" hidden="1" customHeight="1">
      <c r="A461" s="171" t="s">
        <v>287</v>
      </c>
      <c r="B461" s="11" t="s">
        <v>288</v>
      </c>
      <c r="C461" s="172" t="s">
        <v>351</v>
      </c>
      <c r="D461" s="322" t="s">
        <v>345</v>
      </c>
      <c r="E461" s="5" t="s">
        <v>75</v>
      </c>
      <c r="F461" s="173"/>
      <c r="G461" s="28">
        <v>1200000</v>
      </c>
      <c r="H461" s="28">
        <f>F461*G461</f>
        <v>0</v>
      </c>
      <c r="I461" s="28">
        <v>200000</v>
      </c>
      <c r="J461" s="28">
        <f>F461*I461</f>
        <v>0</v>
      </c>
      <c r="K461" s="28">
        <f>G461+I461</f>
        <v>1400000</v>
      </c>
      <c r="L461" s="29">
        <f t="shared" si="468"/>
        <v>0</v>
      </c>
      <c r="M461" s="342"/>
    </row>
    <row r="462" spans="1:13" ht="18" hidden="1" customHeight="1">
      <c r="A462" s="171" t="s">
        <v>44</v>
      </c>
      <c r="B462" s="11" t="s">
        <v>288</v>
      </c>
      <c r="C462" s="172" t="s">
        <v>290</v>
      </c>
      <c r="D462" s="322" t="s">
        <v>346</v>
      </c>
      <c r="E462" s="5" t="s">
        <v>75</v>
      </c>
      <c r="F462" s="173"/>
      <c r="G462" s="28">
        <v>2300000</v>
      </c>
      <c r="H462" s="28">
        <f>F462*G462</f>
        <v>0</v>
      </c>
      <c r="I462" s="28">
        <v>200000</v>
      </c>
      <c r="J462" s="28">
        <f>F462*I462</f>
        <v>0</v>
      </c>
      <c r="K462" s="28">
        <f>G462+I462</f>
        <v>2500000</v>
      </c>
      <c r="L462" s="29">
        <f t="shared" ref="L462" si="469">F462*K462</f>
        <v>0</v>
      </c>
      <c r="M462" s="342"/>
    </row>
    <row r="463" spans="1:13" ht="18" customHeight="1">
      <c r="A463" s="171"/>
      <c r="B463" s="11"/>
      <c r="C463" s="172"/>
      <c r="D463" s="322"/>
      <c r="E463" s="5"/>
      <c r="F463" s="173"/>
      <c r="G463" s="28"/>
      <c r="H463" s="28"/>
      <c r="I463" s="28"/>
      <c r="J463" s="28"/>
      <c r="K463" s="28"/>
      <c r="L463" s="29"/>
      <c r="M463" s="342"/>
    </row>
    <row r="464" spans="1:13" ht="18" customHeight="1">
      <c r="A464" s="10"/>
      <c r="B464" s="13" t="s">
        <v>13</v>
      </c>
      <c r="C464" s="12"/>
      <c r="D464" s="5"/>
      <c r="E464" s="5"/>
      <c r="F464" s="50"/>
      <c r="G464" s="48"/>
      <c r="H464" s="48">
        <f>SUM(H427:H462)</f>
        <v>14266840</v>
      </c>
      <c r="I464" s="48"/>
      <c r="J464" s="48">
        <f>SUM(J427:J462)</f>
        <v>13742280</v>
      </c>
      <c r="K464" s="48"/>
      <c r="L464" s="48">
        <f>SUM(L427:L462)</f>
        <v>28009120</v>
      </c>
      <c r="M464" s="177"/>
    </row>
    <row r="465" spans="1:13" ht="18" customHeight="1">
      <c r="A465" s="10"/>
      <c r="B465" s="11"/>
      <c r="C465" s="12"/>
      <c r="D465" s="5"/>
      <c r="E465" s="5"/>
      <c r="F465" s="50"/>
      <c r="G465" s="28"/>
      <c r="H465" s="28"/>
      <c r="I465" s="28"/>
      <c r="J465" s="28"/>
      <c r="K465" s="28"/>
      <c r="L465" s="29"/>
      <c r="M465" s="177"/>
    </row>
    <row r="466" spans="1:13" ht="18" customHeight="1">
      <c r="A466" s="10"/>
      <c r="B466" s="11"/>
      <c r="C466" s="12"/>
      <c r="D466" s="5"/>
      <c r="E466" s="5"/>
      <c r="F466" s="50"/>
      <c r="G466" s="28"/>
      <c r="H466" s="28"/>
      <c r="I466" s="28"/>
      <c r="J466" s="39"/>
      <c r="K466" s="28"/>
      <c r="L466" s="29"/>
      <c r="M466" s="177"/>
    </row>
    <row r="467" spans="1:13" ht="18" customHeight="1">
      <c r="A467" s="242"/>
      <c r="B467" s="242" t="s">
        <v>71</v>
      </c>
      <c r="C467" s="243"/>
      <c r="D467" s="244"/>
      <c r="E467" s="244"/>
      <c r="F467" s="245"/>
      <c r="G467" s="246"/>
      <c r="H467" s="257">
        <f>H464+H424+H412+H405+H392+H367+H299+H202+H88+H70</f>
        <v>89811428</v>
      </c>
      <c r="I467" s="257"/>
      <c r="J467" s="257">
        <f>J464+J424+J412+J405+J392+J367+J299+J202+J88+J70</f>
        <v>52947606.666666672</v>
      </c>
      <c r="K467" s="257"/>
      <c r="L467" s="257">
        <f>L464+L424+L412+L405+L392+L367+L299+L202+L88+L70</f>
        <v>142759034.66666666</v>
      </c>
      <c r="M467" s="247"/>
    </row>
  </sheetData>
  <autoFilter ref="A4:M467"/>
  <mergeCells count="13">
    <mergeCell ref="B201:L201"/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60:M64"/>
  </mergeCells>
  <phoneticPr fontId="22" type="noConversion"/>
  <pageMargins left="0.7" right="0.7" top="0.75" bottom="0.75" header="0.3" footer="0.3"/>
  <pageSetup paperSize="9" scale="65" fitToHeight="0" orientation="landscape" r:id="rId1"/>
  <rowBreaks count="8" manualBreakCount="8">
    <brk id="40" max="12" man="1"/>
    <brk id="89" max="12" man="1"/>
    <brk id="165" max="12" man="1"/>
    <brk id="203" max="12" man="1"/>
    <brk id="258" max="12" man="1"/>
    <brk id="300" max="12" man="1"/>
    <brk id="368" max="12" man="1"/>
    <brk id="413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5</vt:i4>
      </vt:variant>
    </vt:vector>
  </HeadingPairs>
  <TitlesOfParts>
    <vt:vector size="8" baseType="lpstr">
      <vt:lpstr>갑지</vt:lpstr>
      <vt:lpstr> 갑지-1</vt:lpstr>
      <vt:lpstr>상세</vt:lpstr>
      <vt:lpstr>' 갑지-1'!Print_Area</vt:lpstr>
      <vt:lpstr>갑지!Print_Area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tpgns1164@naver.com</cp:lastModifiedBy>
  <cp:lastPrinted>2025-09-11T13:06:42Z</cp:lastPrinted>
  <dcterms:created xsi:type="dcterms:W3CDTF">1997-06-17T05:19:13Z</dcterms:created>
  <dcterms:modified xsi:type="dcterms:W3CDTF">2026-01-27T06:49:45Z</dcterms:modified>
</cp:coreProperties>
</file>