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\\park\모해디자인\프로젝트\2024\2024. 10_로얄팰리스 C동 리모델링 공사\"/>
    </mc:Choice>
  </mc:AlternateContent>
  <xr:revisionPtr revIDLastSave="0" documentId="13_ncr:1_{BB430050-3419-445C-9355-F228894C5AA9}" xr6:coauthVersionLast="47" xr6:coauthVersionMax="47" xr10:uidLastSave="{00000000-0000-0000-0000-000000000000}"/>
  <bookViews>
    <workbookView xWindow="28680" yWindow="-120" windowWidth="29040" windowHeight="15840" tabRatio="680" activeTab="2" xr2:uid="{00000000-000D-0000-FFFF-FFFF00000000}"/>
  </bookViews>
  <sheets>
    <sheet name="갑지" sheetId="23312" r:id="rId1"/>
    <sheet name=" 갑지-1" sheetId="23309" r:id="rId2"/>
    <sheet name="상세" sheetId="2331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 hidden="1">[1]공문!#REF!</definedName>
    <definedName name="_" localSheetId="0" hidden="1">[1]공문!#REF!</definedName>
    <definedName name="_" localSheetId="2" hidden="1">[1]공문!#REF!</definedName>
    <definedName name="_" hidden="1">[1]공문!#REF!</definedName>
    <definedName name="____WRM1" localSheetId="0" hidden="1">{#N/A,#N/A,TRUE,"TITLE"}</definedName>
    <definedName name="____WRM1" hidden="1">{#N/A,#N/A,TRUE,"TITLE"}</definedName>
    <definedName name="___key2" localSheetId="1" hidden="1">#REF!</definedName>
    <definedName name="___key2" localSheetId="0" hidden="1">#REF!</definedName>
    <definedName name="___key2" localSheetId="2" hidden="1">#REF!</definedName>
    <definedName name="___key2" hidden="1">#REF!</definedName>
    <definedName name="__123Graph_A" localSheetId="1" hidden="1">[2]금융!#REF!</definedName>
    <definedName name="__123Graph_A" localSheetId="0" hidden="1">[2]금융!#REF!</definedName>
    <definedName name="__123Graph_A" localSheetId="2" hidden="1">[2]금융!#REF!</definedName>
    <definedName name="__123Graph_A" hidden="1">[2]금융!#REF!</definedName>
    <definedName name="__123Graph_ACHART1" localSheetId="1" hidden="1">'[3]입찰내역 발주처 양식'!#REF!</definedName>
    <definedName name="__123Graph_ACHART1" localSheetId="0" hidden="1">'[3]입찰내역 발주처 양식'!#REF!</definedName>
    <definedName name="__123Graph_ACHART1" localSheetId="2" hidden="1">'[3]입찰내역 발주처 양식'!#REF!</definedName>
    <definedName name="__123Graph_ACHART1" hidden="1">'[3]입찰내역 발주처 양식'!#REF!</definedName>
    <definedName name="__123Graph_ACURRENT" localSheetId="1" hidden="1">'[3]입찰내역 발주처 양식'!#REF!</definedName>
    <definedName name="__123Graph_ACURRENT" localSheetId="0" hidden="1">'[3]입찰내역 발주처 양식'!#REF!</definedName>
    <definedName name="__123Graph_ACURRENT" localSheetId="2" hidden="1">'[3]입찰내역 발주처 양식'!#REF!</definedName>
    <definedName name="__123Graph_ACURRENT" hidden="1">'[3]입찰내역 발주처 양식'!#REF!</definedName>
    <definedName name="__123Graph_APOWERSAV" hidden="1">[4]CAL1!$G$10:$G$38</definedName>
    <definedName name="__123Graph_B" localSheetId="1" hidden="1">[5]목표세부명세!#REF!</definedName>
    <definedName name="__123Graph_B" localSheetId="0" hidden="1">[5]목표세부명세!#REF!</definedName>
    <definedName name="__123Graph_B" localSheetId="2" hidden="1">[5]목표세부명세!#REF!</definedName>
    <definedName name="__123Graph_B" hidden="1">[5]목표세부명세!#REF!</definedName>
    <definedName name="__123Graph_BPOWERSAV" hidden="1">[4]CAL1!$F$10:$F$38</definedName>
    <definedName name="__123Graph_C" hidden="1">[4]CAL1!$I$36:$I$37</definedName>
    <definedName name="__123Graph_CPOWERSAV" localSheetId="1" hidden="1">'[6]VS P-Q'!#REF!</definedName>
    <definedName name="__123Graph_CPOWERSAV" localSheetId="0" hidden="1">'[6]VS P-Q'!#REF!</definedName>
    <definedName name="__123Graph_CPOWERSAV" localSheetId="2" hidden="1">'[6]VS P-Q'!#REF!</definedName>
    <definedName name="__123Graph_CPOWERSAV" hidden="1">'[6]VS P-Q'!#REF!</definedName>
    <definedName name="__123Graph_D" localSheetId="1" hidden="1">'[7]0226'!#REF!</definedName>
    <definedName name="__123Graph_D" localSheetId="0" hidden="1">'[7]0226'!#REF!</definedName>
    <definedName name="__123Graph_D" localSheetId="2" hidden="1">'[7]0226'!#REF!</definedName>
    <definedName name="__123Graph_D" hidden="1">'[7]0226'!#REF!</definedName>
    <definedName name="__123Graph_DPOWERSAV" localSheetId="1" hidden="1">'[6]VS P-Q'!#REF!</definedName>
    <definedName name="__123Graph_DPOWERSAV" localSheetId="0" hidden="1">'[6]VS P-Q'!#REF!</definedName>
    <definedName name="__123Graph_DPOWERSAV" localSheetId="2" hidden="1">'[6]VS P-Q'!#REF!</definedName>
    <definedName name="__123Graph_DPOWERSAV" hidden="1">'[6]VS P-Q'!#REF!</definedName>
    <definedName name="__123Graph_E" hidden="1">[4]CAL1!$U$10:$U$37</definedName>
    <definedName name="__123Graph_LBL_APOWERSAV" localSheetId="1" hidden="1">'[6]VS P-Q'!#REF!</definedName>
    <definedName name="__123Graph_LBL_APOWERSAV" localSheetId="0" hidden="1">'[6]VS P-Q'!#REF!</definedName>
    <definedName name="__123Graph_LBL_APOWERSAV" localSheetId="2" hidden="1">'[6]VS P-Q'!#REF!</definedName>
    <definedName name="__123Graph_LBL_APOWERSAV" hidden="1">'[6]VS P-Q'!#REF!</definedName>
    <definedName name="__123Graph_LBL_B" localSheetId="1" hidden="1">'[6]VS P-Q'!#REF!</definedName>
    <definedName name="__123Graph_LBL_B" localSheetId="0" hidden="1">'[6]VS P-Q'!#REF!</definedName>
    <definedName name="__123Graph_LBL_B" localSheetId="2" hidden="1">'[6]VS P-Q'!#REF!</definedName>
    <definedName name="__123Graph_LBL_B" hidden="1">'[6]VS P-Q'!#REF!</definedName>
    <definedName name="__123Graph_LBL_BPOWERSAV" localSheetId="1" hidden="1">'[6]VS P-Q'!#REF!</definedName>
    <definedName name="__123Graph_LBL_BPOWERSAV" localSheetId="0" hidden="1">'[6]VS P-Q'!#REF!</definedName>
    <definedName name="__123Graph_LBL_BPOWERSAV" localSheetId="2" hidden="1">'[6]VS P-Q'!#REF!</definedName>
    <definedName name="__123Graph_LBL_BPOWERSAV" hidden="1">'[6]VS P-Q'!#REF!</definedName>
    <definedName name="__123Graph_LBL_C" localSheetId="1" hidden="1">'[6]VS P-Q'!#REF!</definedName>
    <definedName name="__123Graph_LBL_C" localSheetId="0" hidden="1">'[6]VS P-Q'!#REF!</definedName>
    <definedName name="__123Graph_LBL_C" localSheetId="2" hidden="1">'[6]VS P-Q'!#REF!</definedName>
    <definedName name="__123Graph_LBL_C" hidden="1">'[6]VS P-Q'!#REF!</definedName>
    <definedName name="__123Graph_LBL_CPOWERSAV" localSheetId="1" hidden="1">'[6]VS P-Q'!#REF!</definedName>
    <definedName name="__123Graph_LBL_CPOWERSAV" localSheetId="0" hidden="1">'[6]VS P-Q'!#REF!</definedName>
    <definedName name="__123Graph_LBL_CPOWERSAV" localSheetId="2" hidden="1">'[6]VS P-Q'!#REF!</definedName>
    <definedName name="__123Graph_LBL_CPOWERSAV" hidden="1">'[6]VS P-Q'!#REF!</definedName>
    <definedName name="__123Graph_LBL_D" localSheetId="1" hidden="1">'[6]VS P-Q'!#REF!</definedName>
    <definedName name="__123Graph_LBL_D" localSheetId="0" hidden="1">'[6]VS P-Q'!#REF!</definedName>
    <definedName name="__123Graph_LBL_D" localSheetId="2" hidden="1">'[6]VS P-Q'!#REF!</definedName>
    <definedName name="__123Graph_LBL_D" hidden="1">'[6]VS P-Q'!#REF!</definedName>
    <definedName name="__123Graph_LBL_DPOWERSAV" localSheetId="1" hidden="1">'[6]VS P-Q'!#REF!</definedName>
    <definedName name="__123Graph_LBL_DPOWERSAV" localSheetId="0" hidden="1">'[6]VS P-Q'!#REF!</definedName>
    <definedName name="__123Graph_LBL_DPOWERSAV" localSheetId="2" hidden="1">'[6]VS P-Q'!#REF!</definedName>
    <definedName name="__123Graph_LBL_DPOWERSAV" hidden="1">'[6]VS P-Q'!#REF!</definedName>
    <definedName name="__123Graph_LBL_E" hidden="1">[4]CAL1!$V$10:$V$37</definedName>
    <definedName name="__123Graph_X" localSheetId="1" hidden="1">[2]금융!#REF!</definedName>
    <definedName name="__123Graph_X" localSheetId="0" hidden="1">[2]금융!#REF!</definedName>
    <definedName name="__123Graph_X" localSheetId="2" hidden="1">[2]금융!#REF!</definedName>
    <definedName name="__123Graph_X" hidden="1">[2]금융!#REF!</definedName>
    <definedName name="__123Graph_XCHART1" localSheetId="1" hidden="1">'[3]입찰내역 발주처 양식'!#REF!</definedName>
    <definedName name="__123Graph_XCHART1" localSheetId="0" hidden="1">'[3]입찰내역 발주처 양식'!#REF!</definedName>
    <definedName name="__123Graph_XCHART1" localSheetId="2" hidden="1">'[3]입찰내역 발주처 양식'!#REF!</definedName>
    <definedName name="__123Graph_XCHART1" hidden="1">'[3]입찰내역 발주처 양식'!#REF!</definedName>
    <definedName name="__123Graph_XCURRENT" localSheetId="1" hidden="1">'[3]입찰내역 발주처 양식'!#REF!</definedName>
    <definedName name="__123Graph_XCURRENT" localSheetId="0" hidden="1">'[3]입찰내역 발주처 양식'!#REF!</definedName>
    <definedName name="__123Graph_XCURRENT" localSheetId="2" hidden="1">'[3]입찰내역 발주처 양식'!#REF!</definedName>
    <definedName name="__123Graph_XCURRENT" hidden="1">'[3]입찰내역 발주처 양식'!#REF!</definedName>
    <definedName name="__123Graph_XPOWERSAV" hidden="1">[4]CAL1!$B$10:$B$39</definedName>
    <definedName name="__IntlFixup" hidden="1">TRUE</definedName>
    <definedName name="__key2" localSheetId="1" hidden="1">#REF!</definedName>
    <definedName name="__key2" localSheetId="0" hidden="1">#REF!</definedName>
    <definedName name="__key2" localSheetId="2" hidden="1">#REF!</definedName>
    <definedName name="__key2" hidden="1">#REF!</definedName>
    <definedName name="__WRM1" localSheetId="0" hidden="1">{#N/A,#N/A,TRUE,"TITLE"}</definedName>
    <definedName name="__WRM1" hidden="1">{#N/A,#N/A,TRUE,"TITLE"}</definedName>
    <definedName name="_10000" localSheetId="1" hidden="1">#REF!</definedName>
    <definedName name="_10000" localSheetId="0" hidden="1">#REF!</definedName>
    <definedName name="_10000" localSheetId="2" hidden="1">#REF!</definedName>
    <definedName name="_10000" hidden="1">#REF!</definedName>
    <definedName name="_3_0__123Grap" localSheetId="1" hidden="1">[2]금융!#REF!</definedName>
    <definedName name="_3_0__123Grap" localSheetId="0" hidden="1">[2]금융!#REF!</definedName>
    <definedName name="_3_0__123Grap" localSheetId="2" hidden="1">[2]금융!#REF!</definedName>
    <definedName name="_3_0__123Grap" hidden="1">[2]금융!#REF!</definedName>
    <definedName name="_7_0__123Grap" localSheetId="1" hidden="1">#REF!</definedName>
    <definedName name="_7_0__123Grap" localSheetId="0" hidden="1">#REF!</definedName>
    <definedName name="_7_0__123Grap" localSheetId="2" hidden="1">#REF!</definedName>
    <definedName name="_7_0__123Grap" hidden="1">#REF!</definedName>
    <definedName name="_Dist_Bin" localSheetId="1" hidden="1">#REF!</definedName>
    <definedName name="_Dist_Bin" localSheetId="0" hidden="1">#REF!</definedName>
    <definedName name="_Dist_Bin" localSheetId="2" hidden="1">#REF!</definedName>
    <definedName name="_Dist_Bin" hidden="1">#REF!</definedName>
    <definedName name="_Dist_Values" localSheetId="1" hidden="1">#REF!</definedName>
    <definedName name="_Dist_Values" localSheetId="0" hidden="1">#REF!</definedName>
    <definedName name="_Dist_Values" localSheetId="2" hidden="1">#REF!</definedName>
    <definedName name="_Dist_Values" hidden="1">#REF!</definedName>
    <definedName name="_Fill" localSheetId="1" hidden="1">#REF!</definedName>
    <definedName name="_Fill" localSheetId="0" hidden="1">#REF!</definedName>
    <definedName name="_Fill" localSheetId="2" hidden="1">#REF!</definedName>
    <definedName name="_Fill" hidden="1">#REF!</definedName>
    <definedName name="_fill2" localSheetId="1" hidden="1">[8]음료실행!#REF!</definedName>
    <definedName name="_fill2" localSheetId="0" hidden="1">[8]음료실행!#REF!</definedName>
    <definedName name="_fill2" localSheetId="2" hidden="1">[8]음료실행!#REF!</definedName>
    <definedName name="_fill2" hidden="1">[8]음료실행!#REF!</definedName>
    <definedName name="_xlnm._FilterDatabase" localSheetId="1" hidden="1">' 갑지-1'!$A$6:$M$32</definedName>
    <definedName name="_xlnm._FilterDatabase" localSheetId="0" hidden="1">[9]인사자료총집계!#REF!</definedName>
    <definedName name="_xlnm._FilterDatabase" localSheetId="2" hidden="1">상세!$A$4:$M$433</definedName>
    <definedName name="_xlnm._FilterDatabase" hidden="1">[9]인사자료총집계!#REF!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localSheetId="2" hidden="1">#REF!</definedName>
    <definedName name="_Key2" hidden="1">#REF!</definedName>
    <definedName name="_kfkf" localSheetId="1" hidden="1">#REF!</definedName>
    <definedName name="_kfkf" localSheetId="0" hidden="1">#REF!</definedName>
    <definedName name="_kfkf" localSheetId="2" hidden="1">#REF!</definedName>
    <definedName name="_kfkf" hidden="1">#REF!</definedName>
    <definedName name="_MatInverse_In" localSheetId="1" hidden="1">#REF!</definedName>
    <definedName name="_MatInverse_In" localSheetId="0" hidden="1">#REF!</definedName>
    <definedName name="_MatInverse_In" localSheetId="2" hidden="1">#REF!</definedName>
    <definedName name="_MatInverse_In" hidden="1">#REF!</definedName>
    <definedName name="_MatMult_A" localSheetId="1" hidden="1">#REF!</definedName>
    <definedName name="_MatMult_A" localSheetId="0" hidden="1">#REF!</definedName>
    <definedName name="_MatMult_A" localSheetId="2" hidden="1">#REF!</definedName>
    <definedName name="_MatMult_A" hidden="1">#REF!</definedName>
    <definedName name="_MatMult_AxB" localSheetId="1" hidden="1">#REF!</definedName>
    <definedName name="_MatMult_AxB" localSheetId="0" hidden="1">#REF!</definedName>
    <definedName name="_MatMult_AxB" localSheetId="2" hidden="1">#REF!</definedName>
    <definedName name="_MatMult_AxB" hidden="1">#REF!</definedName>
    <definedName name="_MatMult_B" localSheetId="1" hidden="1">#REF!</definedName>
    <definedName name="_MatMult_B" localSheetId="0" hidden="1">#REF!</definedName>
    <definedName name="_MatMult_B" localSheetId="2" hidden="1">#REF!</definedName>
    <definedName name="_MatMult_B" hidden="1">#REF!</definedName>
    <definedName name="_Order1" hidden="1">0</definedName>
    <definedName name="_Order2" hidden="1">255</definedName>
    <definedName name="_Parse_Out" localSheetId="1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woogi" localSheetId="1" hidden="1">#REF!</definedName>
    <definedName name="_woogi" localSheetId="0" hidden="1">#REF!</definedName>
    <definedName name="_woogi" localSheetId="2" hidden="1">#REF!</definedName>
    <definedName name="_woogi" hidden="1">#REF!</definedName>
    <definedName name="_woogi2" localSheetId="1" hidden="1">#REF!</definedName>
    <definedName name="_woogi2" localSheetId="0" hidden="1">#REF!</definedName>
    <definedName name="_woogi2" localSheetId="2" hidden="1">#REF!</definedName>
    <definedName name="_woogi2" hidden="1">#REF!</definedName>
    <definedName name="_woogi24" localSheetId="1" hidden="1">#REF!</definedName>
    <definedName name="_woogi24" localSheetId="0" hidden="1">#REF!</definedName>
    <definedName name="_woogi24" localSheetId="2" hidden="1">#REF!</definedName>
    <definedName name="_woogi24" hidden="1">#REF!</definedName>
    <definedName name="_woogi3" localSheetId="1" hidden="1">#REF!</definedName>
    <definedName name="_woogi3" localSheetId="0" hidden="1">#REF!</definedName>
    <definedName name="_woogi3" localSheetId="2" hidden="1">#REF!</definedName>
    <definedName name="_woogi3" hidden="1">#REF!</definedName>
    <definedName name="_재ㅐ햐" localSheetId="1" hidden="1">#REF!</definedName>
    <definedName name="_재ㅐ햐" localSheetId="0" hidden="1">#REF!</definedName>
    <definedName name="_재ㅐ햐" localSheetId="2" hidden="1">#REF!</definedName>
    <definedName name="_재ㅐ햐" hidden="1">#REF!</definedName>
    <definedName name="ab" hidden="1">1</definedName>
    <definedName name="abcd" localSheetId="1" hidden="1">[10]노임이!#REF!</definedName>
    <definedName name="abcd" localSheetId="0" hidden="1">[10]노임이!#REF!</definedName>
    <definedName name="abcd" localSheetId="2" hidden="1">[10]노임이!#REF!</definedName>
    <definedName name="abcd" hidden="1">[10]노임이!#REF!</definedName>
    <definedName name="Access_Button" hidden="1">"민족문화관내역_건축__KDF_List"</definedName>
    <definedName name="AccessDatabase" hidden="1">"D:\공무jaje\98년품의-수불\98146.mdb"</definedName>
    <definedName name="ACDA" localSheetId="1" hidden="1">[11]GAEYO!#REF!</definedName>
    <definedName name="ACDA" localSheetId="0" hidden="1">[11]GAEYO!#REF!</definedName>
    <definedName name="ACDA" localSheetId="2" hidden="1">[11]GAEYO!#REF!</definedName>
    <definedName name="ACDA" hidden="1">[11]GAEYO!#REF!</definedName>
    <definedName name="ADC" localSheetId="1" hidden="1">#REF!</definedName>
    <definedName name="ADC" localSheetId="0" hidden="1">#REF!</definedName>
    <definedName name="ADC" localSheetId="2" hidden="1">#REF!</definedName>
    <definedName name="ADC" hidden="1">#REF!</definedName>
    <definedName name="A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0" hidden="1">{#N/A,#N/A,FALSE,"CCTV"}</definedName>
    <definedName name="aq" hidden="1">{#N/A,#N/A,FALSE,"CCTV"}</definedName>
    <definedName name="ASDA" localSheetId="1" hidden="1">#REF!</definedName>
    <definedName name="ASDA" localSheetId="0" hidden="1">#REF!</definedName>
    <definedName name="ASDA" localSheetId="2" hidden="1">#REF!</definedName>
    <definedName name="ASDA" hidden="1">#REF!</definedName>
    <definedName name="asdc" localSheetId="0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" localSheetId="0" hidden="1">{#N/A,#N/A,FALSE,"Sheet1"}</definedName>
    <definedName name="asdf" hidden="1">{#N/A,#N/A,FALSE,"Sheet1"}</definedName>
    <definedName name="AS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HJ" localSheetId="0" hidden="1">{#N/A,#N/A,FALSE,"Sheet6"}</definedName>
    <definedName name="BHJ" hidden="1">{#N/A,#N/A,FALSE,"Sheet6"}</definedName>
    <definedName name="BI" localSheetId="0" hidden="1">{#N/A,#N/A,FALSE,"이태원철근"}</definedName>
    <definedName name="BI" hidden="1">{#N/A,#N/A,FALSE,"이태원철근"}</definedName>
    <definedName name="BM" localSheetId="1" hidden="1">#REF!</definedName>
    <definedName name="BM" localSheetId="0" hidden="1">#REF!</definedName>
    <definedName name="BM" localSheetId="2" hidden="1">#REF!</definedName>
    <definedName name="BM" hidden="1">#REF!</definedName>
    <definedName name="BTHRT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vx" localSheetId="0" hidden="1">{#N/A,#N/A,FALSE,"토공2"}</definedName>
    <definedName name="bvx" hidden="1">{#N/A,#N/A,FALSE,"토공2"}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요인" localSheetId="1" hidden="1">#REF!</definedName>
    <definedName name="CF요인" localSheetId="0" hidden="1">#REF!</definedName>
    <definedName name="CF요인" localSheetId="2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c" localSheetId="1" hidden="1">#REF!</definedName>
    <definedName name="cvc" localSheetId="0" hidden="1">#REF!</definedName>
    <definedName name="cvc" localSheetId="2" hidden="1">#REF!</definedName>
    <definedName name="cvc" hidden="1">#REF!</definedName>
    <definedName name="d" localSheetId="0" hidden="1">{#N/A,#N/A,FALSE,"지침";#N/A,#N/A,FALSE,"환경분석";#N/A,#N/A,FALSE,"Sheet16"}</definedName>
    <definedName name="d" hidden="1">{#N/A,#N/A,FALSE,"지침";#N/A,#N/A,FALSE,"환경분석";#N/A,#N/A,FALSE,"Sheet16"}</definedName>
    <definedName name="D021161명지남양주" localSheetId="1" hidden="1">#REF!</definedName>
    <definedName name="D021161명지남양주" localSheetId="0" hidden="1">#REF!</definedName>
    <definedName name="D021161명지남양주" localSheetId="2" hidden="1">#REF!</definedName>
    <definedName name="D021161명지남양주" hidden="1">#REF!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ww" localSheetId="1" hidden="1">#REF!</definedName>
    <definedName name="dataww" localSheetId="0" hidden="1">#REF!</definedName>
    <definedName name="dataww" localSheetId="2" hidden="1">#REF!</definedName>
    <definedName name="dataww" hidden="1">#REF!</definedName>
    <definedName name="dc" localSheetId="0" hidden="1">{#N/A,#N/A,FALSE,"사업총괄";#N/A,#N/A,FALSE,"장비사업";#N/A,#N/A,FALSE,"철구사업";#N/A,#N/A,FALSE,"준설사업"}</definedName>
    <definedName name="dc" hidden="1">{#N/A,#N/A,FALSE,"사업총괄";#N/A,#N/A,FALSE,"장비사업";#N/A,#N/A,FALSE,"철구사업";#N/A,#N/A,FALSE,"준설사업"}</definedName>
    <definedName name="DD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d" localSheetId="0" hidden="1">{#N/A,#N/A,FALSE,"CCTV"}</definedName>
    <definedName name="dddd" hidden="1">{#N/A,#N/A,FALSE,"CCTV"}</definedName>
    <definedName name="ddddd" localSheetId="1" hidden="1">#REF!</definedName>
    <definedName name="ddddd" localSheetId="0" hidden="1">#REF!</definedName>
    <definedName name="ddddd" localSheetId="2" hidden="1">#REF!</definedName>
    <definedName name="ddddd" hidden="1">#REF!</definedName>
    <definedName name="dddddddd" localSheetId="1" hidden="1">#REF!</definedName>
    <definedName name="dddddddd" localSheetId="0" hidden="1">#REF!</definedName>
    <definedName name="dddddddd" localSheetId="2" hidden="1">#REF!</definedName>
    <definedName name="ddd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localSheetId="1" hidden="1">#REF!</definedName>
    <definedName name="DF" localSheetId="0" hidden="1">#REF!</definedName>
    <definedName name="DF" localSheetId="2" hidden="1">#REF!</definedName>
    <definedName name="DF" hidden="1">#REF!</definedName>
    <definedName name="DFEE" localSheetId="1" hidden="1">#REF!</definedName>
    <definedName name="DFEE" localSheetId="0" hidden="1">#REF!</definedName>
    <definedName name="DFEE" localSheetId="2" hidden="1">#REF!</definedName>
    <definedName name="DFEE" hidden="1">#REF!</definedName>
    <definedName name="DF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K" localSheetId="0" hidden="1">{#N/A,#N/A,FALSE,"주간공정";#N/A,#N/A,FALSE,"주간보고";#N/A,#N/A,FALSE,"주간공정표"}</definedName>
    <definedName name="DK" hidden="1">{#N/A,#N/A,FALSE,"주간공정";#N/A,#N/A,FALSE,"주간보고";#N/A,#N/A,FALSE,"주간공정표"}</definedName>
    <definedName name="DKD" localSheetId="0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dkjf" localSheetId="1" hidden="1">[12]노임이!#REF!</definedName>
    <definedName name="dkdkjf" localSheetId="0" hidden="1">[12]노임이!#REF!</definedName>
    <definedName name="dkdkjf" localSheetId="2" hidden="1">[12]노임이!#REF!</definedName>
    <definedName name="dkdkjf" hidden="1">[12]노임이!#REF!</definedName>
    <definedName name="DKSG" localSheetId="1" hidden="1">#REF!</definedName>
    <definedName name="DKSG" localSheetId="0" hidden="1">#REF!</definedName>
    <definedName name="DKSG" localSheetId="2" hidden="1">#REF!</definedName>
    <definedName name="DKSG" hidden="1">#REF!</definedName>
    <definedName name="DKSGMLWJD" localSheetId="1" hidden="1">#REF!</definedName>
    <definedName name="DKSGMLWJD" localSheetId="0" hidden="1">#REF!</definedName>
    <definedName name="DKSGMLWJD" localSheetId="2" hidden="1">#REF!</definedName>
    <definedName name="DKSGMLWJD" hidden="1">#REF!</definedName>
    <definedName name="dks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 localSheetId="0" hidden="1">{#N/A,#N/A,FALSE,"예상손익";#N/A,#N/A,FALSE,"관리분석";#N/A,#N/A,FALSE,"장비분석";#N/A,#N/A,FALSE,"준설분석";#N/A,#N/A,FALSE,"철구분석"}</definedName>
    <definedName name="DL" hidden="1">{#N/A,#N/A,FALSE,"예상손익";#N/A,#N/A,FALSE,"관리분석";#N/A,#N/A,FALSE,"장비분석";#N/A,#N/A,FALSE,"준설분석";#N/A,#N/A,FALSE,"철구분석"}</definedName>
    <definedName name="DLD" localSheetId="0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0" hidden="1">{"'별표'!$N$220"}</definedName>
    <definedName name="dldyddn" hidden="1">{"'별표'!$N$220"}</definedName>
    <definedName name="dlff" localSheetId="0" hidden="1">{#N/A,#N/A,FALSE,"운반시간"}</definedName>
    <definedName name="dlff" hidden="1">{#N/A,#N/A,FALSE,"운반시간"}</definedName>
    <definedName name="dn" localSheetId="0" hidden="1">{#N/A,#N/A,FALSE,"혼합골재"}</definedName>
    <definedName name="dn" hidden="1">{#N/A,#N/A,FALSE,"혼합골재"}</definedName>
    <definedName name="Dp" localSheetId="1" hidden="1">#REF!</definedName>
    <definedName name="Dp" localSheetId="0" hidden="1">#REF!</definedName>
    <definedName name="Dp" localSheetId="2" hidden="1">#REF!</definedName>
    <definedName name="Dp" hidden="1">#REF!</definedName>
    <definedName name="dsdsd" localSheetId="0" hidden="1">{#N/A,#N/A,FALSE,"운반시간"}</definedName>
    <definedName name="dsdsd" hidden="1">{#N/A,#N/A,FALSE,"운반시간"}</definedName>
    <definedName name="DSFG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1" hidden="1">#REF!</definedName>
    <definedName name="dsgfggg" localSheetId="0" hidden="1">#REF!</definedName>
    <definedName name="dsgfggg" localSheetId="2" hidden="1">#REF!</definedName>
    <definedName name="dsgfggg" hidden="1">#REF!</definedName>
    <definedName name="dtㅕㅏㅡㅕㅛ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dwhd" localSheetId="0" hidden="1">{#N/A,#N/A,FALSE,"CCTV"}</definedName>
    <definedName name="dudwhd" hidden="1">{#N/A,#N/A,FALSE,"CCTV"}</definedName>
    <definedName name="ED" localSheetId="1" hidden="1">#REF!</definedName>
    <definedName name="ED" localSheetId="0" hidden="1">#REF!</definedName>
    <definedName name="ED" localSheetId="2" hidden="1">#REF!</definedName>
    <definedName name="ED" hidden="1">#REF!</definedName>
    <definedName name="edssqq" localSheetId="0" hidden="1">{#N/A,#N/A,FALSE,"혼합골재"}</definedName>
    <definedName name="edssqq" hidden="1">{#N/A,#N/A,FALSE,"혼합골재"}</definedName>
    <definedName name="ee" localSheetId="0" hidden="1">{#N/A,#N/A,FALSE,"단가표지"}</definedName>
    <definedName name="ee" hidden="1">{#N/A,#N/A,FALSE,"단가표지"}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0" hidden="1">{#N/A,#N/A,FALSE,"운반시간"}</definedName>
    <definedName name="eee.송운" hidden="1">{#N/A,#N/A,FALSE,"운반시간"}</definedName>
    <definedName name="eeee" localSheetId="0" hidden="1">{#N/A,#N/A,FALSE,"사업총괄";#N/A,#N/A,FALSE,"장비사업";#N/A,#N/A,FALSE,"철구사업";#N/A,#N/A,FALSE,"준설사업"}</definedName>
    <definedName name="eeee" hidden="1">{#N/A,#N/A,FALSE,"사업총괄";#N/A,#N/A,FALSE,"장비사업";#N/A,#N/A,FALSE,"철구사업";#N/A,#N/A,FALSE,"준설사업"}</definedName>
    <definedName name="EII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K" localSheetId="0" hidden="1">#REF!</definedName>
    <definedName name="EK" localSheetId="2" hidden="1">#REF!</definedName>
    <definedName name="EK" hidden="1">#REF!</definedName>
    <definedName name="ELELLELEELE" localSheetId="0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n" localSheetId="0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localSheetId="1" hidden="1">#REF!</definedName>
    <definedName name="eotkd" localSheetId="0" hidden="1">#REF!</definedName>
    <definedName name="eotkd" localSheetId="2" hidden="1">#REF!</definedName>
    <definedName name="eotkd" hidden="1">#REF!</definedName>
    <definedName name="ERQ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" localSheetId="0" hidden="1">{#N/A,#N/A,FALSE,"Sheet6"}</definedName>
    <definedName name="ETWE" hidden="1">{#N/A,#N/A,FALSE,"Sheet6"}</definedName>
    <definedName name="ETWEGF" localSheetId="0" hidden="1">{#N/A,#N/A,FALSE,"Sheet6"}</definedName>
    <definedName name="ETWEGF" hidden="1">{#N/A,#N/A,FALSE,"Sheet6"}</definedName>
    <definedName name="EW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TWV" localSheetId="0" hidden="1">{#N/A,#N/A,FALSE,"Sheet6"}</definedName>
    <definedName name="EWTWV" hidden="1">{#N/A,#N/A,FALSE,"Sheet6"}</definedName>
    <definedName name="EYITT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afs" localSheetId="0" hidden="1">{#N/A,#N/A,FALSE,"교리2"}</definedName>
    <definedName name="fafs" hidden="1">{#N/A,#N/A,FALSE,"교리2"}</definedName>
    <definedName name="ff" hidden="1">0</definedName>
    <definedName name="FFF" localSheetId="0" hidden="1">{#N/A,#N/A,FALSE,"교리2"}</definedName>
    <definedName name="FFF" hidden="1">{#N/A,#N/A,FALSE,"교리2"}</definedName>
    <definedName name="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 localSheetId="1" hidden="1">#REF!</definedName>
    <definedName name="fg" localSheetId="0" hidden="1">#REF!</definedName>
    <definedName name="fg" localSheetId="2" hidden="1">#REF!</definedName>
    <definedName name="fg" hidden="1">#REF!</definedName>
    <definedName name="FGASDR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jft" localSheetId="0" hidden="1">{#N/A,#N/A,FALSE,"Sheet6"}</definedName>
    <definedName name="fgjft" hidden="1">{#N/A,#N/A,FALSE,"Sheet6"}</definedName>
    <definedName name="fgㅗ" localSheetId="0" hidden="1">{#N/A,#N/A,FALSE,"집계표"}</definedName>
    <definedName name="fgㅗ" hidden="1">{#N/A,#N/A,FALSE,"집계표"}</definedName>
    <definedName name="FKFKFKFKF" localSheetId="0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GJASDL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EMCO" localSheetId="1" hidden="1">#REF!</definedName>
    <definedName name="GEMCO" localSheetId="0" hidden="1">#REF!</definedName>
    <definedName name="GEMCO" localSheetId="2" hidden="1">#REF!</definedName>
    <definedName name="GEMCO" hidden="1">#REF!</definedName>
    <definedName name="GEMCO1" localSheetId="1" hidden="1">#REF!</definedName>
    <definedName name="GEMCO1" localSheetId="0" hidden="1">#REF!</definedName>
    <definedName name="GEMCO1" localSheetId="2" hidden="1">#REF!</definedName>
    <definedName name="GEMCO1" hidden="1">#REF!</definedName>
    <definedName name="gfgdfg" localSheetId="1" hidden="1">[13]차액보증!#REF!</definedName>
    <definedName name="gfgdfg" localSheetId="0" hidden="1">[13]차액보증!#REF!</definedName>
    <definedName name="gfgdfg" localSheetId="2" hidden="1">[13]차액보증!#REF!</definedName>
    <definedName name="gfgdfg" hidden="1">[13]차액보증!#REF!</definedName>
    <definedName name="G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jf" localSheetId="0" hidden="1">{#N/A,#N/A,FALSE,"Sheet6"}</definedName>
    <definedName name="gfjf" hidden="1">{#N/A,#N/A,FALSE,"Sheet6"}</definedName>
    <definedName name="GFㄹ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er" localSheetId="0" hidden="1">{#N/A,#N/A,FALSE,"지침";#N/A,#N/A,FALSE,"환경분석";#N/A,#N/A,FALSE,"Sheet16"}</definedName>
    <definedName name="ggger" hidden="1">{#N/A,#N/A,FALSE,"지침";#N/A,#N/A,FALSE,"환경분석";#N/A,#N/A,FALSE,"Sheet16"}</definedName>
    <definedName name="gggg" localSheetId="0" hidden="1">{#N/A,#N/A,FALSE,"지침";#N/A,#N/A,FALSE,"환경분석";#N/A,#N/A,FALSE,"Sheet16"}</definedName>
    <definedName name="gggg" hidden="1">{#N/A,#N/A,FALSE,"지침";#N/A,#N/A,FALSE,"환경분석";#N/A,#N/A,FALSE,"Sheet16"}</definedName>
    <definedName name="ggggggg" localSheetId="0" hidden="1">{#N/A,#N/A,FALSE,"전력간선"}</definedName>
    <definedName name="ggggggg" hidden="1">{#N/A,#N/A,FALSE,"전력간선"}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" localSheetId="0" hidden="1">{#N/A,#N/A,FALSE,"Sheet6"}</definedName>
    <definedName name="ghfj" hidden="1">{#N/A,#N/A,FALSE,"Sheet6"}</definedName>
    <definedName name="GHFSD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localSheetId="0" hidden="1">{#N/A,#N/A,FALSE,"Sheet6"}</definedName>
    <definedName name="GHGF" hidden="1">{#N/A,#N/A,FALSE,"Sheet6"}</definedName>
    <definedName name="GHK" localSheetId="0" hidden="1">{"'용역비'!$A$4:$C$8"}</definedName>
    <definedName name="GHK" hidden="1">{"'용역비'!$A$4:$C$8"}</definedName>
    <definedName name="GHTRH" localSheetId="0" hidden="1">{#N/A,#N/A,FALSE,"Sheet6"}</definedName>
    <definedName name="GHTRH" hidden="1">{#N/A,#N/A,FALSE,"Sheet6"}</definedName>
    <definedName name="GHㅓㅇ허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LWD" localSheetId="1" hidden="1">#REF!</definedName>
    <definedName name="GMLWD" localSheetId="0" hidden="1">#REF!</definedName>
    <definedName name="GMLWD" localSheetId="2" hidden="1">#REF!</definedName>
    <definedName name="GMLWD" hidden="1">#REF!</definedName>
    <definedName name="grew" localSheetId="1" hidden="1">#REF!</definedName>
    <definedName name="grew" localSheetId="0" hidden="1">#REF!</definedName>
    <definedName name="grew" localSheetId="2" hidden="1">#REF!</definedName>
    <definedName name="grew" hidden="1">#REF!</definedName>
    <definedName name="gsda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d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ETGS" localSheetId="0" hidden="1">{#N/A,#N/A,FALSE,"Sheet6"}</definedName>
    <definedName name="GSETGS" hidden="1">{#N/A,#N/A,FALSE,"Sheet6"}</definedName>
    <definedName name="gshsdgf" localSheetId="0" hidden="1">{#N/A,#N/A,FALSE,"부대2"}</definedName>
    <definedName name="gshsdgf" hidden="1">{#N/A,#N/A,FALSE,"부대2"}</definedName>
    <definedName name="guo" localSheetId="0" hidden="1">{#N/A,#N/A,FALSE,"Sheet6"}</definedName>
    <definedName name="guo" hidden="1">{#N/A,#N/A,FALSE,"Sheet6"}</definedName>
    <definedName name="GUSTLS" localSheetId="1" hidden="1">#REF!</definedName>
    <definedName name="GUSTLS" localSheetId="0" hidden="1">#REF!</definedName>
    <definedName name="GUSTLS" localSheetId="2" hidden="1">#REF!</definedName>
    <definedName name="GUSTLS" hidden="1">#REF!</definedName>
    <definedName name="ha" localSheetId="0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1" hidden="1">#REF!</definedName>
    <definedName name="han" localSheetId="0" hidden="1">#REF!</definedName>
    <definedName name="han" localSheetId="2" hidden="1">#REF!</definedName>
    <definedName name="han" hidden="1">#REF!</definedName>
    <definedName name="hardwar" localSheetId="1" hidden="1">#REF!</definedName>
    <definedName name="hardwar" localSheetId="0" hidden="1">#REF!</definedName>
    <definedName name="hardwar" localSheetId="2" hidden="1">#REF!</definedName>
    <definedName name="hardwar" hidden="1">#REF!</definedName>
    <definedName name="HARDWAR1" localSheetId="1" hidden="1">#REF!</definedName>
    <definedName name="HARDWAR1" localSheetId="0" hidden="1">#REF!</definedName>
    <definedName name="HARDWAR1" localSheetId="2" hidden="1">#REF!</definedName>
    <definedName name="HARDWAR1" hidden="1">#REF!</definedName>
    <definedName name="hardwar2" localSheetId="1" hidden="1">#REF!</definedName>
    <definedName name="hardwar2" localSheetId="0" hidden="1">#REF!</definedName>
    <definedName name="hardwar2" localSheetId="2" hidden="1">#REF!</definedName>
    <definedName name="hardwar2" hidden="1">#REF!</definedName>
    <definedName name="hdghndgnhg" localSheetId="1" hidden="1">#REF!</definedName>
    <definedName name="hdghndgnhg" localSheetId="0" hidden="1">#REF!</definedName>
    <definedName name="hdghndgnhg" localSheetId="2" hidden="1">#REF!</definedName>
    <definedName name="hdghndgnhg" hidden="1">#REF!</definedName>
    <definedName name="H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j" localSheetId="0" hidden="1">{#N/A,#N/A,FALSE,"Sheet6"}</definedName>
    <definedName name="hgj" hidden="1">{#N/A,#N/A,FALSE,"Sheet6"}</definedName>
    <definedName name="hj" localSheetId="0" hidden="1">{#N/A,#N/A,FALSE,"Sheet6"}</definedName>
    <definedName name="hj" hidden="1">{#N/A,#N/A,FALSE,"Sheet6"}</definedName>
    <definedName name="HTML_CodePage" hidden="1">949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R" localSheetId="0" hidden="1">{#N/A,#N/A,FALSE,"이태원철근"}</definedName>
    <definedName name="HTR" hidden="1">{#N/A,#N/A,FALSE,"이태원철근"}</definedName>
    <definedName name="Hㅜㄳㄹ허ㅗ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" localSheetId="0" hidden="1">{#N/A,#N/A,FALSE,"지침";#N/A,#N/A,FALSE,"환경분석";#N/A,#N/A,FALSE,"Sheet16"}</definedName>
    <definedName name="ii" hidden="1">{#N/A,#N/A,FALSE,"지침";#N/A,#N/A,FALSE,"환경분석";#N/A,#N/A,FALSE,"Sheet16"}</definedName>
    <definedName name="iiiiiiiii" localSheetId="0" hidden="1">{#N/A,#N/A,FALSE,"지침";#N/A,#N/A,FALSE,"환경분석";#N/A,#N/A,FALSE,"Sheet16"}</definedName>
    <definedName name="iiiiiiiii" hidden="1">{#N/A,#N/A,FALSE,"지침";#N/A,#N/A,FALSE,"환경분석";#N/A,#N/A,FALSE,"Sheet16"}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{#N/A,#N/A,FALSE,"단가표지"}</definedName>
    <definedName name="jjjj" hidden="1">{#N/A,#N/A,FALSE,"단가표지"}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tf" localSheetId="1" hidden="1">#REF!</definedName>
    <definedName name="ktf" localSheetId="0" hidden="1">#REF!</definedName>
    <definedName name="ktf" localSheetId="2" hidden="1">#REF!</definedName>
    <definedName name="ktf" hidden="1">#REF!</definedName>
    <definedName name="kty" localSheetId="1" hidden="1">#REF!</definedName>
    <definedName name="kty" localSheetId="0" hidden="1">#REF!</definedName>
    <definedName name="kty" localSheetId="2" hidden="1">#REF!</definedName>
    <definedName name="kty" hidden="1">#REF!</definedName>
    <definedName name="l.w일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산출" localSheetId="0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IUJHG" localSheetId="1" hidden="1">#REF!</definedName>
    <definedName name="LIUJHG" localSheetId="0" hidden="1">#REF!</definedName>
    <definedName name="LIUJHG" localSheetId="2" hidden="1">#REF!</definedName>
    <definedName name="LIUJHG" hidden="1">#REF!</definedName>
    <definedName name="LJH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j" localSheetId="0" hidden="1">{#N/A,#N/A,FALSE,"표지"}</definedName>
    <definedName name="mj" hidden="1">{#N/A,#N/A,FALSE,"표지"}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 hidden="1">{#N/A,#N/A,FALSE,"포장단가"}</definedName>
    <definedName name="mmmm" hidden="1">{#N/A,#N/A,FALSE,"포장단가"}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0" hidden="1">{#N/A,#N/A,FALSE,"CCTV"}</definedName>
    <definedName name="NEWNAME" hidden="1">{#N/A,#N/A,FALSE,"CCTV"}</definedName>
    <definedName name="ocf" localSheetId="1" hidden="1">#REF!</definedName>
    <definedName name="ocf" localSheetId="0" hidden="1">#REF!</definedName>
    <definedName name="ocf" localSheetId="2" hidden="1">#REF!</definedName>
    <definedName name="ocf" hidden="1">#REF!</definedName>
    <definedName name="oiy" localSheetId="0" hidden="1">{#N/A,#N/A,FALSE,"포장2"}</definedName>
    <definedName name="oiy" hidden="1">{#N/A,#N/A,FALSE,"포장2"}</definedName>
    <definedName name="ONP" localSheetId="1" hidden="1">#REF!</definedName>
    <definedName name="ONP" localSheetId="0" hidden="1">#REF!</definedName>
    <definedName name="ONP" localSheetId="2" hidden="1">#REF!</definedName>
    <definedName name="ONP" hidden="1">#REF!</definedName>
    <definedName name="OP" localSheetId="1" hidden="1">#REF!</definedName>
    <definedName name="OP" localSheetId="0" hidden="1">#REF!</definedName>
    <definedName name="OP" localSheetId="2" hidden="1">#REF!</definedName>
    <definedName name="OP" hidden="1">#REF!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P.R.D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.R.D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ppp" localSheetId="0" hidden="1">{#N/A,#N/A,FALSE,"지침";#N/A,#N/A,FALSE,"환경분석";#N/A,#N/A,FALSE,"Sheet16"}</definedName>
    <definedName name="ppppp" hidden="1">{#N/A,#N/A,FALSE,"지침";#N/A,#N/A,FALSE,"환경분석";#N/A,#N/A,FALSE,"Sheet16"}</definedName>
    <definedName name="_xlnm.Print_Area" localSheetId="1">' 갑지-1'!$A$1:$M$32</definedName>
    <definedName name="_xlnm.Print_Area" localSheetId="2">상세!$A$1:$M$431</definedName>
    <definedName name="_xlnm.Print_Titles" localSheetId="1">' 갑지-1'!$4:$5</definedName>
    <definedName name="_xlnm.Print_Titles" localSheetId="2">상세!$2:$3</definedName>
    <definedName name="QA" localSheetId="1" hidden="1">#REF!</definedName>
    <definedName name="QA" localSheetId="0" hidden="1">#REF!</definedName>
    <definedName name="QA" localSheetId="2" hidden="1">#REF!</definedName>
    <definedName name="QA" hidden="1">#REF!</definedName>
    <definedName name="QFFGGB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[14]실행철강하도!$A$1:$A$4</definedName>
    <definedName name="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" localSheetId="0" hidden="1">{#N/A,#N/A,FALSE,"단가표지"}</definedName>
    <definedName name="qw" hidden="1">{#N/A,#N/A,FALSE,"단가표지"}</definedName>
    <definedName name="QW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H" localSheetId="0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JJRJR" localSheetId="0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dkd" localSheetId="0" hidden="1">{#N/A,#N/A,FALSE,"2~8번"}</definedName>
    <definedName name="rkdkd" hidden="1">{#N/A,#N/A,FALSE,"2~8번"}</definedName>
    <definedName name="RKRKRKRK" localSheetId="0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oyalty" localSheetId="0" hidden="1">{#N/A,#N/A,FALSE,"Sheet1"}</definedName>
    <definedName name="Royalty" hidden="1">{#N/A,#N/A,FALSE,"Sheet1"}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YU" localSheetId="0" hidden="1">{#N/A,#N/A,FALSE,"현장 NCR 분석";#N/A,#N/A,FALSE,"현장품질감사";#N/A,#N/A,FALSE,"현장품질감사"}</definedName>
    <definedName name="RYU" hidden="1">{#N/A,#N/A,FALSE,"현장 NCR 분석";#N/A,#N/A,FALSE,"현장품질감사";#N/A,#N/A,FALSE,"현장품질감사"}</definedName>
    <definedName name="R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0" hidden="1">{#N/A,#N/A,FALSE,"사업총괄";#N/A,#N/A,FALSE,"장비사업";#N/A,#N/A,FALSE,"철구사업";#N/A,#N/A,FALSE,"준설사업"}</definedName>
    <definedName name="s" hidden="1">{#N/A,#N/A,FALSE,"사업총괄";#N/A,#N/A,FALSE,"장비사업";#N/A,#N/A,FALSE,"철구사업";#N/A,#N/A,FALSE,"준설사업"}</definedName>
    <definedName name="sae" localSheetId="0" hidden="1">{#N/A,#N/A,TRUE,"TITLE"}</definedName>
    <definedName name="sae" hidden="1">{#N/A,#N/A,TRUE,"TITLE"}</definedName>
    <definedName name="SAF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s" localSheetId="0" hidden="1">{#N/A,#N/A,FALSE,"Sheet1"}</definedName>
    <definedName name="sdas" hidden="1">{#N/A,#N/A,FALSE,"Sheet1"}</definedName>
    <definedName name="SDF" localSheetId="1" hidden="1">#REF!</definedName>
    <definedName name="SDF" localSheetId="0" hidden="1">#REF!</definedName>
    <definedName name="SDF" localSheetId="2" hidden="1">#REF!</definedName>
    <definedName name="SDF" hidden="1">#REF!</definedName>
    <definedName name="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g" localSheetId="1" hidden="1">#REF!</definedName>
    <definedName name="sdg" localSheetId="0" hidden="1">#REF!</definedName>
    <definedName name="sdg" localSheetId="2" hidden="1">#REF!</definedName>
    <definedName name="sdg" hidden="1">#REF!</definedName>
    <definedName name="S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localSheetId="0" hidden="1">{#N/A,#N/A,FALSE,"이태원철근"}</definedName>
    <definedName name="SERVICE" hidden="1">{#N/A,#N/A,FALSE,"이태원철근"}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1" hidden="1">#REF!</definedName>
    <definedName name="SHEET100" localSheetId="0" hidden="1">#REF!</definedName>
    <definedName name="SHEET100" localSheetId="2" hidden="1">#REF!</definedName>
    <definedName name="SHEET100" hidden="1">#REF!</definedName>
    <definedName name="sj" localSheetId="1" hidden="1">#REF!</definedName>
    <definedName name="sj" localSheetId="0" hidden="1">#REF!</definedName>
    <definedName name="sj" localSheetId="2" hidden="1">#REF!</definedName>
    <definedName name="sj" hidden="1">#REF!</definedName>
    <definedName name="skskksksks" localSheetId="0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0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localSheetId="0" hidden="1">#REF!</definedName>
    <definedName name="solver_opt" localSheetId="2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rtjuryu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asa" localSheetId="0" hidden="1">{#N/A,#N/A,FALSE,"교리2"}</definedName>
    <definedName name="ssasa" hidden="1">{#N/A,#N/A,FALSE,"교리2"}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WS" localSheetId="1" hidden="1">#REF!</definedName>
    <definedName name="SWS" localSheetId="0" hidden="1">#REF!</definedName>
    <definedName name="SWS" localSheetId="2" hidden="1">#REF!</definedName>
    <definedName name="SWS" hidden="1">#REF!</definedName>
    <definedName name="swㅗ" localSheetId="0" hidden="1">{#N/A,#N/A,FALSE,"집계표"}</definedName>
    <definedName name="swㅗ" hidden="1">{#N/A,#N/A,FALSE,"집계표"}</definedName>
    <definedName name="TANK" localSheetId="0" hidden="1">{#N/A,#N/A,FALSE,"CCTV"}</definedName>
    <definedName name="TANK" hidden="1">{#N/A,#N/A,FALSE,"CCTV"}</definedName>
    <definedName name="tdrutru" localSheetId="0" hidden="1">{#N/A,#N/A,FALSE,"Sheet6"}</definedName>
    <definedName name="tdrutru" hidden="1">{#N/A,#N/A,FALSE,"Sheet6"}</definedName>
    <definedName name="temporary" localSheetId="0" hidden="1">{#N/A,#N/A,FALSE,"CCTV"}</definedName>
    <definedName name="temporary" hidden="1">{#N/A,#N/A,FALSE,"CCTV"}</definedName>
    <definedName name="tg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g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N" localSheetId="1" hidden="1">#REF!</definedName>
    <definedName name="TN" localSheetId="0" hidden="1">#REF!</definedName>
    <definedName name="TN" localSheetId="2" hidden="1">#REF!</definedName>
    <definedName name="TN" hidden="1">#REF!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HEE" localSheetId="0" hidden="1">{#N/A,#N/A,FALSE,"Sheet6"}</definedName>
    <definedName name="TRHEE" hidden="1">{#N/A,#N/A,FALSE,"Sheet6"}</definedName>
    <definedName name="TR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localSheetId="0" hidden="1">{#N/A,#N/A,FALSE,"단가표지"}</definedName>
    <definedName name="tt" hidden="1">{#N/A,#N/A,FALSE,"단가표지"}</definedName>
    <definedName name="ttr" localSheetId="0" hidden="1">{#N/A,#N/A,FALSE,"Sheet6"}</definedName>
    <definedName name="ttr" hidden="1">{#N/A,#N/A,FALSE,"Sheet6"}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AHT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utyui" localSheetId="0" hidden="1">{#N/A,#N/A,FALSE,"Sheet6"}</definedName>
    <definedName name="tyiutyui" hidden="1">{#N/A,#N/A,FALSE,"Sheet6"}</definedName>
    <definedName name="t뎌ㅓㅜㅅㄷ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jdffdf" localSheetId="0" hidden="1">{#N/A,#N/A,FALSE,"단가표지"}</definedName>
    <definedName name="ujdffdf" hidden="1">{#N/A,#N/A,FALSE,"단가표지"}</definedName>
    <definedName name="ukj" localSheetId="0" hidden="1">{#N/A,#N/A,FALSE,"전력간선"}</definedName>
    <definedName name="ukj" hidden="1">{#N/A,#N/A,FALSE,"전력간선"}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uuu" localSheetId="0" hidden="1">{#N/A,#N/A,FALSE,"단가표지"}</definedName>
    <definedName name="uuuu" hidden="1">{#N/A,#N/A,FALSE,"단가표지"}</definedName>
    <definedName name="U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eyj" localSheetId="1" hidden="1">#REF!</definedName>
    <definedName name="uyteyj" localSheetId="0" hidden="1">#REF!</definedName>
    <definedName name="uyteyj" localSheetId="2" hidden="1">#REF!</definedName>
    <definedName name="uyteyj" hidden="1">#REF!</definedName>
    <definedName name="VB" localSheetId="0" hidden="1">{#N/A,#N/A,FALSE,"이태원철근"}</definedName>
    <definedName name="VB" hidden="1">{#N/A,#N/A,FALSE,"이태원철근"}</definedName>
    <definedName name="vbnhj" localSheetId="0" hidden="1">{#N/A,#N/A,FALSE,"Sheet6"}</definedName>
    <definedName name="vbnhj" hidden="1">{#N/A,#N/A,FALSE,"Sheet6"}</definedName>
    <definedName name="vcc" localSheetId="0" hidden="1">{#N/A,#N/A,FALSE,"구조1"}</definedName>
    <definedName name="vcc" hidden="1">{#N/A,#N/A,FALSE,"구조1"}</definedName>
    <definedName name="weq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q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q" localSheetId="0" hidden="1">{"'별표'!$N$220"}</definedName>
    <definedName name="werq" hidden="1">{"'별표'!$N$220"}</definedName>
    <definedName name="W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PWPPW" localSheetId="0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R" localSheetId="0" hidden="1">{#N/A,#N/A,FALSE,"Sheet1"}</definedName>
    <definedName name="WQR" hidden="1">{#N/A,#N/A,FALSE,"Sheet1"}</definedName>
    <definedName name="WRITE" localSheetId="0" hidden="1">{#N/A,#N/A,FALSE,"CCTV"}</definedName>
    <definedName name="WRITE" hidden="1">{#N/A,#N/A,FALSE,"CCTV"}</definedName>
    <definedName name="WRM" localSheetId="0" hidden="1">{#N/A,#N/A,FALSE,"전력간선"}</definedName>
    <definedName name="WRM" hidden="1">{#N/A,#N/A,FALSE,"전력간선"}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test1." localSheetId="0" hidden="1">{#N/A,#N/A,FALSE,"명세표"}</definedName>
    <definedName name="wrn.test1." hidden="1">{#N/A,#N/A,FALSE,"명세표"}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0" hidden="1">{#N/A,#N/A,FALSE,"교리2"}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현황." localSheetId="0" hidden="1">{#N/A,#N/A,FALSE,"집계표"}</definedName>
    <definedName name="wrn.리스현황." hidden="1">{#N/A,#N/A,FALSE,"집계표"}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종점1" localSheetId="0" hidden="1">{#N/A,#N/A,FALSE,"이정표"}</definedName>
    <definedName name="wrn.종점1" hidden="1">{#N/A,#N/A,FALSE,"이정표"}</definedName>
    <definedName name="wrn.주간보고." localSheetId="0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주보." localSheetId="0" hidden="1">{#N/A,#N/A,TRUE,"TITLE"}</definedName>
    <definedName name="wrn.주보." hidden="1">{#N/A,#N/A,TRUE,"TITLE"}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1.주보1." localSheetId="0" hidden="1">{#N/A,#N/A,TRUE,"TITLE"}</definedName>
    <definedName name="wrn1.주보1." hidden="1">{#N/A,#N/A,TRUE,"TITLE"}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B" localSheetId="0" hidden="1">{#N/A,#N/A,FALSE,"Sheet6"}</definedName>
    <definedName name="XCB" hidden="1">{#N/A,#N/A,FALSE,"Sheet6"}</definedName>
    <definedName name="xcvc" localSheetId="1" hidden="1">#REF!</definedName>
    <definedName name="xcvc" localSheetId="0" hidden="1">#REF!</definedName>
    <definedName name="xcvc" localSheetId="2" hidden="1">#REF!</definedName>
    <definedName name="xcvc" hidden="1">#REF!</definedName>
    <definedName name="xf" localSheetId="0" hidden="1">{#N/A,#N/A,FALSE,"Sheet6"}</definedName>
    <definedName name="xf" hidden="1">{#N/A,#N/A,FALSE,"Sheet6"}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localSheetId="1" hidden="1">#REF!</definedName>
    <definedName name="xx" localSheetId="0" hidden="1">#REF!</definedName>
    <definedName name="xx" localSheetId="2" hidden="1">#REF!</definedName>
    <definedName name="xx" hidden="1">#REF!</definedName>
    <definedName name="YERU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{#N/A,#N/A,FALSE,"Sheet6"}</definedName>
    <definedName name="yu" hidden="1">{#N/A,#N/A,FALSE,"Sheet6"}</definedName>
    <definedName name="yuj" localSheetId="0" hidden="1">{#N/A,#N/A,TRUE,"1";#N/A,#N/A,TRUE,"2";#N/A,#N/A,TRUE,"3";#N/A,#N/A,TRUE,"4";#N/A,#N/A,TRUE,"5";#N/A,#N/A,TRUE,"6";#N/A,#N/A,TRUE,"7"}</definedName>
    <definedName name="yuj" hidden="1">{#N/A,#N/A,TRUE,"1";#N/A,#N/A,TRUE,"2";#N/A,#N/A,TRUE,"3";#N/A,#N/A,TRUE,"4";#N/A,#N/A,TRUE,"5";#N/A,#N/A,TRUE,"6";#N/A,#N/A,TRUE,"7"}</definedName>
    <definedName name="YUTY" localSheetId="0" hidden="1">{#N/A,#N/A,FALSE,"Sheet6"}</definedName>
    <definedName name="YUTY" hidden="1">{#N/A,#N/A,FALSE,"Sheet6"}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yy" localSheetId="0" hidden="1">{#N/A,#N/A,FALSE,"이정표"}</definedName>
    <definedName name="yyyyy" hidden="1">{#N/A,#N/A,FALSE,"이정표"}</definedName>
    <definedName name="y거ㅛ거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1F713D72_E6F4_11D3_8E1E_00A0244E179B_.wvu.Cols" localSheetId="1" hidden="1">#REF!</definedName>
    <definedName name="Z_1F713D72_E6F4_11D3_8E1E_00A0244E179B_.wvu.Cols" localSheetId="0" hidden="1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localSheetId="0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localSheetId="0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localSheetId="0" hidden="1">#REF!,#REF!,#REF!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za" hidden="1">[15]실행철강하도!$A$1:$A$4</definedName>
    <definedName name="ZGCAGAD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{#N/A,#N/A,FALSE,"교리2"}</definedName>
    <definedName name="ㄱㄱㄱㄱㄱ" hidden="1">{#N/A,#N/A,FALSE,"교리2"}</definedName>
    <definedName name="ㄱㄱㄱㅎ" localSheetId="0" hidden="1">{#N/A,#N/A,FALSE,"Sheet6"}</definedName>
    <definedName name="ㄱㄱㄱㅎ" hidden="1">{#N/A,#N/A,FALSE,"Sheet6"}</definedName>
    <definedName name="ㄱㄱ숃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" localSheetId="0" hidden="1">{#N/A,#N/A,FALSE,"Sheet6"}</definedName>
    <definedName name="ㄱㄷㄱ" hidden="1">{#N/A,#N/A,FALSE,"Sheet6"}</definedName>
    <definedName name="ㄱㄷㄱㄷㄱ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ㅅ" localSheetId="0" hidden="1">{#N/A,#N/A,FALSE,"Sheet6"}</definedName>
    <definedName name="ㄱㄷㅅ" hidden="1">{#N/A,#N/A,FALSE,"Sheet6"}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ㄷㅈㄱㅈㄷ" localSheetId="0" hidden="1">{#N/A,#N/A,FALSE,"혼합골재"}</definedName>
    <definedName name="ㄱㄷㅈㄱㄷㅈㄱㅈㄷ" hidden="1">{#N/A,#N/A,FALSE,"혼합골재"}</definedName>
    <definedName name="ㄱ둊셔교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홍ㄱ호" localSheetId="0" hidden="1">{#N/A,#N/A,FALSE,"Sheet6"}</definedName>
    <definedName name="ㄱㄹ홍ㄱ호" hidden="1">{#N/A,#N/A,FALSE,"Sheet6"}</definedName>
    <definedName name="ㄱ려ㅓㅛ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ㅇ" localSheetId="0" hidden="1">{#N/A,#N/A,FALSE,"집계표"}</definedName>
    <definedName name="ㄱ서ㅗㅇ" hidden="1">{#N/A,#N/A,FALSE,"집계표"}</definedName>
    <definedName name="ㄱ서ㅗ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솧" localSheetId="0" hidden="1">{#N/A,#N/A,FALSE,"집계표"}</definedName>
    <definedName name="ㄱ솧" hidden="1">{#N/A,#N/A,FALSE,"집계표"}</definedName>
    <definedName name="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쇽" localSheetId="0" hidden="1">{#N/A,#N/A,FALSE,"Sheet6"}</definedName>
    <definedName name="ㄱ쇽" hidden="1">{#N/A,#N/A,FALSE,"Sheet6"}</definedName>
    <definedName name="ㄱㅈ셪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1" hidden="1">#REF!</definedName>
    <definedName name="ㄱㅈㅎ" localSheetId="0" hidden="1">#REF!</definedName>
    <definedName name="ㄱㅈㅎ" localSheetId="2" hidden="1">#REF!</definedName>
    <definedName name="ㄱㅈㅎ" hidden="1">#REF!</definedName>
    <definedName name="ㄱ젖굑고고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ㄱ효ㅕ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로등" localSheetId="0" hidden="1">{#N/A,#N/A,FALSE,"전력간선"}</definedName>
    <definedName name="가로등" hidden="1">{#N/A,#N/A,FALSE,"전력간선"}</definedName>
    <definedName name="가리" localSheetId="1" hidden="1">[12]노임이!#REF!</definedName>
    <definedName name="가리" localSheetId="0" hidden="1">[12]노임이!#REF!</definedName>
    <definedName name="가리" localSheetId="2" hidden="1">[12]노임이!#REF!</definedName>
    <definedName name="가리" hidden="1">[12]노임이!#REF!</definedName>
    <definedName name="가설건물면적산정" localSheetId="0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실행1" localSheetId="0" hidden="1">{#N/A,#N/A,FALSE,"배수1"}</definedName>
    <definedName name="가실행1" hidden="1">{#N/A,#N/A,FALSE,"배수1"}</definedName>
    <definedName name="가재가시설" localSheetId="0" hidden="1">{#N/A,#N/A,FALSE,"Sheet6"}</definedName>
    <definedName name="가재가시설" hidden="1">{#N/A,#N/A,FALSE,"Sheet6"}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0" hidden="1">{#N/A,#N/A,FALSE,"교리2"}</definedName>
    <definedName name="감복만" hidden="1">{#N/A,#N/A,FALSE,"교리2"}</definedName>
    <definedName name="감승주" localSheetId="0" hidden="1">{#N/A,#N/A,FALSE,"교리2"}</definedName>
    <definedName name="감승주" hidden="1">{#N/A,#N/A,FALSE,"교리2"}</definedName>
    <definedName name="강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강릉교동" localSheetId="1" hidden="1">#REF!</definedName>
    <definedName name="강릉교동" localSheetId="0" hidden="1">#REF!</definedName>
    <definedName name="강릉교동" localSheetId="2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localSheetId="2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localSheetId="2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localSheetId="2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localSheetId="2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localSheetId="2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localSheetId="2" hidden="1">#REF!</definedName>
    <definedName name="강릉토목임" hidden="1">#REF!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갸" localSheetId="0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소" localSheetId="0" hidden="1">{#N/A,#N/A,FALSE,"집계표"}</definedName>
    <definedName name="거소" hidden="1">{#N/A,#N/A,FALSE,"집계표"}</definedName>
    <definedName name="건" localSheetId="0" hidden="1">{#N/A,#N/A,FALSE,"기안지";#N/A,#N/A,FALSE,"통신지"}</definedName>
    <definedName name="건" hidden="1">{#N/A,#N/A,FALSE,"기안지";#N/A,#N/A,FALSE,"통신지"}</definedName>
    <definedName name="건축가실" localSheetId="1" hidden="1">#REF!</definedName>
    <definedName name="건축가실" localSheetId="0" hidden="1">#REF!</definedName>
    <definedName name="건축가실" localSheetId="2" hidden="1">#REF!</definedName>
    <definedName name="건축가실" hidden="1">#REF!</definedName>
    <definedName name="건축내역2" localSheetId="0" hidden="1">{#N/A,#N/A,FALSE,"기안지";#N/A,#N/A,FALSE,"통신지"}</definedName>
    <definedName name="건축내역2" hidden="1">{#N/A,#N/A,FALSE,"기안지";#N/A,#N/A,FALSE,"통신지"}</definedName>
    <definedName name="건축비목집계" localSheetId="0" hidden="1">{#N/A,#N/A,FALSE,"표지"}</definedName>
    <definedName name="건축비목집계" hidden="1">{#N/A,#N/A,FALSE,"표지"}</definedName>
    <definedName name="건축원가" hidden="1">[16]전기!$B$4:$B$163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토공2" localSheetId="0" hidden="1">{#N/A,#N/A,FALSE,"기안지";#N/A,#N/A,FALSE,"통신지"}</definedName>
    <definedName name="건축토공2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0" hidden="1">{#N/A,#N/A,FALSE,"이정표"}</definedName>
    <definedName name="검ㄴ" hidden="1">{#N/A,#N/A,FALSE,"이정표"}</definedName>
    <definedName name="견본갑을" localSheetId="0" hidden="1">{#N/A,#N/A,FALSE,"Sheet1"}</definedName>
    <definedName name="견본갑을" hidden="1">{#N/A,#N/A,FALSE,"Sheet1"}</definedName>
    <definedName name="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0" hidden="1">{#N/A,#N/A,FALSE,"CCTV"}</definedName>
    <definedName name="견적SHEET" hidden="1">{#N/A,#N/A,FALSE,"CCTV"}</definedName>
    <definedName name="견적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0" hidden="1">{#N/A,#N/A,FALSE,"CCTV"}</definedName>
    <definedName name="견적내역" hidden="1">{#N/A,#N/A,FALSE,"CCTV"}</definedName>
    <definedName name="견적대비" localSheetId="0" hidden="1">{#N/A,#N/A,FALSE,"포장2"}</definedName>
    <definedName name="견적대비" hidden="1">{#N/A,#N/A,FALSE,"포장2"}</definedName>
    <definedName name="견적대비표" localSheetId="1" hidden="1">#REF!</definedName>
    <definedName name="견적대비표" localSheetId="0" hidden="1">#REF!</definedName>
    <definedName name="견적대비표" localSheetId="2" hidden="1">#REF!</definedName>
    <definedName name="견적대비표" hidden="1">#REF!</definedName>
    <definedName name="견적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0" hidden="1">{#N/A,#N/A,FALSE,"CCTV"}</definedName>
    <definedName name="견적조건" hidden="1">{#N/A,#N/A,FALSE,"CCTV"}</definedName>
    <definedName name="견적조건8" localSheetId="0" hidden="1">{#N/A,#N/A,FALSE,"CCTV"}</definedName>
    <definedName name="견적조건8" hidden="1">{#N/A,#N/A,FALSE,"CCTV"}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1" hidden="1">#REF!</definedName>
    <definedName name="경비1" localSheetId="0" hidden="1">#REF!</definedName>
    <definedName name="경비1" localSheetId="2" hidden="1">#REF!</definedName>
    <definedName name="경비1" hidden="1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의뢰" localSheetId="1" hidden="1">[17]프랜트면허!#REF!</definedName>
    <definedName name="계약의뢰" localSheetId="0" hidden="1">[17]프랜트면허!#REF!</definedName>
    <definedName name="계약의뢰" localSheetId="2" hidden="1">[17]프랜트면허!#REF!</definedName>
    <definedName name="계약의뢰" hidden="1">[17]프랜트면허!#REF!</definedName>
    <definedName name="계전2" localSheetId="1" hidden="1">#REF!</definedName>
    <definedName name="계전2" localSheetId="0" hidden="1">#REF!</definedName>
    <definedName name="계전2" localSheetId="2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{#N/A,#N/A,FALSE,"조골재"}</definedName>
    <definedName name="고" hidden="1">{#N/A,#N/A,FALSE,"조골재"}</definedName>
    <definedName name="곤ㅇ" localSheetId="0" hidden="1">{#N/A,#N/A,FALSE,"전력간선"}</definedName>
    <definedName name="곤ㅇ" hidden="1">{#N/A,#N/A,FALSE,"전력간선"}</definedName>
    <definedName name="곧ㄱ" localSheetId="0" hidden="1">{#N/A,#N/A,FALSE,"Sheet6"}</definedName>
    <definedName name="곧ㄱ" hidden="1">{#N/A,#N/A,FALSE,"Sheet6"}</definedName>
    <definedName name="골조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" hidden="1">[18]설계내역서!#REF!</definedName>
    <definedName name="공기1" localSheetId="0" hidden="1">[18]설계내역서!#REF!</definedName>
    <definedName name="공기1" localSheetId="2" hidden="1">[18]설계내역서!#REF!</definedName>
    <definedName name="공기1" hidden="1">[18]설계내역서!#REF!</definedName>
    <definedName name="공내역ㅇ" localSheetId="0" hidden="1">{#N/A,#N/A,FALSE,"Sheet6"}</definedName>
    <definedName name="공내역ㅇ" hidden="1">{#N/A,#N/A,FALSE,"Sheet6"}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동구토공2" localSheetId="0" hidden="1">{#N/A,#N/A,FALSE,"기안지";#N/A,#N/A,FALSE,"통신지"}</definedName>
    <definedName name="공동구토공2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양식" localSheetId="0" hidden="1">{#N/A,#N/A,FALSE,"교리2"}</definedName>
    <definedName name="공양식" hidden="1">{#N/A,#N/A,FALSE,"교리2"}</definedName>
    <definedName name="공원등기초" localSheetId="0" hidden="1">{#N/A,#N/A,FALSE,"골재소요량";#N/A,#N/A,FALSE,"골재소요량"}</definedName>
    <definedName name="공원등기초" hidden="1">{#N/A,#N/A,FALSE,"골재소요량";#N/A,#N/A,FALSE,"골재소요량"}</definedName>
    <definedName name="공통가설현장" localSheetId="1" hidden="1">#REF!</definedName>
    <definedName name="공통가설현장" localSheetId="0" hidden="1">#REF!</definedName>
    <definedName name="공통가설현장" localSheetId="2" hidden="1">#REF!</definedName>
    <definedName name="공통가설현장" hidden="1">#REF!</definedName>
    <definedName name="공통비" localSheetId="1" hidden="1">[19]유림골조!#REF!</definedName>
    <definedName name="공통비" localSheetId="0" hidden="1">[19]유림골조!#REF!</definedName>
    <definedName name="공통비" localSheetId="2" hidden="1">[19]유림골조!#REF!</definedName>
    <definedName name="공통비" hidden="1">[19]유림골조!#REF!</definedName>
    <definedName name="관리" localSheetId="0" hidden="1">{#N/A,#N/A,FALSE,"포장2"}</definedName>
    <definedName name="관리" hidden="1">{#N/A,#N/A,FALSE,"포장2"}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1" hidden="1">#REF!</definedName>
    <definedName name="교동토" localSheetId="0" hidden="1">#REF!</definedName>
    <definedName name="교동토" localSheetId="2" hidden="1">#REF!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교저ㅕㅛㅈㄷㅈ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localSheetId="0" hidden="1">{#N/A,#N/A,FALSE,"포장2"}</definedName>
    <definedName name="교좌" hidden="1">{#N/A,#N/A,FALSE,"포장2"}</definedName>
    <definedName name="교ㅑㅐㅐㅑ겨ㅔ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굗ㄱ" localSheetId="0" hidden="1">{#N/A,#N/A,FALSE,"Sheet6"}</definedName>
    <definedName name="굗ㄱ" hidden="1">{#N/A,#N/A,FALSE,"Sheet6"}</definedName>
    <definedName name="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0" hidden="1">{#N/A,#N/A,FALSE,"Sheet6"}</definedName>
    <definedName name="구본" hidden="1">{#N/A,#N/A,FALSE,"Sheet6"}</definedName>
    <definedName name="구산갑지" localSheetId="1" hidden="1">#REF!</definedName>
    <definedName name="구산갑지" localSheetId="0" hidden="1">#REF!</definedName>
    <definedName name="구산갑지" localSheetId="2" hidden="1">#REF!</definedName>
    <definedName name="구산갑지" hidden="1">#REF!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권대협" localSheetId="0" hidden="1">{#N/A,#N/A,FALSE,"CCTV"}</definedName>
    <definedName name="권대협" hidden="1">{#N/A,#N/A,FALSE,"CCTV"}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localSheetId="0" hidden="1">{#N/A,#N/A,FALSE,"포장2"}</definedName>
    <definedName name="금광추정" hidden="1">{#N/A,#N/A,FALSE,"포장2"}</definedName>
    <definedName name="금속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게실" localSheetId="0" hidden="1">{#N/A,#N/A,FALSE,"지침";#N/A,#N/A,FALSE,"환경분석";#N/A,#N/A,FALSE,"Sheet16"}</definedName>
    <definedName name="기게실" hidden="1">{#N/A,#N/A,FALSE,"지침";#N/A,#N/A,FALSE,"환경분석";#N/A,#N/A,FALSE,"Sheet16"}</definedName>
    <definedName name="기공" localSheetId="1" hidden="1">[20]노임이!#REF!</definedName>
    <definedName name="기공" localSheetId="0" hidden="1">[20]노임이!#REF!</definedName>
    <definedName name="기공" localSheetId="2" hidden="1">[20]노임이!#REF!</definedName>
    <definedName name="기공" hidden="1">[20]노임이!#REF!</definedName>
    <definedName name="기구본사" localSheetId="0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localSheetId="0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0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1" hidden="1">#REF!</definedName>
    <definedName name="기기기" localSheetId="0" hidden="1">#REF!</definedName>
    <definedName name="기기기" localSheetId="2" hidden="1">#REF!</definedName>
    <definedName name="기기기" hidden="1">#REF!</definedName>
    <definedName name="기성3" localSheetId="0" hidden="1">{#N/A,#N/A,FALSE,"CCTV"}</definedName>
    <definedName name="기성3" hidden="1">{#N/A,#N/A,FALSE,"CCTV"}</definedName>
    <definedName name="기성갑" localSheetId="1" hidden="1">#REF!</definedName>
    <definedName name="기성갑" localSheetId="0" hidden="1">#REF!</definedName>
    <definedName name="기성갑" localSheetId="2" hidden="1">#REF!</definedName>
    <definedName name="기성갑" hidden="1">#REF!</definedName>
    <definedName name="기술" localSheetId="0" hidden="1">{#N/A,#N/A,FALSE,"부대1"}</definedName>
    <definedName name="기술" hidden="1">{#N/A,#N/A,FALSE,"부대1"}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localSheetId="0" hidden="1">#REF!</definedName>
    <definedName name="김" localSheetId="2" hidden="1">#REF!</definedName>
    <definedName name="김" hidden="1">#REF!</definedName>
    <definedName name="김1" localSheetId="0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병국임" localSheetId="0" hidden="1">{#N/A,#N/A,FALSE,"단가표지"}</definedName>
    <definedName name="김병국임" hidden="1">{#N/A,#N/A,FALSE,"단가표지"}</definedName>
    <definedName name="김봉만" localSheetId="0" hidden="1">{#N/A,#N/A,FALSE,"교리2"}</definedName>
    <definedName name="김봉만" hidden="1">{#N/A,#N/A,FALSE,"교리2"}</definedName>
    <definedName name="김승주" localSheetId="0" hidden="1">{#N/A,#N/A,FALSE,"교리2"}</definedName>
    <definedName name="김승주" hidden="1">{#N/A,#N/A,FALSE,"교리2"}</definedName>
    <definedName name="김영훈" localSheetId="0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껍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ㄳㄳㄳㄳ" localSheetId="0" hidden="1">{"'용역비'!$A$4:$C$8"}</definedName>
    <definedName name="ㄳㄳㄳㄳ" hidden="1">{"'용역비'!$A$4:$C$8"}</definedName>
    <definedName name="ㄳㄷ" localSheetId="0" hidden="1">{#N/A,#N/A,FALSE,"Sheet6"}</definedName>
    <definedName name="ㄳㄷ" hidden="1">{#N/A,#N/A,FALSE,"Sheet6"}</definedName>
    <definedName name="ㄳ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localSheetId="1" hidden="1">#REF!</definedName>
    <definedName name="ㄴㄱㄹ" localSheetId="0" hidden="1">#REF!</definedName>
    <definedName name="ㄴㄱㄹ" localSheetId="2" hidden="1">#REF!</definedName>
    <definedName name="ㄴㄱㄹ" hidden="1">#REF!</definedName>
    <definedName name="ㄴㄱ솥ㅀ" localSheetId="0" hidden="1">{#N/A,#N/A,FALSE,"집계표"}</definedName>
    <definedName name="ㄴㄱ솥ㅀ" hidden="1">{#N/A,#N/A,FALSE,"집계표"}</definedName>
    <definedName name="ㄴ거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" localSheetId="0" hidden="1">{#N/A,#N/A,FALSE,"부대2"}</definedName>
    <definedName name="ㄴㄴㄴ" hidden="1">{#N/A,#N/A,FALSE,"부대2"}</definedName>
    <definedName name="ㄴㄴㄴㄴㄴㄴ" localSheetId="0" hidden="1">{#N/A,#N/A,FALSE,"포장2"}</definedName>
    <definedName name="ㄴㄴㄴㄴㄴㄴ" hidden="1">{#N/A,#N/A,FALSE,"포장2"}</definedName>
    <definedName name="ㄴㄴㅎ" localSheetId="0" hidden="1">{#N/A,#N/A,FALSE,"집계표"}</definedName>
    <definedName name="ㄴㄴㅎ" hidden="1">{#N/A,#N/A,FALSE,"집계표"}</definedName>
    <definedName name="ㄴ너넌ㄱㅎ" localSheetId="0" hidden="1">{#N/A,#N/A,FALSE,"집계표"}</definedName>
    <definedName name="ㄴ너넌ㄱㅎ" hidden="1">{#N/A,#N/A,FALSE,"집계표"}</definedName>
    <definedName name="ㄴ눀너노" localSheetId="0" hidden="1">{#N/A,#N/A,FALSE,"집계표"}</definedName>
    <definedName name="ㄴ눀너노" hidden="1">{#N/A,#N/A,FALSE,"집계표"}</definedName>
    <definedName name="ㄴㄶ" localSheetId="0" hidden="1">{#N/A,#N/A,FALSE,"집계표"}</definedName>
    <definedName name="ㄴㄶ" hidden="1">{#N/A,#N/A,FALSE,"집계표"}</definedName>
    <definedName name="ㄴㄷㄱㅈ" localSheetId="0" hidden="1">{#N/A,#N/A,FALSE,"Sheet6"}</definedName>
    <definedName name="ㄴㄷㄱㅈ" hidden="1">{#N/A,#N/A,FALSE,"Sheet6"}</definedName>
    <definedName name="ㄴㄹ" localSheetId="0" hidden="1">{#N/A,#N/A,FALSE,"집계표"}</definedName>
    <definedName name="ㄴㄹ" hidden="1">{#N/A,#N/A,FALSE,"집계표"}</definedName>
    <definedName name="ㄴㄹㄴ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호" localSheetId="0" hidden="1">{#N/A,#N/A,FALSE,"집계표"}</definedName>
    <definedName name="ㄴㄹㅇ호" hidden="1">{#N/A,#N/A,FALSE,"집계표"}</definedName>
    <definedName name="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ㅀ" localSheetId="1" hidden="1">#REF!</definedName>
    <definedName name="ㄴㅀ" localSheetId="0" hidden="1">#REF!</definedName>
    <definedName name="ㄴㅀ" localSheetId="2" hidden="1">#REF!</definedName>
    <definedName name="ㄴㅀ" hidden="1">#REF!</definedName>
    <definedName name="ㄴㅁ" localSheetId="1" hidden="1">#REF!</definedName>
    <definedName name="ㄴㅁ" localSheetId="0" hidden="1">#REF!</definedName>
    <definedName name="ㄴㅁ" localSheetId="2" hidden="1">#REF!</definedName>
    <definedName name="ㄴㅁ" hidden="1">#REF!</definedName>
    <definedName name="ㄴㅁㄴㅇㄹ" localSheetId="0" hidden="1">{#N/A,#N/A,FALSE,"집계표"}</definedName>
    <definedName name="ㄴㅁㄴㅇㄹ" hidden="1">{#N/A,#N/A,FALSE,"집계표"}</definedName>
    <definedName name="ㄴㅁㄹ아ㅣㅏ" localSheetId="0" hidden="1">{#N/A,#N/A,FALSE,"집계표"}</definedName>
    <definedName name="ㄴㅁㄹ아ㅣㅏ" hidden="1">{#N/A,#N/A,FALSE,"집계표"}</definedName>
    <definedName name="ㄴㅁㅇㄹ" localSheetId="0" hidden="1">{#N/A,#N/A,FALSE,"집계표"}</definedName>
    <definedName name="ㄴㅁㅇㄹ" hidden="1">{#N/A,#N/A,FALSE,"집계표"}</definedName>
    <definedName name="ㄴㅁㅇ라ㅓ" localSheetId="0" hidden="1">{#N/A,#N/A,FALSE,"집계표"}</definedName>
    <definedName name="ㄴㅁㅇ라ㅓ" hidden="1">{#N/A,#N/A,FALSE,"집계표"}</definedName>
    <definedName name="ㄴㅁ아겈" localSheetId="0" hidden="1">{#N/A,#N/A,FALSE,"집계표"}</definedName>
    <definedName name="ㄴㅁ아겈" hidden="1">{#N/A,#N/A,FALSE,"집계표"}</definedName>
    <definedName name="ㄴㅁ아ㅓ린ㅁ" localSheetId="0" hidden="1">{#N/A,#N/A,FALSE,"집계표"}</definedName>
    <definedName name="ㄴㅁ아ㅓ린ㅁ" hidden="1">{#N/A,#N/A,FALSE,"집계표"}</definedName>
    <definedName name="ㄴㅁ허ㅗ러ㅏ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마ㅓㅇㅎ리ㅏㅇㄴ" localSheetId="0" hidden="1">{#N/A,#N/A,FALSE,"집계표"}</definedName>
    <definedName name="ㄴ마ㅓㅇㅎ리ㅏㅇㄴ" hidden="1">{#N/A,#N/A,FALSE,"집계표"}</definedName>
    <definedName name="ㄴ뫃ㄴ오" localSheetId="0" hidden="1">{#N/A,#N/A,FALSE,"집계표"}</definedName>
    <definedName name="ㄴ뫃ㄴ오" hidden="1">{#N/A,#N/A,FALSE,"집계표"}</definedName>
    <definedName name="ㄴㅅ교ㅑㅕ쇼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1" hidden="1">#REF!</definedName>
    <definedName name="ㄴㅇ" localSheetId="0" hidden="1">#REF!</definedName>
    <definedName name="ㄴㅇ" localSheetId="2" hidden="1">#REF!</definedName>
    <definedName name="ㄴㅇ" hidden="1">#REF!</definedName>
    <definedName name="ㄴㅇ다ㅓㅀㅌ" localSheetId="0" hidden="1">{#N/A,#N/A,FALSE,"집계표"}</definedName>
    <definedName name="ㄴㅇ다ㅓㅀㅌ" hidden="1">{#N/A,#N/A,FALSE,"집계표"}</definedName>
    <definedName name="ㄴㅇ닳ㅌ처" localSheetId="0" hidden="1">{#N/A,#N/A,FALSE,"집계표"}</definedName>
    <definedName name="ㄴㅇ닳ㅌ처" hidden="1">{#N/A,#N/A,FALSE,"집계표"}</definedName>
    <definedName name="ㄴㅇㄹ" localSheetId="1" hidden="1">#REF!</definedName>
    <definedName name="ㄴㅇㄹ" localSheetId="0" hidden="1">#REF!</definedName>
    <definedName name="ㄴㅇㄹ" localSheetId="2" hidden="1">#REF!</definedName>
    <definedName name="ㄴㅇㄹ" hidden="1">#REF!</definedName>
    <definedName name="ㄴㅇㄹㄴ" localSheetId="0" hidden="1">{#N/A,#N/A,FALSE,"사업총괄";#N/A,#N/A,FALSE,"장비사업";#N/A,#N/A,FALSE,"철구사업";#N/A,#N/A,FALSE,"준설사업"}</definedName>
    <definedName name="ㄴㅇㄹㄴ" hidden="1">{#N/A,#N/A,FALSE,"사업총괄";#N/A,#N/A,FALSE,"장비사업";#N/A,#N/A,FALSE,"철구사업";#N/A,#N/A,FALSE,"준설사업"}</definedName>
    <definedName name="ㄴㅇㄹㅇㄴ" localSheetId="1" hidden="1">#REF!</definedName>
    <definedName name="ㄴㅇㄹㅇㄴ" localSheetId="0" hidden="1">#REF!</definedName>
    <definedName name="ㄴㅇㄹㅇㄴ" localSheetId="2" hidden="1">#REF!</definedName>
    <definedName name="ㄴㅇㄹㅇㄴ" hidden="1">#REF!</definedName>
    <definedName name="ㄴㅇㄹ하ㅓ" localSheetId="0" hidden="1">{#N/A,#N/A,FALSE,"집계표"}</definedName>
    <definedName name="ㄴㅇㄹ하ㅓ" hidden="1">{#N/A,#N/A,FALSE,"집계표"}</definedName>
    <definedName name="ㄴㅇ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헤ㅐㅇㅅㄱㄷ" localSheetId="0" hidden="1">{#N/A,#N/A,FALSE,"집계표"}</definedName>
    <definedName name="ㄴㅇㄹ헤ㅐㅇㅅㄱㄷ" hidden="1">{#N/A,#N/A,FALSE,"집계표"}</definedName>
    <definedName name="ㄴㅇㄹ호" localSheetId="0" hidden="1">{#N/A,#N/A,FALSE,"집계표"}</definedName>
    <definedName name="ㄴㅇㄹ호" hidden="1">{#N/A,#N/A,FALSE,"집계표"}</definedName>
    <definedName name="ㄴㅇㄹ히ㅏㅓ" localSheetId="0" hidden="1">{#N/A,#N/A,FALSE,"집계표"}</definedName>
    <definedName name="ㄴㅇㄹ히ㅏㅓ" hidden="1">{#N/A,#N/A,FALSE,"집계표"}</definedName>
    <definedName name="ㄴㅇㄹ히ㅏㅓㄴㅇㄹ하ㅓ" localSheetId="0" hidden="1">{#N/A,#N/A,FALSE,"집계표"}</definedName>
    <definedName name="ㄴㅇㄹ히ㅏㅓㄴㅇㄹ하ㅓ" hidden="1">{#N/A,#N/A,FALSE,"집계표"}</definedName>
    <definedName name="ㄴㅇ레ㅔㅔ" localSheetId="0" hidden="1">{#N/A,#N/A,FALSE,"집계표"}</definedName>
    <definedName name="ㄴㅇ레ㅔㅔ" hidden="1">{#N/A,#N/A,FALSE,"집계표"}</definedName>
    <definedName name="ㄴㅇ로" localSheetId="0" hidden="1">{#N/A,#N/A,FALSE,"집계표"}</definedName>
    <definedName name="ㄴㅇ로" hidden="1">{#N/A,#N/A,FALSE,"집계표"}</definedName>
    <definedName name="ㄴㅇㄻㅇㄴ" localSheetId="0" hidden="1">{#N/A,#N/A,FALSE,"집계표"}</definedName>
    <definedName name="ㄴㅇㄻㅇㄴ" hidden="1">{#N/A,#N/A,FALSE,"집계표"}</definedName>
    <definedName name="ㄴㅇㅀㄴ" localSheetId="0" hidden="1">{#N/A,#N/A,FALSE,"집계표"}</definedName>
    <definedName name="ㄴㅇㅀㄴ" hidden="1">{#N/A,#N/A,FALSE,"집계표"}</definedName>
    <definedName name="ㄴㅇㅀㄴㅇㅀ" localSheetId="1" hidden="1">#REF!</definedName>
    <definedName name="ㄴㅇㅀㄴㅇㅀ" localSheetId="0" hidden="1">#REF!</definedName>
    <definedName name="ㄴㅇㅀㄴㅇㅀ" localSheetId="2" hidden="1">#REF!</definedName>
    <definedName name="ㄴㅇㅀㄴㅇㅀ" hidden="1">#REF!</definedName>
    <definedName name="ㄴㅇㅀㄹ" localSheetId="0" hidden="1">{#N/A,#N/A,FALSE,"집계표"}</definedName>
    <definedName name="ㄴㅇㅀㄹ" hidden="1">{#N/A,#N/A,FALSE,"집계표"}</definedName>
    <definedName name="ㄴㅇㅀㅇ" localSheetId="0" hidden="1">{#N/A,#N/A,FALSE,"집계표"}</definedName>
    <definedName name="ㄴㅇㅀㅇ" hidden="1">{#N/A,#N/A,FALSE,"집계표"}</definedName>
    <definedName name="ㄴㅇㅀㅇㄶ" localSheetId="0" hidden="1">{#N/A,#N/A,FALSE,"집계표"}</definedName>
    <definedName name="ㄴㅇㅀㅇㄶ" hidden="1">{#N/A,#N/A,FALSE,"집계표"}</definedName>
    <definedName name="ㄴㅇㅁㅎ리ㅏㅓㅣ" localSheetId="0" hidden="1">{#N/A,#N/A,FALSE,"집계표"}</definedName>
    <definedName name="ㄴㅇㅁㅎ리ㅏㅓㅣ" hidden="1">{#N/A,#N/A,FALSE,"집계표"}</definedName>
    <definedName name="ㄴㅇㅅ" localSheetId="0" hidden="1">{#N/A,#N/A,FALSE,"집계표"}</definedName>
    <definedName name="ㄴㅇㅅ" hidden="1">{#N/A,#N/A,FALSE,"집계표"}</definedName>
    <definedName name="ㄴㅇㅇㄴ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ㄴㅇㅎㄴㄹㅇ" localSheetId="1" hidden="1">#REF!</definedName>
    <definedName name="ㄴㅇㅎㄴㄹㅇ" localSheetId="0" hidden="1">#REF!</definedName>
    <definedName name="ㄴㅇㅎㄴㄹㅇ" localSheetId="2" hidden="1">#REF!</definedName>
    <definedName name="ㄴㅇㅎㄴㄹㅇ" hidden="1">#REF!</definedName>
    <definedName name="ㄴㅇㅎㄹ" localSheetId="0" hidden="1">{#N/A,#N/A,FALSE,"집계표"}</definedName>
    <definedName name="ㄴㅇㅎㄹ" hidden="1">{#N/A,#N/A,FALSE,"집계표"}</definedName>
    <definedName name="ㄴㅇㅎ리ㅏ" localSheetId="0" hidden="1">{#N/A,#N/A,FALSE,"집계표"}</definedName>
    <definedName name="ㄴㅇㅎ리ㅏ" hidden="1">{#N/A,#N/A,FALSE,"집계표"}</definedName>
    <definedName name="ㄴㅇㅎ리ㅏㅓㅊㅌ" localSheetId="0" hidden="1">{#N/A,#N/A,FALSE,"집계표"}</definedName>
    <definedName name="ㄴㅇㅎ리ㅏㅓㅊㅌ" hidden="1">{#N/A,#N/A,FALSE,"집계표"}</definedName>
    <definedName name="ㄴㅇ홎ㅁㄱ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어" localSheetId="0" hidden="1">{#N/A,#N/A,FALSE,"집계표"}</definedName>
    <definedName name="ㄴ어" hidden="1">{#N/A,#N/A,FALSE,"집계표"}</definedName>
    <definedName name="ㄴ어ㅏ엉ㄹ" localSheetId="0" hidden="1">{#N/A,#N/A,FALSE,"집계표"}</definedName>
    <definedName name="ㄴ어ㅏ엉ㄹ" hidden="1">{#N/A,#N/A,FALSE,"집계표"}</definedName>
    <definedName name="ㄴ온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옿ㅅㄴㅇ" localSheetId="0" hidden="1">{#N/A,#N/A,FALSE,"집계표"}</definedName>
    <definedName name="ㄴ옿ㅅㄴㅇ" hidden="1">{#N/A,#N/A,FALSE,"집계표"}</definedName>
    <definedName name="ㄴ이라ㅓㅎ" localSheetId="0" hidden="1">{#N/A,#N/A,FALSE,"집계표"}</definedName>
    <definedName name="ㄴ이라ㅓㅎ" hidden="1">{#N/A,#N/A,FALSE,"집계표"}</definedName>
    <definedName name="ㄴ이ㅏ렇" localSheetId="0" hidden="1">{#N/A,#N/A,FALSE,"집계표"}</definedName>
    <definedName name="ㄴ이ㅏ렇" hidden="1">{#N/A,#N/A,FALSE,"집계표"}</definedName>
    <definedName name="ㄴ이ㅏㅎ러" localSheetId="0" hidden="1">{#N/A,#N/A,FALSE,"집계표"}</definedName>
    <definedName name="ㄴ이ㅏㅎ러" hidden="1">{#N/A,#N/A,FALSE,"집계표"}</definedName>
    <definedName name="ㄴ이ㅏㅎ러ㅗ" localSheetId="0" hidden="1">{#N/A,#N/A,FALSE,"집계표"}</definedName>
    <definedName name="ㄴ이ㅏㅎ러ㅗ" hidden="1">{#N/A,#N/A,FALSE,"집계표"}</definedName>
    <definedName name="ㄴ잏라ㅓ" localSheetId="0" hidden="1">{#N/A,#N/A,FALSE,"집계표"}</definedName>
    <definedName name="ㄴ잏라ㅓ" hidden="1">{#N/A,#N/A,FALSE,"집계표"}</definedName>
    <definedName name="ㄴ잏라ㅓㅣㅏㅇㄴㅀ" localSheetId="0" hidden="1">{#N/A,#N/A,FALSE,"집계표"}</definedName>
    <definedName name="ㄴ잏라ㅓㅣㅏㅇㄴㅀ" hidden="1">{#N/A,#N/A,FALSE,"집계표"}</definedName>
    <definedName name="ㄴ젖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ㅊㅌㅇㅍ" localSheetId="0" hidden="1">{#N/A,#N/A,FALSE,"집계표"}</definedName>
    <definedName name="ㄴㅊㅌㅇㅍ" hidden="1">{#N/A,#N/A,FALSE,"집계표"}</definedName>
    <definedName name="ㄴ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ㅗㅎ" localSheetId="0" hidden="1">{#N/A,#N/A,FALSE,"집계표"}</definedName>
    <definedName name="ㄴㅗㅎ" hidden="1">{#N/A,#N/A,FALSE,"집계표"}</definedName>
    <definedName name="나" localSheetId="0" hidden="1">{#N/A,#N/A,FALSE,"교리2"}</definedName>
    <definedName name="나" hidden="1">{#N/A,#N/A,FALSE,"교리2"}</definedName>
    <definedName name="나나너넌너" localSheetId="0" hidden="1">{#N/A,#N/A,FALSE,"집계표"}</definedName>
    <definedName name="나나너넌너" hidden="1">{#N/A,#N/A,FALSE,"집계표"}</definedName>
    <definedName name="나난" localSheetId="0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나는" localSheetId="0" hidden="1">{#N/A,#N/A,FALSE,"집계표"}</definedName>
    <definedName name="나는" hidden="1">{#N/A,#N/A,FALSE,"집계표"}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난ㄴ난나ㅏ난" localSheetId="0" hidden="1">{#N/A,#N/A,FALSE,"집계표"}</definedName>
    <definedName name="난ㄴ난나ㅏ난" hidden="1">{#N/A,#N/A,FALSE,"집계표"}</definedName>
    <definedName name="난나ㅏㄴ" localSheetId="0" hidden="1">{#N/A,#N/A,FALSE,"집계표"}</definedName>
    <definedName name="난나ㅏㄴ" hidden="1">{#N/A,#N/A,FALSE,"집계표"}</definedName>
    <definedName name="난느오늘" localSheetId="0" hidden="1">{#N/A,#N/A,FALSE,"집계표"}</definedName>
    <definedName name="난느오늘" hidden="1">{#N/A,#N/A,FALSE,"집계표"}</definedName>
    <definedName name="남남" localSheetId="1" hidden="1">#REF!</definedName>
    <definedName name="남남" localSheetId="0" hidden="1">#REF!</definedName>
    <definedName name="남남" localSheetId="2" hidden="1">#REF!</definedName>
    <definedName name="남남" hidden="1">#REF!</definedName>
    <definedName name="내역" localSheetId="1" hidden="1">[2]금융!#REF!</definedName>
    <definedName name="내역" localSheetId="0" hidden="1">[2]금융!#REF!</definedName>
    <definedName name="내역" localSheetId="2" hidden="1">[2]금융!#REF!</definedName>
    <definedName name="내역" hidden="1">[2]금융!#REF!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를" localSheetId="0" hidden="1">{#N/A,#N/A,FALSE,"집계표"}</definedName>
    <definedName name="너를" hidden="1">{#N/A,#N/A,FALSE,"집계표"}</definedName>
    <definedName name="너호라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localSheetId="0" hidden="1">{#N/A,#N/A,FALSE,"Sheet6"}</definedName>
    <definedName name="논현동외" hidden="1">{#N/A,#N/A,FALSE,"Sheet6"}</definedName>
    <definedName name="놓ㄹㅇ" localSheetId="0" hidden="1">{#N/A,#N/A,FALSE,"집계표"}</definedName>
    <definedName name="놓ㄹㅇ" hidden="1">{#N/A,#N/A,FALSE,"집계표"}</definedName>
    <definedName name="뇫" localSheetId="0" hidden="1">{#N/A,#N/A,FALSE,"집계표"}</definedName>
    <definedName name="뇫" hidden="1">{#N/A,#N/A,FALSE,"집계표"}</definedName>
    <definedName name="니기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기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니ㅣㄴ" localSheetId="0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ㄶ" localSheetId="0" hidden="1">{#N/A,#N/A,FALSE,"집계표"}</definedName>
    <definedName name="ㄶ" hidden="1">{#N/A,#N/A,FALSE,"집계표"}</definedName>
    <definedName name="ㄷㄱ" localSheetId="0" hidden="1">{#N/A,#N/A,FALSE,"포장2"}</definedName>
    <definedName name="ㄷㄱ" hidden="1">{#N/A,#N/A,FALSE,"포장2"}</definedName>
    <definedName name="ㄷ교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ㅁㄱ혿호ㄷㅂ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ㅊ" localSheetId="0" hidden="1">{#N/A,#N/A,FALSE,"집계표"}</definedName>
    <definedName name="ㄷㅇㅊ" hidden="1">{#N/A,#N/A,FALSE,"집계표"}</definedName>
    <definedName name="ㄷㅈ" localSheetId="0" hidden="1">{#N/A,#N/A,FALSE,"전력간선"}</definedName>
    <definedName name="ㄷㅈ" hidden="1">{#N/A,#N/A,FALSE,"전력간선"}</definedName>
    <definedName name="ㄷㅈㄱ" localSheetId="0" hidden="1">{#N/A,#N/A,FALSE,"포장1";#N/A,#N/A,FALSE,"포장1"}</definedName>
    <definedName name="ㄷㅈㄱ" hidden="1">{#N/A,#N/A,FALSE,"포장1";#N/A,#N/A,FALSE,"포장1"}</definedName>
    <definedName name="ㄷㅈ거" localSheetId="0" hidden="1">{#N/A,#N/A,FALSE,"집계표"}</definedName>
    <definedName name="ㄷㅈ거" hidden="1">{#N/A,#N/A,FALSE,"집계표"}</definedName>
    <definedName name="ㄷㅈ쇼ㅗ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localSheetId="1" hidden="1">#REF!</definedName>
    <definedName name="ㄷㅎㄹㅇ" localSheetId="0" hidden="1">#REF!</definedName>
    <definedName name="ㄷㅎㄹㅇ" localSheetId="2" hidden="1">#REF!</definedName>
    <definedName name="ㄷㅎㄹㅇ" hidden="1">#REF!</definedName>
    <definedName name="다라" localSheetId="0" hidden="1">{#N/A,#N/A,FALSE,"표지목차"}</definedName>
    <definedName name="다라" hidden="1">{#N/A,#N/A,FALSE,"표지목차"}</definedName>
    <definedName name="단가대" localSheetId="1" hidden="1">#REF!</definedName>
    <definedName name="단가대" localSheetId="0" hidden="1">#REF!</definedName>
    <definedName name="단가대" localSheetId="2" hidden="1">#REF!</definedName>
    <definedName name="단가대" hidden="1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대대대대" localSheetId="0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덕" localSheetId="0" hidden="1">{#N/A,#N/A,FALSE,"CCTV"}</definedName>
    <definedName name="대덕" hidden="1">{#N/A,#N/A,FALSE,"CCTV"}</definedName>
    <definedName name="대비" localSheetId="0" hidden="1">{#N/A,#N/A,FALSE,"CCTV"}</definedName>
    <definedName name="대비" hidden="1">{#N/A,#N/A,FALSE,"CCTV"}</definedName>
    <definedName name="대상" localSheetId="0" hidden="1">{"'용역비'!$A$4:$C$8"}</definedName>
    <definedName name="대상" hidden="1">{"'용역비'!$A$4:$C$8"}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댜ㅕㅑㅕ셪ㄷ둇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뎌ㅐㄷ쇼ㅕ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1" hidden="1">#REF!</definedName>
    <definedName name="도용" localSheetId="0" hidden="1">#REF!</definedName>
    <definedName name="도용" localSheetId="2" hidden="1">#REF!</definedName>
    <definedName name="도용" hidden="1">#REF!</definedName>
    <definedName name="도장" localSheetId="0" hidden="1">{#N/A,#N/A,FALSE,"Sheet1"}</definedName>
    <definedName name="도장" hidden="1">{#N/A,#N/A,FALSE,"Sheet1"}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력및간선" localSheetId="0" hidden="1">{#N/A,#N/A,FALSE,"전력간선"}</definedName>
    <definedName name="동력및간선" hidden="1">{#N/A,#N/A,FALSE,"전력간선"}</definedName>
    <definedName name="동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헛혀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ㄶㅗ" localSheetId="0" hidden="1">{#N/A,#N/A,FALSE,"집계표"}</definedName>
    <definedName name="ㄹㄶㅗ" hidden="1">{#N/A,#N/A,FALSE,"집계표"}</definedName>
    <definedName name="ㄹㄷㅅ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{#N/A,#N/A,FALSE,"Sheet1"}</definedName>
    <definedName name="ㄹㄹ" hidden="1">{#N/A,#N/A,FALSE,"Sheet1"}</definedName>
    <definedName name="ㄹㄹㄹ" localSheetId="1" hidden="1">#REF!</definedName>
    <definedName name="ㄹㄹㄹ" localSheetId="0" hidden="1">#REF!</definedName>
    <definedName name="ㄹㄹㄹ" localSheetId="2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ㄹㅇㄴㄹㅇㄶㅀ" localSheetId="0" hidden="1">{#N/A,#N/A,FALSE,"집계표"}</definedName>
    <definedName name="ㄹㄹㅇㄴㄹㄹㅇㄴㄹㅇㄶㅀ" hidden="1">{#N/A,#N/A,FALSE,"집계표"}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localSheetId="0" hidden="1">{#N/A,#N/A,TRUE,"1";#N/A,#N/A,TRUE,"2";#N/A,#N/A,TRUE,"3";#N/A,#N/A,TRUE,"4";#N/A,#N/A,TRUE,"5";#N/A,#N/A,TRUE,"6";#N/A,#N/A,TRUE,"7"}</definedName>
    <definedName name="ㄹㅇㄴㅁ" hidden="1">{#N/A,#N/A,TRUE,"1";#N/A,#N/A,TRUE,"2";#N/A,#N/A,TRUE,"3";#N/A,#N/A,TRUE,"4";#N/A,#N/A,TRUE,"5";#N/A,#N/A,TRUE,"6";#N/A,#N/A,TRUE,"7"}</definedName>
    <definedName name="ㄹㅇㄴㅇㄴㅇㄹㅇ" localSheetId="0" hidden="1">{#N/A,#N/A,FALSE,"집계표"}</definedName>
    <definedName name="ㄹㅇㄴㅇㄴㅇㄹㅇ" hidden="1">{#N/A,#N/A,FALSE,"집계표"}</definedName>
    <definedName name="ㄹㅇ넛교ㅗ" localSheetId="0" hidden="1">{#N/A,#N/A,FALSE,"집계표"}</definedName>
    <definedName name="ㄹㅇ넛교ㅗ" hidden="1">{#N/A,#N/A,FALSE,"집계표"}</definedName>
    <definedName name="ㄹㅇ노ㅎ" localSheetId="0" hidden="1">{#N/A,#N/A,FALSE,"집계표"}</definedName>
    <definedName name="ㄹㅇ노ㅎ" hidden="1">{#N/A,#N/A,FALSE,"집계표"}</definedName>
    <definedName name="ㄹㅇㄶㄴㅅ" localSheetId="0" hidden="1">{#N/A,#N/A,FALSE,"집계표"}</definedName>
    <definedName name="ㄹㅇㄶㄴㅅ" hidden="1">{#N/A,#N/A,FALSE,"집계표"}</definedName>
    <definedName name="ㄹㅇㄶㅎㅇㄶㅇㅎㄹㅇ" localSheetId="0" hidden="1">{#N/A,#N/A,FALSE,"집계표"}</definedName>
    <definedName name="ㄹㅇㄶㅎㅇㄶㅇㅎㄹㅇ" hidden="1">{#N/A,#N/A,FALSE,"집계표"}</definedName>
    <definedName name="ㄹㅇ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서ㅗ" localSheetId="0" hidden="1">{#N/A,#N/A,FALSE,"집계표"}</definedName>
    <definedName name="ㄹㅇ서ㅗ" hidden="1">{#N/A,#N/A,FALSE,"집계표"}</definedName>
    <definedName name="ㄹㅇ소ㅛ" localSheetId="0" hidden="1">{#N/A,#N/A,FALSE,"집계표"}</definedName>
    <definedName name="ㄹㅇ소ㅛ" hidden="1">{#N/A,#N/A,FALSE,"집계표"}</definedName>
    <definedName name="ㄹㅇㅇㅇㅇㅇㅇ" localSheetId="0" hidden="1">{#N/A,#N/A,FALSE,"집계표"}</definedName>
    <definedName name="ㄹㅇㅇㅇㅇㅇㅇ" hidden="1">{#N/A,#N/A,FALSE,"집계표"}</definedName>
    <definedName name="ㄹㅇㅇㅇㅇㅇㅇㅇㅇㅇㅇ" localSheetId="0" hidden="1">{#N/A,#N/A,FALSE,"집계표"}</definedName>
    <definedName name="ㄹㅇㅇㅇㅇㅇㅇㅇㅇㅇㅇ" hidden="1">{#N/A,#N/A,FALSE,"집계표"}</definedName>
    <definedName name="ㄹㅇ옷" localSheetId="0" hidden="1">{#N/A,#N/A,FALSE,"집계표"}</definedName>
    <definedName name="ㄹㅇ옷" hidden="1">{#N/A,#N/A,FALSE,"집계표"}</definedName>
    <definedName name="ㄹㅇㅌㅇㄴㄱㄷ" localSheetId="0" hidden="1">{#N/A,#N/A,FALSE,"포장2"}</definedName>
    <definedName name="ㄹㅇㅌㅇㄴㄱㄷ" hidden="1">{#N/A,#N/A,FALSE,"포장2"}</definedName>
    <definedName name="ㄹㅇㅌㅎㅎㅎㅎㅎ" localSheetId="0" hidden="1">{#N/A,#N/A,FALSE,"집계표"}</definedName>
    <definedName name="ㄹㅇㅌㅎㅎㅎㅎㅎ" hidden="1">{#N/A,#N/A,FALSE,"집계표"}</definedName>
    <definedName name="ㄹㅇㅎ" localSheetId="0" hidden="1">{#N/A,#N/A,FALSE,"집계표"}</definedName>
    <definedName name="ㄹㅇㅎ" hidden="1">{#N/A,#N/A,FALSE,"집계표"}</definedName>
    <definedName name="ㄹㅇㅎㅊㅌㅍㅍ" localSheetId="0" hidden="1">{#N/A,#N/A,FALSE,"집계표"}</definedName>
    <definedName name="ㄹㅇㅎㅊㅌㅍㅍ" hidden="1">{#N/A,#N/A,FALSE,"집계표"}</definedName>
    <definedName name="ㄹㅇㅎㅎㅎㅎㅎㅎㅎㅎㅎ" localSheetId="0" hidden="1">{#N/A,#N/A,FALSE,"집계표"}</definedName>
    <definedName name="ㄹㅇㅎㅎㅎㅎㅎㅎㅎㅎㅎ" hidden="1">{#N/A,#N/A,FALSE,"집계표"}</definedName>
    <definedName name="ㄹㅇ허ㅗ" localSheetId="0" hidden="1">{#N/A,#N/A,FALSE,"집계표"}</definedName>
    <definedName name="ㄹㅇ허ㅗ" hidden="1">{#N/A,#N/A,FALSE,"집계표"}</definedName>
    <definedName name="ㄹㅇ효" localSheetId="0" hidden="1">{#N/A,#N/A,FALSE,"집계표"}</definedName>
    <definedName name="ㄹㅇ효" hidden="1">{#N/A,#N/A,FALSE,"집계표"}</definedName>
    <definedName name="ㄹ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호" localSheetId="0" hidden="1">{#N/A,#N/A,FALSE,"집계표"}</definedName>
    <definedName name="ㄹ어호" hidden="1">{#N/A,#N/A,FALSE,"집계표"}</definedName>
    <definedName name="ㄹ어ㅏ요ㅕ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" localSheetId="0" hidden="1">{#N/A,#N/A,FALSE,"집계표"}</definedName>
    <definedName name="ㄹ오" hidden="1">{#N/A,#N/A,FALSE,"집계표"}</definedName>
    <definedName name="ㄹ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ㅛ" localSheetId="0" hidden="1">{#N/A,#N/A,FALSE,"집계표"}</definedName>
    <definedName name="ㄹ오ㅛ" hidden="1">{#N/A,#N/A,FALSE,"집계표"}</definedName>
    <definedName name="ㄹ옿" localSheetId="0" hidden="1">{#N/A,#N/A,FALSE,"집계표"}</definedName>
    <definedName name="ㄹ옿" hidden="1">{#N/A,#N/A,FALSE,"집계표"}</definedName>
    <definedName name="ㄹ옿ㄴㄴㄴ노" localSheetId="0" hidden="1">{#N/A,#N/A,FALSE,"집계표"}</definedName>
    <definedName name="ㄹ옿ㄴㄴㄴ노" hidden="1">{#N/A,#N/A,FALSE,"집계표"}</definedName>
    <definedName name="ㄹ옿ㅇㄹ" localSheetId="0" hidden="1">{#N/A,#N/A,FALSE,"집계표"}</definedName>
    <definedName name="ㄹ옿ㅇㄹ" hidden="1">{#N/A,#N/A,FALSE,"집계표"}</definedName>
    <definedName name="ㄹ옿ㅎㅎㅎㅎㅎㅎㅎ" localSheetId="0" hidden="1">{#N/A,#N/A,FALSE,"집계표"}</definedName>
    <definedName name="ㄹ옿ㅎㅎㅎㅎㅎㅎㅎ" hidden="1">{#N/A,#N/A,FALSE,"집계표"}</definedName>
    <definedName name="ㄹㅎㄹㅎㅀ" localSheetId="1" hidden="1">#REF!</definedName>
    <definedName name="ㄹㅎㄹㅎㅀ" localSheetId="0" hidden="1">#REF!</definedName>
    <definedName name="ㄹㅎㄹㅎㅀ" localSheetId="2" hidden="1">#REF!</definedName>
    <definedName name="ㄹㅎㄹㅎㅀ" hidden="1">#REF!</definedName>
    <definedName name="ㄹ하ㅏㅏㅏㅏㅏ" localSheetId="0" hidden="1">{#N/A,#N/A,FALSE,"집계표"}</definedName>
    <definedName name="ㄹ하ㅏㅏㅏㅏㅏ" hidden="1">{#N/A,#N/A,FALSE,"집계표"}</definedName>
    <definedName name="ㄹ허ㅓ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localSheetId="0" hidden="1">{#N/A,#N/A,FALSE,"집계표"}</definedName>
    <definedName name="ㄹ허ㅗ" hidden="1">{#N/A,#N/A,FALSE,"집계표"}</definedName>
    <definedName name="ㄹ허ㅛㅛㅛㅛㅛㅛ" localSheetId="0" hidden="1">{#N/A,#N/A,FALSE,"집계표"}</definedName>
    <definedName name="ㄹ허ㅛㅛㅛㅛㅛㅛ" hidden="1">{#N/A,#N/A,FALSE,"집계표"}</definedName>
    <definedName name="ㄹ헐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혀퍼ㅜㅠ" localSheetId="0" hidden="1">{#N/A,#N/A,FALSE,"집계표"}</definedName>
    <definedName name="ㄹ혀퍼ㅜㅠ" hidden="1">{#N/A,#N/A,FALSE,"집계표"}</definedName>
    <definedName name="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ㅓㅛ" localSheetId="0" hidden="1">{#N/A,#N/A,FALSE,"집계표"}</definedName>
    <definedName name="ㄹ호ㅓㅛ" hidden="1">{#N/A,#N/A,FALSE,"집계표"}</definedName>
    <definedName name="ㄹ호ㅗㅎ" localSheetId="0" hidden="1">{#N/A,#N/A,FALSE,"집계표"}</definedName>
    <definedName name="ㄹ호ㅗㅎ" hidden="1">{#N/A,#N/A,FALSE,"집계표"}</definedName>
    <definedName name="ㄹ혼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홀ㅅ" localSheetId="0" hidden="1">{#N/A,#N/A,FALSE,"집계표"}</definedName>
    <definedName name="ㄹ홀ㅅ" hidden="1">{#N/A,#N/A,FALSE,"집계표"}</definedName>
    <definedName name="ㄹ홓ㄹ로ㅗㅗㅗㅗㅗㅗㅗ" localSheetId="0" hidden="1">{#N/A,#N/A,FALSE,"집계표"}</definedName>
    <definedName name="ㄹ홓ㄹ로ㅗㅗㅗㅗㅗㅗㅗ" hidden="1">{#N/A,#N/A,FALSE,"집계표"}</definedName>
    <definedName name="ㄹ효ㅓㅕ" localSheetId="0" hidden="1">{#N/A,#N/A,FALSE,"집계표"}</definedName>
    <definedName name="ㄹ효ㅓㅕ" hidden="1">{#N/A,#N/A,FALSE,"집계표"}</definedName>
    <definedName name="ㄹ후ㅗㄴ러ㅡ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ㅏㄹ" localSheetId="0" hidden="1">{#N/A,#N/A,FALSE,"집계표"}</definedName>
    <definedName name="라라라ㅏㄹ" hidden="1">{#N/A,#N/A,FALSE,"집계표"}</definedName>
    <definedName name="라아라라ㅏ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ㅏㅏ" localSheetId="0" hidden="1">{#N/A,#N/A,FALSE,"집계표"}</definedName>
    <definedName name="라ㅏㅏ" hidden="1">{#N/A,#N/A,FALSE,"집계표"}</definedName>
    <definedName name="라ㅓ셔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랏구" localSheetId="0" hidden="1">{#N/A,#N/A,FALSE,"집계표"}</definedName>
    <definedName name="랏구" hidden="1">{#N/A,#N/A,FALSE,"집계표"}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{#N/A,#N/A,FALSE,"변경관리예산";#N/A,#N/A,FALSE,"변경장비예산";#N/A,#N/A,FALSE,"변경준설예산";#N/A,#N/A,FALSE,"변경철구예산"}</definedName>
    <definedName name="래" hidden="1">{#N/A,#N/A,FALSE,"변경관리예산";#N/A,#N/A,FALSE,"변경장비예산";#N/A,#N/A,FALSE,"변경준설예산";#N/A,#N/A,FALSE,"변경철구예산"}</definedName>
    <definedName name="랴" localSheetId="0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러럴" localSheetId="0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러ㅏㄹ" localSheetId="0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러ㅛㄷ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렃퍼ㅗ" localSheetId="0" hidden="1">{#N/A,#N/A,FALSE,"집계표"}</definedName>
    <definedName name="렃퍼ㅗ" hidden="1">{#N/A,#N/A,FALSE,"집계표"}</definedName>
    <definedName name="련" localSheetId="0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로헝ㄱ" localSheetId="0" hidden="1">{#N/A,#N/A,FALSE,"집계표"}</definedName>
    <definedName name="로헝ㄱ" hidden="1">{#N/A,#N/A,FALSE,"집계표"}</definedName>
    <definedName name="로ㅓㄷ쇼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롷ㅎㅎㅎㅎ" localSheetId="0" hidden="1">{#N/A,#N/A,FALSE,"집계표"}</definedName>
    <definedName name="롷ㅎㅎㅎㅎ" hidden="1">{#N/A,#N/A,FALSE,"집계표"}</definedName>
    <definedName name="료ㅏㅓ사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0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류ㅣㅏ" localSheetId="0" hidden="1">{#N/A,#N/A,FALSE,"집계표"}</definedName>
    <definedName name="류ㅣㅏ" hidden="1">{#N/A,#N/A,FALSE,"집계표"}</definedName>
    <definedName name="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ㄿ호ㅗㅗ" localSheetId="0" hidden="1">{#N/A,#N/A,FALSE,"집계표"}</definedName>
    <definedName name="ㄿ호ㅗㅗ" hidden="1">{#N/A,#N/A,FALSE,"집계표"}</definedName>
    <definedName name="ㅀㅅㄱ" localSheetId="0" hidden="1">{#N/A,#N/A,FALSE,"Sheet6"}</definedName>
    <definedName name="ㅀㅅㄱ" hidden="1">{#N/A,#N/A,FALSE,"Sheet6"}</definedName>
    <definedName name="ㅀㅇ" localSheetId="0" hidden="1">{#N/A,#N/A,FALSE,"집계표"}</definedName>
    <definedName name="ㅀㅇ" hidden="1">{#N/A,#N/A,FALSE,"집계표"}</definedName>
    <definedName name="ㅀ오ㅓㅎ롱ㄶㄹㄴ" localSheetId="0" hidden="1">{#N/A,#N/A,FALSE,"2~8번"}</definedName>
    <definedName name="ㅀ오ㅓㅎ롱ㄶㄹㄴ" hidden="1">{#N/A,#N/A,FALSE,"2~8번"}</definedName>
    <definedName name="ㅀㅎㅎㅇㅁㅎ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localSheetId="0" hidden="1">{#N/A,#N/A,FALSE,"CCTV"}</definedName>
    <definedName name="ㅀ허" hidden="1">{#N/A,#N/A,FALSE,"CCTV"}</definedName>
    <definedName name="ㅁㄱㄷㅋㄴㅇ" localSheetId="0" hidden="1">{#N/A,#N/A,FALSE,"집계표"}</definedName>
    <definedName name="ㅁㄱㄷㅋㄴㅇ" hidden="1">{#N/A,#N/A,FALSE,"집계표"}</definedName>
    <definedName name="ㅁㄱ솢ㅁ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localSheetId="0" hidden="1">{#N/A,#N/A,FALSE,"집계표"}</definedName>
    <definedName name="ㅁㄴㄹ" hidden="1">{#N/A,#N/A,FALSE,"집계표"}</definedName>
    <definedName name="ㅁㄴㅁㅇ" localSheetId="1" hidden="1">[21]유림골조!#REF!</definedName>
    <definedName name="ㅁㄴㅁㅇ" localSheetId="0" hidden="1">[21]유림골조!#REF!</definedName>
    <definedName name="ㅁㄴㅁㅇ" localSheetId="2" hidden="1">[21]유림골조!#REF!</definedName>
    <definedName name="ㅁㄴㅁㅇ" hidden="1">[21]유림골조!#REF!</definedName>
    <definedName name="ㅁ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0" hidden="1">{#N/A,#N/A,FALSE,"집계표"}</definedName>
    <definedName name="ㅁㄴㅇㄹ" hidden="1">{#N/A,#N/A,FALSE,"집계표"}</definedName>
    <definedName name="ㅁㄴㅇㄻㄴㅇㄻㄴㄹ" localSheetId="0" hidden="1">{#N/A,#N/A,FALSE,"명세표"}</definedName>
    <definedName name="ㅁㄴㅇㄻㄴㅇㄻㄴㄹ" hidden="1">{#N/A,#N/A,FALSE,"명세표"}</definedName>
    <definedName name="ㅁㄴㅇㅀ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ㅁㄴㅇ" localSheetId="1" hidden="1">#REF!</definedName>
    <definedName name="ㅁㄴㅇㅁㄴㅇ" localSheetId="0" hidden="1">#REF!</definedName>
    <definedName name="ㅁㄴㅇㅁㄴㅇ" localSheetId="2" hidden="1">#REF!</definedName>
    <definedName name="ㅁㄴㅇㅁㄴㅇ" hidden="1">#REF!</definedName>
    <definedName name="ㅁㄴㅇㅁㅌㅋ" localSheetId="0" hidden="1">{#N/A,#N/A,FALSE,"집계표"}</definedName>
    <definedName name="ㅁㄴㅇㅁㅌㅋ" hidden="1">{#N/A,#N/A,FALSE,"집계표"}</definedName>
    <definedName name="ㅁㄴ아랴" localSheetId="0" hidden="1">{#N/A,#N/A,FALSE,"집계표"}</definedName>
    <definedName name="ㅁㄴ아랴" hidden="1">{#N/A,#N/A,FALSE,"집계표"}</definedName>
    <definedName name="ㅁㄴ아ㅓㄹ킽" localSheetId="0" hidden="1">{#N/A,#N/A,FALSE,"집계표"}</definedName>
    <definedName name="ㅁㄴ아ㅓㄹ킽" hidden="1">{#N/A,#N/A,FALSE,"집계표"}</definedName>
    <definedName name="ㅁㄴ아ㅓㅎ" localSheetId="0" hidden="1">{#N/A,#N/A,FALSE,"집계표"}</definedName>
    <definedName name="ㅁㄴ아ㅓㅎ" hidden="1">{#N/A,#N/A,FALSE,"집계표"}</definedName>
    <definedName name="ㅁㄴ얼" localSheetId="0" hidden="1">{#N/A,#N/A,FALSE,"집계표"}</definedName>
    <definedName name="ㅁㄴ얼" hidden="1">{#N/A,#N/A,FALSE,"집계표"}</definedName>
    <definedName name="ㅁ날어" localSheetId="0" hidden="1">{#N/A,#N/A,FALSE,"집계표"}</definedName>
    <definedName name="ㅁ날어" hidden="1">{#N/A,#N/A,FALSE,"집계표"}</definedName>
    <definedName name="ㅁ널머밀ㅇㄴ" localSheetId="0" hidden="1">{#N/A,#N/A,FALSE,"집계표"}</definedName>
    <definedName name="ㅁ널머밀ㅇㄴ" hidden="1">{#N/A,#N/A,FALSE,"집계표"}</definedName>
    <definedName name="ㅁ널이ㅏㅓㄴ" localSheetId="0" hidden="1">{#N/A,#N/A,FALSE,"집계표"}</definedName>
    <definedName name="ㅁ널이ㅏㅓㄴ" hidden="1">{#N/A,#N/A,FALSE,"집계표"}</definedName>
    <definedName name="ㅁ니ㅏㅎㅋㅇ" localSheetId="0" hidden="1">{#N/A,#N/A,FALSE,"집계표"}</definedName>
    <definedName name="ㅁ니ㅏㅎㅋㅇ" hidden="1">{#N/A,#N/A,FALSE,"집계표"}</definedName>
    <definedName name="ㅁㄶ리ㅏㅓ" localSheetId="0" hidden="1">{#N/A,#N/A,FALSE,"집계표"}</definedName>
    <definedName name="ㅁㄶ리ㅏㅓ" hidden="1">{#N/A,#N/A,FALSE,"집계표"}</definedName>
    <definedName name="ㅁㄶㅇ" localSheetId="0" hidden="1">{#N/A,#N/A,FALSE,"집계표"}</definedName>
    <definedName name="ㅁㄶㅇ" hidden="1">{#N/A,#N/A,FALSE,"집계표"}</definedName>
    <definedName name="ㅁㄷ고ㅠ모륟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나ㅓㅇㅇㅌ" localSheetId="0" hidden="1">{#N/A,#N/A,FALSE,"집계표"}</definedName>
    <definedName name="ㅁㄷ나ㅓㅇㅇㅌ" hidden="1">{#N/A,#N/A,FALSE,"집계표"}</definedName>
    <definedName name="ㅁㅁ" localSheetId="1" hidden="1">#REF!</definedName>
    <definedName name="ㅁㅁ" localSheetId="0" hidden="1">#REF!</definedName>
    <definedName name="ㅁㅁ" localSheetId="2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localSheetId="1" hidden="1">#REF!</definedName>
    <definedName name="ㅁㅁㅁㅁㅁㅁ" localSheetId="0" hidden="1">#REF!</definedName>
    <definedName name="ㅁㅁㅁㅁㅁㅁ" localSheetId="2" hidden="1">#REF!</definedName>
    <definedName name="ㅁㅁㅁㅁㅁㅁ" hidden="1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나ㅓ키ㅏㄴ" localSheetId="0" hidden="1">{#N/A,#N/A,FALSE,"집계표"}</definedName>
    <definedName name="ㅁㅇ나ㅓ키ㅏㄴ" hidden="1">{#N/A,#N/A,FALSE,"집계표"}</definedName>
    <definedName name="ㅁㅇㄹㅇㅎㄻㅍ" localSheetId="0" hidden="1">{#N/A,#N/A,FALSE,"집계표"}</definedName>
    <definedName name="ㅁㅇㄹㅇㅎㄻㅍ" hidden="1">{#N/A,#N/A,FALSE,"집계표"}</definedName>
    <definedName name="ㅁㅇㅀㅂ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ㅇ" localSheetId="0" hidden="1">{#N/A,#N/A,FALSE,"Sheet1"}</definedName>
    <definedName name="ㅁㅇㅇ" hidden="1">{#N/A,#N/A,FALSE,"Sheet1"}</definedName>
    <definedName name="ㅁㅈㄷ" localSheetId="0" hidden="1">{#N/A,#N/A,FALSE,"배수1"}</definedName>
    <definedName name="ㅁㅈㄷ" hidden="1">{#N/A,#N/A,FALSE,"배수1"}</definedName>
    <definedName name="ㅁㅈㅂㄷㄺㅂ" localSheetId="0" hidden="1">{#N/A,#N/A,FALSE,"집계표"}</definedName>
    <definedName name="ㅁㅈㅂㄷㄺㅂ" hidden="1">{#N/A,#N/A,FALSE,"집계표"}</definedName>
    <definedName name="ㅁㅈ뱔ㅇ" localSheetId="0" hidden="1">{#N/A,#N/A,FALSE,"집계표"}</definedName>
    <definedName name="ㅁㅈ뱔ㅇ" hidden="1">{#N/A,#N/A,FALSE,"집계표"}</definedName>
    <definedName name="ㅁㅋㄴ이ㅏㄹ" localSheetId="0" hidden="1">{#N/A,#N/A,FALSE,"집계표"}</definedName>
    <definedName name="ㅁㅋㄴ이ㅏㄹ" hidden="1">{#N/A,#N/A,FALSE,"집계표"}</definedName>
    <definedName name="ㅁㅎ이ㅏ" localSheetId="0" hidden="1">{#N/A,#N/A,FALSE,"집계표"}</definedName>
    <definedName name="ㅁㅎ이ㅏ" hidden="1">{#N/A,#N/A,FALSE,"집계표"}</definedName>
    <definedName name="ㅁㅎㅎ" localSheetId="1" hidden="1">#REF!</definedName>
    <definedName name="ㅁㅎㅎ" localSheetId="0" hidden="1">#REF!</definedName>
    <definedName name="ㅁㅎㅎ" localSheetId="2" hidden="1">#REF!</definedName>
    <definedName name="ㅁㅎㅎ" hidden="1">#REF!</definedName>
    <definedName name="마널이ㅏ" localSheetId="0" hidden="1">{#N/A,#N/A,FALSE,"집계표"}</definedName>
    <definedName name="마널이ㅏ" hidden="1">{#N/A,#N/A,FALSE,"집계표"}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0" hidden="1">{#N/A,#N/A,FALSE,"2~8번"}</definedName>
    <definedName name="만득이" hidden="1">{#N/A,#N/A,FALSE,"2~8번"}</definedName>
    <definedName name="매입세액" localSheetId="0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홀집계표" localSheetId="0" hidden="1">{#N/A,#N/A,FALSE,"포장단가"}</definedName>
    <definedName name="맨홀집계표" hidden="1">{#N/A,#N/A,FALSE,"포장단가"}</definedName>
    <definedName name="며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명일" localSheetId="0" hidden="1">{#N/A,#N/A,FALSE,"속도"}</definedName>
    <definedName name="명일" hidden="1">{#N/A,#N/A,FALSE,"속도"}</definedName>
    <definedName name="모" localSheetId="0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몬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" localSheetId="0" hidden="1">{#N/A,#N/A,FALSE,"이태원철근"}</definedName>
    <definedName name="물" hidden="1">{#N/A,#N/A,FALSE,"이태원철근"}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근거" localSheetId="0" hidden="1">{#N/A,#N/A,FALSE,"도급대비시행율";#N/A,#N/A,FALSE,"결의서";#N/A,#N/A,FALSE,"내역서";#N/A,#N/A,FALSE,"도급예상"}</definedName>
    <definedName name="물량산출근거" hidden="1">{#N/A,#N/A,FALSE,"도급대비시행율";#N/A,#N/A,FALSE,"결의서";#N/A,#N/A,FALSE,"내역서";#N/A,#N/A,FALSE,"도급예상"}</definedName>
    <definedName name="물량산출랍" localSheetId="0" hidden="1">{#N/A,#N/A,FALSE,"Sheet1"}</definedName>
    <definedName name="물량산출랍" hidden="1">{#N/A,#N/A,FALSE,"Sheet1"}</definedName>
    <definedName name="뭐가이태원이야" localSheetId="0" hidden="1">{#N/A,#N/A,FALSE,"이태원철근"}</definedName>
    <definedName name="뭐가이태원이야" hidden="1">{#N/A,#N/A,FALSE,"이태원철근"}</definedName>
    <definedName name="므ㅓ" localSheetId="0" hidden="1">{#N/A,#N/A,FALSE,"집계표"}</definedName>
    <definedName name="므ㅓ" hidden="1">{#N/A,#N/A,FALSE,"집계표"}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물량" localSheetId="0" hidden="1">{#N/A,#N/A,FALSE,"Sheet1"}</definedName>
    <definedName name="미장물량" hidden="1">{#N/A,#N/A,FALSE,"Sheet1"}</definedName>
    <definedName name="미ㅣㅁ" localSheetId="0" hidden="1">{#N/A,#N/A,FALSE,"집계표"}</definedName>
    <definedName name="미ㅣㅁ" hidden="1">{#N/A,#N/A,FALSE,"집계표"}</definedName>
    <definedName name="민원관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0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민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2ㅂ2" localSheetId="0" hidden="1">{#N/A,#N/A,FALSE,"배수1"}</definedName>
    <definedName name="ㅂ2ㅂ2" hidden="1">{#N/A,#N/A,FALSE,"배수1"}</definedName>
    <definedName name="ㅂㄳ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ㄷㅂㄱ" localSheetId="1" hidden="1">#REF!</definedName>
    <definedName name="ㅂㄷㄳㄷㅂㄱ" localSheetId="0" hidden="1">#REF!</definedName>
    <definedName name="ㅂㄷㄳㄷㅂㄱ" localSheetId="2" hidden="1">#REF!</definedName>
    <definedName name="ㅂㄷㄳㄷㅂㄱ" hidden="1">#REF!</definedName>
    <definedName name="ㅂㄷㅅㅄ" localSheetId="1" hidden="1">#REF!</definedName>
    <definedName name="ㅂㄷㅅㅄ" localSheetId="0" hidden="1">#REF!</definedName>
    <definedName name="ㅂㄷㅅㅄ" localSheetId="2" hidden="1">#REF!</definedName>
    <definedName name="ㅂㄷㅅㅄ" hidden="1">#REF!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{"'용역비'!$A$4:$C$8"}</definedName>
    <definedName name="ㅂㅂㅂ" hidden="1">{"'용역비'!$A$4:$C$8"}</definedName>
    <definedName name="ㅂㅂㅂㅂㅂ" localSheetId="0" hidden="1">{"'별표'!$N$220"}</definedName>
    <definedName name="ㅂㅂㅂㅂㅂ" hidden="1">{"'별표'!$N$220"}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ㄱ" localSheetId="0" hidden="1">{#N/A,#N/A,FALSE,"지침";#N/A,#N/A,FALSE,"환경분석";#N/A,#N/A,FALSE,"Sheet16"}</definedName>
    <definedName name="ㅂㅈㄷㄱ" hidden="1">{#N/A,#N/A,FALSE,"지침";#N/A,#N/A,FALSE,"환경분석";#N/A,#N/A,FALSE,"Sheet16"}</definedName>
    <definedName name="ㅂㅈㄷ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localSheetId="0" hidden="1">{#N/A,#N/A,FALSE,"배수1"}</definedName>
    <definedName name="ㅂ쟈ㅕㅑㅂ1" hidden="1">{#N/A,#N/A,FALSE,"배수1"}</definedName>
    <definedName name="바부" localSheetId="0" hidden="1">{"'용역비'!$A$4:$C$8"}</definedName>
    <definedName name="바부" hidden="1">{"'용역비'!$A$4:$C$8"}</definedName>
    <definedName name="박" localSheetId="0" hidden="1">{#N/A,#N/A,FALSE,"구조1"}</definedName>
    <definedName name="박" hidden="1">{#N/A,#N/A,FALSE,"구조1"}</definedName>
    <definedName name="박상열" localSheetId="0" hidden="1">{#N/A,#N/A,FALSE,"현장 NCR 분석";#N/A,#N/A,FALSE,"현장품질감사";#N/A,#N/A,FALSE,"현장품질감사"}</definedName>
    <definedName name="박상열" hidden="1">{#N/A,#N/A,FALSE,"현장 NCR 분석";#N/A,#N/A,FALSE,"현장품질감사";#N/A,#N/A,FALSE,"현장품질감사"}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시방1" localSheetId="0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배수공집계_주요자재" localSheetId="0" hidden="1">{#N/A,#N/A,FALSE,"포장단가"}</definedName>
    <definedName name="배수공집계_주요자재" hidden="1">{#N/A,#N/A,FALSE,"포장단가"}</definedName>
    <definedName name="벙" localSheetId="0" hidden="1">{#N/A,#N/A,FALSE,"Sheet6"}</definedName>
    <definedName name="벙" hidden="1">{#N/A,#N/A,FALSE,"Sheet6"}</definedName>
    <definedName name="벽체" localSheetId="0" hidden="1">{#N/A,#N/A,FALSE,"혼합골재"}</definedName>
    <definedName name="벽체" hidden="1">{#N/A,#N/A,FALSE,"혼합골재"}</definedName>
    <definedName name="변경2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변경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보고자료" localSheetId="0" hidden="1">{#N/A,#N/A,FALSE,"집계표"}</definedName>
    <definedName name="보고자료" hidden="1">{#N/A,#N/A,FALSE,"집계표"}</definedName>
    <definedName name="보링" localSheetId="0" hidden="1">{#N/A,#N/A,FALSE,"포장2"}</definedName>
    <definedName name="보링" hidden="1">{#N/A,#N/A,FALSE,"포장2"}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평" localSheetId="0" hidden="1">{#N/A,#N/A,FALSE,"전력간선"}</definedName>
    <definedName name="보평" hidden="1">{#N/A,#N/A,FALSE,"전력간선"}</definedName>
    <definedName name="보평1" localSheetId="0" hidden="1">{#N/A,#N/A,FALSE,"전력간선"}</definedName>
    <definedName name="보평1" hidden="1">{#N/A,#N/A,FALSE,"전력간선"}</definedName>
    <definedName name="복사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localSheetId="0" hidden="1">{#N/A,#N/A,FALSE,"부대2"}</definedName>
    <definedName name="복ㅇ" hidden="1">{#N/A,#N/A,FALSE,"부대2"}</definedName>
    <definedName name="복지" localSheetId="1" hidden="1">#REF!</definedName>
    <definedName name="복지" localSheetId="0" hidden="1">#REF!</definedName>
    <definedName name="복지" localSheetId="2" hidden="1">#REF!</definedName>
    <definedName name="복지" hidden="1">#REF!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뵤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대a" localSheetId="0" hidden="1">{#N/A,#N/A,FALSE,"골재소요량";#N/A,#N/A,FALSE,"골재소요량"}</definedName>
    <definedName name="부대a" hidden="1">{#N/A,#N/A,FALSE,"골재소요량";#N/A,#N/A,FALSE,"골재소요량"}</definedName>
    <definedName name="부대건축2" localSheetId="1" hidden="1">[22]유림골조!#REF!</definedName>
    <definedName name="부대건축2" localSheetId="0" hidden="1">[22]유림골조!#REF!</definedName>
    <definedName name="부대건축2" localSheetId="2" hidden="1">[22]유림골조!#REF!</definedName>
    <definedName name="부대건축2" hidden="1">[22]유림골조!#REF!</definedName>
    <definedName name="부대구조" localSheetId="0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0" hidden="1">{#N/A,#N/A,FALSE,"단가표지"}</definedName>
    <definedName name="부대방안" hidden="1">{#N/A,#N/A,FALSE,"단가표지"}</definedName>
    <definedName name="부대실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원가" localSheetId="0" hidden="1">{#N/A,#N/A,FALSE,"배수2"}</definedName>
    <definedName name="부대원가" hidden="1">{#N/A,#N/A,FALSE,"배수2"}</definedName>
    <definedName name="부대원본" localSheetId="0" hidden="1">{#N/A,#N/A,FALSE,"토공2"}</definedName>
    <definedName name="부대원본" hidden="1">{#N/A,#N/A,FALSE,"토공2"}</definedName>
    <definedName name="부대철콘" localSheetId="0" hidden="1">{#N/A,#N/A,FALSE,"배수1"}</definedName>
    <definedName name="부대철콘" hidden="1">{#N/A,#N/A,FALSE,"배수1"}</definedName>
    <definedName name="부대토공" localSheetId="0" hidden="1">{#N/A,#N/A,FALSE,"구조2"}</definedName>
    <definedName name="부대토공" hidden="1">{#N/A,#N/A,FALSE,"구조2"}</definedName>
    <definedName name="부대토공2" localSheetId="0" hidden="1">{#N/A,#N/A,FALSE,"구조2"}</definedName>
    <definedName name="부대토공2" hidden="1">{#N/A,#N/A,FALSE,"구조2"}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localSheetId="1" hidden="1">#REF!</definedName>
    <definedName name="분당공" localSheetId="0" hidden="1">#REF!</definedName>
    <definedName name="분당공" localSheetId="2" hidden="1">#REF!</definedName>
    <definedName name="분당공" hidden="1">#REF!</definedName>
    <definedName name="분당물가" localSheetId="1" hidden="1">#REF!</definedName>
    <definedName name="분당물가" localSheetId="0" hidden="1">#REF!</definedName>
    <definedName name="분당물가" localSheetId="2" hidden="1">#REF!</definedName>
    <definedName name="분당물가" hidden="1">#REF!</definedName>
    <definedName name="분당코아" localSheetId="1" hidden="1">#REF!</definedName>
    <definedName name="분당코아" localSheetId="0" hidden="1">#REF!</definedName>
    <definedName name="분당코아" localSheetId="2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분석" localSheetId="0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과세" localSheetId="1" hidden="1">#REF!</definedName>
    <definedName name="비과세" localSheetId="0" hidden="1">#REF!</definedName>
    <definedName name="비과세" localSheetId="2" hidden="1">#REF!</definedName>
    <definedName name="비과세" hidden="1">#REF!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ㅄ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54ㅛㄳ" localSheetId="1" hidden="1">#REF!</definedName>
    <definedName name="ㅅ54ㅛㄳ" localSheetId="0" hidden="1">#REF!</definedName>
    <definedName name="ㅅ54ㅛㄳ" localSheetId="2" hidden="1">#REF!</definedName>
    <definedName name="ㅅ54ㅛㄳ" hidden="1">#REF!</definedName>
    <definedName name="ㅅㄱ" localSheetId="1" hidden="1">[23]내역서!#REF!</definedName>
    <definedName name="ㅅㄱ" localSheetId="0" hidden="1">[23]내역서!#REF!</definedName>
    <definedName name="ㅅㄱ" localSheetId="2" hidden="1">[23]내역서!#REF!</definedName>
    <definedName name="ㅅㄱ" hidden="1">[23]내역서!#REF!</definedName>
    <definedName name="ㅅㄱㄱㄷ" localSheetId="0" hidden="1">{#N/A,#N/A,FALSE,"집계표"}</definedName>
    <definedName name="ㅅㄱㄱㄷ" hidden="1">{#N/A,#N/A,FALSE,"집계표"}</definedName>
    <definedName name="ㅅㄱㄷㅅㄱㄷ" localSheetId="0" hidden="1">{#N/A,#N/A,FALSE,"구조2"}</definedName>
    <definedName name="ㅅㄱㄷㅅㄱㄷ" hidden="1">{#N/A,#N/A,FALSE,"구조2"}</definedName>
    <definedName name="ㅅㄱㄷㅅㄷㄱ" localSheetId="0" hidden="1">{#N/A,#N/A,FALSE,"단가표지"}</definedName>
    <definedName name="ㅅㄱㄷㅅㄷㄱ" hidden="1">{#N/A,#N/A,FALSE,"단가표지"}</definedName>
    <definedName name="ㅅㄱㄷㅅㄷㄳ" localSheetId="0" hidden="1">{#N/A,#N/A,FALSE,"골재소요량";#N/A,#N/A,FALSE,"골재소요량"}</definedName>
    <definedName name="ㅅㄱㄷㅅㄷㄳ" hidden="1">{#N/A,#N/A,FALSE,"골재소요량";#N/A,#N/A,FALSE,"골재소요량"}</definedName>
    <definedName name="ㅅㄱ혿ㄱㅎ" localSheetId="0" hidden="1">{#N/A,#N/A,FALSE,"Sheet6"}</definedName>
    <definedName name="ㅅㄱ혿ㄱㅎ" hidden="1">{#N/A,#N/A,FALSE,"Sheet6"}</definedName>
    <definedName name="ㅅ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곣ㅈ궈ㅕ" localSheetId="1" hidden="1">#REF!</definedName>
    <definedName name="ㅅ곣ㅈ궈ㅕ" localSheetId="0" hidden="1">#REF!</definedName>
    <definedName name="ㅅ곣ㅈ궈ㅕ" localSheetId="2" hidden="1">#REF!</definedName>
    <definedName name="ㅅ곣ㅈ궈ㅕ" hidden="1">#REF!</definedName>
    <definedName name="ㅅ굔ㄱㄷ" localSheetId="0" hidden="1">{#N/A,#N/A,FALSE,"Sheet6"}</definedName>
    <definedName name="ㅅ굔ㄱㄷ" hidden="1">{#N/A,#N/A,FALSE,"Sheet6"}</definedName>
    <definedName name="ㅅ굦ㄷㄱ" localSheetId="0" hidden="1">{#N/A,#N/A,FALSE,"집계표"}</definedName>
    <definedName name="ㅅ굦ㄷㄱ" hidden="1">{#N/A,#N/A,FALSE,"집계표"}</definedName>
    <definedName name="ㅅ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1" hidden="1">#REF!</definedName>
    <definedName name="ㅅㅅ" localSheetId="0" hidden="1">#REF!</definedName>
    <definedName name="ㅅㅅ" localSheetId="2" hidden="1">#REF!</definedName>
    <definedName name="ㅅㅅ" hidden="1">#REF!</definedName>
    <definedName name="ㅅㅅㅅㅅ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숃쇼됻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ㅌㅇ료" localSheetId="0" hidden="1">{#N/A,#N/A,FALSE,"집계표"}</definedName>
    <definedName name="ㅅㅎㅌㅇ료" hidden="1">{#N/A,#N/A,FALSE,"집계표"}</definedName>
    <definedName name="ㅅㅓ" localSheetId="1" hidden="1">#REF!</definedName>
    <definedName name="ㅅㅓ" localSheetId="0" hidden="1">#REF!</definedName>
    <definedName name="ㅅㅓ" localSheetId="2" hidden="1">#REF!</definedName>
    <definedName name="ㅅㅓ" hidden="1">#REF!</definedName>
    <definedName name="사" localSheetId="1" hidden="1">#REF!</definedName>
    <definedName name="사" localSheetId="0" hidden="1">#REF!</definedName>
    <definedName name="사" localSheetId="2" hidden="1">#REF!</definedName>
    <definedName name="사" hidden="1">#REF!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급" localSheetId="0" hidden="1">{#N/A,#N/A,FALSE,"배수2"}</definedName>
    <definedName name="사급" hidden="1">{#N/A,#N/A,FALSE,"배수2"}</definedName>
    <definedName name="사면녹화공" localSheetId="0" hidden="1">{#N/A,#N/A,FALSE,"CCTV"}</definedName>
    <definedName name="사면녹화공" hidden="1">{#N/A,#N/A,FALSE,"CCTV"}</definedName>
    <definedName name="사ㅓ다ㅓ더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갑" localSheetId="0" hidden="1">{#N/A,#N/A,FALSE,"구조2"}</definedName>
    <definedName name="산출갑" hidden="1">{#N/A,#N/A,FALSE,"구조2"}</definedName>
    <definedName name="산출근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근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호" localSheetId="0" hidden="1">{#N/A,#N/A,FALSE,"배수2"}</definedName>
    <definedName name="삼호" hidden="1">{#N/A,#N/A,FALSE,"배수2"}</definedName>
    <definedName name="삽" localSheetId="0" hidden="1">{#N/A,#N/A,FALSE,"Sheet6"}</definedName>
    <definedName name="삽" hidden="1">{#N/A,#N/A,FALSE,"Sheet6"}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공통" localSheetId="0" hidden="1">{#N/A,#N/A,FALSE,"이태원철근"}</definedName>
    <definedName name="새공통" hidden="1">{#N/A,#N/A,FALSE,"이태원철근"}</definedName>
    <definedName name="새내역서" localSheetId="0" hidden="1">{#N/A,#N/A,FALSE,"Sheet1"}</definedName>
    <definedName name="새내역서" hidden="1">{#N/A,#N/A,FALSE,"Sheet1"}</definedName>
    <definedName name="서거ㅜㅛㅛ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아" localSheetId="0" hidden="1">{#N/A,#N/A,FALSE,"집계표"}</definedName>
    <definedName name="서아" hidden="1">{#N/A,#N/A,FALSE,"집계표"}</definedName>
    <definedName name="서ㅛ거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서" localSheetId="0" hidden="1">{#N/A,#N/A,FALSE,"전력간선"}</definedName>
    <definedName name="설계서" hidden="1">{#N/A,#N/A,FALSE,"전력간선"}</definedName>
    <definedName name="설명" localSheetId="0" hidden="1">{#N/A,#N/A,FALSE,"부대1"}</definedName>
    <definedName name="설명" hidden="1">{#N/A,#N/A,FALSE,"부대1"}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다뎌ㅕㅕ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계획2" localSheetId="0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소화갑지" localSheetId="0" hidden="1">{#N/A,#N/A,FALSE,"CCTV"}</definedName>
    <definedName name="소화갑지" hidden="1">{#N/A,#N/A,FALSE,"CCTV"}</definedName>
    <definedName name="소ㅓㅏㅈㄴ서ㅡㅜㅊ크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솓소돋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localSheetId="0" hidden="1">{#N/A,#N/A,FALSE,"포장1";#N/A,#N/A,FALSE,"포장1"}</definedName>
    <definedName name="쇼" hidden="1">{#N/A,#N/A,FALSE,"포장1";#N/A,#N/A,FALSE,"포장1"}</definedName>
    <definedName name="쇼더ㅕ뎌ㅛ더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ㅅ" localSheetId="0" hidden="1">{#N/A,#N/A,FALSE,"Sheet6"}</definedName>
    <definedName name="쇼ㅏㅅ" hidden="1">{#N/A,#N/A,FALSE,"Sheet6"}</definedName>
    <definedName name="쇼ㅏㅕ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ㅓㅅ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ㅎㄹ" localSheetId="0" hidden="1">{#N/A,#N/A,FALSE,"집계표"}</definedName>
    <definedName name="쇼ㅓㅎㄹ" hidden="1">{#N/A,#N/A,FALSE,"집계표"}</definedName>
    <definedName name="쇼ㅓㅏ뎌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숏교" localSheetId="0" hidden="1">{#N/A,#N/A,FALSE,"Sheet6"}</definedName>
    <definedName name="숏교" hidden="1">{#N/A,#N/A,FALSE,"Sheet6"}</definedName>
    <definedName name="수" localSheetId="1" hidden="1">#REF!</definedName>
    <definedName name="수" localSheetId="0" hidden="1">#REF!</definedName>
    <definedName name="수" localSheetId="2" hidden="1">#REF!</definedName>
    <definedName name="수" hidden="1">#REF!</definedName>
    <definedName name="수량산출근거" localSheetId="0" hidden="1">{#N/A,#N/A,FALSE,"표지"}</definedName>
    <definedName name="수량산출근거" hidden="1">{#N/A,#N/A,FALSE,"표지"}</definedName>
    <definedName name="수량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정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ㅗ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시행" localSheetId="0" hidden="1">{#N/A,#N/A,FALSE,"이태원철근"}</definedName>
    <definedName name="시행" hidden="1">{#N/A,#N/A,FALSE,"이태원철근"}</definedName>
    <definedName name="시험실과식당" localSheetId="0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신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행금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금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ㄱ로ㅕㅛ" localSheetId="0" hidden="1">{#N/A,#N/A,FALSE,"집계표"}</definedName>
    <definedName name="ㅇㄱ로ㅕㅛ" hidden="1">{#N/A,#N/A,FALSE,"집계표"}</definedName>
    <definedName name="ㅇ거" localSheetId="0" hidden="1">{#N/A,#N/A,FALSE,"집계표"}</definedName>
    <definedName name="ㅇ거" hidden="1">{#N/A,#N/A,FALSE,"집계표"}</definedName>
    <definedName name="ㅇㄳㄹ호" localSheetId="0" hidden="1">{#N/A,#N/A,FALSE,"집계표"}</definedName>
    <definedName name="ㅇㄳㄹ호" hidden="1">{#N/A,#N/A,FALSE,"집계표"}</definedName>
    <definedName name="ㅇㄴㄱ숖ㅊ" localSheetId="0" hidden="1">{#N/A,#N/A,FALSE,"집계표"}</definedName>
    <definedName name="ㅇㄴㄱ숖ㅊ" hidden="1">{#N/A,#N/A,FALSE,"집계표"}</definedName>
    <definedName name="ㅇㄴ굫ㅅ" localSheetId="0" hidden="1">{#N/A,#N/A,FALSE,"집계표"}</definedName>
    <definedName name="ㅇㄴ굫ㅅ" hidden="1">{#N/A,#N/A,FALSE,"집계표"}</definedName>
    <definedName name="ㅇㄴㄴㄴㄴㄴㄴㄴㄴ" localSheetId="0" hidden="1">{#N/A,#N/A,FALSE,"집계표"}</definedName>
    <definedName name="ㅇㄴㄴㄴㄴㄴㄴㄴㄴ" hidden="1">{#N/A,#N/A,FALSE,"집계표"}</definedName>
    <definedName name="ㅇㄴㄹㅎ" localSheetId="0" hidden="1">{#N/A,#N/A,FALSE,"집계표"}</definedName>
    <definedName name="ㅇㄴㄹㅎ" hidden="1">{#N/A,#N/A,FALSE,"집계표"}</definedName>
    <definedName name="ㅇㄴㄹ해" localSheetId="0" hidden="1">{#N/A,#N/A,FALSE,"집계표"}</definedName>
    <definedName name="ㅇㄴㄹ해" hidden="1">{#N/A,#N/A,FALSE,"집계표"}</definedName>
    <definedName name="ㅇㄴㄹ혼" localSheetId="0" hidden="1">{#N/A,#N/A,FALSE,"집계표"}</definedName>
    <definedName name="ㅇㄴㄹ혼" hidden="1">{#N/A,#N/A,FALSE,"집계표"}</definedName>
    <definedName name="ㅇㄴㄹ히ㅑㅓ" localSheetId="0" hidden="1">{#N/A,#N/A,FALSE,"집계표"}</definedName>
    <definedName name="ㅇㄴㄹ히ㅑㅓ" hidden="1">{#N/A,#N/A,FALSE,"집계표"}</definedName>
    <definedName name="ㅇㄴ라ㅔㅐ" localSheetId="0" hidden="1">{#N/A,#N/A,FALSE,"집계표"}</definedName>
    <definedName name="ㅇㄴ라ㅔㅐ" hidden="1">{#N/A,#N/A,FALSE,"집계표"}</definedName>
    <definedName name="ㅇㄴ로" localSheetId="0" hidden="1">{#N/A,#N/A,FALSE,"집계표"}</definedName>
    <definedName name="ㅇㄴ로" hidden="1">{#N/A,#N/A,FALSE,"집계표"}</definedName>
    <definedName name="ㅇㄴ로ㅗㅗㅗㅗㅗㅗㅗㅗ" localSheetId="0" hidden="1">{#N/A,#N/A,FALSE,"집계표"}</definedName>
    <definedName name="ㅇㄴ로ㅗㅗㅗㅗㅗㅗㅗㅗ" hidden="1">{#N/A,#N/A,FALSE,"집계표"}</definedName>
    <definedName name="ㅇㄴ롷" localSheetId="0" hidden="1">{#N/A,#N/A,FALSE,"집계표"}</definedName>
    <definedName name="ㅇㄴ롷" hidden="1">{#N/A,#N/A,FALSE,"집계표"}</definedName>
    <definedName name="ㅇㄴ롷ㄴ" localSheetId="0" hidden="1">{#N/A,#N/A,FALSE,"집계표"}</definedName>
    <definedName name="ㅇㄴ롷ㄴ" hidden="1">{#N/A,#N/A,FALSE,"집계표"}</definedName>
    <definedName name="ㅇㄴ롷ㅇㄴ롷ㄴ" localSheetId="0" hidden="1">{#N/A,#N/A,FALSE,"집계표"}</definedName>
    <definedName name="ㅇㄴ롷ㅇㄴ롷ㄴ" hidden="1">{#N/A,#N/A,FALSE,"집계표"}</definedName>
    <definedName name="ㅇㄴ리ㅏ허ㅣ" localSheetId="0" hidden="1">{#N/A,#N/A,FALSE,"집계표"}</definedName>
    <definedName name="ㅇㄴ리ㅏ허ㅣ" hidden="1">{#N/A,#N/A,FALSE,"집계표"}</definedName>
    <definedName name="ㅇㄴㅀㄴㄿㅊ" localSheetId="0" hidden="1">{#N/A,#N/A,FALSE,"집계표"}</definedName>
    <definedName name="ㅇㄴㅀㄴㄿㅊ" hidden="1">{#N/A,#N/A,FALSE,"집계표"}</definedName>
    <definedName name="ㅇㄴㅀㄴㅇㄱ" localSheetId="0" hidden="1">{#N/A,#N/A,FALSE,"집계표"}</definedName>
    <definedName name="ㅇㄴㅀㄴㅇㄱ" hidden="1">{#N/A,#N/A,FALSE,"집계표"}</definedName>
    <definedName name="ㅇㄴㅀㅁㄱㄷㅎ" localSheetId="0" hidden="1">{#N/A,#N/A,FALSE,"집계표"}</definedName>
    <definedName name="ㅇㄴㅀㅁㄱㄷㅎ" hidden="1">{#N/A,#N/A,FALSE,"집계표"}</definedName>
    <definedName name="ㅇㄴㅀ쇼ㅗㅗㅗㅗㅗ" localSheetId="0" hidden="1">{#N/A,#N/A,FALSE,"집계표"}</definedName>
    <definedName name="ㅇㄴㅀ쇼ㅗㅗㅗㅗㅗ" hidden="1">{#N/A,#N/A,FALSE,"집계표"}</definedName>
    <definedName name="ㅇㄴㅀㅇㄴ" localSheetId="0" hidden="1">{#N/A,#N/A,FALSE,"집계표"}</definedName>
    <definedName name="ㅇㄴㅀㅇㄴ" hidden="1">{#N/A,#N/A,FALSE,"집계표"}</definedName>
    <definedName name="ㅇㄴㅁ" hidden="1">[24]실행철강하도!$A$1:$A$4</definedName>
    <definedName name="ㅇㄴㅁ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ㅎㄹ" localSheetId="0" hidden="1">{#N/A,#N/A,FALSE,"집계표"}</definedName>
    <definedName name="ㅇㄴㅁㅎㄹ" hidden="1">{#N/A,#N/A,FALSE,"집계표"}</definedName>
    <definedName name="ㅇ낳리ㅓ" localSheetId="0" hidden="1">{#N/A,#N/A,FALSE,"집계표"}</definedName>
    <definedName name="ㅇ낳리ㅓ" hidden="1">{#N/A,#N/A,FALSE,"집계표"}</definedName>
    <definedName name="ㅇ낸에네ㅔ" localSheetId="0" hidden="1">{#N/A,#N/A,FALSE,"집계표"}</definedName>
    <definedName name="ㅇ낸에네ㅔ" hidden="1">{#N/A,#N/A,FALSE,"집계표"}</definedName>
    <definedName name="ㅇ놓ㄹㄹㄹㄹㄹ" localSheetId="0" hidden="1">{#N/A,#N/A,FALSE,"집계표"}</definedName>
    <definedName name="ㅇ놓ㄹㄹㄹㄹㄹ" hidden="1">{#N/A,#N/A,FALSE,"집계표"}</definedName>
    <definedName name="ㅇ놓로횻ㅅ" localSheetId="0" hidden="1">{#N/A,#N/A,FALSE,"집계표"}</definedName>
    <definedName name="ㅇ놓로횻ㅅ" hidden="1">{#N/A,#N/A,FALSE,"집계표"}</definedName>
    <definedName name="ㅇ니ㅏㅎ러" localSheetId="0" hidden="1">{#N/A,#N/A,FALSE,"집계표"}</definedName>
    <definedName name="ㅇ니ㅏㅎ러" hidden="1">{#N/A,#N/A,FALSE,"집계표"}</definedName>
    <definedName name="ㅇ니ㅏㅓㄹ힝니ㅏㅎㄹ" localSheetId="0" hidden="1">{#N/A,#N/A,FALSE,"집계표"}</definedName>
    <definedName name="ㅇ니ㅏㅓㄹ힝니ㅏㅎㄹ" hidden="1">{#N/A,#N/A,FALSE,"집계표"}</definedName>
    <definedName name="ㅇ니ㅏㅓ로히ㅏ" localSheetId="0" hidden="1">{#N/A,#N/A,FALSE,"집계표"}</definedName>
    <definedName name="ㅇ니ㅏㅓ로히ㅏ" hidden="1">{#N/A,#N/A,FALSE,"집계표"}</definedName>
    <definedName name="ㅇ니ㅓㅎ로" localSheetId="0" hidden="1">{#N/A,#N/A,FALSE,"집계표"}</definedName>
    <definedName name="ㅇ니ㅓㅎ로" hidden="1">{#N/A,#N/A,FALSE,"집계표"}</definedName>
    <definedName name="ㅇㄶ" localSheetId="0" hidden="1">{#N/A,#N/A,FALSE,"표지"}</definedName>
    <definedName name="ㅇㄶ" hidden="1">{#N/A,#N/A,FALSE,"표지"}</definedName>
    <definedName name="ㅇㄷㄱㅎㄴㅇ" localSheetId="0" hidden="1">{#N/A,#N/A,FALSE,"집계표"}</definedName>
    <definedName name="ㅇㄷㄱㅎㄴㅇ" hidden="1">{#N/A,#N/A,FALSE,"집계표"}</definedName>
    <definedName name="ㅇ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더퍼" localSheetId="0" hidden="1">{#N/A,#N/A,FALSE,"집계표"}</definedName>
    <definedName name="ㅇ더퍼" hidden="1">{#N/A,#N/A,FALSE,"집계표"}</definedName>
    <definedName name="ㅇㄹ" localSheetId="1" hidden="1">#REF!</definedName>
    <definedName name="ㅇㄹ" localSheetId="0" hidden="1">#REF!</definedName>
    <definedName name="ㅇㄹ" localSheetId="2" hidden="1">#REF!</definedName>
    <definedName name="ㅇㄹ" hidden="1">#REF!</definedName>
    <definedName name="ㅇㄹ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호" localSheetId="0" hidden="1">{#N/A,#N/A,FALSE,"집계표"}</definedName>
    <definedName name="ㅇㄹㄴ호" hidden="1">{#N/A,#N/A,FALSE,"집계표"}</definedName>
    <definedName name="ㅇㄹㄹ" localSheetId="1" hidden="1">#REF!</definedName>
    <definedName name="ㅇㄹㄹ" localSheetId="0" hidden="1">#REF!</definedName>
    <definedName name="ㅇㄹㄹ" localSheetId="2" hidden="1">#REF!</definedName>
    <definedName name="ㅇㄹㄹ" hidden="1">#REF!</definedName>
    <definedName name="ㅇㄹㄹㄹㄹ" localSheetId="0" hidden="1">{#N/A,#N/A,FALSE,"전력간선"}</definedName>
    <definedName name="ㅇㄹㄹㄹㄹ" hidden="1">{#N/A,#N/A,FALSE,"전력간선"}</definedName>
    <definedName name="ㅇㄹㄹㅀㅎㅎㅎㅎㅎㅎㅎㅎㅎㅎ" localSheetId="0" hidden="1">{#N/A,#N/A,FALSE,"집계표"}</definedName>
    <definedName name="ㅇㄹㄹㅀㅎㅎㅎㅎㅎㅎㅎㅎㅎㅎ" hidden="1">{#N/A,#N/A,FALSE,"집계표"}</definedName>
    <definedName name="ㅇㄹㅀ" localSheetId="1" hidden="1">#REF!</definedName>
    <definedName name="ㅇㄹㅀ" localSheetId="0" hidden="1">#REF!</definedName>
    <definedName name="ㅇㄹㅀ" localSheetId="2" hidden="1">#REF!</definedName>
    <definedName name="ㅇㄹㅀ" hidden="1">#REF!</definedName>
    <definedName name="ㅇㄹㅇㄹ" localSheetId="1" hidden="1">#REF!</definedName>
    <definedName name="ㅇㄹㅇㄹ" localSheetId="0" hidden="1">#REF!</definedName>
    <definedName name="ㅇㄹㅇㄹ" localSheetId="2" hidden="1">#REF!</definedName>
    <definedName name="ㅇㄹㅇㄹ" hidden="1">#REF!</definedName>
    <definedName name="ㅇㄹㅎ" localSheetId="0" hidden="1">{#N/A,#N/A,FALSE,"집계표"}</definedName>
    <definedName name="ㅇㄹㅎ" hidden="1">{#N/A,#N/A,FALSE,"집계표"}</definedName>
    <definedName name="ㅇㄹ허ㅗ" localSheetId="0" hidden="1">{#N/A,#N/A,FALSE,"집계표"}</definedName>
    <definedName name="ㅇㄹ허ㅗ" hidden="1">{#N/A,#N/A,FALSE,"집계표"}</definedName>
    <definedName name="ㅇㄹ호" localSheetId="0" hidden="1">{#N/A,#N/A,FALSE,"집계표"}</definedName>
    <definedName name="ㅇㄹ호" hidden="1">{#N/A,#N/A,FALSE,"집계표"}</definedName>
    <definedName name="ㅇㄹ호ㄹ옿" localSheetId="0" hidden="1">{#N/A,#N/A,FALSE,"집계표"}</definedName>
    <definedName name="ㅇㄹ호ㄹ옿" hidden="1">{#N/A,#N/A,FALSE,"집계표"}</definedName>
    <definedName name="ㅇㄹ호옿ㅎㄹ오" localSheetId="0" hidden="1">{#N/A,#N/A,FALSE,"집계표"}</definedName>
    <definedName name="ㅇㄹ호옿ㅎㄹ오" hidden="1">{#N/A,#N/A,FALSE,"집계표"}</definedName>
    <definedName name="ㅇㄹ호허ㅗㅓㅓ" localSheetId="0" hidden="1">{#N/A,#N/A,FALSE,"집계표"}</definedName>
    <definedName name="ㅇㄹ호허ㅗㅓㅓ" hidden="1">{#N/A,#N/A,FALSE,"집계표"}</definedName>
    <definedName name="ㅇㄹ호ㅗㅗㅗ" localSheetId="0" hidden="1">{#N/A,#N/A,FALSE,"집계표"}</definedName>
    <definedName name="ㅇㄹ호ㅗㅗㅗ" hidden="1">{#N/A,#N/A,FALSE,"집계표"}</definedName>
    <definedName name="ㅇㄹㅗㅎ" localSheetId="0" hidden="1">{#N/A,#N/A,FALSE,"집계표"}</definedName>
    <definedName name="ㅇㄹㅗㅎ" hidden="1">{#N/A,#N/A,FALSE,"집계표"}</definedName>
    <definedName name="ㅇ라ㅓㅎ킥" localSheetId="0" hidden="1">{#N/A,#N/A,FALSE,"집계표"}</definedName>
    <definedName name="ㅇ라ㅓㅎ킥" hidden="1">{#N/A,#N/A,FALSE,"집계표"}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" localSheetId="0" hidden="1">{#N/A,#N/A,FALSE,"집계표"}</definedName>
    <definedName name="ㅇ러" hidden="1">{#N/A,#N/A,FALSE,"집계표"}</definedName>
    <definedName name="ㅇ러ㅗㅎ" localSheetId="0" hidden="1">{#N/A,#N/A,FALSE,"집계표"}</definedName>
    <definedName name="ㅇ러ㅗㅎ" hidden="1">{#N/A,#N/A,FALSE,"집계표"}</definedName>
    <definedName name="ㅇ렇ㅇ" localSheetId="0" hidden="1">{#N/A,#N/A,FALSE,"집계표"}</definedName>
    <definedName name="ㅇ렇ㅇ" hidden="1">{#N/A,#N/A,FALSE,"집계표"}</definedName>
    <definedName name="ㅇ로ㅓ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롷" localSheetId="0" hidden="1">{#N/A,#N/A,FALSE,"집계표"}</definedName>
    <definedName name="ㅇ롷" hidden="1">{#N/A,#N/A,FALSE,"집계표"}</definedName>
    <definedName name="ㅇㅀㅁ" localSheetId="0" hidden="1">{#N/A,#N/A,FALSE,"집계표"}</definedName>
    <definedName name="ㅇㅀㅁ" hidden="1">{#N/A,#N/A,FALSE,"집계표"}</definedName>
    <definedName name="ㅇㅀㅇㄱ" localSheetId="0" hidden="1">{#N/A,#N/A,FALSE,"집계표"}</definedName>
    <definedName name="ㅇㅀㅇㄱ" hidden="1">{#N/A,#N/A,FALSE,"집계표"}</definedName>
    <definedName name="ㅇㅀㅈㅅㄷ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ㄱ" localSheetId="0" hidden="1">{#N/A,#N/A,FALSE,"집계표"}</definedName>
    <definedName name="ㅇㅇㄱ" hidden="1">{#N/A,#N/A,FALSE,"집계표"}</definedName>
    <definedName name="ㅇㅇㄹ" localSheetId="1" hidden="1">#REF!</definedName>
    <definedName name="ㅇㅇㄹ" localSheetId="0" hidden="1">#REF!</definedName>
    <definedName name="ㅇㅇㄹ" localSheetId="2" hidden="1">#REF!</definedName>
    <definedName name="ㅇㅇㄹ" hidden="1">#REF!</definedName>
    <definedName name="ㅇㅇㄹㅇㄹ" localSheetId="0" hidden="1">{#N/A,#N/A,FALSE,"집계표"}</definedName>
    <definedName name="ㅇㅇㄹㅇㄹ" hidden="1">{#N/A,#N/A,FALSE,"집계표"}</definedName>
    <definedName name="ㅇㅇㅇ" localSheetId="0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ㅎ" localSheetId="0" hidden="1">{#N/A,#N/A,FALSE,"집계표"}</definedName>
    <definedName name="ㅇㅇㅎ" hidden="1">{#N/A,#N/A,FALSE,"집계표"}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ㅎ" localSheetId="0" hidden="1">{#N/A,#N/A,FALSE,"부대1"}</definedName>
    <definedName name="ㅇㅎ" hidden="1">{#N/A,#N/A,FALSE,"부대1"}</definedName>
    <definedName name="ㅇㅎㄷ" localSheetId="0" hidden="1">{#N/A,#N/A,FALSE,"집계표"}</definedName>
    <definedName name="ㅇㅎㄷ" hidden="1">{#N/A,#N/A,FALSE,"집계표"}</definedName>
    <definedName name="ㅇㅎ러ㅗㅇ" localSheetId="0" hidden="1">{#N/A,#N/A,FALSE,"집계표"}</definedName>
    <definedName name="ㅇㅎ러ㅗㅇ" hidden="1">{#N/A,#N/A,FALSE,"집계표"}</definedName>
    <definedName name="ㅇㅎㄻㄴㅇㅀ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ㅁㅎㄴㅀㅁㄴㅇㅎㄴ" localSheetId="0" hidden="1">{#N/A,#N/A,FALSE,"Sheet6"}</definedName>
    <definedName name="ㅇㅎㄻㄴㅇㅁㅎㄴㅀㅁㄴㅇㅎㄴ" hidden="1">{#N/A,#N/A,FALSE,"Sheet6"}</definedName>
    <definedName name="ㅇ하어ㅣ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localSheetId="0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름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름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무" localSheetId="0" hidden="1">{#N/A,#N/A,FALSE,"배수2"}</definedName>
    <definedName name="아무" hidden="1">{#N/A,#N/A,FALSE,"배수2"}</definedName>
    <definedName name="아무거나" localSheetId="1" hidden="1">#REF!</definedName>
    <definedName name="아무거나" localSheetId="0" hidden="1">#REF!</definedName>
    <definedName name="아무거나" localSheetId="2" hidden="1">#REF!</definedName>
    <definedName name="아무거나" hidden="1">#REF!</definedName>
    <definedName name="아아아앙" localSheetId="0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0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어엉" localSheetId="0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어쭈구리" localSheetId="0" hidden="1">{#N/A,#N/A,FALSE,"교리2"}</definedName>
    <definedName name="어쭈구리" hidden="1">{#N/A,#N/A,FALSE,"교리2"}</definedName>
    <definedName name="어ㅏㄴ강ㄹ혼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0" hidden="1">{#N/A,#N/A,FALSE,"2~8번"}</definedName>
    <definedName name="억이상" hidden="1">{#N/A,#N/A,FALSE,"2~8번"}</definedName>
    <definedName name="언" localSheetId="1" hidden="1">#REF!</definedName>
    <definedName name="언" localSheetId="0" hidden="1">#REF!</definedName>
    <definedName name="언" localSheetId="2" hidden="1">#REF!</definedName>
    <definedName name="언" hidden="1">#REF!</definedName>
    <definedName name="얻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localSheetId="0" hidden="1">{#N/A,#N/A,FALSE,"포장2"}</definedName>
    <definedName name="업종" hidden="1">{#N/A,#N/A,FALSE,"포장2"}</definedName>
    <definedName name="업체" localSheetId="1" hidden="1">#REF!</definedName>
    <definedName name="업체" localSheetId="0" hidden="1">#REF!</definedName>
    <definedName name="업체" localSheetId="2" hidden="1">#REF!</definedName>
    <definedName name="업체" hidden="1">#REF!</definedName>
    <definedName name="업체벼래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벼래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순위" localSheetId="0" hidden="1">{#N/A,#N/A,FALSE,"배수2"}</definedName>
    <definedName name="업체순위" hidden="1">{#N/A,#N/A,FALSE,"배수2"}</definedName>
    <definedName name="여의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localSheetId="0" hidden="1">{"'용역비'!$A$4:$C$8"}</definedName>
    <definedName name="영상hw집계" hidden="1">{"'용역비'!$A$4:$C$8"}</definedName>
    <definedName name="영암실행" localSheetId="0" hidden="1">{#N/A,#N/A,FALSE,"전력간선"}</definedName>
    <definedName name="영암실행" hidden="1">{#N/A,#N/A,FALSE,"전력간선"}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1" hidden="1">[25]추가예산!#REF!</definedName>
    <definedName name="영업외" localSheetId="0" hidden="1">[25]추가예산!#REF!</definedName>
    <definedName name="영업외" localSheetId="2" hidden="1">[25]추가예산!#REF!</definedName>
    <definedName name="영업외" hidden="1">[25]추가예산!#REF!</definedName>
    <definedName name="영업외수" localSheetId="1" hidden="1">[25]추가예산!#REF!</definedName>
    <definedName name="영업외수" localSheetId="0" hidden="1">[25]추가예산!#REF!</definedName>
    <definedName name="영업외수" localSheetId="2" hidden="1">[25]추가예산!#REF!</definedName>
    <definedName name="영업외수" hidden="1">[25]추가예산!#REF!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종" localSheetId="0" hidden="1">{#N/A,#N/A,FALSE,"CCTV"}</definedName>
    <definedName name="영종" hidden="1">{#N/A,#N/A,FALSE,"CCTV"}</definedName>
    <definedName name="예상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계획" localSheetId="0" hidden="1">{#N/A,#N/A,FALSE,"집계표"}</definedName>
    <definedName name="예상계획" hidden="1">{#N/A,#N/A,FALSE,"집계표"}</definedName>
    <definedName name="예정가" localSheetId="0" hidden="1">{#N/A,#N/A,FALSE,"포장2"}</definedName>
    <definedName name="예정가" hidden="1">{#N/A,#N/A,FALSE,"포장2"}</definedName>
    <definedName name="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됴" localSheetId="0" hidden="1">{#N/A,#N/A,FALSE,"집계표"}</definedName>
    <definedName name="오됴" hidden="1">{#N/A,#N/A,FALSE,"집계표"}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오ㅗㅓ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탑층" localSheetId="0" hidden="1">{#N/A,#N/A,FALSE,"Sheet1"}</definedName>
    <definedName name="옥탑층" hidden="1">{#N/A,#N/A,FALSE,"Sheet1"}</definedName>
    <definedName name="온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localSheetId="0" hidden="1">{#N/A,#N/A,FALSE,"골재소요량";#N/A,#N/A,FALSE,"골재소요량"}</definedName>
    <definedName name="옹" hidden="1">{#N/A,#N/A,FALSE,"골재소요량";#N/A,#N/A,FALSE,"골재소요량"}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옿" localSheetId="0" hidden="1">{#N/A,#N/A,FALSE,"집계표"}</definedName>
    <definedName name="옿" hidden="1">{#N/A,#N/A,FALSE,"집계표"}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1" hidden="1">#REF!</definedName>
    <definedName name="완공3" localSheetId="0" hidden="1">#REF!</definedName>
    <definedName name="완공3" localSheetId="2" hidden="1">#REF!</definedName>
    <definedName name="완공3" hidden="1">#REF!</definedName>
    <definedName name="완도" localSheetId="0" hidden="1">{#N/A,#N/A,FALSE,"포장2"}</definedName>
    <definedName name="완도" hidden="1">{#N/A,#N/A,FALSE,"포장2"}</definedName>
    <definedName name="요샤ㅏ아히ㅏㅐㅛ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용" localSheetId="0" hidden="1">{#N/A,#N/A,FALSE,"포장2"}</definedName>
    <definedName name="용용" hidden="1">{#N/A,#N/A,FALSE,"포장2"}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0" hidden="1">{#N/A,#N/A,FALSE,"사업총괄";#N/A,#N/A,FALSE,"장비사업";#N/A,#N/A,FALSE,"철구사업";#N/A,#N/A,FALSE,"준설사업"}</definedName>
    <definedName name="우리" hidden="1">{#N/A,#N/A,FALSE,"사업총괄";#N/A,#N/A,FALSE,"장비사업";#N/A,#N/A,FALSE,"철구사업";#N/A,#N/A,FALSE,"준설사업"}</definedName>
    <definedName name="우후" localSheetId="0" hidden="1">{"'별표'!$N$220"}</definedName>
    <definedName name="우후" hidden="1">{"'별표'!$N$220"}</definedName>
    <definedName name="원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12" localSheetId="0" hidden="1">{#N/A,#N/A,FALSE,"운반시간"}</definedName>
    <definedName name="원가12" hidden="1">{#N/A,#N/A,FALSE,"운반시간"}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[26]실행철강하도!$A$1:$A$4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유지관리비" localSheetId="1" hidden="1">#REF!</definedName>
    <definedName name="유지관리비" localSheetId="0" hidden="1">#REF!</definedName>
    <definedName name="유지관리비" localSheetId="2" hidden="1">#REF!</definedName>
    <definedName name="유지관리비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을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의" localSheetId="0" hidden="1">{#N/A,#N/A,FALSE,"운반시간"}</definedName>
    <definedName name="의" hidden="1">{#N/A,#N/A,FALSE,"운반시간"}</definedName>
    <definedName name="이름표" localSheetId="0" hidden="1">{#N/A,#N/A,FALSE,"단가표지"}</definedName>
    <definedName name="이름표" hidden="1">{#N/A,#N/A,FALSE,"단가표지"}</definedName>
    <definedName name="이릉" localSheetId="1" hidden="1">#REF!</definedName>
    <definedName name="이릉" localSheetId="0" hidden="1">#REF!</definedName>
    <definedName name="이릉" localSheetId="2" hidden="1">#REF!</definedName>
    <definedName name="이릉" hidden="1">#REF!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수건설여의도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수건설여의도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일" localSheetId="1" hidden="1">#REF!</definedName>
    <definedName name="이일" localSheetId="0" hidden="1">#REF!</definedName>
    <definedName name="이일" localSheetId="2" hidden="1">#REF!</definedName>
    <definedName name="이일" hidden="1">#REF!</definedName>
    <definedName name="이종훈" hidden="1">[16]전기!$A$4:$A$163</definedName>
    <definedName name="이효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{#N/A,#N/A,FALSE,"도급대비시행율";#N/A,#N/A,FALSE,"결의서";#N/A,#N/A,FALSE,"내역서";#N/A,#N/A,FALSE,"도급예상"}</definedName>
    <definedName name="일" hidden="1">{#N/A,#N/A,FALSE,"도급대비시행율";#N/A,#N/A,FALSE,"결의서";#N/A,#N/A,FALSE,"내역서";#N/A,#N/A,FALSE,"도급예상"}</definedName>
    <definedName name="일위대가" localSheetId="1" hidden="1">#REF!</definedName>
    <definedName name="일위대가" localSheetId="0" hidden="1">#REF!</definedName>
    <definedName name="일위대가" localSheetId="2" hidden="1">#REF!</definedName>
    <definedName name="일위대가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직" localSheetId="1" hidden="1">#REF!</definedName>
    <definedName name="임직" localSheetId="0" hidden="1">#REF!</definedName>
    <definedName name="임직" localSheetId="2" hidden="1">#REF!</definedName>
    <definedName name="임직" hidden="1">#REF!</definedName>
    <definedName name="임형" localSheetId="0" hidden="1">{#N/A,#N/A,FALSE,"포장2"}</definedName>
    <definedName name="임형" hidden="1">{#N/A,#N/A,FALSE,"포장2"}</definedName>
    <definedName name="입찰" localSheetId="0" hidden="1">{#N/A,#N/A,FALSE,"구조2"}</definedName>
    <definedName name="입찰" hidden="1">{#N/A,#N/A,FALSE,"구조2"}</definedName>
    <definedName name="입찰금액안" localSheetId="1" hidden="1">[27]집계표!#REF!</definedName>
    <definedName name="입찰금액안" localSheetId="0" hidden="1">[27]집계표!#REF!</definedName>
    <definedName name="입찰금액안" localSheetId="2" hidden="1">[27]집계표!#REF!</definedName>
    <definedName name="입찰금액안" hidden="1">[27]집계표!#REF!</definedName>
    <definedName name="ㅈㄱ셔ㅛㅈ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ㅎㅍㅊㅊ" localSheetId="0" hidden="1">{#N/A,#N/A,FALSE,"집계표"}</definedName>
    <definedName name="ㅈㄳㅎㅍㅊㅊ" hidden="1">{#N/A,#N/A,FALSE,"집계표"}</definedName>
    <definedName name="ㅈ너ㅗ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ㄷㄱㄷ" localSheetId="0" hidden="1">{"'용역비'!$A$4:$C$8"}</definedName>
    <definedName name="ㅈㄷㄱㄷㄱㄷ" hidden="1">{"'용역비'!$A$4:$C$8"}</definedName>
    <definedName name="ㅈㄷㄱㅈ" localSheetId="0" hidden="1">{#N/A,#N/A,FALSE,"Sheet6"}</definedName>
    <definedName name="ㅈㄷㄱㅈ" hidden="1">{#N/A,#N/A,FALSE,"Sheet6"}</definedName>
    <definedName name="ㅈㄷ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ㄷ" localSheetId="0" hidden="1">{#N/A,#N/A,FALSE,"Sheet6"}</definedName>
    <definedName name="ㅈㄷㄳㅈㄷ" hidden="1">{#N/A,#N/A,FALSE,"Sheet6"}</definedName>
    <definedName name="ㅈㄷㅅ교" localSheetId="0" hidden="1">{#N/A,#N/A,FALSE,"집계표"}</definedName>
    <definedName name="ㅈㄷㅅ교" hidden="1">{#N/A,#N/A,FALSE,"집계표"}</definedName>
    <definedName name="ㅈㄷㅅㅁㅇㄴㄹ" localSheetId="0" hidden="1">{#N/A,#N/A,FALSE,"집계표"}</definedName>
    <definedName name="ㅈㄷㅅㅁㅇㄴㄹ" hidden="1">{#N/A,#N/A,FALSE,"집계표"}</definedName>
    <definedName name="ㅈㅂㄹㅇㅁㄴㅇㅍㅌㅋㅁㄴㅇㄻㅎㅁ" localSheetId="0" hidden="1">{#N/A,#N/A,FALSE,"집계표"}</definedName>
    <definedName name="ㅈㅂㄹㅇㅁㄴㅇㅍㅌㅋㅁㄴㅇㄻㅎㅁ" hidden="1">{#N/A,#N/A,FALSE,"집계표"}</definedName>
    <definedName name="ㅈ셪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ㄷㅈㅇ" localSheetId="0" hidden="1">{#N/A,#N/A,FALSE,"집계표"}</definedName>
    <definedName name="ㅈㅈㄷㅈㅇ" hidden="1">{#N/A,#N/A,FALSE,"집계표"}</definedName>
    <definedName name="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야" localSheetId="0" hidden="1">{#N/A,#N/A,FALSE,"집계표"}</definedName>
    <definedName name="자야" hidden="1">{#N/A,#N/A,FALSE,"집계표"}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자ㅓㅏ" localSheetId="0" hidden="1">{#N/A,#N/A,FALSE,"집계표"}</definedName>
    <definedName name="자ㅓㅏ" hidden="1">{#N/A,#N/A,FALSE,"집계표"}</definedName>
    <definedName name="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구" localSheetId="0" hidden="1">{#N/A,#N/A,FALSE,"Sheet6"}</definedName>
    <definedName name="장구" hidden="1">{#N/A,#N/A,FALSE,"Sheet6"}</definedName>
    <definedName name="장위" localSheetId="1" hidden="1">#REF!</definedName>
    <definedName name="장위" localSheetId="0" hidden="1">#REF!</definedName>
    <definedName name="장위" localSheetId="2" hidden="1">#REF!</definedName>
    <definedName name="장위" hidden="1">#REF!</definedName>
    <definedName name="장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0" hidden="1">{#N/A,#N/A,FALSE,"CCTV"}</definedName>
    <definedName name="전기내역" hidden="1">{#N/A,#N/A,FALSE,"CCTV"}</definedName>
    <definedName name="전기설계" localSheetId="0" hidden="1">{#N/A,#N/A,FALSE,"Sheet1"}</definedName>
    <definedName name="전기설계" hidden="1">{#N/A,#N/A,FALSE,"Sheet1"}</definedName>
    <definedName name="전기설비표지" localSheetId="0" hidden="1">{#N/A,#N/A,FALSE,"전력간선"}</definedName>
    <definedName name="전기설비표지" hidden="1">{#N/A,#N/A,FALSE,"전력간선"}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표지" localSheetId="0" hidden="1">{#N/A,#N/A,FALSE,"전력간선"}</definedName>
    <definedName name="전기표지" hidden="1">{#N/A,#N/A,FALSE,"전력간선"}</definedName>
    <definedName name="전등1" localSheetId="0" hidden="1">{#N/A,#N/A,FALSE,"전력간선"}</definedName>
    <definedName name="전등1" hidden="1">{#N/A,#N/A,FALSE,"전력간선"}</definedName>
    <definedName name="전열" localSheetId="0" hidden="1">{#N/A,#N/A,FALSE,"전력간선"}</definedName>
    <definedName name="전열" hidden="1">{#N/A,#N/A,FALSE,"전력간선"}</definedName>
    <definedName name="전열1" localSheetId="0" hidden="1">{#N/A,#N/A,FALSE,"전력간선"}</definedName>
    <definedName name="전열1" hidden="1">{#N/A,#N/A,FALSE,"전력간선"}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젇주ㅠㅜㅇㄴ" localSheetId="0" hidden="1">{#N/A,#N/A,FALSE,"집계표"}</definedName>
    <definedName name="젇주ㅠㅜㅇㄴ" hidden="1">{#N/A,#N/A,FALSE,"집계표"}</definedName>
    <definedName name="접지" localSheetId="0" hidden="1">{#N/A,#N/A,FALSE,"전력간선"}</definedName>
    <definedName name="접지" hidden="1">{#N/A,#N/A,FALSE,"전력간선"}</definedName>
    <definedName name="정보통신" localSheetId="0" hidden="1">{#N/A,#N/A,FALSE,"전력간선"}</definedName>
    <definedName name="정보통신" hidden="1">{#N/A,#N/A,FALSE,"전력간선"}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2짱" localSheetId="0" hidden="1">{#N/A,#N/A,FALSE,"운반시간"}</definedName>
    <definedName name="제2짱" hidden="1">{#N/A,#N/A,FALSE,"운반시간"}</definedName>
    <definedName name="제외공사" localSheetId="0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0" hidden="1">{#N/A,#N/A,FALSE,"표지"}</definedName>
    <definedName name="조경공사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localSheetId="1" hidden="1">[28]입찰안!#REF!</definedName>
    <definedName name="조사가" localSheetId="0" hidden="1">[28]입찰안!#REF!</definedName>
    <definedName name="조사가" localSheetId="2" hidden="1">[28]입찰안!#REF!</definedName>
    <definedName name="조사가" hidden="1">[28]입찰안!#REF!</definedName>
    <definedName name="조정1" localSheetId="1" hidden="1">#REF!</definedName>
    <definedName name="조정1" localSheetId="0" hidden="1">#REF!</definedName>
    <definedName name="조정1" localSheetId="2" hidden="1">#REF!</definedName>
    <definedName name="조정1" hidden="1">#REF!</definedName>
    <definedName name="조직" localSheetId="0" hidden="1">{#N/A,#N/A,FALSE,"변경관리예산";#N/A,#N/A,FALSE,"변경장비예산";#N/A,#N/A,FALSE,"변경준설예산";#N/A,#N/A,FALSE,"변경철구예산"}</definedName>
    <definedName name="조직" hidden="1">{#N/A,#N/A,FALSE,"변경관리예산";#N/A,#N/A,FALSE,"변경장비예산";#N/A,#N/A,FALSE,"변경준설예산";#N/A,#N/A,FALSE,"변경철구예산"}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4" localSheetId="0" hidden="1">{#N/A,#N/A,FALSE,"사업총괄";#N/A,#N/A,FALSE,"장비사업";#N/A,#N/A,FALSE,"철구사업";#N/A,#N/A,FALSE,"준설사업"}</definedName>
    <definedName name="조직4" hidden="1">{#N/A,#N/A,FALSE,"사업총괄";#N/A,#N/A,FALSE,"장비사업";#N/A,#N/A,FALSE,"철구사업";#N/A,#N/A,FALSE,"준설사업"}</definedName>
    <definedName name="조직4.2" localSheetId="0" hidden="1">{#N/A,#N/A,FALSE,"예상손익";#N/A,#N/A,FALSE,"관리분석";#N/A,#N/A,FALSE,"장비분석";#N/A,#N/A,FALSE,"준설분석";#N/A,#N/A,FALSE,"철구분석"}</definedName>
    <definedName name="조직4.2" hidden="1">{#N/A,#N/A,FALSE,"예상손익";#N/A,#N/A,FALSE,"관리분석";#N/A,#N/A,FALSE,"장비분석";#N/A,#N/A,FALSE,"준설분석";#N/A,#N/A,FALSE,"철구분석"}</definedName>
    <definedName name="조차장" localSheetId="0" hidden="1">{#N/A,#N/A,FALSE,"명세표"}</definedName>
    <definedName name="조차장" hidden="1">{#N/A,#N/A,FALSE,"명세표"}</definedName>
    <definedName name="조창현" localSheetId="0" hidden="1">{#N/A,#N/A,FALSE,"교리2"}</definedName>
    <definedName name="조창현" hidden="1">{#N/A,#N/A,FALSE,"교리2"}</definedName>
    <definedName name="조후" localSheetId="0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졷ㅂ숃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장" localSheetId="0" hidden="1">{#N/A,#N/A,FALSE,"표지"}</definedName>
    <definedName name="주차장" hidden="1">{#N/A,#N/A,FALSE,"표지"}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증감내역" localSheetId="1" hidden="1">#REF!</definedName>
    <definedName name="증감내역" localSheetId="0" hidden="1">#REF!</definedName>
    <definedName name="증감내역" localSheetId="2" hidden="1">#REF!</definedName>
    <definedName name="증감내역" hidden="1">#REF!</definedName>
    <definedName name="지" localSheetId="0" hidden="1">{#N/A,#N/A,FALSE,"배수2"}</definedName>
    <definedName name="지" hidden="1">{#N/A,#N/A,FALSE,"배수2"}</definedName>
    <definedName name="지역" localSheetId="0" hidden="1">{#N/A,#N/A,FALSE,"포장2"}</definedName>
    <definedName name="지역" hidden="1">{#N/A,#N/A,FALSE,"포장2"}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짠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쩝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쩝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쩨" localSheetId="0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노ㅜ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ㄹㅎ" localSheetId="0" hidden="1">{#N/A,#N/A,FALSE,"집계표"}</definedName>
    <definedName name="ㅊㄹㅎ" hidden="1">{#N/A,#N/A,FALSE,"집계표"}</definedName>
    <definedName name="ㅊㄹ헝ㅇ" localSheetId="0" hidden="1">{#N/A,#N/A,FALSE,"집계표"}</definedName>
    <definedName name="ㅊㄹ헝ㅇ" hidden="1">{#N/A,#N/A,FALSE,"집계표"}</definedName>
    <definedName name="ㅊㄹ호" localSheetId="0" hidden="1">{#N/A,#N/A,FALSE,"집계표"}</definedName>
    <definedName name="ㅊㄹ호" hidden="1">{#N/A,#N/A,FALSE,"집계표"}</definedName>
    <definedName name="ㅊㅀㅎㅎㅎㅎㅎㅎㅎㅎ" localSheetId="0" hidden="1">{#N/A,#N/A,FALSE,"집계표"}</definedName>
    <definedName name="ㅊㅀㅎㅎㅎㅎㅎㅎㅎㅎ" hidden="1">{#N/A,#N/A,FALSE,"집계표"}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ㅊㅊㅊ" localSheetId="0" hidden="1">{#N/A,#N/A,FALSE,"단가표지"}</definedName>
    <definedName name="ㅊㅊㅊㅊ" hidden="1">{#N/A,#N/A,FALSE,"단가표지"}</definedName>
    <definedName name="ㅊㅌㅅ" localSheetId="0" hidden="1">{#N/A,#N/A,FALSE,"집계표"}</definedName>
    <definedName name="ㅊㅌㅅ" hidden="1">{#N/A,#N/A,FALSE,"집계표"}</definedName>
    <definedName name="ㅊㅌ포촣" localSheetId="0" hidden="1">{#N/A,#N/A,FALSE,"집계표"}</definedName>
    <definedName name="ㅊㅌ포촣" hidden="1">{#N/A,#N/A,FALSE,"집계표"}</definedName>
    <definedName name="ㅊㅌㅎㄹ쇼" localSheetId="0" hidden="1">{#N/A,#N/A,FALSE,"집계표"}</definedName>
    <definedName name="ㅊㅌㅎㄹ쇼" hidden="1">{#N/A,#N/A,FALSE,"집계표"}</definedName>
    <definedName name="ㅊ튶" localSheetId="0" hidden="1">{#N/A,#N/A,FALSE,"집계표"}</definedName>
    <definedName name="ㅊ튶" hidden="1">{#N/A,#N/A,FALSE,"집계표"}</definedName>
    <definedName name="ㅊㅍ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허ㅓㅗ효" localSheetId="0" hidden="1">{#N/A,#N/A,FALSE,"집계표"}</definedName>
    <definedName name="ㅊㅍ허ㅓㅗ효" hidden="1">{#N/A,#N/A,FALSE,"집계표"}</definedName>
    <definedName name="ㅊ퍼ㅗㅗㅗㅗㅗ" localSheetId="0" hidden="1">{#N/A,#N/A,FALSE,"집계표"}</definedName>
    <definedName name="ㅊ퍼ㅗㅗㅗㅗㅗ" hidden="1">{#N/A,#N/A,FALSE,"집계표"}</definedName>
    <definedName name="ㅊ포ㅓㅊㅊㅊㅊㅊㅊㅊㅊㅊㅊ" localSheetId="0" hidden="1">{#N/A,#N/A,FALSE,"집계표"}</definedName>
    <definedName name="ㅊ포ㅓㅊㅊㅊㅊㅊㅊㅊㅊㅊㅊ" hidden="1">{#N/A,#N/A,FALSE,"집계표"}</definedName>
    <definedName name="ㅊ포ㅓㅓㅓㅓㅓㅓㅓㅓㅓㅓ" localSheetId="0" hidden="1">{#N/A,#N/A,FALSE,"집계표"}</definedName>
    <definedName name="ㅊ포ㅓㅓㅓㅓㅓㅓㅓㅓㅓㅓ" hidden="1">{#N/A,#N/A,FALSE,"집계표"}</definedName>
    <definedName name="ㅊ폴" localSheetId="0" hidden="1">{#N/A,#N/A,FALSE,"Sheet6"}</definedName>
    <definedName name="ㅊ폴" hidden="1">{#N/A,#N/A,FALSE,"Sheet6"}</definedName>
    <definedName name="ㅊ푸ㅡ" localSheetId="0" hidden="1">{#N/A,#N/A,FALSE,"집계표"}</definedName>
    <definedName name="ㅊ푸ㅡ" hidden="1">{#N/A,#N/A,FALSE,"집계표"}</definedName>
    <definedName name="ㅊ퓨ㅗ" localSheetId="0" hidden="1">{#N/A,#N/A,FALSE,"집계표"}</definedName>
    <definedName name="ㅊ퓨ㅗ" hidden="1">{#N/A,#N/A,FALSE,"집계표"}</definedName>
    <definedName name="ㅊㅎㄹㄹ" localSheetId="0" hidden="1">{#N/A,#N/A,FALSE,"집계표"}</definedName>
    <definedName name="ㅊㅎㄹㄹ" hidden="1">{#N/A,#N/A,FALSE,"집계표"}</definedName>
    <definedName name="ㅊ허ㅗㅗㅗㅗㅗ" localSheetId="0" hidden="1">{#N/A,#N/A,FALSE,"집계표"}</definedName>
    <definedName name="ㅊ허ㅗㅗㅗㅗㅗ" hidden="1">{#N/A,#N/A,FALSE,"집계표"}</definedName>
    <definedName name="ㅊ호ㅓㅗ" localSheetId="0" hidden="1">{#N/A,#N/A,FALSE,"집계표"}</definedName>
    <definedName name="ㅊ호ㅓㅗ" hidden="1">{#N/A,#N/A,FALSE,"집계표"}</definedName>
    <definedName name="차ㅑ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참조" localSheetId="0" hidden="1">{"'Sheet1'!$A$1:$E$59"}</definedName>
    <definedName name="참조" hidden="1">{"'Sheet1'!$A$1:$E$59"}</definedName>
    <definedName name="처ㅗㅗㅗㅗㅗㅗㅗㅗㅗ" localSheetId="0" hidden="1">{#N/A,#N/A,FALSE,"집계표"}</definedName>
    <definedName name="처ㅗㅗㅗㅗㅗㅗㅗㅗㅗ" hidden="1">{#N/A,#N/A,FALSE,"집계표"}</definedName>
    <definedName name="철2" localSheetId="0" hidden="1">{#N/A,#N/A,FALSE,"혼합골재"}</definedName>
    <definedName name="철2" hidden="1">{#N/A,#N/A,FALSE,"혼합골재"}</definedName>
    <definedName name="철거단가" localSheetId="0" hidden="1">{#N/A,#N/A,FALSE,"조골재"}</definedName>
    <definedName name="철거단가" hidden="1">{#N/A,#N/A,FALSE,"조골재"}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콘부대외" localSheetId="0" hidden="1">{#N/A,#N/A,FALSE,"Sheet1"}</definedName>
    <definedName name="철콘부대외" hidden="1">{#N/A,#N/A,FALSE,"Sheet1"}</definedName>
    <definedName name="첨부" hidden="1">0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공" localSheetId="0" hidden="1">{#N/A,#N/A,FALSE,"운반시간"}</definedName>
    <definedName name="총공" hidden="1">{#N/A,#N/A,FALSE,"운반시간"}</definedName>
    <definedName name="총괄내역" localSheetId="1" hidden="1">#REF!</definedName>
    <definedName name="총괄내역" localSheetId="0" hidden="1">#REF!</definedName>
    <definedName name="총괄내역" localSheetId="2" hidden="1">#REF!</definedName>
    <definedName name="총괄내역" hidden="1">#REF!</definedName>
    <definedName name="총설계서" localSheetId="0" hidden="1">{#N/A,#N/A,FALSE,"전력간선"}</definedName>
    <definedName name="총설계서" hidden="1">{#N/A,#N/A,FALSE,"전력간선"}</definedName>
    <definedName name="최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기성" localSheetId="0" hidden="1">{#N/A,#N/A,FALSE,"집계표"}</definedName>
    <definedName name="추가기성" hidden="1">{#N/A,#N/A,FALSE,"집계표"}</definedName>
    <definedName name="추정" localSheetId="0" hidden="1">{#N/A,#N/A,FALSE,"포장2"}</definedName>
    <definedName name="추정" hidden="1">{#N/A,#N/A,FALSE,"포장2"}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충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localSheetId="1" hidden="1">[29]설계내역서!#REF!</definedName>
    <definedName name="충주" localSheetId="0" hidden="1">[29]설계내역서!#REF!</definedName>
    <definedName name="충주" localSheetId="2" hidden="1">[29]설계내역서!#REF!</definedName>
    <definedName name="충주" hidden="1">[29]설계내역서!#REF!</definedName>
    <definedName name="츄" localSheetId="0" hidden="1">{#N/A,#N/A,FALSE,"집계표"}</definedName>
    <definedName name="츄" hidden="1">{#N/A,#N/A,FALSE,"집계표"}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" localSheetId="0" hidden="1">{#N/A,#N/A,FALSE,"전력간선"}</definedName>
    <definedName name="ㅋㅋㅋ" hidden="1">{#N/A,#N/A,FALSE,"전력간선"}</definedName>
    <definedName name="ㅋㅋㅋㅋㅋ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localSheetId="0" hidden="1">{#N/A,#N/A,FALSE,"구조1"}</definedName>
    <definedName name="ㅋㅌ" hidden="1">{#N/A,#N/A,FALSE,"구조1"}</definedName>
    <definedName name="ㅋㅌ애ㅑㅓㅎㄹ" localSheetId="0" hidden="1">{#N/A,#N/A,FALSE,"집계표"}</definedName>
    <definedName name="ㅋㅌ애ㅑㅓㅎㄹ" hidden="1">{#N/A,#N/A,FALSE,"집계표"}</definedName>
    <definedName name="ㅋ타ㅓㄹㅇ" localSheetId="0" hidden="1">{#N/A,#N/A,FALSE,"집계표"}</definedName>
    <definedName name="ㅋ타ㅓㄹㅇ" hidden="1">{#N/A,#N/A,FALSE,"집계표"}</definedName>
    <definedName name="ㅋ텋리ㅏㄴㅁㄱ" localSheetId="0" hidden="1">{#N/A,#N/A,FALSE,"집계표"}</definedName>
    <definedName name="ㅋ텋리ㅏㄴㅁㄱ" hidden="1">{#N/A,#N/A,FALSE,"집계표"}</definedName>
    <definedName name="ㅋ하ㅓㅈㄴㄷㄱㅎ" localSheetId="0" hidden="1">{#N/A,#N/A,FALSE,"집계표"}</definedName>
    <definedName name="ㅋ하ㅓㅈㄴㄷㄱㅎ" hidden="1">{#N/A,#N/A,FALSE,"집계표"}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캬ㅓ래ㅑㅣㅏ" localSheetId="0" hidden="1">{#N/A,#N/A,FALSE,"집계표"}</definedName>
    <definedName name="캬ㅓ래ㅑㅣㅏ" hidden="1">{#N/A,#N/A,FALSE,"집계표"}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콩" localSheetId="0" hidden="1">{#N/A,#N/A,FALSE,"구조1"}</definedName>
    <definedName name="콩" hidden="1">{#N/A,#N/A,FALSE,"구조1"}</definedName>
    <definedName name="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ㅏㄴ어리ㅑㅁㅈㄷ" localSheetId="0" hidden="1">{#N/A,#N/A,FALSE,"집계표"}</definedName>
    <definedName name="키ㅏㄴ어리ㅑㅁㅈㄷ" hidden="1">{#N/A,#N/A,FALSE,"집계표"}</definedName>
    <definedName name="ㅌㄹ요" localSheetId="0" hidden="1">{#N/A,#N/A,FALSE,"집계표"}</definedName>
    <definedName name="ㅌㄹ요" hidden="1">{#N/A,#N/A,FALSE,"집계표"}</definedName>
    <definedName name="ㅌㄹ호" localSheetId="0" hidden="1">{#N/A,#N/A,FALSE,"집계표"}</definedName>
    <definedName name="ㅌㄹ호" hidden="1">{#N/A,#N/A,FALSE,"집계표"}</definedName>
    <definedName name="ㅌ롷" localSheetId="0" hidden="1">{#N/A,#N/A,FALSE,"집계표"}</definedName>
    <definedName name="ㅌ롷" hidden="1">{#N/A,#N/A,FALSE,"집계표"}</definedName>
    <definedName name="ㅌㄾㅎ" localSheetId="0" hidden="1">{#N/A,#N/A,FALSE,"집계표"}</definedName>
    <definedName name="ㅌㄾㅎ" hidden="1">{#N/A,#N/A,FALSE,"집계표"}</definedName>
    <definedName name="ㅌㅅㅊㅌ" localSheetId="0" hidden="1">{#N/A,#N/A,FALSE,"집계표"}</definedName>
    <definedName name="ㅌㅅㅊㅌ" hidden="1">{#N/A,#N/A,FALSE,"집계표"}</definedName>
    <definedName name="ㅌ쇼ㅏ" localSheetId="0" hidden="1">{#N/A,#N/A,FALSE,"집계표"}</definedName>
    <definedName name="ㅌ쇼ㅏ" hidden="1">{#N/A,#N/A,FALSE,"집계표"}</definedName>
    <definedName name="ㅌㅇㄱㄱ" localSheetId="0" hidden="1">{#N/A,#N/A,FALSE,"집계표"}</definedName>
    <definedName name="ㅌㅇㄱㄱ" hidden="1">{#N/A,#N/A,FALSE,"집계표"}</definedName>
    <definedName name="ㅌㅇ려ㅛㄴㅇㅀ" localSheetId="0" hidden="1">{#N/A,#N/A,FALSE,"집계표"}</definedName>
    <definedName name="ㅌㅇ려ㅛㄴㅇㅀ" hidden="1">{#N/A,#N/A,FALSE,"집계표"}</definedName>
    <definedName name="ㅌㅇ롷ㄴㄱㄷ" localSheetId="0" hidden="1">{#N/A,#N/A,FALSE,"집계표"}</definedName>
    <definedName name="ㅌㅇ롷ㄴㄱㄷ" hidden="1">{#N/A,#N/A,FALSE,"집계표"}</definedName>
    <definedName name="ㅌㅇ료" localSheetId="0" hidden="1">{#N/A,#N/A,FALSE,"집계표"}</definedName>
    <definedName name="ㅌㅇ료" hidden="1">{#N/A,#N/A,FALSE,"집계표"}</definedName>
    <definedName name="ㅌㅊㄹ오" localSheetId="0" hidden="1">{#N/A,#N/A,FALSE,"집계표"}</definedName>
    <definedName name="ㅌㅊㄹ오" hidden="1">{#N/A,#N/A,FALSE,"집계표"}</definedName>
    <definedName name="ㅌㅊㄹ호" localSheetId="0" hidden="1">{#N/A,#N/A,FALSE,"집계표"}</definedName>
    <definedName name="ㅌㅊㄹ호" hidden="1">{#N/A,#N/A,FALSE,"집계표"}</definedName>
    <definedName name="ㅌㅊ룟" localSheetId="0" hidden="1">{#N/A,#N/A,FALSE,"집계표"}</definedName>
    <definedName name="ㅌㅊ룟" hidden="1">{#N/A,#N/A,FALSE,"집계표"}</definedName>
    <definedName name="ㅌ처히ㅏㅓㄹㅇ하" localSheetId="0" hidden="1">{#N/A,#N/A,FALSE,"집계표"}</definedName>
    <definedName name="ㅌ처히ㅏㅓㄹㅇ하" hidden="1">{#N/A,#N/A,FALSE,"집계표"}</definedName>
    <definedName name="ㅌㅋㅀ" localSheetId="0" hidden="1">{#N/A,#N/A,FALSE,"집계표"}</definedName>
    <definedName name="ㅌㅋㅀ" hidden="1">{#N/A,#N/A,FALSE,"집계표"}</definedName>
    <definedName name="ㅌㅋ퍼ㅣㅏㄴㅇ" localSheetId="0" hidden="1">{#N/A,#N/A,FALSE,"집계표"}</definedName>
    <definedName name="ㅌㅋ퍼ㅣㅏㄴㅇ" hidden="1">{#N/A,#N/A,FALSE,"집계표"}</definedName>
    <definedName name="ㅌ카ㅓ낭렇" localSheetId="0" hidden="1">{#N/A,#N/A,FALSE,"집계표"}</definedName>
    <definedName name="ㅌ카ㅓ낭렇" hidden="1">{#N/A,#N/A,FALSE,"집계표"}</definedName>
    <definedName name="ㅌㅌ" localSheetId="0" hidden="1">{#N/A,#N/A,FALSE,"표지"}</definedName>
    <definedName name="ㅌㅌ" hidden="1">{#N/A,#N/A,FALSE,"표지"}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히ㅓㅇ" localSheetId="0" hidden="1">{#N/A,#N/A,FALSE,"집계표"}</definedName>
    <definedName name="타히ㅓㅇ" hidden="1">{#N/A,#N/A,FALSE,"집계표"}</definedName>
    <definedName name="태영지급" localSheetId="0" hidden="1">{#N/A,#N/A,FALSE,"부대1"}</definedName>
    <definedName name="태영지급" hidden="1">{#N/A,#N/A,FALSE,"부대1"}</definedName>
    <definedName name="택배" localSheetId="0" hidden="1">{#N/A,#N/A,TRUE,"TITLE"}</definedName>
    <definedName name="택배" hidden="1">{#N/A,#N/A,TRUE,"TITLE"}</definedName>
    <definedName name="텨러" localSheetId="0" hidden="1">{#N/A,#N/A,FALSE,"집계표"}</definedName>
    <definedName name="텨러" hidden="1">{#N/A,#N/A,FALSE,"집계표"}</definedName>
    <definedName name="토" localSheetId="1" hidden="1">#REF!</definedName>
    <definedName name="토" localSheetId="0" hidden="1">#REF!</definedName>
    <definedName name="토" localSheetId="2" hidden="1">#REF!</definedName>
    <definedName name="토" hidden="1">#REF!</definedName>
    <definedName name="토\40" localSheetId="0" hidden="1">{#N/A,#N/A,FALSE,"토공2"}</definedName>
    <definedName name="토\40" hidden="1">{#N/A,#N/A,FALSE,"토공2"}</definedName>
    <definedName name="토1" localSheetId="0" hidden="1">{#N/A,#N/A,FALSE,"이정표"}</definedName>
    <definedName name="토1" hidden="1">{#N/A,#N/A,FALSE,"이정표"}</definedName>
    <definedName name="토2" localSheetId="0" hidden="1">{#N/A,#N/A,FALSE,"조골재"}</definedName>
    <definedName name="토2" hidden="1">{#N/A,#N/A,FALSE,"조골재"}</definedName>
    <definedName name="토3" localSheetId="0" hidden="1">{#N/A,#N/A,FALSE,"구조1"}</definedName>
    <definedName name="토3" hidden="1">{#N/A,#N/A,FALSE,"구조1"}</definedName>
    <definedName name="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localSheetId="0" hidden="1">{#N/A,#N/A,FALSE,"포장2"}</definedName>
    <definedName name="토공11" hidden="1">{#N/A,#N/A,FALSE,"포장2"}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1" hidden="1">#REF!</definedName>
    <definedName name="토목공사강릉" localSheetId="0" hidden="1">#REF!</definedName>
    <definedName name="토목공사강릉" localSheetId="2" hidden="1">#REF!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투3" localSheetId="0" hidden="1">{#N/A,#N/A,FALSE,"배수2"}</definedName>
    <definedName name="투3" hidden="1">{#N/A,#N/A,FALSE,"배수2"}</definedName>
    <definedName name="투입대비표갑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투입대비표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툿" localSheetId="0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수조건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수조건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티" localSheetId="0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ㅍㄴㅇㄷ" localSheetId="0" hidden="1">{#N/A,#N/A,FALSE,"집계표"}</definedName>
    <definedName name="ㅍㄴㅇㄷ" hidden="1">{#N/A,#N/A,FALSE,"집계표"}</definedName>
    <definedName name="ㅍㅊㅇㅍㅊ" localSheetId="0" hidden="1">{#N/A,#N/A,FALSE,"집계표"}</definedName>
    <definedName name="ㅍㅊㅇㅍㅊ" hidden="1">{#N/A,#N/A,FALSE,"집계표"}</definedName>
    <definedName name="ㅍ초ㅓㅓㅓㅓㅓㅓㅓ" localSheetId="0" hidden="1">{#N/A,#N/A,FALSE,"집계표"}</definedName>
    <definedName name="ㅍ초ㅓㅓㅓㅓㅓㅓㅓ" hidden="1">{#N/A,#N/A,FALSE,"집계표"}</definedName>
    <definedName name="ㅍ츄ㅗ" localSheetId="0" hidden="1">{#N/A,#N/A,FALSE,"집계표"}</definedName>
    <definedName name="ㅍ츄ㅗ" hidden="1">{#N/A,#N/A,FALSE,"집계표"}</definedName>
    <definedName name="ㅍㅌㅋ이ㅏ" localSheetId="0" hidden="1">{#N/A,#N/A,FALSE,"집계표"}</definedName>
    <definedName name="ㅍㅌㅋ이ㅏ" hidden="1">{#N/A,#N/A,FALSE,"집계표"}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햐ㅐㅣㅏ" localSheetId="0" hidden="1">{#N/A,#N/A,FALSE,"집계표"}</definedName>
    <definedName name="ㅍ햐ㅐㅣㅏ" hidden="1">{#N/A,#N/A,FALSE,"집계표"}</definedName>
    <definedName name="ㅍ화ㅓ" localSheetId="0" hidden="1">{#N/A,#N/A,FALSE,"집계표"}</definedName>
    <definedName name="ㅍ화ㅓ" hidden="1">{#N/A,#N/A,FALSE,"집계표"}</definedName>
    <definedName name="파일산출3" localSheetId="1" hidden="1">#REF!</definedName>
    <definedName name="파일산출3" localSheetId="0" hidden="1">#REF!</definedName>
    <definedName name="파일산출3" localSheetId="2" hidden="1">#REF!</definedName>
    <definedName name="파일산출3" hidden="1">#REF!</definedName>
    <definedName name="팔" localSheetId="1" hidden="1">#REF!</definedName>
    <definedName name="팔" localSheetId="0" hidden="1">#REF!</definedName>
    <definedName name="팔" localSheetId="2" hidden="1">#REF!</definedName>
    <definedName name="팔" hidden="1">#REF!</definedName>
    <definedName name="페기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페기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지머ㅗㄱㄷㅌ킹1" localSheetId="0" hidden="1">{#N/A,#N/A,FALSE,"표지목차"}</definedName>
    <definedName name="포지머ㅗㄱㄷㅌ킹1" hidden="1">{#N/A,#N/A,FALSE,"표지목차"}</definedName>
    <definedName name="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localSheetId="0" hidden="1">{#N/A,#N/A,FALSE,"포장1";#N/A,#N/A,FALSE,"포장1"}</definedName>
    <definedName name="폽장2" hidden="1">{#N/A,#N/A,FALSE,"포장1";#N/A,#N/A,FALSE,"포장1"}</definedName>
    <definedName name="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1" hidden="1">#REF!</definedName>
    <definedName name="표지" localSheetId="0" hidden="1">#REF!</definedName>
    <definedName name="표지" localSheetId="2" hidden="1">#REF!</definedName>
    <definedName name="표지" hidden="1">#REF!</definedName>
    <definedName name="표지1" localSheetId="0" hidden="1">{"'용역비'!$A$4:$C$8"}</definedName>
    <definedName name="표지1" hidden="1">{"'용역비'!$A$4:$C$8"}</definedName>
    <definedName name="표지2" localSheetId="1" hidden="1">#REF!</definedName>
    <definedName name="표지2" localSheetId="0" hidden="1">#REF!</definedName>
    <definedName name="표지2" localSheetId="2" hidden="1">#REF!</definedName>
    <definedName name="표지2" hidden="1">#REF!</definedName>
    <definedName name="표지3" localSheetId="0" hidden="1">{#N/A,#N/A,FALSE,"이정표"}</definedName>
    <definedName name="표지3" hidden="1">{#N/A,#N/A,FALSE,"이정표"}</definedName>
    <definedName name="품의민원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1" localSheetId="1" hidden="1">#REF!</definedName>
    <definedName name="품의서1" localSheetId="0" hidden="1">#REF!</definedName>
    <definedName name="품의서1" localSheetId="2" hidden="1">#REF!</definedName>
    <definedName name="품의서1" hidden="1">#REF!</definedName>
    <definedName name="풍납동" localSheetId="1" hidden="1">#REF!</definedName>
    <definedName name="풍납동" localSheetId="0" hidden="1">#REF!</definedName>
    <definedName name="풍납동" localSheetId="2" hidden="1">#REF!</definedName>
    <definedName name="풍납동" hidden="1">#REF!</definedName>
    <definedName name="풍납동아파트" localSheetId="1" hidden="1">#REF!</definedName>
    <definedName name="풍납동아파트" localSheetId="0" hidden="1">#REF!</definedName>
    <definedName name="풍납동아파트" localSheetId="2" hidden="1">#REF!</definedName>
    <definedName name="풍납동아파트" hidden="1">#REF!</definedName>
    <definedName name="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ㅗ허" localSheetId="0" hidden="1">{#N/A,#N/A,FALSE,"집계표"}</definedName>
    <definedName name="퓨ㅗ허" hidden="1">{#N/A,#N/A,FALSE,"집계표"}</definedName>
    <definedName name="퓸" localSheetId="0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ㄴㅇㅀㄴ" localSheetId="0" hidden="1">{#N/A,#N/A,FALSE,"집계표"}</definedName>
    <definedName name="ㅎㄴㅇㅀㄴ" hidden="1">{#N/A,#N/A,FALSE,"집계표"}</definedName>
    <definedName name="ㅎㄹ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ㅇ" localSheetId="0" hidden="1">{#N/A,#N/A,FALSE,"집계표"}</definedName>
    <definedName name="ㅎㄹㅇㄴㅇ" hidden="1">{#N/A,#N/A,FALSE,"집계표"}</definedName>
    <definedName name="ㅎㄹㅇ솔요" localSheetId="0" hidden="1">{#N/A,#N/A,FALSE,"집계표"}</definedName>
    <definedName name="ㅎㄹㅇ솔요" hidden="1">{#N/A,#N/A,FALSE,"집계표"}</definedName>
    <definedName name="ㅎㄹ어" localSheetId="0" hidden="1">{#N/A,#N/A,FALSE,"집계표"}</definedName>
    <definedName name="ㅎㄹ어" hidden="1">{#N/A,#N/A,FALSE,"집계표"}</definedName>
    <definedName name="ㅎㄹ오" localSheetId="0" hidden="1">{#N/A,#N/A,FALSE,"집계표"}</definedName>
    <definedName name="ㅎㄹ오" hidden="1">{#N/A,#N/A,FALSE,"집계표"}</definedName>
    <definedName name="ㅎㄹ요서ㅗㅎㄹㅇ" localSheetId="0" hidden="1">{#N/A,#N/A,FALSE,"집계표"}</definedName>
    <definedName name="ㅎㄹ요서ㅗㅎㄹㅇ" hidden="1">{#N/A,#N/A,FALSE,"집계표"}</definedName>
    <definedName name="ㅎ러ㅏ료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ㅗㅇ러" localSheetId="0" hidden="1">{#N/A,#N/A,FALSE,"집계표"}</definedName>
    <definedName name="ㅎ러ㅗㅇ러" hidden="1">{#N/A,#N/A,FALSE,"집계표"}</definedName>
    <definedName name="ㅎ러ㅘㅍㅊ" localSheetId="0" hidden="1">{#N/A,#N/A,FALSE,"집계표"}</definedName>
    <definedName name="ㅎ러ㅘㅍㅊ" hidden="1">{#N/A,#N/A,FALSE,"집계표"}</definedName>
    <definedName name="ㅎ러ㅡㅜ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려ㅑㅓㅏㄹ셔ㅛ" localSheetId="0" hidden="1">{#N/A,#N/A,FALSE,"집계표"}</definedName>
    <definedName name="ㅎ려ㅑㅓㅏㄹ셔ㅛ" hidden="1">{#N/A,#N/A,FALSE,"집계표"}</definedName>
    <definedName name="ㅎ로" localSheetId="0" hidden="1">{#N/A,#N/A,FALSE,"집계표"}</definedName>
    <definedName name="ㅎ로" hidden="1">{#N/A,#N/A,FALSE,"집계표"}</definedName>
    <definedName name="ㅎ로낟안" localSheetId="0" hidden="1">{#N/A,#N/A,FALSE,"혼합골재"}</definedName>
    <definedName name="ㅎ로낟안" hidden="1">{#N/A,#N/A,FALSE,"혼합골재"}</definedName>
    <definedName name="ㅎ로ㅓㅅㄱㄷ" localSheetId="0" hidden="1">{#N/A,#N/A,FALSE,"집계표"}</definedName>
    <definedName name="ㅎ로ㅓㅅㄱㄷ" hidden="1">{#N/A,#N/A,FALSE,"집계표"}</definedName>
    <definedName name="ㅎ로ㅓㅇ" localSheetId="0" hidden="1">{#N/A,#N/A,FALSE,"집계표"}</definedName>
    <definedName name="ㅎ로ㅓㅇ" hidden="1">{#N/A,#N/A,FALSE,"집계표"}</definedName>
    <definedName name="ㅎ로ㅓㅓㅓㅓㅓㅓㅓㅓㅓㅓ" localSheetId="0" hidden="1">{#N/A,#N/A,FALSE,"집계표"}</definedName>
    <definedName name="ㅎ로ㅓㅓㅓㅓㅓㅓㅓㅓㅓㅓ" hidden="1">{#N/A,#N/A,FALSE,"집계표"}</definedName>
    <definedName name="ㅎ롤ㅇㄴㄳㄱ" localSheetId="0" hidden="1">{#N/A,#N/A,FALSE,"집계표"}</definedName>
    <definedName name="ㅎ롤ㅇㄴㄳㄱ" hidden="1">{#N/A,#N/A,FALSE,"집계표"}</definedName>
    <definedName name="ㅎ롯ㅅ" localSheetId="0" hidden="1">{#N/A,#N/A,FALSE,"집계표"}</definedName>
    <definedName name="ㅎ롯ㅅ" hidden="1">{#N/A,#N/A,FALSE,"집계표"}</definedName>
    <definedName name="ㅎㅀㅀ" localSheetId="1" hidden="1">#REF!</definedName>
    <definedName name="ㅎㅀㅀ" localSheetId="0" hidden="1">#REF!</definedName>
    <definedName name="ㅎㅀㅀ" localSheetId="2" hidden="1">#REF!</definedName>
    <definedName name="ㅎㅀㅀ" hidden="1">#REF!</definedName>
    <definedName name="ㅎㅀㅇ" localSheetId="1" hidden="1">#REF!</definedName>
    <definedName name="ㅎㅀㅇ" localSheetId="0" hidden="1">#REF!</definedName>
    <definedName name="ㅎㅀㅇ" localSheetId="2" hidden="1">#REF!</definedName>
    <definedName name="ㅎㅀㅇ" hidden="1">#REF!</definedName>
    <definedName name="ㅎㅁ" localSheetId="0" hidden="1">{#N/A,#N/A,FALSE,"집계표"}</definedName>
    <definedName name="ㅎㅁ" hidden="1">{#N/A,#N/A,FALSE,"집계표"}</definedName>
    <definedName name="ㅎㅁㄴ" localSheetId="1" hidden="1">#REF!</definedName>
    <definedName name="ㅎㅁㄴ" localSheetId="0" hidden="1">#REF!</definedName>
    <definedName name="ㅎㅁㄴ" localSheetId="2" hidden="1">#REF!</definedName>
    <definedName name="ㅎㅁㄴ" hidden="1">#REF!</definedName>
    <definedName name="ㅎ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ㅗㅅㄹ요" localSheetId="0" hidden="1">{#N/A,#N/A,FALSE,"집계표"}</definedName>
    <definedName name="ㅎ처ㅗㅅㄹ요" hidden="1">{#N/A,#N/A,FALSE,"집계표"}</definedName>
    <definedName name="ㅎㅎ" localSheetId="1" hidden="1">#REF!</definedName>
    <definedName name="ㅎㅎ" localSheetId="0" hidden="1">#REF!</definedName>
    <definedName name="ㅎㅎ" localSheetId="2" hidden="1">#REF!</definedName>
    <definedName name="ㅎㅎ" hidden="1">#REF!</definedName>
    <definedName name="ㅎㅎㅎ" localSheetId="1" hidden="1">#REF!</definedName>
    <definedName name="ㅎㅎㅎ" localSheetId="0" hidden="1">#REF!</definedName>
    <definedName name="ㅎㅎㅎ" localSheetId="2" hidden="1">#REF!</definedName>
    <definedName name="ㅎ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0" hidden="1">{#N/A,#N/A,FALSE,"교리2"}</definedName>
    <definedName name="ㅎㅎㅎㅎㅎㅎㅎ" hidden="1">{#N/A,#N/A,FALSE,"교리2"}</definedName>
    <definedName name="ㅎㅕㅓ" localSheetId="0" hidden="1">{#N/A,#N/A,FALSE,"집계표"}</definedName>
    <definedName name="ㅎㅕㅓ" hidden="1">{#N/A,#N/A,FALSE,"집계표"}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나" localSheetId="0" hidden="1">{#N/A,#N/A,FALSE,"Sheet1"}</definedName>
    <definedName name="하나" hidden="1">{#N/A,#N/A,FALSE,"Sheet1"}</definedName>
    <definedName name="하도급" localSheetId="0" hidden="1">{#N/A,#N/A,FALSE,"사업총괄";#N/A,#N/A,FALSE,"장비사업";#N/A,#N/A,FALSE,"철구사업";#N/A,#N/A,FALSE,"준설사업"}</definedName>
    <definedName name="하도급" hidden="1">{#N/A,#N/A,FALSE,"사업총괄";#N/A,#N/A,FALSE,"장비사업";#N/A,#N/A,FALSE,"철구사업";#N/A,#N/A,FALSE,"준설사업"}</definedName>
    <definedName name="하도급사항" localSheetId="1" hidden="1">#REF!</definedName>
    <definedName name="하도급사항" localSheetId="0" hidden="1">#REF!</definedName>
    <definedName name="하도급사항" localSheetId="2" hidden="1">#REF!</definedName>
    <definedName name="하도급사항" hidden="1">#REF!</definedName>
    <definedName name="하도대상" localSheetId="0" hidden="1">{#N/A,#N/A,FALSE,"골재소요량";#N/A,#N/A,FALSE,"골재소요량"}</definedName>
    <definedName name="하도대상" hidden="1">{#N/A,#N/A,FALSE,"골재소요량";#N/A,#N/A,FALSE,"골재소요량"}</definedName>
    <definedName name="하도발주용공내역서" localSheetId="0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{#N/A,#N/A,FALSE,"단가표지"}</definedName>
    <definedName name="하하하" hidden="1">{#N/A,#N/A,FALSE,"단가표지"}</definedName>
    <definedName name="하한선" localSheetId="0" hidden="1">{#N/A,#N/A,FALSE,"배수2"}</definedName>
    <definedName name="하한선" hidden="1">{#N/A,#N/A,FALSE,"배수2"}</definedName>
    <definedName name="하ㅓ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1" hidden="1">#REF!</definedName>
    <definedName name="한" localSheetId="0" hidden="1">#REF!</definedName>
    <definedName name="한" localSheetId="2" hidden="1">#REF!</definedName>
    <definedName name="한" hidden="1">#REF!</definedName>
    <definedName name="한동" localSheetId="0" hidden="1">{#N/A,#N/A,FALSE,"단가표지"}</definedName>
    <definedName name="한동" hidden="1">{#N/A,#N/A,FALSE,"단가표지"}</definedName>
    <definedName name="한동1" localSheetId="0" hidden="1">{#N/A,#N/A,FALSE,"단가표지"}</definedName>
    <definedName name="한동1" hidden="1">{#N/A,#N/A,FALSE,"단가표지"}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할ㅇㅎㅎ랄ㄴㅇ험ㄴ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햐" localSheetId="0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0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아ㅏㅇ" localSheetId="0" hidden="1">{#N/A,#N/A,FALSE,"집계표"}</definedName>
    <definedName name="허아ㅏㅇ" hidden="1">{#N/A,#N/A,FALSE,"집계표"}</definedName>
    <definedName name="허저터" localSheetId="0" hidden="1">{#N/A,#N/A,FALSE,"집계표"}</definedName>
    <definedName name="허저터" hidden="1">{#N/A,#N/A,FALSE,"집계표"}</definedName>
    <definedName name="허허헣ㅎ" localSheetId="0" hidden="1">{#N/A,#N/A,FALSE,"집계표"}</definedName>
    <definedName name="허허헣ㅎ" hidden="1">{#N/A,#N/A,FALSE,"집계표"}</definedName>
    <definedName name="허헣" localSheetId="0" hidden="1">{#N/A,#N/A,FALSE,"집계표"}</definedName>
    <definedName name="허헣" hidden="1">{#N/A,#N/A,FALSE,"집계표"}</definedName>
    <definedName name="허ㅏ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ㅅ됴" localSheetId="0" hidden="1">{#N/A,#N/A,FALSE,"집계표"}</definedName>
    <definedName name="허ㅗㅅ됴" hidden="1">{#N/A,#N/A,FALSE,"집계표"}</definedName>
    <definedName name="허ㅗㅈ거ㅛㅛ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ㅚㅎ" localSheetId="0" hidden="1">{#N/A,#N/A,FALSE,"집계표"}</definedName>
    <definedName name="허ㅚㅎ" hidden="1">{#N/A,#N/A,FALSE,"집계표"}</definedName>
    <definedName name="헌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 hidden="1">#REF!</definedName>
    <definedName name="현장" localSheetId="0" hidden="1">#REF!</definedName>
    <definedName name="현장" localSheetId="2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localSheetId="1" hidden="1">#REF!</definedName>
    <definedName name="현조" localSheetId="0" hidden="1">#REF!</definedName>
    <definedName name="현조" localSheetId="2" hidden="1">#REF!</definedName>
    <definedName name="현조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조전" localSheetId="1" hidden="1">#REF!</definedName>
    <definedName name="협조전" localSheetId="0" hidden="1">#REF!</definedName>
    <definedName name="협조전" localSheetId="2" hidden="1">#REF!</definedName>
    <definedName name="협조전" hidden="1">#REF!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러ㅓㅓㅓㅓㅓㅓㅓ" localSheetId="0" hidden="1">{#N/A,#N/A,FALSE,"집계표"}</definedName>
    <definedName name="호러ㅓㅓㅓㅓㅓㅓㅓ" hidden="1">{#N/A,#N/A,FALSE,"집계표"}</definedName>
    <definedName name="호하ㅓ" localSheetId="0" hidden="1">{#N/A,#N/A,FALSE,"집계표"}</definedName>
    <definedName name="호하ㅓ" hidden="1">{#N/A,#N/A,FALSE,"집계표"}</definedName>
    <definedName name="호호" localSheetId="0" hidden="1">{#N/A,#N/A,FALSE,"포장1";#N/A,#N/A,FALSE,"포장1"}</definedName>
    <definedName name="호호" hidden="1">{#N/A,#N/A,FALSE,"포장1";#N/A,#N/A,FALSE,"포장1"}</definedName>
    <definedName name="호ㅓ" localSheetId="0" hidden="1">{#N/A,#N/A,FALSE,"집계표"}</definedName>
    <definedName name="호ㅓ" hidden="1">{#N/A,#N/A,FALSE,"집계표"}</definedName>
    <definedName name="호ㅓㅏ" localSheetId="0" hidden="1">{#N/A,#N/A,FALSE,"집계표"}</definedName>
    <definedName name="호ㅓㅏ" hidden="1">{#N/A,#N/A,FALSE,"집계표"}</definedName>
    <definedName name="호ㅓㅕㅏ6ㅅ서ㅛㅓ" localSheetId="1" hidden="1">[30]입찰안!#REF!</definedName>
    <definedName name="호ㅓㅕㅏ6ㅅ서ㅛㅓ" localSheetId="0" hidden="1">[30]입찰안!#REF!</definedName>
    <definedName name="호ㅓㅕㅏ6ㅅ서ㅛㅓ" localSheetId="2" hidden="1">[30]입찰안!#REF!</definedName>
    <definedName name="호ㅓㅕㅏ6ㅅ서ㅛㅓ" hidden="1">[30]입찰안!#REF!</definedName>
    <definedName name="혼ㄹ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홇" localSheetId="0" hidden="1">{#N/A,#N/A,FALSE,"Sheet6"}</definedName>
    <definedName name="홇" hidden="1">{#N/A,#N/A,FALSE,"Sheet6"}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홋ㄱ" localSheetId="0" hidden="1">{#N/A,#N/A,FALSE,"Sheet6"}</definedName>
    <definedName name="홋ㄱ" hidden="1">{#N/A,#N/A,FALSE,"Sheet6"}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홎ㄴ홓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화" localSheetId="0" hidden="1">{"'Sheet1'!$A$1:$E$59"}</definedName>
    <definedName name="화" hidden="1">{"'Sheet1'!$A$1:$E$59"}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ㅓㅗ허" localSheetId="0" hidden="1">{#N/A,#N/A,FALSE,"집계표"}</definedName>
    <definedName name="회ㅓㅗ허" hidden="1">{#N/A,#N/A,FALSE,"집계표"}</definedName>
    <definedName name="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0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훈" hidden="1">255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 localSheetId="0" hidden="1">{#N/A,#N/A,FALSE,"집계표"}</definedName>
    <definedName name="히" hidden="1">{#N/A,#N/A,FALSE,"집계표"}</definedName>
    <definedName name="힙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ㅏㄱㄷ" localSheetId="0" hidden="1">{#N/A,#N/A,FALSE,"집계표"}</definedName>
    <definedName name="ㅏㄱㄷ" hidden="1">{#N/A,#N/A,FALSE,"집계표"}</definedName>
    <definedName name="ㅏ셔ㅏ셔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이이ㅏ리" localSheetId="0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0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" localSheetId="0" hidden="1">{#N/A,#N/A,FALSE,"집계표"}</definedName>
    <definedName name="ㅏㅓ" hidden="1">{#N/A,#N/A,FALSE,"집계표"}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ㅏㅓ" localSheetId="0" hidden="1">{#N/A,#N/A,FALSE,"집계표"}</definedName>
    <definedName name="ㅏㅓㅏㅓㅏㅓ" hidden="1">{#N/A,#N/A,FALSE,"집계표"}</definedName>
    <definedName name="ㅏㅓㅓㅛㅑ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 hidden="1">{#N/A,#N/A,FALSE,"집계표"}</definedName>
    <definedName name="ㅏㅗ" hidden="1">{#N/A,#N/A,FALSE,"집계표"}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ㅑ" localSheetId="0" hidden="1">{#N/A,#N/A,FALSE,"Sheet6"}</definedName>
    <definedName name="ㅑㅑㅑㅑㅑㅑㅑ" hidden="1">{#N/A,#N/A,FALSE,"Sheet6"}</definedName>
    <definedName name="ㅑㅕ" localSheetId="0" hidden="1">{#N/A,#N/A,FALSE,"이정표"}</definedName>
    <definedName name="ㅑㅕ" hidden="1">{#N/A,#N/A,FALSE,"이정표"}</definedName>
    <definedName name="ㅑㅕㅛㅐ" localSheetId="0" hidden="1">{#N/A,#N/A,FALSE,"집계표"}</definedName>
    <definedName name="ㅑㅕㅛㅐ" hidden="1">{#N/A,#N/A,FALSE,"집계표"}</definedName>
    <definedName name="ㅑㅣㅛ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[24]실행철강하도!$A$1:$A$4</definedName>
    <definedName name="ㅓㄴ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ㄱㄴㄹㅇㄴ" localSheetId="0" hidden="1">{#N/A,#N/A,FALSE,"집계표"}</definedName>
    <definedName name="ㅓㅅㄱㄴㄹㅇㄴ" hidden="1">{#N/A,#N/A,FALSE,"집계표"}</definedName>
    <definedName name="ㅓㅇ" localSheetId="0" hidden="1">{#N/A,#N/A,FALSE,"집계표"}</definedName>
    <definedName name="ㅓㅇ" hidden="1">{#N/A,#N/A,FALSE,"집계표"}</definedName>
    <definedName name="ㅓㅇㄹ" localSheetId="0" hidden="1">{#N/A,#N/A,FALSE,"집계표"}</definedName>
    <definedName name="ㅓㅇㄹ" hidden="1">{#N/A,#N/A,FALSE,"집계표"}</definedName>
    <definedName name="ㅓ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치ㅏ헐ㅇ" localSheetId="0" hidden="1">{#N/A,#N/A,FALSE,"집계표"}</definedName>
    <definedName name="ㅓ치ㅏ헐ㅇ" hidden="1">{#N/A,#N/A,FALSE,"집계표"}</definedName>
    <definedName name="ㅓㅎㄹㅇ" localSheetId="0" hidden="1">{#N/A,#N/A,FALSE,"집계표"}</definedName>
    <definedName name="ㅓㅎㄹㅇ" hidden="1">{#N/A,#N/A,FALSE,"집계표"}</definedName>
    <definedName name="ㅓ호" localSheetId="0" hidden="1">{#N/A,#N/A,FALSE,"집계표"}</definedName>
    <definedName name="ㅓ호" hidden="1">{#N/A,#N/A,FALSE,"집계표"}</definedName>
    <definedName name="ㅓㅏㅅㅈ나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ㅕㅏ" localSheetId="0" hidden="1">{#N/A,#N/A,FALSE,"Sheet6"}</definedName>
    <definedName name="ㅓㅕㅏ" hidden="1">{#N/A,#N/A,FALSE,"Sheet6"}</definedName>
    <definedName name="ㅓㅗ" localSheetId="0" hidden="1">{#N/A,#N/A,FALSE,"집계표"}</definedName>
    <definedName name="ㅓㅗ" hidden="1">{#N/A,#N/A,FALSE,"집계표"}</definedName>
    <definedName name="ㅓㅗㄹ허" localSheetId="0" hidden="1">{#N/A,#N/A,FALSE,"집계표"}</definedName>
    <definedName name="ㅓㅗㄹ허" hidden="1">{#N/A,#N/A,FALSE,"집계표"}</definedName>
    <definedName name="ㅓㅗㅎㄹㅇㅇ" localSheetId="0" hidden="1">{#N/A,#N/A,FALSE,"집계표"}</definedName>
    <definedName name="ㅓㅗㅎㄹㅇㅇ" hidden="1">{#N/A,#N/A,FALSE,"집계표"}</definedName>
    <definedName name="ㅓㅗㅎㅍ" localSheetId="0" hidden="1">{#N/A,#N/A,FALSE,"집계표"}</definedName>
    <definedName name="ㅓㅗㅎㅍ" hidden="1">{#N/A,#N/A,FALSE,"집계표"}</definedName>
    <definedName name="ㅓㅗ하ㅗㅎ" localSheetId="0" hidden="1">{#N/A,#N/A,FALSE,"집계표"}</definedName>
    <definedName name="ㅓㅗ하ㅗㅎ" hidden="1">{#N/A,#N/A,FALSE,"집계표"}</definedName>
    <definedName name="ㅓㅗㅕ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ㅎ" localSheetId="0" hidden="1">{#N/A,#N/A,FALSE,"집계표"}</definedName>
    <definedName name="ㅓㅘㅎ" hidden="1">{#N/A,#N/A,FALSE,"집계표"}</definedName>
    <definedName name="ㅓㅛㅈㄱ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ㅣㅏㅗ" localSheetId="0" hidden="1">{#N/A,#N/A,FALSE,"집계표"}</definedName>
    <definedName name="ㅓㅣㅏㅗ" hidden="1">{#N/A,#N/A,FALSE,"집계표"}</definedName>
    <definedName name="ㅔㅐ" localSheetId="1" hidden="1">#REF!</definedName>
    <definedName name="ㅔㅐ" localSheetId="0" hidden="1">#REF!</definedName>
    <definedName name="ㅔㅐ" localSheetId="2" hidden="1">#REF!</definedName>
    <definedName name="ㅔㅐ" hidden="1">#REF!</definedName>
    <definedName name="ㅔㅐㄴ애ㅔㅐ" localSheetId="0" hidden="1">{#N/A,#N/A,FALSE,"집계표"}</definedName>
    <definedName name="ㅔㅐㄴ애ㅔㅐ" hidden="1">{#N/A,#N/A,FALSE,"집계표"}</definedName>
    <definedName name="ㅔㅔ" localSheetId="1" hidden="1">[31]집계표!#REF!</definedName>
    <definedName name="ㅔㅔ" localSheetId="0" hidden="1">[31]집계표!#REF!</definedName>
    <definedName name="ㅔㅔ" localSheetId="2" hidden="1">[31]집계표!#REF!</definedName>
    <definedName name="ㅔㅔ" hidden="1">[31]집계표!#REF!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ㅏㄷ쇼ㅏ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0" hidden="1">{#N/A,#N/A,FALSE,"Sheet6"}</definedName>
    <definedName name="ㅕㅏ쇼" hidden="1">{#N/A,#N/A,FALSE,"Sheet6"}</definedName>
    <definedName name="ㅕㅏㅛㅕㅏ" localSheetId="0" hidden="1">{#N/A,#N/A,FALSE,"Sheet6"}</definedName>
    <definedName name="ㅕㅏㅛㅕㅏ" hidden="1">{#N/A,#N/A,FALSE,"Sheet6"}</definedName>
    <definedName name="ㅕㅏㅛㅕ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localSheetId="1" hidden="1">#REF!</definedName>
    <definedName name="ㅕㅑ" localSheetId="0" hidden="1">#REF!</definedName>
    <definedName name="ㅕㅑ" localSheetId="2" hidden="1">#REF!</definedName>
    <definedName name="ㅕㅑ" hidden="1">#REF!</definedName>
    <definedName name="ㅕㅑㅐ" localSheetId="0" hidden="1">{#N/A,#N/A,FALSE,"Sheet6"}</definedName>
    <definedName name="ㅕㅑㅐ" hidden="1">{#N/A,#N/A,FALSE,"Sheet6"}</definedName>
    <definedName name="ㅕㅑㅐㅐ댜ㅛㅅ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1" hidden="1">#REF!</definedName>
    <definedName name="ㅕㅑㅐㅔ" localSheetId="0" hidden="1">#REF!</definedName>
    <definedName name="ㅕㅑㅐㅔ" localSheetId="2" hidden="1">#REF!</definedName>
    <definedName name="ㅕㅑㅐㅔ" hidden="1">#REF!</definedName>
    <definedName name="ㅕㅑㅛㅛㅛ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ㅇ" localSheetId="0" hidden="1">{#N/A,#N/A,FALSE,"집계표"}</definedName>
    <definedName name="ㅗㄴㅇ" hidden="1">{#N/A,#N/A,FALSE,"집계표"}</definedName>
    <definedName name="ㅗㄹㅇ오" localSheetId="0" hidden="1">{#N/A,#N/A,FALSE,"집계표"}</definedName>
    <definedName name="ㅗㄹㅇ오" hidden="1">{#N/A,#N/A,FALSE,"집계표"}</definedName>
    <definedName name="ㅗㄹㅇㅎ" localSheetId="0" hidden="1">{#N/A,#N/A,FALSE,"집계표"}</definedName>
    <definedName name="ㅗㄹㅇㅎ" hidden="1">{#N/A,#N/A,FALSE,"집계표"}</definedName>
    <definedName name="ㅗㄹㅎ라ㅗ" localSheetId="0" hidden="1">{#N/A,#N/A,FALSE,"집계표"}</definedName>
    <definedName name="ㅗㄹㅎ라ㅗ" hidden="1">{#N/A,#N/A,FALSE,"집계표"}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ㄴㄴ" localSheetId="0" hidden="1">{#N/A,#N/A,FALSE,"집계표"}</definedName>
    <definedName name="ㅗㅇㄴㄴ" hidden="1">{#N/A,#N/A,FALSE,"집계표"}</definedName>
    <definedName name="ㅗㅈ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 localSheetId="0" hidden="1">{#N/A,#N/A,FALSE,"집계표"}</definedName>
    <definedName name="ㅗㅎㄹ" hidden="1">{#N/A,#N/A,FALSE,"집계표"}</definedName>
    <definedName name="ㅗㅎㄹ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렇ㄹㅊㅇㅇ" localSheetId="0" hidden="1">{#N/A,#N/A,FALSE,"집계표"}</definedName>
    <definedName name="ㅗㅎ렇ㄹㅊㅇㅇ" hidden="1">{#N/A,#N/A,FALSE,"집계표"}</definedName>
    <definedName name="ㅗㅎㅇㄹ" localSheetId="0" hidden="1">{#N/A,#N/A,FALSE,"집계표"}</definedName>
    <definedName name="ㅗㅎㅇㄹ" hidden="1">{#N/A,#N/A,FALSE,"집계표"}</definedName>
    <definedName name="ㅗㅎㅈ" localSheetId="0" hidden="1">{#N/A,#N/A,FALSE,"집계표"}</definedName>
    <definedName name="ㅗㅎㅈ" hidden="1">{#N/A,#N/A,FALSE,"집계표"}</definedName>
    <definedName name="ㅗㅎㅊㅌㅎ" localSheetId="0" hidden="1">{#N/A,#N/A,FALSE,"집계표"}</definedName>
    <definedName name="ㅗㅎㅊㅌㅎ" hidden="1">{#N/A,#N/A,FALSE,"집계표"}</definedName>
    <definedName name="ㅗ하ㅓ" localSheetId="0" hidden="1">{#N/A,#N/A,FALSE,"집계표"}</definedName>
    <definedName name="ㅗ하ㅓ" hidden="1">{#N/A,#N/A,FALSE,"집계표"}</definedName>
    <definedName name="ㅗ허" localSheetId="0" hidden="1">{#N/A,#N/A,FALSE,"집계표"}</definedName>
    <definedName name="ㅗ허" hidden="1">{#N/A,#N/A,FALSE,"집계표"}</definedName>
    <definedName name="ㅗ허ㅜ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혀ㅏㄹ" localSheetId="0" hidden="1">{#N/A,#N/A,FALSE,"집계표"}</definedName>
    <definedName name="ㅗ혀ㅏㄹ" hidden="1">{#N/A,#N/A,FALSE,"집계표"}</definedName>
    <definedName name="ㅗㅓ" localSheetId="0" hidden="1">{#N/A,#N/A,FALSE,"부대2"}</definedName>
    <definedName name="ㅗㅓ" hidden="1">{#N/A,#N/A,FALSE,"부대2"}</definedName>
    <definedName name="ㅗㅓㅀㅅ" localSheetId="0" hidden="1">{#N/A,#N/A,FALSE,"집계표"}</definedName>
    <definedName name="ㅗㅓㅀㅅ" hidden="1">{#N/A,#N/A,FALSE,"집계표"}</definedName>
    <definedName name="ㅗㅓㅅ됴ㅑㅏ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ㅕㅑㅕ" localSheetId="0" hidden="1">{#N/A,#N/A,FALSE,"Sheet6"}</definedName>
    <definedName name="ㅗㅓㅕㅑㅕ" hidden="1">{#N/A,#N/A,FALSE,"Sheet6"}</definedName>
    <definedName name="ㅗㅓㅛㅎ" localSheetId="0" hidden="1">{#N/A,#N/A,FALSE,"Sheet6"}</definedName>
    <definedName name="ㅗㅓㅛㅎ" hidden="1">{#N/A,#N/A,FALSE,"Sheet6"}</definedName>
    <definedName name="ㅗㅕ" localSheetId="0" hidden="1">{#N/A,#N/A,FALSE,"배수2"}</definedName>
    <definedName name="ㅗㅕ" hidden="1">{#N/A,#N/A,FALSE,"배수2"}</definedName>
    <definedName name="ㅗ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" localSheetId="0" hidden="1">{#N/A,#N/A,FALSE,"집계표"}</definedName>
    <definedName name="ㅗㅠ" hidden="1">{#N/A,#N/A,FALSE,"집계표"}</definedName>
    <definedName name="ㅘ여ㅛ타숀ㅡㅜㅊ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localSheetId="0" hidden="1">{#N/A,#N/A,FALSE,"속도"}</definedName>
    <definedName name="ㅛㅅ" hidden="1">{#N/A,#N/A,FALSE,"속도"}</definedName>
    <definedName name="ㅛㅅ겨ㅑㅛㅅ" localSheetId="0" hidden="1">{#N/A,#N/A,FALSE,"집계표"}</definedName>
    <definedName name="ㅛㅅ겨ㅑㅛㅅ" hidden="1">{#N/A,#N/A,FALSE,"집계표"}</definedName>
    <definedName name="ㅛ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쇼ㅕ" localSheetId="0" hidden="1">{#N/A,#N/A,FALSE,"Sheet6"}</definedName>
    <definedName name="ㅛ셔쇼ㅕ" hidden="1">{#N/A,#N/A,FALSE,"Sheet6"}</definedName>
    <definedName name="ㅛㅈ거ㅏ쇼ㅏ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localSheetId="0" hidden="1">{#N/A,#N/A,FALSE,"구조1"}</definedName>
    <definedName name="ㅛㅑㅐ" hidden="1">{#N/A,#N/A,FALSE,"구조1"}</definedName>
    <definedName name="ㅛㅑㅐ교ㅐ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쇼" localSheetId="0" hidden="1">{#N/A,#N/A,FALSE,"Sheet6"}</definedName>
    <definedName name="ㅛㅓ쇼" hidden="1">{#N/A,#N/A,FALSE,"Sheet6"}</definedName>
    <definedName name="ㅛㅓㅓㅛㅛㅓㅛㅓ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ㅜ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ㅜ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뮤ㅐ" localSheetId="1" hidden="1">#REF!</definedName>
    <definedName name="ㅠ뮤ㅐ" localSheetId="0" hidden="1">#REF!</definedName>
    <definedName name="ㅠ뮤ㅐ" localSheetId="2" hidden="1">#REF!</definedName>
    <definedName name="ㅠ뮤ㅐ" hidden="1">#REF!</definedName>
    <definedName name="ㅠㅍㅎ" localSheetId="0" hidden="1">{#N/A,#N/A,FALSE,"집계표"}</definedName>
    <definedName name="ㅠㅍㅎ" hidden="1">{#N/A,#N/A,FALSE,"집계표"}</definedName>
    <definedName name="ㅠ포ㅓㅓㅓㅓㅓㅓ" localSheetId="0" hidden="1">{#N/A,#N/A,FALSE,"집계표"}</definedName>
    <definedName name="ㅠ포ㅓㅓㅓㅓㅓㅓ" hidden="1">{#N/A,#N/A,FALSE,"집계표"}</definedName>
    <definedName name="ㅠㅎㅇㄴ" localSheetId="0" hidden="1">{#N/A,#N/A,FALSE,"지침";#N/A,#N/A,FALSE,"환경분석";#N/A,#N/A,FALSE,"Sheet16"}</definedName>
    <definedName name="ㅠㅎㅇㄴ" hidden="1">{#N/A,#N/A,FALSE,"지침";#N/A,#N/A,FALSE,"환경분석";#N/A,#N/A,FALSE,"Sheet16"}</definedName>
    <definedName name="ㅠ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" localSheetId="0" hidden="1">{#N/A,#N/A,FALSE,"Sheet6"}</definedName>
    <definedName name="ㅠㅜㅛ" hidden="1">{#N/A,#N/A,FALSE,"Sheet6"}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#REF!</definedName>
    <definedName name="ㅡ" localSheetId="0" hidden="1">#REF!</definedName>
    <definedName name="ㅡ" localSheetId="2" hidden="1">#REF!</definedName>
    <definedName name="ㅡ" hidden="1">#REF!</definedName>
    <definedName name="ㅡ므" localSheetId="0" hidden="1">{#N/A,#N/A,FALSE,"집계표"}</definedName>
    <definedName name="ㅡ므" hidden="1">{#N/A,#N/A,FALSE,"집계표"}</definedName>
    <definedName name="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ㄴ아ㅓㄹ" localSheetId="0" hidden="1">{#N/A,#N/A,FALSE,"집계표"}</definedName>
    <definedName name="ㅣㄴ아ㅓㄹ" hidden="1">{#N/A,#N/A,FALSE,"집계표"}</definedName>
    <definedName name="ㅣㅁㄴ" localSheetId="0" hidden="1">{#N/A,#N/A,FALSE,"집계표"}</definedName>
    <definedName name="ㅣㅁㄴ" hidden="1">{#N/A,#N/A,FALSE,"집계표"}</definedName>
    <definedName name="ㅣㅁㄴ러ㅑㄱ" localSheetId="0" hidden="1">{#N/A,#N/A,FALSE,"집계표"}</definedName>
    <definedName name="ㅣㅁㄴ러ㅑㄱ" hidden="1">{#N/A,#N/A,FALSE,"집계표"}</definedName>
    <definedName name="ㅣㅏㄴ아ㅓ리ㅏ허" localSheetId="0" hidden="1">{#N/A,#N/A,FALSE,"집계표"}</definedName>
    <definedName name="ㅣㅏㄴ아ㅓ리ㅏ허" hidden="1">{#N/A,#N/A,FALSE,"집계표"}</definedName>
    <definedName name="ㅣㅏ넝리ㅏㅓㅎ" localSheetId="0" hidden="1">{#N/A,#N/A,FALSE,"집계표"}</definedName>
    <definedName name="ㅣㅏ넝리ㅏㅓㅎ" hidden="1">{#N/A,#N/A,FALSE,"집계표"}</definedName>
    <definedName name="ㅣㅏㅇ널" localSheetId="0" hidden="1">{#N/A,#N/A,FALSE,"집계표"}</definedName>
    <definedName name="ㅣㅏㅇ널" hidden="1">{#N/A,#N/A,FALSE,"집계표"}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ㅑㅓㄴ이ㅏㅎㄹ" localSheetId="0" hidden="1">{#N/A,#N/A,FALSE,"집계표"}</definedName>
    <definedName name="ㅣㅏㅑㅓㄴ이ㅏㅎㄹ" hidden="1">{#N/A,#N/A,FALSE,"집계표"}</definedName>
    <definedName name="ㅣㅏㅓㅏㅑㅓㅘㅐ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ㅕㅛ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0" hidden="1">{#N/A,#N/A,FALSE,"전력간선"}</definedName>
    <definedName name="ㅣㅓㅏ" hidden="1">{#N/A,#N/A,FALSE,"전력간선"}</definedName>
    <definedName name="ㅣㅗㄾㅇ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23309" l="1"/>
  <c r="L17" i="23309"/>
  <c r="L32" i="23309" s="1"/>
  <c r="H215" i="23313"/>
  <c r="K126" i="23313"/>
  <c r="L126" i="23313" s="1"/>
  <c r="J126" i="23313"/>
  <c r="H126" i="23313"/>
  <c r="K125" i="23313"/>
  <c r="L125" i="23313" s="1"/>
  <c r="J125" i="23313"/>
  <c r="H125" i="23313"/>
  <c r="O377" i="23313"/>
  <c r="K377" i="23313"/>
  <c r="L377" i="23313" s="1"/>
  <c r="J377" i="23313"/>
  <c r="H377" i="23313"/>
  <c r="K327" i="23313"/>
  <c r="K83" i="23313"/>
  <c r="L83" i="23313" s="1"/>
  <c r="J83" i="23313"/>
  <c r="H83" i="23313"/>
  <c r="K191" i="23313"/>
  <c r="L191" i="23313" s="1"/>
  <c r="J191" i="23313"/>
  <c r="H191" i="23313"/>
  <c r="O182" i="23313"/>
  <c r="J182" i="23313"/>
  <c r="G182" i="23313"/>
  <c r="K182" i="23313" s="1"/>
  <c r="L182" i="23313" s="1"/>
  <c r="K392" i="23313"/>
  <c r="L392" i="23313" s="1"/>
  <c r="J392" i="23313"/>
  <c r="H392" i="23313"/>
  <c r="K59" i="23313"/>
  <c r="L59" i="23313" s="1"/>
  <c r="J59" i="23313"/>
  <c r="H59" i="23313"/>
  <c r="K394" i="23313"/>
  <c r="L394" i="23313" s="1"/>
  <c r="J394" i="23313"/>
  <c r="H394" i="23313"/>
  <c r="K389" i="23313"/>
  <c r="L389" i="23313" s="1"/>
  <c r="J389" i="23313"/>
  <c r="H389" i="23313"/>
  <c r="K390" i="23313"/>
  <c r="L390" i="23313" s="1"/>
  <c r="J390" i="23313"/>
  <c r="H390" i="23313"/>
  <c r="K388" i="23313"/>
  <c r="L388" i="23313" s="1"/>
  <c r="J388" i="23313"/>
  <c r="H388" i="23313"/>
  <c r="K190" i="23313"/>
  <c r="L190" i="23313" s="1"/>
  <c r="J190" i="23313"/>
  <c r="H190" i="23313"/>
  <c r="K386" i="23313"/>
  <c r="L386" i="23313" s="1"/>
  <c r="J386" i="23313"/>
  <c r="H386" i="23313"/>
  <c r="K387" i="23313"/>
  <c r="L387" i="23313" s="1"/>
  <c r="J387" i="23313"/>
  <c r="H387" i="23313"/>
  <c r="K376" i="23313"/>
  <c r="L376" i="23313" s="1"/>
  <c r="J376" i="23313"/>
  <c r="H376" i="23313"/>
  <c r="O375" i="23313"/>
  <c r="K375" i="23313"/>
  <c r="L375" i="23313" s="1"/>
  <c r="J375" i="23313"/>
  <c r="H375" i="23313"/>
  <c r="O98" i="23313"/>
  <c r="K98" i="23313"/>
  <c r="L98" i="23313" s="1"/>
  <c r="J98" i="23313"/>
  <c r="H98" i="23313"/>
  <c r="O373" i="23313"/>
  <c r="K373" i="23313"/>
  <c r="L373" i="23313" s="1"/>
  <c r="J373" i="23313"/>
  <c r="H373" i="23313"/>
  <c r="K328" i="23313"/>
  <c r="L328" i="23313" s="1"/>
  <c r="J328" i="23313"/>
  <c r="H328" i="23313"/>
  <c r="K273" i="23313"/>
  <c r="L273" i="23313" s="1"/>
  <c r="J273" i="23313"/>
  <c r="H273" i="23313"/>
  <c r="K272" i="23313"/>
  <c r="L272" i="23313" s="1"/>
  <c r="J272" i="23313"/>
  <c r="H272" i="23313"/>
  <c r="K271" i="23313"/>
  <c r="L271" i="23313" s="1"/>
  <c r="J271" i="23313"/>
  <c r="H271" i="23313"/>
  <c r="K234" i="23313"/>
  <c r="L234" i="23313" s="1"/>
  <c r="J234" i="23313"/>
  <c r="H234" i="23313"/>
  <c r="K248" i="23313"/>
  <c r="L248" i="23313" s="1"/>
  <c r="J248" i="23313"/>
  <c r="H248" i="23313"/>
  <c r="K246" i="23313"/>
  <c r="L246" i="23313" s="1"/>
  <c r="J246" i="23313"/>
  <c r="H246" i="23313"/>
  <c r="O181" i="23313"/>
  <c r="K181" i="23313"/>
  <c r="L181" i="23313" s="1"/>
  <c r="J181" i="23313"/>
  <c r="H181" i="23313"/>
  <c r="K189" i="23313"/>
  <c r="L189" i="23313" s="1"/>
  <c r="J189" i="23313"/>
  <c r="H189" i="23313"/>
  <c r="K188" i="23313"/>
  <c r="L188" i="23313" s="1"/>
  <c r="J188" i="23313"/>
  <c r="H188" i="23313"/>
  <c r="K122" i="23313"/>
  <c r="L122" i="23313" s="1"/>
  <c r="J122" i="23313"/>
  <c r="H122" i="23313"/>
  <c r="K123" i="23313"/>
  <c r="L123" i="23313" s="1"/>
  <c r="J123" i="23313"/>
  <c r="H123" i="23313"/>
  <c r="J121" i="23313"/>
  <c r="K121" i="23313"/>
  <c r="L121" i="23313" s="1"/>
  <c r="O180" i="23313"/>
  <c r="J180" i="23313"/>
  <c r="K180" i="23313"/>
  <c r="L180" i="23313" s="1"/>
  <c r="G148" i="23313"/>
  <c r="G179" i="23313"/>
  <c r="K179" i="23313" s="1"/>
  <c r="L179" i="23313" s="1"/>
  <c r="O179" i="23313"/>
  <c r="J179" i="23313"/>
  <c r="O97" i="23313"/>
  <c r="K97" i="23313"/>
  <c r="L97" i="23313" s="1"/>
  <c r="J97" i="23313"/>
  <c r="H97" i="23313"/>
  <c r="H182" i="23313" l="1"/>
  <c r="H121" i="23313"/>
  <c r="H180" i="23313"/>
  <c r="H179" i="23313"/>
  <c r="J124" i="23313" l="1"/>
  <c r="H124" i="23313"/>
  <c r="K124" i="23313"/>
  <c r="L124" i="23313" s="1"/>
  <c r="K127" i="23313"/>
  <c r="J116" i="23313"/>
  <c r="G116" i="23313"/>
  <c r="K116" i="23313" s="1"/>
  <c r="L116" i="23313" s="1"/>
  <c r="J117" i="23313"/>
  <c r="G117" i="23313"/>
  <c r="K117" i="23313" s="1"/>
  <c r="L117" i="23313" s="1"/>
  <c r="O110" i="23313"/>
  <c r="K110" i="23313"/>
  <c r="L110" i="23313" s="1"/>
  <c r="J110" i="23313"/>
  <c r="H110" i="23313"/>
  <c r="K74" i="23313"/>
  <c r="L74" i="23313" s="1"/>
  <c r="J74" i="23313"/>
  <c r="H74" i="23313"/>
  <c r="K78" i="23313"/>
  <c r="L78" i="23313" s="1"/>
  <c r="J78" i="23313"/>
  <c r="H78" i="23313"/>
  <c r="K57" i="23313"/>
  <c r="L57" i="23313" s="1"/>
  <c r="J57" i="23313"/>
  <c r="H57" i="23313"/>
  <c r="G253" i="23313"/>
  <c r="H116" i="23313" l="1"/>
  <c r="H117" i="23313"/>
  <c r="J186" i="23313"/>
  <c r="K186" i="23313"/>
  <c r="J187" i="23313"/>
  <c r="K187" i="23313"/>
  <c r="H186" i="23313"/>
  <c r="H187" i="23313"/>
  <c r="L187" i="23313"/>
  <c r="L186" i="23313"/>
  <c r="H185" i="23313"/>
  <c r="O185" i="23313"/>
  <c r="J185" i="23313"/>
  <c r="K185" i="23313" l="1"/>
  <c r="L185" i="23313" s="1"/>
  <c r="K26" i="23313"/>
  <c r="L26" i="23313" s="1"/>
  <c r="J26" i="23313"/>
  <c r="H26" i="23313"/>
  <c r="J399" i="23313"/>
  <c r="H399" i="23313"/>
  <c r="K399" i="23313"/>
  <c r="L399" i="23313" s="1"/>
  <c r="K393" i="23313"/>
  <c r="L393" i="23313" s="1"/>
  <c r="J393" i="23313"/>
  <c r="H393" i="23313"/>
  <c r="H378" i="23313"/>
  <c r="K362" i="23313"/>
  <c r="L362" i="23313" s="1"/>
  <c r="J362" i="23313"/>
  <c r="H362" i="23313"/>
  <c r="L327" i="23313"/>
  <c r="J327" i="23313"/>
  <c r="H327" i="23313"/>
  <c r="F269" i="23313"/>
  <c r="K249" i="23313"/>
  <c r="L249" i="23313" s="1"/>
  <c r="J249" i="23313"/>
  <c r="H249" i="23313"/>
  <c r="K258" i="23313"/>
  <c r="L258" i="23313" s="1"/>
  <c r="J258" i="23313"/>
  <c r="H258" i="23313"/>
  <c r="K257" i="23313"/>
  <c r="L257" i="23313" s="1"/>
  <c r="J257" i="23313"/>
  <c r="H257" i="23313"/>
  <c r="K256" i="23313"/>
  <c r="L256" i="23313" s="1"/>
  <c r="J256" i="23313"/>
  <c r="H256" i="23313"/>
  <c r="K255" i="23313"/>
  <c r="L255" i="23313" s="1"/>
  <c r="J255" i="23313"/>
  <c r="H255" i="23313"/>
  <c r="K254" i="23313"/>
  <c r="L254" i="23313" s="1"/>
  <c r="J254" i="23313"/>
  <c r="H254" i="23313"/>
  <c r="K253" i="23313"/>
  <c r="L253" i="23313" s="1"/>
  <c r="J253" i="23313"/>
  <c r="K252" i="23313"/>
  <c r="L252" i="23313" s="1"/>
  <c r="J252" i="23313"/>
  <c r="H252" i="23313"/>
  <c r="K251" i="23313"/>
  <c r="L251" i="23313" s="1"/>
  <c r="J251" i="23313"/>
  <c r="H251" i="23313"/>
  <c r="K250" i="23313"/>
  <c r="L250" i="23313" s="1"/>
  <c r="J250" i="23313"/>
  <c r="H250" i="23313"/>
  <c r="K247" i="23313"/>
  <c r="L247" i="23313" s="1"/>
  <c r="J247" i="23313"/>
  <c r="H247" i="23313"/>
  <c r="K235" i="23313"/>
  <c r="L235" i="23313" s="1"/>
  <c r="J235" i="23313"/>
  <c r="H235" i="23313"/>
  <c r="J211" i="23313"/>
  <c r="K211" i="23313"/>
  <c r="L211" i="23313" s="1"/>
  <c r="H211" i="23313"/>
  <c r="J210" i="23313"/>
  <c r="K210" i="23313"/>
  <c r="L210" i="23313" s="1"/>
  <c r="H210" i="23313"/>
  <c r="K206" i="23313" l="1"/>
  <c r="L206" i="23313" s="1"/>
  <c r="J206" i="23313"/>
  <c r="H206" i="23313"/>
  <c r="G120" i="23313"/>
  <c r="G118" i="23313"/>
  <c r="J134" i="23313"/>
  <c r="K134" i="23313"/>
  <c r="L134" i="23313" s="1"/>
  <c r="H134" i="23313"/>
  <c r="H159" i="23313" l="1"/>
  <c r="J159" i="23313"/>
  <c r="K159" i="23313"/>
  <c r="L159" i="23313" s="1"/>
  <c r="K163" i="23313"/>
  <c r="L163" i="23313" s="1"/>
  <c r="J163" i="23313"/>
  <c r="H163" i="23313"/>
  <c r="K233" i="23313"/>
  <c r="L233" i="23313" s="1"/>
  <c r="J233" i="23313"/>
  <c r="H233" i="23313"/>
  <c r="K221" i="23313" l="1"/>
  <c r="L221" i="23313" s="1"/>
  <c r="L265" i="23313" s="1"/>
  <c r="J221" i="23313"/>
  <c r="H221" i="23313"/>
  <c r="K367" i="23313"/>
  <c r="L367" i="23313" s="1"/>
  <c r="J367" i="23313"/>
  <c r="H367" i="23313"/>
  <c r="K400" i="23313"/>
  <c r="L400" i="23313" s="1"/>
  <c r="J400" i="23313"/>
  <c r="H400" i="23313"/>
  <c r="P277" i="23313"/>
  <c r="O277" i="23313"/>
  <c r="K277" i="23313"/>
  <c r="L277" i="23313" s="1"/>
  <c r="J277" i="23313"/>
  <c r="H277" i="23313"/>
  <c r="K401" i="23313"/>
  <c r="L401" i="23313" s="1"/>
  <c r="J401" i="23313"/>
  <c r="H401" i="23313"/>
  <c r="K239" i="23313"/>
  <c r="L239" i="23313" s="1"/>
  <c r="J239" i="23313"/>
  <c r="H239" i="23313"/>
  <c r="K368" i="23313"/>
  <c r="L368" i="23313" s="1"/>
  <c r="J368" i="23313"/>
  <c r="H368" i="23313"/>
  <c r="S207" i="23313"/>
  <c r="J209" i="23313"/>
  <c r="K208" i="23313"/>
  <c r="L208" i="23313" s="1"/>
  <c r="J208" i="23313"/>
  <c r="H208" i="23313"/>
  <c r="K72" i="23313"/>
  <c r="L72" i="23313" s="1"/>
  <c r="J72" i="23313"/>
  <c r="H72" i="23313"/>
  <c r="P209" i="23313"/>
  <c r="K209" i="23313"/>
  <c r="L209" i="23313" s="1"/>
  <c r="H209" i="23313"/>
  <c r="K76" i="23313" l="1"/>
  <c r="L76" i="23313" s="1"/>
  <c r="J76" i="23313"/>
  <c r="H76" i="23313"/>
  <c r="H55" i="23313"/>
  <c r="F3" i="23312"/>
  <c r="F307" i="23313"/>
  <c r="J307" i="23313" s="1"/>
  <c r="P308" i="23313"/>
  <c r="O308" i="23313"/>
  <c r="K308" i="23313"/>
  <c r="L308" i="23313" s="1"/>
  <c r="J308" i="23313"/>
  <c r="H308" i="23313"/>
  <c r="P307" i="23313"/>
  <c r="O307" i="23313"/>
  <c r="K307" i="23313"/>
  <c r="P306" i="23313"/>
  <c r="K306" i="23313"/>
  <c r="F306" i="23313"/>
  <c r="K395" i="23313"/>
  <c r="L395" i="23313" s="1"/>
  <c r="J395" i="23313"/>
  <c r="H395" i="23313"/>
  <c r="K23" i="23313"/>
  <c r="L23" i="23313" s="1"/>
  <c r="J23" i="23313"/>
  <c r="H23" i="23313"/>
  <c r="J178" i="23313"/>
  <c r="K178" i="23313"/>
  <c r="L178" i="23313" s="1"/>
  <c r="H178" i="23313"/>
  <c r="K129" i="23313"/>
  <c r="L129" i="23313" s="1"/>
  <c r="J129" i="23313"/>
  <c r="H129" i="23313"/>
  <c r="H166" i="23313"/>
  <c r="J166" i="23313"/>
  <c r="K166" i="23313"/>
  <c r="L166" i="23313" s="1"/>
  <c r="K19" i="23313"/>
  <c r="L19" i="23313" s="1"/>
  <c r="J19" i="23313"/>
  <c r="H19" i="23313"/>
  <c r="K167" i="23313"/>
  <c r="L167" i="23313" s="1"/>
  <c r="J167" i="23313"/>
  <c r="H167" i="23313"/>
  <c r="H212" i="23313"/>
  <c r="J212" i="23313"/>
  <c r="K212" i="23313"/>
  <c r="L212" i="23313" s="1"/>
  <c r="K334" i="23313"/>
  <c r="L334" i="23313" s="1"/>
  <c r="J334" i="23313"/>
  <c r="H334" i="23313"/>
  <c r="K156" i="23313"/>
  <c r="L156" i="23313" s="1"/>
  <c r="J156" i="23313"/>
  <c r="H156" i="23313"/>
  <c r="K398" i="23313"/>
  <c r="L398" i="23313" s="1"/>
  <c r="J398" i="23313"/>
  <c r="H398" i="23313"/>
  <c r="L307" i="23313" l="1"/>
  <c r="H307" i="23313"/>
  <c r="L306" i="23313"/>
  <c r="H306" i="23313"/>
  <c r="J306" i="23313"/>
  <c r="K54" i="23313"/>
  <c r="L54" i="23313" s="1"/>
  <c r="J54" i="23313"/>
  <c r="H54" i="23313"/>
  <c r="K61" i="23313" l="1"/>
  <c r="L61" i="23313" s="1"/>
  <c r="J61" i="23313"/>
  <c r="H61" i="23313"/>
  <c r="K336" i="23313"/>
  <c r="L336" i="23313" s="1"/>
  <c r="J336" i="23313"/>
  <c r="H336" i="23313"/>
  <c r="O163" i="23313"/>
  <c r="O162" i="23313"/>
  <c r="K162" i="23313"/>
  <c r="L162" i="23313" s="1"/>
  <c r="J162" i="23313"/>
  <c r="H162" i="23313"/>
  <c r="K155" i="23313"/>
  <c r="L155" i="23313" s="1"/>
  <c r="J155" i="23313"/>
  <c r="H155" i="23313"/>
  <c r="K113" i="23313"/>
  <c r="L113" i="23313" s="1"/>
  <c r="J113" i="23313"/>
  <c r="H113" i="23313"/>
  <c r="K109" i="23313"/>
  <c r="L109" i="23313" s="1"/>
  <c r="J109" i="23313"/>
  <c r="H109" i="23313"/>
  <c r="K421" i="23313" l="1"/>
  <c r="L421" i="23313" s="1"/>
  <c r="J421" i="23313"/>
  <c r="H421" i="23313"/>
  <c r="J82" i="23313" l="1"/>
  <c r="K82" i="23313"/>
  <c r="L82" i="23313" s="1"/>
  <c r="J81" i="23313"/>
  <c r="K81" i="23313"/>
  <c r="L81" i="23313" s="1"/>
  <c r="H82" i="23313"/>
  <c r="H81" i="23313"/>
  <c r="K312" i="23313" l="1"/>
  <c r="L312" i="23313" s="1"/>
  <c r="J312" i="23313"/>
  <c r="H312" i="23313"/>
  <c r="K311" i="23313"/>
  <c r="L311" i="23313" s="1"/>
  <c r="J311" i="23313"/>
  <c r="H311" i="23313"/>
  <c r="J397" i="23313" l="1"/>
  <c r="K397" i="23313"/>
  <c r="L397" i="23313" s="1"/>
  <c r="H397" i="23313"/>
  <c r="H30" i="23313" l="1"/>
  <c r="J30" i="23313"/>
  <c r="K30" i="23313"/>
  <c r="L30" i="23313" s="1"/>
  <c r="H31" i="23313"/>
  <c r="J31" i="23313"/>
  <c r="K31" i="23313"/>
  <c r="L31" i="23313" s="1"/>
  <c r="J200" i="23313" l="1"/>
  <c r="K200" i="23313"/>
  <c r="L200" i="23313" s="1"/>
  <c r="H200" i="23313"/>
  <c r="J80" i="23313"/>
  <c r="K80" i="23313"/>
  <c r="L80" i="23313" s="1"/>
  <c r="H80" i="23313"/>
  <c r="L364" i="23313"/>
  <c r="J364" i="23313"/>
  <c r="J365" i="23313"/>
  <c r="J366" i="23313"/>
  <c r="J363" i="23313"/>
  <c r="H364" i="23313"/>
  <c r="H365" i="23313"/>
  <c r="H366" i="23313"/>
  <c r="H363" i="23313"/>
  <c r="K363" i="23313"/>
  <c r="L363" i="23313" s="1"/>
  <c r="J165" i="23313" l="1"/>
  <c r="J106" i="23313"/>
  <c r="J107" i="23313"/>
  <c r="J108" i="23313"/>
  <c r="H165" i="23313"/>
  <c r="H106" i="23313"/>
  <c r="H107" i="23313"/>
  <c r="H108" i="23313"/>
  <c r="K165" i="23313"/>
  <c r="L165" i="23313" s="1"/>
  <c r="K106" i="23313"/>
  <c r="K107" i="23313"/>
  <c r="K108" i="23313"/>
  <c r="L108" i="23313" s="1"/>
  <c r="O149" i="23313"/>
  <c r="K149" i="23313"/>
  <c r="L149" i="23313" s="1"/>
  <c r="J149" i="23313"/>
  <c r="H149" i="23313"/>
  <c r="H148" i="23313"/>
  <c r="J148" i="23313"/>
  <c r="K148" i="23313"/>
  <c r="L148" i="23313" s="1"/>
  <c r="O148" i="23313"/>
  <c r="J96" i="23313"/>
  <c r="K96" i="23313"/>
  <c r="L96" i="23313" s="1"/>
  <c r="H96" i="23313"/>
  <c r="H62" i="23313"/>
  <c r="H409" i="23313"/>
  <c r="J409" i="23313"/>
  <c r="K409" i="23313"/>
  <c r="L409" i="23313" s="1"/>
  <c r="H410" i="23313"/>
  <c r="J410" i="23313"/>
  <c r="K410" i="23313"/>
  <c r="L410" i="23313" s="1"/>
  <c r="H411" i="23313"/>
  <c r="J411" i="23313"/>
  <c r="K411" i="23313"/>
  <c r="L411" i="23313" s="1"/>
  <c r="H412" i="23313"/>
  <c r="J412" i="23313"/>
  <c r="K412" i="23313"/>
  <c r="L412" i="23313" s="1"/>
  <c r="H403" i="23313"/>
  <c r="J403" i="23313"/>
  <c r="K403" i="23313"/>
  <c r="L403" i="23313" s="1"/>
  <c r="H404" i="23313"/>
  <c r="J404" i="23313"/>
  <c r="K404" i="23313"/>
  <c r="L404" i="23313" s="1"/>
  <c r="H405" i="23313"/>
  <c r="J405" i="23313"/>
  <c r="K405" i="23313"/>
  <c r="L405" i="23313" s="1"/>
  <c r="H406" i="23313"/>
  <c r="J406" i="23313"/>
  <c r="K406" i="23313"/>
  <c r="L406" i="23313" s="1"/>
  <c r="H407" i="23313"/>
  <c r="J407" i="23313"/>
  <c r="K407" i="23313"/>
  <c r="L407" i="23313" s="1"/>
  <c r="H408" i="23313"/>
  <c r="J408" i="23313"/>
  <c r="K408" i="23313"/>
  <c r="L408" i="23313" s="1"/>
  <c r="H396" i="23313"/>
  <c r="J396" i="23313"/>
  <c r="K396" i="23313"/>
  <c r="L396" i="23313" s="1"/>
  <c r="H243" i="23313"/>
  <c r="K243" i="23313"/>
  <c r="L243" i="23313" s="1"/>
  <c r="J243" i="23313"/>
  <c r="K242" i="23313"/>
  <c r="L242" i="23313" s="1"/>
  <c r="J242" i="23313"/>
  <c r="H242" i="23313"/>
  <c r="K415" i="23313" l="1"/>
  <c r="L415" i="23313" s="1"/>
  <c r="J415" i="23313"/>
  <c r="H415" i="23313"/>
  <c r="O89" i="23313"/>
  <c r="O205" i="23313"/>
  <c r="L106" i="23313"/>
  <c r="L107" i="23313"/>
  <c r="O145" i="23313"/>
  <c r="K145" i="23313"/>
  <c r="L145" i="23313" s="1"/>
  <c r="J145" i="23313"/>
  <c r="H145" i="23313"/>
  <c r="O105" i="23313" l="1"/>
  <c r="K304" i="23313"/>
  <c r="L304" i="23313" s="1"/>
  <c r="J304" i="23313"/>
  <c r="H304" i="23313"/>
  <c r="O303" i="23313"/>
  <c r="O293" i="23313"/>
  <c r="O270" i="23313"/>
  <c r="P269" i="23313"/>
  <c r="J378" i="23313" l="1"/>
  <c r="J380" i="23313"/>
  <c r="J381" i="23313"/>
  <c r="J382" i="23313"/>
  <c r="J383" i="23313"/>
  <c r="J297" i="23313" l="1"/>
  <c r="K297" i="23313"/>
  <c r="J298" i="23313"/>
  <c r="K298" i="23313"/>
  <c r="H301" i="23313"/>
  <c r="J301" i="23313"/>
  <c r="K301" i="23313"/>
  <c r="H302" i="23313"/>
  <c r="J302" i="23313"/>
  <c r="K302" i="23313"/>
  <c r="L302" i="23313" s="1"/>
  <c r="H303" i="23313"/>
  <c r="K303" i="23313"/>
  <c r="L303" i="23313" s="1"/>
  <c r="L298" i="23313" l="1"/>
  <c r="L297" i="23313"/>
  <c r="H297" i="23313"/>
  <c r="L301" i="23313"/>
  <c r="H298" i="23313"/>
  <c r="J303" i="23313"/>
  <c r="K378" i="23313"/>
  <c r="L378" i="23313" s="1"/>
  <c r="K380" i="23313"/>
  <c r="L380" i="23313" s="1"/>
  <c r="K381" i="23313"/>
  <c r="L381" i="23313" s="1"/>
  <c r="K382" i="23313"/>
  <c r="L382" i="23313" s="1"/>
  <c r="K383" i="23313"/>
  <c r="L383" i="23313" s="1"/>
  <c r="H380" i="23313"/>
  <c r="H381" i="23313"/>
  <c r="H382" i="23313"/>
  <c r="H383" i="23313"/>
  <c r="H374" i="23313"/>
  <c r="H372" i="23313"/>
  <c r="H207" i="23313"/>
  <c r="J207" i="23313"/>
  <c r="K207" i="23313"/>
  <c r="L207" i="23313" s="1"/>
  <c r="J205" i="23313"/>
  <c r="K205" i="23313"/>
  <c r="L205" i="23313" s="1"/>
  <c r="H205" i="23313"/>
  <c r="O199" i="23313"/>
  <c r="J204" i="23313"/>
  <c r="K204" i="23313"/>
  <c r="L204" i="23313" s="1"/>
  <c r="H204" i="23313"/>
  <c r="P270" i="23313"/>
  <c r="O141" i="23313"/>
  <c r="K141" i="23313"/>
  <c r="L141" i="23313" s="1"/>
  <c r="J141" i="23313"/>
  <c r="H141" i="23313"/>
  <c r="J137" i="23313"/>
  <c r="K137" i="23313"/>
  <c r="L137" i="23313" s="1"/>
  <c r="H137" i="23313"/>
  <c r="H153" i="23313"/>
  <c r="J153" i="23313"/>
  <c r="H152" i="23313"/>
  <c r="J152" i="23313"/>
  <c r="H151" i="23313"/>
  <c r="J151" i="23313"/>
  <c r="K153" i="23313"/>
  <c r="L153" i="23313" s="1"/>
  <c r="K152" i="23313"/>
  <c r="L152" i="23313" s="1"/>
  <c r="K151" i="23313"/>
  <c r="L151" i="23313" s="1"/>
  <c r="K138" i="23313" l="1"/>
  <c r="L138" i="23313" s="1"/>
  <c r="J138" i="23313"/>
  <c r="H138" i="23313"/>
  <c r="J348" i="23313"/>
  <c r="K348" i="23313"/>
  <c r="L348" i="23313" s="1"/>
  <c r="J347" i="23313"/>
  <c r="K347" i="23313"/>
  <c r="L347" i="23313" s="1"/>
  <c r="H348" i="23313"/>
  <c r="H347" i="23313"/>
  <c r="H136" i="23313"/>
  <c r="J136" i="23313"/>
  <c r="O95" i="23313"/>
  <c r="J95" i="23313"/>
  <c r="K95" i="23313"/>
  <c r="L95" i="23313" s="1"/>
  <c r="H95" i="23313"/>
  <c r="H93" i="23313"/>
  <c r="J93" i="23313"/>
  <c r="O93" i="23313"/>
  <c r="O92" i="23313"/>
  <c r="H331" i="23313" l="1"/>
  <c r="J331" i="23313"/>
  <c r="K331" i="23313"/>
  <c r="L331" i="23313" s="1"/>
  <c r="K346" i="23313"/>
  <c r="L346" i="23313" s="1"/>
  <c r="K136" i="23313" l="1"/>
  <c r="L136" i="23313" s="1"/>
  <c r="K93" i="23313"/>
  <c r="L93" i="23313" s="1"/>
  <c r="K286" i="23313" l="1"/>
  <c r="L286" i="23313" s="1"/>
  <c r="J286" i="23313"/>
  <c r="H286" i="23313"/>
  <c r="H280" i="23313"/>
  <c r="J280" i="23313"/>
  <c r="K280" i="23313"/>
  <c r="L280" i="23313" s="1"/>
  <c r="H281" i="23313"/>
  <c r="J281" i="23313"/>
  <c r="K281" i="23313"/>
  <c r="L281" i="23313" s="1"/>
  <c r="H285" i="23313"/>
  <c r="J285" i="23313"/>
  <c r="K285" i="23313"/>
  <c r="L285" i="23313" s="1"/>
  <c r="J202" i="23313"/>
  <c r="H73" i="23313"/>
  <c r="H75" i="23313"/>
  <c r="H77" i="23313"/>
  <c r="J77" i="23313"/>
  <c r="K77" i="23313"/>
  <c r="L77" i="23313" s="1"/>
  <c r="J65" i="23313"/>
  <c r="K65" i="23313"/>
  <c r="L65" i="23313" s="1"/>
  <c r="J66" i="23313"/>
  <c r="K66" i="23313"/>
  <c r="L66" i="23313" s="1"/>
  <c r="J67" i="23313"/>
  <c r="G67" i="23313"/>
  <c r="K67" i="23313" s="1"/>
  <c r="L67" i="23313" s="1"/>
  <c r="H66" i="23313"/>
  <c r="G64" i="23313"/>
  <c r="H65" i="23313"/>
  <c r="J73" i="23313"/>
  <c r="K73" i="23313"/>
  <c r="L73" i="23313" s="1"/>
  <c r="H67" i="23313" l="1"/>
  <c r="G196" i="23313"/>
  <c r="K196" i="23313" s="1"/>
  <c r="L196" i="23313" s="1"/>
  <c r="J196" i="23313"/>
  <c r="K359" i="23313"/>
  <c r="L359" i="23313" s="1"/>
  <c r="J359" i="23313"/>
  <c r="H359" i="23313"/>
  <c r="J361" i="23313"/>
  <c r="K361" i="23313"/>
  <c r="L361" i="23313" s="1"/>
  <c r="H361" i="23313"/>
  <c r="H196" i="23313" l="1"/>
  <c r="J203" i="23313"/>
  <c r="K203" i="23313"/>
  <c r="L203" i="23313" s="1"/>
  <c r="H203" i="23313"/>
  <c r="P197" i="23313"/>
  <c r="K198" i="23313"/>
  <c r="L198" i="23313" s="1"/>
  <c r="J198" i="23313"/>
  <c r="H198" i="23313"/>
  <c r="K342" i="23313"/>
  <c r="L342" i="23313" s="1"/>
  <c r="J342" i="23313"/>
  <c r="H342" i="23313"/>
  <c r="K344" i="23313"/>
  <c r="L344" i="23313" s="1"/>
  <c r="J344" i="23313"/>
  <c r="J345" i="23313"/>
  <c r="J346" i="23313"/>
  <c r="H344" i="23313"/>
  <c r="H345" i="23313"/>
  <c r="H346" i="23313"/>
  <c r="O91" i="23313"/>
  <c r="O319" i="23313"/>
  <c r="O289" i="23313"/>
  <c r="P293" i="23313"/>
  <c r="A3" i="23309"/>
  <c r="J374" i="23313" l="1"/>
  <c r="K374" i="23313"/>
  <c r="L374" i="23313" s="1"/>
  <c r="O343" i="23313"/>
  <c r="K118" i="23313"/>
  <c r="L118" i="23313" s="1"/>
  <c r="J118" i="23313"/>
  <c r="H118" i="23313"/>
  <c r="K140" i="23313"/>
  <c r="L140" i="23313" s="1"/>
  <c r="J140" i="23313"/>
  <c r="H140" i="23313"/>
  <c r="K139" i="23313"/>
  <c r="L139" i="23313" s="1"/>
  <c r="L193" i="23313" s="1"/>
  <c r="J139" i="23313"/>
  <c r="H139" i="23313"/>
  <c r="K128" i="23313"/>
  <c r="L128" i="23313" s="1"/>
  <c r="J128" i="23313"/>
  <c r="H128" i="23313"/>
  <c r="O197" i="23313" l="1"/>
  <c r="O371" i="23313"/>
  <c r="J372" i="23313"/>
  <c r="K372" i="23313"/>
  <c r="L372" i="23313" s="1"/>
  <c r="O360" i="23313"/>
  <c r="J241" i="23313" l="1"/>
  <c r="K241" i="23313"/>
  <c r="L241" i="23313" s="1"/>
  <c r="H241" i="23313"/>
  <c r="H224" i="23313"/>
  <c r="J224" i="23313"/>
  <c r="K224" i="23313"/>
  <c r="L224" i="23313" s="1"/>
  <c r="J133" i="23313" l="1"/>
  <c r="K133" i="23313"/>
  <c r="L133" i="23313" s="1"/>
  <c r="H133" i="23313"/>
  <c r="H132" i="23313"/>
  <c r="J132" i="23313"/>
  <c r="K132" i="23313"/>
  <c r="L132" i="23313" s="1"/>
  <c r="J131" i="23313"/>
  <c r="K131" i="23313"/>
  <c r="L131" i="23313" s="1"/>
  <c r="J130" i="23313"/>
  <c r="K130" i="23313"/>
  <c r="L130" i="23313" s="1"/>
  <c r="H131" i="23313"/>
  <c r="H130" i="23313"/>
  <c r="O90" i="23313" l="1"/>
  <c r="K357" i="23313"/>
  <c r="L357" i="23313" s="1"/>
  <c r="J357" i="23313"/>
  <c r="H357" i="23313"/>
  <c r="K236" i="23313" l="1"/>
  <c r="L236" i="23313" s="1"/>
  <c r="J236" i="23313"/>
  <c r="H236" i="23313"/>
  <c r="K240" i="23313"/>
  <c r="L240" i="23313" s="1"/>
  <c r="J240" i="23313"/>
  <c r="H240" i="23313"/>
  <c r="K60" i="23313"/>
  <c r="L60" i="23313" s="1"/>
  <c r="J60" i="23313"/>
  <c r="H60" i="23313"/>
  <c r="K150" i="23313" l="1"/>
  <c r="L150" i="23313" s="1"/>
  <c r="J150" i="23313"/>
  <c r="H150" i="23313"/>
  <c r="J270" i="23313" l="1"/>
  <c r="J274" i="23313"/>
  <c r="J293" i="23313"/>
  <c r="J290" i="23313"/>
  <c r="J289" i="23313"/>
  <c r="J269" i="23313"/>
  <c r="H270" i="23313"/>
  <c r="H274" i="23313"/>
  <c r="H293" i="23313"/>
  <c r="H290" i="23313"/>
  <c r="H289" i="23313"/>
  <c r="H269" i="23313"/>
  <c r="J225" i="23313"/>
  <c r="J226" i="23313"/>
  <c r="J229" i="23313"/>
  <c r="J230" i="23313"/>
  <c r="J237" i="23313"/>
  <c r="J238" i="23313"/>
  <c r="J219" i="23313"/>
  <c r="H225" i="23313"/>
  <c r="H226" i="23313"/>
  <c r="H229" i="23313"/>
  <c r="H230" i="23313"/>
  <c r="H237" i="23313"/>
  <c r="H219" i="23313"/>
  <c r="K24" i="23313"/>
  <c r="L24" i="23313" s="1"/>
  <c r="J24" i="23313"/>
  <c r="H24" i="23313"/>
  <c r="O30" i="23313"/>
  <c r="K29" i="23313"/>
  <c r="L29" i="23313" s="1"/>
  <c r="J29" i="23313"/>
  <c r="H29" i="23313"/>
  <c r="K144" i="23313"/>
  <c r="L144" i="23313" s="1"/>
  <c r="J144" i="23313"/>
  <c r="H144" i="23313"/>
  <c r="K56" i="23313"/>
  <c r="L56" i="23313" s="1"/>
  <c r="J56" i="23313"/>
  <c r="H56" i="23313"/>
  <c r="H265" i="23313" l="1"/>
  <c r="J265" i="23313"/>
  <c r="H314" i="23313"/>
  <c r="J314" i="23313"/>
  <c r="K345" i="23313"/>
  <c r="L345" i="23313" s="1"/>
  <c r="K365" i="23313"/>
  <c r="L365" i="23313" s="1"/>
  <c r="K366" i="23313"/>
  <c r="L366" i="23313" s="1"/>
  <c r="H358" i="23313"/>
  <c r="J358" i="23313"/>
  <c r="K358" i="23313"/>
  <c r="L358" i="23313" s="1"/>
  <c r="H371" i="23313"/>
  <c r="J371" i="23313"/>
  <c r="K371" i="23313"/>
  <c r="L371" i="23313" s="1"/>
  <c r="J360" i="23313" l="1"/>
  <c r="K360" i="23313"/>
  <c r="L360" i="23313" s="1"/>
  <c r="H360" i="23313"/>
  <c r="K269" i="23313" l="1"/>
  <c r="L269" i="23313" s="1"/>
  <c r="K270" i="23313"/>
  <c r="L270" i="23313" s="1"/>
  <c r="K320" i="23313"/>
  <c r="L320" i="23313" s="1"/>
  <c r="J320" i="23313"/>
  <c r="H320" i="23313"/>
  <c r="K343" i="23313"/>
  <c r="L343" i="23313" s="1"/>
  <c r="L351" i="23313" s="1"/>
  <c r="J343" i="23313"/>
  <c r="J351" i="23313" s="1"/>
  <c r="H343" i="23313"/>
  <c r="H351" i="23313" s="1"/>
  <c r="H201" i="23313"/>
  <c r="J201" i="23313"/>
  <c r="J215" i="23313" s="1"/>
  <c r="K201" i="23313"/>
  <c r="L201" i="23313" s="1"/>
  <c r="L215" i="23313" s="1"/>
  <c r="K91" i="23313"/>
  <c r="L91" i="23313" s="1"/>
  <c r="K94" i="23313"/>
  <c r="L94" i="23313" s="1"/>
  <c r="J91" i="23313"/>
  <c r="J94" i="23313"/>
  <c r="H91" i="23313"/>
  <c r="H94" i="23313"/>
  <c r="K330" i="23313"/>
  <c r="L330" i="23313" s="1"/>
  <c r="J330" i="23313"/>
  <c r="H330" i="23313"/>
  <c r="K319" i="23313"/>
  <c r="L319" i="23313" s="1"/>
  <c r="J319" i="23313"/>
  <c r="H319" i="23313"/>
  <c r="K290" i="23313"/>
  <c r="L290" i="23313" s="1"/>
  <c r="K90" i="23313"/>
  <c r="L90" i="23313" s="1"/>
  <c r="J90" i="23313"/>
  <c r="H90" i="23313"/>
  <c r="K53" i="23313"/>
  <c r="L53" i="23313" s="1"/>
  <c r="J53" i="23313"/>
  <c r="H53" i="23313"/>
  <c r="H391" i="23313" l="1"/>
  <c r="K391" i="23313"/>
  <c r="L391" i="23313" s="1"/>
  <c r="J391" i="23313"/>
  <c r="K354" i="23313"/>
  <c r="L354" i="23313" s="1"/>
  <c r="J354" i="23313"/>
  <c r="J423" i="23313" s="1"/>
  <c r="H354" i="23313"/>
  <c r="K289" i="23313"/>
  <c r="L289" i="23313" s="1"/>
  <c r="K238" i="23313"/>
  <c r="L238" i="23313" s="1"/>
  <c r="K237" i="23313"/>
  <c r="L237" i="23313" s="1"/>
  <c r="K226" i="23313"/>
  <c r="L226" i="23313" s="1"/>
  <c r="K202" i="23313"/>
  <c r="L202" i="23313" s="1"/>
  <c r="H202" i="23313"/>
  <c r="K105" i="23313"/>
  <c r="L105" i="23313" s="1"/>
  <c r="J105" i="23313"/>
  <c r="H105" i="23313"/>
  <c r="J127" i="23313"/>
  <c r="K135" i="23313"/>
  <c r="L135" i="23313" s="1"/>
  <c r="J135" i="23313"/>
  <c r="H135" i="23313"/>
  <c r="L127" i="23313"/>
  <c r="H127" i="23313"/>
  <c r="H79" i="23313"/>
  <c r="H84" i="23313" s="1"/>
  <c r="J79" i="23313"/>
  <c r="K79" i="23313"/>
  <c r="L79" i="23313" s="1"/>
  <c r="K20" i="23313"/>
  <c r="L20" i="23313" s="1"/>
  <c r="J20" i="23313"/>
  <c r="H20" i="23313"/>
  <c r="K28" i="23313"/>
  <c r="L28" i="23313" s="1"/>
  <c r="J28" i="23313"/>
  <c r="H28" i="23313"/>
  <c r="K18" i="23313"/>
  <c r="L18" i="23313" s="1"/>
  <c r="J18" i="23313"/>
  <c r="H18" i="23313"/>
  <c r="K25" i="23313"/>
  <c r="L423" i="23313" l="1"/>
  <c r="H423" i="23313"/>
  <c r="H37" i="23313"/>
  <c r="H197" i="23313"/>
  <c r="H199" i="23313"/>
  <c r="H88" i="23313" l="1"/>
  <c r="J88" i="23313"/>
  <c r="L46" i="23313"/>
  <c r="J46" i="23313"/>
  <c r="H46" i="23313"/>
  <c r="B46" i="23313"/>
  <c r="K199" i="23313"/>
  <c r="L199" i="23313" s="1"/>
  <c r="J199" i="23313"/>
  <c r="K197" i="23313"/>
  <c r="L197" i="23313" s="1"/>
  <c r="J197" i="23313"/>
  <c r="B45" i="23313"/>
  <c r="B44" i="23313"/>
  <c r="B43" i="23313"/>
  <c r="B42" i="23313"/>
  <c r="B41" i="23313"/>
  <c r="B40" i="23313"/>
  <c r="B39" i="23313"/>
  <c r="B38" i="23313"/>
  <c r="K329" i="23313"/>
  <c r="L329" i="23313" s="1"/>
  <c r="J329" i="23313"/>
  <c r="H329" i="23313"/>
  <c r="K326" i="23313"/>
  <c r="L326" i="23313" s="1"/>
  <c r="J326" i="23313"/>
  <c r="H326" i="23313"/>
  <c r="K318" i="23313"/>
  <c r="L318" i="23313" s="1"/>
  <c r="L323" i="23313" s="1"/>
  <c r="J318" i="23313"/>
  <c r="J323" i="23313" s="1"/>
  <c r="H318" i="23313"/>
  <c r="H323" i="23313" s="1"/>
  <c r="K274" i="23313"/>
  <c r="L274" i="23313" s="1"/>
  <c r="K293" i="23313"/>
  <c r="L293" i="23313" s="1"/>
  <c r="K230" i="23313"/>
  <c r="L230" i="23313" s="1"/>
  <c r="K229" i="23313"/>
  <c r="L229" i="23313" s="1"/>
  <c r="K225" i="23313"/>
  <c r="L225" i="23313" s="1"/>
  <c r="K219" i="23313"/>
  <c r="L219" i="23313" s="1"/>
  <c r="K119" i="23313"/>
  <c r="L119" i="23313" s="1"/>
  <c r="J119" i="23313"/>
  <c r="H119" i="23313"/>
  <c r="K120" i="23313"/>
  <c r="L120" i="23313" s="1"/>
  <c r="J120" i="23313"/>
  <c r="H120" i="23313"/>
  <c r="K64" i="23313"/>
  <c r="L64" i="23313" s="1"/>
  <c r="J64" i="23313"/>
  <c r="H64" i="23313"/>
  <c r="K75" i="23313"/>
  <c r="L75" i="23313" s="1"/>
  <c r="L84" i="23313" s="1"/>
  <c r="J75" i="23313"/>
  <c r="J84" i="23313" s="1"/>
  <c r="K63" i="23313"/>
  <c r="L63" i="23313" s="1"/>
  <c r="J63" i="23313"/>
  <c r="H63" i="23313"/>
  <c r="K58" i="23313"/>
  <c r="L58" i="23313" s="1"/>
  <c r="J58" i="23313"/>
  <c r="H58" i="23313"/>
  <c r="K92" i="23313"/>
  <c r="L92" i="23313" s="1"/>
  <c r="J92" i="23313"/>
  <c r="H92" i="23313"/>
  <c r="K89" i="23313"/>
  <c r="L89" i="23313" s="1"/>
  <c r="J89" i="23313"/>
  <c r="H89" i="23313"/>
  <c r="K88" i="23313"/>
  <c r="L88" i="23313" s="1"/>
  <c r="H52" i="23313"/>
  <c r="J52" i="23313"/>
  <c r="K52" i="23313"/>
  <c r="L52" i="23313" s="1"/>
  <c r="J55" i="23313"/>
  <c r="K55" i="23313"/>
  <c r="L55" i="23313" s="1"/>
  <c r="H193" i="23313" l="1"/>
  <c r="H39" i="23313" s="1"/>
  <c r="J193" i="23313"/>
  <c r="J39" i="23313" s="1"/>
  <c r="L41" i="23313"/>
  <c r="L39" i="23313"/>
  <c r="L40" i="23313"/>
  <c r="J40" i="23313"/>
  <c r="H339" i="23313"/>
  <c r="J37" i="23313"/>
  <c r="L37" i="23313"/>
  <c r="L314" i="23313"/>
  <c r="L42" i="23313" s="1"/>
  <c r="L69" i="23313"/>
  <c r="L36" i="23313" s="1"/>
  <c r="J339" i="23313"/>
  <c r="L339" i="23313"/>
  <c r="J69" i="23313"/>
  <c r="J36" i="23313" s="1"/>
  <c r="H69" i="23313"/>
  <c r="H36" i="23313" s="1"/>
  <c r="L101" i="23313"/>
  <c r="O46" i="23313"/>
  <c r="H42" i="23313"/>
  <c r="H41" i="23313"/>
  <c r="J41" i="23313"/>
  <c r="J42" i="23313"/>
  <c r="H40" i="23313"/>
  <c r="J101" i="23313"/>
  <c r="H101" i="23313"/>
  <c r="H431" i="23313" l="1"/>
  <c r="J431" i="23313"/>
  <c r="L431" i="23313"/>
  <c r="L44" i="23313"/>
  <c r="O40" i="23313"/>
  <c r="O39" i="23313"/>
  <c r="O42" i="23313"/>
  <c r="O41" i="23313"/>
  <c r="L45" i="23313"/>
  <c r="H45" i="23313"/>
  <c r="J45" i="23313"/>
  <c r="O45" i="23313" l="1"/>
  <c r="L25" i="23313"/>
  <c r="J25" i="23313"/>
  <c r="H25" i="23313"/>
  <c r="K27" i="23313"/>
  <c r="L27" i="23313" s="1"/>
  <c r="J27" i="23313"/>
  <c r="H27" i="23313"/>
  <c r="K22" i="23313"/>
  <c r="L22" i="23313" s="1"/>
  <c r="J22" i="23313"/>
  <c r="H22" i="23313"/>
  <c r="K21" i="23313"/>
  <c r="L21" i="23313" s="1"/>
  <c r="J21" i="23313"/>
  <c r="H21" i="23313"/>
  <c r="K17" i="23313"/>
  <c r="L17" i="23313" s="1"/>
  <c r="J17" i="23313"/>
  <c r="H17" i="23313"/>
  <c r="K16" i="23313"/>
  <c r="L16" i="23313" s="1"/>
  <c r="J16" i="23313"/>
  <c r="H16" i="23313"/>
  <c r="B8" i="23313"/>
  <c r="B7" i="23313"/>
  <c r="L33" i="23313" l="1"/>
  <c r="J38" i="23313"/>
  <c r="H38" i="23313"/>
  <c r="J33" i="23313"/>
  <c r="H33" i="23313"/>
  <c r="L38" i="23313"/>
  <c r="O38" i="23313" l="1"/>
  <c r="L7" i="23313"/>
  <c r="L8" i="23309"/>
  <c r="H7" i="23313"/>
  <c r="H8" i="23309"/>
  <c r="J7" i="23313"/>
  <c r="J8" i="23309"/>
  <c r="J43" i="23313"/>
  <c r="H43" i="23313"/>
  <c r="L43" i="23313"/>
  <c r="O43" i="23313" l="1"/>
  <c r="J44" i="23313" l="1"/>
  <c r="H44" i="23313"/>
  <c r="O44" i="23313" l="1"/>
  <c r="L48" i="23313"/>
  <c r="L7" i="23309" l="1"/>
  <c r="L8" i="23313"/>
  <c r="L10" i="23313" s="1"/>
  <c r="L10" i="23309" s="1"/>
  <c r="L15" i="23309" l="1"/>
  <c r="L12" i="23309"/>
  <c r="L14" i="23309"/>
  <c r="L13" i="23309"/>
  <c r="L16" i="23309"/>
  <c r="L19" i="23309" l="1"/>
  <c r="J48" i="23313"/>
  <c r="D8" i="23312" l="1"/>
  <c r="D7" i="23312" s="1"/>
  <c r="J7" i="23309"/>
  <c r="J8" i="23313"/>
  <c r="J10" i="23313" s="1"/>
  <c r="J10" i="23309" s="1"/>
  <c r="O36" i="23313" l="1"/>
  <c r="H48" i="23313"/>
  <c r="H7" i="23309" l="1"/>
  <c r="H8" i="23313"/>
  <c r="H10" i="23313" s="1"/>
  <c r="H10" i="23309" s="1"/>
</calcChain>
</file>

<file path=xl/sharedStrings.xml><?xml version="1.0" encoding="utf-8"?>
<sst xmlns="http://schemas.openxmlformats.org/spreadsheetml/2006/main" count="1308" uniqueCount="724">
  <si>
    <t>Unit Price</t>
  </si>
  <si>
    <t>Amount</t>
  </si>
  <si>
    <t>Material</t>
    <phoneticPr fontId="2" type="noConversion"/>
  </si>
  <si>
    <t>Total</t>
    <phoneticPr fontId="2" type="noConversion"/>
  </si>
  <si>
    <t>Description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</si>
  <si>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</si>
  <si>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</si>
  <si>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</si>
  <si>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</si>
  <si>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Labour</t>
    <phoneticPr fontId="2" type="noConversion"/>
  </si>
  <si>
    <t>No</t>
    <phoneticPr fontId="2" type="noConversion"/>
  </si>
  <si>
    <t>M2</t>
  </si>
  <si>
    <t>-</t>
    <phoneticPr fontId="2" type="noConversion"/>
  </si>
  <si>
    <t>SUB-TOTAL</t>
  </si>
  <si>
    <t>*</t>
    <phoneticPr fontId="2" type="noConversion"/>
  </si>
  <si>
    <t>1.</t>
    <phoneticPr fontId="2" type="noConversion"/>
  </si>
  <si>
    <t>2.</t>
  </si>
  <si>
    <t>3.</t>
  </si>
  <si>
    <t>4.</t>
  </si>
  <si>
    <t>5.</t>
  </si>
  <si>
    <t>6.</t>
  </si>
  <si>
    <t>9.</t>
  </si>
  <si>
    <t>A.</t>
    <phoneticPr fontId="2" type="noConversion"/>
  </si>
  <si>
    <t>*</t>
  </si>
  <si>
    <t>대운반</t>
    <phoneticPr fontId="22" type="noConversion"/>
  </si>
  <si>
    <t>소운반</t>
    <phoneticPr fontId="22" type="noConversion"/>
  </si>
  <si>
    <t>B.</t>
    <phoneticPr fontId="2" type="noConversion"/>
  </si>
  <si>
    <t>10.</t>
  </si>
  <si>
    <t>11.</t>
  </si>
  <si>
    <t>1.</t>
    <phoneticPr fontId="22" type="noConversion"/>
  </si>
  <si>
    <t>2.</t>
    <phoneticPr fontId="22" type="noConversion"/>
  </si>
  <si>
    <t>5.</t>
    <phoneticPr fontId="22" type="noConversion"/>
  </si>
  <si>
    <t>9.</t>
    <phoneticPr fontId="22" type="noConversion"/>
  </si>
  <si>
    <t>소   계</t>
    <phoneticPr fontId="2" type="noConversion"/>
  </si>
  <si>
    <t>식</t>
    <phoneticPr fontId="2" type="noConversion"/>
  </si>
  <si>
    <t>Spec.</t>
    <phoneticPr fontId="2" type="noConversion"/>
  </si>
  <si>
    <t>EA</t>
    <phoneticPr fontId="22" type="noConversion"/>
  </si>
  <si>
    <t>M</t>
    <phoneticPr fontId="22" type="noConversion"/>
  </si>
  <si>
    <t>*</t>
    <phoneticPr fontId="22" type="noConversion"/>
  </si>
  <si>
    <t>M2</t>
    <phoneticPr fontId="22" type="noConversion"/>
  </si>
  <si>
    <t>SET</t>
    <phoneticPr fontId="22" type="noConversion"/>
  </si>
  <si>
    <t>-</t>
    <phoneticPr fontId="22" type="noConversion"/>
  </si>
  <si>
    <t>A.</t>
    <phoneticPr fontId="2" type="noConversion"/>
  </si>
  <si>
    <t>11.</t>
    <phoneticPr fontId="22" type="noConversion"/>
  </si>
  <si>
    <t>참고사항</t>
  </si>
  <si>
    <t>7.</t>
    <phoneticPr fontId="2" type="noConversion"/>
  </si>
  <si>
    <t xml:space="preserve"> </t>
    <phoneticPr fontId="49" type="noConversion"/>
  </si>
  <si>
    <t>1.</t>
    <phoneticPr fontId="107" type="noConversion"/>
  </si>
  <si>
    <t xml:space="preserve">    ◈ 비  고 (REMARK)</t>
    <phoneticPr fontId="2" type="noConversion"/>
  </si>
  <si>
    <t>貴社의 사양에 衣하여 下記內容과 같이 見積합니다.</t>
  </si>
  <si>
    <t>)</t>
    <phoneticPr fontId="107" type="noConversion"/>
  </si>
  <si>
    <t>(</t>
    <phoneticPr fontId="107" type="noConversion"/>
  </si>
  <si>
    <t>一일금</t>
    <phoneticPr fontId="2" type="noConversion"/>
  </si>
  <si>
    <t xml:space="preserve">金    額(AMOUNT) : </t>
    <phoneticPr fontId="112" type="noConversion"/>
  </si>
  <si>
    <t xml:space="preserve">工事名(PROJECT) : </t>
    <phoneticPr fontId="112" type="noConversion"/>
  </si>
  <si>
    <t>견  적  서</t>
    <phoneticPr fontId="2" type="noConversion"/>
  </si>
  <si>
    <t>Material</t>
    <phoneticPr fontId="2" type="noConversion"/>
  </si>
  <si>
    <t>Labour</t>
    <phoneticPr fontId="2" type="noConversion"/>
  </si>
  <si>
    <t>Total</t>
    <phoneticPr fontId="2" type="noConversion"/>
  </si>
  <si>
    <t>직영</t>
    <phoneticPr fontId="2" type="noConversion"/>
  </si>
  <si>
    <t>가설</t>
    <phoneticPr fontId="2" type="noConversion"/>
  </si>
  <si>
    <t>가설</t>
    <phoneticPr fontId="2" type="noConversion"/>
  </si>
  <si>
    <t>철거</t>
    <phoneticPr fontId="2" type="noConversion"/>
  </si>
  <si>
    <t>철거</t>
    <phoneticPr fontId="2" type="noConversion"/>
  </si>
  <si>
    <t>타일 공사</t>
    <phoneticPr fontId="2" type="noConversion"/>
  </si>
  <si>
    <t>도배 공사</t>
    <phoneticPr fontId="2" type="noConversion"/>
  </si>
  <si>
    <t>도장 공사</t>
    <phoneticPr fontId="2" type="noConversion"/>
  </si>
  <si>
    <t>PY</t>
    <phoneticPr fontId="22" type="noConversion"/>
  </si>
  <si>
    <t>TOTAL</t>
    <phoneticPr fontId="22" type="noConversion"/>
  </si>
  <si>
    <t>사다리차</t>
    <phoneticPr fontId="2" type="noConversion"/>
  </si>
  <si>
    <t>5TON</t>
    <phoneticPr fontId="22" type="noConversion"/>
  </si>
  <si>
    <t>대</t>
    <phoneticPr fontId="22" type="noConversion"/>
  </si>
  <si>
    <t>가설공사</t>
    <phoneticPr fontId="2" type="noConversion"/>
  </si>
  <si>
    <t>엘리베이터 보양</t>
    <phoneticPr fontId="22" type="noConversion"/>
  </si>
  <si>
    <t>식</t>
    <phoneticPr fontId="22" type="noConversion"/>
  </si>
  <si>
    <t>개소</t>
    <phoneticPr fontId="22" type="noConversion"/>
  </si>
  <si>
    <t>허가</t>
    <phoneticPr fontId="2" type="noConversion"/>
  </si>
  <si>
    <t>엘리베이터 사용료</t>
    <phoneticPr fontId="22" type="noConversion"/>
  </si>
  <si>
    <t>인터폰</t>
    <phoneticPr fontId="22" type="noConversion"/>
  </si>
  <si>
    <t>디지털 도어락</t>
    <phoneticPr fontId="22" type="noConversion"/>
  </si>
  <si>
    <t>입주청소</t>
    <phoneticPr fontId="2" type="noConversion"/>
  </si>
  <si>
    <t>입주청소</t>
    <phoneticPr fontId="22" type="noConversion"/>
  </si>
  <si>
    <t>도어락</t>
    <phoneticPr fontId="22" type="noConversion"/>
  </si>
  <si>
    <t>폐기물</t>
    <phoneticPr fontId="2" type="noConversion"/>
  </si>
  <si>
    <t>페기물 반출</t>
    <phoneticPr fontId="22" type="noConversion"/>
  </si>
  <si>
    <t>1TON</t>
    <phoneticPr fontId="22" type="noConversion"/>
  </si>
  <si>
    <t>공사동의서 및 행위허가</t>
    <phoneticPr fontId="22" type="noConversion"/>
  </si>
  <si>
    <t>화장실 철거</t>
    <phoneticPr fontId="22" type="noConversion"/>
  </si>
  <si>
    <t>본 철거</t>
    <phoneticPr fontId="2" type="noConversion"/>
  </si>
  <si>
    <t>확장 공사</t>
    <phoneticPr fontId="22" type="noConversion"/>
  </si>
  <si>
    <t>마루 철거</t>
    <phoneticPr fontId="2" type="noConversion"/>
  </si>
  <si>
    <t>배관 이설 공사</t>
    <phoneticPr fontId="2" type="noConversion"/>
  </si>
  <si>
    <t>화장실 방수 공사</t>
    <phoneticPr fontId="22" type="noConversion"/>
  </si>
  <si>
    <t>설비</t>
    <phoneticPr fontId="2" type="noConversion"/>
  </si>
  <si>
    <t>설비</t>
    <phoneticPr fontId="22" type="noConversion"/>
  </si>
  <si>
    <t>필름 공사</t>
    <phoneticPr fontId="2" type="noConversion"/>
  </si>
  <si>
    <t>현관문</t>
    <phoneticPr fontId="2" type="noConversion"/>
  </si>
  <si>
    <t>필름 공사</t>
    <phoneticPr fontId="22" type="noConversion"/>
  </si>
  <si>
    <t>직접공사비 계</t>
    <phoneticPr fontId="22" type="noConversion"/>
  </si>
  <si>
    <t>인테리어 공사</t>
    <phoneticPr fontId="2" type="noConversion"/>
  </si>
  <si>
    <t>가구 공사</t>
    <phoneticPr fontId="2" type="noConversion"/>
  </si>
  <si>
    <t>수전</t>
    <phoneticPr fontId="2" type="noConversion"/>
  </si>
  <si>
    <t>자</t>
    <phoneticPr fontId="22" type="noConversion"/>
  </si>
  <si>
    <t>현관 가구</t>
    <phoneticPr fontId="2" type="noConversion"/>
  </si>
  <si>
    <t>행잉 신발장</t>
    <phoneticPr fontId="2" type="noConversion"/>
  </si>
  <si>
    <t>전기 공사</t>
    <phoneticPr fontId="2" type="noConversion"/>
  </si>
  <si>
    <t>조명 및 전열</t>
    <phoneticPr fontId="22" type="noConversion"/>
  </si>
  <si>
    <t>간접 조명</t>
    <phoneticPr fontId="2" type="noConversion"/>
  </si>
  <si>
    <t>거실, 방 조명</t>
    <phoneticPr fontId="2" type="noConversion"/>
  </si>
  <si>
    <t>발코니 조명</t>
    <phoneticPr fontId="2" type="noConversion"/>
  </si>
  <si>
    <t>매립 센서</t>
    <phoneticPr fontId="2" type="noConversion"/>
  </si>
  <si>
    <t>전선 입선 라인</t>
    <phoneticPr fontId="2" type="noConversion"/>
  </si>
  <si>
    <t>위생기기</t>
    <phoneticPr fontId="2" type="noConversion"/>
  </si>
  <si>
    <t>환풍기</t>
    <phoneticPr fontId="2" type="noConversion"/>
  </si>
  <si>
    <t>양변기</t>
    <phoneticPr fontId="2" type="noConversion"/>
  </si>
  <si>
    <t>욕조</t>
    <phoneticPr fontId="2" type="noConversion"/>
  </si>
  <si>
    <t>화장실 공사</t>
    <phoneticPr fontId="2" type="noConversion"/>
  </si>
  <si>
    <t>안방 화장실</t>
    <phoneticPr fontId="22" type="noConversion"/>
  </si>
  <si>
    <t>Product &amp; Size</t>
    <phoneticPr fontId="2" type="noConversion"/>
  </si>
  <si>
    <t>세면 수전</t>
    <phoneticPr fontId="2" type="noConversion"/>
  </si>
  <si>
    <t>샤워 수전</t>
    <phoneticPr fontId="2" type="noConversion"/>
  </si>
  <si>
    <t>수건 걸이</t>
    <phoneticPr fontId="2" type="noConversion"/>
  </si>
  <si>
    <t>휴지 걸이</t>
    <phoneticPr fontId="2" type="noConversion"/>
  </si>
  <si>
    <t>ST-8071NB</t>
    <phoneticPr fontId="22" type="noConversion"/>
  </si>
  <si>
    <t>기타 (거실 화장실)</t>
    <phoneticPr fontId="2" type="noConversion"/>
  </si>
  <si>
    <t>화장실 타일</t>
    <phoneticPr fontId="2" type="noConversion"/>
  </si>
  <si>
    <t>벽 타일</t>
    <phoneticPr fontId="2" type="noConversion"/>
  </si>
  <si>
    <t>바닥 타일</t>
    <phoneticPr fontId="2" type="noConversion"/>
  </si>
  <si>
    <t>부자재</t>
    <phoneticPr fontId="2" type="noConversion"/>
  </si>
  <si>
    <t>X18, 레미탈</t>
    <phoneticPr fontId="22" type="noConversion"/>
  </si>
  <si>
    <t>현관 바닥</t>
    <phoneticPr fontId="2" type="noConversion"/>
  </si>
  <si>
    <t>거실</t>
    <phoneticPr fontId="2" type="noConversion"/>
  </si>
  <si>
    <t>거실 벽체</t>
    <phoneticPr fontId="2" type="noConversion"/>
  </si>
  <si>
    <t>600*1200</t>
    <phoneticPr fontId="22" type="noConversion"/>
  </si>
  <si>
    <t>발코니</t>
    <phoneticPr fontId="2" type="noConversion"/>
  </si>
  <si>
    <t>발코니 바닥</t>
    <phoneticPr fontId="2" type="noConversion"/>
  </si>
  <si>
    <t>300*300</t>
    <phoneticPr fontId="22" type="noConversion"/>
  </si>
  <si>
    <t>마루 공사</t>
    <phoneticPr fontId="2" type="noConversion"/>
  </si>
  <si>
    <t>실크 도배</t>
    <phoneticPr fontId="22" type="noConversion"/>
  </si>
  <si>
    <t>도배 퍼티</t>
    <phoneticPr fontId="22" type="noConversion"/>
  </si>
  <si>
    <t>탄성 코트</t>
    <phoneticPr fontId="22" type="noConversion"/>
  </si>
  <si>
    <t>목공사</t>
    <phoneticPr fontId="22" type="noConversion"/>
  </si>
  <si>
    <t>먹 놓기</t>
    <phoneticPr fontId="2" type="noConversion"/>
  </si>
  <si>
    <t>거실 수직, 수평 및 벽체</t>
    <phoneticPr fontId="22" type="noConversion"/>
  </si>
  <si>
    <t>9.5T 석고보드 1PLY</t>
    <phoneticPr fontId="22" type="noConversion"/>
  </si>
  <si>
    <t>벽체 공사</t>
    <phoneticPr fontId="2" type="noConversion"/>
  </si>
  <si>
    <t>벽체 골조 공사</t>
    <phoneticPr fontId="2" type="noConversion"/>
  </si>
  <si>
    <t>기타 목 공사</t>
    <phoneticPr fontId="2" type="noConversion"/>
  </si>
  <si>
    <t>감리</t>
    <phoneticPr fontId="2" type="noConversion"/>
  </si>
  <si>
    <t xml:space="preserve"> MOHAE DESIGN</t>
    <phoneticPr fontId="2" type="noConversion"/>
  </si>
  <si>
    <t>경기 용인시 수지구 신봉동 242-28</t>
    <phoneticPr fontId="2" type="noConversion"/>
  </si>
  <si>
    <t>Tel : 031-272-2724</t>
    <phoneticPr fontId="2" type="noConversion"/>
  </si>
  <si>
    <t>인테리어 공사</t>
    <phoneticPr fontId="22" type="noConversion"/>
  </si>
  <si>
    <t>간접공사비 계</t>
    <phoneticPr fontId="22" type="noConversion"/>
  </si>
  <si>
    <t>공사비 계</t>
    <phoneticPr fontId="2" type="noConversion"/>
  </si>
  <si>
    <t>Location &amp; Spec.</t>
    <phoneticPr fontId="2" type="noConversion"/>
  </si>
  <si>
    <t>실행 금액</t>
    <phoneticPr fontId="22" type="noConversion"/>
  </si>
  <si>
    <t>디자인 컨설팅</t>
    <phoneticPr fontId="2" type="noConversion"/>
  </si>
  <si>
    <t>인</t>
    <phoneticPr fontId="22" type="noConversion"/>
  </si>
  <si>
    <t>별도</t>
    <phoneticPr fontId="22" type="noConversion"/>
  </si>
  <si>
    <t>인쇼 마루</t>
    <phoneticPr fontId="22" type="noConversion"/>
  </si>
  <si>
    <t>36T ABS 도어 손잡이</t>
    <phoneticPr fontId="22" type="noConversion"/>
  </si>
  <si>
    <t>인쇼 플랫 그레이</t>
    <phoneticPr fontId="22" type="noConversion"/>
  </si>
  <si>
    <t>강마루</t>
    <phoneticPr fontId="22" type="noConversion"/>
  </si>
  <si>
    <t>중문</t>
    <phoneticPr fontId="22" type="noConversion"/>
  </si>
  <si>
    <t>유가</t>
    <phoneticPr fontId="22" type="noConversion"/>
  </si>
  <si>
    <t>절사</t>
    <phoneticPr fontId="22" type="noConversion"/>
  </si>
  <si>
    <t>싱크볼</t>
    <phoneticPr fontId="2" type="noConversion"/>
  </si>
  <si>
    <t>타일 철거</t>
    <phoneticPr fontId="22" type="noConversion"/>
  </si>
  <si>
    <t>거실 벽</t>
    <phoneticPr fontId="22" type="noConversion"/>
  </si>
  <si>
    <t>벽체</t>
    <phoneticPr fontId="22" type="noConversion"/>
  </si>
  <si>
    <t>천장</t>
    <phoneticPr fontId="22" type="noConversion"/>
  </si>
  <si>
    <t>조색 실리콘</t>
    <phoneticPr fontId="22" type="noConversion"/>
  </si>
  <si>
    <t>관리사무소 고객 직접 납부</t>
    <phoneticPr fontId="22" type="noConversion"/>
  </si>
  <si>
    <t>가설 공사</t>
    <phoneticPr fontId="22" type="noConversion"/>
  </si>
  <si>
    <t>견적 외 별도</t>
    <phoneticPr fontId="22" type="noConversion"/>
  </si>
  <si>
    <t>견적외 별도</t>
    <phoneticPr fontId="22" type="noConversion"/>
  </si>
  <si>
    <t>공과잡비</t>
    <phoneticPr fontId="22" type="noConversion"/>
  </si>
  <si>
    <t>기업이윤</t>
    <phoneticPr fontId="22" type="noConversion"/>
  </si>
  <si>
    <t>도어 / 도어틀</t>
    <phoneticPr fontId="22" type="noConversion"/>
  </si>
  <si>
    <t>붙박이장 도어</t>
    <phoneticPr fontId="22" type="noConversion"/>
  </si>
  <si>
    <t>M2</t>
    <phoneticPr fontId="22" type="noConversion"/>
  </si>
  <si>
    <t>물량 산출</t>
    <phoneticPr fontId="22" type="noConversion"/>
  </si>
  <si>
    <t>스위치 콘센트 시공</t>
    <phoneticPr fontId="22" type="noConversion"/>
  </si>
  <si>
    <t>식</t>
    <phoneticPr fontId="22" type="noConversion"/>
  </si>
  <si>
    <t>PY</t>
    <phoneticPr fontId="22" type="noConversion"/>
  </si>
  <si>
    <t>벽체</t>
    <phoneticPr fontId="22" type="noConversion"/>
  </si>
  <si>
    <t>거실</t>
    <phoneticPr fontId="22" type="noConversion"/>
  </si>
  <si>
    <t>-</t>
    <phoneticPr fontId="22" type="noConversion"/>
  </si>
  <si>
    <t>천장 공사</t>
    <phoneticPr fontId="22" type="noConversion"/>
  </si>
  <si>
    <t>천장</t>
    <phoneticPr fontId="2" type="noConversion"/>
  </si>
  <si>
    <t>벽체공사(골조)</t>
    <phoneticPr fontId="22" type="noConversion"/>
  </si>
  <si>
    <t>벽체공사(석고)</t>
    <phoneticPr fontId="22" type="noConversion"/>
  </si>
  <si>
    <t>벽체공사(고밀도MDF)</t>
    <phoneticPr fontId="22" type="noConversion"/>
  </si>
  <si>
    <t>1X1 각재, 리브합판</t>
    <phoneticPr fontId="22" type="noConversion"/>
  </si>
  <si>
    <t>9.5T 석고보드 2PLY</t>
    <phoneticPr fontId="22" type="noConversion"/>
  </si>
  <si>
    <t>고밀도MDF 2PLY</t>
    <phoneticPr fontId="22" type="noConversion"/>
  </si>
  <si>
    <t>천장공사(골조)</t>
    <phoneticPr fontId="22" type="noConversion"/>
  </si>
  <si>
    <t>천장공사(석고)</t>
    <phoneticPr fontId="22" type="noConversion"/>
  </si>
  <si>
    <t>45T ABS 도어</t>
    <phoneticPr fontId="22" type="noConversion"/>
  </si>
  <si>
    <t>손잡이있는 히든도어</t>
    <phoneticPr fontId="22" type="noConversion"/>
  </si>
  <si>
    <t>손잡이없는 히든도어</t>
    <phoneticPr fontId="22" type="noConversion"/>
  </si>
  <si>
    <t>EA</t>
    <phoneticPr fontId="22" type="noConversion"/>
  </si>
  <si>
    <t>바닥타일</t>
    <phoneticPr fontId="22" type="noConversion"/>
  </si>
  <si>
    <t>벽 타일</t>
    <phoneticPr fontId="22" type="noConversion"/>
  </si>
  <si>
    <t>M</t>
    <phoneticPr fontId="22" type="noConversion"/>
  </si>
  <si>
    <t>걸레받이</t>
    <phoneticPr fontId="22" type="noConversion"/>
  </si>
  <si>
    <t>천장 몰딩</t>
    <phoneticPr fontId="22" type="noConversion"/>
  </si>
  <si>
    <t>-</t>
    <phoneticPr fontId="22" type="noConversion"/>
  </si>
  <si>
    <t>TV 브라켓 벽체 신설 및 매립</t>
    <phoneticPr fontId="22" type="noConversion"/>
  </si>
  <si>
    <t>1X1 각재, 9T 합판</t>
    <phoneticPr fontId="22" type="noConversion"/>
  </si>
  <si>
    <t>식</t>
    <phoneticPr fontId="22" type="noConversion"/>
  </si>
  <si>
    <t>-</t>
    <phoneticPr fontId="22" type="noConversion"/>
  </si>
  <si>
    <t>바닥타일</t>
    <phoneticPr fontId="22" type="noConversion"/>
  </si>
  <si>
    <t>600*600</t>
    <phoneticPr fontId="22" type="noConversion"/>
  </si>
  <si>
    <t>거실 바닥</t>
    <phoneticPr fontId="22" type="noConversion"/>
  </si>
  <si>
    <t>부자재</t>
    <phoneticPr fontId="22" type="noConversion"/>
  </si>
  <si>
    <t>VAT 별도</t>
    <phoneticPr fontId="22" type="noConversion"/>
  </si>
  <si>
    <t>부가세 별도</t>
    <phoneticPr fontId="22" type="noConversion"/>
  </si>
  <si>
    <t>천장 철거</t>
    <phoneticPr fontId="2" type="noConversion"/>
  </si>
  <si>
    <t>붙박이 장</t>
    <phoneticPr fontId="2" type="noConversion"/>
  </si>
  <si>
    <t>에어컨</t>
    <phoneticPr fontId="22" type="noConversion"/>
  </si>
  <si>
    <t>에어컨</t>
    <phoneticPr fontId="22" type="noConversion"/>
  </si>
  <si>
    <t>식</t>
    <phoneticPr fontId="22" type="noConversion"/>
  </si>
  <si>
    <t>현관</t>
    <phoneticPr fontId="22" type="noConversion"/>
  </si>
  <si>
    <t>터닝도어</t>
    <phoneticPr fontId="22" type="noConversion"/>
  </si>
  <si>
    <t>이건창호</t>
    <phoneticPr fontId="22" type="noConversion"/>
  </si>
  <si>
    <t>싱크대 인조대리석</t>
    <phoneticPr fontId="2" type="noConversion"/>
  </si>
  <si>
    <t>싱크 수전</t>
    <phoneticPr fontId="2" type="noConversion"/>
  </si>
  <si>
    <t>인조대리석</t>
    <phoneticPr fontId="22" type="noConversion"/>
  </si>
  <si>
    <t>식</t>
    <phoneticPr fontId="22" type="noConversion"/>
  </si>
  <si>
    <t>가스관 철거</t>
    <phoneticPr fontId="2" type="noConversion"/>
  </si>
  <si>
    <t>도어씰</t>
    <phoneticPr fontId="22" type="noConversion"/>
  </si>
  <si>
    <t>거울 장</t>
    <phoneticPr fontId="2" type="noConversion"/>
  </si>
  <si>
    <t>제작</t>
    <phoneticPr fontId="22" type="noConversion"/>
  </si>
  <si>
    <t>면적 * 1.5 / 1.5단위로 끊기</t>
    <phoneticPr fontId="22" type="noConversion"/>
  </si>
  <si>
    <t>전열교환기</t>
    <phoneticPr fontId="22" type="noConversion"/>
  </si>
  <si>
    <t>환기</t>
    <phoneticPr fontId="22" type="noConversion"/>
  </si>
  <si>
    <t>벽체 석고보드 2PLY 시공</t>
    <phoneticPr fontId="2" type="noConversion"/>
  </si>
  <si>
    <t>-</t>
    <phoneticPr fontId="22" type="noConversion"/>
  </si>
  <si>
    <t>아일랜드 인조대리석</t>
    <phoneticPr fontId="22" type="noConversion"/>
  </si>
  <si>
    <t>M</t>
    <phoneticPr fontId="22" type="noConversion"/>
  </si>
  <si>
    <t>아일랜드 후드</t>
    <phoneticPr fontId="22" type="noConversion"/>
  </si>
  <si>
    <t>하츠 스퀘어 SIH-30S 750</t>
    <phoneticPr fontId="22" type="noConversion"/>
  </si>
  <si>
    <t>자동댐퍼 포함</t>
    <phoneticPr fontId="22" type="noConversion"/>
  </si>
  <si>
    <t>SET</t>
    <phoneticPr fontId="22" type="noConversion"/>
  </si>
  <si>
    <t>아일랜드 서랍</t>
    <phoneticPr fontId="22" type="noConversion"/>
  </si>
  <si>
    <t>붙박이 장 EP</t>
    <phoneticPr fontId="2" type="noConversion"/>
  </si>
  <si>
    <t>좌우측면</t>
    <phoneticPr fontId="22" type="noConversion"/>
  </si>
  <si>
    <t>-</t>
    <phoneticPr fontId="22" type="noConversion"/>
  </si>
  <si>
    <t>파티션</t>
    <phoneticPr fontId="22" type="noConversion"/>
  </si>
  <si>
    <t>식</t>
    <phoneticPr fontId="22" type="noConversion"/>
  </si>
  <si>
    <t>M2</t>
    <phoneticPr fontId="22" type="noConversion"/>
  </si>
  <si>
    <t>벽체 고밀도 MDF 시공</t>
    <phoneticPr fontId="22" type="noConversion"/>
  </si>
  <si>
    <t>36T ABS 도어 및 문틀</t>
    <phoneticPr fontId="22" type="noConversion"/>
  </si>
  <si>
    <t>전체 철거</t>
    <phoneticPr fontId="22" type="noConversion"/>
  </si>
  <si>
    <t>냉장고 플랩 장</t>
    <phoneticPr fontId="2" type="noConversion"/>
  </si>
  <si>
    <t>ST-101NB</t>
    <phoneticPr fontId="22" type="noConversion"/>
  </si>
  <si>
    <t>ST-106NB</t>
    <phoneticPr fontId="22" type="noConversion"/>
  </si>
  <si>
    <t>고객 결제 별도</t>
    <phoneticPr fontId="22" type="noConversion"/>
  </si>
  <si>
    <t>10T 광폭</t>
    <phoneticPr fontId="22" type="noConversion"/>
  </si>
  <si>
    <t>강마루</t>
    <phoneticPr fontId="22" type="noConversion"/>
  </si>
  <si>
    <t>각 방</t>
    <phoneticPr fontId="22" type="noConversion"/>
  </si>
  <si>
    <t>세라믹 코트</t>
    <phoneticPr fontId="22" type="noConversion"/>
  </si>
  <si>
    <t>걸레받이/ 천장몰딩</t>
    <phoneticPr fontId="2" type="noConversion"/>
  </si>
  <si>
    <t>인쇼마루</t>
    <phoneticPr fontId="22" type="noConversion"/>
  </si>
  <si>
    <t>에디톤 플로어</t>
    <phoneticPr fontId="22" type="noConversion"/>
  </si>
  <si>
    <t>PY</t>
    <phoneticPr fontId="22" type="noConversion"/>
  </si>
  <si>
    <t>라인 조명</t>
    <phoneticPr fontId="22" type="noConversion"/>
  </si>
  <si>
    <t>M</t>
    <phoneticPr fontId="22" type="noConversion"/>
  </si>
  <si>
    <t>M</t>
    <phoneticPr fontId="22" type="noConversion"/>
  </si>
  <si>
    <t>인쇼 CCT 라인조명</t>
    <phoneticPr fontId="22" type="noConversion"/>
  </si>
  <si>
    <t>인쇼 CCT 2인치 다운라이트</t>
    <phoneticPr fontId="22" type="noConversion"/>
  </si>
  <si>
    <t>인쇼 LED BAR, SMPS 포함</t>
    <phoneticPr fontId="22" type="noConversion"/>
  </si>
  <si>
    <t>600*1200</t>
    <phoneticPr fontId="22" type="noConversion"/>
  </si>
  <si>
    <t>-</t>
    <phoneticPr fontId="22" type="noConversion"/>
  </si>
  <si>
    <t>코너 콘센트</t>
    <phoneticPr fontId="22" type="noConversion"/>
  </si>
  <si>
    <t>EA</t>
    <phoneticPr fontId="22" type="noConversion"/>
  </si>
  <si>
    <t>-</t>
    <phoneticPr fontId="22" type="noConversion"/>
  </si>
  <si>
    <t>락소 히든몰딩</t>
    <phoneticPr fontId="22" type="noConversion"/>
  </si>
  <si>
    <t>천장 석고보드 덧붙임 시공</t>
    <phoneticPr fontId="22" type="noConversion"/>
  </si>
  <si>
    <t>9.5T 석고보드 1PLY</t>
    <phoneticPr fontId="22" type="noConversion"/>
  </si>
  <si>
    <t>천장 골조 공사 OR 보강 공사</t>
    <phoneticPr fontId="2" type="noConversion"/>
  </si>
  <si>
    <t>M2</t>
    <phoneticPr fontId="22" type="noConversion"/>
  </si>
  <si>
    <t>제어기 함</t>
    <phoneticPr fontId="22" type="noConversion"/>
  </si>
  <si>
    <t>인쇼 제어기함 세트 960W</t>
    <phoneticPr fontId="22" type="noConversion"/>
  </si>
  <si>
    <t>EA</t>
    <phoneticPr fontId="22" type="noConversion"/>
  </si>
  <si>
    <t>분배기 교체 공사</t>
    <phoneticPr fontId="22" type="noConversion"/>
  </si>
  <si>
    <t>분배기 이설 공사</t>
    <phoneticPr fontId="22" type="noConversion"/>
  </si>
  <si>
    <t>식</t>
    <phoneticPr fontId="22" type="noConversion"/>
  </si>
  <si>
    <t>설비</t>
    <phoneticPr fontId="22" type="noConversion"/>
  </si>
  <si>
    <t>설비</t>
    <phoneticPr fontId="22" type="noConversion"/>
  </si>
  <si>
    <t>구동기 및 제어기 공사</t>
    <phoneticPr fontId="22" type="noConversion"/>
  </si>
  <si>
    <t>온도조절기 공사</t>
    <phoneticPr fontId="22" type="noConversion"/>
  </si>
  <si>
    <t>EA</t>
    <phoneticPr fontId="22" type="noConversion"/>
  </si>
  <si>
    <t>EA</t>
    <phoneticPr fontId="22" type="noConversion"/>
  </si>
  <si>
    <t>인쇼 멀티제어 - 분배기 5구SET</t>
    <phoneticPr fontId="22" type="noConversion"/>
  </si>
  <si>
    <t>구당 9만원</t>
    <phoneticPr fontId="22" type="noConversion"/>
  </si>
  <si>
    <t>구당 10만원</t>
    <phoneticPr fontId="22" type="noConversion"/>
  </si>
  <si>
    <t>10평에 1.1대</t>
    <phoneticPr fontId="22" type="noConversion"/>
  </si>
  <si>
    <t>인쇼 온도조절기</t>
    <phoneticPr fontId="22" type="noConversion"/>
  </si>
  <si>
    <t>온도조절기 공사</t>
    <phoneticPr fontId="22" type="noConversion"/>
  </si>
  <si>
    <t>허니웰 DT300</t>
    <phoneticPr fontId="22" type="noConversion"/>
  </si>
  <si>
    <t>EA</t>
    <phoneticPr fontId="22" type="noConversion"/>
  </si>
  <si>
    <t>M2</t>
    <phoneticPr fontId="22" type="noConversion"/>
  </si>
  <si>
    <t>600*1200</t>
    <phoneticPr fontId="22" type="noConversion"/>
  </si>
  <si>
    <t>-</t>
    <phoneticPr fontId="22" type="noConversion"/>
  </si>
  <si>
    <t>벽타일</t>
    <phoneticPr fontId="22" type="noConversion"/>
  </si>
  <si>
    <t>거실 타일</t>
    <phoneticPr fontId="22" type="noConversion"/>
  </si>
  <si>
    <t>벽체 필름 마감</t>
    <phoneticPr fontId="2" type="noConversion"/>
  </si>
  <si>
    <t>-</t>
    <phoneticPr fontId="22" type="noConversion"/>
  </si>
  <si>
    <t>M2</t>
    <phoneticPr fontId="22" type="noConversion"/>
  </si>
  <si>
    <t>아일랜드 서랍</t>
    <phoneticPr fontId="22" type="noConversion"/>
  </si>
  <si>
    <t>원목마루</t>
    <phoneticPr fontId="22" type="noConversion"/>
  </si>
  <si>
    <t>PY</t>
    <phoneticPr fontId="22" type="noConversion"/>
  </si>
  <si>
    <t>장판</t>
    <phoneticPr fontId="22" type="noConversion"/>
  </si>
  <si>
    <t>PY</t>
    <phoneticPr fontId="22" type="noConversion"/>
  </si>
  <si>
    <t>발레나 / 올퍼티</t>
    <phoneticPr fontId="22" type="noConversion"/>
  </si>
  <si>
    <t>벽체</t>
    <phoneticPr fontId="22" type="noConversion"/>
  </si>
  <si>
    <t>벽체 도장 공사</t>
    <phoneticPr fontId="22" type="noConversion"/>
  </si>
  <si>
    <t>M2</t>
    <phoneticPr fontId="22" type="noConversion"/>
  </si>
  <si>
    <t>창호</t>
    <phoneticPr fontId="2" type="noConversion"/>
  </si>
  <si>
    <t>제작 쇼파</t>
    <phoneticPr fontId="22" type="noConversion"/>
  </si>
  <si>
    <t>M2</t>
    <phoneticPr fontId="22" type="noConversion"/>
  </si>
  <si>
    <t>강마루</t>
    <phoneticPr fontId="22" type="noConversion"/>
  </si>
  <si>
    <t>마뷸러스S 셀럽베이지</t>
    <phoneticPr fontId="22" type="noConversion"/>
  </si>
  <si>
    <t>PY</t>
    <phoneticPr fontId="22" type="noConversion"/>
  </si>
  <si>
    <t>PY</t>
    <phoneticPr fontId="22" type="noConversion"/>
  </si>
  <si>
    <t>-</t>
    <phoneticPr fontId="22" type="noConversion"/>
  </si>
  <si>
    <t>화장대</t>
    <phoneticPr fontId="22" type="noConversion"/>
  </si>
  <si>
    <t>화장대 가구장</t>
    <phoneticPr fontId="22" type="noConversion"/>
  </si>
  <si>
    <t>화장대 상판</t>
    <phoneticPr fontId="22" type="noConversion"/>
  </si>
  <si>
    <t>-</t>
    <phoneticPr fontId="22" type="noConversion"/>
  </si>
  <si>
    <t>자</t>
    <phoneticPr fontId="22" type="noConversion"/>
  </si>
  <si>
    <t>M</t>
    <phoneticPr fontId="22" type="noConversion"/>
  </si>
  <si>
    <t>M</t>
    <phoneticPr fontId="22" type="noConversion"/>
  </si>
  <si>
    <t>가구 도어</t>
    <phoneticPr fontId="22" type="noConversion"/>
  </si>
  <si>
    <t>EA</t>
    <phoneticPr fontId="22" type="noConversion"/>
  </si>
  <si>
    <t>세탁실 상부장</t>
    <phoneticPr fontId="2" type="noConversion"/>
  </si>
  <si>
    <t>세탁실 서랍장</t>
    <phoneticPr fontId="2" type="noConversion"/>
  </si>
  <si>
    <t>-</t>
    <phoneticPr fontId="22" type="noConversion"/>
  </si>
  <si>
    <t>EA</t>
    <phoneticPr fontId="22" type="noConversion"/>
  </si>
  <si>
    <t>간접 조명</t>
    <phoneticPr fontId="2" type="noConversion"/>
  </si>
  <si>
    <t>LED BAR, SMPS 포함</t>
    <phoneticPr fontId="22" type="noConversion"/>
  </si>
  <si>
    <t>-</t>
    <phoneticPr fontId="22" type="noConversion"/>
  </si>
  <si>
    <t>2,3인치 매립등</t>
    <phoneticPr fontId="22" type="noConversion"/>
  </si>
  <si>
    <t>EA</t>
    <phoneticPr fontId="22" type="noConversion"/>
  </si>
  <si>
    <t>-</t>
    <phoneticPr fontId="22" type="noConversion"/>
  </si>
  <si>
    <t>간살 파티션</t>
    <phoneticPr fontId="22" type="noConversion"/>
  </si>
  <si>
    <t>SET</t>
    <phoneticPr fontId="22" type="noConversion"/>
  </si>
  <si>
    <t>-</t>
    <phoneticPr fontId="22" type="noConversion"/>
  </si>
  <si>
    <t>오픈장</t>
    <phoneticPr fontId="22" type="noConversion"/>
  </si>
  <si>
    <t>M103 19 20MM 2p용</t>
    <phoneticPr fontId="22" type="noConversion"/>
  </si>
  <si>
    <t>슬라이딩 도어 손잡이</t>
    <phoneticPr fontId="22" type="noConversion"/>
  </si>
  <si>
    <t>슬라이딩 도어 포켓</t>
    <phoneticPr fontId="22" type="noConversion"/>
  </si>
  <si>
    <t>화장실 조적벽체</t>
    <phoneticPr fontId="22" type="noConversion"/>
  </si>
  <si>
    <t>화장실 벽체</t>
    <phoneticPr fontId="22" type="noConversion"/>
  </si>
  <si>
    <t xml:space="preserve">쇼파 </t>
    <phoneticPr fontId="22" type="noConversion"/>
  </si>
  <si>
    <t>식</t>
    <phoneticPr fontId="22" type="noConversion"/>
  </si>
  <si>
    <t>현관</t>
    <phoneticPr fontId="22" type="noConversion"/>
  </si>
  <si>
    <t>식</t>
    <phoneticPr fontId="22" type="noConversion"/>
  </si>
  <si>
    <t>-</t>
    <phoneticPr fontId="22" type="noConversion"/>
  </si>
  <si>
    <t>화장실</t>
    <phoneticPr fontId="22" type="noConversion"/>
  </si>
  <si>
    <t>300*300</t>
    <phoneticPr fontId="22" type="noConversion"/>
  </si>
  <si>
    <t>현관 거울(은경)</t>
    <phoneticPr fontId="22" type="noConversion"/>
  </si>
  <si>
    <t>쇼파 쿠션, 등받이 포함</t>
    <phoneticPr fontId="22" type="noConversion"/>
  </si>
  <si>
    <t>-</t>
    <phoneticPr fontId="22" type="noConversion"/>
  </si>
  <si>
    <t>-</t>
    <phoneticPr fontId="22" type="noConversion"/>
  </si>
  <si>
    <t>-</t>
    <phoneticPr fontId="22" type="noConversion"/>
  </si>
  <si>
    <t>쇼파 제작</t>
    <phoneticPr fontId="22" type="noConversion"/>
  </si>
  <si>
    <t>식</t>
    <phoneticPr fontId="22" type="noConversion"/>
  </si>
  <si>
    <t>화장실 도어</t>
    <phoneticPr fontId="22" type="noConversion"/>
  </si>
  <si>
    <t>영림 베이지449-3</t>
  </si>
  <si>
    <t>고객님 의견 반영 후</t>
    <phoneticPr fontId="22" type="noConversion"/>
  </si>
  <si>
    <t>보닥 ZX165</t>
    <phoneticPr fontId="22" type="noConversion"/>
  </si>
  <si>
    <t>발코니</t>
    <phoneticPr fontId="22" type="noConversion"/>
  </si>
  <si>
    <t>보조주방</t>
    <phoneticPr fontId="22" type="noConversion"/>
  </si>
  <si>
    <t>주방 가구</t>
    <phoneticPr fontId="2" type="noConversion"/>
  </si>
  <si>
    <t>거실 가구</t>
    <phoneticPr fontId="22" type="noConversion"/>
  </si>
  <si>
    <t>씨트리 1500*1500</t>
    <phoneticPr fontId="22" type="noConversion"/>
  </si>
  <si>
    <t xml:space="preserve"> </t>
    <phoneticPr fontId="22" type="noConversion"/>
  </si>
  <si>
    <t>데크 공사</t>
    <phoneticPr fontId="22" type="noConversion"/>
  </si>
  <si>
    <t>데크 계단</t>
    <phoneticPr fontId="22" type="noConversion"/>
  </si>
  <si>
    <t>M2</t>
    <phoneticPr fontId="22" type="noConversion"/>
  </si>
  <si>
    <t>전체</t>
    <phoneticPr fontId="22" type="noConversion"/>
  </si>
  <si>
    <t>M2</t>
    <phoneticPr fontId="22" type="noConversion"/>
  </si>
  <si>
    <t>식</t>
    <phoneticPr fontId="22" type="noConversion"/>
  </si>
  <si>
    <t>-</t>
    <phoneticPr fontId="22" type="noConversion"/>
  </si>
  <si>
    <t>-</t>
    <phoneticPr fontId="22" type="noConversion"/>
  </si>
  <si>
    <t>부자재</t>
    <phoneticPr fontId="22" type="noConversion"/>
  </si>
  <si>
    <t>아덱스 탄성 메지, 레미탈</t>
    <phoneticPr fontId="22" type="noConversion"/>
  </si>
  <si>
    <t>식</t>
    <phoneticPr fontId="22" type="noConversion"/>
  </si>
  <si>
    <t>EA</t>
    <phoneticPr fontId="22" type="noConversion"/>
  </si>
  <si>
    <t>-</t>
    <phoneticPr fontId="22" type="noConversion"/>
  </si>
  <si>
    <t>SUS 선반</t>
    <phoneticPr fontId="22" type="noConversion"/>
  </si>
  <si>
    <t>제작</t>
    <phoneticPr fontId="22" type="noConversion"/>
  </si>
  <si>
    <t>EA</t>
    <phoneticPr fontId="22" type="noConversion"/>
  </si>
  <si>
    <t>철거</t>
    <phoneticPr fontId="22" type="noConversion"/>
  </si>
  <si>
    <t>화단 철거</t>
    <phoneticPr fontId="22" type="noConversion"/>
  </si>
  <si>
    <t>보조주방 인조대리석</t>
    <phoneticPr fontId="22" type="noConversion"/>
  </si>
  <si>
    <t>보조주방 장 EP</t>
    <phoneticPr fontId="2" type="noConversion"/>
  </si>
  <si>
    <t>-</t>
    <phoneticPr fontId="22" type="noConversion"/>
  </si>
  <si>
    <t>각 방</t>
    <phoneticPr fontId="22" type="noConversion"/>
  </si>
  <si>
    <t>유리 장</t>
    <phoneticPr fontId="22" type="noConversion"/>
  </si>
  <si>
    <t>-</t>
    <phoneticPr fontId="22" type="noConversion"/>
  </si>
  <si>
    <t>제작 거울</t>
    <phoneticPr fontId="22" type="noConversion"/>
  </si>
  <si>
    <t>제작</t>
    <phoneticPr fontId="22" type="noConversion"/>
  </si>
  <si>
    <t>행잉 선반 상판</t>
    <phoneticPr fontId="22" type="noConversion"/>
  </si>
  <si>
    <t>행잉 선반</t>
    <phoneticPr fontId="22" type="noConversion"/>
  </si>
  <si>
    <t>세라믹 / 인피니티</t>
    <phoneticPr fontId="22" type="noConversion"/>
  </si>
  <si>
    <t>세라믹</t>
    <phoneticPr fontId="22" type="noConversion"/>
  </si>
  <si>
    <t>상판, 미드웨이 포함</t>
    <phoneticPr fontId="22" type="noConversion"/>
  </si>
  <si>
    <t>장</t>
    <phoneticPr fontId="22" type="noConversion"/>
  </si>
  <si>
    <t>인피니티 / 원판</t>
    <phoneticPr fontId="22" type="noConversion"/>
  </si>
  <si>
    <t>커튼 박스</t>
    <phoneticPr fontId="22" type="noConversion"/>
  </si>
  <si>
    <t>1X1 각재, 고밀도 MDF</t>
    <phoneticPr fontId="22" type="noConversion"/>
  </si>
  <si>
    <t>9T 고밀도 MDF</t>
    <phoneticPr fontId="22" type="noConversion"/>
  </si>
  <si>
    <t>보일러 컨트롤러</t>
    <phoneticPr fontId="22" type="noConversion"/>
  </si>
  <si>
    <t>융 컨트롤러</t>
    <phoneticPr fontId="22" type="noConversion"/>
  </si>
  <si>
    <t>M</t>
    <phoneticPr fontId="22" type="noConversion"/>
  </si>
  <si>
    <t>설비</t>
    <phoneticPr fontId="22" type="noConversion"/>
  </si>
  <si>
    <t>*</t>
    <phoneticPr fontId="22" type="noConversion"/>
  </si>
  <si>
    <t>산재보험료 외</t>
    <phoneticPr fontId="22" type="noConversion"/>
  </si>
  <si>
    <t>창호</t>
    <phoneticPr fontId="22" type="noConversion"/>
  </si>
  <si>
    <t>샷시</t>
    <phoneticPr fontId="22" type="noConversion"/>
  </si>
  <si>
    <t>별도</t>
    <phoneticPr fontId="22" type="noConversion"/>
  </si>
  <si>
    <t>-</t>
    <phoneticPr fontId="22" type="noConversion"/>
  </si>
  <si>
    <t>터닝도어</t>
    <phoneticPr fontId="22" type="noConversion"/>
  </si>
  <si>
    <t>거실-안방</t>
    <phoneticPr fontId="22" type="noConversion"/>
  </si>
  <si>
    <t>-</t>
    <phoneticPr fontId="22" type="noConversion"/>
  </si>
  <si>
    <t>에어컨</t>
    <phoneticPr fontId="22" type="noConversion"/>
  </si>
  <si>
    <t>-</t>
    <phoneticPr fontId="22" type="noConversion"/>
  </si>
  <si>
    <t>샷시</t>
    <phoneticPr fontId="22" type="noConversion"/>
  </si>
  <si>
    <t>방범방충망</t>
    <phoneticPr fontId="22" type="noConversion"/>
  </si>
  <si>
    <t>시스템 에어컨</t>
    <phoneticPr fontId="22" type="noConversion"/>
  </si>
  <si>
    <t>식</t>
    <phoneticPr fontId="22" type="noConversion"/>
  </si>
  <si>
    <t>식</t>
    <phoneticPr fontId="22" type="noConversion"/>
  </si>
  <si>
    <t>주방 타일</t>
    <phoneticPr fontId="22" type="noConversion"/>
  </si>
  <si>
    <t>-</t>
    <phoneticPr fontId="22" type="noConversion"/>
  </si>
  <si>
    <t>바닥타일</t>
    <phoneticPr fontId="22" type="noConversion"/>
  </si>
  <si>
    <t>부자재</t>
    <phoneticPr fontId="22" type="noConversion"/>
  </si>
  <si>
    <t>5대</t>
    <phoneticPr fontId="22" type="noConversion"/>
  </si>
  <si>
    <t>VALENTINO</t>
    <phoneticPr fontId="22" type="noConversion"/>
  </si>
  <si>
    <t>샷시</t>
    <phoneticPr fontId="22" type="noConversion"/>
  </si>
  <si>
    <t>설비</t>
    <phoneticPr fontId="22" type="noConversion"/>
  </si>
  <si>
    <t>화장실 급,배수 이설</t>
    <phoneticPr fontId="22" type="noConversion"/>
  </si>
  <si>
    <t>설비</t>
    <phoneticPr fontId="22" type="noConversion"/>
  </si>
  <si>
    <t>외부 발코니 급수 공사</t>
    <phoneticPr fontId="22" type="noConversion"/>
  </si>
  <si>
    <t>EA</t>
    <phoneticPr fontId="22" type="noConversion"/>
  </si>
  <si>
    <t>EA</t>
    <phoneticPr fontId="22" type="noConversion"/>
  </si>
  <si>
    <t>서비스 항목</t>
    <phoneticPr fontId="22" type="noConversion"/>
  </si>
  <si>
    <t>식</t>
    <phoneticPr fontId="22" type="noConversion"/>
  </si>
  <si>
    <t>(견적 미포함)</t>
    <phoneticPr fontId="22" type="noConversion"/>
  </si>
  <si>
    <t>에어컨 및 샷시</t>
    <phoneticPr fontId="22" type="noConversion"/>
  </si>
  <si>
    <t>백조 깜뽀르떼 860</t>
    <phoneticPr fontId="22" type="noConversion"/>
  </si>
  <si>
    <t>중문</t>
    <phoneticPr fontId="22" type="noConversion"/>
  </si>
  <si>
    <t>-</t>
    <phoneticPr fontId="22" type="noConversion"/>
  </si>
  <si>
    <t>원목 간살도어</t>
    <phoneticPr fontId="22" type="noConversion"/>
  </si>
  <si>
    <t>슬라이딩 제작</t>
    <phoneticPr fontId="22" type="noConversion"/>
  </si>
  <si>
    <t>식</t>
    <phoneticPr fontId="22" type="noConversion"/>
  </si>
  <si>
    <t>2중창호, 시스템 창호</t>
    <phoneticPr fontId="22" type="noConversion"/>
  </si>
  <si>
    <t>통신함 점검구</t>
    <phoneticPr fontId="22" type="noConversion"/>
  </si>
  <si>
    <t>붙박이 하부장</t>
    <phoneticPr fontId="2" type="noConversion"/>
  </si>
  <si>
    <t>홈바 하부장</t>
    <phoneticPr fontId="2" type="noConversion"/>
  </si>
  <si>
    <t>홈바 상부장</t>
    <phoneticPr fontId="2" type="noConversion"/>
  </si>
  <si>
    <t>BLUM</t>
    <phoneticPr fontId="22" type="noConversion"/>
  </si>
  <si>
    <t>세탁실</t>
    <phoneticPr fontId="22" type="noConversion"/>
  </si>
  <si>
    <t>팬트리 룸 가구</t>
    <phoneticPr fontId="22" type="noConversion"/>
  </si>
  <si>
    <t>펜트리 룸</t>
    <phoneticPr fontId="22" type="noConversion"/>
  </si>
  <si>
    <t>알파 룸 가구</t>
    <phoneticPr fontId="22" type="noConversion"/>
  </si>
  <si>
    <t>거실,주방</t>
    <phoneticPr fontId="22" type="noConversion"/>
  </si>
  <si>
    <t>마이크로 시멘트</t>
    <phoneticPr fontId="22" type="noConversion"/>
  </si>
  <si>
    <t>M2</t>
    <phoneticPr fontId="22" type="noConversion"/>
  </si>
  <si>
    <t>바 룸</t>
    <phoneticPr fontId="22" type="noConversion"/>
  </si>
  <si>
    <t>코팅 포함</t>
    <phoneticPr fontId="22" type="noConversion"/>
  </si>
  <si>
    <t>철거</t>
    <phoneticPr fontId="22" type="noConversion"/>
  </si>
  <si>
    <t>조적 벽체 철거</t>
    <phoneticPr fontId="22" type="noConversion"/>
  </si>
  <si>
    <t>M</t>
    <phoneticPr fontId="22" type="noConversion"/>
  </si>
  <si>
    <t>철거</t>
    <phoneticPr fontId="22" type="noConversion"/>
  </si>
  <si>
    <t>대리석 타일 철거</t>
    <phoneticPr fontId="22" type="noConversion"/>
  </si>
  <si>
    <t>공용부</t>
    <phoneticPr fontId="22" type="noConversion"/>
  </si>
  <si>
    <t>PY</t>
    <phoneticPr fontId="22" type="noConversion"/>
  </si>
  <si>
    <t>-</t>
    <phoneticPr fontId="22" type="noConversion"/>
  </si>
  <si>
    <t>EA</t>
    <phoneticPr fontId="22" type="noConversion"/>
  </si>
  <si>
    <t>-</t>
    <phoneticPr fontId="22" type="noConversion"/>
  </si>
  <si>
    <t>스텐 벽걸이 행거</t>
    <phoneticPr fontId="22" type="noConversion"/>
  </si>
  <si>
    <t>EA</t>
    <phoneticPr fontId="22" type="noConversion"/>
  </si>
  <si>
    <t>제작</t>
    <phoneticPr fontId="22" type="noConversion"/>
  </si>
  <si>
    <t>알파 룸</t>
    <phoneticPr fontId="22" type="noConversion"/>
  </si>
  <si>
    <t>스텐 벽걸이 행거 분채 도장</t>
    <phoneticPr fontId="22" type="noConversion"/>
  </si>
  <si>
    <t>지정 색상</t>
    <phoneticPr fontId="22" type="noConversion"/>
  </si>
  <si>
    <t>식</t>
    <phoneticPr fontId="22" type="noConversion"/>
  </si>
  <si>
    <t>식</t>
    <phoneticPr fontId="22" type="noConversion"/>
  </si>
  <si>
    <t>-</t>
    <phoneticPr fontId="22" type="noConversion"/>
  </si>
  <si>
    <t>인조대리석 / 오로라</t>
    <phoneticPr fontId="22" type="noConversion"/>
  </si>
  <si>
    <t>바 룸 테이블</t>
    <phoneticPr fontId="22" type="noConversion"/>
  </si>
  <si>
    <t>바 룸 테이블</t>
    <phoneticPr fontId="22" type="noConversion"/>
  </si>
  <si>
    <t>허가</t>
    <phoneticPr fontId="22" type="noConversion"/>
  </si>
  <si>
    <t>공사동의서</t>
    <phoneticPr fontId="22" type="noConversion"/>
  </si>
  <si>
    <t>침대헤드</t>
    <phoneticPr fontId="22" type="noConversion"/>
  </si>
  <si>
    <t>선택 / 견적 미포함</t>
    <phoneticPr fontId="22" type="noConversion"/>
  </si>
  <si>
    <t>제작</t>
    <phoneticPr fontId="22" type="noConversion"/>
  </si>
  <si>
    <t>가구 마감</t>
    <phoneticPr fontId="22" type="noConversion"/>
  </si>
  <si>
    <t>아일랜드 상판</t>
    <phoneticPr fontId="22" type="noConversion"/>
  </si>
  <si>
    <t>가구 마감</t>
    <phoneticPr fontId="22" type="noConversion"/>
  </si>
  <si>
    <t>-</t>
    <phoneticPr fontId="22" type="noConversion"/>
  </si>
  <si>
    <t>싱크 수전</t>
    <phoneticPr fontId="22" type="noConversion"/>
  </si>
  <si>
    <t>SET</t>
    <phoneticPr fontId="22" type="noConversion"/>
  </si>
  <si>
    <t>현장 정리 및 자재 양중</t>
    <phoneticPr fontId="22" type="noConversion"/>
  </si>
  <si>
    <t>보양</t>
    <phoneticPr fontId="22" type="noConversion"/>
  </si>
  <si>
    <t>엘리베이터 및 공용부 보양</t>
    <phoneticPr fontId="22" type="noConversion"/>
  </si>
  <si>
    <t>식</t>
    <phoneticPr fontId="22" type="noConversion"/>
  </si>
  <si>
    <t>급수 / 배수</t>
    <phoneticPr fontId="22" type="noConversion"/>
  </si>
  <si>
    <t>개소</t>
    <phoneticPr fontId="22" type="noConversion"/>
  </si>
  <si>
    <t>바닥 센딩 포함</t>
    <phoneticPr fontId="22" type="noConversion"/>
  </si>
  <si>
    <t>인피니티 / 원판</t>
    <phoneticPr fontId="22" type="noConversion"/>
  </si>
  <si>
    <t>3.</t>
    <phoneticPr fontId="22" type="noConversion"/>
  </si>
  <si>
    <t>4.</t>
    <phoneticPr fontId="22" type="noConversion"/>
  </si>
  <si>
    <t>6.</t>
    <phoneticPr fontId="22" type="noConversion"/>
  </si>
  <si>
    <t>7.</t>
  </si>
  <si>
    <t>7.</t>
    <phoneticPr fontId="22" type="noConversion"/>
  </si>
  <si>
    <t>8.</t>
  </si>
  <si>
    <t>8.</t>
    <phoneticPr fontId="22" type="noConversion"/>
  </si>
  <si>
    <t>10.</t>
    <phoneticPr fontId="22" type="noConversion"/>
  </si>
  <si>
    <t>설비 공사</t>
    <phoneticPr fontId="22" type="noConversion"/>
  </si>
  <si>
    <t>철거 공사</t>
    <phoneticPr fontId="22" type="noConversion"/>
  </si>
  <si>
    <t>도어 핸들</t>
    <phoneticPr fontId="22" type="noConversion"/>
  </si>
  <si>
    <t>EA</t>
    <phoneticPr fontId="22" type="noConversion"/>
  </si>
  <si>
    <t>도무스 905 SS</t>
    <phoneticPr fontId="22" type="noConversion"/>
  </si>
  <si>
    <t>가구 상판 금속 하지</t>
    <phoneticPr fontId="22" type="noConversion"/>
  </si>
  <si>
    <t>금속 파이프 / 세라믹,인조석</t>
    <phoneticPr fontId="22" type="noConversion"/>
  </si>
  <si>
    <t>철거 공사</t>
    <phoneticPr fontId="2" type="noConversion"/>
  </si>
  <si>
    <t>설비 공사</t>
    <phoneticPr fontId="2" type="noConversion"/>
  </si>
  <si>
    <t>현관 및 발코니 타일</t>
    <phoneticPr fontId="2" type="noConversion"/>
  </si>
  <si>
    <t>600*600</t>
    <phoneticPr fontId="22" type="noConversion"/>
  </si>
  <si>
    <t>화장실 바닥타일</t>
    <phoneticPr fontId="22" type="noConversion"/>
  </si>
  <si>
    <t>화장실 벽 타일</t>
    <phoneticPr fontId="22" type="noConversion"/>
  </si>
  <si>
    <t>거실 / 안방</t>
    <phoneticPr fontId="22" type="noConversion"/>
  </si>
  <si>
    <t>거실 / 안방</t>
    <phoneticPr fontId="22" type="noConversion"/>
  </si>
  <si>
    <t>1X1 각재, 4.5T 합판</t>
    <phoneticPr fontId="22" type="noConversion"/>
  </si>
  <si>
    <t>아덱스 WPM / SIKA실리콘(우레탄)</t>
    <phoneticPr fontId="22" type="noConversion"/>
  </si>
  <si>
    <t>바닥 액체방수 공사</t>
    <phoneticPr fontId="2" type="noConversion"/>
  </si>
  <si>
    <t>인쇼필름 맞댐시공</t>
    <phoneticPr fontId="22" type="noConversion"/>
  </si>
  <si>
    <t xml:space="preserve"> </t>
    <phoneticPr fontId="2" type="noConversion"/>
  </si>
  <si>
    <t>거실 면적 *1.5</t>
    <phoneticPr fontId="22" type="noConversion"/>
  </si>
  <si>
    <t>보일러 콘트롤러</t>
    <phoneticPr fontId="22" type="noConversion"/>
  </si>
  <si>
    <t>칼리더스 /</t>
    <phoneticPr fontId="22" type="noConversion"/>
  </si>
  <si>
    <t>견적확인</t>
    <phoneticPr fontId="22" type="noConversion"/>
  </si>
  <si>
    <t>기타 감자기류</t>
    <phoneticPr fontId="2" type="noConversion"/>
  </si>
  <si>
    <t>각방 / 공용부</t>
    <phoneticPr fontId="22" type="noConversion"/>
  </si>
  <si>
    <t>거실 / 부분</t>
    <phoneticPr fontId="22" type="noConversion"/>
  </si>
  <si>
    <t>거실 / 각방</t>
    <phoneticPr fontId="22" type="noConversion"/>
  </si>
  <si>
    <t>천정몰딩</t>
    <phoneticPr fontId="22" type="noConversion"/>
  </si>
  <si>
    <t>트랜치 육가</t>
    <phoneticPr fontId="22" type="noConversion"/>
  </si>
  <si>
    <t>화장실 바리솔 구조틀</t>
    <phoneticPr fontId="22" type="noConversion"/>
  </si>
  <si>
    <t>각재 및 합판보강</t>
    <phoneticPr fontId="22" type="noConversion"/>
  </si>
  <si>
    <t>석고보드+고밀도 MDF</t>
    <phoneticPr fontId="22" type="noConversion"/>
  </si>
  <si>
    <t>휴젠트2.5</t>
    <phoneticPr fontId="22" type="noConversion"/>
  </si>
  <si>
    <t>스텝도어</t>
    <phoneticPr fontId="22" type="noConversion"/>
  </si>
  <si>
    <t>그로헤</t>
    <phoneticPr fontId="22" type="noConversion"/>
  </si>
  <si>
    <t>고객님직접결제</t>
    <phoneticPr fontId="22" type="noConversion"/>
  </si>
  <si>
    <t>창호 하단장</t>
    <phoneticPr fontId="22" type="noConversion"/>
  </si>
  <si>
    <t>안방 붙박이장</t>
    <phoneticPr fontId="22" type="noConversion"/>
  </si>
  <si>
    <t>냉장고장</t>
    <phoneticPr fontId="2" type="noConversion"/>
  </si>
  <si>
    <t>냉장고 키큰장</t>
    <phoneticPr fontId="22" type="noConversion"/>
  </si>
  <si>
    <t>냉장고 상부 플랩장</t>
    <phoneticPr fontId="22" type="noConversion"/>
  </si>
  <si>
    <t>안방 가구</t>
    <phoneticPr fontId="22" type="noConversion"/>
  </si>
  <si>
    <t xml:space="preserve">    </t>
    <phoneticPr fontId="22" type="noConversion"/>
  </si>
  <si>
    <t>m</t>
    <phoneticPr fontId="22" type="noConversion"/>
  </si>
  <si>
    <t>배관 이설자리</t>
    <phoneticPr fontId="22" type="noConversion"/>
  </si>
  <si>
    <t>로얄팰리스 아파트 인테리어 공사</t>
    <phoneticPr fontId="107" type="noConversion"/>
  </si>
  <si>
    <t>TO : 이선 고객님</t>
    <rPh sb="0" eb="10">
      <t>ｷｶ</t>
    </rPh>
    <phoneticPr fontId="112" type="noConversion"/>
  </si>
  <si>
    <t>이선 고객님</t>
    <phoneticPr fontId="2" type="noConversion"/>
  </si>
  <si>
    <t>PROJECT: 로얄팰리스 아파트 인테리어 공사</t>
    <phoneticPr fontId="2" type="noConversion"/>
  </si>
  <si>
    <t>PROJECT: 로얄팰리스 아파트 인테리어 공사</t>
    <phoneticPr fontId="2" type="noConversion"/>
  </si>
  <si>
    <t>급수 / 배수</t>
    <phoneticPr fontId="22" type="noConversion"/>
  </si>
  <si>
    <t>배관 이설공사</t>
    <phoneticPr fontId="22" type="noConversion"/>
  </si>
  <si>
    <t>걸레받이</t>
    <phoneticPr fontId="22" type="noConversion"/>
  </si>
  <si>
    <t>-</t>
    <phoneticPr fontId="22" type="noConversion"/>
  </si>
  <si>
    <t>싱크볼</t>
    <phoneticPr fontId="22" type="noConversion"/>
  </si>
  <si>
    <t>백조 SQSR 500</t>
    <phoneticPr fontId="22" type="noConversion"/>
  </si>
  <si>
    <t>무광 니켈</t>
    <phoneticPr fontId="22" type="noConversion"/>
  </si>
  <si>
    <t>아일랜드 하부장</t>
    <phoneticPr fontId="22" type="noConversion"/>
  </si>
  <si>
    <t>-</t>
    <phoneticPr fontId="22" type="noConversion"/>
  </si>
  <si>
    <t>거실 조명</t>
    <phoneticPr fontId="22" type="noConversion"/>
  </si>
  <si>
    <t>EA</t>
    <phoneticPr fontId="22" type="noConversion"/>
  </si>
  <si>
    <t>2인치 COB 조명</t>
    <phoneticPr fontId="22" type="noConversion"/>
  </si>
  <si>
    <t>융스위치 및 아펠라</t>
    <phoneticPr fontId="22" type="noConversion"/>
  </si>
  <si>
    <t>-</t>
    <phoneticPr fontId="22" type="noConversion"/>
  </si>
  <si>
    <t>상판 콘센트</t>
    <phoneticPr fontId="22" type="noConversion"/>
  </si>
  <si>
    <t>바흐만</t>
    <phoneticPr fontId="22" type="noConversion"/>
  </si>
  <si>
    <t>아일랜드 및 주방</t>
    <phoneticPr fontId="22" type="noConversion"/>
  </si>
  <si>
    <t>EA</t>
    <phoneticPr fontId="22" type="noConversion"/>
  </si>
  <si>
    <t>독서 조명</t>
    <phoneticPr fontId="22" type="noConversion"/>
  </si>
  <si>
    <t>아스트로 조명</t>
    <phoneticPr fontId="22" type="noConversion"/>
  </si>
  <si>
    <t>침대헤드</t>
    <phoneticPr fontId="22" type="noConversion"/>
  </si>
  <si>
    <t>EA</t>
    <phoneticPr fontId="22" type="noConversion"/>
  </si>
  <si>
    <t>이노솔 천장</t>
    <phoneticPr fontId="2" type="noConversion"/>
  </si>
  <si>
    <t>아메리칸 스탠다드 스텐리 탱크리스</t>
    <phoneticPr fontId="22" type="noConversion"/>
  </si>
  <si>
    <t>폰타나 MH-401BK</t>
    <phoneticPr fontId="22" type="noConversion"/>
  </si>
  <si>
    <t>거울</t>
    <phoneticPr fontId="2" type="noConversion"/>
  </si>
  <si>
    <t>제작</t>
    <phoneticPr fontId="22" type="noConversion"/>
  </si>
  <si>
    <t>화장실</t>
    <phoneticPr fontId="22" type="noConversion"/>
  </si>
  <si>
    <t>SET</t>
    <phoneticPr fontId="22" type="noConversion"/>
  </si>
  <si>
    <t>폰타나 TF AC7101B-B</t>
    <phoneticPr fontId="22" type="noConversion"/>
  </si>
  <si>
    <t>유리</t>
    <phoneticPr fontId="22" type="noConversion"/>
  </si>
  <si>
    <t>기타 (안방 화장실)</t>
    <phoneticPr fontId="2" type="noConversion"/>
  </si>
  <si>
    <t>화장실</t>
    <phoneticPr fontId="22" type="noConversion"/>
  </si>
  <si>
    <t xml:space="preserve">ST-8072NB </t>
    <phoneticPr fontId="22" type="noConversion"/>
  </si>
  <si>
    <t>샤워 부스</t>
    <phoneticPr fontId="22" type="noConversion"/>
  </si>
  <si>
    <t>디아망 LX하우시스</t>
    <phoneticPr fontId="22" type="noConversion"/>
  </si>
  <si>
    <t>공용부 도장 공사</t>
    <phoneticPr fontId="22" type="noConversion"/>
  </si>
  <si>
    <t>공용부 벽체</t>
    <phoneticPr fontId="22" type="noConversion"/>
  </si>
  <si>
    <t>M2</t>
    <phoneticPr fontId="22" type="noConversion"/>
  </si>
  <si>
    <t>기본 보강 작업</t>
    <phoneticPr fontId="22" type="noConversion"/>
  </si>
  <si>
    <t xml:space="preserve">이노솔 천장 </t>
    <phoneticPr fontId="22" type="noConversion"/>
  </si>
  <si>
    <t>화장실 / 천장</t>
    <phoneticPr fontId="22" type="noConversion"/>
  </si>
  <si>
    <t>9T 합판 + 9.5T 석고보드</t>
    <phoneticPr fontId="22" type="noConversion"/>
  </si>
  <si>
    <t>45T ABS 도어 및 문틀</t>
    <phoneticPr fontId="22" type="noConversion"/>
  </si>
  <si>
    <t>식</t>
    <phoneticPr fontId="22" type="noConversion"/>
  </si>
  <si>
    <t>포켓 슬라이딩 도어</t>
    <phoneticPr fontId="22" type="noConversion"/>
  </si>
  <si>
    <t>침대 헤드</t>
    <phoneticPr fontId="22" type="noConversion"/>
  </si>
  <si>
    <t xml:space="preserve">안방 침대헤드 </t>
    <phoneticPr fontId="22" type="noConversion"/>
  </si>
  <si>
    <t>PY</t>
    <phoneticPr fontId="22" type="noConversion"/>
  </si>
  <si>
    <t>모해디자인 진행 사항</t>
    <phoneticPr fontId="22" type="noConversion"/>
  </si>
  <si>
    <t>서비스 품목</t>
    <phoneticPr fontId="22" type="noConversion"/>
  </si>
  <si>
    <t>가설</t>
    <phoneticPr fontId="22" type="noConversion"/>
  </si>
  <si>
    <t>엘리베이터 사용료 및 관리실 비용</t>
    <phoneticPr fontId="22" type="noConversion"/>
  </si>
  <si>
    <t>관리실 고객 직접 납부</t>
    <phoneticPr fontId="22" type="noConversion"/>
  </si>
  <si>
    <t>식</t>
    <phoneticPr fontId="22" type="noConversion"/>
  </si>
  <si>
    <t>드레스룸 가구</t>
    <phoneticPr fontId="2" type="noConversion"/>
  </si>
  <si>
    <t>-</t>
    <phoneticPr fontId="22" type="noConversion"/>
  </si>
  <si>
    <t>SET</t>
    <phoneticPr fontId="22" type="noConversion"/>
  </si>
  <si>
    <t>붙박이 장 매립 간접 조명</t>
    <phoneticPr fontId="22" type="noConversion"/>
  </si>
  <si>
    <t>구정마루 헤리티지</t>
    <phoneticPr fontId="22" type="noConversion"/>
  </si>
  <si>
    <t>부자재 포함</t>
    <phoneticPr fontId="22" type="noConversion"/>
  </si>
  <si>
    <t>로봇 청소기.런드리룸</t>
    <phoneticPr fontId="22" type="noConversion"/>
  </si>
  <si>
    <t>안방</t>
    <phoneticPr fontId="22" type="noConversion"/>
  </si>
  <si>
    <t>화장실 전체철거</t>
    <phoneticPr fontId="2" type="noConversion"/>
  </si>
  <si>
    <t>조적벽체 포함</t>
    <phoneticPr fontId="22" type="noConversion"/>
  </si>
  <si>
    <t>현관화장실</t>
    <phoneticPr fontId="22" type="noConversion"/>
  </si>
  <si>
    <t>제어함</t>
    <phoneticPr fontId="22" type="noConversion"/>
  </si>
  <si>
    <t>화장실 /철거</t>
    <phoneticPr fontId="22" type="noConversion"/>
  </si>
  <si>
    <t>아일랜드</t>
    <phoneticPr fontId="22" type="noConversion"/>
  </si>
  <si>
    <t>팬트리 가구도어</t>
    <phoneticPr fontId="2" type="noConversion"/>
  </si>
  <si>
    <t>상부장</t>
    <phoneticPr fontId="2" type="noConversion"/>
  </si>
  <si>
    <t>하부장</t>
    <phoneticPr fontId="2" type="noConversion"/>
  </si>
  <si>
    <t>필름 도어</t>
    <phoneticPr fontId="22" type="noConversion"/>
  </si>
  <si>
    <t>고객님 별도구입</t>
    <phoneticPr fontId="22" type="noConversion"/>
  </si>
  <si>
    <t>홈바 폴딩도어</t>
    <phoneticPr fontId="2" type="noConversion"/>
  </si>
  <si>
    <t>하드웨어 포함</t>
    <phoneticPr fontId="22" type="noConversion"/>
  </si>
  <si>
    <t>아일랜드/싱크대/홈바/TV</t>
    <phoneticPr fontId="22" type="noConversion"/>
  </si>
  <si>
    <t>주방</t>
    <phoneticPr fontId="22" type="noConversion"/>
  </si>
  <si>
    <t>도장도어</t>
    <phoneticPr fontId="22" type="noConversion"/>
  </si>
  <si>
    <t>히든도어 / 스텝도어</t>
    <phoneticPr fontId="22" type="noConversion"/>
  </si>
  <si>
    <t>알판</t>
    <phoneticPr fontId="2" type="noConversion"/>
  </si>
  <si>
    <t>침실 가구</t>
    <phoneticPr fontId="2" type="noConversion"/>
  </si>
  <si>
    <t>페트도어</t>
    <phoneticPr fontId="22" type="noConversion"/>
  </si>
  <si>
    <t>침실2</t>
    <phoneticPr fontId="22" type="noConversion"/>
  </si>
  <si>
    <t>벽체 선반</t>
    <phoneticPr fontId="2" type="noConversion"/>
  </si>
  <si>
    <t>협의사항</t>
    <phoneticPr fontId="22" type="noConversion"/>
  </si>
  <si>
    <t>분리수거 키큰장</t>
    <phoneticPr fontId="22" type="noConversion"/>
  </si>
  <si>
    <t>세탁기 상부 플랩장</t>
    <phoneticPr fontId="22" type="noConversion"/>
  </si>
  <si>
    <t>간접조명 유리장</t>
    <phoneticPr fontId="2" type="noConversion"/>
  </si>
  <si>
    <t>하부장</t>
    <phoneticPr fontId="22" type="noConversion"/>
  </si>
  <si>
    <t>건조기 상부 플랩장</t>
    <phoneticPr fontId="22" type="noConversion"/>
  </si>
  <si>
    <t>마그네틱</t>
    <phoneticPr fontId="22" type="noConversion"/>
  </si>
  <si>
    <t>가구</t>
    <phoneticPr fontId="22" type="noConversion"/>
  </si>
  <si>
    <t>제작 세면대</t>
    <phoneticPr fontId="2" type="noConversion"/>
  </si>
  <si>
    <t>ST-03050B 블랙 매립수전</t>
    <phoneticPr fontId="22" type="noConversion"/>
  </si>
  <si>
    <t>아크릴욕조</t>
    <phoneticPr fontId="22" type="noConversion"/>
  </si>
  <si>
    <t>아크릴 족욕 욕조</t>
    <phoneticPr fontId="22" type="noConversion"/>
  </si>
  <si>
    <t>욕조수전</t>
    <phoneticPr fontId="2" type="noConversion"/>
  </si>
  <si>
    <t>ST1029 NB</t>
    <phoneticPr fontId="22" type="noConversion"/>
  </si>
  <si>
    <t>타일 선반제작</t>
    <phoneticPr fontId="2" type="noConversion"/>
  </si>
  <si>
    <t>코너부 졸리시공</t>
    <phoneticPr fontId="2" type="noConversion"/>
  </si>
  <si>
    <t>선반 금속 하지틀 시공</t>
    <phoneticPr fontId="2" type="noConversion"/>
  </si>
  <si>
    <t>발레나 / 줄퍼티</t>
    <phoneticPr fontId="22" type="noConversion"/>
  </si>
  <si>
    <t>도어 발레나마감</t>
    <phoneticPr fontId="22" type="noConversion"/>
  </si>
  <si>
    <t>가구도어</t>
    <phoneticPr fontId="22" type="noConversion"/>
  </si>
  <si>
    <t>신설벽체</t>
    <phoneticPr fontId="22" type="noConversion"/>
  </si>
  <si>
    <t>공용부 페인트마감</t>
    <phoneticPr fontId="22" type="noConversion"/>
  </si>
  <si>
    <t>드레스룸</t>
    <phoneticPr fontId="22" type="noConversion"/>
  </si>
  <si>
    <t>가구도어</t>
    <phoneticPr fontId="2" type="noConversion"/>
  </si>
  <si>
    <t>가구도어 공장 접착시공</t>
    <phoneticPr fontId="22" type="noConversion"/>
  </si>
  <si>
    <t>필름마감 가구</t>
    <phoneticPr fontId="22" type="noConversion"/>
  </si>
  <si>
    <t>드레스룸 필름구간</t>
    <phoneticPr fontId="22" type="noConversion"/>
  </si>
  <si>
    <t>현관 선반</t>
    <phoneticPr fontId="22" type="noConversion"/>
  </si>
  <si>
    <t>TV 매립박스 / 선반</t>
    <phoneticPr fontId="22" type="noConversion"/>
  </si>
  <si>
    <t>액세서리 매대</t>
    <phoneticPr fontId="22" type="noConversion"/>
  </si>
  <si>
    <t>브라운경 슬라이딩 도어</t>
    <phoneticPr fontId="22" type="noConversion"/>
  </si>
  <si>
    <t>드레스룸 은경</t>
    <phoneticPr fontId="22" type="noConversion"/>
  </si>
  <si>
    <t>4t 은경</t>
    <phoneticPr fontId="22" type="noConversion"/>
  </si>
  <si>
    <t>화장대 / 드레스룸</t>
    <phoneticPr fontId="22" type="noConversion"/>
  </si>
  <si>
    <t>현관 브라운경</t>
    <phoneticPr fontId="22" type="noConversion"/>
  </si>
  <si>
    <t>현관벽체</t>
    <phoneticPr fontId="22" type="noConversion"/>
  </si>
  <si>
    <t>히든도어</t>
    <phoneticPr fontId="22" type="noConversion"/>
  </si>
  <si>
    <t>슬라이딩 도어 포켓 시공</t>
    <phoneticPr fontId="22" type="noConversion"/>
  </si>
  <si>
    <t>1X1 각재, 9T 합판 / 금속보강</t>
    <phoneticPr fontId="22" type="noConversion"/>
  </si>
  <si>
    <t>확장공사</t>
    <phoneticPr fontId="2" type="noConversion"/>
  </si>
  <si>
    <t>침실 알파룸 가구도어</t>
    <phoneticPr fontId="2" type="noConversion"/>
  </si>
  <si>
    <t>침실 앞 복도</t>
    <phoneticPr fontId="22" type="noConversion"/>
  </si>
  <si>
    <t>드레스룸 서스선반</t>
    <phoneticPr fontId="2" type="noConversion"/>
  </si>
  <si>
    <t>고객님 협의</t>
    <phoneticPr fontId="22" type="noConversion"/>
  </si>
  <si>
    <t>SUS</t>
    <phoneticPr fontId="22" type="noConversion"/>
  </si>
  <si>
    <t>마감재 미정</t>
    <phoneticPr fontId="22" type="noConversion"/>
  </si>
  <si>
    <t>주방 확산소화기</t>
    <phoneticPr fontId="22" type="noConversion"/>
  </si>
  <si>
    <t>확산소화기</t>
    <phoneticPr fontId="22" type="noConversion"/>
  </si>
  <si>
    <t>서재방 레어로우 협의</t>
    <phoneticPr fontId="22" type="noConversion"/>
  </si>
  <si>
    <t>주방 키큰장 /분리수거장</t>
    <phoneticPr fontId="22" type="noConversion"/>
  </si>
  <si>
    <t>가와준 / 서비스</t>
    <phoneticPr fontId="22" type="noConversion"/>
  </si>
  <si>
    <t>실링팬 선작업 / 거실</t>
    <phoneticPr fontId="22" type="noConversion"/>
  </si>
  <si>
    <t>서재방 벽체보강</t>
    <phoneticPr fontId="22" type="noConversion"/>
  </si>
  <si>
    <t>안방/보조주방</t>
    <phoneticPr fontId="22" type="noConversion"/>
  </si>
  <si>
    <t>선반 보강</t>
    <phoneticPr fontId="22" type="noConversion"/>
  </si>
  <si>
    <t>블럼 or 살리체</t>
    <phoneticPr fontId="22" type="noConversion"/>
  </si>
  <si>
    <t>홈바 폴딩도어 / 가구 보링 비용</t>
    <phoneticPr fontId="2" type="noConversion"/>
  </si>
  <si>
    <t>레베고듀오,살리체,블럼</t>
    <phoneticPr fontId="22" type="noConversion"/>
  </si>
  <si>
    <t>기업이윤 네고</t>
    <phoneticPr fontId="22" type="noConversion"/>
  </si>
  <si>
    <t>BAMO BM26SLIDE</t>
    <phoneticPr fontId="22" type="noConversion"/>
  </si>
  <si>
    <t>*우드 포인트 / 윤현 / 타일 협의</t>
    <phoneticPr fontId="22" type="noConversion"/>
  </si>
  <si>
    <t>적용 NEGO 총액</t>
    <phoneticPr fontId="22" type="noConversion"/>
  </si>
  <si>
    <t>(기업이윤+절사)</t>
    <phoneticPr fontId="22" type="noConversion"/>
  </si>
  <si>
    <t>홈바 폴딩도어 / 철물 가공비용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</si>
</sst>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₩&quot;#,##0;\-&quot;₩&quot;#,##0"/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&quot;$&quot;#,##0.00_);\(&quot;$&quot;#,##0.00\)"/>
    <numFmt numFmtId="177" formatCode="_(&quot;$&quot;* #,##0.00_);_(&quot;$&quot;* \(#,##0.00\);_(&quot;$&quot;* &quot;-&quot;??_);_(@_)"/>
    <numFmt numFmtId="178" formatCode="_ &quot;₩&quot;* #,##0_ ;_ &quot;₩&quot;* \-#,##0_ ;_ &quot;₩&quot;* &quot;-&quot;_ ;_ @_ "/>
    <numFmt numFmtId="179" formatCode="_ * #,##0_ ;_ * \-#,##0_ ;_ * &quot;-&quot;_ ;_ @_ "/>
    <numFmt numFmtId="180" formatCode="_ * #,##0.00_ ;_ * \-#,##0.00_ ;_ * &quot;-&quot;??_ ;_ @_ "/>
    <numFmt numFmtId="181" formatCode="&quot;₩&quot;#,##0.00;[Red]&quot;₩&quot;\-#,##0.00"/>
    <numFmt numFmtId="182" formatCode="\$#,##0\ ;\(\$#,##0\)"/>
    <numFmt numFmtId="183" formatCode="0.0%"/>
    <numFmt numFmtId="184" formatCode="&quot;(&quot;###.00&quot;)&quot;"/>
    <numFmt numFmtId="185" formatCode="_ &quot;₩&quot;* #,##0.00_ ;_ &quot;₩&quot;* \-#,##0.00_ ;_ &quot;₩&quot;* &quot;-&quot;??_ ;_ @_ "/>
    <numFmt numFmtId="186" formatCode="[Red]\+#;[Red]\-#;[Red]0"/>
    <numFmt numFmtId="187" formatCode="#,##0;[Red]&quot;△&quot;#,##0"/>
    <numFmt numFmtId="188" formatCode="#,##0_ ;[Red]&quot;△&quot;#,##0\ "/>
    <numFmt numFmtId="189" formatCode="#,##0.0;[Red]#,##0.0;&quot; &quot;"/>
    <numFmt numFmtId="190" formatCode="yyyy&quot;年&quot;m&quot;月&quot;d&quot;日&quot;"/>
    <numFmt numFmtId="191" formatCode="0.0000%"/>
    <numFmt numFmtId="192" formatCode="0.0%;[Red]\(0.0%\)"/>
    <numFmt numFmtId="193" formatCode="#,##0&quot; 원&quot;"/>
    <numFmt numFmtId="194" formatCode="#,##0.00;[Red]#,##0.00;&quot; &quot;"/>
    <numFmt numFmtId="195" formatCode="#."/>
    <numFmt numFmtId="196" formatCode="&quot;₩&quot;#,##0;&quot;₩&quot;&quot;₩&quot;&quot;₩&quot;&quot;₩&quot;\-#,##0"/>
    <numFmt numFmtId="197" formatCode="0.0%;[Red]&quot;△&quot;0.0%"/>
    <numFmt numFmtId="198" formatCode="0.00%;[Red]&quot;△&quot;0.00%"/>
    <numFmt numFmtId="199" formatCode="#,##0_ ;[Red]\-#,##0\ "/>
    <numFmt numFmtId="200" formatCode="General_)"/>
    <numFmt numFmtId="201" formatCode="_-* #,##0;\-* #,##0;_-* &quot;-&quot;;_-@"/>
    <numFmt numFmtId="202" formatCode="#,##0;[Red]&quot;-&quot;#,##0"/>
    <numFmt numFmtId="203" formatCode="&quot;  &quot;@"/>
    <numFmt numFmtId="204" formatCode="#,##0.0#####\ ;[Red]\-#,##0.0#####\ "/>
    <numFmt numFmtId="205" formatCode="#,##0_ "/>
    <numFmt numFmtId="206" formatCode="#,##0\ ;[Red]&quot;-&quot;#,##0\ "/>
    <numFmt numFmtId="207" formatCode="* #,##0\ ;[Red]* &quot;-&quot;#,##0\ "/>
    <numFmt numFmtId="208" formatCode="_-* #,##0.000_-;\-* #,##0.000_-;_-* &quot;-&quot;_-;_-@_-"/>
    <numFmt numFmtId="209" formatCode="#,##0.####;[Red]&quot;-&quot;#,##0.####"/>
    <numFmt numFmtId="210" formatCode="_-* #,##0.00_-;&quot;₩&quot;&quot;₩&quot;\-* #,##0.00_-;_-* &quot;-&quot;??_-;_-@_-"/>
    <numFmt numFmtId="211" formatCode="_-&quot;₩&quot;* #,##0.00_-;&quot;₩&quot;&quot;₩&quot;\-&quot;₩&quot;* #,##0.00_-;_-&quot;₩&quot;* &quot;-&quot;??_-;_-@_-"/>
    <numFmt numFmtId="212" formatCode="&quot;₩&quot;#,##0.00;&quot;₩&quot;&quot;₩&quot;&quot;₩&quot;&quot;₩&quot;\-#,##0.00"/>
    <numFmt numFmtId="213" formatCode="_ &quot;₩&quot;\ * #,##0_ ;_ &quot;₩&quot;\ * \-#,##0_ ;_ &quot;₩&quot;\ * &quot;-&quot;_ ;_ @_ "/>
    <numFmt numFmtId="214" formatCode="yy\.mm\.dd"/>
    <numFmt numFmtId="215" formatCode="General&quot;·&quot;"/>
    <numFmt numFmtId="216" formatCode="\$#.00"/>
    <numFmt numFmtId="217" formatCode="_-[$€-2]* #,##0.00_-;\-[$€-2]* #,##0.00_-;_-[$€-2]* &quot;-&quot;??_-"/>
    <numFmt numFmtId="218" formatCode="&quot;Fr.&quot;\ #,##0;[Red]&quot;Fr.&quot;\ \-#,##0"/>
    <numFmt numFmtId="219" formatCode="&quot;Fr.&quot;\ #,##0.00;[Red]&quot;Fr.&quot;\ \-#,##0.00"/>
    <numFmt numFmtId="220" formatCode="%#.00"/>
    <numFmt numFmtId="221" formatCode="0.00_);[Red]\(0.00\)"/>
    <numFmt numFmtId="222" formatCode="_-* #,##0_-;\-* #,##0_-;_-* &quot;-&quot;??_-;_-@_-"/>
    <numFmt numFmtId="223" formatCode="&quot;₩&quot;#,##0"/>
  </numFmts>
  <fonts count="154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3"/>
      <charset val="129"/>
    </font>
    <font>
      <sz val="12"/>
      <name val="μ¸¿o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Helv"/>
      <family val="2"/>
    </font>
    <font>
      <sz val="10"/>
      <name val="돋움"/>
      <family val="3"/>
      <charset val="129"/>
    </font>
    <font>
      <sz val="8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¹????¼"/>
      <family val="3"/>
      <charset val="129"/>
    </font>
    <font>
      <sz val="12"/>
      <name val="±¼¸²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2"/>
      <name val="Arial"/>
      <family val="2"/>
    </font>
    <font>
      <sz val="9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1"/>
      <name val="굴림체"/>
      <family val="3"/>
      <charset val="129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color indexed="10"/>
      <name val="돋움체"/>
      <family val="3"/>
      <charset val="129"/>
    </font>
    <font>
      <sz val="12"/>
      <name val="HP-TIMES"/>
      <family val="1"/>
    </font>
    <font>
      <sz val="10"/>
      <name val="바탕"/>
      <family val="1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굴림"/>
      <family val="3"/>
      <charset val="129"/>
    </font>
    <font>
      <sz val="18"/>
      <name val="바탕체"/>
      <family val="1"/>
      <charset val="129"/>
    </font>
    <font>
      <sz val="11"/>
      <name val="돋움체"/>
      <family val="3"/>
      <charset val="129"/>
    </font>
    <font>
      <b/>
      <sz val="14"/>
      <name val="Arial"/>
      <family val="2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0"/>
      <name val="¹ÙÅÁÃ¼"/>
      <family val="3"/>
      <charset val="129"/>
    </font>
    <font>
      <sz val="11"/>
      <name val="μ¸¿o"/>
      <family val="1"/>
      <charset val="129"/>
    </font>
    <font>
      <sz val="12"/>
      <name val="¹ÙÅÁÃ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±¼¸²A¼"/>
      <family val="3"/>
      <charset val="129"/>
    </font>
    <font>
      <sz val="11"/>
      <name val="μ¸¿oA¼"/>
      <family val="3"/>
      <charset val="129"/>
    </font>
    <font>
      <sz val="14"/>
      <name val="¾©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µ¸¿òÃ¼"/>
      <family val="3"/>
      <charset val="129"/>
    </font>
    <font>
      <sz val="10"/>
      <color indexed="8"/>
      <name val="MS Sans Serif"/>
      <family val="2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¹UAA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4"/>
      <name val="¹UAAA¼"/>
      <family val="3"/>
      <charset val="129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0"/>
      <name val="Geneva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sz val="8"/>
      <name val="Wingdings"/>
      <charset val="2"/>
    </font>
    <font>
      <sz val="8"/>
      <name val="Helv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¾©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4"/>
      <name val="에스코어 드림 5 Medium"/>
      <family val="2"/>
      <charset val="129"/>
    </font>
    <font>
      <sz val="10"/>
      <name val="에스코어 드림 5 Medium"/>
      <family val="2"/>
      <charset val="129"/>
    </font>
    <font>
      <b/>
      <sz val="10"/>
      <color theme="0"/>
      <name val="에스코어 드림 5 Medium"/>
      <family val="2"/>
      <charset val="129"/>
    </font>
    <font>
      <b/>
      <sz val="10"/>
      <name val="에스코어 드림 5 Medium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9"/>
      <color rgb="FFFF0000"/>
      <name val="에스코어 드림 5 Medium"/>
      <family val="2"/>
      <charset val="129"/>
    </font>
    <font>
      <b/>
      <sz val="18"/>
      <name val="에스코어 드림 6 Bold"/>
      <family val="2"/>
      <charset val="129"/>
    </font>
    <font>
      <sz val="12"/>
      <name val="에스코어 드림 6 Bold"/>
      <family val="2"/>
      <charset val="129"/>
    </font>
    <font>
      <sz val="10"/>
      <name val="에스코어 드림 6 Bold"/>
      <family val="2"/>
      <charset val="129"/>
    </font>
    <font>
      <b/>
      <sz val="12"/>
      <name val="에스코어 드림 6 Bold"/>
      <family val="2"/>
      <charset val="129"/>
    </font>
    <font>
      <sz val="11"/>
      <name val="에스코어 드림 6 Bold"/>
      <family val="2"/>
      <charset val="129"/>
    </font>
    <font>
      <sz val="9"/>
      <name val="에스코어 드림 6 Bold"/>
      <family val="2"/>
      <charset val="129"/>
    </font>
    <font>
      <b/>
      <sz val="9"/>
      <name val="에스코어 드림 6 Bold"/>
      <family val="2"/>
      <charset val="129"/>
    </font>
    <font>
      <sz val="18"/>
      <name val="에스코어 드림 6 Bold"/>
      <family val="2"/>
      <charset val="129"/>
    </font>
    <font>
      <b/>
      <sz val="14"/>
      <name val="에스코어 드림 4 Regular"/>
      <family val="2"/>
      <charset val="129"/>
    </font>
    <font>
      <sz val="10"/>
      <name val="에스코어 드림 4 Regular"/>
      <family val="2"/>
      <charset val="129"/>
    </font>
    <font>
      <sz val="14"/>
      <name val="에스코어 드림 4 Regular"/>
      <family val="2"/>
      <charset val="129"/>
    </font>
    <font>
      <b/>
      <sz val="10"/>
      <color theme="0"/>
      <name val="에스코어 드림 4 Regular"/>
      <family val="2"/>
      <charset val="129"/>
    </font>
    <font>
      <b/>
      <sz val="10"/>
      <name val="에스코어 드림 4 Regular"/>
      <family val="2"/>
      <charset val="129"/>
    </font>
    <font>
      <b/>
      <sz val="9"/>
      <name val="에스코어 드림 4 Regular"/>
      <family val="2"/>
      <charset val="129"/>
    </font>
    <font>
      <sz val="9"/>
      <name val="에스코어 드림 4 Regular"/>
      <family val="2"/>
      <charset val="129"/>
    </font>
    <font>
      <b/>
      <sz val="9"/>
      <color theme="0"/>
      <name val="에스코어 드림 4 Regular"/>
      <family val="2"/>
      <charset val="129"/>
    </font>
    <font>
      <sz val="9"/>
      <color theme="0"/>
      <name val="에스코어 드림 4 Regular"/>
      <family val="2"/>
      <charset val="129"/>
    </font>
    <font>
      <b/>
      <sz val="9"/>
      <color theme="0"/>
      <name val="에스코어 드림 5 Medium"/>
      <family val="2"/>
      <charset val="129"/>
    </font>
    <font>
      <sz val="9"/>
      <name val="에스코어 드림 5 Medium"/>
      <family val="3"/>
      <charset val="129"/>
    </font>
    <font>
      <sz val="9"/>
      <color rgb="FFFF0000"/>
      <name val="에스코어 드림 5 Medium"/>
      <family val="3"/>
      <charset val="129"/>
    </font>
    <font>
      <sz val="9"/>
      <color theme="1"/>
      <name val="에스코어 드림 5 Medium"/>
      <family val="2"/>
      <charset val="129"/>
    </font>
    <font>
      <sz val="9"/>
      <color theme="1"/>
      <name val="에스코어 드림 5 Medium"/>
      <family val="3"/>
      <charset val="129"/>
    </font>
    <font>
      <b/>
      <sz val="9"/>
      <name val="에스코어 드림 5 Medium"/>
      <family val="3"/>
      <charset val="129"/>
    </font>
    <font>
      <strike/>
      <sz val="9"/>
      <color rgb="FFFF0000"/>
      <name val="에스코어 드림 4 Regular"/>
      <family val="3"/>
      <charset val="129"/>
    </font>
    <font>
      <sz val="9"/>
      <color rgb="FFFF0000"/>
      <name val="에스코어 드림 4 Regular"/>
      <family val="3"/>
      <charset val="129"/>
    </font>
    <font>
      <sz val="9"/>
      <color rgb="FFFF0000"/>
      <name val="Arial Unicode MS"/>
      <family val="3"/>
      <charset val="129"/>
    </font>
    <font>
      <sz val="9"/>
      <color rgb="FFFF0000"/>
      <name val="굴림"/>
      <family val="3"/>
      <charset val="129"/>
    </font>
    <font>
      <strike/>
      <sz val="9"/>
      <name val="에스코어 드림 4 Regular"/>
      <family val="2"/>
      <charset val="129"/>
    </font>
    <font>
      <sz val="9"/>
      <color rgb="FFFF0000"/>
      <name val="에스코어 드림 4 Regular"/>
      <family val="2"/>
      <charset val="129"/>
    </font>
    <font>
      <strike/>
      <sz val="9"/>
      <color rgb="FFFF0000"/>
      <name val="에스코어 드림 5 Medium"/>
      <family val="3"/>
      <charset val="129"/>
    </font>
    <font>
      <sz val="9"/>
      <name val="굴림"/>
      <family val="2"/>
      <charset val="129"/>
    </font>
    <font>
      <sz val="9"/>
      <name val="맑은 고딕"/>
      <family val="2"/>
      <charset val="129"/>
    </font>
    <font>
      <b/>
      <sz val="9"/>
      <color rgb="FFFF0000"/>
      <name val="에스코어 드림 5 Medium"/>
      <family val="2"/>
      <charset val="129"/>
    </font>
    <font>
      <b/>
      <sz val="9"/>
      <color rgb="FFFF0000"/>
      <name val="에스코어 드림 4 Regular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10"/>
      </patternFill>
    </fill>
    <fill>
      <patternFill patternType="solid">
        <fgColor indexed="15"/>
      </patternFill>
    </fill>
    <fill>
      <patternFill patternType="solid">
        <fgColor rgb="FF1E44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911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3" fillId="0" borderId="1">
      <alignment horizontal="center"/>
    </xf>
    <xf numFmtId="3" fontId="11" fillId="0" borderId="2"/>
    <xf numFmtId="24" fontId="2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4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78" fontId="27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8" fillId="0" borderId="0"/>
    <xf numFmtId="0" fontId="29" fillId="0" borderId="0"/>
    <xf numFmtId="0" fontId="6" fillId="0" borderId="0" applyNumberForma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30" fillId="2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31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23" fillId="0" borderId="0"/>
    <xf numFmtId="0" fontId="8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2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6" fillId="0" borderId="0"/>
    <xf numFmtId="0" fontId="32" fillId="0" borderId="0"/>
    <xf numFmtId="0" fontId="7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2" fillId="0" borderId="0"/>
    <xf numFmtId="0" fontId="3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3" fillId="0" borderId="0"/>
    <xf numFmtId="0" fontId="6" fillId="0" borderId="0"/>
    <xf numFmtId="0" fontId="7" fillId="0" borderId="0"/>
    <xf numFmtId="0" fontId="2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7" fillId="0" borderId="0" applyFont="0" applyFill="0" applyBorder="0" applyAlignment="0" applyProtection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35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6" fillId="0" borderId="0"/>
    <xf numFmtId="0" fontId="8" fillId="0" borderId="0" applyFont="0" applyFill="0" applyBorder="0" applyAlignment="0" applyProtection="0"/>
    <xf numFmtId="186" fontId="1" fillId="0" borderId="0" applyFont="0" applyFill="0" applyBorder="0" applyProtection="0">
      <alignment vertical="center"/>
    </xf>
    <xf numFmtId="0" fontId="12" fillId="0" borderId="0"/>
    <xf numFmtId="187" fontId="1" fillId="0" borderId="0">
      <alignment vertical="center"/>
    </xf>
    <xf numFmtId="188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/>
    <xf numFmtId="0" fontId="37" fillId="0" borderId="0" applyNumberFormat="0" applyFill="0" applyBorder="0" applyAlignment="0" applyProtection="0">
      <alignment vertical="top"/>
      <protection locked="0"/>
    </xf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08" fillId="0" borderId="0"/>
    <xf numFmtId="179" fontId="38" fillId="0" borderId="2">
      <alignment vertical="center"/>
    </xf>
    <xf numFmtId="0" fontId="7" fillId="0" borderId="0"/>
    <xf numFmtId="3" fontId="11" fillId="0" borderId="2"/>
    <xf numFmtId="3" fontId="11" fillId="0" borderId="2"/>
    <xf numFmtId="179" fontId="39" fillId="0" borderId="3" applyBorder="0">
      <alignment vertical="center"/>
    </xf>
    <xf numFmtId="189" fontId="40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3" fontId="41" fillId="0" borderId="4">
      <alignment horizontal="right" vertical="center"/>
    </xf>
    <xf numFmtId="189" fontId="40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89" fontId="40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0" fontId="42" fillId="0" borderId="0"/>
    <xf numFmtId="194" fontId="1" fillId="0" borderId="0">
      <alignment vertical="center"/>
    </xf>
    <xf numFmtId="0" fontId="3" fillId="0" borderId="0"/>
    <xf numFmtId="0" fontId="3" fillId="0" borderId="0">
      <protection locked="0"/>
    </xf>
    <xf numFmtId="195" fontId="43" fillId="0" borderId="0">
      <protection locked="0"/>
    </xf>
    <xf numFmtId="10" fontId="6" fillId="0" borderId="0" applyFont="0" applyFill="0" applyBorder="0" applyAlignment="0" applyProtection="0"/>
    <xf numFmtId="2" fontId="41" fillId="0" borderId="4">
      <alignment horizontal="right" vertical="center"/>
    </xf>
    <xf numFmtId="0" fontId="8" fillId="0" borderId="0"/>
    <xf numFmtId="0" fontId="8" fillId="0" borderId="5">
      <alignment horizontal="center"/>
    </xf>
    <xf numFmtId="2" fontId="41" fillId="0" borderId="4">
      <alignment horizontal="right" vertical="center"/>
    </xf>
    <xf numFmtId="194" fontId="1" fillId="0" borderId="6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8" fillId="0" borderId="0">
      <protection locked="0"/>
    </xf>
    <xf numFmtId="0" fontId="8" fillId="0" borderId="0"/>
    <xf numFmtId="0" fontId="44" fillId="0" borderId="0"/>
    <xf numFmtId="0" fontId="45" fillId="0" borderId="7">
      <alignment horizontal="center" vertical="center"/>
    </xf>
    <xf numFmtId="0" fontId="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179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5" fillId="0" borderId="0">
      <protection locked="0"/>
    </xf>
    <xf numFmtId="195" fontId="4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2" fontId="65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178" fontId="12" fillId="0" borderId="0" applyFont="0" applyFill="0" applyBorder="0" applyAlignment="0" applyProtection="0"/>
    <xf numFmtId="213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8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70" fillId="0" borderId="0" applyFont="0" applyFill="0" applyBorder="0" applyAlignment="0" applyProtection="0"/>
    <xf numFmtId="0" fontId="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4" fontId="65" fillId="0" borderId="0" applyFont="0" applyFill="0" applyBorder="0" applyAlignment="0" applyProtection="0"/>
    <xf numFmtId="185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214" fontId="3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>
      <protection locked="0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78" fontId="62" fillId="0" borderId="0" applyFont="0" applyFill="0" applyBorder="0" applyAlignment="0" applyProtection="0"/>
    <xf numFmtId="185" fontId="62" fillId="0" borderId="0" applyFont="0" applyFill="0" applyBorder="0" applyAlignment="0" applyProtection="0"/>
    <xf numFmtId="0" fontId="23" fillId="0" borderId="0"/>
    <xf numFmtId="0" fontId="72" fillId="0" borderId="0">
      <alignment horizontal="center" wrapText="1"/>
      <protection locked="0"/>
    </xf>
    <xf numFmtId="195" fontId="4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73" fillId="0" borderId="0" applyFont="0" applyFill="0" applyBorder="0" applyAlignment="0" applyProtection="0"/>
    <xf numFmtId="0" fontId="64" fillId="0" borderId="0" applyFont="0" applyFill="0" applyBorder="0" applyAlignment="0" applyProtection="0"/>
    <xf numFmtId="41" fontId="65" fillId="0" borderId="0" applyFont="0" applyFill="0" applyBorder="0" applyAlignment="0" applyProtection="0"/>
    <xf numFmtId="179" fontId="66" fillId="0" borderId="0" applyFont="0" applyFill="0" applyBorder="0" applyAlignment="0" applyProtection="0"/>
    <xf numFmtId="0" fontId="12" fillId="0" borderId="0" applyFont="0" applyFill="0" applyBorder="0" applyAlignment="0" applyProtection="0"/>
    <xf numFmtId="6" fontId="6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7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9" fontId="6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3" fontId="65" fillId="0" borderId="0" applyFont="0" applyFill="0" applyBorder="0" applyAlignment="0" applyProtection="0"/>
    <xf numFmtId="180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0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75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58" fillId="0" borderId="0" applyFont="0" applyFill="0" applyBorder="0" applyAlignment="0" applyProtection="0">
      <alignment horizontal="right"/>
    </xf>
    <xf numFmtId="0" fontId="76" fillId="0" borderId="0"/>
    <xf numFmtId="0" fontId="77" fillId="0" borderId="0" applyNumberForma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78" fillId="0" borderId="0"/>
    <xf numFmtId="0" fontId="79" fillId="0" borderId="0"/>
    <xf numFmtId="0" fontId="62" fillId="0" borderId="0">
      <alignment vertical="center"/>
    </xf>
    <xf numFmtId="195" fontId="43" fillId="0" borderId="0">
      <protection locked="0"/>
    </xf>
    <xf numFmtId="0" fontId="80" fillId="0" borderId="0"/>
    <xf numFmtId="0" fontId="81" fillId="0" borderId="0"/>
    <xf numFmtId="0" fontId="82" fillId="0" borderId="0"/>
    <xf numFmtId="0" fontId="64" fillId="0" borderId="0"/>
    <xf numFmtId="0" fontId="82" fillId="0" borderId="0"/>
    <xf numFmtId="0" fontId="81" fillId="0" borderId="0"/>
    <xf numFmtId="0" fontId="83" fillId="0" borderId="0"/>
    <xf numFmtId="0" fontId="64" fillId="0" borderId="0"/>
    <xf numFmtId="0" fontId="65" fillId="0" borderId="0"/>
    <xf numFmtId="0" fontId="6" fillId="0" borderId="0"/>
    <xf numFmtId="0" fontId="79" fillId="0" borderId="0"/>
    <xf numFmtId="0" fontId="84" fillId="0" borderId="0"/>
    <xf numFmtId="0" fontId="82" fillId="0" borderId="0"/>
    <xf numFmtId="0" fontId="67" fillId="0" borderId="0"/>
    <xf numFmtId="0" fontId="12" fillId="0" borderId="0"/>
    <xf numFmtId="0" fontId="67" fillId="0" borderId="0"/>
    <xf numFmtId="0" fontId="12" fillId="0" borderId="0"/>
    <xf numFmtId="49" fontId="67" fillId="0" borderId="0" applyBorder="0"/>
    <xf numFmtId="0" fontId="85" fillId="0" borderId="0"/>
    <xf numFmtId="0" fontId="67" fillId="0" borderId="0"/>
    <xf numFmtId="0" fontId="69" fillId="0" borderId="0"/>
    <xf numFmtId="0" fontId="67" fillId="0" borderId="0"/>
    <xf numFmtId="0" fontId="12" fillId="0" borderId="0"/>
    <xf numFmtId="0" fontId="67" fillId="0" borderId="0"/>
    <xf numFmtId="0" fontId="86" fillId="0" borderId="0"/>
    <xf numFmtId="0" fontId="68" fillId="0" borderId="0"/>
    <xf numFmtId="37" fontId="12" fillId="0" borderId="0"/>
    <xf numFmtId="0" fontId="6" fillId="0" borderId="0"/>
    <xf numFmtId="0" fontId="73" fillId="0" borderId="0"/>
    <xf numFmtId="0" fontId="67" fillId="0" borderId="0"/>
    <xf numFmtId="0" fontId="6" fillId="0" borderId="0"/>
    <xf numFmtId="0" fontId="6" fillId="0" borderId="0"/>
    <xf numFmtId="215" fontId="8" fillId="0" borderId="0" applyFill="0" applyBorder="0" applyAlignment="0"/>
    <xf numFmtId="0" fontId="8" fillId="0" borderId="0" applyFill="0" applyBorder="0" applyAlignment="0"/>
    <xf numFmtId="0" fontId="87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14" fillId="0" borderId="0"/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  <xf numFmtId="4" fontId="50" fillId="0" borderId="0">
      <protection locked="0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58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90" fillId="0" borderId="0" applyNumberFormat="0" applyAlignment="0">
      <alignment horizontal="left"/>
    </xf>
    <xf numFmtId="0" fontId="7" fillId="0" borderId="0" applyFont="0" applyFill="0" applyBorder="0" applyAlignment="0" applyProtection="0"/>
    <xf numFmtId="216" fontId="50" fillId="0" borderId="0">
      <protection locked="0"/>
    </xf>
    <xf numFmtId="0" fontId="23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6" fillId="0" borderId="0"/>
    <xf numFmtId="0" fontId="15" fillId="0" borderId="0" applyFont="0" applyFill="0" applyBorder="0" applyAlignment="0" applyProtection="0"/>
    <xf numFmtId="14" fontId="34" fillId="0" borderId="0" applyFill="0" applyBorder="0" applyAlignment="0"/>
    <xf numFmtId="0" fontId="6" fillId="0" borderId="0" applyFont="0" applyFill="0" applyBorder="0" applyAlignment="0" applyProtection="0"/>
    <xf numFmtId="0" fontId="6" fillId="0" borderId="8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1" fillId="0" borderId="0" applyNumberFormat="0" applyAlignment="0">
      <alignment horizontal="left"/>
    </xf>
    <xf numFmtId="217" fontId="3" fillId="0" borderId="0" applyFont="0" applyFill="0" applyBorder="0" applyAlignment="0" applyProtection="0"/>
    <xf numFmtId="0" fontId="50" fillId="0" borderId="0">
      <protection locked="0"/>
    </xf>
    <xf numFmtId="0" fontId="50" fillId="0" borderId="0">
      <protection locked="0"/>
    </xf>
    <xf numFmtId="0" fontId="92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92" fillId="0" borderId="0">
      <protection locked="0"/>
    </xf>
    <xf numFmtId="3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93" fillId="0" borderId="0" applyNumberFormat="0" applyFill="0" applyBorder="0" applyAlignment="0" applyProtection="0"/>
    <xf numFmtId="2" fontId="94" fillId="0" borderId="0">
      <alignment horizontal="left"/>
    </xf>
    <xf numFmtId="38" fontId="16" fillId="3" borderId="0" applyNumberFormat="0" applyBorder="0" applyAlignment="0" applyProtection="0"/>
    <xf numFmtId="3" fontId="49" fillId="0" borderId="9">
      <alignment horizontal="right" vertical="center"/>
    </xf>
    <xf numFmtId="4" fontId="49" fillId="0" borderId="9">
      <alignment horizontal="right" vertical="center"/>
    </xf>
    <xf numFmtId="0" fontId="17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95" fontId="46" fillId="0" borderId="0">
      <protection locked="0"/>
    </xf>
    <xf numFmtId="195" fontId="46" fillId="0" borderId="0">
      <protection locked="0"/>
    </xf>
    <xf numFmtId="0" fontId="95" fillId="0" borderId="12">
      <alignment horizontal="center"/>
    </xf>
    <xf numFmtId="0" fontId="95" fillId="0" borderId="0">
      <alignment horizontal="center"/>
    </xf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10" fontId="16" fillId="3" borderId="2" applyNumberFormat="0" applyBorder="0" applyAlignment="0" applyProtection="0"/>
    <xf numFmtId="0" fontId="3" fillId="0" borderId="12">
      <protection locked="0"/>
    </xf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0" fillId="0" borderId="12"/>
    <xf numFmtId="218" fontId="23" fillId="0" borderId="0" applyFont="0" applyFill="0" applyBorder="0" applyAlignment="0" applyProtection="0"/>
    <xf numFmtId="219" fontId="23" fillId="0" borderId="0" applyFont="0" applyFill="0" applyBorder="0" applyAlignment="0" applyProtection="0"/>
    <xf numFmtId="5" fontId="15" fillId="0" borderId="0" applyFont="0" applyFill="0" applyBorder="0" applyAlignment="0" applyProtection="0"/>
    <xf numFmtId="37" fontId="98" fillId="0" borderId="0"/>
    <xf numFmtId="0" fontId="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" fillId="0" borderId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80" fontId="1" fillId="0" borderId="0">
      <alignment vertical="center"/>
    </xf>
    <xf numFmtId="14" fontId="72" fillId="0" borderId="0">
      <alignment horizontal="center" wrapText="1"/>
      <protection locked="0"/>
    </xf>
    <xf numFmtId="220" fontId="50" fillId="0" borderId="0">
      <protection locked="0"/>
    </xf>
    <xf numFmtId="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9" fillId="4" borderId="0" applyNumberFormat="0" applyFont="0" applyBorder="0" applyAlignment="0">
      <alignment horizontal="center"/>
    </xf>
    <xf numFmtId="14" fontId="100" fillId="0" borderId="0" applyNumberFormat="0" applyFill="0" applyBorder="0" applyAlignment="0" applyProtection="0">
      <alignment horizontal="left"/>
    </xf>
    <xf numFmtId="0" fontId="49" fillId="0" borderId="2" applyNumberFormat="0" applyFont="0" applyFill="0" applyAlignment="0" applyProtection="0"/>
    <xf numFmtId="0" fontId="8" fillId="0" borderId="0"/>
    <xf numFmtId="4" fontId="101" fillId="5" borderId="13" applyNumberFormat="0" applyProtection="0">
      <alignment vertical="center"/>
    </xf>
    <xf numFmtId="4" fontId="102" fillId="6" borderId="13" applyNumberFormat="0" applyProtection="0">
      <alignment horizontal="right" vertical="center"/>
    </xf>
    <xf numFmtId="221" fontId="1" fillId="0" borderId="0">
      <alignment horizontal="right" vertical="center"/>
    </xf>
    <xf numFmtId="0" fontId="99" fillId="1" borderId="11" applyNumberFormat="0" applyFont="0" applyAlignment="0">
      <alignment horizontal="center"/>
    </xf>
    <xf numFmtId="0" fontId="103" fillId="0" borderId="0" applyNumberFormat="0" applyFill="0" applyBorder="0" applyAlignment="0">
      <alignment horizontal="center"/>
    </xf>
    <xf numFmtId="221" fontId="1" fillId="0" borderId="0">
      <alignment vertical="distributed"/>
    </xf>
    <xf numFmtId="0" fontId="3" fillId="0" borderId="0">
      <alignment horizontal="center"/>
    </xf>
    <xf numFmtId="0" fontId="20" fillId="0" borderId="0"/>
    <xf numFmtId="40" fontId="104" fillId="0" borderId="0" applyBorder="0">
      <alignment horizontal="right"/>
    </xf>
    <xf numFmtId="49" fontId="34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49" fontId="105" fillId="0" borderId="0" applyFill="0" applyBorder="0" applyProtection="0">
      <alignment horizontal="centerContinuous" vertical="center"/>
    </xf>
    <xf numFmtId="0" fontId="106" fillId="0" borderId="0" applyFill="0" applyBorder="0" applyProtection="0">
      <alignment horizontal="centerContinuous" vertical="center"/>
    </xf>
    <xf numFmtId="0" fontId="24" fillId="3" borderId="0" applyFill="0" applyBorder="0" applyProtection="0">
      <alignment horizontal="center" vertical="center"/>
    </xf>
    <xf numFmtId="49" fontId="105" fillId="0" borderId="0" applyFill="0" applyBorder="0" applyProtection="0">
      <alignment horizontal="centerContinuous" vertical="center"/>
    </xf>
    <xf numFmtId="0" fontId="15" fillId="0" borderId="14" applyNumberFormat="0" applyFont="0" applyFill="0" applyAlignment="0" applyProtection="0"/>
    <xf numFmtId="0" fontId="107" fillId="0" borderId="5">
      <alignment horizontal="left"/>
    </xf>
    <xf numFmtId="2" fontId="1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38" fontId="24" fillId="0" borderId="0"/>
    <xf numFmtId="196" fontId="8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7" fillId="0" borderId="0"/>
    <xf numFmtId="38" fontId="48" fillId="0" borderId="0"/>
    <xf numFmtId="187" fontId="7" fillId="0" borderId="15" applyFont="0" applyFill="0" applyBorder="0" applyAlignment="0">
      <alignment horizontal="left" vertical="center"/>
    </xf>
    <xf numFmtId="0" fontId="49" fillId="0" borderId="16" applyNumberFormat="0" applyFont="0" applyFill="0" applyAlignment="0" applyProtection="0"/>
    <xf numFmtId="0" fontId="49" fillId="0" borderId="17" applyNumberFormat="0" applyFont="0" applyFill="0" applyAlignment="0" applyProtection="0"/>
    <xf numFmtId="0" fontId="3" fillId="0" borderId="0">
      <protection locked="0"/>
    </xf>
    <xf numFmtId="0" fontId="50" fillId="0" borderId="0">
      <protection locked="0"/>
    </xf>
    <xf numFmtId="3" fontId="23" fillId="0" borderId="18">
      <alignment horizontal="center"/>
    </xf>
    <xf numFmtId="37" fontId="11" fillId="0" borderId="0"/>
    <xf numFmtId="0" fontId="50" fillId="0" borderId="0">
      <protection locked="0"/>
    </xf>
    <xf numFmtId="0" fontId="38" fillId="0" borderId="0" applyFont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7" fillId="0" borderId="9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9" fillId="0" borderId="0" applyBorder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97" fontId="1" fillId="0" borderId="0" applyFont="0" applyFill="0" applyBorder="0" applyProtection="0">
      <alignment horizontal="center" vertical="center"/>
    </xf>
    <xf numFmtId="198" fontId="1" fillId="0" borderId="0" applyFont="0" applyFill="0" applyBorder="0" applyProtection="0">
      <alignment horizontal="center" vertical="center"/>
    </xf>
    <xf numFmtId="9" fontId="48" fillId="3" borderId="0" applyFill="0" applyBorder="0" applyProtection="0">
      <alignment horizontal="right"/>
    </xf>
    <xf numFmtId="10" fontId="48" fillId="0" borderId="0" applyFill="0" applyBorder="0" applyProtection="0">
      <alignment horizontal="right"/>
    </xf>
    <xf numFmtId="9" fontId="3" fillId="0" borderId="0" applyFont="0" applyFill="0" applyBorder="0" applyAlignment="0" applyProtection="0">
      <alignment vertical="center"/>
    </xf>
    <xf numFmtId="19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1" fontId="3" fillId="0" borderId="19" applyFont="0" applyFill="0" applyAlignment="0" applyProtection="0">
      <alignment horizontal="center" vertical="center"/>
    </xf>
    <xf numFmtId="0" fontId="8" fillId="0" borderId="0"/>
    <xf numFmtId="179" fontId="51" fillId="0" borderId="15">
      <alignment vertical="center"/>
    </xf>
    <xf numFmtId="200" fontId="52" fillId="0" borderId="0"/>
    <xf numFmtId="0" fontId="1" fillId="0" borderId="0" applyNumberFormat="0" applyFont="0" applyFill="0" applyBorder="0" applyProtection="0">
      <alignment horizontal="centerContinuous" vertical="center"/>
    </xf>
    <xf numFmtId="0" fontId="53" fillId="0" borderId="20">
      <alignment vertical="center"/>
    </xf>
    <xf numFmtId="0" fontId="22" fillId="0" borderId="0">
      <alignment vertical="center"/>
    </xf>
    <xf numFmtId="201" fontId="39" fillId="0" borderId="0">
      <alignment vertical="center"/>
    </xf>
    <xf numFmtId="179" fontId="21" fillId="0" borderId="15">
      <alignment vertical="center"/>
    </xf>
    <xf numFmtId="202" fontId="54" fillId="0" borderId="0">
      <alignment vertical="center"/>
    </xf>
    <xf numFmtId="17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21"/>
    <xf numFmtId="0" fontId="37" fillId="0" borderId="0" applyNumberFormat="0" applyFill="0" applyBorder="0" applyAlignment="0" applyProtection="0">
      <alignment vertical="top"/>
      <protection locked="0"/>
    </xf>
    <xf numFmtId="0" fontId="49" fillId="0" borderId="0"/>
    <xf numFmtId="203" fontId="49" fillId="0" borderId="2" applyBorder="0">
      <alignment vertical="center"/>
    </xf>
    <xf numFmtId="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NumberFormat="0" applyAlignment="0">
      <alignment horizontal="left" vertical="center"/>
    </xf>
    <xf numFmtId="4" fontId="50" fillId="0" borderId="0">
      <protection locked="0"/>
    </xf>
    <xf numFmtId="0" fontId="47" fillId="0" borderId="0"/>
    <xf numFmtId="4" fontId="50" fillId="0" borderId="0">
      <protection locked="0"/>
    </xf>
    <xf numFmtId="3" fontId="10" fillId="0" borderId="0" applyFont="0" applyFill="0" applyBorder="0" applyAlignment="0" applyProtection="0"/>
    <xf numFmtId="0" fontId="8" fillId="0" borderId="0">
      <alignment vertical="center"/>
    </xf>
    <xf numFmtId="0" fontId="56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22">
      <alignment horizontal="distributed" vertical="top"/>
    </xf>
    <xf numFmtId="0" fontId="8" fillId="0" borderId="23">
      <alignment horizontal="distributed"/>
    </xf>
    <xf numFmtId="179" fontId="57" fillId="0" borderId="0">
      <alignment vertical="center"/>
    </xf>
    <xf numFmtId="0" fontId="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 applyFont="0" applyFill="0" applyBorder="0" applyAlignment="0" applyProtection="0"/>
    <xf numFmtId="202" fontId="58" fillId="0" borderId="0" applyFont="0" applyFill="0" applyBorder="0" applyAlignment="0" applyProtection="0">
      <alignment vertical="center"/>
    </xf>
    <xf numFmtId="0" fontId="3" fillId="0" borderId="0">
      <protection locked="0"/>
    </xf>
    <xf numFmtId="204" fontId="1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202" fontId="8" fillId="0" borderId="0" applyFont="0" applyFill="0" applyBorder="0" applyAlignment="0" applyProtection="0"/>
    <xf numFmtId="0" fontId="59" fillId="3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205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01" fontId="60" fillId="0" borderId="0" applyFont="0" applyFill="0" applyBorder="0" applyAlignment="0" applyProtection="0"/>
    <xf numFmtId="206" fontId="7" fillId="0" borderId="0" applyFont="0" applyFill="0" applyBorder="0" applyAlignment="0" applyProtection="0">
      <alignment textRotation="255"/>
    </xf>
    <xf numFmtId="207" fontId="7" fillId="0" borderId="0" applyFont="0" applyFill="0" applyBorder="0" applyAlignment="0" applyProtection="0">
      <alignment textRotation="255"/>
    </xf>
    <xf numFmtId="208" fontId="60" fillId="0" borderId="2">
      <alignment vertical="center"/>
    </xf>
    <xf numFmtId="209" fontId="7" fillId="0" borderId="0" applyFont="0" applyFill="0" applyBorder="0" applyAlignment="0" applyProtection="0">
      <alignment textRotation="255"/>
    </xf>
    <xf numFmtId="0" fontId="24" fillId="0" borderId="0"/>
    <xf numFmtId="0" fontId="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1" fillId="0" borderId="23">
      <alignment horizontal="distributed"/>
    </xf>
    <xf numFmtId="0" fontId="11" fillId="0" borderId="24">
      <alignment horizontal="distributed" vertical="center"/>
    </xf>
    <xf numFmtId="0" fontId="11" fillId="0" borderId="25">
      <alignment horizontal="distributed" vertical="top"/>
    </xf>
    <xf numFmtId="0" fontId="3" fillId="0" borderId="0">
      <alignment vertical="center"/>
    </xf>
    <xf numFmtId="0" fontId="55" fillId="0" borderId="0"/>
    <xf numFmtId="0" fontId="3" fillId="0" borderId="0"/>
    <xf numFmtId="0" fontId="109" fillId="0" borderId="0">
      <alignment vertical="center"/>
    </xf>
    <xf numFmtId="0" fontId="3" fillId="0" borderId="0"/>
    <xf numFmtId="0" fontId="8" fillId="0" borderId="20">
      <alignment vertical="center" wrapText="1"/>
    </xf>
    <xf numFmtId="0" fontId="45" fillId="0" borderId="7">
      <alignment horizontal="center" vertical="center"/>
    </xf>
    <xf numFmtId="0" fontId="50" fillId="0" borderId="14">
      <protection locked="0"/>
    </xf>
    <xf numFmtId="211" fontId="8" fillId="0" borderId="0">
      <protection locked="0"/>
    </xf>
    <xf numFmtId="212" fontId="8" fillId="0" borderId="0">
      <protection locked="0"/>
    </xf>
    <xf numFmtId="0" fontId="110" fillId="0" borderId="0">
      <alignment vertical="center"/>
    </xf>
    <xf numFmtId="0" fontId="8" fillId="0" borderId="0"/>
    <xf numFmtId="0" fontId="1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11" fillId="0" borderId="0">
      <alignment vertical="center"/>
    </xf>
    <xf numFmtId="41" fontId="110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26" fillId="0" borderId="0"/>
    <xf numFmtId="41" fontId="1" fillId="0" borderId="0" applyFont="0" applyFill="0" applyBorder="0" applyAlignment="0" applyProtection="0">
      <alignment vertical="center"/>
    </xf>
  </cellStyleXfs>
  <cellXfs count="443">
    <xf numFmtId="0" fontId="0" fillId="0" borderId="0" xfId="0"/>
    <xf numFmtId="0" fontId="114" fillId="0" borderId="0" xfId="2627" applyNumberFormat="1" applyFont="1" applyFill="1" applyBorder="1" applyAlignment="1">
      <alignment horizontal="center" vertical="center"/>
    </xf>
    <xf numFmtId="0" fontId="117" fillId="0" borderId="4" xfId="2627" applyNumberFormat="1" applyFont="1" applyFill="1" applyBorder="1" applyAlignment="1">
      <alignment horizontal="center" vertical="center" wrapText="1"/>
    </xf>
    <xf numFmtId="0" fontId="116" fillId="0" borderId="4" xfId="2627" applyNumberFormat="1" applyFont="1" applyFill="1" applyBorder="1" applyAlignment="1">
      <alignment vertical="center"/>
    </xf>
    <xf numFmtId="0" fontId="117" fillId="0" borderId="4" xfId="0" applyFont="1" applyBorder="1" applyAlignment="1">
      <alignment horizontal="center" vertical="center"/>
    </xf>
    <xf numFmtId="43" fontId="117" fillId="0" borderId="4" xfId="2627" applyNumberFormat="1" applyFont="1" applyFill="1" applyBorder="1" applyAlignment="1">
      <alignment horizontal="center" vertical="center"/>
    </xf>
    <xf numFmtId="179" fontId="117" fillId="0" borderId="4" xfId="2627" applyFont="1" applyFill="1" applyBorder="1" applyAlignment="1">
      <alignment vertical="center"/>
    </xf>
    <xf numFmtId="179" fontId="117" fillId="0" borderId="6" xfId="2627" applyFont="1" applyFill="1" applyBorder="1" applyAlignment="1">
      <alignment vertical="center"/>
    </xf>
    <xf numFmtId="0" fontId="117" fillId="0" borderId="0" xfId="0" applyFont="1" applyAlignment="1">
      <alignment vertical="center"/>
    </xf>
    <xf numFmtId="0" fontId="117" fillId="0" borderId="20" xfId="2627" applyNumberFormat="1" applyFont="1" applyFill="1" applyBorder="1" applyAlignment="1">
      <alignment horizontal="center" vertical="center"/>
    </xf>
    <xf numFmtId="0" fontId="117" fillId="0" borderId="20" xfId="2627" applyNumberFormat="1" applyFont="1" applyFill="1" applyBorder="1" applyAlignment="1">
      <alignment vertical="center"/>
    </xf>
    <xf numFmtId="0" fontId="118" fillId="0" borderId="20" xfId="2627" applyNumberFormat="1" applyFont="1" applyFill="1" applyBorder="1" applyAlignment="1">
      <alignment horizontal="center" vertical="center"/>
    </xf>
    <xf numFmtId="0" fontId="118" fillId="0" borderId="20" xfId="2627" applyNumberFormat="1" applyFont="1" applyFill="1" applyBorder="1" applyAlignment="1">
      <alignment vertical="center"/>
    </xf>
    <xf numFmtId="0" fontId="118" fillId="0" borderId="4" xfId="0" applyFont="1" applyBorder="1" applyAlignment="1">
      <alignment horizontal="center" vertical="center"/>
    </xf>
    <xf numFmtId="43" fontId="118" fillId="0" borderId="4" xfId="2627" applyNumberFormat="1" applyFont="1" applyFill="1" applyBorder="1" applyAlignment="1">
      <alignment horizontal="center" vertical="center"/>
    </xf>
    <xf numFmtId="179" fontId="118" fillId="0" borderId="4" xfId="2627" applyFont="1" applyFill="1" applyBorder="1" applyAlignment="1">
      <alignment vertical="center"/>
    </xf>
    <xf numFmtId="179" fontId="118" fillId="0" borderId="6" xfId="2627" applyFont="1" applyFill="1" applyBorder="1" applyAlignment="1">
      <alignment vertical="center"/>
    </xf>
    <xf numFmtId="0" fontId="118" fillId="0" borderId="0" xfId="0" applyFont="1" applyAlignment="1">
      <alignment vertical="center"/>
    </xf>
    <xf numFmtId="0" fontId="118" fillId="11" borderId="0" xfId="0" applyFont="1" applyFill="1" applyAlignment="1">
      <alignment vertical="center"/>
    </xf>
    <xf numFmtId="0" fontId="118" fillId="9" borderId="20" xfId="2627" applyNumberFormat="1" applyFont="1" applyFill="1" applyBorder="1" applyAlignment="1">
      <alignment horizontal="center" vertical="center"/>
    </xf>
    <xf numFmtId="0" fontId="118" fillId="9" borderId="20" xfId="2627" applyNumberFormat="1" applyFont="1" applyFill="1" applyBorder="1" applyAlignment="1">
      <alignment vertical="center"/>
    </xf>
    <xf numFmtId="0" fontId="118" fillId="9" borderId="4" xfId="0" applyFont="1" applyFill="1" applyBorder="1" applyAlignment="1">
      <alignment horizontal="center" vertical="center"/>
    </xf>
    <xf numFmtId="0" fontId="118" fillId="9" borderId="0" xfId="0" applyFont="1" applyFill="1" applyAlignment="1">
      <alignment vertical="center"/>
    </xf>
    <xf numFmtId="43" fontId="117" fillId="0" borderId="9" xfId="2627" applyNumberFormat="1" applyFont="1" applyFill="1" applyBorder="1" applyAlignment="1">
      <alignment horizontal="center" vertical="center"/>
    </xf>
    <xf numFmtId="41" fontId="117" fillId="0" borderId="4" xfId="2908" applyFont="1" applyFill="1" applyBorder="1" applyAlignment="1">
      <alignment vertical="center"/>
    </xf>
    <xf numFmtId="41" fontId="117" fillId="0" borderId="6" xfId="2908" applyFont="1" applyFill="1" applyBorder="1" applyAlignment="1">
      <alignment vertical="center"/>
    </xf>
    <xf numFmtId="0" fontId="117" fillId="0" borderId="9" xfId="0" applyFont="1" applyBorder="1" applyAlignment="1">
      <alignment horizontal="center" vertical="center"/>
    </xf>
    <xf numFmtId="0" fontId="117" fillId="10" borderId="20" xfId="2627" applyNumberFormat="1" applyFont="1" applyFill="1" applyBorder="1" applyAlignment="1">
      <alignment horizontal="center" vertical="center"/>
    </xf>
    <xf numFmtId="0" fontId="118" fillId="10" borderId="20" xfId="2627" applyNumberFormat="1" applyFont="1" applyFill="1" applyBorder="1" applyAlignment="1">
      <alignment vertical="center"/>
    </xf>
    <xf numFmtId="0" fontId="117" fillId="10" borderId="4" xfId="0" applyFont="1" applyFill="1" applyBorder="1" applyAlignment="1">
      <alignment horizontal="center" vertical="center"/>
    </xf>
    <xf numFmtId="0" fontId="117" fillId="10" borderId="9" xfId="0" applyFont="1" applyFill="1" applyBorder="1" applyAlignment="1">
      <alignment horizontal="center" vertical="center"/>
    </xf>
    <xf numFmtId="41" fontId="117" fillId="10" borderId="4" xfId="2908" applyFont="1" applyFill="1" applyBorder="1" applyAlignment="1">
      <alignment vertical="center"/>
    </xf>
    <xf numFmtId="41" fontId="117" fillId="10" borderId="6" xfId="2908" applyFont="1" applyFill="1" applyBorder="1" applyAlignment="1">
      <alignment vertical="center"/>
    </xf>
    <xf numFmtId="0" fontId="117" fillId="10" borderId="0" xfId="0" applyFont="1" applyFill="1" applyAlignment="1">
      <alignment vertical="center"/>
    </xf>
    <xf numFmtId="43" fontId="117" fillId="0" borderId="4" xfId="2908" applyNumberFormat="1" applyFont="1" applyFill="1" applyBorder="1" applyAlignment="1">
      <alignment vertical="center"/>
    </xf>
    <xf numFmtId="0" fontId="118" fillId="9" borderId="9" xfId="0" applyFont="1" applyFill="1" applyBorder="1" applyAlignment="1">
      <alignment horizontal="center" vertical="center"/>
    </xf>
    <xf numFmtId="41" fontId="118" fillId="9" borderId="4" xfId="2908" applyFont="1" applyFill="1" applyBorder="1" applyAlignment="1">
      <alignment vertical="center"/>
    </xf>
    <xf numFmtId="41" fontId="118" fillId="9" borderId="6" xfId="2908" applyFont="1" applyFill="1" applyBorder="1" applyAlignment="1">
      <alignment vertical="center"/>
    </xf>
    <xf numFmtId="0" fontId="117" fillId="0" borderId="20" xfId="2627" quotePrefix="1" applyNumberFormat="1" applyFont="1" applyFill="1" applyBorder="1" applyAlignment="1">
      <alignment horizontal="center" vertical="center"/>
    </xf>
    <xf numFmtId="0" fontId="118" fillId="8" borderId="20" xfId="2627" quotePrefix="1" applyNumberFormat="1" applyFont="1" applyFill="1" applyBorder="1" applyAlignment="1">
      <alignment horizontal="center" vertical="center"/>
    </xf>
    <xf numFmtId="0" fontId="118" fillId="8" borderId="20" xfId="2627" applyNumberFormat="1" applyFont="1" applyFill="1" applyBorder="1" applyAlignment="1">
      <alignment vertical="center"/>
    </xf>
    <xf numFmtId="0" fontId="118" fillId="0" borderId="9" xfId="0" applyFont="1" applyBorder="1" applyAlignment="1">
      <alignment horizontal="center" vertical="center"/>
    </xf>
    <xf numFmtId="41" fontId="118" fillId="0" borderId="4" xfId="2908" applyFont="1" applyFill="1" applyBorder="1" applyAlignment="1">
      <alignment vertical="center"/>
    </xf>
    <xf numFmtId="41" fontId="118" fillId="0" borderId="6" xfId="2908" applyFont="1" applyFill="1" applyBorder="1" applyAlignment="1">
      <alignment vertical="center"/>
    </xf>
    <xf numFmtId="2" fontId="117" fillId="0" borderId="9" xfId="0" applyNumberFormat="1" applyFont="1" applyBorder="1" applyAlignment="1">
      <alignment vertical="center"/>
    </xf>
    <xf numFmtId="2" fontId="118" fillId="0" borderId="9" xfId="0" applyNumberFormat="1" applyFont="1" applyBorder="1" applyAlignment="1">
      <alignment vertical="center"/>
    </xf>
    <xf numFmtId="0" fontId="117" fillId="13" borderId="20" xfId="2627" applyNumberFormat="1" applyFont="1" applyFill="1" applyBorder="1" applyAlignment="1">
      <alignment horizontal="center" vertical="center"/>
    </xf>
    <xf numFmtId="0" fontId="117" fillId="13" borderId="20" xfId="2627" applyNumberFormat="1" applyFont="1" applyFill="1" applyBorder="1" applyAlignment="1">
      <alignment vertical="center"/>
    </xf>
    <xf numFmtId="0" fontId="117" fillId="13" borderId="4" xfId="0" applyFont="1" applyFill="1" applyBorder="1" applyAlignment="1">
      <alignment horizontal="center" vertical="center"/>
    </xf>
    <xf numFmtId="2" fontId="117" fillId="13" borderId="9" xfId="0" applyNumberFormat="1" applyFont="1" applyFill="1" applyBorder="1" applyAlignment="1">
      <alignment vertical="center"/>
    </xf>
    <xf numFmtId="41" fontId="117" fillId="13" borderId="4" xfId="2908" applyFont="1" applyFill="1" applyBorder="1" applyAlignment="1">
      <alignment vertical="center"/>
    </xf>
    <xf numFmtId="41" fontId="117" fillId="13" borderId="6" xfId="2908" applyFont="1" applyFill="1" applyBorder="1" applyAlignment="1">
      <alignment vertical="center"/>
    </xf>
    <xf numFmtId="0" fontId="117" fillId="13" borderId="0" xfId="0" applyFont="1" applyFill="1" applyAlignment="1">
      <alignment vertical="center"/>
    </xf>
    <xf numFmtId="0" fontId="117" fillId="13" borderId="20" xfId="2908" applyNumberFormat="1" applyFont="1" applyFill="1" applyBorder="1" applyAlignment="1">
      <alignment horizontal="center" vertical="center"/>
    </xf>
    <xf numFmtId="43" fontId="117" fillId="13" borderId="9" xfId="0" applyNumberFormat="1" applyFont="1" applyFill="1" applyBorder="1" applyAlignment="1">
      <alignment vertical="center"/>
    </xf>
    <xf numFmtId="43" fontId="117" fillId="0" borderId="4" xfId="2627" applyNumberFormat="1" applyFont="1" applyFill="1" applyBorder="1" applyAlignment="1">
      <alignment vertical="center"/>
    </xf>
    <xf numFmtId="0" fontId="117" fillId="0" borderId="0" xfId="2627" applyNumberFormat="1" applyFont="1" applyFill="1" applyBorder="1" applyAlignment="1">
      <alignment horizontal="center" vertical="center"/>
    </xf>
    <xf numFmtId="0" fontId="117" fillId="0" borderId="0" xfId="2627" applyNumberFormat="1" applyFont="1" applyFill="1" applyBorder="1" applyAlignment="1">
      <alignment vertical="center"/>
    </xf>
    <xf numFmtId="0" fontId="117" fillId="0" borderId="0" xfId="0" applyFont="1" applyAlignment="1">
      <alignment horizontal="center" vertical="center"/>
    </xf>
    <xf numFmtId="43" fontId="117" fillId="0" borderId="0" xfId="2627" applyNumberFormat="1" applyFont="1" applyFill="1" applyBorder="1" applyAlignment="1">
      <alignment vertical="center"/>
    </xf>
    <xf numFmtId="179" fontId="117" fillId="0" borderId="0" xfId="2627" applyFont="1" applyFill="1" applyBorder="1" applyAlignment="1">
      <alignment vertical="center"/>
    </xf>
    <xf numFmtId="0" fontId="122" fillId="0" borderId="0" xfId="0" applyFont="1" applyAlignment="1">
      <alignment vertical="center"/>
    </xf>
    <xf numFmtId="0" fontId="120" fillId="0" borderId="0" xfId="2909" applyFont="1"/>
    <xf numFmtId="0" fontId="122" fillId="0" borderId="0" xfId="2909" applyFont="1"/>
    <xf numFmtId="0" fontId="123" fillId="0" borderId="21" xfId="2909" applyFont="1" applyBorder="1"/>
    <xf numFmtId="0" fontId="123" fillId="0" borderId="0" xfId="2909" applyFont="1"/>
    <xf numFmtId="0" fontId="124" fillId="0" borderId="0" xfId="2909" applyFont="1"/>
    <xf numFmtId="0" fontId="124" fillId="0" borderId="21" xfId="2909" applyFont="1" applyBorder="1"/>
    <xf numFmtId="0" fontId="124" fillId="0" borderId="21" xfId="2909" applyFont="1" applyBorder="1" applyAlignment="1">
      <alignment horizontal="left"/>
    </xf>
    <xf numFmtId="0" fontId="124" fillId="0" borderId="0" xfId="2909" applyFont="1" applyAlignment="1">
      <alignment horizontal="right"/>
    </xf>
    <xf numFmtId="223" fontId="124" fillId="0" borderId="0" xfId="2909" applyNumberFormat="1" applyFont="1" applyAlignment="1">
      <alignment horizontal="center"/>
    </xf>
    <xf numFmtId="0" fontId="125" fillId="0" borderId="0" xfId="2909" applyFont="1"/>
    <xf numFmtId="0" fontId="124" fillId="0" borderId="0" xfId="2909" applyFont="1" applyAlignment="1">
      <alignment horizontal="left"/>
    </xf>
    <xf numFmtId="0" fontId="127" fillId="0" borderId="0" xfId="2909" applyFont="1"/>
    <xf numFmtId="0" fontId="125" fillId="0" borderId="0" xfId="2909" applyFont="1" applyAlignment="1">
      <alignment horizontal="left"/>
    </xf>
    <xf numFmtId="0" fontId="121" fillId="0" borderId="0" xfId="2909" applyFont="1"/>
    <xf numFmtId="0" fontId="129" fillId="0" borderId="0" xfId="2627" applyNumberFormat="1" applyFont="1" applyFill="1" applyBorder="1" applyAlignment="1">
      <alignment horizontal="center" vertical="center"/>
    </xf>
    <xf numFmtId="0" fontId="130" fillId="13" borderId="0" xfId="2627" applyNumberFormat="1" applyFont="1" applyFill="1" applyBorder="1" applyAlignment="1">
      <alignment vertical="center"/>
    </xf>
    <xf numFmtId="0" fontId="128" fillId="13" borderId="0" xfId="2627" applyNumberFormat="1" applyFont="1" applyFill="1" applyBorder="1" applyAlignment="1">
      <alignment vertical="center"/>
    </xf>
    <xf numFmtId="0" fontId="132" fillId="0" borderId="0" xfId="2627" applyNumberFormat="1" applyFont="1" applyFill="1" applyBorder="1" applyAlignment="1">
      <alignment horizontal="center" vertical="center"/>
    </xf>
    <xf numFmtId="179" fontId="131" fillId="7" borderId="27" xfId="2627" applyFont="1" applyFill="1" applyBorder="1" applyAlignment="1">
      <alignment horizontal="center" vertical="center"/>
    </xf>
    <xf numFmtId="0" fontId="133" fillId="0" borderId="20" xfId="2627" applyNumberFormat="1" applyFont="1" applyFill="1" applyBorder="1" applyAlignment="1">
      <alignment horizontal="center" vertical="center"/>
    </xf>
    <xf numFmtId="0" fontId="133" fillId="0" borderId="20" xfId="2627" applyNumberFormat="1" applyFont="1" applyFill="1" applyBorder="1" applyAlignment="1">
      <alignment vertical="center"/>
    </xf>
    <xf numFmtId="0" fontId="133" fillId="0" borderId="20" xfId="2627" applyNumberFormat="1" applyFont="1" applyFill="1" applyBorder="1" applyAlignment="1">
      <alignment horizontal="left" vertical="center"/>
    </xf>
    <xf numFmtId="0" fontId="133" fillId="0" borderId="4" xfId="0" applyFont="1" applyBorder="1" applyAlignment="1">
      <alignment horizontal="center" vertical="center"/>
    </xf>
    <xf numFmtId="0" fontId="133" fillId="0" borderId="6" xfId="0" applyFont="1" applyBorder="1" applyAlignment="1">
      <alignment horizontal="center" vertical="center"/>
    </xf>
    <xf numFmtId="43" fontId="133" fillId="0" borderId="4" xfId="2627" applyNumberFormat="1" applyFont="1" applyFill="1" applyBorder="1" applyAlignment="1">
      <alignment horizontal="center" vertical="center"/>
    </xf>
    <xf numFmtId="179" fontId="133" fillId="0" borderId="4" xfId="2627" applyFont="1" applyFill="1" applyBorder="1" applyAlignment="1">
      <alignment vertical="center"/>
    </xf>
    <xf numFmtId="0" fontId="133" fillId="0" borderId="9" xfId="0" applyFont="1" applyBorder="1" applyAlignment="1">
      <alignment horizontal="center" vertical="center" shrinkToFit="1"/>
    </xf>
    <xf numFmtId="0" fontId="133" fillId="0" borderId="0" xfId="0" applyFont="1" applyAlignment="1">
      <alignment vertical="center"/>
    </xf>
    <xf numFmtId="0" fontId="134" fillId="0" borderId="20" xfId="2627" applyNumberFormat="1" applyFont="1" applyFill="1" applyBorder="1" applyAlignment="1">
      <alignment horizontal="center" vertical="center"/>
    </xf>
    <xf numFmtId="0" fontId="134" fillId="0" borderId="20" xfId="2627" applyNumberFormat="1" applyFont="1" applyFill="1" applyBorder="1" applyAlignment="1">
      <alignment vertical="center"/>
    </xf>
    <xf numFmtId="0" fontId="134" fillId="0" borderId="20" xfId="2627" applyNumberFormat="1" applyFont="1" applyFill="1" applyBorder="1" applyAlignment="1">
      <alignment horizontal="left" vertical="center"/>
    </xf>
    <xf numFmtId="0" fontId="134" fillId="0" borderId="4" xfId="0" applyFont="1" applyBorder="1" applyAlignment="1">
      <alignment horizontal="center" vertical="center"/>
    </xf>
    <xf numFmtId="0" fontId="134" fillId="0" borderId="6" xfId="0" applyFont="1" applyBorder="1" applyAlignment="1">
      <alignment horizontal="center" vertical="center"/>
    </xf>
    <xf numFmtId="43" fontId="134" fillId="0" borderId="4" xfId="2627" applyNumberFormat="1" applyFont="1" applyFill="1" applyBorder="1" applyAlignment="1">
      <alignment horizontal="center" vertical="center"/>
    </xf>
    <xf numFmtId="179" fontId="134" fillId="0" borderId="4" xfId="2627" applyFont="1" applyFill="1" applyBorder="1" applyAlignment="1">
      <alignment vertical="center"/>
    </xf>
    <xf numFmtId="0" fontId="134" fillId="0" borderId="9" xfId="0" applyFont="1" applyBorder="1" applyAlignment="1">
      <alignment horizontal="center" vertical="center" shrinkToFit="1"/>
    </xf>
    <xf numFmtId="0" fontId="134" fillId="0" borderId="0" xfId="0" applyFont="1" applyAlignment="1">
      <alignment vertical="center"/>
    </xf>
    <xf numFmtId="0" fontId="133" fillId="11" borderId="20" xfId="2627" applyNumberFormat="1" applyFont="1" applyFill="1" applyBorder="1" applyAlignment="1">
      <alignment horizontal="center" vertical="center"/>
    </xf>
    <xf numFmtId="0" fontId="133" fillId="11" borderId="20" xfId="2627" applyNumberFormat="1" applyFont="1" applyFill="1" applyBorder="1" applyAlignment="1">
      <alignment horizontal="left" vertical="center"/>
    </xf>
    <xf numFmtId="0" fontId="133" fillId="11" borderId="4" xfId="0" applyFont="1" applyFill="1" applyBorder="1" applyAlignment="1">
      <alignment horizontal="center" vertical="center"/>
    </xf>
    <xf numFmtId="0" fontId="133" fillId="11" borderId="6" xfId="0" applyFont="1" applyFill="1" applyBorder="1" applyAlignment="1">
      <alignment horizontal="center" vertical="center"/>
    </xf>
    <xf numFmtId="43" fontId="133" fillId="11" borderId="4" xfId="2627" applyNumberFormat="1" applyFont="1" applyFill="1" applyBorder="1" applyAlignment="1">
      <alignment horizontal="center" vertical="center"/>
    </xf>
    <xf numFmtId="179" fontId="133" fillId="11" borderId="4" xfId="2627" applyFont="1" applyFill="1" applyBorder="1" applyAlignment="1">
      <alignment vertical="center"/>
    </xf>
    <xf numFmtId="179" fontId="133" fillId="11" borderId="9" xfId="0" applyNumberFormat="1" applyFont="1" applyFill="1" applyBorder="1" applyAlignment="1">
      <alignment horizontal="center" vertical="center" shrinkToFit="1"/>
    </xf>
    <xf numFmtId="0" fontId="133" fillId="11" borderId="0" xfId="0" applyFont="1" applyFill="1" applyAlignment="1">
      <alignment vertical="center"/>
    </xf>
    <xf numFmtId="0" fontId="134" fillId="0" borderId="0" xfId="2627" applyNumberFormat="1" applyFont="1" applyFill="1" applyBorder="1" applyAlignment="1">
      <alignment horizontal="left" vertical="center"/>
    </xf>
    <xf numFmtId="43" fontId="134" fillId="0" borderId="20" xfId="0" applyNumberFormat="1" applyFont="1" applyBorder="1" applyAlignment="1">
      <alignment horizontal="center" vertical="center"/>
    </xf>
    <xf numFmtId="179" fontId="134" fillId="0" borderId="20" xfId="2627" applyFont="1" applyFill="1" applyBorder="1" applyAlignment="1">
      <alignment horizontal="center" vertical="center"/>
    </xf>
    <xf numFmtId="179" fontId="134" fillId="0" borderId="20" xfId="2627" applyFont="1" applyFill="1" applyBorder="1" applyAlignment="1">
      <alignment vertical="center"/>
    </xf>
    <xf numFmtId="0" fontId="134" fillId="0" borderId="20" xfId="2627" quotePrefix="1" applyNumberFormat="1" applyFont="1" applyFill="1" applyBorder="1" applyAlignment="1">
      <alignment horizontal="left" vertical="center"/>
    </xf>
    <xf numFmtId="0" fontId="134" fillId="0" borderId="20" xfId="0" applyFont="1" applyBorder="1" applyAlignment="1">
      <alignment horizontal="center" vertical="center"/>
    </xf>
    <xf numFmtId="0" fontId="134" fillId="0" borderId="31" xfId="0" applyFont="1" applyBorder="1" applyAlignment="1">
      <alignment horizontal="center" vertical="center"/>
    </xf>
    <xf numFmtId="0" fontId="133" fillId="11" borderId="20" xfId="2627" quotePrefix="1" applyNumberFormat="1" applyFont="1" applyFill="1" applyBorder="1" applyAlignment="1">
      <alignment horizontal="center" vertical="center"/>
    </xf>
    <xf numFmtId="0" fontId="133" fillId="11" borderId="20" xfId="0" applyFont="1" applyFill="1" applyBorder="1" applyAlignment="1">
      <alignment horizontal="center" vertical="center"/>
    </xf>
    <xf numFmtId="0" fontId="133" fillId="11" borderId="31" xfId="0" applyFont="1" applyFill="1" applyBorder="1" applyAlignment="1">
      <alignment horizontal="center" vertical="center"/>
    </xf>
    <xf numFmtId="43" fontId="133" fillId="11" borderId="20" xfId="0" applyNumberFormat="1" applyFont="1" applyFill="1" applyBorder="1" applyAlignment="1">
      <alignment horizontal="center" vertical="center"/>
    </xf>
    <xf numFmtId="179" fontId="133" fillId="11" borderId="20" xfId="2627" applyFont="1" applyFill="1" applyBorder="1" applyAlignment="1">
      <alignment horizontal="center" vertical="center"/>
    </xf>
    <xf numFmtId="179" fontId="133" fillId="11" borderId="20" xfId="2627" applyFont="1" applyFill="1" applyBorder="1" applyAlignment="1">
      <alignment vertical="center"/>
    </xf>
    <xf numFmtId="0" fontId="134" fillId="11" borderId="9" xfId="0" applyFont="1" applyFill="1" applyBorder="1" applyAlignment="1">
      <alignment horizontal="center" vertical="center" shrinkToFit="1"/>
    </xf>
    <xf numFmtId="0" fontId="134" fillId="11" borderId="0" xfId="0" applyFont="1" applyFill="1" applyAlignment="1">
      <alignment vertical="center"/>
    </xf>
    <xf numFmtId="0" fontId="135" fillId="12" borderId="20" xfId="2627" applyNumberFormat="1" applyFont="1" applyFill="1" applyBorder="1" applyAlignment="1">
      <alignment horizontal="center" vertical="center"/>
    </xf>
    <xf numFmtId="0" fontId="135" fillId="12" borderId="20" xfId="2627" applyNumberFormat="1" applyFont="1" applyFill="1" applyBorder="1" applyAlignment="1">
      <alignment horizontal="left" vertical="center"/>
    </xf>
    <xf numFmtId="0" fontId="135" fillId="12" borderId="4" xfId="0" applyFont="1" applyFill="1" applyBorder="1" applyAlignment="1">
      <alignment horizontal="center" vertical="center"/>
    </xf>
    <xf numFmtId="0" fontId="135" fillId="12" borderId="6" xfId="0" applyFont="1" applyFill="1" applyBorder="1" applyAlignment="1">
      <alignment horizontal="center" vertical="center"/>
    </xf>
    <xf numFmtId="43" fontId="135" fillId="12" borderId="4" xfId="2627" applyNumberFormat="1" applyFont="1" applyFill="1" applyBorder="1" applyAlignment="1">
      <alignment horizontal="center" vertical="center"/>
    </xf>
    <xf numFmtId="179" fontId="135" fillId="12" borderId="4" xfId="2627" applyFont="1" applyFill="1" applyBorder="1" applyAlignment="1">
      <alignment vertical="center"/>
    </xf>
    <xf numFmtId="0" fontId="136" fillId="12" borderId="9" xfId="0" applyFont="1" applyFill="1" applyBorder="1" applyAlignment="1">
      <alignment horizontal="center" vertical="center" shrinkToFit="1"/>
    </xf>
    <xf numFmtId="0" fontId="136" fillId="12" borderId="0" xfId="0" applyFont="1" applyFill="1" applyAlignment="1">
      <alignment vertical="center"/>
    </xf>
    <xf numFmtId="0" fontId="134" fillId="13" borderId="34" xfId="2627" applyNumberFormat="1" applyFont="1" applyFill="1" applyBorder="1" applyAlignment="1">
      <alignment horizontal="center" vertical="center"/>
    </xf>
    <xf numFmtId="0" fontId="134" fillId="13" borderId="36" xfId="2627" applyNumberFormat="1" applyFont="1" applyFill="1" applyBorder="1" applyAlignment="1">
      <alignment vertical="center"/>
    </xf>
    <xf numFmtId="0" fontId="134" fillId="13" borderId="36" xfId="2627" applyNumberFormat="1" applyFont="1" applyFill="1" applyBorder="1" applyAlignment="1">
      <alignment horizontal="left" vertical="center"/>
    </xf>
    <xf numFmtId="0" fontId="134" fillId="13" borderId="36" xfId="0" applyFont="1" applyFill="1" applyBorder="1" applyAlignment="1">
      <alignment horizontal="center" vertical="center"/>
    </xf>
    <xf numFmtId="43" fontId="134" fillId="13" borderId="36" xfId="2627" applyNumberFormat="1" applyFont="1" applyFill="1" applyBorder="1" applyAlignment="1">
      <alignment horizontal="center" vertical="center"/>
    </xf>
    <xf numFmtId="179" fontId="134" fillId="13" borderId="36" xfId="2627" applyFont="1" applyFill="1" applyBorder="1" applyAlignment="1">
      <alignment vertical="center"/>
    </xf>
    <xf numFmtId="0" fontId="134" fillId="13" borderId="35" xfId="0" applyFont="1" applyFill="1" applyBorder="1" applyAlignment="1">
      <alignment horizontal="center" vertical="center" shrinkToFit="1"/>
    </xf>
    <xf numFmtId="0" fontId="134" fillId="13" borderId="32" xfId="2627" applyNumberFormat="1" applyFont="1" applyFill="1" applyBorder="1" applyAlignment="1">
      <alignment horizontal="center" vertical="center"/>
    </xf>
    <xf numFmtId="0" fontId="134" fillId="13" borderId="0" xfId="2627" applyNumberFormat="1" applyFont="1" applyFill="1" applyBorder="1" applyAlignment="1">
      <alignment vertical="center"/>
    </xf>
    <xf numFmtId="0" fontId="134" fillId="13" borderId="0" xfId="2627" applyNumberFormat="1" applyFont="1" applyFill="1" applyBorder="1" applyAlignment="1">
      <alignment horizontal="left" vertical="center"/>
    </xf>
    <xf numFmtId="0" fontId="134" fillId="13" borderId="0" xfId="0" applyFont="1" applyFill="1" applyAlignment="1">
      <alignment horizontal="center" vertical="center"/>
    </xf>
    <xf numFmtId="43" fontId="134" fillId="13" borderId="0" xfId="2627" applyNumberFormat="1" applyFont="1" applyFill="1" applyBorder="1" applyAlignment="1">
      <alignment horizontal="center" vertical="center"/>
    </xf>
    <xf numFmtId="179" fontId="134" fillId="13" borderId="0" xfId="2627" applyFont="1" applyFill="1" applyBorder="1" applyAlignment="1">
      <alignment vertical="center"/>
    </xf>
    <xf numFmtId="0" fontId="134" fillId="13" borderId="33" xfId="0" applyFont="1" applyFill="1" applyBorder="1" applyAlignment="1">
      <alignment horizontal="center" vertical="center" shrinkToFit="1"/>
    </xf>
    <xf numFmtId="0" fontId="134" fillId="13" borderId="6" xfId="2627" applyNumberFormat="1" applyFont="1" applyFill="1" applyBorder="1" applyAlignment="1">
      <alignment horizontal="center" vertical="center"/>
    </xf>
    <xf numFmtId="0" fontId="134" fillId="13" borderId="21" xfId="2627" applyNumberFormat="1" applyFont="1" applyFill="1" applyBorder="1" applyAlignment="1">
      <alignment vertical="center"/>
    </xf>
    <xf numFmtId="0" fontId="134" fillId="13" borderId="21" xfId="2627" applyNumberFormat="1" applyFont="1" applyFill="1" applyBorder="1" applyAlignment="1">
      <alignment horizontal="left" vertical="center"/>
    </xf>
    <xf numFmtId="0" fontId="134" fillId="13" borderId="21" xfId="0" applyFont="1" applyFill="1" applyBorder="1" applyAlignment="1">
      <alignment horizontal="center" vertical="center"/>
    </xf>
    <xf numFmtId="43" fontId="134" fillId="13" borderId="21" xfId="2627" applyNumberFormat="1" applyFont="1" applyFill="1" applyBorder="1" applyAlignment="1">
      <alignment horizontal="center" vertical="center"/>
    </xf>
    <xf numFmtId="179" fontId="134" fillId="13" borderId="21" xfId="2627" applyFont="1" applyFill="1" applyBorder="1" applyAlignment="1">
      <alignment vertical="center"/>
    </xf>
    <xf numFmtId="0" fontId="134" fillId="13" borderId="9" xfId="0" applyFont="1" applyFill="1" applyBorder="1" applyAlignment="1">
      <alignment horizontal="center" vertical="center" shrinkToFit="1"/>
    </xf>
    <xf numFmtId="0" fontId="134" fillId="0" borderId="0" xfId="2627" applyNumberFormat="1" applyFont="1" applyFill="1" applyBorder="1" applyAlignment="1">
      <alignment horizontal="center" vertical="center"/>
    </xf>
    <xf numFmtId="0" fontId="134" fillId="0" borderId="0" xfId="2627" applyNumberFormat="1" applyFont="1" applyFill="1" applyBorder="1" applyAlignment="1">
      <alignment vertical="center"/>
    </xf>
    <xf numFmtId="0" fontId="134" fillId="0" borderId="0" xfId="0" applyFont="1" applyAlignment="1">
      <alignment horizontal="center" vertical="center"/>
    </xf>
    <xf numFmtId="43" fontId="134" fillId="0" borderId="0" xfId="2627" applyNumberFormat="1" applyFont="1" applyFill="1" applyBorder="1" applyAlignment="1">
      <alignment vertical="center"/>
    </xf>
    <xf numFmtId="179" fontId="134" fillId="0" borderId="0" xfId="2627" applyFont="1" applyFill="1" applyBorder="1" applyAlignment="1">
      <alignment vertical="center"/>
    </xf>
    <xf numFmtId="0" fontId="134" fillId="0" borderId="0" xfId="0" applyFont="1" applyAlignment="1">
      <alignment vertical="center" shrinkToFit="1"/>
    </xf>
    <xf numFmtId="9" fontId="134" fillId="0" borderId="20" xfId="2627" applyNumberFormat="1" applyFont="1" applyFill="1" applyBorder="1" applyAlignment="1">
      <alignment vertical="center" wrapText="1"/>
    </xf>
    <xf numFmtId="0" fontId="119" fillId="0" borderId="20" xfId="2627" applyNumberFormat="1" applyFont="1" applyFill="1" applyBorder="1" applyAlignment="1">
      <alignment horizontal="center" vertical="center"/>
    </xf>
    <xf numFmtId="0" fontId="119" fillId="0" borderId="20" xfId="2627" applyNumberFormat="1" applyFont="1" applyFill="1" applyBorder="1" applyAlignment="1">
      <alignment vertical="center"/>
    </xf>
    <xf numFmtId="0" fontId="134" fillId="13" borderId="32" xfId="2627" quotePrefix="1" applyNumberFormat="1" applyFont="1" applyFill="1" applyBorder="1" applyAlignment="1">
      <alignment horizontal="center" vertical="center"/>
    </xf>
    <xf numFmtId="0" fontId="114" fillId="0" borderId="2" xfId="2627" applyNumberFormat="1" applyFont="1" applyFill="1" applyBorder="1" applyAlignment="1">
      <alignment horizontal="center" vertical="center"/>
    </xf>
    <xf numFmtId="0" fontId="117" fillId="0" borderId="2" xfId="0" applyFont="1" applyBorder="1" applyAlignment="1">
      <alignment vertical="center"/>
    </xf>
    <xf numFmtId="0" fontId="118" fillId="0" borderId="2" xfId="0" applyFont="1" applyBorder="1" applyAlignment="1">
      <alignment vertical="center"/>
    </xf>
    <xf numFmtId="0" fontId="117" fillId="10" borderId="2" xfId="0" applyFont="1" applyFill="1" applyBorder="1" applyAlignment="1">
      <alignment vertical="center"/>
    </xf>
    <xf numFmtId="0" fontId="117" fillId="13" borderId="2" xfId="0" applyFont="1" applyFill="1" applyBorder="1" applyAlignment="1">
      <alignment vertical="center"/>
    </xf>
    <xf numFmtId="0" fontId="114" fillId="0" borderId="2" xfId="2627" applyNumberFormat="1" applyFont="1" applyFill="1" applyBorder="1" applyAlignment="1">
      <alignment horizontal="right" vertical="center"/>
    </xf>
    <xf numFmtId="0" fontId="117" fillId="0" borderId="2" xfId="0" applyFont="1" applyBorder="1" applyAlignment="1">
      <alignment horizontal="right" vertical="center"/>
    </xf>
    <xf numFmtId="0" fontId="118" fillId="0" borderId="2" xfId="0" applyFont="1" applyBorder="1" applyAlignment="1">
      <alignment horizontal="right" vertical="center"/>
    </xf>
    <xf numFmtId="0" fontId="117" fillId="10" borderId="2" xfId="0" applyFont="1" applyFill="1" applyBorder="1" applyAlignment="1">
      <alignment horizontal="right" vertical="center"/>
    </xf>
    <xf numFmtId="0" fontId="117" fillId="13" borderId="2" xfId="0" applyFont="1" applyFill="1" applyBorder="1" applyAlignment="1">
      <alignment horizontal="right" vertical="center"/>
    </xf>
    <xf numFmtId="0" fontId="117" fillId="0" borderId="20" xfId="2908" applyNumberFormat="1" applyFont="1" applyFill="1" applyBorder="1" applyAlignment="1">
      <alignment horizontal="center" vertical="center"/>
    </xf>
    <xf numFmtId="43" fontId="117" fillId="0" borderId="9" xfId="0" applyNumberFormat="1" applyFont="1" applyBorder="1" applyAlignment="1">
      <alignment vertical="center"/>
    </xf>
    <xf numFmtId="41" fontId="117" fillId="13" borderId="20" xfId="2908" applyFont="1" applyFill="1" applyBorder="1" applyAlignment="1">
      <alignment vertical="center"/>
    </xf>
    <xf numFmtId="14" fontId="130" fillId="13" borderId="0" xfId="2627" applyNumberFormat="1" applyFont="1" applyFill="1" applyBorder="1" applyAlignment="1">
      <alignment vertical="center"/>
    </xf>
    <xf numFmtId="0" fontId="117" fillId="13" borderId="4" xfId="0" applyFont="1" applyFill="1" applyBorder="1" applyAlignment="1">
      <alignment horizontal="center" vertical="center" shrinkToFit="1"/>
    </xf>
    <xf numFmtId="0" fontId="117" fillId="0" borderId="4" xfId="0" applyFont="1" applyBorder="1" applyAlignment="1">
      <alignment horizontal="center" vertical="center" shrinkToFit="1"/>
    </xf>
    <xf numFmtId="14" fontId="128" fillId="13" borderId="0" xfId="2627" applyNumberFormat="1" applyFont="1" applyFill="1" applyBorder="1" applyAlignment="1">
      <alignment vertical="center"/>
    </xf>
    <xf numFmtId="179" fontId="134" fillId="0" borderId="26" xfId="2627" applyFont="1" applyFill="1" applyBorder="1" applyAlignment="1">
      <alignment vertical="center"/>
    </xf>
    <xf numFmtId="179" fontId="133" fillId="11" borderId="26" xfId="2627" applyFont="1" applyFill="1" applyBorder="1" applyAlignment="1">
      <alignment vertical="center"/>
    </xf>
    <xf numFmtId="0" fontId="134" fillId="0" borderId="29" xfId="2627" applyNumberFormat="1" applyFont="1" applyFill="1" applyBorder="1" applyAlignment="1">
      <alignment horizontal="center" vertical="center"/>
    </xf>
    <xf numFmtId="0" fontId="134" fillId="0" borderId="29" xfId="2627" applyNumberFormat="1" applyFont="1" applyFill="1" applyBorder="1" applyAlignment="1">
      <alignment vertical="center"/>
    </xf>
    <xf numFmtId="0" fontId="134" fillId="0" borderId="29" xfId="2627" applyNumberFormat="1" applyFont="1" applyFill="1" applyBorder="1" applyAlignment="1">
      <alignment horizontal="left" vertical="center"/>
    </xf>
    <xf numFmtId="0" fontId="134" fillId="0" borderId="30" xfId="0" applyFont="1" applyBorder="1" applyAlignment="1">
      <alignment horizontal="center" vertical="center"/>
    </xf>
    <xf numFmtId="0" fontId="134" fillId="0" borderId="32" xfId="0" applyFont="1" applyBorder="1" applyAlignment="1">
      <alignment horizontal="center" vertical="center"/>
    </xf>
    <xf numFmtId="43" fontId="134" fillId="0" borderId="30" xfId="2627" applyNumberFormat="1" applyFont="1" applyFill="1" applyBorder="1" applyAlignment="1">
      <alignment horizontal="center" vertical="center"/>
    </xf>
    <xf numFmtId="179" fontId="134" fillId="0" borderId="30" xfId="2627" applyFont="1" applyFill="1" applyBorder="1" applyAlignment="1">
      <alignment vertical="center"/>
    </xf>
    <xf numFmtId="0" fontId="134" fillId="0" borderId="4" xfId="2627" applyNumberFormat="1" applyFont="1" applyFill="1" applyBorder="1" applyAlignment="1">
      <alignment horizontal="center" vertical="center"/>
    </xf>
    <xf numFmtId="0" fontId="134" fillId="0" borderId="4" xfId="2627" applyNumberFormat="1" applyFont="1" applyFill="1" applyBorder="1" applyAlignment="1">
      <alignment vertical="center"/>
    </xf>
    <xf numFmtId="0" fontId="134" fillId="0" borderId="4" xfId="2627" applyNumberFormat="1" applyFont="1" applyFill="1" applyBorder="1" applyAlignment="1">
      <alignment horizontal="left" vertical="center"/>
    </xf>
    <xf numFmtId="0" fontId="122" fillId="0" borderId="39" xfId="2909" applyFont="1" applyBorder="1"/>
    <xf numFmtId="0" fontId="122" fillId="0" borderId="40" xfId="2909" applyFont="1" applyBorder="1"/>
    <xf numFmtId="0" fontId="124" fillId="0" borderId="40" xfId="2909" applyFont="1" applyBorder="1"/>
    <xf numFmtId="0" fontId="124" fillId="0" borderId="41" xfId="2909" applyFont="1" applyBorder="1"/>
    <xf numFmtId="0" fontId="124" fillId="0" borderId="42" xfId="2909" applyFont="1" applyBorder="1" applyAlignment="1">
      <alignment horizontal="left"/>
    </xf>
    <xf numFmtId="0" fontId="124" fillId="0" borderId="0" xfId="2907" applyFont="1"/>
    <xf numFmtId="0" fontId="126" fillId="0" borderId="0" xfId="2909" applyFont="1"/>
    <xf numFmtId="0" fontId="126" fillId="0" borderId="43" xfId="2909" applyFont="1" applyBorder="1"/>
    <xf numFmtId="0" fontId="125" fillId="0" borderId="42" xfId="2909" quotePrefix="1" applyFont="1" applyBorder="1" applyAlignment="1">
      <alignment horizontal="right"/>
    </xf>
    <xf numFmtId="0" fontId="125" fillId="0" borderId="0" xfId="2907" applyFont="1"/>
    <xf numFmtId="0" fontId="124" fillId="0" borderId="43" xfId="2909" applyFont="1" applyBorder="1"/>
    <xf numFmtId="0" fontId="125" fillId="0" borderId="43" xfId="2909" applyFont="1" applyBorder="1"/>
    <xf numFmtId="0" fontId="125" fillId="0" borderId="44" xfId="2909" quotePrefix="1" applyFont="1" applyBorder="1" applyAlignment="1">
      <alignment horizontal="right"/>
    </xf>
    <xf numFmtId="0" fontId="125" fillId="0" borderId="45" xfId="2907" applyFont="1" applyBorder="1"/>
    <xf numFmtId="0" fontId="125" fillId="0" borderId="45" xfId="2909" applyFont="1" applyBorder="1"/>
    <xf numFmtId="0" fontId="126" fillId="0" borderId="45" xfId="2909" applyFont="1" applyBorder="1"/>
    <xf numFmtId="0" fontId="126" fillId="0" borderId="19" xfId="2909" applyFont="1" applyBorder="1"/>
    <xf numFmtId="41" fontId="117" fillId="0" borderId="2" xfId="0" applyNumberFormat="1" applyFont="1" applyBorder="1" applyAlignment="1">
      <alignment vertical="center"/>
    </xf>
    <xf numFmtId="0" fontId="117" fillId="0" borderId="20" xfId="0" applyFont="1" applyBorder="1" applyAlignment="1">
      <alignment horizontal="center" vertical="center"/>
    </xf>
    <xf numFmtId="43" fontId="117" fillId="0" borderId="20" xfId="2627" applyNumberFormat="1" applyFont="1" applyFill="1" applyBorder="1" applyAlignment="1">
      <alignment horizontal="center" vertical="center"/>
    </xf>
    <xf numFmtId="41" fontId="117" fillId="0" borderId="20" xfId="2908" applyFont="1" applyFill="1" applyBorder="1" applyAlignment="1">
      <alignment vertical="center"/>
    </xf>
    <xf numFmtId="0" fontId="119" fillId="0" borderId="20" xfId="0" applyFont="1" applyBorder="1" applyAlignment="1">
      <alignment horizontal="center" vertical="center"/>
    </xf>
    <xf numFmtId="43" fontId="119" fillId="0" borderId="20" xfId="2627" applyNumberFormat="1" applyFont="1" applyFill="1" applyBorder="1" applyAlignment="1">
      <alignment horizontal="center" vertical="center"/>
    </xf>
    <xf numFmtId="41" fontId="119" fillId="0" borderId="20" xfId="2908" applyFont="1" applyFill="1" applyBorder="1" applyAlignment="1">
      <alignment vertical="center"/>
    </xf>
    <xf numFmtId="0" fontId="118" fillId="11" borderId="29" xfId="2627" applyNumberFormat="1" applyFont="1" applyFill="1" applyBorder="1" applyAlignment="1">
      <alignment horizontal="center" vertical="center"/>
    </xf>
    <xf numFmtId="0" fontId="118" fillId="11" borderId="30" xfId="0" applyFont="1" applyFill="1" applyBorder="1" applyAlignment="1">
      <alignment horizontal="center" vertical="center"/>
    </xf>
    <xf numFmtId="43" fontId="118" fillId="11" borderId="30" xfId="2627" applyNumberFormat="1" applyFont="1" applyFill="1" applyBorder="1" applyAlignment="1">
      <alignment horizontal="center" vertical="center"/>
    </xf>
    <xf numFmtId="179" fontId="118" fillId="11" borderId="30" xfId="2627" applyFont="1" applyFill="1" applyBorder="1" applyAlignment="1">
      <alignment vertical="center"/>
    </xf>
    <xf numFmtId="179" fontId="118" fillId="11" borderId="32" xfId="2627" applyFont="1" applyFill="1" applyBorder="1" applyAlignment="1">
      <alignment vertical="center"/>
    </xf>
    <xf numFmtId="0" fontId="118" fillId="11" borderId="23" xfId="0" applyFont="1" applyFill="1" applyBorder="1" applyAlignment="1">
      <alignment vertical="center"/>
    </xf>
    <xf numFmtId="0" fontId="118" fillId="11" borderId="23" xfId="0" applyFont="1" applyFill="1" applyBorder="1" applyAlignment="1">
      <alignment horizontal="right" vertical="center"/>
    </xf>
    <xf numFmtId="0" fontId="118" fillId="9" borderId="4" xfId="2627" applyNumberFormat="1" applyFont="1" applyFill="1" applyBorder="1" applyAlignment="1">
      <alignment horizontal="center" vertical="center"/>
    </xf>
    <xf numFmtId="0" fontId="118" fillId="9" borderId="4" xfId="2627" applyNumberFormat="1" applyFont="1" applyFill="1" applyBorder="1" applyAlignment="1">
      <alignment vertical="center"/>
    </xf>
    <xf numFmtId="0" fontId="118" fillId="9" borderId="22" xfId="0" applyFont="1" applyFill="1" applyBorder="1" applyAlignment="1">
      <alignment vertical="center"/>
    </xf>
    <xf numFmtId="0" fontId="118" fillId="9" borderId="22" xfId="0" applyFont="1" applyFill="1" applyBorder="1" applyAlignment="1">
      <alignment horizontal="right" vertical="center"/>
    </xf>
    <xf numFmtId="179" fontId="117" fillId="0" borderId="20" xfId="2627" applyFont="1" applyFill="1" applyBorder="1" applyAlignment="1">
      <alignment vertical="center"/>
    </xf>
    <xf numFmtId="0" fontId="117" fillId="0" borderId="20" xfId="0" applyFont="1" applyBorder="1" applyAlignment="1">
      <alignment vertical="center"/>
    </xf>
    <xf numFmtId="0" fontId="117" fillId="0" borderId="20" xfId="0" applyFont="1" applyBorder="1" applyAlignment="1">
      <alignment horizontal="right" vertical="center"/>
    </xf>
    <xf numFmtId="0" fontId="118" fillId="9" borderId="20" xfId="0" applyFont="1" applyFill="1" applyBorder="1" applyAlignment="1">
      <alignment horizontal="center" vertical="center"/>
    </xf>
    <xf numFmtId="43" fontId="118" fillId="9" borderId="20" xfId="2627" applyNumberFormat="1" applyFont="1" applyFill="1" applyBorder="1" applyAlignment="1">
      <alignment horizontal="center" vertical="center"/>
    </xf>
    <xf numFmtId="179" fontId="118" fillId="9" borderId="20" xfId="2627" applyFont="1" applyFill="1" applyBorder="1" applyAlignment="1">
      <alignment vertical="center"/>
    </xf>
    <xf numFmtId="0" fontId="118" fillId="9" borderId="20" xfId="0" applyFont="1" applyFill="1" applyBorder="1" applyAlignment="1">
      <alignment vertical="center"/>
    </xf>
    <xf numFmtId="0" fontId="118" fillId="9" borderId="20" xfId="0" applyFont="1" applyFill="1" applyBorder="1" applyAlignment="1">
      <alignment horizontal="right" vertical="center"/>
    </xf>
    <xf numFmtId="0" fontId="119" fillId="0" borderId="20" xfId="0" applyFont="1" applyBorder="1" applyAlignment="1">
      <alignment vertical="center"/>
    </xf>
    <xf numFmtId="0" fontId="119" fillId="0" borderId="20" xfId="0" applyFont="1" applyBorder="1" applyAlignment="1">
      <alignment horizontal="right" vertical="center"/>
    </xf>
    <xf numFmtId="0" fontId="117" fillId="10" borderId="20" xfId="0" applyFont="1" applyFill="1" applyBorder="1" applyAlignment="1">
      <alignment horizontal="center" vertical="center"/>
    </xf>
    <xf numFmtId="41" fontId="117" fillId="10" borderId="20" xfId="2908" applyFont="1" applyFill="1" applyBorder="1" applyAlignment="1">
      <alignment vertical="center"/>
    </xf>
    <xf numFmtId="0" fontId="117" fillId="10" borderId="20" xfId="0" applyFont="1" applyFill="1" applyBorder="1" applyAlignment="1">
      <alignment vertical="center"/>
    </xf>
    <xf numFmtId="0" fontId="117" fillId="10" borderId="20" xfId="0" applyFont="1" applyFill="1" applyBorder="1" applyAlignment="1">
      <alignment horizontal="right" vertical="center"/>
    </xf>
    <xf numFmtId="43" fontId="117" fillId="0" borderId="20" xfId="2908" applyNumberFormat="1" applyFont="1" applyFill="1" applyBorder="1" applyAlignment="1">
      <alignment vertical="center"/>
    </xf>
    <xf numFmtId="43" fontId="117" fillId="13" borderId="9" xfId="2627" applyNumberFormat="1" applyFont="1" applyFill="1" applyBorder="1" applyAlignment="1">
      <alignment horizontal="center" vertical="center"/>
    </xf>
    <xf numFmtId="41" fontId="117" fillId="13" borderId="2" xfId="0" applyNumberFormat="1" applyFont="1" applyFill="1" applyBorder="1" applyAlignment="1">
      <alignment vertical="center"/>
    </xf>
    <xf numFmtId="0" fontId="118" fillId="13" borderId="20" xfId="2627" applyNumberFormat="1" applyFont="1" applyFill="1" applyBorder="1" applyAlignment="1">
      <alignment horizontal="center" vertical="center"/>
    </xf>
    <xf numFmtId="0" fontId="118" fillId="13" borderId="4" xfId="0" applyFont="1" applyFill="1" applyBorder="1" applyAlignment="1">
      <alignment horizontal="center" vertical="center"/>
    </xf>
    <xf numFmtId="2" fontId="118" fillId="13" borderId="9" xfId="0" applyNumberFormat="1" applyFont="1" applyFill="1" applyBorder="1" applyAlignment="1">
      <alignment vertical="center"/>
    </xf>
    <xf numFmtId="41" fontId="118" fillId="13" borderId="4" xfId="2908" applyFont="1" applyFill="1" applyBorder="1" applyAlignment="1">
      <alignment vertical="center"/>
    </xf>
    <xf numFmtId="0" fontId="118" fillId="13" borderId="0" xfId="0" applyFont="1" applyFill="1" applyAlignment="1">
      <alignment vertical="center"/>
    </xf>
    <xf numFmtId="0" fontId="118" fillId="13" borderId="2" xfId="0" applyFont="1" applyFill="1" applyBorder="1" applyAlignment="1">
      <alignment vertical="center"/>
    </xf>
    <xf numFmtId="0" fontId="118" fillId="13" borderId="2" xfId="0" applyFont="1" applyFill="1" applyBorder="1" applyAlignment="1">
      <alignment horizontal="right" vertical="center"/>
    </xf>
    <xf numFmtId="0" fontId="118" fillId="14" borderId="20" xfId="2627" applyNumberFormat="1" applyFont="1" applyFill="1" applyBorder="1" applyAlignment="1">
      <alignment horizontal="center" vertical="center"/>
    </xf>
    <xf numFmtId="0" fontId="118" fillId="14" borderId="4" xfId="0" applyFont="1" applyFill="1" applyBorder="1" applyAlignment="1">
      <alignment horizontal="center" vertical="center"/>
    </xf>
    <xf numFmtId="43" fontId="118" fillId="14" borderId="4" xfId="2627" applyNumberFormat="1" applyFont="1" applyFill="1" applyBorder="1" applyAlignment="1">
      <alignment horizontal="center" vertical="center"/>
    </xf>
    <xf numFmtId="41" fontId="118" fillId="14" borderId="4" xfId="2908" applyFont="1" applyFill="1" applyBorder="1" applyAlignment="1">
      <alignment vertical="center"/>
    </xf>
    <xf numFmtId="0" fontId="118" fillId="14" borderId="4" xfId="0" applyFont="1" applyFill="1" applyBorder="1" applyAlignment="1">
      <alignment horizontal="center" vertical="center" shrinkToFit="1"/>
    </xf>
    <xf numFmtId="0" fontId="117" fillId="0" borderId="0" xfId="0" applyFont="1" applyAlignment="1">
      <alignment horizontal="center" vertical="center" shrinkToFit="1"/>
    </xf>
    <xf numFmtId="0" fontId="118" fillId="0" borderId="4" xfId="0" applyFont="1" applyBorder="1" applyAlignment="1">
      <alignment horizontal="center" vertical="center" shrinkToFit="1"/>
    </xf>
    <xf numFmtId="179" fontId="118" fillId="11" borderId="30" xfId="0" applyNumberFormat="1" applyFont="1" applyFill="1" applyBorder="1" applyAlignment="1">
      <alignment horizontal="center" vertical="center" shrinkToFit="1"/>
    </xf>
    <xf numFmtId="0" fontId="117" fillId="0" borderId="20" xfId="0" applyFont="1" applyBorder="1" applyAlignment="1">
      <alignment horizontal="center" vertical="center" shrinkToFit="1"/>
    </xf>
    <xf numFmtId="0" fontId="118" fillId="9" borderId="20" xfId="0" applyFont="1" applyFill="1" applyBorder="1" applyAlignment="1">
      <alignment horizontal="center" vertical="center" shrinkToFit="1"/>
    </xf>
    <xf numFmtId="0" fontId="118" fillId="9" borderId="4" xfId="0" applyFont="1" applyFill="1" applyBorder="1" applyAlignment="1">
      <alignment horizontal="center" vertical="center" shrinkToFit="1"/>
    </xf>
    <xf numFmtId="0" fontId="117" fillId="10" borderId="4" xfId="0" applyFont="1" applyFill="1" applyBorder="1" applyAlignment="1">
      <alignment horizontal="center" vertical="center" shrinkToFit="1"/>
    </xf>
    <xf numFmtId="0" fontId="118" fillId="13" borderId="20" xfId="2627" applyNumberFormat="1" applyFont="1" applyFill="1" applyBorder="1" applyAlignment="1">
      <alignment vertical="center"/>
    </xf>
    <xf numFmtId="0" fontId="115" fillId="0" borderId="0" xfId="2627" applyNumberFormat="1" applyFont="1" applyFill="1" applyBorder="1" applyAlignment="1">
      <alignment horizontal="center" vertical="center"/>
    </xf>
    <xf numFmtId="0" fontId="115" fillId="0" borderId="2" xfId="2627" applyNumberFormat="1" applyFont="1" applyFill="1" applyBorder="1" applyAlignment="1">
      <alignment horizontal="center" vertical="center"/>
    </xf>
    <xf numFmtId="0" fontId="115" fillId="0" borderId="2" xfId="2627" applyNumberFormat="1" applyFont="1" applyFill="1" applyBorder="1" applyAlignment="1">
      <alignment horizontal="right" vertical="center"/>
    </xf>
    <xf numFmtId="0" fontId="115" fillId="15" borderId="2" xfId="2627" applyNumberFormat="1" applyFont="1" applyFill="1" applyBorder="1" applyAlignment="1">
      <alignment horizontal="center" vertical="center"/>
    </xf>
    <xf numFmtId="41" fontId="137" fillId="14" borderId="4" xfId="2908" applyFont="1" applyFill="1" applyBorder="1" applyAlignment="1">
      <alignment vertical="center"/>
    </xf>
    <xf numFmtId="0" fontId="119" fillId="13" borderId="20" xfId="2908" applyNumberFormat="1" applyFont="1" applyFill="1" applyBorder="1" applyAlignment="1">
      <alignment horizontal="center" vertical="center"/>
    </xf>
    <xf numFmtId="0" fontId="117" fillId="13" borderId="4" xfId="2908" applyNumberFormat="1" applyFont="1" applyFill="1" applyBorder="1" applyAlignment="1">
      <alignment horizontal="center" vertical="center"/>
    </xf>
    <xf numFmtId="179" fontId="115" fillId="16" borderId="27" xfId="2627" applyFont="1" applyFill="1" applyBorder="1" applyAlignment="1">
      <alignment horizontal="center" vertical="center"/>
    </xf>
    <xf numFmtId="0" fontId="138" fillId="13" borderId="20" xfId="2627" applyNumberFormat="1" applyFont="1" applyFill="1" applyBorder="1" applyAlignment="1">
      <alignment vertical="center"/>
    </xf>
    <xf numFmtId="0" fontId="138" fillId="13" borderId="4" xfId="0" applyFont="1" applyFill="1" applyBorder="1" applyAlignment="1">
      <alignment horizontal="center" vertical="center"/>
    </xf>
    <xf numFmtId="43" fontId="138" fillId="13" borderId="9" xfId="0" applyNumberFormat="1" applyFont="1" applyFill="1" applyBorder="1" applyAlignment="1">
      <alignment vertical="center"/>
    </xf>
    <xf numFmtId="41" fontId="138" fillId="13" borderId="4" xfId="2908" applyFont="1" applyFill="1" applyBorder="1" applyAlignment="1">
      <alignment vertical="center"/>
    </xf>
    <xf numFmtId="41" fontId="138" fillId="13" borderId="6" xfId="2908" applyFont="1" applyFill="1" applyBorder="1" applyAlignment="1">
      <alignment vertical="center"/>
    </xf>
    <xf numFmtId="0" fontId="138" fillId="0" borderId="4" xfId="0" applyFont="1" applyBorder="1" applyAlignment="1">
      <alignment horizontal="center" vertical="center" shrinkToFit="1"/>
    </xf>
    <xf numFmtId="0" fontId="138" fillId="13" borderId="0" xfId="0" applyFont="1" applyFill="1" applyAlignment="1">
      <alignment vertical="center"/>
    </xf>
    <xf numFmtId="0" fontId="138" fillId="13" borderId="2" xfId="0" applyFont="1" applyFill="1" applyBorder="1" applyAlignment="1">
      <alignment vertical="center"/>
    </xf>
    <xf numFmtId="0" fontId="138" fillId="13" borderId="2" xfId="0" applyFont="1" applyFill="1" applyBorder="1" applyAlignment="1">
      <alignment horizontal="right" vertical="center"/>
    </xf>
    <xf numFmtId="0" fontId="138" fillId="13" borderId="4" xfId="0" applyFont="1" applyFill="1" applyBorder="1" applyAlignment="1">
      <alignment horizontal="center" vertical="center" shrinkToFit="1"/>
    </xf>
    <xf numFmtId="0" fontId="139" fillId="13" borderId="20" xfId="2627" applyNumberFormat="1" applyFont="1" applyFill="1" applyBorder="1" applyAlignment="1">
      <alignment vertical="center"/>
    </xf>
    <xf numFmtId="0" fontId="139" fillId="13" borderId="4" xfId="0" applyFont="1" applyFill="1" applyBorder="1" applyAlignment="1">
      <alignment horizontal="center" vertical="center"/>
    </xf>
    <xf numFmtId="43" fontId="139" fillId="13" borderId="9" xfId="0" applyNumberFormat="1" applyFont="1" applyFill="1" applyBorder="1" applyAlignment="1">
      <alignment vertical="center"/>
    </xf>
    <xf numFmtId="41" fontId="139" fillId="13" borderId="4" xfId="2908" applyFont="1" applyFill="1" applyBorder="1" applyAlignment="1">
      <alignment vertical="center"/>
    </xf>
    <xf numFmtId="41" fontId="139" fillId="13" borderId="6" xfId="2908" applyFont="1" applyFill="1" applyBorder="1" applyAlignment="1">
      <alignment vertical="center"/>
    </xf>
    <xf numFmtId="0" fontId="139" fillId="0" borderId="4" xfId="0" applyFont="1" applyBorder="1" applyAlignment="1">
      <alignment horizontal="center" vertical="center" shrinkToFit="1"/>
    </xf>
    <xf numFmtId="0" fontId="139" fillId="13" borderId="0" xfId="0" applyFont="1" applyFill="1" applyAlignment="1">
      <alignment vertical="center"/>
    </xf>
    <xf numFmtId="0" fontId="139" fillId="13" borderId="2" xfId="0" applyFont="1" applyFill="1" applyBorder="1" applyAlignment="1">
      <alignment vertical="center"/>
    </xf>
    <xf numFmtId="0" fontId="139" fillId="13" borderId="2" xfId="0" applyFont="1" applyFill="1" applyBorder="1" applyAlignment="1">
      <alignment horizontal="right" vertical="center"/>
    </xf>
    <xf numFmtId="0" fontId="139" fillId="13" borderId="4" xfId="0" applyFont="1" applyFill="1" applyBorder="1" applyAlignment="1">
      <alignment horizontal="center" vertical="center" shrinkToFit="1"/>
    </xf>
    <xf numFmtId="0" fontId="119" fillId="0" borderId="20" xfId="2908" applyNumberFormat="1" applyFont="1" applyFill="1" applyBorder="1" applyAlignment="1">
      <alignment horizontal="center" vertical="center"/>
    </xf>
    <xf numFmtId="0" fontId="119" fillId="0" borderId="4" xfId="0" applyFont="1" applyBorder="1" applyAlignment="1">
      <alignment horizontal="center" vertical="center" shrinkToFit="1"/>
    </xf>
    <xf numFmtId="0" fontId="119" fillId="0" borderId="0" xfId="0" applyFont="1" applyAlignment="1">
      <alignment vertical="center"/>
    </xf>
    <xf numFmtId="0" fontId="119" fillId="0" borderId="2" xfId="0" applyFont="1" applyBorder="1" applyAlignment="1">
      <alignment vertical="center"/>
    </xf>
    <xf numFmtId="0" fontId="119" fillId="0" borderId="2" xfId="0" applyFont="1" applyBorder="1" applyAlignment="1">
      <alignment horizontal="right" vertical="center"/>
    </xf>
    <xf numFmtId="0" fontId="119" fillId="13" borderId="20" xfId="2627" applyNumberFormat="1" applyFont="1" applyFill="1" applyBorder="1" applyAlignment="1">
      <alignment vertical="center"/>
    </xf>
    <xf numFmtId="0" fontId="140" fillId="13" borderId="20" xfId="2908" applyNumberFormat="1" applyFont="1" applyFill="1" applyBorder="1" applyAlignment="1">
      <alignment horizontal="center" vertical="center"/>
    </xf>
    <xf numFmtId="0" fontId="140" fillId="13" borderId="20" xfId="2627" applyNumberFormat="1" applyFont="1" applyFill="1" applyBorder="1" applyAlignment="1">
      <alignment vertical="center"/>
    </xf>
    <xf numFmtId="0" fontId="141" fillId="13" borderId="4" xfId="0" applyFont="1" applyFill="1" applyBorder="1" applyAlignment="1">
      <alignment horizontal="center" vertical="center"/>
    </xf>
    <xf numFmtId="43" fontId="141" fillId="13" borderId="9" xfId="0" applyNumberFormat="1" applyFont="1" applyFill="1" applyBorder="1" applyAlignment="1">
      <alignment vertical="center"/>
    </xf>
    <xf numFmtId="0" fontId="141" fillId="0" borderId="4" xfId="0" applyFont="1" applyBorder="1" applyAlignment="1">
      <alignment horizontal="center" vertical="center" shrinkToFit="1"/>
    </xf>
    <xf numFmtId="0" fontId="141" fillId="13" borderId="0" xfId="0" applyFont="1" applyFill="1" applyAlignment="1">
      <alignment vertical="center"/>
    </xf>
    <xf numFmtId="0" fontId="141" fillId="13" borderId="2" xfId="0" applyFont="1" applyFill="1" applyBorder="1" applyAlignment="1">
      <alignment vertical="center"/>
    </xf>
    <xf numFmtId="0" fontId="141" fillId="13" borderId="2" xfId="0" applyFont="1" applyFill="1" applyBorder="1" applyAlignment="1">
      <alignment horizontal="right" vertical="center"/>
    </xf>
    <xf numFmtId="0" fontId="141" fillId="0" borderId="4" xfId="0" applyFont="1" applyBorder="1" applyAlignment="1">
      <alignment horizontal="center" vertical="center"/>
    </xf>
    <xf numFmtId="41" fontId="141" fillId="0" borderId="4" xfId="2908" applyFont="1" applyFill="1" applyBorder="1" applyAlignment="1">
      <alignment vertical="center"/>
    </xf>
    <xf numFmtId="41" fontId="141" fillId="0" borderId="6" xfId="2908" applyFont="1" applyFill="1" applyBorder="1" applyAlignment="1">
      <alignment vertical="center"/>
    </xf>
    <xf numFmtId="0" fontId="141" fillId="0" borderId="0" xfId="0" applyFont="1" applyAlignment="1">
      <alignment vertical="center"/>
    </xf>
    <xf numFmtId="0" fontId="141" fillId="0" borderId="2" xfId="0" applyFont="1" applyBorder="1" applyAlignment="1">
      <alignment vertical="center"/>
    </xf>
    <xf numFmtId="0" fontId="141" fillId="0" borderId="2" xfId="0" applyFont="1" applyBorder="1" applyAlignment="1">
      <alignment horizontal="right" vertical="center"/>
    </xf>
    <xf numFmtId="0" fontId="140" fillId="0" borderId="20" xfId="2627" applyNumberFormat="1" applyFont="1" applyFill="1" applyBorder="1" applyAlignment="1">
      <alignment horizontal="center" vertical="center"/>
    </xf>
    <xf numFmtId="0" fontId="140" fillId="0" borderId="20" xfId="2627" applyNumberFormat="1" applyFont="1" applyFill="1" applyBorder="1" applyAlignment="1">
      <alignment vertical="center"/>
    </xf>
    <xf numFmtId="2" fontId="141" fillId="0" borderId="9" xfId="0" applyNumberFormat="1" applyFont="1" applyBorder="1" applyAlignment="1">
      <alignment vertical="center"/>
    </xf>
    <xf numFmtId="41" fontId="140" fillId="13" borderId="4" xfId="2908" applyFont="1" applyFill="1" applyBorder="1" applyAlignment="1">
      <alignment vertical="center"/>
    </xf>
    <xf numFmtId="0" fontId="140" fillId="0" borderId="4" xfId="0" applyFont="1" applyBorder="1" applyAlignment="1">
      <alignment horizontal="center" vertical="center"/>
    </xf>
    <xf numFmtId="0" fontId="139" fillId="0" borderId="20" xfId="2627" applyNumberFormat="1" applyFont="1" applyFill="1" applyBorder="1" applyAlignment="1">
      <alignment vertical="center"/>
    </xf>
    <xf numFmtId="0" fontId="139" fillId="0" borderId="4" xfId="0" applyFont="1" applyBorder="1" applyAlignment="1">
      <alignment horizontal="center" vertical="center"/>
    </xf>
    <xf numFmtId="43" fontId="139" fillId="0" borderId="9" xfId="0" applyNumberFormat="1" applyFont="1" applyBorder="1" applyAlignment="1">
      <alignment vertical="center"/>
    </xf>
    <xf numFmtId="41" fontId="139" fillId="0" borderId="4" xfId="2908" applyFont="1" applyFill="1" applyBorder="1" applyAlignment="1">
      <alignment vertical="center"/>
    </xf>
    <xf numFmtId="41" fontId="139" fillId="0" borderId="6" xfId="2908" applyFont="1" applyFill="1" applyBorder="1" applyAlignment="1">
      <alignment vertical="center"/>
    </xf>
    <xf numFmtId="0" fontId="139" fillId="0" borderId="0" xfId="0" applyFont="1" applyAlignment="1">
      <alignment vertical="center"/>
    </xf>
    <xf numFmtId="0" fontId="139" fillId="0" borderId="2" xfId="0" applyFont="1" applyBorder="1" applyAlignment="1">
      <alignment vertical="center"/>
    </xf>
    <xf numFmtId="0" fontId="139" fillId="0" borderId="2" xfId="0" applyFont="1" applyBorder="1" applyAlignment="1">
      <alignment horizontal="right" vertical="center"/>
    </xf>
    <xf numFmtId="0" fontId="140" fillId="0" borderId="20" xfId="2908" applyNumberFormat="1" applyFont="1" applyFill="1" applyBorder="1" applyAlignment="1">
      <alignment horizontal="center" vertical="center"/>
    </xf>
    <xf numFmtId="0" fontId="141" fillId="0" borderId="20" xfId="2627" applyNumberFormat="1" applyFont="1" applyFill="1" applyBorder="1" applyAlignment="1">
      <alignment vertical="center"/>
    </xf>
    <xf numFmtId="43" fontId="141" fillId="0" borderId="9" xfId="0" applyNumberFormat="1" applyFont="1" applyBorder="1" applyAlignment="1">
      <alignment vertical="center"/>
    </xf>
    <xf numFmtId="41" fontId="135" fillId="12" borderId="4" xfId="2908" applyFont="1" applyFill="1" applyBorder="1" applyAlignment="1">
      <alignment vertical="center"/>
    </xf>
    <xf numFmtId="0" fontId="138" fillId="13" borderId="20" xfId="2627" applyNumberFormat="1" applyFont="1" applyFill="1" applyBorder="1" applyAlignment="1">
      <alignment horizontal="left" vertical="center"/>
    </xf>
    <xf numFmtId="0" fontId="138" fillId="0" borderId="4" xfId="0" applyFont="1" applyBorder="1" applyAlignment="1">
      <alignment horizontal="center" vertical="center"/>
    </xf>
    <xf numFmtId="2" fontId="139" fillId="0" borderId="9" xfId="0" applyNumberFormat="1" applyFont="1" applyBorder="1" applyAlignment="1">
      <alignment vertical="center"/>
    </xf>
    <xf numFmtId="0" fontId="139" fillId="0" borderId="20" xfId="0" applyFont="1" applyBorder="1" applyAlignment="1">
      <alignment horizontal="center" vertical="center"/>
    </xf>
    <xf numFmtId="43" fontId="139" fillId="0" borderId="20" xfId="2627" applyNumberFormat="1" applyFont="1" applyFill="1" applyBorder="1" applyAlignment="1">
      <alignment horizontal="center" vertical="center"/>
    </xf>
    <xf numFmtId="41" fontId="139" fillId="0" borderId="20" xfId="2908" applyFont="1" applyFill="1" applyBorder="1" applyAlignment="1">
      <alignment vertical="center"/>
    </xf>
    <xf numFmtId="0" fontId="139" fillId="0" borderId="20" xfId="0" applyFont="1" applyBorder="1" applyAlignment="1">
      <alignment vertical="center"/>
    </xf>
    <xf numFmtId="0" fontId="139" fillId="0" borderId="20" xfId="0" applyFont="1" applyBorder="1" applyAlignment="1">
      <alignment horizontal="right" vertical="center"/>
    </xf>
    <xf numFmtId="41" fontId="138" fillId="0" borderId="4" xfId="2908" applyFont="1" applyFill="1" applyBorder="1" applyAlignment="1">
      <alignment vertical="center"/>
    </xf>
    <xf numFmtId="41" fontId="138" fillId="0" borderId="6" xfId="2908" applyFont="1" applyFill="1" applyBorder="1" applyAlignment="1">
      <alignment vertical="center"/>
    </xf>
    <xf numFmtId="0" fontId="138" fillId="0" borderId="20" xfId="2627" applyNumberFormat="1" applyFont="1" applyFill="1" applyBorder="1" applyAlignment="1">
      <alignment horizontal="center" vertical="center"/>
    </xf>
    <xf numFmtId="41" fontId="117" fillId="0" borderId="6" xfId="2908" applyFont="1" applyFill="1" applyBorder="1" applyAlignment="1">
      <alignment horizontal="right" vertical="center"/>
    </xf>
    <xf numFmtId="0" fontId="138" fillId="0" borderId="20" xfId="2627" applyNumberFormat="1" applyFont="1" applyFill="1" applyBorder="1" applyAlignment="1">
      <alignment vertical="center"/>
    </xf>
    <xf numFmtId="43" fontId="138" fillId="0" borderId="9" xfId="0" applyNumberFormat="1" applyFont="1" applyBorder="1" applyAlignment="1">
      <alignment vertical="center"/>
    </xf>
    <xf numFmtId="0" fontId="138" fillId="0" borderId="0" xfId="0" applyFont="1" applyAlignment="1">
      <alignment vertical="center"/>
    </xf>
    <xf numFmtId="0" fontId="138" fillId="0" borderId="2" xfId="0" applyFont="1" applyBorder="1" applyAlignment="1">
      <alignment vertical="center"/>
    </xf>
    <xf numFmtId="0" fontId="138" fillId="0" borderId="2" xfId="0" applyFont="1" applyBorder="1" applyAlignment="1">
      <alignment horizontal="right" vertical="center"/>
    </xf>
    <xf numFmtId="2" fontId="138" fillId="0" borderId="9" xfId="0" applyNumberFormat="1" applyFont="1" applyBorder="1" applyAlignment="1">
      <alignment vertical="center"/>
    </xf>
    <xf numFmtId="0" fontId="138" fillId="13" borderId="20" xfId="2627" applyNumberFormat="1" applyFont="1" applyFill="1" applyBorder="1" applyAlignment="1">
      <alignment horizontal="center" vertical="center"/>
    </xf>
    <xf numFmtId="2" fontId="138" fillId="13" borderId="9" xfId="0" applyNumberFormat="1" applyFont="1" applyFill="1" applyBorder="1" applyAlignment="1">
      <alignment vertical="center"/>
    </xf>
    <xf numFmtId="0" fontId="138" fillId="13" borderId="20" xfId="2908" applyNumberFormat="1" applyFont="1" applyFill="1" applyBorder="1" applyAlignment="1">
      <alignment horizontal="center" vertical="center"/>
    </xf>
    <xf numFmtId="0" fontId="138" fillId="0" borderId="20" xfId="0" applyFont="1" applyBorder="1" applyAlignment="1">
      <alignment horizontal="center" vertical="center"/>
    </xf>
    <xf numFmtId="43" fontId="138" fillId="0" borderId="20" xfId="2627" applyNumberFormat="1" applyFont="1" applyFill="1" applyBorder="1" applyAlignment="1">
      <alignment horizontal="center" vertical="center"/>
    </xf>
    <xf numFmtId="41" fontId="138" fillId="0" borderId="20" xfId="2908" applyFont="1" applyFill="1" applyBorder="1" applyAlignment="1">
      <alignment vertical="center"/>
    </xf>
    <xf numFmtId="0" fontId="138" fillId="0" borderId="20" xfId="0" applyFont="1" applyBorder="1" applyAlignment="1">
      <alignment vertical="center"/>
    </xf>
    <xf numFmtId="0" fontId="138" fillId="0" borderId="20" xfId="0" applyFont="1" applyBorder="1" applyAlignment="1">
      <alignment horizontal="right" vertical="center"/>
    </xf>
    <xf numFmtId="41" fontId="117" fillId="0" borderId="9" xfId="2908" applyFont="1" applyBorder="1" applyAlignment="1">
      <alignment vertical="center"/>
    </xf>
    <xf numFmtId="0" fontId="142" fillId="0" borderId="4" xfId="0" applyFont="1" applyBorder="1" applyAlignment="1">
      <alignment horizontal="center" vertical="center" shrinkToFit="1"/>
    </xf>
    <xf numFmtId="0" fontId="119" fillId="13" borderId="20" xfId="2627" applyNumberFormat="1" applyFont="1" applyFill="1" applyBorder="1" applyAlignment="1">
      <alignment horizontal="center" vertical="center"/>
    </xf>
    <xf numFmtId="2" fontId="139" fillId="13" borderId="9" xfId="0" applyNumberFormat="1" applyFont="1" applyFill="1" applyBorder="1" applyAlignment="1">
      <alignment vertical="center"/>
    </xf>
    <xf numFmtId="0" fontId="139" fillId="13" borderId="20" xfId="2627" applyNumberFormat="1" applyFont="1" applyFill="1" applyBorder="1" applyAlignment="1">
      <alignment horizontal="center" vertical="center"/>
    </xf>
    <xf numFmtId="0" fontId="139" fillId="0" borderId="20" xfId="2627" applyNumberFormat="1" applyFont="1" applyFill="1" applyBorder="1" applyAlignment="1">
      <alignment horizontal="center" vertical="center"/>
    </xf>
    <xf numFmtId="0" fontId="139" fillId="13" borderId="20" xfId="2908" applyNumberFormat="1" applyFont="1" applyFill="1" applyBorder="1" applyAlignment="1">
      <alignment horizontal="center" vertical="center"/>
    </xf>
    <xf numFmtId="0" fontId="139" fillId="13" borderId="4" xfId="2908" applyNumberFormat="1" applyFont="1" applyFill="1" applyBorder="1" applyAlignment="1">
      <alignment horizontal="center" vertical="center"/>
    </xf>
    <xf numFmtId="0" fontId="117" fillId="0" borderId="4" xfId="2627" applyNumberFormat="1" applyFont="1" applyFill="1" applyBorder="1" applyAlignment="1">
      <alignment horizontal="center" vertical="center"/>
    </xf>
    <xf numFmtId="0" fontId="118" fillId="8" borderId="20" xfId="2627" applyNumberFormat="1" applyFont="1" applyFill="1" applyBorder="1" applyAlignment="1">
      <alignment horizontal="center" vertical="center"/>
    </xf>
    <xf numFmtId="0" fontId="138" fillId="0" borderId="20" xfId="2908" applyNumberFormat="1" applyFont="1" applyFill="1" applyBorder="1" applyAlignment="1">
      <alignment horizontal="center" vertical="center"/>
    </xf>
    <xf numFmtId="0" fontId="141" fillId="0" borderId="20" xfId="2627" applyNumberFormat="1" applyFont="1" applyFill="1" applyBorder="1" applyAlignment="1">
      <alignment horizontal="center" vertical="center"/>
    </xf>
    <xf numFmtId="0" fontId="141" fillId="0" borderId="20" xfId="2908" applyNumberFormat="1" applyFont="1" applyFill="1" applyBorder="1" applyAlignment="1">
      <alignment horizontal="center" vertical="center"/>
    </xf>
    <xf numFmtId="0" fontId="141" fillId="13" borderId="20" xfId="2908" applyNumberFormat="1" applyFont="1" applyFill="1" applyBorder="1" applyAlignment="1">
      <alignment horizontal="center" vertical="center"/>
    </xf>
    <xf numFmtId="0" fontId="139" fillId="0" borderId="20" xfId="2908" applyNumberFormat="1" applyFont="1" applyFill="1" applyBorder="1" applyAlignment="1">
      <alignment horizontal="center" vertical="center"/>
    </xf>
    <xf numFmtId="179" fontId="143" fillId="0" borderId="20" xfId="2627" applyFont="1" applyFill="1" applyBorder="1" applyAlignment="1">
      <alignment horizontal="center" vertical="center"/>
    </xf>
    <xf numFmtId="179" fontId="143" fillId="0" borderId="20" xfId="2627" applyFont="1" applyFill="1" applyBorder="1" applyAlignment="1">
      <alignment vertical="center"/>
    </xf>
    <xf numFmtId="179" fontId="143" fillId="0" borderId="26" xfId="2627" applyFont="1" applyFill="1" applyBorder="1" applyAlignment="1">
      <alignment vertical="center"/>
    </xf>
    <xf numFmtId="0" fontId="144" fillId="0" borderId="9" xfId="0" applyFont="1" applyBorder="1" applyAlignment="1">
      <alignment horizontal="center" vertical="center" shrinkToFit="1"/>
    </xf>
    <xf numFmtId="0" fontId="145" fillId="13" borderId="4" xfId="0" applyFont="1" applyFill="1" applyBorder="1" applyAlignment="1">
      <alignment horizontal="center" vertical="center"/>
    </xf>
    <xf numFmtId="0" fontId="146" fillId="13" borderId="4" xfId="0" applyFont="1" applyFill="1" applyBorder="1" applyAlignment="1">
      <alignment horizontal="center" vertical="center"/>
    </xf>
    <xf numFmtId="3" fontId="138" fillId="0" borderId="0" xfId="0" applyNumberFormat="1" applyFont="1" applyAlignment="1">
      <alignment vertical="center"/>
    </xf>
    <xf numFmtId="3" fontId="118" fillId="0" borderId="0" xfId="0" applyNumberFormat="1" applyFont="1" applyAlignment="1">
      <alignment vertical="center"/>
    </xf>
    <xf numFmtId="41" fontId="138" fillId="0" borderId="0" xfId="2908" applyFont="1" applyAlignment="1">
      <alignment vertical="center"/>
    </xf>
    <xf numFmtId="41" fontId="117" fillId="0" borderId="0" xfId="2908" applyFont="1" applyAlignment="1">
      <alignment vertical="center"/>
    </xf>
    <xf numFmtId="0" fontId="117" fillId="13" borderId="20" xfId="2908" applyNumberFormat="1" applyFont="1" applyFill="1" applyBorder="1" applyAlignment="1">
      <alignment horizontal="left" vertical="center"/>
    </xf>
    <xf numFmtId="0" fontId="117" fillId="0" borderId="20" xfId="2627" applyNumberFormat="1" applyFont="1" applyFill="1" applyBorder="1" applyAlignment="1">
      <alignment horizontal="left" vertical="center"/>
    </xf>
    <xf numFmtId="0" fontId="147" fillId="0" borderId="20" xfId="0" applyFont="1" applyBorder="1" applyAlignment="1">
      <alignment horizontal="center" vertical="center"/>
    </xf>
    <xf numFmtId="0" fontId="148" fillId="0" borderId="20" xfId="2627" applyNumberFormat="1" applyFont="1" applyFill="1" applyBorder="1" applyAlignment="1">
      <alignment horizontal="left" vertical="center"/>
    </xf>
    <xf numFmtId="9" fontId="148" fillId="0" borderId="20" xfId="2627" applyNumberFormat="1" applyFont="1" applyFill="1" applyBorder="1" applyAlignment="1">
      <alignment vertical="center" wrapText="1"/>
    </xf>
    <xf numFmtId="0" fontId="119" fillId="13" borderId="4" xfId="2908" applyNumberFormat="1" applyFont="1" applyFill="1" applyBorder="1" applyAlignment="1">
      <alignment horizontal="center" vertical="center"/>
    </xf>
    <xf numFmtId="0" fontId="119" fillId="13" borderId="4" xfId="0" applyFont="1" applyFill="1" applyBorder="1" applyAlignment="1">
      <alignment horizontal="center" vertical="center"/>
    </xf>
    <xf numFmtId="43" fontId="119" fillId="13" borderId="9" xfId="0" applyNumberFormat="1" applyFont="1" applyFill="1" applyBorder="1" applyAlignment="1">
      <alignment vertical="center"/>
    </xf>
    <xf numFmtId="41" fontId="119" fillId="13" borderId="4" xfId="2908" applyFont="1" applyFill="1" applyBorder="1" applyAlignment="1">
      <alignment vertical="center"/>
    </xf>
    <xf numFmtId="41" fontId="119" fillId="13" borderId="6" xfId="2908" applyFont="1" applyFill="1" applyBorder="1" applyAlignment="1">
      <alignment vertical="center"/>
    </xf>
    <xf numFmtId="0" fontId="119" fillId="13" borderId="4" xfId="0" applyFont="1" applyFill="1" applyBorder="1" applyAlignment="1">
      <alignment horizontal="center" vertical="center" shrinkToFit="1"/>
    </xf>
    <xf numFmtId="0" fontId="119" fillId="13" borderId="0" xfId="0" applyFont="1" applyFill="1" applyAlignment="1">
      <alignment vertical="center"/>
    </xf>
    <xf numFmtId="0" fontId="119" fillId="13" borderId="2" xfId="0" applyFont="1" applyFill="1" applyBorder="1" applyAlignment="1">
      <alignment vertical="center"/>
    </xf>
    <xf numFmtId="0" fontId="119" fillId="13" borderId="2" xfId="0" applyFont="1" applyFill="1" applyBorder="1" applyAlignment="1">
      <alignment horizontal="right" vertical="center"/>
    </xf>
    <xf numFmtId="41" fontId="149" fillId="0" borderId="20" xfId="2908" applyFont="1" applyFill="1" applyBorder="1" applyAlignment="1">
      <alignment vertical="center"/>
    </xf>
    <xf numFmtId="0" fontId="117" fillId="15" borderId="0" xfId="0" applyFont="1" applyFill="1" applyAlignment="1">
      <alignment vertical="center"/>
    </xf>
    <xf numFmtId="0" fontId="117" fillId="15" borderId="2" xfId="0" applyFont="1" applyFill="1" applyBorder="1" applyAlignment="1">
      <alignment vertical="center"/>
    </xf>
    <xf numFmtId="0" fontId="117" fillId="15" borderId="2" xfId="0" applyFont="1" applyFill="1" applyBorder="1" applyAlignment="1">
      <alignment horizontal="right" vertical="center"/>
    </xf>
    <xf numFmtId="0" fontId="138" fillId="15" borderId="0" xfId="0" applyFont="1" applyFill="1" applyAlignment="1">
      <alignment vertical="center"/>
    </xf>
    <xf numFmtId="0" fontId="138" fillId="15" borderId="2" xfId="0" applyFont="1" applyFill="1" applyBorder="1" applyAlignment="1">
      <alignment vertical="center"/>
    </xf>
    <xf numFmtId="0" fontId="138" fillId="15" borderId="2" xfId="0" applyFont="1" applyFill="1" applyBorder="1" applyAlignment="1">
      <alignment horizontal="right" vertical="center"/>
    </xf>
    <xf numFmtId="3" fontId="138" fillId="15" borderId="0" xfId="0" applyNumberFormat="1" applyFont="1" applyFill="1" applyAlignment="1">
      <alignment vertical="center"/>
    </xf>
    <xf numFmtId="0" fontId="119" fillId="13" borderId="20" xfId="2908" applyNumberFormat="1" applyFont="1" applyFill="1" applyBorder="1" applyAlignment="1">
      <alignment horizontal="left" vertical="center"/>
    </xf>
    <xf numFmtId="43" fontId="150" fillId="13" borderId="9" xfId="0" applyNumberFormat="1" applyFont="1" applyFill="1" applyBorder="1" applyAlignment="1">
      <alignment vertical="center"/>
    </xf>
    <xf numFmtId="0" fontId="151" fillId="13" borderId="0" xfId="0" applyFont="1" applyFill="1" applyAlignment="1">
      <alignment vertical="center"/>
    </xf>
    <xf numFmtId="0" fontId="117" fillId="0" borderId="20" xfId="2908" applyNumberFormat="1" applyFont="1" applyFill="1" applyBorder="1" applyAlignment="1">
      <alignment horizontal="left" vertical="center"/>
    </xf>
    <xf numFmtId="0" fontId="140" fillId="13" borderId="4" xfId="0" applyFont="1" applyFill="1" applyBorder="1" applyAlignment="1">
      <alignment horizontal="center" vertical="center"/>
    </xf>
    <xf numFmtId="2" fontId="119" fillId="13" borderId="9" xfId="0" applyNumberFormat="1" applyFont="1" applyFill="1" applyBorder="1" applyAlignment="1">
      <alignment vertical="center"/>
    </xf>
    <xf numFmtId="0" fontId="152" fillId="13" borderId="20" xfId="2908" applyNumberFormat="1" applyFont="1" applyFill="1" applyBorder="1" applyAlignment="1">
      <alignment horizontal="center" vertical="center"/>
    </xf>
    <xf numFmtId="179" fontId="153" fillId="13" borderId="0" xfId="2627" applyFont="1" applyFill="1" applyBorder="1" applyAlignment="1">
      <alignment vertical="center"/>
    </xf>
    <xf numFmtId="0" fontId="152" fillId="13" borderId="4" xfId="0" applyFont="1" applyFill="1" applyBorder="1" applyAlignment="1">
      <alignment horizontal="center" vertical="center"/>
    </xf>
    <xf numFmtId="9" fontId="148" fillId="0" borderId="6" xfId="0" applyNumberFormat="1" applyFont="1" applyBorder="1" applyAlignment="1">
      <alignment horizontal="right" vertical="center"/>
    </xf>
    <xf numFmtId="43" fontId="148" fillId="0" borderId="20" xfId="0" applyNumberFormat="1" applyFont="1" applyBorder="1" applyAlignment="1">
      <alignment horizontal="center" vertical="center"/>
    </xf>
    <xf numFmtId="179" fontId="148" fillId="0" borderId="20" xfId="2627" applyFont="1" applyFill="1" applyBorder="1" applyAlignment="1">
      <alignment horizontal="center" vertical="center"/>
    </xf>
    <xf numFmtId="179" fontId="148" fillId="0" borderId="20" xfId="2627" applyFont="1" applyFill="1" applyBorder="1" applyAlignment="1">
      <alignment vertical="center"/>
    </xf>
    <xf numFmtId="179" fontId="148" fillId="0" borderId="26" xfId="2627" applyFont="1" applyFill="1" applyBorder="1" applyAlignment="1">
      <alignment vertical="center"/>
    </xf>
    <xf numFmtId="222" fontId="148" fillId="0" borderId="20" xfId="2627" applyNumberFormat="1" applyFont="1" applyFill="1" applyBorder="1" applyAlignment="1">
      <alignment vertical="center"/>
    </xf>
    <xf numFmtId="3" fontId="138" fillId="13" borderId="0" xfId="0" applyNumberFormat="1" applyFont="1" applyFill="1" applyAlignment="1">
      <alignment vertical="center"/>
    </xf>
    <xf numFmtId="0" fontId="119" fillId="15" borderId="0" xfId="0" applyFont="1" applyFill="1" applyAlignment="1">
      <alignment vertical="center"/>
    </xf>
    <xf numFmtId="0" fontId="119" fillId="15" borderId="2" xfId="0" applyFont="1" applyFill="1" applyBorder="1" applyAlignment="1">
      <alignment vertical="center"/>
    </xf>
    <xf numFmtId="0" fontId="119" fillId="15" borderId="2" xfId="0" applyFont="1" applyFill="1" applyBorder="1" applyAlignment="1">
      <alignment horizontal="right" vertical="center"/>
    </xf>
    <xf numFmtId="3" fontId="119" fillId="15" borderId="0" xfId="0" applyNumberFormat="1" applyFont="1" applyFill="1" applyAlignment="1">
      <alignment vertical="center"/>
    </xf>
    <xf numFmtId="0" fontId="120" fillId="0" borderId="0" xfId="2909" applyFont="1" applyAlignment="1">
      <alignment horizontal="center"/>
    </xf>
    <xf numFmtId="0" fontId="121" fillId="0" borderId="0" xfId="2907" applyFont="1" applyAlignment="1">
      <alignment horizontal="center"/>
    </xf>
    <xf numFmtId="57" fontId="122" fillId="0" borderId="0" xfId="2909" applyNumberFormat="1" applyFont="1" applyAlignment="1">
      <alignment horizontal="right"/>
    </xf>
    <xf numFmtId="0" fontId="124" fillId="0" borderId="21" xfId="2909" applyFont="1" applyBorder="1"/>
    <xf numFmtId="0" fontId="124" fillId="0" borderId="0" xfId="2909" applyFont="1" applyAlignment="1">
      <alignment horizontal="left"/>
    </xf>
    <xf numFmtId="0" fontId="131" fillId="7" borderId="38" xfId="0" applyFont="1" applyFill="1" applyBorder="1" applyAlignment="1">
      <alignment horizontal="center" vertical="center"/>
    </xf>
    <xf numFmtId="0" fontId="131" fillId="7" borderId="27" xfId="0" applyFont="1" applyFill="1" applyBorder="1" applyAlignment="1">
      <alignment horizontal="center" vertical="center"/>
    </xf>
    <xf numFmtId="0" fontId="128" fillId="0" borderId="0" xfId="2627" applyNumberFormat="1" applyFont="1" applyFill="1" applyBorder="1" applyAlignment="1">
      <alignment vertical="center"/>
    </xf>
    <xf numFmtId="0" fontId="131" fillId="7" borderId="38" xfId="2627" applyNumberFormat="1" applyFont="1" applyFill="1" applyBorder="1" applyAlignment="1">
      <alignment horizontal="center" vertical="center"/>
    </xf>
    <xf numFmtId="0" fontId="131" fillId="7" borderId="27" xfId="2627" applyNumberFormat="1" applyFont="1" applyFill="1" applyBorder="1" applyAlignment="1">
      <alignment horizontal="center" vertical="center"/>
    </xf>
    <xf numFmtId="43" fontId="131" fillId="7" borderId="38" xfId="0" applyNumberFormat="1" applyFont="1" applyFill="1" applyBorder="1" applyAlignment="1">
      <alignment horizontal="center" vertical="center"/>
    </xf>
    <xf numFmtId="43" fontId="131" fillId="7" borderId="27" xfId="0" applyNumberFormat="1" applyFont="1" applyFill="1" applyBorder="1" applyAlignment="1">
      <alignment horizontal="center" vertical="center"/>
    </xf>
    <xf numFmtId="179" fontId="131" fillId="7" borderId="38" xfId="2627" applyFont="1" applyFill="1" applyBorder="1" applyAlignment="1">
      <alignment horizontal="center" vertical="center"/>
    </xf>
    <xf numFmtId="3" fontId="138" fillId="0" borderId="42" xfId="0" applyNumberFormat="1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37" fillId="16" borderId="37" xfId="0" applyFont="1" applyFill="1" applyBorder="1" applyAlignment="1">
      <alignment horizontal="center" vertical="center"/>
    </xf>
    <xf numFmtId="0" fontId="137" fillId="16" borderId="38" xfId="0" applyFont="1" applyFill="1" applyBorder="1" applyAlignment="1">
      <alignment horizontal="center" vertical="center"/>
    </xf>
    <xf numFmtId="0" fontId="113" fillId="0" borderId="28" xfId="2627" applyNumberFormat="1" applyFont="1" applyFill="1" applyBorder="1" applyAlignment="1">
      <alignment vertical="center"/>
    </xf>
    <xf numFmtId="0" fontId="115" fillId="7" borderId="27" xfId="0" applyFont="1" applyFill="1" applyBorder="1" applyAlignment="1">
      <alignment horizontal="center" vertical="center"/>
    </xf>
    <xf numFmtId="0" fontId="115" fillId="16" borderId="27" xfId="2627" applyNumberFormat="1" applyFont="1" applyFill="1" applyBorder="1" applyAlignment="1">
      <alignment horizontal="center" vertical="center"/>
    </xf>
    <xf numFmtId="0" fontId="115" fillId="16" borderId="27" xfId="0" applyFont="1" applyFill="1" applyBorder="1" applyAlignment="1">
      <alignment horizontal="center" vertical="center"/>
    </xf>
    <xf numFmtId="43" fontId="115" fillId="16" borderId="27" xfId="0" applyNumberFormat="1" applyFont="1" applyFill="1" applyBorder="1" applyAlignment="1">
      <alignment horizontal="center" vertical="center"/>
    </xf>
    <xf numFmtId="179" fontId="115" fillId="16" borderId="27" xfId="2627" applyFont="1" applyFill="1" applyBorder="1" applyAlignment="1">
      <alignment horizontal="center" vertical="center"/>
    </xf>
  </cellXfs>
  <cellStyles count="2911">
    <cellStyle name=" " xfId="1" xr:uid="{00000000-0005-0000-0000-000000000000}"/>
    <cellStyle name=" _97연말" xfId="2" xr:uid="{00000000-0005-0000-0000-000001000000}"/>
    <cellStyle name=" _97연말_방수-대맥" xfId="3" xr:uid="{00000000-0005-0000-0000-000002000000}"/>
    <cellStyle name=" _97연말1" xfId="4" xr:uid="{00000000-0005-0000-0000-000003000000}"/>
    <cellStyle name=" _97연말1_방수-대맥" xfId="5" xr:uid="{00000000-0005-0000-0000-000004000000}"/>
    <cellStyle name=" _Book1" xfId="6" xr:uid="{00000000-0005-0000-0000-000005000000}"/>
    <cellStyle name=" _Book1_방수-대맥" xfId="7" xr:uid="{00000000-0005-0000-0000-000006000000}"/>
    <cellStyle name=" _방수-대맥" xfId="8" xr:uid="{00000000-0005-0000-0000-000007000000}"/>
    <cellStyle name="&quot;" xfId="9" xr:uid="{00000000-0005-0000-0000-000008000000}"/>
    <cellStyle name="#,##0" xfId="10" xr:uid="{00000000-0005-0000-0000-000009000000}"/>
    <cellStyle name="$" xfId="11" xr:uid="{00000000-0005-0000-0000-00000A000000}"/>
    <cellStyle name="$_db진흥" xfId="12" xr:uid="{00000000-0005-0000-0000-00000B000000}"/>
    <cellStyle name="$_견적2" xfId="13" xr:uid="{00000000-0005-0000-0000-00000C000000}"/>
    <cellStyle name="$_기아" xfId="14" xr:uid="{00000000-0005-0000-0000-00000D000000}"/>
    <cellStyle name="(##.00)" xfId="15" xr:uid="{00000000-0005-0000-0000-00000E000000}"/>
    <cellStyle name="(△콤마)" xfId="16" xr:uid="{00000000-0005-0000-0000-00000F000000}"/>
    <cellStyle name="(백분율)" xfId="17" xr:uid="{00000000-0005-0000-0000-000010000000}"/>
    <cellStyle name="(콤마)" xfId="18" xr:uid="{00000000-0005-0000-0000-000011000000}"/>
    <cellStyle name="??_x000c_둄_x001b__x000d_|?_x0001_?_x0003__x0014__x0007__x0001__x0001_" xfId="19" xr:uid="{00000000-0005-0000-0000-000012000000}"/>
    <cellStyle name="??&amp;5_x0007_?._x0007_9_x0008_??_x0007__x0001__x0001_" xfId="20" xr:uid="{00000000-0005-0000-0000-000013000000}"/>
    <cellStyle name="??&amp;6_x0007_?/_x0007_9_x0008_??_x0007__x0001__x0001_" xfId="21" xr:uid="{00000000-0005-0000-0000-000014000000}"/>
    <cellStyle name="??&amp;O?&amp;H?_x0008__x000f__x0007_?_x0007__x0001__x0001_" xfId="22" xr:uid="{00000000-0005-0000-0000-000015000000}"/>
    <cellStyle name="??&amp;O?&amp;H?_x0008_??_x0007__x0001__x0001_" xfId="23" xr:uid="{00000000-0005-0000-0000-000016000000}"/>
    <cellStyle name="??&amp;멅?둃9_x0008_??_x0007__x0001__x0001_" xfId="24" xr:uid="{00000000-0005-0000-0000-000017000000}"/>
    <cellStyle name="??&amp;쏗?뷐9_x0008__x0011__x0007_?_x0007__x0001__x0001_" xfId="25" xr:uid="{00000000-0005-0000-0000-000018000000}"/>
    <cellStyle name="???­ [0]_±??¸" xfId="26" xr:uid="{00000000-0005-0000-0000-000019000000}"/>
    <cellStyle name="???­_±??¸" xfId="27" xr:uid="{00000000-0005-0000-0000-00001A000000}"/>
    <cellStyle name="???Ø_¿?°?¿?¾?º¸°?" xfId="28" xr:uid="{00000000-0005-0000-0000-00001B000000}"/>
    <cellStyle name="??_pldt" xfId="29" xr:uid="{00000000-0005-0000-0000-00001C000000}"/>
    <cellStyle name="?ðC%U?&amp;H?_x0008_?s_x000a__x0007__x0001__x0001_" xfId="30" xr:uid="{00000000-0005-0000-0000-00001D000000}"/>
    <cellStyle name="?Þ¸¶ [0]_±??¸" xfId="31" xr:uid="{00000000-0005-0000-0000-00001E000000}"/>
    <cellStyle name="?Þ¸¶_±??¸" xfId="32" xr:uid="{00000000-0005-0000-0000-00001F000000}"/>
    <cellStyle name="?W?_laroux" xfId="33" xr:uid="{00000000-0005-0000-0000-000020000000}"/>
    <cellStyle name="?曹%U?&amp;H?_x0008_?s_x000a__x0007__x0001__x0001_" xfId="34" xr:uid="{00000000-0005-0000-0000-000021000000}"/>
    <cellStyle name="?珠??? " xfId="35" xr:uid="{00000000-0005-0000-0000-000022000000}"/>
    <cellStyle name="_(02.03.05) 묵동 현장관리비 실행" xfId="36" xr:uid="{00000000-0005-0000-0000-000023000000}"/>
    <cellStyle name="_(02.03.08) 묵동 현장관리비 실행" xfId="37" xr:uid="{00000000-0005-0000-0000-000024000000}"/>
    <cellStyle name="_(02.09.17)인천 삼산1지구 2블럭 주공아파트" xfId="38" xr:uid="{00000000-0005-0000-0000-000025000000}"/>
    <cellStyle name="_(02.09.23  64,000평)인천 삼산1지구 2블럭 " xfId="39" xr:uid="{00000000-0005-0000-0000-000026000000}"/>
    <cellStyle name="_(07.31 최종확정)묵동 실행예산" xfId="40" xr:uid="{00000000-0005-0000-0000-000027000000}"/>
    <cellStyle name="_(09.05)인천원당 공통가설공사" xfId="41" xr:uid="{00000000-0005-0000-0000-000028000000}"/>
    <cellStyle name="_00" xfId="42" xr:uid="{00000000-0005-0000-0000-000029000000}"/>
    <cellStyle name="_00012002년 업체평가 결과 현장전파공문(030310)" xfId="43" xr:uid="{00000000-0005-0000-0000-00002A000000}"/>
    <cellStyle name="_001-인원및일반관리비" xfId="44" xr:uid="{00000000-0005-0000-0000-00002B000000}"/>
    <cellStyle name="_01.본실행" xfId="45" xr:uid="{00000000-0005-0000-0000-00002C000000}"/>
    <cellStyle name="_0106-06-007 금속 및 수장공사 단가견적- 대림" xfId="46" xr:uid="{00000000-0005-0000-0000-00002D000000}"/>
    <cellStyle name="_01-1.본실행.간접비" xfId="47" xr:uid="{00000000-0005-0000-0000-00002E000000}"/>
    <cellStyle name="_01-건축공사" xfId="48" xr:uid="{00000000-0005-0000-0000-00002F000000}"/>
    <cellStyle name="_02.본실행(건축)" xfId="49" xr:uid="{00000000-0005-0000-0000-000030000000}"/>
    <cellStyle name="_02.본실행(건축1)" xfId="50" xr:uid="{00000000-0005-0000-0000-000031000000}"/>
    <cellStyle name="_0210 암센타 내역 A ZONE" xfId="51" xr:uid="{00000000-0005-0000-0000-000032000000}"/>
    <cellStyle name="_02-도급공사비내역" xfId="52" xr:uid="{00000000-0005-0000-0000-000033000000}"/>
    <cellStyle name="_03 실행내역(대전MBC)-건축토목" xfId="53" xr:uid="{00000000-0005-0000-0000-000034000000}"/>
    <cellStyle name="_03_정보통신R.C공사(051031)" xfId="54" xr:uid="{00000000-0005-0000-0000-000035000000}"/>
    <cellStyle name="_04 건축-인테리어(주거)공내역" xfId="55" xr:uid="{00000000-0005-0000-0000-000036000000}"/>
    <cellStyle name="_0426 제주 봉개 견적서(제출)" xfId="56" xr:uid="{00000000-0005-0000-0000-000037000000}"/>
    <cellStyle name="_05 건축-인테리어(상업)공내역" xfId="57" xr:uid="{00000000-0005-0000-0000-000038000000}"/>
    <cellStyle name="_05_방수공사" xfId="58" xr:uid="{00000000-0005-0000-0000-000039000000}"/>
    <cellStyle name="_05_방수공사(6.21)" xfId="59" xr:uid="{00000000-0005-0000-0000-00003A000000}"/>
    <cellStyle name="_050728 IBM Lounge Renovation Work" xfId="60" xr:uid="{00000000-0005-0000-0000-00003B000000}"/>
    <cellStyle name="_050805 스파피스-입찰내역서" xfId="61" xr:uid="{00000000-0005-0000-0000-00003C000000}"/>
    <cellStyle name="_050829 Schedule of Rate for Intel R&amp;D Center" xfId="62" xr:uid="{00000000-0005-0000-0000-00003D000000}"/>
    <cellStyle name="_0510 CGV 수원인계8" xfId="63" xr:uid="{00000000-0005-0000-0000-00003E000000}"/>
    <cellStyle name="_0512제출(1공구)" xfId="64" xr:uid="{00000000-0005-0000-0000-00003F000000}"/>
    <cellStyle name="_0513 견적서양식및3개평형별내역" xfId="65" xr:uid="{00000000-0005-0000-0000-000040000000}"/>
    <cellStyle name="_0514회의확정자료" xfId="66" xr:uid="{00000000-0005-0000-0000-000041000000}"/>
    <cellStyle name="_0524 특기시방" xfId="67" xr:uid="{00000000-0005-0000-0000-000042000000}"/>
    <cellStyle name="_060621 뉴 금오산 호텔 본관" xfId="68" xr:uid="{00000000-0005-0000-0000-000043000000}"/>
    <cellStyle name="_061114 GS MART A,B,C복층 내역(제출)" xfId="69" xr:uid="{00000000-0005-0000-0000-000044000000}"/>
    <cellStyle name="_07_미장공사" xfId="70" xr:uid="{00000000-0005-0000-0000-000045000000}"/>
    <cellStyle name="_07_진장점-미장공사 발주-진장점-RDR-051031" xfId="71" xr:uid="{00000000-0005-0000-0000-000046000000}"/>
    <cellStyle name="_070111 한우리리조트(취합)-공종분류" xfId="72" xr:uid="{00000000-0005-0000-0000-000047000000}"/>
    <cellStyle name="_070119 서초동쇼룸(최종)" xfId="73" xr:uid="{00000000-0005-0000-0000-000048000000}"/>
    <cellStyle name="_08-가실행내역" xfId="74" xr:uid="{00000000-0005-0000-0000-000049000000}"/>
    <cellStyle name="_09_흡음단열공사" xfId="75" xr:uid="{00000000-0005-0000-0000-00004A000000}"/>
    <cellStyle name="_0901작업1-금액분리" xfId="76" xr:uid="{00000000-0005-0000-0000-00004B000000}"/>
    <cellStyle name="_1 총괄-건축집행(평창콘도)" xfId="77" xr:uid="{00000000-0005-0000-0000-00004C000000}"/>
    <cellStyle name="_1. 삼성동 실행 030225(조적추가)" xfId="78" xr:uid="{00000000-0005-0000-0000-00004D000000}"/>
    <cellStyle name="_1. 삼성동 실행(030329)" xfId="79" xr:uid="{00000000-0005-0000-0000-00004E000000}"/>
    <cellStyle name="_1. 송도신도시현장관리비전순일검토" xfId="80" xr:uid="{00000000-0005-0000-0000-00004F000000}"/>
    <cellStyle name="_12_스텐스틸창호" xfId="81" xr:uid="{00000000-0005-0000-0000-000050000000}"/>
    <cellStyle name="_16_진장점수장공사(051209)" xfId="82" xr:uid="{00000000-0005-0000-0000-000051000000}"/>
    <cellStyle name="_2001전북도청 실행예산" xfId="83" xr:uid="{00000000-0005-0000-0000-000052000000}"/>
    <cellStyle name="_2002년 업체평가 결과 현장전파공문(030310)" xfId="84" xr:uid="{00000000-0005-0000-0000-000053000000}"/>
    <cellStyle name="_2003년전망(현장발송본) " xfId="85" xr:uid="{00000000-0005-0000-0000-000054000000}"/>
    <cellStyle name="_3. 인천간석동현장관리비전순일 분석" xfId="86" xr:uid="{00000000-0005-0000-0000-000055000000}"/>
    <cellStyle name="_4. 파주 변경 현장안20030128" xfId="87" xr:uid="{00000000-0005-0000-0000-000056000000}"/>
    <cellStyle name="_A" xfId="88" xr:uid="{00000000-0005-0000-0000-000057000000}"/>
    <cellStyle name="_A0509-가실행(파주)" xfId="89" xr:uid="{00000000-0005-0000-0000-000058000000}"/>
    <cellStyle name="_A-0902건축공사확정(대안포함)" xfId="90" xr:uid="{00000000-0005-0000-0000-000059000000}"/>
    <cellStyle name="_A-0902조경공사확정(대안포함)" xfId="91" xr:uid="{00000000-0005-0000-0000-00005A000000}"/>
    <cellStyle name="_AA" xfId="92" xr:uid="{00000000-0005-0000-0000-00005B000000}"/>
    <cellStyle name="_A발주자참고내역003-전기공사" xfId="93" xr:uid="{00000000-0005-0000-0000-00005C000000}"/>
    <cellStyle name="_BAT현장(본실행1)" xfId="94" xr:uid="{00000000-0005-0000-0000-00005D000000}"/>
    <cellStyle name="_Book1" xfId="95" xr:uid="{00000000-0005-0000-0000-00005E000000}"/>
    <cellStyle name="_Book2" xfId="96" xr:uid="{00000000-0005-0000-0000-00005F000000}"/>
    <cellStyle name="_BOQ(Hang Lung)" xfId="97" xr:uid="{00000000-0005-0000-0000-000060000000}"/>
    <cellStyle name="_BOQ(Hang Lung-rev1)" xfId="98" xr:uid="{00000000-0005-0000-0000-000061000000}"/>
    <cellStyle name="_FCST (2)" xfId="99" xr:uid="{00000000-0005-0000-0000-000062000000}"/>
    <cellStyle name="_KIL11107비교xls" xfId="100" xr:uid="{00000000-0005-0000-0000-000063000000}"/>
    <cellStyle name="_KT견적요청" xfId="101" xr:uid="{00000000-0005-0000-0000-000064000000}"/>
    <cellStyle name="_LG2,3,4,6층(0313)" xfId="102" xr:uid="{00000000-0005-0000-0000-000065000000}"/>
    <cellStyle name="_N-A023정보통신수장(바닥-060425)-최종" xfId="103" xr:uid="{00000000-0005-0000-0000-000066000000}"/>
    <cellStyle name="_N-A023정보통신수장(바닥-060425)-최종_1차 기성 내역서 0612023" xfId="104" xr:uid="{00000000-0005-0000-0000-000067000000}"/>
    <cellStyle name="_N-A023정보통신수장(바닥-060425)-최종_3차네고견적(061017-1)" xfId="105" xr:uid="{00000000-0005-0000-0000-000068000000}"/>
    <cellStyle name="_N-A023정보통신수장(바닥-060425)-최종_문화센타" xfId="106" xr:uid="{00000000-0005-0000-0000-000069000000}"/>
    <cellStyle name="_NA-A012정보통신알미늄커튼월공사(060119)" xfId="107" xr:uid="{00000000-0005-0000-0000-00006A000000}"/>
    <cellStyle name="_NC12E1F75" xfId="108" xr:uid="{00000000-0005-0000-0000-00006B000000}"/>
    <cellStyle name="_NC22E43F4" xfId="109" xr:uid="{00000000-0005-0000-0000-00006C000000}"/>
    <cellStyle name="_NC2308EFD" xfId="110" xr:uid="{00000000-0005-0000-0000-00006D000000}"/>
    <cellStyle name="_NC85018F" xfId="111" xr:uid="{00000000-0005-0000-0000-00006E000000}"/>
    <cellStyle name="_NCA07108" xfId="112" xr:uid="{00000000-0005-0000-0000-00006F000000}"/>
    <cellStyle name="_NCF3A0B2" xfId="113" xr:uid="{00000000-0005-0000-0000-000070000000}"/>
    <cellStyle name="_port" xfId="114" xr:uid="{00000000-0005-0000-0000-000071000000}"/>
    <cellStyle name="_RESULTS" xfId="115" xr:uid="{00000000-0005-0000-0000-000072000000}"/>
    <cellStyle name="_SK건설추정견적" xfId="116" xr:uid="{00000000-0005-0000-0000-000073000000}"/>
    <cellStyle name="_SK-역삼동 Leaders View EST 050711" xfId="117" xr:uid="{00000000-0005-0000-0000-000074000000}"/>
    <cellStyle name="_summary for MTRC P3" xfId="118" xr:uid="{00000000-0005-0000-0000-000075000000}"/>
    <cellStyle name="_Unit rate &amp; Quantity" xfId="119" xr:uid="{00000000-0005-0000-0000-000076000000}"/>
    <cellStyle name="_X" xfId="120" xr:uid="{00000000-0005-0000-0000-000077000000}"/>
    <cellStyle name="_가로양식(2005)" xfId="121" xr:uid="{00000000-0005-0000-0000-000078000000}"/>
    <cellStyle name="_가실행" xfId="122" xr:uid="{00000000-0005-0000-0000-000079000000}"/>
    <cellStyle name="_가실행 최종본사분" xfId="123" xr:uid="{00000000-0005-0000-0000-00007A000000}"/>
    <cellStyle name="_가실행(3th)" xfId="124" xr:uid="{00000000-0005-0000-0000-00007B000000}"/>
    <cellStyle name="_가실행(대전아울렛)" xfId="125" xr:uid="{00000000-0005-0000-0000-00007C000000}"/>
    <cellStyle name="_가실행(대혜건축)" xfId="126" xr:uid="{00000000-0005-0000-0000-00007D000000}"/>
    <cellStyle name="_가실행(분리발주)" xfId="127" xr:uid="{00000000-0005-0000-0000-00007E000000}"/>
    <cellStyle name="_가실행(조선대)-최종" xfId="128" xr:uid="{00000000-0005-0000-0000-00007F000000}"/>
    <cellStyle name="_가실행내역(김해공항)" xfId="129" xr:uid="{00000000-0005-0000-0000-000080000000}"/>
    <cellStyle name="_가실행-화물터미널B(수정)" xfId="130" xr:uid="{00000000-0005-0000-0000-000081000000}"/>
    <cellStyle name="_가실행-화물터미널B(재수정)" xfId="131" xr:uid="{00000000-0005-0000-0000-000082000000}"/>
    <cellStyle name="_간석동실행" xfId="132" xr:uid="{00000000-0005-0000-0000-000083000000}"/>
    <cellStyle name="_간석동실행(확정)" xfId="133" xr:uid="{00000000-0005-0000-0000-000084000000}"/>
    <cellStyle name="_간석동현장관리비(alt3-2)1021" xfId="134" xr:uid="{00000000-0005-0000-0000-000085000000}"/>
    <cellStyle name="_간접비(01.09.28-변경내용포함)" xfId="135" xr:uid="{00000000-0005-0000-0000-000086000000}"/>
    <cellStyle name="_강제창호 및 잡철공사" xfId="136" xr:uid="{00000000-0005-0000-0000-000087000000}"/>
    <cellStyle name="_개산견적" xfId="137" xr:uid="{00000000-0005-0000-0000-000088000000}"/>
    <cellStyle name="_건축_공내역" xfId="138" xr:uid="{00000000-0005-0000-0000-000089000000}"/>
    <cellStyle name="_건축내역" xfId="139" xr:uid="{00000000-0005-0000-0000-00008A000000}"/>
    <cellStyle name="_건축내역2" xfId="140" xr:uid="{00000000-0005-0000-0000-00008B000000}"/>
    <cellStyle name="_건축내역서(단가입력)" xfId="141" xr:uid="{00000000-0005-0000-0000-00008C000000}"/>
    <cellStyle name="_건축사업팀검토008-철골공사Ⅲ" xfId="142" xr:uid="{00000000-0005-0000-0000-00008D000000}"/>
    <cellStyle name="_검단 실행 작성(0515)" xfId="143" xr:uid="{00000000-0005-0000-0000-00008E000000}"/>
    <cellStyle name="_검단 최종(변경0623 최종)" xfId="144" xr:uid="{00000000-0005-0000-0000-00008F000000}"/>
    <cellStyle name="_검암2차사전공사(본사검토) " xfId="145" xr:uid="{00000000-0005-0000-0000-000090000000}"/>
    <cellStyle name="_검암2차사전공사(본사검토) _1차 기성 내역서 0612023" xfId="146" xr:uid="{00000000-0005-0000-0000-000091000000}"/>
    <cellStyle name="_검암2차사전공사(본사검토) _3차네고견적(061017-1)" xfId="147" xr:uid="{00000000-0005-0000-0000-000092000000}"/>
    <cellStyle name="_검암2차사전공사(본사검토) _문화센타" xfId="148" xr:uid="{00000000-0005-0000-0000-000093000000}"/>
    <cellStyle name="_검암2차사전공사(본사검토) _총괄내역표" xfId="149" xr:uid="{00000000-0005-0000-0000-000094000000}"/>
    <cellStyle name="_견적 질의서" xfId="150" xr:uid="{00000000-0005-0000-0000-000095000000}"/>
    <cellStyle name="_견적기준(운송대리점)" xfId="151" xr:uid="{00000000-0005-0000-0000-000096000000}"/>
    <cellStyle name="_견적서(서초포스코)" xfId="152" xr:uid="{00000000-0005-0000-0000-000097000000}"/>
    <cellStyle name="_견적서표지" xfId="153" xr:uid="{00000000-0005-0000-0000-000098000000}"/>
    <cellStyle name="_견적양식-가로" xfId="154" xr:uid="{00000000-0005-0000-0000-000099000000}"/>
    <cellStyle name="_견적의뢰양식" xfId="155" xr:uid="{00000000-0005-0000-0000-00009A000000}"/>
    <cellStyle name="_견적조건" xfId="156" xr:uid="{00000000-0005-0000-0000-00009B000000}"/>
    <cellStyle name="_결정01-총괄가실행(0820)" xfId="157" xr:uid="{00000000-0005-0000-0000-00009C000000}"/>
    <cellStyle name="_경쟁사" xfId="158" xr:uid="{00000000-0005-0000-0000-00009D000000}"/>
    <cellStyle name="_공내역서(송파트리플)" xfId="159" xr:uid="{00000000-0005-0000-0000-00009E000000}"/>
    <cellStyle name="_공내역서_토목" xfId="160" xr:uid="{00000000-0005-0000-0000-00009F000000}"/>
    <cellStyle name="_공사개요(건축사업팀03.09.02)" xfId="161" xr:uid="{00000000-0005-0000-0000-0000A0000000}"/>
    <cellStyle name="_공정표" xfId="162" xr:uid="{00000000-0005-0000-0000-0000A1000000}"/>
    <cellStyle name="_공종분개작업" xfId="163" xr:uid="{00000000-0005-0000-0000-0000A2000000}"/>
    <cellStyle name="_관리비" xfId="164" xr:uid="{00000000-0005-0000-0000-0000A3000000}"/>
    <cellStyle name="_광주+속초내역(듀엘견적)" xfId="165" xr:uid="{00000000-0005-0000-0000-0000A4000000}"/>
    <cellStyle name="_교원그룹 낙산 숙박시설 신축공사" xfId="166" xr:uid="{00000000-0005-0000-0000-0000A5000000}"/>
    <cellStyle name="_구월동오피스텔(이토협의)의 백업" xfId="167" xr:uid="{00000000-0005-0000-0000-0000A6000000}"/>
    <cellStyle name="_그랜드호텔(본실행)" xfId="168" xr:uid="{00000000-0005-0000-0000-0000A7000000}"/>
    <cellStyle name="_내역003-추정내역" xfId="169" xr:uid="{00000000-0005-0000-0000-0000A8000000}"/>
    <cellStyle name="_내역서_토목" xfId="170" xr:uid="{00000000-0005-0000-0000-0000A9000000}"/>
    <cellStyle name="_단가표" xfId="171" xr:uid="{00000000-0005-0000-0000-0000AA000000}"/>
    <cellStyle name="_단위세대물량산출서" xfId="172" xr:uid="{00000000-0005-0000-0000-0000AB000000}"/>
    <cellStyle name="_당팀-가실행작업" xfId="173" xr:uid="{00000000-0005-0000-0000-0000AC000000}"/>
    <cellStyle name="_대림-온양온천역사 EST 050427-제출" xfId="174" xr:uid="{00000000-0005-0000-0000-0000AD000000}"/>
    <cellStyle name="_대림-전주가톨릭센터 EST 050516-제출" xfId="175" xr:uid="{00000000-0005-0000-0000-0000AE000000}"/>
    <cellStyle name="_대림-전주카톨릭센터 EST 051005" xfId="176" xr:uid="{00000000-0005-0000-0000-0000AF000000}"/>
    <cellStyle name="_대림-한국토지공사 광주사옥 EST 050502-제출" xfId="177" xr:uid="{00000000-0005-0000-0000-0000B0000000}"/>
    <cellStyle name="_대비표양식" xfId="178" xr:uid="{00000000-0005-0000-0000-0000B1000000}"/>
    <cellStyle name="_도곡동실행1차" xfId="179" xr:uid="{00000000-0005-0000-0000-0000B2000000}"/>
    <cellStyle name="_도곡동토공사사발주계획" xfId="180" xr:uid="{00000000-0005-0000-0000-0000B3000000}"/>
    <cellStyle name="_도급공사변경Ⅰ(0626)" xfId="181" xr:uid="{00000000-0005-0000-0000-0000B4000000}"/>
    <cellStyle name="_도봉동 빌라실행보고서" xfId="182" xr:uid="{00000000-0005-0000-0000-0000B5000000}"/>
    <cellStyle name="_라이나 대구 (8차)" xfId="183" xr:uid="{00000000-0005-0000-0000-0000B6000000}"/>
    <cellStyle name="_마가레트 호텔" xfId="184" xr:uid="{00000000-0005-0000-0000-0000B7000000}"/>
    <cellStyle name="_매입세근거" xfId="185" xr:uid="{00000000-0005-0000-0000-0000B8000000}"/>
    <cellStyle name="_매입세근거_습식공사현설" xfId="186" xr:uid="{00000000-0005-0000-0000-0000B9000000}"/>
    <cellStyle name="_문래동 방적 방림" xfId="187" xr:uid="{00000000-0005-0000-0000-0000BA000000}"/>
    <cellStyle name="_문래동가실행" xfId="188" xr:uid="{00000000-0005-0000-0000-0000BB000000}"/>
    <cellStyle name="_문래동쇼핑몰" xfId="189" xr:uid="{00000000-0005-0000-0000-0000BC000000}"/>
    <cellStyle name="_변경내역5" xfId="190" xr:uid="{00000000-0005-0000-0000-0000BD000000}"/>
    <cellStyle name="_변경내역7(보고)" xfId="191" xr:uid="{00000000-0005-0000-0000-0000BE000000}"/>
    <cellStyle name="_변경내역서(건축외)" xfId="192" xr:uid="{00000000-0005-0000-0000-0000BF000000}"/>
    <cellStyle name="_보고02-건축공사감액보고서(0714)" xfId="193" xr:uid="{00000000-0005-0000-0000-0000C0000000}"/>
    <cellStyle name="_보고서 cover" xfId="194" xr:uid="{00000000-0005-0000-0000-0000C1000000}"/>
    <cellStyle name="_부에나비스타 빌라 설계견적" xfId="195" xr:uid="{00000000-0005-0000-0000-0000C2000000}"/>
    <cellStyle name="_분당파크뷰시공계획서(송산)" xfId="196" xr:uid="{00000000-0005-0000-0000-0000C3000000}"/>
    <cellStyle name="_분석001-구조체투입관련" xfId="197" xr:uid="{00000000-0005-0000-0000-0000C4000000}"/>
    <cellStyle name="_빌라평당비교표" xfId="198" xr:uid="{00000000-0005-0000-0000-0000C5000000}"/>
    <cellStyle name="_사본 - 인테리어실행내역" xfId="199" xr:uid="{00000000-0005-0000-0000-0000C6000000}"/>
    <cellStyle name="_사본 - 조경실행내역" xfId="200" xr:uid="{00000000-0005-0000-0000-0000C7000000}"/>
    <cellStyle name="_사전공사(토목본사검토) " xfId="201" xr:uid="{00000000-0005-0000-0000-0000C8000000}"/>
    <cellStyle name="_사전공사(토목본사검토) _1차 기성 내역서 0612023" xfId="202" xr:uid="{00000000-0005-0000-0000-0000C9000000}"/>
    <cellStyle name="_사전공사(토목본사검토) _3차네고견적(061017-1)" xfId="203" xr:uid="{00000000-0005-0000-0000-0000CA000000}"/>
    <cellStyle name="_사전공사(토목본사검토) _문화센타" xfId="204" xr:uid="{00000000-0005-0000-0000-0000CB000000}"/>
    <cellStyle name="_사전공사(토목본사검토) _총괄내역표" xfId="205" xr:uid="{00000000-0005-0000-0000-0000CC000000}"/>
    <cellStyle name="_산출001-공동구공사" xfId="206" xr:uid="{00000000-0005-0000-0000-0000CD000000}"/>
    <cellStyle name="_삼성 실행 내역 수정" xfId="207" xr:uid="{00000000-0005-0000-0000-0000CE000000}"/>
    <cellStyle name="_서울 중앙우체국 인테리어공사(03.10.08)" xfId="208" xr:uid="{00000000-0005-0000-0000-0000CF000000}"/>
    <cellStyle name="_서울 중앙우체국 인테리어공사(04.03.29)철희실행(0417)" xfId="209" xr:uid="{00000000-0005-0000-0000-0000D0000000}"/>
    <cellStyle name="_성원오피스텔휘트니스센터" xfId="210" xr:uid="{00000000-0005-0000-0000-0000D1000000}"/>
    <cellStyle name="_세로양식(2005)" xfId="211" xr:uid="{00000000-0005-0000-0000-0000D2000000}"/>
    <cellStyle name="_센터블 스파신축공사(토목공사-정주공영)" xfId="212" xr:uid="{00000000-0005-0000-0000-0000D3000000}"/>
    <cellStyle name="_수정-공항운송도급내역(0917)" xfId="213" xr:uid="{00000000-0005-0000-0000-0000D4000000}"/>
    <cellStyle name="_수정이여2003.05.19xls" xfId="214" xr:uid="{00000000-0005-0000-0000-0000D5000000}"/>
    <cellStyle name="_스틸커튼월 사전공사 승인요청(평창콘도)" xfId="215" xr:uid="{00000000-0005-0000-0000-0000D6000000}"/>
    <cellStyle name="_신규(철골공사)집행예산 승인요청" xfId="216" xr:uid="{00000000-0005-0000-0000-0000D7000000}"/>
    <cellStyle name="_신촌(2차)트리플지점(원본)" xfId="217" xr:uid="{00000000-0005-0000-0000-0000D8000000}"/>
    <cellStyle name="_실행" xfId="218" xr:uid="{00000000-0005-0000-0000-0000D9000000}"/>
    <cellStyle name="_실행(갑지)" xfId="219" xr:uid="{00000000-0005-0000-0000-0000DA000000}"/>
    <cellStyle name="_실행01-총괄가실행(0828)" xfId="220" xr:uid="{00000000-0005-0000-0000-0000DB000000}"/>
    <cellStyle name="_실행갑지" xfId="221" xr:uid="{00000000-0005-0000-0000-0000DC000000}"/>
    <cellStyle name="_실행갑지(변경)" xfId="222" xr:uid="{00000000-0005-0000-0000-0000DD000000}"/>
    <cellStyle name="_실행내역" xfId="223" xr:uid="{00000000-0005-0000-0000-0000DE000000}"/>
    <cellStyle name="_실행내역(아+부)" xfId="224" xr:uid="{00000000-0005-0000-0000-0000DF000000}"/>
    <cellStyle name="_實行內譯書(평내)" xfId="225" xr:uid="{00000000-0005-0000-0000-0000E0000000}"/>
    <cellStyle name="_실행예산(사장님)" xfId="226" xr:uid="{00000000-0005-0000-0000-0000E1000000}"/>
    <cellStyle name="_실행예산(최종사장님승인)" xfId="227" xr:uid="{00000000-0005-0000-0000-0000E2000000}"/>
    <cellStyle name="_실행최종(12.18)" xfId="228" xr:uid="{00000000-0005-0000-0000-0000E3000000}"/>
    <cellStyle name="_아미고터워 리모델링공사(계약,실행내역)9월.3일 " xfId="229" xr:uid="{00000000-0005-0000-0000-0000E4000000}"/>
    <cellStyle name="_아크로리버기준-개산견적기준(건축)" xfId="230" xr:uid="{00000000-0005-0000-0000-0000E5000000}"/>
    <cellStyle name="_안동최종정산" xfId="231" xr:uid="{00000000-0005-0000-0000-0000E6000000}"/>
    <cellStyle name="_양재동 도매센타(수정1006)" xfId="232" xr:uid="{00000000-0005-0000-0000-0000E7000000}"/>
    <cellStyle name="_여의도(실행)" xfId="233" xr:uid="{00000000-0005-0000-0000-0000E8000000}"/>
    <cellStyle name="_오공본드" xfId="234" xr:uid="{00000000-0005-0000-0000-0000E9000000}"/>
    <cellStyle name="_용인동백C2-3" xfId="235" xr:uid="{00000000-0005-0000-0000-0000EA000000}"/>
    <cellStyle name="_우면동주택계약내역서초안(1110)" xfId="236" xr:uid="{00000000-0005-0000-0000-0000EB000000}"/>
    <cellStyle name="_원당 1차 실행001(030329)" xfId="237" xr:uid="{00000000-0005-0000-0000-0000EC000000}"/>
    <cellStyle name="_원당실행내역" xfId="238" xr:uid="{00000000-0005-0000-0000-0000ED000000}"/>
    <cellStyle name="_이건창호-풍림 평창콘도 제안서(071228)" xfId="239" xr:uid="{00000000-0005-0000-0000-0000EE000000}"/>
    <cellStyle name="_이행각서" xfId="240" xr:uid="{00000000-0005-0000-0000-0000EF000000}"/>
    <cellStyle name="_인원계획표 " xfId="241" xr:uid="{00000000-0005-0000-0000-0000F0000000}"/>
    <cellStyle name="_인원계획표 _04028적산수량집계" xfId="242" xr:uid="{00000000-0005-0000-0000-0000F1000000}"/>
    <cellStyle name="_인원계획표 _04-가실행(작업중)" xfId="243" xr:uid="{00000000-0005-0000-0000-0000F2000000}"/>
    <cellStyle name="_인원계획표 _04-가실행(작업중1)" xfId="244" xr:uid="{00000000-0005-0000-0000-0000F3000000}"/>
    <cellStyle name="_인원계획표 _1차 기성 내역서 0612023" xfId="245" xr:uid="{00000000-0005-0000-0000-0000F4000000}"/>
    <cellStyle name="_인원계획표 _3차네고견적(061017-1)" xfId="246" xr:uid="{00000000-0005-0000-0000-0000F5000000}"/>
    <cellStyle name="_인원계획표 _KT견적요청" xfId="247" xr:uid="{00000000-0005-0000-0000-0000F6000000}"/>
    <cellStyle name="_인원계획표 _가실행" xfId="248" xr:uid="{00000000-0005-0000-0000-0000F7000000}"/>
    <cellStyle name="_인원계획표 _건축내역서(가경)" xfId="249" xr:uid="{00000000-0005-0000-0000-0000F8000000}"/>
    <cellStyle name="_인원계획표 _검암2차사전공사(본사검토) " xfId="250" xr:uid="{00000000-0005-0000-0000-0000F9000000}"/>
    <cellStyle name="_인원계획표 _검암2차사전공사(본사검토) _1차 기성 내역서 0612023" xfId="251" xr:uid="{00000000-0005-0000-0000-0000FA000000}"/>
    <cellStyle name="_인원계획표 _검암2차사전공사(본사검토) _3차네고견적(061017-1)" xfId="252" xr:uid="{00000000-0005-0000-0000-0000FB000000}"/>
    <cellStyle name="_인원계획표 _검암2차사전공사(본사검토) _문화센타" xfId="253" xr:uid="{00000000-0005-0000-0000-0000FC000000}"/>
    <cellStyle name="_인원계획표 _검암2차사전공사(본사검토) _총괄내역표" xfId="254" xr:uid="{00000000-0005-0000-0000-0000FD000000}"/>
    <cellStyle name="_인원계획표 _문화센타" xfId="255" xr:uid="{00000000-0005-0000-0000-0000FE000000}"/>
    <cellStyle name="_인원계획표 _부천소사점내역서" xfId="256" xr:uid="{00000000-0005-0000-0000-0000FF000000}"/>
    <cellStyle name="_인원계획표 _비교표(시화,청주)" xfId="257" xr:uid="{00000000-0005-0000-0000-000000010000}"/>
    <cellStyle name="_인원계획표 _비교표(청주가경점)" xfId="258" xr:uid="{00000000-0005-0000-0000-000001010000}"/>
    <cellStyle name="_인원계획표 _사전공사(토목본사검토) " xfId="259" xr:uid="{00000000-0005-0000-0000-000002010000}"/>
    <cellStyle name="_인원계획표 _사전공사(토목본사검토) _1차 기성 내역서 0612023" xfId="260" xr:uid="{00000000-0005-0000-0000-000003010000}"/>
    <cellStyle name="_인원계획표 _사전공사(토목본사검토) _3차네고견적(061017-1)" xfId="261" xr:uid="{00000000-0005-0000-0000-000004010000}"/>
    <cellStyle name="_인원계획표 _사전공사(토목본사검토) _문화센타" xfId="262" xr:uid="{00000000-0005-0000-0000-000005010000}"/>
    <cellStyle name="_인원계획표 _사전공사(토목본사검토) _총괄내역표" xfId="263" xr:uid="{00000000-0005-0000-0000-000006010000}"/>
    <cellStyle name="_인원계획표 _수원-가실행" xfId="264" xr:uid="{00000000-0005-0000-0000-000007010000}"/>
    <cellStyle name="_인원계획표 _순천점내역서" xfId="265" xr:uid="{00000000-0005-0000-0000-000008010000}"/>
    <cellStyle name="_인원계획표 _이행각서" xfId="266" xr:uid="{00000000-0005-0000-0000-000009010000}"/>
    <cellStyle name="_인원계획표 _적격 " xfId="267" xr:uid="{00000000-0005-0000-0000-00000A010000}"/>
    <cellStyle name="_인원계획표 _적격 _04028적산수량집계" xfId="268" xr:uid="{00000000-0005-0000-0000-00000B010000}"/>
    <cellStyle name="_인원계획표 _적격 _04-가실행(작업중)" xfId="269" xr:uid="{00000000-0005-0000-0000-00000C010000}"/>
    <cellStyle name="_인원계획표 _적격 _04-가실행(작업중1)" xfId="270" xr:uid="{00000000-0005-0000-0000-00000D010000}"/>
    <cellStyle name="_인원계획표 _적격 _1차 기성 내역서 0612023" xfId="271" xr:uid="{00000000-0005-0000-0000-00000E010000}"/>
    <cellStyle name="_인원계획표 _적격 _3차네고견적(061017-1)" xfId="272" xr:uid="{00000000-0005-0000-0000-00000F010000}"/>
    <cellStyle name="_인원계획표 _적격 _KT견적요청" xfId="273" xr:uid="{00000000-0005-0000-0000-000010010000}"/>
    <cellStyle name="_인원계획표 _적격 _가실행" xfId="274" xr:uid="{00000000-0005-0000-0000-000011010000}"/>
    <cellStyle name="_인원계획표 _적격 _건축내역서(가경)" xfId="275" xr:uid="{00000000-0005-0000-0000-000012010000}"/>
    <cellStyle name="_인원계획표 _적격 _문화센타" xfId="276" xr:uid="{00000000-0005-0000-0000-000013010000}"/>
    <cellStyle name="_인원계획표 _적격 _부천소사점내역서" xfId="277" xr:uid="{00000000-0005-0000-0000-000014010000}"/>
    <cellStyle name="_인원계획표 _적격 _비교표(시화,청주)" xfId="278" xr:uid="{00000000-0005-0000-0000-000015010000}"/>
    <cellStyle name="_인원계획표 _적격 _비교표(청주가경점)" xfId="279" xr:uid="{00000000-0005-0000-0000-000016010000}"/>
    <cellStyle name="_인원계획표 _적격 _수원-가실행" xfId="280" xr:uid="{00000000-0005-0000-0000-000017010000}"/>
    <cellStyle name="_인원계획표 _적격 _순천점내역서" xfId="281" xr:uid="{00000000-0005-0000-0000-000018010000}"/>
    <cellStyle name="_인원계획표 _적격 _총괄내역표" xfId="282" xr:uid="{00000000-0005-0000-0000-000019010000}"/>
    <cellStyle name="_인원계획표 _총괄내역표" xfId="283" xr:uid="{00000000-0005-0000-0000-00001A010000}"/>
    <cellStyle name="_인원계획표 _포기각서" xfId="284" xr:uid="{00000000-0005-0000-0000-00001B010000}"/>
    <cellStyle name="_인원계획표 _현설양식" xfId="285" xr:uid="{00000000-0005-0000-0000-00001C010000}"/>
    <cellStyle name="_인원계획표 _현장설명" xfId="286" xr:uid="{00000000-0005-0000-0000-00001D010000}"/>
    <cellStyle name="_인테리어공사 발주계획서" xfId="287" xr:uid="{00000000-0005-0000-0000-00001E010000}"/>
    <cellStyle name="_인테리어발주 건축공사" xfId="288" xr:uid="{00000000-0005-0000-0000-00001F010000}"/>
    <cellStyle name="_일위(김천)" xfId="289" xr:uid="{00000000-0005-0000-0000-000020010000}"/>
    <cellStyle name="_일위(포천)" xfId="290" xr:uid="{00000000-0005-0000-0000-000021010000}"/>
    <cellStyle name="_입찰갑지" xfId="291" xr:uid="{00000000-0005-0000-0000-000022010000}"/>
    <cellStyle name="_입찰표지 " xfId="292" xr:uid="{00000000-0005-0000-0000-000023010000}"/>
    <cellStyle name="_입찰표지 _04028적산수량집계" xfId="293" xr:uid="{00000000-0005-0000-0000-000024010000}"/>
    <cellStyle name="_입찰표지 _04-가실행(작업중)" xfId="294" xr:uid="{00000000-0005-0000-0000-000025010000}"/>
    <cellStyle name="_입찰표지 _04-가실행(작업중1)" xfId="295" xr:uid="{00000000-0005-0000-0000-000026010000}"/>
    <cellStyle name="_입찰표지 _1차 기성 내역서 0612023" xfId="296" xr:uid="{00000000-0005-0000-0000-000027010000}"/>
    <cellStyle name="_입찰표지 _3차네고견적(061017-1)" xfId="297" xr:uid="{00000000-0005-0000-0000-000028010000}"/>
    <cellStyle name="_입찰표지 _KT견적요청" xfId="298" xr:uid="{00000000-0005-0000-0000-000029010000}"/>
    <cellStyle name="_입찰표지 _가실행" xfId="299" xr:uid="{00000000-0005-0000-0000-00002A010000}"/>
    <cellStyle name="_입찰표지 _건축내역서(가경)" xfId="300" xr:uid="{00000000-0005-0000-0000-00002B010000}"/>
    <cellStyle name="_입찰표지 _검암2차사전공사(본사검토) " xfId="301" xr:uid="{00000000-0005-0000-0000-00002C010000}"/>
    <cellStyle name="_입찰표지 _검암2차사전공사(본사검토) _1차 기성 내역서 0612023" xfId="302" xr:uid="{00000000-0005-0000-0000-00002D010000}"/>
    <cellStyle name="_입찰표지 _검암2차사전공사(본사검토) _3차네고견적(061017-1)" xfId="303" xr:uid="{00000000-0005-0000-0000-00002E010000}"/>
    <cellStyle name="_입찰표지 _검암2차사전공사(본사검토) _문화센타" xfId="304" xr:uid="{00000000-0005-0000-0000-00002F010000}"/>
    <cellStyle name="_입찰표지 _검암2차사전공사(본사검토) _총괄내역표" xfId="305" xr:uid="{00000000-0005-0000-0000-000030010000}"/>
    <cellStyle name="_입찰표지 _문화센타" xfId="306" xr:uid="{00000000-0005-0000-0000-000031010000}"/>
    <cellStyle name="_입찰표지 _부천소사점내역서" xfId="307" xr:uid="{00000000-0005-0000-0000-000032010000}"/>
    <cellStyle name="_입찰표지 _비교표(시화,청주)" xfId="308" xr:uid="{00000000-0005-0000-0000-000033010000}"/>
    <cellStyle name="_입찰표지 _비교표(청주가경점)" xfId="309" xr:uid="{00000000-0005-0000-0000-000034010000}"/>
    <cellStyle name="_입찰표지 _사전공사(토목본사검토) " xfId="310" xr:uid="{00000000-0005-0000-0000-000035010000}"/>
    <cellStyle name="_입찰표지 _사전공사(토목본사검토) _1차 기성 내역서 0612023" xfId="311" xr:uid="{00000000-0005-0000-0000-000036010000}"/>
    <cellStyle name="_입찰표지 _사전공사(토목본사검토) _3차네고견적(061017-1)" xfId="312" xr:uid="{00000000-0005-0000-0000-000037010000}"/>
    <cellStyle name="_입찰표지 _사전공사(토목본사검토) _문화센타" xfId="313" xr:uid="{00000000-0005-0000-0000-000038010000}"/>
    <cellStyle name="_입찰표지 _수원-가실행" xfId="314" xr:uid="{00000000-0005-0000-0000-000039010000}"/>
    <cellStyle name="_입찰표지 _순천점내역서" xfId="315" xr:uid="{00000000-0005-0000-0000-00003A010000}"/>
    <cellStyle name="_입찰표지 _이행각서" xfId="316" xr:uid="{00000000-0005-0000-0000-00003B010000}"/>
    <cellStyle name="_입찰표지 _총괄내역표" xfId="317" xr:uid="{00000000-0005-0000-0000-00003C010000}"/>
    <cellStyle name="_입찰표지 _포기각서" xfId="318" xr:uid="{00000000-0005-0000-0000-00003D010000}"/>
    <cellStyle name="_입찰표지 _현설양식" xfId="319" xr:uid="{00000000-0005-0000-0000-00003E010000}"/>
    <cellStyle name="_입찰표지 _현장설명" xfId="320" xr:uid="{00000000-0005-0000-0000-00003F010000}"/>
    <cellStyle name="_입찰품의" xfId="321" xr:uid="{00000000-0005-0000-0000-000040010000}"/>
    <cellStyle name="_입찰품의(HANG LUNG)" xfId="322" xr:uid="{00000000-0005-0000-0000-000041010000}"/>
    <cellStyle name="_입찰품의(HANG LUNG-Rev1)" xfId="323" xr:uid="{00000000-0005-0000-0000-000042010000}"/>
    <cellStyle name="_입찰품의(KIL)" xfId="324" xr:uid="{00000000-0005-0000-0000-000043010000}"/>
    <cellStyle name="_자료01-공통가설" xfId="325" xr:uid="{00000000-0005-0000-0000-000044010000}"/>
    <cellStyle name="_자료03-대안수량조정실행대비표" xfId="326" xr:uid="{00000000-0005-0000-0000-000045010000}"/>
    <cellStyle name="_자료06-토목공사" xfId="327" xr:uid="{00000000-0005-0000-0000-000046010000}"/>
    <cellStyle name="_자재단가의뢰" xfId="328" xr:uid="{00000000-0005-0000-0000-000047010000}"/>
    <cellStyle name="_작업01-조경공사0709" xfId="329" xr:uid="{00000000-0005-0000-0000-000048010000}"/>
    <cellStyle name="_장지도급(공종분개)-결재용" xfId="330" xr:uid="{00000000-0005-0000-0000-000049010000}"/>
    <cellStyle name="_적격 " xfId="331" xr:uid="{00000000-0005-0000-0000-00004A010000}"/>
    <cellStyle name="_적격 _04028적산수량집계" xfId="332" xr:uid="{00000000-0005-0000-0000-00004B010000}"/>
    <cellStyle name="_적격 _04-가실행(작업중)" xfId="333" xr:uid="{00000000-0005-0000-0000-00004C010000}"/>
    <cellStyle name="_적격 _04-가실행(작업중1)" xfId="334" xr:uid="{00000000-0005-0000-0000-00004D010000}"/>
    <cellStyle name="_적격 _1차 기성 내역서 0612023" xfId="335" xr:uid="{00000000-0005-0000-0000-00004E010000}"/>
    <cellStyle name="_적격 _3차네고견적(061017-1)" xfId="336" xr:uid="{00000000-0005-0000-0000-00004F010000}"/>
    <cellStyle name="_적격 _KT견적요청" xfId="337" xr:uid="{00000000-0005-0000-0000-000050010000}"/>
    <cellStyle name="_적격 _가실행" xfId="338" xr:uid="{00000000-0005-0000-0000-000051010000}"/>
    <cellStyle name="_적격 _건축내역서(가경)" xfId="339" xr:uid="{00000000-0005-0000-0000-000052010000}"/>
    <cellStyle name="_적격 _문화센타" xfId="340" xr:uid="{00000000-0005-0000-0000-000053010000}"/>
    <cellStyle name="_적격 _부천소사점내역서" xfId="341" xr:uid="{00000000-0005-0000-0000-000054010000}"/>
    <cellStyle name="_적격 _비교표(시화,청주)" xfId="342" xr:uid="{00000000-0005-0000-0000-000055010000}"/>
    <cellStyle name="_적격 _비교표(청주가경점)" xfId="343" xr:uid="{00000000-0005-0000-0000-000056010000}"/>
    <cellStyle name="_적격 _수원-가실행" xfId="344" xr:uid="{00000000-0005-0000-0000-000057010000}"/>
    <cellStyle name="_적격 _순천점내역서" xfId="345" xr:uid="{00000000-0005-0000-0000-000058010000}"/>
    <cellStyle name="_적격 _집행갑지 " xfId="346" xr:uid="{00000000-0005-0000-0000-000059010000}"/>
    <cellStyle name="_적격 _집행갑지 _1차 기성 내역서 0612023" xfId="347" xr:uid="{00000000-0005-0000-0000-00005A010000}"/>
    <cellStyle name="_적격 _집행갑지 _3차네고견적(061017-1)" xfId="348" xr:uid="{00000000-0005-0000-0000-00005B010000}"/>
    <cellStyle name="_적격 _집행갑지 _건축내역서(가경)" xfId="349" xr:uid="{00000000-0005-0000-0000-00005C010000}"/>
    <cellStyle name="_적격 _집행갑지 _문화센타" xfId="350" xr:uid="{00000000-0005-0000-0000-00005D010000}"/>
    <cellStyle name="_적격 _집행갑지 _부천소사점내역서" xfId="351" xr:uid="{00000000-0005-0000-0000-00005E010000}"/>
    <cellStyle name="_적격 _집행갑지 _비교표(시화,청주)" xfId="352" xr:uid="{00000000-0005-0000-0000-00005F010000}"/>
    <cellStyle name="_적격 _집행갑지 _비교표(청주가경점)" xfId="353" xr:uid="{00000000-0005-0000-0000-000060010000}"/>
    <cellStyle name="_적격 _집행갑지 _순천점내역서" xfId="354" xr:uid="{00000000-0005-0000-0000-000061010000}"/>
    <cellStyle name="_적격(화산) " xfId="355" xr:uid="{00000000-0005-0000-0000-000062010000}"/>
    <cellStyle name="_적격(화산) _04028적산수량집계" xfId="356" xr:uid="{00000000-0005-0000-0000-000063010000}"/>
    <cellStyle name="_적격(화산) _04-가실행(작업중)" xfId="357" xr:uid="{00000000-0005-0000-0000-000064010000}"/>
    <cellStyle name="_적격(화산) _04-가실행(작업중1)" xfId="358" xr:uid="{00000000-0005-0000-0000-000065010000}"/>
    <cellStyle name="_적격(화산) _1차 기성 내역서 0612023" xfId="359" xr:uid="{00000000-0005-0000-0000-000066010000}"/>
    <cellStyle name="_적격(화산) _3차네고견적(061017-1)" xfId="360" xr:uid="{00000000-0005-0000-0000-000067010000}"/>
    <cellStyle name="_적격(화산) _KT견적요청" xfId="361" xr:uid="{00000000-0005-0000-0000-000068010000}"/>
    <cellStyle name="_적격(화산) _가실행" xfId="362" xr:uid="{00000000-0005-0000-0000-000069010000}"/>
    <cellStyle name="_적격(화산) _건축내역서(가경)" xfId="363" xr:uid="{00000000-0005-0000-0000-00006A010000}"/>
    <cellStyle name="_적격(화산) _검암2차사전공사(본사검토) " xfId="364" xr:uid="{00000000-0005-0000-0000-00006B010000}"/>
    <cellStyle name="_적격(화산) _검암2차사전공사(본사검토) _1차 기성 내역서 0612023" xfId="365" xr:uid="{00000000-0005-0000-0000-00006C010000}"/>
    <cellStyle name="_적격(화산) _검암2차사전공사(본사검토) _3차네고견적(061017-1)" xfId="366" xr:uid="{00000000-0005-0000-0000-00006D010000}"/>
    <cellStyle name="_적격(화산) _검암2차사전공사(본사검토) _문화센타" xfId="367" xr:uid="{00000000-0005-0000-0000-00006E010000}"/>
    <cellStyle name="_적격(화산) _문화센타" xfId="368" xr:uid="{00000000-0005-0000-0000-00006F010000}"/>
    <cellStyle name="_적격(화산) _부천소사점내역서" xfId="369" xr:uid="{00000000-0005-0000-0000-000070010000}"/>
    <cellStyle name="_적격(화산) _비교표(시화,청주)" xfId="370" xr:uid="{00000000-0005-0000-0000-000071010000}"/>
    <cellStyle name="_적격(화산) _비교표(청주가경점)" xfId="371" xr:uid="{00000000-0005-0000-0000-000072010000}"/>
    <cellStyle name="_적격(화산) _사전공사(토목본사검토) " xfId="372" xr:uid="{00000000-0005-0000-0000-000073010000}"/>
    <cellStyle name="_적격(화산) _사전공사(토목본사검토) _1차 기성 내역서 0612023" xfId="373" xr:uid="{00000000-0005-0000-0000-000074010000}"/>
    <cellStyle name="_적격(화산) _사전공사(토목본사검토) _3차네고견적(061017-1)" xfId="374" xr:uid="{00000000-0005-0000-0000-000075010000}"/>
    <cellStyle name="_적격(화산) _사전공사(토목본사검토) _문화센타" xfId="375" xr:uid="{00000000-0005-0000-0000-000076010000}"/>
    <cellStyle name="_적격(화산) _수원-가실행" xfId="376" xr:uid="{00000000-0005-0000-0000-000077010000}"/>
    <cellStyle name="_적격(화산) _순천점내역서" xfId="377" xr:uid="{00000000-0005-0000-0000-000078010000}"/>
    <cellStyle name="_적격(화산) _이행각서" xfId="378" xr:uid="{00000000-0005-0000-0000-000079010000}"/>
    <cellStyle name="_적격(화산) _포기각서" xfId="379" xr:uid="{00000000-0005-0000-0000-00007A010000}"/>
    <cellStyle name="_적격(화산) _현설양식" xfId="380" xr:uid="{00000000-0005-0000-0000-00007B010000}"/>
    <cellStyle name="_적격(화산) _현장설명" xfId="381" xr:uid="{00000000-0005-0000-0000-00007C010000}"/>
    <cellStyle name="_점수산정총괄(조달청)" xfId="382" xr:uid="{00000000-0005-0000-0000-00007D010000}"/>
    <cellStyle name="_정보통신미장(051115)" xfId="383" xr:uid="{00000000-0005-0000-0000-00007E010000}"/>
    <cellStyle name="_정보통신수장(바닥-051115)" xfId="384" xr:uid="{00000000-0005-0000-0000-00007F010000}"/>
    <cellStyle name="_정보통신수장(바닥-051115)_1차 기성 내역서 0612023" xfId="385" xr:uid="{00000000-0005-0000-0000-000080010000}"/>
    <cellStyle name="_정보통신수장(바닥-051115)_3차네고견적(061017-1)" xfId="386" xr:uid="{00000000-0005-0000-0000-000081010000}"/>
    <cellStyle name="_정보통신수장(바닥-051115)_문화센타" xfId="387" xr:uid="{00000000-0005-0000-0000-000082010000}"/>
    <cellStyle name="_정보통신수장(바닥-051122)" xfId="388" xr:uid="{00000000-0005-0000-0000-000083010000}"/>
    <cellStyle name="_정보통신수장(바닥-051122)_1차 기성 내역서 0612023" xfId="389" xr:uid="{00000000-0005-0000-0000-000084010000}"/>
    <cellStyle name="_정보통신수장(바닥-051122)_3차네고견적(061017-1)" xfId="390" xr:uid="{00000000-0005-0000-0000-000085010000}"/>
    <cellStyle name="_정보통신수장(바닥-051122)_문화센타" xfId="391" xr:uid="{00000000-0005-0000-0000-000086010000}"/>
    <cellStyle name="_정보통신수장(벽,천정-051122)" xfId="392" xr:uid="{00000000-0005-0000-0000-000087010000}"/>
    <cellStyle name="_정보통신수장(벽,천정-051122)_1차 기성 내역서 0612023" xfId="393" xr:uid="{00000000-0005-0000-0000-000088010000}"/>
    <cellStyle name="_정보통신수장(벽,천정-051122)_3차네고견적(061017-1)" xfId="394" xr:uid="{00000000-0005-0000-0000-000089010000}"/>
    <cellStyle name="_정보통신수장(벽,천정-051122)_문화센타" xfId="395" xr:uid="{00000000-0005-0000-0000-00008A010000}"/>
    <cellStyle name="_제출(2.25)" xfId="396" xr:uid="{00000000-0005-0000-0000-00008B010000}"/>
    <cellStyle name="_제출완료-공항운송가실행(0919)" xfId="397" xr:uid="{00000000-0005-0000-0000-00008C010000}"/>
    <cellStyle name="_조직표및인원투입" xfId="398" xr:uid="{00000000-0005-0000-0000-00008D010000}"/>
    <cellStyle name="_중동TC현설" xfId="399" xr:uid="{00000000-0005-0000-0000-00008E010000}"/>
    <cellStyle name="_중동골조현설" xfId="400" xr:uid="{00000000-0005-0000-0000-00008F010000}"/>
    <cellStyle name="_집계" xfId="401" xr:uid="{00000000-0005-0000-0000-000090010000}"/>
    <cellStyle name="_집행갑지 " xfId="402" xr:uid="{00000000-0005-0000-0000-000091010000}"/>
    <cellStyle name="_집행갑지 _1차 기성 내역서 0612023" xfId="403" xr:uid="{00000000-0005-0000-0000-000092010000}"/>
    <cellStyle name="_집행갑지 _3차네고견적(061017-1)" xfId="404" xr:uid="{00000000-0005-0000-0000-000093010000}"/>
    <cellStyle name="_집행갑지 _건축내역서(가경)" xfId="405" xr:uid="{00000000-0005-0000-0000-000094010000}"/>
    <cellStyle name="_집행갑지 _문화센타" xfId="406" xr:uid="{00000000-0005-0000-0000-000095010000}"/>
    <cellStyle name="_집행갑지 _부천소사점내역서" xfId="407" xr:uid="{00000000-0005-0000-0000-000096010000}"/>
    <cellStyle name="_집행갑지 _비교표(시화,청주)" xfId="408" xr:uid="{00000000-0005-0000-0000-000097010000}"/>
    <cellStyle name="_집행갑지 _비교표(청주가경점)" xfId="409" xr:uid="{00000000-0005-0000-0000-000098010000}"/>
    <cellStyle name="_집행갑지 _순천점내역서" xfId="410" xr:uid="{00000000-0005-0000-0000-000099010000}"/>
    <cellStyle name="_집행-유성" xfId="411" xr:uid="{00000000-0005-0000-0000-00009A010000}"/>
    <cellStyle name="_집행-유성_건축내역서(가경)" xfId="412" xr:uid="{00000000-0005-0000-0000-00009B010000}"/>
    <cellStyle name="_집행-유성_부천소사점내역서" xfId="413" xr:uid="{00000000-0005-0000-0000-00009C010000}"/>
    <cellStyle name="_집행-유성_비교표(시화,청주)" xfId="414" xr:uid="{00000000-0005-0000-0000-00009D010000}"/>
    <cellStyle name="_집행-유성_비교표(청주가경점)" xfId="415" xr:uid="{00000000-0005-0000-0000-00009E010000}"/>
    <cellStyle name="_집행-유성_순천점내역서" xfId="416" xr:uid="{00000000-0005-0000-0000-00009F010000}"/>
    <cellStyle name="_참고" xfId="417" xr:uid="{00000000-0005-0000-0000-0000A0010000}"/>
    <cellStyle name="_참고01-50억대안제시" xfId="418" xr:uid="{00000000-0005-0000-0000-0000A1010000}"/>
    <cellStyle name="_참고02-당초가실행" xfId="419" xr:uid="{00000000-0005-0000-0000-0000A2010000}"/>
    <cellStyle name="_철콘견적대비수정2(2002.12.10)" xfId="420" xr:uid="{00000000-0005-0000-0000-0000A3010000}"/>
    <cellStyle name="_철콘공내역서5" xfId="421" xr:uid="{00000000-0005-0000-0000-0000A4010000}"/>
    <cellStyle name="_최종보고-파주완료030401" xfId="422" xr:uid="{00000000-0005-0000-0000-0000A5010000}"/>
    <cellStyle name="_코레노2차-공내역-인테리어공사" xfId="423" xr:uid="{00000000-0005-0000-0000-0000A6010000}"/>
    <cellStyle name="_타일공사" xfId="424" xr:uid="{00000000-0005-0000-0000-0000A7010000}"/>
    <cellStyle name="_타일공사_강제창호 및 잡철공사" xfId="425" xr:uid="{00000000-0005-0000-0000-0000A8010000}"/>
    <cellStyle name="_타일공사_도곡동토공사사발주계획" xfId="426" xr:uid="{00000000-0005-0000-0000-0000A9010000}"/>
    <cellStyle name="_타일공사_인테리어공사 발주계획서" xfId="427" xr:uid="{00000000-0005-0000-0000-0000AA010000}"/>
    <cellStyle name="_타일공사_테라조공사" xfId="428" xr:uid="{00000000-0005-0000-0000-0000AB010000}"/>
    <cellStyle name="_타일공사_테라조공사_강제창호 및 잡철공사" xfId="429" xr:uid="{00000000-0005-0000-0000-0000AC010000}"/>
    <cellStyle name="_타일공사_테라조공사_도곡동토공사사발주계획" xfId="430" xr:uid="{00000000-0005-0000-0000-0000AD010000}"/>
    <cellStyle name="_타일공사_테라조공사_인테리어공사 발주계획서" xfId="431" xr:uid="{00000000-0005-0000-0000-0000AE010000}"/>
    <cellStyle name="_타일공사_테라조공사_토공사발주" xfId="432" xr:uid="{00000000-0005-0000-0000-0000AF010000}"/>
    <cellStyle name="_타일공사_토공사발주" xfId="433" xr:uid="{00000000-0005-0000-0000-0000B0010000}"/>
    <cellStyle name="_토공및흙막이공사" xfId="434" xr:uid="{00000000-0005-0000-0000-0000B1010000}"/>
    <cellStyle name="_토공사발주" xfId="435" xr:uid="{00000000-0005-0000-0000-0000B2010000}"/>
    <cellStyle name="_투팔양식" xfId="436" xr:uid="{00000000-0005-0000-0000-0000B3010000}"/>
    <cellStyle name="_파주출판물개략완료" xfId="437" xr:uid="{00000000-0005-0000-0000-0000B4010000}"/>
    <cellStyle name="_파주출판물개략완료Ⅲ" xfId="438" xr:uid="{00000000-0005-0000-0000-0000B5010000}"/>
    <cellStyle name="_평당공사비(05.26)" xfId="439" xr:uid="{00000000-0005-0000-0000-0000B6010000}"/>
    <cellStyle name="_평택화학중대(본실행)" xfId="440" xr:uid="{00000000-0005-0000-0000-0000B7010000}"/>
    <cellStyle name="_포기각서" xfId="441" xr:uid="{00000000-0005-0000-0000-0000B8010000}"/>
    <cellStyle name="_하나로정보센터 견적(각층별 최종)" xfId="442" xr:uid="{00000000-0005-0000-0000-0000B9010000}"/>
    <cellStyle name="_하도급승인요청(금속기와공사)" xfId="443" xr:uid="{00000000-0005-0000-0000-0000BA010000}"/>
    <cellStyle name="_한남정산" xfId="444" xr:uid="{00000000-0005-0000-0000-0000BB010000}"/>
    <cellStyle name="_현설양식" xfId="445" xr:uid="{00000000-0005-0000-0000-0000BC010000}"/>
    <cellStyle name="_현장설명" xfId="446" xr:uid="{00000000-0005-0000-0000-0000BD010000}"/>
    <cellStyle name="_현장설명서" xfId="447" xr:uid="{00000000-0005-0000-0000-0000BE010000}"/>
    <cellStyle name="_현장설명서-지하수개발" xfId="448" xr:uid="{00000000-0005-0000-0000-0000BF010000}"/>
    <cellStyle name="_현장완료" xfId="449" xr:uid="{00000000-0005-0000-0000-0000C0010000}"/>
    <cellStyle name="_호수건설내역서20040403" xfId="450" xr:uid="{00000000-0005-0000-0000-0000C1010000}"/>
    <cellStyle name="_홈플러스 대구칠성점 내역서 " xfId="451" xr:uid="{00000000-0005-0000-0000-0000C2010000}"/>
    <cellStyle name="_화성태안아파트" xfId="452" xr:uid="{00000000-0005-0000-0000-0000C3010000}"/>
    <cellStyle name="_황제의 실행0623최종결재용" xfId="453" xr:uid="{00000000-0005-0000-0000-0000C4010000}"/>
    <cellStyle name="¡¾¨u￠￢ⓒ÷A¨u," xfId="454" xr:uid="{00000000-0005-0000-0000-0000C5010000}"/>
    <cellStyle name="’E‰Y [0.00]_laroux" xfId="455" xr:uid="{00000000-0005-0000-0000-0000C6010000}"/>
    <cellStyle name="’E‰Y_laroux" xfId="456" xr:uid="{00000000-0005-0000-0000-0000C7010000}"/>
    <cellStyle name="¤@?e_TEST-1 " xfId="457" xr:uid="{00000000-0005-0000-0000-0000C8010000}"/>
    <cellStyle name="\MNPREF32.DLL&amp;" xfId="458" xr:uid="{00000000-0005-0000-0000-0000C9010000}"/>
    <cellStyle name="+,-,0" xfId="459" xr:uid="{00000000-0005-0000-0000-0000CA010000}"/>
    <cellStyle name="±a°e" xfId="460" xr:uid="{00000000-0005-0000-0000-0000CB010000}"/>
    <cellStyle name="△ []" xfId="461" xr:uid="{00000000-0005-0000-0000-0000CC010000}"/>
    <cellStyle name="△ [0]" xfId="462" xr:uid="{00000000-0005-0000-0000-0000CD010000}"/>
    <cellStyle name="△백분율" xfId="463" xr:uid="{00000000-0005-0000-0000-0000CE010000}"/>
    <cellStyle name="△콤마" xfId="464" xr:uid="{00000000-0005-0000-0000-0000CF010000}"/>
    <cellStyle name="°ßAu" xfId="465" xr:uid="{00000000-0005-0000-0000-0000D0010000}"/>
    <cellStyle name="µÚ¿¡ ¿À´Â ÇÏÀÌÆÛ¸µÅ©" xfId="466" xr:uid="{00000000-0005-0000-0000-0000D1010000}"/>
    <cellStyle name="æØè [0.00]_PRODUCT DETAIL Q1" xfId="467" xr:uid="{00000000-0005-0000-0000-0000D2010000}"/>
    <cellStyle name="æØè_PRODUCT DETAIL Q1" xfId="468" xr:uid="{00000000-0005-0000-0000-0000D3010000}"/>
    <cellStyle name="ÊÝ [0.00]_PRODUCT DETAIL Q1" xfId="469" xr:uid="{00000000-0005-0000-0000-0000D4010000}"/>
    <cellStyle name="ÊÝ_PRODUCT DETAIL Q1" xfId="470" xr:uid="{00000000-0005-0000-0000-0000D5010000}"/>
    <cellStyle name="W?_BOOKSHIP" xfId="471" xr:uid="{00000000-0005-0000-0000-0000D6010000}"/>
    <cellStyle name="0" xfId="472" xr:uid="{00000000-0005-0000-0000-0000D7010000}"/>
    <cellStyle name="0,0_x000d__x000a_NA_x000d__x000a_" xfId="473" xr:uid="{00000000-0005-0000-0000-0000D8010000}"/>
    <cellStyle name="0.0" xfId="474" xr:uid="{00000000-0005-0000-0000-0000D9010000}"/>
    <cellStyle name="0.00" xfId="475" xr:uid="{00000000-0005-0000-0000-0000DA010000}"/>
    <cellStyle name="00" xfId="476" xr:uid="{00000000-0005-0000-0000-0000DB010000}"/>
    <cellStyle name="1" xfId="477" xr:uid="{00000000-0005-0000-0000-0000DC010000}"/>
    <cellStyle name="1_total" xfId="478" xr:uid="{00000000-0005-0000-0000-0000DD010000}"/>
    <cellStyle name="1_total_1차 기성 내역서 0612023" xfId="479" xr:uid="{00000000-0005-0000-0000-0000DE010000}"/>
    <cellStyle name="1_total_3차네고견적(061017-1)" xfId="480" xr:uid="{00000000-0005-0000-0000-0000DF010000}"/>
    <cellStyle name="1_total_Sheet1" xfId="481" xr:uid="{00000000-0005-0000-0000-0000E0010000}"/>
    <cellStyle name="1_total_Sheet1_1차 기성 내역서 0612023" xfId="482" xr:uid="{00000000-0005-0000-0000-0000E1010000}"/>
    <cellStyle name="1_total_Sheet1_3차네고견적(061017-1)" xfId="483" xr:uid="{00000000-0005-0000-0000-0000E2010000}"/>
    <cellStyle name="1_total_갑지0601" xfId="484" xr:uid="{00000000-0005-0000-0000-0000E3010000}"/>
    <cellStyle name="1_total_갑지0601_00갑지" xfId="485" xr:uid="{00000000-0005-0000-0000-0000E4010000}"/>
    <cellStyle name="1_total_갑지0601_00갑지_1차 기성 내역서 0612023" xfId="486" xr:uid="{00000000-0005-0000-0000-0000E5010000}"/>
    <cellStyle name="1_total_갑지0601_00갑지_3차네고견적(061017-1)" xfId="487" xr:uid="{00000000-0005-0000-0000-0000E6010000}"/>
    <cellStyle name="1_total_갑지0601_00갑지_백화점화장실인테리어" xfId="488" xr:uid="{00000000-0005-0000-0000-0000E7010000}"/>
    <cellStyle name="1_total_갑지0601_00갑지_백화점화장실인테리어_1차 기성 내역서 0612023" xfId="489" xr:uid="{00000000-0005-0000-0000-0000E8010000}"/>
    <cellStyle name="1_total_갑지0601_00갑지_백화점화장실인테리어_3차네고견적(061017-1)" xfId="490" xr:uid="{00000000-0005-0000-0000-0000E9010000}"/>
    <cellStyle name="1_total_갑지0601_00갑지_설계내역서" xfId="491" xr:uid="{00000000-0005-0000-0000-0000EA010000}"/>
    <cellStyle name="1_total_갑지0601_00갑지_설계내역서_1차 기성 내역서 0612023" xfId="492" xr:uid="{00000000-0005-0000-0000-0000EB010000}"/>
    <cellStyle name="1_total_갑지0601_00갑지_설계내역서_3차네고견적(061017-1)" xfId="493" xr:uid="{00000000-0005-0000-0000-0000EC010000}"/>
    <cellStyle name="1_total_갑지0601_00갑지_설계내역서_백화점화장실인테리어" xfId="494" xr:uid="{00000000-0005-0000-0000-0000ED010000}"/>
    <cellStyle name="1_total_갑지0601_00갑지_설계내역서_백화점화장실인테리어_1차 기성 내역서 0612023" xfId="495" xr:uid="{00000000-0005-0000-0000-0000EE010000}"/>
    <cellStyle name="1_total_갑지0601_00갑지_설계내역서_백화점화장실인테리어_3차네고견적(061017-1)" xfId="496" xr:uid="{00000000-0005-0000-0000-0000EF010000}"/>
    <cellStyle name="1_total_갑지0601_00갑지_설계내역서_화명조경" xfId="497" xr:uid="{00000000-0005-0000-0000-0000F0010000}"/>
    <cellStyle name="1_total_갑지0601_00갑지_설계내역서_화명조경_1차 기성 내역서 0612023" xfId="498" xr:uid="{00000000-0005-0000-0000-0000F1010000}"/>
    <cellStyle name="1_total_갑지0601_00갑지_설계내역서_화명조경_3차네고견적(061017-1)" xfId="499" xr:uid="{00000000-0005-0000-0000-0000F2010000}"/>
    <cellStyle name="1_total_갑지0601_00갑지_설계내역서_화명조경_백화점화장실인테리어" xfId="500" xr:uid="{00000000-0005-0000-0000-0000F3010000}"/>
    <cellStyle name="1_total_갑지0601_00갑지_설계내역서_화명조경_백화점화장실인테리어_1차 기성 내역서 0612023" xfId="501" xr:uid="{00000000-0005-0000-0000-0000F4010000}"/>
    <cellStyle name="1_total_갑지0601_00갑지_설계내역서_화명조경_백화점화장실인테리어_3차네고견적(061017-1)" xfId="502" xr:uid="{00000000-0005-0000-0000-0000F5010000}"/>
    <cellStyle name="1_total_갑지0601_00갑지_설계내역서1월7일" xfId="503" xr:uid="{00000000-0005-0000-0000-0000F6010000}"/>
    <cellStyle name="1_total_갑지0601_00갑지_설계내역서1월7일_1차 기성 내역서 0612023" xfId="504" xr:uid="{00000000-0005-0000-0000-0000F7010000}"/>
    <cellStyle name="1_total_갑지0601_00갑지_설계내역서1월7일_3차네고견적(061017-1)" xfId="505" xr:uid="{00000000-0005-0000-0000-0000F8010000}"/>
    <cellStyle name="1_total_갑지0601_00갑지_설계내역서1월7일_백화점화장실인테리어" xfId="506" xr:uid="{00000000-0005-0000-0000-0000F9010000}"/>
    <cellStyle name="1_total_갑지0601_00갑지_설계내역서1월7일_백화점화장실인테리어_1차 기성 내역서 0612023" xfId="507" xr:uid="{00000000-0005-0000-0000-0000FA010000}"/>
    <cellStyle name="1_total_갑지0601_00갑지_설계내역서1월7일_백화점화장실인테리어_3차네고견적(061017-1)" xfId="508" xr:uid="{00000000-0005-0000-0000-0000FB010000}"/>
    <cellStyle name="1_total_갑지0601_00갑지_설계내역서1월7일_화명조경" xfId="509" xr:uid="{00000000-0005-0000-0000-0000FC010000}"/>
    <cellStyle name="1_total_갑지0601_00갑지_설계내역서1월7일_화명조경_1차 기성 내역서 0612023" xfId="510" xr:uid="{00000000-0005-0000-0000-0000FD010000}"/>
    <cellStyle name="1_total_갑지0601_00갑지_설계내역서1월7일_화명조경_3차네고견적(061017-1)" xfId="511" xr:uid="{00000000-0005-0000-0000-0000FE010000}"/>
    <cellStyle name="1_total_갑지0601_00갑지_설계내역서1월7일_화명조경_백화점화장실인테리어" xfId="512" xr:uid="{00000000-0005-0000-0000-0000FF010000}"/>
    <cellStyle name="1_total_갑지0601_00갑지_설계내역서1월7일_화명조경_백화점화장실인테리어_1차 기성 내역서 0612023" xfId="513" xr:uid="{00000000-0005-0000-0000-000000020000}"/>
    <cellStyle name="1_total_갑지0601_00갑지_설계내역서1월7일_화명조경_백화점화장실인테리어_3차네고견적(061017-1)" xfId="514" xr:uid="{00000000-0005-0000-0000-000001020000}"/>
    <cellStyle name="1_total_갑지0601_00갑지_화명조경" xfId="515" xr:uid="{00000000-0005-0000-0000-000002020000}"/>
    <cellStyle name="1_total_갑지0601_00갑지_화명조경_1차 기성 내역서 0612023" xfId="516" xr:uid="{00000000-0005-0000-0000-000003020000}"/>
    <cellStyle name="1_total_갑지0601_00갑지_화명조경_3차네고견적(061017-1)" xfId="517" xr:uid="{00000000-0005-0000-0000-000004020000}"/>
    <cellStyle name="1_total_갑지0601_00갑지_화명조경_백화점화장실인테리어" xfId="518" xr:uid="{00000000-0005-0000-0000-000005020000}"/>
    <cellStyle name="1_total_갑지0601_00갑지_화명조경_백화점화장실인테리어_1차 기성 내역서 0612023" xfId="519" xr:uid="{00000000-0005-0000-0000-000006020000}"/>
    <cellStyle name="1_total_갑지0601_00갑지_화명조경_백화점화장실인테리어_3차네고견적(061017-1)" xfId="520" xr:uid="{00000000-0005-0000-0000-000007020000}"/>
    <cellStyle name="1_total_갑지0601_1차 기성 내역서 0612023" xfId="521" xr:uid="{00000000-0005-0000-0000-000008020000}"/>
    <cellStyle name="1_total_갑지0601_3차네고견적(061017-1)" xfId="522" xr:uid="{00000000-0005-0000-0000-000009020000}"/>
    <cellStyle name="1_total_갑지0601_과천놀이터설계서" xfId="523" xr:uid="{00000000-0005-0000-0000-00000A020000}"/>
    <cellStyle name="1_total_갑지0601_과천놀이터설계서_1차 기성 내역서 0612023" xfId="524" xr:uid="{00000000-0005-0000-0000-00000B020000}"/>
    <cellStyle name="1_total_갑지0601_과천놀이터설계서_3차네고견적(061017-1)" xfId="525" xr:uid="{00000000-0005-0000-0000-00000C020000}"/>
    <cellStyle name="1_total_갑지0601_과천놀이터설계서_백화점화장실인테리어" xfId="526" xr:uid="{00000000-0005-0000-0000-00000D020000}"/>
    <cellStyle name="1_total_갑지0601_과천놀이터설계서_백화점화장실인테리어_1차 기성 내역서 0612023" xfId="527" xr:uid="{00000000-0005-0000-0000-00000E020000}"/>
    <cellStyle name="1_total_갑지0601_과천놀이터설계서_백화점화장실인테리어_3차네고견적(061017-1)" xfId="528" xr:uid="{00000000-0005-0000-0000-00000F020000}"/>
    <cellStyle name="1_total_갑지0601_과천놀이터설계서_설계내역서" xfId="529" xr:uid="{00000000-0005-0000-0000-000010020000}"/>
    <cellStyle name="1_total_갑지0601_과천놀이터설계서_설계내역서_1차 기성 내역서 0612023" xfId="530" xr:uid="{00000000-0005-0000-0000-000011020000}"/>
    <cellStyle name="1_total_갑지0601_과천놀이터설계서_설계내역서_3차네고견적(061017-1)" xfId="531" xr:uid="{00000000-0005-0000-0000-000012020000}"/>
    <cellStyle name="1_total_갑지0601_과천놀이터설계서_설계내역서_백화점화장실인테리어" xfId="532" xr:uid="{00000000-0005-0000-0000-000013020000}"/>
    <cellStyle name="1_total_갑지0601_과천놀이터설계서_설계내역서_백화점화장실인테리어_1차 기성 내역서 0612023" xfId="533" xr:uid="{00000000-0005-0000-0000-000014020000}"/>
    <cellStyle name="1_total_갑지0601_과천놀이터설계서_설계내역서_백화점화장실인테리어_3차네고견적(061017-1)" xfId="534" xr:uid="{00000000-0005-0000-0000-000015020000}"/>
    <cellStyle name="1_total_갑지0601_과천놀이터설계서_설계내역서_화명조경" xfId="535" xr:uid="{00000000-0005-0000-0000-000016020000}"/>
    <cellStyle name="1_total_갑지0601_과천놀이터설계서_설계내역서_화명조경_1차 기성 내역서 0612023" xfId="536" xr:uid="{00000000-0005-0000-0000-000017020000}"/>
    <cellStyle name="1_total_갑지0601_과천놀이터설계서_설계내역서_화명조경_3차네고견적(061017-1)" xfId="537" xr:uid="{00000000-0005-0000-0000-000018020000}"/>
    <cellStyle name="1_total_갑지0601_과천놀이터설계서_설계내역서_화명조경_백화점화장실인테리어" xfId="538" xr:uid="{00000000-0005-0000-0000-000019020000}"/>
    <cellStyle name="1_total_갑지0601_과천놀이터설계서_설계내역서_화명조경_백화점화장실인테리어_1차 기성 내역서 0612023" xfId="539" xr:uid="{00000000-0005-0000-0000-00001A020000}"/>
    <cellStyle name="1_total_갑지0601_과천놀이터설계서_설계내역서_화명조경_백화점화장실인테리어_3차네고견적(061017-1)" xfId="540" xr:uid="{00000000-0005-0000-0000-00001B020000}"/>
    <cellStyle name="1_total_갑지0601_과천놀이터설계서_설계내역서1월7일" xfId="541" xr:uid="{00000000-0005-0000-0000-00001C020000}"/>
    <cellStyle name="1_total_갑지0601_과천놀이터설계서_설계내역서1월7일_1차 기성 내역서 0612023" xfId="542" xr:uid="{00000000-0005-0000-0000-00001D020000}"/>
    <cellStyle name="1_total_갑지0601_과천놀이터설계서_설계내역서1월7일_3차네고견적(061017-1)" xfId="543" xr:uid="{00000000-0005-0000-0000-00001E020000}"/>
    <cellStyle name="1_total_갑지0601_과천놀이터설계서_설계내역서1월7일_백화점화장실인테리어" xfId="544" xr:uid="{00000000-0005-0000-0000-00001F020000}"/>
    <cellStyle name="1_total_갑지0601_과천놀이터설계서_설계내역서1월7일_백화점화장실인테리어_1차 기성 내역서 0612023" xfId="545" xr:uid="{00000000-0005-0000-0000-000020020000}"/>
    <cellStyle name="1_total_갑지0601_과천놀이터설계서_설계내역서1월7일_백화점화장실인테리어_3차네고견적(061017-1)" xfId="546" xr:uid="{00000000-0005-0000-0000-000021020000}"/>
    <cellStyle name="1_total_갑지0601_과천놀이터설계서_설계내역서1월7일_화명조경" xfId="547" xr:uid="{00000000-0005-0000-0000-000022020000}"/>
    <cellStyle name="1_total_갑지0601_과천놀이터설계서_설계내역서1월7일_화명조경_1차 기성 내역서 0612023" xfId="548" xr:uid="{00000000-0005-0000-0000-000023020000}"/>
    <cellStyle name="1_total_갑지0601_과천놀이터설계서_설계내역서1월7일_화명조경_3차네고견적(061017-1)" xfId="549" xr:uid="{00000000-0005-0000-0000-000024020000}"/>
    <cellStyle name="1_total_갑지0601_과천놀이터설계서_설계내역서1월7일_화명조경_백화점화장실인테리어" xfId="550" xr:uid="{00000000-0005-0000-0000-000025020000}"/>
    <cellStyle name="1_total_갑지0601_과천놀이터설계서_설계내역서1월7일_화명조경_백화점화장실인테리어_1차 기성 내역서 0612023" xfId="551" xr:uid="{00000000-0005-0000-0000-000026020000}"/>
    <cellStyle name="1_total_갑지0601_과천놀이터설계서_설계내역서1월7일_화명조경_백화점화장실인테리어_3차네고견적(061017-1)" xfId="552" xr:uid="{00000000-0005-0000-0000-000027020000}"/>
    <cellStyle name="1_total_갑지0601_과천놀이터설계서_화명조경" xfId="553" xr:uid="{00000000-0005-0000-0000-000028020000}"/>
    <cellStyle name="1_total_갑지0601_과천놀이터설계서_화명조경_1차 기성 내역서 0612023" xfId="554" xr:uid="{00000000-0005-0000-0000-000029020000}"/>
    <cellStyle name="1_total_갑지0601_과천놀이터설계서_화명조경_3차네고견적(061017-1)" xfId="555" xr:uid="{00000000-0005-0000-0000-00002A020000}"/>
    <cellStyle name="1_total_갑지0601_과천놀이터설계서_화명조경_백화점화장실인테리어" xfId="556" xr:uid="{00000000-0005-0000-0000-00002B020000}"/>
    <cellStyle name="1_total_갑지0601_과천놀이터설계서_화명조경_백화점화장실인테리어_1차 기성 내역서 0612023" xfId="557" xr:uid="{00000000-0005-0000-0000-00002C020000}"/>
    <cellStyle name="1_total_갑지0601_과천놀이터설계서_화명조경_백화점화장실인테리어_3차네고견적(061017-1)" xfId="558" xr:uid="{00000000-0005-0000-0000-00002D020000}"/>
    <cellStyle name="1_total_갑지0601_백화점화장실인테리어" xfId="559" xr:uid="{00000000-0005-0000-0000-00002E020000}"/>
    <cellStyle name="1_total_갑지0601_백화점화장실인테리어_1차 기성 내역서 0612023" xfId="560" xr:uid="{00000000-0005-0000-0000-00002F020000}"/>
    <cellStyle name="1_total_갑지0601_백화점화장실인테리어_3차네고견적(061017-1)" xfId="561" xr:uid="{00000000-0005-0000-0000-000030020000}"/>
    <cellStyle name="1_total_갑지0601_총괄갑지" xfId="562" xr:uid="{00000000-0005-0000-0000-000031020000}"/>
    <cellStyle name="1_total_갑지0601_총괄갑지_1차 기성 내역서 0612023" xfId="563" xr:uid="{00000000-0005-0000-0000-000032020000}"/>
    <cellStyle name="1_total_갑지0601_총괄갑지_3차네고견적(061017-1)" xfId="564" xr:uid="{00000000-0005-0000-0000-000033020000}"/>
    <cellStyle name="1_total_갑지0601_총괄갑지_백화점화장실인테리어" xfId="565" xr:uid="{00000000-0005-0000-0000-000034020000}"/>
    <cellStyle name="1_total_갑지0601_총괄갑지_백화점화장실인테리어_1차 기성 내역서 0612023" xfId="566" xr:uid="{00000000-0005-0000-0000-000035020000}"/>
    <cellStyle name="1_total_갑지0601_총괄갑지_백화점화장실인테리어_3차네고견적(061017-1)" xfId="567" xr:uid="{00000000-0005-0000-0000-000036020000}"/>
    <cellStyle name="1_total_갑지0601_총괄갑지_설계내역서" xfId="568" xr:uid="{00000000-0005-0000-0000-000037020000}"/>
    <cellStyle name="1_total_갑지0601_총괄갑지_설계내역서_1차 기성 내역서 0612023" xfId="569" xr:uid="{00000000-0005-0000-0000-000038020000}"/>
    <cellStyle name="1_total_갑지0601_총괄갑지_설계내역서_3차네고견적(061017-1)" xfId="570" xr:uid="{00000000-0005-0000-0000-000039020000}"/>
    <cellStyle name="1_total_갑지0601_총괄갑지_설계내역서_백화점화장실인테리어" xfId="571" xr:uid="{00000000-0005-0000-0000-00003A020000}"/>
    <cellStyle name="1_total_갑지0601_총괄갑지_설계내역서_백화점화장실인테리어_1차 기성 내역서 0612023" xfId="572" xr:uid="{00000000-0005-0000-0000-00003B020000}"/>
    <cellStyle name="1_total_갑지0601_총괄갑지_설계내역서_백화점화장실인테리어_3차네고견적(061017-1)" xfId="573" xr:uid="{00000000-0005-0000-0000-00003C020000}"/>
    <cellStyle name="1_total_갑지0601_총괄갑지_설계내역서_화명조경" xfId="574" xr:uid="{00000000-0005-0000-0000-00003D020000}"/>
    <cellStyle name="1_total_갑지0601_총괄갑지_설계내역서_화명조경_1차 기성 내역서 0612023" xfId="575" xr:uid="{00000000-0005-0000-0000-00003E020000}"/>
    <cellStyle name="1_total_갑지0601_총괄갑지_설계내역서_화명조경_3차네고견적(061017-1)" xfId="576" xr:uid="{00000000-0005-0000-0000-00003F020000}"/>
    <cellStyle name="1_total_갑지0601_총괄갑지_설계내역서_화명조경_백화점화장실인테리어" xfId="577" xr:uid="{00000000-0005-0000-0000-000040020000}"/>
    <cellStyle name="1_total_갑지0601_총괄갑지_설계내역서_화명조경_백화점화장실인테리어_1차 기성 내역서 0612023" xfId="578" xr:uid="{00000000-0005-0000-0000-000041020000}"/>
    <cellStyle name="1_total_갑지0601_총괄갑지_설계내역서_화명조경_백화점화장실인테리어_3차네고견적(061017-1)" xfId="579" xr:uid="{00000000-0005-0000-0000-000042020000}"/>
    <cellStyle name="1_total_갑지0601_총괄갑지_설계내역서1월7일" xfId="580" xr:uid="{00000000-0005-0000-0000-000043020000}"/>
    <cellStyle name="1_total_갑지0601_총괄갑지_설계내역서1월7일_1차 기성 내역서 0612023" xfId="581" xr:uid="{00000000-0005-0000-0000-000044020000}"/>
    <cellStyle name="1_total_갑지0601_총괄갑지_설계내역서1월7일_3차네고견적(061017-1)" xfId="582" xr:uid="{00000000-0005-0000-0000-000045020000}"/>
    <cellStyle name="1_total_갑지0601_총괄갑지_설계내역서1월7일_백화점화장실인테리어" xfId="583" xr:uid="{00000000-0005-0000-0000-000046020000}"/>
    <cellStyle name="1_total_갑지0601_총괄갑지_설계내역서1월7일_백화점화장실인테리어_1차 기성 내역서 0612023" xfId="584" xr:uid="{00000000-0005-0000-0000-000047020000}"/>
    <cellStyle name="1_total_갑지0601_총괄갑지_설계내역서1월7일_백화점화장실인테리어_3차네고견적(061017-1)" xfId="585" xr:uid="{00000000-0005-0000-0000-000048020000}"/>
    <cellStyle name="1_total_갑지0601_총괄갑지_설계내역서1월7일_화명조경" xfId="586" xr:uid="{00000000-0005-0000-0000-000049020000}"/>
    <cellStyle name="1_total_갑지0601_총괄갑지_설계내역서1월7일_화명조경_1차 기성 내역서 0612023" xfId="587" xr:uid="{00000000-0005-0000-0000-00004A020000}"/>
    <cellStyle name="1_total_갑지0601_총괄갑지_설계내역서1월7일_화명조경_3차네고견적(061017-1)" xfId="588" xr:uid="{00000000-0005-0000-0000-00004B020000}"/>
    <cellStyle name="1_total_갑지0601_총괄갑지_설계내역서1월7일_화명조경_백화점화장실인테리어" xfId="589" xr:uid="{00000000-0005-0000-0000-00004C020000}"/>
    <cellStyle name="1_total_갑지0601_총괄갑지_설계내역서1월7일_화명조경_백화점화장실인테리어_1차 기성 내역서 0612023" xfId="590" xr:uid="{00000000-0005-0000-0000-00004D020000}"/>
    <cellStyle name="1_total_갑지0601_총괄갑지_설계내역서1월7일_화명조경_백화점화장실인테리어_3차네고견적(061017-1)" xfId="591" xr:uid="{00000000-0005-0000-0000-00004E020000}"/>
    <cellStyle name="1_total_갑지0601_총괄갑지_화명조경" xfId="592" xr:uid="{00000000-0005-0000-0000-00004F020000}"/>
    <cellStyle name="1_total_갑지0601_총괄갑지_화명조경_1차 기성 내역서 0612023" xfId="593" xr:uid="{00000000-0005-0000-0000-000050020000}"/>
    <cellStyle name="1_total_갑지0601_총괄갑지_화명조경_3차네고견적(061017-1)" xfId="594" xr:uid="{00000000-0005-0000-0000-000051020000}"/>
    <cellStyle name="1_total_갑지0601_총괄갑지_화명조경_백화점화장실인테리어" xfId="595" xr:uid="{00000000-0005-0000-0000-000052020000}"/>
    <cellStyle name="1_total_갑지0601_총괄갑지_화명조경_백화점화장실인테리어_1차 기성 내역서 0612023" xfId="596" xr:uid="{00000000-0005-0000-0000-000053020000}"/>
    <cellStyle name="1_total_갑지0601_총괄갑지_화명조경_백화점화장실인테리어_3차네고견적(061017-1)" xfId="597" xr:uid="{00000000-0005-0000-0000-000054020000}"/>
    <cellStyle name="1_total_갑지0601_총괄내역서" xfId="598" xr:uid="{00000000-0005-0000-0000-000055020000}"/>
    <cellStyle name="1_total_갑지0601_총괄내역서_1차 기성 내역서 0612023" xfId="599" xr:uid="{00000000-0005-0000-0000-000056020000}"/>
    <cellStyle name="1_total_갑지0601_총괄내역서_3차네고견적(061017-1)" xfId="600" xr:uid="{00000000-0005-0000-0000-000057020000}"/>
    <cellStyle name="1_total_갑지0601_총괄내역서_백화점화장실인테리어" xfId="601" xr:uid="{00000000-0005-0000-0000-000058020000}"/>
    <cellStyle name="1_total_갑지0601_총괄내역서_백화점화장실인테리어_1차 기성 내역서 0612023" xfId="602" xr:uid="{00000000-0005-0000-0000-000059020000}"/>
    <cellStyle name="1_total_갑지0601_총괄내역서_백화점화장실인테리어_3차네고견적(061017-1)" xfId="603" xr:uid="{00000000-0005-0000-0000-00005A020000}"/>
    <cellStyle name="1_total_갑지0601_총괄내역서_설계내역서" xfId="604" xr:uid="{00000000-0005-0000-0000-00005B020000}"/>
    <cellStyle name="1_total_갑지0601_총괄내역서_설계내역서_1차 기성 내역서 0612023" xfId="605" xr:uid="{00000000-0005-0000-0000-00005C020000}"/>
    <cellStyle name="1_total_갑지0601_총괄내역서_설계내역서_3차네고견적(061017-1)" xfId="606" xr:uid="{00000000-0005-0000-0000-00005D020000}"/>
    <cellStyle name="1_total_갑지0601_총괄내역서_설계내역서_백화점화장실인테리어" xfId="607" xr:uid="{00000000-0005-0000-0000-00005E020000}"/>
    <cellStyle name="1_total_갑지0601_총괄내역서_설계내역서_백화점화장실인테리어_1차 기성 내역서 0612023" xfId="608" xr:uid="{00000000-0005-0000-0000-00005F020000}"/>
    <cellStyle name="1_total_갑지0601_총괄내역서_설계내역서_백화점화장실인테리어_3차네고견적(061017-1)" xfId="609" xr:uid="{00000000-0005-0000-0000-000060020000}"/>
    <cellStyle name="1_total_갑지0601_총괄내역서_설계내역서_화명조경" xfId="610" xr:uid="{00000000-0005-0000-0000-000061020000}"/>
    <cellStyle name="1_total_갑지0601_총괄내역서_설계내역서_화명조경_1차 기성 내역서 0612023" xfId="611" xr:uid="{00000000-0005-0000-0000-000062020000}"/>
    <cellStyle name="1_total_갑지0601_총괄내역서_설계내역서_화명조경_3차네고견적(061017-1)" xfId="612" xr:uid="{00000000-0005-0000-0000-000063020000}"/>
    <cellStyle name="1_total_갑지0601_총괄내역서_설계내역서_화명조경_백화점화장실인테리어" xfId="613" xr:uid="{00000000-0005-0000-0000-000064020000}"/>
    <cellStyle name="1_total_갑지0601_총괄내역서_설계내역서_화명조경_백화점화장실인테리어_1차 기성 내역서 0612023" xfId="614" xr:uid="{00000000-0005-0000-0000-000065020000}"/>
    <cellStyle name="1_total_갑지0601_총괄내역서_설계내역서_화명조경_백화점화장실인테리어_3차네고견적(061017-1)" xfId="615" xr:uid="{00000000-0005-0000-0000-000066020000}"/>
    <cellStyle name="1_total_갑지0601_총괄내역서_설계내역서1월7일" xfId="616" xr:uid="{00000000-0005-0000-0000-000067020000}"/>
    <cellStyle name="1_total_갑지0601_총괄내역서_설계내역서1월7일_1차 기성 내역서 0612023" xfId="617" xr:uid="{00000000-0005-0000-0000-000068020000}"/>
    <cellStyle name="1_total_갑지0601_총괄내역서_설계내역서1월7일_3차네고견적(061017-1)" xfId="618" xr:uid="{00000000-0005-0000-0000-000069020000}"/>
    <cellStyle name="1_total_갑지0601_총괄내역서_설계내역서1월7일_백화점화장실인테리어" xfId="619" xr:uid="{00000000-0005-0000-0000-00006A020000}"/>
    <cellStyle name="1_total_갑지0601_총괄내역서_설계내역서1월7일_백화점화장실인테리어_1차 기성 내역서 0612023" xfId="620" xr:uid="{00000000-0005-0000-0000-00006B020000}"/>
    <cellStyle name="1_total_갑지0601_총괄내역서_설계내역서1월7일_백화점화장실인테리어_3차네고견적(061017-1)" xfId="621" xr:uid="{00000000-0005-0000-0000-00006C020000}"/>
    <cellStyle name="1_total_갑지0601_총괄내역서_설계내역서1월7일_화명조경" xfId="622" xr:uid="{00000000-0005-0000-0000-00006D020000}"/>
    <cellStyle name="1_total_갑지0601_총괄내역서_설계내역서1월7일_화명조경_1차 기성 내역서 0612023" xfId="623" xr:uid="{00000000-0005-0000-0000-00006E020000}"/>
    <cellStyle name="1_total_갑지0601_총괄내역서_설계내역서1월7일_화명조경_3차네고견적(061017-1)" xfId="624" xr:uid="{00000000-0005-0000-0000-00006F020000}"/>
    <cellStyle name="1_total_갑지0601_총괄내역서_설계내역서1월7일_화명조경_백화점화장실인테리어" xfId="625" xr:uid="{00000000-0005-0000-0000-000070020000}"/>
    <cellStyle name="1_total_갑지0601_총괄내역서_설계내역서1월7일_화명조경_백화점화장실인테리어_1차 기성 내역서 0612023" xfId="626" xr:uid="{00000000-0005-0000-0000-000071020000}"/>
    <cellStyle name="1_total_갑지0601_총괄내역서_설계내역서1월7일_화명조경_백화점화장실인테리어_3차네고견적(061017-1)" xfId="627" xr:uid="{00000000-0005-0000-0000-000072020000}"/>
    <cellStyle name="1_total_갑지0601_총괄내역서_화명조경" xfId="628" xr:uid="{00000000-0005-0000-0000-000073020000}"/>
    <cellStyle name="1_total_갑지0601_총괄내역서_화명조경_1차 기성 내역서 0612023" xfId="629" xr:uid="{00000000-0005-0000-0000-000074020000}"/>
    <cellStyle name="1_total_갑지0601_총괄내역서_화명조경_3차네고견적(061017-1)" xfId="630" xr:uid="{00000000-0005-0000-0000-000075020000}"/>
    <cellStyle name="1_total_갑지0601_총괄내역서_화명조경_백화점화장실인테리어" xfId="631" xr:uid="{00000000-0005-0000-0000-000076020000}"/>
    <cellStyle name="1_total_갑지0601_총괄내역서_화명조경_백화점화장실인테리어_1차 기성 내역서 0612023" xfId="632" xr:uid="{00000000-0005-0000-0000-000077020000}"/>
    <cellStyle name="1_total_갑지0601_총괄내역서_화명조경_백화점화장실인테리어_3차네고견적(061017-1)" xfId="633" xr:uid="{00000000-0005-0000-0000-000078020000}"/>
    <cellStyle name="1_total_갑지0601_화명조경" xfId="634" xr:uid="{00000000-0005-0000-0000-000079020000}"/>
    <cellStyle name="1_total_갑지0601_화명조경_1차 기성 내역서 0612023" xfId="635" xr:uid="{00000000-0005-0000-0000-00007A020000}"/>
    <cellStyle name="1_total_갑지0601_화명조경_3차네고견적(061017-1)" xfId="636" xr:uid="{00000000-0005-0000-0000-00007B020000}"/>
    <cellStyle name="1_total_갑지0601_화명조경_백화점화장실인테리어" xfId="637" xr:uid="{00000000-0005-0000-0000-00007C020000}"/>
    <cellStyle name="1_total_갑지0601_화명조경_백화점화장실인테리어_1차 기성 내역서 0612023" xfId="638" xr:uid="{00000000-0005-0000-0000-00007D020000}"/>
    <cellStyle name="1_total_갑지0601_화명조경_백화점화장실인테리어_3차네고견적(061017-1)" xfId="639" xr:uid="{00000000-0005-0000-0000-00007E020000}"/>
    <cellStyle name="1_total_백화점화장실인테리어" xfId="640" xr:uid="{00000000-0005-0000-0000-00007F020000}"/>
    <cellStyle name="1_total_백화점화장실인테리어_1차 기성 내역서 0612023" xfId="641" xr:uid="{00000000-0005-0000-0000-000080020000}"/>
    <cellStyle name="1_total_백화점화장실인테리어_3차네고견적(061017-1)" xfId="642" xr:uid="{00000000-0005-0000-0000-000081020000}"/>
    <cellStyle name="1_total_설계내역서" xfId="643" xr:uid="{00000000-0005-0000-0000-000082020000}"/>
    <cellStyle name="1_total_설계내역서_1차 기성 내역서 0612023" xfId="644" xr:uid="{00000000-0005-0000-0000-000083020000}"/>
    <cellStyle name="1_total_설계내역서_3차네고견적(061017-1)" xfId="645" xr:uid="{00000000-0005-0000-0000-000084020000}"/>
    <cellStyle name="1_total_설계내역서_백화점화장실인테리어" xfId="646" xr:uid="{00000000-0005-0000-0000-000085020000}"/>
    <cellStyle name="1_total_설계내역서_백화점화장실인테리어_1차 기성 내역서 0612023" xfId="647" xr:uid="{00000000-0005-0000-0000-000086020000}"/>
    <cellStyle name="1_total_설계내역서_백화점화장실인테리어_3차네고견적(061017-1)" xfId="648" xr:uid="{00000000-0005-0000-0000-000087020000}"/>
    <cellStyle name="1_total_설계내역서_화명조경" xfId="649" xr:uid="{00000000-0005-0000-0000-000088020000}"/>
    <cellStyle name="1_total_설계내역서_화명조경_1차 기성 내역서 0612023" xfId="650" xr:uid="{00000000-0005-0000-0000-000089020000}"/>
    <cellStyle name="1_total_설계내역서_화명조경_3차네고견적(061017-1)" xfId="651" xr:uid="{00000000-0005-0000-0000-00008A020000}"/>
    <cellStyle name="1_total_설계내역서_화명조경_백화점화장실인테리어" xfId="652" xr:uid="{00000000-0005-0000-0000-00008B020000}"/>
    <cellStyle name="1_total_설계내역서_화명조경_백화점화장실인테리어_1차 기성 내역서 0612023" xfId="653" xr:uid="{00000000-0005-0000-0000-00008C020000}"/>
    <cellStyle name="1_total_설계내역서_화명조경_백화점화장실인테리어_3차네고견적(061017-1)" xfId="654" xr:uid="{00000000-0005-0000-0000-00008D020000}"/>
    <cellStyle name="1_total_설계내역서1월7일" xfId="655" xr:uid="{00000000-0005-0000-0000-00008E020000}"/>
    <cellStyle name="1_total_설계내역서1월7일_1차 기성 내역서 0612023" xfId="656" xr:uid="{00000000-0005-0000-0000-00008F020000}"/>
    <cellStyle name="1_total_설계내역서1월7일_3차네고견적(061017-1)" xfId="657" xr:uid="{00000000-0005-0000-0000-000090020000}"/>
    <cellStyle name="1_total_설계내역서1월7일_백화점화장실인테리어" xfId="658" xr:uid="{00000000-0005-0000-0000-000091020000}"/>
    <cellStyle name="1_total_설계내역서1월7일_백화점화장실인테리어_1차 기성 내역서 0612023" xfId="659" xr:uid="{00000000-0005-0000-0000-000092020000}"/>
    <cellStyle name="1_total_설계내역서1월7일_백화점화장실인테리어_3차네고견적(061017-1)" xfId="660" xr:uid="{00000000-0005-0000-0000-000093020000}"/>
    <cellStyle name="1_total_설계내역서1월7일_화명조경" xfId="661" xr:uid="{00000000-0005-0000-0000-000094020000}"/>
    <cellStyle name="1_total_설계내역서1월7일_화명조경_1차 기성 내역서 0612023" xfId="662" xr:uid="{00000000-0005-0000-0000-000095020000}"/>
    <cellStyle name="1_total_설계내역서1월7일_화명조경_3차네고견적(061017-1)" xfId="663" xr:uid="{00000000-0005-0000-0000-000096020000}"/>
    <cellStyle name="1_total_설계내역서1월7일_화명조경_백화점화장실인테리어" xfId="664" xr:uid="{00000000-0005-0000-0000-000097020000}"/>
    <cellStyle name="1_total_설계내역서1월7일_화명조경_백화점화장실인테리어_1차 기성 내역서 0612023" xfId="665" xr:uid="{00000000-0005-0000-0000-000098020000}"/>
    <cellStyle name="1_total_설계내역서1월7일_화명조경_백화점화장실인테리어_3차네고견적(061017-1)" xfId="666" xr:uid="{00000000-0005-0000-0000-000099020000}"/>
    <cellStyle name="1_total_수원변경수량산출" xfId="667" xr:uid="{00000000-0005-0000-0000-00009A020000}"/>
    <cellStyle name="1_total_수원변경수량산출_1차 기성 내역서 0612023" xfId="668" xr:uid="{00000000-0005-0000-0000-00009B020000}"/>
    <cellStyle name="1_total_수원변경수량산출_3차네고견적(061017-1)" xfId="669" xr:uid="{00000000-0005-0000-0000-00009C020000}"/>
    <cellStyle name="1_total_수원변경수량산출_백화점화장실인테리어" xfId="670" xr:uid="{00000000-0005-0000-0000-00009D020000}"/>
    <cellStyle name="1_total_수원변경수량산출_백화점화장실인테리어_1차 기성 내역서 0612023" xfId="671" xr:uid="{00000000-0005-0000-0000-00009E020000}"/>
    <cellStyle name="1_total_수원변경수량산출_백화점화장실인테리어_3차네고견적(061017-1)" xfId="672" xr:uid="{00000000-0005-0000-0000-00009F020000}"/>
    <cellStyle name="1_total_수원변경수량산출_설계내역서" xfId="673" xr:uid="{00000000-0005-0000-0000-0000A0020000}"/>
    <cellStyle name="1_total_수원변경수량산출_설계내역서_1차 기성 내역서 0612023" xfId="674" xr:uid="{00000000-0005-0000-0000-0000A1020000}"/>
    <cellStyle name="1_total_수원변경수량산출_설계내역서_3차네고견적(061017-1)" xfId="675" xr:uid="{00000000-0005-0000-0000-0000A2020000}"/>
    <cellStyle name="1_total_수원변경수량산출_설계내역서_백화점화장실인테리어" xfId="676" xr:uid="{00000000-0005-0000-0000-0000A3020000}"/>
    <cellStyle name="1_total_수원변경수량산출_설계내역서_백화점화장실인테리어_1차 기성 내역서 0612023" xfId="677" xr:uid="{00000000-0005-0000-0000-0000A4020000}"/>
    <cellStyle name="1_total_수원변경수량산출_설계내역서_백화점화장실인테리어_3차네고견적(061017-1)" xfId="678" xr:uid="{00000000-0005-0000-0000-0000A5020000}"/>
    <cellStyle name="1_total_수원변경수량산출_설계내역서_화명조경" xfId="679" xr:uid="{00000000-0005-0000-0000-0000A6020000}"/>
    <cellStyle name="1_total_수원변경수량산출_설계내역서_화명조경_1차 기성 내역서 0612023" xfId="680" xr:uid="{00000000-0005-0000-0000-0000A7020000}"/>
    <cellStyle name="1_total_수원변경수량산출_설계내역서_화명조경_3차네고견적(061017-1)" xfId="681" xr:uid="{00000000-0005-0000-0000-0000A8020000}"/>
    <cellStyle name="1_total_수원변경수량산출_설계내역서_화명조경_백화점화장실인테리어" xfId="682" xr:uid="{00000000-0005-0000-0000-0000A9020000}"/>
    <cellStyle name="1_total_수원변경수량산출_설계내역서_화명조경_백화점화장실인테리어_1차 기성 내역서 0612023" xfId="683" xr:uid="{00000000-0005-0000-0000-0000AA020000}"/>
    <cellStyle name="1_total_수원변경수량산출_설계내역서_화명조경_백화점화장실인테리어_3차네고견적(061017-1)" xfId="684" xr:uid="{00000000-0005-0000-0000-0000AB020000}"/>
    <cellStyle name="1_total_수원변경수량산출_설계내역서1월7일" xfId="685" xr:uid="{00000000-0005-0000-0000-0000AC020000}"/>
    <cellStyle name="1_total_수원변경수량산출_설계내역서1월7일_1차 기성 내역서 0612023" xfId="686" xr:uid="{00000000-0005-0000-0000-0000AD020000}"/>
    <cellStyle name="1_total_수원변경수량산출_설계내역서1월7일_3차네고견적(061017-1)" xfId="687" xr:uid="{00000000-0005-0000-0000-0000AE020000}"/>
    <cellStyle name="1_total_수원변경수량산출_설계내역서1월7일_백화점화장실인테리어" xfId="688" xr:uid="{00000000-0005-0000-0000-0000AF020000}"/>
    <cellStyle name="1_total_수원변경수량산출_설계내역서1월7일_백화점화장실인테리어_1차 기성 내역서 0612023" xfId="689" xr:uid="{00000000-0005-0000-0000-0000B0020000}"/>
    <cellStyle name="1_total_수원변경수량산출_설계내역서1월7일_백화점화장실인테리어_3차네고견적(061017-1)" xfId="690" xr:uid="{00000000-0005-0000-0000-0000B1020000}"/>
    <cellStyle name="1_total_수원변경수량산출_설계내역서1월7일_화명조경" xfId="691" xr:uid="{00000000-0005-0000-0000-0000B2020000}"/>
    <cellStyle name="1_total_수원변경수량산출_설계내역서1월7일_화명조경_1차 기성 내역서 0612023" xfId="692" xr:uid="{00000000-0005-0000-0000-0000B3020000}"/>
    <cellStyle name="1_total_수원변경수량산출_설계내역서1월7일_화명조경_3차네고견적(061017-1)" xfId="693" xr:uid="{00000000-0005-0000-0000-0000B4020000}"/>
    <cellStyle name="1_total_수원변경수량산출_설계내역서1월7일_화명조경_백화점화장실인테리어" xfId="694" xr:uid="{00000000-0005-0000-0000-0000B5020000}"/>
    <cellStyle name="1_total_수원변경수량산출_설계내역서1월7일_화명조경_백화점화장실인테리어_1차 기성 내역서 0612023" xfId="695" xr:uid="{00000000-0005-0000-0000-0000B6020000}"/>
    <cellStyle name="1_total_수원변경수량산출_설계내역서1월7일_화명조경_백화점화장실인테리어_3차네고견적(061017-1)" xfId="696" xr:uid="{00000000-0005-0000-0000-0000B7020000}"/>
    <cellStyle name="1_total_수원변경수량산출_화명조경" xfId="697" xr:uid="{00000000-0005-0000-0000-0000B8020000}"/>
    <cellStyle name="1_total_수원변경수량산출_화명조경_1차 기성 내역서 0612023" xfId="698" xr:uid="{00000000-0005-0000-0000-0000B9020000}"/>
    <cellStyle name="1_total_수원변경수량산출_화명조경_3차네고견적(061017-1)" xfId="699" xr:uid="{00000000-0005-0000-0000-0000BA020000}"/>
    <cellStyle name="1_total_수원변경수량산출_화명조경_백화점화장실인테리어" xfId="700" xr:uid="{00000000-0005-0000-0000-0000BB020000}"/>
    <cellStyle name="1_total_수원변경수량산출_화명조경_백화점화장실인테리어_1차 기성 내역서 0612023" xfId="701" xr:uid="{00000000-0005-0000-0000-0000BC020000}"/>
    <cellStyle name="1_total_수원변경수량산출_화명조경_백화점화장실인테리어_3차네고견적(061017-1)" xfId="702" xr:uid="{00000000-0005-0000-0000-0000BD020000}"/>
    <cellStyle name="1_total_쌍용수량0905" xfId="703" xr:uid="{00000000-0005-0000-0000-0000BE020000}"/>
    <cellStyle name="1_total_쌍용수량0905_1차 기성 내역서 0612023" xfId="704" xr:uid="{00000000-0005-0000-0000-0000BF020000}"/>
    <cellStyle name="1_total_쌍용수량0905_3차네고견적(061017-1)" xfId="705" xr:uid="{00000000-0005-0000-0000-0000C0020000}"/>
    <cellStyle name="1_total_쌍용수량0905_백화점화장실인테리어" xfId="706" xr:uid="{00000000-0005-0000-0000-0000C1020000}"/>
    <cellStyle name="1_total_쌍용수량0905_백화점화장실인테리어_1차 기성 내역서 0612023" xfId="707" xr:uid="{00000000-0005-0000-0000-0000C2020000}"/>
    <cellStyle name="1_total_쌍용수량0905_백화점화장실인테리어_3차네고견적(061017-1)" xfId="708" xr:uid="{00000000-0005-0000-0000-0000C3020000}"/>
    <cellStyle name="1_total_쌍용수량0905_설계내역서" xfId="709" xr:uid="{00000000-0005-0000-0000-0000C4020000}"/>
    <cellStyle name="1_total_쌍용수량0905_설계내역서_1차 기성 내역서 0612023" xfId="710" xr:uid="{00000000-0005-0000-0000-0000C5020000}"/>
    <cellStyle name="1_total_쌍용수량0905_설계내역서_3차네고견적(061017-1)" xfId="711" xr:uid="{00000000-0005-0000-0000-0000C6020000}"/>
    <cellStyle name="1_total_쌍용수량0905_설계내역서_백화점화장실인테리어" xfId="712" xr:uid="{00000000-0005-0000-0000-0000C7020000}"/>
    <cellStyle name="1_total_쌍용수량0905_설계내역서_백화점화장실인테리어_1차 기성 내역서 0612023" xfId="713" xr:uid="{00000000-0005-0000-0000-0000C8020000}"/>
    <cellStyle name="1_total_쌍용수량0905_설계내역서_백화점화장실인테리어_3차네고견적(061017-1)" xfId="714" xr:uid="{00000000-0005-0000-0000-0000C9020000}"/>
    <cellStyle name="1_total_쌍용수량0905_설계내역서_화명조경" xfId="715" xr:uid="{00000000-0005-0000-0000-0000CA020000}"/>
    <cellStyle name="1_total_쌍용수량0905_설계내역서_화명조경_1차 기성 내역서 0612023" xfId="716" xr:uid="{00000000-0005-0000-0000-0000CB020000}"/>
    <cellStyle name="1_total_쌍용수량0905_설계내역서_화명조경_3차네고견적(061017-1)" xfId="717" xr:uid="{00000000-0005-0000-0000-0000CC020000}"/>
    <cellStyle name="1_total_쌍용수량0905_설계내역서_화명조경_백화점화장실인테리어" xfId="718" xr:uid="{00000000-0005-0000-0000-0000CD020000}"/>
    <cellStyle name="1_total_쌍용수량0905_설계내역서_화명조경_백화점화장실인테리어_1차 기성 내역서 0612023" xfId="719" xr:uid="{00000000-0005-0000-0000-0000CE020000}"/>
    <cellStyle name="1_total_쌍용수량0905_설계내역서_화명조경_백화점화장실인테리어_3차네고견적(061017-1)" xfId="720" xr:uid="{00000000-0005-0000-0000-0000CF020000}"/>
    <cellStyle name="1_total_쌍용수량0905_설계내역서1월7일" xfId="721" xr:uid="{00000000-0005-0000-0000-0000D0020000}"/>
    <cellStyle name="1_total_쌍용수량0905_설계내역서1월7일_1차 기성 내역서 0612023" xfId="722" xr:uid="{00000000-0005-0000-0000-0000D1020000}"/>
    <cellStyle name="1_total_쌍용수량0905_설계내역서1월7일_3차네고견적(061017-1)" xfId="723" xr:uid="{00000000-0005-0000-0000-0000D2020000}"/>
    <cellStyle name="1_total_쌍용수량0905_설계내역서1월7일_백화점화장실인테리어" xfId="724" xr:uid="{00000000-0005-0000-0000-0000D3020000}"/>
    <cellStyle name="1_total_쌍용수량0905_설계내역서1월7일_백화점화장실인테리어_1차 기성 내역서 0612023" xfId="725" xr:uid="{00000000-0005-0000-0000-0000D4020000}"/>
    <cellStyle name="1_total_쌍용수량0905_설계내역서1월7일_백화점화장실인테리어_3차네고견적(061017-1)" xfId="726" xr:uid="{00000000-0005-0000-0000-0000D5020000}"/>
    <cellStyle name="1_total_쌍용수량0905_설계내역서1월7일_화명조경" xfId="727" xr:uid="{00000000-0005-0000-0000-0000D6020000}"/>
    <cellStyle name="1_total_쌍용수량0905_설계내역서1월7일_화명조경_1차 기성 내역서 0612023" xfId="728" xr:uid="{00000000-0005-0000-0000-0000D7020000}"/>
    <cellStyle name="1_total_쌍용수량0905_설계내역서1월7일_화명조경_3차네고견적(061017-1)" xfId="729" xr:uid="{00000000-0005-0000-0000-0000D8020000}"/>
    <cellStyle name="1_total_쌍용수량0905_설계내역서1월7일_화명조경_백화점화장실인테리어" xfId="730" xr:uid="{00000000-0005-0000-0000-0000D9020000}"/>
    <cellStyle name="1_total_쌍용수량0905_설계내역서1월7일_화명조경_백화점화장실인테리어_1차 기성 내역서 0612023" xfId="731" xr:uid="{00000000-0005-0000-0000-0000DA020000}"/>
    <cellStyle name="1_total_쌍용수량0905_설계내역서1월7일_화명조경_백화점화장실인테리어_3차네고견적(061017-1)" xfId="732" xr:uid="{00000000-0005-0000-0000-0000DB020000}"/>
    <cellStyle name="1_total_쌍용수량0905_화명조경" xfId="733" xr:uid="{00000000-0005-0000-0000-0000DC020000}"/>
    <cellStyle name="1_total_쌍용수량0905_화명조경_1차 기성 내역서 0612023" xfId="734" xr:uid="{00000000-0005-0000-0000-0000DD020000}"/>
    <cellStyle name="1_total_쌍용수량0905_화명조경_3차네고견적(061017-1)" xfId="735" xr:uid="{00000000-0005-0000-0000-0000DE020000}"/>
    <cellStyle name="1_total_쌍용수량0905_화명조경_백화점화장실인테리어" xfId="736" xr:uid="{00000000-0005-0000-0000-0000DF020000}"/>
    <cellStyle name="1_total_쌍용수량0905_화명조경_백화점화장실인테리어_1차 기성 내역서 0612023" xfId="737" xr:uid="{00000000-0005-0000-0000-0000E0020000}"/>
    <cellStyle name="1_total_쌍용수량0905_화명조경_백화점화장실인테리어_3차네고견적(061017-1)" xfId="738" xr:uid="{00000000-0005-0000-0000-0000E1020000}"/>
    <cellStyle name="1_total_은파수량집계" xfId="739" xr:uid="{00000000-0005-0000-0000-0000E2020000}"/>
    <cellStyle name="1_total_은파수량집계_1차 기성 내역서 0612023" xfId="740" xr:uid="{00000000-0005-0000-0000-0000E3020000}"/>
    <cellStyle name="1_total_은파수량집계_3차네고견적(061017-1)" xfId="741" xr:uid="{00000000-0005-0000-0000-0000E4020000}"/>
    <cellStyle name="1_total_은파수량집계_백화점화장실인테리어" xfId="742" xr:uid="{00000000-0005-0000-0000-0000E5020000}"/>
    <cellStyle name="1_total_은파수량집계_백화점화장실인테리어_1차 기성 내역서 0612023" xfId="743" xr:uid="{00000000-0005-0000-0000-0000E6020000}"/>
    <cellStyle name="1_total_은파수량집계_백화점화장실인테리어_3차네고견적(061017-1)" xfId="744" xr:uid="{00000000-0005-0000-0000-0000E7020000}"/>
    <cellStyle name="1_total_은파수량집계_설계내역서" xfId="745" xr:uid="{00000000-0005-0000-0000-0000E8020000}"/>
    <cellStyle name="1_total_은파수량집계_설계내역서_1차 기성 내역서 0612023" xfId="746" xr:uid="{00000000-0005-0000-0000-0000E9020000}"/>
    <cellStyle name="1_total_은파수량집계_설계내역서_3차네고견적(061017-1)" xfId="747" xr:uid="{00000000-0005-0000-0000-0000EA020000}"/>
    <cellStyle name="1_total_은파수량집계_설계내역서_백화점화장실인테리어" xfId="748" xr:uid="{00000000-0005-0000-0000-0000EB020000}"/>
    <cellStyle name="1_total_은파수량집계_설계내역서_백화점화장실인테리어_1차 기성 내역서 0612023" xfId="749" xr:uid="{00000000-0005-0000-0000-0000EC020000}"/>
    <cellStyle name="1_total_은파수량집계_설계내역서_백화점화장실인테리어_3차네고견적(061017-1)" xfId="750" xr:uid="{00000000-0005-0000-0000-0000ED020000}"/>
    <cellStyle name="1_total_은파수량집계_설계내역서_화명조경" xfId="751" xr:uid="{00000000-0005-0000-0000-0000EE020000}"/>
    <cellStyle name="1_total_은파수량집계_설계내역서_화명조경_1차 기성 내역서 0612023" xfId="752" xr:uid="{00000000-0005-0000-0000-0000EF020000}"/>
    <cellStyle name="1_total_은파수량집계_설계내역서_화명조경_3차네고견적(061017-1)" xfId="753" xr:uid="{00000000-0005-0000-0000-0000F0020000}"/>
    <cellStyle name="1_total_은파수량집계_설계내역서_화명조경_백화점화장실인테리어" xfId="754" xr:uid="{00000000-0005-0000-0000-0000F1020000}"/>
    <cellStyle name="1_total_은파수량집계_설계내역서_화명조경_백화점화장실인테리어_1차 기성 내역서 0612023" xfId="755" xr:uid="{00000000-0005-0000-0000-0000F2020000}"/>
    <cellStyle name="1_total_은파수량집계_설계내역서_화명조경_백화점화장실인테리어_3차네고견적(061017-1)" xfId="756" xr:uid="{00000000-0005-0000-0000-0000F3020000}"/>
    <cellStyle name="1_total_은파수량집계_설계내역서1월7일" xfId="757" xr:uid="{00000000-0005-0000-0000-0000F4020000}"/>
    <cellStyle name="1_total_은파수량집계_설계내역서1월7일_1차 기성 내역서 0612023" xfId="758" xr:uid="{00000000-0005-0000-0000-0000F5020000}"/>
    <cellStyle name="1_total_은파수량집계_설계내역서1월7일_3차네고견적(061017-1)" xfId="759" xr:uid="{00000000-0005-0000-0000-0000F6020000}"/>
    <cellStyle name="1_total_은파수량집계_설계내역서1월7일_백화점화장실인테리어" xfId="760" xr:uid="{00000000-0005-0000-0000-0000F7020000}"/>
    <cellStyle name="1_total_은파수량집계_설계내역서1월7일_백화점화장실인테리어_1차 기성 내역서 0612023" xfId="761" xr:uid="{00000000-0005-0000-0000-0000F8020000}"/>
    <cellStyle name="1_total_은파수량집계_설계내역서1월7일_백화점화장실인테리어_3차네고견적(061017-1)" xfId="762" xr:uid="{00000000-0005-0000-0000-0000F9020000}"/>
    <cellStyle name="1_total_은파수량집계_설계내역서1월7일_화명조경" xfId="763" xr:uid="{00000000-0005-0000-0000-0000FA020000}"/>
    <cellStyle name="1_total_은파수량집계_설계내역서1월7일_화명조경_1차 기성 내역서 0612023" xfId="764" xr:uid="{00000000-0005-0000-0000-0000FB020000}"/>
    <cellStyle name="1_total_은파수량집계_설계내역서1월7일_화명조경_3차네고견적(061017-1)" xfId="765" xr:uid="{00000000-0005-0000-0000-0000FC020000}"/>
    <cellStyle name="1_total_은파수량집계_설계내역서1월7일_화명조경_백화점화장실인테리어" xfId="766" xr:uid="{00000000-0005-0000-0000-0000FD020000}"/>
    <cellStyle name="1_total_은파수량집계_설계내역서1월7일_화명조경_백화점화장실인테리어_1차 기성 내역서 0612023" xfId="767" xr:uid="{00000000-0005-0000-0000-0000FE020000}"/>
    <cellStyle name="1_total_은파수량집계_설계내역서1월7일_화명조경_백화점화장실인테리어_3차네고견적(061017-1)" xfId="768" xr:uid="{00000000-0005-0000-0000-0000FF020000}"/>
    <cellStyle name="1_total_은파수량집계_화명조경" xfId="769" xr:uid="{00000000-0005-0000-0000-000000030000}"/>
    <cellStyle name="1_total_은파수량집계_화명조경_1차 기성 내역서 0612023" xfId="770" xr:uid="{00000000-0005-0000-0000-000001030000}"/>
    <cellStyle name="1_total_은파수량집계_화명조경_3차네고견적(061017-1)" xfId="771" xr:uid="{00000000-0005-0000-0000-000002030000}"/>
    <cellStyle name="1_total_은파수량집계_화명조경_백화점화장실인테리어" xfId="772" xr:uid="{00000000-0005-0000-0000-000003030000}"/>
    <cellStyle name="1_total_은파수량집계_화명조경_백화점화장실인테리어_1차 기성 내역서 0612023" xfId="773" xr:uid="{00000000-0005-0000-0000-000004030000}"/>
    <cellStyle name="1_total_은파수량집계_화명조경_백화점화장실인테리어_3차네고견적(061017-1)" xfId="774" xr:uid="{00000000-0005-0000-0000-000005030000}"/>
    <cellStyle name="1_total_터미널1-0" xfId="775" xr:uid="{00000000-0005-0000-0000-000006030000}"/>
    <cellStyle name="1_total_터미널1-0_1차 기성 내역서 0612023" xfId="776" xr:uid="{00000000-0005-0000-0000-000007030000}"/>
    <cellStyle name="1_total_터미널1-0_3차네고견적(061017-1)" xfId="777" xr:uid="{00000000-0005-0000-0000-000008030000}"/>
    <cellStyle name="1_total_터미널1-0_백화점화장실인테리어" xfId="778" xr:uid="{00000000-0005-0000-0000-000009030000}"/>
    <cellStyle name="1_total_터미널1-0_백화점화장실인테리어_1차 기성 내역서 0612023" xfId="779" xr:uid="{00000000-0005-0000-0000-00000A030000}"/>
    <cellStyle name="1_total_터미널1-0_백화점화장실인테리어_3차네고견적(061017-1)" xfId="780" xr:uid="{00000000-0005-0000-0000-00000B030000}"/>
    <cellStyle name="1_total_터미널1-0_화명조경" xfId="781" xr:uid="{00000000-0005-0000-0000-00000C030000}"/>
    <cellStyle name="1_total_터미널1-0_화명조경_1차 기성 내역서 0612023" xfId="782" xr:uid="{00000000-0005-0000-0000-00000D030000}"/>
    <cellStyle name="1_total_터미널1-0_화명조경_3차네고견적(061017-1)" xfId="783" xr:uid="{00000000-0005-0000-0000-00000E030000}"/>
    <cellStyle name="1_total_터미널1-0_화명조경_백화점화장실인테리어" xfId="784" xr:uid="{00000000-0005-0000-0000-00000F030000}"/>
    <cellStyle name="1_total_터미널1-0_화명조경_백화점화장실인테리어_1차 기성 내역서 0612023" xfId="785" xr:uid="{00000000-0005-0000-0000-000010030000}"/>
    <cellStyle name="1_total_터미널1-0_화명조경_백화점화장실인테리어_3차네고견적(061017-1)" xfId="786" xr:uid="{00000000-0005-0000-0000-000011030000}"/>
    <cellStyle name="1_total_화명조경" xfId="787" xr:uid="{00000000-0005-0000-0000-000012030000}"/>
    <cellStyle name="1_total_화명조경_1차 기성 내역서 0612023" xfId="788" xr:uid="{00000000-0005-0000-0000-000013030000}"/>
    <cellStyle name="1_total_화명조경_3차네고견적(061017-1)" xfId="789" xr:uid="{00000000-0005-0000-0000-000014030000}"/>
    <cellStyle name="1_total_화명조경_백화점화장실인테리어" xfId="790" xr:uid="{00000000-0005-0000-0000-000015030000}"/>
    <cellStyle name="1_total_화명조경_백화점화장실인테리어_1차 기성 내역서 0612023" xfId="791" xr:uid="{00000000-0005-0000-0000-000016030000}"/>
    <cellStyle name="1_total_화명조경_백화점화장실인테리어_3차네고견적(061017-1)" xfId="792" xr:uid="{00000000-0005-0000-0000-000017030000}"/>
    <cellStyle name="1_tree" xfId="793" xr:uid="{00000000-0005-0000-0000-000018030000}"/>
    <cellStyle name="1_tree_1차 기성 내역서 0612023" xfId="794" xr:uid="{00000000-0005-0000-0000-000019030000}"/>
    <cellStyle name="1_tree_3차네고견적(061017-1)" xfId="795" xr:uid="{00000000-0005-0000-0000-00001A030000}"/>
    <cellStyle name="1_tree_Sheet1" xfId="796" xr:uid="{00000000-0005-0000-0000-00001B030000}"/>
    <cellStyle name="1_tree_Sheet1_1차 기성 내역서 0612023" xfId="797" xr:uid="{00000000-0005-0000-0000-00001C030000}"/>
    <cellStyle name="1_tree_Sheet1_3차네고견적(061017-1)" xfId="798" xr:uid="{00000000-0005-0000-0000-00001D030000}"/>
    <cellStyle name="1_tree_갑지0601" xfId="799" xr:uid="{00000000-0005-0000-0000-00001E030000}"/>
    <cellStyle name="1_tree_갑지0601_00갑지" xfId="800" xr:uid="{00000000-0005-0000-0000-00001F030000}"/>
    <cellStyle name="1_tree_갑지0601_00갑지_1차 기성 내역서 0612023" xfId="801" xr:uid="{00000000-0005-0000-0000-000020030000}"/>
    <cellStyle name="1_tree_갑지0601_00갑지_3차네고견적(061017-1)" xfId="802" xr:uid="{00000000-0005-0000-0000-000021030000}"/>
    <cellStyle name="1_tree_갑지0601_00갑지_백화점화장실인테리어" xfId="803" xr:uid="{00000000-0005-0000-0000-000022030000}"/>
    <cellStyle name="1_tree_갑지0601_00갑지_백화점화장실인테리어_1차 기성 내역서 0612023" xfId="804" xr:uid="{00000000-0005-0000-0000-000023030000}"/>
    <cellStyle name="1_tree_갑지0601_00갑지_백화점화장실인테리어_3차네고견적(061017-1)" xfId="805" xr:uid="{00000000-0005-0000-0000-000024030000}"/>
    <cellStyle name="1_tree_갑지0601_00갑지_설계내역서" xfId="806" xr:uid="{00000000-0005-0000-0000-000025030000}"/>
    <cellStyle name="1_tree_갑지0601_00갑지_설계내역서_1차 기성 내역서 0612023" xfId="807" xr:uid="{00000000-0005-0000-0000-000026030000}"/>
    <cellStyle name="1_tree_갑지0601_00갑지_설계내역서_3차네고견적(061017-1)" xfId="808" xr:uid="{00000000-0005-0000-0000-000027030000}"/>
    <cellStyle name="1_tree_갑지0601_00갑지_설계내역서_백화점화장실인테리어" xfId="809" xr:uid="{00000000-0005-0000-0000-000028030000}"/>
    <cellStyle name="1_tree_갑지0601_00갑지_설계내역서_백화점화장실인테리어_1차 기성 내역서 0612023" xfId="810" xr:uid="{00000000-0005-0000-0000-000029030000}"/>
    <cellStyle name="1_tree_갑지0601_00갑지_설계내역서_백화점화장실인테리어_3차네고견적(061017-1)" xfId="811" xr:uid="{00000000-0005-0000-0000-00002A030000}"/>
    <cellStyle name="1_tree_갑지0601_00갑지_설계내역서_화명조경" xfId="812" xr:uid="{00000000-0005-0000-0000-00002B030000}"/>
    <cellStyle name="1_tree_갑지0601_00갑지_설계내역서_화명조경_1차 기성 내역서 0612023" xfId="813" xr:uid="{00000000-0005-0000-0000-00002C030000}"/>
    <cellStyle name="1_tree_갑지0601_00갑지_설계내역서_화명조경_3차네고견적(061017-1)" xfId="814" xr:uid="{00000000-0005-0000-0000-00002D030000}"/>
    <cellStyle name="1_tree_갑지0601_00갑지_설계내역서_화명조경_백화점화장실인테리어" xfId="815" xr:uid="{00000000-0005-0000-0000-00002E030000}"/>
    <cellStyle name="1_tree_갑지0601_00갑지_설계내역서_화명조경_백화점화장실인테리어_1차 기성 내역서 0612023" xfId="816" xr:uid="{00000000-0005-0000-0000-00002F030000}"/>
    <cellStyle name="1_tree_갑지0601_00갑지_설계내역서_화명조경_백화점화장실인테리어_3차네고견적(061017-1)" xfId="817" xr:uid="{00000000-0005-0000-0000-000030030000}"/>
    <cellStyle name="1_tree_갑지0601_00갑지_설계내역서1월7일" xfId="818" xr:uid="{00000000-0005-0000-0000-000031030000}"/>
    <cellStyle name="1_tree_갑지0601_00갑지_설계내역서1월7일_1차 기성 내역서 0612023" xfId="819" xr:uid="{00000000-0005-0000-0000-000032030000}"/>
    <cellStyle name="1_tree_갑지0601_00갑지_설계내역서1월7일_3차네고견적(061017-1)" xfId="820" xr:uid="{00000000-0005-0000-0000-000033030000}"/>
    <cellStyle name="1_tree_갑지0601_00갑지_설계내역서1월7일_백화점화장실인테리어" xfId="821" xr:uid="{00000000-0005-0000-0000-000034030000}"/>
    <cellStyle name="1_tree_갑지0601_00갑지_설계내역서1월7일_백화점화장실인테리어_1차 기성 내역서 0612023" xfId="822" xr:uid="{00000000-0005-0000-0000-000035030000}"/>
    <cellStyle name="1_tree_갑지0601_00갑지_설계내역서1월7일_백화점화장실인테리어_3차네고견적(061017-1)" xfId="823" xr:uid="{00000000-0005-0000-0000-000036030000}"/>
    <cellStyle name="1_tree_갑지0601_00갑지_설계내역서1월7일_화명조경" xfId="824" xr:uid="{00000000-0005-0000-0000-000037030000}"/>
    <cellStyle name="1_tree_갑지0601_00갑지_설계내역서1월7일_화명조경_1차 기성 내역서 0612023" xfId="825" xr:uid="{00000000-0005-0000-0000-000038030000}"/>
    <cellStyle name="1_tree_갑지0601_00갑지_설계내역서1월7일_화명조경_3차네고견적(061017-1)" xfId="826" xr:uid="{00000000-0005-0000-0000-000039030000}"/>
    <cellStyle name="1_tree_갑지0601_00갑지_설계내역서1월7일_화명조경_백화점화장실인테리어" xfId="827" xr:uid="{00000000-0005-0000-0000-00003A030000}"/>
    <cellStyle name="1_tree_갑지0601_00갑지_설계내역서1월7일_화명조경_백화점화장실인테리어_1차 기성 내역서 0612023" xfId="828" xr:uid="{00000000-0005-0000-0000-00003B030000}"/>
    <cellStyle name="1_tree_갑지0601_00갑지_설계내역서1월7일_화명조경_백화점화장실인테리어_3차네고견적(061017-1)" xfId="829" xr:uid="{00000000-0005-0000-0000-00003C030000}"/>
    <cellStyle name="1_tree_갑지0601_00갑지_화명조경" xfId="830" xr:uid="{00000000-0005-0000-0000-00003D030000}"/>
    <cellStyle name="1_tree_갑지0601_00갑지_화명조경_1차 기성 내역서 0612023" xfId="831" xr:uid="{00000000-0005-0000-0000-00003E030000}"/>
    <cellStyle name="1_tree_갑지0601_00갑지_화명조경_3차네고견적(061017-1)" xfId="832" xr:uid="{00000000-0005-0000-0000-00003F030000}"/>
    <cellStyle name="1_tree_갑지0601_00갑지_화명조경_백화점화장실인테리어" xfId="833" xr:uid="{00000000-0005-0000-0000-000040030000}"/>
    <cellStyle name="1_tree_갑지0601_00갑지_화명조경_백화점화장실인테리어_1차 기성 내역서 0612023" xfId="834" xr:uid="{00000000-0005-0000-0000-000041030000}"/>
    <cellStyle name="1_tree_갑지0601_00갑지_화명조경_백화점화장실인테리어_3차네고견적(061017-1)" xfId="835" xr:uid="{00000000-0005-0000-0000-000042030000}"/>
    <cellStyle name="1_tree_갑지0601_1차 기성 내역서 0612023" xfId="836" xr:uid="{00000000-0005-0000-0000-000043030000}"/>
    <cellStyle name="1_tree_갑지0601_3차네고견적(061017-1)" xfId="837" xr:uid="{00000000-0005-0000-0000-000044030000}"/>
    <cellStyle name="1_tree_갑지0601_과천놀이터설계서" xfId="838" xr:uid="{00000000-0005-0000-0000-000045030000}"/>
    <cellStyle name="1_tree_갑지0601_과천놀이터설계서_1차 기성 내역서 0612023" xfId="839" xr:uid="{00000000-0005-0000-0000-000046030000}"/>
    <cellStyle name="1_tree_갑지0601_과천놀이터설계서_3차네고견적(061017-1)" xfId="840" xr:uid="{00000000-0005-0000-0000-000047030000}"/>
    <cellStyle name="1_tree_갑지0601_과천놀이터설계서_백화점화장실인테리어" xfId="841" xr:uid="{00000000-0005-0000-0000-000048030000}"/>
    <cellStyle name="1_tree_갑지0601_과천놀이터설계서_백화점화장실인테리어_1차 기성 내역서 0612023" xfId="842" xr:uid="{00000000-0005-0000-0000-000049030000}"/>
    <cellStyle name="1_tree_갑지0601_과천놀이터설계서_백화점화장실인테리어_3차네고견적(061017-1)" xfId="843" xr:uid="{00000000-0005-0000-0000-00004A030000}"/>
    <cellStyle name="1_tree_갑지0601_과천놀이터설계서_설계내역서" xfId="844" xr:uid="{00000000-0005-0000-0000-00004B030000}"/>
    <cellStyle name="1_tree_갑지0601_과천놀이터설계서_설계내역서_1차 기성 내역서 0612023" xfId="845" xr:uid="{00000000-0005-0000-0000-00004C030000}"/>
    <cellStyle name="1_tree_갑지0601_과천놀이터설계서_설계내역서_3차네고견적(061017-1)" xfId="846" xr:uid="{00000000-0005-0000-0000-00004D030000}"/>
    <cellStyle name="1_tree_갑지0601_과천놀이터설계서_설계내역서_백화점화장실인테리어" xfId="847" xr:uid="{00000000-0005-0000-0000-00004E030000}"/>
    <cellStyle name="1_tree_갑지0601_과천놀이터설계서_설계내역서_백화점화장실인테리어_1차 기성 내역서 0612023" xfId="848" xr:uid="{00000000-0005-0000-0000-00004F030000}"/>
    <cellStyle name="1_tree_갑지0601_과천놀이터설계서_설계내역서_백화점화장실인테리어_3차네고견적(061017-1)" xfId="849" xr:uid="{00000000-0005-0000-0000-000050030000}"/>
    <cellStyle name="1_tree_갑지0601_과천놀이터설계서_설계내역서_화명조경" xfId="850" xr:uid="{00000000-0005-0000-0000-000051030000}"/>
    <cellStyle name="1_tree_갑지0601_과천놀이터설계서_설계내역서_화명조경_1차 기성 내역서 0612023" xfId="851" xr:uid="{00000000-0005-0000-0000-000052030000}"/>
    <cellStyle name="1_tree_갑지0601_과천놀이터설계서_설계내역서_화명조경_3차네고견적(061017-1)" xfId="852" xr:uid="{00000000-0005-0000-0000-000053030000}"/>
    <cellStyle name="1_tree_갑지0601_과천놀이터설계서_설계내역서_화명조경_백화점화장실인테리어" xfId="853" xr:uid="{00000000-0005-0000-0000-000054030000}"/>
    <cellStyle name="1_tree_갑지0601_과천놀이터설계서_설계내역서_화명조경_백화점화장실인테리어_1차 기성 내역서 0612023" xfId="854" xr:uid="{00000000-0005-0000-0000-000055030000}"/>
    <cellStyle name="1_tree_갑지0601_과천놀이터설계서_설계내역서_화명조경_백화점화장실인테리어_3차네고견적(061017-1)" xfId="855" xr:uid="{00000000-0005-0000-0000-000056030000}"/>
    <cellStyle name="1_tree_갑지0601_과천놀이터설계서_설계내역서1월7일" xfId="856" xr:uid="{00000000-0005-0000-0000-000057030000}"/>
    <cellStyle name="1_tree_갑지0601_과천놀이터설계서_설계내역서1월7일_1차 기성 내역서 0612023" xfId="857" xr:uid="{00000000-0005-0000-0000-000058030000}"/>
    <cellStyle name="1_tree_갑지0601_과천놀이터설계서_설계내역서1월7일_3차네고견적(061017-1)" xfId="858" xr:uid="{00000000-0005-0000-0000-000059030000}"/>
    <cellStyle name="1_tree_갑지0601_과천놀이터설계서_설계내역서1월7일_백화점화장실인테리어" xfId="859" xr:uid="{00000000-0005-0000-0000-00005A030000}"/>
    <cellStyle name="1_tree_갑지0601_과천놀이터설계서_설계내역서1월7일_백화점화장실인테리어_1차 기성 내역서 0612023" xfId="860" xr:uid="{00000000-0005-0000-0000-00005B030000}"/>
    <cellStyle name="1_tree_갑지0601_과천놀이터설계서_설계내역서1월7일_백화점화장실인테리어_3차네고견적(061017-1)" xfId="861" xr:uid="{00000000-0005-0000-0000-00005C030000}"/>
    <cellStyle name="1_tree_갑지0601_과천놀이터설계서_설계내역서1월7일_화명조경" xfId="862" xr:uid="{00000000-0005-0000-0000-00005D030000}"/>
    <cellStyle name="1_tree_갑지0601_과천놀이터설계서_설계내역서1월7일_화명조경_1차 기성 내역서 0612023" xfId="863" xr:uid="{00000000-0005-0000-0000-00005E030000}"/>
    <cellStyle name="1_tree_갑지0601_과천놀이터설계서_설계내역서1월7일_화명조경_3차네고견적(061017-1)" xfId="864" xr:uid="{00000000-0005-0000-0000-00005F030000}"/>
    <cellStyle name="1_tree_갑지0601_과천놀이터설계서_설계내역서1월7일_화명조경_백화점화장실인테리어" xfId="865" xr:uid="{00000000-0005-0000-0000-000060030000}"/>
    <cellStyle name="1_tree_갑지0601_과천놀이터설계서_설계내역서1월7일_화명조경_백화점화장실인테리어_1차 기성 내역서 0612023" xfId="866" xr:uid="{00000000-0005-0000-0000-000061030000}"/>
    <cellStyle name="1_tree_갑지0601_과천놀이터설계서_설계내역서1월7일_화명조경_백화점화장실인테리어_3차네고견적(061017-1)" xfId="867" xr:uid="{00000000-0005-0000-0000-000062030000}"/>
    <cellStyle name="1_tree_갑지0601_과천놀이터설계서_화명조경" xfId="868" xr:uid="{00000000-0005-0000-0000-000063030000}"/>
    <cellStyle name="1_tree_갑지0601_과천놀이터설계서_화명조경_1차 기성 내역서 0612023" xfId="869" xr:uid="{00000000-0005-0000-0000-000064030000}"/>
    <cellStyle name="1_tree_갑지0601_과천놀이터설계서_화명조경_3차네고견적(061017-1)" xfId="870" xr:uid="{00000000-0005-0000-0000-000065030000}"/>
    <cellStyle name="1_tree_갑지0601_과천놀이터설계서_화명조경_백화점화장실인테리어" xfId="871" xr:uid="{00000000-0005-0000-0000-000066030000}"/>
    <cellStyle name="1_tree_갑지0601_과천놀이터설계서_화명조경_백화점화장실인테리어_1차 기성 내역서 0612023" xfId="872" xr:uid="{00000000-0005-0000-0000-000067030000}"/>
    <cellStyle name="1_tree_갑지0601_과천놀이터설계서_화명조경_백화점화장실인테리어_3차네고견적(061017-1)" xfId="873" xr:uid="{00000000-0005-0000-0000-000068030000}"/>
    <cellStyle name="1_tree_갑지0601_백화점화장실인테리어" xfId="874" xr:uid="{00000000-0005-0000-0000-000069030000}"/>
    <cellStyle name="1_tree_갑지0601_백화점화장실인테리어_1차 기성 내역서 0612023" xfId="875" xr:uid="{00000000-0005-0000-0000-00006A030000}"/>
    <cellStyle name="1_tree_갑지0601_백화점화장실인테리어_3차네고견적(061017-1)" xfId="876" xr:uid="{00000000-0005-0000-0000-00006B030000}"/>
    <cellStyle name="1_tree_갑지0601_총괄갑지" xfId="877" xr:uid="{00000000-0005-0000-0000-00006C030000}"/>
    <cellStyle name="1_tree_갑지0601_총괄갑지_1차 기성 내역서 0612023" xfId="878" xr:uid="{00000000-0005-0000-0000-00006D030000}"/>
    <cellStyle name="1_tree_갑지0601_총괄갑지_3차네고견적(061017-1)" xfId="879" xr:uid="{00000000-0005-0000-0000-00006E030000}"/>
    <cellStyle name="1_tree_갑지0601_총괄갑지_백화점화장실인테리어" xfId="880" xr:uid="{00000000-0005-0000-0000-00006F030000}"/>
    <cellStyle name="1_tree_갑지0601_총괄갑지_백화점화장실인테리어_1차 기성 내역서 0612023" xfId="881" xr:uid="{00000000-0005-0000-0000-000070030000}"/>
    <cellStyle name="1_tree_갑지0601_총괄갑지_백화점화장실인테리어_3차네고견적(061017-1)" xfId="882" xr:uid="{00000000-0005-0000-0000-000071030000}"/>
    <cellStyle name="1_tree_갑지0601_총괄갑지_설계내역서" xfId="883" xr:uid="{00000000-0005-0000-0000-000072030000}"/>
    <cellStyle name="1_tree_갑지0601_총괄갑지_설계내역서_1차 기성 내역서 0612023" xfId="884" xr:uid="{00000000-0005-0000-0000-000073030000}"/>
    <cellStyle name="1_tree_갑지0601_총괄갑지_설계내역서_3차네고견적(061017-1)" xfId="885" xr:uid="{00000000-0005-0000-0000-000074030000}"/>
    <cellStyle name="1_tree_갑지0601_총괄갑지_설계내역서_백화점화장실인테리어" xfId="886" xr:uid="{00000000-0005-0000-0000-000075030000}"/>
    <cellStyle name="1_tree_갑지0601_총괄갑지_설계내역서_백화점화장실인테리어_1차 기성 내역서 0612023" xfId="887" xr:uid="{00000000-0005-0000-0000-000076030000}"/>
    <cellStyle name="1_tree_갑지0601_총괄갑지_설계내역서_백화점화장실인테리어_3차네고견적(061017-1)" xfId="888" xr:uid="{00000000-0005-0000-0000-000077030000}"/>
    <cellStyle name="1_tree_갑지0601_총괄갑지_설계내역서_화명조경" xfId="889" xr:uid="{00000000-0005-0000-0000-000078030000}"/>
    <cellStyle name="1_tree_갑지0601_총괄갑지_설계내역서_화명조경_1차 기성 내역서 0612023" xfId="890" xr:uid="{00000000-0005-0000-0000-000079030000}"/>
    <cellStyle name="1_tree_갑지0601_총괄갑지_설계내역서_화명조경_3차네고견적(061017-1)" xfId="891" xr:uid="{00000000-0005-0000-0000-00007A030000}"/>
    <cellStyle name="1_tree_갑지0601_총괄갑지_설계내역서_화명조경_백화점화장실인테리어" xfId="892" xr:uid="{00000000-0005-0000-0000-00007B030000}"/>
    <cellStyle name="1_tree_갑지0601_총괄갑지_설계내역서_화명조경_백화점화장실인테리어_1차 기성 내역서 0612023" xfId="893" xr:uid="{00000000-0005-0000-0000-00007C030000}"/>
    <cellStyle name="1_tree_갑지0601_총괄갑지_설계내역서_화명조경_백화점화장실인테리어_3차네고견적(061017-1)" xfId="894" xr:uid="{00000000-0005-0000-0000-00007D030000}"/>
    <cellStyle name="1_tree_갑지0601_총괄갑지_설계내역서1월7일" xfId="895" xr:uid="{00000000-0005-0000-0000-00007E030000}"/>
    <cellStyle name="1_tree_갑지0601_총괄갑지_설계내역서1월7일_1차 기성 내역서 0612023" xfId="896" xr:uid="{00000000-0005-0000-0000-00007F030000}"/>
    <cellStyle name="1_tree_갑지0601_총괄갑지_설계내역서1월7일_3차네고견적(061017-1)" xfId="897" xr:uid="{00000000-0005-0000-0000-000080030000}"/>
    <cellStyle name="1_tree_갑지0601_총괄갑지_설계내역서1월7일_백화점화장실인테리어" xfId="898" xr:uid="{00000000-0005-0000-0000-000081030000}"/>
    <cellStyle name="1_tree_갑지0601_총괄갑지_설계내역서1월7일_백화점화장실인테리어_1차 기성 내역서 0612023" xfId="899" xr:uid="{00000000-0005-0000-0000-000082030000}"/>
    <cellStyle name="1_tree_갑지0601_총괄갑지_설계내역서1월7일_백화점화장실인테리어_3차네고견적(061017-1)" xfId="900" xr:uid="{00000000-0005-0000-0000-000083030000}"/>
    <cellStyle name="1_tree_갑지0601_총괄갑지_설계내역서1월7일_화명조경" xfId="901" xr:uid="{00000000-0005-0000-0000-000084030000}"/>
    <cellStyle name="1_tree_갑지0601_총괄갑지_설계내역서1월7일_화명조경_1차 기성 내역서 0612023" xfId="902" xr:uid="{00000000-0005-0000-0000-000085030000}"/>
    <cellStyle name="1_tree_갑지0601_총괄갑지_설계내역서1월7일_화명조경_3차네고견적(061017-1)" xfId="903" xr:uid="{00000000-0005-0000-0000-000086030000}"/>
    <cellStyle name="1_tree_갑지0601_총괄갑지_설계내역서1월7일_화명조경_백화점화장실인테리어" xfId="904" xr:uid="{00000000-0005-0000-0000-000087030000}"/>
    <cellStyle name="1_tree_갑지0601_총괄갑지_설계내역서1월7일_화명조경_백화점화장실인테리어_1차 기성 내역서 0612023" xfId="905" xr:uid="{00000000-0005-0000-0000-000088030000}"/>
    <cellStyle name="1_tree_갑지0601_총괄갑지_설계내역서1월7일_화명조경_백화점화장실인테리어_3차네고견적(061017-1)" xfId="906" xr:uid="{00000000-0005-0000-0000-000089030000}"/>
    <cellStyle name="1_tree_갑지0601_총괄갑지_화명조경" xfId="907" xr:uid="{00000000-0005-0000-0000-00008A030000}"/>
    <cellStyle name="1_tree_갑지0601_총괄갑지_화명조경_1차 기성 내역서 0612023" xfId="908" xr:uid="{00000000-0005-0000-0000-00008B030000}"/>
    <cellStyle name="1_tree_갑지0601_총괄갑지_화명조경_3차네고견적(061017-1)" xfId="909" xr:uid="{00000000-0005-0000-0000-00008C030000}"/>
    <cellStyle name="1_tree_갑지0601_총괄갑지_화명조경_백화점화장실인테리어" xfId="910" xr:uid="{00000000-0005-0000-0000-00008D030000}"/>
    <cellStyle name="1_tree_갑지0601_총괄갑지_화명조경_백화점화장실인테리어_1차 기성 내역서 0612023" xfId="911" xr:uid="{00000000-0005-0000-0000-00008E030000}"/>
    <cellStyle name="1_tree_갑지0601_총괄갑지_화명조경_백화점화장실인테리어_3차네고견적(061017-1)" xfId="912" xr:uid="{00000000-0005-0000-0000-00008F030000}"/>
    <cellStyle name="1_tree_갑지0601_총괄내역서" xfId="913" xr:uid="{00000000-0005-0000-0000-000090030000}"/>
    <cellStyle name="1_tree_갑지0601_총괄내역서_1차 기성 내역서 0612023" xfId="914" xr:uid="{00000000-0005-0000-0000-000091030000}"/>
    <cellStyle name="1_tree_갑지0601_총괄내역서_3차네고견적(061017-1)" xfId="915" xr:uid="{00000000-0005-0000-0000-000092030000}"/>
    <cellStyle name="1_tree_갑지0601_총괄내역서_백화점화장실인테리어" xfId="916" xr:uid="{00000000-0005-0000-0000-000093030000}"/>
    <cellStyle name="1_tree_갑지0601_총괄내역서_백화점화장실인테리어_1차 기성 내역서 0612023" xfId="917" xr:uid="{00000000-0005-0000-0000-000094030000}"/>
    <cellStyle name="1_tree_갑지0601_총괄내역서_백화점화장실인테리어_3차네고견적(061017-1)" xfId="918" xr:uid="{00000000-0005-0000-0000-000095030000}"/>
    <cellStyle name="1_tree_갑지0601_총괄내역서_설계내역서" xfId="919" xr:uid="{00000000-0005-0000-0000-000096030000}"/>
    <cellStyle name="1_tree_갑지0601_총괄내역서_설계내역서_1차 기성 내역서 0612023" xfId="920" xr:uid="{00000000-0005-0000-0000-000097030000}"/>
    <cellStyle name="1_tree_갑지0601_총괄내역서_설계내역서_3차네고견적(061017-1)" xfId="921" xr:uid="{00000000-0005-0000-0000-000098030000}"/>
    <cellStyle name="1_tree_갑지0601_총괄내역서_설계내역서_백화점화장실인테리어" xfId="922" xr:uid="{00000000-0005-0000-0000-000099030000}"/>
    <cellStyle name="1_tree_갑지0601_총괄내역서_설계내역서_백화점화장실인테리어_1차 기성 내역서 0612023" xfId="923" xr:uid="{00000000-0005-0000-0000-00009A030000}"/>
    <cellStyle name="1_tree_갑지0601_총괄내역서_설계내역서_백화점화장실인테리어_3차네고견적(061017-1)" xfId="924" xr:uid="{00000000-0005-0000-0000-00009B030000}"/>
    <cellStyle name="1_tree_갑지0601_총괄내역서_설계내역서_화명조경" xfId="925" xr:uid="{00000000-0005-0000-0000-00009C030000}"/>
    <cellStyle name="1_tree_갑지0601_총괄내역서_설계내역서_화명조경_1차 기성 내역서 0612023" xfId="926" xr:uid="{00000000-0005-0000-0000-00009D030000}"/>
    <cellStyle name="1_tree_갑지0601_총괄내역서_설계내역서_화명조경_3차네고견적(061017-1)" xfId="927" xr:uid="{00000000-0005-0000-0000-00009E030000}"/>
    <cellStyle name="1_tree_갑지0601_총괄내역서_설계내역서_화명조경_백화점화장실인테리어" xfId="928" xr:uid="{00000000-0005-0000-0000-00009F030000}"/>
    <cellStyle name="1_tree_갑지0601_총괄내역서_설계내역서_화명조경_백화점화장실인테리어_1차 기성 내역서 0612023" xfId="929" xr:uid="{00000000-0005-0000-0000-0000A0030000}"/>
    <cellStyle name="1_tree_갑지0601_총괄내역서_설계내역서_화명조경_백화점화장실인테리어_3차네고견적(061017-1)" xfId="930" xr:uid="{00000000-0005-0000-0000-0000A1030000}"/>
    <cellStyle name="1_tree_갑지0601_총괄내역서_설계내역서1월7일" xfId="931" xr:uid="{00000000-0005-0000-0000-0000A2030000}"/>
    <cellStyle name="1_tree_갑지0601_총괄내역서_설계내역서1월7일_1차 기성 내역서 0612023" xfId="932" xr:uid="{00000000-0005-0000-0000-0000A3030000}"/>
    <cellStyle name="1_tree_갑지0601_총괄내역서_설계내역서1월7일_3차네고견적(061017-1)" xfId="933" xr:uid="{00000000-0005-0000-0000-0000A4030000}"/>
    <cellStyle name="1_tree_갑지0601_총괄내역서_설계내역서1월7일_백화점화장실인테리어" xfId="934" xr:uid="{00000000-0005-0000-0000-0000A5030000}"/>
    <cellStyle name="1_tree_갑지0601_총괄내역서_설계내역서1월7일_백화점화장실인테리어_1차 기성 내역서 0612023" xfId="935" xr:uid="{00000000-0005-0000-0000-0000A6030000}"/>
    <cellStyle name="1_tree_갑지0601_총괄내역서_설계내역서1월7일_백화점화장실인테리어_3차네고견적(061017-1)" xfId="936" xr:uid="{00000000-0005-0000-0000-0000A7030000}"/>
    <cellStyle name="1_tree_갑지0601_총괄내역서_설계내역서1월7일_화명조경" xfId="937" xr:uid="{00000000-0005-0000-0000-0000A8030000}"/>
    <cellStyle name="1_tree_갑지0601_총괄내역서_설계내역서1월7일_화명조경_1차 기성 내역서 0612023" xfId="938" xr:uid="{00000000-0005-0000-0000-0000A9030000}"/>
    <cellStyle name="1_tree_갑지0601_총괄내역서_설계내역서1월7일_화명조경_3차네고견적(061017-1)" xfId="939" xr:uid="{00000000-0005-0000-0000-0000AA030000}"/>
    <cellStyle name="1_tree_갑지0601_총괄내역서_설계내역서1월7일_화명조경_백화점화장실인테리어" xfId="940" xr:uid="{00000000-0005-0000-0000-0000AB030000}"/>
    <cellStyle name="1_tree_갑지0601_총괄내역서_설계내역서1월7일_화명조경_백화점화장실인테리어_1차 기성 내역서 0612023" xfId="941" xr:uid="{00000000-0005-0000-0000-0000AC030000}"/>
    <cellStyle name="1_tree_갑지0601_총괄내역서_설계내역서1월7일_화명조경_백화점화장실인테리어_3차네고견적(061017-1)" xfId="942" xr:uid="{00000000-0005-0000-0000-0000AD030000}"/>
    <cellStyle name="1_tree_갑지0601_총괄내역서_화명조경" xfId="943" xr:uid="{00000000-0005-0000-0000-0000AE030000}"/>
    <cellStyle name="1_tree_갑지0601_총괄내역서_화명조경_1차 기성 내역서 0612023" xfId="944" xr:uid="{00000000-0005-0000-0000-0000AF030000}"/>
    <cellStyle name="1_tree_갑지0601_총괄내역서_화명조경_3차네고견적(061017-1)" xfId="945" xr:uid="{00000000-0005-0000-0000-0000B0030000}"/>
    <cellStyle name="1_tree_갑지0601_총괄내역서_화명조경_백화점화장실인테리어" xfId="946" xr:uid="{00000000-0005-0000-0000-0000B1030000}"/>
    <cellStyle name="1_tree_갑지0601_총괄내역서_화명조경_백화점화장실인테리어_1차 기성 내역서 0612023" xfId="947" xr:uid="{00000000-0005-0000-0000-0000B2030000}"/>
    <cellStyle name="1_tree_갑지0601_총괄내역서_화명조경_백화점화장실인테리어_3차네고견적(061017-1)" xfId="948" xr:uid="{00000000-0005-0000-0000-0000B3030000}"/>
    <cellStyle name="1_tree_갑지0601_화명조경" xfId="949" xr:uid="{00000000-0005-0000-0000-0000B4030000}"/>
    <cellStyle name="1_tree_갑지0601_화명조경_1차 기성 내역서 0612023" xfId="950" xr:uid="{00000000-0005-0000-0000-0000B5030000}"/>
    <cellStyle name="1_tree_갑지0601_화명조경_3차네고견적(061017-1)" xfId="951" xr:uid="{00000000-0005-0000-0000-0000B6030000}"/>
    <cellStyle name="1_tree_갑지0601_화명조경_백화점화장실인테리어" xfId="952" xr:uid="{00000000-0005-0000-0000-0000B7030000}"/>
    <cellStyle name="1_tree_갑지0601_화명조경_백화점화장실인테리어_1차 기성 내역서 0612023" xfId="953" xr:uid="{00000000-0005-0000-0000-0000B8030000}"/>
    <cellStyle name="1_tree_갑지0601_화명조경_백화점화장실인테리어_3차네고견적(061017-1)" xfId="954" xr:uid="{00000000-0005-0000-0000-0000B9030000}"/>
    <cellStyle name="1_tree_남해총괄표" xfId="955" xr:uid="{00000000-0005-0000-0000-0000BA030000}"/>
    <cellStyle name="1_tree_남해총괄표_1차 기성 내역서 0612023" xfId="956" xr:uid="{00000000-0005-0000-0000-0000BB030000}"/>
    <cellStyle name="1_tree_남해총괄표_3차네고견적(061017-1)" xfId="957" xr:uid="{00000000-0005-0000-0000-0000BC030000}"/>
    <cellStyle name="1_tree_남해총괄표_백화점화장실인테리어" xfId="958" xr:uid="{00000000-0005-0000-0000-0000BD030000}"/>
    <cellStyle name="1_tree_남해총괄표_백화점화장실인테리어_1차 기성 내역서 0612023" xfId="959" xr:uid="{00000000-0005-0000-0000-0000BE030000}"/>
    <cellStyle name="1_tree_남해총괄표_백화점화장실인테리어_3차네고견적(061017-1)" xfId="960" xr:uid="{00000000-0005-0000-0000-0000BF030000}"/>
    <cellStyle name="1_tree_남해총괄표_설계내역서" xfId="961" xr:uid="{00000000-0005-0000-0000-0000C0030000}"/>
    <cellStyle name="1_tree_남해총괄표_설계내역서_1차 기성 내역서 0612023" xfId="962" xr:uid="{00000000-0005-0000-0000-0000C1030000}"/>
    <cellStyle name="1_tree_남해총괄표_설계내역서_3차네고견적(061017-1)" xfId="963" xr:uid="{00000000-0005-0000-0000-0000C2030000}"/>
    <cellStyle name="1_tree_남해총괄표_설계내역서_백화점화장실인테리어" xfId="964" xr:uid="{00000000-0005-0000-0000-0000C3030000}"/>
    <cellStyle name="1_tree_남해총괄표_설계내역서_백화점화장실인테리어_1차 기성 내역서 0612023" xfId="965" xr:uid="{00000000-0005-0000-0000-0000C4030000}"/>
    <cellStyle name="1_tree_남해총괄표_설계내역서_백화점화장실인테리어_3차네고견적(061017-1)" xfId="966" xr:uid="{00000000-0005-0000-0000-0000C5030000}"/>
    <cellStyle name="1_tree_남해총괄표_설계내역서_화명조경" xfId="967" xr:uid="{00000000-0005-0000-0000-0000C6030000}"/>
    <cellStyle name="1_tree_남해총괄표_설계내역서_화명조경_1차 기성 내역서 0612023" xfId="968" xr:uid="{00000000-0005-0000-0000-0000C7030000}"/>
    <cellStyle name="1_tree_남해총괄표_설계내역서_화명조경_3차네고견적(061017-1)" xfId="969" xr:uid="{00000000-0005-0000-0000-0000C8030000}"/>
    <cellStyle name="1_tree_남해총괄표_설계내역서_화명조경_백화점화장실인테리어" xfId="970" xr:uid="{00000000-0005-0000-0000-0000C9030000}"/>
    <cellStyle name="1_tree_남해총괄표_설계내역서_화명조경_백화점화장실인테리어_1차 기성 내역서 0612023" xfId="971" xr:uid="{00000000-0005-0000-0000-0000CA030000}"/>
    <cellStyle name="1_tree_남해총괄표_설계내역서_화명조경_백화점화장실인테리어_3차네고견적(061017-1)" xfId="972" xr:uid="{00000000-0005-0000-0000-0000CB030000}"/>
    <cellStyle name="1_tree_남해총괄표_설계내역서1월7일" xfId="973" xr:uid="{00000000-0005-0000-0000-0000CC030000}"/>
    <cellStyle name="1_tree_남해총괄표_설계내역서1월7일_1차 기성 내역서 0612023" xfId="974" xr:uid="{00000000-0005-0000-0000-0000CD030000}"/>
    <cellStyle name="1_tree_남해총괄표_설계내역서1월7일_3차네고견적(061017-1)" xfId="975" xr:uid="{00000000-0005-0000-0000-0000CE030000}"/>
    <cellStyle name="1_tree_남해총괄표_설계내역서1월7일_백화점화장실인테리어" xfId="976" xr:uid="{00000000-0005-0000-0000-0000CF030000}"/>
    <cellStyle name="1_tree_남해총괄표_설계내역서1월7일_백화점화장실인테리어_1차 기성 내역서 0612023" xfId="977" xr:uid="{00000000-0005-0000-0000-0000D0030000}"/>
    <cellStyle name="1_tree_남해총괄표_설계내역서1월7일_백화점화장실인테리어_3차네고견적(061017-1)" xfId="978" xr:uid="{00000000-0005-0000-0000-0000D1030000}"/>
    <cellStyle name="1_tree_남해총괄표_설계내역서1월7일_화명조경" xfId="979" xr:uid="{00000000-0005-0000-0000-0000D2030000}"/>
    <cellStyle name="1_tree_남해총괄표_설계내역서1월7일_화명조경_1차 기성 내역서 0612023" xfId="980" xr:uid="{00000000-0005-0000-0000-0000D3030000}"/>
    <cellStyle name="1_tree_남해총괄표_설계내역서1월7일_화명조경_3차네고견적(061017-1)" xfId="981" xr:uid="{00000000-0005-0000-0000-0000D4030000}"/>
    <cellStyle name="1_tree_남해총괄표_설계내역서1월7일_화명조경_백화점화장실인테리어" xfId="982" xr:uid="{00000000-0005-0000-0000-0000D5030000}"/>
    <cellStyle name="1_tree_남해총괄표_설계내역서1월7일_화명조경_백화점화장실인테리어_1차 기성 내역서 0612023" xfId="983" xr:uid="{00000000-0005-0000-0000-0000D6030000}"/>
    <cellStyle name="1_tree_남해총괄표_설계내역서1월7일_화명조경_백화점화장실인테리어_3차네고견적(061017-1)" xfId="984" xr:uid="{00000000-0005-0000-0000-0000D7030000}"/>
    <cellStyle name="1_tree_남해총괄표_화명조경" xfId="985" xr:uid="{00000000-0005-0000-0000-0000D8030000}"/>
    <cellStyle name="1_tree_남해총괄표_화명조경_1차 기성 내역서 0612023" xfId="986" xr:uid="{00000000-0005-0000-0000-0000D9030000}"/>
    <cellStyle name="1_tree_남해총괄표_화명조경_3차네고견적(061017-1)" xfId="987" xr:uid="{00000000-0005-0000-0000-0000DA030000}"/>
    <cellStyle name="1_tree_남해총괄표_화명조경_백화점화장실인테리어" xfId="988" xr:uid="{00000000-0005-0000-0000-0000DB030000}"/>
    <cellStyle name="1_tree_남해총괄표_화명조경_백화점화장실인테리어_1차 기성 내역서 0612023" xfId="989" xr:uid="{00000000-0005-0000-0000-0000DC030000}"/>
    <cellStyle name="1_tree_남해총괄표_화명조경_백화점화장실인테리어_3차네고견적(061017-1)" xfId="990" xr:uid="{00000000-0005-0000-0000-0000DD030000}"/>
    <cellStyle name="1_tree_마운딩수량" xfId="991" xr:uid="{00000000-0005-0000-0000-0000DE030000}"/>
    <cellStyle name="1_tree_마운딩수량_1차 기성 내역서 0612023" xfId="992" xr:uid="{00000000-0005-0000-0000-0000DF030000}"/>
    <cellStyle name="1_tree_마운딩수량_3차네고견적(061017-1)" xfId="993" xr:uid="{00000000-0005-0000-0000-0000E0030000}"/>
    <cellStyle name="1_tree_마운딩수량_갑지0601" xfId="994" xr:uid="{00000000-0005-0000-0000-0000E1030000}"/>
    <cellStyle name="1_tree_마운딩수량_갑지0601_00갑지" xfId="995" xr:uid="{00000000-0005-0000-0000-0000E2030000}"/>
    <cellStyle name="1_tree_마운딩수량_갑지0601_00갑지_1차 기성 내역서 0612023" xfId="996" xr:uid="{00000000-0005-0000-0000-0000E3030000}"/>
    <cellStyle name="1_tree_마운딩수량_갑지0601_00갑지_3차네고견적(061017-1)" xfId="997" xr:uid="{00000000-0005-0000-0000-0000E4030000}"/>
    <cellStyle name="1_tree_마운딩수량_갑지0601_00갑지_백화점화장실인테리어" xfId="998" xr:uid="{00000000-0005-0000-0000-0000E5030000}"/>
    <cellStyle name="1_tree_마운딩수량_갑지0601_00갑지_백화점화장실인테리어_1차 기성 내역서 0612023" xfId="999" xr:uid="{00000000-0005-0000-0000-0000E6030000}"/>
    <cellStyle name="1_tree_마운딩수량_갑지0601_00갑지_백화점화장실인테리어_3차네고견적(061017-1)" xfId="1000" xr:uid="{00000000-0005-0000-0000-0000E7030000}"/>
    <cellStyle name="1_tree_마운딩수량_갑지0601_00갑지_설계내역서" xfId="1001" xr:uid="{00000000-0005-0000-0000-0000E8030000}"/>
    <cellStyle name="1_tree_마운딩수량_갑지0601_00갑지_설계내역서_1차 기성 내역서 0612023" xfId="1002" xr:uid="{00000000-0005-0000-0000-0000E9030000}"/>
    <cellStyle name="1_tree_마운딩수량_갑지0601_00갑지_설계내역서_3차네고견적(061017-1)" xfId="1003" xr:uid="{00000000-0005-0000-0000-0000EA030000}"/>
    <cellStyle name="1_tree_마운딩수량_갑지0601_00갑지_설계내역서_백화점화장실인테리어" xfId="1004" xr:uid="{00000000-0005-0000-0000-0000EB030000}"/>
    <cellStyle name="1_tree_마운딩수량_갑지0601_00갑지_설계내역서_백화점화장실인테리어_1차 기성 내역서 0612023" xfId="1005" xr:uid="{00000000-0005-0000-0000-0000EC030000}"/>
    <cellStyle name="1_tree_마운딩수량_갑지0601_00갑지_설계내역서_백화점화장실인테리어_3차네고견적(061017-1)" xfId="1006" xr:uid="{00000000-0005-0000-0000-0000ED030000}"/>
    <cellStyle name="1_tree_마운딩수량_갑지0601_00갑지_설계내역서_화명조경" xfId="1007" xr:uid="{00000000-0005-0000-0000-0000EE030000}"/>
    <cellStyle name="1_tree_마운딩수량_갑지0601_00갑지_설계내역서_화명조경_1차 기성 내역서 0612023" xfId="1008" xr:uid="{00000000-0005-0000-0000-0000EF030000}"/>
    <cellStyle name="1_tree_마운딩수량_갑지0601_00갑지_설계내역서_화명조경_3차네고견적(061017-1)" xfId="1009" xr:uid="{00000000-0005-0000-0000-0000F0030000}"/>
    <cellStyle name="1_tree_마운딩수량_갑지0601_00갑지_설계내역서_화명조경_백화점화장실인테리어" xfId="1010" xr:uid="{00000000-0005-0000-0000-0000F1030000}"/>
    <cellStyle name="1_tree_마운딩수량_갑지0601_00갑지_설계내역서_화명조경_백화점화장실인테리어_1차 기성 내역서 0612023" xfId="1011" xr:uid="{00000000-0005-0000-0000-0000F2030000}"/>
    <cellStyle name="1_tree_마운딩수량_갑지0601_00갑지_설계내역서_화명조경_백화점화장실인테리어_3차네고견적(061017-1)" xfId="1012" xr:uid="{00000000-0005-0000-0000-0000F3030000}"/>
    <cellStyle name="1_tree_마운딩수량_갑지0601_00갑지_설계내역서1월7일" xfId="1013" xr:uid="{00000000-0005-0000-0000-0000F4030000}"/>
    <cellStyle name="1_tree_마운딩수량_갑지0601_00갑지_설계내역서1월7일_1차 기성 내역서 0612023" xfId="1014" xr:uid="{00000000-0005-0000-0000-0000F5030000}"/>
    <cellStyle name="1_tree_마운딩수량_갑지0601_00갑지_설계내역서1월7일_3차네고견적(061017-1)" xfId="1015" xr:uid="{00000000-0005-0000-0000-0000F6030000}"/>
    <cellStyle name="1_tree_마운딩수량_갑지0601_00갑지_설계내역서1월7일_백화점화장실인테리어" xfId="1016" xr:uid="{00000000-0005-0000-0000-0000F7030000}"/>
    <cellStyle name="1_tree_마운딩수량_갑지0601_00갑지_설계내역서1월7일_백화점화장실인테리어_1차 기성 내역서 0612023" xfId="1017" xr:uid="{00000000-0005-0000-0000-0000F8030000}"/>
    <cellStyle name="1_tree_마운딩수량_갑지0601_00갑지_설계내역서1월7일_백화점화장실인테리어_3차네고견적(061017-1)" xfId="1018" xr:uid="{00000000-0005-0000-0000-0000F9030000}"/>
    <cellStyle name="1_tree_마운딩수량_갑지0601_00갑지_설계내역서1월7일_화명조경" xfId="1019" xr:uid="{00000000-0005-0000-0000-0000FA030000}"/>
    <cellStyle name="1_tree_마운딩수량_갑지0601_00갑지_설계내역서1월7일_화명조경_1차 기성 내역서 0612023" xfId="1020" xr:uid="{00000000-0005-0000-0000-0000FB030000}"/>
    <cellStyle name="1_tree_마운딩수량_갑지0601_00갑지_설계내역서1월7일_화명조경_3차네고견적(061017-1)" xfId="1021" xr:uid="{00000000-0005-0000-0000-0000FC030000}"/>
    <cellStyle name="1_tree_마운딩수량_갑지0601_00갑지_설계내역서1월7일_화명조경_백화점화장실인테리어" xfId="1022" xr:uid="{00000000-0005-0000-0000-0000FD030000}"/>
    <cellStyle name="1_tree_마운딩수량_갑지0601_00갑지_설계내역서1월7일_화명조경_백화점화장실인테리어_1차 기성 내역서 0612023" xfId="1023" xr:uid="{00000000-0005-0000-0000-0000FE030000}"/>
    <cellStyle name="1_tree_마운딩수량_갑지0601_00갑지_설계내역서1월7일_화명조경_백화점화장실인테리어_3차네고견적(061017-1)" xfId="1024" xr:uid="{00000000-0005-0000-0000-0000FF030000}"/>
    <cellStyle name="1_tree_마운딩수량_갑지0601_00갑지_화명조경" xfId="1025" xr:uid="{00000000-0005-0000-0000-000000040000}"/>
    <cellStyle name="1_tree_마운딩수량_갑지0601_00갑지_화명조경_1차 기성 내역서 0612023" xfId="1026" xr:uid="{00000000-0005-0000-0000-000001040000}"/>
    <cellStyle name="1_tree_마운딩수량_갑지0601_00갑지_화명조경_3차네고견적(061017-1)" xfId="1027" xr:uid="{00000000-0005-0000-0000-000002040000}"/>
    <cellStyle name="1_tree_마운딩수량_갑지0601_00갑지_화명조경_백화점화장실인테리어" xfId="1028" xr:uid="{00000000-0005-0000-0000-000003040000}"/>
    <cellStyle name="1_tree_마운딩수량_갑지0601_00갑지_화명조경_백화점화장실인테리어_1차 기성 내역서 0612023" xfId="1029" xr:uid="{00000000-0005-0000-0000-000004040000}"/>
    <cellStyle name="1_tree_마운딩수량_갑지0601_00갑지_화명조경_백화점화장실인테리어_3차네고견적(061017-1)" xfId="1030" xr:uid="{00000000-0005-0000-0000-000005040000}"/>
    <cellStyle name="1_tree_마운딩수량_갑지0601_1차 기성 내역서 0612023" xfId="1031" xr:uid="{00000000-0005-0000-0000-000006040000}"/>
    <cellStyle name="1_tree_마운딩수량_갑지0601_3차네고견적(061017-1)" xfId="1032" xr:uid="{00000000-0005-0000-0000-000007040000}"/>
    <cellStyle name="1_tree_마운딩수량_갑지0601_과천놀이터설계서" xfId="1033" xr:uid="{00000000-0005-0000-0000-000008040000}"/>
    <cellStyle name="1_tree_마운딩수량_갑지0601_과천놀이터설계서_1차 기성 내역서 0612023" xfId="1034" xr:uid="{00000000-0005-0000-0000-000009040000}"/>
    <cellStyle name="1_tree_마운딩수량_갑지0601_과천놀이터설계서_3차네고견적(061017-1)" xfId="1035" xr:uid="{00000000-0005-0000-0000-00000A040000}"/>
    <cellStyle name="1_tree_마운딩수량_갑지0601_과천놀이터설계서_백화점화장실인테리어" xfId="1036" xr:uid="{00000000-0005-0000-0000-00000B040000}"/>
    <cellStyle name="1_tree_마운딩수량_갑지0601_과천놀이터설계서_백화점화장실인테리어_1차 기성 내역서 0612023" xfId="1037" xr:uid="{00000000-0005-0000-0000-00000C040000}"/>
    <cellStyle name="1_tree_마운딩수량_갑지0601_과천놀이터설계서_백화점화장실인테리어_3차네고견적(061017-1)" xfId="1038" xr:uid="{00000000-0005-0000-0000-00000D040000}"/>
    <cellStyle name="1_tree_마운딩수량_갑지0601_과천놀이터설계서_설계내역서" xfId="1039" xr:uid="{00000000-0005-0000-0000-00000E040000}"/>
    <cellStyle name="1_tree_마운딩수량_갑지0601_과천놀이터설계서_설계내역서_1차 기성 내역서 0612023" xfId="1040" xr:uid="{00000000-0005-0000-0000-00000F040000}"/>
    <cellStyle name="1_tree_마운딩수량_갑지0601_과천놀이터설계서_설계내역서_3차네고견적(061017-1)" xfId="1041" xr:uid="{00000000-0005-0000-0000-000010040000}"/>
    <cellStyle name="1_tree_마운딩수량_갑지0601_과천놀이터설계서_설계내역서_백화점화장실인테리어" xfId="1042" xr:uid="{00000000-0005-0000-0000-000011040000}"/>
    <cellStyle name="1_tree_마운딩수량_갑지0601_과천놀이터설계서_설계내역서_백화점화장실인테리어_1차 기성 내역서 0612023" xfId="1043" xr:uid="{00000000-0005-0000-0000-000012040000}"/>
    <cellStyle name="1_tree_마운딩수량_갑지0601_과천놀이터설계서_설계내역서_백화점화장실인테리어_3차네고견적(061017-1)" xfId="1044" xr:uid="{00000000-0005-0000-0000-000013040000}"/>
    <cellStyle name="1_tree_마운딩수량_갑지0601_과천놀이터설계서_설계내역서_화명조경" xfId="1045" xr:uid="{00000000-0005-0000-0000-000014040000}"/>
    <cellStyle name="1_tree_마운딩수량_갑지0601_과천놀이터설계서_설계내역서_화명조경_1차 기성 내역서 0612023" xfId="1046" xr:uid="{00000000-0005-0000-0000-000015040000}"/>
    <cellStyle name="1_tree_마운딩수량_갑지0601_과천놀이터설계서_설계내역서_화명조경_3차네고견적(061017-1)" xfId="1047" xr:uid="{00000000-0005-0000-0000-000016040000}"/>
    <cellStyle name="1_tree_마운딩수량_갑지0601_과천놀이터설계서_설계내역서_화명조경_백화점화장실인테리어" xfId="1048" xr:uid="{00000000-0005-0000-0000-000017040000}"/>
    <cellStyle name="1_tree_마운딩수량_갑지0601_과천놀이터설계서_설계내역서_화명조경_백화점화장실인테리어_1차 기성 내역서 0612023" xfId="1049" xr:uid="{00000000-0005-0000-0000-000018040000}"/>
    <cellStyle name="1_tree_마운딩수량_갑지0601_과천놀이터설계서_설계내역서_화명조경_백화점화장실인테리어_3차네고견적(061017-1)" xfId="1050" xr:uid="{00000000-0005-0000-0000-000019040000}"/>
    <cellStyle name="1_tree_마운딩수량_갑지0601_과천놀이터설계서_설계내역서1월7일" xfId="1051" xr:uid="{00000000-0005-0000-0000-00001A040000}"/>
    <cellStyle name="1_tree_마운딩수량_갑지0601_과천놀이터설계서_설계내역서1월7일_1차 기성 내역서 0612023" xfId="1052" xr:uid="{00000000-0005-0000-0000-00001B040000}"/>
    <cellStyle name="1_tree_마운딩수량_갑지0601_과천놀이터설계서_설계내역서1월7일_3차네고견적(061017-1)" xfId="1053" xr:uid="{00000000-0005-0000-0000-00001C040000}"/>
    <cellStyle name="1_tree_마운딩수량_갑지0601_과천놀이터설계서_설계내역서1월7일_백화점화장실인테리어" xfId="1054" xr:uid="{00000000-0005-0000-0000-00001D040000}"/>
    <cellStyle name="1_tree_마운딩수량_갑지0601_과천놀이터설계서_설계내역서1월7일_백화점화장실인테리어_1차 기성 내역서 0612023" xfId="1055" xr:uid="{00000000-0005-0000-0000-00001E040000}"/>
    <cellStyle name="1_tree_마운딩수량_갑지0601_과천놀이터설계서_설계내역서1월7일_백화점화장실인테리어_3차네고견적(061017-1)" xfId="1056" xr:uid="{00000000-0005-0000-0000-00001F040000}"/>
    <cellStyle name="1_tree_마운딩수량_갑지0601_과천놀이터설계서_설계내역서1월7일_화명조경" xfId="1057" xr:uid="{00000000-0005-0000-0000-000020040000}"/>
    <cellStyle name="1_tree_마운딩수량_갑지0601_과천놀이터설계서_설계내역서1월7일_화명조경_1차 기성 내역서 0612023" xfId="1058" xr:uid="{00000000-0005-0000-0000-000021040000}"/>
    <cellStyle name="1_tree_마운딩수량_갑지0601_과천놀이터설계서_설계내역서1월7일_화명조경_3차네고견적(061017-1)" xfId="1059" xr:uid="{00000000-0005-0000-0000-000022040000}"/>
    <cellStyle name="1_tree_마운딩수량_갑지0601_과천놀이터설계서_설계내역서1월7일_화명조경_백화점화장실인테리어" xfId="1060" xr:uid="{00000000-0005-0000-0000-000023040000}"/>
    <cellStyle name="1_tree_마운딩수량_갑지0601_과천놀이터설계서_설계내역서1월7일_화명조경_백화점화장실인테리어_1차 기성 내역서 0612023" xfId="1061" xr:uid="{00000000-0005-0000-0000-000024040000}"/>
    <cellStyle name="1_tree_마운딩수량_갑지0601_과천놀이터설계서_설계내역서1월7일_화명조경_백화점화장실인테리어_3차네고견적(061017-1)" xfId="1062" xr:uid="{00000000-0005-0000-0000-000025040000}"/>
    <cellStyle name="1_tree_마운딩수량_갑지0601_과천놀이터설계서_화명조경" xfId="1063" xr:uid="{00000000-0005-0000-0000-000026040000}"/>
    <cellStyle name="1_tree_마운딩수량_갑지0601_과천놀이터설계서_화명조경_1차 기성 내역서 0612023" xfId="1064" xr:uid="{00000000-0005-0000-0000-000027040000}"/>
    <cellStyle name="1_tree_마운딩수량_갑지0601_과천놀이터설계서_화명조경_3차네고견적(061017-1)" xfId="1065" xr:uid="{00000000-0005-0000-0000-000028040000}"/>
    <cellStyle name="1_tree_마운딩수량_갑지0601_과천놀이터설계서_화명조경_백화점화장실인테리어" xfId="1066" xr:uid="{00000000-0005-0000-0000-000029040000}"/>
    <cellStyle name="1_tree_마운딩수량_갑지0601_과천놀이터설계서_화명조경_백화점화장실인테리어_1차 기성 내역서 0612023" xfId="1067" xr:uid="{00000000-0005-0000-0000-00002A040000}"/>
    <cellStyle name="1_tree_마운딩수량_갑지0601_과천놀이터설계서_화명조경_백화점화장실인테리어_3차네고견적(061017-1)" xfId="1068" xr:uid="{00000000-0005-0000-0000-00002B040000}"/>
    <cellStyle name="1_tree_마운딩수량_갑지0601_백화점화장실인테리어" xfId="1069" xr:uid="{00000000-0005-0000-0000-00002C040000}"/>
    <cellStyle name="1_tree_마운딩수량_갑지0601_백화점화장실인테리어_1차 기성 내역서 0612023" xfId="1070" xr:uid="{00000000-0005-0000-0000-00002D040000}"/>
    <cellStyle name="1_tree_마운딩수량_갑지0601_백화점화장실인테리어_3차네고견적(061017-1)" xfId="1071" xr:uid="{00000000-0005-0000-0000-00002E040000}"/>
    <cellStyle name="1_tree_마운딩수량_갑지0601_총괄갑지" xfId="1072" xr:uid="{00000000-0005-0000-0000-00002F040000}"/>
    <cellStyle name="1_tree_마운딩수량_갑지0601_총괄갑지_1차 기성 내역서 0612023" xfId="1073" xr:uid="{00000000-0005-0000-0000-000030040000}"/>
    <cellStyle name="1_tree_마운딩수량_갑지0601_총괄갑지_3차네고견적(061017-1)" xfId="1074" xr:uid="{00000000-0005-0000-0000-000031040000}"/>
    <cellStyle name="1_tree_마운딩수량_갑지0601_총괄갑지_백화점화장실인테리어" xfId="1075" xr:uid="{00000000-0005-0000-0000-000032040000}"/>
    <cellStyle name="1_tree_마운딩수량_갑지0601_총괄갑지_백화점화장실인테리어_1차 기성 내역서 0612023" xfId="1076" xr:uid="{00000000-0005-0000-0000-000033040000}"/>
    <cellStyle name="1_tree_마운딩수량_갑지0601_총괄갑지_백화점화장실인테리어_3차네고견적(061017-1)" xfId="1077" xr:uid="{00000000-0005-0000-0000-000034040000}"/>
    <cellStyle name="1_tree_마운딩수량_갑지0601_총괄갑지_설계내역서" xfId="1078" xr:uid="{00000000-0005-0000-0000-000035040000}"/>
    <cellStyle name="1_tree_마운딩수량_갑지0601_총괄갑지_설계내역서_1차 기성 내역서 0612023" xfId="1079" xr:uid="{00000000-0005-0000-0000-000036040000}"/>
    <cellStyle name="1_tree_마운딩수량_갑지0601_총괄갑지_설계내역서_3차네고견적(061017-1)" xfId="1080" xr:uid="{00000000-0005-0000-0000-000037040000}"/>
    <cellStyle name="1_tree_마운딩수량_갑지0601_총괄갑지_설계내역서_백화점화장실인테리어" xfId="1081" xr:uid="{00000000-0005-0000-0000-000038040000}"/>
    <cellStyle name="1_tree_마운딩수량_갑지0601_총괄갑지_설계내역서_백화점화장실인테리어_1차 기성 내역서 0612023" xfId="1082" xr:uid="{00000000-0005-0000-0000-000039040000}"/>
    <cellStyle name="1_tree_마운딩수량_갑지0601_총괄갑지_설계내역서_백화점화장실인테리어_3차네고견적(061017-1)" xfId="1083" xr:uid="{00000000-0005-0000-0000-00003A040000}"/>
    <cellStyle name="1_tree_마운딩수량_갑지0601_총괄갑지_설계내역서_화명조경" xfId="1084" xr:uid="{00000000-0005-0000-0000-00003B040000}"/>
    <cellStyle name="1_tree_마운딩수량_갑지0601_총괄갑지_설계내역서_화명조경_1차 기성 내역서 0612023" xfId="1085" xr:uid="{00000000-0005-0000-0000-00003C040000}"/>
    <cellStyle name="1_tree_마운딩수량_갑지0601_총괄갑지_설계내역서_화명조경_3차네고견적(061017-1)" xfId="1086" xr:uid="{00000000-0005-0000-0000-00003D040000}"/>
    <cellStyle name="1_tree_마운딩수량_갑지0601_총괄갑지_설계내역서_화명조경_백화점화장실인테리어" xfId="1087" xr:uid="{00000000-0005-0000-0000-00003E040000}"/>
    <cellStyle name="1_tree_마운딩수량_갑지0601_총괄갑지_설계내역서_화명조경_백화점화장실인테리어_1차 기성 내역서 0612023" xfId="1088" xr:uid="{00000000-0005-0000-0000-00003F040000}"/>
    <cellStyle name="1_tree_마운딩수량_갑지0601_총괄갑지_설계내역서_화명조경_백화점화장실인테리어_3차네고견적(061017-1)" xfId="1089" xr:uid="{00000000-0005-0000-0000-000040040000}"/>
    <cellStyle name="1_tree_마운딩수량_갑지0601_총괄갑지_설계내역서1월7일" xfId="1090" xr:uid="{00000000-0005-0000-0000-000041040000}"/>
    <cellStyle name="1_tree_마운딩수량_갑지0601_총괄갑지_설계내역서1월7일_1차 기성 내역서 0612023" xfId="1091" xr:uid="{00000000-0005-0000-0000-000042040000}"/>
    <cellStyle name="1_tree_마운딩수량_갑지0601_총괄갑지_설계내역서1월7일_3차네고견적(061017-1)" xfId="1092" xr:uid="{00000000-0005-0000-0000-000043040000}"/>
    <cellStyle name="1_tree_마운딩수량_갑지0601_총괄갑지_설계내역서1월7일_백화점화장실인테리어" xfId="1093" xr:uid="{00000000-0005-0000-0000-000044040000}"/>
    <cellStyle name="1_tree_마운딩수량_갑지0601_총괄갑지_설계내역서1월7일_백화점화장실인테리어_1차 기성 내역서 0612023" xfId="1094" xr:uid="{00000000-0005-0000-0000-000045040000}"/>
    <cellStyle name="1_tree_마운딩수량_갑지0601_총괄갑지_설계내역서1월7일_백화점화장실인테리어_3차네고견적(061017-1)" xfId="1095" xr:uid="{00000000-0005-0000-0000-000046040000}"/>
    <cellStyle name="1_tree_마운딩수량_갑지0601_총괄갑지_설계내역서1월7일_화명조경" xfId="1096" xr:uid="{00000000-0005-0000-0000-000047040000}"/>
    <cellStyle name="1_tree_마운딩수량_갑지0601_총괄갑지_설계내역서1월7일_화명조경_1차 기성 내역서 0612023" xfId="1097" xr:uid="{00000000-0005-0000-0000-000048040000}"/>
    <cellStyle name="1_tree_마운딩수량_갑지0601_총괄갑지_설계내역서1월7일_화명조경_3차네고견적(061017-1)" xfId="1098" xr:uid="{00000000-0005-0000-0000-000049040000}"/>
    <cellStyle name="1_tree_마운딩수량_갑지0601_총괄갑지_설계내역서1월7일_화명조경_백화점화장실인테리어" xfId="1099" xr:uid="{00000000-0005-0000-0000-00004A040000}"/>
    <cellStyle name="1_tree_마운딩수량_갑지0601_총괄갑지_설계내역서1월7일_화명조경_백화점화장실인테리어_1차 기성 내역서 0612023" xfId="1100" xr:uid="{00000000-0005-0000-0000-00004B040000}"/>
    <cellStyle name="1_tree_마운딩수량_갑지0601_총괄갑지_설계내역서1월7일_화명조경_백화점화장실인테리어_3차네고견적(061017-1)" xfId="1101" xr:uid="{00000000-0005-0000-0000-00004C040000}"/>
    <cellStyle name="1_tree_마운딩수량_갑지0601_총괄갑지_화명조경" xfId="1102" xr:uid="{00000000-0005-0000-0000-00004D040000}"/>
    <cellStyle name="1_tree_마운딩수량_갑지0601_총괄갑지_화명조경_1차 기성 내역서 0612023" xfId="1103" xr:uid="{00000000-0005-0000-0000-00004E040000}"/>
    <cellStyle name="1_tree_마운딩수량_갑지0601_총괄갑지_화명조경_3차네고견적(061017-1)" xfId="1104" xr:uid="{00000000-0005-0000-0000-00004F040000}"/>
    <cellStyle name="1_tree_마운딩수량_갑지0601_총괄갑지_화명조경_백화점화장실인테리어" xfId="1105" xr:uid="{00000000-0005-0000-0000-000050040000}"/>
    <cellStyle name="1_tree_마운딩수량_갑지0601_총괄갑지_화명조경_백화점화장실인테리어_1차 기성 내역서 0612023" xfId="1106" xr:uid="{00000000-0005-0000-0000-000051040000}"/>
    <cellStyle name="1_tree_마운딩수량_갑지0601_총괄갑지_화명조경_백화점화장실인테리어_3차네고견적(061017-1)" xfId="1107" xr:uid="{00000000-0005-0000-0000-000052040000}"/>
    <cellStyle name="1_tree_마운딩수량_갑지0601_총괄내역서" xfId="1108" xr:uid="{00000000-0005-0000-0000-000053040000}"/>
    <cellStyle name="1_tree_마운딩수량_갑지0601_총괄내역서_1차 기성 내역서 0612023" xfId="1109" xr:uid="{00000000-0005-0000-0000-000054040000}"/>
    <cellStyle name="1_tree_마운딩수량_갑지0601_총괄내역서_3차네고견적(061017-1)" xfId="1110" xr:uid="{00000000-0005-0000-0000-000055040000}"/>
    <cellStyle name="1_tree_마운딩수량_갑지0601_총괄내역서_백화점화장실인테리어" xfId="1111" xr:uid="{00000000-0005-0000-0000-000056040000}"/>
    <cellStyle name="1_tree_마운딩수량_갑지0601_총괄내역서_백화점화장실인테리어_1차 기성 내역서 0612023" xfId="1112" xr:uid="{00000000-0005-0000-0000-000057040000}"/>
    <cellStyle name="1_tree_마운딩수량_갑지0601_총괄내역서_백화점화장실인테리어_3차네고견적(061017-1)" xfId="1113" xr:uid="{00000000-0005-0000-0000-000058040000}"/>
    <cellStyle name="1_tree_마운딩수량_갑지0601_총괄내역서_설계내역서" xfId="1114" xr:uid="{00000000-0005-0000-0000-000059040000}"/>
    <cellStyle name="1_tree_마운딩수량_갑지0601_총괄내역서_설계내역서_1차 기성 내역서 0612023" xfId="1115" xr:uid="{00000000-0005-0000-0000-00005A040000}"/>
    <cellStyle name="1_tree_마운딩수량_갑지0601_총괄내역서_설계내역서_3차네고견적(061017-1)" xfId="1116" xr:uid="{00000000-0005-0000-0000-00005B040000}"/>
    <cellStyle name="1_tree_마운딩수량_갑지0601_총괄내역서_설계내역서_백화점화장실인테리어" xfId="1117" xr:uid="{00000000-0005-0000-0000-00005C040000}"/>
    <cellStyle name="1_tree_마운딩수량_갑지0601_총괄내역서_설계내역서_백화점화장실인테리어_1차 기성 내역서 0612023" xfId="1118" xr:uid="{00000000-0005-0000-0000-00005D040000}"/>
    <cellStyle name="1_tree_마운딩수량_갑지0601_총괄내역서_설계내역서_백화점화장실인테리어_3차네고견적(061017-1)" xfId="1119" xr:uid="{00000000-0005-0000-0000-00005E040000}"/>
    <cellStyle name="1_tree_마운딩수량_갑지0601_총괄내역서_설계내역서_화명조경" xfId="1120" xr:uid="{00000000-0005-0000-0000-00005F040000}"/>
    <cellStyle name="1_tree_마운딩수량_갑지0601_총괄내역서_설계내역서_화명조경_1차 기성 내역서 0612023" xfId="1121" xr:uid="{00000000-0005-0000-0000-000060040000}"/>
    <cellStyle name="1_tree_마운딩수량_갑지0601_총괄내역서_설계내역서_화명조경_3차네고견적(061017-1)" xfId="1122" xr:uid="{00000000-0005-0000-0000-000061040000}"/>
    <cellStyle name="1_tree_마운딩수량_갑지0601_총괄내역서_설계내역서_화명조경_백화점화장실인테리어" xfId="1123" xr:uid="{00000000-0005-0000-0000-000062040000}"/>
    <cellStyle name="1_tree_마운딩수량_갑지0601_총괄내역서_설계내역서_화명조경_백화점화장실인테리어_1차 기성 내역서 0612023" xfId="1124" xr:uid="{00000000-0005-0000-0000-000063040000}"/>
    <cellStyle name="1_tree_마운딩수량_갑지0601_총괄내역서_설계내역서_화명조경_백화점화장실인테리어_3차네고견적(061017-1)" xfId="1125" xr:uid="{00000000-0005-0000-0000-000064040000}"/>
    <cellStyle name="1_tree_마운딩수량_갑지0601_총괄내역서_설계내역서1월7일" xfId="1126" xr:uid="{00000000-0005-0000-0000-000065040000}"/>
    <cellStyle name="1_tree_마운딩수량_갑지0601_총괄내역서_설계내역서1월7일_1차 기성 내역서 0612023" xfId="1127" xr:uid="{00000000-0005-0000-0000-000066040000}"/>
    <cellStyle name="1_tree_마운딩수량_갑지0601_총괄내역서_설계내역서1월7일_3차네고견적(061017-1)" xfId="1128" xr:uid="{00000000-0005-0000-0000-000067040000}"/>
    <cellStyle name="1_tree_마운딩수량_갑지0601_총괄내역서_설계내역서1월7일_백화점화장실인테리어" xfId="1129" xr:uid="{00000000-0005-0000-0000-000068040000}"/>
    <cellStyle name="1_tree_마운딩수량_갑지0601_총괄내역서_설계내역서1월7일_백화점화장실인테리어_1차 기성 내역서 0612023" xfId="1130" xr:uid="{00000000-0005-0000-0000-000069040000}"/>
    <cellStyle name="1_tree_마운딩수량_갑지0601_총괄내역서_설계내역서1월7일_백화점화장실인테리어_3차네고견적(061017-1)" xfId="1131" xr:uid="{00000000-0005-0000-0000-00006A040000}"/>
    <cellStyle name="1_tree_마운딩수량_갑지0601_총괄내역서_설계내역서1월7일_화명조경" xfId="1132" xr:uid="{00000000-0005-0000-0000-00006B040000}"/>
    <cellStyle name="1_tree_마운딩수량_갑지0601_총괄내역서_설계내역서1월7일_화명조경_1차 기성 내역서 0612023" xfId="1133" xr:uid="{00000000-0005-0000-0000-00006C040000}"/>
    <cellStyle name="1_tree_마운딩수량_갑지0601_총괄내역서_설계내역서1월7일_화명조경_3차네고견적(061017-1)" xfId="1134" xr:uid="{00000000-0005-0000-0000-00006D040000}"/>
    <cellStyle name="1_tree_마운딩수량_갑지0601_총괄내역서_설계내역서1월7일_화명조경_백화점화장실인테리어" xfId="1135" xr:uid="{00000000-0005-0000-0000-00006E040000}"/>
    <cellStyle name="1_tree_마운딩수량_갑지0601_총괄내역서_설계내역서1월7일_화명조경_백화점화장실인테리어_1차 기성 내역서 0612023" xfId="1136" xr:uid="{00000000-0005-0000-0000-00006F040000}"/>
    <cellStyle name="1_tree_마운딩수량_갑지0601_총괄내역서_설계내역서1월7일_화명조경_백화점화장실인테리어_3차네고견적(061017-1)" xfId="1137" xr:uid="{00000000-0005-0000-0000-000070040000}"/>
    <cellStyle name="1_tree_마운딩수량_갑지0601_총괄내역서_화명조경" xfId="1138" xr:uid="{00000000-0005-0000-0000-000071040000}"/>
    <cellStyle name="1_tree_마운딩수량_갑지0601_총괄내역서_화명조경_1차 기성 내역서 0612023" xfId="1139" xr:uid="{00000000-0005-0000-0000-000072040000}"/>
    <cellStyle name="1_tree_마운딩수량_갑지0601_총괄내역서_화명조경_3차네고견적(061017-1)" xfId="1140" xr:uid="{00000000-0005-0000-0000-000073040000}"/>
    <cellStyle name="1_tree_마운딩수량_갑지0601_총괄내역서_화명조경_백화점화장실인테리어" xfId="1141" xr:uid="{00000000-0005-0000-0000-000074040000}"/>
    <cellStyle name="1_tree_마운딩수량_갑지0601_총괄내역서_화명조경_백화점화장실인테리어_1차 기성 내역서 0612023" xfId="1142" xr:uid="{00000000-0005-0000-0000-000075040000}"/>
    <cellStyle name="1_tree_마운딩수량_갑지0601_총괄내역서_화명조경_백화점화장실인테리어_3차네고견적(061017-1)" xfId="1143" xr:uid="{00000000-0005-0000-0000-000076040000}"/>
    <cellStyle name="1_tree_마운딩수량_갑지0601_화명조경" xfId="1144" xr:uid="{00000000-0005-0000-0000-000077040000}"/>
    <cellStyle name="1_tree_마운딩수량_갑지0601_화명조경_1차 기성 내역서 0612023" xfId="1145" xr:uid="{00000000-0005-0000-0000-000078040000}"/>
    <cellStyle name="1_tree_마운딩수량_갑지0601_화명조경_3차네고견적(061017-1)" xfId="1146" xr:uid="{00000000-0005-0000-0000-000079040000}"/>
    <cellStyle name="1_tree_마운딩수량_갑지0601_화명조경_백화점화장실인테리어" xfId="1147" xr:uid="{00000000-0005-0000-0000-00007A040000}"/>
    <cellStyle name="1_tree_마운딩수량_갑지0601_화명조경_백화점화장실인테리어_1차 기성 내역서 0612023" xfId="1148" xr:uid="{00000000-0005-0000-0000-00007B040000}"/>
    <cellStyle name="1_tree_마운딩수량_갑지0601_화명조경_백화점화장실인테리어_3차네고견적(061017-1)" xfId="1149" xr:uid="{00000000-0005-0000-0000-00007C040000}"/>
    <cellStyle name="1_tree_마운딩수량_백화점화장실인테리어" xfId="1150" xr:uid="{00000000-0005-0000-0000-00007D040000}"/>
    <cellStyle name="1_tree_마운딩수량_백화점화장실인테리어_1차 기성 내역서 0612023" xfId="1151" xr:uid="{00000000-0005-0000-0000-00007E040000}"/>
    <cellStyle name="1_tree_마운딩수량_백화점화장실인테리어_3차네고견적(061017-1)" xfId="1152" xr:uid="{00000000-0005-0000-0000-00007F040000}"/>
    <cellStyle name="1_tree_마운딩수량_설계내역서" xfId="1153" xr:uid="{00000000-0005-0000-0000-000080040000}"/>
    <cellStyle name="1_tree_마운딩수량_설계내역서_1차 기성 내역서 0612023" xfId="1154" xr:uid="{00000000-0005-0000-0000-000081040000}"/>
    <cellStyle name="1_tree_마운딩수량_설계내역서_3차네고견적(061017-1)" xfId="1155" xr:uid="{00000000-0005-0000-0000-000082040000}"/>
    <cellStyle name="1_tree_마운딩수량_설계내역서_백화점화장실인테리어" xfId="1156" xr:uid="{00000000-0005-0000-0000-000083040000}"/>
    <cellStyle name="1_tree_마운딩수량_설계내역서_백화점화장실인테리어_1차 기성 내역서 0612023" xfId="1157" xr:uid="{00000000-0005-0000-0000-000084040000}"/>
    <cellStyle name="1_tree_마운딩수량_설계내역서_백화점화장실인테리어_3차네고견적(061017-1)" xfId="1158" xr:uid="{00000000-0005-0000-0000-000085040000}"/>
    <cellStyle name="1_tree_마운딩수량_설계내역서_화명조경" xfId="1159" xr:uid="{00000000-0005-0000-0000-000086040000}"/>
    <cellStyle name="1_tree_마운딩수량_설계내역서_화명조경_1차 기성 내역서 0612023" xfId="1160" xr:uid="{00000000-0005-0000-0000-000087040000}"/>
    <cellStyle name="1_tree_마운딩수량_설계내역서_화명조경_3차네고견적(061017-1)" xfId="1161" xr:uid="{00000000-0005-0000-0000-000088040000}"/>
    <cellStyle name="1_tree_마운딩수량_설계내역서_화명조경_백화점화장실인테리어" xfId="1162" xr:uid="{00000000-0005-0000-0000-000089040000}"/>
    <cellStyle name="1_tree_마운딩수량_설계내역서_화명조경_백화점화장실인테리어_1차 기성 내역서 0612023" xfId="1163" xr:uid="{00000000-0005-0000-0000-00008A040000}"/>
    <cellStyle name="1_tree_마운딩수량_설계내역서_화명조경_백화점화장실인테리어_3차네고견적(061017-1)" xfId="1164" xr:uid="{00000000-0005-0000-0000-00008B040000}"/>
    <cellStyle name="1_tree_마운딩수량_설계내역서1월7일" xfId="1165" xr:uid="{00000000-0005-0000-0000-00008C040000}"/>
    <cellStyle name="1_tree_마운딩수량_설계내역서1월7일_1차 기성 내역서 0612023" xfId="1166" xr:uid="{00000000-0005-0000-0000-00008D040000}"/>
    <cellStyle name="1_tree_마운딩수량_설계내역서1월7일_3차네고견적(061017-1)" xfId="1167" xr:uid="{00000000-0005-0000-0000-00008E040000}"/>
    <cellStyle name="1_tree_마운딩수량_설계내역서1월7일_백화점화장실인테리어" xfId="1168" xr:uid="{00000000-0005-0000-0000-00008F040000}"/>
    <cellStyle name="1_tree_마운딩수량_설계내역서1월7일_백화점화장실인테리어_1차 기성 내역서 0612023" xfId="1169" xr:uid="{00000000-0005-0000-0000-000090040000}"/>
    <cellStyle name="1_tree_마운딩수량_설계내역서1월7일_백화점화장실인테리어_3차네고견적(061017-1)" xfId="1170" xr:uid="{00000000-0005-0000-0000-000091040000}"/>
    <cellStyle name="1_tree_마운딩수량_설계내역서1월7일_화명조경" xfId="1171" xr:uid="{00000000-0005-0000-0000-000092040000}"/>
    <cellStyle name="1_tree_마운딩수량_설계내역서1월7일_화명조경_1차 기성 내역서 0612023" xfId="1172" xr:uid="{00000000-0005-0000-0000-000093040000}"/>
    <cellStyle name="1_tree_마운딩수량_설계내역서1월7일_화명조경_3차네고견적(061017-1)" xfId="1173" xr:uid="{00000000-0005-0000-0000-000094040000}"/>
    <cellStyle name="1_tree_마운딩수량_설계내역서1월7일_화명조경_백화점화장실인테리어" xfId="1174" xr:uid="{00000000-0005-0000-0000-000095040000}"/>
    <cellStyle name="1_tree_마운딩수량_설계내역서1월7일_화명조경_백화점화장실인테리어_1차 기성 내역서 0612023" xfId="1175" xr:uid="{00000000-0005-0000-0000-000096040000}"/>
    <cellStyle name="1_tree_마운딩수량_설계내역서1월7일_화명조경_백화점화장실인테리어_3차네고견적(061017-1)" xfId="1176" xr:uid="{00000000-0005-0000-0000-000097040000}"/>
    <cellStyle name="1_tree_마운딩수량_화명조경" xfId="1177" xr:uid="{00000000-0005-0000-0000-000098040000}"/>
    <cellStyle name="1_tree_마운딩수량_화명조경_1차 기성 내역서 0612023" xfId="1178" xr:uid="{00000000-0005-0000-0000-000099040000}"/>
    <cellStyle name="1_tree_마운딩수량_화명조경_3차네고견적(061017-1)" xfId="1179" xr:uid="{00000000-0005-0000-0000-00009A040000}"/>
    <cellStyle name="1_tree_마운딩수량_화명조경_백화점화장실인테리어" xfId="1180" xr:uid="{00000000-0005-0000-0000-00009B040000}"/>
    <cellStyle name="1_tree_마운딩수량_화명조경_백화점화장실인테리어_1차 기성 내역서 0612023" xfId="1181" xr:uid="{00000000-0005-0000-0000-00009C040000}"/>
    <cellStyle name="1_tree_마운딩수량_화명조경_백화점화장실인테리어_3차네고견적(061017-1)" xfId="1182" xr:uid="{00000000-0005-0000-0000-00009D040000}"/>
    <cellStyle name="1_tree_백화점화장실인테리어" xfId="1183" xr:uid="{00000000-0005-0000-0000-00009E040000}"/>
    <cellStyle name="1_tree_백화점화장실인테리어_1차 기성 내역서 0612023" xfId="1184" xr:uid="{00000000-0005-0000-0000-00009F040000}"/>
    <cellStyle name="1_tree_백화점화장실인테리어_3차네고견적(061017-1)" xfId="1185" xr:uid="{00000000-0005-0000-0000-0000A0040000}"/>
    <cellStyle name="1_tree_설계내역서" xfId="1186" xr:uid="{00000000-0005-0000-0000-0000A1040000}"/>
    <cellStyle name="1_tree_설계내역서_1차 기성 내역서 0612023" xfId="1187" xr:uid="{00000000-0005-0000-0000-0000A2040000}"/>
    <cellStyle name="1_tree_설계내역서_3차네고견적(061017-1)" xfId="1188" xr:uid="{00000000-0005-0000-0000-0000A3040000}"/>
    <cellStyle name="1_tree_설계내역서_백화점화장실인테리어" xfId="1189" xr:uid="{00000000-0005-0000-0000-0000A4040000}"/>
    <cellStyle name="1_tree_설계내역서_백화점화장실인테리어_1차 기성 내역서 0612023" xfId="1190" xr:uid="{00000000-0005-0000-0000-0000A5040000}"/>
    <cellStyle name="1_tree_설계내역서_백화점화장실인테리어_3차네고견적(061017-1)" xfId="1191" xr:uid="{00000000-0005-0000-0000-0000A6040000}"/>
    <cellStyle name="1_tree_설계내역서_화명조경" xfId="1192" xr:uid="{00000000-0005-0000-0000-0000A7040000}"/>
    <cellStyle name="1_tree_설계내역서_화명조경_1차 기성 내역서 0612023" xfId="1193" xr:uid="{00000000-0005-0000-0000-0000A8040000}"/>
    <cellStyle name="1_tree_설계내역서_화명조경_3차네고견적(061017-1)" xfId="1194" xr:uid="{00000000-0005-0000-0000-0000A9040000}"/>
    <cellStyle name="1_tree_설계내역서_화명조경_백화점화장실인테리어" xfId="1195" xr:uid="{00000000-0005-0000-0000-0000AA040000}"/>
    <cellStyle name="1_tree_설계내역서_화명조경_백화점화장실인테리어_1차 기성 내역서 0612023" xfId="1196" xr:uid="{00000000-0005-0000-0000-0000AB040000}"/>
    <cellStyle name="1_tree_설계내역서_화명조경_백화점화장실인테리어_3차네고견적(061017-1)" xfId="1197" xr:uid="{00000000-0005-0000-0000-0000AC040000}"/>
    <cellStyle name="1_tree_설계내역서1월7일" xfId="1198" xr:uid="{00000000-0005-0000-0000-0000AD040000}"/>
    <cellStyle name="1_tree_설계내역서1월7일_1차 기성 내역서 0612023" xfId="1199" xr:uid="{00000000-0005-0000-0000-0000AE040000}"/>
    <cellStyle name="1_tree_설계내역서1월7일_3차네고견적(061017-1)" xfId="1200" xr:uid="{00000000-0005-0000-0000-0000AF040000}"/>
    <cellStyle name="1_tree_설계내역서1월7일_백화점화장실인테리어" xfId="1201" xr:uid="{00000000-0005-0000-0000-0000B0040000}"/>
    <cellStyle name="1_tree_설계내역서1월7일_백화점화장실인테리어_1차 기성 내역서 0612023" xfId="1202" xr:uid="{00000000-0005-0000-0000-0000B1040000}"/>
    <cellStyle name="1_tree_설계내역서1월7일_백화점화장실인테리어_3차네고견적(061017-1)" xfId="1203" xr:uid="{00000000-0005-0000-0000-0000B2040000}"/>
    <cellStyle name="1_tree_설계내역서1월7일_화명조경" xfId="1204" xr:uid="{00000000-0005-0000-0000-0000B3040000}"/>
    <cellStyle name="1_tree_설계내역서1월7일_화명조경_1차 기성 내역서 0612023" xfId="1205" xr:uid="{00000000-0005-0000-0000-0000B4040000}"/>
    <cellStyle name="1_tree_설계내역서1월7일_화명조경_3차네고견적(061017-1)" xfId="1206" xr:uid="{00000000-0005-0000-0000-0000B5040000}"/>
    <cellStyle name="1_tree_설계내역서1월7일_화명조경_백화점화장실인테리어" xfId="1207" xr:uid="{00000000-0005-0000-0000-0000B6040000}"/>
    <cellStyle name="1_tree_설계내역서1월7일_화명조경_백화점화장실인테리어_1차 기성 내역서 0612023" xfId="1208" xr:uid="{00000000-0005-0000-0000-0000B7040000}"/>
    <cellStyle name="1_tree_설계내역서1월7일_화명조경_백화점화장실인테리어_3차네고견적(061017-1)" xfId="1209" xr:uid="{00000000-0005-0000-0000-0000B8040000}"/>
    <cellStyle name="1_tree_수원변경수량산출" xfId="1210" xr:uid="{00000000-0005-0000-0000-0000B9040000}"/>
    <cellStyle name="1_tree_수원변경수량산출_1차 기성 내역서 0612023" xfId="1211" xr:uid="{00000000-0005-0000-0000-0000BA040000}"/>
    <cellStyle name="1_tree_수원변경수량산출_3차네고견적(061017-1)" xfId="1212" xr:uid="{00000000-0005-0000-0000-0000BB040000}"/>
    <cellStyle name="1_tree_수원변경수량산출_백화점화장실인테리어" xfId="1213" xr:uid="{00000000-0005-0000-0000-0000BC040000}"/>
    <cellStyle name="1_tree_수원변경수량산출_백화점화장실인테리어_1차 기성 내역서 0612023" xfId="1214" xr:uid="{00000000-0005-0000-0000-0000BD040000}"/>
    <cellStyle name="1_tree_수원변경수량산출_백화점화장실인테리어_3차네고견적(061017-1)" xfId="1215" xr:uid="{00000000-0005-0000-0000-0000BE040000}"/>
    <cellStyle name="1_tree_수원변경수량산출_설계내역서" xfId="1216" xr:uid="{00000000-0005-0000-0000-0000BF040000}"/>
    <cellStyle name="1_tree_수원변경수량산출_설계내역서_1차 기성 내역서 0612023" xfId="1217" xr:uid="{00000000-0005-0000-0000-0000C0040000}"/>
    <cellStyle name="1_tree_수원변경수량산출_설계내역서_3차네고견적(061017-1)" xfId="1218" xr:uid="{00000000-0005-0000-0000-0000C1040000}"/>
    <cellStyle name="1_tree_수원변경수량산출_설계내역서_백화점화장실인테리어" xfId="1219" xr:uid="{00000000-0005-0000-0000-0000C2040000}"/>
    <cellStyle name="1_tree_수원변경수량산출_설계내역서_백화점화장실인테리어_1차 기성 내역서 0612023" xfId="1220" xr:uid="{00000000-0005-0000-0000-0000C3040000}"/>
    <cellStyle name="1_tree_수원변경수량산출_설계내역서_백화점화장실인테리어_3차네고견적(061017-1)" xfId="1221" xr:uid="{00000000-0005-0000-0000-0000C4040000}"/>
    <cellStyle name="1_tree_수원변경수량산출_설계내역서_화명조경" xfId="1222" xr:uid="{00000000-0005-0000-0000-0000C5040000}"/>
    <cellStyle name="1_tree_수원변경수량산출_설계내역서_화명조경_1차 기성 내역서 0612023" xfId="1223" xr:uid="{00000000-0005-0000-0000-0000C6040000}"/>
    <cellStyle name="1_tree_수원변경수량산출_설계내역서_화명조경_3차네고견적(061017-1)" xfId="1224" xr:uid="{00000000-0005-0000-0000-0000C7040000}"/>
    <cellStyle name="1_tree_수원변경수량산출_설계내역서_화명조경_백화점화장실인테리어" xfId="1225" xr:uid="{00000000-0005-0000-0000-0000C8040000}"/>
    <cellStyle name="1_tree_수원변경수량산출_설계내역서_화명조경_백화점화장실인테리어_1차 기성 내역서 0612023" xfId="1226" xr:uid="{00000000-0005-0000-0000-0000C9040000}"/>
    <cellStyle name="1_tree_수원변경수량산출_설계내역서_화명조경_백화점화장실인테리어_3차네고견적(061017-1)" xfId="1227" xr:uid="{00000000-0005-0000-0000-0000CA040000}"/>
    <cellStyle name="1_tree_수원변경수량산출_설계내역서1월7일" xfId="1228" xr:uid="{00000000-0005-0000-0000-0000CB040000}"/>
    <cellStyle name="1_tree_수원변경수량산출_설계내역서1월7일_1차 기성 내역서 0612023" xfId="1229" xr:uid="{00000000-0005-0000-0000-0000CC040000}"/>
    <cellStyle name="1_tree_수원변경수량산출_설계내역서1월7일_3차네고견적(061017-1)" xfId="1230" xr:uid="{00000000-0005-0000-0000-0000CD040000}"/>
    <cellStyle name="1_tree_수원변경수량산출_설계내역서1월7일_백화점화장실인테리어" xfId="1231" xr:uid="{00000000-0005-0000-0000-0000CE040000}"/>
    <cellStyle name="1_tree_수원변경수량산출_설계내역서1월7일_백화점화장실인테리어_1차 기성 내역서 0612023" xfId="1232" xr:uid="{00000000-0005-0000-0000-0000CF040000}"/>
    <cellStyle name="1_tree_수원변경수량산출_설계내역서1월7일_백화점화장실인테리어_3차네고견적(061017-1)" xfId="1233" xr:uid="{00000000-0005-0000-0000-0000D0040000}"/>
    <cellStyle name="1_tree_수원변경수량산출_설계내역서1월7일_화명조경" xfId="1234" xr:uid="{00000000-0005-0000-0000-0000D1040000}"/>
    <cellStyle name="1_tree_수원변경수량산출_설계내역서1월7일_화명조경_1차 기성 내역서 0612023" xfId="1235" xr:uid="{00000000-0005-0000-0000-0000D2040000}"/>
    <cellStyle name="1_tree_수원변경수량산출_설계내역서1월7일_화명조경_3차네고견적(061017-1)" xfId="1236" xr:uid="{00000000-0005-0000-0000-0000D3040000}"/>
    <cellStyle name="1_tree_수원변경수량산출_설계내역서1월7일_화명조경_백화점화장실인테리어" xfId="1237" xr:uid="{00000000-0005-0000-0000-0000D4040000}"/>
    <cellStyle name="1_tree_수원변경수량산출_설계내역서1월7일_화명조경_백화점화장실인테리어_1차 기성 내역서 0612023" xfId="1238" xr:uid="{00000000-0005-0000-0000-0000D5040000}"/>
    <cellStyle name="1_tree_수원변경수량산출_설계내역서1월7일_화명조경_백화점화장실인테리어_3차네고견적(061017-1)" xfId="1239" xr:uid="{00000000-0005-0000-0000-0000D6040000}"/>
    <cellStyle name="1_tree_수원변경수량산출_화명조경" xfId="1240" xr:uid="{00000000-0005-0000-0000-0000D7040000}"/>
    <cellStyle name="1_tree_수원변경수량산출_화명조경_1차 기성 내역서 0612023" xfId="1241" xr:uid="{00000000-0005-0000-0000-0000D8040000}"/>
    <cellStyle name="1_tree_수원변경수량산출_화명조경_3차네고견적(061017-1)" xfId="1242" xr:uid="{00000000-0005-0000-0000-0000D9040000}"/>
    <cellStyle name="1_tree_수원변경수량산출_화명조경_백화점화장실인테리어" xfId="1243" xr:uid="{00000000-0005-0000-0000-0000DA040000}"/>
    <cellStyle name="1_tree_수원변경수량산출_화명조경_백화점화장실인테리어_1차 기성 내역서 0612023" xfId="1244" xr:uid="{00000000-0005-0000-0000-0000DB040000}"/>
    <cellStyle name="1_tree_수원변경수량산출_화명조경_백화점화장실인테리어_3차네고견적(061017-1)" xfId="1245" xr:uid="{00000000-0005-0000-0000-0000DC040000}"/>
    <cellStyle name="1_tree_쌍용수량0905" xfId="1246" xr:uid="{00000000-0005-0000-0000-0000DD040000}"/>
    <cellStyle name="1_tree_쌍용수량0905_1차 기성 내역서 0612023" xfId="1247" xr:uid="{00000000-0005-0000-0000-0000DE040000}"/>
    <cellStyle name="1_tree_쌍용수량0905_3차네고견적(061017-1)" xfId="1248" xr:uid="{00000000-0005-0000-0000-0000DF040000}"/>
    <cellStyle name="1_tree_쌍용수량0905_백화점화장실인테리어" xfId="1249" xr:uid="{00000000-0005-0000-0000-0000E0040000}"/>
    <cellStyle name="1_tree_쌍용수량0905_백화점화장실인테리어_1차 기성 내역서 0612023" xfId="1250" xr:uid="{00000000-0005-0000-0000-0000E1040000}"/>
    <cellStyle name="1_tree_쌍용수량0905_백화점화장실인테리어_3차네고견적(061017-1)" xfId="1251" xr:uid="{00000000-0005-0000-0000-0000E2040000}"/>
    <cellStyle name="1_tree_쌍용수량0905_설계내역서" xfId="1252" xr:uid="{00000000-0005-0000-0000-0000E3040000}"/>
    <cellStyle name="1_tree_쌍용수량0905_설계내역서_1차 기성 내역서 0612023" xfId="1253" xr:uid="{00000000-0005-0000-0000-0000E4040000}"/>
    <cellStyle name="1_tree_쌍용수량0905_설계내역서_3차네고견적(061017-1)" xfId="1254" xr:uid="{00000000-0005-0000-0000-0000E5040000}"/>
    <cellStyle name="1_tree_쌍용수량0905_설계내역서_백화점화장실인테리어" xfId="1255" xr:uid="{00000000-0005-0000-0000-0000E6040000}"/>
    <cellStyle name="1_tree_쌍용수량0905_설계내역서_백화점화장실인테리어_1차 기성 내역서 0612023" xfId="1256" xr:uid="{00000000-0005-0000-0000-0000E7040000}"/>
    <cellStyle name="1_tree_쌍용수량0905_설계내역서_백화점화장실인테리어_3차네고견적(061017-1)" xfId="1257" xr:uid="{00000000-0005-0000-0000-0000E8040000}"/>
    <cellStyle name="1_tree_쌍용수량0905_설계내역서_화명조경" xfId="1258" xr:uid="{00000000-0005-0000-0000-0000E9040000}"/>
    <cellStyle name="1_tree_쌍용수량0905_설계내역서_화명조경_1차 기성 내역서 0612023" xfId="1259" xr:uid="{00000000-0005-0000-0000-0000EA040000}"/>
    <cellStyle name="1_tree_쌍용수량0905_설계내역서_화명조경_3차네고견적(061017-1)" xfId="1260" xr:uid="{00000000-0005-0000-0000-0000EB040000}"/>
    <cellStyle name="1_tree_쌍용수량0905_설계내역서_화명조경_백화점화장실인테리어" xfId="1261" xr:uid="{00000000-0005-0000-0000-0000EC040000}"/>
    <cellStyle name="1_tree_쌍용수량0905_설계내역서_화명조경_백화점화장실인테리어_1차 기성 내역서 0612023" xfId="1262" xr:uid="{00000000-0005-0000-0000-0000ED040000}"/>
    <cellStyle name="1_tree_쌍용수량0905_설계내역서_화명조경_백화점화장실인테리어_3차네고견적(061017-1)" xfId="1263" xr:uid="{00000000-0005-0000-0000-0000EE040000}"/>
    <cellStyle name="1_tree_쌍용수량0905_설계내역서1월7일" xfId="1264" xr:uid="{00000000-0005-0000-0000-0000EF040000}"/>
    <cellStyle name="1_tree_쌍용수량0905_설계내역서1월7일_1차 기성 내역서 0612023" xfId="1265" xr:uid="{00000000-0005-0000-0000-0000F0040000}"/>
    <cellStyle name="1_tree_쌍용수량0905_설계내역서1월7일_3차네고견적(061017-1)" xfId="1266" xr:uid="{00000000-0005-0000-0000-0000F1040000}"/>
    <cellStyle name="1_tree_쌍용수량0905_설계내역서1월7일_백화점화장실인테리어" xfId="1267" xr:uid="{00000000-0005-0000-0000-0000F2040000}"/>
    <cellStyle name="1_tree_쌍용수량0905_설계내역서1월7일_백화점화장실인테리어_1차 기성 내역서 0612023" xfId="1268" xr:uid="{00000000-0005-0000-0000-0000F3040000}"/>
    <cellStyle name="1_tree_쌍용수량0905_설계내역서1월7일_백화점화장실인테리어_3차네고견적(061017-1)" xfId="1269" xr:uid="{00000000-0005-0000-0000-0000F4040000}"/>
    <cellStyle name="1_tree_쌍용수량0905_설계내역서1월7일_화명조경" xfId="1270" xr:uid="{00000000-0005-0000-0000-0000F5040000}"/>
    <cellStyle name="1_tree_쌍용수량0905_설계내역서1월7일_화명조경_1차 기성 내역서 0612023" xfId="1271" xr:uid="{00000000-0005-0000-0000-0000F6040000}"/>
    <cellStyle name="1_tree_쌍용수량0905_설계내역서1월7일_화명조경_3차네고견적(061017-1)" xfId="1272" xr:uid="{00000000-0005-0000-0000-0000F7040000}"/>
    <cellStyle name="1_tree_쌍용수량0905_설계내역서1월7일_화명조경_백화점화장실인테리어" xfId="1273" xr:uid="{00000000-0005-0000-0000-0000F8040000}"/>
    <cellStyle name="1_tree_쌍용수량0905_설계내역서1월7일_화명조경_백화점화장실인테리어_1차 기성 내역서 0612023" xfId="1274" xr:uid="{00000000-0005-0000-0000-0000F9040000}"/>
    <cellStyle name="1_tree_쌍용수량0905_설계내역서1월7일_화명조경_백화점화장실인테리어_3차네고견적(061017-1)" xfId="1275" xr:uid="{00000000-0005-0000-0000-0000FA040000}"/>
    <cellStyle name="1_tree_쌍용수량0905_화명조경" xfId="1276" xr:uid="{00000000-0005-0000-0000-0000FB040000}"/>
    <cellStyle name="1_tree_쌍용수량0905_화명조경_1차 기성 내역서 0612023" xfId="1277" xr:uid="{00000000-0005-0000-0000-0000FC040000}"/>
    <cellStyle name="1_tree_쌍용수량0905_화명조경_3차네고견적(061017-1)" xfId="1278" xr:uid="{00000000-0005-0000-0000-0000FD040000}"/>
    <cellStyle name="1_tree_쌍용수량0905_화명조경_백화점화장실인테리어" xfId="1279" xr:uid="{00000000-0005-0000-0000-0000FE040000}"/>
    <cellStyle name="1_tree_쌍용수량0905_화명조경_백화점화장실인테리어_1차 기성 내역서 0612023" xfId="1280" xr:uid="{00000000-0005-0000-0000-0000FF040000}"/>
    <cellStyle name="1_tree_쌍용수량0905_화명조경_백화점화장실인테리어_3차네고견적(061017-1)" xfId="1281" xr:uid="{00000000-0005-0000-0000-000000050000}"/>
    <cellStyle name="1_tree_원가계산서" xfId="1282" xr:uid="{00000000-0005-0000-0000-000001050000}"/>
    <cellStyle name="1_tree_원가계산서_00갑지" xfId="1283" xr:uid="{00000000-0005-0000-0000-000002050000}"/>
    <cellStyle name="1_tree_원가계산서_00갑지_1차 기성 내역서 0612023" xfId="1284" xr:uid="{00000000-0005-0000-0000-000003050000}"/>
    <cellStyle name="1_tree_원가계산서_00갑지_3차네고견적(061017-1)" xfId="1285" xr:uid="{00000000-0005-0000-0000-000004050000}"/>
    <cellStyle name="1_tree_원가계산서_00갑지_백화점화장실인테리어" xfId="1286" xr:uid="{00000000-0005-0000-0000-000005050000}"/>
    <cellStyle name="1_tree_원가계산서_00갑지_백화점화장실인테리어_1차 기성 내역서 0612023" xfId="1287" xr:uid="{00000000-0005-0000-0000-000006050000}"/>
    <cellStyle name="1_tree_원가계산서_00갑지_백화점화장실인테리어_3차네고견적(061017-1)" xfId="1288" xr:uid="{00000000-0005-0000-0000-000007050000}"/>
    <cellStyle name="1_tree_원가계산서_00갑지_설계내역서" xfId="1289" xr:uid="{00000000-0005-0000-0000-000008050000}"/>
    <cellStyle name="1_tree_원가계산서_00갑지_설계내역서_1차 기성 내역서 0612023" xfId="1290" xr:uid="{00000000-0005-0000-0000-000009050000}"/>
    <cellStyle name="1_tree_원가계산서_00갑지_설계내역서_3차네고견적(061017-1)" xfId="1291" xr:uid="{00000000-0005-0000-0000-00000A050000}"/>
    <cellStyle name="1_tree_원가계산서_00갑지_설계내역서_백화점화장실인테리어" xfId="1292" xr:uid="{00000000-0005-0000-0000-00000B050000}"/>
    <cellStyle name="1_tree_원가계산서_00갑지_설계내역서_백화점화장실인테리어_1차 기성 내역서 0612023" xfId="1293" xr:uid="{00000000-0005-0000-0000-00000C050000}"/>
    <cellStyle name="1_tree_원가계산서_00갑지_설계내역서_백화점화장실인테리어_3차네고견적(061017-1)" xfId="1294" xr:uid="{00000000-0005-0000-0000-00000D050000}"/>
    <cellStyle name="1_tree_원가계산서_00갑지_설계내역서_화명조경" xfId="1295" xr:uid="{00000000-0005-0000-0000-00000E050000}"/>
    <cellStyle name="1_tree_원가계산서_00갑지_설계내역서_화명조경_1차 기성 내역서 0612023" xfId="1296" xr:uid="{00000000-0005-0000-0000-00000F050000}"/>
    <cellStyle name="1_tree_원가계산서_00갑지_설계내역서_화명조경_3차네고견적(061017-1)" xfId="1297" xr:uid="{00000000-0005-0000-0000-000010050000}"/>
    <cellStyle name="1_tree_원가계산서_00갑지_설계내역서_화명조경_백화점화장실인테리어" xfId="1298" xr:uid="{00000000-0005-0000-0000-000011050000}"/>
    <cellStyle name="1_tree_원가계산서_00갑지_설계내역서_화명조경_백화점화장실인테리어_1차 기성 내역서 0612023" xfId="1299" xr:uid="{00000000-0005-0000-0000-000012050000}"/>
    <cellStyle name="1_tree_원가계산서_00갑지_설계내역서_화명조경_백화점화장실인테리어_3차네고견적(061017-1)" xfId="1300" xr:uid="{00000000-0005-0000-0000-000013050000}"/>
    <cellStyle name="1_tree_원가계산서_00갑지_설계내역서1월7일" xfId="1301" xr:uid="{00000000-0005-0000-0000-000014050000}"/>
    <cellStyle name="1_tree_원가계산서_00갑지_설계내역서1월7일_1차 기성 내역서 0612023" xfId="1302" xr:uid="{00000000-0005-0000-0000-000015050000}"/>
    <cellStyle name="1_tree_원가계산서_00갑지_설계내역서1월7일_3차네고견적(061017-1)" xfId="1303" xr:uid="{00000000-0005-0000-0000-000016050000}"/>
    <cellStyle name="1_tree_원가계산서_00갑지_설계내역서1월7일_백화점화장실인테리어" xfId="1304" xr:uid="{00000000-0005-0000-0000-000017050000}"/>
    <cellStyle name="1_tree_원가계산서_00갑지_설계내역서1월7일_백화점화장실인테리어_1차 기성 내역서 0612023" xfId="1305" xr:uid="{00000000-0005-0000-0000-000018050000}"/>
    <cellStyle name="1_tree_원가계산서_00갑지_설계내역서1월7일_백화점화장실인테리어_3차네고견적(061017-1)" xfId="1306" xr:uid="{00000000-0005-0000-0000-000019050000}"/>
    <cellStyle name="1_tree_원가계산서_00갑지_설계내역서1월7일_화명조경" xfId="1307" xr:uid="{00000000-0005-0000-0000-00001A050000}"/>
    <cellStyle name="1_tree_원가계산서_00갑지_설계내역서1월7일_화명조경_1차 기성 내역서 0612023" xfId="1308" xr:uid="{00000000-0005-0000-0000-00001B050000}"/>
    <cellStyle name="1_tree_원가계산서_00갑지_설계내역서1월7일_화명조경_3차네고견적(061017-1)" xfId="1309" xr:uid="{00000000-0005-0000-0000-00001C050000}"/>
    <cellStyle name="1_tree_원가계산서_00갑지_설계내역서1월7일_화명조경_백화점화장실인테리어" xfId="1310" xr:uid="{00000000-0005-0000-0000-00001D050000}"/>
    <cellStyle name="1_tree_원가계산서_00갑지_설계내역서1월7일_화명조경_백화점화장실인테리어_1차 기성 내역서 0612023" xfId="1311" xr:uid="{00000000-0005-0000-0000-00001E050000}"/>
    <cellStyle name="1_tree_원가계산서_00갑지_설계내역서1월7일_화명조경_백화점화장실인테리어_3차네고견적(061017-1)" xfId="1312" xr:uid="{00000000-0005-0000-0000-00001F050000}"/>
    <cellStyle name="1_tree_원가계산서_00갑지_화명조경" xfId="1313" xr:uid="{00000000-0005-0000-0000-000020050000}"/>
    <cellStyle name="1_tree_원가계산서_00갑지_화명조경_1차 기성 내역서 0612023" xfId="1314" xr:uid="{00000000-0005-0000-0000-000021050000}"/>
    <cellStyle name="1_tree_원가계산서_00갑지_화명조경_3차네고견적(061017-1)" xfId="1315" xr:uid="{00000000-0005-0000-0000-000022050000}"/>
    <cellStyle name="1_tree_원가계산서_00갑지_화명조경_백화점화장실인테리어" xfId="1316" xr:uid="{00000000-0005-0000-0000-000023050000}"/>
    <cellStyle name="1_tree_원가계산서_00갑지_화명조경_백화점화장실인테리어_1차 기성 내역서 0612023" xfId="1317" xr:uid="{00000000-0005-0000-0000-000024050000}"/>
    <cellStyle name="1_tree_원가계산서_00갑지_화명조경_백화점화장실인테리어_3차네고견적(061017-1)" xfId="1318" xr:uid="{00000000-0005-0000-0000-000025050000}"/>
    <cellStyle name="1_tree_원가계산서_1차 기성 내역서 0612023" xfId="1319" xr:uid="{00000000-0005-0000-0000-000026050000}"/>
    <cellStyle name="1_tree_원가계산서_3차네고견적(061017-1)" xfId="1320" xr:uid="{00000000-0005-0000-0000-000027050000}"/>
    <cellStyle name="1_tree_원가계산서_과천놀이터설계서" xfId="1321" xr:uid="{00000000-0005-0000-0000-000028050000}"/>
    <cellStyle name="1_tree_원가계산서_과천놀이터설계서_1차 기성 내역서 0612023" xfId="1322" xr:uid="{00000000-0005-0000-0000-000029050000}"/>
    <cellStyle name="1_tree_원가계산서_과천놀이터설계서_3차네고견적(061017-1)" xfId="1323" xr:uid="{00000000-0005-0000-0000-00002A050000}"/>
    <cellStyle name="1_tree_원가계산서_과천놀이터설계서_백화점화장실인테리어" xfId="1324" xr:uid="{00000000-0005-0000-0000-00002B050000}"/>
    <cellStyle name="1_tree_원가계산서_과천놀이터설계서_백화점화장실인테리어_1차 기성 내역서 0612023" xfId="1325" xr:uid="{00000000-0005-0000-0000-00002C050000}"/>
    <cellStyle name="1_tree_원가계산서_과천놀이터설계서_백화점화장실인테리어_3차네고견적(061017-1)" xfId="1326" xr:uid="{00000000-0005-0000-0000-00002D050000}"/>
    <cellStyle name="1_tree_원가계산서_과천놀이터설계서_설계내역서" xfId="1327" xr:uid="{00000000-0005-0000-0000-00002E050000}"/>
    <cellStyle name="1_tree_원가계산서_과천놀이터설계서_설계내역서_1차 기성 내역서 0612023" xfId="1328" xr:uid="{00000000-0005-0000-0000-00002F050000}"/>
    <cellStyle name="1_tree_원가계산서_과천놀이터설계서_설계내역서_3차네고견적(061017-1)" xfId="1329" xr:uid="{00000000-0005-0000-0000-000030050000}"/>
    <cellStyle name="1_tree_원가계산서_과천놀이터설계서_설계내역서_백화점화장실인테리어" xfId="1330" xr:uid="{00000000-0005-0000-0000-000031050000}"/>
    <cellStyle name="1_tree_원가계산서_과천놀이터설계서_설계내역서_백화점화장실인테리어_1차 기성 내역서 0612023" xfId="1331" xr:uid="{00000000-0005-0000-0000-000032050000}"/>
    <cellStyle name="1_tree_원가계산서_과천놀이터설계서_설계내역서_백화점화장실인테리어_3차네고견적(061017-1)" xfId="1332" xr:uid="{00000000-0005-0000-0000-000033050000}"/>
    <cellStyle name="1_tree_원가계산서_과천놀이터설계서_설계내역서_화명조경" xfId="1333" xr:uid="{00000000-0005-0000-0000-000034050000}"/>
    <cellStyle name="1_tree_원가계산서_과천놀이터설계서_설계내역서_화명조경_1차 기성 내역서 0612023" xfId="1334" xr:uid="{00000000-0005-0000-0000-000035050000}"/>
    <cellStyle name="1_tree_원가계산서_과천놀이터설계서_설계내역서_화명조경_3차네고견적(061017-1)" xfId="1335" xr:uid="{00000000-0005-0000-0000-000036050000}"/>
    <cellStyle name="1_tree_원가계산서_과천놀이터설계서_설계내역서_화명조경_백화점화장실인테리어" xfId="1336" xr:uid="{00000000-0005-0000-0000-000037050000}"/>
    <cellStyle name="1_tree_원가계산서_과천놀이터설계서_설계내역서_화명조경_백화점화장실인테리어_1차 기성 내역서 0612023" xfId="1337" xr:uid="{00000000-0005-0000-0000-000038050000}"/>
    <cellStyle name="1_tree_원가계산서_과천놀이터설계서_설계내역서_화명조경_백화점화장실인테리어_3차네고견적(061017-1)" xfId="1338" xr:uid="{00000000-0005-0000-0000-000039050000}"/>
    <cellStyle name="1_tree_원가계산서_과천놀이터설계서_설계내역서1월7일" xfId="1339" xr:uid="{00000000-0005-0000-0000-00003A050000}"/>
    <cellStyle name="1_tree_원가계산서_과천놀이터설계서_설계내역서1월7일_1차 기성 내역서 0612023" xfId="1340" xr:uid="{00000000-0005-0000-0000-00003B050000}"/>
    <cellStyle name="1_tree_원가계산서_과천놀이터설계서_설계내역서1월7일_3차네고견적(061017-1)" xfId="1341" xr:uid="{00000000-0005-0000-0000-00003C050000}"/>
    <cellStyle name="1_tree_원가계산서_과천놀이터설계서_설계내역서1월7일_백화점화장실인테리어" xfId="1342" xr:uid="{00000000-0005-0000-0000-00003D050000}"/>
    <cellStyle name="1_tree_원가계산서_과천놀이터설계서_설계내역서1월7일_백화점화장실인테리어_1차 기성 내역서 0612023" xfId="1343" xr:uid="{00000000-0005-0000-0000-00003E050000}"/>
    <cellStyle name="1_tree_원가계산서_과천놀이터설계서_설계내역서1월7일_백화점화장실인테리어_3차네고견적(061017-1)" xfId="1344" xr:uid="{00000000-0005-0000-0000-00003F050000}"/>
    <cellStyle name="1_tree_원가계산서_과천놀이터설계서_설계내역서1월7일_화명조경" xfId="1345" xr:uid="{00000000-0005-0000-0000-000040050000}"/>
    <cellStyle name="1_tree_원가계산서_과천놀이터설계서_설계내역서1월7일_화명조경_1차 기성 내역서 0612023" xfId="1346" xr:uid="{00000000-0005-0000-0000-000041050000}"/>
    <cellStyle name="1_tree_원가계산서_과천놀이터설계서_설계내역서1월7일_화명조경_3차네고견적(061017-1)" xfId="1347" xr:uid="{00000000-0005-0000-0000-000042050000}"/>
    <cellStyle name="1_tree_원가계산서_과천놀이터설계서_설계내역서1월7일_화명조경_백화점화장실인테리어" xfId="1348" xr:uid="{00000000-0005-0000-0000-000043050000}"/>
    <cellStyle name="1_tree_원가계산서_과천놀이터설계서_설계내역서1월7일_화명조경_백화점화장실인테리어_1차 기성 내역서 0612023" xfId="1349" xr:uid="{00000000-0005-0000-0000-000044050000}"/>
    <cellStyle name="1_tree_원가계산서_과천놀이터설계서_설계내역서1월7일_화명조경_백화점화장실인테리어_3차네고견적(061017-1)" xfId="1350" xr:uid="{00000000-0005-0000-0000-000045050000}"/>
    <cellStyle name="1_tree_원가계산서_과천놀이터설계서_화명조경" xfId="1351" xr:uid="{00000000-0005-0000-0000-000046050000}"/>
    <cellStyle name="1_tree_원가계산서_과천놀이터설계서_화명조경_1차 기성 내역서 0612023" xfId="1352" xr:uid="{00000000-0005-0000-0000-000047050000}"/>
    <cellStyle name="1_tree_원가계산서_과천놀이터설계서_화명조경_3차네고견적(061017-1)" xfId="1353" xr:uid="{00000000-0005-0000-0000-000048050000}"/>
    <cellStyle name="1_tree_원가계산서_과천놀이터설계서_화명조경_백화점화장실인테리어" xfId="1354" xr:uid="{00000000-0005-0000-0000-000049050000}"/>
    <cellStyle name="1_tree_원가계산서_과천놀이터설계서_화명조경_백화점화장실인테리어_1차 기성 내역서 0612023" xfId="1355" xr:uid="{00000000-0005-0000-0000-00004A050000}"/>
    <cellStyle name="1_tree_원가계산서_과천놀이터설계서_화명조경_백화점화장실인테리어_3차네고견적(061017-1)" xfId="1356" xr:uid="{00000000-0005-0000-0000-00004B050000}"/>
    <cellStyle name="1_tree_원가계산서_백화점화장실인테리어" xfId="1357" xr:uid="{00000000-0005-0000-0000-00004C050000}"/>
    <cellStyle name="1_tree_원가계산서_백화점화장실인테리어_1차 기성 내역서 0612023" xfId="1358" xr:uid="{00000000-0005-0000-0000-00004D050000}"/>
    <cellStyle name="1_tree_원가계산서_백화점화장실인테리어_3차네고견적(061017-1)" xfId="1359" xr:uid="{00000000-0005-0000-0000-00004E050000}"/>
    <cellStyle name="1_tree_원가계산서_총괄갑지" xfId="1360" xr:uid="{00000000-0005-0000-0000-00004F050000}"/>
    <cellStyle name="1_tree_원가계산서_총괄갑지_1차 기성 내역서 0612023" xfId="1361" xr:uid="{00000000-0005-0000-0000-000050050000}"/>
    <cellStyle name="1_tree_원가계산서_총괄갑지_3차네고견적(061017-1)" xfId="1362" xr:uid="{00000000-0005-0000-0000-000051050000}"/>
    <cellStyle name="1_tree_원가계산서_총괄갑지_백화점화장실인테리어" xfId="1363" xr:uid="{00000000-0005-0000-0000-000052050000}"/>
    <cellStyle name="1_tree_원가계산서_총괄갑지_백화점화장실인테리어_1차 기성 내역서 0612023" xfId="1364" xr:uid="{00000000-0005-0000-0000-000053050000}"/>
    <cellStyle name="1_tree_원가계산서_총괄갑지_백화점화장실인테리어_3차네고견적(061017-1)" xfId="1365" xr:uid="{00000000-0005-0000-0000-000054050000}"/>
    <cellStyle name="1_tree_원가계산서_총괄갑지_설계내역서" xfId="1366" xr:uid="{00000000-0005-0000-0000-000055050000}"/>
    <cellStyle name="1_tree_원가계산서_총괄갑지_설계내역서_1차 기성 내역서 0612023" xfId="1367" xr:uid="{00000000-0005-0000-0000-000056050000}"/>
    <cellStyle name="1_tree_원가계산서_총괄갑지_설계내역서_3차네고견적(061017-1)" xfId="1368" xr:uid="{00000000-0005-0000-0000-000057050000}"/>
    <cellStyle name="1_tree_원가계산서_총괄갑지_설계내역서_백화점화장실인테리어" xfId="1369" xr:uid="{00000000-0005-0000-0000-000058050000}"/>
    <cellStyle name="1_tree_원가계산서_총괄갑지_설계내역서_백화점화장실인테리어_1차 기성 내역서 0612023" xfId="1370" xr:uid="{00000000-0005-0000-0000-000059050000}"/>
    <cellStyle name="1_tree_원가계산서_총괄갑지_설계내역서_백화점화장실인테리어_3차네고견적(061017-1)" xfId="1371" xr:uid="{00000000-0005-0000-0000-00005A050000}"/>
    <cellStyle name="1_tree_원가계산서_총괄갑지_설계내역서_화명조경" xfId="1372" xr:uid="{00000000-0005-0000-0000-00005B050000}"/>
    <cellStyle name="1_tree_원가계산서_총괄갑지_설계내역서_화명조경_1차 기성 내역서 0612023" xfId="1373" xr:uid="{00000000-0005-0000-0000-00005C050000}"/>
    <cellStyle name="1_tree_원가계산서_총괄갑지_설계내역서_화명조경_3차네고견적(061017-1)" xfId="1374" xr:uid="{00000000-0005-0000-0000-00005D050000}"/>
    <cellStyle name="1_tree_원가계산서_총괄갑지_설계내역서_화명조경_백화점화장실인테리어" xfId="1375" xr:uid="{00000000-0005-0000-0000-00005E050000}"/>
    <cellStyle name="1_tree_원가계산서_총괄갑지_설계내역서_화명조경_백화점화장실인테리어_1차 기성 내역서 0612023" xfId="1376" xr:uid="{00000000-0005-0000-0000-00005F050000}"/>
    <cellStyle name="1_tree_원가계산서_총괄갑지_설계내역서_화명조경_백화점화장실인테리어_3차네고견적(061017-1)" xfId="1377" xr:uid="{00000000-0005-0000-0000-000060050000}"/>
    <cellStyle name="1_tree_원가계산서_총괄갑지_설계내역서1월7일" xfId="1378" xr:uid="{00000000-0005-0000-0000-000061050000}"/>
    <cellStyle name="1_tree_원가계산서_총괄갑지_설계내역서1월7일_1차 기성 내역서 0612023" xfId="1379" xr:uid="{00000000-0005-0000-0000-000062050000}"/>
    <cellStyle name="1_tree_원가계산서_총괄갑지_설계내역서1월7일_3차네고견적(061017-1)" xfId="1380" xr:uid="{00000000-0005-0000-0000-000063050000}"/>
    <cellStyle name="1_tree_원가계산서_총괄갑지_설계내역서1월7일_백화점화장실인테리어" xfId="1381" xr:uid="{00000000-0005-0000-0000-000064050000}"/>
    <cellStyle name="1_tree_원가계산서_총괄갑지_설계내역서1월7일_백화점화장실인테리어_1차 기성 내역서 0612023" xfId="1382" xr:uid="{00000000-0005-0000-0000-000065050000}"/>
    <cellStyle name="1_tree_원가계산서_총괄갑지_설계내역서1월7일_백화점화장실인테리어_3차네고견적(061017-1)" xfId="1383" xr:uid="{00000000-0005-0000-0000-000066050000}"/>
    <cellStyle name="1_tree_원가계산서_총괄갑지_설계내역서1월7일_화명조경" xfId="1384" xr:uid="{00000000-0005-0000-0000-000067050000}"/>
    <cellStyle name="1_tree_원가계산서_총괄갑지_설계내역서1월7일_화명조경_1차 기성 내역서 0612023" xfId="1385" xr:uid="{00000000-0005-0000-0000-000068050000}"/>
    <cellStyle name="1_tree_원가계산서_총괄갑지_설계내역서1월7일_화명조경_3차네고견적(061017-1)" xfId="1386" xr:uid="{00000000-0005-0000-0000-000069050000}"/>
    <cellStyle name="1_tree_원가계산서_총괄갑지_설계내역서1월7일_화명조경_백화점화장실인테리어" xfId="1387" xr:uid="{00000000-0005-0000-0000-00006A050000}"/>
    <cellStyle name="1_tree_원가계산서_총괄갑지_설계내역서1월7일_화명조경_백화점화장실인테리어_1차 기성 내역서 0612023" xfId="1388" xr:uid="{00000000-0005-0000-0000-00006B050000}"/>
    <cellStyle name="1_tree_원가계산서_총괄갑지_설계내역서1월7일_화명조경_백화점화장실인테리어_3차네고견적(061017-1)" xfId="1389" xr:uid="{00000000-0005-0000-0000-00006C050000}"/>
    <cellStyle name="1_tree_원가계산서_총괄갑지_화명조경" xfId="1390" xr:uid="{00000000-0005-0000-0000-00006D050000}"/>
    <cellStyle name="1_tree_원가계산서_총괄갑지_화명조경_1차 기성 내역서 0612023" xfId="1391" xr:uid="{00000000-0005-0000-0000-00006E050000}"/>
    <cellStyle name="1_tree_원가계산서_총괄갑지_화명조경_3차네고견적(061017-1)" xfId="1392" xr:uid="{00000000-0005-0000-0000-00006F050000}"/>
    <cellStyle name="1_tree_원가계산서_총괄갑지_화명조경_백화점화장실인테리어" xfId="1393" xr:uid="{00000000-0005-0000-0000-000070050000}"/>
    <cellStyle name="1_tree_원가계산서_총괄갑지_화명조경_백화점화장실인테리어_1차 기성 내역서 0612023" xfId="1394" xr:uid="{00000000-0005-0000-0000-000071050000}"/>
    <cellStyle name="1_tree_원가계산서_총괄갑지_화명조경_백화점화장실인테리어_3차네고견적(061017-1)" xfId="1395" xr:uid="{00000000-0005-0000-0000-000072050000}"/>
    <cellStyle name="1_tree_원가계산서_총괄내역서" xfId="1396" xr:uid="{00000000-0005-0000-0000-000073050000}"/>
    <cellStyle name="1_tree_원가계산서_총괄내역서_1차 기성 내역서 0612023" xfId="1397" xr:uid="{00000000-0005-0000-0000-000074050000}"/>
    <cellStyle name="1_tree_원가계산서_총괄내역서_3차네고견적(061017-1)" xfId="1398" xr:uid="{00000000-0005-0000-0000-000075050000}"/>
    <cellStyle name="1_tree_원가계산서_총괄내역서_백화점화장실인테리어" xfId="1399" xr:uid="{00000000-0005-0000-0000-000076050000}"/>
    <cellStyle name="1_tree_원가계산서_총괄내역서_백화점화장실인테리어_1차 기성 내역서 0612023" xfId="1400" xr:uid="{00000000-0005-0000-0000-000077050000}"/>
    <cellStyle name="1_tree_원가계산서_총괄내역서_백화점화장실인테리어_3차네고견적(061017-1)" xfId="1401" xr:uid="{00000000-0005-0000-0000-000078050000}"/>
    <cellStyle name="1_tree_원가계산서_총괄내역서_설계내역서" xfId="1402" xr:uid="{00000000-0005-0000-0000-000079050000}"/>
    <cellStyle name="1_tree_원가계산서_총괄내역서_설계내역서_1차 기성 내역서 0612023" xfId="1403" xr:uid="{00000000-0005-0000-0000-00007A050000}"/>
    <cellStyle name="1_tree_원가계산서_총괄내역서_설계내역서_3차네고견적(061017-1)" xfId="1404" xr:uid="{00000000-0005-0000-0000-00007B050000}"/>
    <cellStyle name="1_tree_원가계산서_총괄내역서_설계내역서_백화점화장실인테리어" xfId="1405" xr:uid="{00000000-0005-0000-0000-00007C050000}"/>
    <cellStyle name="1_tree_원가계산서_총괄내역서_설계내역서_백화점화장실인테리어_1차 기성 내역서 0612023" xfId="1406" xr:uid="{00000000-0005-0000-0000-00007D050000}"/>
    <cellStyle name="1_tree_원가계산서_총괄내역서_설계내역서_백화점화장실인테리어_3차네고견적(061017-1)" xfId="1407" xr:uid="{00000000-0005-0000-0000-00007E050000}"/>
    <cellStyle name="1_tree_원가계산서_총괄내역서_설계내역서_화명조경" xfId="1408" xr:uid="{00000000-0005-0000-0000-00007F050000}"/>
    <cellStyle name="1_tree_원가계산서_총괄내역서_설계내역서_화명조경_1차 기성 내역서 0612023" xfId="1409" xr:uid="{00000000-0005-0000-0000-000080050000}"/>
    <cellStyle name="1_tree_원가계산서_총괄내역서_설계내역서_화명조경_3차네고견적(061017-1)" xfId="1410" xr:uid="{00000000-0005-0000-0000-000081050000}"/>
    <cellStyle name="1_tree_원가계산서_총괄내역서_설계내역서_화명조경_백화점화장실인테리어" xfId="1411" xr:uid="{00000000-0005-0000-0000-000082050000}"/>
    <cellStyle name="1_tree_원가계산서_총괄내역서_설계내역서_화명조경_백화점화장실인테리어_1차 기성 내역서 0612023" xfId="1412" xr:uid="{00000000-0005-0000-0000-000083050000}"/>
    <cellStyle name="1_tree_원가계산서_총괄내역서_설계내역서_화명조경_백화점화장실인테리어_3차네고견적(061017-1)" xfId="1413" xr:uid="{00000000-0005-0000-0000-000084050000}"/>
    <cellStyle name="1_tree_원가계산서_총괄내역서_설계내역서1월7일" xfId="1414" xr:uid="{00000000-0005-0000-0000-000085050000}"/>
    <cellStyle name="1_tree_원가계산서_총괄내역서_설계내역서1월7일_1차 기성 내역서 0612023" xfId="1415" xr:uid="{00000000-0005-0000-0000-000086050000}"/>
    <cellStyle name="1_tree_원가계산서_총괄내역서_설계내역서1월7일_3차네고견적(061017-1)" xfId="1416" xr:uid="{00000000-0005-0000-0000-000087050000}"/>
    <cellStyle name="1_tree_원가계산서_총괄내역서_설계내역서1월7일_백화점화장실인테리어" xfId="1417" xr:uid="{00000000-0005-0000-0000-000088050000}"/>
    <cellStyle name="1_tree_원가계산서_총괄내역서_설계내역서1월7일_백화점화장실인테리어_1차 기성 내역서 0612023" xfId="1418" xr:uid="{00000000-0005-0000-0000-000089050000}"/>
    <cellStyle name="1_tree_원가계산서_총괄내역서_설계내역서1월7일_백화점화장실인테리어_3차네고견적(061017-1)" xfId="1419" xr:uid="{00000000-0005-0000-0000-00008A050000}"/>
    <cellStyle name="1_tree_원가계산서_총괄내역서_설계내역서1월7일_화명조경" xfId="1420" xr:uid="{00000000-0005-0000-0000-00008B050000}"/>
    <cellStyle name="1_tree_원가계산서_총괄내역서_설계내역서1월7일_화명조경_1차 기성 내역서 0612023" xfId="1421" xr:uid="{00000000-0005-0000-0000-00008C050000}"/>
    <cellStyle name="1_tree_원가계산서_총괄내역서_설계내역서1월7일_화명조경_3차네고견적(061017-1)" xfId="1422" xr:uid="{00000000-0005-0000-0000-00008D050000}"/>
    <cellStyle name="1_tree_원가계산서_총괄내역서_설계내역서1월7일_화명조경_백화점화장실인테리어" xfId="1423" xr:uid="{00000000-0005-0000-0000-00008E050000}"/>
    <cellStyle name="1_tree_원가계산서_총괄내역서_설계내역서1월7일_화명조경_백화점화장실인테리어_1차 기성 내역서 0612023" xfId="1424" xr:uid="{00000000-0005-0000-0000-00008F050000}"/>
    <cellStyle name="1_tree_원가계산서_총괄내역서_설계내역서1월7일_화명조경_백화점화장실인테리어_3차네고견적(061017-1)" xfId="1425" xr:uid="{00000000-0005-0000-0000-000090050000}"/>
    <cellStyle name="1_tree_원가계산서_총괄내역서_화명조경" xfId="1426" xr:uid="{00000000-0005-0000-0000-000091050000}"/>
    <cellStyle name="1_tree_원가계산서_총괄내역서_화명조경_1차 기성 내역서 0612023" xfId="1427" xr:uid="{00000000-0005-0000-0000-000092050000}"/>
    <cellStyle name="1_tree_원가계산서_총괄내역서_화명조경_3차네고견적(061017-1)" xfId="1428" xr:uid="{00000000-0005-0000-0000-000093050000}"/>
    <cellStyle name="1_tree_원가계산서_총괄내역서_화명조경_백화점화장실인테리어" xfId="1429" xr:uid="{00000000-0005-0000-0000-000094050000}"/>
    <cellStyle name="1_tree_원가계산서_총괄내역서_화명조경_백화점화장실인테리어_1차 기성 내역서 0612023" xfId="1430" xr:uid="{00000000-0005-0000-0000-000095050000}"/>
    <cellStyle name="1_tree_원가계산서_총괄내역서_화명조경_백화점화장실인테리어_3차네고견적(061017-1)" xfId="1431" xr:uid="{00000000-0005-0000-0000-000096050000}"/>
    <cellStyle name="1_tree_원가계산서_화명조경" xfId="1432" xr:uid="{00000000-0005-0000-0000-000097050000}"/>
    <cellStyle name="1_tree_원가계산서_화명조경_1차 기성 내역서 0612023" xfId="1433" xr:uid="{00000000-0005-0000-0000-000098050000}"/>
    <cellStyle name="1_tree_원가계산서_화명조경_3차네고견적(061017-1)" xfId="1434" xr:uid="{00000000-0005-0000-0000-000099050000}"/>
    <cellStyle name="1_tree_원가계산서_화명조경_백화점화장실인테리어" xfId="1435" xr:uid="{00000000-0005-0000-0000-00009A050000}"/>
    <cellStyle name="1_tree_원가계산서_화명조경_백화점화장실인테리어_1차 기성 내역서 0612023" xfId="1436" xr:uid="{00000000-0005-0000-0000-00009B050000}"/>
    <cellStyle name="1_tree_원가계산서_화명조경_백화점화장실인테리어_3차네고견적(061017-1)" xfId="1437" xr:uid="{00000000-0005-0000-0000-00009C050000}"/>
    <cellStyle name="1_tree_은파수량집계" xfId="1438" xr:uid="{00000000-0005-0000-0000-00009D050000}"/>
    <cellStyle name="1_tree_은파수량집계_1차 기성 내역서 0612023" xfId="1439" xr:uid="{00000000-0005-0000-0000-00009E050000}"/>
    <cellStyle name="1_tree_은파수량집계_3차네고견적(061017-1)" xfId="1440" xr:uid="{00000000-0005-0000-0000-00009F050000}"/>
    <cellStyle name="1_tree_은파수량집계_백화점화장실인테리어" xfId="1441" xr:uid="{00000000-0005-0000-0000-0000A0050000}"/>
    <cellStyle name="1_tree_은파수량집계_백화점화장실인테리어_1차 기성 내역서 0612023" xfId="1442" xr:uid="{00000000-0005-0000-0000-0000A1050000}"/>
    <cellStyle name="1_tree_은파수량집계_백화점화장실인테리어_3차네고견적(061017-1)" xfId="1443" xr:uid="{00000000-0005-0000-0000-0000A2050000}"/>
    <cellStyle name="1_tree_은파수량집계_설계내역서" xfId="1444" xr:uid="{00000000-0005-0000-0000-0000A3050000}"/>
    <cellStyle name="1_tree_은파수량집계_설계내역서_1차 기성 내역서 0612023" xfId="1445" xr:uid="{00000000-0005-0000-0000-0000A4050000}"/>
    <cellStyle name="1_tree_은파수량집계_설계내역서_3차네고견적(061017-1)" xfId="1446" xr:uid="{00000000-0005-0000-0000-0000A5050000}"/>
    <cellStyle name="1_tree_은파수량집계_설계내역서_백화점화장실인테리어" xfId="1447" xr:uid="{00000000-0005-0000-0000-0000A6050000}"/>
    <cellStyle name="1_tree_은파수량집계_설계내역서_백화점화장실인테리어_1차 기성 내역서 0612023" xfId="1448" xr:uid="{00000000-0005-0000-0000-0000A7050000}"/>
    <cellStyle name="1_tree_은파수량집계_설계내역서_백화점화장실인테리어_3차네고견적(061017-1)" xfId="1449" xr:uid="{00000000-0005-0000-0000-0000A8050000}"/>
    <cellStyle name="1_tree_은파수량집계_설계내역서_화명조경" xfId="1450" xr:uid="{00000000-0005-0000-0000-0000A9050000}"/>
    <cellStyle name="1_tree_은파수량집계_설계내역서_화명조경_1차 기성 내역서 0612023" xfId="1451" xr:uid="{00000000-0005-0000-0000-0000AA050000}"/>
    <cellStyle name="1_tree_은파수량집계_설계내역서_화명조경_3차네고견적(061017-1)" xfId="1452" xr:uid="{00000000-0005-0000-0000-0000AB050000}"/>
    <cellStyle name="1_tree_은파수량집계_설계내역서_화명조경_백화점화장실인테리어" xfId="1453" xr:uid="{00000000-0005-0000-0000-0000AC050000}"/>
    <cellStyle name="1_tree_은파수량집계_설계내역서_화명조경_백화점화장실인테리어_1차 기성 내역서 0612023" xfId="1454" xr:uid="{00000000-0005-0000-0000-0000AD050000}"/>
    <cellStyle name="1_tree_은파수량집계_설계내역서_화명조경_백화점화장실인테리어_3차네고견적(061017-1)" xfId="1455" xr:uid="{00000000-0005-0000-0000-0000AE050000}"/>
    <cellStyle name="1_tree_은파수량집계_설계내역서1월7일" xfId="1456" xr:uid="{00000000-0005-0000-0000-0000AF050000}"/>
    <cellStyle name="1_tree_은파수량집계_설계내역서1월7일_1차 기성 내역서 0612023" xfId="1457" xr:uid="{00000000-0005-0000-0000-0000B0050000}"/>
    <cellStyle name="1_tree_은파수량집계_설계내역서1월7일_3차네고견적(061017-1)" xfId="1458" xr:uid="{00000000-0005-0000-0000-0000B1050000}"/>
    <cellStyle name="1_tree_은파수량집계_설계내역서1월7일_백화점화장실인테리어" xfId="1459" xr:uid="{00000000-0005-0000-0000-0000B2050000}"/>
    <cellStyle name="1_tree_은파수량집계_설계내역서1월7일_백화점화장실인테리어_1차 기성 내역서 0612023" xfId="1460" xr:uid="{00000000-0005-0000-0000-0000B3050000}"/>
    <cellStyle name="1_tree_은파수량집계_설계내역서1월7일_백화점화장실인테리어_3차네고견적(061017-1)" xfId="1461" xr:uid="{00000000-0005-0000-0000-0000B4050000}"/>
    <cellStyle name="1_tree_은파수량집계_설계내역서1월7일_화명조경" xfId="1462" xr:uid="{00000000-0005-0000-0000-0000B5050000}"/>
    <cellStyle name="1_tree_은파수량집계_설계내역서1월7일_화명조경_1차 기성 내역서 0612023" xfId="1463" xr:uid="{00000000-0005-0000-0000-0000B6050000}"/>
    <cellStyle name="1_tree_은파수량집계_설계내역서1월7일_화명조경_3차네고견적(061017-1)" xfId="1464" xr:uid="{00000000-0005-0000-0000-0000B7050000}"/>
    <cellStyle name="1_tree_은파수량집계_설계내역서1월7일_화명조경_백화점화장실인테리어" xfId="1465" xr:uid="{00000000-0005-0000-0000-0000B8050000}"/>
    <cellStyle name="1_tree_은파수량집계_설계내역서1월7일_화명조경_백화점화장실인테리어_1차 기성 내역서 0612023" xfId="1466" xr:uid="{00000000-0005-0000-0000-0000B9050000}"/>
    <cellStyle name="1_tree_은파수량집계_설계내역서1월7일_화명조경_백화점화장실인테리어_3차네고견적(061017-1)" xfId="1467" xr:uid="{00000000-0005-0000-0000-0000BA050000}"/>
    <cellStyle name="1_tree_은파수량집계_화명조경" xfId="1468" xr:uid="{00000000-0005-0000-0000-0000BB050000}"/>
    <cellStyle name="1_tree_은파수량집계_화명조경_1차 기성 내역서 0612023" xfId="1469" xr:uid="{00000000-0005-0000-0000-0000BC050000}"/>
    <cellStyle name="1_tree_은파수량집계_화명조경_3차네고견적(061017-1)" xfId="1470" xr:uid="{00000000-0005-0000-0000-0000BD050000}"/>
    <cellStyle name="1_tree_은파수량집계_화명조경_백화점화장실인테리어" xfId="1471" xr:uid="{00000000-0005-0000-0000-0000BE050000}"/>
    <cellStyle name="1_tree_은파수량집계_화명조경_백화점화장실인테리어_1차 기성 내역서 0612023" xfId="1472" xr:uid="{00000000-0005-0000-0000-0000BF050000}"/>
    <cellStyle name="1_tree_은파수량집계_화명조경_백화점화장실인테리어_3차네고견적(061017-1)" xfId="1473" xr:uid="{00000000-0005-0000-0000-0000C0050000}"/>
    <cellStyle name="1_tree_터미널1-0" xfId="1474" xr:uid="{00000000-0005-0000-0000-0000C1050000}"/>
    <cellStyle name="1_tree_터미널1-0_1" xfId="1475" xr:uid="{00000000-0005-0000-0000-0000C2050000}"/>
    <cellStyle name="1_tree_터미널1-0_1_1차 기성 내역서 0612023" xfId="1476" xr:uid="{00000000-0005-0000-0000-0000C3050000}"/>
    <cellStyle name="1_tree_터미널1-0_1_3차네고견적(061017-1)" xfId="1477" xr:uid="{00000000-0005-0000-0000-0000C4050000}"/>
    <cellStyle name="1_tree_터미널1-0_1_백화점화장실인테리어" xfId="1478" xr:uid="{00000000-0005-0000-0000-0000C5050000}"/>
    <cellStyle name="1_tree_터미널1-0_1_백화점화장실인테리어_1차 기성 내역서 0612023" xfId="1479" xr:uid="{00000000-0005-0000-0000-0000C6050000}"/>
    <cellStyle name="1_tree_터미널1-0_1_백화점화장실인테리어_3차네고견적(061017-1)" xfId="1480" xr:uid="{00000000-0005-0000-0000-0000C7050000}"/>
    <cellStyle name="1_tree_터미널1-0_1_화명조경" xfId="1481" xr:uid="{00000000-0005-0000-0000-0000C8050000}"/>
    <cellStyle name="1_tree_터미널1-0_1_화명조경_1차 기성 내역서 0612023" xfId="1482" xr:uid="{00000000-0005-0000-0000-0000C9050000}"/>
    <cellStyle name="1_tree_터미널1-0_1_화명조경_3차네고견적(061017-1)" xfId="1483" xr:uid="{00000000-0005-0000-0000-0000CA050000}"/>
    <cellStyle name="1_tree_터미널1-0_1_화명조경_백화점화장실인테리어" xfId="1484" xr:uid="{00000000-0005-0000-0000-0000CB050000}"/>
    <cellStyle name="1_tree_터미널1-0_1_화명조경_백화점화장실인테리어_1차 기성 내역서 0612023" xfId="1485" xr:uid="{00000000-0005-0000-0000-0000CC050000}"/>
    <cellStyle name="1_tree_터미널1-0_1_화명조경_백화점화장실인테리어_3차네고견적(061017-1)" xfId="1486" xr:uid="{00000000-0005-0000-0000-0000CD050000}"/>
    <cellStyle name="1_tree_터미널1-0_1차 기성 내역서 0612023" xfId="1487" xr:uid="{00000000-0005-0000-0000-0000CE050000}"/>
    <cellStyle name="1_tree_터미널1-0_3차네고견적(061017-1)" xfId="1488" xr:uid="{00000000-0005-0000-0000-0000CF050000}"/>
    <cellStyle name="1_tree_터미널1-0_백화점화장실인테리어" xfId="1489" xr:uid="{00000000-0005-0000-0000-0000D0050000}"/>
    <cellStyle name="1_tree_터미널1-0_백화점화장실인테리어_1차 기성 내역서 0612023" xfId="1490" xr:uid="{00000000-0005-0000-0000-0000D1050000}"/>
    <cellStyle name="1_tree_터미널1-0_백화점화장실인테리어_3차네고견적(061017-1)" xfId="1491" xr:uid="{00000000-0005-0000-0000-0000D2050000}"/>
    <cellStyle name="1_tree_터미널1-0_설계내역서" xfId="1492" xr:uid="{00000000-0005-0000-0000-0000D3050000}"/>
    <cellStyle name="1_tree_터미널1-0_설계내역서_1차 기성 내역서 0612023" xfId="1493" xr:uid="{00000000-0005-0000-0000-0000D4050000}"/>
    <cellStyle name="1_tree_터미널1-0_설계내역서_3차네고견적(061017-1)" xfId="1494" xr:uid="{00000000-0005-0000-0000-0000D5050000}"/>
    <cellStyle name="1_tree_터미널1-0_설계내역서_백화점화장실인테리어" xfId="1495" xr:uid="{00000000-0005-0000-0000-0000D6050000}"/>
    <cellStyle name="1_tree_터미널1-0_설계내역서_백화점화장실인테리어_1차 기성 내역서 0612023" xfId="1496" xr:uid="{00000000-0005-0000-0000-0000D7050000}"/>
    <cellStyle name="1_tree_터미널1-0_설계내역서_백화점화장실인테리어_3차네고견적(061017-1)" xfId="1497" xr:uid="{00000000-0005-0000-0000-0000D8050000}"/>
    <cellStyle name="1_tree_터미널1-0_설계내역서_화명조경" xfId="1498" xr:uid="{00000000-0005-0000-0000-0000D9050000}"/>
    <cellStyle name="1_tree_터미널1-0_설계내역서_화명조경_1차 기성 내역서 0612023" xfId="1499" xr:uid="{00000000-0005-0000-0000-0000DA050000}"/>
    <cellStyle name="1_tree_터미널1-0_설계내역서_화명조경_3차네고견적(061017-1)" xfId="1500" xr:uid="{00000000-0005-0000-0000-0000DB050000}"/>
    <cellStyle name="1_tree_터미널1-0_설계내역서_화명조경_백화점화장실인테리어" xfId="1501" xr:uid="{00000000-0005-0000-0000-0000DC050000}"/>
    <cellStyle name="1_tree_터미널1-0_설계내역서_화명조경_백화점화장실인테리어_1차 기성 내역서 0612023" xfId="1502" xr:uid="{00000000-0005-0000-0000-0000DD050000}"/>
    <cellStyle name="1_tree_터미널1-0_설계내역서_화명조경_백화점화장실인테리어_3차네고견적(061017-1)" xfId="1503" xr:uid="{00000000-0005-0000-0000-0000DE050000}"/>
    <cellStyle name="1_tree_터미널1-0_설계내역서1월7일" xfId="1504" xr:uid="{00000000-0005-0000-0000-0000DF050000}"/>
    <cellStyle name="1_tree_터미널1-0_설계내역서1월7일_1차 기성 내역서 0612023" xfId="1505" xr:uid="{00000000-0005-0000-0000-0000E0050000}"/>
    <cellStyle name="1_tree_터미널1-0_설계내역서1월7일_3차네고견적(061017-1)" xfId="1506" xr:uid="{00000000-0005-0000-0000-0000E1050000}"/>
    <cellStyle name="1_tree_터미널1-0_설계내역서1월7일_백화점화장실인테리어" xfId="1507" xr:uid="{00000000-0005-0000-0000-0000E2050000}"/>
    <cellStyle name="1_tree_터미널1-0_설계내역서1월7일_백화점화장실인테리어_1차 기성 내역서 0612023" xfId="1508" xr:uid="{00000000-0005-0000-0000-0000E3050000}"/>
    <cellStyle name="1_tree_터미널1-0_설계내역서1월7일_백화점화장실인테리어_3차네고견적(061017-1)" xfId="1509" xr:uid="{00000000-0005-0000-0000-0000E4050000}"/>
    <cellStyle name="1_tree_터미널1-0_설계내역서1월7일_화명조경" xfId="1510" xr:uid="{00000000-0005-0000-0000-0000E5050000}"/>
    <cellStyle name="1_tree_터미널1-0_설계내역서1월7일_화명조경_1차 기성 내역서 0612023" xfId="1511" xr:uid="{00000000-0005-0000-0000-0000E6050000}"/>
    <cellStyle name="1_tree_터미널1-0_설계내역서1월7일_화명조경_3차네고견적(061017-1)" xfId="1512" xr:uid="{00000000-0005-0000-0000-0000E7050000}"/>
    <cellStyle name="1_tree_터미널1-0_설계내역서1월7일_화명조경_백화점화장실인테리어" xfId="1513" xr:uid="{00000000-0005-0000-0000-0000E8050000}"/>
    <cellStyle name="1_tree_터미널1-0_설계내역서1월7일_화명조경_백화점화장실인테리어_1차 기성 내역서 0612023" xfId="1514" xr:uid="{00000000-0005-0000-0000-0000E9050000}"/>
    <cellStyle name="1_tree_터미널1-0_설계내역서1월7일_화명조경_백화점화장실인테리어_3차네고견적(061017-1)" xfId="1515" xr:uid="{00000000-0005-0000-0000-0000EA050000}"/>
    <cellStyle name="1_tree_터미널1-0_쌍용수량0905" xfId="1516" xr:uid="{00000000-0005-0000-0000-0000EB050000}"/>
    <cellStyle name="1_tree_터미널1-0_쌍용수량0905_1차 기성 내역서 0612023" xfId="1517" xr:uid="{00000000-0005-0000-0000-0000EC050000}"/>
    <cellStyle name="1_tree_터미널1-0_쌍용수량0905_3차네고견적(061017-1)" xfId="1518" xr:uid="{00000000-0005-0000-0000-0000ED050000}"/>
    <cellStyle name="1_tree_터미널1-0_쌍용수량0905_백화점화장실인테리어" xfId="1519" xr:uid="{00000000-0005-0000-0000-0000EE050000}"/>
    <cellStyle name="1_tree_터미널1-0_쌍용수량0905_백화점화장실인테리어_1차 기성 내역서 0612023" xfId="1520" xr:uid="{00000000-0005-0000-0000-0000EF050000}"/>
    <cellStyle name="1_tree_터미널1-0_쌍용수량0905_백화점화장실인테리어_3차네고견적(061017-1)" xfId="1521" xr:uid="{00000000-0005-0000-0000-0000F0050000}"/>
    <cellStyle name="1_tree_터미널1-0_쌍용수량0905_설계내역서" xfId="1522" xr:uid="{00000000-0005-0000-0000-0000F1050000}"/>
    <cellStyle name="1_tree_터미널1-0_쌍용수량0905_설계내역서_1차 기성 내역서 0612023" xfId="1523" xr:uid="{00000000-0005-0000-0000-0000F2050000}"/>
    <cellStyle name="1_tree_터미널1-0_쌍용수량0905_설계내역서_3차네고견적(061017-1)" xfId="1524" xr:uid="{00000000-0005-0000-0000-0000F3050000}"/>
    <cellStyle name="1_tree_터미널1-0_쌍용수량0905_설계내역서_백화점화장실인테리어" xfId="1525" xr:uid="{00000000-0005-0000-0000-0000F4050000}"/>
    <cellStyle name="1_tree_터미널1-0_쌍용수량0905_설계내역서_백화점화장실인테리어_1차 기성 내역서 0612023" xfId="1526" xr:uid="{00000000-0005-0000-0000-0000F5050000}"/>
    <cellStyle name="1_tree_터미널1-0_쌍용수량0905_설계내역서_백화점화장실인테리어_3차네고견적(061017-1)" xfId="1527" xr:uid="{00000000-0005-0000-0000-0000F6050000}"/>
    <cellStyle name="1_tree_터미널1-0_쌍용수량0905_설계내역서_화명조경" xfId="1528" xr:uid="{00000000-0005-0000-0000-0000F7050000}"/>
    <cellStyle name="1_tree_터미널1-0_쌍용수량0905_설계내역서_화명조경_1차 기성 내역서 0612023" xfId="1529" xr:uid="{00000000-0005-0000-0000-0000F8050000}"/>
    <cellStyle name="1_tree_터미널1-0_쌍용수량0905_설계내역서_화명조경_3차네고견적(061017-1)" xfId="1530" xr:uid="{00000000-0005-0000-0000-0000F9050000}"/>
    <cellStyle name="1_tree_터미널1-0_쌍용수량0905_설계내역서_화명조경_백화점화장실인테리어" xfId="1531" xr:uid="{00000000-0005-0000-0000-0000FA050000}"/>
    <cellStyle name="1_tree_터미널1-0_쌍용수량0905_설계내역서_화명조경_백화점화장실인테리어_1차 기성 내역서 0612023" xfId="1532" xr:uid="{00000000-0005-0000-0000-0000FB050000}"/>
    <cellStyle name="1_tree_터미널1-0_쌍용수량0905_설계내역서_화명조경_백화점화장실인테리어_3차네고견적(061017-1)" xfId="1533" xr:uid="{00000000-0005-0000-0000-0000FC050000}"/>
    <cellStyle name="1_tree_터미널1-0_쌍용수량0905_설계내역서1월7일" xfId="1534" xr:uid="{00000000-0005-0000-0000-0000FD050000}"/>
    <cellStyle name="1_tree_터미널1-0_쌍용수량0905_설계내역서1월7일_1차 기성 내역서 0612023" xfId="1535" xr:uid="{00000000-0005-0000-0000-0000FE050000}"/>
    <cellStyle name="1_tree_터미널1-0_쌍용수량0905_설계내역서1월7일_3차네고견적(061017-1)" xfId="1536" xr:uid="{00000000-0005-0000-0000-0000FF050000}"/>
    <cellStyle name="1_tree_터미널1-0_쌍용수량0905_설계내역서1월7일_백화점화장실인테리어" xfId="1537" xr:uid="{00000000-0005-0000-0000-000000060000}"/>
    <cellStyle name="1_tree_터미널1-0_쌍용수량0905_설계내역서1월7일_백화점화장실인테리어_1차 기성 내역서 0612023" xfId="1538" xr:uid="{00000000-0005-0000-0000-000001060000}"/>
    <cellStyle name="1_tree_터미널1-0_쌍용수량0905_설계내역서1월7일_백화점화장실인테리어_3차네고견적(061017-1)" xfId="1539" xr:uid="{00000000-0005-0000-0000-000002060000}"/>
    <cellStyle name="1_tree_터미널1-0_쌍용수량0905_설계내역서1월7일_화명조경" xfId="1540" xr:uid="{00000000-0005-0000-0000-000003060000}"/>
    <cellStyle name="1_tree_터미널1-0_쌍용수량0905_설계내역서1월7일_화명조경_1차 기성 내역서 0612023" xfId="1541" xr:uid="{00000000-0005-0000-0000-000004060000}"/>
    <cellStyle name="1_tree_터미널1-0_쌍용수량0905_설계내역서1월7일_화명조경_3차네고견적(061017-1)" xfId="1542" xr:uid="{00000000-0005-0000-0000-000005060000}"/>
    <cellStyle name="1_tree_터미널1-0_쌍용수량0905_설계내역서1월7일_화명조경_백화점화장실인테리어" xfId="1543" xr:uid="{00000000-0005-0000-0000-000006060000}"/>
    <cellStyle name="1_tree_터미널1-0_쌍용수량0905_설계내역서1월7일_화명조경_백화점화장실인테리어_1차 기성 내역서 0612023" xfId="1544" xr:uid="{00000000-0005-0000-0000-000007060000}"/>
    <cellStyle name="1_tree_터미널1-0_쌍용수량0905_설계내역서1월7일_화명조경_백화점화장실인테리어_3차네고견적(061017-1)" xfId="1545" xr:uid="{00000000-0005-0000-0000-000008060000}"/>
    <cellStyle name="1_tree_터미널1-0_쌍용수량0905_화명조경" xfId="1546" xr:uid="{00000000-0005-0000-0000-000009060000}"/>
    <cellStyle name="1_tree_터미널1-0_쌍용수량0905_화명조경_1차 기성 내역서 0612023" xfId="1547" xr:uid="{00000000-0005-0000-0000-00000A060000}"/>
    <cellStyle name="1_tree_터미널1-0_쌍용수량0905_화명조경_3차네고견적(061017-1)" xfId="1548" xr:uid="{00000000-0005-0000-0000-00000B060000}"/>
    <cellStyle name="1_tree_터미널1-0_쌍용수량0905_화명조경_백화점화장실인테리어" xfId="1549" xr:uid="{00000000-0005-0000-0000-00000C060000}"/>
    <cellStyle name="1_tree_터미널1-0_쌍용수량0905_화명조경_백화점화장실인테리어_1차 기성 내역서 0612023" xfId="1550" xr:uid="{00000000-0005-0000-0000-00000D060000}"/>
    <cellStyle name="1_tree_터미널1-0_쌍용수량0905_화명조경_백화점화장실인테리어_3차네고견적(061017-1)" xfId="1551" xr:uid="{00000000-0005-0000-0000-00000E060000}"/>
    <cellStyle name="1_tree_터미널1-0_화명조경" xfId="1552" xr:uid="{00000000-0005-0000-0000-00000F060000}"/>
    <cellStyle name="1_tree_터미널1-0_화명조경_1차 기성 내역서 0612023" xfId="1553" xr:uid="{00000000-0005-0000-0000-000010060000}"/>
    <cellStyle name="1_tree_터미널1-0_화명조경_3차네고견적(061017-1)" xfId="1554" xr:uid="{00000000-0005-0000-0000-000011060000}"/>
    <cellStyle name="1_tree_터미널1-0_화명조경_백화점화장실인테리어" xfId="1555" xr:uid="{00000000-0005-0000-0000-000012060000}"/>
    <cellStyle name="1_tree_터미널1-0_화명조경_백화점화장실인테리어_1차 기성 내역서 0612023" xfId="1556" xr:uid="{00000000-0005-0000-0000-000013060000}"/>
    <cellStyle name="1_tree_터미널1-0_화명조경_백화점화장실인테리어_3차네고견적(061017-1)" xfId="1557" xr:uid="{00000000-0005-0000-0000-000014060000}"/>
    <cellStyle name="1_tree_한풍집계" xfId="1558" xr:uid="{00000000-0005-0000-0000-000015060000}"/>
    <cellStyle name="1_tree_한풍집계_1차 기성 내역서 0612023" xfId="1559" xr:uid="{00000000-0005-0000-0000-000016060000}"/>
    <cellStyle name="1_tree_한풍집계_3차네고견적(061017-1)" xfId="1560" xr:uid="{00000000-0005-0000-0000-000017060000}"/>
    <cellStyle name="1_tree_한풍집계_갑지0601" xfId="1561" xr:uid="{00000000-0005-0000-0000-000018060000}"/>
    <cellStyle name="1_tree_한풍집계_갑지0601_00갑지" xfId="1562" xr:uid="{00000000-0005-0000-0000-000019060000}"/>
    <cellStyle name="1_tree_한풍집계_갑지0601_00갑지_1차 기성 내역서 0612023" xfId="1563" xr:uid="{00000000-0005-0000-0000-00001A060000}"/>
    <cellStyle name="1_tree_한풍집계_갑지0601_00갑지_3차네고견적(061017-1)" xfId="1564" xr:uid="{00000000-0005-0000-0000-00001B060000}"/>
    <cellStyle name="1_tree_한풍집계_갑지0601_00갑지_백화점화장실인테리어" xfId="1565" xr:uid="{00000000-0005-0000-0000-00001C060000}"/>
    <cellStyle name="1_tree_한풍집계_갑지0601_00갑지_백화점화장실인테리어_1차 기성 내역서 0612023" xfId="1566" xr:uid="{00000000-0005-0000-0000-00001D060000}"/>
    <cellStyle name="1_tree_한풍집계_갑지0601_00갑지_백화점화장실인테리어_3차네고견적(061017-1)" xfId="1567" xr:uid="{00000000-0005-0000-0000-00001E060000}"/>
    <cellStyle name="1_tree_한풍집계_갑지0601_00갑지_설계내역서" xfId="1568" xr:uid="{00000000-0005-0000-0000-00001F060000}"/>
    <cellStyle name="1_tree_한풍집계_갑지0601_00갑지_설계내역서_1차 기성 내역서 0612023" xfId="1569" xr:uid="{00000000-0005-0000-0000-000020060000}"/>
    <cellStyle name="1_tree_한풍집계_갑지0601_00갑지_설계내역서_3차네고견적(061017-1)" xfId="1570" xr:uid="{00000000-0005-0000-0000-000021060000}"/>
    <cellStyle name="1_tree_한풍집계_갑지0601_00갑지_설계내역서_백화점화장실인테리어" xfId="1571" xr:uid="{00000000-0005-0000-0000-000022060000}"/>
    <cellStyle name="1_tree_한풍집계_갑지0601_00갑지_설계내역서_백화점화장실인테리어_1차 기성 내역서 0612023" xfId="1572" xr:uid="{00000000-0005-0000-0000-000023060000}"/>
    <cellStyle name="1_tree_한풍집계_갑지0601_00갑지_설계내역서_백화점화장실인테리어_3차네고견적(061017-1)" xfId="1573" xr:uid="{00000000-0005-0000-0000-000024060000}"/>
    <cellStyle name="1_tree_한풍집계_갑지0601_00갑지_설계내역서_화명조경" xfId="1574" xr:uid="{00000000-0005-0000-0000-000025060000}"/>
    <cellStyle name="1_tree_한풍집계_갑지0601_00갑지_설계내역서_화명조경_1차 기성 내역서 0612023" xfId="1575" xr:uid="{00000000-0005-0000-0000-000026060000}"/>
    <cellStyle name="1_tree_한풍집계_갑지0601_00갑지_설계내역서_화명조경_3차네고견적(061017-1)" xfId="1576" xr:uid="{00000000-0005-0000-0000-000027060000}"/>
    <cellStyle name="1_tree_한풍집계_갑지0601_00갑지_설계내역서_화명조경_백화점화장실인테리어" xfId="1577" xr:uid="{00000000-0005-0000-0000-000028060000}"/>
    <cellStyle name="1_tree_한풍집계_갑지0601_00갑지_설계내역서_화명조경_백화점화장실인테리어_1차 기성 내역서 0612023" xfId="1578" xr:uid="{00000000-0005-0000-0000-000029060000}"/>
    <cellStyle name="1_tree_한풍집계_갑지0601_00갑지_설계내역서_화명조경_백화점화장실인테리어_3차네고견적(061017-1)" xfId="1579" xr:uid="{00000000-0005-0000-0000-00002A060000}"/>
    <cellStyle name="1_tree_한풍집계_갑지0601_00갑지_설계내역서1월7일" xfId="1580" xr:uid="{00000000-0005-0000-0000-00002B060000}"/>
    <cellStyle name="1_tree_한풍집계_갑지0601_00갑지_설계내역서1월7일_1차 기성 내역서 0612023" xfId="1581" xr:uid="{00000000-0005-0000-0000-00002C060000}"/>
    <cellStyle name="1_tree_한풍집계_갑지0601_00갑지_설계내역서1월7일_3차네고견적(061017-1)" xfId="1582" xr:uid="{00000000-0005-0000-0000-00002D060000}"/>
    <cellStyle name="1_tree_한풍집계_갑지0601_00갑지_설계내역서1월7일_백화점화장실인테리어" xfId="1583" xr:uid="{00000000-0005-0000-0000-00002E060000}"/>
    <cellStyle name="1_tree_한풍집계_갑지0601_00갑지_설계내역서1월7일_백화점화장실인테리어_1차 기성 내역서 0612023" xfId="1584" xr:uid="{00000000-0005-0000-0000-00002F060000}"/>
    <cellStyle name="1_tree_한풍집계_갑지0601_00갑지_설계내역서1월7일_백화점화장실인테리어_3차네고견적(061017-1)" xfId="1585" xr:uid="{00000000-0005-0000-0000-000030060000}"/>
    <cellStyle name="1_tree_한풍집계_갑지0601_00갑지_설계내역서1월7일_화명조경" xfId="1586" xr:uid="{00000000-0005-0000-0000-000031060000}"/>
    <cellStyle name="1_tree_한풍집계_갑지0601_00갑지_설계내역서1월7일_화명조경_1차 기성 내역서 0612023" xfId="1587" xr:uid="{00000000-0005-0000-0000-000032060000}"/>
    <cellStyle name="1_tree_한풍집계_갑지0601_00갑지_설계내역서1월7일_화명조경_3차네고견적(061017-1)" xfId="1588" xr:uid="{00000000-0005-0000-0000-000033060000}"/>
    <cellStyle name="1_tree_한풍집계_갑지0601_00갑지_설계내역서1월7일_화명조경_백화점화장실인테리어" xfId="1589" xr:uid="{00000000-0005-0000-0000-000034060000}"/>
    <cellStyle name="1_tree_한풍집계_갑지0601_00갑지_설계내역서1월7일_화명조경_백화점화장실인테리어_1차 기성 내역서 0612023" xfId="1590" xr:uid="{00000000-0005-0000-0000-000035060000}"/>
    <cellStyle name="1_tree_한풍집계_갑지0601_00갑지_설계내역서1월7일_화명조경_백화점화장실인테리어_3차네고견적(061017-1)" xfId="1591" xr:uid="{00000000-0005-0000-0000-000036060000}"/>
    <cellStyle name="1_tree_한풍집계_갑지0601_00갑지_화명조경" xfId="1592" xr:uid="{00000000-0005-0000-0000-000037060000}"/>
    <cellStyle name="1_tree_한풍집계_갑지0601_00갑지_화명조경_1차 기성 내역서 0612023" xfId="1593" xr:uid="{00000000-0005-0000-0000-000038060000}"/>
    <cellStyle name="1_tree_한풍집계_갑지0601_00갑지_화명조경_3차네고견적(061017-1)" xfId="1594" xr:uid="{00000000-0005-0000-0000-000039060000}"/>
    <cellStyle name="1_tree_한풍집계_갑지0601_00갑지_화명조경_백화점화장실인테리어" xfId="1595" xr:uid="{00000000-0005-0000-0000-00003A060000}"/>
    <cellStyle name="1_tree_한풍집계_갑지0601_00갑지_화명조경_백화점화장실인테리어_1차 기성 내역서 0612023" xfId="1596" xr:uid="{00000000-0005-0000-0000-00003B060000}"/>
    <cellStyle name="1_tree_한풍집계_갑지0601_00갑지_화명조경_백화점화장실인테리어_3차네고견적(061017-1)" xfId="1597" xr:uid="{00000000-0005-0000-0000-00003C060000}"/>
    <cellStyle name="1_tree_한풍집계_갑지0601_1차 기성 내역서 0612023" xfId="1598" xr:uid="{00000000-0005-0000-0000-00003D060000}"/>
    <cellStyle name="1_tree_한풍집계_갑지0601_3차네고견적(061017-1)" xfId="1599" xr:uid="{00000000-0005-0000-0000-00003E060000}"/>
    <cellStyle name="1_tree_한풍집계_갑지0601_과천놀이터설계서" xfId="1600" xr:uid="{00000000-0005-0000-0000-00003F060000}"/>
    <cellStyle name="1_tree_한풍집계_갑지0601_과천놀이터설계서_1차 기성 내역서 0612023" xfId="1601" xr:uid="{00000000-0005-0000-0000-000040060000}"/>
    <cellStyle name="1_tree_한풍집계_갑지0601_과천놀이터설계서_3차네고견적(061017-1)" xfId="1602" xr:uid="{00000000-0005-0000-0000-000041060000}"/>
    <cellStyle name="1_tree_한풍집계_갑지0601_과천놀이터설계서_백화점화장실인테리어" xfId="1603" xr:uid="{00000000-0005-0000-0000-000042060000}"/>
    <cellStyle name="1_tree_한풍집계_갑지0601_과천놀이터설계서_백화점화장실인테리어_1차 기성 내역서 0612023" xfId="1604" xr:uid="{00000000-0005-0000-0000-000043060000}"/>
    <cellStyle name="1_tree_한풍집계_갑지0601_과천놀이터설계서_백화점화장실인테리어_3차네고견적(061017-1)" xfId="1605" xr:uid="{00000000-0005-0000-0000-000044060000}"/>
    <cellStyle name="1_tree_한풍집계_갑지0601_과천놀이터설계서_설계내역서" xfId="1606" xr:uid="{00000000-0005-0000-0000-000045060000}"/>
    <cellStyle name="1_tree_한풍집계_갑지0601_과천놀이터설계서_설계내역서_1차 기성 내역서 0612023" xfId="1607" xr:uid="{00000000-0005-0000-0000-000046060000}"/>
    <cellStyle name="1_tree_한풍집계_갑지0601_과천놀이터설계서_설계내역서_3차네고견적(061017-1)" xfId="1608" xr:uid="{00000000-0005-0000-0000-000047060000}"/>
    <cellStyle name="1_tree_한풍집계_갑지0601_과천놀이터설계서_설계내역서_백화점화장실인테리어" xfId="1609" xr:uid="{00000000-0005-0000-0000-000048060000}"/>
    <cellStyle name="1_tree_한풍집계_갑지0601_과천놀이터설계서_설계내역서_백화점화장실인테리어_1차 기성 내역서 0612023" xfId="1610" xr:uid="{00000000-0005-0000-0000-000049060000}"/>
    <cellStyle name="1_tree_한풍집계_갑지0601_과천놀이터설계서_설계내역서_백화점화장실인테리어_3차네고견적(061017-1)" xfId="1611" xr:uid="{00000000-0005-0000-0000-00004A060000}"/>
    <cellStyle name="1_tree_한풍집계_갑지0601_과천놀이터설계서_설계내역서_화명조경" xfId="1612" xr:uid="{00000000-0005-0000-0000-00004B060000}"/>
    <cellStyle name="1_tree_한풍집계_갑지0601_과천놀이터설계서_설계내역서_화명조경_1차 기성 내역서 0612023" xfId="1613" xr:uid="{00000000-0005-0000-0000-00004C060000}"/>
    <cellStyle name="1_tree_한풍집계_갑지0601_과천놀이터설계서_설계내역서_화명조경_3차네고견적(061017-1)" xfId="1614" xr:uid="{00000000-0005-0000-0000-00004D060000}"/>
    <cellStyle name="1_tree_한풍집계_갑지0601_과천놀이터설계서_설계내역서_화명조경_백화점화장실인테리어" xfId="1615" xr:uid="{00000000-0005-0000-0000-00004E060000}"/>
    <cellStyle name="1_tree_한풍집계_갑지0601_과천놀이터설계서_설계내역서_화명조경_백화점화장실인테리어_1차 기성 내역서 0612023" xfId="1616" xr:uid="{00000000-0005-0000-0000-00004F060000}"/>
    <cellStyle name="1_tree_한풍집계_갑지0601_과천놀이터설계서_설계내역서_화명조경_백화점화장실인테리어_3차네고견적(061017-1)" xfId="1617" xr:uid="{00000000-0005-0000-0000-000050060000}"/>
    <cellStyle name="1_tree_한풍집계_갑지0601_과천놀이터설계서_설계내역서1월7일" xfId="1618" xr:uid="{00000000-0005-0000-0000-000051060000}"/>
    <cellStyle name="1_tree_한풍집계_갑지0601_과천놀이터설계서_설계내역서1월7일_1차 기성 내역서 0612023" xfId="1619" xr:uid="{00000000-0005-0000-0000-000052060000}"/>
    <cellStyle name="1_tree_한풍집계_갑지0601_과천놀이터설계서_설계내역서1월7일_3차네고견적(061017-1)" xfId="1620" xr:uid="{00000000-0005-0000-0000-000053060000}"/>
    <cellStyle name="1_tree_한풍집계_갑지0601_과천놀이터설계서_설계내역서1월7일_백화점화장실인테리어" xfId="1621" xr:uid="{00000000-0005-0000-0000-000054060000}"/>
    <cellStyle name="1_tree_한풍집계_갑지0601_과천놀이터설계서_설계내역서1월7일_백화점화장실인테리어_1차 기성 내역서 0612023" xfId="1622" xr:uid="{00000000-0005-0000-0000-000055060000}"/>
    <cellStyle name="1_tree_한풍집계_갑지0601_과천놀이터설계서_설계내역서1월7일_백화점화장실인테리어_3차네고견적(061017-1)" xfId="1623" xr:uid="{00000000-0005-0000-0000-000056060000}"/>
    <cellStyle name="1_tree_한풍집계_갑지0601_과천놀이터설계서_설계내역서1월7일_화명조경" xfId="1624" xr:uid="{00000000-0005-0000-0000-000057060000}"/>
    <cellStyle name="1_tree_한풍집계_갑지0601_과천놀이터설계서_설계내역서1월7일_화명조경_1차 기성 내역서 0612023" xfId="1625" xr:uid="{00000000-0005-0000-0000-000058060000}"/>
    <cellStyle name="1_tree_한풍집계_갑지0601_과천놀이터설계서_설계내역서1월7일_화명조경_3차네고견적(061017-1)" xfId="1626" xr:uid="{00000000-0005-0000-0000-000059060000}"/>
    <cellStyle name="1_tree_한풍집계_갑지0601_과천놀이터설계서_설계내역서1월7일_화명조경_백화점화장실인테리어" xfId="1627" xr:uid="{00000000-0005-0000-0000-00005A060000}"/>
    <cellStyle name="1_tree_한풍집계_갑지0601_과천놀이터설계서_설계내역서1월7일_화명조경_백화점화장실인테리어_1차 기성 내역서 0612023" xfId="1628" xr:uid="{00000000-0005-0000-0000-00005B060000}"/>
    <cellStyle name="1_tree_한풍집계_갑지0601_과천놀이터설계서_설계내역서1월7일_화명조경_백화점화장실인테리어_3차네고견적(061017-1)" xfId="1629" xr:uid="{00000000-0005-0000-0000-00005C060000}"/>
    <cellStyle name="1_tree_한풍집계_갑지0601_과천놀이터설계서_화명조경" xfId="1630" xr:uid="{00000000-0005-0000-0000-00005D060000}"/>
    <cellStyle name="1_tree_한풍집계_갑지0601_과천놀이터설계서_화명조경_1차 기성 내역서 0612023" xfId="1631" xr:uid="{00000000-0005-0000-0000-00005E060000}"/>
    <cellStyle name="1_tree_한풍집계_갑지0601_과천놀이터설계서_화명조경_3차네고견적(061017-1)" xfId="1632" xr:uid="{00000000-0005-0000-0000-00005F060000}"/>
    <cellStyle name="1_tree_한풍집계_갑지0601_과천놀이터설계서_화명조경_백화점화장실인테리어" xfId="1633" xr:uid="{00000000-0005-0000-0000-000060060000}"/>
    <cellStyle name="1_tree_한풍집계_갑지0601_과천놀이터설계서_화명조경_백화점화장실인테리어_1차 기성 내역서 0612023" xfId="1634" xr:uid="{00000000-0005-0000-0000-000061060000}"/>
    <cellStyle name="1_tree_한풍집계_갑지0601_과천놀이터설계서_화명조경_백화점화장실인테리어_3차네고견적(061017-1)" xfId="1635" xr:uid="{00000000-0005-0000-0000-000062060000}"/>
    <cellStyle name="1_tree_한풍집계_갑지0601_백화점화장실인테리어" xfId="1636" xr:uid="{00000000-0005-0000-0000-000063060000}"/>
    <cellStyle name="1_tree_한풍집계_갑지0601_백화점화장실인테리어_1차 기성 내역서 0612023" xfId="1637" xr:uid="{00000000-0005-0000-0000-000064060000}"/>
    <cellStyle name="1_tree_한풍집계_갑지0601_백화점화장실인테리어_3차네고견적(061017-1)" xfId="1638" xr:uid="{00000000-0005-0000-0000-000065060000}"/>
    <cellStyle name="1_tree_한풍집계_갑지0601_총괄갑지" xfId="1639" xr:uid="{00000000-0005-0000-0000-000066060000}"/>
    <cellStyle name="1_tree_한풍집계_갑지0601_총괄갑지_1차 기성 내역서 0612023" xfId="1640" xr:uid="{00000000-0005-0000-0000-000067060000}"/>
    <cellStyle name="1_tree_한풍집계_갑지0601_총괄갑지_3차네고견적(061017-1)" xfId="1641" xr:uid="{00000000-0005-0000-0000-000068060000}"/>
    <cellStyle name="1_tree_한풍집계_갑지0601_총괄갑지_백화점화장실인테리어" xfId="1642" xr:uid="{00000000-0005-0000-0000-000069060000}"/>
    <cellStyle name="1_tree_한풍집계_갑지0601_총괄갑지_백화점화장실인테리어_1차 기성 내역서 0612023" xfId="1643" xr:uid="{00000000-0005-0000-0000-00006A060000}"/>
    <cellStyle name="1_tree_한풍집계_갑지0601_총괄갑지_백화점화장실인테리어_3차네고견적(061017-1)" xfId="1644" xr:uid="{00000000-0005-0000-0000-00006B060000}"/>
    <cellStyle name="1_tree_한풍집계_갑지0601_총괄갑지_설계내역서" xfId="1645" xr:uid="{00000000-0005-0000-0000-00006C060000}"/>
    <cellStyle name="1_tree_한풍집계_갑지0601_총괄갑지_설계내역서_1차 기성 내역서 0612023" xfId="1646" xr:uid="{00000000-0005-0000-0000-00006D060000}"/>
    <cellStyle name="1_tree_한풍집계_갑지0601_총괄갑지_설계내역서_3차네고견적(061017-1)" xfId="1647" xr:uid="{00000000-0005-0000-0000-00006E060000}"/>
    <cellStyle name="1_tree_한풍집계_갑지0601_총괄갑지_설계내역서_백화점화장실인테리어" xfId="1648" xr:uid="{00000000-0005-0000-0000-00006F060000}"/>
    <cellStyle name="1_tree_한풍집계_갑지0601_총괄갑지_설계내역서_백화점화장실인테리어_1차 기성 내역서 0612023" xfId="1649" xr:uid="{00000000-0005-0000-0000-000070060000}"/>
    <cellStyle name="1_tree_한풍집계_갑지0601_총괄갑지_설계내역서_백화점화장실인테리어_3차네고견적(061017-1)" xfId="1650" xr:uid="{00000000-0005-0000-0000-000071060000}"/>
    <cellStyle name="1_tree_한풍집계_갑지0601_총괄갑지_설계내역서_화명조경" xfId="1651" xr:uid="{00000000-0005-0000-0000-000072060000}"/>
    <cellStyle name="1_tree_한풍집계_갑지0601_총괄갑지_설계내역서_화명조경_1차 기성 내역서 0612023" xfId="1652" xr:uid="{00000000-0005-0000-0000-000073060000}"/>
    <cellStyle name="1_tree_한풍집계_갑지0601_총괄갑지_설계내역서_화명조경_3차네고견적(061017-1)" xfId="1653" xr:uid="{00000000-0005-0000-0000-000074060000}"/>
    <cellStyle name="1_tree_한풍집계_갑지0601_총괄갑지_설계내역서_화명조경_백화점화장실인테리어" xfId="1654" xr:uid="{00000000-0005-0000-0000-000075060000}"/>
    <cellStyle name="1_tree_한풍집계_갑지0601_총괄갑지_설계내역서_화명조경_백화점화장실인테리어_1차 기성 내역서 0612023" xfId="1655" xr:uid="{00000000-0005-0000-0000-000076060000}"/>
    <cellStyle name="1_tree_한풍집계_갑지0601_총괄갑지_설계내역서_화명조경_백화점화장실인테리어_3차네고견적(061017-1)" xfId="1656" xr:uid="{00000000-0005-0000-0000-000077060000}"/>
    <cellStyle name="1_tree_한풍집계_갑지0601_총괄갑지_설계내역서1월7일" xfId="1657" xr:uid="{00000000-0005-0000-0000-000078060000}"/>
    <cellStyle name="1_tree_한풍집계_갑지0601_총괄갑지_설계내역서1월7일_1차 기성 내역서 0612023" xfId="1658" xr:uid="{00000000-0005-0000-0000-000079060000}"/>
    <cellStyle name="1_tree_한풍집계_갑지0601_총괄갑지_설계내역서1월7일_3차네고견적(061017-1)" xfId="1659" xr:uid="{00000000-0005-0000-0000-00007A060000}"/>
    <cellStyle name="1_tree_한풍집계_갑지0601_총괄갑지_설계내역서1월7일_백화점화장실인테리어" xfId="1660" xr:uid="{00000000-0005-0000-0000-00007B060000}"/>
    <cellStyle name="1_tree_한풍집계_갑지0601_총괄갑지_설계내역서1월7일_백화점화장실인테리어_1차 기성 내역서 0612023" xfId="1661" xr:uid="{00000000-0005-0000-0000-00007C060000}"/>
    <cellStyle name="1_tree_한풍집계_갑지0601_총괄갑지_설계내역서1월7일_백화점화장실인테리어_3차네고견적(061017-1)" xfId="1662" xr:uid="{00000000-0005-0000-0000-00007D060000}"/>
    <cellStyle name="1_tree_한풍집계_갑지0601_총괄갑지_설계내역서1월7일_화명조경" xfId="1663" xr:uid="{00000000-0005-0000-0000-00007E060000}"/>
    <cellStyle name="1_tree_한풍집계_갑지0601_총괄갑지_설계내역서1월7일_화명조경_1차 기성 내역서 0612023" xfId="1664" xr:uid="{00000000-0005-0000-0000-00007F060000}"/>
    <cellStyle name="1_tree_한풍집계_갑지0601_총괄갑지_설계내역서1월7일_화명조경_3차네고견적(061017-1)" xfId="1665" xr:uid="{00000000-0005-0000-0000-000080060000}"/>
    <cellStyle name="1_tree_한풍집계_갑지0601_총괄갑지_설계내역서1월7일_화명조경_백화점화장실인테리어" xfId="1666" xr:uid="{00000000-0005-0000-0000-000081060000}"/>
    <cellStyle name="1_tree_한풍집계_갑지0601_총괄갑지_설계내역서1월7일_화명조경_백화점화장실인테리어_1차 기성 내역서 0612023" xfId="1667" xr:uid="{00000000-0005-0000-0000-000082060000}"/>
    <cellStyle name="1_tree_한풍집계_갑지0601_총괄갑지_설계내역서1월7일_화명조경_백화점화장실인테리어_3차네고견적(061017-1)" xfId="1668" xr:uid="{00000000-0005-0000-0000-000083060000}"/>
    <cellStyle name="1_tree_한풍집계_갑지0601_총괄갑지_화명조경" xfId="1669" xr:uid="{00000000-0005-0000-0000-000084060000}"/>
    <cellStyle name="1_tree_한풍집계_갑지0601_총괄갑지_화명조경_1차 기성 내역서 0612023" xfId="1670" xr:uid="{00000000-0005-0000-0000-000085060000}"/>
    <cellStyle name="1_tree_한풍집계_갑지0601_총괄갑지_화명조경_3차네고견적(061017-1)" xfId="1671" xr:uid="{00000000-0005-0000-0000-000086060000}"/>
    <cellStyle name="1_tree_한풍집계_갑지0601_총괄갑지_화명조경_백화점화장실인테리어" xfId="1672" xr:uid="{00000000-0005-0000-0000-000087060000}"/>
    <cellStyle name="1_tree_한풍집계_갑지0601_총괄갑지_화명조경_백화점화장실인테리어_1차 기성 내역서 0612023" xfId="1673" xr:uid="{00000000-0005-0000-0000-000088060000}"/>
    <cellStyle name="1_tree_한풍집계_갑지0601_총괄갑지_화명조경_백화점화장실인테리어_3차네고견적(061017-1)" xfId="1674" xr:uid="{00000000-0005-0000-0000-000089060000}"/>
    <cellStyle name="1_tree_한풍집계_갑지0601_총괄내역서" xfId="1675" xr:uid="{00000000-0005-0000-0000-00008A060000}"/>
    <cellStyle name="1_tree_한풍집계_갑지0601_총괄내역서_1차 기성 내역서 0612023" xfId="1676" xr:uid="{00000000-0005-0000-0000-00008B060000}"/>
    <cellStyle name="1_tree_한풍집계_갑지0601_총괄내역서_3차네고견적(061017-1)" xfId="1677" xr:uid="{00000000-0005-0000-0000-00008C060000}"/>
    <cellStyle name="1_tree_한풍집계_갑지0601_총괄내역서_백화점화장실인테리어" xfId="1678" xr:uid="{00000000-0005-0000-0000-00008D060000}"/>
    <cellStyle name="1_tree_한풍집계_갑지0601_총괄내역서_백화점화장실인테리어_1차 기성 내역서 0612023" xfId="1679" xr:uid="{00000000-0005-0000-0000-00008E060000}"/>
    <cellStyle name="1_tree_한풍집계_갑지0601_총괄내역서_백화점화장실인테리어_3차네고견적(061017-1)" xfId="1680" xr:uid="{00000000-0005-0000-0000-00008F060000}"/>
    <cellStyle name="1_tree_한풍집계_갑지0601_총괄내역서_설계내역서" xfId="1681" xr:uid="{00000000-0005-0000-0000-000090060000}"/>
    <cellStyle name="1_tree_한풍집계_갑지0601_총괄내역서_설계내역서_1차 기성 내역서 0612023" xfId="1682" xr:uid="{00000000-0005-0000-0000-000091060000}"/>
    <cellStyle name="1_tree_한풍집계_갑지0601_총괄내역서_설계내역서_3차네고견적(061017-1)" xfId="1683" xr:uid="{00000000-0005-0000-0000-000092060000}"/>
    <cellStyle name="1_tree_한풍집계_갑지0601_총괄내역서_설계내역서_백화점화장실인테리어" xfId="1684" xr:uid="{00000000-0005-0000-0000-000093060000}"/>
    <cellStyle name="1_tree_한풍집계_갑지0601_총괄내역서_설계내역서_백화점화장실인테리어_1차 기성 내역서 0612023" xfId="1685" xr:uid="{00000000-0005-0000-0000-000094060000}"/>
    <cellStyle name="1_tree_한풍집계_갑지0601_총괄내역서_설계내역서_백화점화장실인테리어_3차네고견적(061017-1)" xfId="1686" xr:uid="{00000000-0005-0000-0000-000095060000}"/>
    <cellStyle name="1_tree_한풍집계_갑지0601_총괄내역서_설계내역서_화명조경" xfId="1687" xr:uid="{00000000-0005-0000-0000-000096060000}"/>
    <cellStyle name="1_tree_한풍집계_갑지0601_총괄내역서_설계내역서_화명조경_1차 기성 내역서 0612023" xfId="1688" xr:uid="{00000000-0005-0000-0000-000097060000}"/>
    <cellStyle name="1_tree_한풍집계_갑지0601_총괄내역서_설계내역서_화명조경_3차네고견적(061017-1)" xfId="1689" xr:uid="{00000000-0005-0000-0000-000098060000}"/>
    <cellStyle name="1_tree_한풍집계_갑지0601_총괄내역서_설계내역서_화명조경_백화점화장실인테리어" xfId="1690" xr:uid="{00000000-0005-0000-0000-000099060000}"/>
    <cellStyle name="1_tree_한풍집계_갑지0601_총괄내역서_설계내역서_화명조경_백화점화장실인테리어_1차 기성 내역서 0612023" xfId="1691" xr:uid="{00000000-0005-0000-0000-00009A060000}"/>
    <cellStyle name="1_tree_한풍집계_갑지0601_총괄내역서_설계내역서_화명조경_백화점화장실인테리어_3차네고견적(061017-1)" xfId="1692" xr:uid="{00000000-0005-0000-0000-00009B060000}"/>
    <cellStyle name="1_tree_한풍집계_갑지0601_총괄내역서_설계내역서1월7일" xfId="1693" xr:uid="{00000000-0005-0000-0000-00009C060000}"/>
    <cellStyle name="1_tree_한풍집계_갑지0601_총괄내역서_설계내역서1월7일_1차 기성 내역서 0612023" xfId="1694" xr:uid="{00000000-0005-0000-0000-00009D060000}"/>
    <cellStyle name="1_tree_한풍집계_갑지0601_총괄내역서_설계내역서1월7일_3차네고견적(061017-1)" xfId="1695" xr:uid="{00000000-0005-0000-0000-00009E060000}"/>
    <cellStyle name="1_tree_한풍집계_갑지0601_총괄내역서_설계내역서1월7일_백화점화장실인테리어" xfId="1696" xr:uid="{00000000-0005-0000-0000-00009F060000}"/>
    <cellStyle name="1_tree_한풍집계_갑지0601_총괄내역서_설계내역서1월7일_백화점화장실인테리어_1차 기성 내역서 0612023" xfId="1697" xr:uid="{00000000-0005-0000-0000-0000A0060000}"/>
    <cellStyle name="1_tree_한풍집계_갑지0601_총괄내역서_설계내역서1월7일_백화점화장실인테리어_3차네고견적(061017-1)" xfId="1698" xr:uid="{00000000-0005-0000-0000-0000A1060000}"/>
    <cellStyle name="1_tree_한풍집계_갑지0601_총괄내역서_설계내역서1월7일_화명조경" xfId="1699" xr:uid="{00000000-0005-0000-0000-0000A2060000}"/>
    <cellStyle name="1_tree_한풍집계_갑지0601_총괄내역서_설계내역서1월7일_화명조경_1차 기성 내역서 0612023" xfId="1700" xr:uid="{00000000-0005-0000-0000-0000A3060000}"/>
    <cellStyle name="1_tree_한풍집계_갑지0601_총괄내역서_설계내역서1월7일_화명조경_3차네고견적(061017-1)" xfId="1701" xr:uid="{00000000-0005-0000-0000-0000A4060000}"/>
    <cellStyle name="1_tree_한풍집계_갑지0601_총괄내역서_설계내역서1월7일_화명조경_백화점화장실인테리어" xfId="1702" xr:uid="{00000000-0005-0000-0000-0000A5060000}"/>
    <cellStyle name="1_tree_한풍집계_갑지0601_총괄내역서_설계내역서1월7일_화명조경_백화점화장실인테리어_1차 기성 내역서 0612023" xfId="1703" xr:uid="{00000000-0005-0000-0000-0000A6060000}"/>
    <cellStyle name="1_tree_한풍집계_갑지0601_총괄내역서_설계내역서1월7일_화명조경_백화점화장실인테리어_3차네고견적(061017-1)" xfId="1704" xr:uid="{00000000-0005-0000-0000-0000A7060000}"/>
    <cellStyle name="1_tree_한풍집계_갑지0601_총괄내역서_화명조경" xfId="1705" xr:uid="{00000000-0005-0000-0000-0000A8060000}"/>
    <cellStyle name="1_tree_한풍집계_갑지0601_총괄내역서_화명조경_1차 기성 내역서 0612023" xfId="1706" xr:uid="{00000000-0005-0000-0000-0000A9060000}"/>
    <cellStyle name="1_tree_한풍집계_갑지0601_총괄내역서_화명조경_3차네고견적(061017-1)" xfId="1707" xr:uid="{00000000-0005-0000-0000-0000AA060000}"/>
    <cellStyle name="1_tree_한풍집계_갑지0601_총괄내역서_화명조경_백화점화장실인테리어" xfId="1708" xr:uid="{00000000-0005-0000-0000-0000AB060000}"/>
    <cellStyle name="1_tree_한풍집계_갑지0601_총괄내역서_화명조경_백화점화장실인테리어_1차 기성 내역서 0612023" xfId="1709" xr:uid="{00000000-0005-0000-0000-0000AC060000}"/>
    <cellStyle name="1_tree_한풍집계_갑지0601_총괄내역서_화명조경_백화점화장실인테리어_3차네고견적(061017-1)" xfId="1710" xr:uid="{00000000-0005-0000-0000-0000AD060000}"/>
    <cellStyle name="1_tree_한풍집계_갑지0601_화명조경" xfId="1711" xr:uid="{00000000-0005-0000-0000-0000AE060000}"/>
    <cellStyle name="1_tree_한풍집계_갑지0601_화명조경_1차 기성 내역서 0612023" xfId="1712" xr:uid="{00000000-0005-0000-0000-0000AF060000}"/>
    <cellStyle name="1_tree_한풍집계_갑지0601_화명조경_3차네고견적(061017-1)" xfId="1713" xr:uid="{00000000-0005-0000-0000-0000B0060000}"/>
    <cellStyle name="1_tree_한풍집계_갑지0601_화명조경_백화점화장실인테리어" xfId="1714" xr:uid="{00000000-0005-0000-0000-0000B1060000}"/>
    <cellStyle name="1_tree_한풍집계_갑지0601_화명조경_백화점화장실인테리어_1차 기성 내역서 0612023" xfId="1715" xr:uid="{00000000-0005-0000-0000-0000B2060000}"/>
    <cellStyle name="1_tree_한풍집계_갑지0601_화명조경_백화점화장실인테리어_3차네고견적(061017-1)" xfId="1716" xr:uid="{00000000-0005-0000-0000-0000B3060000}"/>
    <cellStyle name="1_tree_한풍집계_백화점화장실인테리어" xfId="1717" xr:uid="{00000000-0005-0000-0000-0000B4060000}"/>
    <cellStyle name="1_tree_한풍집계_백화점화장실인테리어_1차 기성 내역서 0612023" xfId="1718" xr:uid="{00000000-0005-0000-0000-0000B5060000}"/>
    <cellStyle name="1_tree_한풍집계_백화점화장실인테리어_3차네고견적(061017-1)" xfId="1719" xr:uid="{00000000-0005-0000-0000-0000B6060000}"/>
    <cellStyle name="1_tree_한풍집계_설계내역서" xfId="1720" xr:uid="{00000000-0005-0000-0000-0000B7060000}"/>
    <cellStyle name="1_tree_한풍집계_설계내역서_1차 기성 내역서 0612023" xfId="1721" xr:uid="{00000000-0005-0000-0000-0000B8060000}"/>
    <cellStyle name="1_tree_한풍집계_설계내역서_3차네고견적(061017-1)" xfId="1722" xr:uid="{00000000-0005-0000-0000-0000B9060000}"/>
    <cellStyle name="1_tree_한풍집계_설계내역서_백화점화장실인테리어" xfId="1723" xr:uid="{00000000-0005-0000-0000-0000BA060000}"/>
    <cellStyle name="1_tree_한풍집계_설계내역서_백화점화장실인테리어_1차 기성 내역서 0612023" xfId="1724" xr:uid="{00000000-0005-0000-0000-0000BB060000}"/>
    <cellStyle name="1_tree_한풍집계_설계내역서_백화점화장실인테리어_3차네고견적(061017-1)" xfId="1725" xr:uid="{00000000-0005-0000-0000-0000BC060000}"/>
    <cellStyle name="1_tree_한풍집계_설계내역서_화명조경" xfId="1726" xr:uid="{00000000-0005-0000-0000-0000BD060000}"/>
    <cellStyle name="1_tree_한풍집계_설계내역서_화명조경_1차 기성 내역서 0612023" xfId="1727" xr:uid="{00000000-0005-0000-0000-0000BE060000}"/>
    <cellStyle name="1_tree_한풍집계_설계내역서_화명조경_3차네고견적(061017-1)" xfId="1728" xr:uid="{00000000-0005-0000-0000-0000BF060000}"/>
    <cellStyle name="1_tree_한풍집계_설계내역서_화명조경_백화점화장실인테리어" xfId="1729" xr:uid="{00000000-0005-0000-0000-0000C0060000}"/>
    <cellStyle name="1_tree_한풍집계_설계내역서_화명조경_백화점화장실인테리어_1차 기성 내역서 0612023" xfId="1730" xr:uid="{00000000-0005-0000-0000-0000C1060000}"/>
    <cellStyle name="1_tree_한풍집계_설계내역서_화명조경_백화점화장실인테리어_3차네고견적(061017-1)" xfId="1731" xr:uid="{00000000-0005-0000-0000-0000C2060000}"/>
    <cellStyle name="1_tree_한풍집계_설계내역서1월7일" xfId="1732" xr:uid="{00000000-0005-0000-0000-0000C3060000}"/>
    <cellStyle name="1_tree_한풍집계_설계내역서1월7일_1차 기성 내역서 0612023" xfId="1733" xr:uid="{00000000-0005-0000-0000-0000C4060000}"/>
    <cellStyle name="1_tree_한풍집계_설계내역서1월7일_3차네고견적(061017-1)" xfId="1734" xr:uid="{00000000-0005-0000-0000-0000C5060000}"/>
    <cellStyle name="1_tree_한풍집계_설계내역서1월7일_백화점화장실인테리어" xfId="1735" xr:uid="{00000000-0005-0000-0000-0000C6060000}"/>
    <cellStyle name="1_tree_한풍집계_설계내역서1월7일_백화점화장실인테리어_1차 기성 내역서 0612023" xfId="1736" xr:uid="{00000000-0005-0000-0000-0000C7060000}"/>
    <cellStyle name="1_tree_한풍집계_설계내역서1월7일_백화점화장실인테리어_3차네고견적(061017-1)" xfId="1737" xr:uid="{00000000-0005-0000-0000-0000C8060000}"/>
    <cellStyle name="1_tree_한풍집계_설계내역서1월7일_화명조경" xfId="1738" xr:uid="{00000000-0005-0000-0000-0000C9060000}"/>
    <cellStyle name="1_tree_한풍집계_설계내역서1월7일_화명조경_1차 기성 내역서 0612023" xfId="1739" xr:uid="{00000000-0005-0000-0000-0000CA060000}"/>
    <cellStyle name="1_tree_한풍집계_설계내역서1월7일_화명조경_3차네고견적(061017-1)" xfId="1740" xr:uid="{00000000-0005-0000-0000-0000CB060000}"/>
    <cellStyle name="1_tree_한풍집계_설계내역서1월7일_화명조경_백화점화장실인테리어" xfId="1741" xr:uid="{00000000-0005-0000-0000-0000CC060000}"/>
    <cellStyle name="1_tree_한풍집계_설계내역서1월7일_화명조경_백화점화장실인테리어_1차 기성 내역서 0612023" xfId="1742" xr:uid="{00000000-0005-0000-0000-0000CD060000}"/>
    <cellStyle name="1_tree_한풍집계_설계내역서1월7일_화명조경_백화점화장실인테리어_3차네고견적(061017-1)" xfId="1743" xr:uid="{00000000-0005-0000-0000-0000CE060000}"/>
    <cellStyle name="1_tree_한풍집계_쌍용수량0905" xfId="1744" xr:uid="{00000000-0005-0000-0000-0000CF060000}"/>
    <cellStyle name="1_tree_한풍집계_쌍용수량0905_1차 기성 내역서 0612023" xfId="1745" xr:uid="{00000000-0005-0000-0000-0000D0060000}"/>
    <cellStyle name="1_tree_한풍집계_쌍용수량0905_3차네고견적(061017-1)" xfId="1746" xr:uid="{00000000-0005-0000-0000-0000D1060000}"/>
    <cellStyle name="1_tree_한풍집계_쌍용수량0905_백화점화장실인테리어" xfId="1747" xr:uid="{00000000-0005-0000-0000-0000D2060000}"/>
    <cellStyle name="1_tree_한풍집계_쌍용수량0905_백화점화장실인테리어_1차 기성 내역서 0612023" xfId="1748" xr:uid="{00000000-0005-0000-0000-0000D3060000}"/>
    <cellStyle name="1_tree_한풍집계_쌍용수량0905_백화점화장실인테리어_3차네고견적(061017-1)" xfId="1749" xr:uid="{00000000-0005-0000-0000-0000D4060000}"/>
    <cellStyle name="1_tree_한풍집계_쌍용수량0905_설계내역서" xfId="1750" xr:uid="{00000000-0005-0000-0000-0000D5060000}"/>
    <cellStyle name="1_tree_한풍집계_쌍용수량0905_설계내역서_1차 기성 내역서 0612023" xfId="1751" xr:uid="{00000000-0005-0000-0000-0000D6060000}"/>
    <cellStyle name="1_tree_한풍집계_쌍용수량0905_설계내역서_3차네고견적(061017-1)" xfId="1752" xr:uid="{00000000-0005-0000-0000-0000D7060000}"/>
    <cellStyle name="1_tree_한풍집계_쌍용수량0905_설계내역서_백화점화장실인테리어" xfId="1753" xr:uid="{00000000-0005-0000-0000-0000D8060000}"/>
    <cellStyle name="1_tree_한풍집계_쌍용수량0905_설계내역서_백화점화장실인테리어_1차 기성 내역서 0612023" xfId="1754" xr:uid="{00000000-0005-0000-0000-0000D9060000}"/>
    <cellStyle name="1_tree_한풍집계_쌍용수량0905_설계내역서_백화점화장실인테리어_3차네고견적(061017-1)" xfId="1755" xr:uid="{00000000-0005-0000-0000-0000DA060000}"/>
    <cellStyle name="1_tree_한풍집계_쌍용수량0905_설계내역서_화명조경" xfId="1756" xr:uid="{00000000-0005-0000-0000-0000DB060000}"/>
    <cellStyle name="1_tree_한풍집계_쌍용수량0905_설계내역서_화명조경_1차 기성 내역서 0612023" xfId="1757" xr:uid="{00000000-0005-0000-0000-0000DC060000}"/>
    <cellStyle name="1_tree_한풍집계_쌍용수량0905_설계내역서_화명조경_3차네고견적(061017-1)" xfId="1758" xr:uid="{00000000-0005-0000-0000-0000DD060000}"/>
    <cellStyle name="1_tree_한풍집계_쌍용수량0905_설계내역서_화명조경_백화점화장실인테리어" xfId="1759" xr:uid="{00000000-0005-0000-0000-0000DE060000}"/>
    <cellStyle name="1_tree_한풍집계_쌍용수량0905_설계내역서_화명조경_백화점화장실인테리어_1차 기성 내역서 0612023" xfId="1760" xr:uid="{00000000-0005-0000-0000-0000DF060000}"/>
    <cellStyle name="1_tree_한풍집계_쌍용수량0905_설계내역서_화명조경_백화점화장실인테리어_3차네고견적(061017-1)" xfId="1761" xr:uid="{00000000-0005-0000-0000-0000E0060000}"/>
    <cellStyle name="1_tree_한풍집계_쌍용수량0905_설계내역서1월7일" xfId="1762" xr:uid="{00000000-0005-0000-0000-0000E1060000}"/>
    <cellStyle name="1_tree_한풍집계_쌍용수량0905_설계내역서1월7일_1차 기성 내역서 0612023" xfId="1763" xr:uid="{00000000-0005-0000-0000-0000E2060000}"/>
    <cellStyle name="1_tree_한풍집계_쌍용수량0905_설계내역서1월7일_3차네고견적(061017-1)" xfId="1764" xr:uid="{00000000-0005-0000-0000-0000E3060000}"/>
    <cellStyle name="1_tree_한풍집계_쌍용수량0905_설계내역서1월7일_백화점화장실인테리어" xfId="1765" xr:uid="{00000000-0005-0000-0000-0000E4060000}"/>
    <cellStyle name="1_tree_한풍집계_쌍용수량0905_설계내역서1월7일_백화점화장실인테리어_1차 기성 내역서 0612023" xfId="1766" xr:uid="{00000000-0005-0000-0000-0000E5060000}"/>
    <cellStyle name="1_tree_한풍집계_쌍용수량0905_설계내역서1월7일_백화점화장실인테리어_3차네고견적(061017-1)" xfId="1767" xr:uid="{00000000-0005-0000-0000-0000E6060000}"/>
    <cellStyle name="1_tree_한풍집계_쌍용수량0905_설계내역서1월7일_화명조경" xfId="1768" xr:uid="{00000000-0005-0000-0000-0000E7060000}"/>
    <cellStyle name="1_tree_한풍집계_쌍용수량0905_설계내역서1월7일_화명조경_1차 기성 내역서 0612023" xfId="1769" xr:uid="{00000000-0005-0000-0000-0000E8060000}"/>
    <cellStyle name="1_tree_한풍집계_쌍용수량0905_설계내역서1월7일_화명조경_3차네고견적(061017-1)" xfId="1770" xr:uid="{00000000-0005-0000-0000-0000E9060000}"/>
    <cellStyle name="1_tree_한풍집계_쌍용수량0905_설계내역서1월7일_화명조경_백화점화장실인테리어" xfId="1771" xr:uid="{00000000-0005-0000-0000-0000EA060000}"/>
    <cellStyle name="1_tree_한풍집계_쌍용수량0905_설계내역서1월7일_화명조경_백화점화장실인테리어_1차 기성 내역서 0612023" xfId="1772" xr:uid="{00000000-0005-0000-0000-0000EB060000}"/>
    <cellStyle name="1_tree_한풍집계_쌍용수량0905_설계내역서1월7일_화명조경_백화점화장실인테리어_3차네고견적(061017-1)" xfId="1773" xr:uid="{00000000-0005-0000-0000-0000EC060000}"/>
    <cellStyle name="1_tree_한풍집계_쌍용수량0905_화명조경" xfId="1774" xr:uid="{00000000-0005-0000-0000-0000ED060000}"/>
    <cellStyle name="1_tree_한풍집계_쌍용수량0905_화명조경_1차 기성 내역서 0612023" xfId="1775" xr:uid="{00000000-0005-0000-0000-0000EE060000}"/>
    <cellStyle name="1_tree_한풍집계_쌍용수량0905_화명조경_3차네고견적(061017-1)" xfId="1776" xr:uid="{00000000-0005-0000-0000-0000EF060000}"/>
    <cellStyle name="1_tree_한풍집계_쌍용수량0905_화명조경_백화점화장실인테리어" xfId="1777" xr:uid="{00000000-0005-0000-0000-0000F0060000}"/>
    <cellStyle name="1_tree_한풍집계_쌍용수량0905_화명조경_백화점화장실인테리어_1차 기성 내역서 0612023" xfId="1778" xr:uid="{00000000-0005-0000-0000-0000F1060000}"/>
    <cellStyle name="1_tree_한풍집계_쌍용수량0905_화명조경_백화점화장실인테리어_3차네고견적(061017-1)" xfId="1779" xr:uid="{00000000-0005-0000-0000-0000F2060000}"/>
    <cellStyle name="1_tree_한풍집계_터미널1-0" xfId="1780" xr:uid="{00000000-0005-0000-0000-0000F3060000}"/>
    <cellStyle name="1_tree_한풍집계_터미널1-0_1차 기성 내역서 0612023" xfId="1781" xr:uid="{00000000-0005-0000-0000-0000F4060000}"/>
    <cellStyle name="1_tree_한풍집계_터미널1-0_3차네고견적(061017-1)" xfId="1782" xr:uid="{00000000-0005-0000-0000-0000F5060000}"/>
    <cellStyle name="1_tree_한풍집계_터미널1-0_백화점화장실인테리어" xfId="1783" xr:uid="{00000000-0005-0000-0000-0000F6060000}"/>
    <cellStyle name="1_tree_한풍집계_터미널1-0_백화점화장실인테리어_1차 기성 내역서 0612023" xfId="1784" xr:uid="{00000000-0005-0000-0000-0000F7060000}"/>
    <cellStyle name="1_tree_한풍집계_터미널1-0_백화점화장실인테리어_3차네고견적(061017-1)" xfId="1785" xr:uid="{00000000-0005-0000-0000-0000F8060000}"/>
    <cellStyle name="1_tree_한풍집계_터미널1-0_화명조경" xfId="1786" xr:uid="{00000000-0005-0000-0000-0000F9060000}"/>
    <cellStyle name="1_tree_한풍집계_터미널1-0_화명조경_1차 기성 내역서 0612023" xfId="1787" xr:uid="{00000000-0005-0000-0000-0000FA060000}"/>
    <cellStyle name="1_tree_한풍집계_터미널1-0_화명조경_3차네고견적(061017-1)" xfId="1788" xr:uid="{00000000-0005-0000-0000-0000FB060000}"/>
    <cellStyle name="1_tree_한풍집계_터미널1-0_화명조경_백화점화장실인테리어" xfId="1789" xr:uid="{00000000-0005-0000-0000-0000FC060000}"/>
    <cellStyle name="1_tree_한풍집계_터미널1-0_화명조경_백화점화장실인테리어_1차 기성 내역서 0612023" xfId="1790" xr:uid="{00000000-0005-0000-0000-0000FD060000}"/>
    <cellStyle name="1_tree_한풍집계_터미널1-0_화명조경_백화점화장실인테리어_3차네고견적(061017-1)" xfId="1791" xr:uid="{00000000-0005-0000-0000-0000FE060000}"/>
    <cellStyle name="1_tree_한풍집계_화명조경" xfId="1792" xr:uid="{00000000-0005-0000-0000-0000FF060000}"/>
    <cellStyle name="1_tree_한풍집계_화명조경_1차 기성 내역서 0612023" xfId="1793" xr:uid="{00000000-0005-0000-0000-000000070000}"/>
    <cellStyle name="1_tree_한풍집계_화명조경_3차네고견적(061017-1)" xfId="1794" xr:uid="{00000000-0005-0000-0000-000001070000}"/>
    <cellStyle name="1_tree_한풍집계_화명조경_백화점화장실인테리어" xfId="1795" xr:uid="{00000000-0005-0000-0000-000002070000}"/>
    <cellStyle name="1_tree_한풍집계_화명조경_백화점화장실인테리어_1차 기성 내역서 0612023" xfId="1796" xr:uid="{00000000-0005-0000-0000-000003070000}"/>
    <cellStyle name="1_tree_한풍집계_화명조경_백화점화장실인테리어_3차네고견적(061017-1)" xfId="1797" xr:uid="{00000000-0005-0000-0000-000004070000}"/>
    <cellStyle name="1_tree_화명조경" xfId="1798" xr:uid="{00000000-0005-0000-0000-000005070000}"/>
    <cellStyle name="1_tree_화명조경_1차 기성 내역서 0612023" xfId="1799" xr:uid="{00000000-0005-0000-0000-000006070000}"/>
    <cellStyle name="1_tree_화명조경_3차네고견적(061017-1)" xfId="1800" xr:uid="{00000000-0005-0000-0000-000007070000}"/>
    <cellStyle name="1_tree_화명조경_백화점화장실인테리어" xfId="1801" xr:uid="{00000000-0005-0000-0000-000008070000}"/>
    <cellStyle name="1_tree_화명조경_백화점화장실인테리어_1차 기성 내역서 0612023" xfId="1802" xr:uid="{00000000-0005-0000-0000-000009070000}"/>
    <cellStyle name="1_tree_화명조경_백화점화장실인테리어_3차네고견적(061017-1)" xfId="1803" xr:uid="{00000000-0005-0000-0000-00000A070000}"/>
    <cellStyle name="1_남해총괄표" xfId="1804" xr:uid="{00000000-0005-0000-0000-00000B070000}"/>
    <cellStyle name="1_남해총괄표_1차 기성 내역서 0612023" xfId="1805" xr:uid="{00000000-0005-0000-0000-00000C070000}"/>
    <cellStyle name="1_남해총괄표_3차네고견적(061017-1)" xfId="1806" xr:uid="{00000000-0005-0000-0000-00000D070000}"/>
    <cellStyle name="1_남해총괄표_문화센타" xfId="1807" xr:uid="{00000000-0005-0000-0000-00000E070000}"/>
    <cellStyle name="1_남해총괄표_백화점화장실인테리어" xfId="1808" xr:uid="{00000000-0005-0000-0000-00000F070000}"/>
    <cellStyle name="1_남해총괄표_백화점화장실인테리어_1차 기성 내역서 0612023" xfId="1809" xr:uid="{00000000-0005-0000-0000-000010070000}"/>
    <cellStyle name="1_남해총괄표_백화점화장실인테리어_3차네고견적(061017-1)" xfId="1810" xr:uid="{00000000-0005-0000-0000-000011070000}"/>
    <cellStyle name="1_남해총괄표_백화점화장실인테리어_문화센타" xfId="1811" xr:uid="{00000000-0005-0000-0000-000012070000}"/>
    <cellStyle name="1_남해총괄표_설계내역서" xfId="1812" xr:uid="{00000000-0005-0000-0000-000013070000}"/>
    <cellStyle name="1_남해총괄표_설계내역서_1차 기성 내역서 0612023" xfId="1813" xr:uid="{00000000-0005-0000-0000-000014070000}"/>
    <cellStyle name="1_남해총괄표_설계내역서_3차네고견적(061017-1)" xfId="1814" xr:uid="{00000000-0005-0000-0000-000015070000}"/>
    <cellStyle name="1_남해총괄표_설계내역서_문화센타" xfId="1815" xr:uid="{00000000-0005-0000-0000-000016070000}"/>
    <cellStyle name="1_남해총괄표_설계내역서_백화점화장실인테리어" xfId="1816" xr:uid="{00000000-0005-0000-0000-000017070000}"/>
    <cellStyle name="1_남해총괄표_설계내역서_백화점화장실인테리어_1차 기성 내역서 0612023" xfId="1817" xr:uid="{00000000-0005-0000-0000-000018070000}"/>
    <cellStyle name="1_남해총괄표_설계내역서_백화점화장실인테리어_3차네고견적(061017-1)" xfId="1818" xr:uid="{00000000-0005-0000-0000-000019070000}"/>
    <cellStyle name="1_남해총괄표_설계내역서_백화점화장실인테리어_문화센타" xfId="1819" xr:uid="{00000000-0005-0000-0000-00001A070000}"/>
    <cellStyle name="1_남해총괄표_설계내역서_화명조경" xfId="1820" xr:uid="{00000000-0005-0000-0000-00001B070000}"/>
    <cellStyle name="1_남해총괄표_설계내역서_화명조경_1차 기성 내역서 0612023" xfId="1821" xr:uid="{00000000-0005-0000-0000-00001C070000}"/>
    <cellStyle name="1_남해총괄표_설계내역서_화명조경_3차네고견적(061017-1)" xfId="1822" xr:uid="{00000000-0005-0000-0000-00001D070000}"/>
    <cellStyle name="1_남해총괄표_설계내역서_화명조경_문화센타" xfId="1823" xr:uid="{00000000-0005-0000-0000-00001E070000}"/>
    <cellStyle name="1_남해총괄표_설계내역서_화명조경_백화점화장실인테리어" xfId="1824" xr:uid="{00000000-0005-0000-0000-00001F070000}"/>
    <cellStyle name="1_남해총괄표_설계내역서_화명조경_백화점화장실인테리어_1차 기성 내역서 0612023" xfId="1825" xr:uid="{00000000-0005-0000-0000-000020070000}"/>
    <cellStyle name="1_남해총괄표_설계내역서_화명조경_백화점화장실인테리어_3차네고견적(061017-1)" xfId="1826" xr:uid="{00000000-0005-0000-0000-000021070000}"/>
    <cellStyle name="1_남해총괄표_설계내역서_화명조경_백화점화장실인테리어_문화센타" xfId="1827" xr:uid="{00000000-0005-0000-0000-000022070000}"/>
    <cellStyle name="1_남해총괄표_설계내역서1월7일" xfId="1828" xr:uid="{00000000-0005-0000-0000-000023070000}"/>
    <cellStyle name="1_남해총괄표_설계내역서1월7일_1차 기성 내역서 0612023" xfId="1829" xr:uid="{00000000-0005-0000-0000-000024070000}"/>
    <cellStyle name="1_남해총괄표_설계내역서1월7일_3차네고견적(061017-1)" xfId="1830" xr:uid="{00000000-0005-0000-0000-000025070000}"/>
    <cellStyle name="1_남해총괄표_설계내역서1월7일_문화센타" xfId="1831" xr:uid="{00000000-0005-0000-0000-000026070000}"/>
    <cellStyle name="1_남해총괄표_설계내역서1월7일_백화점화장실인테리어" xfId="1832" xr:uid="{00000000-0005-0000-0000-000027070000}"/>
    <cellStyle name="1_남해총괄표_설계내역서1월7일_백화점화장실인테리어_1차 기성 내역서 0612023" xfId="1833" xr:uid="{00000000-0005-0000-0000-000028070000}"/>
    <cellStyle name="1_남해총괄표_설계내역서1월7일_백화점화장실인테리어_3차네고견적(061017-1)" xfId="1834" xr:uid="{00000000-0005-0000-0000-000029070000}"/>
    <cellStyle name="1_남해총괄표_설계내역서1월7일_백화점화장실인테리어_문화센타" xfId="1835" xr:uid="{00000000-0005-0000-0000-00002A070000}"/>
    <cellStyle name="1_남해총괄표_설계내역서1월7일_화명조경" xfId="1836" xr:uid="{00000000-0005-0000-0000-00002B070000}"/>
    <cellStyle name="1_남해총괄표_설계내역서1월7일_화명조경_1차 기성 내역서 0612023" xfId="1837" xr:uid="{00000000-0005-0000-0000-00002C070000}"/>
    <cellStyle name="1_남해총괄표_설계내역서1월7일_화명조경_3차네고견적(061017-1)" xfId="1838" xr:uid="{00000000-0005-0000-0000-00002D070000}"/>
    <cellStyle name="1_남해총괄표_설계내역서1월7일_화명조경_문화센타" xfId="1839" xr:uid="{00000000-0005-0000-0000-00002E070000}"/>
    <cellStyle name="1_남해총괄표_설계내역서1월7일_화명조경_백화점화장실인테리어" xfId="1840" xr:uid="{00000000-0005-0000-0000-00002F070000}"/>
    <cellStyle name="1_남해총괄표_설계내역서1월7일_화명조경_백화점화장실인테리어_1차 기성 내역서 0612023" xfId="1841" xr:uid="{00000000-0005-0000-0000-000030070000}"/>
    <cellStyle name="1_남해총괄표_설계내역서1월7일_화명조경_백화점화장실인테리어_3차네고견적(061017-1)" xfId="1842" xr:uid="{00000000-0005-0000-0000-000031070000}"/>
    <cellStyle name="1_남해총괄표_설계내역서1월7일_화명조경_백화점화장실인테리어_문화센타" xfId="1843" xr:uid="{00000000-0005-0000-0000-000032070000}"/>
    <cellStyle name="1_남해총괄표_화명조경" xfId="1844" xr:uid="{00000000-0005-0000-0000-000033070000}"/>
    <cellStyle name="1_남해총괄표_화명조경_1차 기성 내역서 0612023" xfId="1845" xr:uid="{00000000-0005-0000-0000-000034070000}"/>
    <cellStyle name="1_남해총괄표_화명조경_3차네고견적(061017-1)" xfId="1846" xr:uid="{00000000-0005-0000-0000-000035070000}"/>
    <cellStyle name="1_남해총괄표_화명조경_백화점화장실인테리어" xfId="1847" xr:uid="{00000000-0005-0000-0000-000036070000}"/>
    <cellStyle name="1_남해총괄표_화명조경_백화점화장실인테리어_1차 기성 내역서 0612023" xfId="1848" xr:uid="{00000000-0005-0000-0000-000037070000}"/>
    <cellStyle name="1_남해총괄표_화명조경_백화점화장실인테리어_3차네고견적(061017-1)" xfId="1849" xr:uid="{00000000-0005-0000-0000-000038070000}"/>
    <cellStyle name="1_단가조사표" xfId="1850" xr:uid="{00000000-0005-0000-0000-000039070000}"/>
    <cellStyle name="1_수원변경수량산출" xfId="1851" xr:uid="{00000000-0005-0000-0000-00003A070000}"/>
    <cellStyle name="1_쌍용수량0905" xfId="1852" xr:uid="{00000000-0005-0000-0000-00003B070000}"/>
    <cellStyle name="1_쌍용수량0905_1차 기성 내역서 0612023" xfId="1853" xr:uid="{00000000-0005-0000-0000-00003C070000}"/>
    <cellStyle name="1_쌍용수량0905_3차네고견적(061017-1)" xfId="1854" xr:uid="{00000000-0005-0000-0000-00003D070000}"/>
    <cellStyle name="1_쌍용수량0905_백화점화장실인테리어" xfId="1855" xr:uid="{00000000-0005-0000-0000-00003E070000}"/>
    <cellStyle name="1_쌍용수량0905_백화점화장실인테리어_1차 기성 내역서 0612023" xfId="1856" xr:uid="{00000000-0005-0000-0000-00003F070000}"/>
    <cellStyle name="1_쌍용수량0905_백화점화장실인테리어_3차네고견적(061017-1)" xfId="1857" xr:uid="{00000000-0005-0000-0000-000040070000}"/>
    <cellStyle name="1_쌍용수량0905_설계내역서" xfId="1858" xr:uid="{00000000-0005-0000-0000-000041070000}"/>
    <cellStyle name="1_쌍용수량0905_설계내역서_1차 기성 내역서 0612023" xfId="1859" xr:uid="{00000000-0005-0000-0000-000042070000}"/>
    <cellStyle name="1_쌍용수량0905_설계내역서_3차네고견적(061017-1)" xfId="1860" xr:uid="{00000000-0005-0000-0000-000043070000}"/>
    <cellStyle name="1_쌍용수량0905_설계내역서_백화점화장실인테리어" xfId="1861" xr:uid="{00000000-0005-0000-0000-000044070000}"/>
    <cellStyle name="1_쌍용수량0905_설계내역서_백화점화장실인테리어_1차 기성 내역서 0612023" xfId="1862" xr:uid="{00000000-0005-0000-0000-000045070000}"/>
    <cellStyle name="1_쌍용수량0905_설계내역서_백화점화장실인테리어_3차네고견적(061017-1)" xfId="1863" xr:uid="{00000000-0005-0000-0000-000046070000}"/>
    <cellStyle name="1_쌍용수량0905_설계내역서_화명조경" xfId="1864" xr:uid="{00000000-0005-0000-0000-000047070000}"/>
    <cellStyle name="1_쌍용수량0905_설계내역서_화명조경_1차 기성 내역서 0612023" xfId="1865" xr:uid="{00000000-0005-0000-0000-000048070000}"/>
    <cellStyle name="1_쌍용수량0905_설계내역서_화명조경_3차네고견적(061017-1)" xfId="1866" xr:uid="{00000000-0005-0000-0000-000049070000}"/>
    <cellStyle name="1_쌍용수량0905_설계내역서_화명조경_백화점화장실인테리어" xfId="1867" xr:uid="{00000000-0005-0000-0000-00004A070000}"/>
    <cellStyle name="1_쌍용수량0905_설계내역서_화명조경_백화점화장실인테리어_1차 기성 내역서 0612023" xfId="1868" xr:uid="{00000000-0005-0000-0000-00004B070000}"/>
    <cellStyle name="1_쌍용수량0905_설계내역서_화명조경_백화점화장실인테리어_3차네고견적(061017-1)" xfId="1869" xr:uid="{00000000-0005-0000-0000-00004C070000}"/>
    <cellStyle name="1_쌍용수량0905_설계내역서1월7일" xfId="1870" xr:uid="{00000000-0005-0000-0000-00004D070000}"/>
    <cellStyle name="1_쌍용수량0905_설계내역서1월7일_1차 기성 내역서 0612023" xfId="1871" xr:uid="{00000000-0005-0000-0000-00004E070000}"/>
    <cellStyle name="1_쌍용수량0905_설계내역서1월7일_3차네고견적(061017-1)" xfId="1872" xr:uid="{00000000-0005-0000-0000-00004F070000}"/>
    <cellStyle name="1_쌍용수량0905_설계내역서1월7일_백화점화장실인테리어" xfId="1873" xr:uid="{00000000-0005-0000-0000-000050070000}"/>
    <cellStyle name="1_쌍용수량0905_설계내역서1월7일_백화점화장실인테리어_1차 기성 내역서 0612023" xfId="1874" xr:uid="{00000000-0005-0000-0000-000051070000}"/>
    <cellStyle name="1_쌍용수량0905_설계내역서1월7일_백화점화장실인테리어_3차네고견적(061017-1)" xfId="1875" xr:uid="{00000000-0005-0000-0000-000052070000}"/>
    <cellStyle name="1_쌍용수량0905_설계내역서1월7일_화명조경" xfId="1876" xr:uid="{00000000-0005-0000-0000-000053070000}"/>
    <cellStyle name="1_쌍용수량0905_설계내역서1월7일_화명조경_1차 기성 내역서 0612023" xfId="1877" xr:uid="{00000000-0005-0000-0000-000054070000}"/>
    <cellStyle name="1_쌍용수량0905_설계내역서1월7일_화명조경_3차네고견적(061017-1)" xfId="1878" xr:uid="{00000000-0005-0000-0000-000055070000}"/>
    <cellStyle name="1_쌍용수량0905_설계내역서1월7일_화명조경_백화점화장실인테리어" xfId="1879" xr:uid="{00000000-0005-0000-0000-000056070000}"/>
    <cellStyle name="1_쌍용수량0905_설계내역서1월7일_화명조경_백화점화장실인테리어_1차 기성 내역서 0612023" xfId="1880" xr:uid="{00000000-0005-0000-0000-000057070000}"/>
    <cellStyle name="1_쌍용수량0905_설계내역서1월7일_화명조경_백화점화장실인테리어_3차네고견적(061017-1)" xfId="1881" xr:uid="{00000000-0005-0000-0000-000058070000}"/>
    <cellStyle name="1_쌍용수량0905_화명조경" xfId="1882" xr:uid="{00000000-0005-0000-0000-000059070000}"/>
    <cellStyle name="1_쌍용수량0905_화명조경_1차 기성 내역서 0612023" xfId="1883" xr:uid="{00000000-0005-0000-0000-00005A070000}"/>
    <cellStyle name="1_쌍용수량0905_화명조경_3차네고견적(061017-1)" xfId="1884" xr:uid="{00000000-0005-0000-0000-00005B070000}"/>
    <cellStyle name="1_쌍용수량0905_화명조경_백화점화장실인테리어" xfId="1885" xr:uid="{00000000-0005-0000-0000-00005C070000}"/>
    <cellStyle name="1_쌍용수량0905_화명조경_백화점화장실인테리어_1차 기성 내역서 0612023" xfId="1886" xr:uid="{00000000-0005-0000-0000-00005D070000}"/>
    <cellStyle name="1_쌍용수량0905_화명조경_백화점화장실인테리어_3차네고견적(061017-1)" xfId="1887" xr:uid="{00000000-0005-0000-0000-00005E070000}"/>
    <cellStyle name="1_원가계산서" xfId="1888" xr:uid="{00000000-0005-0000-0000-00005F070000}"/>
    <cellStyle name="1_원가계산서_00갑지" xfId="1889" xr:uid="{00000000-0005-0000-0000-000060070000}"/>
    <cellStyle name="1_원가계산서_00갑지_1차 기성 내역서 0612023" xfId="1890" xr:uid="{00000000-0005-0000-0000-000061070000}"/>
    <cellStyle name="1_원가계산서_00갑지_3차네고견적(061017-1)" xfId="1891" xr:uid="{00000000-0005-0000-0000-000062070000}"/>
    <cellStyle name="1_원가계산서_00갑지_백화점화장실인테리어" xfId="1892" xr:uid="{00000000-0005-0000-0000-000063070000}"/>
    <cellStyle name="1_원가계산서_00갑지_백화점화장실인테리어_1차 기성 내역서 0612023" xfId="1893" xr:uid="{00000000-0005-0000-0000-000064070000}"/>
    <cellStyle name="1_원가계산서_00갑지_백화점화장실인테리어_3차네고견적(061017-1)" xfId="1894" xr:uid="{00000000-0005-0000-0000-000065070000}"/>
    <cellStyle name="1_원가계산서_00갑지_설계내역서" xfId="1895" xr:uid="{00000000-0005-0000-0000-000066070000}"/>
    <cellStyle name="1_원가계산서_00갑지_설계내역서_1차 기성 내역서 0612023" xfId="1896" xr:uid="{00000000-0005-0000-0000-000067070000}"/>
    <cellStyle name="1_원가계산서_00갑지_설계내역서_3차네고견적(061017-1)" xfId="1897" xr:uid="{00000000-0005-0000-0000-000068070000}"/>
    <cellStyle name="1_원가계산서_00갑지_설계내역서_백화점화장실인테리어" xfId="1898" xr:uid="{00000000-0005-0000-0000-000069070000}"/>
    <cellStyle name="1_원가계산서_00갑지_설계내역서_백화점화장실인테리어_1차 기성 내역서 0612023" xfId="1899" xr:uid="{00000000-0005-0000-0000-00006A070000}"/>
    <cellStyle name="1_원가계산서_00갑지_설계내역서_백화점화장실인테리어_3차네고견적(061017-1)" xfId="1900" xr:uid="{00000000-0005-0000-0000-00006B070000}"/>
    <cellStyle name="1_원가계산서_00갑지_설계내역서_화명조경" xfId="1901" xr:uid="{00000000-0005-0000-0000-00006C070000}"/>
    <cellStyle name="1_원가계산서_00갑지_설계내역서_화명조경_1차 기성 내역서 0612023" xfId="1902" xr:uid="{00000000-0005-0000-0000-00006D070000}"/>
    <cellStyle name="1_원가계산서_00갑지_설계내역서_화명조경_3차네고견적(061017-1)" xfId="1903" xr:uid="{00000000-0005-0000-0000-00006E070000}"/>
    <cellStyle name="1_원가계산서_00갑지_설계내역서_화명조경_백화점화장실인테리어" xfId="1904" xr:uid="{00000000-0005-0000-0000-00006F070000}"/>
    <cellStyle name="1_원가계산서_00갑지_설계내역서_화명조경_백화점화장실인테리어_1차 기성 내역서 0612023" xfId="1905" xr:uid="{00000000-0005-0000-0000-000070070000}"/>
    <cellStyle name="1_원가계산서_00갑지_설계내역서_화명조경_백화점화장실인테리어_3차네고견적(061017-1)" xfId="1906" xr:uid="{00000000-0005-0000-0000-000071070000}"/>
    <cellStyle name="1_원가계산서_00갑지_설계내역서1월7일" xfId="1907" xr:uid="{00000000-0005-0000-0000-000072070000}"/>
    <cellStyle name="1_원가계산서_00갑지_설계내역서1월7일_1차 기성 내역서 0612023" xfId="1908" xr:uid="{00000000-0005-0000-0000-000073070000}"/>
    <cellStyle name="1_원가계산서_00갑지_설계내역서1월7일_3차네고견적(061017-1)" xfId="1909" xr:uid="{00000000-0005-0000-0000-000074070000}"/>
    <cellStyle name="1_원가계산서_00갑지_설계내역서1월7일_백화점화장실인테리어" xfId="1910" xr:uid="{00000000-0005-0000-0000-000075070000}"/>
    <cellStyle name="1_원가계산서_00갑지_설계내역서1월7일_백화점화장실인테리어_1차 기성 내역서 0612023" xfId="1911" xr:uid="{00000000-0005-0000-0000-000076070000}"/>
    <cellStyle name="1_원가계산서_00갑지_설계내역서1월7일_백화점화장실인테리어_3차네고견적(061017-1)" xfId="1912" xr:uid="{00000000-0005-0000-0000-000077070000}"/>
    <cellStyle name="1_원가계산서_00갑지_설계내역서1월7일_화명조경" xfId="1913" xr:uid="{00000000-0005-0000-0000-000078070000}"/>
    <cellStyle name="1_원가계산서_00갑지_설계내역서1월7일_화명조경_1차 기성 내역서 0612023" xfId="1914" xr:uid="{00000000-0005-0000-0000-000079070000}"/>
    <cellStyle name="1_원가계산서_00갑지_설계내역서1월7일_화명조경_3차네고견적(061017-1)" xfId="1915" xr:uid="{00000000-0005-0000-0000-00007A070000}"/>
    <cellStyle name="1_원가계산서_00갑지_설계내역서1월7일_화명조경_백화점화장실인테리어" xfId="1916" xr:uid="{00000000-0005-0000-0000-00007B070000}"/>
    <cellStyle name="1_원가계산서_00갑지_설계내역서1월7일_화명조경_백화점화장실인테리어_1차 기성 내역서 0612023" xfId="1917" xr:uid="{00000000-0005-0000-0000-00007C070000}"/>
    <cellStyle name="1_원가계산서_00갑지_설계내역서1월7일_화명조경_백화점화장실인테리어_3차네고견적(061017-1)" xfId="1918" xr:uid="{00000000-0005-0000-0000-00007D070000}"/>
    <cellStyle name="1_원가계산서_00갑지_화명조경" xfId="1919" xr:uid="{00000000-0005-0000-0000-00007E070000}"/>
    <cellStyle name="1_원가계산서_00갑지_화명조경_1차 기성 내역서 0612023" xfId="1920" xr:uid="{00000000-0005-0000-0000-00007F070000}"/>
    <cellStyle name="1_원가계산서_00갑지_화명조경_3차네고견적(061017-1)" xfId="1921" xr:uid="{00000000-0005-0000-0000-000080070000}"/>
    <cellStyle name="1_원가계산서_00갑지_화명조경_백화점화장실인테리어" xfId="1922" xr:uid="{00000000-0005-0000-0000-000081070000}"/>
    <cellStyle name="1_원가계산서_00갑지_화명조경_백화점화장실인테리어_1차 기성 내역서 0612023" xfId="1923" xr:uid="{00000000-0005-0000-0000-000082070000}"/>
    <cellStyle name="1_원가계산서_00갑지_화명조경_백화점화장실인테리어_3차네고견적(061017-1)" xfId="1924" xr:uid="{00000000-0005-0000-0000-000083070000}"/>
    <cellStyle name="1_원가계산서_1차 기성 내역서 0612023" xfId="1925" xr:uid="{00000000-0005-0000-0000-000084070000}"/>
    <cellStyle name="1_원가계산서_3차네고견적(061017-1)" xfId="1926" xr:uid="{00000000-0005-0000-0000-000085070000}"/>
    <cellStyle name="1_원가계산서_과천놀이터설계서" xfId="1927" xr:uid="{00000000-0005-0000-0000-000086070000}"/>
    <cellStyle name="1_원가계산서_과천놀이터설계서_1차 기성 내역서 0612023" xfId="1928" xr:uid="{00000000-0005-0000-0000-000087070000}"/>
    <cellStyle name="1_원가계산서_과천놀이터설계서_3차네고견적(061017-1)" xfId="1929" xr:uid="{00000000-0005-0000-0000-000088070000}"/>
    <cellStyle name="1_원가계산서_과천놀이터설계서_백화점화장실인테리어" xfId="1930" xr:uid="{00000000-0005-0000-0000-000089070000}"/>
    <cellStyle name="1_원가계산서_과천놀이터설계서_백화점화장실인테리어_1차 기성 내역서 0612023" xfId="1931" xr:uid="{00000000-0005-0000-0000-00008A070000}"/>
    <cellStyle name="1_원가계산서_과천놀이터설계서_백화점화장실인테리어_3차네고견적(061017-1)" xfId="1932" xr:uid="{00000000-0005-0000-0000-00008B070000}"/>
    <cellStyle name="1_원가계산서_과천놀이터설계서_설계내역서" xfId="1933" xr:uid="{00000000-0005-0000-0000-00008C070000}"/>
    <cellStyle name="1_원가계산서_과천놀이터설계서_설계내역서_1차 기성 내역서 0612023" xfId="1934" xr:uid="{00000000-0005-0000-0000-00008D070000}"/>
    <cellStyle name="1_원가계산서_과천놀이터설계서_설계내역서_3차네고견적(061017-1)" xfId="1935" xr:uid="{00000000-0005-0000-0000-00008E070000}"/>
    <cellStyle name="1_원가계산서_과천놀이터설계서_설계내역서_백화점화장실인테리어" xfId="1936" xr:uid="{00000000-0005-0000-0000-00008F070000}"/>
    <cellStyle name="1_원가계산서_과천놀이터설계서_설계내역서_백화점화장실인테리어_1차 기성 내역서 0612023" xfId="1937" xr:uid="{00000000-0005-0000-0000-000090070000}"/>
    <cellStyle name="1_원가계산서_과천놀이터설계서_설계내역서_백화점화장실인테리어_3차네고견적(061017-1)" xfId="1938" xr:uid="{00000000-0005-0000-0000-000091070000}"/>
    <cellStyle name="1_원가계산서_과천놀이터설계서_설계내역서_화명조경" xfId="1939" xr:uid="{00000000-0005-0000-0000-000092070000}"/>
    <cellStyle name="1_원가계산서_과천놀이터설계서_설계내역서_화명조경_1차 기성 내역서 0612023" xfId="1940" xr:uid="{00000000-0005-0000-0000-000093070000}"/>
    <cellStyle name="1_원가계산서_과천놀이터설계서_설계내역서_화명조경_3차네고견적(061017-1)" xfId="1941" xr:uid="{00000000-0005-0000-0000-000094070000}"/>
    <cellStyle name="1_원가계산서_과천놀이터설계서_설계내역서_화명조경_백화점화장실인테리어" xfId="1942" xr:uid="{00000000-0005-0000-0000-000095070000}"/>
    <cellStyle name="1_원가계산서_과천놀이터설계서_설계내역서_화명조경_백화점화장실인테리어_1차 기성 내역서 0612023" xfId="1943" xr:uid="{00000000-0005-0000-0000-000096070000}"/>
    <cellStyle name="1_원가계산서_과천놀이터설계서_설계내역서_화명조경_백화점화장실인테리어_3차네고견적(061017-1)" xfId="1944" xr:uid="{00000000-0005-0000-0000-000097070000}"/>
    <cellStyle name="1_원가계산서_과천놀이터설계서_설계내역서1월7일" xfId="1945" xr:uid="{00000000-0005-0000-0000-000098070000}"/>
    <cellStyle name="1_원가계산서_과천놀이터설계서_설계내역서1월7일_1차 기성 내역서 0612023" xfId="1946" xr:uid="{00000000-0005-0000-0000-000099070000}"/>
    <cellStyle name="1_원가계산서_과천놀이터설계서_설계내역서1월7일_3차네고견적(061017-1)" xfId="1947" xr:uid="{00000000-0005-0000-0000-00009A070000}"/>
    <cellStyle name="1_원가계산서_과천놀이터설계서_설계내역서1월7일_백화점화장실인테리어" xfId="1948" xr:uid="{00000000-0005-0000-0000-00009B070000}"/>
    <cellStyle name="1_원가계산서_과천놀이터설계서_설계내역서1월7일_백화점화장실인테리어_1차 기성 내역서 0612023" xfId="1949" xr:uid="{00000000-0005-0000-0000-00009C070000}"/>
    <cellStyle name="1_원가계산서_과천놀이터설계서_설계내역서1월7일_백화점화장실인테리어_3차네고견적(061017-1)" xfId="1950" xr:uid="{00000000-0005-0000-0000-00009D070000}"/>
    <cellStyle name="1_원가계산서_과천놀이터설계서_설계내역서1월7일_화명조경" xfId="1951" xr:uid="{00000000-0005-0000-0000-00009E070000}"/>
    <cellStyle name="1_원가계산서_과천놀이터설계서_설계내역서1월7일_화명조경_1차 기성 내역서 0612023" xfId="1952" xr:uid="{00000000-0005-0000-0000-00009F070000}"/>
    <cellStyle name="1_원가계산서_과천놀이터설계서_설계내역서1월7일_화명조경_3차네고견적(061017-1)" xfId="1953" xr:uid="{00000000-0005-0000-0000-0000A0070000}"/>
    <cellStyle name="1_원가계산서_과천놀이터설계서_설계내역서1월7일_화명조경_백화점화장실인테리어" xfId="1954" xr:uid="{00000000-0005-0000-0000-0000A1070000}"/>
    <cellStyle name="1_원가계산서_과천놀이터설계서_설계내역서1월7일_화명조경_백화점화장실인테리어_1차 기성 내역서 0612023" xfId="1955" xr:uid="{00000000-0005-0000-0000-0000A2070000}"/>
    <cellStyle name="1_원가계산서_과천놀이터설계서_설계내역서1월7일_화명조경_백화점화장실인테리어_3차네고견적(061017-1)" xfId="1956" xr:uid="{00000000-0005-0000-0000-0000A3070000}"/>
    <cellStyle name="1_원가계산서_과천놀이터설계서_화명조경" xfId="1957" xr:uid="{00000000-0005-0000-0000-0000A4070000}"/>
    <cellStyle name="1_원가계산서_과천놀이터설계서_화명조경_1차 기성 내역서 0612023" xfId="1958" xr:uid="{00000000-0005-0000-0000-0000A5070000}"/>
    <cellStyle name="1_원가계산서_과천놀이터설계서_화명조경_3차네고견적(061017-1)" xfId="1959" xr:uid="{00000000-0005-0000-0000-0000A6070000}"/>
    <cellStyle name="1_원가계산서_과천놀이터설계서_화명조경_백화점화장실인테리어" xfId="1960" xr:uid="{00000000-0005-0000-0000-0000A7070000}"/>
    <cellStyle name="1_원가계산서_과천놀이터설계서_화명조경_백화점화장실인테리어_1차 기성 내역서 0612023" xfId="1961" xr:uid="{00000000-0005-0000-0000-0000A8070000}"/>
    <cellStyle name="1_원가계산서_과천놀이터설계서_화명조경_백화점화장실인테리어_3차네고견적(061017-1)" xfId="1962" xr:uid="{00000000-0005-0000-0000-0000A9070000}"/>
    <cellStyle name="1_원가계산서_백화점화장실인테리어" xfId="1963" xr:uid="{00000000-0005-0000-0000-0000AA070000}"/>
    <cellStyle name="1_원가계산서_백화점화장실인테리어_1차 기성 내역서 0612023" xfId="1964" xr:uid="{00000000-0005-0000-0000-0000AB070000}"/>
    <cellStyle name="1_원가계산서_백화점화장실인테리어_3차네고견적(061017-1)" xfId="1965" xr:uid="{00000000-0005-0000-0000-0000AC070000}"/>
    <cellStyle name="1_원가계산서_총괄갑지" xfId="1966" xr:uid="{00000000-0005-0000-0000-0000AD070000}"/>
    <cellStyle name="1_원가계산서_총괄갑지_1차 기성 내역서 0612023" xfId="1967" xr:uid="{00000000-0005-0000-0000-0000AE070000}"/>
    <cellStyle name="1_원가계산서_총괄갑지_3차네고견적(061017-1)" xfId="1968" xr:uid="{00000000-0005-0000-0000-0000AF070000}"/>
    <cellStyle name="1_원가계산서_총괄갑지_백화점화장실인테리어" xfId="1969" xr:uid="{00000000-0005-0000-0000-0000B0070000}"/>
    <cellStyle name="1_원가계산서_총괄갑지_백화점화장실인테리어_1차 기성 내역서 0612023" xfId="1970" xr:uid="{00000000-0005-0000-0000-0000B1070000}"/>
    <cellStyle name="1_원가계산서_총괄갑지_백화점화장실인테리어_3차네고견적(061017-1)" xfId="1971" xr:uid="{00000000-0005-0000-0000-0000B2070000}"/>
    <cellStyle name="1_원가계산서_총괄갑지_설계내역서" xfId="1972" xr:uid="{00000000-0005-0000-0000-0000B3070000}"/>
    <cellStyle name="1_원가계산서_총괄갑지_설계내역서_1차 기성 내역서 0612023" xfId="1973" xr:uid="{00000000-0005-0000-0000-0000B4070000}"/>
    <cellStyle name="1_원가계산서_총괄갑지_설계내역서_3차네고견적(061017-1)" xfId="1974" xr:uid="{00000000-0005-0000-0000-0000B5070000}"/>
    <cellStyle name="1_원가계산서_총괄갑지_설계내역서_백화점화장실인테리어" xfId="1975" xr:uid="{00000000-0005-0000-0000-0000B6070000}"/>
    <cellStyle name="1_원가계산서_총괄갑지_설계내역서_백화점화장실인테리어_1차 기성 내역서 0612023" xfId="1976" xr:uid="{00000000-0005-0000-0000-0000B7070000}"/>
    <cellStyle name="1_원가계산서_총괄갑지_설계내역서_백화점화장실인테리어_3차네고견적(061017-1)" xfId="1977" xr:uid="{00000000-0005-0000-0000-0000B8070000}"/>
    <cellStyle name="1_원가계산서_총괄갑지_설계내역서_화명조경" xfId="1978" xr:uid="{00000000-0005-0000-0000-0000B9070000}"/>
    <cellStyle name="1_원가계산서_총괄갑지_설계내역서_화명조경_1차 기성 내역서 0612023" xfId="1979" xr:uid="{00000000-0005-0000-0000-0000BA070000}"/>
    <cellStyle name="1_원가계산서_총괄갑지_설계내역서_화명조경_3차네고견적(061017-1)" xfId="1980" xr:uid="{00000000-0005-0000-0000-0000BB070000}"/>
    <cellStyle name="1_원가계산서_총괄갑지_설계내역서_화명조경_백화점화장실인테리어" xfId="1981" xr:uid="{00000000-0005-0000-0000-0000BC070000}"/>
    <cellStyle name="1_원가계산서_총괄갑지_설계내역서_화명조경_백화점화장실인테리어_1차 기성 내역서 0612023" xfId="1982" xr:uid="{00000000-0005-0000-0000-0000BD070000}"/>
    <cellStyle name="1_원가계산서_총괄갑지_설계내역서_화명조경_백화점화장실인테리어_3차네고견적(061017-1)" xfId="1983" xr:uid="{00000000-0005-0000-0000-0000BE070000}"/>
    <cellStyle name="1_원가계산서_총괄갑지_설계내역서1월7일" xfId="1984" xr:uid="{00000000-0005-0000-0000-0000BF070000}"/>
    <cellStyle name="1_원가계산서_총괄갑지_설계내역서1월7일_1차 기성 내역서 0612023" xfId="1985" xr:uid="{00000000-0005-0000-0000-0000C0070000}"/>
    <cellStyle name="1_원가계산서_총괄갑지_설계내역서1월7일_3차네고견적(061017-1)" xfId="1986" xr:uid="{00000000-0005-0000-0000-0000C1070000}"/>
    <cellStyle name="1_원가계산서_총괄갑지_설계내역서1월7일_백화점화장실인테리어" xfId="1987" xr:uid="{00000000-0005-0000-0000-0000C2070000}"/>
    <cellStyle name="1_원가계산서_총괄갑지_설계내역서1월7일_백화점화장실인테리어_1차 기성 내역서 0612023" xfId="1988" xr:uid="{00000000-0005-0000-0000-0000C3070000}"/>
    <cellStyle name="1_원가계산서_총괄갑지_설계내역서1월7일_백화점화장실인테리어_3차네고견적(061017-1)" xfId="1989" xr:uid="{00000000-0005-0000-0000-0000C4070000}"/>
    <cellStyle name="1_원가계산서_총괄갑지_설계내역서1월7일_화명조경" xfId="1990" xr:uid="{00000000-0005-0000-0000-0000C5070000}"/>
    <cellStyle name="1_원가계산서_총괄갑지_설계내역서1월7일_화명조경_1차 기성 내역서 0612023" xfId="1991" xr:uid="{00000000-0005-0000-0000-0000C6070000}"/>
    <cellStyle name="1_원가계산서_총괄갑지_설계내역서1월7일_화명조경_3차네고견적(061017-1)" xfId="1992" xr:uid="{00000000-0005-0000-0000-0000C7070000}"/>
    <cellStyle name="1_원가계산서_총괄갑지_설계내역서1월7일_화명조경_백화점화장실인테리어" xfId="1993" xr:uid="{00000000-0005-0000-0000-0000C8070000}"/>
    <cellStyle name="1_원가계산서_총괄갑지_설계내역서1월7일_화명조경_백화점화장실인테리어_1차 기성 내역서 0612023" xfId="1994" xr:uid="{00000000-0005-0000-0000-0000C9070000}"/>
    <cellStyle name="1_원가계산서_총괄갑지_설계내역서1월7일_화명조경_백화점화장실인테리어_3차네고견적(061017-1)" xfId="1995" xr:uid="{00000000-0005-0000-0000-0000CA070000}"/>
    <cellStyle name="1_원가계산서_총괄갑지_화명조경" xfId="1996" xr:uid="{00000000-0005-0000-0000-0000CB070000}"/>
    <cellStyle name="1_원가계산서_총괄갑지_화명조경_1차 기성 내역서 0612023" xfId="1997" xr:uid="{00000000-0005-0000-0000-0000CC070000}"/>
    <cellStyle name="1_원가계산서_총괄갑지_화명조경_3차네고견적(061017-1)" xfId="1998" xr:uid="{00000000-0005-0000-0000-0000CD070000}"/>
    <cellStyle name="1_원가계산서_총괄갑지_화명조경_백화점화장실인테리어" xfId="1999" xr:uid="{00000000-0005-0000-0000-0000CE070000}"/>
    <cellStyle name="1_원가계산서_총괄갑지_화명조경_백화점화장실인테리어_1차 기성 내역서 0612023" xfId="2000" xr:uid="{00000000-0005-0000-0000-0000CF070000}"/>
    <cellStyle name="1_원가계산서_총괄갑지_화명조경_백화점화장실인테리어_3차네고견적(061017-1)" xfId="2001" xr:uid="{00000000-0005-0000-0000-0000D0070000}"/>
    <cellStyle name="1_원가계산서_총괄내역서" xfId="2002" xr:uid="{00000000-0005-0000-0000-0000D1070000}"/>
    <cellStyle name="1_원가계산서_총괄내역서_1차 기성 내역서 0612023" xfId="2003" xr:uid="{00000000-0005-0000-0000-0000D2070000}"/>
    <cellStyle name="1_원가계산서_총괄내역서_3차네고견적(061017-1)" xfId="2004" xr:uid="{00000000-0005-0000-0000-0000D3070000}"/>
    <cellStyle name="1_원가계산서_총괄내역서_백화점화장실인테리어" xfId="2005" xr:uid="{00000000-0005-0000-0000-0000D4070000}"/>
    <cellStyle name="1_원가계산서_총괄내역서_백화점화장실인테리어_1차 기성 내역서 0612023" xfId="2006" xr:uid="{00000000-0005-0000-0000-0000D5070000}"/>
    <cellStyle name="1_원가계산서_총괄내역서_백화점화장실인테리어_3차네고견적(061017-1)" xfId="2007" xr:uid="{00000000-0005-0000-0000-0000D6070000}"/>
    <cellStyle name="1_원가계산서_총괄내역서_설계내역서" xfId="2008" xr:uid="{00000000-0005-0000-0000-0000D7070000}"/>
    <cellStyle name="1_원가계산서_총괄내역서_설계내역서_1차 기성 내역서 0612023" xfId="2009" xr:uid="{00000000-0005-0000-0000-0000D8070000}"/>
    <cellStyle name="1_원가계산서_총괄내역서_설계내역서_3차네고견적(061017-1)" xfId="2010" xr:uid="{00000000-0005-0000-0000-0000D9070000}"/>
    <cellStyle name="1_원가계산서_총괄내역서_설계내역서_백화점화장실인테리어" xfId="2011" xr:uid="{00000000-0005-0000-0000-0000DA070000}"/>
    <cellStyle name="1_원가계산서_총괄내역서_설계내역서_백화점화장실인테리어_1차 기성 내역서 0612023" xfId="2012" xr:uid="{00000000-0005-0000-0000-0000DB070000}"/>
    <cellStyle name="1_원가계산서_총괄내역서_설계내역서_백화점화장실인테리어_3차네고견적(061017-1)" xfId="2013" xr:uid="{00000000-0005-0000-0000-0000DC070000}"/>
    <cellStyle name="1_원가계산서_총괄내역서_설계내역서_화명조경" xfId="2014" xr:uid="{00000000-0005-0000-0000-0000DD070000}"/>
    <cellStyle name="1_원가계산서_총괄내역서_설계내역서_화명조경_1차 기성 내역서 0612023" xfId="2015" xr:uid="{00000000-0005-0000-0000-0000DE070000}"/>
    <cellStyle name="1_원가계산서_총괄내역서_설계내역서_화명조경_3차네고견적(061017-1)" xfId="2016" xr:uid="{00000000-0005-0000-0000-0000DF070000}"/>
    <cellStyle name="1_원가계산서_총괄내역서_설계내역서_화명조경_백화점화장실인테리어" xfId="2017" xr:uid="{00000000-0005-0000-0000-0000E0070000}"/>
    <cellStyle name="1_원가계산서_총괄내역서_설계내역서_화명조경_백화점화장실인테리어_1차 기성 내역서 0612023" xfId="2018" xr:uid="{00000000-0005-0000-0000-0000E1070000}"/>
    <cellStyle name="1_원가계산서_총괄내역서_설계내역서_화명조경_백화점화장실인테리어_3차네고견적(061017-1)" xfId="2019" xr:uid="{00000000-0005-0000-0000-0000E2070000}"/>
    <cellStyle name="1_원가계산서_총괄내역서_설계내역서1월7일" xfId="2020" xr:uid="{00000000-0005-0000-0000-0000E3070000}"/>
    <cellStyle name="1_원가계산서_총괄내역서_설계내역서1월7일_1차 기성 내역서 0612023" xfId="2021" xr:uid="{00000000-0005-0000-0000-0000E4070000}"/>
    <cellStyle name="1_원가계산서_총괄내역서_설계내역서1월7일_3차네고견적(061017-1)" xfId="2022" xr:uid="{00000000-0005-0000-0000-0000E5070000}"/>
    <cellStyle name="1_원가계산서_총괄내역서_설계내역서1월7일_백화점화장실인테리어" xfId="2023" xr:uid="{00000000-0005-0000-0000-0000E6070000}"/>
    <cellStyle name="1_원가계산서_총괄내역서_설계내역서1월7일_백화점화장실인테리어_1차 기성 내역서 0612023" xfId="2024" xr:uid="{00000000-0005-0000-0000-0000E7070000}"/>
    <cellStyle name="1_원가계산서_총괄내역서_설계내역서1월7일_백화점화장실인테리어_3차네고견적(061017-1)" xfId="2025" xr:uid="{00000000-0005-0000-0000-0000E8070000}"/>
    <cellStyle name="1_원가계산서_총괄내역서_설계내역서1월7일_화명조경" xfId="2026" xr:uid="{00000000-0005-0000-0000-0000E9070000}"/>
    <cellStyle name="1_원가계산서_총괄내역서_설계내역서1월7일_화명조경_1차 기성 내역서 0612023" xfId="2027" xr:uid="{00000000-0005-0000-0000-0000EA070000}"/>
    <cellStyle name="1_원가계산서_총괄내역서_설계내역서1월7일_화명조경_3차네고견적(061017-1)" xfId="2028" xr:uid="{00000000-0005-0000-0000-0000EB070000}"/>
    <cellStyle name="1_원가계산서_총괄내역서_설계내역서1월7일_화명조경_백화점화장실인테리어" xfId="2029" xr:uid="{00000000-0005-0000-0000-0000EC070000}"/>
    <cellStyle name="1_원가계산서_총괄내역서_설계내역서1월7일_화명조경_백화점화장실인테리어_1차 기성 내역서 0612023" xfId="2030" xr:uid="{00000000-0005-0000-0000-0000ED070000}"/>
    <cellStyle name="1_원가계산서_총괄내역서_설계내역서1월7일_화명조경_백화점화장실인테리어_3차네고견적(061017-1)" xfId="2031" xr:uid="{00000000-0005-0000-0000-0000EE070000}"/>
    <cellStyle name="1_원가계산서_총괄내역서_화명조경" xfId="2032" xr:uid="{00000000-0005-0000-0000-0000EF070000}"/>
    <cellStyle name="1_원가계산서_총괄내역서_화명조경_1차 기성 내역서 0612023" xfId="2033" xr:uid="{00000000-0005-0000-0000-0000F0070000}"/>
    <cellStyle name="1_원가계산서_총괄내역서_화명조경_3차네고견적(061017-1)" xfId="2034" xr:uid="{00000000-0005-0000-0000-0000F1070000}"/>
    <cellStyle name="1_원가계산서_총괄내역서_화명조경_백화점화장실인테리어" xfId="2035" xr:uid="{00000000-0005-0000-0000-0000F2070000}"/>
    <cellStyle name="1_원가계산서_총괄내역서_화명조경_백화점화장실인테리어_1차 기성 내역서 0612023" xfId="2036" xr:uid="{00000000-0005-0000-0000-0000F3070000}"/>
    <cellStyle name="1_원가계산서_총괄내역서_화명조경_백화점화장실인테리어_3차네고견적(061017-1)" xfId="2037" xr:uid="{00000000-0005-0000-0000-0000F4070000}"/>
    <cellStyle name="1_원가계산서_화명조경" xfId="2038" xr:uid="{00000000-0005-0000-0000-0000F5070000}"/>
    <cellStyle name="1_원가계산서_화명조경_1차 기성 내역서 0612023" xfId="2039" xr:uid="{00000000-0005-0000-0000-0000F6070000}"/>
    <cellStyle name="1_원가계산서_화명조경_3차네고견적(061017-1)" xfId="2040" xr:uid="{00000000-0005-0000-0000-0000F7070000}"/>
    <cellStyle name="1_원가계산서_화명조경_백화점화장실인테리어" xfId="2041" xr:uid="{00000000-0005-0000-0000-0000F8070000}"/>
    <cellStyle name="1_원가계산서_화명조경_백화점화장실인테리어_1차 기성 내역서 0612023" xfId="2042" xr:uid="{00000000-0005-0000-0000-0000F9070000}"/>
    <cellStyle name="1_원가계산서_화명조경_백화점화장실인테리어_3차네고견적(061017-1)" xfId="2043" xr:uid="{00000000-0005-0000-0000-0000FA070000}"/>
    <cellStyle name="1_은파수량집계" xfId="2044" xr:uid="{00000000-0005-0000-0000-0000FB070000}"/>
    <cellStyle name="1_터미널1-0" xfId="2045" xr:uid="{00000000-0005-0000-0000-0000FC070000}"/>
    <cellStyle name="1_터미널1-0_1차 기성 내역서 0612023" xfId="2046" xr:uid="{00000000-0005-0000-0000-0000FD070000}"/>
    <cellStyle name="1_터미널1-0_3차네고견적(061017-1)" xfId="2047" xr:uid="{00000000-0005-0000-0000-0000FE070000}"/>
    <cellStyle name="1_터미널1-0_백화점화장실인테리어" xfId="2048" xr:uid="{00000000-0005-0000-0000-0000FF070000}"/>
    <cellStyle name="1_터미널1-0_백화점화장실인테리어_1차 기성 내역서 0612023" xfId="2049" xr:uid="{00000000-0005-0000-0000-000000080000}"/>
    <cellStyle name="1_터미널1-0_백화점화장실인테리어_3차네고견적(061017-1)" xfId="2050" xr:uid="{00000000-0005-0000-0000-000001080000}"/>
    <cellStyle name="1_터미널1-0_설계내역서" xfId="2051" xr:uid="{00000000-0005-0000-0000-000002080000}"/>
    <cellStyle name="1_터미널1-0_설계내역서_1차 기성 내역서 0612023" xfId="2052" xr:uid="{00000000-0005-0000-0000-000003080000}"/>
    <cellStyle name="1_터미널1-0_설계내역서_3차네고견적(061017-1)" xfId="2053" xr:uid="{00000000-0005-0000-0000-000004080000}"/>
    <cellStyle name="1_터미널1-0_설계내역서_백화점화장실인테리어" xfId="2054" xr:uid="{00000000-0005-0000-0000-000005080000}"/>
    <cellStyle name="1_터미널1-0_설계내역서_백화점화장실인테리어_1차 기성 내역서 0612023" xfId="2055" xr:uid="{00000000-0005-0000-0000-000006080000}"/>
    <cellStyle name="1_터미널1-0_설계내역서_백화점화장실인테리어_3차네고견적(061017-1)" xfId="2056" xr:uid="{00000000-0005-0000-0000-000007080000}"/>
    <cellStyle name="1_터미널1-0_설계내역서_화명조경" xfId="2057" xr:uid="{00000000-0005-0000-0000-000008080000}"/>
    <cellStyle name="1_터미널1-0_설계내역서_화명조경_1차 기성 내역서 0612023" xfId="2058" xr:uid="{00000000-0005-0000-0000-000009080000}"/>
    <cellStyle name="1_터미널1-0_설계내역서_화명조경_3차네고견적(061017-1)" xfId="2059" xr:uid="{00000000-0005-0000-0000-00000A080000}"/>
    <cellStyle name="1_터미널1-0_설계내역서_화명조경_백화점화장실인테리어" xfId="2060" xr:uid="{00000000-0005-0000-0000-00000B080000}"/>
    <cellStyle name="1_터미널1-0_설계내역서_화명조경_백화점화장실인테리어_1차 기성 내역서 0612023" xfId="2061" xr:uid="{00000000-0005-0000-0000-00000C080000}"/>
    <cellStyle name="1_터미널1-0_설계내역서_화명조경_백화점화장실인테리어_3차네고견적(061017-1)" xfId="2062" xr:uid="{00000000-0005-0000-0000-00000D080000}"/>
    <cellStyle name="1_터미널1-0_설계내역서1월7일" xfId="2063" xr:uid="{00000000-0005-0000-0000-00000E080000}"/>
    <cellStyle name="1_터미널1-0_설계내역서1월7일_1차 기성 내역서 0612023" xfId="2064" xr:uid="{00000000-0005-0000-0000-00000F080000}"/>
    <cellStyle name="1_터미널1-0_설계내역서1월7일_3차네고견적(061017-1)" xfId="2065" xr:uid="{00000000-0005-0000-0000-000010080000}"/>
    <cellStyle name="1_터미널1-0_설계내역서1월7일_백화점화장실인테리어" xfId="2066" xr:uid="{00000000-0005-0000-0000-000011080000}"/>
    <cellStyle name="1_터미널1-0_설계내역서1월7일_백화점화장실인테리어_1차 기성 내역서 0612023" xfId="2067" xr:uid="{00000000-0005-0000-0000-000012080000}"/>
    <cellStyle name="1_터미널1-0_설계내역서1월7일_백화점화장실인테리어_3차네고견적(061017-1)" xfId="2068" xr:uid="{00000000-0005-0000-0000-000013080000}"/>
    <cellStyle name="1_터미널1-0_설계내역서1월7일_화명조경" xfId="2069" xr:uid="{00000000-0005-0000-0000-000014080000}"/>
    <cellStyle name="1_터미널1-0_설계내역서1월7일_화명조경_1차 기성 내역서 0612023" xfId="2070" xr:uid="{00000000-0005-0000-0000-000015080000}"/>
    <cellStyle name="1_터미널1-0_설계내역서1월7일_화명조경_3차네고견적(061017-1)" xfId="2071" xr:uid="{00000000-0005-0000-0000-000016080000}"/>
    <cellStyle name="1_터미널1-0_설계내역서1월7일_화명조경_백화점화장실인테리어" xfId="2072" xr:uid="{00000000-0005-0000-0000-000017080000}"/>
    <cellStyle name="1_터미널1-0_설계내역서1월7일_화명조경_백화점화장실인테리어_1차 기성 내역서 0612023" xfId="2073" xr:uid="{00000000-0005-0000-0000-000018080000}"/>
    <cellStyle name="1_터미널1-0_설계내역서1월7일_화명조경_백화점화장실인테리어_3차네고견적(061017-1)" xfId="2074" xr:uid="{00000000-0005-0000-0000-000019080000}"/>
    <cellStyle name="1_터미널1-0_쌍용수량0905" xfId="2075" xr:uid="{00000000-0005-0000-0000-00001A080000}"/>
    <cellStyle name="1_터미널1-0_쌍용수량0905_1차 기성 내역서 0612023" xfId="2076" xr:uid="{00000000-0005-0000-0000-00001B080000}"/>
    <cellStyle name="1_터미널1-0_쌍용수량0905_3차네고견적(061017-1)" xfId="2077" xr:uid="{00000000-0005-0000-0000-00001C080000}"/>
    <cellStyle name="1_터미널1-0_쌍용수량0905_백화점화장실인테리어" xfId="2078" xr:uid="{00000000-0005-0000-0000-00001D080000}"/>
    <cellStyle name="1_터미널1-0_쌍용수량0905_백화점화장실인테리어_1차 기성 내역서 0612023" xfId="2079" xr:uid="{00000000-0005-0000-0000-00001E080000}"/>
    <cellStyle name="1_터미널1-0_쌍용수량0905_백화점화장실인테리어_3차네고견적(061017-1)" xfId="2080" xr:uid="{00000000-0005-0000-0000-00001F080000}"/>
    <cellStyle name="1_터미널1-0_쌍용수량0905_설계내역서" xfId="2081" xr:uid="{00000000-0005-0000-0000-000020080000}"/>
    <cellStyle name="1_터미널1-0_쌍용수량0905_설계내역서_1차 기성 내역서 0612023" xfId="2082" xr:uid="{00000000-0005-0000-0000-000021080000}"/>
    <cellStyle name="1_터미널1-0_쌍용수량0905_설계내역서_3차네고견적(061017-1)" xfId="2083" xr:uid="{00000000-0005-0000-0000-000022080000}"/>
    <cellStyle name="1_터미널1-0_쌍용수량0905_설계내역서_백화점화장실인테리어" xfId="2084" xr:uid="{00000000-0005-0000-0000-000023080000}"/>
    <cellStyle name="1_터미널1-0_쌍용수량0905_설계내역서_백화점화장실인테리어_1차 기성 내역서 0612023" xfId="2085" xr:uid="{00000000-0005-0000-0000-000024080000}"/>
    <cellStyle name="1_터미널1-0_쌍용수량0905_설계내역서_백화점화장실인테리어_3차네고견적(061017-1)" xfId="2086" xr:uid="{00000000-0005-0000-0000-000025080000}"/>
    <cellStyle name="1_터미널1-0_쌍용수량0905_설계내역서_화명조경" xfId="2087" xr:uid="{00000000-0005-0000-0000-000026080000}"/>
    <cellStyle name="1_터미널1-0_쌍용수량0905_설계내역서_화명조경_1차 기성 내역서 0612023" xfId="2088" xr:uid="{00000000-0005-0000-0000-000027080000}"/>
    <cellStyle name="1_터미널1-0_쌍용수량0905_설계내역서_화명조경_3차네고견적(061017-1)" xfId="2089" xr:uid="{00000000-0005-0000-0000-000028080000}"/>
    <cellStyle name="1_터미널1-0_쌍용수량0905_설계내역서_화명조경_백화점화장실인테리어" xfId="2090" xr:uid="{00000000-0005-0000-0000-000029080000}"/>
    <cellStyle name="1_터미널1-0_쌍용수량0905_설계내역서_화명조경_백화점화장실인테리어_1차 기성 내역서 0612023" xfId="2091" xr:uid="{00000000-0005-0000-0000-00002A080000}"/>
    <cellStyle name="1_터미널1-0_쌍용수량0905_설계내역서_화명조경_백화점화장실인테리어_3차네고견적(061017-1)" xfId="2092" xr:uid="{00000000-0005-0000-0000-00002B080000}"/>
    <cellStyle name="1_터미널1-0_쌍용수량0905_설계내역서1월7일" xfId="2093" xr:uid="{00000000-0005-0000-0000-00002C080000}"/>
    <cellStyle name="1_터미널1-0_쌍용수량0905_설계내역서1월7일_1차 기성 내역서 0612023" xfId="2094" xr:uid="{00000000-0005-0000-0000-00002D080000}"/>
    <cellStyle name="1_터미널1-0_쌍용수량0905_설계내역서1월7일_3차네고견적(061017-1)" xfId="2095" xr:uid="{00000000-0005-0000-0000-00002E080000}"/>
    <cellStyle name="1_터미널1-0_쌍용수량0905_설계내역서1월7일_백화점화장실인테리어" xfId="2096" xr:uid="{00000000-0005-0000-0000-00002F080000}"/>
    <cellStyle name="1_터미널1-0_쌍용수량0905_설계내역서1월7일_백화점화장실인테리어_1차 기성 내역서 0612023" xfId="2097" xr:uid="{00000000-0005-0000-0000-000030080000}"/>
    <cellStyle name="1_터미널1-0_쌍용수량0905_설계내역서1월7일_백화점화장실인테리어_3차네고견적(061017-1)" xfId="2098" xr:uid="{00000000-0005-0000-0000-000031080000}"/>
    <cellStyle name="1_터미널1-0_쌍용수량0905_설계내역서1월7일_화명조경" xfId="2099" xr:uid="{00000000-0005-0000-0000-000032080000}"/>
    <cellStyle name="1_터미널1-0_쌍용수량0905_설계내역서1월7일_화명조경_1차 기성 내역서 0612023" xfId="2100" xr:uid="{00000000-0005-0000-0000-000033080000}"/>
    <cellStyle name="1_터미널1-0_쌍용수량0905_설계내역서1월7일_화명조경_3차네고견적(061017-1)" xfId="2101" xr:uid="{00000000-0005-0000-0000-000034080000}"/>
    <cellStyle name="1_터미널1-0_쌍용수량0905_설계내역서1월7일_화명조경_백화점화장실인테리어" xfId="2102" xr:uid="{00000000-0005-0000-0000-000035080000}"/>
    <cellStyle name="1_터미널1-0_쌍용수량0905_설계내역서1월7일_화명조경_백화점화장실인테리어_1차 기성 내역서 0612023" xfId="2103" xr:uid="{00000000-0005-0000-0000-000036080000}"/>
    <cellStyle name="1_터미널1-0_쌍용수량0905_설계내역서1월7일_화명조경_백화점화장실인테리어_3차네고견적(061017-1)" xfId="2104" xr:uid="{00000000-0005-0000-0000-000037080000}"/>
    <cellStyle name="1_터미널1-0_쌍용수량0905_화명조경" xfId="2105" xr:uid="{00000000-0005-0000-0000-000038080000}"/>
    <cellStyle name="1_터미널1-0_쌍용수량0905_화명조경_1차 기성 내역서 0612023" xfId="2106" xr:uid="{00000000-0005-0000-0000-000039080000}"/>
    <cellStyle name="1_터미널1-0_쌍용수량0905_화명조경_3차네고견적(061017-1)" xfId="2107" xr:uid="{00000000-0005-0000-0000-00003A080000}"/>
    <cellStyle name="1_터미널1-0_쌍용수량0905_화명조경_백화점화장실인테리어" xfId="2108" xr:uid="{00000000-0005-0000-0000-00003B080000}"/>
    <cellStyle name="1_터미널1-0_쌍용수량0905_화명조경_백화점화장실인테리어_1차 기성 내역서 0612023" xfId="2109" xr:uid="{00000000-0005-0000-0000-00003C080000}"/>
    <cellStyle name="1_터미널1-0_쌍용수량0905_화명조경_백화점화장실인테리어_3차네고견적(061017-1)" xfId="2110" xr:uid="{00000000-0005-0000-0000-00003D080000}"/>
    <cellStyle name="1_터미널1-0_화명조경" xfId="2111" xr:uid="{00000000-0005-0000-0000-00003E080000}"/>
    <cellStyle name="1_터미널1-0_화명조경_1차 기성 내역서 0612023" xfId="2112" xr:uid="{00000000-0005-0000-0000-00003F080000}"/>
    <cellStyle name="1_터미널1-0_화명조경_3차네고견적(061017-1)" xfId="2113" xr:uid="{00000000-0005-0000-0000-000040080000}"/>
    <cellStyle name="1_터미널1-0_화명조경_백화점화장실인테리어" xfId="2114" xr:uid="{00000000-0005-0000-0000-000041080000}"/>
    <cellStyle name="1_터미널1-0_화명조경_백화점화장실인테리어_1차 기성 내역서 0612023" xfId="2115" xr:uid="{00000000-0005-0000-0000-000042080000}"/>
    <cellStyle name="1_터미널1-0_화명조경_백화점화장실인테리어_3차네고견적(061017-1)" xfId="2116" xr:uid="{00000000-0005-0000-0000-000043080000}"/>
    <cellStyle name="10" xfId="2117" xr:uid="{00000000-0005-0000-0000-000044080000}"/>
    <cellStyle name="11" xfId="2118" xr:uid="{00000000-0005-0000-0000-000045080000}"/>
    <cellStyle name="111" xfId="2119" xr:uid="{00000000-0005-0000-0000-000046080000}"/>
    <cellStyle name="¹e" xfId="2120" xr:uid="{00000000-0005-0000-0000-000047080000}"/>
    <cellStyle name="¹éº" xfId="2121" xr:uid="{00000000-0005-0000-0000-000048080000}"/>
    <cellStyle name="¹éºÐÀ²_±¸¸Å³³±â" xfId="2122" xr:uid="{00000000-0005-0000-0000-000049080000}"/>
    <cellStyle name="2" xfId="2123" xr:uid="{00000000-0005-0000-0000-00004A080000}"/>
    <cellStyle name="²" xfId="2124" xr:uid="{00000000-0005-0000-0000-00004B080000}"/>
    <cellStyle name="2)" xfId="2125" xr:uid="{00000000-0005-0000-0000-00004C080000}"/>
    <cellStyle name="2_단가조사표" xfId="2126" xr:uid="{00000000-0005-0000-0000-00004D080000}"/>
    <cellStyle name="2자리" xfId="2127" xr:uid="{00000000-0005-0000-0000-00004E080000}"/>
    <cellStyle name="³f¹ô[0]_pldt" xfId="2128" xr:uid="{00000000-0005-0000-0000-00004F080000}"/>
    <cellStyle name="³f¹ô_pldt" xfId="2129" xr:uid="{00000000-0005-0000-0000-000050080000}"/>
    <cellStyle name="60" xfId="2130" xr:uid="{00000000-0005-0000-0000-000051080000}"/>
    <cellStyle name="_x0014_7." xfId="2131" xr:uid="{00000000-0005-0000-0000-000052080000}"/>
    <cellStyle name="82" xfId="2132" xr:uid="{00000000-0005-0000-0000-000053080000}"/>
    <cellStyle name="90" xfId="2133" xr:uid="{00000000-0005-0000-0000-000054080000}"/>
    <cellStyle name="A" xfId="2134" xr:uid="{00000000-0005-0000-0000-000055080000}"/>
    <cellStyle name="A_02-도급공사비내역" xfId="2135" xr:uid="{00000000-0005-0000-0000-000056080000}"/>
    <cellStyle name="A_04028적산수량집계" xfId="2136" xr:uid="{00000000-0005-0000-0000-000057080000}"/>
    <cellStyle name="a_0514회의확정자료" xfId="2137" xr:uid="{00000000-0005-0000-0000-000058080000}"/>
    <cellStyle name="A_0901작업1-금액분리" xfId="2138" xr:uid="{00000000-0005-0000-0000-000059080000}"/>
    <cellStyle name="A_A0509-가실행(파주)" xfId="2139" xr:uid="{00000000-0005-0000-0000-00005A080000}"/>
    <cellStyle name="a_A-0902건축공사확정(대안포함)" xfId="2140" xr:uid="{00000000-0005-0000-0000-00005B080000}"/>
    <cellStyle name="a_A-0902조경공사확정(대안포함)" xfId="2141" xr:uid="{00000000-0005-0000-0000-00005C080000}"/>
    <cellStyle name="A_BOOKCITY(전기)" xfId="2142" xr:uid="{00000000-0005-0000-0000-00005D080000}"/>
    <cellStyle name="A_BOOKCITY(전기)_04028적산수량집계" xfId="2143" xr:uid="{00000000-0005-0000-0000-00005E080000}"/>
    <cellStyle name="A_Z01-본작업" xfId="2144" xr:uid="{00000000-0005-0000-0000-00005F080000}"/>
    <cellStyle name="A_가실행(3th)" xfId="2145" xr:uid="{00000000-0005-0000-0000-000060080000}"/>
    <cellStyle name="A_결정01-총괄가실행(0820)" xfId="2146" xr:uid="{00000000-0005-0000-0000-000061080000}"/>
    <cellStyle name="A_공설운동진입(가실행)" xfId="2147" xr:uid="{00000000-0005-0000-0000-000062080000}"/>
    <cellStyle name="A_공설운동진입(가실행)_04028적산수량집계" xfId="2148" xr:uid="{00000000-0005-0000-0000-000063080000}"/>
    <cellStyle name="A_공설운동진입(가실행)_BOOKCITY(전기)" xfId="2149" xr:uid="{00000000-0005-0000-0000-000064080000}"/>
    <cellStyle name="A_공설운동진입(가실행)_BOOKCITY(전기)_04028적산수량집계" xfId="2150" xr:uid="{00000000-0005-0000-0000-000065080000}"/>
    <cellStyle name="A_공설운동진입(가실행)_사본 - 파주 북시티(이채)" xfId="2151" xr:uid="{00000000-0005-0000-0000-000066080000}"/>
    <cellStyle name="A_공설운동진입(가실행)_사본 - 파주 북시티(이채)_04028적산수량집계" xfId="2152" xr:uid="{00000000-0005-0000-0000-000067080000}"/>
    <cellStyle name="A_공설운동진입(가실행)_파주 BOOK CITY(통보용)" xfId="2153" xr:uid="{00000000-0005-0000-0000-000068080000}"/>
    <cellStyle name="A_공설운동진입(가실행)_파주 BOOK CITY(통보용)_04028적산수량집계" xfId="2154" xr:uid="{00000000-0005-0000-0000-000069080000}"/>
    <cellStyle name="A_공설운동진입(가실행)_파주 BOOK CITY가실행내역" xfId="2155" xr:uid="{00000000-0005-0000-0000-00006A080000}"/>
    <cellStyle name="A_공설운동진입(가실행)_파주 BOOK CITY가실행내역_04028적산수량집계" xfId="2156" xr:uid="{00000000-0005-0000-0000-00006B080000}"/>
    <cellStyle name="A_공설운동진입(가실행)_파주 북시티(이채)제출" xfId="2157" xr:uid="{00000000-0005-0000-0000-00006C080000}"/>
    <cellStyle name="A_공설운동진입(가실행)_파주 북시티(이채)제출_04028적산수량집계" xfId="2158" xr:uid="{00000000-0005-0000-0000-00006D080000}"/>
    <cellStyle name="A_공설운동진입(가실행)_파주 북시티(전체)제출(변경전)" xfId="2159" xr:uid="{00000000-0005-0000-0000-00006E080000}"/>
    <cellStyle name="A_공설운동진입(가실행)_파주 북시티(전체)제출(변경전)_04028적산수량집계" xfId="2160" xr:uid="{00000000-0005-0000-0000-00006F080000}"/>
    <cellStyle name="a_공항관련공사비 비교" xfId="2161" xr:uid="{00000000-0005-0000-0000-000070080000}"/>
    <cellStyle name="A_당팀-가실행작업" xfId="2162" xr:uid="{00000000-0005-0000-0000-000071080000}"/>
    <cellStyle name="A_도급공사변경Ⅰ(0626)" xfId="2163" xr:uid="{00000000-0005-0000-0000-000072080000}"/>
    <cellStyle name="A_보고02-건축공사감액보고서(0714)" xfId="2164" xr:uid="{00000000-0005-0000-0000-000073080000}"/>
    <cellStyle name="A_분석001-구조체투입관련" xfId="2165" xr:uid="{00000000-0005-0000-0000-000074080000}"/>
    <cellStyle name="A_사본 - 0429파본사" xfId="2166" xr:uid="{00000000-0005-0000-0000-000075080000}"/>
    <cellStyle name="A_사본 - 파주 북시티(이채)" xfId="2167" xr:uid="{00000000-0005-0000-0000-000076080000}"/>
    <cellStyle name="A_사본 - 파주 북시티(이채)_04028적산수량집계" xfId="2168" xr:uid="{00000000-0005-0000-0000-000077080000}"/>
    <cellStyle name="A_실행01-총괄가실행(0828)" xfId="2169" xr:uid="{00000000-0005-0000-0000-000078080000}"/>
    <cellStyle name="a_자료03-대안수량조정실행대비표" xfId="2170" xr:uid="{00000000-0005-0000-0000-000079080000}"/>
    <cellStyle name="a_자료06-토목공사" xfId="2171" xr:uid="{00000000-0005-0000-0000-00007A080000}"/>
    <cellStyle name="a_작업01-조경공사0709" xfId="2172" xr:uid="{00000000-0005-0000-0000-00007B080000}"/>
    <cellStyle name="a_참고02-당초가실행" xfId="2173" xr:uid="{00000000-0005-0000-0000-00007C080000}"/>
    <cellStyle name="A_토목내역서" xfId="2174" xr:uid="{00000000-0005-0000-0000-00007D080000}"/>
    <cellStyle name="A_토목내역서_04028적산수량집계" xfId="2175" xr:uid="{00000000-0005-0000-0000-00007E080000}"/>
    <cellStyle name="A_토목내역서_BOOKCITY(전기)" xfId="2176" xr:uid="{00000000-0005-0000-0000-00007F080000}"/>
    <cellStyle name="A_토목내역서_BOOKCITY(전기)_04028적산수량집계" xfId="2177" xr:uid="{00000000-0005-0000-0000-000080080000}"/>
    <cellStyle name="A_토목내역서_공설운동진입(가실행)" xfId="2178" xr:uid="{00000000-0005-0000-0000-000081080000}"/>
    <cellStyle name="A_토목내역서_공설운동진입(가실행)_04028적산수량집계" xfId="2179" xr:uid="{00000000-0005-0000-0000-000082080000}"/>
    <cellStyle name="A_토목내역서_공설운동진입(가실행)_BOOKCITY(전기)" xfId="2180" xr:uid="{00000000-0005-0000-0000-000083080000}"/>
    <cellStyle name="A_토목내역서_공설운동진입(가실행)_BOOKCITY(전기)_04028적산수량집계" xfId="2181" xr:uid="{00000000-0005-0000-0000-000084080000}"/>
    <cellStyle name="A_토목내역서_공설운동진입(가실행)_사본 - 파주 북시티(이채)" xfId="2182" xr:uid="{00000000-0005-0000-0000-000085080000}"/>
    <cellStyle name="A_토목내역서_공설운동진입(가실행)_사본 - 파주 북시티(이채)_04028적산수량집계" xfId="2183" xr:uid="{00000000-0005-0000-0000-000086080000}"/>
    <cellStyle name="A_토목내역서_공설운동진입(가실행)_파주 BOOK CITY(통보용)" xfId="2184" xr:uid="{00000000-0005-0000-0000-000087080000}"/>
    <cellStyle name="A_토목내역서_공설운동진입(가실행)_파주 BOOK CITY(통보용)_04028적산수량집계" xfId="2185" xr:uid="{00000000-0005-0000-0000-000088080000}"/>
    <cellStyle name="A_토목내역서_공설운동진입(가실행)_파주 BOOK CITY가실행내역" xfId="2186" xr:uid="{00000000-0005-0000-0000-000089080000}"/>
    <cellStyle name="A_토목내역서_공설운동진입(가실행)_파주 BOOK CITY가실행내역_04028적산수량집계" xfId="2187" xr:uid="{00000000-0005-0000-0000-00008A080000}"/>
    <cellStyle name="A_토목내역서_공설운동진입(가실행)_파주 북시티(이채)제출" xfId="2188" xr:uid="{00000000-0005-0000-0000-00008B080000}"/>
    <cellStyle name="A_토목내역서_공설운동진입(가실행)_파주 북시티(이채)제출_04028적산수량집계" xfId="2189" xr:uid="{00000000-0005-0000-0000-00008C080000}"/>
    <cellStyle name="A_토목내역서_공설운동진입(가실행)_파주 북시티(전체)제출(변경전)" xfId="2190" xr:uid="{00000000-0005-0000-0000-00008D080000}"/>
    <cellStyle name="A_토목내역서_공설운동진입(가실행)_파주 북시티(전체)제출(변경전)_04028적산수량집계" xfId="2191" xr:uid="{00000000-0005-0000-0000-00008E080000}"/>
    <cellStyle name="A_토목내역서_사본 - 파주 북시티(이채)" xfId="2192" xr:uid="{00000000-0005-0000-0000-00008F080000}"/>
    <cellStyle name="A_토목내역서_사본 - 파주 북시티(이채)_04028적산수량집계" xfId="2193" xr:uid="{00000000-0005-0000-0000-000090080000}"/>
    <cellStyle name="A_토목내역서_파주 BOOK CITY(통보용)" xfId="2194" xr:uid="{00000000-0005-0000-0000-000091080000}"/>
    <cellStyle name="A_토목내역서_파주 BOOK CITY(통보용)_04028적산수량집계" xfId="2195" xr:uid="{00000000-0005-0000-0000-000092080000}"/>
    <cellStyle name="A_토목내역서_파주 BOOK CITY가실행내역" xfId="2196" xr:uid="{00000000-0005-0000-0000-000093080000}"/>
    <cellStyle name="A_토목내역서_파주 BOOK CITY가실행내역_04028적산수량집계" xfId="2197" xr:uid="{00000000-0005-0000-0000-000094080000}"/>
    <cellStyle name="A_토목내역서_파주 북시티(이채)제출" xfId="2198" xr:uid="{00000000-0005-0000-0000-000095080000}"/>
    <cellStyle name="A_토목내역서_파주 북시티(이채)제출_04028적산수량집계" xfId="2199" xr:uid="{00000000-0005-0000-0000-000096080000}"/>
    <cellStyle name="A_토목내역서_파주 북시티(전체)제출(변경전)" xfId="2200" xr:uid="{00000000-0005-0000-0000-000097080000}"/>
    <cellStyle name="A_토목내역서_파주 북시티(전체)제출(변경전)_04028적산수량집계" xfId="2201" xr:uid="{00000000-0005-0000-0000-000098080000}"/>
    <cellStyle name="A_파주 BOOK CITY(통보용)" xfId="2202" xr:uid="{00000000-0005-0000-0000-000099080000}"/>
    <cellStyle name="A_파주 BOOK CITY(통보용)_04028적산수량집계" xfId="2203" xr:uid="{00000000-0005-0000-0000-00009A080000}"/>
    <cellStyle name="A_파주 BOOK CITY가실행내역" xfId="2204" xr:uid="{00000000-0005-0000-0000-00009B080000}"/>
    <cellStyle name="A_파주 BOOK CITY가실행내역_04028적산수량집계" xfId="2205" xr:uid="{00000000-0005-0000-0000-00009C080000}"/>
    <cellStyle name="A_파주 북시티(이채)제출" xfId="2206" xr:uid="{00000000-0005-0000-0000-00009D080000}"/>
    <cellStyle name="A_파주 북시티(이채)제출_04028적산수량집계" xfId="2207" xr:uid="{00000000-0005-0000-0000-00009E080000}"/>
    <cellStyle name="A_파주 북시티(전체)제출(변경전)" xfId="2208" xr:uid="{00000000-0005-0000-0000-00009F080000}"/>
    <cellStyle name="A_파주 북시티(전체)제출(변경전)_04028적산수량집계" xfId="2209" xr:uid="{00000000-0005-0000-0000-0000A0080000}"/>
    <cellStyle name="a_파주1차가실행(통합)-대안1-현장분" xfId="2210" xr:uid="{00000000-0005-0000-0000-0000A1080000}"/>
    <cellStyle name="A¨­￠￢￠O [0]_¨uc¨oA " xfId="2211" xr:uid="{00000000-0005-0000-0000-0000A2080000}"/>
    <cellStyle name="A¨­¢¬¢Ò [0]_INQUIRY ¢¯¥ì¨ú¡ÀA©¬A©ª " xfId="2212" xr:uid="{00000000-0005-0000-0000-0000A3080000}"/>
    <cellStyle name="A¨­￠￢￠O_¨uc¨oA " xfId="2213" xr:uid="{00000000-0005-0000-0000-0000A4080000}"/>
    <cellStyle name="A¨­¢¬¢Ò_INQUIRY ¢¯¥ì¨ú¡ÀA©¬A©ª " xfId="2214" xr:uid="{00000000-0005-0000-0000-0000A5080000}"/>
    <cellStyle name="Aⓒ­" xfId="2215" xr:uid="{00000000-0005-0000-0000-0000A6080000}"/>
    <cellStyle name="Ae" xfId="2216" xr:uid="{00000000-0005-0000-0000-0000A7080000}"/>
    <cellStyle name="Åë" xfId="2217" xr:uid="{00000000-0005-0000-0000-0000A8080000}"/>
    <cellStyle name="Aee­ " xfId="2218" xr:uid="{00000000-0005-0000-0000-0000A9080000}"/>
    <cellStyle name="Åëè­ [" xfId="2219" xr:uid="{00000000-0005-0000-0000-0000AA080000}"/>
    <cellStyle name="AeE­ [0]_ 2ÆAAþº° " xfId="2220" xr:uid="{00000000-0005-0000-0000-0000AB080000}"/>
    <cellStyle name="ÅëÈ­ [0]_´ëºñÇ¥" xfId="2221" xr:uid="{00000000-0005-0000-0000-0000AC080000}"/>
    <cellStyle name="AeE­ [0]_¿­¸° INT" xfId="2222" xr:uid="{00000000-0005-0000-0000-0000AD080000}"/>
    <cellStyle name="ÅëÈ­ [0]_±âÅ¸" xfId="2223" xr:uid="{00000000-0005-0000-0000-0000AE080000}"/>
    <cellStyle name="AeE­ [0]_°ø A¤ C￥  BAR (sample) " xfId="2224" xr:uid="{00000000-0005-0000-0000-0000AF080000}"/>
    <cellStyle name="ÅëÈ­ [0]_¼öÀÍ¼º " xfId="2225" xr:uid="{00000000-0005-0000-0000-0000B0080000}"/>
    <cellStyle name="AeE­ [0]_1C￥Ao" xfId="2226" xr:uid="{00000000-0005-0000-0000-0000B1080000}"/>
    <cellStyle name="ÅëÈ­ [0]_2000¼ÕÈ® " xfId="2227" xr:uid="{00000000-0005-0000-0000-0000B2080000}"/>
    <cellStyle name="AeE­ [0]_95³aAN°y¼o·R " xfId="2228" xr:uid="{00000000-0005-0000-0000-0000B3080000}"/>
    <cellStyle name="ÅëÈ­ [0]_Á¤»ê¼­°©Áö" xfId="2229" xr:uid="{00000000-0005-0000-0000-0000B4080000}"/>
    <cellStyle name="AeE­ [0]_INQUIRY ¿μ¾÷AßAø " xfId="2230" xr:uid="{00000000-0005-0000-0000-0000B5080000}"/>
    <cellStyle name="ÅëÈ­ [0]_kc-elec system check list" xfId="2231" xr:uid="{00000000-0005-0000-0000-0000B6080000}"/>
    <cellStyle name="AeE­ [0]_º≫¼± ±æ¾i±uºI ¼o·R Ay°eC￥ " xfId="2232" xr:uid="{00000000-0005-0000-0000-0000B7080000}"/>
    <cellStyle name="ÅëÈ­ [0]_RESULTS" xfId="2233" xr:uid="{00000000-0005-0000-0000-0000B8080000}"/>
    <cellStyle name="AeE­ [0]_μμ±Þ°ø≫cºn " xfId="2234" xr:uid="{00000000-0005-0000-0000-0000B9080000}"/>
    <cellStyle name="Aee­ _04028적산수량집계" xfId="2235" xr:uid="{00000000-0005-0000-0000-0000BA080000}"/>
    <cellStyle name="AeE­_ 2ÆAAþº° " xfId="2236" xr:uid="{00000000-0005-0000-0000-0000BB080000}"/>
    <cellStyle name="ÅëÈ­_´ëºñÇ¥" xfId="2237" xr:uid="{00000000-0005-0000-0000-0000BC080000}"/>
    <cellStyle name="AeE­_¿­¸° INT" xfId="2238" xr:uid="{00000000-0005-0000-0000-0000BD080000}"/>
    <cellStyle name="ÅëÈ­_±âÅ¸" xfId="2239" xr:uid="{00000000-0005-0000-0000-0000BE080000}"/>
    <cellStyle name="AeE­_°ø A¤ C￥  BAR (sample) " xfId="2240" xr:uid="{00000000-0005-0000-0000-0000BF080000}"/>
    <cellStyle name="ÅëÈ­_¼öÀÍ¼º " xfId="2241" xr:uid="{00000000-0005-0000-0000-0000C0080000}"/>
    <cellStyle name="AeE­_95³aAN°y¼o·R " xfId="2242" xr:uid="{00000000-0005-0000-0000-0000C1080000}"/>
    <cellStyle name="ÅëÈ­_Á¤»ê¼­°©Áö" xfId="2243" xr:uid="{00000000-0005-0000-0000-0000C2080000}"/>
    <cellStyle name="AeE­_INQUIRY ¿μ¾÷AßAø " xfId="2244" xr:uid="{00000000-0005-0000-0000-0000C3080000}"/>
    <cellStyle name="ÅëÈ­_kc-elec system check list" xfId="2245" xr:uid="{00000000-0005-0000-0000-0000C4080000}"/>
    <cellStyle name="AeE­_º≫¼± ±æ¾i±uºI ¼o·R Ay°eC￥ " xfId="2246" xr:uid="{00000000-0005-0000-0000-0000C5080000}"/>
    <cellStyle name="ÅëÈ­_RESULTS" xfId="2247" xr:uid="{00000000-0005-0000-0000-0000C6080000}"/>
    <cellStyle name="Aee¡" xfId="2248" xr:uid="{00000000-0005-0000-0000-0000C7080000}"/>
    <cellStyle name="AeE¡© [0]_INQUIRY ¢¯¥ì¨ú¡ÀA©¬A©ª " xfId="2249" xr:uid="{00000000-0005-0000-0000-0000C8080000}"/>
    <cellStyle name="AeE¡©_INQUIRY ¢¯¥ì¨ú¡ÀA©¬A©ª " xfId="2250" xr:uid="{00000000-0005-0000-0000-0000C9080000}"/>
    <cellStyle name="AeE¡ⓒ [0]_¨uc¨oA " xfId="2251" xr:uid="{00000000-0005-0000-0000-0000CA080000}"/>
    <cellStyle name="AeE¡ⓒ_¨uc¨oA " xfId="2252" xr:uid="{00000000-0005-0000-0000-0000CB080000}"/>
    <cellStyle name="ALIGNMENT" xfId="2253" xr:uid="{00000000-0005-0000-0000-0000CC080000}"/>
    <cellStyle name="args.style" xfId="2254" xr:uid="{00000000-0005-0000-0000-0000CD080000}"/>
    <cellStyle name="Äþ" xfId="2255" xr:uid="{00000000-0005-0000-0000-0000CE080000}"/>
    <cellStyle name="Aþ¸" xfId="2256" xr:uid="{00000000-0005-0000-0000-0000CF080000}"/>
    <cellStyle name="Äþ¸¶ [" xfId="2257" xr:uid="{00000000-0005-0000-0000-0000D0080000}"/>
    <cellStyle name="AÞ¸¶ [0]_ 2ÆAAþº° " xfId="2258" xr:uid="{00000000-0005-0000-0000-0000D1080000}"/>
    <cellStyle name="ÄÞ¸¶ [0]_´ëºñÇ¥" xfId="2259" xr:uid="{00000000-0005-0000-0000-0000D2080000}"/>
    <cellStyle name="AÞ¸¶ [0]_¿­¸° INT" xfId="2260" xr:uid="{00000000-0005-0000-0000-0000D3080000}"/>
    <cellStyle name="ÄÞ¸¶ [0]_±âÅ¸" xfId="2261" xr:uid="{00000000-0005-0000-0000-0000D4080000}"/>
    <cellStyle name="AÞ¸¶ [0]_°¡³ª´U " xfId="2262" xr:uid="{00000000-0005-0000-0000-0000D5080000}"/>
    <cellStyle name="ÄÞ¸¶ [0]_°ø¹®¾ç½Ä" xfId="2263" xr:uid="{00000000-0005-0000-0000-0000D6080000}"/>
    <cellStyle name="AÞ¸¶ [0]_¼oAI¼º " xfId="2264" xr:uid="{00000000-0005-0000-0000-0000D7080000}"/>
    <cellStyle name="ÄÞ¸¶ [0]_¼öÀÍ¼º " xfId="2265" xr:uid="{00000000-0005-0000-0000-0000D8080000}"/>
    <cellStyle name="AÞ¸¶ [0]_1" xfId="2266" xr:uid="{00000000-0005-0000-0000-0000D9080000}"/>
    <cellStyle name="ÄÞ¸¶ [0]_2000¼ÕÈ® " xfId="2267" xr:uid="{00000000-0005-0000-0000-0000DA080000}"/>
    <cellStyle name="AÞ¸¶ [0]_95³aAN°y¼o·R " xfId="2268" xr:uid="{00000000-0005-0000-0000-0000DB080000}"/>
    <cellStyle name="ÄÞ¸¶ [0]_Á¤»ê¼­°©Áö" xfId="2269" xr:uid="{00000000-0005-0000-0000-0000DC080000}"/>
    <cellStyle name="AÞ¸¶ [0]_INQUIRY ¿μ¾÷AßAø " xfId="2270" xr:uid="{00000000-0005-0000-0000-0000DD080000}"/>
    <cellStyle name="ÄÞ¸¶ [0]_º¯°æ¹®Ã³_Àç¹«È°µ¿ " xfId="2271" xr:uid="{00000000-0005-0000-0000-0000DE080000}"/>
    <cellStyle name="AÞ¸¶ [0]_º≫¼± ±æ¾i±uºI ¼o·R Ay°eC￥ " xfId="2272" xr:uid="{00000000-0005-0000-0000-0000DF080000}"/>
    <cellStyle name="ÄÞ¸¶ [0]_Sheet1" xfId="2273" xr:uid="{00000000-0005-0000-0000-0000E0080000}"/>
    <cellStyle name="AÞ¸¶_ 2ÆAAþº° " xfId="2274" xr:uid="{00000000-0005-0000-0000-0000E1080000}"/>
    <cellStyle name="ÄÞ¸¶_´ëºñÇ¥" xfId="2275" xr:uid="{00000000-0005-0000-0000-0000E2080000}"/>
    <cellStyle name="AÞ¸¶_¿­¸° INT" xfId="2276" xr:uid="{00000000-0005-0000-0000-0000E3080000}"/>
    <cellStyle name="ÄÞ¸¶_±âÅ¸" xfId="2277" xr:uid="{00000000-0005-0000-0000-0000E4080000}"/>
    <cellStyle name="AÞ¸¶_°ø A¤ C￥  BAR (sample) " xfId="2278" xr:uid="{00000000-0005-0000-0000-0000E5080000}"/>
    <cellStyle name="ÄÞ¸¶_¼öÀÍ¼º " xfId="2279" xr:uid="{00000000-0005-0000-0000-0000E6080000}"/>
    <cellStyle name="AÞ¸¶_1" xfId="2280" xr:uid="{00000000-0005-0000-0000-0000E7080000}"/>
    <cellStyle name="ÄÞ¸¶_2000¼ÕÈ® " xfId="2281" xr:uid="{00000000-0005-0000-0000-0000E8080000}"/>
    <cellStyle name="AÞ¸¶_95³aAN°y¼o·R " xfId="2282" xr:uid="{00000000-0005-0000-0000-0000E9080000}"/>
    <cellStyle name="ÄÞ¸¶_Á¤»ê¼­°©Áö" xfId="2283" xr:uid="{00000000-0005-0000-0000-0000EA080000}"/>
    <cellStyle name="AÞ¸¶_INQUIRY ¿μ¾÷AßAø " xfId="2284" xr:uid="{00000000-0005-0000-0000-0000EB080000}"/>
    <cellStyle name="ÄÞ¸¶_º¯°æ¹®Ã³_Àç¹«È°µ¿ " xfId="2285" xr:uid="{00000000-0005-0000-0000-0000EC080000}"/>
    <cellStyle name="AÞ¸¶_º≫¼± ±æ¾i±uºI ¼o·R Ay°eC￥ " xfId="2286" xr:uid="{00000000-0005-0000-0000-0000ED080000}"/>
    <cellStyle name="ÄÞ¸¶_Sheet1" xfId="2287" xr:uid="{00000000-0005-0000-0000-0000EE080000}"/>
    <cellStyle name="_x0001_b" xfId="2288" xr:uid="{00000000-0005-0000-0000-0000EF080000}"/>
    <cellStyle name="blank" xfId="2289" xr:uid="{00000000-0005-0000-0000-0000F0080000}"/>
    <cellStyle name="blank - Style1" xfId="2290" xr:uid="{00000000-0005-0000-0000-0000F1080000}"/>
    <cellStyle name="Body" xfId="2291" xr:uid="{00000000-0005-0000-0000-0000F2080000}"/>
    <cellStyle name="C" xfId="2292" xr:uid="{00000000-0005-0000-0000-0000F3080000}"/>
    <cellStyle name="C_04028적산수량집계" xfId="2293" xr:uid="{00000000-0005-0000-0000-0000F4080000}"/>
    <cellStyle name="C_BOOKCITY(전기)" xfId="2294" xr:uid="{00000000-0005-0000-0000-0000F5080000}"/>
    <cellStyle name="C_BOOKCITY(전기)_04028적산수량집계" xfId="2295" xr:uid="{00000000-0005-0000-0000-0000F6080000}"/>
    <cellStyle name="C_공설운동진입(가실행)" xfId="2296" xr:uid="{00000000-0005-0000-0000-0000F7080000}"/>
    <cellStyle name="C_공설운동진입(가실행)_04028적산수량집계" xfId="2297" xr:uid="{00000000-0005-0000-0000-0000F8080000}"/>
    <cellStyle name="C_공설운동진입(가실행)_BOOKCITY(전기)" xfId="2298" xr:uid="{00000000-0005-0000-0000-0000F9080000}"/>
    <cellStyle name="C_공설운동진입(가실행)_BOOKCITY(전기)_04028적산수량집계" xfId="2299" xr:uid="{00000000-0005-0000-0000-0000FA080000}"/>
    <cellStyle name="C_공설운동진입(가실행)_사본 - 파주 북시티(이채)" xfId="2300" xr:uid="{00000000-0005-0000-0000-0000FB080000}"/>
    <cellStyle name="C_공설운동진입(가실행)_사본 - 파주 북시티(이채)_04028적산수량집계" xfId="2301" xr:uid="{00000000-0005-0000-0000-0000FC080000}"/>
    <cellStyle name="C_공설운동진입(가실행)_파주 BOOK CITY(통보용)" xfId="2302" xr:uid="{00000000-0005-0000-0000-0000FD080000}"/>
    <cellStyle name="C_공설운동진입(가실행)_파주 BOOK CITY(통보용)_04028적산수량집계" xfId="2303" xr:uid="{00000000-0005-0000-0000-0000FE080000}"/>
    <cellStyle name="C_공설운동진입(가실행)_파주 BOOK CITY가실행내역" xfId="2304" xr:uid="{00000000-0005-0000-0000-0000FF080000}"/>
    <cellStyle name="C_공설운동진입(가실행)_파주 BOOK CITY가실행내역_04028적산수량집계" xfId="2305" xr:uid="{00000000-0005-0000-0000-000000090000}"/>
    <cellStyle name="C_공설운동진입(가실행)_파주 북시티(이채)제출" xfId="2306" xr:uid="{00000000-0005-0000-0000-000001090000}"/>
    <cellStyle name="C_공설운동진입(가실행)_파주 북시티(이채)제출_04028적산수량집계" xfId="2307" xr:uid="{00000000-0005-0000-0000-000002090000}"/>
    <cellStyle name="C_공설운동진입(가실행)_파주 북시티(전체)제출(변경전)" xfId="2308" xr:uid="{00000000-0005-0000-0000-000003090000}"/>
    <cellStyle name="C_공설운동진입(가실행)_파주 북시티(전체)제출(변경전)_04028적산수량집계" xfId="2309" xr:uid="{00000000-0005-0000-0000-000004090000}"/>
    <cellStyle name="C_사본 - 파주 북시티(이채)" xfId="2310" xr:uid="{00000000-0005-0000-0000-000005090000}"/>
    <cellStyle name="C_사본 - 파주 북시티(이채)_04028적산수량집계" xfId="2311" xr:uid="{00000000-0005-0000-0000-000006090000}"/>
    <cellStyle name="C_토목내역서" xfId="2312" xr:uid="{00000000-0005-0000-0000-000007090000}"/>
    <cellStyle name="C_토목내역서_04028적산수량집계" xfId="2313" xr:uid="{00000000-0005-0000-0000-000008090000}"/>
    <cellStyle name="C_토목내역서_BOOKCITY(전기)" xfId="2314" xr:uid="{00000000-0005-0000-0000-000009090000}"/>
    <cellStyle name="C_토목내역서_BOOKCITY(전기)_04028적산수량집계" xfId="2315" xr:uid="{00000000-0005-0000-0000-00000A090000}"/>
    <cellStyle name="C_토목내역서_공설운동진입(가실행)" xfId="2316" xr:uid="{00000000-0005-0000-0000-00000B090000}"/>
    <cellStyle name="C_토목내역서_공설운동진입(가실행)_04028적산수량집계" xfId="2317" xr:uid="{00000000-0005-0000-0000-00000C090000}"/>
    <cellStyle name="C_토목내역서_공설운동진입(가실행)_BOOKCITY(전기)" xfId="2318" xr:uid="{00000000-0005-0000-0000-00000D090000}"/>
    <cellStyle name="C_토목내역서_공설운동진입(가실행)_BOOKCITY(전기)_04028적산수량집계" xfId="2319" xr:uid="{00000000-0005-0000-0000-00000E090000}"/>
    <cellStyle name="C_토목내역서_공설운동진입(가실행)_사본 - 파주 북시티(이채)" xfId="2320" xr:uid="{00000000-0005-0000-0000-00000F090000}"/>
    <cellStyle name="C_토목내역서_공설운동진입(가실행)_사본 - 파주 북시티(이채)_04028적산수량집계" xfId="2321" xr:uid="{00000000-0005-0000-0000-000010090000}"/>
    <cellStyle name="C_토목내역서_공설운동진입(가실행)_파주 BOOK CITY(통보용)" xfId="2322" xr:uid="{00000000-0005-0000-0000-000011090000}"/>
    <cellStyle name="C_토목내역서_공설운동진입(가실행)_파주 BOOK CITY(통보용)_04028적산수량집계" xfId="2323" xr:uid="{00000000-0005-0000-0000-000012090000}"/>
    <cellStyle name="C_토목내역서_공설운동진입(가실행)_파주 BOOK CITY가실행내역" xfId="2324" xr:uid="{00000000-0005-0000-0000-000013090000}"/>
    <cellStyle name="C_토목내역서_공설운동진입(가실행)_파주 BOOK CITY가실행내역_04028적산수량집계" xfId="2325" xr:uid="{00000000-0005-0000-0000-000014090000}"/>
    <cellStyle name="C_토목내역서_공설운동진입(가실행)_파주 북시티(이채)제출" xfId="2326" xr:uid="{00000000-0005-0000-0000-000015090000}"/>
    <cellStyle name="C_토목내역서_공설운동진입(가실행)_파주 북시티(이채)제출_04028적산수량집계" xfId="2327" xr:uid="{00000000-0005-0000-0000-000016090000}"/>
    <cellStyle name="C_토목내역서_공설운동진입(가실행)_파주 북시티(전체)제출(변경전)" xfId="2328" xr:uid="{00000000-0005-0000-0000-000017090000}"/>
    <cellStyle name="C_토목내역서_공설운동진입(가실행)_파주 북시티(전체)제출(변경전)_04028적산수량집계" xfId="2329" xr:uid="{00000000-0005-0000-0000-000018090000}"/>
    <cellStyle name="C_토목내역서_사본 - 파주 북시티(이채)" xfId="2330" xr:uid="{00000000-0005-0000-0000-000019090000}"/>
    <cellStyle name="C_토목내역서_사본 - 파주 북시티(이채)_04028적산수량집계" xfId="2331" xr:uid="{00000000-0005-0000-0000-00001A090000}"/>
    <cellStyle name="C_토목내역서_파주 BOOK CITY(통보용)" xfId="2332" xr:uid="{00000000-0005-0000-0000-00001B090000}"/>
    <cellStyle name="C_토목내역서_파주 BOOK CITY(통보용)_04028적산수량집계" xfId="2333" xr:uid="{00000000-0005-0000-0000-00001C090000}"/>
    <cellStyle name="C_토목내역서_파주 BOOK CITY가실행내역" xfId="2334" xr:uid="{00000000-0005-0000-0000-00001D090000}"/>
    <cellStyle name="C_토목내역서_파주 BOOK CITY가실행내역_04028적산수량집계" xfId="2335" xr:uid="{00000000-0005-0000-0000-00001E090000}"/>
    <cellStyle name="C_토목내역서_파주 북시티(이채)제출" xfId="2336" xr:uid="{00000000-0005-0000-0000-00001F090000}"/>
    <cellStyle name="C_토목내역서_파주 북시티(이채)제출_04028적산수량집계" xfId="2337" xr:uid="{00000000-0005-0000-0000-000020090000}"/>
    <cellStyle name="C_토목내역서_파주 북시티(전체)제출(변경전)" xfId="2338" xr:uid="{00000000-0005-0000-0000-000021090000}"/>
    <cellStyle name="C_토목내역서_파주 북시티(전체)제출(변경전)_04028적산수량집계" xfId="2339" xr:uid="{00000000-0005-0000-0000-000022090000}"/>
    <cellStyle name="C_파주 BOOK CITY(통보용)" xfId="2340" xr:uid="{00000000-0005-0000-0000-000023090000}"/>
    <cellStyle name="C_파주 BOOK CITY(통보용)_04028적산수량집계" xfId="2341" xr:uid="{00000000-0005-0000-0000-000024090000}"/>
    <cellStyle name="C_파주 BOOK CITY가실행내역" xfId="2342" xr:uid="{00000000-0005-0000-0000-000025090000}"/>
    <cellStyle name="C_파주 BOOK CITY가실행내역_04028적산수량집계" xfId="2343" xr:uid="{00000000-0005-0000-0000-000026090000}"/>
    <cellStyle name="C_파주 북시티(이채)제출" xfId="2344" xr:uid="{00000000-0005-0000-0000-000027090000}"/>
    <cellStyle name="C_파주 북시티(이채)제출_04028적산수량집계" xfId="2345" xr:uid="{00000000-0005-0000-0000-000028090000}"/>
    <cellStyle name="C_파주 북시티(전체)제출(변경전)" xfId="2346" xr:uid="{00000000-0005-0000-0000-000029090000}"/>
    <cellStyle name="C_파주 북시티(전체)제출(변경전)_04028적산수량집계" xfId="2347" xr:uid="{00000000-0005-0000-0000-00002A090000}"/>
    <cellStyle name="C¡IA¨ª_  FAB AIA￠´  " xfId="2348" xr:uid="{00000000-0005-0000-0000-00002B090000}"/>
    <cellStyle name="C¡ÍA¨ª_¡íc¨ú¡À¨¬I¨¬¡Æ AN¡Æe " xfId="2349" xr:uid="{00000000-0005-0000-0000-00002C090000}"/>
    <cellStyle name="C¡IA¨ª_AO¨uRCN¡¾U " xfId="2350" xr:uid="{00000000-0005-0000-0000-00002D090000}"/>
    <cellStyle name="Ç¥" xfId="2351" xr:uid="{00000000-0005-0000-0000-00002E090000}"/>
    <cellStyle name="C￥AØ_  FAB AIA¤  " xfId="2352" xr:uid="{00000000-0005-0000-0000-00002F090000}"/>
    <cellStyle name="Ç¥ÁØ_(Á¤º¸ºÎ¹®)¿ùº°ÀÎ¿ø°èÈ¹" xfId="2353" xr:uid="{00000000-0005-0000-0000-000030090000}"/>
    <cellStyle name="C￥AØ_´eAN°yC￥ " xfId="2354" xr:uid="{00000000-0005-0000-0000-000031090000}"/>
    <cellStyle name="Ç¥ÁØ_´ëºñÇ¥" xfId="2355" xr:uid="{00000000-0005-0000-0000-000032090000}"/>
    <cellStyle name="C￥AØ_´eºnC￥ (2)_1_ºI´eAa°ø " xfId="2356" xr:uid="{00000000-0005-0000-0000-000033090000}"/>
    <cellStyle name="Ç¥ÁØ_´ëºñÇ¥ (2)_1_ºÎ´ëÅä°ø " xfId="2357" xr:uid="{00000000-0005-0000-0000-000034090000}"/>
    <cellStyle name="C￥AØ_´eºnC￥ (2)_ºI´eAa°ø " xfId="2358" xr:uid="{00000000-0005-0000-0000-000035090000}"/>
    <cellStyle name="Ç¥ÁØ_´ëºñÇ¥ (2)_ºÎ´ëÅä°ø " xfId="2359" xr:uid="{00000000-0005-0000-0000-000036090000}"/>
    <cellStyle name="C￥AØ_¿­¸° INT" xfId="2360" xr:uid="{00000000-0005-0000-0000-000037090000}"/>
    <cellStyle name="Ç¥ÁØ_±¸¸Å³³±â" xfId="2361" xr:uid="{00000000-0005-0000-0000-000038090000}"/>
    <cellStyle name="C￥AØ_≫c¾÷ºIº° AN°e " xfId="2362" xr:uid="{00000000-0005-0000-0000-000039090000}"/>
    <cellStyle name="Ç¥ÁØ_°¡¼³" xfId="2363" xr:uid="{00000000-0005-0000-0000-00003A090000}"/>
    <cellStyle name="C￥AØ_°ø≫cºn¿¹≫e¼­ " xfId="2364" xr:uid="{00000000-0005-0000-0000-00003B090000}"/>
    <cellStyle name="Ç¥ÁØ_°ø¹®" xfId="2365" xr:uid="{00000000-0005-0000-0000-00003C090000}"/>
    <cellStyle name="C￥AØ_0N-HANDLING " xfId="2366" xr:uid="{00000000-0005-0000-0000-00003D090000}"/>
    <cellStyle name="Ç¥ÁØ_0N-HANDLING " xfId="2367" xr:uid="{00000000-0005-0000-0000-00003E090000}"/>
    <cellStyle name="C￥AØ_¼³°e¿e¿ª" xfId="2368" xr:uid="{00000000-0005-0000-0000-00003F090000}"/>
    <cellStyle name="Ç¥ÁØ_¼öÀÍ¼º " xfId="2369" xr:uid="{00000000-0005-0000-0000-000040090000}"/>
    <cellStyle name="C￥AØ_¹y¸eº¸E￡ " xfId="2370" xr:uid="{00000000-0005-0000-0000-000041090000}"/>
    <cellStyle name="Ç¥ÁØ_5-1±¤°í " xfId="2371" xr:uid="{00000000-0005-0000-0000-000042090000}"/>
    <cellStyle name="C￥AØ_95³aAN°y¼o·R " xfId="2372" xr:uid="{00000000-0005-0000-0000-000043090000}"/>
    <cellStyle name="Ç¥ÁØ_Áý°èÇ¥(2¿ù) " xfId="2373" xr:uid="{00000000-0005-0000-0000-000044090000}"/>
    <cellStyle name="C￥AØ_CoAo¹yAI °A¾×¿ⓒ½A " xfId="2374" xr:uid="{00000000-0005-0000-0000-000045090000}"/>
    <cellStyle name="Ç¥ÁØ_ÇöÈ²_¹®Á¦Á¡ " xfId="2375" xr:uid="{00000000-0005-0000-0000-000046090000}"/>
    <cellStyle name="C￥AØ_E¸AaAO½A " xfId="2376" xr:uid="{00000000-0005-0000-0000-000047090000}"/>
    <cellStyle name="Ç¥ÁØ_ÈÞÀÏ±Ù·Î" xfId="2377" xr:uid="{00000000-0005-0000-0000-000048090000}"/>
    <cellStyle name="C￥AØ_FIRE " xfId="2378" xr:uid="{00000000-0005-0000-0000-000049090000}"/>
    <cellStyle name="Ç¥ÁØ_HATCO HQ" xfId="2379" xr:uid="{00000000-0005-0000-0000-00004A090000}"/>
    <cellStyle name="C￥AØ_LIGHTNING " xfId="2380" xr:uid="{00000000-0005-0000-0000-00004B090000}"/>
    <cellStyle name="Ç¥ÁØ_º¯°æ(ÃÖÁ¾)" xfId="2381" xr:uid="{00000000-0005-0000-0000-00004C090000}"/>
    <cellStyle name="C￥AØ_PERSONAL" xfId="2382" xr:uid="{00000000-0005-0000-0000-00004D090000}"/>
    <cellStyle name="Ç¥ÁØ_RESULTS" xfId="2383" xr:uid="{00000000-0005-0000-0000-00004E090000}"/>
    <cellStyle name="Calc Currency (0)" xfId="2384" xr:uid="{00000000-0005-0000-0000-00004F090000}"/>
    <cellStyle name="Calc Currency (2)" xfId="2385" xr:uid="{00000000-0005-0000-0000-000050090000}"/>
    <cellStyle name="Calc Percent (0)" xfId="2386" xr:uid="{00000000-0005-0000-0000-000051090000}"/>
    <cellStyle name="Calc Percent (1)" xfId="2387" xr:uid="{00000000-0005-0000-0000-000052090000}"/>
    <cellStyle name="Calc Percent (2)" xfId="2388" xr:uid="{00000000-0005-0000-0000-000053090000}"/>
    <cellStyle name="Calc Units (0)" xfId="2389" xr:uid="{00000000-0005-0000-0000-000054090000}"/>
    <cellStyle name="Calc Units (1)" xfId="2390" xr:uid="{00000000-0005-0000-0000-000055090000}"/>
    <cellStyle name="Calc Units (2)" xfId="2391" xr:uid="{00000000-0005-0000-0000-000056090000}"/>
    <cellStyle name="category" xfId="2392" xr:uid="{00000000-0005-0000-0000-000057090000}"/>
    <cellStyle name="ÇÏÀÌÆÛ¸µÅ©" xfId="2393" xr:uid="{00000000-0005-0000-0000-000058090000}"/>
    <cellStyle name="CIAIÆU¸μAⓒ" xfId="2394" xr:uid="{00000000-0005-0000-0000-000059090000}"/>
    <cellStyle name="ⓒo" xfId="2395" xr:uid="{00000000-0005-0000-0000-00005A090000}"/>
    <cellStyle name="Comma" xfId="2396" xr:uid="{00000000-0005-0000-0000-00005B090000}"/>
    <cellStyle name="Comma  - Style2" xfId="2397" xr:uid="{00000000-0005-0000-0000-00005C090000}"/>
    <cellStyle name="Comma  - Style3" xfId="2398" xr:uid="{00000000-0005-0000-0000-00005D090000}"/>
    <cellStyle name="Comma  - Style4" xfId="2399" xr:uid="{00000000-0005-0000-0000-00005E090000}"/>
    <cellStyle name="Comma  - Style5" xfId="2400" xr:uid="{00000000-0005-0000-0000-00005F090000}"/>
    <cellStyle name="Comma  - Style6" xfId="2401" xr:uid="{00000000-0005-0000-0000-000060090000}"/>
    <cellStyle name="Comma  - Style7" xfId="2402" xr:uid="{00000000-0005-0000-0000-000061090000}"/>
    <cellStyle name="Comma  - Style8" xfId="2403" xr:uid="{00000000-0005-0000-0000-000062090000}"/>
    <cellStyle name="Comma [0]" xfId="2627" xr:uid="{00000000-0005-0000-0000-000063090000}"/>
    <cellStyle name="Comma [00]" xfId="2404" xr:uid="{00000000-0005-0000-0000-000064090000}"/>
    <cellStyle name="comma zerodec" xfId="2405" xr:uid="{00000000-0005-0000-0000-000065090000}"/>
    <cellStyle name="Comma_ SG&amp;A Bridge" xfId="2406" xr:uid="{00000000-0005-0000-0000-000066090000}"/>
    <cellStyle name="Comma0" xfId="2407" xr:uid="{00000000-0005-0000-0000-000067090000}"/>
    <cellStyle name="Copied" xfId="2408" xr:uid="{00000000-0005-0000-0000-000068090000}"/>
    <cellStyle name="Curren?_x0012_퐀_x0017_?" xfId="2409" xr:uid="{00000000-0005-0000-0000-000069090000}"/>
    <cellStyle name="Currency" xfId="2410" xr:uid="{00000000-0005-0000-0000-00006A090000}"/>
    <cellStyle name="Currency [0]" xfId="2411" xr:uid="{00000000-0005-0000-0000-00006B090000}"/>
    <cellStyle name="Currency [00]" xfId="2412" xr:uid="{00000000-0005-0000-0000-00006C090000}"/>
    <cellStyle name="Currency_ SG&amp;A Bridge " xfId="2413" xr:uid="{00000000-0005-0000-0000-00006D090000}"/>
    <cellStyle name="Currency0" xfId="2414" xr:uid="{00000000-0005-0000-0000-00006E090000}"/>
    <cellStyle name="Currency1" xfId="2415" xr:uid="{00000000-0005-0000-0000-00006F090000}"/>
    <cellStyle name="Date" xfId="2416" xr:uid="{00000000-0005-0000-0000-000070090000}"/>
    <cellStyle name="Date Short" xfId="2417" xr:uid="{00000000-0005-0000-0000-000071090000}"/>
    <cellStyle name="Date_견적양식(가로)" xfId="2418" xr:uid="{00000000-0005-0000-0000-000072090000}"/>
    <cellStyle name="DELTA" xfId="2419" xr:uid="{00000000-0005-0000-0000-000073090000}"/>
    <cellStyle name="Dezimal [0]_Compiling Utility Macros" xfId="2420" xr:uid="{00000000-0005-0000-0000-000074090000}"/>
    <cellStyle name="Dezimal_Compiling Utility Macros" xfId="2421" xr:uid="{00000000-0005-0000-0000-000075090000}"/>
    <cellStyle name="Dollar (zero dec)" xfId="2422" xr:uid="{00000000-0005-0000-0000-000076090000}"/>
    <cellStyle name="En-t?e 1" xfId="2423" xr:uid="{00000000-0005-0000-0000-000077090000}"/>
    <cellStyle name="En-t?e 2" xfId="2424" xr:uid="{00000000-0005-0000-0000-000078090000}"/>
    <cellStyle name="Enter Currency (0)" xfId="2425" xr:uid="{00000000-0005-0000-0000-000079090000}"/>
    <cellStyle name="Enter Currency (2)" xfId="2426" xr:uid="{00000000-0005-0000-0000-00007A090000}"/>
    <cellStyle name="Enter Units (0)" xfId="2427" xr:uid="{00000000-0005-0000-0000-00007B090000}"/>
    <cellStyle name="Enter Units (1)" xfId="2428" xr:uid="{00000000-0005-0000-0000-00007C090000}"/>
    <cellStyle name="Enter Units (2)" xfId="2429" xr:uid="{00000000-0005-0000-0000-00007D090000}"/>
    <cellStyle name="Entered" xfId="2430" xr:uid="{00000000-0005-0000-0000-00007E090000}"/>
    <cellStyle name="Euro" xfId="2431" xr:uid="{00000000-0005-0000-0000-00007F090000}"/>
    <cellStyle name="F2" xfId="2432" xr:uid="{00000000-0005-0000-0000-000080090000}"/>
    <cellStyle name="F3" xfId="2433" xr:uid="{00000000-0005-0000-0000-000081090000}"/>
    <cellStyle name="F4" xfId="2434" xr:uid="{00000000-0005-0000-0000-000082090000}"/>
    <cellStyle name="F5" xfId="2435" xr:uid="{00000000-0005-0000-0000-000083090000}"/>
    <cellStyle name="F6" xfId="2436" xr:uid="{00000000-0005-0000-0000-000084090000}"/>
    <cellStyle name="F7" xfId="2437" xr:uid="{00000000-0005-0000-0000-000085090000}"/>
    <cellStyle name="F8" xfId="2438" xr:uid="{00000000-0005-0000-0000-000086090000}"/>
    <cellStyle name="Financier0" xfId="2439" xr:uid="{00000000-0005-0000-0000-000087090000}"/>
    <cellStyle name="Fixed" xfId="2440" xr:uid="{00000000-0005-0000-0000-000088090000}"/>
    <cellStyle name="Followed Hyperlink" xfId="2441" xr:uid="{00000000-0005-0000-0000-000089090000}"/>
    <cellStyle name="G10" xfId="2442" xr:uid="{00000000-0005-0000-0000-00008A090000}"/>
    <cellStyle name="Grey" xfId="2443" xr:uid="{00000000-0005-0000-0000-00008B090000}"/>
    <cellStyle name="H1" xfId="2444" xr:uid="{00000000-0005-0000-0000-00008C090000}"/>
    <cellStyle name="H2" xfId="2445" xr:uid="{00000000-0005-0000-0000-00008D090000}"/>
    <cellStyle name="HEADER" xfId="2446" xr:uid="{00000000-0005-0000-0000-00008E090000}"/>
    <cellStyle name="Header1" xfId="2447" xr:uid="{00000000-0005-0000-0000-00008F090000}"/>
    <cellStyle name="Header2" xfId="2448" xr:uid="{00000000-0005-0000-0000-000090090000}"/>
    <cellStyle name="Heading 1" xfId="2449" xr:uid="{00000000-0005-0000-0000-000091090000}"/>
    <cellStyle name="Heading 2" xfId="2450" xr:uid="{00000000-0005-0000-0000-000092090000}"/>
    <cellStyle name="Heading1" xfId="2451" xr:uid="{00000000-0005-0000-0000-000093090000}"/>
    <cellStyle name="Heading2" xfId="2452" xr:uid="{00000000-0005-0000-0000-000094090000}"/>
    <cellStyle name="HEADINGS" xfId="2453" xr:uid="{00000000-0005-0000-0000-000095090000}"/>
    <cellStyle name="HEADINGSTOP" xfId="2454" xr:uid="{00000000-0005-0000-0000-000096090000}"/>
    <cellStyle name="Helv8_PFD4.XLS" xfId="2455" xr:uid="{00000000-0005-0000-0000-000097090000}"/>
    <cellStyle name="Hyperlink" xfId="2456" xr:uid="{00000000-0005-0000-0000-000098090000}"/>
    <cellStyle name="Input [yellow]" xfId="2457" xr:uid="{00000000-0005-0000-0000-000099090000}"/>
    <cellStyle name="L`" xfId="2458" xr:uid="{00000000-0005-0000-0000-00009A090000}"/>
    <cellStyle name="Link Currency (0)" xfId="2459" xr:uid="{00000000-0005-0000-0000-00009B090000}"/>
    <cellStyle name="Link Currency (2)" xfId="2460" xr:uid="{00000000-0005-0000-0000-00009C090000}"/>
    <cellStyle name="Link Units (0)" xfId="2461" xr:uid="{00000000-0005-0000-0000-00009D090000}"/>
    <cellStyle name="Link Units (1)" xfId="2462" xr:uid="{00000000-0005-0000-0000-00009E090000}"/>
    <cellStyle name="Link Units (2)" xfId="2463" xr:uid="{00000000-0005-0000-0000-00009F090000}"/>
    <cellStyle name="Milliers [0]_399GC10" xfId="2464" xr:uid="{00000000-0005-0000-0000-0000A0090000}"/>
    <cellStyle name="Milliers_399GC10" xfId="2465" xr:uid="{00000000-0005-0000-0000-0000A1090000}"/>
    <cellStyle name="mma_CASH &amp; DSO" xfId="2466" xr:uid="{00000000-0005-0000-0000-0000A2090000}"/>
    <cellStyle name="Model" xfId="2467" xr:uid="{00000000-0005-0000-0000-0000A3090000}"/>
    <cellStyle name="Mon?aire [0]_399GC10" xfId="2468" xr:uid="{00000000-0005-0000-0000-0000A4090000}"/>
    <cellStyle name="Mon?aire_399GC10" xfId="2469" xr:uid="{00000000-0005-0000-0000-0000A5090000}"/>
    <cellStyle name="Mon?aire0" xfId="2470" xr:uid="{00000000-0005-0000-0000-0000A6090000}"/>
    <cellStyle name="no dec" xfId="2471" xr:uid="{00000000-0005-0000-0000-0000A7090000}"/>
    <cellStyle name="Normal - Style1" xfId="2472" xr:uid="{00000000-0005-0000-0000-0000A8090000}"/>
    <cellStyle name="Normal - Style2" xfId="2473" xr:uid="{00000000-0005-0000-0000-0000A9090000}"/>
    <cellStyle name="Normal - Style3" xfId="2474" xr:uid="{00000000-0005-0000-0000-0000AA090000}"/>
    <cellStyle name="Normal - Style4" xfId="2475" xr:uid="{00000000-0005-0000-0000-0000AB090000}"/>
    <cellStyle name="Normal - Style5" xfId="2476" xr:uid="{00000000-0005-0000-0000-0000AC090000}"/>
    <cellStyle name="Normal - Style6" xfId="2477" xr:uid="{00000000-0005-0000-0000-0000AD090000}"/>
    <cellStyle name="Normal - Style7" xfId="2478" xr:uid="{00000000-0005-0000-0000-0000AE090000}"/>
    <cellStyle name="Normal - Style8" xfId="2479" xr:uid="{00000000-0005-0000-0000-0000AF090000}"/>
    <cellStyle name="Normal - 유형1" xfId="2480" xr:uid="{00000000-0005-0000-0000-0000B0090000}"/>
    <cellStyle name="Œ…?æ맖?e [0.00]_guyan" xfId="2481" xr:uid="{00000000-0005-0000-0000-0000B1090000}"/>
    <cellStyle name="Œ…?æ맖?e_guyan" xfId="2482" xr:uid="{00000000-0005-0000-0000-0000B2090000}"/>
    <cellStyle name="oh" xfId="2483" xr:uid="{00000000-0005-0000-0000-0000B3090000}"/>
    <cellStyle name="per.style" xfId="2484" xr:uid="{00000000-0005-0000-0000-0000B4090000}"/>
    <cellStyle name="Percent" xfId="2485" xr:uid="{00000000-0005-0000-0000-0000B5090000}"/>
    <cellStyle name="Percent (0)" xfId="2486" xr:uid="{00000000-0005-0000-0000-0000B6090000}"/>
    <cellStyle name="Percent [0]" xfId="2487" xr:uid="{00000000-0005-0000-0000-0000B7090000}"/>
    <cellStyle name="Percent [00]" xfId="2488" xr:uid="{00000000-0005-0000-0000-0000B8090000}"/>
    <cellStyle name="Percent [2]" xfId="2489" xr:uid="{00000000-0005-0000-0000-0000B9090000}"/>
    <cellStyle name="Percent_#6 Temps &amp; Contractors" xfId="2490" xr:uid="{00000000-0005-0000-0000-0000BA090000}"/>
    <cellStyle name="PrePop Currency (0)" xfId="2491" xr:uid="{00000000-0005-0000-0000-0000BB090000}"/>
    <cellStyle name="PrePop Currency (2)" xfId="2492" xr:uid="{00000000-0005-0000-0000-0000BC090000}"/>
    <cellStyle name="PrePop Units (0)" xfId="2493" xr:uid="{00000000-0005-0000-0000-0000BD090000}"/>
    <cellStyle name="PrePop Units (1)" xfId="2494" xr:uid="{00000000-0005-0000-0000-0000BE090000}"/>
    <cellStyle name="PrePop Units (2)" xfId="2495" xr:uid="{00000000-0005-0000-0000-0000BF090000}"/>
    <cellStyle name="regstoresfromspecstores" xfId="2496" xr:uid="{00000000-0005-0000-0000-0000C0090000}"/>
    <cellStyle name="RevList" xfId="2497" xr:uid="{00000000-0005-0000-0000-0000C1090000}"/>
    <cellStyle name="RLTJD(S" xfId="2498" xr:uid="{00000000-0005-0000-0000-0000C2090000}"/>
    <cellStyle name="s]_x000d__x000a_run=c:\Hedgehog\app31.exe_x000d__x000a_spooler=yes_x000d__x000a_load=_x000d__x000a_run=_x000d__x000a_Beep=yes_x000d__x000a_NullPort=None_x000d__x000a_BorderWidth=3_x000d__x000a_CursorBlinkRate=530_x000d__x000a_D" xfId="2499" xr:uid="{00000000-0005-0000-0000-0000C3090000}"/>
    <cellStyle name="SAPBEXaggData" xfId="2500" xr:uid="{00000000-0005-0000-0000-0000C4090000}"/>
    <cellStyle name="SAPBEXstdData" xfId="2501" xr:uid="{00000000-0005-0000-0000-0000C5090000}"/>
    <cellStyle name="sh" xfId="2502" xr:uid="{00000000-0005-0000-0000-0000C6090000}"/>
    <cellStyle name="SHADEDSTORES" xfId="2503" xr:uid="{00000000-0005-0000-0000-0000C7090000}"/>
    <cellStyle name="specstores" xfId="2504" xr:uid="{00000000-0005-0000-0000-0000C8090000}"/>
    <cellStyle name="ssh" xfId="2505" xr:uid="{00000000-0005-0000-0000-0000C9090000}"/>
    <cellStyle name="STANDARD" xfId="2506" xr:uid="{00000000-0005-0000-0000-0000CA090000}"/>
    <cellStyle name="subhead" xfId="2507" xr:uid="{00000000-0005-0000-0000-0000CB090000}"/>
    <cellStyle name="Subtotal" xfId="2508" xr:uid="{00000000-0005-0000-0000-0000CC090000}"/>
    <cellStyle name="Text Indent A" xfId="2509" xr:uid="{00000000-0005-0000-0000-0000CD090000}"/>
    <cellStyle name="Text Indent B" xfId="2510" xr:uid="{00000000-0005-0000-0000-0000CE090000}"/>
    <cellStyle name="Text Indent C" xfId="2511" xr:uid="{00000000-0005-0000-0000-0000CF090000}"/>
    <cellStyle name="Title" xfId="2512" xr:uid="{00000000-0005-0000-0000-0000D0090000}"/>
    <cellStyle name="title [1]" xfId="2513" xr:uid="{00000000-0005-0000-0000-0000D1090000}"/>
    <cellStyle name="title [2]" xfId="2514" xr:uid="{00000000-0005-0000-0000-0000D2090000}"/>
    <cellStyle name="Title_견적양식(가로)" xfId="2515" xr:uid="{00000000-0005-0000-0000-0000D3090000}"/>
    <cellStyle name="Total" xfId="2516" xr:uid="{00000000-0005-0000-0000-0000D4090000}"/>
    <cellStyle name="UM" xfId="2517" xr:uid="{00000000-0005-0000-0000-0000D5090000}"/>
    <cellStyle name="Virgule fixe" xfId="2518" xr:uid="{00000000-0005-0000-0000-0000D6090000}"/>
    <cellStyle name="W?rung [0]_Compiling Utility Macros" xfId="2519" xr:uid="{00000000-0005-0000-0000-0000D7090000}"/>
    <cellStyle name="W?rung_Compiling Utility Macros" xfId="2520" xr:uid="{00000000-0005-0000-0000-0000D8090000}"/>
    <cellStyle name="_x0008_z" xfId="2521" xr:uid="{00000000-0005-0000-0000-0000D9090000}"/>
    <cellStyle name="μU¿¡ ¿A´A CIAIÆU¸μAⓒ" xfId="2522" xr:uid="{00000000-0005-0000-0000-0000DA090000}"/>
    <cellStyle name="|?ドE" xfId="2523" xr:uid="{00000000-0005-0000-0000-0000DB090000}"/>
    <cellStyle name="견적" xfId="2524" xr:uid="{00000000-0005-0000-0000-0000DC090000}"/>
    <cellStyle name="고정소숫점" xfId="2525" xr:uid="{00000000-0005-0000-0000-0000DD090000}"/>
    <cellStyle name="고정출력1" xfId="2526" xr:uid="{00000000-0005-0000-0000-0000DE090000}"/>
    <cellStyle name="고정출력2" xfId="2527" xr:uid="{00000000-0005-0000-0000-0000DF090000}"/>
    <cellStyle name="공사원가계산서(조경)" xfId="2528" xr:uid="{00000000-0005-0000-0000-0000E0090000}"/>
    <cellStyle name="기계" xfId="2529" xr:uid="{00000000-0005-0000-0000-0000E1090000}"/>
    <cellStyle name="기본숫자" xfId="2530" xr:uid="{00000000-0005-0000-0000-0000E2090000}"/>
    <cellStyle name="기성(내용)" xfId="2531" xr:uid="{00000000-0005-0000-0000-0000E3090000}"/>
    <cellStyle name="기성(내용2)" xfId="2532" xr:uid="{00000000-0005-0000-0000-0000E4090000}"/>
    <cellStyle name="끼_x0001_?" xfId="2533" xr:uid="{00000000-0005-0000-0000-0000E5090000}"/>
    <cellStyle name="날짜" xfId="2534" xr:uid="{00000000-0005-0000-0000-0000E6090000}"/>
    <cellStyle name="내역서" xfId="2535" xr:uid="{00000000-0005-0000-0000-0000E7090000}"/>
    <cellStyle name="단가" xfId="2536" xr:uid="{00000000-0005-0000-0000-0000E8090000}"/>
    <cellStyle name="달러" xfId="2537" xr:uid="{00000000-0005-0000-0000-0000E9090000}"/>
    <cellStyle name="돋움채" xfId="2538" xr:uid="{00000000-0005-0000-0000-0000EA090000}"/>
    <cellStyle name="뒤에 오는 하이퍼링크" xfId="2539" xr:uid="{00000000-0005-0000-0000-0000EB090000}"/>
    <cellStyle name="똿떓죶Ø괻 [0.00]_NT Server " xfId="2540" xr:uid="{00000000-0005-0000-0000-0000EC090000}"/>
    <cellStyle name="똿떓죶Ø괻_NT Server " xfId="2541" xr:uid="{00000000-0005-0000-0000-0000ED090000}"/>
    <cellStyle name="똿뗦먛귟 [0.00]_laroux" xfId="2542" xr:uid="{00000000-0005-0000-0000-0000EE090000}"/>
    <cellStyle name="똿뗦먛귟_laroux" xfId="2543" xr:uid="{00000000-0005-0000-0000-0000EF090000}"/>
    <cellStyle name="마이너스키" xfId="2544" xr:uid="{00000000-0005-0000-0000-0000F0090000}"/>
    <cellStyle name="묮뎋 [0.00]_NT Server " xfId="2545" xr:uid="{00000000-0005-0000-0000-0000F1090000}"/>
    <cellStyle name="묮뎋_NT Server " xfId="2546" xr:uid="{00000000-0005-0000-0000-0000F2090000}"/>
    <cellStyle name="물량집계(갑)" xfId="2547" xr:uid="{00000000-0005-0000-0000-0000F3090000}"/>
    <cellStyle name="믅됞 [0.00]_laroux" xfId="2548" xr:uid="{00000000-0005-0000-0000-0000F4090000}"/>
    <cellStyle name="믅됞_laroux" xfId="2549" xr:uid="{00000000-0005-0000-0000-0000F5090000}"/>
    <cellStyle name="배분" xfId="2550" xr:uid="{00000000-0005-0000-0000-0000F6090000}"/>
    <cellStyle name="백" xfId="2551" xr:uid="{00000000-0005-0000-0000-0000F7090000}"/>
    <cellStyle name="백_04028적산수량집계" xfId="2552" xr:uid="{00000000-0005-0000-0000-0000F8090000}"/>
    <cellStyle name="백_BOOKCITY(전기)" xfId="2553" xr:uid="{00000000-0005-0000-0000-0000F9090000}"/>
    <cellStyle name="백_BOOKCITY(전기)_04028적산수량집계" xfId="2554" xr:uid="{00000000-0005-0000-0000-0000FA090000}"/>
    <cellStyle name="백_TRU내역서" xfId="2555" xr:uid="{00000000-0005-0000-0000-0000FB090000}"/>
    <cellStyle name="백_견적양식(가로)" xfId="2556" xr:uid="{00000000-0005-0000-0000-0000FC090000}"/>
    <cellStyle name="백_공설운동진입(가실행)" xfId="2557" xr:uid="{00000000-0005-0000-0000-0000FD090000}"/>
    <cellStyle name="백_공설운동진입(가실행)_04028적산수량집계" xfId="2558" xr:uid="{00000000-0005-0000-0000-0000FE090000}"/>
    <cellStyle name="백_공설운동진입(가실행)_BOOKCITY(전기)" xfId="2559" xr:uid="{00000000-0005-0000-0000-0000FF090000}"/>
    <cellStyle name="백_공설운동진입(가실행)_BOOKCITY(전기)_04028적산수량집계" xfId="2560" xr:uid="{00000000-0005-0000-0000-0000000A0000}"/>
    <cellStyle name="백_공설운동진입(가실행)_사본 - 파주 북시티(이채)" xfId="2561" xr:uid="{00000000-0005-0000-0000-0000010A0000}"/>
    <cellStyle name="백_공설운동진입(가실행)_사본 - 파주 북시티(이채)_04028적산수량집계" xfId="2562" xr:uid="{00000000-0005-0000-0000-0000020A0000}"/>
    <cellStyle name="백_공설운동진입(가실행)_파주 BOOK CITY(통보용)" xfId="2563" xr:uid="{00000000-0005-0000-0000-0000030A0000}"/>
    <cellStyle name="백_공설운동진입(가실행)_파주 BOOK CITY(통보용)_04028적산수량집계" xfId="2564" xr:uid="{00000000-0005-0000-0000-0000040A0000}"/>
    <cellStyle name="백_공설운동진입(가실행)_파주 BOOK CITY가실행내역" xfId="2565" xr:uid="{00000000-0005-0000-0000-0000050A0000}"/>
    <cellStyle name="백_공설운동진입(가실행)_파주 BOOK CITY가실행내역_04028적산수량집계" xfId="2566" xr:uid="{00000000-0005-0000-0000-0000060A0000}"/>
    <cellStyle name="백_공설운동진입(가실행)_파주 북시티(이채)제출" xfId="2567" xr:uid="{00000000-0005-0000-0000-0000070A0000}"/>
    <cellStyle name="백_공설운동진입(가실행)_파주 북시티(이채)제출_04028적산수량집계" xfId="2568" xr:uid="{00000000-0005-0000-0000-0000080A0000}"/>
    <cellStyle name="백_공설운동진입(가실행)_파주 북시티(전체)제출(변경전)" xfId="2569" xr:uid="{00000000-0005-0000-0000-0000090A0000}"/>
    <cellStyle name="백_공설운동진입(가실행)_파주 북시티(전체)제출(변경전)_04028적산수량집계" xfId="2570" xr:uid="{00000000-0005-0000-0000-00000A0A0000}"/>
    <cellStyle name="백_사본 - 파주 북시티(이채)" xfId="2571" xr:uid="{00000000-0005-0000-0000-00000B0A0000}"/>
    <cellStyle name="백_사본 - 파주 북시티(이채)_04028적산수량집계" xfId="2572" xr:uid="{00000000-0005-0000-0000-00000C0A0000}"/>
    <cellStyle name="백_정산내역(0515)-검토" xfId="2573" xr:uid="{00000000-0005-0000-0000-00000D0A0000}"/>
    <cellStyle name="백_토목내역서" xfId="2574" xr:uid="{00000000-0005-0000-0000-00000E0A0000}"/>
    <cellStyle name="백_토목내역서_04028적산수량집계" xfId="2575" xr:uid="{00000000-0005-0000-0000-00000F0A0000}"/>
    <cellStyle name="백_토목내역서_BOOKCITY(전기)" xfId="2576" xr:uid="{00000000-0005-0000-0000-0000100A0000}"/>
    <cellStyle name="백_토목내역서_BOOKCITY(전기)_04028적산수량집계" xfId="2577" xr:uid="{00000000-0005-0000-0000-0000110A0000}"/>
    <cellStyle name="백_토목내역서_공설운동진입(가실행)" xfId="2578" xr:uid="{00000000-0005-0000-0000-0000120A0000}"/>
    <cellStyle name="백_토목내역서_공설운동진입(가실행)_04028적산수량집계" xfId="2579" xr:uid="{00000000-0005-0000-0000-0000130A0000}"/>
    <cellStyle name="백_토목내역서_공설운동진입(가실행)_BOOKCITY(전기)" xfId="2580" xr:uid="{00000000-0005-0000-0000-0000140A0000}"/>
    <cellStyle name="백_토목내역서_공설운동진입(가실행)_BOOKCITY(전기)_04028적산수량집계" xfId="2581" xr:uid="{00000000-0005-0000-0000-0000150A0000}"/>
    <cellStyle name="백_토목내역서_공설운동진입(가실행)_사본 - 파주 북시티(이채)" xfId="2582" xr:uid="{00000000-0005-0000-0000-0000160A0000}"/>
    <cellStyle name="백_토목내역서_공설운동진입(가실행)_사본 - 파주 북시티(이채)_04028적산수량집계" xfId="2583" xr:uid="{00000000-0005-0000-0000-0000170A0000}"/>
    <cellStyle name="백_토목내역서_공설운동진입(가실행)_파주 BOOK CITY(통보용)" xfId="2584" xr:uid="{00000000-0005-0000-0000-0000180A0000}"/>
    <cellStyle name="백_토목내역서_공설운동진입(가실행)_파주 BOOK CITY(통보용)_04028적산수량집계" xfId="2585" xr:uid="{00000000-0005-0000-0000-0000190A0000}"/>
    <cellStyle name="백_토목내역서_공설운동진입(가실행)_파주 BOOK CITY가실행내역" xfId="2586" xr:uid="{00000000-0005-0000-0000-00001A0A0000}"/>
    <cellStyle name="백_토목내역서_공설운동진입(가실행)_파주 BOOK CITY가실행내역_04028적산수량집계" xfId="2587" xr:uid="{00000000-0005-0000-0000-00001B0A0000}"/>
    <cellStyle name="백_토목내역서_공설운동진입(가실행)_파주 북시티(이채)제출" xfId="2588" xr:uid="{00000000-0005-0000-0000-00001C0A0000}"/>
    <cellStyle name="백_토목내역서_공설운동진입(가실행)_파주 북시티(이채)제출_04028적산수량집계" xfId="2589" xr:uid="{00000000-0005-0000-0000-00001D0A0000}"/>
    <cellStyle name="백_토목내역서_공설운동진입(가실행)_파주 북시티(전체)제출(변경전)" xfId="2590" xr:uid="{00000000-0005-0000-0000-00001E0A0000}"/>
    <cellStyle name="백_토목내역서_공설운동진입(가실행)_파주 북시티(전체)제출(변경전)_04028적산수량집계" xfId="2591" xr:uid="{00000000-0005-0000-0000-00001F0A0000}"/>
    <cellStyle name="백_토목내역서_사본 - 파주 북시티(이채)" xfId="2592" xr:uid="{00000000-0005-0000-0000-0000200A0000}"/>
    <cellStyle name="백_토목내역서_사본 - 파주 북시티(이채)_04028적산수량집계" xfId="2593" xr:uid="{00000000-0005-0000-0000-0000210A0000}"/>
    <cellStyle name="백_토목내역서_파주 BOOK CITY(통보용)" xfId="2594" xr:uid="{00000000-0005-0000-0000-0000220A0000}"/>
    <cellStyle name="백_토목내역서_파주 BOOK CITY(통보용)_04028적산수량집계" xfId="2595" xr:uid="{00000000-0005-0000-0000-0000230A0000}"/>
    <cellStyle name="백_토목내역서_파주 BOOK CITY가실행내역" xfId="2596" xr:uid="{00000000-0005-0000-0000-0000240A0000}"/>
    <cellStyle name="백_토목내역서_파주 BOOK CITY가실행내역_04028적산수량집계" xfId="2597" xr:uid="{00000000-0005-0000-0000-0000250A0000}"/>
    <cellStyle name="백_토목내역서_파주 북시티(이채)제출" xfId="2598" xr:uid="{00000000-0005-0000-0000-0000260A0000}"/>
    <cellStyle name="백_토목내역서_파주 북시티(이채)제출_04028적산수량집계" xfId="2599" xr:uid="{00000000-0005-0000-0000-0000270A0000}"/>
    <cellStyle name="백_토목내역서_파주 북시티(전체)제출(변경전)" xfId="2600" xr:uid="{00000000-0005-0000-0000-0000280A0000}"/>
    <cellStyle name="백_토목내역서_파주 북시티(전체)제출(변경전)_04028적산수량집계" xfId="2601" xr:uid="{00000000-0005-0000-0000-0000290A0000}"/>
    <cellStyle name="백_파주 BOOK CITY(통보용)" xfId="2602" xr:uid="{00000000-0005-0000-0000-00002A0A0000}"/>
    <cellStyle name="백_파주 BOOK CITY(통보용)_04028적산수량집계" xfId="2603" xr:uid="{00000000-0005-0000-0000-00002B0A0000}"/>
    <cellStyle name="백_파주 BOOK CITY가실행내역" xfId="2604" xr:uid="{00000000-0005-0000-0000-00002C0A0000}"/>
    <cellStyle name="백_파주 BOOK CITY가실행내역_04028적산수량집계" xfId="2605" xr:uid="{00000000-0005-0000-0000-00002D0A0000}"/>
    <cellStyle name="백_파주 북시티(이채)제출" xfId="2606" xr:uid="{00000000-0005-0000-0000-00002E0A0000}"/>
    <cellStyle name="백_파주 북시티(이채)제출_04028적산수량집계" xfId="2607" xr:uid="{00000000-0005-0000-0000-00002F0A0000}"/>
    <cellStyle name="백_파주 북시티(전체)제출(변경전)" xfId="2608" xr:uid="{00000000-0005-0000-0000-0000300A0000}"/>
    <cellStyle name="백_파주 북시티(전체)제출(변경전)_04028적산수량집계" xfId="2609" xr:uid="{00000000-0005-0000-0000-0000310A0000}"/>
    <cellStyle name="백분율 [△1]" xfId="2610" xr:uid="{00000000-0005-0000-0000-0000320A0000}"/>
    <cellStyle name="백분율 [△2]" xfId="2611" xr:uid="{00000000-0005-0000-0000-0000330A0000}"/>
    <cellStyle name="백분율 [0]" xfId="2612" xr:uid="{00000000-0005-0000-0000-0000340A0000}"/>
    <cellStyle name="백분율 [2]" xfId="2613" xr:uid="{00000000-0005-0000-0000-0000350A0000}"/>
    <cellStyle name="백분율 2" xfId="2614" xr:uid="{00000000-0005-0000-0000-0000360A0000}"/>
    <cellStyle name="백분율［△1］" xfId="2615" xr:uid="{00000000-0005-0000-0000-0000370A0000}"/>
    <cellStyle name="백분율［△2］" xfId="2616" xr:uid="{00000000-0005-0000-0000-0000380A0000}"/>
    <cellStyle name="분수" xfId="2617" xr:uid="{00000000-0005-0000-0000-0000390A0000}"/>
    <cellStyle name="뷭?" xfId="2618" xr:uid="{00000000-0005-0000-0000-00003A0A0000}"/>
    <cellStyle name="빨간색" xfId="2619" xr:uid="{00000000-0005-0000-0000-00003B0A0000}"/>
    <cellStyle name="常规_PhaseⅡ Detail" xfId="2620" xr:uid="{00000000-0005-0000-0000-00003C0A0000}"/>
    <cellStyle name="선택영역의 가운데로" xfId="2621" xr:uid="{00000000-0005-0000-0000-00003D0A0000}"/>
    <cellStyle name="설계서" xfId="2622" xr:uid="{00000000-0005-0000-0000-00003E0A0000}"/>
    <cellStyle name="수량" xfId="2623" xr:uid="{00000000-0005-0000-0000-00003F0A0000}"/>
    <cellStyle name="수량1" xfId="2624" xr:uid="{00000000-0005-0000-0000-0000400A0000}"/>
    <cellStyle name="수목명" xfId="2625" xr:uid="{00000000-0005-0000-0000-0000410A0000}"/>
    <cellStyle name="숫자(R)" xfId="2626" xr:uid="{00000000-0005-0000-0000-0000420A0000}"/>
    <cellStyle name="쉼표 [0]" xfId="2908" builtinId="6"/>
    <cellStyle name="쉼표 [0] 2" xfId="2628" xr:uid="{00000000-0005-0000-0000-0000440A0000}"/>
    <cellStyle name="쉼표 [0] 2 2" xfId="2629" xr:uid="{00000000-0005-0000-0000-0000450A0000}"/>
    <cellStyle name="쉼표 [0] 2 2 2" xfId="2903" xr:uid="{00000000-0005-0000-0000-0000460A0000}"/>
    <cellStyle name="쉼표 [0] 2 2 2 2" xfId="2904" xr:uid="{00000000-0005-0000-0000-0000470A0000}"/>
    <cellStyle name="쉼표 [0] 3" xfId="2630" xr:uid="{00000000-0005-0000-0000-0000480A0000}"/>
    <cellStyle name="쉼표 [0] 3 2" xfId="2906" xr:uid="{00000000-0005-0000-0000-0000490A0000}"/>
    <cellStyle name="쉼표 [0] 4" xfId="2631" xr:uid="{00000000-0005-0000-0000-00004A0A0000}"/>
    <cellStyle name="쉼표 [0] 5" xfId="2910" xr:uid="{00000000-0005-0000-0000-00004B0A0000}"/>
    <cellStyle name="스타일 1" xfId="2632" xr:uid="{00000000-0005-0000-0000-00004C0A0000}"/>
    <cellStyle name="스타일 10" xfId="2633" xr:uid="{00000000-0005-0000-0000-00004D0A0000}"/>
    <cellStyle name="스타일 11" xfId="2634" xr:uid="{00000000-0005-0000-0000-00004E0A0000}"/>
    <cellStyle name="스타일 12" xfId="2635" xr:uid="{00000000-0005-0000-0000-00004F0A0000}"/>
    <cellStyle name="스타일 13" xfId="2636" xr:uid="{00000000-0005-0000-0000-0000500A0000}"/>
    <cellStyle name="스타일 14" xfId="2637" xr:uid="{00000000-0005-0000-0000-0000510A0000}"/>
    <cellStyle name="스타일 15" xfId="2638" xr:uid="{00000000-0005-0000-0000-0000520A0000}"/>
    <cellStyle name="스타일 16" xfId="2639" xr:uid="{00000000-0005-0000-0000-0000530A0000}"/>
    <cellStyle name="스타일 17" xfId="2640" xr:uid="{00000000-0005-0000-0000-0000540A0000}"/>
    <cellStyle name="스타일 18" xfId="2641" xr:uid="{00000000-0005-0000-0000-0000550A0000}"/>
    <cellStyle name="스타일 19" xfId="2642" xr:uid="{00000000-0005-0000-0000-0000560A0000}"/>
    <cellStyle name="스타일 2" xfId="2643" xr:uid="{00000000-0005-0000-0000-0000570A0000}"/>
    <cellStyle name="스타일 20" xfId="2644" xr:uid="{00000000-0005-0000-0000-0000580A0000}"/>
    <cellStyle name="스타일 21" xfId="2645" xr:uid="{00000000-0005-0000-0000-0000590A0000}"/>
    <cellStyle name="스타일 22" xfId="2646" xr:uid="{00000000-0005-0000-0000-00005A0A0000}"/>
    <cellStyle name="스타일 23" xfId="2647" xr:uid="{00000000-0005-0000-0000-00005B0A0000}"/>
    <cellStyle name="스타일 24" xfId="2648" xr:uid="{00000000-0005-0000-0000-00005C0A0000}"/>
    <cellStyle name="스타일 25" xfId="2649" xr:uid="{00000000-0005-0000-0000-00005D0A0000}"/>
    <cellStyle name="스타일 26" xfId="2650" xr:uid="{00000000-0005-0000-0000-00005E0A0000}"/>
    <cellStyle name="스타일 27" xfId="2651" xr:uid="{00000000-0005-0000-0000-00005F0A0000}"/>
    <cellStyle name="스타일 28" xfId="2652" xr:uid="{00000000-0005-0000-0000-0000600A0000}"/>
    <cellStyle name="스타일 29" xfId="2653" xr:uid="{00000000-0005-0000-0000-0000610A0000}"/>
    <cellStyle name="스타일 3" xfId="2654" xr:uid="{00000000-0005-0000-0000-0000620A0000}"/>
    <cellStyle name="스타일 30" xfId="2655" xr:uid="{00000000-0005-0000-0000-0000630A0000}"/>
    <cellStyle name="스타일 31" xfId="2656" xr:uid="{00000000-0005-0000-0000-0000640A0000}"/>
    <cellStyle name="스타일 32" xfId="2657" xr:uid="{00000000-0005-0000-0000-0000650A0000}"/>
    <cellStyle name="스타일 33" xfId="2658" xr:uid="{00000000-0005-0000-0000-0000660A0000}"/>
    <cellStyle name="스타일 34" xfId="2659" xr:uid="{00000000-0005-0000-0000-0000670A0000}"/>
    <cellStyle name="스타일 35" xfId="2660" xr:uid="{00000000-0005-0000-0000-0000680A0000}"/>
    <cellStyle name="스타일 36" xfId="2661" xr:uid="{00000000-0005-0000-0000-0000690A0000}"/>
    <cellStyle name="스타일 37" xfId="2662" xr:uid="{00000000-0005-0000-0000-00006A0A0000}"/>
    <cellStyle name="스타일 38" xfId="2663" xr:uid="{00000000-0005-0000-0000-00006B0A0000}"/>
    <cellStyle name="스타일 39" xfId="2664" xr:uid="{00000000-0005-0000-0000-00006C0A0000}"/>
    <cellStyle name="스타일 4" xfId="2665" xr:uid="{00000000-0005-0000-0000-00006D0A0000}"/>
    <cellStyle name="스타일 40" xfId="2666" xr:uid="{00000000-0005-0000-0000-00006E0A0000}"/>
    <cellStyle name="스타일 41" xfId="2667" xr:uid="{00000000-0005-0000-0000-00006F0A0000}"/>
    <cellStyle name="스타일 42" xfId="2668" xr:uid="{00000000-0005-0000-0000-0000700A0000}"/>
    <cellStyle name="스타일 43" xfId="2669" xr:uid="{00000000-0005-0000-0000-0000710A0000}"/>
    <cellStyle name="스타일 44" xfId="2670" xr:uid="{00000000-0005-0000-0000-0000720A0000}"/>
    <cellStyle name="스타일 45" xfId="2671" xr:uid="{00000000-0005-0000-0000-0000730A0000}"/>
    <cellStyle name="스타일 5" xfId="2672" xr:uid="{00000000-0005-0000-0000-0000740A0000}"/>
    <cellStyle name="스타일 6" xfId="2673" xr:uid="{00000000-0005-0000-0000-0000750A0000}"/>
    <cellStyle name="스타일 7" xfId="2674" xr:uid="{00000000-0005-0000-0000-0000760A0000}"/>
    <cellStyle name="스타일 8" xfId="2675" xr:uid="{00000000-0005-0000-0000-0000770A0000}"/>
    <cellStyle name="스타일 9" xfId="2676" xr:uid="{00000000-0005-0000-0000-0000780A0000}"/>
    <cellStyle name="안건회계법인" xfId="2677" xr:uid="{00000000-0005-0000-0000-0000790A0000}"/>
    <cellStyle name="열어본 하이퍼링크" xfId="2678" xr:uid="{00000000-0005-0000-0000-00007A0A0000}"/>
    <cellStyle name="옛체" xfId="2679" xr:uid="{00000000-0005-0000-0000-00007B0A0000}"/>
    <cellStyle name="왼쪽2" xfId="2680" xr:uid="{00000000-0005-0000-0000-00007C0A0000}"/>
    <cellStyle name="원" xfId="2681" xr:uid="{00000000-0005-0000-0000-00007D0A0000}"/>
    <cellStyle name="원_02대여금" xfId="2682" xr:uid="{00000000-0005-0000-0000-00007E0A0000}"/>
    <cellStyle name="원_02투자" xfId="2683" xr:uid="{00000000-0005-0000-0000-00007F0A0000}"/>
    <cellStyle name="원_02투자및대여금종합" xfId="2684" xr:uid="{00000000-0005-0000-0000-0000800A0000}"/>
    <cellStyle name="원_NCF6BB2F" xfId="2685" xr:uid="{00000000-0005-0000-0000-0000810A0000}"/>
    <cellStyle name="원_남양주무궁화공정표(03.08.22)" xfId="2686" xr:uid="{00000000-0005-0000-0000-0000820A0000}"/>
    <cellStyle name="원_환경1팀수주최종본" xfId="2687" xr:uid="{00000000-0005-0000-0000-0000830A0000}"/>
    <cellStyle name="일위대가" xfId="2688" xr:uid="{00000000-0005-0000-0000-0000840A0000}"/>
    <cellStyle name="자리수" xfId="2689" xr:uid="{00000000-0005-0000-0000-0000850A0000}"/>
    <cellStyle name="자리수 - 유형1" xfId="2690" xr:uid="{00000000-0005-0000-0000-0000860A0000}"/>
    <cellStyle name="자리수_견적양식(가로)" xfId="2691" xr:uid="{00000000-0005-0000-0000-0000870A0000}"/>
    <cellStyle name="자리수0" xfId="2692" xr:uid="{00000000-0005-0000-0000-0000880A0000}"/>
    <cellStyle name="제목 1(左)" xfId="2693" xr:uid="{00000000-0005-0000-0000-0000890A0000}"/>
    <cellStyle name="제목 1(中)" xfId="2694" xr:uid="{00000000-0005-0000-0000-00008A0A0000}"/>
    <cellStyle name="제목[1 줄]" xfId="2695" xr:uid="{00000000-0005-0000-0000-00008B0A0000}"/>
    <cellStyle name="제목[2줄 아래]" xfId="2696" xr:uid="{00000000-0005-0000-0000-00008C0A0000}"/>
    <cellStyle name="제목[2줄 위]" xfId="2697" xr:uid="{00000000-0005-0000-0000-00008D0A0000}"/>
    <cellStyle name="제목1" xfId="2698" xr:uid="{00000000-0005-0000-0000-00008E0A0000}"/>
    <cellStyle name="지정되지 않음" xfId="2699" xr:uid="{00000000-0005-0000-0000-00008F0A0000}"/>
    <cellStyle name="콤" xfId="2700" xr:uid="{00000000-0005-0000-0000-0000900A0000}"/>
    <cellStyle name="콤_04028적산수량집계" xfId="2701" xr:uid="{00000000-0005-0000-0000-0000910A0000}"/>
    <cellStyle name="콤_BOOKCITY(전기)" xfId="2702" xr:uid="{00000000-0005-0000-0000-0000920A0000}"/>
    <cellStyle name="콤_BOOKCITY(전기)_04028적산수량집계" xfId="2703" xr:uid="{00000000-0005-0000-0000-0000930A0000}"/>
    <cellStyle name="콤_공설운동진입(가실행)" xfId="2704" xr:uid="{00000000-0005-0000-0000-0000940A0000}"/>
    <cellStyle name="콤_공설운동진입(가실행)_04028적산수량집계" xfId="2705" xr:uid="{00000000-0005-0000-0000-0000950A0000}"/>
    <cellStyle name="콤_공설운동진입(가실행)_BOOKCITY(전기)" xfId="2706" xr:uid="{00000000-0005-0000-0000-0000960A0000}"/>
    <cellStyle name="콤_공설운동진입(가실행)_BOOKCITY(전기)_04028적산수량집계" xfId="2707" xr:uid="{00000000-0005-0000-0000-0000970A0000}"/>
    <cellStyle name="콤_공설운동진입(가실행)_사본 - 파주 북시티(이채)" xfId="2708" xr:uid="{00000000-0005-0000-0000-0000980A0000}"/>
    <cellStyle name="콤_공설운동진입(가실행)_사본 - 파주 북시티(이채)_04028적산수량집계" xfId="2709" xr:uid="{00000000-0005-0000-0000-0000990A0000}"/>
    <cellStyle name="콤_공설운동진입(가실행)_파주 BOOK CITY(통보용)" xfId="2710" xr:uid="{00000000-0005-0000-0000-00009A0A0000}"/>
    <cellStyle name="콤_공설운동진입(가실행)_파주 BOOK CITY(통보용)_04028적산수량집계" xfId="2711" xr:uid="{00000000-0005-0000-0000-00009B0A0000}"/>
    <cellStyle name="콤_공설운동진입(가실행)_파주 BOOK CITY가실행내역" xfId="2712" xr:uid="{00000000-0005-0000-0000-00009C0A0000}"/>
    <cellStyle name="콤_공설운동진입(가실행)_파주 BOOK CITY가실행내역_04028적산수량집계" xfId="2713" xr:uid="{00000000-0005-0000-0000-00009D0A0000}"/>
    <cellStyle name="콤_공설운동진입(가실행)_파주 북시티(이채)제출" xfId="2714" xr:uid="{00000000-0005-0000-0000-00009E0A0000}"/>
    <cellStyle name="콤_공설운동진입(가실행)_파주 북시티(이채)제출_04028적산수량집계" xfId="2715" xr:uid="{00000000-0005-0000-0000-00009F0A0000}"/>
    <cellStyle name="콤_공설운동진입(가실행)_파주 북시티(전체)제출(변경전)" xfId="2716" xr:uid="{00000000-0005-0000-0000-0000A00A0000}"/>
    <cellStyle name="콤_공설운동진입(가실행)_파주 북시티(전체)제출(변경전)_04028적산수량집계" xfId="2717" xr:uid="{00000000-0005-0000-0000-0000A10A0000}"/>
    <cellStyle name="콤_사본 - 파주 북시티(이채)" xfId="2718" xr:uid="{00000000-0005-0000-0000-0000A20A0000}"/>
    <cellStyle name="콤_사본 - 파주 북시티(이채)_04028적산수량집계" xfId="2719" xr:uid="{00000000-0005-0000-0000-0000A30A0000}"/>
    <cellStyle name="콤_토목내역서" xfId="2720" xr:uid="{00000000-0005-0000-0000-0000A40A0000}"/>
    <cellStyle name="콤_토목내역서_04028적산수량집계" xfId="2721" xr:uid="{00000000-0005-0000-0000-0000A50A0000}"/>
    <cellStyle name="콤_토목내역서_BOOKCITY(전기)" xfId="2722" xr:uid="{00000000-0005-0000-0000-0000A60A0000}"/>
    <cellStyle name="콤_토목내역서_BOOKCITY(전기)_04028적산수량집계" xfId="2723" xr:uid="{00000000-0005-0000-0000-0000A70A0000}"/>
    <cellStyle name="콤_토목내역서_공설운동진입(가실행)" xfId="2724" xr:uid="{00000000-0005-0000-0000-0000A80A0000}"/>
    <cellStyle name="콤_토목내역서_공설운동진입(가실행)_04028적산수량집계" xfId="2725" xr:uid="{00000000-0005-0000-0000-0000A90A0000}"/>
    <cellStyle name="콤_토목내역서_공설운동진입(가실행)_BOOKCITY(전기)" xfId="2726" xr:uid="{00000000-0005-0000-0000-0000AA0A0000}"/>
    <cellStyle name="콤_토목내역서_공설운동진입(가실행)_BOOKCITY(전기)_04028적산수량집계" xfId="2727" xr:uid="{00000000-0005-0000-0000-0000AB0A0000}"/>
    <cellStyle name="콤_토목내역서_공설운동진입(가실행)_사본 - 파주 북시티(이채)" xfId="2728" xr:uid="{00000000-0005-0000-0000-0000AC0A0000}"/>
    <cellStyle name="콤_토목내역서_공설운동진입(가실행)_사본 - 파주 북시티(이채)_04028적산수량집계" xfId="2729" xr:uid="{00000000-0005-0000-0000-0000AD0A0000}"/>
    <cellStyle name="콤_토목내역서_공설운동진입(가실행)_파주 BOOK CITY(통보용)" xfId="2730" xr:uid="{00000000-0005-0000-0000-0000AE0A0000}"/>
    <cellStyle name="콤_토목내역서_공설운동진입(가실행)_파주 BOOK CITY(통보용)_04028적산수량집계" xfId="2731" xr:uid="{00000000-0005-0000-0000-0000AF0A0000}"/>
    <cellStyle name="콤_토목내역서_공설운동진입(가실행)_파주 BOOK CITY가실행내역" xfId="2732" xr:uid="{00000000-0005-0000-0000-0000B00A0000}"/>
    <cellStyle name="콤_토목내역서_공설운동진입(가실행)_파주 BOOK CITY가실행내역_04028적산수량집계" xfId="2733" xr:uid="{00000000-0005-0000-0000-0000B10A0000}"/>
    <cellStyle name="콤_토목내역서_공설운동진입(가실행)_파주 북시티(이채)제출" xfId="2734" xr:uid="{00000000-0005-0000-0000-0000B20A0000}"/>
    <cellStyle name="콤_토목내역서_공설운동진입(가실행)_파주 북시티(이채)제출_04028적산수량집계" xfId="2735" xr:uid="{00000000-0005-0000-0000-0000B30A0000}"/>
    <cellStyle name="콤_토목내역서_공설운동진입(가실행)_파주 북시티(전체)제출(변경전)" xfId="2736" xr:uid="{00000000-0005-0000-0000-0000B40A0000}"/>
    <cellStyle name="콤_토목내역서_공설운동진입(가실행)_파주 북시티(전체)제출(변경전)_04028적산수량집계" xfId="2737" xr:uid="{00000000-0005-0000-0000-0000B50A0000}"/>
    <cellStyle name="콤_토목내역서_사본 - 파주 북시티(이채)" xfId="2738" xr:uid="{00000000-0005-0000-0000-0000B60A0000}"/>
    <cellStyle name="콤_토목내역서_사본 - 파주 북시티(이채)_04028적산수량집계" xfId="2739" xr:uid="{00000000-0005-0000-0000-0000B70A0000}"/>
    <cellStyle name="콤_토목내역서_파주 BOOK CITY(통보용)" xfId="2740" xr:uid="{00000000-0005-0000-0000-0000B80A0000}"/>
    <cellStyle name="콤_토목내역서_파주 BOOK CITY(통보용)_04028적산수량집계" xfId="2741" xr:uid="{00000000-0005-0000-0000-0000B90A0000}"/>
    <cellStyle name="콤_토목내역서_파주 BOOK CITY가실행내역" xfId="2742" xr:uid="{00000000-0005-0000-0000-0000BA0A0000}"/>
    <cellStyle name="콤_토목내역서_파주 BOOK CITY가실행내역_04028적산수량집계" xfId="2743" xr:uid="{00000000-0005-0000-0000-0000BB0A0000}"/>
    <cellStyle name="콤_토목내역서_파주 북시티(이채)제출" xfId="2744" xr:uid="{00000000-0005-0000-0000-0000BC0A0000}"/>
    <cellStyle name="콤_토목내역서_파주 북시티(이채)제출_04028적산수량집계" xfId="2745" xr:uid="{00000000-0005-0000-0000-0000BD0A0000}"/>
    <cellStyle name="콤_토목내역서_파주 북시티(전체)제출(변경전)" xfId="2746" xr:uid="{00000000-0005-0000-0000-0000BE0A0000}"/>
    <cellStyle name="콤_토목내역서_파주 북시티(전체)제출(변경전)_04028적산수량집계" xfId="2747" xr:uid="{00000000-0005-0000-0000-0000BF0A0000}"/>
    <cellStyle name="콤_파주 BOOK CITY(통보용)" xfId="2748" xr:uid="{00000000-0005-0000-0000-0000C00A0000}"/>
    <cellStyle name="콤_파주 BOOK CITY(통보용)_04028적산수량집계" xfId="2749" xr:uid="{00000000-0005-0000-0000-0000C10A0000}"/>
    <cellStyle name="콤_파주 BOOK CITY가실행내역" xfId="2750" xr:uid="{00000000-0005-0000-0000-0000C20A0000}"/>
    <cellStyle name="콤_파주 BOOK CITY가실행내역_04028적산수량집계" xfId="2751" xr:uid="{00000000-0005-0000-0000-0000C30A0000}"/>
    <cellStyle name="콤_파주 북시티(이채)제출" xfId="2752" xr:uid="{00000000-0005-0000-0000-0000C40A0000}"/>
    <cellStyle name="콤_파주 북시티(이채)제출_04028적산수량집계" xfId="2753" xr:uid="{00000000-0005-0000-0000-0000C50A0000}"/>
    <cellStyle name="콤_파주 북시티(전체)제출(변경전)" xfId="2754" xr:uid="{00000000-0005-0000-0000-0000C60A0000}"/>
    <cellStyle name="콤_파주 북시티(전체)제출(변경전)_04028적산수량집계" xfId="2755" xr:uid="{00000000-0005-0000-0000-0000C70A0000}"/>
    <cellStyle name="콤냡?&lt;_x000f_$??: `1_1 " xfId="2756" xr:uid="{00000000-0005-0000-0000-0000C80A0000}"/>
    <cellStyle name="콤마" xfId="2757" xr:uid="{00000000-0005-0000-0000-0000C90A0000}"/>
    <cellStyle name="콤마 [" xfId="2758" xr:uid="{00000000-0005-0000-0000-0000CA0A0000}"/>
    <cellStyle name="콤마 [#]" xfId="2759" xr:uid="{00000000-0005-0000-0000-0000CB0A0000}"/>
    <cellStyle name="콤마 []" xfId="2760" xr:uid="{00000000-0005-0000-0000-0000CC0A0000}"/>
    <cellStyle name="콤마 [0]" xfId="2761" xr:uid="{00000000-0005-0000-0000-0000CD0A0000}"/>
    <cellStyle name="콤마 [2]" xfId="2762" xr:uid="{00000000-0005-0000-0000-0000CE0A0000}"/>
    <cellStyle name="콤마 [금액]" xfId="2763" xr:uid="{00000000-0005-0000-0000-0000CF0A0000}"/>
    <cellStyle name="콤마 [소수]" xfId="2764" xr:uid="{00000000-0005-0000-0000-0000D00A0000}"/>
    <cellStyle name="콤마 [수량]" xfId="2765" xr:uid="{00000000-0005-0000-0000-0000D10A0000}"/>
    <cellStyle name="콤마 1" xfId="2766" xr:uid="{00000000-0005-0000-0000-0000D20A0000}"/>
    <cellStyle name="콤마[ ]" xfId="2767" xr:uid="{00000000-0005-0000-0000-0000D30A0000}"/>
    <cellStyle name="콤마[*]" xfId="2768" xr:uid="{00000000-0005-0000-0000-0000D40A0000}"/>
    <cellStyle name="콤마[,]" xfId="2769" xr:uid="{00000000-0005-0000-0000-0000D50A0000}"/>
    <cellStyle name="콤마[.]" xfId="2770" xr:uid="{00000000-0005-0000-0000-0000D60A0000}"/>
    <cellStyle name="콤마[0]" xfId="2771" xr:uid="{00000000-0005-0000-0000-0000D70A0000}"/>
    <cellStyle name="콤마_  종  합  " xfId="2772" xr:uid="{00000000-0005-0000-0000-0000D80A0000}"/>
    <cellStyle name="통" xfId="2773" xr:uid="{00000000-0005-0000-0000-0000D90A0000}"/>
    <cellStyle name="통_04028적산수량집계" xfId="2774" xr:uid="{00000000-0005-0000-0000-0000DA0A0000}"/>
    <cellStyle name="통_BOOKCITY(전기)" xfId="2775" xr:uid="{00000000-0005-0000-0000-0000DB0A0000}"/>
    <cellStyle name="통_BOOKCITY(전기)_04028적산수량집계" xfId="2776" xr:uid="{00000000-0005-0000-0000-0000DC0A0000}"/>
    <cellStyle name="통_공설운동진입(가실행)" xfId="2777" xr:uid="{00000000-0005-0000-0000-0000DD0A0000}"/>
    <cellStyle name="통_공설운동진입(가실행)_04028적산수량집계" xfId="2778" xr:uid="{00000000-0005-0000-0000-0000DE0A0000}"/>
    <cellStyle name="통_공설운동진입(가실행)_BOOKCITY(전기)" xfId="2779" xr:uid="{00000000-0005-0000-0000-0000DF0A0000}"/>
    <cellStyle name="통_공설운동진입(가실행)_BOOKCITY(전기)_04028적산수량집계" xfId="2780" xr:uid="{00000000-0005-0000-0000-0000E00A0000}"/>
    <cellStyle name="통_공설운동진입(가실행)_사본 - 파주 북시티(이채)" xfId="2781" xr:uid="{00000000-0005-0000-0000-0000E10A0000}"/>
    <cellStyle name="통_공설운동진입(가실행)_사본 - 파주 북시티(이채)_04028적산수량집계" xfId="2782" xr:uid="{00000000-0005-0000-0000-0000E20A0000}"/>
    <cellStyle name="통_공설운동진입(가실행)_파주 BOOK CITY(통보용)" xfId="2783" xr:uid="{00000000-0005-0000-0000-0000E30A0000}"/>
    <cellStyle name="통_공설운동진입(가실행)_파주 BOOK CITY(통보용)_04028적산수량집계" xfId="2784" xr:uid="{00000000-0005-0000-0000-0000E40A0000}"/>
    <cellStyle name="통_공설운동진입(가실행)_파주 BOOK CITY가실행내역" xfId="2785" xr:uid="{00000000-0005-0000-0000-0000E50A0000}"/>
    <cellStyle name="통_공설운동진입(가실행)_파주 BOOK CITY가실행내역_04028적산수량집계" xfId="2786" xr:uid="{00000000-0005-0000-0000-0000E60A0000}"/>
    <cellStyle name="통_공설운동진입(가실행)_파주 북시티(이채)제출" xfId="2787" xr:uid="{00000000-0005-0000-0000-0000E70A0000}"/>
    <cellStyle name="통_공설운동진입(가실행)_파주 북시티(이채)제출_04028적산수량집계" xfId="2788" xr:uid="{00000000-0005-0000-0000-0000E80A0000}"/>
    <cellStyle name="통_공설운동진입(가실행)_파주 북시티(전체)제출(변경전)" xfId="2789" xr:uid="{00000000-0005-0000-0000-0000E90A0000}"/>
    <cellStyle name="통_공설운동진입(가실행)_파주 북시티(전체)제출(변경전)_04028적산수량집계" xfId="2790" xr:uid="{00000000-0005-0000-0000-0000EA0A0000}"/>
    <cellStyle name="통_사본 - 파주 북시티(이채)" xfId="2791" xr:uid="{00000000-0005-0000-0000-0000EB0A0000}"/>
    <cellStyle name="통_사본 - 파주 북시티(이채)_04028적산수량집계" xfId="2792" xr:uid="{00000000-0005-0000-0000-0000EC0A0000}"/>
    <cellStyle name="통_토목내역서" xfId="2793" xr:uid="{00000000-0005-0000-0000-0000ED0A0000}"/>
    <cellStyle name="통_토목내역서_04028적산수량집계" xfId="2794" xr:uid="{00000000-0005-0000-0000-0000EE0A0000}"/>
    <cellStyle name="통_토목내역서_BOOKCITY(전기)" xfId="2795" xr:uid="{00000000-0005-0000-0000-0000EF0A0000}"/>
    <cellStyle name="통_토목내역서_BOOKCITY(전기)_04028적산수량집계" xfId="2796" xr:uid="{00000000-0005-0000-0000-0000F00A0000}"/>
    <cellStyle name="통_토목내역서_공설운동진입(가실행)" xfId="2797" xr:uid="{00000000-0005-0000-0000-0000F10A0000}"/>
    <cellStyle name="통_토목내역서_공설운동진입(가실행)_04028적산수량집계" xfId="2798" xr:uid="{00000000-0005-0000-0000-0000F20A0000}"/>
    <cellStyle name="통_토목내역서_공설운동진입(가실행)_BOOKCITY(전기)" xfId="2799" xr:uid="{00000000-0005-0000-0000-0000F30A0000}"/>
    <cellStyle name="통_토목내역서_공설운동진입(가실행)_BOOKCITY(전기)_04028적산수량집계" xfId="2800" xr:uid="{00000000-0005-0000-0000-0000F40A0000}"/>
    <cellStyle name="통_토목내역서_공설운동진입(가실행)_사본 - 파주 북시티(이채)" xfId="2801" xr:uid="{00000000-0005-0000-0000-0000F50A0000}"/>
    <cellStyle name="통_토목내역서_공설운동진입(가실행)_사본 - 파주 북시티(이채)_04028적산수량집계" xfId="2802" xr:uid="{00000000-0005-0000-0000-0000F60A0000}"/>
    <cellStyle name="통_토목내역서_공설운동진입(가실행)_파주 BOOK CITY(통보용)" xfId="2803" xr:uid="{00000000-0005-0000-0000-0000F70A0000}"/>
    <cellStyle name="통_토목내역서_공설운동진입(가실행)_파주 BOOK CITY(통보용)_04028적산수량집계" xfId="2804" xr:uid="{00000000-0005-0000-0000-0000F80A0000}"/>
    <cellStyle name="통_토목내역서_공설운동진입(가실행)_파주 BOOK CITY가실행내역" xfId="2805" xr:uid="{00000000-0005-0000-0000-0000F90A0000}"/>
    <cellStyle name="통_토목내역서_공설운동진입(가실행)_파주 BOOK CITY가실행내역_04028적산수량집계" xfId="2806" xr:uid="{00000000-0005-0000-0000-0000FA0A0000}"/>
    <cellStyle name="통_토목내역서_공설운동진입(가실행)_파주 북시티(이채)제출" xfId="2807" xr:uid="{00000000-0005-0000-0000-0000FB0A0000}"/>
    <cellStyle name="통_토목내역서_공설운동진입(가실행)_파주 북시티(이채)제출_04028적산수량집계" xfId="2808" xr:uid="{00000000-0005-0000-0000-0000FC0A0000}"/>
    <cellStyle name="통_토목내역서_공설운동진입(가실행)_파주 북시티(전체)제출(변경전)" xfId="2809" xr:uid="{00000000-0005-0000-0000-0000FD0A0000}"/>
    <cellStyle name="통_토목내역서_공설운동진입(가실행)_파주 북시티(전체)제출(변경전)_04028적산수량집계" xfId="2810" xr:uid="{00000000-0005-0000-0000-0000FE0A0000}"/>
    <cellStyle name="통_토목내역서_사본 - 파주 북시티(이채)" xfId="2811" xr:uid="{00000000-0005-0000-0000-0000FF0A0000}"/>
    <cellStyle name="통_토목내역서_사본 - 파주 북시티(이채)_04028적산수량집계" xfId="2812" xr:uid="{00000000-0005-0000-0000-0000000B0000}"/>
    <cellStyle name="통_토목내역서_파주 BOOK CITY(통보용)" xfId="2813" xr:uid="{00000000-0005-0000-0000-0000010B0000}"/>
    <cellStyle name="통_토목내역서_파주 BOOK CITY(통보용)_04028적산수량집계" xfId="2814" xr:uid="{00000000-0005-0000-0000-0000020B0000}"/>
    <cellStyle name="통_토목내역서_파주 BOOK CITY가실행내역" xfId="2815" xr:uid="{00000000-0005-0000-0000-0000030B0000}"/>
    <cellStyle name="통_토목내역서_파주 BOOK CITY가실행내역_04028적산수량집계" xfId="2816" xr:uid="{00000000-0005-0000-0000-0000040B0000}"/>
    <cellStyle name="통_토목내역서_파주 북시티(이채)제출" xfId="2817" xr:uid="{00000000-0005-0000-0000-0000050B0000}"/>
    <cellStyle name="통_토목내역서_파주 북시티(이채)제출_04028적산수량집계" xfId="2818" xr:uid="{00000000-0005-0000-0000-0000060B0000}"/>
    <cellStyle name="통_토목내역서_파주 북시티(전체)제출(변경전)" xfId="2819" xr:uid="{00000000-0005-0000-0000-0000070B0000}"/>
    <cellStyle name="통_토목내역서_파주 북시티(전체)제출(변경전)_04028적산수량집계" xfId="2820" xr:uid="{00000000-0005-0000-0000-0000080B0000}"/>
    <cellStyle name="통_파주 BOOK CITY(통보용)" xfId="2821" xr:uid="{00000000-0005-0000-0000-0000090B0000}"/>
    <cellStyle name="통_파주 BOOK CITY(통보용)_04028적산수량집계" xfId="2822" xr:uid="{00000000-0005-0000-0000-00000A0B0000}"/>
    <cellStyle name="통_파주 BOOK CITY가실행내역" xfId="2823" xr:uid="{00000000-0005-0000-0000-00000B0B0000}"/>
    <cellStyle name="통_파주 BOOK CITY가실행내역_04028적산수량집계" xfId="2824" xr:uid="{00000000-0005-0000-0000-00000C0B0000}"/>
    <cellStyle name="통_파주 북시티(이채)제출" xfId="2825" xr:uid="{00000000-0005-0000-0000-00000D0B0000}"/>
    <cellStyle name="통_파주 북시티(이채)제출_04028적산수량집계" xfId="2826" xr:uid="{00000000-0005-0000-0000-00000E0B0000}"/>
    <cellStyle name="통_파주 북시티(전체)제출(변경전)" xfId="2827" xr:uid="{00000000-0005-0000-0000-00000F0B0000}"/>
    <cellStyle name="통_파주 북시티(전체)제출(변경전)_04028적산수량집계" xfId="2828" xr:uid="{00000000-0005-0000-0000-0000100B0000}"/>
    <cellStyle name="통화 [" xfId="2829" xr:uid="{00000000-0005-0000-0000-0000110B0000}"/>
    <cellStyle name="퍼센트" xfId="2830" xr:uid="{00000000-0005-0000-0000-0000120B0000}"/>
    <cellStyle name="표" xfId="2831" xr:uid="{00000000-0005-0000-0000-0000130B0000}"/>
    <cellStyle name="표_04028적산수량집계" xfId="2832" xr:uid="{00000000-0005-0000-0000-0000140B0000}"/>
    <cellStyle name="표_BOOKCITY(전기)" xfId="2833" xr:uid="{00000000-0005-0000-0000-0000150B0000}"/>
    <cellStyle name="표_BOOKCITY(전기)_04028적산수량집계" xfId="2834" xr:uid="{00000000-0005-0000-0000-0000160B0000}"/>
    <cellStyle name="표_공설운동진입(가실행)" xfId="2835" xr:uid="{00000000-0005-0000-0000-0000170B0000}"/>
    <cellStyle name="표_공설운동진입(가실행)_04028적산수량집계" xfId="2836" xr:uid="{00000000-0005-0000-0000-0000180B0000}"/>
    <cellStyle name="표_공설운동진입(가실행)_BOOKCITY(전기)" xfId="2837" xr:uid="{00000000-0005-0000-0000-0000190B0000}"/>
    <cellStyle name="표_공설운동진입(가실행)_BOOKCITY(전기)_04028적산수량집계" xfId="2838" xr:uid="{00000000-0005-0000-0000-00001A0B0000}"/>
    <cellStyle name="표_공설운동진입(가실행)_사본 - 파주 북시티(이채)" xfId="2839" xr:uid="{00000000-0005-0000-0000-00001B0B0000}"/>
    <cellStyle name="표_공설운동진입(가실행)_사본 - 파주 북시티(이채)_04028적산수량집계" xfId="2840" xr:uid="{00000000-0005-0000-0000-00001C0B0000}"/>
    <cellStyle name="표_공설운동진입(가실행)_파주 BOOK CITY(통보용)" xfId="2841" xr:uid="{00000000-0005-0000-0000-00001D0B0000}"/>
    <cellStyle name="표_공설운동진입(가실행)_파주 BOOK CITY(통보용)_04028적산수량집계" xfId="2842" xr:uid="{00000000-0005-0000-0000-00001E0B0000}"/>
    <cellStyle name="표_공설운동진입(가실행)_파주 BOOK CITY가실행내역" xfId="2843" xr:uid="{00000000-0005-0000-0000-00001F0B0000}"/>
    <cellStyle name="표_공설운동진입(가실행)_파주 BOOK CITY가실행내역_04028적산수량집계" xfId="2844" xr:uid="{00000000-0005-0000-0000-0000200B0000}"/>
    <cellStyle name="표_공설운동진입(가실행)_파주 북시티(이채)제출" xfId="2845" xr:uid="{00000000-0005-0000-0000-0000210B0000}"/>
    <cellStyle name="표_공설운동진입(가실행)_파주 북시티(이채)제출_04028적산수량집계" xfId="2846" xr:uid="{00000000-0005-0000-0000-0000220B0000}"/>
    <cellStyle name="표_공설운동진입(가실행)_파주 북시티(전체)제출(변경전)" xfId="2847" xr:uid="{00000000-0005-0000-0000-0000230B0000}"/>
    <cellStyle name="표_공설운동진입(가실행)_파주 북시티(전체)제출(변경전)_04028적산수량집계" xfId="2848" xr:uid="{00000000-0005-0000-0000-0000240B0000}"/>
    <cellStyle name="표_사본 - 파주 북시티(이채)" xfId="2849" xr:uid="{00000000-0005-0000-0000-0000250B0000}"/>
    <cellStyle name="표_사본 - 파주 북시티(이채)_04028적산수량집계" xfId="2850" xr:uid="{00000000-0005-0000-0000-0000260B0000}"/>
    <cellStyle name="표_토목내역서" xfId="2851" xr:uid="{00000000-0005-0000-0000-0000270B0000}"/>
    <cellStyle name="표_토목내역서_04028적산수량집계" xfId="2852" xr:uid="{00000000-0005-0000-0000-0000280B0000}"/>
    <cellStyle name="표_토목내역서_BOOKCITY(전기)" xfId="2853" xr:uid="{00000000-0005-0000-0000-0000290B0000}"/>
    <cellStyle name="표_토목내역서_BOOKCITY(전기)_04028적산수량집계" xfId="2854" xr:uid="{00000000-0005-0000-0000-00002A0B0000}"/>
    <cellStyle name="표_토목내역서_공설운동진입(가실행)" xfId="2855" xr:uid="{00000000-0005-0000-0000-00002B0B0000}"/>
    <cellStyle name="표_토목내역서_공설운동진입(가실행)_04028적산수량집계" xfId="2856" xr:uid="{00000000-0005-0000-0000-00002C0B0000}"/>
    <cellStyle name="표_토목내역서_공설운동진입(가실행)_BOOKCITY(전기)" xfId="2857" xr:uid="{00000000-0005-0000-0000-00002D0B0000}"/>
    <cellStyle name="표_토목내역서_공설운동진입(가실행)_BOOKCITY(전기)_04028적산수량집계" xfId="2858" xr:uid="{00000000-0005-0000-0000-00002E0B0000}"/>
    <cellStyle name="표_토목내역서_공설운동진입(가실행)_사본 - 파주 북시티(이채)" xfId="2859" xr:uid="{00000000-0005-0000-0000-00002F0B0000}"/>
    <cellStyle name="표_토목내역서_공설운동진입(가실행)_사본 - 파주 북시티(이채)_04028적산수량집계" xfId="2860" xr:uid="{00000000-0005-0000-0000-0000300B0000}"/>
    <cellStyle name="표_토목내역서_공설운동진입(가실행)_파주 BOOK CITY(통보용)" xfId="2861" xr:uid="{00000000-0005-0000-0000-0000310B0000}"/>
    <cellStyle name="표_토목내역서_공설운동진입(가실행)_파주 BOOK CITY(통보용)_04028적산수량집계" xfId="2862" xr:uid="{00000000-0005-0000-0000-0000320B0000}"/>
    <cellStyle name="표_토목내역서_공설운동진입(가실행)_파주 BOOK CITY가실행내역" xfId="2863" xr:uid="{00000000-0005-0000-0000-0000330B0000}"/>
    <cellStyle name="표_토목내역서_공설운동진입(가실행)_파주 BOOK CITY가실행내역_04028적산수량집계" xfId="2864" xr:uid="{00000000-0005-0000-0000-0000340B0000}"/>
    <cellStyle name="표_토목내역서_공설운동진입(가실행)_파주 북시티(이채)제출" xfId="2865" xr:uid="{00000000-0005-0000-0000-0000350B0000}"/>
    <cellStyle name="표_토목내역서_공설운동진입(가실행)_파주 북시티(이채)제출_04028적산수량집계" xfId="2866" xr:uid="{00000000-0005-0000-0000-0000360B0000}"/>
    <cellStyle name="표_토목내역서_공설운동진입(가실행)_파주 북시티(전체)제출(변경전)" xfId="2867" xr:uid="{00000000-0005-0000-0000-0000370B0000}"/>
    <cellStyle name="표_토목내역서_공설운동진입(가실행)_파주 북시티(전체)제출(변경전)_04028적산수량집계" xfId="2868" xr:uid="{00000000-0005-0000-0000-0000380B0000}"/>
    <cellStyle name="표_토목내역서_사본 - 파주 북시티(이채)" xfId="2869" xr:uid="{00000000-0005-0000-0000-0000390B0000}"/>
    <cellStyle name="표_토목내역서_사본 - 파주 북시티(이채)_04028적산수량집계" xfId="2870" xr:uid="{00000000-0005-0000-0000-00003A0B0000}"/>
    <cellStyle name="표_토목내역서_파주 BOOK CITY(통보용)" xfId="2871" xr:uid="{00000000-0005-0000-0000-00003B0B0000}"/>
    <cellStyle name="표_토목내역서_파주 BOOK CITY(통보용)_04028적산수량집계" xfId="2872" xr:uid="{00000000-0005-0000-0000-00003C0B0000}"/>
    <cellStyle name="표_토목내역서_파주 BOOK CITY가실행내역" xfId="2873" xr:uid="{00000000-0005-0000-0000-00003D0B0000}"/>
    <cellStyle name="표_토목내역서_파주 BOOK CITY가실행내역_04028적산수량집계" xfId="2874" xr:uid="{00000000-0005-0000-0000-00003E0B0000}"/>
    <cellStyle name="표_토목내역서_파주 북시티(이채)제출" xfId="2875" xr:uid="{00000000-0005-0000-0000-00003F0B0000}"/>
    <cellStyle name="표_토목내역서_파주 북시티(이채)제출_04028적산수량집계" xfId="2876" xr:uid="{00000000-0005-0000-0000-0000400B0000}"/>
    <cellStyle name="표_토목내역서_파주 북시티(전체)제출(변경전)" xfId="2877" xr:uid="{00000000-0005-0000-0000-0000410B0000}"/>
    <cellStyle name="표_토목내역서_파주 북시티(전체)제출(변경전)_04028적산수량집계" xfId="2878" xr:uid="{00000000-0005-0000-0000-0000420B0000}"/>
    <cellStyle name="표_파주 BOOK CITY(통보용)" xfId="2879" xr:uid="{00000000-0005-0000-0000-0000430B0000}"/>
    <cellStyle name="표_파주 BOOK CITY(통보용)_04028적산수량집계" xfId="2880" xr:uid="{00000000-0005-0000-0000-0000440B0000}"/>
    <cellStyle name="표_파주 BOOK CITY가실행내역" xfId="2881" xr:uid="{00000000-0005-0000-0000-0000450B0000}"/>
    <cellStyle name="표_파주 BOOK CITY가실행내역_04028적산수량집계" xfId="2882" xr:uid="{00000000-0005-0000-0000-0000460B0000}"/>
    <cellStyle name="표_파주 북시티(이채)제출" xfId="2883" xr:uid="{00000000-0005-0000-0000-0000470B0000}"/>
    <cellStyle name="표_파주 북시티(이채)제출_04028적산수량집계" xfId="2884" xr:uid="{00000000-0005-0000-0000-0000480B0000}"/>
    <cellStyle name="표_파주 북시티(전체)제출(변경전)" xfId="2885" xr:uid="{00000000-0005-0000-0000-0000490B0000}"/>
    <cellStyle name="표_파주 북시티(전체)제출(변경전)_04028적산수량집계" xfId="2886" xr:uid="{00000000-0005-0000-0000-00004A0B0000}"/>
    <cellStyle name="표머릿글(上)" xfId="2887" xr:uid="{00000000-0005-0000-0000-00004B0B0000}"/>
    <cellStyle name="표머릿글(中)" xfId="2888" xr:uid="{00000000-0005-0000-0000-00004C0B0000}"/>
    <cellStyle name="표머릿글(下)" xfId="2889" xr:uid="{00000000-0005-0000-0000-00004D0B0000}"/>
    <cellStyle name="표준" xfId="0" builtinId="0"/>
    <cellStyle name="표준 2" xfId="2890" xr:uid="{00000000-0005-0000-0000-00004F0B0000}"/>
    <cellStyle name="표준 2 2" xfId="2907" xr:uid="{00000000-0005-0000-0000-0000500B0000}"/>
    <cellStyle name="표준 2 32" xfId="2900" xr:uid="{00000000-0005-0000-0000-0000510B0000}"/>
    <cellStyle name="표준 28" xfId="2905" xr:uid="{00000000-0005-0000-0000-0000520B0000}"/>
    <cellStyle name="표준 3" xfId="2891" xr:uid="{00000000-0005-0000-0000-0000530B0000}"/>
    <cellStyle name="표준 3 2" xfId="2902" xr:uid="{00000000-0005-0000-0000-0000540B0000}"/>
    <cellStyle name="표준 3 2 2" xfId="2901" xr:uid="{00000000-0005-0000-0000-0000550B0000}"/>
    <cellStyle name="표준 4" xfId="2892" xr:uid="{00000000-0005-0000-0000-0000560B0000}"/>
    <cellStyle name="표준 5" xfId="2893" xr:uid="{00000000-0005-0000-0000-0000570B0000}"/>
    <cellStyle name="標準_Akia(F）-8" xfId="2894" xr:uid="{00000000-0005-0000-0000-0000580B0000}"/>
    <cellStyle name="표준_NY-FORM 2 2" xfId="2909" xr:uid="{00000000-0005-0000-0000-0000590B0000}"/>
    <cellStyle name="표준1" xfId="2895" xr:uid="{00000000-0005-0000-0000-00005A0B0000}"/>
    <cellStyle name="표쥰" xfId="2896" xr:uid="{00000000-0005-0000-0000-00005B0B0000}"/>
    <cellStyle name="합산" xfId="2897" xr:uid="{00000000-0005-0000-0000-00005C0B0000}"/>
    <cellStyle name="화폐기호" xfId="2898" xr:uid="{00000000-0005-0000-0000-00005D0B0000}"/>
    <cellStyle name="화폐기호0" xfId="2899" xr:uid="{00000000-0005-0000-0000-00005E0B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4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20</xdr:row>
      <xdr:rowOff>0</xdr:rowOff>
    </xdr:from>
    <xdr:ext cx="1262684" cy="0"/>
    <xdr:pic>
      <xdr:nvPicPr>
        <xdr:cNvPr id="2" name="Picture 1" descr="IDNC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2800350</xdr:colOff>
      <xdr:row>20</xdr:row>
      <xdr:rowOff>0</xdr:rowOff>
    </xdr:from>
    <xdr:ext cx="1262684" cy="0"/>
    <xdr:pic>
      <xdr:nvPicPr>
        <xdr:cNvPr id="3" name="Picture 1" descr="IDNC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032;&#51221;\C\&#44277;&#47924;&#50629;&#47924;\&#45824;&#48376;&#49324;\&#44148;&#52629;&#49884;&#44277;&#54016;%20&#44277;&#49324;&#54788;&#54889;&#48372;&#44256;\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8177;&#44284;&#51109;\EDATA\SINGLE\OFFICE40\temp\&#50689;&#51333;&#46020;IBC&#49892;&#54665;&#44208;&#511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ed1\need1%20F\&#48317;&#49328;%20&#50668;&#51032;&#46020;M.H\3&#52789;%20&#49888;&#47548;&#46041;\&#45768;&#46300;&#51068;&#51648;\Mine\&#47084;&#49884;&#50500;\&#54620;&#44397;&#45824;&#49324;&#44288;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1652;-pc\f\&#54532;&#47196;&#51229;&#53944;\00.&#54060;&#50500;&#49884;&#50500;&#54168;&#51060;&#54140;.&#50976;&#52404;,&#51064;&#48260;&#53552;%20&#51204;&#52404;&#51652;&#45800;\2001&#45380;%20&#51064;&#48260;&#53552;&#50752;%20&#50976;&#52404;\FDFAN2-3,&#49884;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1652;-pc\f\WINDOWS\&#48148;&#53461;%20&#54868;&#47732;\Everland\Halla\HALIDF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Excel&#44204;&#51201;\G\Good%20Morning%20&#51613;&#44428;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148;&#52629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51648;&#54840;Docu\4.&#44592;&#53440;\2.&#50577;&#49885;\&#51473;&#50836;&#54620;%20&#50577;&#49885;\@&#54364;&#51456;&#50577;&#49885;\&#50577;&#49885;001-@&#54364;&#51456;&#50577;&#49885;.x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849;&#54872;\C\MSOFFICE\EXCEL\YOON\&#51473;&#51216;&#49324;&#50629;\&#50629;&#52404;F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1\EB_1\1KON\YANGSIK\GAEYOXL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SOFFICE/EXCEL/YOON/&#51473;&#51216;&#49324;&#50629;/&#50629;&#52404;FIX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44608;&#50857;&#44592;\&#50641;&#49472;\GUMI4B2\&#44396;&#48120;4&#45800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457;&#49340;\&#44277;&#50976;\JABO\O12060\INFORM\MYENGBU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_EST\EST\My%20Documents\&#51077;&#52272;\&#48264;&#50689;&#47196;\&#47924;&#50504;&#54616;&#49688;\&#49892;&#54665;(1)\&#45236;&#50669;&#49436;(1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\APT&#51088;&#47308;\&#50976;&#47548;&#53080;&#4602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4788;\MY%20DOCUMENTS\MSOFFICE\EXCEL\YOON\&#51473;&#51216;&#49324;&#50629;\&#50629;&#52404;FIX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632;&#44600;\E\KBLEE\&#44592;&#53440;\&#54364;&#51456;\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44204;&#51201;&#49892;\&#44592;&#51456;\&#44060;&#47029;&#44204;&#51201;\APT\FORM\970715&#50577;&#4988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4805;&#49453;\C\My%20Documents\My%20Documents\&#44368;&#48372;&#51613;&#44428;\LOTUS\&#44144;&#51228;&#46020;\&#44144;&#51228;&#460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473;&#50669;&#54924;&#51032;/96&#45380;10&#50900;/&#44288;&#47532;&#48376;&#48512;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&#51077;&#52272;/&#48264;&#50689;&#47196;/&#47924;&#50504;&#54616;&#49688;/&#49892;&#54665;(1)/&#45236;&#50669;&#49436;(1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51077;&#52272;&#45236;&#50669;\&#44592;&#50500;&#45824;&#44368;\&#44592;&#50500;&#45824;&#4436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"/>
      <sheetName val="목표세부명세"/>
      <sheetName val="4월실적"/>
      <sheetName val="자동제어"/>
      <sheetName val="예가표"/>
      <sheetName val="시멘트"/>
      <sheetName val="노임이"/>
      <sheetName val="4.공사별"/>
      <sheetName val="실적공사"/>
      <sheetName val="재료"/>
      <sheetName val="6공구(당초)"/>
      <sheetName val="전선 및 전선관"/>
      <sheetName val="식재"/>
      <sheetName val="시설물 "/>
      <sheetName val="7 (2)"/>
      <sheetName val="노임단가"/>
      <sheetName val="내역"/>
      <sheetName val="P.M 별"/>
      <sheetName val="화전내"/>
      <sheetName val="갑지1"/>
      <sheetName val="입찰안"/>
      <sheetName val="금액내역서"/>
      <sheetName val="일반부표"/>
      <sheetName val="현장관리비"/>
      <sheetName val="c_balju"/>
      <sheetName val="Sheet1"/>
      <sheetName val="내역표지"/>
      <sheetName val="Sheet10"/>
      <sheetName val="CTEMCOST"/>
      <sheetName val="A"/>
      <sheetName val="집계표"/>
      <sheetName val="내역서"/>
      <sheetName val="장기차입금"/>
      <sheetName val="DATA"/>
      <sheetName val="계획고"/>
      <sheetName val="DATA2000"/>
      <sheetName val="유림골조"/>
      <sheetName val="도급FORM"/>
      <sheetName val="스포회원매출"/>
      <sheetName val="정부노임단가"/>
      <sheetName val="설산1.나"/>
      <sheetName val="본사S"/>
      <sheetName val="목통"/>
      <sheetName val="2단지_원가"/>
      <sheetName val="설계내역서"/>
      <sheetName val="ABUT수량-A1"/>
      <sheetName val="BREAKDOWN(철거설치)"/>
      <sheetName val="당초"/>
      <sheetName val="01"/>
      <sheetName val="연돌일위집계"/>
      <sheetName val="직원인원"/>
      <sheetName val="지급자재"/>
      <sheetName val="동선(을)"/>
      <sheetName val="물가자료"/>
      <sheetName val="TOWER 12TON"/>
      <sheetName val="TOWER 10TON"/>
      <sheetName val="수량산출서(마감)"/>
      <sheetName val="공통비총괄표"/>
      <sheetName val="Sheet2"/>
      <sheetName val="부안일위"/>
      <sheetName val="RESOURCE"/>
      <sheetName val="#REF"/>
      <sheetName val="음료실행"/>
      <sheetName val="옥외외등집계표"/>
      <sheetName val="부대공Ⅱ"/>
      <sheetName val="조직도"/>
      <sheetName val="Shape code"/>
      <sheetName val="실행철강하도"/>
      <sheetName val="화설내"/>
      <sheetName val="분류코드 이름관리"/>
      <sheetName val="잡비"/>
      <sheetName val="실행"/>
      <sheetName val="DHEQSUPT"/>
      <sheetName val="COVER"/>
      <sheetName val="총괄집계"/>
      <sheetName val="견적서"/>
      <sheetName val="표지"/>
      <sheetName val="설비원가"/>
      <sheetName val="단가"/>
      <sheetName val="TRE TABLE"/>
      <sheetName val="본사공가현황"/>
      <sheetName val="에너지동"/>
      <sheetName val="4_공사별"/>
      <sheetName val="7_(2)"/>
      <sheetName val="전선_및_전선관"/>
      <sheetName val="시설물_"/>
      <sheetName val="6PILE  (돌출)"/>
      <sheetName val="예정(3)"/>
      <sheetName val="동원(3)"/>
      <sheetName val="Y-WORK"/>
      <sheetName val="P-산#1-1(WOWA1)"/>
      <sheetName val="GAEYO"/>
      <sheetName val="실적62"/>
      <sheetName val="Equipment"/>
      <sheetName val="TL,Termination"/>
      <sheetName val="Cable,Conduit"/>
      <sheetName val="공사개요"/>
      <sheetName val="원가계산서"/>
      <sheetName val="조도계산서 (도서)"/>
      <sheetName val="전체"/>
      <sheetName val="Sheet13"/>
      <sheetName val="발전기"/>
      <sheetName val="Sheet14"/>
      <sheetName val="수량집계1"/>
      <sheetName val="수량집계2"/>
      <sheetName val="공사비예산서(토목분)"/>
      <sheetName val="주요량(96)"/>
      <sheetName val="품"/>
      <sheetName val="업무처리전"/>
      <sheetName val="금융비용"/>
      <sheetName val="도시가스현황"/>
      <sheetName val="결과조달"/>
      <sheetName val="골조시행"/>
      <sheetName val="관기성공.내"/>
      <sheetName val="갑지"/>
      <sheetName val="O＆P"/>
      <sheetName val="1공구(을)"/>
      <sheetName val="trf(36%)"/>
      <sheetName val="일위대가"/>
      <sheetName val="공통가설"/>
      <sheetName val="별표"/>
      <sheetName val="수목표준대가"/>
      <sheetName val="시설물기초"/>
      <sheetName val="기계 도급내역서"/>
      <sheetName val="대비표"/>
      <sheetName val="갑지(추정)"/>
      <sheetName val="WORK"/>
      <sheetName val="F4-F7"/>
      <sheetName val="Cash2"/>
      <sheetName val="Z"/>
      <sheetName val="단면 (2)"/>
      <sheetName val="인원현황"/>
      <sheetName val="1.토공사 수량산출 및 집계"/>
      <sheetName val="경비"/>
      <sheetName val="백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인수인계"/>
      <sheetName val="추가항목"/>
      <sheetName val="목차"/>
      <sheetName val="추가목표"/>
      <sheetName val="갑지"/>
      <sheetName val="요약"/>
      <sheetName val="대비"/>
      <sheetName val="분석"/>
      <sheetName val="금융"/>
      <sheetName val="기준"/>
      <sheetName val="공정"/>
      <sheetName val="정직"/>
      <sheetName val="임직"/>
      <sheetName val="단가"/>
      <sheetName val="보험안전"/>
      <sheetName val="안전반영"/>
      <sheetName val="제목"/>
      <sheetName val="공사수행방안"/>
      <sheetName val="교통대책내역"/>
      <sheetName val="공사개요"/>
      <sheetName val="중(1공구)"/>
      <sheetName val="중(2공구)"/>
      <sheetName val="실행(1공구)"/>
      <sheetName val="실행철강하도"/>
      <sheetName val="무늬목판넬단가분석 (2)"/>
      <sheetName val="도급액분석"/>
      <sheetName val="내역"/>
      <sheetName val="건축집계"/>
      <sheetName val="금액내역서"/>
      <sheetName val="#REF"/>
      <sheetName val="1공구(을)"/>
      <sheetName val="Sheet2"/>
      <sheetName val="타일"/>
      <sheetName val="소비자가"/>
      <sheetName val="영종도IBC실행결재"/>
      <sheetName val="하도급정산품의서"/>
      <sheetName val="집계표"/>
      <sheetName val="건축"/>
      <sheetName val="단가조사"/>
      <sheetName val="금호"/>
      <sheetName val="집계"/>
      <sheetName val="0226"/>
      <sheetName val="01"/>
      <sheetName val="SUMMARY"/>
      <sheetName val="유림골조"/>
      <sheetName val="공통부대비"/>
      <sheetName val="총괄"/>
      <sheetName val="선급금지급청구서"/>
      <sheetName val="목표세부명세"/>
      <sheetName val="공문"/>
      <sheetName val="입찰안"/>
      <sheetName val="구산초등학교"/>
      <sheetName val="인사자료총집계"/>
      <sheetName val=" 견적서"/>
      <sheetName val="220 (2)"/>
      <sheetName val="평3"/>
      <sheetName val="일위대가"/>
      <sheetName val="연령현황"/>
      <sheetName val="을-ATYPE"/>
      <sheetName val="내역서변경성원"/>
      <sheetName val="연습"/>
      <sheetName val="데이타"/>
      <sheetName val="식재인부"/>
      <sheetName val="연돌일위집계"/>
      <sheetName val="Sheet1"/>
      <sheetName val="DATA2000"/>
      <sheetName val="설산1.나"/>
      <sheetName val="본사S"/>
      <sheetName val="총물량"/>
      <sheetName val="Breakdown"/>
      <sheetName val="UnitRate"/>
      <sheetName val="금융비용"/>
      <sheetName val="남양주부대"/>
      <sheetName val="6PILE  (돌출)"/>
      <sheetName val="전기 내역서(1차)"/>
      <sheetName val="SG"/>
      <sheetName val="전기"/>
      <sheetName val="ELECTRIC"/>
      <sheetName val="SCHEDULE"/>
      <sheetName val="CTEMCOST"/>
      <sheetName val="무늬목판넬단가분석_(2)"/>
      <sheetName val="_견적서"/>
      <sheetName val="220_(2)"/>
      <sheetName val="6PILE__(돌출)"/>
      <sheetName val="전기_내역서(1차)"/>
      <sheetName val="설산1_나"/>
      <sheetName val="0.0ControlSheet"/>
      <sheetName val="부하계산서"/>
      <sheetName val="현장지지물물량"/>
      <sheetName val="정부노임단가"/>
      <sheetName val="단위세대물량"/>
      <sheetName val="물량표"/>
      <sheetName val="일위대가목차"/>
      <sheetName val="동해title"/>
      <sheetName val="총괄표"/>
      <sheetName val="교수설계"/>
      <sheetName val="공종별집계표 0단계"/>
      <sheetName val="COVER"/>
      <sheetName val="품셈TABLE"/>
      <sheetName val="Total"/>
      <sheetName val="갑지1"/>
      <sheetName val="토목내역서"/>
      <sheetName val="건축내역서"/>
      <sheetName val="기계내역서"/>
      <sheetName val="전기내역서"/>
      <sheetName val="통신내역서"/>
      <sheetName val="소방내역서"/>
      <sheetName val="수량산출"/>
      <sheetName val="A-4"/>
      <sheetName val="공사비증감"/>
      <sheetName val="시중노임단가"/>
      <sheetName val="평가데이터"/>
      <sheetName val="정산합의서"/>
      <sheetName val="Project Brief"/>
      <sheetName val="1-1"/>
      <sheetName val="간접"/>
      <sheetName val="간접비"/>
      <sheetName val="원가계산서(남측)"/>
      <sheetName val="가로등"/>
      <sheetName val="공사내역"/>
      <sheetName val="내역서"/>
      <sheetName val="설계내역서"/>
      <sheetName val="N賃率-職"/>
      <sheetName val="실행"/>
      <sheetName val="PAINT"/>
      <sheetName val="DATA"/>
      <sheetName val="개산공사비"/>
      <sheetName val="노임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PROJECT BRIEF(EX.NEW)"/>
      <sheetName val="01"/>
      <sheetName val="금융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1"/>
      <sheetName val="QH1"/>
      <sheetName val="VSC1"/>
      <sheetName val="PAY1"/>
      <sheetName val="CAL2"/>
      <sheetName val="QH2"/>
      <sheetName val="VSC2"/>
      <sheetName val="PAY2"/>
    </sheetNames>
    <sheetDataSet>
      <sheetData sheetId="0">
        <row r="10">
          <cell r="B10">
            <v>0</v>
          </cell>
          <cell r="F10">
            <v>1.3</v>
          </cell>
          <cell r="G10">
            <v>0</v>
          </cell>
        </row>
        <row r="11">
          <cell r="B11">
            <v>116</v>
          </cell>
          <cell r="F11">
            <v>0.82678842291346033</v>
          </cell>
          <cell r="G11">
            <v>3.1417960070711494E-2</v>
          </cell>
        </row>
        <row r="12">
          <cell r="B12">
            <v>232</v>
          </cell>
          <cell r="F12">
            <v>3.3071536916538413</v>
          </cell>
          <cell r="G12">
            <v>0.25134368056569195</v>
          </cell>
          <cell r="U12">
            <v>185.78390183103852</v>
          </cell>
          <cell r="V12">
            <v>185.29048276812799</v>
          </cell>
        </row>
        <row r="13">
          <cell r="B13">
            <v>348</v>
          </cell>
          <cell r="F13">
            <v>7.4410958062211439</v>
          </cell>
          <cell r="G13">
            <v>0.84828492190921023</v>
          </cell>
          <cell r="U13">
            <v>201.47678016185802</v>
          </cell>
          <cell r="V13">
            <v>200.58160393454327</v>
          </cell>
        </row>
        <row r="14">
          <cell r="B14">
            <v>464</v>
          </cell>
          <cell r="F14">
            <v>13.228614766615365</v>
          </cell>
          <cell r="G14">
            <v>2.0107494445255356</v>
          </cell>
          <cell r="U14">
            <v>216.34870719602981</v>
          </cell>
          <cell r="V14">
            <v>215.24295209134112</v>
          </cell>
        </row>
        <row r="15">
          <cell r="B15">
            <v>580</v>
          </cell>
          <cell r="F15">
            <v>20.669710572836511</v>
          </cell>
          <cell r="G15">
            <v>3.9272450088389372</v>
          </cell>
          <cell r="U15">
            <v>230.39968293355398</v>
          </cell>
          <cell r="V15">
            <v>229.27452723852159</v>
          </cell>
        </row>
        <row r="16">
          <cell r="B16">
            <v>696</v>
          </cell>
          <cell r="F16">
            <v>29.764383224884575</v>
          </cell>
          <cell r="G16">
            <v>6.7862793752736819</v>
          </cell>
          <cell r="U16">
            <v>243.62970737443035</v>
          </cell>
          <cell r="V16">
            <v>242.67632937608465</v>
          </cell>
        </row>
        <row r="17">
          <cell r="B17">
            <v>812</v>
          </cell>
          <cell r="F17">
            <v>40.51263272275957</v>
          </cell>
          <cell r="G17">
            <v>10.776360304254045</v>
          </cell>
          <cell r="U17">
            <v>256.03878051865911</v>
          </cell>
          <cell r="V17">
            <v>255.4483585040303</v>
          </cell>
        </row>
        <row r="18">
          <cell r="B18">
            <v>928</v>
          </cell>
          <cell r="F18">
            <v>52.914459066461461</v>
          </cell>
          <cell r="G18">
            <v>16.085995556204285</v>
          </cell>
          <cell r="U18">
            <v>267.62690236624019</v>
          </cell>
          <cell r="V18">
            <v>267.59061462235849</v>
          </cell>
        </row>
        <row r="19">
          <cell r="B19">
            <v>1044</v>
          </cell>
          <cell r="F19">
            <v>66.969862255990279</v>
          </cell>
          <cell r="G19">
            <v>22.903692891548676</v>
          </cell>
          <cell r="U19">
            <v>278.3940729171735</v>
          </cell>
          <cell r="V19">
            <v>279.10309773106934</v>
          </cell>
        </row>
        <row r="20">
          <cell r="B20">
            <v>1160</v>
          </cell>
          <cell r="F20">
            <v>82.678842291346044</v>
          </cell>
          <cell r="G20">
            <v>31.417960070711498</v>
          </cell>
          <cell r="U20">
            <v>288.34029217145923</v>
          </cell>
          <cell r="V20">
            <v>289.98580783016268</v>
          </cell>
        </row>
        <row r="21">
          <cell r="B21">
            <v>1276</v>
          </cell>
          <cell r="F21">
            <v>100.0413991725287</v>
          </cell>
          <cell r="G21">
            <v>41.81730485411699</v>
          </cell>
          <cell r="U21">
            <v>297.46556012909718</v>
          </cell>
          <cell r="V21">
            <v>300.23874491963869</v>
          </cell>
        </row>
        <row r="22">
          <cell r="B22">
            <v>1392</v>
          </cell>
          <cell r="F22">
            <v>119.0575328995383</v>
          </cell>
          <cell r="G22">
            <v>54.290235002189455</v>
          </cell>
          <cell r="U22">
            <v>305.76987679008744</v>
          </cell>
          <cell r="V22">
            <v>309.86190899949725</v>
          </cell>
        </row>
        <row r="23">
          <cell r="B23">
            <v>1508</v>
          </cell>
          <cell r="F23">
            <v>139.72724347237482</v>
          </cell>
          <cell r="G23">
            <v>69.025258275353153</v>
          </cell>
          <cell r="U23">
            <v>313.2532421544301</v>
          </cell>
          <cell r="V23">
            <v>318.8553000697384</v>
          </cell>
        </row>
        <row r="24">
          <cell r="B24">
            <v>1624</v>
          </cell>
          <cell r="F24">
            <v>162.05053089103828</v>
          </cell>
          <cell r="G24">
            <v>86.210882434032357</v>
          </cell>
          <cell r="U24">
            <v>319.91565622212488</v>
          </cell>
          <cell r="V24">
            <v>327.21891813036217</v>
          </cell>
        </row>
        <row r="25">
          <cell r="B25">
            <v>1740</v>
          </cell>
          <cell r="F25">
            <v>186.02739515552858</v>
          </cell>
          <cell r="G25">
            <v>106.03561523865129</v>
          </cell>
          <cell r="U25">
            <v>325.75711899317218</v>
          </cell>
          <cell r="V25">
            <v>334.95276318136854</v>
          </cell>
        </row>
        <row r="26">
          <cell r="B26">
            <v>1856</v>
          </cell>
          <cell r="F26">
            <v>211.65783626584584</v>
          </cell>
          <cell r="G26">
            <v>128.68796444963428</v>
          </cell>
          <cell r="V26">
            <v>342.05683522275746</v>
          </cell>
        </row>
        <row r="27">
          <cell r="B27">
            <v>1972</v>
          </cell>
          <cell r="F27">
            <v>238.94185422199013</v>
          </cell>
          <cell r="G27">
            <v>154.35643782740561</v>
          </cell>
          <cell r="V27">
            <v>348.53113425452898</v>
          </cell>
        </row>
        <row r="28">
          <cell r="B28">
            <v>2088</v>
          </cell>
          <cell r="F28">
            <v>267.87944902396112</v>
          </cell>
          <cell r="G28">
            <v>183.22954313238941</v>
          </cell>
          <cell r="V28">
            <v>354.37566027668305</v>
          </cell>
        </row>
        <row r="29">
          <cell r="B29">
            <v>2204</v>
          </cell>
          <cell r="F29">
            <v>298.47062067175921</v>
          </cell>
          <cell r="G29">
            <v>215.49578812501014</v>
          </cell>
          <cell r="V29">
            <v>359.59041328921978</v>
          </cell>
        </row>
        <row r="30">
          <cell r="B30">
            <v>2320</v>
          </cell>
          <cell r="F30">
            <v>330.71536916538417</v>
          </cell>
          <cell r="G30">
            <v>251.34368056569198</v>
          </cell>
        </row>
        <row r="31">
          <cell r="B31">
            <v>2436</v>
          </cell>
          <cell r="F31">
            <v>364.61369450483596</v>
          </cell>
          <cell r="G31">
            <v>290.96172821485908</v>
          </cell>
        </row>
        <row r="32">
          <cell r="B32">
            <v>2552</v>
          </cell>
          <cell r="F32">
            <v>400.1655966901148</v>
          </cell>
          <cell r="G32">
            <v>334.53843883293592</v>
          </cell>
        </row>
        <row r="33">
          <cell r="B33">
            <v>2668</v>
          </cell>
          <cell r="F33">
            <v>437.37107572122056</v>
          </cell>
          <cell r="G33">
            <v>382.26232018034676</v>
          </cell>
        </row>
        <row r="34">
          <cell r="B34">
            <v>2784</v>
          </cell>
          <cell r="F34">
            <v>476.23013159815321</v>
          </cell>
          <cell r="G34">
            <v>434.32188001751564</v>
          </cell>
        </row>
        <row r="35">
          <cell r="B35">
            <v>2900</v>
          </cell>
          <cell r="F35">
            <v>516.74276432091267</v>
          </cell>
          <cell r="G35">
            <v>490.90562610486705</v>
          </cell>
        </row>
        <row r="36">
          <cell r="B36">
            <v>3016</v>
          </cell>
        </row>
        <row r="37">
          <cell r="B37">
            <v>3132</v>
          </cell>
        </row>
        <row r="38">
          <cell r="B38">
            <v>3248</v>
          </cell>
        </row>
        <row r="39">
          <cell r="B39">
            <v>1057.4342458400429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공통가설"/>
      <sheetName val="입찰안"/>
      <sheetName val="노임이"/>
      <sheetName val="C-A(취합)파리"/>
      <sheetName val="첨부1"/>
      <sheetName val="간접"/>
      <sheetName val="집계표"/>
      <sheetName val="손익분석"/>
      <sheetName val="수입"/>
      <sheetName val="관로내역원"/>
      <sheetName val="손익"/>
      <sheetName val="현금흐름"/>
      <sheetName val="SUMMARY"/>
      <sheetName val="PAINT"/>
      <sheetName val="CTEMCOST"/>
      <sheetName val="ELECTRIC"/>
      <sheetName val="A4288"/>
      <sheetName val="자바라1"/>
      <sheetName val="SG"/>
      <sheetName val="COL"/>
      <sheetName val="수정시산표"/>
      <sheetName val="주택"/>
      <sheetName val="주택(백만원)"/>
      <sheetName val="손익기01"/>
      <sheetName val="Sheet1"/>
      <sheetName val="동선(을)"/>
      <sheetName val="신공항A-9(원가수정)"/>
      <sheetName val="KUNGDEVI"/>
      <sheetName val="전계가"/>
      <sheetName val="예가표"/>
      <sheetName val="원가계산서"/>
      <sheetName val="금액내역서"/>
      <sheetName val="인사자료총집계"/>
      <sheetName val="그래프"/>
      <sheetName val="GDP"/>
      <sheetName val="5Traffic1"/>
      <sheetName val="부문인원3"/>
      <sheetName val="설계내역서"/>
      <sheetName val="공사개요"/>
      <sheetName val="실행내역"/>
      <sheetName val="내역"/>
      <sheetName val="금융비용"/>
      <sheetName val="공통비총괄표"/>
      <sheetName val="시멘트"/>
      <sheetName val="기계경비(시간당)"/>
      <sheetName val="램머"/>
      <sheetName val="호프"/>
      <sheetName val="현장관리비"/>
      <sheetName val="수주현황2월"/>
      <sheetName val="산근"/>
      <sheetName val="여흥"/>
      <sheetName val="감독1130"/>
      <sheetName val="APT"/>
      <sheetName val="b_balju (2)"/>
      <sheetName val="b_gunmul"/>
      <sheetName val="  한국 AMP ASP-23 판매가격  "/>
      <sheetName val="금융"/>
      <sheetName val="결재인"/>
      <sheetName val="변경실행(2차) "/>
      <sheetName val="CC Down load 0716"/>
      <sheetName val="화물2팀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단가"/>
      <sheetName val="나.출고"/>
      <sheetName val="나.입고"/>
      <sheetName val="8월차잔"/>
      <sheetName val="유동성사채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공사비집계"/>
      <sheetName val="SCHEDULE"/>
      <sheetName val="ABUT수량-A1"/>
      <sheetName val="갑지(추정)"/>
      <sheetName val="견적의뢰"/>
      <sheetName val="노무비"/>
      <sheetName val="화의-현금흐름"/>
      <sheetName val="#REF"/>
      <sheetName val="유림골조"/>
      <sheetName val="기본DATA"/>
      <sheetName val="추가예산"/>
      <sheetName val="노임단가"/>
      <sheetName val="982월원안"/>
      <sheetName val="내역서"/>
      <sheetName val="TR제작사양"/>
      <sheetName val="실행철강하도"/>
      <sheetName val="재료"/>
      <sheetName val="Sheet13"/>
      <sheetName val="Sheet14"/>
      <sheetName val="회사정보"/>
      <sheetName val="MIJIBI"/>
      <sheetName val="JUCKEYK"/>
      <sheetName val="감가상각"/>
      <sheetName val="DATA"/>
      <sheetName val="실적공사"/>
      <sheetName val="업무처리전"/>
      <sheetName val="총괄내역서"/>
      <sheetName val="공통부대관리"/>
      <sheetName val="익월수주전망"/>
      <sheetName val="입찰내역서"/>
      <sheetName val="기성청구 공문"/>
      <sheetName val="IW-LIST"/>
      <sheetName val="6PILE  (돌출)"/>
      <sheetName val="방배동내역(리라)"/>
      <sheetName val="일위대가표"/>
      <sheetName val="2연암거"/>
      <sheetName val="경사수로집계표"/>
      <sheetName val="경사수로"/>
      <sheetName val="진입교량"/>
      <sheetName val="Variables"/>
      <sheetName val="제조원가 원단위 분석"/>
      <sheetName val="종합표양식(품의 &amp; 입고)_2"/>
      <sheetName val="상각스케쥴(조정)"/>
      <sheetName val="원가관리 (동월대비)"/>
      <sheetName val="요약"/>
      <sheetName val="woo(mac)"/>
      <sheetName val="중기조종사 단위단가"/>
      <sheetName val="A-4"/>
      <sheetName val="45,46"/>
      <sheetName val="980731"/>
      <sheetName val="광곡세부내역"/>
      <sheetName val="S&amp;R"/>
      <sheetName val="시산표(매출조정전)"/>
      <sheetName val="93"/>
      <sheetName val="예정(3)"/>
      <sheetName val="동원(3)"/>
      <sheetName val="토목검측서"/>
      <sheetName val="2-2.매출분석"/>
      <sheetName val="RECIMAKE"/>
      <sheetName val="A-100전제"/>
      <sheetName val="몰드시스템 리스트"/>
      <sheetName val="정비손익"/>
      <sheetName val="200"/>
      <sheetName val="MIBK원단위"/>
      <sheetName val="Proposal"/>
      <sheetName val="7 (2)"/>
      <sheetName val="SM1-09"/>
      <sheetName val="SM2-09"/>
      <sheetName val="BD-09"/>
      <sheetName val="물량표"/>
      <sheetName val="Calen"/>
      <sheetName val="CAUDIT"/>
      <sheetName val="장기대여금1"/>
      <sheetName val="Total"/>
      <sheetName val="조명시설"/>
      <sheetName val="SIL98"/>
      <sheetName val="XZLC004_PART2"/>
      <sheetName val="XZLC003_PART1"/>
      <sheetName val="역T형"/>
      <sheetName val="SO416"/>
      <sheetName val="개발비자산성검토"/>
      <sheetName val="가공MH"/>
      <sheetName val="08년(Form1)"/>
      <sheetName val="영동(D)"/>
      <sheetName val="총내역서"/>
      <sheetName val="2.총괄표"/>
      <sheetName val="일위대가"/>
      <sheetName val="점수계산1-2"/>
      <sheetName val="LinerWt"/>
      <sheetName val="입찰내역 발주처 양식"/>
      <sheetName val="37개월"/>
      <sheetName val="주형"/>
      <sheetName val="sum1 (2)"/>
      <sheetName val="적격"/>
      <sheetName val="공사비증감"/>
      <sheetName val="미드수량"/>
      <sheetName val="참조"/>
      <sheetName val="DATE"/>
      <sheetName val="단가표"/>
      <sheetName val="slipsumpR"/>
      <sheetName val="건축공사실행"/>
      <sheetName val="원가(통신)"/>
      <sheetName val="표지"/>
      <sheetName val="설비원가"/>
      <sheetName val="대비표"/>
      <sheetName val="골조시행"/>
      <sheetName val="3.바닥판설계"/>
      <sheetName val="Sheet1 (2)"/>
      <sheetName val="집행내역"/>
      <sheetName val="Borrower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단가산출"/>
      <sheetName val="RE9604"/>
      <sheetName val="평가제외"/>
      <sheetName val="12년 CF(9월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물량표(신)"/>
      <sheetName val="대공종"/>
      <sheetName val="조경"/>
      <sheetName val="손익현황"/>
      <sheetName val="현황CODE"/>
      <sheetName val="산출근거"/>
      <sheetName val="일위(토목)"/>
      <sheetName val="_x0018__x0000_"/>
      <sheetName val=""/>
      <sheetName val="실행간접비용"/>
      <sheetName val="D-623D"/>
      <sheetName val="BQMPALOC"/>
      <sheetName val="현장지지물물량"/>
      <sheetName val="세부내역서"/>
      <sheetName val="입찰보고"/>
      <sheetName val="지점장"/>
      <sheetName val="부서코드표"/>
      <sheetName val="적용건축"/>
      <sheetName val="품셈TABLE"/>
      <sheetName val="97년추정손익계산서"/>
      <sheetName val="업무연락"/>
      <sheetName val="Ethylene"/>
      <sheetName val="월별매출"/>
      <sheetName val="ChlorAlkali"/>
      <sheetName val="VXXXXXXX"/>
      <sheetName val="13월별BS"/>
      <sheetName val="하수급견적대비"/>
      <sheetName val="참조시트"/>
      <sheetName val="表21 净利润调节表"/>
      <sheetName val="원가계산하도"/>
      <sheetName val="504전기실 동부하-L"/>
      <sheetName val="Sheet15"/>
      <sheetName val="Sheet9"/>
      <sheetName val="DUT-BAT1"/>
      <sheetName val="슬래브"/>
      <sheetName val="ADR"/>
      <sheetName val="부하계산서"/>
      <sheetName val="설산1.나"/>
      <sheetName val="본사S"/>
      <sheetName val="재고현황"/>
      <sheetName val="발행제기"/>
      <sheetName val="2.대외공문"/>
      <sheetName val="BEST"/>
      <sheetName val="통장출금액"/>
      <sheetName val="카메라"/>
      <sheetName val="실적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자재단가"/>
      <sheetName val="입출재고현황 (2)"/>
      <sheetName val="자금추ȕ"/>
      <sheetName val="찍기"/>
      <sheetName val="단가일람"/>
      <sheetName val="단위량당중기"/>
      <sheetName val="수량집계표(舊)"/>
      <sheetName val="부속동"/>
      <sheetName val="Project Brief"/>
      <sheetName val="단가(반정3교-원주)"/>
      <sheetName val="CC16-내역서"/>
      <sheetName val="신공"/>
      <sheetName val="Y-WORK"/>
      <sheetName val="동절기투입(자재)"/>
      <sheetName val="건축내역"/>
      <sheetName val="2.주요계수총괄"/>
      <sheetName val="현금"/>
      <sheetName val="월별수입"/>
      <sheetName val="차수"/>
      <sheetName val="담보"/>
      <sheetName val="1유리"/>
      <sheetName val="예적금"/>
      <sheetName val="월별손익"/>
      <sheetName val="매출"/>
      <sheetName val="비가동-20"/>
      <sheetName val="완제품3"/>
      <sheetName val="TRE TABLE"/>
      <sheetName val="C3"/>
      <sheetName val="주현(해보)"/>
      <sheetName val="주현(영광)"/>
      <sheetName val="품셈표"/>
      <sheetName val="갑근세납세필증명원"/>
      <sheetName val="cp-e1"/>
      <sheetName val="MEMORY"/>
      <sheetName val="05년말(건재)"/>
      <sheetName val="GAEYO"/>
      <sheetName val="물량표S"/>
      <sheetName val="내역표지"/>
      <sheetName val="INPUT"/>
      <sheetName val="설계명세서"/>
      <sheetName val="전신환매도율"/>
      <sheetName val="경비"/>
      <sheetName val="P.M 별"/>
      <sheetName val="정부노임단가"/>
      <sheetName val="교각계산"/>
      <sheetName val="한강운반비"/>
      <sheetName val="0001new"/>
      <sheetName val="단면 (2)"/>
      <sheetName val="약품공급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UV"/>
      <sheetName val="Q-H"/>
      <sheetName val="VS P-Q"/>
      <sheetName val="VS  curve"/>
      <sheetName val="PAYBAK"/>
      <sheetName val="Chart1"/>
      <sheetName val="Sheet1"/>
      <sheetName val="Sheet3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Sign"/>
      <sheetName val="0531(투자지원실)"/>
      <sheetName val="01"/>
      <sheetName val="갑지"/>
      <sheetName val="Good Morning 증권-01"/>
      <sheetName val="금융비용"/>
      <sheetName val="실행내역"/>
      <sheetName val="금융"/>
      <sheetName val="입찰내역 발주처 양식"/>
      <sheetName val="유림콘도"/>
      <sheetName val="유림골조"/>
      <sheetName val="#REF"/>
      <sheetName val="Sheet4"/>
      <sheetName val="예가표"/>
      <sheetName val="0422_(2)"/>
      <sheetName val="Good_Morning_증권-01"/>
      <sheetName val="B"/>
      <sheetName val="Sheet1"/>
      <sheetName val="부하(성남)"/>
      <sheetName val="목표세부명세"/>
      <sheetName val="일반부표"/>
      <sheetName val="소비자가"/>
      <sheetName val="내역서"/>
      <sheetName val="EQT-ESTN"/>
      <sheetName val="0422_(2)1"/>
      <sheetName val="Good_Morning_증권-011"/>
      <sheetName val="입찰내역_발주처_양식"/>
      <sheetName val="차액보증"/>
      <sheetName val="입찰안"/>
      <sheetName val="갑지(추정)"/>
      <sheetName val="개요"/>
      <sheetName val="공사개요"/>
      <sheetName val="합천내역"/>
      <sheetName val="Option"/>
      <sheetName val="공통비(전체)"/>
      <sheetName val="토목공사"/>
      <sheetName val="새공통(96임금인상기준)"/>
      <sheetName val="비교1"/>
      <sheetName val="유림총괄"/>
      <sheetName val="단가표"/>
      <sheetName val="집계표"/>
      <sheetName val="Sheet2"/>
      <sheetName val="0422_(2)2"/>
      <sheetName val="Good_Morning_증권-012"/>
      <sheetName val="입찰내역_발주처_양식1"/>
      <sheetName val="내역"/>
      <sheetName val="기별(종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음료실행"/>
      <sheetName val="금액비교"/>
      <sheetName val="입찰안"/>
      <sheetName val="시멘트"/>
      <sheetName val="설계내역서"/>
      <sheetName val="GAEYO"/>
      <sheetName val="EQUIPMENT -2"/>
      <sheetName val="45,46"/>
      <sheetName val="전체"/>
      <sheetName val="문학터널-9255(관보고-실)"/>
      <sheetName val="경비"/>
      <sheetName val="공통가설"/>
      <sheetName val="일위대가"/>
      <sheetName val="공사원가계산서"/>
      <sheetName val="DATA"/>
      <sheetName val="인사자료총집계"/>
      <sheetName val="갑지(추정)"/>
      <sheetName val="노임이"/>
      <sheetName val="배수내역 (2)"/>
      <sheetName val="G2설비도급"/>
      <sheetName val="공문"/>
      <sheetName val="금액내역서"/>
      <sheetName val="포장복구집계"/>
      <sheetName val="영동(D)"/>
      <sheetName val="EQUIPMENT_-2"/>
      <sheetName val="갑지1"/>
      <sheetName val="ETC"/>
      <sheetName val="공사내역"/>
      <sheetName val="자재단가비교표"/>
      <sheetName val="설계가"/>
      <sheetName val="Sheet1"/>
      <sheetName val="EJ"/>
      <sheetName val="총괄-1"/>
      <sheetName val="입출재고현황 (2)"/>
      <sheetName val="계산서"/>
      <sheetName val="금융"/>
      <sheetName val="플랜트 설치"/>
      <sheetName val="A-4"/>
      <sheetName val="내역"/>
      <sheetName val="점수계산1-2"/>
      <sheetName val="본부소개"/>
      <sheetName val="건축실행"/>
      <sheetName val="주요항목별"/>
      <sheetName val="을"/>
      <sheetName val="Sheet5"/>
      <sheetName val="목표세부명세"/>
      <sheetName val="ITEM"/>
      <sheetName val="골조시행"/>
      <sheetName val="내역서"/>
      <sheetName val="토목주소"/>
      <sheetName val="프랜트면허"/>
      <sheetName val="품셈TABLE"/>
      <sheetName val="Sheet4"/>
      <sheetName val="98지급계획"/>
      <sheetName val="BID"/>
      <sheetName val="설직재-1"/>
      <sheetName val="토목-물가"/>
      <sheetName val="참조"/>
      <sheetName val="XL4Poppy"/>
      <sheetName val="CTEMCOST"/>
      <sheetName val="252K444"/>
      <sheetName val="연돌일위집계"/>
      <sheetName val="NYS"/>
      <sheetName val="분양금할인"/>
      <sheetName val="C &amp; G RHS"/>
      <sheetName val="CONCRETE"/>
      <sheetName val="9GNG운반"/>
      <sheetName val="갑지"/>
      <sheetName val="INPUT"/>
      <sheetName val="01"/>
      <sheetName val="공통비총괄표"/>
      <sheetName val="Sheet2"/>
      <sheetName val="Sheet1 (2)"/>
      <sheetName val="전신환매도율"/>
      <sheetName val="하수급견적대비"/>
      <sheetName val="인제내역"/>
      <sheetName val="조명시설"/>
      <sheetName val="도급"/>
      <sheetName val="수량3"/>
      <sheetName val="sum1 (2)"/>
      <sheetName val="결과조달"/>
      <sheetName val="전계가"/>
      <sheetName val="F4-F7"/>
      <sheetName val="조건표"/>
      <sheetName val="기술부대조건"/>
      <sheetName val="총괄"/>
      <sheetName val="기초단가"/>
      <sheetName val="견적"/>
      <sheetName val="대비"/>
      <sheetName val="CON포장수량"/>
      <sheetName val="ACUNIT"/>
      <sheetName val="CONUNIT"/>
      <sheetName val="포장공"/>
      <sheetName val=" Work Order 양식_엑셀_121212.xlsx"/>
      <sheetName val="VENT"/>
      <sheetName val="단면 (2)"/>
      <sheetName val="코드"/>
      <sheetName val="공사내역서"/>
      <sheetName val="IMPEADENCE MAP 취수장"/>
      <sheetName val="MTL(AG)"/>
      <sheetName val="차액보증"/>
      <sheetName val="CAT_5"/>
      <sheetName val="발생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내용"/>
      <sheetName val="의뢰서"/>
      <sheetName val="답사보고서"/>
      <sheetName val="비교표"/>
      <sheetName val="품의서"/>
      <sheetName val="차별화품목"/>
      <sheetName val="공통비"/>
      <sheetName val="건축"/>
      <sheetName val="동별현황"/>
      <sheetName val="파일공사(아파트)"/>
      <sheetName val="파일산출근거"/>
      <sheetName val="부대건축"/>
      <sheetName val="파일공사(부대동)"/>
      <sheetName val="토목및철거"/>
      <sheetName val="옥외및기타"/>
      <sheetName val="#REF"/>
      <sheetName val="인사자료총집계"/>
      <sheetName val="양식001-@표준양식.xls"/>
      <sheetName val="유림총괄"/>
      <sheetName val="P.M 별"/>
      <sheetName val="프랜트면허"/>
      <sheetName val="토목주소"/>
      <sheetName val="실행"/>
      <sheetName val="유림골조"/>
      <sheetName val="공통부대비"/>
      <sheetName val="01"/>
      <sheetName val="잡비"/>
      <sheetName val="갑지(추정)"/>
      <sheetName val="약품설비"/>
      <sheetName val="경비"/>
      <sheetName val="노임이"/>
      <sheetName val="CTEMCOST"/>
      <sheetName val="Sheet5"/>
      <sheetName val="합천내역"/>
      <sheetName val="금융"/>
      <sheetName val="총괄"/>
      <sheetName val="1ST"/>
      <sheetName val="기본사항"/>
      <sheetName val="단가표"/>
      <sheetName val="견적"/>
      <sheetName val="점당객석수"/>
      <sheetName val="수량산출"/>
      <sheetName val="표지"/>
      <sheetName val="96월별PL"/>
      <sheetName val="작성"/>
      <sheetName val="임원,관리,별도"/>
      <sheetName val="N賃率-職"/>
      <sheetName val="직노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시멘트"/>
      <sheetName val="공통가설"/>
      <sheetName val="FURNITURE-01"/>
      <sheetName val="점수계산1-2"/>
      <sheetName val="I一般比"/>
      <sheetName val="입찰안"/>
      <sheetName val="SUMMARY"/>
      <sheetName val="PAINT"/>
      <sheetName val="추가예산"/>
      <sheetName val="토목주소"/>
      <sheetName val="프랜트면허"/>
      <sheetName val="Customer Databas"/>
      <sheetName val="공사비집계"/>
      <sheetName val="목표세부명세"/>
      <sheetName val="45,46"/>
      <sheetName val="현금흐름"/>
      <sheetName val="인건비"/>
      <sheetName val="수입"/>
      <sheetName val="A-4"/>
      <sheetName val="공문"/>
      <sheetName val="상가지급현황"/>
      <sheetName val="교각1"/>
      <sheetName val="Sheet5"/>
      <sheetName val="내역"/>
      <sheetName val="음료실행"/>
      <sheetName val="갑지(추정)"/>
      <sheetName val="ITEM"/>
      <sheetName val="인사자료총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개요"/>
      <sheetName val="Ext. Stone-P"/>
      <sheetName val="FURNITURE-01"/>
      <sheetName val="시화점실행"/>
      <sheetName val="천안IP공장자100노100물량110할증"/>
      <sheetName val="Sheet5"/>
      <sheetName val="Girder"/>
      <sheetName val="공문"/>
      <sheetName val="토목주소"/>
      <sheetName val="프랜트면허"/>
      <sheetName val="플랜트 설치"/>
      <sheetName val="입찰안"/>
      <sheetName val="INPUT"/>
      <sheetName val="BSD (2)"/>
      <sheetName val="#REF"/>
      <sheetName val="정부노임단가"/>
      <sheetName val="인사자료총집계"/>
      <sheetName val="I一般比"/>
      <sheetName val="ETC"/>
      <sheetName val="갑지(추정)"/>
      <sheetName val="기본DATA"/>
      <sheetName val="CAT_5"/>
      <sheetName val="ITEM"/>
      <sheetName val="DATE"/>
      <sheetName val="갑지"/>
      <sheetName val="GAEYOXLS"/>
      <sheetName val="노임이"/>
      <sheetName val="직노"/>
      <sheetName val="추가예산"/>
      <sheetName val="APT"/>
      <sheetName val="부속동"/>
      <sheetName val="제출견적(을)"/>
      <sheetName val="6호기"/>
      <sheetName val="집행갑지"/>
      <sheetName val="내역서"/>
      <sheetName val="Parts"/>
      <sheetName val="Menu A"/>
      <sheetName val="간접경상비"/>
      <sheetName val="경제성분석"/>
      <sheetName val="공사개요"/>
      <sheetName val="매입세율"/>
      <sheetName val="광혁기성"/>
      <sheetName val="FB25JN"/>
      <sheetName val="원부자재"/>
      <sheetName val="갑지1"/>
      <sheetName val="양수장(기계)"/>
      <sheetName val="45,46"/>
      <sheetName val="일위대가"/>
      <sheetName val="SUMMARY"/>
      <sheetName val="PAINT"/>
      <sheetName val="소요자재"/>
      <sheetName val="노무산출서"/>
      <sheetName val="데이타"/>
      <sheetName val="식재인부"/>
      <sheetName val="공정코드"/>
      <sheetName val="예비품"/>
      <sheetName val="COMPOHP (2)"/>
      <sheetName val="Y-WORK"/>
      <sheetName val="대리점판정"/>
      <sheetName val="XZLC004_PART2"/>
      <sheetName val="sw1"/>
      <sheetName val="NOMUBI"/>
      <sheetName val="기존단가 (2)"/>
      <sheetName val="BID"/>
      <sheetName val="식재총괄"/>
      <sheetName val="기존"/>
      <sheetName val="단가산출1"/>
      <sheetName val="설계조건"/>
      <sheetName val="전신환매도율"/>
      <sheetName val="chitimc"/>
      <sheetName val="적용률"/>
      <sheetName val="차액보증"/>
      <sheetName val="1공구산출내역서"/>
      <sheetName val="plan&amp;section of foundation"/>
      <sheetName val="design criteria"/>
      <sheetName val="Total"/>
      <sheetName val="포장복구집계"/>
      <sheetName val="EQUIPMENT -2"/>
      <sheetName val="ABUT수량-A1"/>
      <sheetName val="건축집계"/>
      <sheetName val="설 계"/>
      <sheetName val="입출재고현황 (2)"/>
      <sheetName val="PANEL"/>
      <sheetName val="재료율"/>
      <sheetName val="4)유동표"/>
      <sheetName val="Sheet1 (2)"/>
      <sheetName val="일위"/>
      <sheetName val="잡비"/>
      <sheetName val="코드"/>
      <sheetName val="목표세부명세"/>
      <sheetName val="설계내역서"/>
      <sheetName val="9GNG운반"/>
      <sheetName val="기존단가_(2)"/>
      <sheetName val="Ext__Stone-P"/>
      <sheetName val="플랜트_설치"/>
      <sheetName val="BSD_(2)"/>
      <sheetName val="Menu_A"/>
      <sheetName val="연부97-1"/>
      <sheetName val="연돌일위집계"/>
      <sheetName val="실행내역서 "/>
      <sheetName val="연습"/>
      <sheetName val="원가계산"/>
      <sheetName val="콘크리트타설집계표"/>
      <sheetName val="횡배수관토공수량"/>
      <sheetName val="내역"/>
      <sheetName val="TOTAL1"/>
      <sheetName val="예산"/>
      <sheetName val="실행철강하도"/>
      <sheetName val="Curves"/>
      <sheetName val="Tables"/>
      <sheetName val="A-4"/>
      <sheetName val="노원열병합  건축공사기성내역서"/>
      <sheetName val="단위세대물량"/>
      <sheetName val="PROJECT BRIEF(EX.NEW)"/>
      <sheetName val="C_d"/>
      <sheetName val="을"/>
      <sheetName val="EJ"/>
      <sheetName val="BSD _2_"/>
      <sheetName val="일반부표"/>
      <sheetName val="6동"/>
      <sheetName val="기안지"/>
      <sheetName val="금융"/>
      <sheetName val="기흥하도용"/>
      <sheetName val="Customer Databas"/>
      <sheetName val="N賃率-職"/>
      <sheetName val="Raw Data"/>
      <sheetName val="업무분장"/>
      <sheetName val="집계표"/>
      <sheetName val="01"/>
      <sheetName val="DATA"/>
      <sheetName val="가압장(토목)"/>
      <sheetName val="금액"/>
      <sheetName val="교통대책내역"/>
      <sheetName val="품셈TABLE"/>
      <sheetName val="청천내"/>
      <sheetName val="품종별-이름"/>
      <sheetName val="전계가"/>
      <sheetName val="소방사항"/>
      <sheetName val="산#3-2-2"/>
      <sheetName val="시멘트"/>
      <sheetName val="산출내역서집계표"/>
      <sheetName val="XZLC003_PART1"/>
      <sheetName val="공통가설"/>
      <sheetName val="위치조서"/>
      <sheetName val="배수내역 (2)"/>
      <sheetName val="빗물받이(910-510-410)"/>
      <sheetName val="220 (2)"/>
      <sheetName val="견적서"/>
      <sheetName val="날개벽수량표"/>
      <sheetName val="심의위원명단"/>
      <sheetName val="7월11일"/>
      <sheetName val="견"/>
      <sheetName val="일위대가표"/>
      <sheetName val="1.취수장"/>
      <sheetName val="STAND20"/>
      <sheetName val="1층"/>
      <sheetName val="원본"/>
      <sheetName val="별표집계"/>
      <sheetName val="말뚝물량"/>
      <sheetName val="실행내역"/>
      <sheetName val="_REF"/>
      <sheetName val="마산월령동골조물량변경"/>
      <sheetName val="상반기손익차2총괄"/>
      <sheetName val="평균터파기고(1-2,ASP)"/>
      <sheetName val="VLOOKUP"/>
      <sheetName val="cal-foamglass"/>
      <sheetName val="BQ List"/>
      <sheetName val="PipWT"/>
      <sheetName val="TTL"/>
      <sheetName val="7-2"/>
      <sheetName val="F-302"/>
      <sheetName val="F301.303"/>
      <sheetName val="공사설계서"/>
      <sheetName val="일반설비내역서"/>
      <sheetName val="NYS"/>
      <sheetName val="ASP"/>
      <sheetName val="EACT10"/>
      <sheetName val="자재단가"/>
      <sheetName val="IMPEADENCE MAP 취수장"/>
      <sheetName val="터파기및재료"/>
      <sheetName val="표지"/>
      <sheetName val="견적을지"/>
      <sheetName val="내역 누락분 수량산출서"/>
      <sheetName val="Sheet4"/>
      <sheetName val="전차선로 물량표"/>
      <sheetName val="PIPE(UG)내역"/>
      <sheetName val="점수계산1-2"/>
      <sheetName val="수입"/>
      <sheetName val="명세서"/>
      <sheetName val="낙찰표"/>
      <sheetName val="HW일위"/>
      <sheetName val="VENT"/>
      <sheetName val="단가산출"/>
      <sheetName val="Lr"/>
      <sheetName val="노무비"/>
      <sheetName val="COVER-P"/>
      <sheetName val="다곡2교"/>
      <sheetName val="단가대비표"/>
      <sheetName val="단가"/>
      <sheetName val="매립"/>
      <sheetName val="부대공Ⅱ"/>
      <sheetName val="처리단락"/>
      <sheetName val="DB"/>
      <sheetName val="sheet1"/>
      <sheetName val="D-경비1"/>
      <sheetName val="견적대비 견적서"/>
      <sheetName val="입찰보고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LD"/>
      <sheetName val="소비자가"/>
      <sheetName val="cal"/>
      <sheetName val="도급"/>
      <sheetName val="70%"/>
      <sheetName val="EQUIP LIST"/>
      <sheetName val="Note"/>
      <sheetName val="Heads"/>
      <sheetName val="Page 2"/>
      <sheetName val="Dbase"/>
      <sheetName val="가설공사"/>
      <sheetName val="VXXXXX"/>
      <sheetName val=" 갑지"/>
      <sheetName val="EXCHANGER-BEAM1"/>
      <sheetName val="EXCHANGER-COM"/>
      <sheetName val="EXCHANGER"/>
      <sheetName val="EXCHANGER-BEAM2"/>
      <sheetName val="원가계산서"/>
      <sheetName val="설계변경내역서"/>
      <sheetName val="총괄내역서"/>
      <sheetName val="경비"/>
      <sheetName val="방수"/>
      <sheetName val="총원"/>
      <sheetName val="소요자재명세서"/>
      <sheetName val="노무비명세서"/>
      <sheetName val="건축내역"/>
      <sheetName val="수전기기DATA"/>
      <sheetName val="방배동내역(리라)"/>
      <sheetName val="부대공사총괄"/>
      <sheetName val="현장경비"/>
      <sheetName val="건축공사집계표"/>
      <sheetName val="9609추"/>
      <sheetName val="CTEMCOST"/>
      <sheetName val="Ext__Stone-P1"/>
      <sheetName val="플랜트_설치1"/>
      <sheetName val="BSD_(2)1"/>
      <sheetName val="Menu_A1"/>
      <sheetName val="기존단가_(2)1"/>
      <sheetName val="COMPOHP_(2)"/>
      <sheetName val="plan&amp;section_of_foundation"/>
      <sheetName val="design_criteria"/>
      <sheetName val="EQUIPMENT_-2"/>
      <sheetName val="입출재고현황_(2)"/>
      <sheetName val="설_계"/>
      <sheetName val="Sheet1_(2)"/>
      <sheetName val="노원열병합__건축공사기성내역서"/>
      <sheetName val="PROJECT_BRIEF(EX_NEW)"/>
      <sheetName val="실행내역서_"/>
      <sheetName val="BSD__2_"/>
      <sheetName val="Customer_Databas"/>
      <sheetName val="Raw_Data"/>
      <sheetName val="배수내역_(2)"/>
      <sheetName val="220_(2)"/>
      <sheetName val="1_취수장"/>
      <sheetName val="약품설비"/>
      <sheetName val="식음료"/>
      <sheetName val="종단계산"/>
      <sheetName val="200"/>
      <sheetName val="열린교실"/>
      <sheetName val="Feuil1"/>
      <sheetName val="설비원가"/>
      <sheetName val="진접"/>
      <sheetName val="현장관리비"/>
      <sheetName val="asd"/>
      <sheetName val="월별수입"/>
      <sheetName val="DHEQSUPT"/>
      <sheetName val="수량산출"/>
      <sheetName val="HANDHOLE(2)"/>
      <sheetName val="품셈(기초)"/>
      <sheetName val="골재산출"/>
      <sheetName val="조명시설"/>
      <sheetName val="Sheet3"/>
      <sheetName val="수량산출서 갑지"/>
      <sheetName val="중기일위대가"/>
      <sheetName val="날개½_x0000_뜀표"/>
      <sheetName val="상가지급현황"/>
      <sheetName val="예가표"/>
      <sheetName val="98지급계획"/>
      <sheetName val="공량산출근거서"/>
      <sheetName val="와동25-3(변경)"/>
      <sheetName val="문화재토적"/>
      <sheetName val="개요입력"/>
      <sheetName val="수량기준"/>
      <sheetName val="단가기준"/>
      <sheetName val="FORM-0"/>
      <sheetName val="직공비"/>
      <sheetName val="덕전리"/>
      <sheetName val="AC-01-원본"/>
      <sheetName val="견적대비표"/>
      <sheetName val="기초일위"/>
      <sheetName val="시설일위"/>
      <sheetName val="조명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업체FIX"/>
      <sheetName val="내역"/>
      <sheetName val="인사자료총집계"/>
      <sheetName val="원가계산서"/>
      <sheetName val="음료실행"/>
      <sheetName val="TEST1"/>
      <sheetName val="실행(표지,갑,을)"/>
      <sheetName val="갑지1"/>
      <sheetName val="01"/>
      <sheetName val="공문"/>
      <sheetName val="프랜트면허"/>
      <sheetName val="토목주소"/>
      <sheetName val="1ST"/>
      <sheetName val="수량명세서"/>
      <sheetName val="연결임시"/>
      <sheetName val="을"/>
      <sheetName val="갑지(추정)"/>
      <sheetName val="참조"/>
      <sheetName val="실행내역"/>
      <sheetName val="경비"/>
      <sheetName val="Sheet1"/>
      <sheetName val="중기사용료"/>
      <sheetName val="업무처리전"/>
      <sheetName val="원가계산"/>
      <sheetName val="목표세부명세"/>
      <sheetName val="금액내역서"/>
      <sheetName val="EQT-ESTN"/>
      <sheetName val="CTEMCOST"/>
      <sheetName val="인원투입현황"/>
      <sheetName val="Sheet3"/>
      <sheetName val="#REF"/>
      <sheetName val="아파트"/>
      <sheetName val="부속동"/>
      <sheetName val="주차장"/>
      <sheetName val="골조내역"/>
      <sheetName val="공사개요"/>
      <sheetName val="Sheet12"/>
      <sheetName val="개요"/>
      <sheetName val="부대입찰갑지"/>
      <sheetName val="하도급사항(목포)"/>
      <sheetName val="확약서"/>
      <sheetName val="부대내역갑지"/>
      <sheetName val="원도급계약예정금액"/>
      <sheetName val="원하예정금액대비표(목포)"/>
      <sheetName val="하도급계약예정금액"/>
      <sheetName val="원하도급세부내역"/>
      <sheetName val="도급내역"/>
      <sheetName val="지급자재"/>
      <sheetName val="간접비계산"/>
      <sheetName val="부대입찰"/>
      <sheetName val="골조시행"/>
      <sheetName val="일위대가"/>
      <sheetName val="전체"/>
      <sheetName val="실행철강하도"/>
      <sheetName val="주요항목별"/>
      <sheetName val="APT"/>
      <sheetName val="일위"/>
      <sheetName val="예산총괄"/>
      <sheetName val="정산내역"/>
      <sheetName val="시화점실행"/>
      <sheetName val="단가"/>
      <sheetName val="FACTOR"/>
      <sheetName val="원가계산서(변경)"/>
      <sheetName val="대림경상68억"/>
      <sheetName val="1공구산출내역서"/>
      <sheetName val="사업수지"/>
      <sheetName val="옥외등신설"/>
      <sheetName val="저케CV22신설"/>
      <sheetName val="저케CV38신설"/>
      <sheetName val="저케CV8신설"/>
      <sheetName val="접지3종"/>
      <sheetName val="합계"/>
      <sheetName val="인부신상자료"/>
      <sheetName val="일위목록"/>
      <sheetName val="요율"/>
      <sheetName val="단가표"/>
      <sheetName val="갑(전기)"/>
      <sheetName val="갑(계장)"/>
      <sheetName val="2공구산출내역"/>
      <sheetName val="산출내역서"/>
      <sheetName val="1,2공구원가계산서"/>
      <sheetName val="소비자가"/>
      <sheetName val="토목단가"/>
      <sheetName val="경산"/>
      <sheetName val="수량산출"/>
      <sheetName val="을지"/>
      <sheetName val="선급금신청서"/>
      <sheetName val="신우"/>
      <sheetName val="집계표"/>
      <sheetName val="입찰안"/>
      <sheetName val="백암비스타내역"/>
      <sheetName val="투자효율분석"/>
      <sheetName val="Y-WORK"/>
      <sheetName val="총괄표"/>
      <sheetName val="2"/>
      <sheetName val="실행간접비"/>
      <sheetName val="기본설계기준"/>
      <sheetName val="간접(90)"/>
      <sheetName val="안양동교 1안"/>
      <sheetName val="SULKEA"/>
      <sheetName val="XXXXXX"/>
      <sheetName val="1유리"/>
      <sheetName val="b_balju (2)"/>
      <sheetName val="b_gunmul"/>
      <sheetName val="공통가설"/>
      <sheetName val="제경비율"/>
      <sheetName val="대비2"/>
      <sheetName val="시운전연료비"/>
      <sheetName val="회사정보"/>
      <sheetName val="설계내역서"/>
      <sheetName val="Customer Datab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BSD (2)"/>
      <sheetName val="BID"/>
      <sheetName val="을"/>
      <sheetName val=" 견적서"/>
      <sheetName val="EACT10"/>
      <sheetName val="교각1"/>
      <sheetName val="시멘트"/>
      <sheetName val="TEL"/>
      <sheetName val="소비자가"/>
      <sheetName val="설계명세서"/>
      <sheetName val="견적서"/>
      <sheetName val="danga"/>
      <sheetName val="Customer Databas"/>
      <sheetName val="노원열병합  건축공사기성내역서"/>
      <sheetName val="단가표"/>
      <sheetName val="일위대가목차"/>
      <sheetName val="#REF"/>
      <sheetName val="공사개요"/>
      <sheetName val="MATRLDATA"/>
      <sheetName val="구미4단2"/>
      <sheetName val="CAPVC"/>
      <sheetName val="FCU (2)"/>
      <sheetName val="Data"/>
      <sheetName val="수량산출"/>
      <sheetName val="단가조사"/>
      <sheetName val="보도경계블럭"/>
      <sheetName val="개요"/>
      <sheetName val="2.고용보험료산출근거"/>
      <sheetName val="경비2내역"/>
      <sheetName val="날개벽"/>
      <sheetName val="갑지"/>
      <sheetName val="기초공"/>
      <sheetName val="기둥(원형)"/>
      <sheetName val="대비"/>
      <sheetName val="공사비집계"/>
      <sheetName val="집계표"/>
      <sheetName val="데이타"/>
      <sheetName val="내역서"/>
      <sheetName val="일위대가"/>
      <sheetName val="2공구산출내역"/>
      <sheetName val="Proposal"/>
      <sheetName val="단위세대"/>
      <sheetName val="제경비"/>
      <sheetName val="구조물공1"/>
      <sheetName val="배수및구조물공1"/>
      <sheetName val="설계조건"/>
      <sheetName val="CC16-내역서"/>
      <sheetName val="건축원가계산서"/>
      <sheetName val="금액집계"/>
      <sheetName val="Galaxy 소비자가격표"/>
      <sheetName val="design criteria"/>
      <sheetName val="working load at the btm ft."/>
      <sheetName val="plan&amp;section of foundation"/>
      <sheetName val="member design"/>
      <sheetName val="soil bearing check"/>
      <sheetName val="전기일위대가"/>
      <sheetName val="Total"/>
      <sheetName val="PUMP"/>
      <sheetName val="내역"/>
      <sheetName val="갑지(추정)"/>
      <sheetName val="ilch"/>
      <sheetName val="6호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일위대가"/>
      <sheetName val="여과지동"/>
      <sheetName val="기초자료"/>
      <sheetName val="내역"/>
      <sheetName val="개요"/>
      <sheetName val="BID"/>
      <sheetName val="일위_파일"/>
      <sheetName val="집계표"/>
      <sheetName val="산출내역서집계표"/>
      <sheetName val="전기단가조사서"/>
      <sheetName val="내역서"/>
      <sheetName val="선급금신청서"/>
      <sheetName val="원남울진낙찰내역(99.4.13 부산청)"/>
      <sheetName val="시화점실행"/>
      <sheetName val="BSD (2)"/>
      <sheetName val="Sheet2"/>
      <sheetName val="일반공사"/>
      <sheetName val="기초작업"/>
      <sheetName val="차액보증"/>
      <sheetName val="하수급견적대비"/>
      <sheetName val="금융비용"/>
      <sheetName val="자재단가"/>
      <sheetName val="유림총괄"/>
      <sheetName val="견적정보"/>
      <sheetName val="갑지(추정)"/>
      <sheetName val="정보"/>
      <sheetName val="자재단가비교표"/>
      <sheetName val="SP-B1"/>
      <sheetName val="네고율"/>
      <sheetName val="표지"/>
      <sheetName val="PROJECT BRIEF"/>
      <sheetName val="수량산출"/>
      <sheetName val="설비"/>
      <sheetName val="산출근거"/>
      <sheetName val="변경품셈총괄"/>
      <sheetName val="인력터파기품"/>
      <sheetName val="우수"/>
      <sheetName val="지급자재"/>
      <sheetName val="터널조도"/>
      <sheetName val="대림경상68억"/>
      <sheetName val="플랜트 설치"/>
      <sheetName val="날개벽수량표"/>
      <sheetName val="전체"/>
      <sheetName val="N賃率-職"/>
      <sheetName val="추가예산"/>
      <sheetName val="POOM_MOTO"/>
      <sheetName val="POOM_MOTO2"/>
      <sheetName val="선정요령"/>
      <sheetName val="입찰안"/>
      <sheetName val="평당자료"/>
      <sheetName val="Total"/>
      <sheetName val="5.전사투자계획종함안"/>
      <sheetName val="Macro(차단기)"/>
      <sheetName val="#REF"/>
      <sheetName val="1단계"/>
      <sheetName val="마산방향"/>
      <sheetName val="진주방향"/>
      <sheetName val="00상노임"/>
      <sheetName val="노임단가"/>
      <sheetName val="WORK"/>
      <sheetName val="Sheet1"/>
      <sheetName val="기계경비"/>
      <sheetName val="본사인상전"/>
      <sheetName val="영동(D)"/>
      <sheetName val="cp1"/>
      <sheetName val="간접(90)"/>
      <sheetName val="남양내역"/>
      <sheetName val="용수간선"/>
      <sheetName val="DATA"/>
      <sheetName val="COVER"/>
      <sheetName val="단양 00 아파트-세부내역"/>
      <sheetName val="Sheet6"/>
      <sheetName val="관경별우수관집계"/>
      <sheetName val="차수"/>
      <sheetName val="터파기및재료"/>
      <sheetName val="대치판정"/>
      <sheetName val="예산조서"/>
      <sheetName val="전체공내역서"/>
      <sheetName val="기초단가"/>
      <sheetName val="BASE DATA1"/>
      <sheetName val="안양동교 1안"/>
      <sheetName val="6호기"/>
      <sheetName val="건축공사집계"/>
      <sheetName val="조명시설"/>
      <sheetName val="갱폼수직망"/>
      <sheetName val="시설물 설치표"/>
      <sheetName val="소상 &quot;1&quot;"/>
      <sheetName val="JUCKEYK"/>
      <sheetName val="2공구산출내역"/>
      <sheetName val="CONCRETE"/>
      <sheetName val="공통가설"/>
      <sheetName val="화재 탐지 설비"/>
      <sheetName val="PROJECT BRIEF(EX.NEW)"/>
      <sheetName val="본실행경비"/>
      <sheetName val="노임"/>
      <sheetName val="Baby일위대가"/>
      <sheetName val="대가표(품셈)"/>
      <sheetName val="중동상가"/>
      <sheetName val="SCH"/>
      <sheetName val="내역서단가산출용"/>
      <sheetName val="연습장소"/>
      <sheetName val="부대내역"/>
      <sheetName val="일위대가(1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서"/>
      <sheetName val="소상 &quot;1&quot;"/>
      <sheetName val="원남울진낙찰내역(99.4.13 부산청)"/>
      <sheetName val="장비명"/>
      <sheetName val="STORAGE"/>
      <sheetName val="일반공사"/>
      <sheetName val="타공종이기"/>
      <sheetName val="금액내역서"/>
      <sheetName val="BID"/>
      <sheetName val="건축집계"/>
      <sheetName val="BACK DATA"/>
      <sheetName val="Sheet1"/>
      <sheetName val="01"/>
      <sheetName val="cable-data"/>
      <sheetName val="매입세"/>
      <sheetName val="공사개요"/>
      <sheetName val="c_balju"/>
      <sheetName val="2.대외공문"/>
      <sheetName val="조도계산서 (도서)"/>
      <sheetName val="외천교"/>
      <sheetName val="현장관리비 산출내역"/>
      <sheetName val="차액보증"/>
      <sheetName val="Table"/>
      <sheetName val="정부노임단가"/>
      <sheetName val="CONCRETE"/>
      <sheetName val="Customer Databas"/>
      <sheetName val="FANDBS"/>
      <sheetName val="GRDATA"/>
      <sheetName val="SHAFTDBSE"/>
      <sheetName val="TEL"/>
      <sheetName val="을"/>
      <sheetName val="와동25-3(변경)"/>
      <sheetName val="JUCK"/>
      <sheetName val="약품공급2"/>
      <sheetName val="수안보-MBR1"/>
      <sheetName val="공사비집계"/>
      <sheetName val="#REF"/>
      <sheetName val="우각부보강"/>
      <sheetName val="DATA"/>
      <sheetName val="우배수"/>
      <sheetName val="계산식"/>
      <sheetName val="밸브설치"/>
      <sheetName val="매입세율"/>
      <sheetName val="Pjny"/>
      <sheetName val="쌍송교"/>
      <sheetName val="갑지(추정)"/>
      <sheetName val="부하(성남)"/>
      <sheetName val="MOTOR"/>
      <sheetName val="DATA1"/>
      <sheetName val="물량표"/>
      <sheetName val="Graph (LGEN)"/>
      <sheetName val="out_prog"/>
      <sheetName val="선적schedule (2)"/>
      <sheetName val="집수정(600-700)"/>
      <sheetName val="설명"/>
      <sheetName val="준검 내역서"/>
      <sheetName val="6PILE  (돌출)"/>
      <sheetName val="98수문일위"/>
      <sheetName val="예정(3)"/>
      <sheetName val="수량산출"/>
      <sheetName val="archi(본사)"/>
      <sheetName val="P-산#1-1(WOWA1)"/>
      <sheetName val="간접비"/>
      <sheetName val="동해title"/>
      <sheetName val="관람석제출"/>
      <sheetName val="기초자료입력"/>
      <sheetName val="DATE"/>
      <sheetName val="ABUT수량-A1"/>
      <sheetName val="Y-WORK"/>
      <sheetName val="원형1호맨홀토공수량"/>
      <sheetName val="다이꾸"/>
      <sheetName val="부하LOAD"/>
      <sheetName val="COVER"/>
      <sheetName val="Total"/>
      <sheetName val="Cost bd-&quot;A&quot;"/>
      <sheetName val="1공구(을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13차"/>
      <sheetName val="정부노임단가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  <sheetName val="토목주소"/>
      <sheetName val="노임이"/>
      <sheetName val="Front"/>
      <sheetName val="wall"/>
      <sheetName val="#REF"/>
      <sheetName val="Total"/>
      <sheetName val="2003상반기노임기준"/>
      <sheetName val="갑지"/>
      <sheetName val="집계표"/>
      <sheetName val="일위대가표"/>
      <sheetName val="내역"/>
      <sheetName val="소비자가"/>
      <sheetName val="산업"/>
      <sheetName val="정보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실행"/>
      <sheetName val="입찰견적보고서"/>
      <sheetName val="산근"/>
      <sheetName val="자재가격조사표"/>
      <sheetName val="MYENGBU"/>
      <sheetName val="설계서(본관)"/>
      <sheetName val="물가시세"/>
      <sheetName val="원가계산하도"/>
      <sheetName val="전기"/>
      <sheetName val="중기조종사 단위단가"/>
      <sheetName val="기초단가"/>
      <sheetName val="1-최종안"/>
      <sheetName val="사업분석-분양가결정"/>
      <sheetName val="설계명세서"/>
      <sheetName val="BID"/>
      <sheetName val="2000년1차"/>
      <sheetName val="전등설비"/>
      <sheetName val="설계내역서"/>
      <sheetName val="건축(G6)"/>
      <sheetName val="철거(G6)"/>
      <sheetName val="토목(G6)"/>
      <sheetName val="총괄표"/>
      <sheetName val="자판실행"/>
      <sheetName val="1차 내역서"/>
      <sheetName val="실행대비"/>
      <sheetName val="암센터"/>
      <sheetName val="실행(ALT1)"/>
      <sheetName val="내역서2안"/>
      <sheetName val="해평견적"/>
      <sheetName val="내역서1999.8최종"/>
      <sheetName val="EL90"/>
      <sheetName val="개산공사비"/>
      <sheetName val="설비(제출)"/>
      <sheetName val="견적조건"/>
      <sheetName val="총괄내역서"/>
      <sheetName val="예산명세서"/>
      <sheetName val="자료입력"/>
      <sheetName val="시장성초안camera"/>
      <sheetName val="CON'C"/>
      <sheetName val="5.설계명세서"/>
      <sheetName val="설비원가"/>
      <sheetName val="친환경주택"/>
      <sheetName val="원가계산"/>
      <sheetName val="견적단가"/>
      <sheetName val="조명시설"/>
      <sheetName val="단가및재료비"/>
      <sheetName val="b_balju"/>
      <sheetName val="일위목록"/>
      <sheetName val="세금자료"/>
      <sheetName val="경제지표"/>
      <sheetName val="원가data"/>
      <sheetName val="설계"/>
      <sheetName val="공사설명서"/>
      <sheetName val="실행철강하도"/>
      <sheetName val="정부노임단가"/>
      <sheetName val="1.수인터널"/>
      <sheetName val="데이타"/>
      <sheetName val="식재인부"/>
      <sheetName val="주빔의 설계"/>
      <sheetName val="바닥판"/>
      <sheetName val="입력DATA"/>
      <sheetName val="21301동"/>
      <sheetName val="투자비"/>
      <sheetName val="조성원가DATA"/>
      <sheetName val="사업비"/>
      <sheetName val="CTEMCOST"/>
      <sheetName val="공사개요"/>
      <sheetName val="대비"/>
      <sheetName val="예총"/>
      <sheetName val="2005(공무2)"/>
      <sheetName val="지질조사"/>
      <sheetName val="설계변경총괄표(계산식)"/>
      <sheetName val="내역서"/>
      <sheetName val="BSD (2)"/>
      <sheetName val="갑지(추정)"/>
      <sheetName val="Sheet1"/>
      <sheetName val="Sheet1 (2)"/>
      <sheetName val="6PILE  (돌출)"/>
      <sheetName val="노무비단가"/>
      <sheetName val="Sheet12"/>
      <sheetName val="M-MG1"/>
      <sheetName val="내역서 (2)"/>
      <sheetName val="단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현장경비"/>
      <sheetName val="데이타"/>
      <sheetName val="현장경상비"/>
      <sheetName val="갑지(추정)"/>
      <sheetName val="식재인부"/>
      <sheetName val="갑지1"/>
      <sheetName val="샤워실위생"/>
      <sheetName val="현장관리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원가"/>
      <sheetName val="시멘트"/>
      <sheetName val="일위대가"/>
      <sheetName val="일위대가표"/>
      <sheetName val="노임이"/>
      <sheetName val="DATE"/>
      <sheetName val="중기사용료"/>
      <sheetName val="작성"/>
      <sheetName val="실행예산-변경분"/>
      <sheetName val="견적의뢰"/>
      <sheetName val="집계표"/>
      <sheetName val="동원인원"/>
      <sheetName val="Total"/>
      <sheetName val="입찰견적보고서"/>
      <sheetName val="금액"/>
      <sheetName val="판매시설"/>
      <sheetName val="평가데이터"/>
      <sheetName val="#REF"/>
      <sheetName val="요율"/>
      <sheetName val=" 갑  지 "/>
      <sheetName val="협력업체"/>
      <sheetName val="수량집계"/>
      <sheetName val="노임단가"/>
      <sheetName val="예가표"/>
      <sheetName val="건축직영"/>
      <sheetName val="계DATA"/>
      <sheetName val="실DATA "/>
      <sheetName val="내역서(1)"/>
      <sheetName val="산업"/>
      <sheetName val="음료실행"/>
      <sheetName val="지수980731이후"/>
      <sheetName val="내역표지"/>
      <sheetName val="설계서(7)"/>
      <sheetName val="개요"/>
      <sheetName val="현장관리"/>
      <sheetName val="프랜트면허"/>
      <sheetName val="토목주소"/>
      <sheetName val="소비자가"/>
      <sheetName val="인제내역"/>
      <sheetName val="실DATA_"/>
      <sheetName val="조내역"/>
      <sheetName val="조직도"/>
      <sheetName val="공정표"/>
      <sheetName val="코스모공장 (어음)"/>
      <sheetName val="공구"/>
      <sheetName val="총괄내역서"/>
      <sheetName val="건축내역서"/>
      <sheetName val="조건"/>
      <sheetName val="실행"/>
      <sheetName val="A 견적"/>
      <sheetName val="주식"/>
      <sheetName val="공사개요"/>
      <sheetName val="원가계산서(거목)"/>
      <sheetName val="원가계산서(다숲)"/>
      <sheetName val="원가계산서(법정외주)"/>
      <sheetName val="총괄"/>
      <sheetName val="을"/>
      <sheetName val="공문"/>
      <sheetName val="수량산출"/>
      <sheetName val="갑지"/>
      <sheetName val="GAEYO"/>
      <sheetName val="내역서"/>
      <sheetName val="경산"/>
      <sheetName val="실행(ALT1)"/>
      <sheetName val="참조"/>
      <sheetName val="내역서2안"/>
      <sheetName val="_갑__지_"/>
      <sheetName val="환경기계공정표 (3)"/>
      <sheetName val="아파트"/>
      <sheetName val="목차"/>
      <sheetName val="값"/>
      <sheetName val="건축공사실행"/>
      <sheetName val="내역"/>
      <sheetName val="FAB별"/>
      <sheetName val="COVER"/>
      <sheetName val="계약내역(2)"/>
      <sheetName val="일위대가목록"/>
      <sheetName val="Sheet1"/>
      <sheetName val="변수값"/>
      <sheetName val="중기상차"/>
      <sheetName val="AS복구"/>
      <sheetName val="중기터파기"/>
      <sheetName val="시설물일위"/>
      <sheetName val="가설공사"/>
      <sheetName val="단가결정"/>
      <sheetName val="내역아"/>
      <sheetName val="울타리"/>
      <sheetName val="재료"/>
      <sheetName val="관접합및부설"/>
      <sheetName val="단가"/>
      <sheetName val="조명시설"/>
      <sheetName val="기안"/>
      <sheetName val="사급자재"/>
      <sheetName val="기계경비(시간당)"/>
      <sheetName val="램머"/>
      <sheetName val="본실행경비"/>
      <sheetName val="납부서"/>
      <sheetName val="입력데이타"/>
      <sheetName val="SPEC"/>
      <sheetName val="원가계산서"/>
      <sheetName val="원가계산"/>
      <sheetName val="SAM"/>
      <sheetName val="Sheet5"/>
      <sheetName val="물가대비표"/>
      <sheetName val="입찰안"/>
      <sheetName val="인사자료총집계"/>
      <sheetName val="기초단가"/>
      <sheetName val="견적"/>
      <sheetName val="수량-양식"/>
      <sheetName val="CTEMCOST"/>
      <sheetName val="설계명세서"/>
      <sheetName val="원가data"/>
      <sheetName val="카펫타일"/>
      <sheetName val="개산공사비"/>
      <sheetName val="Y-WORK"/>
      <sheetName val="01"/>
      <sheetName val="금액내역서"/>
      <sheetName val="투찰내역서"/>
      <sheetName val="건축"/>
      <sheetName val="Sheet1 (2)"/>
      <sheetName val="총 원가계산"/>
      <sheetName val="증감내역서"/>
      <sheetName val="노무비"/>
      <sheetName val="총괄갑 "/>
      <sheetName val="일위"/>
      <sheetName val="제경비율"/>
      <sheetName val="단가 (2)"/>
      <sheetName val="실행대비"/>
      <sheetName val="5사남"/>
      <sheetName val="ilch"/>
      <sheetName val="식재수량표"/>
      <sheetName val="일위목록"/>
      <sheetName val="원가계산하도"/>
      <sheetName val="전등설비"/>
      <sheetName val="실행철강하도"/>
      <sheetName val="EQT-ESTN"/>
      <sheetName val="연돌일위집계"/>
      <sheetName val="BID"/>
      <sheetName val="자재가격조사표"/>
      <sheetName val="단중표"/>
      <sheetName val="6호기"/>
      <sheetName val="내역서1999.8최종"/>
      <sheetName val="시중노임단가"/>
      <sheetName val="6PILE  (돌출)"/>
      <sheetName val="구성비"/>
      <sheetName val="화전내"/>
      <sheetName val="F4-F7"/>
      <sheetName val="벽체물량산출서"/>
      <sheetName val="지수"/>
      <sheetName val="---FAB#1업무일지---"/>
      <sheetName val="표지"/>
      <sheetName val="변경내역서"/>
      <sheetName val="11-2.아파트내역"/>
      <sheetName val="SG"/>
      <sheetName val="DATA1"/>
      <sheetName val="물량표"/>
      <sheetName val="노무"/>
      <sheetName val="진주방향"/>
      <sheetName val="용역비내역-진짜"/>
      <sheetName val="추정_최근현장"/>
      <sheetName val="리스트_최근현장"/>
      <sheetName val="팩스리스트"/>
      <sheetName val="날개벽수량표"/>
      <sheetName val="참고사항"/>
      <sheetName val="근로자자료입력"/>
      <sheetName val="당정동경상이수"/>
      <sheetName val="당정동공통이수"/>
      <sheetName val="총괄집계표"/>
      <sheetName val="전기"/>
      <sheetName val="정보"/>
      <sheetName val="factor(건축)"/>
      <sheetName val="산근"/>
      <sheetName val="세금자료"/>
      <sheetName val="총투입계"/>
      <sheetName val="직재"/>
      <sheetName val="교통대책내역"/>
      <sheetName val="기초입력 DATA"/>
      <sheetName val="사진대지"/>
      <sheetName val="국내조달(통합-1)"/>
      <sheetName val="수배전반"/>
      <sheetName val="001"/>
      <sheetName val="노임"/>
      <sheetName val="건축공사집계"/>
      <sheetName val="상호참고자료"/>
      <sheetName val="발주처자료입력"/>
      <sheetName val="회사기본자료"/>
      <sheetName val="하자보증자료"/>
      <sheetName val="기술자관련자료"/>
      <sheetName val="공통가설"/>
      <sheetName val="차액보증"/>
      <sheetName val="C3"/>
      <sheetName val=" 견적서"/>
      <sheetName val="노임단가 (2)"/>
      <sheetName val="플랜트 설치"/>
      <sheetName val="Option"/>
      <sheetName val="FORM-0"/>
      <sheetName val="실행_ALT1_"/>
      <sheetName val="을지"/>
      <sheetName val="견적조건"/>
      <sheetName val="건축집계표"/>
      <sheetName val="계산서(곡선부)"/>
      <sheetName val="포장재료집계표"/>
      <sheetName val="날개벽(시점좌측)"/>
      <sheetName val="1차 내역서"/>
      <sheetName val="파일의이용"/>
      <sheetName val="공종목록표"/>
      <sheetName val="합천내역"/>
      <sheetName val="출입자명단"/>
      <sheetName val="일위산출"/>
      <sheetName val="TEST1"/>
      <sheetName val="Sheet2"/>
      <sheetName val="실행내역"/>
      <sheetName val="자재단가"/>
      <sheetName val="장비경비"/>
      <sheetName val="해평견적"/>
      <sheetName val="자단"/>
      <sheetName val="직접경비"/>
      <sheetName val="직접인건비"/>
      <sheetName val="inter"/>
      <sheetName val="수리결과"/>
      <sheetName val="TYPE-A"/>
      <sheetName val="배명(단가)"/>
      <sheetName val="견적갑지"/>
      <sheetName val="물량내역"/>
      <sheetName val="예산서"/>
      <sheetName val="CONCRETE"/>
      <sheetName val="설계서"/>
      <sheetName val="업무분장"/>
      <sheetName val="BSD (2)"/>
      <sheetName val="PAINT"/>
      <sheetName val="설계서(본관)"/>
      <sheetName val="2000년1차"/>
      <sheetName val="건축내역"/>
      <sheetName val="0"/>
      <sheetName val="수목단가"/>
      <sheetName val="시설수량표"/>
      <sheetName val="청천내"/>
      <sheetName val="토목공사"/>
      <sheetName val="차수"/>
      <sheetName val="CON'C"/>
      <sheetName val="건축실행"/>
      <sheetName val="중기조종사 단위단가"/>
      <sheetName val="설명서 "/>
      <sheetName val="토목"/>
      <sheetName val="역T형교대(말뚝기초)"/>
      <sheetName val="배관배선내역"/>
      <sheetName val="결재판"/>
      <sheetName val="pier(각형)"/>
      <sheetName val="경비"/>
      <sheetName val="내역서01"/>
      <sheetName val="2-1. 경관조명 내역총괄표"/>
      <sheetName val="신.분"/>
      <sheetName val="공사_산출"/>
      <sheetName val="철거산출근거"/>
      <sheetName val="FOB발"/>
      <sheetName val="설비공사"/>
      <sheetName val="토공집계"/>
      <sheetName val="기성"/>
      <sheetName val="적격심사표"/>
      <sheetName val="현장별"/>
      <sheetName val="동별집계(비디오폰흑백-&gt;칼라)"/>
      <sheetName val="동별집계"/>
      <sheetName val="세부내역서"/>
      <sheetName val="가설공사내역"/>
      <sheetName val="토공연장"/>
      <sheetName val="자재"/>
      <sheetName val="설계내역"/>
      <sheetName val="2공구산출내역"/>
      <sheetName val="입력"/>
      <sheetName val="COST"/>
      <sheetName val="인건비 "/>
      <sheetName val="INPU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산출"/>
      <sheetName val="설비내역서"/>
      <sheetName val="전기내역서"/>
      <sheetName val="참조M"/>
      <sheetName val="소요자재"/>
      <sheetName val="05-원가계산"/>
      <sheetName val="장비집계"/>
      <sheetName val="Sheet3"/>
      <sheetName val="계목분류"/>
      <sheetName val="일위대가 "/>
      <sheetName val="말뚝지지력산정"/>
      <sheetName val="퍼스트"/>
      <sheetName val="기초일위"/>
      <sheetName val="시설일위"/>
      <sheetName val="조명일위"/>
      <sheetName val="정부노임단가"/>
      <sheetName val="단기차입금"/>
      <sheetName val="예정공정표"/>
      <sheetName val="초기화면"/>
      <sheetName val="관급자재"/>
      <sheetName val="Sheet4"/>
      <sheetName val="새공통"/>
      <sheetName val="배수내역"/>
      <sheetName val="입력시트"/>
      <sheetName val="구분자"/>
      <sheetName val="단가및재료비"/>
      <sheetName val="1"/>
      <sheetName val="2"/>
      <sheetName val="3"/>
      <sheetName val="4"/>
      <sheetName val="5"/>
      <sheetName val="6"/>
      <sheetName val="용수량(생활용수)"/>
      <sheetName val="견적율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한강운반비"/>
      <sheetName val="집계"/>
      <sheetName val="wall"/>
      <sheetName val="계정"/>
      <sheetName val="단가대비표"/>
      <sheetName val="연도별노무비(신)"/>
      <sheetName val="산출서"/>
      <sheetName val="980731"/>
      <sheetName val="3월팀계 "/>
      <sheetName val="전선 및 전선관-자유로"/>
      <sheetName val="관로터파기-자유로"/>
      <sheetName val="공사통보서"/>
      <sheetName val="철콘"/>
      <sheetName val="유림골조"/>
      <sheetName val="골조시행"/>
      <sheetName val="수량명세서"/>
      <sheetName val="99년신청"/>
      <sheetName val="ateCodes_x0000_TimeCodes_x0000_OverrideShor"/>
      <sheetName val="공사내역서"/>
      <sheetName val="APT"/>
      <sheetName val="C1.공사개요"/>
      <sheetName val="실행(1)"/>
      <sheetName val="A1.스케쥴"/>
      <sheetName val="삭제금지단가"/>
      <sheetName val="간지"/>
      <sheetName val="공사요율"/>
      <sheetName val="Customer Databas"/>
      <sheetName val="코드"/>
      <sheetName val="중기사용료산출근거"/>
      <sheetName val="단가 및 재료비"/>
      <sheetName val="단가(자재)"/>
      <sheetName val="단가(노임)"/>
      <sheetName val="기초목록"/>
      <sheetName val="계획금액"/>
      <sheetName val="우수받이재료집계표"/>
      <sheetName val="가시설단위수량"/>
      <sheetName val="SORCE1"/>
      <sheetName val="단위수량"/>
      <sheetName val="1호맨홀가감수량"/>
      <sheetName val="아파트 내역"/>
      <sheetName val="가시설(TYPE-A)"/>
      <sheetName val="1호맨홀수량산출"/>
      <sheetName val="1-1평균터파기고(1)"/>
      <sheetName val="출자한도"/>
      <sheetName val="가감수량"/>
      <sheetName val="맨홀수량산출"/>
      <sheetName val="간접"/>
      <sheetName val="장비사양"/>
      <sheetName val="단가조사"/>
      <sheetName val="토사(PE)"/>
      <sheetName val="가공비"/>
      <sheetName val="예산"/>
      <sheetName val="단위가격"/>
      <sheetName val="1SGATE97"/>
      <sheetName val="단가보완"/>
      <sheetName val="공사비총괄표"/>
      <sheetName val="하수실행"/>
      <sheetName val="SR97-1"/>
      <sheetName val="청하배수"/>
      <sheetName val="99노임기준"/>
      <sheetName val="터널조도"/>
      <sheetName val="측량요율"/>
      <sheetName val="자재대"/>
      <sheetName val="내역서 제출"/>
      <sheetName val="연부97-1"/>
      <sheetName val="#3_일위대가목록"/>
      <sheetName val="1-최종안"/>
      <sheetName val="사업분석-분양가결정"/>
      <sheetName val="수정시산표"/>
      <sheetName val="매출현황"/>
      <sheetName val="등록자료"/>
      <sheetName val="입력정보"/>
      <sheetName val="본선토량운반계산서(1)0"/>
      <sheetName val="백암비스타내역"/>
      <sheetName val="토공사"/>
      <sheetName val="포장복구집계"/>
      <sheetName val="부표총괄"/>
      <sheetName val="AS포장복구 "/>
      <sheetName val="MAT_N048"/>
      <sheetName val="토목내역"/>
      <sheetName val="설계명세서-2"/>
      <sheetName val="빙장비사양"/>
      <sheetName val="노무비단가"/>
      <sheetName val="9811"/>
      <sheetName val="회사정보"/>
      <sheetName val="Apt내역"/>
      <sheetName val="경쟁실분"/>
      <sheetName val="고유코드_설계"/>
      <sheetName val="아파트 "/>
      <sheetName val="자판실행"/>
      <sheetName val="DATA 입력란"/>
      <sheetName val="수목표준대가"/>
      <sheetName val="횡배수관"/>
      <sheetName val="투입비분석표"/>
      <sheetName val="주공 갑지"/>
      <sheetName val="FD"/>
      <sheetName val="LD"/>
      <sheetName val="울산시산표"/>
      <sheetName val="G.R300경비"/>
      <sheetName val="표준건축비"/>
      <sheetName val="1안98Billing"/>
      <sheetName val="친환경주택"/>
      <sheetName val="工완성공사율"/>
      <sheetName val="신_분"/>
      <sheetName val="[내역서(ͭ_x0000_ͭ_x0000__x001c__x0000__x001c__x0000_가표"/>
      <sheetName val="견적1"/>
      <sheetName val="일위_파일"/>
      <sheetName val="제경비"/>
      <sheetName val="실적공사비"/>
      <sheetName val="입력(K0)"/>
      <sheetName val="장비기준"/>
      <sheetName val="재료비"/>
      <sheetName val="환율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부속동"/>
      <sheetName val="6동"/>
      <sheetName val="내역1"/>
      <sheetName val="-치수표(곡선부)"/>
      <sheetName val="BLOCK(1)"/>
      <sheetName val="2003상반기노임기준"/>
      <sheetName val="전차선로 물량표"/>
      <sheetName val="회선별대책안(한전)"/>
      <sheetName val="ateCodes"/>
      <sheetName val="00000"/>
      <sheetName val="최적단면"/>
      <sheetName val="대비"/>
      <sheetName val="현금및현금등가물"/>
      <sheetName val="계정code"/>
      <sheetName val="기계경비"/>
      <sheetName val="아파트기별"/>
      <sheetName val="공리일"/>
      <sheetName val="월별수입"/>
      <sheetName val="경율산정.XLS"/>
      <sheetName val="8.설치품셈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[내역서(ͭ?ͭ?_x001c_?_x001c_?가표"/>
      <sheetName val="D"/>
      <sheetName val="목표세부명세"/>
      <sheetName val="소업1교"/>
      <sheetName val="전익자재"/>
      <sheetName val="매입세율"/>
      <sheetName val="DATA"/>
      <sheetName val="보증종류"/>
      <sheetName val="설계예산서"/>
      <sheetName val="예산내역서"/>
      <sheetName val="총계"/>
      <sheetName val="우배수"/>
      <sheetName val="계산식"/>
      <sheetName val="2.고용보험료산출근거"/>
      <sheetName val="database"/>
      <sheetName val="CC16-내역서"/>
      <sheetName val="21301동"/>
      <sheetName val="9-1차이내역"/>
      <sheetName val="설계조건"/>
      <sheetName val="출력"/>
      <sheetName val="4동급수"/>
      <sheetName val="도급"/>
      <sheetName val="경영상태"/>
      <sheetName val="제안서입력"/>
      <sheetName val="거래처등록"/>
      <sheetName val="참고자료"/>
      <sheetName val="은행코드"/>
      <sheetName val="품셈표"/>
      <sheetName val="자재단가비교표"/>
      <sheetName val="Macro(전선)"/>
      <sheetName val="금융비용"/>
      <sheetName val="관련부서"/>
      <sheetName val="공사내역"/>
      <sheetName val="조도계산서 (도서)"/>
      <sheetName val="부하(성남)"/>
      <sheetName val="용역비내역_진짜"/>
      <sheetName val="산출근거-배전"/>
      <sheetName val="1.동력공사"/>
      <sheetName val="노임(1차)"/>
      <sheetName val="XL4Poppy"/>
      <sheetName val="수지표"/>
      <sheetName val="셀명"/>
      <sheetName val="분석대장"/>
      <sheetName val="base"/>
      <sheetName val="COVER-P"/>
      <sheetName val="VST재료산출"/>
      <sheetName val="노임단가표"/>
      <sheetName val="손익집계(공장별)"/>
      <sheetName val="금회지출"/>
      <sheetName val="문학간접"/>
      <sheetName val="b_balju_cho"/>
      <sheetName val="BTL시설예산 기준표"/>
      <sheetName val="5.학교신설예산 집행(01~08)"/>
      <sheetName val="점검결과(08년 100교 지원)"/>
      <sheetName val="_갑__지_2"/>
      <sheetName val="실DATA_2"/>
      <sheetName val="코스모공장_(어음)1"/>
      <sheetName val="A_견적1"/>
      <sheetName val="환경기계공정표_(3)1"/>
      <sheetName val="단가_(2)1"/>
      <sheetName val="Sheet1_(2)1"/>
      <sheetName val="총_원가계산1"/>
      <sheetName val="1차_내역서"/>
      <sheetName val="6PILE__(돌출)1"/>
      <sheetName val="총괄갑_1"/>
      <sheetName val="11-2_아파트내역1"/>
      <sheetName val="내역서1999_8최종1"/>
      <sheetName val="기초입력_DATA"/>
      <sheetName val="노임단가_(2)"/>
      <sheetName val="_견적서"/>
      <sheetName val="2-1__경관조명_내역총괄표"/>
      <sheetName val="플랜트_설치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인건비_"/>
      <sheetName val="BSD_(2)"/>
      <sheetName val="중기조종사_단위단가"/>
      <sheetName val="설명서_"/>
      <sheetName val="일위대가_"/>
      <sheetName val="3월팀계_"/>
      <sheetName val="C1_공사개요"/>
      <sheetName val="A1_스케쥴"/>
      <sheetName val="Customer_Databas"/>
      <sheetName val="전선_및_전선관-자유로"/>
      <sheetName val="아파트_내역"/>
      <sheetName val="[내역서(ͭ"/>
      <sheetName val="품셈 "/>
      <sheetName val="방화도료"/>
      <sheetName val="물가시세"/>
      <sheetName val="5-1신설물량"/>
      <sheetName val="사업총괄"/>
      <sheetName val="수량3"/>
      <sheetName val="각형맨홀"/>
      <sheetName val="5.직원투입현황"/>
      <sheetName val="판가반영"/>
      <sheetName val="방배동내역(리라)"/>
      <sheetName val="부대공사총괄"/>
      <sheetName val="건축공사집계표"/>
      <sheetName val="참고"/>
      <sheetName val="BQ(실행)"/>
      <sheetName val="ateCodes?TimeCodes?OverrideShor"/>
      <sheetName val="2.대외공문"/>
      <sheetName val="손익분석"/>
      <sheetName val="1안"/>
      <sheetName val="교각1"/>
      <sheetName val="수량산출(음암)"/>
      <sheetName val="관람석제출"/>
      <sheetName val="낙찰표"/>
      <sheetName val="양식3"/>
      <sheetName val="영동(D)"/>
      <sheetName val="간선계산"/>
      <sheetName val="산출집계"/>
      <sheetName val="1. 조명내역서(조명설치)"/>
      <sheetName val="2. 조명내역서(조명자재)"/>
      <sheetName val="일위대가집계표"/>
      <sheetName val="일일작업현황"/>
      <sheetName val="견적단가"/>
      <sheetName val="신축(단위)"/>
      <sheetName val="수안보-MBR1"/>
      <sheetName val="전체내역 (2)"/>
      <sheetName val="FB25JN"/>
      <sheetName val="사통"/>
      <sheetName val="실행내역서 "/>
      <sheetName val="6-1. 관개량조서"/>
      <sheetName val="설계가"/>
      <sheetName val="내역- CCTV"/>
      <sheetName val="한일양산"/>
      <sheetName val="안정계산"/>
      <sheetName val="단면검토"/>
      <sheetName val="EQUIP LIST"/>
      <sheetName val="부하계산서"/>
      <sheetName val="패널"/>
      <sheetName val="장문교(대전)"/>
      <sheetName val="예정공정표 "/>
      <sheetName val="우각부보강"/>
      <sheetName val="물류최종8월7"/>
      <sheetName val="인수공"/>
      <sheetName val="당초"/>
      <sheetName val="단가_및_재료비"/>
      <sheetName val="주공_갑지"/>
      <sheetName val="AS포장복구_"/>
      <sheetName val="G_R300경비"/>
      <sheetName val="[내역서(ͭͭ가표"/>
      <sheetName val="DATA_입력란"/>
      <sheetName val="계좌분리(계약)"/>
      <sheetName val="계좌분리(기성)"/>
      <sheetName val="총괄(데이소)"/>
      <sheetName val="총괄(데이전)"/>
      <sheetName val="총괄(데이터)"/>
      <sheetName val="단가조정"/>
      <sheetName val="소총괄"/>
      <sheetName val="소총괄(집계)"/>
      <sheetName val="설계예시"/>
      <sheetName val="설비(제출)"/>
      <sheetName val="중동공구"/>
      <sheetName val="7.기-검-보.100"/>
      <sheetName val="입력자료"/>
      <sheetName val="원본"/>
      <sheetName val="98수문일위"/>
      <sheetName val="_내역서(ͭ"/>
      <sheetName val="&quot;"/>
      <sheetName val="단가산출2"/>
      <sheetName val="단가산출1"/>
      <sheetName val="Raw Data"/>
      <sheetName val="시행후면적"/>
      <sheetName val="수지예산"/>
      <sheetName val="nys"/>
      <sheetName val="연령별자료"/>
      <sheetName val="_내역서(ͭ_ͭ__x001c___x001c__가표"/>
      <sheetName val="페이지"/>
      <sheetName val="XREF"/>
      <sheetName val="양촌면도평리"/>
      <sheetName val="S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파일의이용"/>
      <sheetName val="DATE"/>
      <sheetName val="Customer Databas"/>
      <sheetName val="유림공통"/>
      <sheetName val="0831"/>
      <sheetName val="0915"/>
      <sheetName val="0915 (2)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D급현장 (2)_x0000__x0000__x0000__x0000__x0000__x0000__x0000__x0000__x0000__x0009__x0000_飰ঊ_x0000__x0004__x0000__x0000__x0000__x0000__x0000__x0000_ϸঈ"/>
      <sheetName val="D급현장 (2)_x0000__x0009_飰ঊ_x0004__x0000_ϸঈ餘ঊn_x0000__x0011_[유림콘도.XLS]"/>
      <sheetName val="새공통"/>
      <sheetName val="도곡동빌라트보관"/>
      <sheetName val="공사비대비"/>
      <sheetName val="골조물량"/>
      <sheetName val="동바리外"/>
      <sheetName val="공사비총괄표"/>
      <sheetName val="내역총괄표 "/>
      <sheetName val="여과지동"/>
      <sheetName val="기초자료"/>
      <sheetName val="구의33고"/>
      <sheetName val="기본일위"/>
      <sheetName val="일위대가"/>
      <sheetName val="guard(mac)"/>
      <sheetName val="차액보증"/>
      <sheetName val="내역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유림콘도"/>
      <sheetName val="투입비"/>
      <sheetName val="공통비(전체)"/>
      <sheetName val="01"/>
      <sheetName val="자재단가"/>
      <sheetName val="경산"/>
      <sheetName val="입찰안"/>
      <sheetName val="산출금액내역"/>
      <sheetName val="데이타"/>
      <sheetName val="설계내역서"/>
      <sheetName val="전기"/>
      <sheetName val="현장관리비"/>
      <sheetName val="공통비총괄표"/>
      <sheetName val="조건"/>
      <sheetName val="Total"/>
      <sheetName val="48신설단가"/>
      <sheetName val="일위대가(1)"/>
      <sheetName val="일산실행내역"/>
      <sheetName val="본사공가현황"/>
      <sheetName val="미드수량"/>
      <sheetName val="선정요령"/>
      <sheetName val="실행철강하도"/>
      <sheetName val="교통대책내역"/>
      <sheetName val="2002하반기노임기준"/>
      <sheetName val="기초코드"/>
      <sheetName val="품목납기"/>
      <sheetName val="갑지(추정)"/>
      <sheetName val="일위대가표"/>
      <sheetName val="집계표"/>
      <sheetName val="신대방33(적용)"/>
      <sheetName val="APT"/>
      <sheetName val="견적정보"/>
      <sheetName val="변경비교-을"/>
      <sheetName val="터파기및재료"/>
      <sheetName val="공종단가"/>
      <sheetName val="요율"/>
      <sheetName val="자재대"/>
      <sheetName val="기계경비(시간당)"/>
      <sheetName val="램머"/>
      <sheetName val="소비자가"/>
      <sheetName val="조직"/>
      <sheetName val="원가서"/>
      <sheetName val="입력"/>
      <sheetName val="대전(세창동)"/>
      <sheetName val="내역서"/>
      <sheetName val="1차 내역서"/>
      <sheetName val="데이타입력"/>
      <sheetName val="수량산출"/>
      <sheetName val="공사단가"/>
      <sheetName val="#REF"/>
      <sheetName val="노임"/>
      <sheetName val="평가데이터"/>
      <sheetName val="개요"/>
      <sheetName val="실행기초"/>
      <sheetName val="pier(각형)"/>
      <sheetName val="울산자동제어"/>
      <sheetName val="EQT-ESTN"/>
      <sheetName val="3.공통공사대비"/>
      <sheetName val="bid"/>
      <sheetName val="실행간접비"/>
      <sheetName val="변경명신물량 (2)"/>
      <sheetName val="목록"/>
      <sheetName val="중기"/>
      <sheetName val="ELECTRIC"/>
    </sheetNames>
    <sheetDataSet>
      <sheetData sheetId="0">
        <row r="36">
          <cell r="X36" t="str">
            <v>연  면  적</v>
          </cell>
        </row>
      </sheetData>
      <sheetData sheetId="1" refreshError="1"/>
      <sheetData sheetId="2" refreshError="1"/>
      <sheetData sheetId="3">
        <row r="36">
          <cell r="X36" t="str">
            <v>연  면  적</v>
          </cell>
        </row>
      </sheetData>
      <sheetData sheetId="4"/>
      <sheetData sheetId="5">
        <row r="36">
          <cell r="X36" t="str">
            <v>연  면  적</v>
          </cell>
        </row>
      </sheetData>
      <sheetData sheetId="6">
        <row r="36">
          <cell r="X36" t="str">
            <v>연  면  적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내역"/>
      <sheetName val="NYS"/>
      <sheetName val="하도업체(mal)_x0009_送곇엇듅⣌洀愀氀⤀ȀĀ노임_x0002_ꔁ䓇ҾĀ자재단"/>
      <sheetName val="인건비 "/>
      <sheetName val="설계내역서"/>
      <sheetName val="갑지1"/>
      <sheetName val="1.취수장"/>
      <sheetName val="미장"/>
      <sheetName val="일위대가"/>
      <sheetName val="중기조종사 단위단가"/>
      <sheetName val="실행내역서 "/>
      <sheetName val="CTEMCOST"/>
      <sheetName val="경비"/>
      <sheetName val="설직재-1"/>
      <sheetName val="Sheet2"/>
      <sheetName val="APT"/>
      <sheetName val="업체FIX"/>
      <sheetName val="예상"/>
      <sheetName val="Sheet1"/>
      <sheetName val="자료"/>
      <sheetName val="금관"/>
      <sheetName val="경주"/>
      <sheetName val="백화"/>
      <sheetName val="01"/>
      <sheetName val="부대tu"/>
      <sheetName val="하도업체(mal)_x0009_送곇엇듅⣌洀愀氀⤀ȀĀ노임?ꔁ䓇ҾĀ자재단"/>
      <sheetName val="견적의뢰"/>
      <sheetName val="밸브설치"/>
      <sheetName val="Y-WORK"/>
      <sheetName val="FRP PIPING 일위대가"/>
      <sheetName val="별표 "/>
      <sheetName val="기계"/>
      <sheetName val="정화조"/>
      <sheetName val="조경"/>
      <sheetName val="토목"/>
      <sheetName val="샤워실위생"/>
      <sheetName val="시설물"/>
      <sheetName val="식재출력용"/>
      <sheetName val="유지관리"/>
      <sheetName val="조달청적격심사"/>
      <sheetName val="전기(기계전기실)"/>
      <sheetName val="전기(열차제어)"/>
      <sheetName val="전기(전기성능)"/>
      <sheetName val="전기(차량)"/>
      <sheetName val="전기(차량부품)"/>
      <sheetName val="I.일위대가목차"/>
      <sheetName val="국내조달(통합-1)"/>
      <sheetName val="NN"/>
      <sheetName val="안양건축"/>
      <sheetName val="주공 갑지"/>
      <sheetName val="골프장예산"/>
      <sheetName val="단가조정"/>
      <sheetName val="공통가설"/>
      <sheetName val="현장관리비"/>
      <sheetName val="장비비"/>
      <sheetName val="00노임기준"/>
      <sheetName val="DATE"/>
      <sheetName val="#REF"/>
      <sheetName val="문학간접"/>
      <sheetName val="간접"/>
      <sheetName val="노임단가"/>
      <sheetName val="별표"/>
      <sheetName val="하도업체(mal) 送곇엇듅⣌洀愀氀⤀ȀĀ노임_x0002_ꔁ䓇ҾĀ자재단"/>
      <sheetName val="하도업체(mal) 送곇엇듅⣌洀愀氀⤀ȀĀ노임?ꔁ䓇ҾĀ자재단"/>
      <sheetName val="노무비단가"/>
      <sheetName val="갑지(요약)"/>
      <sheetName val="C1ㅇ"/>
      <sheetName val="변수값"/>
      <sheetName val="중기상차"/>
      <sheetName val="AS복구"/>
      <sheetName val="중기터파기"/>
      <sheetName val="공정코드"/>
      <sheetName val="우배수"/>
      <sheetName val="기초자료입력"/>
      <sheetName val="연결임시"/>
      <sheetName val="연부97-1"/>
      <sheetName val="교량하부공"/>
      <sheetName val="산출금액내역"/>
      <sheetName val="구조물공"/>
      <sheetName val="부대공"/>
      <sheetName val="배수공"/>
      <sheetName val="토공"/>
      <sheetName val="포장공"/>
      <sheetName val="정산서"/>
      <sheetName val="보호"/>
      <sheetName val="내역서"/>
      <sheetName val="산근"/>
      <sheetName val="구간산출"/>
      <sheetName val="기본일위"/>
      <sheetName val="03전반노무비"/>
      <sheetName val="토목주소"/>
      <sheetName val="파이프류"/>
      <sheetName val="건축내역"/>
      <sheetName val="경율산정"/>
      <sheetName val="효명0010"/>
      <sheetName val="예정공정표(금회분)"/>
      <sheetName val="예정공정표(전체분)"/>
      <sheetName val="남평내역"/>
      <sheetName val="감액총괄표"/>
      <sheetName val="조명시설"/>
      <sheetName val="산출1"/>
      <sheetName val="에너지요금"/>
      <sheetName val="실행간접비용"/>
      <sheetName val="고합"/>
      <sheetName val="유림골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NEW비교"/>
      <sheetName val="의뢰"/>
      <sheetName val="견적조건"/>
      <sheetName val="품의서"/>
      <sheetName val="새공통(97년3월)"/>
      <sheetName val="건축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전기"/>
      <sheetName val="설비"/>
      <sheetName val="토공사및 흙막이공사"/>
      <sheetName val="옥외"/>
      <sheetName val="물가상승1"/>
      <sheetName val="써100 (A4)"/>
      <sheetName val="제출표지"/>
      <sheetName val="노임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0715양식"/>
      <sheetName val="유림골조"/>
      <sheetName val="공통부대비"/>
      <sheetName val="태화42 "/>
      <sheetName val="부산제일극장"/>
      <sheetName val="현장경상비"/>
      <sheetName val="임원,관리,별도"/>
      <sheetName val="0314재고확인"/>
      <sheetName val="Sheet1"/>
      <sheetName val="CDTK"/>
      <sheetName val="신메뉴백"/>
      <sheetName val="신메뉴백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실행내역"/>
      <sheetName val="일반부표"/>
      <sheetName val="1.가로등설비 산출집계"/>
      <sheetName val="거제도"/>
      <sheetName val="원가계산 (2)"/>
      <sheetName val="분전함신설"/>
      <sheetName val="접지1종"/>
      <sheetName val="표준건축비"/>
      <sheetName val="갑지1"/>
      <sheetName val="소비자가"/>
      <sheetName val="정부노임단가"/>
      <sheetName val="Breakdown"/>
      <sheetName val="UnitRate"/>
      <sheetName val="경제성분석"/>
      <sheetName val="N賃率-職"/>
      <sheetName val="표지"/>
      <sheetName val="집계표"/>
      <sheetName val=" 견적서"/>
      <sheetName val="집계"/>
      <sheetName val="유림골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"/>
      <sheetName val="집계표"/>
      <sheetName val="BID"/>
      <sheetName val="입찰안"/>
      <sheetName val="APT"/>
      <sheetName val="신우"/>
      <sheetName val="입력"/>
      <sheetName val="내역서"/>
      <sheetName val="DATE"/>
      <sheetName val="일위대가표"/>
      <sheetName val="Total"/>
      <sheetName val="신대방33(적용)"/>
      <sheetName val="일위대가(가설)"/>
      <sheetName val="실행(ALT1)"/>
      <sheetName val="설계내역서"/>
      <sheetName val="산근"/>
      <sheetName val="실행"/>
      <sheetName val="돈암사업"/>
      <sheetName val="단가산출"/>
      <sheetName val="원남울진낙찰내역(99.4.13 부산청)"/>
      <sheetName val="울산자동제어"/>
      <sheetName val="교통대책내역"/>
      <sheetName val="간접"/>
      <sheetName val="단가"/>
      <sheetName val="마산월령동골조물량변경"/>
      <sheetName val="2.건축"/>
      <sheetName val="개요"/>
      <sheetName val="현황산출서"/>
      <sheetName val="구의33고"/>
      <sheetName val="수량산출"/>
      <sheetName val="터파기및재료"/>
      <sheetName val="Sheet4"/>
      <sheetName val="자료입력"/>
      <sheetName val="비교1"/>
      <sheetName val="노임"/>
      <sheetName val="2000년1차"/>
      <sheetName val="증감내역서"/>
      <sheetName val="98수문일위"/>
      <sheetName val="Sheet1 (2)"/>
      <sheetName val="C-노임단가"/>
      <sheetName val="s"/>
      <sheetName val="식재가격"/>
      <sheetName val="식재총괄"/>
      <sheetName val="코드"/>
      <sheetName val="내역서 (2)"/>
      <sheetName val="화설내"/>
      <sheetName val="산출내역서집계표"/>
      <sheetName val="토목내역"/>
      <sheetName val="갑지(추정)"/>
      <sheetName val="콘크리트타설집계표"/>
      <sheetName val="아파트-가설"/>
      <sheetName val="소방사항"/>
      <sheetName val="45,46"/>
      <sheetName val="단"/>
      <sheetName val="데리네이타현황"/>
      <sheetName val="시운전연료"/>
      <sheetName val="소비자가"/>
      <sheetName val="골조시행"/>
      <sheetName val="N賃率-職"/>
      <sheetName val="포천송우교회_CheckList"/>
      <sheetName val="MOKDONG(1)"/>
      <sheetName val="일위목록"/>
      <sheetName val="여과지동"/>
      <sheetName val="기초자료"/>
      <sheetName val="코드표"/>
      <sheetName val="2.대외공문"/>
      <sheetName val="EACT10"/>
      <sheetName val="3BL공동구 수량"/>
      <sheetName val="보안등"/>
      <sheetName val="본부장"/>
      <sheetName val="가로등내역서"/>
      <sheetName val="화전내"/>
      <sheetName val="대비"/>
      <sheetName val="자재"/>
      <sheetName val="물가기준년"/>
      <sheetName val="장비기준"/>
      <sheetName val="개산공사비"/>
      <sheetName val="내역(중앙)"/>
      <sheetName val="내역(창신)"/>
      <sheetName val="실행내역서 "/>
      <sheetName val="기계내역"/>
      <sheetName val="인사자료총집계"/>
      <sheetName val="수정금지"/>
      <sheetName val="공사"/>
      <sheetName val="갑지"/>
      <sheetName val="준검 내역서"/>
      <sheetName val="#REF"/>
      <sheetName val="기초단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1유리"/>
      <sheetName val="6호기"/>
      <sheetName val="여과지동"/>
      <sheetName val="기초자료"/>
      <sheetName val="8월차잔"/>
      <sheetName val="입찰안"/>
      <sheetName val="지우지말것"/>
      <sheetName val="실행"/>
      <sheetName val="내역서"/>
      <sheetName val="CAUDIT"/>
      <sheetName val="자재단가"/>
      <sheetName val="플랜트 설치"/>
      <sheetName val="안양동교 1안"/>
      <sheetName val="선급금신청서"/>
      <sheetName val="연습"/>
      <sheetName val="물량표"/>
      <sheetName val="실행철강하도"/>
      <sheetName val="업체(0801)"/>
      <sheetName val="Total"/>
      <sheetName val="노임이"/>
      <sheetName val="수량산출"/>
      <sheetName val="금융비용"/>
      <sheetName val="건축"/>
      <sheetName val="인부신상자료"/>
      <sheetName val="Sheet1"/>
      <sheetName val="갑지(추정)"/>
      <sheetName val="집계표"/>
      <sheetName val="CTEMCOST"/>
      <sheetName val="Anam Fab PL"/>
      <sheetName val="Schedules"/>
      <sheetName val="인천제철"/>
      <sheetName val="내역"/>
      <sheetName val="일위대가"/>
      <sheetName val="유림총괄"/>
      <sheetName val="수입"/>
      <sheetName val="차액보증"/>
      <sheetName val="점수계산1-2"/>
      <sheetName val="관리본부10"/>
      <sheetName val="은행"/>
      <sheetName val="#REF"/>
      <sheetName val="시멘트"/>
      <sheetName val="개요"/>
      <sheetName val="원가계산서"/>
      <sheetName val="본실행경비"/>
      <sheetName val="플랜트_설치"/>
      <sheetName val="안양동교_1안"/>
      <sheetName val="Anam_Fab_PL"/>
      <sheetName val="다곡2교"/>
      <sheetName val="2.주요계수총괄"/>
      <sheetName val="목차"/>
      <sheetName val="가설건물"/>
      <sheetName val="간지"/>
      <sheetName val="산출근거"/>
      <sheetName val="회사정보"/>
      <sheetName val="수지"/>
      <sheetName val="Sheet2"/>
      <sheetName val="득점현황"/>
      <sheetName val="손익"/>
      <sheetName val="조직도"/>
      <sheetName val="조명시설"/>
      <sheetName val="전계가"/>
      <sheetName val="입찰견적보고서"/>
      <sheetName val="45,46"/>
      <sheetName val="업체('08)"/>
      <sheetName val="MIJIBI"/>
      <sheetName val="손익분석"/>
      <sheetName val="국내조달(통합-1)"/>
      <sheetName val="인사자료총집계"/>
      <sheetName val="선급비용"/>
      <sheetName val="지급자재"/>
      <sheetName val="월별손익"/>
      <sheetName val="업체명"/>
      <sheetName val="Sheet5"/>
      <sheetName val="한화금융비"/>
      <sheetName val="CONCRETE"/>
      <sheetName val="중기일위대가"/>
      <sheetName val="노임단가"/>
      <sheetName val="입력"/>
      <sheetName val="설계내역서"/>
      <sheetName val="실행내역서 "/>
      <sheetName val="Xunit (단위환산)"/>
      <sheetName val="소방사항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집계표"/>
      <sheetName val="총괄내역서"/>
      <sheetName val="일위대가"/>
      <sheetName val="단가"/>
      <sheetName val="갑지(추정)"/>
      <sheetName val="입찰안"/>
      <sheetName val="시화점실행"/>
      <sheetName val="개요"/>
      <sheetName val="관급"/>
      <sheetName val="WORK"/>
      <sheetName val="원도급"/>
      <sheetName val="하도급"/>
      <sheetName val="전기공사"/>
      <sheetName val="차액보증"/>
      <sheetName val="자재단가"/>
      <sheetName val="Total"/>
      <sheetName val="일위대가(1)"/>
      <sheetName val="단가표"/>
      <sheetName val="금융비용"/>
      <sheetName val="대림경상68억"/>
      <sheetName val="현장별"/>
      <sheetName val="원남울진낙찰내역(99.4.13 부산청)"/>
      <sheetName val="산출내역서집계표"/>
      <sheetName val="공사"/>
      <sheetName val="SOS_PLC &amp; Panel"/>
      <sheetName val="DATE"/>
      <sheetName val="내역"/>
      <sheetName val="기본단가표"/>
      <sheetName val="원가서"/>
      <sheetName val="DANGA"/>
      <sheetName val="공통(20-91)"/>
      <sheetName val="터파기및재료"/>
      <sheetName val="wall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#REF"/>
      <sheetName val="N賃率-職"/>
      <sheetName val="수량산출"/>
      <sheetName val="골조시행"/>
      <sheetName val="마산월령동골조물량변경"/>
      <sheetName val="내역서"/>
      <sheetName val="_갑지"/>
      <sheetName val="Sheet1"/>
      <sheetName val="Sheet3"/>
      <sheetName val="원하대비"/>
      <sheetName val="1단계"/>
      <sheetName val="공사비증감"/>
      <sheetName val="조명시설"/>
      <sheetName val="날개벽수량표"/>
      <sheetName val="부대공Ⅱ"/>
      <sheetName val="원본(갑지)"/>
      <sheetName val="일위대가표"/>
      <sheetName val="신고조서"/>
      <sheetName val="환율change"/>
      <sheetName val="옥외외등집계표"/>
      <sheetName val="참조자료"/>
      <sheetName val="공사비집계"/>
      <sheetName val="CAUDIT"/>
      <sheetName val="세부추진"/>
      <sheetName val="상용보강"/>
      <sheetName val="여과지동"/>
      <sheetName val="기초자료"/>
      <sheetName val="프랜트면허"/>
      <sheetName val="토목주소"/>
      <sheetName val="Sheet4"/>
      <sheetName val="견적정보"/>
      <sheetName val=" 갑지"/>
      <sheetName val="sh1"/>
      <sheetName val="선급금신청서"/>
      <sheetName val="98지급계획"/>
      <sheetName val="부하계산서"/>
      <sheetName val="기안"/>
      <sheetName val="공통가설"/>
      <sheetName val="도급"/>
      <sheetName val="손익분석"/>
      <sheetName val="갑지"/>
      <sheetName val="원가"/>
      <sheetName val="추가예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산출내역서"/>
      <sheetName val="후다내역"/>
      <sheetName val="입찰안"/>
      <sheetName val="BID"/>
      <sheetName val=" HIT-&gt;HMC 견적(3900)"/>
      <sheetName val="한전일위"/>
      <sheetName val="일위대가목록"/>
      <sheetName val="일위대가"/>
      <sheetName val="투찰내역"/>
      <sheetName val="갑지"/>
      <sheetName val="현장관리비"/>
      <sheetName val="SG"/>
      <sheetName val="일위목록"/>
      <sheetName val="요율"/>
      <sheetName val="간접비계산"/>
      <sheetName val="실행철강하도"/>
      <sheetName val="합계"/>
      <sheetName val="일위CODE"/>
      <sheetName val="산수배수"/>
      <sheetName val="단가"/>
      <sheetName val="Macro1"/>
      <sheetName val="중기비"/>
      <sheetName val="노무비"/>
      <sheetName val="원가계산서"/>
      <sheetName val="관급자재"/>
      <sheetName val="#2_일위대가목록"/>
      <sheetName val="1공구산출내역서"/>
      <sheetName val="건설성적"/>
      <sheetName val="일  위  대  가  목  록"/>
      <sheetName val="인부신상자료"/>
      <sheetName val="간접(90)"/>
      <sheetName val="6. 안전관리비"/>
      <sheetName val="품셈"/>
      <sheetName val="금액결정"/>
      <sheetName val="직노"/>
      <sheetName val="2공구산출내역"/>
      <sheetName val="교각토공 _2_"/>
      <sheetName val="세부추진"/>
      <sheetName val="제안서"/>
      <sheetName val="상용보강"/>
      <sheetName val="행정표준(1)"/>
      <sheetName val="행정표준(2)"/>
      <sheetName val="일위산출"/>
      <sheetName val="1공구원가계산서"/>
      <sheetName val="1유리"/>
      <sheetName val="운반비요율"/>
      <sheetName val="자재단가"/>
      <sheetName val="1,2공구원가계산서"/>
      <sheetName val="3.공통공사대비"/>
      <sheetName val="당초명세(평)"/>
      <sheetName val="조명율표"/>
      <sheetName val="설계가"/>
      <sheetName val="DHEQSUPT"/>
      <sheetName val="INSTR"/>
      <sheetName val="단가산출"/>
      <sheetName val="장문교(대전)"/>
      <sheetName val="관급"/>
      <sheetName val="장비"/>
      <sheetName val="산근1"/>
      <sheetName val="노무"/>
      <sheetName val="자재"/>
      <sheetName val="우배수"/>
      <sheetName val="계산식"/>
      <sheetName val="전체"/>
      <sheetName val="일일"/>
      <sheetName val="호안사석"/>
      <sheetName val="배수자집"/>
      <sheetName val="#2정산"/>
      <sheetName val="원형1호맨홀토공수량"/>
      <sheetName val="HRSG SMALL07220"/>
      <sheetName val="#REF"/>
      <sheetName val="JUCKEYK"/>
      <sheetName val="S0"/>
      <sheetName val="기본설계기준"/>
      <sheetName val="일위"/>
      <sheetName val="단가적용"/>
      <sheetName val="저"/>
      <sheetName val="참조"/>
      <sheetName val="유동표"/>
      <sheetName val="PI"/>
      <sheetName val="품셈총괄표"/>
      <sheetName val="2000년1차"/>
      <sheetName val="2000전체분"/>
      <sheetName val="b_balju"/>
      <sheetName val="조건표"/>
      <sheetName val="증감내역서"/>
      <sheetName val="차액보증"/>
      <sheetName val="별표집계"/>
      <sheetName val="Macro2"/>
      <sheetName val="코드표"/>
      <sheetName val="견적의뢰서"/>
      <sheetName val="내역(한신APT)"/>
      <sheetName val="노임"/>
      <sheetName val="노임단가"/>
      <sheetName val="표지1"/>
      <sheetName val="준검 내역서"/>
      <sheetName val="97년 추정"/>
      <sheetName val="6PILE  (돌출)"/>
      <sheetName val="A1"/>
      <sheetName val="일위단가"/>
      <sheetName val="ORIGIN"/>
      <sheetName val="일위대가목록표"/>
      <sheetName val="3개월-백데이타"/>
      <sheetName val="LG배관재단가"/>
      <sheetName val="다다수전류단가"/>
      <sheetName val="LG유통상품단가표"/>
      <sheetName val="TEST1"/>
      <sheetName val="1단계"/>
      <sheetName val="일위총괄"/>
      <sheetName val="덕전리"/>
      <sheetName val="일위대가목차"/>
      <sheetName val="도급"/>
      <sheetName val="작업일보"/>
      <sheetName val="48일위"/>
      <sheetName val="하도내역 (철콘)"/>
      <sheetName val="특기사항"/>
      <sheetName val="일위대가D"/>
      <sheetName val="조건표 (2)"/>
      <sheetName val="FORM-0"/>
      <sheetName val="표준건축비"/>
      <sheetName val="지급자재"/>
      <sheetName val="임율 Data"/>
      <sheetName val="1.설계기준"/>
      <sheetName val="BSD (2)"/>
      <sheetName val="노임조서"/>
      <sheetName val="10공구일위"/>
      <sheetName val="조명시설"/>
      <sheetName val="입출재고현황 (2)"/>
      <sheetName val="노무비 근거"/>
      <sheetName val="c_balju"/>
      <sheetName val="을"/>
      <sheetName val="입력데이타"/>
      <sheetName val="목차 "/>
      <sheetName val="시화점실행"/>
      <sheetName val="물가시세"/>
      <sheetName val="7. 현장관리비 "/>
      <sheetName val="WORK"/>
      <sheetName val="예산총괄"/>
      <sheetName val="기본단가표"/>
      <sheetName val="8.현장관리비"/>
      <sheetName val="7.안전관리비"/>
      <sheetName val="단가표"/>
      <sheetName val="기초1"/>
      <sheetName val="내역전기"/>
      <sheetName val="수정2"/>
      <sheetName val="수량산출서"/>
      <sheetName val="신공항A-9(원가수정)"/>
      <sheetName val="설계예산서"/>
      <sheetName val="중기"/>
      <sheetName val="U형개거"/>
      <sheetName val="공통가설"/>
      <sheetName val="배수내역"/>
      <sheetName val="수량3"/>
      <sheetName val="금융비용"/>
      <sheetName val="TOTAL"/>
      <sheetName val="b_balju (2)"/>
      <sheetName val="b_gunmul"/>
      <sheetName val="추가예산"/>
      <sheetName val="프랜트면허"/>
      <sheetName val="토목주소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산출근거"/>
      <sheetName val="IT-BAT"/>
      <sheetName val="수문일위1"/>
      <sheetName val="공정집계_국별"/>
      <sheetName val="일위산출근거"/>
      <sheetName val="인사자료총집계"/>
      <sheetName val="단면가정"/>
      <sheetName val="(원)기흥상갈"/>
      <sheetName val="집계"/>
      <sheetName val="개거총"/>
      <sheetName val="토공유동표(전체.당초)"/>
      <sheetName val="P_RPTB04_산근"/>
      <sheetName val="배수공"/>
      <sheetName val="업체별기성내역"/>
      <sheetName val="포장(수량)-관로부"/>
      <sheetName val="2터널시점"/>
      <sheetName val="이월"/>
      <sheetName val="약품공급2"/>
      <sheetName val="SLAB근거-1"/>
      <sheetName val="단면 (2)"/>
      <sheetName val="실행대비"/>
      <sheetName val="잡비"/>
      <sheetName val="제경비산출서"/>
      <sheetName val="철거산출근거"/>
      <sheetName val="CTEMCOST"/>
      <sheetName val="일위대가표48"/>
      <sheetName val="표지_(3)"/>
      <sheetName val="표지_(2)"/>
      <sheetName val="교각집계_(2)"/>
      <sheetName val="교각토공_(2)"/>
      <sheetName val="교각철근_(2)"/>
      <sheetName val="재료비"/>
      <sheetName val="공사내역서(을)실행"/>
      <sheetName val="직접비"/>
      <sheetName val="건장설비"/>
      <sheetName val="교통대책내역"/>
      <sheetName val="BND"/>
      <sheetName val="첨부1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3_공통공사대비"/>
      <sheetName val="HRSG_SMALL07220"/>
      <sheetName val="6__안전관리비"/>
      <sheetName val="단위단가"/>
      <sheetName val="토공사"/>
      <sheetName val="수량산출"/>
      <sheetName val="기계내역"/>
      <sheetName val="공량산출서"/>
      <sheetName val="유입량"/>
      <sheetName val="장비단가"/>
      <sheetName val="적현로"/>
      <sheetName val="(당평)자재"/>
      <sheetName val="유치원내역"/>
      <sheetName val="하도금액분계"/>
      <sheetName val="견적"/>
      <sheetName val="설계"/>
      <sheetName val="화재 탐지 설비"/>
      <sheetName val="음성방향"/>
      <sheetName val="준검_내역서"/>
      <sheetName val="97년_추정"/>
      <sheetName val="6PILE__(돌출)"/>
      <sheetName val="DANGA"/>
      <sheetName val="간선계산"/>
      <sheetName val="2000용수잠관-수량집계"/>
      <sheetName val="인원"/>
      <sheetName val="일위(PN)"/>
      <sheetName val="환기시설"/>
      <sheetName val="조명"/>
      <sheetName val="점보전력사용"/>
      <sheetName val="단면"/>
      <sheetName val="배수처리"/>
      <sheetName val="입력자료(노무비)"/>
      <sheetName val="INPUT"/>
      <sheetName val="DATE"/>
      <sheetName val="8.PILE  (돌출)"/>
      <sheetName val="토공(1)"/>
      <sheetName val="차수공(1)"/>
      <sheetName val="기본단가"/>
      <sheetName val="1. 설계조건 2.단면가정 3. 하중계산"/>
      <sheetName val="DATA 입력란"/>
      <sheetName val="토목품셈"/>
      <sheetName val="구조     ."/>
      <sheetName val="DATA"/>
      <sheetName val="전기"/>
      <sheetName val="효율표"/>
      <sheetName val="수량분개내역"/>
      <sheetName val="노무비 "/>
      <sheetName val="경상비"/>
      <sheetName val="전문하도급"/>
      <sheetName val="교량전기"/>
      <sheetName val="평가데이터"/>
      <sheetName val="MOTOR"/>
      <sheetName val="현장관리비 산출내역"/>
      <sheetName val="인명부"/>
      <sheetName val="내역표지"/>
      <sheetName val="가스"/>
      <sheetName val="양수장(기계)"/>
      <sheetName val="공사비예산서(토목분)"/>
      <sheetName val="기성갑지"/>
      <sheetName val="중기일위대가"/>
      <sheetName val="Customer Databas"/>
      <sheetName val="일위대가(1)"/>
      <sheetName val="4.일위대가집계"/>
      <sheetName val="공사비증감"/>
      <sheetName val="5. 현장관리비(new) "/>
      <sheetName val="ABUT수량-A1"/>
      <sheetName val="실행내역서 "/>
      <sheetName val="사업관리"/>
      <sheetName val="운반"/>
      <sheetName val="물가자료"/>
      <sheetName val="산출내역서집계표"/>
      <sheetName val="5_ 현장관리비_new_ "/>
      <sheetName val="예가표"/>
      <sheetName val="날개벽수량표"/>
      <sheetName val="입력정보"/>
      <sheetName val="FB25JN"/>
      <sheetName val="설계명세서"/>
      <sheetName val="내역서 제출"/>
      <sheetName val="자료입력"/>
      <sheetName val="총괄내역서"/>
      <sheetName val="내역(2000년)"/>
      <sheetName val="경영상태"/>
      <sheetName val="콘크리트타설집계표"/>
      <sheetName val="실행내역"/>
      <sheetName val="간 지1"/>
      <sheetName val="일위(시설)"/>
      <sheetName val="2"/>
      <sheetName val="인사자료"/>
      <sheetName val="공사원가계산서"/>
      <sheetName val="청천내"/>
      <sheetName val="중기조종사 단위단가"/>
      <sheetName val="1.설계조건"/>
      <sheetName val="유림골조"/>
      <sheetName val="공통부대비"/>
      <sheetName val="BQ"/>
      <sheetName val="결재난"/>
      <sheetName val="tggwan(mac)"/>
      <sheetName val="자재일람"/>
      <sheetName val="금액내역서"/>
      <sheetName val="방배동내역(리라)"/>
      <sheetName val="현장경비"/>
      <sheetName val="건축공사집계표"/>
      <sheetName val="방배동내역 (총괄)"/>
      <sheetName val="부대공사총괄"/>
      <sheetName val="lab"/>
      <sheetName val="만년달력"/>
      <sheetName val="우수"/>
      <sheetName val="부하계산서"/>
      <sheetName val="단가산출(T)"/>
      <sheetName val="날개벽(시점좌측)"/>
      <sheetName val="맨홀수량산출"/>
      <sheetName val="재료집계표"/>
      <sheetName val="단위중량"/>
      <sheetName val="파이프류"/>
      <sheetName val="인계"/>
      <sheetName val="경비2내역"/>
      <sheetName val="금리계산"/>
      <sheetName val="Temporary Mooring"/>
      <sheetName val="공문"/>
      <sheetName val="A LINE"/>
      <sheetName val="우석문틀"/>
      <sheetName val="SHL"/>
      <sheetName val="품셈TABLE"/>
      <sheetName val="2.대외공문"/>
      <sheetName val="U-TYPE(1)"/>
      <sheetName val="일반공사"/>
      <sheetName val="단위량당중기"/>
      <sheetName val="건설실행"/>
      <sheetName val="일위목록데이타"/>
      <sheetName val="설내역서 "/>
      <sheetName val="일위집계(기존)"/>
      <sheetName val="인원계획"/>
      <sheetName val="대로근거"/>
      <sheetName val="중로근거"/>
      <sheetName val="일위대가집계"/>
      <sheetName val="단가대비표"/>
      <sheetName val="N賃率-職"/>
      <sheetName val="원도급"/>
      <sheetName val="하도급"/>
      <sheetName val="초기화면"/>
      <sheetName val="RE9604"/>
      <sheetName val="코드"/>
      <sheetName val="경산"/>
      <sheetName val="여과지동"/>
      <sheetName val="기초자료"/>
      <sheetName val="격점별물량"/>
      <sheetName val="7.PILE  (돌출)"/>
      <sheetName val="일H35Y4"/>
      <sheetName val="식재가격"/>
      <sheetName val="식재총괄"/>
      <sheetName val="세부내역서"/>
      <sheetName val="기자재비"/>
      <sheetName val="교각계산"/>
      <sheetName val="700seg"/>
      <sheetName val="내역서2안"/>
      <sheetName val="1.취수장"/>
      <sheetName val="설계내역"/>
      <sheetName val="자동제어"/>
      <sheetName val="대치판정"/>
      <sheetName val="동천하상준설"/>
      <sheetName val="전체내역서"/>
      <sheetName val="전기내역서"/>
      <sheetName val="자재수량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총괄-1"/>
      <sheetName val="단가산출서"/>
      <sheetName val="공사개요"/>
      <sheetName val="주차구획선수량"/>
      <sheetName val="자재단가비교표"/>
      <sheetName val="개요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SP-B1"/>
      <sheetName val="토적집계"/>
      <sheetName val="98NS-N"/>
      <sheetName val="소야공정계획표"/>
      <sheetName val="45,46"/>
      <sheetName val="기초코드"/>
      <sheetName val="갑지(추정)"/>
      <sheetName val="1.수인터널"/>
      <sheetName val="일위대가표"/>
      <sheetName val="보할"/>
      <sheetName val="공업용수관로"/>
      <sheetName val="일위(토목)"/>
      <sheetName val="설 계"/>
      <sheetName val="경비"/>
      <sheetName val="물량표"/>
      <sheetName val="낙찰표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부대내역"/>
      <sheetName val="SANTOGO"/>
      <sheetName val="흥양2교토공집계표"/>
      <sheetName val="eq_data"/>
      <sheetName val="ELECTRIC"/>
      <sheetName val="전기공사"/>
      <sheetName val="AS포장복구 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6_ 안전관리비"/>
      <sheetName val="총 원가계산"/>
      <sheetName val=" 갑지"/>
      <sheetName val="계측기"/>
      <sheetName val="집 계 표"/>
      <sheetName val="CONCRETE"/>
      <sheetName val="원가계산서(변경)"/>
      <sheetName val="하중계산"/>
      <sheetName val="철근량"/>
      <sheetName val="돈암사업"/>
      <sheetName val="2.2_오피스텔(12~32F)"/>
      <sheetName val="1"/>
      <sheetName val="일위대가목록(ems)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전도금월정금액"/>
      <sheetName val="마산방향철근집계"/>
      <sheetName val="진주방향"/>
      <sheetName val="기성내역"/>
      <sheetName val="차수"/>
      <sheetName val="월별손익"/>
      <sheetName val="법면"/>
      <sheetName val="부대공"/>
      <sheetName val="구조물공"/>
      <sheetName val="포장공"/>
      <sheetName val="배수공1"/>
      <sheetName val="일위대가(가설)"/>
      <sheetName val="터널대가"/>
      <sheetName val="총괄"/>
      <sheetName val="기본일위"/>
      <sheetName val="실행(ALT1)"/>
      <sheetName val="환율change"/>
      <sheetName val="GRDBS"/>
      <sheetName val="견적대비표"/>
      <sheetName val="Y-WORK"/>
      <sheetName val="4 LINE"/>
      <sheetName val="7 th"/>
      <sheetName val="C10집계2"/>
      <sheetName val="일위대가 집계표"/>
      <sheetName val="외주대비 -석축_x0000__x0000__x0000__x0000__x0000__x0012_[후다내역.XLS]견적표지 (3"/>
      <sheetName val="소방"/>
      <sheetName val="개산공사비"/>
      <sheetName val="인건비"/>
      <sheetName val="측량요율"/>
      <sheetName val="자재대"/>
      <sheetName val="점검총괄"/>
      <sheetName val="MODELING"/>
      <sheetName val="J直材4"/>
      <sheetName val="9.1지하2층하부보"/>
      <sheetName val="일용직6월"/>
      <sheetName val="골조"/>
      <sheetName val="Sheet1 (2)"/>
      <sheetName val="시중노임단가"/>
      <sheetName val="정렬"/>
      <sheetName val="기술부 VENDOR LIST"/>
      <sheetName val="현장별"/>
      <sheetName val="간접비"/>
      <sheetName val="양덕동"/>
      <sheetName val="입력"/>
      <sheetName val="일용직"/>
      <sheetName val="인천제철"/>
      <sheetName val="이형관중량"/>
      <sheetName val="일위대가(목록)"/>
      <sheetName val="산근(목록)"/>
      <sheetName val="기초단가"/>
      <sheetName val="입력데이타(비인쇄용)"/>
      <sheetName val="Code"/>
      <sheetName val="마산월령동골조물량변경"/>
      <sheetName val="환산"/>
      <sheetName val="자  재"/>
      <sheetName val="건축외주"/>
      <sheetName val="노원열병합  건축공사기성내역서"/>
      <sheetName val="케이블규격"/>
      <sheetName val="COVERSHEET"/>
      <sheetName val="할증 "/>
      <sheetName val="개인별 순위표"/>
      <sheetName val="CM 1"/>
      <sheetName val="전기실-1"/>
      <sheetName val="ROOF(ALKALI)"/>
      <sheetName val="중기조종사_단위단가"/>
      <sheetName val="단면_(2)"/>
      <sheetName val="BSD_(2)"/>
      <sheetName val="분전반"/>
      <sheetName val="COVER-P"/>
      <sheetName val="단계별내역 (2)"/>
      <sheetName val="데이타"/>
      <sheetName val="식재인부"/>
      <sheetName val="특별"/>
      <sheetName val="변경내역"/>
      <sheetName val="화전내"/>
      <sheetName val="70%"/>
      <sheetName val="일위총괄표"/>
      <sheetName val="현장일반사항"/>
      <sheetName val="제출내역 (2)"/>
      <sheetName val="호표"/>
      <sheetName val="소비자가"/>
      <sheetName val="수리결과"/>
      <sheetName val="임율산출표"/>
      <sheetName val="Print"/>
      <sheetName val="MATRLDATA"/>
      <sheetName val="터파기및재료"/>
      <sheetName val="퍼스트"/>
      <sheetName val="기안"/>
      <sheetName val="관개"/>
      <sheetName val="B"/>
      <sheetName val="선정요령"/>
      <sheetName val="252K444"/>
      <sheetName val="기계경비일람"/>
      <sheetName val="공통(20-91)"/>
      <sheetName val="기둥(원형)"/>
      <sheetName val="주요항목별"/>
      <sheetName val="2.2 띠장의 설계"/>
      <sheetName val="FACTOR"/>
      <sheetName val="일대"/>
      <sheetName val="증감대비"/>
      <sheetName val="말뚝지지력산정"/>
      <sheetName val="제수변수량"/>
      <sheetName val="일위1"/>
      <sheetName val="일위대가목록(기계)"/>
      <sheetName val="BOX 본체"/>
      <sheetName val="남양내역"/>
      <sheetName val="실행내역_원본"/>
      <sheetName val="골조시행"/>
      <sheetName val="총체"/>
      <sheetName val="4.일위대가"/>
      <sheetName val="단가삐출"/>
      <sheetName val="GEN"/>
      <sheetName val="주소"/>
      <sheetName val="MP MOB"/>
      <sheetName val="단중표"/>
      <sheetName val="방음벽기초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COVER"/>
      <sheetName val="플랜트 설치"/>
      <sheetName val="추가일위대가"/>
      <sheetName val="설비"/>
      <sheetName val="WING3"/>
      <sheetName val="4.2.1 마루높이 검토"/>
      <sheetName val="수량산출목록표"/>
      <sheetName val="관로분포도"/>
      <sheetName val=""/>
      <sheetName val="샘플표지"/>
      <sheetName val="s"/>
      <sheetName val="시운전연료비"/>
      <sheetName val="확약서"/>
      <sheetName val="보도경계블럭"/>
      <sheetName val="일집"/>
      <sheetName val="장비가동"/>
      <sheetName val="배수관공"/>
      <sheetName val="cctv예산대비"/>
      <sheetName val="라이닝폼예산대비내역"/>
      <sheetName val="옥외외등집계표"/>
      <sheetName val="메서,변+증"/>
      <sheetName val="명일작업계획 (3)"/>
      <sheetName val="횡배위치"/>
      <sheetName val="연결원본-절대지우지말것"/>
      <sheetName val="6호기"/>
      <sheetName val="단위목록"/>
      <sheetName val="자재운반단가일람표"/>
      <sheetName val="기계경비목록1"/>
      <sheetName val="검색방"/>
      <sheetName val="일위대가집계표"/>
      <sheetName val="산출서집계HS"/>
      <sheetName val="9GNG운반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자동세륜기"/>
      <sheetName val="건축공사"/>
      <sheetName val="목록"/>
      <sheetName val="가격조사서"/>
      <sheetName val="TABLE DB"/>
      <sheetName val="쌍용 data base"/>
      <sheetName val="계정"/>
      <sheetName val="건축내역"/>
      <sheetName val="지원사무소원가배부내역"/>
      <sheetName val="중기사용료"/>
      <sheetName val="잔수량(작성)"/>
      <sheetName val="토목단가산출"/>
      <sheetName val="옥외배관기본공량"/>
      <sheetName val="대비2"/>
      <sheetName val="유림총괄"/>
      <sheetName val="감액총괄표"/>
      <sheetName val="사업개요"/>
      <sheetName val="현장관리비_입력"/>
      <sheetName val="원가계산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시설,관리하위"/>
      <sheetName val="단면치수"/>
      <sheetName val="대운반(철재)"/>
      <sheetName val="청주(철골발주의뢰서)"/>
      <sheetName val="단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집계표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토목"/>
      <sheetName val="본체"/>
      <sheetName val="[IL-3.XLSY갑지"/>
      <sheetName val="설비내역서"/>
      <sheetName val="CON'C"/>
      <sheetName val="도급내역서(재노경)"/>
      <sheetName val="4.일위대가목차"/>
      <sheetName val="96노임기준"/>
      <sheetName val="기계경비(시간당)"/>
      <sheetName val="램머"/>
      <sheetName val="깨기"/>
      <sheetName val="흄관수량"/>
      <sheetName val="PROCURE"/>
      <sheetName val="우수공,맨홀,집수정"/>
      <sheetName val="기계경비"/>
      <sheetName val="간접1"/>
      <sheetName val="예산변경원인분석"/>
      <sheetName val="앵커(3안)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조건표_(2)1"/>
      <sheetName val="입출재고현황_(2)1"/>
      <sheetName val="노무비_근거1"/>
      <sheetName val="6PILE__(돌출)2"/>
      <sheetName val="HRSG_SMALL072202"/>
      <sheetName val="하도내역_(철콘)1"/>
      <sheetName val="준검_내역서2"/>
      <sheetName val="임율_Data1"/>
      <sheetName val="97년_추정2"/>
      <sheetName val="2차전체변경예정_(2)1"/>
      <sheetName val="BSD_(2)1"/>
      <sheetName val="1_설계기준1"/>
      <sheetName val="토공유동표(전체_당초)1"/>
      <sheetName val="목차_1"/>
      <sheetName val="단면_(2)1"/>
      <sheetName val="8_현장관리비1"/>
      <sheetName val="7_안전관리비1"/>
      <sheetName val="7__현장관리비_1"/>
      <sheetName val="1__설계조건_2_단면가정_3__하중계산"/>
      <sheetName val="DATA_입력란"/>
      <sheetName val="구조______"/>
      <sheetName val="8_PILE__(돌출)1"/>
      <sheetName val="b_balju_(2)1"/>
      <sheetName val="노무비_"/>
      <sheetName val="현장관리비_산출내역"/>
      <sheetName val="4_일위대가집계"/>
      <sheetName val="내역서_제출"/>
      <sheetName val="실행내역서_"/>
      <sheetName val="간_지1"/>
      <sheetName val="화재_탐지_설비"/>
      <sheetName val="5__현장관리비(new)_"/>
      <sheetName val="Customer_Databas"/>
      <sheetName val="방배동내역_(총괄)"/>
      <sheetName val="1_설계조건"/>
      <sheetName val="중기조종사_단위단가1"/>
      <sheetName val="5__현장관리비_new__"/>
      <sheetName val="Temporary_Mooring"/>
      <sheetName val="A_LINE"/>
      <sheetName val="2_대외공문"/>
      <sheetName val="설내역서_"/>
      <sheetName val="설_계"/>
      <sheetName val="7_PILE__(돌출)"/>
      <sheetName val="2_2_오피스텔(12~32F)"/>
      <sheetName val="일위대가_집계표"/>
      <sheetName val="9_1지하2층하부보"/>
      <sheetName val="Sheet1_(2)"/>
      <sheetName val="단계별내역_(2)"/>
      <sheetName val="2_2_띠장의_설계"/>
      <sheetName val="1_취수장"/>
      <sheetName val="4_LINE"/>
      <sheetName val="7_th"/>
      <sheetName val="_갑지"/>
      <sheetName val="집_계_표"/>
      <sheetName val="총_원가계산"/>
      <sheetName val="6__안전관리비3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내역(최종본4_5)"/>
      <sheetName val="1_수인터널"/>
      <sheetName val="AS포장복구_"/>
      <sheetName val="자__재"/>
      <sheetName val="노원열병합__건축공사기성내역서"/>
      <sheetName val="할증_"/>
      <sheetName val="개인별_순위표"/>
      <sheetName val="CM_1"/>
      <sheetName val="기술부_VENDOR_LIST"/>
      <sheetName val="제출내역_(2)"/>
      <sheetName val="외주대비_-석축[후다내역_XLS]견적표지_(3"/>
      <sheetName val="4_일위대가"/>
      <sheetName val="플랜트_설치"/>
      <sheetName val="세골재  T2 변경 현황"/>
      <sheetName val="4동급수"/>
      <sheetName val="STEEL BOX 단면설계(SEC.8)"/>
      <sheetName val="소방사항"/>
      <sheetName val="품셈기준"/>
      <sheetName val="재료"/>
      <sheetName val="설치자재"/>
      <sheetName val="6.이토처리시간"/>
      <sheetName val="가설건물"/>
      <sheetName val="성토도수로현황"/>
      <sheetName val="원가서"/>
      <sheetName val="조건"/>
      <sheetName val="전 체"/>
      <sheetName val="일위집계"/>
      <sheetName val="내역(설계)"/>
      <sheetName val="VE절감"/>
      <sheetName val="unit 4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공사비총괄표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일위"/>
      <sheetName val="22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총공사내역서"/>
      <sheetName val="DAN"/>
      <sheetName val="백호우계수"/>
      <sheetName val="설직재-1"/>
      <sheetName val="기흥하도용"/>
      <sheetName val="대포2교접속"/>
      <sheetName val="천방교접속"/>
      <sheetName val="실행예산서"/>
      <sheetName val="BQ(실행)"/>
      <sheetName val="일반전기(2단지-을지)"/>
      <sheetName val="단가조사"/>
      <sheetName val="토목공사"/>
      <sheetName val="일위대가(4층원격)"/>
      <sheetName val="BM"/>
      <sheetName val="찍기"/>
      <sheetName val="의왕내역"/>
      <sheetName val="세부내역"/>
      <sheetName val="단가대비"/>
      <sheetName val="총괄집계표"/>
      <sheetName val="인수공규격"/>
      <sheetName val="단가(1)"/>
      <sheetName val="원가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일위_파일"/>
      <sheetName val="연결임시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단가목록"/>
      <sheetName val="비탈면보호공수량산출"/>
      <sheetName val="준공검사원(갑)"/>
      <sheetName val="기성내역서(을) (2)"/>
      <sheetName val="전기일위대가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견적서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바닥판"/>
      <sheetName val="입력DATA"/>
      <sheetName val="asd"/>
      <sheetName val="★도급내역"/>
      <sheetName val="back-data"/>
      <sheetName val="인월수표"/>
      <sheetName val="중기가격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guard(mac)"/>
      <sheetName val="COPING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산근"/>
      <sheetName val="수원역(전체분)설계서"/>
      <sheetName val="단가조사-2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내역서 (2)"/>
      <sheetName val="98수문일위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노임이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ITEM"/>
      <sheetName val="단가(보완)"/>
      <sheetName val="대가 (보완)"/>
      <sheetName val="기계경비목록"/>
      <sheetName val="몰탈재료산출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99총공사내역서"/>
      <sheetName val="평야부단가"/>
      <sheetName val="예산서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인건비 "/>
      <sheetName val="기본자료"/>
      <sheetName val="설계서을"/>
      <sheetName val="을지"/>
      <sheetName val="EQ-R1"/>
      <sheetName val="L-type"/>
      <sheetName val="bearing"/>
      <sheetName val="조내역"/>
      <sheetName val="부안일위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갑지1"/>
      <sheetName val="도급정산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가로등내역서"/>
      <sheetName val="내역서(토목)"/>
      <sheetName val="미납품 현황"/>
      <sheetName val="신설개소별 총집계표(동해-배전)"/>
      <sheetName val="SSMITM"/>
      <sheetName val="2.1외주"/>
      <sheetName val="2.3노무"/>
      <sheetName val="2.4자재"/>
      <sheetName val="2.2장비"/>
      <sheetName val="2.5경비"/>
      <sheetName val="2.6수목대"/>
      <sheetName val="3련 BOX"/>
      <sheetName val="도수로집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/>
      <sheetData sheetId="1084"/>
      <sheetData sheetId="1085"/>
      <sheetData sheetId="1086"/>
      <sheetData sheetId="1087" refreshError="1"/>
      <sheetData sheetId="1088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단가일람"/>
      <sheetName val="내역서"/>
      <sheetName val="조명일위"/>
      <sheetName val="#REF"/>
      <sheetName val="부대공사비"/>
      <sheetName val="간접1"/>
      <sheetName val="99총공사내역서"/>
      <sheetName val="퍼스트"/>
      <sheetName val="차액보증"/>
      <sheetName val="전체제잡비"/>
      <sheetName val="BID"/>
      <sheetName val="SLAB데이터"/>
      <sheetName val="정부노임단가"/>
      <sheetName val="노임"/>
      <sheetName val="접지수량"/>
      <sheetName val="sheet1"/>
      <sheetName val="지질조사"/>
      <sheetName val="Total 단위경유량집계"/>
      <sheetName val="MOTOR"/>
      <sheetName val="CALCULATION"/>
      <sheetName val="약품공급2"/>
      <sheetName val="C1ㅇ"/>
      <sheetName val="실행철강하도"/>
      <sheetName val="실행내역"/>
      <sheetName val="RE9604"/>
      <sheetName val="원가계산서"/>
      <sheetName val="준검 내역서"/>
      <sheetName val="산근"/>
      <sheetName val="기계경비(시간당)"/>
      <sheetName val="단가"/>
      <sheetName val="마산월령동골조물량변경"/>
      <sheetName val="1,2공구원가계산서"/>
      <sheetName val="2공구산출내역"/>
      <sheetName val="1공구산출내역서"/>
      <sheetName val="설계조건"/>
      <sheetName val="DANGA"/>
      <sheetName val="일위대가"/>
      <sheetName val="기본단가표"/>
      <sheetName val="재료집계표"/>
      <sheetName val="교각1"/>
      <sheetName val="DB"/>
      <sheetName val="제경비"/>
      <sheetName val="내역(원안-대안)"/>
      <sheetName val="조명시설"/>
      <sheetName val="SIL98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노임단가"/>
      <sheetName val="원가계산서구조조정"/>
      <sheetName val="건축내역"/>
      <sheetName val="내역서(전기)"/>
      <sheetName val="총공사내역서"/>
      <sheetName val="항목(1)"/>
      <sheetName val="총괄표"/>
      <sheetName val="금액내역서"/>
      <sheetName val="1.수인터널"/>
      <sheetName val="asd"/>
      <sheetName val="직재"/>
      <sheetName val="N賃率-職"/>
      <sheetName val="잡철물"/>
      <sheetName val="BH-1 (2)"/>
      <sheetName val="표  지"/>
      <sheetName val="직노"/>
      <sheetName val="ITEM"/>
      <sheetName val="관급"/>
      <sheetName val="일위목록"/>
      <sheetName val="요율"/>
      <sheetName val="공문"/>
      <sheetName val="설비2차"/>
      <sheetName val="6호기"/>
      <sheetName val="결재갑지"/>
      <sheetName val="산출근거"/>
      <sheetName val="기계경비일람"/>
      <sheetName val="5회토적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대포2교접속"/>
      <sheetName val="천방교접속"/>
      <sheetName val="하남내역"/>
      <sheetName val="앉음벽 (2)"/>
      <sheetName val="자재일람"/>
      <sheetName val="수량산출서"/>
      <sheetName val="금융비용"/>
      <sheetName val="일반공사"/>
      <sheetName val="내역(중앙)"/>
      <sheetName val="참조-(1)"/>
      <sheetName val="단위단가"/>
      <sheetName val="예산서"/>
      <sheetName val="_HIT__HMC 견적_3900_"/>
      <sheetName val="ABUT수량-A1"/>
      <sheetName val="제안서"/>
      <sheetName val="행정표준(1)"/>
      <sheetName val="행정표준(2)"/>
      <sheetName val="I.설계조건"/>
      <sheetName val="hvac(제어동)"/>
      <sheetName val="4.전기"/>
      <sheetName val="조경"/>
      <sheetName val="공사비예산서(토목분)"/>
      <sheetName val="관리비비계상"/>
      <sheetName val="직공비"/>
      <sheetName val="총괄내역서"/>
      <sheetName val="일위대가표"/>
      <sheetName val="현장지지물물량"/>
      <sheetName val="98지급계획"/>
      <sheetName val="현장설명"/>
      <sheetName val="예가내역서"/>
      <sheetName val="경비2내역"/>
      <sheetName val="자료"/>
      <sheetName val="간접(90)"/>
      <sheetName val="참조"/>
      <sheetName val="산출내역서"/>
      <sheetName val="일반부표"/>
      <sheetName val="구조물견적서"/>
      <sheetName val="예산변경원인분석"/>
      <sheetName val="7. 현장관리비 "/>
      <sheetName val="6. 안전관리비"/>
      <sheetName val="분뇨"/>
      <sheetName val="단가산출"/>
      <sheetName val="원가"/>
      <sheetName val="설계예산서"/>
      <sheetName val="ilch"/>
      <sheetName val="1.설계조건"/>
      <sheetName val="견적조건"/>
      <sheetName val="세부내역"/>
      <sheetName val="운반"/>
      <sheetName val="도급"/>
      <sheetName val="DATA"/>
      <sheetName val="데이타"/>
      <sheetName val="소포내역 (2)"/>
      <sheetName val="터파기및재료"/>
      <sheetName val="초기화면"/>
      <sheetName val="폐기물"/>
      <sheetName val="인원계획"/>
      <sheetName val="타공종이기"/>
      <sheetName val="INPUT"/>
      <sheetName val="전기내역서(총계)"/>
      <sheetName val="ancillary"/>
      <sheetName val="실행(1)"/>
      <sheetName val="접지1종"/>
      <sheetName val="오저간내역서"/>
      <sheetName val="전기"/>
      <sheetName val="토공A"/>
      <sheetName val="입력데이타"/>
      <sheetName val="이형관"/>
      <sheetName val="작성방법"/>
      <sheetName val="노원열병합  건축공사기성내역서"/>
      <sheetName val="도급-집계"/>
      <sheetName val="증감내역서"/>
      <sheetName val="금호"/>
      <sheetName val="001"/>
      <sheetName val="대전21토목내역서"/>
      <sheetName val="말뚝지지력산정"/>
      <sheetName val="간접비계산"/>
      <sheetName val="적용단가"/>
      <sheetName val="품셈"/>
      <sheetName val="신호등일위대가"/>
      <sheetName val="보증수수료산출"/>
      <sheetName val="소야공정계획표"/>
      <sheetName val="경비"/>
      <sheetName val="토목내역"/>
      <sheetName val="사급자재"/>
      <sheetName val="기계공사"/>
      <sheetName val="bearing"/>
      <sheetName val="가격조사서"/>
      <sheetName val="검암내역"/>
      <sheetName val="일위대가목록"/>
      <sheetName val="설계내역서"/>
      <sheetName val="여과지동"/>
      <sheetName val="기초자료"/>
      <sheetName val="시멘트"/>
      <sheetName val="COVER"/>
      <sheetName val="문학간접"/>
      <sheetName val="자재단가"/>
      <sheetName val="분전반"/>
      <sheetName val="공사원가계산서"/>
      <sheetName val="99월별경비계획"/>
      <sheetName val="사업전망"/>
      <sheetName val="현장업무"/>
      <sheetName val="PIPING"/>
      <sheetName val="조도계산서 (도서)"/>
      <sheetName val="대비"/>
      <sheetName val="을-ATYPE"/>
      <sheetName val="제1호단위수량"/>
      <sheetName val="설계서(7)"/>
      <sheetName val="예산서(6)"/>
      <sheetName val="3련 BOX"/>
      <sheetName val="토목주소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을"/>
      <sheetName val="MSS 2"/>
      <sheetName val="전주2本1"/>
      <sheetName val="여수토토적"/>
      <sheetName val="구조물수량집계표"/>
      <sheetName val="우수관매설및 우수받이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갑지"/>
      <sheetName val="추가예산"/>
      <sheetName val="단가조사-2"/>
      <sheetName val="플랜트 설치"/>
      <sheetName val="Resource2"/>
      <sheetName val="명세서"/>
      <sheetName val="일위집계(기존)"/>
      <sheetName val="단가대비표"/>
      <sheetName val="할증"/>
      <sheetName val="보고서 기기리스트"/>
      <sheetName val="배수내역"/>
      <sheetName val="현장관리비"/>
      <sheetName val="상-교대(A1-A2)"/>
      <sheetName val="부재예실1월"/>
      <sheetName val="Sheet3"/>
      <sheetName val="제품원재"/>
      <sheetName val="자재단가비교표"/>
      <sheetName val="건설성적"/>
      <sheetName val="내역(창신)"/>
      <sheetName val="13LPMCC"/>
      <sheetName val="코드표"/>
      <sheetName val="프로젝트"/>
      <sheetName val="2.1  노무비 평균단가산출"/>
      <sheetName val="A-4"/>
      <sheetName val="인부노임"/>
      <sheetName val="전체"/>
      <sheetName val="I一般比"/>
      <sheetName val="내역_ver1.0"/>
      <sheetName val="적용표"/>
      <sheetName val="재료비"/>
      <sheetName val="역T형옹벽단위수량"/>
      <sheetName val="연결임시"/>
      <sheetName val="01AC"/>
      <sheetName val="정화조내역"/>
      <sheetName val="입력"/>
      <sheetName val="예산총괄"/>
      <sheetName val="70%"/>
      <sheetName val="전기실-1"/>
      <sheetName val="백암비스타내역"/>
      <sheetName val="설계서(본관)"/>
      <sheetName val="내   역"/>
      <sheetName val="소비자가"/>
      <sheetName val="lee"/>
      <sheetName val="집계표소트"/>
      <sheetName val="중기일위대가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type-F"/>
      <sheetName val="설계"/>
      <sheetName val="일위대가(1)"/>
      <sheetName val="Macro1"/>
      <sheetName val="봉양~조차장간고하개명(신설)"/>
      <sheetName val="측구터파기공수량집계"/>
      <sheetName val="배수공 시멘트 및 골재량 산출"/>
      <sheetName val="99-0002"/>
      <sheetName val="A 견적"/>
      <sheetName val="전기일위목록"/>
      <sheetName val="용소리교"/>
      <sheetName val="토목"/>
      <sheetName val="물량표S"/>
      <sheetName val="Macro(차단기)"/>
      <sheetName val="원가+내역"/>
      <sheetName val="JUCKEYK"/>
      <sheetName val="교량"/>
      <sheetName val="광산내역"/>
      <sheetName val="내역원본"/>
      <sheetName val="결과조달"/>
      <sheetName val="8설7발"/>
      <sheetName val="배수내역 (2)"/>
      <sheetName val="간이영수증"/>
      <sheetName val="원계약고시공및준비구분"/>
      <sheetName val="TYPE-A"/>
      <sheetName val="날개벽수량표"/>
      <sheetName val="조건표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기성내역"/>
      <sheetName val="EBSDATA"/>
      <sheetName val="산출내역서집계표"/>
      <sheetName val="소방사항"/>
      <sheetName val="목차 "/>
      <sheetName val="부대내역"/>
      <sheetName val="6PILE  (돌출)"/>
      <sheetName val=" HIT-&gt;HMC 견적(3900)"/>
      <sheetName val="200"/>
      <sheetName val="자재단가표"/>
      <sheetName val="SLAB"/>
      <sheetName val="퇴직금(울산천상)"/>
      <sheetName val="CORE#2"/>
      <sheetName val="내역(가지)"/>
      <sheetName val="전기일위대가"/>
      <sheetName val="전 기"/>
      <sheetName val="단가조건(02년)"/>
      <sheetName val="일용노임단가"/>
      <sheetName val="spc 배관견적"/>
      <sheetName val="C97상"/>
      <sheetName val="#2_일위대가목록"/>
      <sheetName val="관급자재"/>
      <sheetName val="내역표지"/>
      <sheetName val="SHEET PILE단가"/>
      <sheetName val="수정2"/>
      <sheetName val="unit 4"/>
      <sheetName val="견적서"/>
      <sheetName val="현금흐름"/>
      <sheetName val="별첨1-임식"/>
      <sheetName val="기본자료"/>
      <sheetName val="부속동"/>
      <sheetName val="APT"/>
      <sheetName val="구간별관경"/>
      <sheetName val="인사자료총집계"/>
      <sheetName val="일위"/>
      <sheetName val="장비단가표"/>
      <sheetName val="Customer Databas"/>
      <sheetName val="현장관리비참조"/>
      <sheetName val="건축공사"/>
      <sheetName val="접속도로1"/>
      <sheetName val="공사비총괄"/>
      <sheetName val="BH_1 _2_"/>
      <sheetName val="공통가설"/>
      <sheetName val="d118"/>
      <sheetName val="FM"/>
      <sheetName val="세골재  T2 변경 현황"/>
      <sheetName val="기기리스트"/>
      <sheetName val="전라자금"/>
      <sheetName val="투찰추정"/>
      <sheetName val="검토"/>
      <sheetName val="INPUT-DATA"/>
      <sheetName val="총괄-1"/>
      <sheetName val="8.현장관리비"/>
      <sheetName val="7.안전관리비"/>
      <sheetName val="EQT-ESTN"/>
      <sheetName val="전체_1설계"/>
      <sheetName val="갑지(추정)"/>
      <sheetName val="중기"/>
      <sheetName val="데리네이타현황"/>
      <sheetName val="바닥판"/>
      <sheetName val="입력DATA"/>
      <sheetName val="b_balju"/>
      <sheetName val="장비"/>
      <sheetName val="노무"/>
      <sheetName val="계수시트"/>
      <sheetName val="화재 탐지 설비"/>
      <sheetName val="1.설계기준"/>
      <sheetName val="기초코드"/>
      <sheetName val="물량표"/>
      <sheetName val="기본일위"/>
      <sheetName val="모델명"/>
      <sheetName val="원가총괄"/>
      <sheetName val="수량산출"/>
      <sheetName val="시설물일위"/>
      <sheetName val="귀래 설계 공내역서"/>
      <sheetName val="재집"/>
      <sheetName val="총"/>
      <sheetName val="오산갈곳"/>
      <sheetName val="설치"/>
      <sheetName val="편입토지조서"/>
      <sheetName val="배수통관(좌)"/>
      <sheetName val="1안"/>
      <sheetName val="BQ"/>
      <sheetName val="집계및폼"/>
      <sheetName val="04_10_11"/>
      <sheetName val="WING3"/>
      <sheetName val="파일구성"/>
      <sheetName val="동방설계서"/>
      <sheetName val="유입량"/>
      <sheetName val="1.취수장"/>
      <sheetName val="PAINT"/>
      <sheetName val="SUMMARY(S)"/>
      <sheetName val="Y-WORK"/>
      <sheetName val="내역서1"/>
      <sheetName val="전입"/>
      <sheetName val="입찰"/>
      <sheetName val="현경"/>
      <sheetName val="중기사용료산출근거"/>
      <sheetName val="단가산출1"/>
      <sheetName val="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투입내역"/>
      <sheetName val="SG"/>
      <sheetName val="공정증감대ㅈ표"/>
      <sheetName val="시설물기초"/>
      <sheetName val="예가표"/>
      <sheetName val="주관사업"/>
      <sheetName val="원가서"/>
      <sheetName val="인건비"/>
      <sheetName val="Sheet5"/>
      <sheetName val="분전반일위대가"/>
      <sheetName val="101동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기별(종합)"/>
      <sheetName val="환율change"/>
      <sheetName val="당초"/>
      <sheetName val="단가표"/>
      <sheetName val="시화점실행"/>
      <sheetName val="손익차9월2"/>
      <sheetName val="득점현황"/>
      <sheetName val="협력업체"/>
      <sheetName val="코드1"/>
      <sheetName val="코드2"/>
      <sheetName val="도담구내 개소별 명세"/>
      <sheetName val="공기압축기실"/>
      <sheetName val="POL6차-PIPING"/>
      <sheetName val="정산내역"/>
      <sheetName val="품목납기"/>
      <sheetName val="손익분석"/>
      <sheetName val="대림경상68억"/>
      <sheetName val="지불내역(자재외)"/>
      <sheetName val="일위대가목차"/>
      <sheetName val="3.1공사현황 공정표"/>
      <sheetName val="조경수목"/>
      <sheetName val="퇴직공제부금"/>
      <sheetName val="평균노임"/>
      <sheetName val="ELEC"/>
      <sheetName val="덕전리"/>
      <sheetName val="공사비산출내역"/>
      <sheetName val="부서코드표"/>
      <sheetName val="전동기"/>
      <sheetName val="일위대가(집계)"/>
      <sheetName val="TCDB"/>
      <sheetName val="직접비"/>
      <sheetName val="Sheet2"/>
      <sheetName val="정리계획CF평가"/>
      <sheetName val="설 계"/>
      <sheetName val="원도급"/>
      <sheetName val="하도급"/>
      <sheetName val="증감분석"/>
      <sheetName val="한전일위"/>
      <sheetName val="중기비"/>
      <sheetName val="신천3호용수로"/>
      <sheetName val="Cash Flow-1"/>
      <sheetName val="단가(적용)"/>
      <sheetName val="PAY"/>
      <sheetName val="정렬"/>
      <sheetName val="안정계산"/>
      <sheetName val="단면검토"/>
      <sheetName val="2000년하반기"/>
      <sheetName val="노임 단가"/>
      <sheetName val="1유리"/>
      <sheetName val="공통단가"/>
      <sheetName val="수량산출서집계(1-4차)"/>
      <sheetName val="수지예산"/>
      <sheetName val="저장소"/>
      <sheetName val="내역집계"/>
      <sheetName val="재료"/>
      <sheetName val="직접경비호표"/>
      <sheetName val="TOT"/>
      <sheetName val="BJJIN"/>
      <sheetName val="건축"/>
      <sheetName val="단중표"/>
      <sheetName val="7"/>
      <sheetName val="投标材料清单 "/>
      <sheetName val="결재란"/>
      <sheetName val="대공종"/>
      <sheetName val="집 계 표"/>
      <sheetName val="유림골조"/>
      <sheetName val="전기공사"/>
      <sheetName val="청천내"/>
      <sheetName val="재료값"/>
      <sheetName val="합계"/>
      <sheetName val="내역서 "/>
      <sheetName val="실행"/>
      <sheetName val="재개발"/>
      <sheetName val="분석"/>
      <sheetName val="시운전연료비"/>
      <sheetName val="골조시행"/>
      <sheetName val="시운전연료"/>
      <sheetName val="입찰보고"/>
      <sheetName val="몰탈"/>
      <sheetName val="98수문일위"/>
      <sheetName val="소화실적"/>
      <sheetName val="10공구일위"/>
      <sheetName val="인천제철"/>
      <sheetName val="6공구(당초)"/>
      <sheetName val="1월"/>
      <sheetName val="중사"/>
      <sheetName val="자재co"/>
      <sheetName val="별표 "/>
      <sheetName val="1,2,3,4,5단위수량"/>
      <sheetName val="계산표지"/>
      <sheetName val="노임변동률"/>
      <sheetName val="1공구(입찰내역)"/>
      <sheetName val="연습"/>
      <sheetName val="장비단가"/>
      <sheetName val="재료비단가"/>
      <sheetName val="자료입력"/>
      <sheetName val="적용단위길이"/>
      <sheetName val="전기혼잡제경비(45)"/>
      <sheetName val="공사비집계"/>
      <sheetName val="가설건물"/>
      <sheetName val="MSS_2"/>
      <sheetName val="공사비총괄표"/>
      <sheetName val="일위대가표48"/>
      <sheetName val="토공계산서(부체도로)"/>
      <sheetName val="원형1호맨홀토공수량"/>
      <sheetName val="하중계산"/>
      <sheetName val="중기사용료"/>
      <sheetName val="미드수량"/>
      <sheetName val="(1)본선수량집계"/>
      <sheetName val="Macro(전선)"/>
      <sheetName val="개산공사비"/>
      <sheetName val="집계장(대목_실행)"/>
      <sheetName val="단가산출서"/>
      <sheetName val="단가적용"/>
      <sheetName val="수량집계"/>
      <sheetName val="코드"/>
      <sheetName val="철거산출근거"/>
      <sheetName val="지구단위계획"/>
      <sheetName val="CC16-내역서"/>
      <sheetName val="남양내역"/>
      <sheetName val="MAIN_TABLE"/>
      <sheetName val="노임단가 (2)"/>
      <sheetName val="MILL"/>
      <sheetName val="AS복구"/>
      <sheetName val="중기터파기"/>
      <sheetName val="변수값"/>
      <sheetName val="중기상차"/>
      <sheetName val="평3"/>
      <sheetName val="옥내소화전계산서"/>
      <sheetName val="관리,공감"/>
      <sheetName val="3.공통공사대비"/>
      <sheetName val="Sheet6"/>
      <sheetName val="인력터파기"/>
      <sheetName val="자금청구"/>
      <sheetName val="관공일위대가"/>
      <sheetName val="관자재"/>
      <sheetName val="단가 및 재료비"/>
      <sheetName val="관접합및자재집계표"/>
      <sheetName val="부대공(BOQ)"/>
      <sheetName val="자동제어"/>
      <sheetName val="코드일람표2001년10월"/>
      <sheetName val="공량산출서"/>
      <sheetName val="9GNG운반"/>
      <sheetName val="단면가정"/>
      <sheetName val="대치판정"/>
      <sheetName val="교각계산"/>
      <sheetName val="현장별"/>
      <sheetName val="사유서제출현황-2"/>
      <sheetName val="sub"/>
      <sheetName val="검색방"/>
      <sheetName val="CODE"/>
      <sheetName val="제노임"/>
      <sheetName val="업체자료"/>
      <sheetName val="입찰견적보고서"/>
      <sheetName val="제품목록"/>
      <sheetName val="암거"/>
      <sheetName val="현금예금"/>
      <sheetName val="내역서비교"/>
      <sheetName val="준공정산"/>
      <sheetName val="건축내역서"/>
      <sheetName val="단가조사서"/>
      <sheetName val="상수도토공집계표"/>
      <sheetName val="목차"/>
      <sheetName val="INSTR"/>
      <sheetName val="#3_일위대가목록"/>
      <sheetName val="시중노임단가"/>
      <sheetName val="7.공정표"/>
      <sheetName val="단면 (2)"/>
      <sheetName val="간접비(1)"/>
      <sheetName val="DHEQSUPT"/>
      <sheetName val="토사(PE)"/>
      <sheetName val="장비비 명세서1"/>
      <sheetName val="Sheet4"/>
      <sheetName val="표준건축비"/>
      <sheetName val="구의33고"/>
      <sheetName val="유림총괄"/>
      <sheetName val="-배수구조총재료"/>
      <sheetName val="심사물량"/>
      <sheetName val="비주거용"/>
      <sheetName val="인원"/>
      <sheetName val="RETAIL (ABOVE)"/>
      <sheetName val="5. 현장관리비(new) "/>
      <sheetName val="원본"/>
      <sheetName val="HVAC"/>
      <sheetName val="CODE1"/>
      <sheetName val="장비 (2)"/>
      <sheetName val="VE절감"/>
      <sheetName val="청주(철골발주의뢰서)"/>
      <sheetName val="분전함신설"/>
      <sheetName val="차수"/>
      <sheetName val="식재인부"/>
      <sheetName val="횡배수관토공수량"/>
      <sheetName val="세부추진"/>
      <sheetName val="상용보강"/>
      <sheetName val="단가(반정1교-원주)"/>
      <sheetName val="효율표"/>
      <sheetName val="SHEET"/>
      <sheetName val="2000노임기준"/>
      <sheetName val="확정분요약"/>
      <sheetName val="확정분세부"/>
      <sheetName val="제잡비"/>
      <sheetName val="개요"/>
      <sheetName val="울산자금"/>
      <sheetName val="제수변 수량집계표(보통)"/>
      <sheetName val="현관"/>
      <sheetName val="투찰가"/>
      <sheetName val="동해title"/>
      <sheetName val="실행(표지,갑,을)"/>
      <sheetName val="인부신상자료"/>
      <sheetName val="단   산"/>
      <sheetName val="실    단"/>
      <sheetName val="기본단가"/>
      <sheetName val="1단계"/>
      <sheetName val="일위대_x0000__x0000_Ԁ_x0000_䀀"/>
      <sheetName val="정산을지"/>
      <sheetName val="6. 수량산출서"/>
      <sheetName val="점수계산1-2"/>
      <sheetName val="2.대외공문"/>
      <sheetName val="건축2"/>
      <sheetName val="본사인상전"/>
      <sheetName val="B"/>
      <sheetName val="일위대㐀븁_x0000__x0000_退"/>
      <sheetName val="조작대(1연)"/>
      <sheetName val="일위(시설)"/>
      <sheetName val="노무비 근거"/>
      <sheetName val="96수출"/>
      <sheetName val="내역서을지"/>
      <sheetName val="wall"/>
      <sheetName val="위치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비교1"/>
      <sheetName val="신고조서"/>
      <sheetName val="EJ"/>
      <sheetName val="일정"/>
      <sheetName val="일위단가"/>
      <sheetName val="SHL"/>
      <sheetName val="적용환율"/>
      <sheetName val="김해토지조서"/>
      <sheetName val="공정코드"/>
      <sheetName val="통신물량"/>
      <sheetName val="기본"/>
      <sheetName val="Eq. Mobilization"/>
      <sheetName val="가시설단위수량"/>
      <sheetName val="월별수입"/>
      <sheetName val="건축기술부대조건"/>
      <sheetName val="입력정보"/>
      <sheetName val="일위총괄"/>
      <sheetName val="이월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실지수기호표"/>
      <sheetName val="Baby일위대가"/>
      <sheetName val="주beam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기준"/>
      <sheetName val="철근량"/>
      <sheetName val="실행대비"/>
      <sheetName val="용수간선"/>
      <sheetName val=""/>
      <sheetName val="공사수행방안"/>
      <sheetName val="현장경비"/>
      <sheetName val="N賃率_職"/>
      <sheetName val="양식_자재단가조사표"/>
      <sheetName val="3BL공동구 수량"/>
      <sheetName val="전선 및 전선관"/>
      <sheetName val="공조기"/>
      <sheetName val="CM 1"/>
      <sheetName val="5.동별횡주관경"/>
      <sheetName val="도실건시"/>
      <sheetName val="제경비산출서"/>
      <sheetName val="전산망"/>
      <sheetName val="콘크리트타설집계표"/>
      <sheetName val="골조"/>
      <sheetName val="일위산출근거"/>
      <sheetName val="자동세륜기"/>
      <sheetName val="입력데이타(비인쇄용)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갑지"/>
      <sheetName val="내역서"/>
      <sheetName val="#REF"/>
      <sheetName val="실행내역"/>
      <sheetName val="입찰안"/>
      <sheetName val="직노"/>
      <sheetName val="시행결의을"/>
      <sheetName val="연부97-1"/>
      <sheetName val="금융비용"/>
      <sheetName val="현장"/>
      <sheetName val="공사개요"/>
      <sheetName val="개요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  <sheetName val="설계내역서"/>
      <sheetName val="1F"/>
      <sheetName val="실행철강하도"/>
      <sheetName val="인사자료총집계"/>
      <sheetName val="차액보증"/>
      <sheetName val="실행내역"/>
      <sheetName val="Y-WORK"/>
      <sheetName val="1차 내역서"/>
      <sheetName val="공종별집계표"/>
      <sheetName val="기아대교"/>
      <sheetName val="토목주소"/>
      <sheetName val="프랜트면허"/>
      <sheetName val="BID"/>
      <sheetName val="설계"/>
      <sheetName val="월별수입"/>
      <sheetName val="약품공급2"/>
      <sheetName val="공사개요"/>
      <sheetName val="일위대가"/>
      <sheetName val="견적서"/>
      <sheetName val="노임"/>
      <sheetName val="단가표"/>
      <sheetName val="일위대가(계측기설치)"/>
      <sheetName val="품셈TABLE"/>
      <sheetName val="관급"/>
      <sheetName val="실행(ALT1)"/>
      <sheetName val="분전반"/>
      <sheetName val="잡철물"/>
      <sheetName val="EJ"/>
      <sheetName val="조명율표"/>
      <sheetName val="내역서"/>
      <sheetName val="금호"/>
      <sheetName val="갑지"/>
      <sheetName val="동원인원계획표"/>
      <sheetName val="9GNG운반"/>
      <sheetName val="1.수인터널"/>
      <sheetName val="#REF"/>
      <sheetName val="용소리교"/>
      <sheetName val="토공"/>
      <sheetName val="준공조서갑지"/>
      <sheetName val="할증 "/>
      <sheetName val="설 계"/>
      <sheetName val="협조전"/>
      <sheetName val="단가"/>
      <sheetName val="1호맨홀수량산출"/>
      <sheetName val="단가비교표_공통1"/>
      <sheetName val="정부노임단가"/>
      <sheetName val="DATE"/>
      <sheetName val="전기공사"/>
      <sheetName val="조명시설"/>
      <sheetName val="2.대외공문"/>
      <sheetName val="현대물량"/>
      <sheetName val="sw1"/>
      <sheetName val="NOMUBI"/>
      <sheetName val="Total"/>
      <sheetName val="6PILE  (돌출)"/>
      <sheetName val="골조"/>
      <sheetName val="종배수관"/>
      <sheetName val="간접경상비"/>
      <sheetName val="품목"/>
      <sheetName val="본공사"/>
      <sheetName val="8.PILE  (돌출)"/>
      <sheetName val="정렬"/>
      <sheetName val="산출내역서"/>
      <sheetName val="98수문일위"/>
      <sheetName val="견적사양비교표"/>
      <sheetName val="당진1,2호기전선관설치및접지4차공사내역서-을지"/>
      <sheetName val="공사설명서"/>
      <sheetName val="을지"/>
      <sheetName val="I一般比"/>
      <sheetName val="참조자료"/>
      <sheetName val="품셈표"/>
      <sheetName val="Sheet1"/>
      <sheetName val="BSD (2)"/>
      <sheetName val="JUCKEYK"/>
      <sheetName val="원가계산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입찰안"/>
      <sheetName val="준검 내역서"/>
      <sheetName val="신공항A-9(원가수정)"/>
      <sheetName val="저"/>
      <sheetName val="실행철강하도"/>
      <sheetName val="차액보증"/>
      <sheetName val="정부노임단가"/>
      <sheetName val="공사개요"/>
      <sheetName val="갑지"/>
      <sheetName val="산출내역서"/>
      <sheetName val="주차구획선수량"/>
      <sheetName val="내역서"/>
      <sheetName val="자재단가비교표"/>
      <sheetName val="개요"/>
      <sheetName val="부대tu"/>
      <sheetName val="일위대가"/>
      <sheetName val="#REF"/>
      <sheetName val="내역"/>
      <sheetName val="가도공"/>
      <sheetName val="A-4"/>
      <sheetName val="변경비교-을"/>
      <sheetName val="6공구(당초)"/>
      <sheetName val="품의서"/>
      <sheetName val="금호"/>
      <sheetName val="데리네이타현황"/>
      <sheetName val="하조서"/>
      <sheetName val="한강운반비"/>
      <sheetName val="목차"/>
      <sheetName val="노임단가"/>
      <sheetName val="서∼군(2)"/>
      <sheetName val="도급"/>
      <sheetName val="일위대가표"/>
      <sheetName val="98NS-N"/>
      <sheetName val="3차준공"/>
      <sheetName val="토적집계"/>
      <sheetName val="SP-B1"/>
      <sheetName val="재개발"/>
      <sheetName val="1.수인터널"/>
      <sheetName val="SG"/>
      <sheetName val="낙찰표"/>
      <sheetName val="45,46"/>
      <sheetName val="후다내역"/>
      <sheetName val="2.대외공문"/>
      <sheetName val="공업용수관로"/>
      <sheetName val="소야공정계획표"/>
      <sheetName val="BID"/>
      <sheetName val="기초코드"/>
      <sheetName val="을"/>
      <sheetName val="입적표"/>
      <sheetName val="실행대비"/>
      <sheetName val="시공여유율"/>
      <sheetName val="SANTOGO"/>
      <sheetName val="건축내역"/>
      <sheetName val="공제구간조서"/>
      <sheetName val="설계예산서"/>
      <sheetName val="설계"/>
      <sheetName val="보할"/>
      <sheetName val="접속도로1"/>
      <sheetName val="대로근거"/>
      <sheetName val="토목주소"/>
      <sheetName val="0.0ControlSheet"/>
      <sheetName val="0.1keyAssumption"/>
      <sheetName val="Total"/>
      <sheetName val="갑지(추정)"/>
      <sheetName val="물가시세"/>
      <sheetName val="총괄-1"/>
      <sheetName val="AS포장복구 "/>
      <sheetName val="Dae_Jiju"/>
      <sheetName val="Sikje_ingun"/>
      <sheetName val="TREE_D"/>
      <sheetName val="eq_data"/>
      <sheetName val="일위(토목)"/>
      <sheetName val="부대내역"/>
      <sheetName val="초기화면"/>
      <sheetName val="6PILE  (돌출)"/>
      <sheetName val="98지급계획"/>
      <sheetName val="특수선일위대가"/>
      <sheetName val="대비"/>
      <sheetName val="기본단가"/>
      <sheetName val="설 계"/>
      <sheetName val="경비"/>
      <sheetName val="2000년1차"/>
      <sheetName val="건축내역서"/>
      <sheetName val="자재단가"/>
      <sheetName val="단가비교표"/>
      <sheetName val="단가산출서"/>
      <sheetName val="원형1호맨홀토공수량"/>
      <sheetName val="입력시트"/>
      <sheetName val="장비집계"/>
      <sheetName val="지주설치제원"/>
      <sheetName val="결과조달"/>
      <sheetName val="중로근거"/>
      <sheetName val="원본(갑지)"/>
      <sheetName val="전기공사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내역(최종본4.5)"/>
      <sheetName val="DATA"/>
      <sheetName val="공통가설"/>
      <sheetName val="실행내역"/>
      <sheetName val="입찰품의서"/>
      <sheetName val="단"/>
      <sheetName val="전체_1설계"/>
      <sheetName val="수로단위수량"/>
      <sheetName val="DATE"/>
      <sheetName val="N賃率-職"/>
      <sheetName val="공사비총괄표"/>
      <sheetName val="실행내역서"/>
      <sheetName val="배수통관(좌)"/>
      <sheetName val="공문(신)"/>
      <sheetName val="토사(PE)"/>
      <sheetName val="입찰"/>
      <sheetName val="현경"/>
      <sheetName val="가시설"/>
      <sheetName val="경영혁신본부"/>
      <sheetName val="준공조서갑지"/>
      <sheetName val="입출재고현황 (2)"/>
      <sheetName val="수문일1"/>
      <sheetName val="을지"/>
      <sheetName val="관일"/>
      <sheetName val="흥양2교토공집계표"/>
      <sheetName val="표지"/>
      <sheetName val="시화점실행"/>
      <sheetName val="맨홀수량"/>
      <sheetName val="하수급견적대비"/>
      <sheetName val="광산내역"/>
      <sheetName val="type-F"/>
      <sheetName val="A-7-1LINE(수량)"/>
      <sheetName val="Sheet1 (2)"/>
      <sheetName val="상-교대(A1-A2)"/>
      <sheetName val="노임"/>
      <sheetName val="대치판정"/>
      <sheetName val="인건-측정"/>
      <sheetName val="증감대비"/>
      <sheetName val="9GNG운반"/>
      <sheetName val="2000년하반기"/>
      <sheetName val="여과지동"/>
      <sheetName val="기초자료"/>
      <sheetName val="현장관리"/>
      <sheetName val="일위대가(1)"/>
      <sheetName val="건집"/>
      <sheetName val="기집"/>
      <sheetName val="토집"/>
      <sheetName val="조집"/>
      <sheetName val="토공사"/>
      <sheetName val="횡배수관토공수량"/>
      <sheetName val="ELECTRIC"/>
      <sheetName val="기성신청"/>
      <sheetName val="연결임시"/>
      <sheetName val="전기일위대가"/>
      <sheetName val="신대방33(적용)"/>
      <sheetName val="구의33고"/>
      <sheetName val="직노"/>
      <sheetName val="일위대가(가설)"/>
      <sheetName val="물량표"/>
      <sheetName val="공사"/>
      <sheetName val="TYPE-A"/>
      <sheetName val="수량산출"/>
      <sheetName val="강교(Sub)"/>
      <sheetName val="몰탈재료산출"/>
      <sheetName val="ABUT수량-A1"/>
      <sheetName val="BJJIN"/>
      <sheetName val="총괄내역서"/>
      <sheetName val="위치조서"/>
      <sheetName val="4.내진설계"/>
      <sheetName val="총괄"/>
      <sheetName val="2000전체분"/>
      <sheetName val="간접비"/>
      <sheetName val="자재일람"/>
      <sheetName val="1.취수장"/>
      <sheetName val="가로등내역서"/>
      <sheetName val="TB-내역서"/>
      <sheetName val="전차선로 물량표"/>
      <sheetName val="자재"/>
      <sheetName val="공통(20-91)"/>
      <sheetName val="wall"/>
      <sheetName val="기계내역"/>
      <sheetName val="BSD (2)"/>
      <sheetName val="제잡비.xls"/>
      <sheetName val="배관단가조사서"/>
      <sheetName val="노원열병합  건축공사기성내역서"/>
      <sheetName val="토목내역"/>
      <sheetName val="APT"/>
      <sheetName val="부하(성남)"/>
      <sheetName val="부하계산서"/>
      <sheetName val="STAND20"/>
      <sheetName val="nys"/>
      <sheetName val="전신"/>
      <sheetName val="수량조서"/>
      <sheetName val="1_수인터널"/>
      <sheetName val="6PILE__(돌출)"/>
      <sheetName val="2_대외공문"/>
      <sheetName val="설_계"/>
      <sheetName val="AS포장복구_"/>
      <sheetName val="인건비"/>
      <sheetName val="설계예산"/>
      <sheetName val="충주"/>
      <sheetName val="구천"/>
      <sheetName val="교각1"/>
      <sheetName val="일위대가(계측기설치)"/>
      <sheetName val="현대물량"/>
      <sheetName val="단면가정"/>
      <sheetName val="설계조건"/>
      <sheetName val="부재력정리"/>
      <sheetName val="최초침전지집계표"/>
      <sheetName val="4)유동표"/>
      <sheetName val="CONCRETE"/>
      <sheetName val="전신환매도율"/>
      <sheetName val="설직재-1"/>
      <sheetName val="I一般比"/>
      <sheetName val="EQUIP-H"/>
      <sheetName val="코드표"/>
      <sheetName val="손익현황"/>
      <sheetName val="현황CODE"/>
      <sheetName val="교대(A1)"/>
      <sheetName val="6호기"/>
      <sheetName val="수자재단위당"/>
      <sheetName val="자재목록"/>
      <sheetName val="중기목록"/>
      <sheetName val="단가목록"/>
      <sheetName val="일위목록"/>
      <sheetName val="노임목록"/>
      <sheetName val="원가계산서"/>
      <sheetName val="견적서"/>
      <sheetName val="현장별계약현황('98.10.31)"/>
      <sheetName val="금액내역서"/>
      <sheetName val="세부내역"/>
      <sheetName val="설계내역서"/>
      <sheetName val="96보완계획7.12"/>
      <sheetName val="관급"/>
      <sheetName val="1. 설계조건 2.단면가정 3. 하중계산"/>
      <sheetName val="DATA 입력란"/>
      <sheetName val="적용대가"/>
      <sheetName val="인건비 "/>
      <sheetName val="3BL공동구 수량"/>
      <sheetName val="공종별산출내역서"/>
      <sheetName val="산출내역서집계표"/>
      <sheetName val="집계표(OPTION)"/>
      <sheetName val="MOTOR"/>
      <sheetName val="물집"/>
      <sheetName val="플랜트 설치"/>
      <sheetName val="실행내역서 "/>
      <sheetName val="화설내"/>
      <sheetName val="자재집계표"/>
      <sheetName val="부대입찰 내역서"/>
      <sheetName val="도급b_balju"/>
      <sheetName val="원가서"/>
      <sheetName val="200"/>
      <sheetName val="중기일위대가"/>
      <sheetName val="가격조사서"/>
      <sheetName val="교각계산"/>
      <sheetName val="조명시설"/>
      <sheetName val="단가"/>
      <sheetName val="철거산출근거"/>
      <sheetName val="노임이"/>
      <sheetName val="세금자료"/>
      <sheetName val="뚝토공"/>
      <sheetName val="토공(우물통,기타) "/>
      <sheetName val="명단"/>
      <sheetName val="인사자료총집계"/>
      <sheetName val=" 총괄표"/>
      <sheetName val="포장단면별단위수량"/>
      <sheetName val="2.고용보험료산출근거"/>
      <sheetName val="공사비예산서(토목분)"/>
      <sheetName val="원가계산 (2)"/>
      <sheetName val="포장공자재집계표"/>
      <sheetName val="골조시행"/>
      <sheetName val="단가조사"/>
      <sheetName val="Eq. Mobilization"/>
      <sheetName val="Y-WORK"/>
      <sheetName val="프랜트면허"/>
      <sheetName val="1.설계조건"/>
      <sheetName val="음료실행"/>
      <sheetName val="_REF"/>
      <sheetName val="s"/>
      <sheetName val="수량3"/>
      <sheetName val="확약서"/>
      <sheetName val="선정요령"/>
      <sheetName val="연습"/>
      <sheetName val="내역(최종본4_5)"/>
      <sheetName val="0_0ControlSheet"/>
      <sheetName val="0_1keyAssumption"/>
      <sheetName val="Front"/>
      <sheetName val="노무비"/>
      <sheetName val="건축집계"/>
      <sheetName val="현장관리비"/>
      <sheetName val="경영상태"/>
      <sheetName val="건축내역(진해석동)"/>
      <sheetName val="주경기-오배수"/>
      <sheetName val="실행간접비용"/>
      <sheetName val="보고"/>
      <sheetName val="COPING"/>
      <sheetName val="설계서"/>
      <sheetName val="예산서"/>
      <sheetName val="총공사비"/>
      <sheetName val="0Title"/>
      <sheetName val="일위(PN)"/>
      <sheetName val="집계"/>
      <sheetName val="날개벽(시점좌측)"/>
      <sheetName val="투찰(하수)"/>
      <sheetName val="전라자금"/>
      <sheetName val="b_yesan"/>
      <sheetName val="하중"/>
      <sheetName val="배수내역"/>
      <sheetName val="팔당터널(1공구)"/>
      <sheetName val="J直材4"/>
      <sheetName val="F4-F7"/>
      <sheetName val="장비당단가 (1)"/>
      <sheetName val="Sheet2 (2)"/>
      <sheetName val="업무"/>
      <sheetName val="Type(123)"/>
      <sheetName val="1.설계기준"/>
      <sheetName val="수량산출서"/>
      <sheetName val="98수문일위"/>
      <sheetName val="내역서01"/>
      <sheetName val="97년 추정"/>
      <sheetName val="현장관리비 산출내역"/>
      <sheetName val="실행(ALT1)"/>
      <sheetName val="정보"/>
      <sheetName val="VXXXXXXX"/>
      <sheetName val="건설성적"/>
      <sheetName val="증감내역서"/>
      <sheetName val="전기단가조사서"/>
      <sheetName val="산수배수"/>
      <sheetName val="집계표(수배전제조구매)"/>
      <sheetName val="종단계산"/>
      <sheetName val="입적6-10"/>
      <sheetName val="공량산출서"/>
      <sheetName val="JUCKEYK"/>
      <sheetName val="건축-물가변동"/>
      <sheetName val="품셈TABLE"/>
      <sheetName val="현황산출서"/>
      <sheetName val="견적대비표"/>
      <sheetName val="단가(반정1교-원주)"/>
      <sheetName val="주요자재단가"/>
      <sheetName val="각형맨홀"/>
      <sheetName val="본공사"/>
      <sheetName val="S0"/>
      <sheetName val="자금청구"/>
      <sheetName val="DC-O-4-S(설명서)"/>
      <sheetName val="평균터파기고(1-2,ASP)"/>
      <sheetName val="프라임 강변역(4,236)"/>
      <sheetName val="마산방향"/>
      <sheetName val="경비2내역"/>
      <sheetName val="INPUT(덕도방향-시점)"/>
      <sheetName val="CPM챠트"/>
      <sheetName val="지우지마"/>
      <sheetName val="토목"/>
      <sheetName val="설계기준"/>
      <sheetName val="내역1"/>
      <sheetName val="내   역"/>
      <sheetName val="날개벽"/>
      <sheetName val="국내"/>
      <sheetName val="우석문틀"/>
      <sheetName val="Sheet9"/>
      <sheetName val="설계명세서"/>
      <sheetName val="예산M6-B"/>
      <sheetName val="AB자재단가"/>
      <sheetName val="견적을지"/>
      <sheetName val="장비별표(오거보링)(Ø400)(12M)"/>
      <sheetName val="신공항A-;(원가수정)"/>
      <sheetName val="기계경비"/>
      <sheetName val="발주설계서(당초)"/>
      <sheetName val="IW-LIST"/>
      <sheetName val="3F"/>
      <sheetName val="ITEM"/>
      <sheetName val="앵커구조계산"/>
      <sheetName val="집 계 표"/>
      <sheetName val="비교1"/>
      <sheetName val="콤보박스와 리스트박스의 연결"/>
      <sheetName val="유형처분"/>
      <sheetName val="설-원가"/>
      <sheetName val="건축적용원가계산"/>
      <sheetName val="상세산출"/>
      <sheetName val="적현로"/>
      <sheetName val="진주방향"/>
      <sheetName val="수토공단위당"/>
      <sheetName val="TOT"/>
      <sheetName val="밸브설치"/>
      <sheetName val="TEST1"/>
      <sheetName val="수량집계표"/>
      <sheetName val="횡배수관"/>
      <sheetName val="부안일위"/>
      <sheetName val="모래기초"/>
      <sheetName val="공정표 "/>
      <sheetName val="전체ﾴ엿서"/>
      <sheetName val="시중노임단가"/>
      <sheetName val="S12"/>
      <sheetName val="50-4(2차)"/>
      <sheetName val="건축공사"/>
      <sheetName val="배수공"/>
      <sheetName val="5.2코핑"/>
      <sheetName val="수 량 명 세 서 - 1"/>
      <sheetName val="구조물터파기수량집계"/>
      <sheetName val="측구터파기공수량집계"/>
      <sheetName val="배수공 시멘트 및 골재량 산출"/>
      <sheetName val="부대공Ⅱ"/>
      <sheetName val="지급자재"/>
      <sheetName val="7.PILE  (돌출)"/>
      <sheetName val="기초(1)"/>
      <sheetName val="세부내역서"/>
      <sheetName val="P.M 별"/>
      <sheetName val="예산내역서"/>
      <sheetName val="수입"/>
      <sheetName val="산출근거"/>
      <sheetName val="1호맨홀수량산출"/>
      <sheetName val="관련자료입력"/>
      <sheetName val="견적조건"/>
      <sheetName val="참조"/>
      <sheetName val="구조물철거타공정이월"/>
      <sheetName val="총집계표"/>
      <sheetName val="철근단면적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맨홀(2호)"/>
      <sheetName val="덕전리"/>
      <sheetName val="예산총괄표"/>
      <sheetName val="재료비"/>
      <sheetName val="대림경상68억"/>
      <sheetName val="8.PILE  (돌출)"/>
      <sheetName val="공사비산출내역"/>
      <sheetName val="신우"/>
      <sheetName val="울산자금"/>
      <sheetName val="機器明細(MC)"/>
      <sheetName val="변경후원본2"/>
      <sheetName val="강북라우터"/>
      <sheetName val="공사분석"/>
      <sheetName val="2000년 공정표"/>
      <sheetName val="입찰보고"/>
      <sheetName val="대우"/>
      <sheetName val="마산월령동골조물량변경"/>
      <sheetName val="FB25JN"/>
      <sheetName val="전기"/>
      <sheetName val="데이타"/>
      <sheetName val="sw1"/>
      <sheetName val="1맨AO"/>
      <sheetName val="산출기준(파견전산실)"/>
      <sheetName val="실행(표지,갑,을)"/>
      <sheetName val="일위대가목차"/>
      <sheetName val="간접"/>
      <sheetName val="연부97-1"/>
      <sheetName val="2.교량(신설)"/>
      <sheetName val="내역분기"/>
      <sheetName val="별표 "/>
      <sheetName val="설내역서 "/>
      <sheetName val="구분자"/>
      <sheetName val="광통신 견적내역서1"/>
      <sheetName val="할증 "/>
      <sheetName val="전기실-1"/>
      <sheetName val="잡철물"/>
      <sheetName val="갑지1"/>
      <sheetName val="EJ"/>
      <sheetName val="교통대책내역"/>
      <sheetName val="unit 4"/>
      <sheetName val="당초"/>
      <sheetName val="1,2공구원가계산서"/>
      <sheetName val="2공구산출내역"/>
      <sheetName val="1공구산출내역서"/>
      <sheetName val="조명율표"/>
      <sheetName val="작성기준"/>
      <sheetName val="단중"/>
      <sheetName val="금융비용"/>
      <sheetName val="8)중점관리장비현황"/>
      <sheetName val="돈암사업"/>
      <sheetName val="효율표"/>
      <sheetName val="전체기준Data"/>
      <sheetName val="사통"/>
      <sheetName val="파이프류"/>
      <sheetName val="DATA 입력부"/>
      <sheetName val="A"/>
      <sheetName val="식재수량표"/>
      <sheetName val="식재일위"/>
      <sheetName val="깨기"/>
      <sheetName val="영업소실적"/>
      <sheetName val="TBN실행"/>
      <sheetName val="지중자재단가"/>
      <sheetName val="SF내역및원가02"/>
      <sheetName val="EQUIP LIST"/>
      <sheetName val="코드"/>
      <sheetName val="간접경상비"/>
      <sheetName val="보도경계블럭"/>
      <sheetName val="아파트-가설"/>
      <sheetName val="일위대가목록"/>
      <sheetName val="base"/>
      <sheetName val="CALCULATION"/>
      <sheetName val="경상비"/>
      <sheetName val="역T형"/>
      <sheetName val="9-1차이내역"/>
      <sheetName val="96노임기준"/>
      <sheetName val="CIP 공사"/>
      <sheetName val="공통부대비"/>
      <sheetName val="공통가설공사"/>
      <sheetName val="샘플표지"/>
      <sheetName val="1차설계변경내역"/>
      <sheetName val="포설list원본"/>
      <sheetName val="차수"/>
      <sheetName val="본부장"/>
      <sheetName val="현장별"/>
      <sheetName val="설계변경내역서"/>
      <sheetName val="원가계산"/>
      <sheetName val="남양내역"/>
      <sheetName val="위생기구"/>
      <sheetName val="기계실냉난방"/>
      <sheetName val="식재"/>
      <sheetName val="시설물"/>
      <sheetName val="식재출력용"/>
      <sheetName val="유지관리"/>
      <sheetName val="출장내역"/>
      <sheetName val="CTEMCOST"/>
      <sheetName val="토량1-1"/>
      <sheetName val="유림골조"/>
      <sheetName val="PI"/>
      <sheetName val="직공비"/>
      <sheetName val="NOMUBI"/>
      <sheetName val="벽체면적당일위대가"/>
      <sheetName val="소비자가"/>
      <sheetName val="Baby일위대가"/>
      <sheetName val="조건"/>
      <sheetName val="중기가격"/>
      <sheetName val="주식"/>
      <sheetName val="상수도토공집계표"/>
      <sheetName val="남양시작동010313100%"/>
      <sheetName val="단가표"/>
      <sheetName val="5사남"/>
      <sheetName val="원본"/>
      <sheetName val="BREAKDOWN(철거설치)"/>
      <sheetName val="일반수량"/>
      <sheetName val="4.경비 5.영업외수지"/>
      <sheetName val="전체"/>
      <sheetName val="TS"/>
      <sheetName val="지급어음"/>
      <sheetName val="최종보고1"/>
      <sheetName val=" 견적서"/>
      <sheetName val="Input"/>
      <sheetName val="3월"/>
      <sheetName val="CJE"/>
      <sheetName val="choose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업무분장"/>
      <sheetName val="내역서변경성원"/>
      <sheetName val="울산자동제어"/>
      <sheetName val="일위_파일"/>
      <sheetName val="일반부표"/>
      <sheetName val="견적의뢰서"/>
      <sheetName val="현장일반사항"/>
      <sheetName val="표지 (2)"/>
      <sheetName val="명세서"/>
      <sheetName val="수량산출서 갑지"/>
      <sheetName val="마감사양"/>
      <sheetName val="기본사항"/>
      <sheetName val="유림콘도"/>
      <sheetName val="내역서당초"/>
      <sheetName val="평3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내역서(전기)"/>
      <sheetName val="표지 (3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INSTR"/>
      <sheetName val="조건표"/>
      <sheetName val="장비"/>
      <sheetName val="산근1"/>
      <sheetName val="노무"/>
      <sheetName val="설계가"/>
      <sheetName val="품셈총괄표"/>
      <sheetName val="교각토공 _2_"/>
      <sheetName val="일위대가D"/>
      <sheetName val="Macro(전동기)"/>
      <sheetName val="토__목1"/>
      <sheetName val="조__경1"/>
      <sheetName val="전_기1"/>
      <sheetName val="건__축1"/>
      <sheetName val="보도내역_(3)1"/>
      <sheetName val="준검_내역서1"/>
      <sheetName val="4_내진설계"/>
      <sheetName val="입출재고현황_(2)"/>
      <sheetName val="Sheet1_(2)"/>
      <sheetName val="현금흐름"/>
      <sheetName val="1안"/>
      <sheetName val="기계경비일람"/>
      <sheetName val="배명(단가)"/>
      <sheetName val="형틀공사"/>
      <sheetName val="Mc1"/>
      <sheetName val="배수관공"/>
      <sheetName val="측구공"/>
      <sheetName val="산출금액내역"/>
      <sheetName val="건축토목실행내역"/>
      <sheetName val="동원(3)"/>
      <sheetName val="C-노임단가"/>
      <sheetName val="1.본부별"/>
      <sheetName val="수목단가"/>
      <sheetName val="시설수량표"/>
      <sheetName val="000000"/>
      <sheetName val="guard(mac)"/>
      <sheetName val="변경후-SHEET"/>
      <sheetName val="말고개터널조명전압강하"/>
      <sheetName val="2000.05"/>
      <sheetName val="기흥하도용"/>
      <sheetName val="cable-data"/>
      <sheetName val="노무비산출"/>
      <sheetName val="HRSG SMALL07220"/>
      <sheetName val="기본설계기준"/>
      <sheetName val="일위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48일위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WORK"/>
      <sheetName val="토목품셈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날개벽수량표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tggwan(mac)"/>
      <sheetName val="만년달력"/>
      <sheetName val="단가산출(T)"/>
      <sheetName val="공사원가계산서"/>
      <sheetName val="인사자료"/>
      <sheetName val="맨홀수량산출"/>
      <sheetName val="재료집계표"/>
      <sheetName val="FI원가_1"/>
      <sheetName val="시운전연료"/>
      <sheetName val="포장공"/>
      <sheetName val="구조물"/>
      <sheetName val="근로자자료입력"/>
      <sheetName val="참고자료"/>
      <sheetName val="1차3회-개소별명세서-빨간색-인쇄용(21873)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#3E1_GCR"/>
      <sheetName val="소소총괄표"/>
      <sheetName val="1공구_건정토건_토공2"/>
      <sheetName val="1.3.1절점좌표"/>
      <sheetName val="1.1설계기준"/>
      <sheetName val="기본DATA"/>
      <sheetName val="구단"/>
      <sheetName val="기초입력 DATA"/>
      <sheetName val="원가"/>
      <sheetName val="입찰내역"/>
      <sheetName val="적용토목"/>
      <sheetName val="식재인부"/>
      <sheetName val="평자재단가"/>
      <sheetName val="분전반일위대가"/>
      <sheetName val="첨부1-1"/>
      <sheetName val="빙설"/>
      <sheetName val="본사인상전"/>
      <sheetName val="4.장비손료"/>
      <sheetName val="1F"/>
      <sheetName val="설계내역"/>
      <sheetName val="49일위"/>
      <sheetName val="22일위"/>
      <sheetName val="10동"/>
      <sheetName val="제거식EA"/>
      <sheetName val="database"/>
      <sheetName val="기둥(원형)"/>
      <sheetName val="XL4Poppy"/>
      <sheetName val="조명일위"/>
      <sheetName val="NAIL단가산출"/>
      <sheetName val="설계명세"/>
      <sheetName val="단중표"/>
      <sheetName val="내부마감"/>
      <sheetName val="SUB일위대가"/>
      <sheetName val="교각"/>
      <sheetName val="단양 00 아파트-세부내역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단위수량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구조물공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소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정공공사"/>
      <sheetName val="예산M12A"/>
      <sheetName val="70%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공문"/>
      <sheetName val="현장지지물물량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부산제일극장"/>
      <sheetName val="수주현황2월"/>
      <sheetName val="개산공사비"/>
      <sheetName val="공통자료"/>
      <sheetName val="안전시설내역서"/>
      <sheetName val="총공사내역서"/>
      <sheetName val="배수문"/>
      <sheetName val="간접재료비산출표-27-30"/>
      <sheetName val="바닥판"/>
      <sheetName val="쌍송교"/>
      <sheetName val="인원현황"/>
      <sheetName val="시설물기초"/>
      <sheetName val="식재일위대가"/>
      <sheetName val="기초일위대가"/>
      <sheetName val="단가대비표"/>
      <sheetName val="이자율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손익분석"/>
      <sheetName val="1-1호"/>
      <sheetName val="정부노임"/>
      <sheetName val="품셈(기초)"/>
      <sheetName val="Sheet14"/>
      <sheetName val="Sheet13"/>
      <sheetName val="전계가"/>
      <sheetName val="방송(체육관)"/>
      <sheetName val="증감분석"/>
      <sheetName val="입력값"/>
      <sheetName val="설계기준 및 하중계산"/>
      <sheetName val="2004노형교"/>
      <sheetName val="기기리스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H23"/>
  <sheetViews>
    <sheetView view="pageBreakPreview" zoomScale="85" zoomScaleNormal="100" zoomScaleSheetLayoutView="85" workbookViewId="0">
      <selection activeCell="F20" sqref="F20"/>
    </sheetView>
  </sheetViews>
  <sheetFormatPr defaultRowHeight="18" customHeight="1"/>
  <cols>
    <col min="1" max="1" width="20" style="61" customWidth="1"/>
    <col min="2" max="2" width="3.28515625" style="61" customWidth="1"/>
    <col min="3" max="3" width="8.7109375" style="61" customWidth="1"/>
    <col min="4" max="4" width="18.7109375" style="61" customWidth="1"/>
    <col min="5" max="5" width="28" style="61" customWidth="1"/>
    <col min="6" max="6" width="48.5703125" style="61" customWidth="1"/>
    <col min="7" max="7" width="23.28515625" style="61" customWidth="1"/>
    <col min="8" max="8" width="29.7109375" style="61" customWidth="1"/>
    <col min="9" max="9" width="5.5703125" style="61" customWidth="1"/>
    <col min="10" max="256" width="9.140625" style="61"/>
    <col min="257" max="257" width="13.5703125" style="61" customWidth="1"/>
    <col min="258" max="258" width="8.140625" style="61" customWidth="1"/>
    <col min="259" max="259" width="8.7109375" style="61" customWidth="1"/>
    <col min="260" max="260" width="23.140625" style="61" customWidth="1"/>
    <col min="261" max="261" width="16.7109375" style="61" customWidth="1"/>
    <col min="262" max="262" width="18.85546875" style="61" customWidth="1"/>
    <col min="263" max="263" width="17.85546875" style="61" customWidth="1"/>
    <col min="264" max="264" width="22.28515625" style="61" customWidth="1"/>
    <col min="265" max="265" width="5.5703125" style="61" customWidth="1"/>
    <col min="266" max="512" width="9.140625" style="61"/>
    <col min="513" max="513" width="13.5703125" style="61" customWidth="1"/>
    <col min="514" max="514" width="8.140625" style="61" customWidth="1"/>
    <col min="515" max="515" width="8.7109375" style="61" customWidth="1"/>
    <col min="516" max="516" width="23.140625" style="61" customWidth="1"/>
    <col min="517" max="517" width="16.7109375" style="61" customWidth="1"/>
    <col min="518" max="518" width="18.85546875" style="61" customWidth="1"/>
    <col min="519" max="519" width="17.85546875" style="61" customWidth="1"/>
    <col min="520" max="520" width="22.28515625" style="61" customWidth="1"/>
    <col min="521" max="521" width="5.5703125" style="61" customWidth="1"/>
    <col min="522" max="768" width="9.140625" style="61"/>
    <col min="769" max="769" width="13.5703125" style="61" customWidth="1"/>
    <col min="770" max="770" width="8.140625" style="61" customWidth="1"/>
    <col min="771" max="771" width="8.7109375" style="61" customWidth="1"/>
    <col min="772" max="772" width="23.140625" style="61" customWidth="1"/>
    <col min="773" max="773" width="16.7109375" style="61" customWidth="1"/>
    <col min="774" max="774" width="18.85546875" style="61" customWidth="1"/>
    <col min="775" max="775" width="17.85546875" style="61" customWidth="1"/>
    <col min="776" max="776" width="22.28515625" style="61" customWidth="1"/>
    <col min="777" max="777" width="5.5703125" style="61" customWidth="1"/>
    <col min="778" max="1024" width="9.140625" style="61"/>
    <col min="1025" max="1025" width="13.5703125" style="61" customWidth="1"/>
    <col min="1026" max="1026" width="8.140625" style="61" customWidth="1"/>
    <col min="1027" max="1027" width="8.7109375" style="61" customWidth="1"/>
    <col min="1028" max="1028" width="23.140625" style="61" customWidth="1"/>
    <col min="1029" max="1029" width="16.7109375" style="61" customWidth="1"/>
    <col min="1030" max="1030" width="18.85546875" style="61" customWidth="1"/>
    <col min="1031" max="1031" width="17.85546875" style="61" customWidth="1"/>
    <col min="1032" max="1032" width="22.28515625" style="61" customWidth="1"/>
    <col min="1033" max="1033" width="5.5703125" style="61" customWidth="1"/>
    <col min="1034" max="1280" width="9.140625" style="61"/>
    <col min="1281" max="1281" width="13.5703125" style="61" customWidth="1"/>
    <col min="1282" max="1282" width="8.140625" style="61" customWidth="1"/>
    <col min="1283" max="1283" width="8.7109375" style="61" customWidth="1"/>
    <col min="1284" max="1284" width="23.140625" style="61" customWidth="1"/>
    <col min="1285" max="1285" width="16.7109375" style="61" customWidth="1"/>
    <col min="1286" max="1286" width="18.85546875" style="61" customWidth="1"/>
    <col min="1287" max="1287" width="17.85546875" style="61" customWidth="1"/>
    <col min="1288" max="1288" width="22.28515625" style="61" customWidth="1"/>
    <col min="1289" max="1289" width="5.5703125" style="61" customWidth="1"/>
    <col min="1290" max="1536" width="9.140625" style="61"/>
    <col min="1537" max="1537" width="13.5703125" style="61" customWidth="1"/>
    <col min="1538" max="1538" width="8.140625" style="61" customWidth="1"/>
    <col min="1539" max="1539" width="8.7109375" style="61" customWidth="1"/>
    <col min="1540" max="1540" width="23.140625" style="61" customWidth="1"/>
    <col min="1541" max="1541" width="16.7109375" style="61" customWidth="1"/>
    <col min="1542" max="1542" width="18.85546875" style="61" customWidth="1"/>
    <col min="1543" max="1543" width="17.85546875" style="61" customWidth="1"/>
    <col min="1544" max="1544" width="22.28515625" style="61" customWidth="1"/>
    <col min="1545" max="1545" width="5.5703125" style="61" customWidth="1"/>
    <col min="1546" max="1792" width="9.140625" style="61"/>
    <col min="1793" max="1793" width="13.5703125" style="61" customWidth="1"/>
    <col min="1794" max="1794" width="8.140625" style="61" customWidth="1"/>
    <col min="1795" max="1795" width="8.7109375" style="61" customWidth="1"/>
    <col min="1796" max="1796" width="23.140625" style="61" customWidth="1"/>
    <col min="1797" max="1797" width="16.7109375" style="61" customWidth="1"/>
    <col min="1798" max="1798" width="18.85546875" style="61" customWidth="1"/>
    <col min="1799" max="1799" width="17.85546875" style="61" customWidth="1"/>
    <col min="1800" max="1800" width="22.28515625" style="61" customWidth="1"/>
    <col min="1801" max="1801" width="5.5703125" style="61" customWidth="1"/>
    <col min="1802" max="2048" width="9.140625" style="61"/>
    <col min="2049" max="2049" width="13.5703125" style="61" customWidth="1"/>
    <col min="2050" max="2050" width="8.140625" style="61" customWidth="1"/>
    <col min="2051" max="2051" width="8.7109375" style="61" customWidth="1"/>
    <col min="2052" max="2052" width="23.140625" style="61" customWidth="1"/>
    <col min="2053" max="2053" width="16.7109375" style="61" customWidth="1"/>
    <col min="2054" max="2054" width="18.85546875" style="61" customWidth="1"/>
    <col min="2055" max="2055" width="17.85546875" style="61" customWidth="1"/>
    <col min="2056" max="2056" width="22.28515625" style="61" customWidth="1"/>
    <col min="2057" max="2057" width="5.5703125" style="61" customWidth="1"/>
    <col min="2058" max="2304" width="9.140625" style="61"/>
    <col min="2305" max="2305" width="13.5703125" style="61" customWidth="1"/>
    <col min="2306" max="2306" width="8.140625" style="61" customWidth="1"/>
    <col min="2307" max="2307" width="8.7109375" style="61" customWidth="1"/>
    <col min="2308" max="2308" width="23.140625" style="61" customWidth="1"/>
    <col min="2309" max="2309" width="16.7109375" style="61" customWidth="1"/>
    <col min="2310" max="2310" width="18.85546875" style="61" customWidth="1"/>
    <col min="2311" max="2311" width="17.85546875" style="61" customWidth="1"/>
    <col min="2312" max="2312" width="22.28515625" style="61" customWidth="1"/>
    <col min="2313" max="2313" width="5.5703125" style="61" customWidth="1"/>
    <col min="2314" max="2560" width="9.140625" style="61"/>
    <col min="2561" max="2561" width="13.5703125" style="61" customWidth="1"/>
    <col min="2562" max="2562" width="8.140625" style="61" customWidth="1"/>
    <col min="2563" max="2563" width="8.7109375" style="61" customWidth="1"/>
    <col min="2564" max="2564" width="23.140625" style="61" customWidth="1"/>
    <col min="2565" max="2565" width="16.7109375" style="61" customWidth="1"/>
    <col min="2566" max="2566" width="18.85546875" style="61" customWidth="1"/>
    <col min="2567" max="2567" width="17.85546875" style="61" customWidth="1"/>
    <col min="2568" max="2568" width="22.28515625" style="61" customWidth="1"/>
    <col min="2569" max="2569" width="5.5703125" style="61" customWidth="1"/>
    <col min="2570" max="2816" width="9.140625" style="61"/>
    <col min="2817" max="2817" width="13.5703125" style="61" customWidth="1"/>
    <col min="2818" max="2818" width="8.140625" style="61" customWidth="1"/>
    <col min="2819" max="2819" width="8.7109375" style="61" customWidth="1"/>
    <col min="2820" max="2820" width="23.140625" style="61" customWidth="1"/>
    <col min="2821" max="2821" width="16.7109375" style="61" customWidth="1"/>
    <col min="2822" max="2822" width="18.85546875" style="61" customWidth="1"/>
    <col min="2823" max="2823" width="17.85546875" style="61" customWidth="1"/>
    <col min="2824" max="2824" width="22.28515625" style="61" customWidth="1"/>
    <col min="2825" max="2825" width="5.5703125" style="61" customWidth="1"/>
    <col min="2826" max="3072" width="9.140625" style="61"/>
    <col min="3073" max="3073" width="13.5703125" style="61" customWidth="1"/>
    <col min="3074" max="3074" width="8.140625" style="61" customWidth="1"/>
    <col min="3075" max="3075" width="8.7109375" style="61" customWidth="1"/>
    <col min="3076" max="3076" width="23.140625" style="61" customWidth="1"/>
    <col min="3077" max="3077" width="16.7109375" style="61" customWidth="1"/>
    <col min="3078" max="3078" width="18.85546875" style="61" customWidth="1"/>
    <col min="3079" max="3079" width="17.85546875" style="61" customWidth="1"/>
    <col min="3080" max="3080" width="22.28515625" style="61" customWidth="1"/>
    <col min="3081" max="3081" width="5.5703125" style="61" customWidth="1"/>
    <col min="3082" max="3328" width="9.140625" style="61"/>
    <col min="3329" max="3329" width="13.5703125" style="61" customWidth="1"/>
    <col min="3330" max="3330" width="8.140625" style="61" customWidth="1"/>
    <col min="3331" max="3331" width="8.7109375" style="61" customWidth="1"/>
    <col min="3332" max="3332" width="23.140625" style="61" customWidth="1"/>
    <col min="3333" max="3333" width="16.7109375" style="61" customWidth="1"/>
    <col min="3334" max="3334" width="18.85546875" style="61" customWidth="1"/>
    <col min="3335" max="3335" width="17.85546875" style="61" customWidth="1"/>
    <col min="3336" max="3336" width="22.28515625" style="61" customWidth="1"/>
    <col min="3337" max="3337" width="5.5703125" style="61" customWidth="1"/>
    <col min="3338" max="3584" width="9.140625" style="61"/>
    <col min="3585" max="3585" width="13.5703125" style="61" customWidth="1"/>
    <col min="3586" max="3586" width="8.140625" style="61" customWidth="1"/>
    <col min="3587" max="3587" width="8.7109375" style="61" customWidth="1"/>
    <col min="3588" max="3588" width="23.140625" style="61" customWidth="1"/>
    <col min="3589" max="3589" width="16.7109375" style="61" customWidth="1"/>
    <col min="3590" max="3590" width="18.85546875" style="61" customWidth="1"/>
    <col min="3591" max="3591" width="17.85546875" style="61" customWidth="1"/>
    <col min="3592" max="3592" width="22.28515625" style="61" customWidth="1"/>
    <col min="3593" max="3593" width="5.5703125" style="61" customWidth="1"/>
    <col min="3594" max="3840" width="9.140625" style="61"/>
    <col min="3841" max="3841" width="13.5703125" style="61" customWidth="1"/>
    <col min="3842" max="3842" width="8.140625" style="61" customWidth="1"/>
    <col min="3843" max="3843" width="8.7109375" style="61" customWidth="1"/>
    <col min="3844" max="3844" width="23.140625" style="61" customWidth="1"/>
    <col min="3845" max="3845" width="16.7109375" style="61" customWidth="1"/>
    <col min="3846" max="3846" width="18.85546875" style="61" customWidth="1"/>
    <col min="3847" max="3847" width="17.85546875" style="61" customWidth="1"/>
    <col min="3848" max="3848" width="22.28515625" style="61" customWidth="1"/>
    <col min="3849" max="3849" width="5.5703125" style="61" customWidth="1"/>
    <col min="3850" max="4096" width="9.140625" style="61"/>
    <col min="4097" max="4097" width="13.5703125" style="61" customWidth="1"/>
    <col min="4098" max="4098" width="8.140625" style="61" customWidth="1"/>
    <col min="4099" max="4099" width="8.7109375" style="61" customWidth="1"/>
    <col min="4100" max="4100" width="23.140625" style="61" customWidth="1"/>
    <col min="4101" max="4101" width="16.7109375" style="61" customWidth="1"/>
    <col min="4102" max="4102" width="18.85546875" style="61" customWidth="1"/>
    <col min="4103" max="4103" width="17.85546875" style="61" customWidth="1"/>
    <col min="4104" max="4104" width="22.28515625" style="61" customWidth="1"/>
    <col min="4105" max="4105" width="5.5703125" style="61" customWidth="1"/>
    <col min="4106" max="4352" width="9.140625" style="61"/>
    <col min="4353" max="4353" width="13.5703125" style="61" customWidth="1"/>
    <col min="4354" max="4354" width="8.140625" style="61" customWidth="1"/>
    <col min="4355" max="4355" width="8.7109375" style="61" customWidth="1"/>
    <col min="4356" max="4356" width="23.140625" style="61" customWidth="1"/>
    <col min="4357" max="4357" width="16.7109375" style="61" customWidth="1"/>
    <col min="4358" max="4358" width="18.85546875" style="61" customWidth="1"/>
    <col min="4359" max="4359" width="17.85546875" style="61" customWidth="1"/>
    <col min="4360" max="4360" width="22.28515625" style="61" customWidth="1"/>
    <col min="4361" max="4361" width="5.5703125" style="61" customWidth="1"/>
    <col min="4362" max="4608" width="9.140625" style="61"/>
    <col min="4609" max="4609" width="13.5703125" style="61" customWidth="1"/>
    <col min="4610" max="4610" width="8.140625" style="61" customWidth="1"/>
    <col min="4611" max="4611" width="8.7109375" style="61" customWidth="1"/>
    <col min="4612" max="4612" width="23.140625" style="61" customWidth="1"/>
    <col min="4613" max="4613" width="16.7109375" style="61" customWidth="1"/>
    <col min="4614" max="4614" width="18.85546875" style="61" customWidth="1"/>
    <col min="4615" max="4615" width="17.85546875" style="61" customWidth="1"/>
    <col min="4616" max="4616" width="22.28515625" style="61" customWidth="1"/>
    <col min="4617" max="4617" width="5.5703125" style="61" customWidth="1"/>
    <col min="4618" max="4864" width="9.140625" style="61"/>
    <col min="4865" max="4865" width="13.5703125" style="61" customWidth="1"/>
    <col min="4866" max="4866" width="8.140625" style="61" customWidth="1"/>
    <col min="4867" max="4867" width="8.7109375" style="61" customWidth="1"/>
    <col min="4868" max="4868" width="23.140625" style="61" customWidth="1"/>
    <col min="4869" max="4869" width="16.7109375" style="61" customWidth="1"/>
    <col min="4870" max="4870" width="18.85546875" style="61" customWidth="1"/>
    <col min="4871" max="4871" width="17.85546875" style="61" customWidth="1"/>
    <col min="4872" max="4872" width="22.28515625" style="61" customWidth="1"/>
    <col min="4873" max="4873" width="5.5703125" style="61" customWidth="1"/>
    <col min="4874" max="5120" width="9.140625" style="61"/>
    <col min="5121" max="5121" width="13.5703125" style="61" customWidth="1"/>
    <col min="5122" max="5122" width="8.140625" style="61" customWidth="1"/>
    <col min="5123" max="5123" width="8.7109375" style="61" customWidth="1"/>
    <col min="5124" max="5124" width="23.140625" style="61" customWidth="1"/>
    <col min="5125" max="5125" width="16.7109375" style="61" customWidth="1"/>
    <col min="5126" max="5126" width="18.85546875" style="61" customWidth="1"/>
    <col min="5127" max="5127" width="17.85546875" style="61" customWidth="1"/>
    <col min="5128" max="5128" width="22.28515625" style="61" customWidth="1"/>
    <col min="5129" max="5129" width="5.5703125" style="61" customWidth="1"/>
    <col min="5130" max="5376" width="9.140625" style="61"/>
    <col min="5377" max="5377" width="13.5703125" style="61" customWidth="1"/>
    <col min="5378" max="5378" width="8.140625" style="61" customWidth="1"/>
    <col min="5379" max="5379" width="8.7109375" style="61" customWidth="1"/>
    <col min="5380" max="5380" width="23.140625" style="61" customWidth="1"/>
    <col min="5381" max="5381" width="16.7109375" style="61" customWidth="1"/>
    <col min="5382" max="5382" width="18.85546875" style="61" customWidth="1"/>
    <col min="5383" max="5383" width="17.85546875" style="61" customWidth="1"/>
    <col min="5384" max="5384" width="22.28515625" style="61" customWidth="1"/>
    <col min="5385" max="5385" width="5.5703125" style="61" customWidth="1"/>
    <col min="5386" max="5632" width="9.140625" style="61"/>
    <col min="5633" max="5633" width="13.5703125" style="61" customWidth="1"/>
    <col min="5634" max="5634" width="8.140625" style="61" customWidth="1"/>
    <col min="5635" max="5635" width="8.7109375" style="61" customWidth="1"/>
    <col min="5636" max="5636" width="23.140625" style="61" customWidth="1"/>
    <col min="5637" max="5637" width="16.7109375" style="61" customWidth="1"/>
    <col min="5638" max="5638" width="18.85546875" style="61" customWidth="1"/>
    <col min="5639" max="5639" width="17.85546875" style="61" customWidth="1"/>
    <col min="5640" max="5640" width="22.28515625" style="61" customWidth="1"/>
    <col min="5641" max="5641" width="5.5703125" style="61" customWidth="1"/>
    <col min="5642" max="5888" width="9.140625" style="61"/>
    <col min="5889" max="5889" width="13.5703125" style="61" customWidth="1"/>
    <col min="5890" max="5890" width="8.140625" style="61" customWidth="1"/>
    <col min="5891" max="5891" width="8.7109375" style="61" customWidth="1"/>
    <col min="5892" max="5892" width="23.140625" style="61" customWidth="1"/>
    <col min="5893" max="5893" width="16.7109375" style="61" customWidth="1"/>
    <col min="5894" max="5894" width="18.85546875" style="61" customWidth="1"/>
    <col min="5895" max="5895" width="17.85546875" style="61" customWidth="1"/>
    <col min="5896" max="5896" width="22.28515625" style="61" customWidth="1"/>
    <col min="5897" max="5897" width="5.5703125" style="61" customWidth="1"/>
    <col min="5898" max="6144" width="9.140625" style="61"/>
    <col min="6145" max="6145" width="13.5703125" style="61" customWidth="1"/>
    <col min="6146" max="6146" width="8.140625" style="61" customWidth="1"/>
    <col min="6147" max="6147" width="8.7109375" style="61" customWidth="1"/>
    <col min="6148" max="6148" width="23.140625" style="61" customWidth="1"/>
    <col min="6149" max="6149" width="16.7109375" style="61" customWidth="1"/>
    <col min="6150" max="6150" width="18.85546875" style="61" customWidth="1"/>
    <col min="6151" max="6151" width="17.85546875" style="61" customWidth="1"/>
    <col min="6152" max="6152" width="22.28515625" style="61" customWidth="1"/>
    <col min="6153" max="6153" width="5.5703125" style="61" customWidth="1"/>
    <col min="6154" max="6400" width="9.140625" style="61"/>
    <col min="6401" max="6401" width="13.5703125" style="61" customWidth="1"/>
    <col min="6402" max="6402" width="8.140625" style="61" customWidth="1"/>
    <col min="6403" max="6403" width="8.7109375" style="61" customWidth="1"/>
    <col min="6404" max="6404" width="23.140625" style="61" customWidth="1"/>
    <col min="6405" max="6405" width="16.7109375" style="61" customWidth="1"/>
    <col min="6406" max="6406" width="18.85546875" style="61" customWidth="1"/>
    <col min="6407" max="6407" width="17.85546875" style="61" customWidth="1"/>
    <col min="6408" max="6408" width="22.28515625" style="61" customWidth="1"/>
    <col min="6409" max="6409" width="5.5703125" style="61" customWidth="1"/>
    <col min="6410" max="6656" width="9.140625" style="61"/>
    <col min="6657" max="6657" width="13.5703125" style="61" customWidth="1"/>
    <col min="6658" max="6658" width="8.140625" style="61" customWidth="1"/>
    <col min="6659" max="6659" width="8.7109375" style="61" customWidth="1"/>
    <col min="6660" max="6660" width="23.140625" style="61" customWidth="1"/>
    <col min="6661" max="6661" width="16.7109375" style="61" customWidth="1"/>
    <col min="6662" max="6662" width="18.85546875" style="61" customWidth="1"/>
    <col min="6663" max="6663" width="17.85546875" style="61" customWidth="1"/>
    <col min="6664" max="6664" width="22.28515625" style="61" customWidth="1"/>
    <col min="6665" max="6665" width="5.5703125" style="61" customWidth="1"/>
    <col min="6666" max="6912" width="9.140625" style="61"/>
    <col min="6913" max="6913" width="13.5703125" style="61" customWidth="1"/>
    <col min="6914" max="6914" width="8.140625" style="61" customWidth="1"/>
    <col min="6915" max="6915" width="8.7109375" style="61" customWidth="1"/>
    <col min="6916" max="6916" width="23.140625" style="61" customWidth="1"/>
    <col min="6917" max="6917" width="16.7109375" style="61" customWidth="1"/>
    <col min="6918" max="6918" width="18.85546875" style="61" customWidth="1"/>
    <col min="6919" max="6919" width="17.85546875" style="61" customWidth="1"/>
    <col min="6920" max="6920" width="22.28515625" style="61" customWidth="1"/>
    <col min="6921" max="6921" width="5.5703125" style="61" customWidth="1"/>
    <col min="6922" max="7168" width="9.140625" style="61"/>
    <col min="7169" max="7169" width="13.5703125" style="61" customWidth="1"/>
    <col min="7170" max="7170" width="8.140625" style="61" customWidth="1"/>
    <col min="7171" max="7171" width="8.7109375" style="61" customWidth="1"/>
    <col min="7172" max="7172" width="23.140625" style="61" customWidth="1"/>
    <col min="7173" max="7173" width="16.7109375" style="61" customWidth="1"/>
    <col min="7174" max="7174" width="18.85546875" style="61" customWidth="1"/>
    <col min="7175" max="7175" width="17.85546875" style="61" customWidth="1"/>
    <col min="7176" max="7176" width="22.28515625" style="61" customWidth="1"/>
    <col min="7177" max="7177" width="5.5703125" style="61" customWidth="1"/>
    <col min="7178" max="7424" width="9.140625" style="61"/>
    <col min="7425" max="7425" width="13.5703125" style="61" customWidth="1"/>
    <col min="7426" max="7426" width="8.140625" style="61" customWidth="1"/>
    <col min="7427" max="7427" width="8.7109375" style="61" customWidth="1"/>
    <col min="7428" max="7428" width="23.140625" style="61" customWidth="1"/>
    <col min="7429" max="7429" width="16.7109375" style="61" customWidth="1"/>
    <col min="7430" max="7430" width="18.85546875" style="61" customWidth="1"/>
    <col min="7431" max="7431" width="17.85546875" style="61" customWidth="1"/>
    <col min="7432" max="7432" width="22.28515625" style="61" customWidth="1"/>
    <col min="7433" max="7433" width="5.5703125" style="61" customWidth="1"/>
    <col min="7434" max="7680" width="9.140625" style="61"/>
    <col min="7681" max="7681" width="13.5703125" style="61" customWidth="1"/>
    <col min="7682" max="7682" width="8.140625" style="61" customWidth="1"/>
    <col min="7683" max="7683" width="8.7109375" style="61" customWidth="1"/>
    <col min="7684" max="7684" width="23.140625" style="61" customWidth="1"/>
    <col min="7685" max="7685" width="16.7109375" style="61" customWidth="1"/>
    <col min="7686" max="7686" width="18.85546875" style="61" customWidth="1"/>
    <col min="7687" max="7687" width="17.85546875" style="61" customWidth="1"/>
    <col min="7688" max="7688" width="22.28515625" style="61" customWidth="1"/>
    <col min="7689" max="7689" width="5.5703125" style="61" customWidth="1"/>
    <col min="7690" max="7936" width="9.140625" style="61"/>
    <col min="7937" max="7937" width="13.5703125" style="61" customWidth="1"/>
    <col min="7938" max="7938" width="8.140625" style="61" customWidth="1"/>
    <col min="7939" max="7939" width="8.7109375" style="61" customWidth="1"/>
    <col min="7940" max="7940" width="23.140625" style="61" customWidth="1"/>
    <col min="7941" max="7941" width="16.7109375" style="61" customWidth="1"/>
    <col min="7942" max="7942" width="18.85546875" style="61" customWidth="1"/>
    <col min="7943" max="7943" width="17.85546875" style="61" customWidth="1"/>
    <col min="7944" max="7944" width="22.28515625" style="61" customWidth="1"/>
    <col min="7945" max="7945" width="5.5703125" style="61" customWidth="1"/>
    <col min="7946" max="8192" width="9.140625" style="61"/>
    <col min="8193" max="8193" width="13.5703125" style="61" customWidth="1"/>
    <col min="8194" max="8194" width="8.140625" style="61" customWidth="1"/>
    <col min="8195" max="8195" width="8.7109375" style="61" customWidth="1"/>
    <col min="8196" max="8196" width="23.140625" style="61" customWidth="1"/>
    <col min="8197" max="8197" width="16.7109375" style="61" customWidth="1"/>
    <col min="8198" max="8198" width="18.85546875" style="61" customWidth="1"/>
    <col min="8199" max="8199" width="17.85546875" style="61" customWidth="1"/>
    <col min="8200" max="8200" width="22.28515625" style="61" customWidth="1"/>
    <col min="8201" max="8201" width="5.5703125" style="61" customWidth="1"/>
    <col min="8202" max="8448" width="9.140625" style="61"/>
    <col min="8449" max="8449" width="13.5703125" style="61" customWidth="1"/>
    <col min="8450" max="8450" width="8.140625" style="61" customWidth="1"/>
    <col min="8451" max="8451" width="8.7109375" style="61" customWidth="1"/>
    <col min="8452" max="8452" width="23.140625" style="61" customWidth="1"/>
    <col min="8453" max="8453" width="16.7109375" style="61" customWidth="1"/>
    <col min="8454" max="8454" width="18.85546875" style="61" customWidth="1"/>
    <col min="8455" max="8455" width="17.85546875" style="61" customWidth="1"/>
    <col min="8456" max="8456" width="22.28515625" style="61" customWidth="1"/>
    <col min="8457" max="8457" width="5.5703125" style="61" customWidth="1"/>
    <col min="8458" max="8704" width="9.140625" style="61"/>
    <col min="8705" max="8705" width="13.5703125" style="61" customWidth="1"/>
    <col min="8706" max="8706" width="8.140625" style="61" customWidth="1"/>
    <col min="8707" max="8707" width="8.7109375" style="61" customWidth="1"/>
    <col min="8708" max="8708" width="23.140625" style="61" customWidth="1"/>
    <col min="8709" max="8709" width="16.7109375" style="61" customWidth="1"/>
    <col min="8710" max="8710" width="18.85546875" style="61" customWidth="1"/>
    <col min="8711" max="8711" width="17.85546875" style="61" customWidth="1"/>
    <col min="8712" max="8712" width="22.28515625" style="61" customWidth="1"/>
    <col min="8713" max="8713" width="5.5703125" style="61" customWidth="1"/>
    <col min="8714" max="8960" width="9.140625" style="61"/>
    <col min="8961" max="8961" width="13.5703125" style="61" customWidth="1"/>
    <col min="8962" max="8962" width="8.140625" style="61" customWidth="1"/>
    <col min="8963" max="8963" width="8.7109375" style="61" customWidth="1"/>
    <col min="8964" max="8964" width="23.140625" style="61" customWidth="1"/>
    <col min="8965" max="8965" width="16.7109375" style="61" customWidth="1"/>
    <col min="8966" max="8966" width="18.85546875" style="61" customWidth="1"/>
    <col min="8967" max="8967" width="17.85546875" style="61" customWidth="1"/>
    <col min="8968" max="8968" width="22.28515625" style="61" customWidth="1"/>
    <col min="8969" max="8969" width="5.5703125" style="61" customWidth="1"/>
    <col min="8970" max="9216" width="9.140625" style="61"/>
    <col min="9217" max="9217" width="13.5703125" style="61" customWidth="1"/>
    <col min="9218" max="9218" width="8.140625" style="61" customWidth="1"/>
    <col min="9219" max="9219" width="8.7109375" style="61" customWidth="1"/>
    <col min="9220" max="9220" width="23.140625" style="61" customWidth="1"/>
    <col min="9221" max="9221" width="16.7109375" style="61" customWidth="1"/>
    <col min="9222" max="9222" width="18.85546875" style="61" customWidth="1"/>
    <col min="9223" max="9223" width="17.85546875" style="61" customWidth="1"/>
    <col min="9224" max="9224" width="22.28515625" style="61" customWidth="1"/>
    <col min="9225" max="9225" width="5.5703125" style="61" customWidth="1"/>
    <col min="9226" max="9472" width="9.140625" style="61"/>
    <col min="9473" max="9473" width="13.5703125" style="61" customWidth="1"/>
    <col min="9474" max="9474" width="8.140625" style="61" customWidth="1"/>
    <col min="9475" max="9475" width="8.7109375" style="61" customWidth="1"/>
    <col min="9476" max="9476" width="23.140625" style="61" customWidth="1"/>
    <col min="9477" max="9477" width="16.7109375" style="61" customWidth="1"/>
    <col min="9478" max="9478" width="18.85546875" style="61" customWidth="1"/>
    <col min="9479" max="9479" width="17.85546875" style="61" customWidth="1"/>
    <col min="9480" max="9480" width="22.28515625" style="61" customWidth="1"/>
    <col min="9481" max="9481" width="5.5703125" style="61" customWidth="1"/>
    <col min="9482" max="9728" width="9.140625" style="61"/>
    <col min="9729" max="9729" width="13.5703125" style="61" customWidth="1"/>
    <col min="9730" max="9730" width="8.140625" style="61" customWidth="1"/>
    <col min="9731" max="9731" width="8.7109375" style="61" customWidth="1"/>
    <col min="9732" max="9732" width="23.140625" style="61" customWidth="1"/>
    <col min="9733" max="9733" width="16.7109375" style="61" customWidth="1"/>
    <col min="9734" max="9734" width="18.85546875" style="61" customWidth="1"/>
    <col min="9735" max="9735" width="17.85546875" style="61" customWidth="1"/>
    <col min="9736" max="9736" width="22.28515625" style="61" customWidth="1"/>
    <col min="9737" max="9737" width="5.5703125" style="61" customWidth="1"/>
    <col min="9738" max="9984" width="9.140625" style="61"/>
    <col min="9985" max="9985" width="13.5703125" style="61" customWidth="1"/>
    <col min="9986" max="9986" width="8.140625" style="61" customWidth="1"/>
    <col min="9987" max="9987" width="8.7109375" style="61" customWidth="1"/>
    <col min="9988" max="9988" width="23.140625" style="61" customWidth="1"/>
    <col min="9989" max="9989" width="16.7109375" style="61" customWidth="1"/>
    <col min="9990" max="9990" width="18.85546875" style="61" customWidth="1"/>
    <col min="9991" max="9991" width="17.85546875" style="61" customWidth="1"/>
    <col min="9992" max="9992" width="22.28515625" style="61" customWidth="1"/>
    <col min="9993" max="9993" width="5.5703125" style="61" customWidth="1"/>
    <col min="9994" max="10240" width="9.140625" style="61"/>
    <col min="10241" max="10241" width="13.5703125" style="61" customWidth="1"/>
    <col min="10242" max="10242" width="8.140625" style="61" customWidth="1"/>
    <col min="10243" max="10243" width="8.7109375" style="61" customWidth="1"/>
    <col min="10244" max="10244" width="23.140625" style="61" customWidth="1"/>
    <col min="10245" max="10245" width="16.7109375" style="61" customWidth="1"/>
    <col min="10246" max="10246" width="18.85546875" style="61" customWidth="1"/>
    <col min="10247" max="10247" width="17.85546875" style="61" customWidth="1"/>
    <col min="10248" max="10248" width="22.28515625" style="61" customWidth="1"/>
    <col min="10249" max="10249" width="5.5703125" style="61" customWidth="1"/>
    <col min="10250" max="10496" width="9.140625" style="61"/>
    <col min="10497" max="10497" width="13.5703125" style="61" customWidth="1"/>
    <col min="10498" max="10498" width="8.140625" style="61" customWidth="1"/>
    <col min="10499" max="10499" width="8.7109375" style="61" customWidth="1"/>
    <col min="10500" max="10500" width="23.140625" style="61" customWidth="1"/>
    <col min="10501" max="10501" width="16.7109375" style="61" customWidth="1"/>
    <col min="10502" max="10502" width="18.85546875" style="61" customWidth="1"/>
    <col min="10503" max="10503" width="17.85546875" style="61" customWidth="1"/>
    <col min="10504" max="10504" width="22.28515625" style="61" customWidth="1"/>
    <col min="10505" max="10505" width="5.5703125" style="61" customWidth="1"/>
    <col min="10506" max="10752" width="9.140625" style="61"/>
    <col min="10753" max="10753" width="13.5703125" style="61" customWidth="1"/>
    <col min="10754" max="10754" width="8.140625" style="61" customWidth="1"/>
    <col min="10755" max="10755" width="8.7109375" style="61" customWidth="1"/>
    <col min="10756" max="10756" width="23.140625" style="61" customWidth="1"/>
    <col min="10757" max="10757" width="16.7109375" style="61" customWidth="1"/>
    <col min="10758" max="10758" width="18.85546875" style="61" customWidth="1"/>
    <col min="10759" max="10759" width="17.85546875" style="61" customWidth="1"/>
    <col min="10760" max="10760" width="22.28515625" style="61" customWidth="1"/>
    <col min="10761" max="10761" width="5.5703125" style="61" customWidth="1"/>
    <col min="10762" max="11008" width="9.140625" style="61"/>
    <col min="11009" max="11009" width="13.5703125" style="61" customWidth="1"/>
    <col min="11010" max="11010" width="8.140625" style="61" customWidth="1"/>
    <col min="11011" max="11011" width="8.7109375" style="61" customWidth="1"/>
    <col min="11012" max="11012" width="23.140625" style="61" customWidth="1"/>
    <col min="11013" max="11013" width="16.7109375" style="61" customWidth="1"/>
    <col min="11014" max="11014" width="18.85546875" style="61" customWidth="1"/>
    <col min="11015" max="11015" width="17.85546875" style="61" customWidth="1"/>
    <col min="11016" max="11016" width="22.28515625" style="61" customWidth="1"/>
    <col min="11017" max="11017" width="5.5703125" style="61" customWidth="1"/>
    <col min="11018" max="11264" width="9.140625" style="61"/>
    <col min="11265" max="11265" width="13.5703125" style="61" customWidth="1"/>
    <col min="11266" max="11266" width="8.140625" style="61" customWidth="1"/>
    <col min="11267" max="11267" width="8.7109375" style="61" customWidth="1"/>
    <col min="11268" max="11268" width="23.140625" style="61" customWidth="1"/>
    <col min="11269" max="11269" width="16.7109375" style="61" customWidth="1"/>
    <col min="11270" max="11270" width="18.85546875" style="61" customWidth="1"/>
    <col min="11271" max="11271" width="17.85546875" style="61" customWidth="1"/>
    <col min="11272" max="11272" width="22.28515625" style="61" customWidth="1"/>
    <col min="11273" max="11273" width="5.5703125" style="61" customWidth="1"/>
    <col min="11274" max="11520" width="9.140625" style="61"/>
    <col min="11521" max="11521" width="13.5703125" style="61" customWidth="1"/>
    <col min="11522" max="11522" width="8.140625" style="61" customWidth="1"/>
    <col min="11523" max="11523" width="8.7109375" style="61" customWidth="1"/>
    <col min="11524" max="11524" width="23.140625" style="61" customWidth="1"/>
    <col min="11525" max="11525" width="16.7109375" style="61" customWidth="1"/>
    <col min="11526" max="11526" width="18.85546875" style="61" customWidth="1"/>
    <col min="11527" max="11527" width="17.85546875" style="61" customWidth="1"/>
    <col min="11528" max="11528" width="22.28515625" style="61" customWidth="1"/>
    <col min="11529" max="11529" width="5.5703125" style="61" customWidth="1"/>
    <col min="11530" max="11776" width="9.140625" style="61"/>
    <col min="11777" max="11777" width="13.5703125" style="61" customWidth="1"/>
    <col min="11778" max="11778" width="8.140625" style="61" customWidth="1"/>
    <col min="11779" max="11779" width="8.7109375" style="61" customWidth="1"/>
    <col min="11780" max="11780" width="23.140625" style="61" customWidth="1"/>
    <col min="11781" max="11781" width="16.7109375" style="61" customWidth="1"/>
    <col min="11782" max="11782" width="18.85546875" style="61" customWidth="1"/>
    <col min="11783" max="11783" width="17.85546875" style="61" customWidth="1"/>
    <col min="11784" max="11784" width="22.28515625" style="61" customWidth="1"/>
    <col min="11785" max="11785" width="5.5703125" style="61" customWidth="1"/>
    <col min="11786" max="12032" width="9.140625" style="61"/>
    <col min="12033" max="12033" width="13.5703125" style="61" customWidth="1"/>
    <col min="12034" max="12034" width="8.140625" style="61" customWidth="1"/>
    <col min="12035" max="12035" width="8.7109375" style="61" customWidth="1"/>
    <col min="12036" max="12036" width="23.140625" style="61" customWidth="1"/>
    <col min="12037" max="12037" width="16.7109375" style="61" customWidth="1"/>
    <col min="12038" max="12038" width="18.85546875" style="61" customWidth="1"/>
    <col min="12039" max="12039" width="17.85546875" style="61" customWidth="1"/>
    <col min="12040" max="12040" width="22.28515625" style="61" customWidth="1"/>
    <col min="12041" max="12041" width="5.5703125" style="61" customWidth="1"/>
    <col min="12042" max="12288" width="9.140625" style="61"/>
    <col min="12289" max="12289" width="13.5703125" style="61" customWidth="1"/>
    <col min="12290" max="12290" width="8.140625" style="61" customWidth="1"/>
    <col min="12291" max="12291" width="8.7109375" style="61" customWidth="1"/>
    <col min="12292" max="12292" width="23.140625" style="61" customWidth="1"/>
    <col min="12293" max="12293" width="16.7109375" style="61" customWidth="1"/>
    <col min="12294" max="12294" width="18.85546875" style="61" customWidth="1"/>
    <col min="12295" max="12295" width="17.85546875" style="61" customWidth="1"/>
    <col min="12296" max="12296" width="22.28515625" style="61" customWidth="1"/>
    <col min="12297" max="12297" width="5.5703125" style="61" customWidth="1"/>
    <col min="12298" max="12544" width="9.140625" style="61"/>
    <col min="12545" max="12545" width="13.5703125" style="61" customWidth="1"/>
    <col min="12546" max="12546" width="8.140625" style="61" customWidth="1"/>
    <col min="12547" max="12547" width="8.7109375" style="61" customWidth="1"/>
    <col min="12548" max="12548" width="23.140625" style="61" customWidth="1"/>
    <col min="12549" max="12549" width="16.7109375" style="61" customWidth="1"/>
    <col min="12550" max="12550" width="18.85546875" style="61" customWidth="1"/>
    <col min="12551" max="12551" width="17.85546875" style="61" customWidth="1"/>
    <col min="12552" max="12552" width="22.28515625" style="61" customWidth="1"/>
    <col min="12553" max="12553" width="5.5703125" style="61" customWidth="1"/>
    <col min="12554" max="12800" width="9.140625" style="61"/>
    <col min="12801" max="12801" width="13.5703125" style="61" customWidth="1"/>
    <col min="12802" max="12802" width="8.140625" style="61" customWidth="1"/>
    <col min="12803" max="12803" width="8.7109375" style="61" customWidth="1"/>
    <col min="12804" max="12804" width="23.140625" style="61" customWidth="1"/>
    <col min="12805" max="12805" width="16.7109375" style="61" customWidth="1"/>
    <col min="12806" max="12806" width="18.85546875" style="61" customWidth="1"/>
    <col min="12807" max="12807" width="17.85546875" style="61" customWidth="1"/>
    <col min="12808" max="12808" width="22.28515625" style="61" customWidth="1"/>
    <col min="12809" max="12809" width="5.5703125" style="61" customWidth="1"/>
    <col min="12810" max="13056" width="9.140625" style="61"/>
    <col min="13057" max="13057" width="13.5703125" style="61" customWidth="1"/>
    <col min="13058" max="13058" width="8.140625" style="61" customWidth="1"/>
    <col min="13059" max="13059" width="8.7109375" style="61" customWidth="1"/>
    <col min="13060" max="13060" width="23.140625" style="61" customWidth="1"/>
    <col min="13061" max="13061" width="16.7109375" style="61" customWidth="1"/>
    <col min="13062" max="13062" width="18.85546875" style="61" customWidth="1"/>
    <col min="13063" max="13063" width="17.85546875" style="61" customWidth="1"/>
    <col min="13064" max="13064" width="22.28515625" style="61" customWidth="1"/>
    <col min="13065" max="13065" width="5.5703125" style="61" customWidth="1"/>
    <col min="13066" max="13312" width="9.140625" style="61"/>
    <col min="13313" max="13313" width="13.5703125" style="61" customWidth="1"/>
    <col min="13314" max="13314" width="8.140625" style="61" customWidth="1"/>
    <col min="13315" max="13315" width="8.7109375" style="61" customWidth="1"/>
    <col min="13316" max="13316" width="23.140625" style="61" customWidth="1"/>
    <col min="13317" max="13317" width="16.7109375" style="61" customWidth="1"/>
    <col min="13318" max="13318" width="18.85546875" style="61" customWidth="1"/>
    <col min="13319" max="13319" width="17.85546875" style="61" customWidth="1"/>
    <col min="13320" max="13320" width="22.28515625" style="61" customWidth="1"/>
    <col min="13321" max="13321" width="5.5703125" style="61" customWidth="1"/>
    <col min="13322" max="13568" width="9.140625" style="61"/>
    <col min="13569" max="13569" width="13.5703125" style="61" customWidth="1"/>
    <col min="13570" max="13570" width="8.140625" style="61" customWidth="1"/>
    <col min="13571" max="13571" width="8.7109375" style="61" customWidth="1"/>
    <col min="13572" max="13572" width="23.140625" style="61" customWidth="1"/>
    <col min="13573" max="13573" width="16.7109375" style="61" customWidth="1"/>
    <col min="13574" max="13574" width="18.85546875" style="61" customWidth="1"/>
    <col min="13575" max="13575" width="17.85546875" style="61" customWidth="1"/>
    <col min="13576" max="13576" width="22.28515625" style="61" customWidth="1"/>
    <col min="13577" max="13577" width="5.5703125" style="61" customWidth="1"/>
    <col min="13578" max="13824" width="9.140625" style="61"/>
    <col min="13825" max="13825" width="13.5703125" style="61" customWidth="1"/>
    <col min="13826" max="13826" width="8.140625" style="61" customWidth="1"/>
    <col min="13827" max="13827" width="8.7109375" style="61" customWidth="1"/>
    <col min="13828" max="13828" width="23.140625" style="61" customWidth="1"/>
    <col min="13829" max="13829" width="16.7109375" style="61" customWidth="1"/>
    <col min="13830" max="13830" width="18.85546875" style="61" customWidth="1"/>
    <col min="13831" max="13831" width="17.85546875" style="61" customWidth="1"/>
    <col min="13832" max="13832" width="22.28515625" style="61" customWidth="1"/>
    <col min="13833" max="13833" width="5.5703125" style="61" customWidth="1"/>
    <col min="13834" max="14080" width="9.140625" style="61"/>
    <col min="14081" max="14081" width="13.5703125" style="61" customWidth="1"/>
    <col min="14082" max="14082" width="8.140625" style="61" customWidth="1"/>
    <col min="14083" max="14083" width="8.7109375" style="61" customWidth="1"/>
    <col min="14084" max="14084" width="23.140625" style="61" customWidth="1"/>
    <col min="14085" max="14085" width="16.7109375" style="61" customWidth="1"/>
    <col min="14086" max="14086" width="18.85546875" style="61" customWidth="1"/>
    <col min="14087" max="14087" width="17.85546875" style="61" customWidth="1"/>
    <col min="14088" max="14088" width="22.28515625" style="61" customWidth="1"/>
    <col min="14089" max="14089" width="5.5703125" style="61" customWidth="1"/>
    <col min="14090" max="14336" width="9.140625" style="61"/>
    <col min="14337" max="14337" width="13.5703125" style="61" customWidth="1"/>
    <col min="14338" max="14338" width="8.140625" style="61" customWidth="1"/>
    <col min="14339" max="14339" width="8.7109375" style="61" customWidth="1"/>
    <col min="14340" max="14340" width="23.140625" style="61" customWidth="1"/>
    <col min="14341" max="14341" width="16.7109375" style="61" customWidth="1"/>
    <col min="14342" max="14342" width="18.85546875" style="61" customWidth="1"/>
    <col min="14343" max="14343" width="17.85546875" style="61" customWidth="1"/>
    <col min="14344" max="14344" width="22.28515625" style="61" customWidth="1"/>
    <col min="14345" max="14345" width="5.5703125" style="61" customWidth="1"/>
    <col min="14346" max="14592" width="9.140625" style="61"/>
    <col min="14593" max="14593" width="13.5703125" style="61" customWidth="1"/>
    <col min="14594" max="14594" width="8.140625" style="61" customWidth="1"/>
    <col min="14595" max="14595" width="8.7109375" style="61" customWidth="1"/>
    <col min="14596" max="14596" width="23.140625" style="61" customWidth="1"/>
    <col min="14597" max="14597" width="16.7109375" style="61" customWidth="1"/>
    <col min="14598" max="14598" width="18.85546875" style="61" customWidth="1"/>
    <col min="14599" max="14599" width="17.85546875" style="61" customWidth="1"/>
    <col min="14600" max="14600" width="22.28515625" style="61" customWidth="1"/>
    <col min="14601" max="14601" width="5.5703125" style="61" customWidth="1"/>
    <col min="14602" max="14848" width="9.140625" style="61"/>
    <col min="14849" max="14849" width="13.5703125" style="61" customWidth="1"/>
    <col min="14850" max="14850" width="8.140625" style="61" customWidth="1"/>
    <col min="14851" max="14851" width="8.7109375" style="61" customWidth="1"/>
    <col min="14852" max="14852" width="23.140625" style="61" customWidth="1"/>
    <col min="14853" max="14853" width="16.7109375" style="61" customWidth="1"/>
    <col min="14854" max="14854" width="18.85546875" style="61" customWidth="1"/>
    <col min="14855" max="14855" width="17.85546875" style="61" customWidth="1"/>
    <col min="14856" max="14856" width="22.28515625" style="61" customWidth="1"/>
    <col min="14857" max="14857" width="5.5703125" style="61" customWidth="1"/>
    <col min="14858" max="15104" width="9.140625" style="61"/>
    <col min="15105" max="15105" width="13.5703125" style="61" customWidth="1"/>
    <col min="15106" max="15106" width="8.140625" style="61" customWidth="1"/>
    <col min="15107" max="15107" width="8.7109375" style="61" customWidth="1"/>
    <col min="15108" max="15108" width="23.140625" style="61" customWidth="1"/>
    <col min="15109" max="15109" width="16.7109375" style="61" customWidth="1"/>
    <col min="15110" max="15110" width="18.85546875" style="61" customWidth="1"/>
    <col min="15111" max="15111" width="17.85546875" style="61" customWidth="1"/>
    <col min="15112" max="15112" width="22.28515625" style="61" customWidth="1"/>
    <col min="15113" max="15113" width="5.5703125" style="61" customWidth="1"/>
    <col min="15114" max="15360" width="9.140625" style="61"/>
    <col min="15361" max="15361" width="13.5703125" style="61" customWidth="1"/>
    <col min="15362" max="15362" width="8.140625" style="61" customWidth="1"/>
    <col min="15363" max="15363" width="8.7109375" style="61" customWidth="1"/>
    <col min="15364" max="15364" width="23.140625" style="61" customWidth="1"/>
    <col min="15365" max="15365" width="16.7109375" style="61" customWidth="1"/>
    <col min="15366" max="15366" width="18.85546875" style="61" customWidth="1"/>
    <col min="15367" max="15367" width="17.85546875" style="61" customWidth="1"/>
    <col min="15368" max="15368" width="22.28515625" style="61" customWidth="1"/>
    <col min="15369" max="15369" width="5.5703125" style="61" customWidth="1"/>
    <col min="15370" max="15616" width="9.140625" style="61"/>
    <col min="15617" max="15617" width="13.5703125" style="61" customWidth="1"/>
    <col min="15618" max="15618" width="8.140625" style="61" customWidth="1"/>
    <col min="15619" max="15619" width="8.7109375" style="61" customWidth="1"/>
    <col min="15620" max="15620" width="23.140625" style="61" customWidth="1"/>
    <col min="15621" max="15621" width="16.7109375" style="61" customWidth="1"/>
    <col min="15622" max="15622" width="18.85546875" style="61" customWidth="1"/>
    <col min="15623" max="15623" width="17.85546875" style="61" customWidth="1"/>
    <col min="15624" max="15624" width="22.28515625" style="61" customWidth="1"/>
    <col min="15625" max="15625" width="5.5703125" style="61" customWidth="1"/>
    <col min="15626" max="15872" width="9.140625" style="61"/>
    <col min="15873" max="15873" width="13.5703125" style="61" customWidth="1"/>
    <col min="15874" max="15874" width="8.140625" style="61" customWidth="1"/>
    <col min="15875" max="15875" width="8.7109375" style="61" customWidth="1"/>
    <col min="15876" max="15876" width="23.140625" style="61" customWidth="1"/>
    <col min="15877" max="15877" width="16.7109375" style="61" customWidth="1"/>
    <col min="15878" max="15878" width="18.85546875" style="61" customWidth="1"/>
    <col min="15879" max="15879" width="17.85546875" style="61" customWidth="1"/>
    <col min="15880" max="15880" width="22.28515625" style="61" customWidth="1"/>
    <col min="15881" max="15881" width="5.5703125" style="61" customWidth="1"/>
    <col min="15882" max="16128" width="9.140625" style="61"/>
    <col min="16129" max="16129" width="13.5703125" style="61" customWidth="1"/>
    <col min="16130" max="16130" width="8.140625" style="61" customWidth="1"/>
    <col min="16131" max="16131" width="8.7109375" style="61" customWidth="1"/>
    <col min="16132" max="16132" width="23.140625" style="61" customWidth="1"/>
    <col min="16133" max="16133" width="16.7109375" style="61" customWidth="1"/>
    <col min="16134" max="16134" width="18.85546875" style="61" customWidth="1"/>
    <col min="16135" max="16135" width="17.85546875" style="61" customWidth="1"/>
    <col min="16136" max="16136" width="22.28515625" style="61" customWidth="1"/>
    <col min="16137" max="16137" width="5.5703125" style="61" customWidth="1"/>
    <col min="16138" max="16384" width="9.140625" style="61"/>
  </cols>
  <sheetData>
    <row r="1" spans="1:8" ht="26.45" customHeight="1">
      <c r="A1" s="420" t="s">
        <v>55</v>
      </c>
      <c r="B1" s="421"/>
      <c r="C1" s="421"/>
      <c r="D1" s="421"/>
      <c r="E1" s="421"/>
      <c r="F1" s="421"/>
      <c r="G1" s="421"/>
      <c r="H1" s="421"/>
    </row>
    <row r="2" spans="1:8" ht="26.45" customHeight="1">
      <c r="A2" s="62"/>
      <c r="B2" s="63"/>
      <c r="C2" s="63"/>
      <c r="D2" s="63"/>
      <c r="E2" s="63"/>
      <c r="F2" s="63"/>
      <c r="G2" s="63"/>
      <c r="H2" s="63"/>
    </row>
    <row r="3" spans="1:8" ht="26.45" customHeight="1">
      <c r="A3" s="64" t="s">
        <v>571</v>
      </c>
      <c r="B3" s="64"/>
      <c r="C3" s="64"/>
      <c r="D3" s="64"/>
      <c r="E3" s="65"/>
      <c r="F3" s="422">
        <f ca="1">TODAY()</f>
        <v>45587</v>
      </c>
      <c r="G3" s="422"/>
      <c r="H3" s="422"/>
    </row>
    <row r="4" spans="1:8" ht="26.45" customHeight="1">
      <c r="A4" s="63"/>
      <c r="B4" s="66"/>
      <c r="C4" s="66"/>
      <c r="D4" s="66"/>
      <c r="E4" s="66"/>
      <c r="F4" s="66"/>
      <c r="G4" s="66"/>
      <c r="H4" s="66"/>
    </row>
    <row r="5" spans="1:8" ht="26.45" customHeight="1">
      <c r="A5" s="423" t="s">
        <v>54</v>
      </c>
      <c r="B5" s="423"/>
      <c r="C5" s="67" t="s">
        <v>570</v>
      </c>
      <c r="D5" s="67"/>
      <c r="E5" s="67"/>
      <c r="F5" s="67"/>
      <c r="G5" s="67"/>
      <c r="H5" s="66"/>
    </row>
    <row r="6" spans="1:8" ht="26.45" customHeight="1">
      <c r="A6" s="63"/>
      <c r="B6" s="66"/>
      <c r="C6" s="66"/>
      <c r="D6" s="66"/>
      <c r="E6" s="66"/>
      <c r="F6" s="66"/>
      <c r="G6" s="66"/>
      <c r="H6" s="66"/>
    </row>
    <row r="7" spans="1:8" ht="26.45" customHeight="1">
      <c r="A7" s="423" t="s">
        <v>53</v>
      </c>
      <c r="B7" s="423"/>
      <c r="C7" s="68" t="s">
        <v>52</v>
      </c>
      <c r="D7" s="68" t="str">
        <f>NUMBERSTRING(D8,1)&amp;"원정-부가세 별도"</f>
        <v>이억이천이백만원정-부가세 별도</v>
      </c>
      <c r="E7" s="67"/>
      <c r="F7" s="67"/>
      <c r="G7" s="67"/>
      <c r="H7" s="66"/>
    </row>
    <row r="8" spans="1:8" ht="26.45" customHeight="1">
      <c r="A8" s="63"/>
      <c r="B8" s="66"/>
      <c r="C8" s="69" t="s">
        <v>51</v>
      </c>
      <c r="D8" s="70">
        <f>' 갑지-1'!L22</f>
        <v>222000000</v>
      </c>
      <c r="E8" s="66" t="s">
        <v>50</v>
      </c>
      <c r="F8" s="66"/>
      <c r="G8" s="66"/>
      <c r="H8" s="66"/>
    </row>
    <row r="9" spans="1:8" ht="26.45" customHeight="1">
      <c r="A9" s="63"/>
      <c r="B9" s="66"/>
      <c r="C9" s="66"/>
      <c r="D9" s="66"/>
      <c r="E9" s="66"/>
      <c r="F9" s="66"/>
      <c r="G9" s="66"/>
      <c r="H9" s="66"/>
    </row>
    <row r="10" spans="1:8" ht="26.45" customHeight="1">
      <c r="A10" s="66" t="s">
        <v>49</v>
      </c>
      <c r="B10" s="66"/>
      <c r="C10" s="66"/>
      <c r="D10" s="66"/>
      <c r="E10" s="66"/>
      <c r="F10" s="66"/>
      <c r="G10" s="66"/>
      <c r="H10" s="66"/>
    </row>
    <row r="11" spans="1:8" ht="26.45" customHeight="1">
      <c r="A11" s="63"/>
      <c r="B11" s="63"/>
      <c r="C11" s="63"/>
      <c r="D11" s="63"/>
      <c r="E11" s="66"/>
      <c r="F11" s="66"/>
      <c r="G11" s="66"/>
      <c r="H11" s="66"/>
    </row>
    <row r="12" spans="1:8" ht="26.45" customHeight="1">
      <c r="A12" s="190"/>
      <c r="B12" s="191"/>
      <c r="C12" s="191"/>
      <c r="D12" s="191"/>
      <c r="E12" s="192"/>
      <c r="F12" s="192"/>
      <c r="G12" s="192"/>
      <c r="H12" s="193"/>
    </row>
    <row r="13" spans="1:8" ht="26.45" customHeight="1">
      <c r="A13" s="194" t="s">
        <v>48</v>
      </c>
      <c r="B13" s="195"/>
      <c r="C13" s="71"/>
      <c r="D13" s="71"/>
      <c r="E13" s="71"/>
      <c r="F13" s="196"/>
      <c r="G13" s="196"/>
      <c r="H13" s="197"/>
    </row>
    <row r="14" spans="1:8" ht="26.45" customHeight="1">
      <c r="A14" s="198" t="s">
        <v>47</v>
      </c>
      <c r="B14" s="199" t="s">
        <v>218</v>
      </c>
      <c r="C14" s="195"/>
      <c r="D14" s="66"/>
      <c r="E14" s="72"/>
      <c r="F14" s="66"/>
      <c r="G14" s="66"/>
      <c r="H14" s="200"/>
    </row>
    <row r="15" spans="1:8" ht="26.45" customHeight="1">
      <c r="A15" s="198" t="s">
        <v>16</v>
      </c>
      <c r="B15" s="199" t="s">
        <v>176</v>
      </c>
      <c r="C15" s="71"/>
      <c r="D15" s="71"/>
      <c r="E15" s="71"/>
      <c r="F15" s="71"/>
      <c r="G15" s="71"/>
      <c r="H15" s="201" t="s">
        <v>46</v>
      </c>
    </row>
    <row r="16" spans="1:8" ht="26.45" customHeight="1">
      <c r="A16" s="198" t="s">
        <v>17</v>
      </c>
      <c r="B16" s="199"/>
      <c r="C16" s="71"/>
      <c r="D16" s="71"/>
      <c r="E16" s="71"/>
      <c r="F16" s="71"/>
      <c r="G16" s="71"/>
      <c r="H16" s="201"/>
    </row>
    <row r="17" spans="1:8" ht="26.45" customHeight="1">
      <c r="A17" s="198" t="s">
        <v>18</v>
      </c>
      <c r="B17" s="199"/>
      <c r="C17" s="71"/>
      <c r="D17" s="71"/>
      <c r="E17" s="71"/>
      <c r="F17" s="71"/>
      <c r="G17" s="71"/>
      <c r="H17" s="201"/>
    </row>
    <row r="18" spans="1:8" ht="26.45" customHeight="1">
      <c r="A18" s="198" t="s">
        <v>19</v>
      </c>
      <c r="B18" s="199"/>
      <c r="C18" s="71"/>
      <c r="D18" s="71"/>
      <c r="E18" s="71"/>
      <c r="F18" s="71"/>
      <c r="G18" s="71"/>
      <c r="H18" s="201"/>
    </row>
    <row r="19" spans="1:8" ht="26.45" customHeight="1">
      <c r="A19" s="198" t="s">
        <v>20</v>
      </c>
      <c r="B19" s="199"/>
      <c r="C19" s="71"/>
      <c r="D19" s="71"/>
      <c r="E19" s="71"/>
      <c r="F19" s="71"/>
      <c r="G19" s="71"/>
      <c r="H19" s="201"/>
    </row>
    <row r="20" spans="1:8" ht="26.45" customHeight="1">
      <c r="A20" s="202" t="s">
        <v>45</v>
      </c>
      <c r="B20" s="203"/>
      <c r="C20" s="204"/>
      <c r="D20" s="204"/>
      <c r="E20" s="204"/>
      <c r="F20" s="205"/>
      <c r="G20" s="205"/>
      <c r="H20" s="206"/>
    </row>
    <row r="21" spans="1:8" ht="26.45" customHeight="1">
      <c r="A21" s="71"/>
      <c r="B21" s="73"/>
      <c r="C21" s="73"/>
      <c r="D21" s="73"/>
      <c r="E21" s="74"/>
      <c r="F21" s="74"/>
      <c r="G21" s="424" t="s">
        <v>149</v>
      </c>
      <c r="H21" s="424"/>
    </row>
    <row r="22" spans="1:8" ht="26.45" customHeight="1">
      <c r="A22" s="71"/>
      <c r="B22" s="75"/>
      <c r="C22" s="75"/>
      <c r="D22" s="73"/>
      <c r="E22" s="74"/>
      <c r="F22" s="74"/>
      <c r="G22" s="72" t="s">
        <v>150</v>
      </c>
      <c r="H22" s="73"/>
    </row>
    <row r="23" spans="1:8" ht="26.45" customHeight="1">
      <c r="A23" s="71"/>
      <c r="B23" s="73"/>
      <c r="C23" s="73"/>
      <c r="D23" s="73"/>
      <c r="E23" s="74"/>
      <c r="F23" s="74"/>
      <c r="G23" s="72" t="s">
        <v>151</v>
      </c>
      <c r="H23" s="73"/>
    </row>
  </sheetData>
  <mergeCells count="5">
    <mergeCell ref="A1:H1"/>
    <mergeCell ref="F3:H3"/>
    <mergeCell ref="A5:B5"/>
    <mergeCell ref="A7:B7"/>
    <mergeCell ref="G21:H21"/>
  </mergeCells>
  <phoneticPr fontId="22" type="noConversion"/>
  <pageMargins left="0.7" right="0.7" top="0.75" bottom="0.75" header="0.3" footer="0.3"/>
  <pageSetup paperSize="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M32"/>
  <sheetViews>
    <sheetView view="pageBreakPreview" topLeftCell="A5" zoomScaleSheetLayoutView="100" workbookViewId="0">
      <selection activeCell="B33" sqref="B33:M40"/>
    </sheetView>
  </sheetViews>
  <sheetFormatPr defaultColWidth="9.140625" defaultRowHeight="19.5" customHeight="1" outlineLevelCol="1"/>
  <cols>
    <col min="1" max="1" width="19.28515625" style="151" bestFit="1" customWidth="1"/>
    <col min="2" max="2" width="32.7109375" style="152" customWidth="1"/>
    <col min="3" max="3" width="24.5703125" style="107" customWidth="1"/>
    <col min="4" max="5" width="8.7109375" style="153" customWidth="1"/>
    <col min="6" max="6" width="21.5703125" style="154" customWidth="1"/>
    <col min="7" max="7" width="14.7109375" style="155" customWidth="1" outlineLevel="1"/>
    <col min="8" max="8" width="17.7109375" style="155" customWidth="1" outlineLevel="1"/>
    <col min="9" max="9" width="14.7109375" style="155" customWidth="1" outlineLevel="1"/>
    <col min="10" max="10" width="17.7109375" style="155" customWidth="1" outlineLevel="1"/>
    <col min="11" max="11" width="17.140625" style="155" customWidth="1"/>
    <col min="12" max="12" width="17.7109375" style="155" customWidth="1"/>
    <col min="13" max="13" width="23.28515625" style="156" customWidth="1"/>
    <col min="14" max="16384" width="9.140625" style="98"/>
  </cols>
  <sheetData>
    <row r="1" spans="1:13" s="76" customFormat="1" ht="35.1" customHeight="1">
      <c r="A1" s="427" t="s">
        <v>573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</row>
    <row r="2" spans="1:13" s="76" customFormat="1" ht="24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s="76" customFormat="1" ht="24" customHeight="1">
      <c r="A3" s="174">
        <f ca="1">TODAY()</f>
        <v>45587</v>
      </c>
      <c r="B3" s="78"/>
      <c r="C3" s="78"/>
      <c r="D3" s="78"/>
      <c r="E3" s="78"/>
      <c r="F3" s="177"/>
      <c r="G3" s="78"/>
      <c r="H3" s="78"/>
      <c r="I3" s="78"/>
      <c r="J3" s="78"/>
      <c r="K3" s="78"/>
      <c r="L3" s="78"/>
      <c r="M3" s="78"/>
    </row>
    <row r="4" spans="1:13" s="79" customFormat="1" ht="18" customHeight="1">
      <c r="A4" s="425" t="s">
        <v>10</v>
      </c>
      <c r="B4" s="428" t="s">
        <v>4</v>
      </c>
      <c r="C4" s="425" t="s">
        <v>5</v>
      </c>
      <c r="D4" s="425" t="s">
        <v>35</v>
      </c>
      <c r="E4" s="425" t="s">
        <v>6</v>
      </c>
      <c r="F4" s="430" t="s">
        <v>7</v>
      </c>
      <c r="G4" s="432" t="s">
        <v>56</v>
      </c>
      <c r="H4" s="432"/>
      <c r="I4" s="432" t="s">
        <v>57</v>
      </c>
      <c r="J4" s="432"/>
      <c r="K4" s="432" t="s">
        <v>58</v>
      </c>
      <c r="L4" s="432"/>
      <c r="M4" s="425" t="s">
        <v>8</v>
      </c>
    </row>
    <row r="5" spans="1:13" s="79" customFormat="1" ht="18" customHeight="1">
      <c r="A5" s="426"/>
      <c r="B5" s="429"/>
      <c r="C5" s="426"/>
      <c r="D5" s="426"/>
      <c r="E5" s="426"/>
      <c r="F5" s="431"/>
      <c r="G5" s="80" t="s">
        <v>0</v>
      </c>
      <c r="H5" s="80" t="s">
        <v>1</v>
      </c>
      <c r="I5" s="80" t="s">
        <v>0</v>
      </c>
      <c r="J5" s="80" t="s">
        <v>1</v>
      </c>
      <c r="K5" s="80" t="s">
        <v>0</v>
      </c>
      <c r="L5" s="80" t="s">
        <v>1</v>
      </c>
      <c r="M5" s="426"/>
    </row>
    <row r="6" spans="1:13" s="89" customFormat="1" ht="18" customHeight="1">
      <c r="A6" s="81" t="s">
        <v>14</v>
      </c>
      <c r="B6" s="82" t="s">
        <v>572</v>
      </c>
      <c r="C6" s="83"/>
      <c r="D6" s="84"/>
      <c r="E6" s="85"/>
      <c r="F6" s="86"/>
      <c r="G6" s="87"/>
      <c r="H6" s="87"/>
      <c r="I6" s="87"/>
      <c r="J6" s="87"/>
      <c r="K6" s="87"/>
      <c r="L6" s="87"/>
      <c r="M6" s="88"/>
    </row>
    <row r="7" spans="1:13" ht="18" customHeight="1">
      <c r="A7" s="90" t="s">
        <v>42</v>
      </c>
      <c r="B7" s="91" t="s">
        <v>152</v>
      </c>
      <c r="C7" s="92"/>
      <c r="D7" s="93"/>
      <c r="E7" s="94" t="s">
        <v>34</v>
      </c>
      <c r="F7" s="95">
        <v>1</v>
      </c>
      <c r="G7" s="96"/>
      <c r="H7" s="96">
        <f>상세!H48</f>
        <v>106387600</v>
      </c>
      <c r="I7" s="96"/>
      <c r="J7" s="96">
        <f>상세!J48</f>
        <v>77004200</v>
      </c>
      <c r="K7" s="96"/>
      <c r="L7" s="96">
        <f>상세!L48</f>
        <v>183114800</v>
      </c>
      <c r="M7" s="97"/>
    </row>
    <row r="8" spans="1:13" ht="18" customHeight="1">
      <c r="A8" s="90" t="s">
        <v>26</v>
      </c>
      <c r="B8" s="91" t="s">
        <v>174</v>
      </c>
      <c r="C8" s="92"/>
      <c r="D8" s="93"/>
      <c r="E8" s="94" t="s">
        <v>34</v>
      </c>
      <c r="F8" s="95">
        <v>1</v>
      </c>
      <c r="G8" s="96"/>
      <c r="H8" s="96">
        <f>상세!H33</f>
        <v>4904000</v>
      </c>
      <c r="I8" s="96"/>
      <c r="J8" s="96">
        <f>상세!J33</f>
        <v>5026000</v>
      </c>
      <c r="K8" s="96"/>
      <c r="L8" s="96">
        <f>상세!L33</f>
        <v>8670000</v>
      </c>
      <c r="M8" s="97"/>
    </row>
    <row r="9" spans="1:13" ht="18" customHeight="1">
      <c r="A9" s="90"/>
      <c r="B9" s="91"/>
      <c r="C9" s="92"/>
      <c r="D9" s="93"/>
      <c r="E9" s="94"/>
      <c r="F9" s="95"/>
      <c r="G9" s="96"/>
      <c r="H9" s="96"/>
      <c r="I9" s="96"/>
      <c r="J9" s="96"/>
      <c r="K9" s="96"/>
      <c r="L9" s="96"/>
      <c r="M9" s="97"/>
    </row>
    <row r="10" spans="1:13" s="106" customFormat="1" ht="18" customHeight="1">
      <c r="A10" s="99"/>
      <c r="B10" s="99" t="s">
        <v>98</v>
      </c>
      <c r="C10" s="100"/>
      <c r="D10" s="101"/>
      <c r="E10" s="102"/>
      <c r="F10" s="103"/>
      <c r="G10" s="104"/>
      <c r="H10" s="104">
        <f>상세!H10</f>
        <v>111291600</v>
      </c>
      <c r="I10" s="104"/>
      <c r="J10" s="104">
        <f>상세!J10</f>
        <v>82030200</v>
      </c>
      <c r="K10" s="104"/>
      <c r="L10" s="104">
        <f>상세!L10</f>
        <v>191784800</v>
      </c>
      <c r="M10" s="105"/>
    </row>
    <row r="11" spans="1:13" ht="18" customHeight="1">
      <c r="A11" s="180"/>
      <c r="B11" s="181"/>
      <c r="C11" s="182"/>
      <c r="D11" s="183"/>
      <c r="E11" s="184"/>
      <c r="F11" s="185"/>
      <c r="G11" s="186"/>
      <c r="H11" s="186"/>
      <c r="I11" s="96"/>
      <c r="J11" s="96"/>
      <c r="K11" s="96"/>
      <c r="L11" s="96"/>
      <c r="M11" s="97"/>
    </row>
    <row r="12" spans="1:13" ht="18" customHeight="1">
      <c r="A12" s="380" t="s">
        <v>23</v>
      </c>
      <c r="B12" s="92" t="s">
        <v>157</v>
      </c>
      <c r="C12" s="381"/>
      <c r="D12" s="382"/>
      <c r="E12" s="157">
        <v>0.05</v>
      </c>
      <c r="F12" s="108">
        <v>1</v>
      </c>
      <c r="G12" s="368"/>
      <c r="H12" s="369"/>
      <c r="I12" s="370"/>
      <c r="J12" s="369"/>
      <c r="K12" s="369"/>
      <c r="L12" s="110">
        <f>L10*E12</f>
        <v>9589240</v>
      </c>
      <c r="M12" s="371"/>
    </row>
    <row r="13" spans="1:13" ht="18" hidden="1" customHeight="1">
      <c r="A13" s="112" t="s">
        <v>23</v>
      </c>
      <c r="B13" s="92" t="s">
        <v>148</v>
      </c>
      <c r="C13" s="92"/>
      <c r="D13" s="157"/>
      <c r="E13" s="157">
        <v>0</v>
      </c>
      <c r="F13" s="108">
        <v>1</v>
      </c>
      <c r="G13" s="109"/>
      <c r="H13" s="110"/>
      <c r="I13" s="178"/>
      <c r="J13" s="110"/>
      <c r="K13" s="110"/>
      <c r="L13" s="110">
        <f>L10*E13</f>
        <v>0</v>
      </c>
      <c r="M13" s="97"/>
    </row>
    <row r="14" spans="1:13" ht="18" customHeight="1">
      <c r="A14" s="112" t="s">
        <v>23</v>
      </c>
      <c r="B14" s="92" t="s">
        <v>177</v>
      </c>
      <c r="C14" s="92"/>
      <c r="D14" s="157"/>
      <c r="E14" s="157">
        <v>0.06</v>
      </c>
      <c r="F14" s="108">
        <v>1</v>
      </c>
      <c r="G14" s="109"/>
      <c r="H14" s="110"/>
      <c r="I14" s="178"/>
      <c r="J14" s="110"/>
      <c r="K14" s="110"/>
      <c r="L14" s="110">
        <f>L10*E14</f>
        <v>11507088</v>
      </c>
      <c r="M14" s="97"/>
    </row>
    <row r="15" spans="1:13" ht="18" customHeight="1">
      <c r="A15" s="112" t="s">
        <v>23</v>
      </c>
      <c r="B15" s="92" t="s">
        <v>178</v>
      </c>
      <c r="C15" s="92"/>
      <c r="D15" s="91"/>
      <c r="E15" s="157">
        <v>0.1</v>
      </c>
      <c r="F15" s="108">
        <v>1</v>
      </c>
      <c r="G15" s="109"/>
      <c r="H15" s="110"/>
      <c r="I15" s="178"/>
      <c r="J15" s="110"/>
      <c r="K15" s="110"/>
      <c r="L15" s="110">
        <f>L10*E15</f>
        <v>19178480</v>
      </c>
      <c r="M15" s="97"/>
    </row>
    <row r="16" spans="1:13" ht="18" customHeight="1">
      <c r="A16" s="112" t="s">
        <v>421</v>
      </c>
      <c r="B16" s="92" t="s">
        <v>422</v>
      </c>
      <c r="C16" s="92"/>
      <c r="D16" s="91"/>
      <c r="E16" s="157">
        <v>0.04</v>
      </c>
      <c r="F16" s="108">
        <v>1</v>
      </c>
      <c r="G16" s="109"/>
      <c r="H16" s="110"/>
      <c r="I16" s="178"/>
      <c r="J16" s="110"/>
      <c r="K16" s="110"/>
      <c r="L16" s="110">
        <f>L10*E16</f>
        <v>7671392</v>
      </c>
      <c r="M16" s="97"/>
    </row>
    <row r="17" spans="1:13" ht="18" customHeight="1">
      <c r="A17" s="112"/>
      <c r="B17" s="381" t="s">
        <v>718</v>
      </c>
      <c r="C17" s="92"/>
      <c r="D17" s="91"/>
      <c r="E17" s="409">
        <v>-0.05</v>
      </c>
      <c r="F17" s="410"/>
      <c r="G17" s="411"/>
      <c r="H17" s="412"/>
      <c r="I17" s="413"/>
      <c r="J17" s="412"/>
      <c r="K17" s="412"/>
      <c r="L17" s="414">
        <f>L10*E17</f>
        <v>-9589240</v>
      </c>
      <c r="M17" s="97"/>
    </row>
    <row r="18" spans="1:13" ht="18" customHeight="1">
      <c r="A18" s="112"/>
      <c r="B18" s="92"/>
      <c r="C18" s="111"/>
      <c r="D18" s="112"/>
      <c r="E18" s="113"/>
      <c r="F18" s="108"/>
      <c r="G18" s="109"/>
      <c r="H18" s="110"/>
      <c r="I18" s="178"/>
      <c r="J18" s="110"/>
      <c r="K18" s="110"/>
      <c r="L18" s="110"/>
      <c r="M18" s="97"/>
    </row>
    <row r="19" spans="1:13" s="121" customFormat="1" ht="18" customHeight="1">
      <c r="A19" s="115"/>
      <c r="B19" s="99" t="s">
        <v>153</v>
      </c>
      <c r="C19" s="114"/>
      <c r="D19" s="115"/>
      <c r="E19" s="116"/>
      <c r="F19" s="117"/>
      <c r="G19" s="118"/>
      <c r="H19" s="119"/>
      <c r="I19" s="179"/>
      <c r="J19" s="119"/>
      <c r="K19" s="119"/>
      <c r="L19" s="119">
        <f>SUM(L12:L18)</f>
        <v>38356960</v>
      </c>
      <c r="M19" s="120"/>
    </row>
    <row r="20" spans="1:13" s="121" customFormat="1" ht="18" customHeight="1">
      <c r="A20" s="115"/>
      <c r="B20" s="99"/>
      <c r="C20" s="114"/>
      <c r="D20" s="115"/>
      <c r="E20" s="116"/>
      <c r="F20" s="117"/>
      <c r="G20" s="118"/>
      <c r="H20" s="119"/>
      <c r="I20" s="179"/>
      <c r="J20" s="119"/>
      <c r="K20" s="119"/>
      <c r="L20" s="119"/>
      <c r="M20" s="120"/>
    </row>
    <row r="21" spans="1:13" ht="18" customHeight="1">
      <c r="A21" s="187"/>
      <c r="B21" s="188"/>
      <c r="C21" s="189"/>
      <c r="D21" s="93"/>
      <c r="E21" s="94"/>
      <c r="F21" s="95"/>
      <c r="G21" s="96"/>
      <c r="H21" s="96"/>
      <c r="I21" s="96"/>
      <c r="J21" s="96"/>
      <c r="K21" s="96" t="s">
        <v>166</v>
      </c>
      <c r="L21" s="96">
        <v>6141760</v>
      </c>
      <c r="M21" s="97"/>
    </row>
    <row r="22" spans="1:13" s="129" customFormat="1" ht="18" customHeight="1">
      <c r="A22" s="122"/>
      <c r="B22" s="122" t="s">
        <v>154</v>
      </c>
      <c r="C22" s="123"/>
      <c r="D22" s="124"/>
      <c r="E22" s="125"/>
      <c r="F22" s="126"/>
      <c r="G22" s="127"/>
      <c r="H22" s="127"/>
      <c r="I22" s="127"/>
      <c r="J22" s="127"/>
      <c r="K22" s="127"/>
      <c r="L22" s="326">
        <v>222000000</v>
      </c>
      <c r="M22" s="128" t="s">
        <v>217</v>
      </c>
    </row>
    <row r="23" spans="1:13" ht="18" customHeight="1">
      <c r="A23" s="130"/>
      <c r="B23" s="131"/>
      <c r="C23" s="132"/>
      <c r="D23" s="133"/>
      <c r="E23" s="133"/>
      <c r="F23" s="134"/>
      <c r="G23" s="135"/>
      <c r="H23" s="135"/>
      <c r="I23" s="135"/>
      <c r="J23" s="135"/>
      <c r="K23" s="135"/>
      <c r="M23" s="136"/>
    </row>
    <row r="24" spans="1:13" ht="18" customHeight="1">
      <c r="A24" s="137"/>
      <c r="B24" s="138"/>
      <c r="C24" s="139"/>
      <c r="D24" s="140"/>
      <c r="E24" s="140"/>
      <c r="F24" s="141"/>
      <c r="G24" s="142"/>
      <c r="H24" s="142"/>
      <c r="I24" s="142"/>
      <c r="J24" s="142"/>
      <c r="K24" s="142"/>
      <c r="L24" s="135">
        <f>L22*1.1</f>
        <v>244200000.00000003</v>
      </c>
      <c r="M24" s="143"/>
    </row>
    <row r="25" spans="1:13" ht="18" customHeight="1">
      <c r="A25" s="137"/>
      <c r="B25" s="138"/>
      <c r="C25" s="139"/>
      <c r="D25" s="140"/>
      <c r="E25" s="140"/>
      <c r="F25" s="141"/>
      <c r="G25" s="142"/>
      <c r="H25" s="142"/>
      <c r="I25" s="142"/>
      <c r="J25" s="142"/>
      <c r="K25" s="142"/>
      <c r="L25" s="407"/>
      <c r="M25" s="143"/>
    </row>
    <row r="26" spans="1:13" ht="18" customHeight="1">
      <c r="A26" s="137"/>
      <c r="B26" s="138"/>
      <c r="C26" s="139"/>
      <c r="D26" s="140"/>
      <c r="E26" s="140"/>
      <c r="F26" s="141"/>
      <c r="G26" s="142"/>
      <c r="H26" s="142"/>
      <c r="I26" s="142"/>
      <c r="J26" s="142"/>
      <c r="K26" s="142"/>
      <c r="L26" s="142"/>
      <c r="M26" s="143"/>
    </row>
    <row r="27" spans="1:13" ht="18" customHeight="1">
      <c r="A27" s="137"/>
      <c r="B27" s="138"/>
      <c r="C27" s="139"/>
      <c r="D27" s="140"/>
      <c r="E27" s="140"/>
      <c r="F27" s="141"/>
      <c r="G27" s="142"/>
      <c r="H27" s="142"/>
      <c r="I27" s="142"/>
      <c r="J27" s="142"/>
      <c r="K27" s="142"/>
      <c r="L27" s="142"/>
      <c r="M27" s="143"/>
    </row>
    <row r="28" spans="1:13" ht="18" customHeight="1">
      <c r="A28" s="137" t="s">
        <v>38</v>
      </c>
      <c r="B28" s="138" t="s">
        <v>44</v>
      </c>
      <c r="C28" s="139"/>
      <c r="D28" s="140"/>
      <c r="E28" s="140"/>
      <c r="F28" s="141"/>
      <c r="G28" s="142"/>
      <c r="H28" s="142"/>
      <c r="I28" s="142"/>
      <c r="J28" s="142"/>
      <c r="K28" s="142"/>
      <c r="L28" s="142"/>
      <c r="M28" s="143"/>
    </row>
    <row r="29" spans="1:13" ht="18" customHeight="1">
      <c r="A29" s="137" t="s">
        <v>41</v>
      </c>
      <c r="B29" s="138" t="s">
        <v>218</v>
      </c>
      <c r="C29" s="139"/>
      <c r="D29" s="140"/>
      <c r="E29" s="140"/>
      <c r="F29" s="141"/>
      <c r="G29" s="142"/>
      <c r="H29" s="142"/>
      <c r="I29" s="142"/>
      <c r="J29" s="142"/>
      <c r="K29" s="142"/>
      <c r="L29" s="142"/>
      <c r="M29" s="143"/>
    </row>
    <row r="30" spans="1:13" ht="18" customHeight="1">
      <c r="A30" s="160" t="s">
        <v>41</v>
      </c>
      <c r="B30" s="138" t="s">
        <v>175</v>
      </c>
      <c r="C30" s="139"/>
      <c r="D30" s="140"/>
      <c r="E30" s="140"/>
      <c r="F30" s="141"/>
      <c r="G30" s="142"/>
      <c r="H30" s="142"/>
      <c r="I30" s="142"/>
      <c r="J30" s="142"/>
      <c r="K30" s="142"/>
      <c r="L30" s="142"/>
      <c r="M30" s="143"/>
    </row>
    <row r="31" spans="1:13" ht="18" customHeight="1">
      <c r="A31" s="137"/>
      <c r="B31" s="138"/>
      <c r="C31" s="139"/>
      <c r="D31" s="140"/>
      <c r="E31" s="140"/>
      <c r="F31" s="141"/>
      <c r="G31" s="142"/>
      <c r="H31" s="142"/>
      <c r="I31" s="142"/>
      <c r="J31" s="142"/>
      <c r="K31" s="142"/>
      <c r="L31" s="142"/>
      <c r="M31" s="143"/>
    </row>
    <row r="32" spans="1:13" ht="18" customHeight="1">
      <c r="A32" s="144"/>
      <c r="B32" s="145"/>
      <c r="C32" s="146"/>
      <c r="D32" s="147"/>
      <c r="E32" s="147"/>
      <c r="F32" s="148"/>
      <c r="G32" s="149"/>
      <c r="H32" s="149"/>
      <c r="I32" s="149"/>
      <c r="J32" s="149"/>
      <c r="K32" s="149" t="s">
        <v>721</v>
      </c>
      <c r="L32" s="149">
        <f>L21-L17</f>
        <v>15731000</v>
      </c>
      <c r="M32" s="150" t="s">
        <v>722</v>
      </c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H4"/>
    <mergeCell ref="I4:J4"/>
    <mergeCell ref="K4:L4"/>
  </mergeCells>
  <phoneticPr fontId="22" type="noConversion"/>
  <pageMargins left="0.7" right="0.7" top="0.75" bottom="0.75" header="0.3" footer="0.3"/>
  <pageSetup paperSize="8" scale="9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  <pageSetUpPr fitToPage="1"/>
  </sheetPr>
  <dimension ref="A1:V452"/>
  <sheetViews>
    <sheetView tabSelected="1" view="pageBreakPreview" zoomScaleSheetLayoutView="100" workbookViewId="0">
      <pane ySplit="3" topLeftCell="A377" activePane="bottomLeft" state="frozen"/>
      <selection activeCell="F20" sqref="F20"/>
      <selection pane="bottomLeft" activeCell="L392" sqref="L392"/>
    </sheetView>
  </sheetViews>
  <sheetFormatPr defaultColWidth="9.140625" defaultRowHeight="19.5" customHeight="1"/>
  <cols>
    <col min="1" max="1" width="8.85546875" style="56" bestFit="1" customWidth="1"/>
    <col min="2" max="2" width="32.7109375" style="57" customWidth="1"/>
    <col min="3" max="3" width="29.85546875" style="56" customWidth="1"/>
    <col min="4" max="4" width="19.7109375" style="58" customWidth="1"/>
    <col min="5" max="5" width="8.7109375" style="58" customWidth="1"/>
    <col min="6" max="6" width="13" style="59" customWidth="1"/>
    <col min="7" max="7" width="14.7109375" style="60" customWidth="1"/>
    <col min="8" max="8" width="18" style="60" customWidth="1"/>
    <col min="9" max="9" width="14.7109375" style="60" customWidth="1"/>
    <col min="10" max="10" width="18" style="60" customWidth="1"/>
    <col min="11" max="11" width="14.7109375" style="60" customWidth="1"/>
    <col min="12" max="12" width="18" style="60" customWidth="1"/>
    <col min="13" max="13" width="20.5703125" style="254" customWidth="1"/>
    <col min="14" max="14" width="0" style="8" hidden="1" customWidth="1"/>
    <col min="15" max="15" width="13.140625" style="162" hidden="1" customWidth="1"/>
    <col min="16" max="16" width="13.140625" style="167" hidden="1" customWidth="1"/>
    <col min="17" max="17" width="11" style="8" bestFit="1" customWidth="1"/>
    <col min="18" max="16384" width="9.140625" style="8"/>
  </cols>
  <sheetData>
    <row r="1" spans="1:16" s="1" customFormat="1" ht="35.1" customHeight="1">
      <c r="A1" s="437" t="s">
        <v>574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O1" s="161"/>
      <c r="P1" s="166"/>
    </row>
    <row r="2" spans="1:16" s="262" customFormat="1" ht="18" customHeight="1">
      <c r="A2" s="438" t="s">
        <v>543</v>
      </c>
      <c r="B2" s="439" t="s">
        <v>4</v>
      </c>
      <c r="C2" s="440" t="s">
        <v>118</v>
      </c>
      <c r="D2" s="440" t="s">
        <v>155</v>
      </c>
      <c r="E2" s="440" t="s">
        <v>6</v>
      </c>
      <c r="F2" s="441" t="s">
        <v>7</v>
      </c>
      <c r="G2" s="442" t="s">
        <v>2</v>
      </c>
      <c r="H2" s="442"/>
      <c r="I2" s="442" t="s">
        <v>9</v>
      </c>
      <c r="J2" s="442"/>
      <c r="K2" s="442" t="s">
        <v>3</v>
      </c>
      <c r="L2" s="442"/>
      <c r="M2" s="435" t="s">
        <v>8</v>
      </c>
      <c r="O2" s="263"/>
      <c r="P2" s="264"/>
    </row>
    <row r="3" spans="1:16" s="262" customFormat="1" ht="18" customHeight="1">
      <c r="A3" s="438"/>
      <c r="B3" s="439"/>
      <c r="C3" s="440"/>
      <c r="D3" s="440"/>
      <c r="E3" s="440"/>
      <c r="F3" s="441"/>
      <c r="G3" s="269" t="s">
        <v>0</v>
      </c>
      <c r="H3" s="269" t="s">
        <v>1</v>
      </c>
      <c r="I3" s="269" t="s">
        <v>0</v>
      </c>
      <c r="J3" s="269" t="s">
        <v>1</v>
      </c>
      <c r="K3" s="269" t="s">
        <v>0</v>
      </c>
      <c r="L3" s="269" t="s">
        <v>1</v>
      </c>
      <c r="M3" s="436"/>
      <c r="O3" s="265" t="s">
        <v>182</v>
      </c>
      <c r="P3" s="264"/>
    </row>
    <row r="4" spans="1:16" ht="18" customHeight="1">
      <c r="A4" s="2"/>
      <c r="B4" s="3"/>
      <c r="C4" s="361"/>
      <c r="D4" s="4"/>
      <c r="E4" s="4"/>
      <c r="F4" s="5"/>
      <c r="G4" s="6"/>
      <c r="H4" s="6"/>
      <c r="I4" s="6"/>
      <c r="J4" s="6"/>
      <c r="K4" s="6"/>
      <c r="L4" s="7"/>
      <c r="M4" s="176"/>
    </row>
    <row r="5" spans="1:16" ht="18" customHeight="1">
      <c r="A5" s="9"/>
      <c r="B5" s="10"/>
      <c r="C5" s="9"/>
      <c r="D5" s="4"/>
      <c r="E5" s="4"/>
      <c r="F5" s="5"/>
      <c r="G5" s="6"/>
      <c r="H5" s="6"/>
      <c r="I5" s="6"/>
      <c r="J5" s="6"/>
      <c r="K5" s="6"/>
      <c r="L5" s="7"/>
      <c r="M5" s="176"/>
    </row>
    <row r="6" spans="1:16" s="17" customFormat="1" ht="18" customHeight="1">
      <c r="A6" s="11" t="s">
        <v>14</v>
      </c>
      <c r="B6" s="12" t="s">
        <v>572</v>
      </c>
      <c r="C6" s="11"/>
      <c r="D6" s="13"/>
      <c r="E6" s="13"/>
      <c r="F6" s="14"/>
      <c r="G6" s="15"/>
      <c r="H6" s="15"/>
      <c r="I6" s="15"/>
      <c r="J6" s="15"/>
      <c r="K6" s="15"/>
      <c r="L6" s="16"/>
      <c r="M6" s="255"/>
      <c r="O6" s="163"/>
      <c r="P6" s="168"/>
    </row>
    <row r="7" spans="1:16" ht="18" customHeight="1">
      <c r="A7" s="9" t="s">
        <v>22</v>
      </c>
      <c r="B7" s="10" t="str">
        <f>B15</f>
        <v>가설공사</v>
      </c>
      <c r="C7" s="9"/>
      <c r="D7" s="4"/>
      <c r="E7" s="4" t="s">
        <v>34</v>
      </c>
      <c r="F7" s="5">
        <v>1</v>
      </c>
      <c r="G7" s="6"/>
      <c r="H7" s="6">
        <f>H33</f>
        <v>4904000</v>
      </c>
      <c r="I7" s="6"/>
      <c r="J7" s="6">
        <f>J33</f>
        <v>5026000</v>
      </c>
      <c r="K7" s="6"/>
      <c r="L7" s="7">
        <f>L33</f>
        <v>8670000</v>
      </c>
      <c r="M7" s="176"/>
    </row>
    <row r="8" spans="1:16" ht="18" customHeight="1">
      <c r="A8" s="9" t="s">
        <v>26</v>
      </c>
      <c r="B8" s="10" t="str">
        <f>B35</f>
        <v>인테리어 공사</v>
      </c>
      <c r="C8" s="9"/>
      <c r="D8" s="4"/>
      <c r="E8" s="4" t="s">
        <v>34</v>
      </c>
      <c r="F8" s="5">
        <v>1</v>
      </c>
      <c r="G8" s="6"/>
      <c r="H8" s="6">
        <f>H48</f>
        <v>106387600</v>
      </c>
      <c r="I8" s="6"/>
      <c r="J8" s="6">
        <f>J48</f>
        <v>77004200</v>
      </c>
      <c r="K8" s="6"/>
      <c r="L8" s="7">
        <f>L48</f>
        <v>183114800</v>
      </c>
      <c r="M8" s="176"/>
    </row>
    <row r="9" spans="1:16" ht="18" customHeight="1">
      <c r="A9" s="9"/>
      <c r="B9" s="10"/>
      <c r="C9" s="9"/>
      <c r="D9" s="4"/>
      <c r="E9" s="4"/>
      <c r="F9" s="5"/>
      <c r="G9" s="6"/>
      <c r="H9" s="6"/>
      <c r="I9" s="6"/>
      <c r="J9" s="6"/>
      <c r="K9" s="6"/>
      <c r="L9" s="7"/>
      <c r="M9" s="176"/>
    </row>
    <row r="10" spans="1:16" s="18" customFormat="1" ht="18" customHeight="1">
      <c r="A10" s="214"/>
      <c r="B10" s="214" t="s">
        <v>98</v>
      </c>
      <c r="C10" s="214"/>
      <c r="D10" s="215"/>
      <c r="E10" s="215"/>
      <c r="F10" s="216"/>
      <c r="G10" s="217"/>
      <c r="H10" s="217">
        <f>SUM(H7:H9)</f>
        <v>111291600</v>
      </c>
      <c r="I10" s="217"/>
      <c r="J10" s="217">
        <f>SUM(J7:J9)</f>
        <v>82030200</v>
      </c>
      <c r="K10" s="217"/>
      <c r="L10" s="218">
        <f>SUM(L7:L9)</f>
        <v>191784800</v>
      </c>
      <c r="M10" s="256"/>
      <c r="O10" s="219"/>
      <c r="P10" s="220"/>
    </row>
    <row r="11" spans="1:16" s="226" customFormat="1" ht="18" customHeight="1">
      <c r="A11" s="9"/>
      <c r="B11" s="10"/>
      <c r="C11" s="9"/>
      <c r="D11" s="208"/>
      <c r="E11" s="208"/>
      <c r="F11" s="209"/>
      <c r="G11" s="225"/>
      <c r="H11" s="225"/>
      <c r="I11" s="225"/>
      <c r="J11" s="225"/>
      <c r="K11" s="225"/>
      <c r="L11" s="225"/>
      <c r="M11" s="257"/>
      <c r="P11" s="227"/>
    </row>
    <row r="12" spans="1:16" s="226" customFormat="1" ht="18" customHeight="1">
      <c r="A12" s="9"/>
      <c r="B12" s="10"/>
      <c r="C12" s="9"/>
      <c r="D12" s="208"/>
      <c r="E12" s="208"/>
      <c r="F12" s="209"/>
      <c r="G12" s="225"/>
      <c r="H12" s="225"/>
      <c r="I12" s="225"/>
      <c r="J12" s="225"/>
      <c r="K12" s="225"/>
      <c r="L12" s="225"/>
      <c r="M12" s="257"/>
      <c r="P12" s="227"/>
    </row>
    <row r="13" spans="1:16" s="226" customFormat="1" ht="18" customHeight="1">
      <c r="A13" s="9"/>
      <c r="B13" s="10"/>
      <c r="C13" s="9"/>
      <c r="D13" s="208"/>
      <c r="E13" s="208"/>
      <c r="F13" s="209"/>
      <c r="G13" s="225"/>
      <c r="H13" s="225"/>
      <c r="I13" s="225"/>
      <c r="J13" s="225"/>
      <c r="K13" s="225"/>
      <c r="L13" s="225"/>
      <c r="M13" s="257"/>
      <c r="P13" s="227"/>
    </row>
    <row r="14" spans="1:16" s="226" customFormat="1" ht="18" customHeight="1">
      <c r="A14" s="9"/>
      <c r="B14" s="10"/>
      <c r="C14" s="9"/>
      <c r="D14" s="208"/>
      <c r="E14" s="208"/>
      <c r="F14" s="209"/>
      <c r="G14" s="225"/>
      <c r="H14" s="225"/>
      <c r="I14" s="225"/>
      <c r="J14" s="225"/>
      <c r="K14" s="225"/>
      <c r="L14" s="225"/>
      <c r="M14" s="257"/>
      <c r="P14" s="227"/>
    </row>
    <row r="15" spans="1:16" s="231" customFormat="1" ht="18" customHeight="1">
      <c r="A15" s="19" t="s">
        <v>22</v>
      </c>
      <c r="B15" s="20" t="s">
        <v>72</v>
      </c>
      <c r="C15" s="19"/>
      <c r="D15" s="228"/>
      <c r="E15" s="228"/>
      <c r="F15" s="229"/>
      <c r="G15" s="230"/>
      <c r="H15" s="230"/>
      <c r="I15" s="230"/>
      <c r="J15" s="230"/>
      <c r="K15" s="230"/>
      <c r="L15" s="230"/>
      <c r="M15" s="258"/>
      <c r="P15" s="232"/>
    </row>
    <row r="16" spans="1:16" s="226" customFormat="1" ht="18" customHeight="1">
      <c r="A16" s="9" t="s">
        <v>59</v>
      </c>
      <c r="B16" s="10" t="s">
        <v>508</v>
      </c>
      <c r="C16" s="9"/>
      <c r="D16" s="208"/>
      <c r="E16" s="208" t="s">
        <v>11</v>
      </c>
      <c r="F16" s="209">
        <v>197</v>
      </c>
      <c r="G16" s="210">
        <v>2000</v>
      </c>
      <c r="H16" s="210">
        <f t="shared" ref="H16:H27" si="0">F16*G16</f>
        <v>394000</v>
      </c>
      <c r="I16" s="210">
        <v>8000</v>
      </c>
      <c r="J16" s="210">
        <f t="shared" ref="J16:J27" si="1">F16*I16</f>
        <v>1576000</v>
      </c>
      <c r="K16" s="210">
        <f t="shared" ref="K16:K27" si="2">G16+I16</f>
        <v>10000</v>
      </c>
      <c r="L16" s="210">
        <f t="shared" ref="L16:L27" si="3">F16*K16</f>
        <v>1970000</v>
      </c>
      <c r="M16" s="175"/>
      <c r="P16" s="227"/>
    </row>
    <row r="17" spans="1:16" s="226" customFormat="1" ht="18" customHeight="1">
      <c r="A17" s="9" t="s">
        <v>59</v>
      </c>
      <c r="B17" s="10" t="s">
        <v>25</v>
      </c>
      <c r="C17" s="9"/>
      <c r="D17" s="208"/>
      <c r="E17" s="208" t="s">
        <v>158</v>
      </c>
      <c r="F17" s="209">
        <v>10</v>
      </c>
      <c r="G17" s="210">
        <v>0</v>
      </c>
      <c r="H17" s="210">
        <f t="shared" si="0"/>
        <v>0</v>
      </c>
      <c r="I17" s="210">
        <v>170000</v>
      </c>
      <c r="J17" s="210">
        <f t="shared" si="1"/>
        <v>1700000</v>
      </c>
      <c r="K17" s="210">
        <f t="shared" si="2"/>
        <v>170000</v>
      </c>
      <c r="L17" s="210">
        <f t="shared" si="3"/>
        <v>1700000</v>
      </c>
      <c r="M17" s="176"/>
      <c r="P17" s="227"/>
    </row>
    <row r="18" spans="1:16" s="226" customFormat="1" ht="18" customHeight="1">
      <c r="A18" s="9" t="s">
        <v>69</v>
      </c>
      <c r="B18" s="10" t="s">
        <v>24</v>
      </c>
      <c r="C18" s="9" t="s">
        <v>70</v>
      </c>
      <c r="D18" s="208"/>
      <c r="E18" s="208" t="s">
        <v>71</v>
      </c>
      <c r="F18" s="209">
        <v>0</v>
      </c>
      <c r="G18" s="210">
        <v>400000</v>
      </c>
      <c r="H18" s="210">
        <f>F18*G18</f>
        <v>0</v>
      </c>
      <c r="I18" s="210">
        <v>0</v>
      </c>
      <c r="J18" s="210">
        <f>F18*I18</f>
        <v>0</v>
      </c>
      <c r="K18" s="210">
        <f>G18+I18</f>
        <v>400000</v>
      </c>
      <c r="L18" s="210">
        <f>F18*K18</f>
        <v>0</v>
      </c>
      <c r="M18" s="176"/>
      <c r="P18" s="227"/>
    </row>
    <row r="19" spans="1:16" s="226" customFormat="1" ht="18" hidden="1" customHeight="1">
      <c r="A19" s="9" t="s">
        <v>497</v>
      </c>
      <c r="B19" s="10" t="s">
        <v>498</v>
      </c>
      <c r="C19" s="9"/>
      <c r="D19" s="208"/>
      <c r="E19" s="208" t="s">
        <v>492</v>
      </c>
      <c r="F19" s="209">
        <v>0</v>
      </c>
      <c r="G19" s="210">
        <v>200000</v>
      </c>
      <c r="H19" s="210">
        <f t="shared" ref="H19" si="4">F19*G19</f>
        <v>0</v>
      </c>
      <c r="I19" s="210">
        <v>0</v>
      </c>
      <c r="J19" s="210">
        <f t="shared" ref="J19" si="5">F19*I19</f>
        <v>0</v>
      </c>
      <c r="K19" s="210">
        <f t="shared" ref="K19" si="6">G19+I19</f>
        <v>200000</v>
      </c>
      <c r="L19" s="210">
        <f t="shared" ref="L19" si="7">F19*K19</f>
        <v>0</v>
      </c>
      <c r="M19" s="176"/>
      <c r="P19" s="227"/>
    </row>
    <row r="20" spans="1:16" s="226" customFormat="1" ht="18" customHeight="1">
      <c r="A20" s="9" t="s">
        <v>76</v>
      </c>
      <c r="B20" s="10" t="s">
        <v>86</v>
      </c>
      <c r="C20" s="9"/>
      <c r="D20" s="208"/>
      <c r="E20" s="208" t="s">
        <v>74</v>
      </c>
      <c r="F20" s="209">
        <v>1</v>
      </c>
      <c r="G20" s="210">
        <v>600000</v>
      </c>
      <c r="H20" s="210">
        <f>F20*G20</f>
        <v>600000</v>
      </c>
      <c r="I20" s="210">
        <v>0</v>
      </c>
      <c r="J20" s="210">
        <f>F20*I20</f>
        <v>0</v>
      </c>
      <c r="K20" s="210">
        <f>G20+I20</f>
        <v>600000</v>
      </c>
      <c r="L20" s="210">
        <f>F20*K20</f>
        <v>600000</v>
      </c>
      <c r="M20" s="176"/>
      <c r="P20" s="227"/>
    </row>
    <row r="21" spans="1:16" s="333" customFormat="1" ht="18" hidden="1" customHeight="1">
      <c r="A21" s="158" t="s">
        <v>61</v>
      </c>
      <c r="B21" s="315" t="s">
        <v>73</v>
      </c>
      <c r="C21" s="358"/>
      <c r="D21" s="330"/>
      <c r="E21" s="330" t="s">
        <v>75</v>
      </c>
      <c r="F21" s="331">
        <v>0</v>
      </c>
      <c r="G21" s="332">
        <v>200000</v>
      </c>
      <c r="H21" s="332">
        <f t="shared" si="0"/>
        <v>0</v>
      </c>
      <c r="I21" s="332">
        <v>0</v>
      </c>
      <c r="J21" s="332">
        <f t="shared" si="1"/>
        <v>0</v>
      </c>
      <c r="K21" s="332">
        <f t="shared" si="2"/>
        <v>200000</v>
      </c>
      <c r="L21" s="332">
        <f t="shared" si="3"/>
        <v>0</v>
      </c>
      <c r="M21" s="285"/>
      <c r="P21" s="334"/>
    </row>
    <row r="22" spans="1:16" s="233" customFormat="1" ht="18" customHeight="1">
      <c r="A22" s="158" t="s">
        <v>60</v>
      </c>
      <c r="B22" s="159" t="s">
        <v>77</v>
      </c>
      <c r="C22" s="158" t="s">
        <v>173</v>
      </c>
      <c r="D22" s="211"/>
      <c r="E22" s="211" t="s">
        <v>74</v>
      </c>
      <c r="F22" s="212">
        <v>0</v>
      </c>
      <c r="G22" s="213">
        <v>0</v>
      </c>
      <c r="H22" s="213">
        <f t="shared" si="0"/>
        <v>0</v>
      </c>
      <c r="I22" s="213">
        <v>0</v>
      </c>
      <c r="J22" s="213">
        <f t="shared" si="1"/>
        <v>0</v>
      </c>
      <c r="K22" s="213">
        <f t="shared" si="2"/>
        <v>0</v>
      </c>
      <c r="L22" s="213">
        <f t="shared" si="3"/>
        <v>0</v>
      </c>
      <c r="M22" s="175"/>
      <c r="P22" s="234"/>
    </row>
    <row r="23" spans="1:16" s="351" customFormat="1" ht="18" customHeight="1">
      <c r="A23" s="9" t="s">
        <v>509</v>
      </c>
      <c r="B23" s="339" t="s">
        <v>510</v>
      </c>
      <c r="C23" s="337"/>
      <c r="D23" s="348"/>
      <c r="E23" s="348" t="s">
        <v>511</v>
      </c>
      <c r="F23" s="349">
        <v>1</v>
      </c>
      <c r="G23" s="350">
        <v>200000</v>
      </c>
      <c r="H23" s="350">
        <f t="shared" si="0"/>
        <v>200000</v>
      </c>
      <c r="I23" s="350">
        <v>0</v>
      </c>
      <c r="J23" s="350">
        <f t="shared" si="1"/>
        <v>0</v>
      </c>
      <c r="K23" s="350">
        <f t="shared" si="2"/>
        <v>200000</v>
      </c>
      <c r="L23" s="350">
        <f t="shared" si="3"/>
        <v>200000</v>
      </c>
      <c r="M23" s="279"/>
      <c r="P23" s="352"/>
    </row>
    <row r="24" spans="1:16" s="226" customFormat="1" ht="18" customHeight="1">
      <c r="A24" s="9" t="s">
        <v>83</v>
      </c>
      <c r="B24" s="10" t="s">
        <v>84</v>
      </c>
      <c r="C24" s="9" t="s">
        <v>85</v>
      </c>
      <c r="D24" s="208"/>
      <c r="E24" s="208" t="s">
        <v>71</v>
      </c>
      <c r="F24" s="209">
        <v>7</v>
      </c>
      <c r="G24" s="210">
        <v>500000</v>
      </c>
      <c r="H24" s="210">
        <f>F24*G24</f>
        <v>3500000</v>
      </c>
      <c r="I24" s="210">
        <v>100000</v>
      </c>
      <c r="J24" s="210">
        <f>F24*I24</f>
        <v>700000</v>
      </c>
      <c r="K24" s="210">
        <f>G24+I24</f>
        <v>600000</v>
      </c>
      <c r="L24" s="210">
        <f>F24*K24</f>
        <v>4200000</v>
      </c>
      <c r="M24" s="176"/>
      <c r="N24" s="226" t="s">
        <v>299</v>
      </c>
    </row>
    <row r="25" spans="1:16" s="333" customFormat="1" ht="18" customHeight="1">
      <c r="A25" s="358" t="s">
        <v>80</v>
      </c>
      <c r="B25" s="315" t="s">
        <v>81</v>
      </c>
      <c r="C25" s="358" t="s">
        <v>624</v>
      </c>
      <c r="D25" s="330" t="s">
        <v>625</v>
      </c>
      <c r="E25" s="330" t="s">
        <v>623</v>
      </c>
      <c r="F25" s="331">
        <v>70</v>
      </c>
      <c r="G25" s="332">
        <v>3000</v>
      </c>
      <c r="H25" s="332">
        <f>F25*G25</f>
        <v>210000</v>
      </c>
      <c r="I25" s="332">
        <v>15000</v>
      </c>
      <c r="J25" s="332">
        <f>F25*I25</f>
        <v>1050000</v>
      </c>
      <c r="K25" s="332">
        <f>G25+I25</f>
        <v>18000</v>
      </c>
      <c r="L25" s="392">
        <f>F25*K25</f>
        <v>1260000</v>
      </c>
      <c r="M25" s="285"/>
      <c r="P25" s="334"/>
    </row>
    <row r="26" spans="1:16" s="333" customFormat="1" ht="18" customHeight="1">
      <c r="A26" s="158" t="s">
        <v>626</v>
      </c>
      <c r="B26" s="315" t="s">
        <v>627</v>
      </c>
      <c r="C26" s="158" t="s">
        <v>628</v>
      </c>
      <c r="D26" s="330"/>
      <c r="E26" s="330" t="s">
        <v>629</v>
      </c>
      <c r="F26" s="331">
        <v>0</v>
      </c>
      <c r="G26" s="332">
        <v>0</v>
      </c>
      <c r="H26" s="332">
        <f t="shared" ref="H26" si="8">F26*G26</f>
        <v>0</v>
      </c>
      <c r="I26" s="332">
        <v>0</v>
      </c>
      <c r="J26" s="332">
        <f t="shared" ref="J26" si="9">F26*I26</f>
        <v>0</v>
      </c>
      <c r="K26" s="332">
        <f t="shared" ref="K26" si="10">G26+I26</f>
        <v>0</v>
      </c>
      <c r="L26" s="332">
        <f t="shared" ref="L26" si="11">F26*K26</f>
        <v>0</v>
      </c>
      <c r="M26" s="285"/>
    </row>
    <row r="27" spans="1:16" s="333" customFormat="1" ht="18" customHeight="1">
      <c r="A27" s="158" t="s">
        <v>82</v>
      </c>
      <c r="B27" s="315" t="s">
        <v>79</v>
      </c>
      <c r="C27" s="358" t="s">
        <v>159</v>
      </c>
      <c r="D27" s="330"/>
      <c r="E27" s="330" t="s">
        <v>74</v>
      </c>
      <c r="F27" s="331">
        <v>0</v>
      </c>
      <c r="G27" s="332">
        <v>0</v>
      </c>
      <c r="H27" s="332">
        <f t="shared" si="0"/>
        <v>0</v>
      </c>
      <c r="I27" s="332">
        <v>0</v>
      </c>
      <c r="J27" s="332">
        <f t="shared" si="1"/>
        <v>0</v>
      </c>
      <c r="K27" s="332">
        <f t="shared" si="2"/>
        <v>0</v>
      </c>
      <c r="L27" s="332">
        <f t="shared" si="3"/>
        <v>0</v>
      </c>
      <c r="M27" s="285"/>
      <c r="P27" s="334"/>
    </row>
    <row r="28" spans="1:16" s="333" customFormat="1" ht="18" customHeight="1">
      <c r="A28" s="158" t="s">
        <v>78</v>
      </c>
      <c r="B28" s="315" t="s">
        <v>78</v>
      </c>
      <c r="C28" s="358" t="s">
        <v>159</v>
      </c>
      <c r="D28" s="330"/>
      <c r="E28" s="330" t="s">
        <v>74</v>
      </c>
      <c r="F28" s="331">
        <v>0</v>
      </c>
      <c r="G28" s="332">
        <v>0</v>
      </c>
      <c r="H28" s="332">
        <f>F28*G28</f>
        <v>0</v>
      </c>
      <c r="I28" s="332">
        <v>0</v>
      </c>
      <c r="J28" s="332">
        <f>F28*I28</f>
        <v>0</v>
      </c>
      <c r="K28" s="332">
        <f>G28+I28</f>
        <v>0</v>
      </c>
      <c r="L28" s="332">
        <f>F28*K28</f>
        <v>0</v>
      </c>
      <c r="M28" s="285"/>
      <c r="P28" s="334"/>
    </row>
    <row r="29" spans="1:16" s="333" customFormat="1" ht="18" customHeight="1">
      <c r="A29" s="158" t="s">
        <v>222</v>
      </c>
      <c r="B29" s="315" t="s">
        <v>221</v>
      </c>
      <c r="C29" s="358" t="s">
        <v>159</v>
      </c>
      <c r="D29" s="330"/>
      <c r="E29" s="330" t="s">
        <v>223</v>
      </c>
      <c r="F29" s="331">
        <v>0</v>
      </c>
      <c r="G29" s="332">
        <v>0</v>
      </c>
      <c r="H29" s="332">
        <f>F29*G29</f>
        <v>0</v>
      </c>
      <c r="I29" s="332">
        <v>0</v>
      </c>
      <c r="J29" s="332">
        <f>F29*I29</f>
        <v>0</v>
      </c>
      <c r="K29" s="332">
        <f>G29+I29</f>
        <v>0</v>
      </c>
      <c r="L29" s="332">
        <f>F29*K29</f>
        <v>0</v>
      </c>
      <c r="M29" s="285"/>
      <c r="P29" s="334"/>
    </row>
    <row r="30" spans="1:16" s="333" customFormat="1" ht="18" hidden="1" customHeight="1">
      <c r="A30" s="158" t="s">
        <v>237</v>
      </c>
      <c r="B30" s="315" t="s">
        <v>236</v>
      </c>
      <c r="C30" s="358" t="s">
        <v>159</v>
      </c>
      <c r="D30" s="330"/>
      <c r="E30" s="330" t="s">
        <v>223</v>
      </c>
      <c r="F30" s="331">
        <v>0</v>
      </c>
      <c r="G30" s="332">
        <v>0</v>
      </c>
      <c r="H30" s="332">
        <f>F30*G30</f>
        <v>0</v>
      </c>
      <c r="I30" s="332">
        <v>1</v>
      </c>
      <c r="J30" s="332">
        <f>F30*I30</f>
        <v>0</v>
      </c>
      <c r="K30" s="332">
        <f>G30+I30</f>
        <v>1</v>
      </c>
      <c r="L30" s="332">
        <f>F30*K30</f>
        <v>0</v>
      </c>
      <c r="M30" s="289"/>
      <c r="O30" s="333">
        <f>(155*0.05)</f>
        <v>7.75</v>
      </c>
      <c r="P30" s="334"/>
    </row>
    <row r="31" spans="1:16" s="333" customFormat="1" ht="18" hidden="1" customHeight="1">
      <c r="A31" s="158" t="s">
        <v>424</v>
      </c>
      <c r="B31" s="315" t="s">
        <v>423</v>
      </c>
      <c r="C31" s="358" t="s">
        <v>425</v>
      </c>
      <c r="D31" s="330"/>
      <c r="E31" s="330" t="s">
        <v>386</v>
      </c>
      <c r="F31" s="331">
        <v>0</v>
      </c>
      <c r="G31" s="332">
        <v>0</v>
      </c>
      <c r="H31" s="332">
        <f>F31*G31</f>
        <v>0</v>
      </c>
      <c r="I31" s="332">
        <v>0</v>
      </c>
      <c r="J31" s="332">
        <f>F31*I31</f>
        <v>0</v>
      </c>
      <c r="K31" s="332">
        <f>G31+I31</f>
        <v>0</v>
      </c>
      <c r="L31" s="332">
        <f>F31*K31</f>
        <v>0</v>
      </c>
      <c r="M31" s="289"/>
      <c r="P31" s="334"/>
    </row>
    <row r="32" spans="1:16" s="226" customFormat="1" ht="18" customHeight="1">
      <c r="A32" s="9"/>
      <c r="B32" s="10"/>
      <c r="C32" s="9"/>
      <c r="D32" s="208"/>
      <c r="E32" s="208"/>
      <c r="F32" s="208"/>
      <c r="G32" s="210"/>
      <c r="H32" s="210"/>
      <c r="I32" s="210"/>
      <c r="J32" s="210"/>
      <c r="K32" s="210"/>
      <c r="L32" s="210"/>
      <c r="M32" s="176"/>
      <c r="P32" s="227"/>
    </row>
    <row r="33" spans="1:16" s="237" customFormat="1" ht="18" customHeight="1">
      <c r="A33" s="27"/>
      <c r="B33" s="28" t="s">
        <v>33</v>
      </c>
      <c r="C33" s="27"/>
      <c r="D33" s="235"/>
      <c r="E33" s="235"/>
      <c r="F33" s="235"/>
      <c r="G33" s="236"/>
      <c r="H33" s="236">
        <f>SUM(H16:H32)</f>
        <v>4904000</v>
      </c>
      <c r="I33" s="236"/>
      <c r="J33" s="236">
        <f>SUM(J16:J32)</f>
        <v>5026000</v>
      </c>
      <c r="K33" s="236"/>
      <c r="L33" s="236">
        <f>SUM(L16:L24)</f>
        <v>8670000</v>
      </c>
      <c r="M33" s="176"/>
      <c r="P33" s="238"/>
    </row>
    <row r="34" spans="1:16" s="226" customFormat="1" ht="18" customHeight="1">
      <c r="A34" s="9"/>
      <c r="B34" s="10"/>
      <c r="C34" s="9"/>
      <c r="D34" s="208"/>
      <c r="E34" s="208"/>
      <c r="F34" s="208"/>
      <c r="G34" s="210"/>
      <c r="H34" s="210"/>
      <c r="I34" s="210"/>
      <c r="J34" s="239"/>
      <c r="K34" s="210"/>
      <c r="L34" s="210"/>
      <c r="M34" s="176"/>
      <c r="P34" s="227"/>
    </row>
    <row r="35" spans="1:16" s="22" customFormat="1" ht="18" customHeight="1">
      <c r="A35" s="221" t="s">
        <v>26</v>
      </c>
      <c r="B35" s="222" t="s">
        <v>99</v>
      </c>
      <c r="C35" s="221"/>
      <c r="D35" s="21"/>
      <c r="E35" s="21"/>
      <c r="F35" s="35"/>
      <c r="G35" s="36"/>
      <c r="H35" s="36"/>
      <c r="I35" s="36"/>
      <c r="J35" s="36"/>
      <c r="K35" s="36"/>
      <c r="L35" s="37"/>
      <c r="M35" s="259"/>
      <c r="O35" s="223"/>
      <c r="P35" s="224"/>
    </row>
    <row r="36" spans="1:16" ht="18" customHeight="1">
      <c r="A36" s="38" t="s">
        <v>15</v>
      </c>
      <c r="B36" s="10" t="s">
        <v>525</v>
      </c>
      <c r="C36" s="9"/>
      <c r="D36" s="4"/>
      <c r="E36" s="4" t="s">
        <v>34</v>
      </c>
      <c r="F36" s="23">
        <v>1</v>
      </c>
      <c r="G36" s="24"/>
      <c r="H36" s="24">
        <f>H69</f>
        <v>3229800</v>
      </c>
      <c r="I36" s="24"/>
      <c r="J36" s="24">
        <f>J69</f>
        <v>6007700</v>
      </c>
      <c r="K36" s="24"/>
      <c r="L36" s="25">
        <f>L69</f>
        <v>9237500</v>
      </c>
      <c r="M36" s="176"/>
      <c r="O36" s="207">
        <f t="shared" ref="O36:O45" si="12">H36+J36</f>
        <v>9237500</v>
      </c>
    </row>
    <row r="37" spans="1:16" ht="18" customHeight="1">
      <c r="A37" s="38" t="s">
        <v>16</v>
      </c>
      <c r="B37" s="10" t="s">
        <v>524</v>
      </c>
      <c r="C37" s="9"/>
      <c r="D37" s="4"/>
      <c r="E37" s="4" t="s">
        <v>34</v>
      </c>
      <c r="F37" s="23">
        <v>1</v>
      </c>
      <c r="G37" s="24"/>
      <c r="H37" s="24">
        <f>H84</f>
        <v>2490000</v>
      </c>
      <c r="I37" s="24"/>
      <c r="J37" s="24">
        <f>J84</f>
        <v>3150000</v>
      </c>
      <c r="K37" s="24"/>
      <c r="L37" s="25">
        <f>L84</f>
        <v>5640000</v>
      </c>
      <c r="M37" s="176"/>
      <c r="O37" s="207"/>
    </row>
    <row r="38" spans="1:16" ht="18" customHeight="1">
      <c r="A38" s="38" t="s">
        <v>17</v>
      </c>
      <c r="B38" s="10" t="str">
        <f>B86</f>
        <v>필름 공사</v>
      </c>
      <c r="C38" s="9"/>
      <c r="D38" s="4"/>
      <c r="E38" s="4" t="s">
        <v>34</v>
      </c>
      <c r="F38" s="23">
        <v>1</v>
      </c>
      <c r="G38" s="24"/>
      <c r="H38" s="24">
        <f>H101</f>
        <v>3315000</v>
      </c>
      <c r="I38" s="24"/>
      <c r="J38" s="24">
        <f>J101</f>
        <v>5522500</v>
      </c>
      <c r="K38" s="24"/>
      <c r="L38" s="25">
        <f>L101</f>
        <v>8837500</v>
      </c>
      <c r="M38" s="176"/>
      <c r="O38" s="207">
        <f t="shared" si="12"/>
        <v>8837500</v>
      </c>
    </row>
    <row r="39" spans="1:16" ht="18" customHeight="1">
      <c r="A39" s="38" t="s">
        <v>18</v>
      </c>
      <c r="B39" s="10" t="str">
        <f>B103</f>
        <v>가구 공사</v>
      </c>
      <c r="C39" s="9"/>
      <c r="D39" s="4"/>
      <c r="E39" s="4" t="s">
        <v>34</v>
      </c>
      <c r="F39" s="23">
        <v>1</v>
      </c>
      <c r="G39" s="24"/>
      <c r="H39" s="24">
        <f>H193</f>
        <v>33097000</v>
      </c>
      <c r="I39" s="24"/>
      <c r="J39" s="24">
        <f>J193</f>
        <v>8450000</v>
      </c>
      <c r="K39" s="24"/>
      <c r="L39" s="25">
        <f>L193</f>
        <v>41307000</v>
      </c>
      <c r="M39" s="176"/>
      <c r="O39" s="207">
        <f t="shared" si="12"/>
        <v>41547000</v>
      </c>
    </row>
    <row r="40" spans="1:16" ht="18" customHeight="1">
      <c r="A40" s="38" t="s">
        <v>19</v>
      </c>
      <c r="B40" s="10" t="str">
        <f>B194</f>
        <v>전기 공사</v>
      </c>
      <c r="C40" s="9"/>
      <c r="D40" s="4" t="s">
        <v>380</v>
      </c>
      <c r="E40" s="4" t="s">
        <v>34</v>
      </c>
      <c r="F40" s="23">
        <v>1</v>
      </c>
      <c r="G40" s="24"/>
      <c r="H40" s="24">
        <f>H215</f>
        <v>9070000</v>
      </c>
      <c r="I40" s="24"/>
      <c r="J40" s="24">
        <f>J215</f>
        <v>5459000</v>
      </c>
      <c r="K40" s="24"/>
      <c r="L40" s="25">
        <f>L215</f>
        <v>14529000</v>
      </c>
      <c r="M40" s="176"/>
      <c r="O40" s="207">
        <f t="shared" si="12"/>
        <v>14529000</v>
      </c>
    </row>
    <row r="41" spans="1:16" s="52" customFormat="1" ht="18" customHeight="1">
      <c r="A41" s="38" t="s">
        <v>20</v>
      </c>
      <c r="B41" s="47" t="str">
        <f>B217</f>
        <v>화장실 공사</v>
      </c>
      <c r="C41" s="46"/>
      <c r="D41" s="48"/>
      <c r="E41" s="48" t="s">
        <v>34</v>
      </c>
      <c r="F41" s="240">
        <v>1</v>
      </c>
      <c r="G41" s="50"/>
      <c r="H41" s="50">
        <f>H265</f>
        <v>7662300</v>
      </c>
      <c r="I41" s="50"/>
      <c r="J41" s="50">
        <f>J265</f>
        <v>3440000</v>
      </c>
      <c r="K41" s="50"/>
      <c r="L41" s="51">
        <f>L265</f>
        <v>11065300</v>
      </c>
      <c r="M41" s="175"/>
      <c r="O41" s="241">
        <f t="shared" si="12"/>
        <v>11102300</v>
      </c>
      <c r="P41" s="170"/>
    </row>
    <row r="42" spans="1:16" s="52" customFormat="1" ht="18" customHeight="1">
      <c r="A42" s="38" t="s">
        <v>519</v>
      </c>
      <c r="B42" s="47" t="str">
        <f>B267</f>
        <v>타일 공사</v>
      </c>
      <c r="C42" s="46"/>
      <c r="D42" s="48"/>
      <c r="E42" s="48" t="s">
        <v>34</v>
      </c>
      <c r="F42" s="240">
        <v>1</v>
      </c>
      <c r="G42" s="50"/>
      <c r="H42" s="50">
        <f>H314</f>
        <v>4629000</v>
      </c>
      <c r="I42" s="50"/>
      <c r="J42" s="50">
        <f>J314</f>
        <v>7440000</v>
      </c>
      <c r="K42" s="50"/>
      <c r="L42" s="51">
        <f>L314</f>
        <v>12069000</v>
      </c>
      <c r="M42" s="175"/>
      <c r="O42" s="241">
        <f t="shared" si="12"/>
        <v>12069000</v>
      </c>
      <c r="P42" s="170"/>
    </row>
    <row r="43" spans="1:16" ht="18" customHeight="1">
      <c r="A43" s="38" t="s">
        <v>521</v>
      </c>
      <c r="B43" s="10" t="str">
        <f>B316</f>
        <v>도배 공사</v>
      </c>
      <c r="C43" s="9"/>
      <c r="D43" s="4"/>
      <c r="E43" s="4" t="s">
        <v>34</v>
      </c>
      <c r="F43" s="23">
        <v>1</v>
      </c>
      <c r="G43" s="24"/>
      <c r="H43" s="24">
        <f>H323</f>
        <v>3118500</v>
      </c>
      <c r="I43" s="24"/>
      <c r="J43" s="24">
        <f>J323</f>
        <v>4860000</v>
      </c>
      <c r="K43" s="24"/>
      <c r="L43" s="25">
        <f>L323</f>
        <v>7978500</v>
      </c>
      <c r="M43" s="176"/>
      <c r="O43" s="207">
        <f t="shared" si="12"/>
        <v>7978500</v>
      </c>
    </row>
    <row r="44" spans="1:16" ht="18" customHeight="1">
      <c r="A44" s="38" t="s">
        <v>21</v>
      </c>
      <c r="B44" s="10" t="str">
        <f>B325</f>
        <v>도장 공사</v>
      </c>
      <c r="C44" s="9"/>
      <c r="D44" s="4"/>
      <c r="E44" s="4" t="s">
        <v>34</v>
      </c>
      <c r="F44" s="23">
        <v>1</v>
      </c>
      <c r="G44" s="24"/>
      <c r="H44" s="24">
        <f>H339</f>
        <v>10650000</v>
      </c>
      <c r="I44" s="24"/>
      <c r="J44" s="24">
        <f>J339</f>
        <v>8550000</v>
      </c>
      <c r="K44" s="24"/>
      <c r="L44" s="25">
        <f>L339</f>
        <v>19200000</v>
      </c>
      <c r="M44" s="176"/>
      <c r="O44" s="207">
        <f t="shared" si="12"/>
        <v>19200000</v>
      </c>
    </row>
    <row r="45" spans="1:16" ht="18" customHeight="1">
      <c r="A45" s="38" t="s">
        <v>27</v>
      </c>
      <c r="B45" s="10" t="str">
        <f>B341</f>
        <v>마루 공사</v>
      </c>
      <c r="C45" s="9"/>
      <c r="D45" s="4"/>
      <c r="E45" s="4" t="s">
        <v>34</v>
      </c>
      <c r="F45" s="23">
        <v>1</v>
      </c>
      <c r="G45" s="24"/>
      <c r="H45" s="24">
        <f>H351</f>
        <v>10600000</v>
      </c>
      <c r="I45" s="24"/>
      <c r="J45" s="24">
        <f>J351</f>
        <v>1325000</v>
      </c>
      <c r="K45" s="24"/>
      <c r="L45" s="25">
        <f>L351</f>
        <v>11925000</v>
      </c>
      <c r="M45" s="176"/>
      <c r="O45" s="207">
        <f t="shared" si="12"/>
        <v>11925000</v>
      </c>
    </row>
    <row r="46" spans="1:16" ht="18" customHeight="1">
      <c r="A46" s="38" t="s">
        <v>28</v>
      </c>
      <c r="B46" s="10" t="str">
        <f>B353</f>
        <v>목공사</v>
      </c>
      <c r="C46" s="9"/>
      <c r="D46" s="4"/>
      <c r="E46" s="4" t="s">
        <v>34</v>
      </c>
      <c r="F46" s="23">
        <v>1</v>
      </c>
      <c r="G46" s="24"/>
      <c r="H46" s="24">
        <f>H423</f>
        <v>18526000</v>
      </c>
      <c r="I46" s="24"/>
      <c r="J46" s="24">
        <f>J423</f>
        <v>22800000</v>
      </c>
      <c r="K46" s="24"/>
      <c r="L46" s="25">
        <f>L423</f>
        <v>41326000</v>
      </c>
      <c r="M46" s="176"/>
      <c r="O46" s="207">
        <f>H46+J46</f>
        <v>41326000</v>
      </c>
    </row>
    <row r="47" spans="1:16" ht="18" customHeight="1">
      <c r="A47" s="38"/>
      <c r="B47" s="10"/>
      <c r="C47" s="9"/>
      <c r="D47" s="4"/>
      <c r="E47" s="4"/>
      <c r="F47" s="26"/>
      <c r="G47" s="24"/>
      <c r="H47" s="24"/>
      <c r="I47" s="24"/>
      <c r="J47" s="24"/>
      <c r="K47" s="24"/>
      <c r="L47" s="25"/>
      <c r="M47" s="176"/>
    </row>
    <row r="48" spans="1:16" s="33" customFormat="1" ht="18" customHeight="1">
      <c r="A48" s="27"/>
      <c r="B48" s="28" t="s">
        <v>33</v>
      </c>
      <c r="C48" s="27"/>
      <c r="D48" s="29"/>
      <c r="E48" s="29"/>
      <c r="F48" s="30"/>
      <c r="G48" s="31"/>
      <c r="H48" s="31">
        <f>SUM(H36:H47)</f>
        <v>106387600</v>
      </c>
      <c r="I48" s="31"/>
      <c r="J48" s="31">
        <f>SUM(J36:J47)</f>
        <v>77004200</v>
      </c>
      <c r="K48" s="31"/>
      <c r="L48" s="32">
        <f>SUM(L36:L47)</f>
        <v>183114800</v>
      </c>
      <c r="M48" s="260"/>
      <c r="O48" s="164"/>
      <c r="P48" s="169"/>
    </row>
    <row r="49" spans="1:17" ht="18" customHeight="1">
      <c r="A49" s="9"/>
      <c r="B49" s="10"/>
      <c r="C49" s="9"/>
      <c r="D49" s="4"/>
      <c r="E49" s="4"/>
      <c r="F49" s="26"/>
      <c r="G49" s="24"/>
      <c r="H49" s="24"/>
      <c r="I49" s="24"/>
      <c r="J49" s="24"/>
      <c r="K49" s="24"/>
      <c r="L49" s="25"/>
      <c r="M49" s="176"/>
    </row>
    <row r="50" spans="1:17" ht="18" customHeight="1">
      <c r="A50" s="9"/>
      <c r="B50" s="10"/>
      <c r="C50" s="9"/>
      <c r="D50" s="4"/>
      <c r="E50" s="4"/>
      <c r="F50" s="26"/>
      <c r="G50" s="24"/>
      <c r="H50" s="24"/>
      <c r="I50" s="24"/>
      <c r="J50" s="34"/>
      <c r="K50" s="24"/>
      <c r="L50" s="25"/>
      <c r="M50" s="176"/>
    </row>
    <row r="51" spans="1:17" s="17" customFormat="1" ht="18" customHeight="1">
      <c r="A51" s="39" t="s">
        <v>29</v>
      </c>
      <c r="B51" s="40" t="s">
        <v>531</v>
      </c>
      <c r="C51" s="362"/>
      <c r="D51" s="13"/>
      <c r="E51" s="13"/>
      <c r="F51" s="41"/>
      <c r="G51" s="42"/>
      <c r="H51" s="42"/>
      <c r="I51" s="42"/>
      <c r="J51" s="42"/>
      <c r="K51" s="42"/>
      <c r="L51" s="43"/>
      <c r="M51" s="255"/>
      <c r="N51" s="17" t="s">
        <v>156</v>
      </c>
      <c r="O51" s="163"/>
      <c r="P51" s="168"/>
    </row>
    <row r="52" spans="1:17" s="341" customFormat="1" ht="18" customHeight="1">
      <c r="A52" s="9" t="s">
        <v>62</v>
      </c>
      <c r="B52" s="339" t="s">
        <v>90</v>
      </c>
      <c r="C52" s="337" t="s">
        <v>255</v>
      </c>
      <c r="D52" s="328"/>
      <c r="E52" s="328" t="s">
        <v>67</v>
      </c>
      <c r="F52" s="344">
        <v>51</v>
      </c>
      <c r="G52" s="335">
        <v>8800</v>
      </c>
      <c r="H52" s="335">
        <f t="shared" ref="H52:H79" si="13">F52*G52</f>
        <v>448800</v>
      </c>
      <c r="I52" s="335">
        <v>18700</v>
      </c>
      <c r="J52" s="335">
        <f t="shared" ref="J52:J79" si="14">F52*I52</f>
        <v>953700</v>
      </c>
      <c r="K52" s="335">
        <f t="shared" ref="K52:K79" si="15">G52+I52</f>
        <v>27500</v>
      </c>
      <c r="L52" s="336">
        <f t="shared" ref="L52:L79" si="16">F52*K52</f>
        <v>1402500</v>
      </c>
      <c r="M52" s="275"/>
      <c r="N52" s="341">
        <v>1400000</v>
      </c>
      <c r="O52" s="342"/>
      <c r="P52" s="343"/>
    </row>
    <row r="53" spans="1:17" s="341" customFormat="1" ht="18" customHeight="1">
      <c r="A53" s="9" t="s">
        <v>62</v>
      </c>
      <c r="B53" s="339" t="s">
        <v>168</v>
      </c>
      <c r="C53" s="337" t="s">
        <v>224</v>
      </c>
      <c r="D53" s="328"/>
      <c r="E53" s="328" t="s">
        <v>67</v>
      </c>
      <c r="F53" s="344">
        <v>2</v>
      </c>
      <c r="G53" s="335">
        <v>15000</v>
      </c>
      <c r="H53" s="335">
        <f t="shared" si="13"/>
        <v>30000</v>
      </c>
      <c r="I53" s="335">
        <v>40000</v>
      </c>
      <c r="J53" s="335">
        <f t="shared" si="14"/>
        <v>80000</v>
      </c>
      <c r="K53" s="335">
        <f t="shared" si="15"/>
        <v>55000</v>
      </c>
      <c r="L53" s="336">
        <f t="shared" si="16"/>
        <v>110000</v>
      </c>
      <c r="M53" s="275"/>
      <c r="O53" s="342"/>
      <c r="P53" s="343"/>
      <c r="Q53" s="433"/>
    </row>
    <row r="54" spans="1:17" s="341" customFormat="1" ht="18" hidden="1" customHeight="1">
      <c r="A54" s="9" t="s">
        <v>478</v>
      </c>
      <c r="B54" s="339" t="s">
        <v>479</v>
      </c>
      <c r="C54" s="337" t="s">
        <v>480</v>
      </c>
      <c r="D54" s="328" t="s">
        <v>514</v>
      </c>
      <c r="E54" s="328" t="s">
        <v>481</v>
      </c>
      <c r="F54" s="344">
        <v>0</v>
      </c>
      <c r="G54" s="335">
        <v>20000</v>
      </c>
      <c r="H54" s="335">
        <f t="shared" si="13"/>
        <v>0</v>
      </c>
      <c r="I54" s="335">
        <v>50000</v>
      </c>
      <c r="J54" s="335">
        <f t="shared" si="14"/>
        <v>0</v>
      </c>
      <c r="K54" s="335">
        <f t="shared" si="15"/>
        <v>70000</v>
      </c>
      <c r="L54" s="336">
        <f t="shared" si="16"/>
        <v>0</v>
      </c>
      <c r="M54" s="275"/>
      <c r="O54" s="342"/>
      <c r="P54" s="343"/>
      <c r="Q54" s="434"/>
    </row>
    <row r="55" spans="1:17" s="341" customFormat="1" ht="18" customHeight="1">
      <c r="A55" s="9" t="s">
        <v>63</v>
      </c>
      <c r="B55" s="339" t="s">
        <v>87</v>
      </c>
      <c r="C55" s="337" t="s">
        <v>255</v>
      </c>
      <c r="D55" s="328"/>
      <c r="E55" s="328" t="s">
        <v>74</v>
      </c>
      <c r="F55" s="344">
        <v>2</v>
      </c>
      <c r="G55" s="335">
        <v>50000</v>
      </c>
      <c r="H55" s="335">
        <f t="shared" si="13"/>
        <v>100000</v>
      </c>
      <c r="I55" s="335">
        <v>600000</v>
      </c>
      <c r="J55" s="335">
        <f t="shared" si="14"/>
        <v>1200000</v>
      </c>
      <c r="K55" s="335">
        <f t="shared" si="15"/>
        <v>650000</v>
      </c>
      <c r="L55" s="336">
        <f t="shared" si="16"/>
        <v>1300000</v>
      </c>
      <c r="M55" s="275"/>
      <c r="O55" s="342"/>
      <c r="P55" s="343"/>
    </row>
    <row r="56" spans="1:17" s="276" customFormat="1" ht="18" customHeight="1">
      <c r="A56" s="345" t="s">
        <v>62</v>
      </c>
      <c r="B56" s="270" t="s">
        <v>219</v>
      </c>
      <c r="C56" s="345"/>
      <c r="D56" s="271"/>
      <c r="E56" s="271" t="s">
        <v>11</v>
      </c>
      <c r="F56" s="346">
        <v>35</v>
      </c>
      <c r="G56" s="273">
        <v>5000</v>
      </c>
      <c r="H56" s="273">
        <f t="shared" si="13"/>
        <v>175000</v>
      </c>
      <c r="I56" s="273">
        <v>6000</v>
      </c>
      <c r="J56" s="273">
        <f t="shared" si="14"/>
        <v>210000</v>
      </c>
      <c r="K56" s="273">
        <f t="shared" si="15"/>
        <v>11000</v>
      </c>
      <c r="L56" s="274">
        <f t="shared" si="16"/>
        <v>385000</v>
      </c>
      <c r="M56" s="275"/>
      <c r="O56" s="277"/>
      <c r="P56" s="278"/>
    </row>
    <row r="57" spans="1:17" s="389" customFormat="1" ht="18" customHeight="1">
      <c r="A57" s="357" t="s">
        <v>62</v>
      </c>
      <c r="B57" s="295" t="s">
        <v>638</v>
      </c>
      <c r="C57" s="357" t="s">
        <v>639</v>
      </c>
      <c r="D57" s="384" t="s">
        <v>640</v>
      </c>
      <c r="E57" s="384" t="s">
        <v>74</v>
      </c>
      <c r="F57" s="405">
        <v>1</v>
      </c>
      <c r="G57" s="386">
        <v>500000</v>
      </c>
      <c r="H57" s="386">
        <f t="shared" ref="H57" si="17">F57*G57</f>
        <v>500000</v>
      </c>
      <c r="I57" s="386">
        <v>800000</v>
      </c>
      <c r="J57" s="386">
        <f t="shared" ref="J57" si="18">F57*I57</f>
        <v>800000</v>
      </c>
      <c r="K57" s="386">
        <f t="shared" ref="K57" si="19">G57+I57</f>
        <v>1300000</v>
      </c>
      <c r="L57" s="387">
        <f t="shared" ref="L57" si="20">F57*K57</f>
        <v>1300000</v>
      </c>
      <c r="M57" s="291"/>
      <c r="O57" s="390"/>
      <c r="P57" s="391"/>
    </row>
    <row r="58" spans="1:17" s="341" customFormat="1" ht="18" customHeight="1">
      <c r="A58" s="9" t="s">
        <v>62</v>
      </c>
      <c r="B58" s="339" t="s">
        <v>88</v>
      </c>
      <c r="C58" s="337"/>
      <c r="D58" s="328"/>
      <c r="E58" s="328" t="s">
        <v>11</v>
      </c>
      <c r="F58" s="344">
        <v>197</v>
      </c>
      <c r="G58" s="335">
        <v>8000</v>
      </c>
      <c r="H58" s="335">
        <f t="shared" si="13"/>
        <v>1576000</v>
      </c>
      <c r="I58" s="335">
        <v>12000</v>
      </c>
      <c r="J58" s="335">
        <f t="shared" si="14"/>
        <v>2364000</v>
      </c>
      <c r="K58" s="335">
        <f t="shared" si="15"/>
        <v>20000</v>
      </c>
      <c r="L58" s="336">
        <f t="shared" si="16"/>
        <v>3940000</v>
      </c>
      <c r="M58" s="275"/>
      <c r="O58" s="342"/>
      <c r="P58" s="343"/>
    </row>
    <row r="59" spans="1:17" s="341" customFormat="1" ht="18" customHeight="1">
      <c r="A59" s="9" t="s">
        <v>62</v>
      </c>
      <c r="B59" s="339" t="s">
        <v>699</v>
      </c>
      <c r="C59" s="337" t="s">
        <v>376</v>
      </c>
      <c r="D59" s="328"/>
      <c r="E59" s="328" t="s">
        <v>74</v>
      </c>
      <c r="F59" s="344">
        <v>1</v>
      </c>
      <c r="G59" s="335">
        <v>400000</v>
      </c>
      <c r="H59" s="335">
        <f t="shared" ref="H59" si="21">F59*G59</f>
        <v>400000</v>
      </c>
      <c r="I59" s="335">
        <v>200000</v>
      </c>
      <c r="J59" s="335">
        <f t="shared" ref="J59" si="22">F59*I59</f>
        <v>200000</v>
      </c>
      <c r="K59" s="335">
        <f t="shared" ref="K59" si="23">G59+I59</f>
        <v>600000</v>
      </c>
      <c r="L59" s="336">
        <f t="shared" ref="L59" si="24">F59*K59</f>
        <v>600000</v>
      </c>
      <c r="M59" s="275"/>
      <c r="O59" s="342"/>
      <c r="P59" s="343"/>
      <c r="Q59" s="374"/>
    </row>
    <row r="60" spans="1:17" s="341" customFormat="1" ht="18" customHeight="1">
      <c r="A60" s="9" t="s">
        <v>62</v>
      </c>
      <c r="B60" s="339" t="s">
        <v>231</v>
      </c>
      <c r="C60" s="337"/>
      <c r="D60" s="328"/>
      <c r="E60" s="328" t="s">
        <v>230</v>
      </c>
      <c r="F60" s="344">
        <v>1</v>
      </c>
      <c r="G60" s="335"/>
      <c r="H60" s="335">
        <f t="shared" si="13"/>
        <v>0</v>
      </c>
      <c r="I60" s="335">
        <v>200000</v>
      </c>
      <c r="J60" s="335">
        <f t="shared" si="14"/>
        <v>200000</v>
      </c>
      <c r="K60" s="335">
        <f t="shared" si="15"/>
        <v>200000</v>
      </c>
      <c r="L60" s="336">
        <f t="shared" si="16"/>
        <v>200000</v>
      </c>
      <c r="M60" s="275"/>
      <c r="O60" s="342"/>
      <c r="P60" s="343"/>
      <c r="Q60" s="374"/>
    </row>
    <row r="61" spans="1:17" s="341" customFormat="1" ht="18" hidden="1" customHeight="1">
      <c r="A61" s="9" t="s">
        <v>475</v>
      </c>
      <c r="B61" s="339" t="s">
        <v>476</v>
      </c>
      <c r="C61" s="337" t="s">
        <v>117</v>
      </c>
      <c r="D61" s="328"/>
      <c r="E61" s="328" t="s">
        <v>477</v>
      </c>
      <c r="F61" s="344">
        <v>0</v>
      </c>
      <c r="G61" s="335">
        <v>15000</v>
      </c>
      <c r="H61" s="335">
        <f t="shared" si="13"/>
        <v>0</v>
      </c>
      <c r="I61" s="335">
        <v>60000</v>
      </c>
      <c r="J61" s="335">
        <f t="shared" si="14"/>
        <v>0</v>
      </c>
      <c r="K61" s="335">
        <f t="shared" ref="K61" si="25">G61+I61</f>
        <v>75000</v>
      </c>
      <c r="L61" s="336">
        <f t="shared" ref="L61" si="26">F61*K61</f>
        <v>0</v>
      </c>
      <c r="M61" s="275"/>
      <c r="O61" s="342"/>
      <c r="P61" s="343"/>
    </row>
    <row r="62" spans="1:17" s="341" customFormat="1" ht="18" hidden="1" customHeight="1">
      <c r="A62" s="337" t="s">
        <v>397</v>
      </c>
      <c r="B62" s="339" t="s">
        <v>398</v>
      </c>
      <c r="C62" s="337"/>
      <c r="D62" s="328"/>
      <c r="E62" s="328" t="s">
        <v>391</v>
      </c>
      <c r="F62" s="344">
        <v>0</v>
      </c>
      <c r="G62" s="335"/>
      <c r="H62" s="335">
        <f t="shared" si="13"/>
        <v>0</v>
      </c>
      <c r="I62" s="335"/>
      <c r="J62" s="335"/>
      <c r="K62" s="335"/>
      <c r="L62" s="336"/>
      <c r="M62" s="275"/>
      <c r="O62" s="342"/>
      <c r="P62" s="343"/>
    </row>
    <row r="63" spans="1:17" s="341" customFormat="1" ht="18" hidden="1" customHeight="1">
      <c r="A63" s="9" t="s">
        <v>93</v>
      </c>
      <c r="B63" s="339" t="s">
        <v>89</v>
      </c>
      <c r="C63" s="337"/>
      <c r="D63" s="328"/>
      <c r="E63" s="328" t="s">
        <v>295</v>
      </c>
      <c r="F63" s="344">
        <v>0</v>
      </c>
      <c r="G63" s="335">
        <v>300000</v>
      </c>
      <c r="H63" s="335">
        <f t="shared" si="13"/>
        <v>0</v>
      </c>
      <c r="I63" s="335">
        <v>500000</v>
      </c>
      <c r="J63" s="335">
        <f t="shared" si="14"/>
        <v>0</v>
      </c>
      <c r="K63" s="335">
        <f t="shared" si="15"/>
        <v>800000</v>
      </c>
      <c r="L63" s="336">
        <f t="shared" si="16"/>
        <v>0</v>
      </c>
      <c r="M63" s="275"/>
      <c r="O63" s="342"/>
      <c r="P63" s="343"/>
    </row>
    <row r="64" spans="1:17" s="341" customFormat="1" ht="18" hidden="1" customHeight="1">
      <c r="A64" s="9" t="s">
        <v>93</v>
      </c>
      <c r="B64" s="339" t="s">
        <v>287</v>
      </c>
      <c r="C64" s="337" t="s">
        <v>296</v>
      </c>
      <c r="D64" s="328"/>
      <c r="E64" s="328" t="s">
        <v>289</v>
      </c>
      <c r="F64" s="344">
        <v>0</v>
      </c>
      <c r="G64" s="335">
        <f>520000*1.1</f>
        <v>572000</v>
      </c>
      <c r="H64" s="335">
        <f t="shared" si="13"/>
        <v>0</v>
      </c>
      <c r="I64" s="335">
        <v>450000</v>
      </c>
      <c r="J64" s="335">
        <f t="shared" si="14"/>
        <v>0</v>
      </c>
      <c r="K64" s="335">
        <f t="shared" si="15"/>
        <v>1022000</v>
      </c>
      <c r="L64" s="336">
        <f t="shared" si="16"/>
        <v>0</v>
      </c>
      <c r="M64" s="275"/>
      <c r="O64" s="342" t="s">
        <v>297</v>
      </c>
      <c r="P64" s="343"/>
    </row>
    <row r="65" spans="1:17" s="341" customFormat="1" ht="18" hidden="1" customHeight="1">
      <c r="A65" s="9" t="s">
        <v>93</v>
      </c>
      <c r="B65" s="339" t="s">
        <v>288</v>
      </c>
      <c r="C65" s="337"/>
      <c r="D65" s="328"/>
      <c r="E65" s="328" t="s">
        <v>289</v>
      </c>
      <c r="F65" s="344">
        <v>0</v>
      </c>
      <c r="G65" s="335">
        <v>0</v>
      </c>
      <c r="H65" s="335">
        <f t="shared" ref="H65:H77" si="27">F65*G65</f>
        <v>0</v>
      </c>
      <c r="I65" s="335">
        <v>0</v>
      </c>
      <c r="J65" s="335">
        <f>F65*I65</f>
        <v>0</v>
      </c>
      <c r="K65" s="335">
        <f>G65+I65</f>
        <v>0</v>
      </c>
      <c r="L65" s="336">
        <f>F65*K65</f>
        <v>0</v>
      </c>
      <c r="M65" s="275"/>
      <c r="O65" s="342" t="s">
        <v>298</v>
      </c>
      <c r="P65" s="343"/>
    </row>
    <row r="66" spans="1:17" s="341" customFormat="1" ht="18" hidden="1" customHeight="1">
      <c r="A66" s="9" t="s">
        <v>290</v>
      </c>
      <c r="B66" s="339" t="s">
        <v>292</v>
      </c>
      <c r="C66" s="337" t="s">
        <v>296</v>
      </c>
      <c r="D66" s="328"/>
      <c r="E66" s="328" t="s">
        <v>289</v>
      </c>
      <c r="F66" s="344">
        <v>0</v>
      </c>
      <c r="G66" s="335">
        <v>0</v>
      </c>
      <c r="H66" s="335">
        <f t="shared" si="27"/>
        <v>0</v>
      </c>
      <c r="I66" s="335">
        <v>150000</v>
      </c>
      <c r="J66" s="335">
        <f>F66*I66</f>
        <v>0</v>
      </c>
      <c r="K66" s="335">
        <f>G66+I66</f>
        <v>150000</v>
      </c>
      <c r="L66" s="336">
        <f>F66*K66</f>
        <v>0</v>
      </c>
      <c r="M66" s="275"/>
      <c r="O66" s="342"/>
      <c r="P66" s="343"/>
    </row>
    <row r="67" spans="1:17" s="341" customFormat="1" ht="18" hidden="1" customHeight="1">
      <c r="A67" s="9" t="s">
        <v>291</v>
      </c>
      <c r="B67" s="339" t="s">
        <v>293</v>
      </c>
      <c r="C67" s="337" t="s">
        <v>300</v>
      </c>
      <c r="D67" s="328"/>
      <c r="E67" s="328" t="s">
        <v>294</v>
      </c>
      <c r="F67" s="344">
        <v>0</v>
      </c>
      <c r="G67" s="335">
        <f>74000*1.1</f>
        <v>81400</v>
      </c>
      <c r="H67" s="335">
        <f t="shared" si="27"/>
        <v>0</v>
      </c>
      <c r="I67" s="335">
        <v>110000</v>
      </c>
      <c r="J67" s="335">
        <f>F67*I67</f>
        <v>0</v>
      </c>
      <c r="K67" s="335">
        <f>G67+I67</f>
        <v>191400</v>
      </c>
      <c r="L67" s="336">
        <f>F67*K67</f>
        <v>0</v>
      </c>
      <c r="M67" s="275"/>
      <c r="O67" s="342"/>
      <c r="P67" s="343"/>
    </row>
    <row r="68" spans="1:17" s="341" customFormat="1" ht="18" customHeight="1">
      <c r="A68" s="9"/>
      <c r="B68" s="339"/>
      <c r="C68" s="337"/>
      <c r="D68" s="328"/>
      <c r="E68" s="328"/>
      <c r="F68" s="344"/>
      <c r="G68" s="335"/>
      <c r="H68" s="335"/>
      <c r="I68" s="335"/>
      <c r="J68" s="335"/>
      <c r="K68" s="335"/>
      <c r="L68" s="336"/>
      <c r="M68" s="275"/>
      <c r="O68" s="342"/>
      <c r="P68" s="343"/>
    </row>
    <row r="69" spans="1:17" s="17" customFormat="1" ht="18" customHeight="1">
      <c r="A69" s="11"/>
      <c r="B69" s="11" t="s">
        <v>13</v>
      </c>
      <c r="C69" s="11"/>
      <c r="D69" s="13"/>
      <c r="E69" s="13"/>
      <c r="F69" s="45"/>
      <c r="G69" s="42"/>
      <c r="H69" s="42">
        <f>SUM(H52:H64)</f>
        <v>3229800</v>
      </c>
      <c r="I69" s="42"/>
      <c r="J69" s="42">
        <f>SUM(J52:J64)</f>
        <v>6007700</v>
      </c>
      <c r="K69" s="42"/>
      <c r="L69" s="43">
        <f>SUM(L52:L65)</f>
        <v>9237500</v>
      </c>
      <c r="M69" s="176"/>
      <c r="O69" s="163"/>
      <c r="P69" s="168"/>
      <c r="Q69" s="375"/>
    </row>
    <row r="70" spans="1:17" s="341" customFormat="1" ht="18" customHeight="1">
      <c r="A70" s="9"/>
      <c r="B70" s="339"/>
      <c r="C70" s="337"/>
      <c r="D70" s="328"/>
      <c r="E70" s="328"/>
      <c r="F70" s="344"/>
      <c r="G70" s="335"/>
      <c r="H70" s="335"/>
      <c r="I70" s="335"/>
      <c r="J70" s="335"/>
      <c r="K70" s="335"/>
      <c r="L70" s="336"/>
      <c r="M70" s="275"/>
      <c r="O70" s="342"/>
      <c r="P70" s="343"/>
    </row>
    <row r="71" spans="1:17" s="17" customFormat="1" ht="18" customHeight="1">
      <c r="A71" s="39" t="s">
        <v>30</v>
      </c>
      <c r="B71" s="40" t="s">
        <v>532</v>
      </c>
      <c r="C71" s="362"/>
      <c r="D71" s="13"/>
      <c r="E71" s="13"/>
      <c r="F71" s="41"/>
      <c r="G71" s="42"/>
      <c r="H71" s="42"/>
      <c r="I71" s="42"/>
      <c r="J71" s="42"/>
      <c r="K71" s="42"/>
      <c r="L71" s="43"/>
      <c r="M71" s="255"/>
      <c r="N71" s="17" t="s">
        <v>156</v>
      </c>
      <c r="O71" s="163"/>
      <c r="P71" s="168"/>
    </row>
    <row r="72" spans="1:17" ht="18" hidden="1" customHeight="1">
      <c r="A72" s="9" t="s">
        <v>93</v>
      </c>
      <c r="B72" s="10" t="s">
        <v>89</v>
      </c>
      <c r="C72" s="379"/>
      <c r="D72" s="4"/>
      <c r="E72" s="4" t="s">
        <v>75</v>
      </c>
      <c r="F72" s="44">
        <v>0</v>
      </c>
      <c r="G72" s="24">
        <v>450000</v>
      </c>
      <c r="H72" s="24">
        <f t="shared" ref="H72" si="28">F72*G72</f>
        <v>0</v>
      </c>
      <c r="I72" s="24">
        <v>550000</v>
      </c>
      <c r="J72" s="24">
        <f t="shared" ref="J72" si="29">F72*I72</f>
        <v>0</v>
      </c>
      <c r="K72" s="24">
        <f t="shared" ref="K72" si="30">G72+I72</f>
        <v>1000000</v>
      </c>
      <c r="L72" s="25">
        <f t="shared" ref="L72" si="31">F72*K72</f>
        <v>0</v>
      </c>
      <c r="M72" s="255"/>
      <c r="O72" s="8"/>
      <c r="P72" s="8"/>
    </row>
    <row r="73" spans="1:17" s="341" customFormat="1" ht="18" customHeight="1">
      <c r="A73" s="9" t="s">
        <v>93</v>
      </c>
      <c r="B73" s="339" t="s">
        <v>576</v>
      </c>
      <c r="C73" s="337" t="s">
        <v>575</v>
      </c>
      <c r="D73" s="328" t="s">
        <v>636</v>
      </c>
      <c r="E73" s="328" t="s">
        <v>75</v>
      </c>
      <c r="F73" s="344">
        <v>2</v>
      </c>
      <c r="G73" s="335">
        <v>150000</v>
      </c>
      <c r="H73" s="335">
        <f t="shared" si="27"/>
        <v>300000</v>
      </c>
      <c r="I73" s="335">
        <v>350000</v>
      </c>
      <c r="J73" s="335">
        <f>F73*I73</f>
        <v>700000</v>
      </c>
      <c r="K73" s="335">
        <f>G73+I73</f>
        <v>500000</v>
      </c>
      <c r="L73" s="336">
        <f>F73*K73</f>
        <v>1000000</v>
      </c>
      <c r="M73" s="275"/>
      <c r="O73" s="342"/>
      <c r="P73" s="343"/>
    </row>
    <row r="74" spans="1:17" s="341" customFormat="1" ht="18" customHeight="1">
      <c r="A74" s="9" t="s">
        <v>93</v>
      </c>
      <c r="B74" s="339" t="s">
        <v>576</v>
      </c>
      <c r="C74" s="337" t="s">
        <v>512</v>
      </c>
      <c r="D74" s="328" t="s">
        <v>643</v>
      </c>
      <c r="E74" s="328" t="s">
        <v>75</v>
      </c>
      <c r="F74" s="344">
        <v>1</v>
      </c>
      <c r="G74" s="335">
        <v>250000</v>
      </c>
      <c r="H74" s="335">
        <f t="shared" ref="H74" si="32">F74*G74</f>
        <v>250000</v>
      </c>
      <c r="I74" s="335">
        <v>350000</v>
      </c>
      <c r="J74" s="335">
        <f>F74*I74</f>
        <v>350000</v>
      </c>
      <c r="K74" s="335">
        <f>G74+I74</f>
        <v>600000</v>
      </c>
      <c r="L74" s="336">
        <f>F74*K74</f>
        <v>600000</v>
      </c>
      <c r="M74" s="275"/>
      <c r="O74" s="342"/>
      <c r="P74" s="343"/>
    </row>
    <row r="75" spans="1:17" s="341" customFormat="1" ht="18" customHeight="1">
      <c r="A75" s="9" t="s">
        <v>93</v>
      </c>
      <c r="B75" s="339" t="s">
        <v>91</v>
      </c>
      <c r="C75" s="337" t="s">
        <v>512</v>
      </c>
      <c r="D75" s="328" t="s">
        <v>642</v>
      </c>
      <c r="E75" s="328" t="s">
        <v>513</v>
      </c>
      <c r="F75" s="344">
        <v>3</v>
      </c>
      <c r="G75" s="335">
        <v>150000</v>
      </c>
      <c r="H75" s="335">
        <f>F75*G75</f>
        <v>450000</v>
      </c>
      <c r="I75" s="335">
        <v>350000</v>
      </c>
      <c r="J75" s="335">
        <f>F75*I75</f>
        <v>1050000</v>
      </c>
      <c r="K75" s="335">
        <f>G75+I75</f>
        <v>500000</v>
      </c>
      <c r="L75" s="336">
        <f>F75*K75</f>
        <v>1500000</v>
      </c>
      <c r="M75" s="275"/>
      <c r="O75" s="342"/>
      <c r="P75" s="343"/>
      <c r="Q75" s="376"/>
    </row>
    <row r="76" spans="1:17" s="341" customFormat="1" ht="18" customHeight="1">
      <c r="A76" s="9" t="s">
        <v>93</v>
      </c>
      <c r="B76" s="339" t="s">
        <v>541</v>
      </c>
      <c r="C76" s="337"/>
      <c r="D76" s="328" t="s">
        <v>362</v>
      </c>
      <c r="E76" s="328" t="s">
        <v>75</v>
      </c>
      <c r="F76" s="344">
        <v>2</v>
      </c>
      <c r="G76" s="335">
        <v>50000</v>
      </c>
      <c r="H76" s="335">
        <f t="shared" ref="H76" si="33">F76*G76</f>
        <v>100000</v>
      </c>
      <c r="I76" s="335">
        <v>150000</v>
      </c>
      <c r="J76" s="335">
        <f t="shared" ref="J76" si="34">F76*I76</f>
        <v>300000</v>
      </c>
      <c r="K76" s="335">
        <f t="shared" ref="K76" si="35">G76+I76</f>
        <v>200000</v>
      </c>
      <c r="L76" s="336">
        <f t="shared" ref="L76" si="36">F76*K76</f>
        <v>400000</v>
      </c>
      <c r="M76" s="275"/>
      <c r="O76" s="342"/>
      <c r="P76" s="343"/>
      <c r="Q76" s="376"/>
    </row>
    <row r="77" spans="1:17" s="341" customFormat="1" ht="18" customHeight="1">
      <c r="A77" s="9" t="s">
        <v>291</v>
      </c>
      <c r="B77" s="339" t="s">
        <v>301</v>
      </c>
      <c r="C77" s="337" t="s">
        <v>302</v>
      </c>
      <c r="D77" s="328"/>
      <c r="E77" s="328" t="s">
        <v>303</v>
      </c>
      <c r="F77" s="344">
        <v>5</v>
      </c>
      <c r="G77" s="335">
        <v>80000</v>
      </c>
      <c r="H77" s="335">
        <f t="shared" si="27"/>
        <v>400000</v>
      </c>
      <c r="I77" s="335">
        <v>30000</v>
      </c>
      <c r="J77" s="335">
        <f t="shared" si="14"/>
        <v>150000</v>
      </c>
      <c r="K77" s="335">
        <f t="shared" si="15"/>
        <v>110000</v>
      </c>
      <c r="L77" s="336">
        <f t="shared" si="16"/>
        <v>550000</v>
      </c>
      <c r="M77" s="275"/>
      <c r="O77" s="342"/>
      <c r="P77" s="343"/>
    </row>
    <row r="78" spans="1:17" s="341" customFormat="1" ht="18" customHeight="1">
      <c r="A78" s="9" t="s">
        <v>94</v>
      </c>
      <c r="B78" s="339" t="s">
        <v>293</v>
      </c>
      <c r="C78" s="337" t="s">
        <v>641</v>
      </c>
      <c r="D78" s="328"/>
      <c r="E78" s="328" t="s">
        <v>36</v>
      </c>
      <c r="F78" s="344">
        <v>1</v>
      </c>
      <c r="G78" s="335">
        <v>150000</v>
      </c>
      <c r="H78" s="335">
        <f t="shared" ref="H78" si="37">F78*G78</f>
        <v>150000</v>
      </c>
      <c r="I78" s="335">
        <v>50000</v>
      </c>
      <c r="J78" s="335">
        <f t="shared" ref="J78" si="38">F78*I78</f>
        <v>50000</v>
      </c>
      <c r="K78" s="335">
        <f t="shared" ref="K78" si="39">G78+I78</f>
        <v>200000</v>
      </c>
      <c r="L78" s="336">
        <f t="shared" ref="L78" si="40">F78*K78</f>
        <v>200000</v>
      </c>
      <c r="M78" s="275"/>
      <c r="O78" s="342"/>
      <c r="P78" s="343"/>
    </row>
    <row r="79" spans="1:17" s="341" customFormat="1" ht="18" customHeight="1">
      <c r="A79" s="9" t="s">
        <v>94</v>
      </c>
      <c r="B79" s="339" t="s">
        <v>92</v>
      </c>
      <c r="C79" s="337" t="s">
        <v>540</v>
      </c>
      <c r="D79" s="328"/>
      <c r="E79" s="328" t="s">
        <v>36</v>
      </c>
      <c r="F79" s="344">
        <v>2</v>
      </c>
      <c r="G79" s="335">
        <v>130000</v>
      </c>
      <c r="H79" s="335">
        <f t="shared" si="13"/>
        <v>260000</v>
      </c>
      <c r="I79" s="335">
        <v>150000</v>
      </c>
      <c r="J79" s="335">
        <f t="shared" si="14"/>
        <v>300000</v>
      </c>
      <c r="K79" s="335">
        <f t="shared" si="15"/>
        <v>280000</v>
      </c>
      <c r="L79" s="336">
        <f t="shared" si="16"/>
        <v>560000</v>
      </c>
      <c r="M79" s="275"/>
      <c r="O79" s="342"/>
      <c r="P79" s="343"/>
      <c r="Q79" s="376"/>
    </row>
    <row r="80" spans="1:17" s="276" customFormat="1" ht="18" customHeight="1">
      <c r="A80" s="347" t="s">
        <v>420</v>
      </c>
      <c r="B80" s="270" t="s">
        <v>417</v>
      </c>
      <c r="C80" s="347" t="s">
        <v>418</v>
      </c>
      <c r="D80" s="271"/>
      <c r="E80" s="271" t="s">
        <v>386</v>
      </c>
      <c r="F80" s="344">
        <v>1</v>
      </c>
      <c r="G80" s="273">
        <v>300000</v>
      </c>
      <c r="H80" s="273">
        <f>F80*G80</f>
        <v>300000</v>
      </c>
      <c r="I80" s="273">
        <v>150000</v>
      </c>
      <c r="J80" s="273">
        <f>F80*I80</f>
        <v>150000</v>
      </c>
      <c r="K80" s="273">
        <f>G80+I80</f>
        <v>450000</v>
      </c>
      <c r="L80" s="274">
        <f>F80*K80</f>
        <v>450000</v>
      </c>
      <c r="M80" s="275"/>
      <c r="O80" s="277"/>
      <c r="P80" s="278"/>
    </row>
    <row r="81" spans="1:16" s="320" customFormat="1" ht="18" hidden="1" customHeight="1">
      <c r="A81" s="158" t="s">
        <v>444</v>
      </c>
      <c r="B81" s="315" t="s">
        <v>445</v>
      </c>
      <c r="C81" s="358" t="s">
        <v>450</v>
      </c>
      <c r="D81" s="316"/>
      <c r="E81" s="316" t="s">
        <v>448</v>
      </c>
      <c r="F81" s="329">
        <v>0</v>
      </c>
      <c r="G81" s="318">
        <v>50000</v>
      </c>
      <c r="H81" s="318">
        <f>F81*G81</f>
        <v>0</v>
      </c>
      <c r="I81" s="318">
        <v>250000</v>
      </c>
      <c r="J81" s="318">
        <f>F81*I81</f>
        <v>0</v>
      </c>
      <c r="K81" s="318">
        <f>G81+I81</f>
        <v>300000</v>
      </c>
      <c r="L81" s="319">
        <f>F81*K81</f>
        <v>0</v>
      </c>
      <c r="M81" s="285"/>
      <c r="O81" s="321"/>
      <c r="P81" s="322"/>
    </row>
    <row r="82" spans="1:16" s="320" customFormat="1" ht="18" hidden="1" customHeight="1">
      <c r="A82" s="158" t="s">
        <v>446</v>
      </c>
      <c r="B82" s="315" t="s">
        <v>447</v>
      </c>
      <c r="C82" s="358" t="s">
        <v>450</v>
      </c>
      <c r="D82" s="316"/>
      <c r="E82" s="316" t="s">
        <v>449</v>
      </c>
      <c r="F82" s="329">
        <v>0</v>
      </c>
      <c r="G82" s="318">
        <v>50000</v>
      </c>
      <c r="H82" s="318">
        <f>F82*G82</f>
        <v>0</v>
      </c>
      <c r="I82" s="318">
        <v>250000</v>
      </c>
      <c r="J82" s="318">
        <f>F82*I82</f>
        <v>0</v>
      </c>
      <c r="K82" s="318">
        <f>G82+I82</f>
        <v>300000</v>
      </c>
      <c r="L82" s="319">
        <f>F82*K82</f>
        <v>0</v>
      </c>
      <c r="M82" s="285"/>
      <c r="O82" s="321"/>
      <c r="P82" s="322"/>
    </row>
    <row r="83" spans="1:16" s="276" customFormat="1" ht="18" customHeight="1">
      <c r="A83" s="347" t="s">
        <v>94</v>
      </c>
      <c r="B83" s="270" t="s">
        <v>706</v>
      </c>
      <c r="C83" s="347" t="s">
        <v>707</v>
      </c>
      <c r="D83" s="271"/>
      <c r="E83" s="271" t="s">
        <v>74</v>
      </c>
      <c r="F83" s="344">
        <v>1</v>
      </c>
      <c r="G83" s="273">
        <v>280000</v>
      </c>
      <c r="H83" s="273">
        <f>F83*G83</f>
        <v>280000</v>
      </c>
      <c r="I83" s="273">
        <v>100000</v>
      </c>
      <c r="J83" s="273">
        <f>F83*I83</f>
        <v>100000</v>
      </c>
      <c r="K83" s="273">
        <f>G83+I83</f>
        <v>380000</v>
      </c>
      <c r="L83" s="274">
        <f>F83*K83</f>
        <v>380000</v>
      </c>
      <c r="M83" s="275"/>
      <c r="O83" s="277"/>
      <c r="P83" s="278"/>
    </row>
    <row r="84" spans="1:16" s="17" customFormat="1" ht="18" customHeight="1">
      <c r="A84" s="11"/>
      <c r="B84" s="11" t="s">
        <v>13</v>
      </c>
      <c r="C84" s="11"/>
      <c r="D84" s="13"/>
      <c r="E84" s="13"/>
      <c r="F84" s="45"/>
      <c r="G84" s="42"/>
      <c r="H84" s="43">
        <f>SUM(H72:H83)</f>
        <v>2490000</v>
      </c>
      <c r="I84" s="42"/>
      <c r="J84" s="43">
        <f>SUM(J72:J83)</f>
        <v>3150000</v>
      </c>
      <c r="K84" s="42"/>
      <c r="L84" s="43">
        <f>SUM(L72:L83)</f>
        <v>5640000</v>
      </c>
      <c r="M84" s="176"/>
      <c r="O84" s="163"/>
      <c r="P84" s="168"/>
    </row>
    <row r="85" spans="1:16" ht="18" customHeight="1">
      <c r="A85" s="11"/>
      <c r="B85" s="12"/>
      <c r="C85" s="9"/>
      <c r="D85" s="4"/>
      <c r="E85" s="4"/>
      <c r="F85" s="44"/>
      <c r="G85" s="24"/>
      <c r="H85" s="24"/>
      <c r="I85" s="24"/>
      <c r="J85" s="24"/>
      <c r="K85" s="24"/>
      <c r="L85" s="25"/>
      <c r="M85" s="176"/>
    </row>
    <row r="86" spans="1:16" s="17" customFormat="1" ht="18" customHeight="1">
      <c r="A86" s="39" t="s">
        <v>516</v>
      </c>
      <c r="B86" s="40" t="s">
        <v>95</v>
      </c>
      <c r="C86" s="362"/>
      <c r="D86" s="13"/>
      <c r="E86" s="13"/>
      <c r="F86" s="45"/>
      <c r="G86" s="42"/>
      <c r="H86" s="42"/>
      <c r="I86" s="42"/>
      <c r="J86" s="42"/>
      <c r="K86" s="42"/>
      <c r="L86" s="43"/>
      <c r="M86" s="176"/>
      <c r="O86" s="163"/>
      <c r="P86" s="168"/>
    </row>
    <row r="87" spans="1:16" s="52" customFormat="1" ht="18" customHeight="1">
      <c r="A87" s="46">
        <v>-1</v>
      </c>
      <c r="B87" s="47" t="s">
        <v>97</v>
      </c>
      <c r="C87" s="46"/>
      <c r="D87" s="48"/>
      <c r="E87" s="48"/>
      <c r="F87" s="49"/>
      <c r="G87" s="50"/>
      <c r="H87" s="50"/>
      <c r="I87" s="50"/>
      <c r="J87" s="50"/>
      <c r="K87" s="50"/>
      <c r="L87" s="51"/>
      <c r="M87" s="176"/>
      <c r="O87" s="165"/>
      <c r="P87" s="170"/>
    </row>
    <row r="88" spans="1:16" s="52" customFormat="1" ht="18" customHeight="1">
      <c r="A88" s="53" t="s">
        <v>188</v>
      </c>
      <c r="B88" s="47" t="s">
        <v>96</v>
      </c>
      <c r="C88" s="53"/>
      <c r="D88" s="48"/>
      <c r="E88" s="48" t="s">
        <v>184</v>
      </c>
      <c r="F88" s="54">
        <v>1</v>
      </c>
      <c r="G88" s="50">
        <v>50000</v>
      </c>
      <c r="H88" s="50">
        <f t="shared" ref="H88:H97" si="41">F88*G88</f>
        <v>50000</v>
      </c>
      <c r="I88" s="50">
        <v>150000</v>
      </c>
      <c r="J88" s="50">
        <f t="shared" ref="J88:J97" si="42">F88*I88</f>
        <v>150000</v>
      </c>
      <c r="K88" s="50">
        <f t="shared" ref="K88:K97" si="43">G88+I88</f>
        <v>200000</v>
      </c>
      <c r="L88" s="51">
        <f t="shared" ref="L88:L97" si="44">F88*K88</f>
        <v>200000</v>
      </c>
      <c r="M88" s="176"/>
      <c r="O88" s="165"/>
      <c r="P88" s="170"/>
    </row>
    <row r="89" spans="1:16" s="276" customFormat="1" ht="18" customHeight="1">
      <c r="A89" s="53" t="s">
        <v>188</v>
      </c>
      <c r="B89" s="270" t="s">
        <v>321</v>
      </c>
      <c r="C89" s="347"/>
      <c r="D89" s="271"/>
      <c r="E89" s="271" t="s">
        <v>37</v>
      </c>
      <c r="F89" s="272">
        <v>170</v>
      </c>
      <c r="G89" s="273">
        <v>2200</v>
      </c>
      <c r="H89" s="273">
        <f t="shared" si="41"/>
        <v>374000</v>
      </c>
      <c r="I89" s="273">
        <v>8000</v>
      </c>
      <c r="J89" s="273">
        <f t="shared" si="42"/>
        <v>1360000</v>
      </c>
      <c r="K89" s="273">
        <f t="shared" si="43"/>
        <v>10200</v>
      </c>
      <c r="L89" s="274">
        <f t="shared" si="44"/>
        <v>1734000</v>
      </c>
      <c r="M89" s="275"/>
      <c r="O89" s="277">
        <f>(2.7*4)+(2.4*4)+(2*4)+(2.4*4)+(2.7*4)+(2.4*4)</f>
        <v>58.4</v>
      </c>
      <c r="P89" s="278"/>
    </row>
    <row r="90" spans="1:16" s="52" customFormat="1" ht="18" hidden="1" customHeight="1">
      <c r="A90" s="53" t="s">
        <v>188</v>
      </c>
      <c r="B90" s="47" t="s">
        <v>264</v>
      </c>
      <c r="C90" s="53"/>
      <c r="D90" s="48" t="s">
        <v>372</v>
      </c>
      <c r="E90" s="48" t="s">
        <v>37</v>
      </c>
      <c r="F90" s="54"/>
      <c r="G90" s="50">
        <v>2200</v>
      </c>
      <c r="H90" s="50">
        <f t="shared" si="41"/>
        <v>0</v>
      </c>
      <c r="I90" s="50">
        <v>6600</v>
      </c>
      <c r="J90" s="50">
        <f t="shared" si="42"/>
        <v>0</v>
      </c>
      <c r="K90" s="50">
        <f t="shared" si="43"/>
        <v>8800</v>
      </c>
      <c r="L90" s="51">
        <f t="shared" si="44"/>
        <v>0</v>
      </c>
      <c r="M90" s="176"/>
      <c r="O90" s="165">
        <f>((3.3+3+3.3+0.6)+(2.1+0.4+0.7+1.4+4.3+1.9+2.4+3.2)+(2.9+2.7+2.1)+(2.3+3.6+3.9+1.3+2.2))*2+(0.8+0.7+0.7+3.3+1.9+2.5)+(2.1+2.1+0.8)*4</f>
        <v>125.1</v>
      </c>
      <c r="P90" s="170"/>
    </row>
    <row r="91" spans="1:16" ht="18" customHeight="1">
      <c r="A91" s="171" t="s">
        <v>188</v>
      </c>
      <c r="B91" s="10" t="s">
        <v>179</v>
      </c>
      <c r="C91" s="171" t="s">
        <v>654</v>
      </c>
      <c r="D91" s="48"/>
      <c r="E91" s="4" t="s">
        <v>39</v>
      </c>
      <c r="F91" s="172">
        <v>105</v>
      </c>
      <c r="G91" s="24">
        <v>11000</v>
      </c>
      <c r="H91" s="24">
        <f t="shared" si="41"/>
        <v>1155000</v>
      </c>
      <c r="I91" s="24">
        <v>16500</v>
      </c>
      <c r="J91" s="24">
        <f t="shared" si="42"/>
        <v>1732500</v>
      </c>
      <c r="K91" s="24">
        <f t="shared" si="43"/>
        <v>27500</v>
      </c>
      <c r="L91" s="25">
        <f t="shared" si="44"/>
        <v>2887500</v>
      </c>
      <c r="M91" s="176"/>
      <c r="O91" s="162">
        <f>(5*7)</f>
        <v>35</v>
      </c>
    </row>
    <row r="92" spans="1:16" s="52" customFormat="1" ht="18" hidden="1" customHeight="1">
      <c r="A92" s="53" t="s">
        <v>188</v>
      </c>
      <c r="B92" s="47" t="s">
        <v>309</v>
      </c>
      <c r="C92" s="53" t="s">
        <v>542</v>
      </c>
      <c r="D92" s="48" t="s">
        <v>480</v>
      </c>
      <c r="E92" s="48" t="s">
        <v>11</v>
      </c>
      <c r="F92" s="54">
        <v>0</v>
      </c>
      <c r="G92" s="50">
        <v>16000</v>
      </c>
      <c r="H92" s="50">
        <f t="shared" si="41"/>
        <v>0</v>
      </c>
      <c r="I92" s="50">
        <v>31500</v>
      </c>
      <c r="J92" s="50">
        <f t="shared" si="42"/>
        <v>0</v>
      </c>
      <c r="K92" s="50">
        <f t="shared" si="43"/>
        <v>47500</v>
      </c>
      <c r="L92" s="25">
        <f t="shared" si="44"/>
        <v>0</v>
      </c>
      <c r="M92" s="175"/>
      <c r="O92" s="165">
        <f>73+4+2</f>
        <v>79</v>
      </c>
      <c r="P92" s="170"/>
    </row>
    <row r="93" spans="1:16" s="276" customFormat="1" ht="18" customHeight="1">
      <c r="A93" s="53" t="s">
        <v>310</v>
      </c>
      <c r="B93" s="270" t="s">
        <v>499</v>
      </c>
      <c r="C93" s="347"/>
      <c r="D93" s="271"/>
      <c r="E93" s="271" t="s">
        <v>311</v>
      </c>
      <c r="F93" s="272">
        <v>15</v>
      </c>
      <c r="G93" s="273">
        <v>14500</v>
      </c>
      <c r="H93" s="273">
        <f t="shared" si="41"/>
        <v>217500</v>
      </c>
      <c r="I93" s="273">
        <v>16500</v>
      </c>
      <c r="J93" s="273">
        <f t="shared" si="42"/>
        <v>247500</v>
      </c>
      <c r="K93" s="273">
        <f t="shared" si="43"/>
        <v>31000</v>
      </c>
      <c r="L93" s="274">
        <f t="shared" si="44"/>
        <v>465000</v>
      </c>
      <c r="M93" s="279"/>
      <c r="O93" s="277">
        <f>3.83+1.93+0.44</f>
        <v>6.2</v>
      </c>
      <c r="P93" s="278"/>
    </row>
    <row r="94" spans="1:16" s="52" customFormat="1" ht="18" hidden="1" customHeight="1">
      <c r="A94" s="53" t="s">
        <v>188</v>
      </c>
      <c r="B94" s="47" t="s">
        <v>180</v>
      </c>
      <c r="C94" s="53"/>
      <c r="D94" s="48"/>
      <c r="E94" s="48" t="s">
        <v>181</v>
      </c>
      <c r="F94" s="54">
        <v>0</v>
      </c>
      <c r="G94" s="50">
        <v>8800</v>
      </c>
      <c r="H94" s="50">
        <f t="shared" si="41"/>
        <v>0</v>
      </c>
      <c r="I94" s="50">
        <v>16500</v>
      </c>
      <c r="J94" s="50">
        <f t="shared" si="42"/>
        <v>0</v>
      </c>
      <c r="K94" s="50">
        <f t="shared" si="43"/>
        <v>25300</v>
      </c>
      <c r="L94" s="51">
        <f t="shared" si="44"/>
        <v>0</v>
      </c>
      <c r="M94" s="176"/>
      <c r="O94" s="165"/>
      <c r="P94" s="170"/>
    </row>
    <row r="95" spans="1:16" s="52" customFormat="1" ht="18" hidden="1" customHeight="1">
      <c r="A95" s="53" t="s">
        <v>350</v>
      </c>
      <c r="B95" s="47" t="s">
        <v>322</v>
      </c>
      <c r="C95" s="53"/>
      <c r="D95" s="48" t="s">
        <v>374</v>
      </c>
      <c r="E95" s="48" t="s">
        <v>323</v>
      </c>
      <c r="F95" s="54"/>
      <c r="G95" s="50">
        <v>8800</v>
      </c>
      <c r="H95" s="50">
        <f t="shared" si="41"/>
        <v>0</v>
      </c>
      <c r="I95" s="50">
        <v>16500</v>
      </c>
      <c r="J95" s="50">
        <f t="shared" si="42"/>
        <v>0</v>
      </c>
      <c r="K95" s="50">
        <f t="shared" si="43"/>
        <v>25300</v>
      </c>
      <c r="L95" s="51">
        <f t="shared" si="44"/>
        <v>0</v>
      </c>
      <c r="M95" s="176"/>
      <c r="O95" s="165">
        <f>3.72+1.84</f>
        <v>5.5600000000000005</v>
      </c>
      <c r="P95" s="170"/>
    </row>
    <row r="96" spans="1:16" s="52" customFormat="1" ht="18" customHeight="1">
      <c r="A96" s="53" t="s">
        <v>388</v>
      </c>
      <c r="B96" s="47" t="s">
        <v>577</v>
      </c>
      <c r="C96" s="53" t="s">
        <v>402</v>
      </c>
      <c r="D96" s="48"/>
      <c r="E96" s="48" t="s">
        <v>181</v>
      </c>
      <c r="F96" s="54">
        <v>80</v>
      </c>
      <c r="G96" s="50">
        <v>2200</v>
      </c>
      <c r="H96" s="50">
        <f t="shared" si="41"/>
        <v>176000</v>
      </c>
      <c r="I96" s="50">
        <v>4500</v>
      </c>
      <c r="J96" s="50">
        <f t="shared" si="42"/>
        <v>360000</v>
      </c>
      <c r="K96" s="50">
        <f t="shared" si="43"/>
        <v>6700</v>
      </c>
      <c r="L96" s="51">
        <f t="shared" si="44"/>
        <v>536000</v>
      </c>
      <c r="M96" s="176"/>
      <c r="O96" s="165"/>
      <c r="P96" s="170"/>
    </row>
    <row r="97" spans="1:16" s="52" customFormat="1" ht="18" customHeight="1">
      <c r="A97" s="53" t="s">
        <v>41</v>
      </c>
      <c r="B97" s="47" t="s">
        <v>655</v>
      </c>
      <c r="C97" s="400"/>
      <c r="D97" s="48" t="s">
        <v>682</v>
      </c>
      <c r="E97" s="48" t="s">
        <v>11</v>
      </c>
      <c r="F97" s="401">
        <v>55</v>
      </c>
      <c r="G97" s="50">
        <v>13500</v>
      </c>
      <c r="H97" s="50">
        <f t="shared" si="41"/>
        <v>742500</v>
      </c>
      <c r="I97" s="50">
        <v>19500</v>
      </c>
      <c r="J97" s="50">
        <f t="shared" si="42"/>
        <v>1072500</v>
      </c>
      <c r="K97" s="50">
        <f t="shared" si="43"/>
        <v>33000</v>
      </c>
      <c r="L97" s="51">
        <f t="shared" si="44"/>
        <v>1815000</v>
      </c>
      <c r="M97" s="175"/>
      <c r="N97" s="402"/>
      <c r="O97" s="165">
        <f>(1.7+2.5+3.3+0.7+0.2+0.4+0.7+0.7+0.8)*2.4+(0.3*4.6)</f>
        <v>27.779999999999994</v>
      </c>
      <c r="P97" s="170"/>
    </row>
    <row r="98" spans="1:16" s="52" customFormat="1" ht="18" customHeight="1">
      <c r="A98" s="53" t="s">
        <v>41</v>
      </c>
      <c r="B98" s="47" t="s">
        <v>683</v>
      </c>
      <c r="C98" s="53" t="s">
        <v>684</v>
      </c>
      <c r="D98" s="48" t="s">
        <v>685</v>
      </c>
      <c r="E98" s="48" t="s">
        <v>158</v>
      </c>
      <c r="F98" s="401">
        <v>2</v>
      </c>
      <c r="G98" s="50">
        <v>300000</v>
      </c>
      <c r="H98" s="50">
        <f t="shared" ref="H98" si="45">F98*G98</f>
        <v>600000</v>
      </c>
      <c r="I98" s="50">
        <v>300000</v>
      </c>
      <c r="J98" s="50">
        <f t="shared" ref="J98" si="46">F98*I98</f>
        <v>600000</v>
      </c>
      <c r="K98" s="50">
        <f t="shared" ref="K98" si="47">G98+I98</f>
        <v>600000</v>
      </c>
      <c r="L98" s="51">
        <f t="shared" ref="L98" si="48">F98*K98</f>
        <v>1200000</v>
      </c>
      <c r="M98" s="175"/>
      <c r="N98" s="402"/>
      <c r="O98" s="165">
        <f>(1.7+2.5+3.3+0.7+0.2+0.4+0.7+0.7+0.8)*2.4+(0.3*4.6)</f>
        <v>27.779999999999994</v>
      </c>
      <c r="P98" s="170"/>
    </row>
    <row r="99" spans="1:16" s="52" customFormat="1" ht="18" customHeight="1">
      <c r="A99" s="46"/>
      <c r="B99" s="47"/>
      <c r="C99" s="46"/>
      <c r="D99" s="48"/>
      <c r="E99" s="48"/>
      <c r="F99" s="49"/>
      <c r="G99" s="50"/>
      <c r="H99" s="50"/>
      <c r="I99" s="50"/>
      <c r="J99" s="50"/>
      <c r="K99" s="50"/>
      <c r="L99" s="51"/>
      <c r="M99" s="176"/>
      <c r="O99" s="165"/>
      <c r="P99" s="170"/>
    </row>
    <row r="100" spans="1:16" s="52" customFormat="1" ht="18" customHeight="1">
      <c r="A100" s="46"/>
      <c r="B100" s="47"/>
      <c r="C100" s="46"/>
      <c r="D100" s="48"/>
      <c r="E100" s="48"/>
      <c r="F100" s="49"/>
      <c r="G100" s="50"/>
      <c r="H100" s="50"/>
      <c r="I100" s="50"/>
      <c r="J100" s="50"/>
      <c r="K100" s="50"/>
      <c r="L100" s="51"/>
      <c r="M100" s="176"/>
      <c r="O100" s="165"/>
      <c r="P100" s="170"/>
    </row>
    <row r="101" spans="1:16" s="246" customFormat="1" ht="18" customHeight="1">
      <c r="A101" s="242"/>
      <c r="B101" s="242" t="s">
        <v>13</v>
      </c>
      <c r="C101" s="242"/>
      <c r="D101" s="243"/>
      <c r="E101" s="243"/>
      <c r="F101" s="244"/>
      <c r="G101" s="245"/>
      <c r="H101" s="245">
        <f>SUM(H88:H100)</f>
        <v>3315000</v>
      </c>
      <c r="I101" s="245"/>
      <c r="J101" s="245">
        <f>SUM(J88:J100)</f>
        <v>5522500</v>
      </c>
      <c r="K101" s="245"/>
      <c r="L101" s="245">
        <f>SUM(L88:L100)</f>
        <v>8837500</v>
      </c>
      <c r="M101" s="175"/>
      <c r="O101" s="247"/>
      <c r="P101" s="248"/>
    </row>
    <row r="102" spans="1:16" ht="18" customHeight="1">
      <c r="A102" s="9"/>
      <c r="B102" s="10"/>
      <c r="C102" s="9"/>
      <c r="D102" s="4"/>
      <c r="E102" s="4"/>
      <c r="F102" s="44"/>
      <c r="G102" s="24"/>
      <c r="H102" s="24"/>
      <c r="I102" s="24"/>
      <c r="J102" s="24"/>
      <c r="K102" s="24"/>
      <c r="L102" s="25"/>
      <c r="M102" s="176"/>
    </row>
    <row r="103" spans="1:16" s="17" customFormat="1" ht="18" customHeight="1">
      <c r="A103" s="39" t="s">
        <v>517</v>
      </c>
      <c r="B103" s="40" t="s">
        <v>100</v>
      </c>
      <c r="C103" s="362"/>
      <c r="D103" s="13"/>
      <c r="E103" s="13"/>
      <c r="F103" s="45"/>
      <c r="G103" s="42"/>
      <c r="H103" s="42"/>
      <c r="I103" s="42"/>
      <c r="J103" s="42"/>
      <c r="K103" s="42"/>
      <c r="L103" s="43"/>
      <c r="M103" s="176"/>
      <c r="O103" s="163"/>
      <c r="P103" s="168"/>
    </row>
    <row r="104" spans="1:16" s="52" customFormat="1" ht="18" customHeight="1">
      <c r="A104" s="46">
        <v>-1</v>
      </c>
      <c r="B104" s="47" t="s">
        <v>103</v>
      </c>
      <c r="C104" s="46"/>
      <c r="D104" s="48"/>
      <c r="E104" s="48"/>
      <c r="F104" s="49"/>
      <c r="G104" s="50"/>
      <c r="H104" s="50"/>
      <c r="I104" s="50"/>
      <c r="J104" s="50"/>
      <c r="K104" s="50"/>
      <c r="L104" s="51"/>
      <c r="M104" s="176"/>
      <c r="O104" s="165"/>
      <c r="P104" s="170"/>
    </row>
    <row r="105" spans="1:16" s="52" customFormat="1" ht="18" customHeight="1">
      <c r="A105" s="53" t="s">
        <v>12</v>
      </c>
      <c r="B105" s="47" t="s">
        <v>104</v>
      </c>
      <c r="C105" s="53"/>
      <c r="D105" s="48"/>
      <c r="E105" s="48" t="s">
        <v>102</v>
      </c>
      <c r="F105" s="54">
        <v>9</v>
      </c>
      <c r="G105" s="50">
        <v>120000</v>
      </c>
      <c r="H105" s="50">
        <f t="shared" ref="H105:H110" si="49">F105*G105</f>
        <v>1080000</v>
      </c>
      <c r="I105" s="50">
        <v>30000</v>
      </c>
      <c r="J105" s="50">
        <f t="shared" ref="J105:J110" si="50">F105*I105</f>
        <v>270000</v>
      </c>
      <c r="K105" s="50">
        <f>G105+I105</f>
        <v>150000</v>
      </c>
      <c r="L105" s="51">
        <f t="shared" ref="L105:L110" si="51">F105*K105</f>
        <v>1350000</v>
      </c>
      <c r="M105" s="176"/>
      <c r="O105" s="165">
        <f>2.5+21</f>
        <v>23.5</v>
      </c>
      <c r="P105" s="170"/>
    </row>
    <row r="106" spans="1:16" s="52" customFormat="1" ht="18" hidden="1" customHeight="1">
      <c r="A106" s="53" t="s">
        <v>328</v>
      </c>
      <c r="B106" s="47" t="s">
        <v>408</v>
      </c>
      <c r="C106" s="53"/>
      <c r="D106" s="48"/>
      <c r="E106" s="48" t="s">
        <v>334</v>
      </c>
      <c r="F106" s="54"/>
      <c r="G106" s="50">
        <v>275000</v>
      </c>
      <c r="H106" s="50">
        <f t="shared" si="49"/>
        <v>0</v>
      </c>
      <c r="I106" s="50">
        <v>55000</v>
      </c>
      <c r="J106" s="50">
        <f t="shared" si="50"/>
        <v>0</v>
      </c>
      <c r="K106" s="50">
        <f>G106+I106</f>
        <v>330000</v>
      </c>
      <c r="L106" s="51">
        <f t="shared" si="51"/>
        <v>0</v>
      </c>
      <c r="M106" s="176"/>
      <c r="O106" s="165"/>
      <c r="P106" s="170"/>
    </row>
    <row r="107" spans="1:16" s="52" customFormat="1" ht="18" hidden="1" customHeight="1">
      <c r="A107" s="53" t="s">
        <v>41</v>
      </c>
      <c r="B107" s="47" t="s">
        <v>407</v>
      </c>
      <c r="C107" s="347"/>
      <c r="D107" s="347" t="s">
        <v>409</v>
      </c>
      <c r="E107" s="48" t="s">
        <v>334</v>
      </c>
      <c r="F107" s="54"/>
      <c r="G107" s="50">
        <v>250000</v>
      </c>
      <c r="H107" s="50">
        <f t="shared" si="49"/>
        <v>0</v>
      </c>
      <c r="I107" s="50">
        <v>150000</v>
      </c>
      <c r="J107" s="50">
        <f t="shared" si="50"/>
        <v>0</v>
      </c>
      <c r="K107" s="50">
        <f>G107+I107</f>
        <v>400000</v>
      </c>
      <c r="L107" s="51">
        <f t="shared" si="51"/>
        <v>0</v>
      </c>
      <c r="M107" s="176"/>
      <c r="O107" s="165"/>
      <c r="P107" s="170"/>
    </row>
    <row r="108" spans="1:16" s="52" customFormat="1" ht="18" hidden="1" customHeight="1">
      <c r="A108" s="53" t="s">
        <v>404</v>
      </c>
      <c r="B108" s="47" t="s">
        <v>405</v>
      </c>
      <c r="C108" s="347" t="s">
        <v>406</v>
      </c>
      <c r="D108" s="48"/>
      <c r="E108" s="48" t="s">
        <v>391</v>
      </c>
      <c r="F108" s="54">
        <v>0</v>
      </c>
      <c r="G108" s="50">
        <v>150000</v>
      </c>
      <c r="H108" s="50">
        <f t="shared" si="49"/>
        <v>0</v>
      </c>
      <c r="I108" s="50">
        <v>150000</v>
      </c>
      <c r="J108" s="50">
        <f t="shared" si="50"/>
        <v>0</v>
      </c>
      <c r="K108" s="50">
        <f>G108+I108</f>
        <v>300000</v>
      </c>
      <c r="L108" s="51">
        <f t="shared" si="51"/>
        <v>0</v>
      </c>
      <c r="M108" s="176"/>
      <c r="O108" s="165"/>
      <c r="P108" s="170"/>
    </row>
    <row r="109" spans="1:16" ht="18" hidden="1" customHeight="1">
      <c r="A109" s="9" t="s">
        <v>41</v>
      </c>
      <c r="B109" s="10" t="s">
        <v>336</v>
      </c>
      <c r="C109" s="9" t="s">
        <v>461</v>
      </c>
      <c r="D109" s="48"/>
      <c r="E109" s="4" t="s">
        <v>36</v>
      </c>
      <c r="F109" s="54">
        <v>0</v>
      </c>
      <c r="G109" s="24">
        <v>150000</v>
      </c>
      <c r="H109" s="24">
        <f t="shared" si="49"/>
        <v>0</v>
      </c>
      <c r="I109" s="24">
        <v>30000</v>
      </c>
      <c r="J109" s="24">
        <f t="shared" si="50"/>
        <v>0</v>
      </c>
      <c r="K109" s="24">
        <f t="shared" ref="K109" si="52">G109+I109</f>
        <v>180000</v>
      </c>
      <c r="L109" s="25">
        <f t="shared" si="51"/>
        <v>0</v>
      </c>
      <c r="M109" s="176"/>
    </row>
    <row r="110" spans="1:16" s="52" customFormat="1" ht="18" customHeight="1">
      <c r="A110" s="53" t="s">
        <v>12</v>
      </c>
      <c r="B110" s="47" t="s">
        <v>644</v>
      </c>
      <c r="C110" s="53"/>
      <c r="D110" s="48"/>
      <c r="E110" s="48" t="s">
        <v>36</v>
      </c>
      <c r="F110" s="54">
        <v>2</v>
      </c>
      <c r="G110" s="50">
        <v>80000</v>
      </c>
      <c r="H110" s="50">
        <f t="shared" si="49"/>
        <v>160000</v>
      </c>
      <c r="I110" s="50">
        <v>30000</v>
      </c>
      <c r="J110" s="50">
        <f t="shared" si="50"/>
        <v>60000</v>
      </c>
      <c r="K110" s="50">
        <f>G110+I110</f>
        <v>110000</v>
      </c>
      <c r="L110" s="51">
        <f t="shared" si="51"/>
        <v>220000</v>
      </c>
      <c r="M110" s="176"/>
      <c r="O110" s="165">
        <f>2.5+21</f>
        <v>23.5</v>
      </c>
      <c r="P110" s="170"/>
    </row>
    <row r="111" spans="1:16" s="52" customFormat="1" ht="18" customHeight="1">
      <c r="A111" s="46"/>
      <c r="B111" s="47"/>
      <c r="C111" s="46"/>
      <c r="D111" s="48"/>
      <c r="E111" s="48"/>
      <c r="F111" s="49"/>
      <c r="G111" s="50"/>
      <c r="H111" s="50"/>
      <c r="I111" s="50"/>
      <c r="J111" s="50"/>
      <c r="K111" s="50"/>
      <c r="L111" s="51"/>
      <c r="M111" s="176"/>
      <c r="O111" s="165"/>
      <c r="P111" s="170"/>
    </row>
    <row r="112" spans="1:16" s="52" customFormat="1" ht="18" hidden="1" customHeight="1">
      <c r="A112" s="46">
        <v>-1</v>
      </c>
      <c r="B112" s="47" t="s">
        <v>410</v>
      </c>
      <c r="C112" s="46"/>
      <c r="D112" s="48"/>
      <c r="E112" s="48"/>
      <c r="F112" s="49"/>
      <c r="G112" s="50"/>
      <c r="H112" s="50"/>
      <c r="I112" s="50"/>
      <c r="J112" s="50"/>
      <c r="K112" s="50"/>
      <c r="L112" s="51"/>
      <c r="M112" s="176"/>
      <c r="O112" s="165"/>
      <c r="P112" s="170"/>
    </row>
    <row r="113" spans="1:16" s="52" customFormat="1" ht="18" hidden="1" customHeight="1">
      <c r="A113" s="53" t="s">
        <v>41</v>
      </c>
      <c r="B113" s="47" t="s">
        <v>462</v>
      </c>
      <c r="C113" s="53"/>
      <c r="D113" s="48"/>
      <c r="E113" s="48" t="s">
        <v>37</v>
      </c>
      <c r="F113" s="54">
        <v>0</v>
      </c>
      <c r="G113" s="50">
        <v>275000</v>
      </c>
      <c r="H113" s="50">
        <f t="shared" ref="H113" si="53">F113*G113</f>
        <v>0</v>
      </c>
      <c r="I113" s="50">
        <v>55000</v>
      </c>
      <c r="J113" s="50">
        <f t="shared" ref="J113" si="54">F113*I113</f>
        <v>0</v>
      </c>
      <c r="K113" s="50">
        <f>G113+I113</f>
        <v>330000</v>
      </c>
      <c r="L113" s="51">
        <f t="shared" ref="L113" si="55">F113*K113</f>
        <v>0</v>
      </c>
      <c r="M113" s="176"/>
      <c r="O113" s="165"/>
      <c r="P113" s="170"/>
    </row>
    <row r="114" spans="1:16" ht="18" hidden="1" customHeight="1">
      <c r="A114" s="9"/>
      <c r="B114" s="10"/>
      <c r="C114" s="9"/>
      <c r="D114" s="48"/>
      <c r="E114" s="4"/>
      <c r="F114" s="54"/>
      <c r="G114" s="24"/>
      <c r="H114" s="24"/>
      <c r="I114" s="24"/>
      <c r="J114" s="24"/>
      <c r="K114" s="24"/>
      <c r="L114" s="25"/>
      <c r="M114" s="176"/>
    </row>
    <row r="115" spans="1:16" s="52" customFormat="1" ht="18" customHeight="1">
      <c r="A115" s="46">
        <v>-1</v>
      </c>
      <c r="B115" s="47" t="s">
        <v>377</v>
      </c>
      <c r="C115" s="46"/>
      <c r="D115" s="48"/>
      <c r="E115" s="48"/>
      <c r="F115" s="49"/>
      <c r="G115" s="50"/>
      <c r="H115" s="50"/>
      <c r="I115" s="50"/>
      <c r="J115" s="50"/>
      <c r="K115" s="50"/>
      <c r="L115" s="51"/>
      <c r="M115" s="176"/>
      <c r="O115" s="165"/>
      <c r="P115" s="170"/>
    </row>
    <row r="116" spans="1:16" s="52" customFormat="1" ht="18" customHeight="1">
      <c r="A116" s="53" t="s">
        <v>41</v>
      </c>
      <c r="B116" s="47" t="s">
        <v>645</v>
      </c>
      <c r="C116" s="53" t="s">
        <v>647</v>
      </c>
      <c r="D116" s="48" t="s">
        <v>376</v>
      </c>
      <c r="E116" s="48" t="s">
        <v>37</v>
      </c>
      <c r="F116" s="54">
        <v>2</v>
      </c>
      <c r="G116" s="50">
        <f>275000*1.2</f>
        <v>330000</v>
      </c>
      <c r="H116" s="50">
        <f t="shared" ref="H116" si="56">F116*G116</f>
        <v>660000</v>
      </c>
      <c r="I116" s="50">
        <v>55000</v>
      </c>
      <c r="J116" s="50">
        <f t="shared" ref="J116" si="57">F116*I116</f>
        <v>110000</v>
      </c>
      <c r="K116" s="50">
        <f t="shared" ref="K116" si="58">G116+I116</f>
        <v>385000</v>
      </c>
      <c r="L116" s="51">
        <f t="shared" ref="L116" si="59">F116*K116</f>
        <v>770000</v>
      </c>
      <c r="M116" s="175"/>
      <c r="O116" s="165"/>
      <c r="P116" s="170"/>
    </row>
    <row r="117" spans="1:16" s="52" customFormat="1" ht="18" customHeight="1">
      <c r="A117" s="53" t="s">
        <v>41</v>
      </c>
      <c r="B117" s="47" t="s">
        <v>646</v>
      </c>
      <c r="C117" s="53" t="s">
        <v>647</v>
      </c>
      <c r="D117" s="48" t="s">
        <v>376</v>
      </c>
      <c r="E117" s="48" t="s">
        <v>37</v>
      </c>
      <c r="F117" s="54">
        <v>2</v>
      </c>
      <c r="G117" s="50">
        <f>275000*1.2</f>
        <v>330000</v>
      </c>
      <c r="H117" s="50">
        <f t="shared" ref="H117" si="60">F117*G117</f>
        <v>660000</v>
      </c>
      <c r="I117" s="50">
        <v>55000</v>
      </c>
      <c r="J117" s="50">
        <f t="shared" ref="J117" si="61">F117*I117</f>
        <v>110000</v>
      </c>
      <c r="K117" s="50">
        <f t="shared" ref="K117" si="62">G117+I117</f>
        <v>385000</v>
      </c>
      <c r="L117" s="51">
        <f t="shared" ref="L117" si="63">F117*K117</f>
        <v>770000</v>
      </c>
      <c r="M117" s="175"/>
      <c r="O117" s="165"/>
      <c r="P117" s="170"/>
    </row>
    <row r="118" spans="1:16" s="52" customFormat="1" ht="18" customHeight="1">
      <c r="A118" s="53" t="s">
        <v>41</v>
      </c>
      <c r="B118" s="47" t="s">
        <v>464</v>
      </c>
      <c r="C118" s="53" t="s">
        <v>465</v>
      </c>
      <c r="D118" s="48" t="s">
        <v>652</v>
      </c>
      <c r="E118" s="48" t="s">
        <v>37</v>
      </c>
      <c r="F118" s="54">
        <v>2</v>
      </c>
      <c r="G118" s="50">
        <f>275000*1.2</f>
        <v>330000</v>
      </c>
      <c r="H118" s="50">
        <f t="shared" ref="H118:H136" si="64">F118*G118</f>
        <v>660000</v>
      </c>
      <c r="I118" s="50">
        <v>55000</v>
      </c>
      <c r="J118" s="50">
        <f t="shared" ref="J118:J136" si="65">F118*I118</f>
        <v>110000</v>
      </c>
      <c r="K118" s="50">
        <f t="shared" ref="K118:K128" si="66">G118+I118</f>
        <v>385000</v>
      </c>
      <c r="L118" s="51">
        <f t="shared" ref="L118:L136" si="67">F118*K118</f>
        <v>770000</v>
      </c>
      <c r="M118" s="175"/>
      <c r="O118" s="165"/>
      <c r="P118" s="170"/>
    </row>
    <row r="119" spans="1:16" s="52" customFormat="1" ht="18" hidden="1" customHeight="1">
      <c r="A119" s="53" t="s">
        <v>188</v>
      </c>
      <c r="B119" s="47" t="s">
        <v>227</v>
      </c>
      <c r="C119" s="347" t="s">
        <v>411</v>
      </c>
      <c r="D119" s="347" t="s">
        <v>409</v>
      </c>
      <c r="E119" s="48" t="s">
        <v>37</v>
      </c>
      <c r="F119" s="54"/>
      <c r="G119" s="50">
        <v>250000</v>
      </c>
      <c r="H119" s="50">
        <f t="shared" si="64"/>
        <v>0</v>
      </c>
      <c r="I119" s="50">
        <v>150000</v>
      </c>
      <c r="J119" s="50">
        <f t="shared" si="65"/>
        <v>0</v>
      </c>
      <c r="K119" s="50">
        <f t="shared" si="66"/>
        <v>400000</v>
      </c>
      <c r="L119" s="51">
        <f t="shared" si="67"/>
        <v>0</v>
      </c>
      <c r="M119" s="176"/>
      <c r="O119" s="165"/>
      <c r="P119" s="170"/>
    </row>
    <row r="120" spans="1:16" s="52" customFormat="1" ht="18" customHeight="1">
      <c r="A120" s="53" t="s">
        <v>188</v>
      </c>
      <c r="B120" s="47" t="s">
        <v>463</v>
      </c>
      <c r="C120" s="53" t="s">
        <v>465</v>
      </c>
      <c r="D120" s="48" t="s">
        <v>652</v>
      </c>
      <c r="E120" s="48" t="s">
        <v>37</v>
      </c>
      <c r="F120" s="54">
        <v>2</v>
      </c>
      <c r="G120" s="50">
        <f>275000*1.2</f>
        <v>330000</v>
      </c>
      <c r="H120" s="50">
        <f t="shared" ref="H120:H129" si="68">F120*G120</f>
        <v>660000</v>
      </c>
      <c r="I120" s="50">
        <v>55000</v>
      </c>
      <c r="J120" s="50">
        <f t="shared" ref="J120:J129" si="69">F120*I120</f>
        <v>110000</v>
      </c>
      <c r="K120" s="50">
        <f t="shared" ref="K120:K127" si="70">G120+I120</f>
        <v>385000</v>
      </c>
      <c r="L120" s="51">
        <f t="shared" ref="L120:L129" si="71">F120*K120</f>
        <v>770000</v>
      </c>
      <c r="M120" s="176"/>
      <c r="O120" s="165"/>
      <c r="P120" s="170"/>
    </row>
    <row r="121" spans="1:16" s="52" customFormat="1" ht="18" customHeight="1">
      <c r="A121" s="53" t="s">
        <v>41</v>
      </c>
      <c r="B121" s="47" t="s">
        <v>661</v>
      </c>
      <c r="C121" s="53" t="s">
        <v>653</v>
      </c>
      <c r="D121" s="268" t="s">
        <v>376</v>
      </c>
      <c r="E121" s="48" t="s">
        <v>102</v>
      </c>
      <c r="F121" s="54">
        <v>5</v>
      </c>
      <c r="G121" s="50">
        <v>130000</v>
      </c>
      <c r="H121" s="50">
        <f t="shared" si="68"/>
        <v>650000</v>
      </c>
      <c r="I121" s="50">
        <v>30000</v>
      </c>
      <c r="J121" s="50">
        <f t="shared" si="69"/>
        <v>150000</v>
      </c>
      <c r="K121" s="50">
        <f t="shared" si="70"/>
        <v>160000</v>
      </c>
      <c r="L121" s="51">
        <f t="shared" si="71"/>
        <v>800000</v>
      </c>
      <c r="M121" s="175"/>
      <c r="O121" s="165"/>
      <c r="P121" s="170"/>
    </row>
    <row r="122" spans="1:16" s="52" customFormat="1" ht="18" customHeight="1">
      <c r="A122" s="53" t="s">
        <v>41</v>
      </c>
      <c r="B122" s="47" t="s">
        <v>709</v>
      </c>
      <c r="C122" s="53" t="s">
        <v>653</v>
      </c>
      <c r="D122" s="268" t="s">
        <v>376</v>
      </c>
      <c r="E122" s="48" t="s">
        <v>102</v>
      </c>
      <c r="F122" s="54">
        <v>6</v>
      </c>
      <c r="G122" s="50">
        <v>130000</v>
      </c>
      <c r="H122" s="50">
        <f t="shared" si="68"/>
        <v>780000</v>
      </c>
      <c r="I122" s="50">
        <v>30000</v>
      </c>
      <c r="J122" s="50">
        <f t="shared" si="69"/>
        <v>180000</v>
      </c>
      <c r="K122" s="50">
        <f t="shared" si="70"/>
        <v>160000</v>
      </c>
      <c r="L122" s="51">
        <f t="shared" si="71"/>
        <v>960000</v>
      </c>
      <c r="M122" s="175"/>
      <c r="O122" s="165"/>
      <c r="P122" s="170"/>
    </row>
    <row r="123" spans="1:16" s="52" customFormat="1" ht="18" customHeight="1">
      <c r="A123" s="53" t="s">
        <v>41</v>
      </c>
      <c r="B123" s="47" t="s">
        <v>662</v>
      </c>
      <c r="C123" s="53" t="s">
        <v>653</v>
      </c>
      <c r="D123" s="268" t="s">
        <v>376</v>
      </c>
      <c r="E123" s="48" t="s">
        <v>74</v>
      </c>
      <c r="F123" s="54">
        <v>1</v>
      </c>
      <c r="G123" s="50">
        <v>250000</v>
      </c>
      <c r="H123" s="50">
        <f t="shared" si="68"/>
        <v>250000</v>
      </c>
      <c r="I123" s="50">
        <v>50000</v>
      </c>
      <c r="J123" s="50">
        <f t="shared" si="69"/>
        <v>50000</v>
      </c>
      <c r="K123" s="50">
        <f t="shared" si="70"/>
        <v>300000</v>
      </c>
      <c r="L123" s="51">
        <f t="shared" si="71"/>
        <v>300000</v>
      </c>
      <c r="M123" s="175"/>
      <c r="O123" s="165"/>
      <c r="P123" s="170"/>
    </row>
    <row r="124" spans="1:16" s="52" customFormat="1" ht="18" customHeight="1">
      <c r="A124" s="267" t="s">
        <v>41</v>
      </c>
      <c r="B124" s="295" t="s">
        <v>649</v>
      </c>
      <c r="C124" s="267" t="s">
        <v>650</v>
      </c>
      <c r="D124" s="408" t="s">
        <v>715</v>
      </c>
      <c r="E124" s="384" t="s">
        <v>74</v>
      </c>
      <c r="F124" s="385">
        <v>2</v>
      </c>
      <c r="G124" s="386">
        <v>3800000</v>
      </c>
      <c r="H124" s="386">
        <f t="shared" si="68"/>
        <v>7600000</v>
      </c>
      <c r="I124" s="386">
        <v>500000</v>
      </c>
      <c r="J124" s="386">
        <f t="shared" si="69"/>
        <v>1000000</v>
      </c>
      <c r="K124" s="386">
        <f t="shared" si="70"/>
        <v>4300000</v>
      </c>
      <c r="L124" s="387">
        <f t="shared" si="71"/>
        <v>8600000</v>
      </c>
      <c r="M124" s="291" t="s">
        <v>717</v>
      </c>
      <c r="O124" s="165"/>
      <c r="P124" s="170"/>
    </row>
    <row r="125" spans="1:16" s="52" customFormat="1" ht="18" customHeight="1">
      <c r="A125" s="267" t="s">
        <v>41</v>
      </c>
      <c r="B125" s="295" t="s">
        <v>723</v>
      </c>
      <c r="C125" s="267" t="s">
        <v>650</v>
      </c>
      <c r="D125" s="408" t="s">
        <v>715</v>
      </c>
      <c r="E125" s="384" t="s">
        <v>74</v>
      </c>
      <c r="F125" s="385">
        <v>1</v>
      </c>
      <c r="G125" s="386">
        <v>0</v>
      </c>
      <c r="H125" s="386">
        <f t="shared" ref="H125" si="72">F125*G125</f>
        <v>0</v>
      </c>
      <c r="I125" s="386">
        <v>1000000</v>
      </c>
      <c r="J125" s="386">
        <f t="shared" ref="J125" si="73">F125*I125</f>
        <v>1000000</v>
      </c>
      <c r="K125" s="386">
        <f t="shared" ref="K125" si="74">G125+I125</f>
        <v>1000000</v>
      </c>
      <c r="L125" s="387">
        <f t="shared" ref="L125" si="75">F125*K125</f>
        <v>1000000</v>
      </c>
      <c r="M125" s="291" t="s">
        <v>717</v>
      </c>
      <c r="O125" s="165"/>
      <c r="P125" s="170"/>
    </row>
    <row r="126" spans="1:16" s="52" customFormat="1" ht="18" customHeight="1">
      <c r="A126" s="267" t="s">
        <v>41</v>
      </c>
      <c r="B126" s="295" t="s">
        <v>716</v>
      </c>
      <c r="C126" s="267" t="s">
        <v>650</v>
      </c>
      <c r="D126" s="408" t="s">
        <v>715</v>
      </c>
      <c r="E126" s="384" t="s">
        <v>74</v>
      </c>
      <c r="F126" s="385">
        <v>1</v>
      </c>
      <c r="G126" s="386">
        <v>0</v>
      </c>
      <c r="H126" s="386">
        <f t="shared" ref="H126" si="76">F126*G126</f>
        <v>0</v>
      </c>
      <c r="I126" s="386">
        <v>1000000</v>
      </c>
      <c r="J126" s="386">
        <f t="shared" ref="J126" si="77">F126*I126</f>
        <v>1000000</v>
      </c>
      <c r="K126" s="386">
        <f t="shared" ref="K126" si="78">G126+I126</f>
        <v>1000000</v>
      </c>
      <c r="L126" s="387">
        <f t="shared" ref="L126" si="79">F126*K126</f>
        <v>1000000</v>
      </c>
      <c r="M126" s="291" t="s">
        <v>717</v>
      </c>
      <c r="O126" s="165"/>
      <c r="P126" s="170"/>
    </row>
    <row r="127" spans="1:16" s="389" customFormat="1" ht="18" customHeight="1">
      <c r="A127" s="267" t="s">
        <v>188</v>
      </c>
      <c r="B127" s="295" t="s">
        <v>228</v>
      </c>
      <c r="C127" s="267" t="s">
        <v>648</v>
      </c>
      <c r="D127" s="267" t="s">
        <v>581</v>
      </c>
      <c r="E127" s="384" t="s">
        <v>40</v>
      </c>
      <c r="F127" s="385">
        <v>0</v>
      </c>
      <c r="G127" s="386">
        <v>266000</v>
      </c>
      <c r="H127" s="386">
        <f t="shared" si="68"/>
        <v>0</v>
      </c>
      <c r="I127" s="386">
        <v>50000</v>
      </c>
      <c r="J127" s="386">
        <f t="shared" si="69"/>
        <v>0</v>
      </c>
      <c r="K127" s="386">
        <f t="shared" si="70"/>
        <v>316000</v>
      </c>
      <c r="L127" s="387">
        <f t="shared" si="71"/>
        <v>0</v>
      </c>
      <c r="M127" s="408"/>
      <c r="O127" s="390"/>
      <c r="P127" s="391"/>
    </row>
    <row r="128" spans="1:16" s="52" customFormat="1" ht="18" hidden="1" customHeight="1">
      <c r="A128" s="53" t="s">
        <v>12</v>
      </c>
      <c r="B128" s="47" t="s">
        <v>247</v>
      </c>
      <c r="C128" s="53" t="s">
        <v>248</v>
      </c>
      <c r="D128" s="48"/>
      <c r="E128" s="48" t="s">
        <v>74</v>
      </c>
      <c r="F128" s="54"/>
      <c r="G128" s="50">
        <v>130000</v>
      </c>
      <c r="H128" s="50">
        <f t="shared" si="68"/>
        <v>0</v>
      </c>
      <c r="I128" s="50">
        <v>20000</v>
      </c>
      <c r="J128" s="50">
        <f t="shared" si="69"/>
        <v>0</v>
      </c>
      <c r="K128" s="50">
        <f t="shared" si="66"/>
        <v>150000</v>
      </c>
      <c r="L128" s="51">
        <f t="shared" si="71"/>
        <v>0</v>
      </c>
      <c r="M128" s="176"/>
      <c r="O128" s="165"/>
      <c r="P128" s="170"/>
    </row>
    <row r="129" spans="1:16" s="276" customFormat="1" ht="18" customHeight="1">
      <c r="A129" s="345" t="s">
        <v>482</v>
      </c>
      <c r="B129" s="327" t="s">
        <v>503</v>
      </c>
      <c r="C129" s="347" t="s">
        <v>413</v>
      </c>
      <c r="D129" s="347" t="s">
        <v>651</v>
      </c>
      <c r="E129" s="271" t="s">
        <v>412</v>
      </c>
      <c r="F129" s="54">
        <v>3</v>
      </c>
      <c r="G129" s="273">
        <v>1540000</v>
      </c>
      <c r="H129" s="273">
        <f t="shared" si="68"/>
        <v>4620000</v>
      </c>
      <c r="I129" s="273">
        <v>500000</v>
      </c>
      <c r="J129" s="273">
        <f t="shared" si="69"/>
        <v>1500000</v>
      </c>
      <c r="K129" s="273">
        <f>G129+I129</f>
        <v>2040000</v>
      </c>
      <c r="L129" s="274">
        <f t="shared" si="71"/>
        <v>6120000</v>
      </c>
      <c r="M129" s="271"/>
      <c r="O129" s="277"/>
      <c r="P129" s="278"/>
    </row>
    <row r="130" spans="1:16" s="52" customFormat="1" ht="18" customHeight="1">
      <c r="A130" s="53" t="s">
        <v>239</v>
      </c>
      <c r="B130" s="47" t="s">
        <v>582</v>
      </c>
      <c r="C130" s="53"/>
      <c r="D130" s="268"/>
      <c r="E130" s="48" t="s">
        <v>241</v>
      </c>
      <c r="F130" s="54">
        <v>6.4</v>
      </c>
      <c r="G130" s="50">
        <v>230000</v>
      </c>
      <c r="H130" s="50">
        <f t="shared" si="64"/>
        <v>1472000</v>
      </c>
      <c r="I130" s="50">
        <v>50000</v>
      </c>
      <c r="J130" s="50">
        <f t="shared" si="65"/>
        <v>320000</v>
      </c>
      <c r="K130" s="50">
        <f t="shared" ref="K130:K136" si="80">G130+I130</f>
        <v>280000</v>
      </c>
      <c r="L130" s="51">
        <f t="shared" si="67"/>
        <v>1792000</v>
      </c>
      <c r="M130" s="175"/>
      <c r="O130" s="165"/>
      <c r="P130" s="170"/>
    </row>
    <row r="131" spans="1:16" s="52" customFormat="1" ht="18" hidden="1" customHeight="1">
      <c r="A131" s="53" t="s">
        <v>239</v>
      </c>
      <c r="B131" s="47" t="s">
        <v>240</v>
      </c>
      <c r="C131" s="53"/>
      <c r="D131" s="268"/>
      <c r="E131" s="48" t="s">
        <v>241</v>
      </c>
      <c r="F131" s="54"/>
      <c r="G131" s="50">
        <v>225000</v>
      </c>
      <c r="H131" s="50">
        <f t="shared" si="64"/>
        <v>0</v>
      </c>
      <c r="I131" s="50">
        <v>33000</v>
      </c>
      <c r="J131" s="50">
        <f t="shared" si="65"/>
        <v>0</v>
      </c>
      <c r="K131" s="50">
        <f t="shared" si="80"/>
        <v>258000</v>
      </c>
      <c r="L131" s="51">
        <f t="shared" si="67"/>
        <v>0</v>
      </c>
      <c r="M131" s="175"/>
      <c r="O131" s="165"/>
      <c r="P131" s="170"/>
    </row>
    <row r="132" spans="1:16" s="52" customFormat="1" ht="18" hidden="1" customHeight="1">
      <c r="A132" s="53" t="s">
        <v>239</v>
      </c>
      <c r="B132" s="47" t="s">
        <v>242</v>
      </c>
      <c r="C132" s="53" t="s">
        <v>243</v>
      </c>
      <c r="D132" s="268" t="s">
        <v>244</v>
      </c>
      <c r="E132" s="48" t="s">
        <v>245</v>
      </c>
      <c r="F132" s="54"/>
      <c r="G132" s="50">
        <v>500000</v>
      </c>
      <c r="H132" s="50">
        <f t="shared" si="64"/>
        <v>0</v>
      </c>
      <c r="I132" s="50">
        <v>80000</v>
      </c>
      <c r="J132" s="50">
        <f t="shared" si="65"/>
        <v>0</v>
      </c>
      <c r="K132" s="50">
        <f t="shared" si="80"/>
        <v>580000</v>
      </c>
      <c r="L132" s="51">
        <f t="shared" si="67"/>
        <v>0</v>
      </c>
      <c r="M132" s="175"/>
      <c r="O132" s="165"/>
      <c r="P132" s="170"/>
    </row>
    <row r="133" spans="1:16" s="52" customFormat="1" ht="18" customHeight="1">
      <c r="A133" s="53" t="s">
        <v>239</v>
      </c>
      <c r="B133" s="47" t="s">
        <v>246</v>
      </c>
      <c r="C133" s="53"/>
      <c r="D133" s="268"/>
      <c r="E133" s="48" t="s">
        <v>40</v>
      </c>
      <c r="F133" s="54">
        <v>10</v>
      </c>
      <c r="G133" s="50">
        <v>100000</v>
      </c>
      <c r="H133" s="50">
        <f>F133*G133</f>
        <v>1000000</v>
      </c>
      <c r="I133" s="50">
        <v>40000</v>
      </c>
      <c r="J133" s="50">
        <f>F133*I133</f>
        <v>400000</v>
      </c>
      <c r="K133" s="50">
        <f>G133+I133</f>
        <v>140000</v>
      </c>
      <c r="L133" s="51">
        <f>F133*K133</f>
        <v>1400000</v>
      </c>
      <c r="M133" s="175"/>
      <c r="O133" s="165"/>
      <c r="P133" s="170"/>
    </row>
    <row r="134" spans="1:16" s="52" customFormat="1" ht="18" customHeight="1">
      <c r="A134" s="53" t="s">
        <v>578</v>
      </c>
      <c r="B134" s="47" t="s">
        <v>579</v>
      </c>
      <c r="C134" s="53" t="s">
        <v>580</v>
      </c>
      <c r="D134" s="268"/>
      <c r="E134" s="48" t="s">
        <v>245</v>
      </c>
      <c r="F134" s="54">
        <v>1</v>
      </c>
      <c r="G134" s="50">
        <v>235000</v>
      </c>
      <c r="H134" s="50">
        <f>F134*G134</f>
        <v>235000</v>
      </c>
      <c r="I134" s="50">
        <v>50000</v>
      </c>
      <c r="J134" s="50">
        <f>F134*I134</f>
        <v>50000</v>
      </c>
      <c r="K134" s="50">
        <f>G134+I134</f>
        <v>285000</v>
      </c>
      <c r="L134" s="51">
        <f>F134*K134</f>
        <v>285000</v>
      </c>
      <c r="M134" s="175"/>
      <c r="O134" s="165"/>
      <c r="P134" s="170"/>
    </row>
    <row r="135" spans="1:16" s="52" customFormat="1" ht="18" customHeight="1">
      <c r="A135" s="53" t="s">
        <v>188</v>
      </c>
      <c r="B135" s="47" t="s">
        <v>167</v>
      </c>
      <c r="C135" s="53" t="s">
        <v>454</v>
      </c>
      <c r="D135" s="53"/>
      <c r="E135" s="48" t="s">
        <v>40</v>
      </c>
      <c r="F135" s="54">
        <v>1</v>
      </c>
      <c r="G135" s="50">
        <v>380000</v>
      </c>
      <c r="H135" s="50">
        <f>F135*G135</f>
        <v>380000</v>
      </c>
      <c r="I135" s="50">
        <v>50000</v>
      </c>
      <c r="J135" s="50">
        <f>F135*I135</f>
        <v>50000</v>
      </c>
      <c r="K135" s="50">
        <f>G135+I135</f>
        <v>430000</v>
      </c>
      <c r="L135" s="51">
        <f>F135*K135</f>
        <v>430000</v>
      </c>
      <c r="M135" s="175"/>
      <c r="O135" s="165"/>
      <c r="P135" s="170"/>
    </row>
    <row r="136" spans="1:16" s="52" customFormat="1" ht="18" hidden="1" customHeight="1">
      <c r="A136" s="53" t="s">
        <v>310</v>
      </c>
      <c r="B136" s="47" t="s">
        <v>312</v>
      </c>
      <c r="C136" s="53"/>
      <c r="D136" s="268" t="s">
        <v>465</v>
      </c>
      <c r="E136" s="48" t="s">
        <v>245</v>
      </c>
      <c r="F136" s="54"/>
      <c r="G136" s="50">
        <v>100000</v>
      </c>
      <c r="H136" s="50">
        <f t="shared" si="64"/>
        <v>0</v>
      </c>
      <c r="I136" s="50">
        <v>40000</v>
      </c>
      <c r="J136" s="50">
        <f t="shared" si="65"/>
        <v>0</v>
      </c>
      <c r="K136" s="50">
        <f t="shared" si="80"/>
        <v>140000</v>
      </c>
      <c r="L136" s="51">
        <f t="shared" si="67"/>
        <v>0</v>
      </c>
      <c r="M136" s="175"/>
      <c r="O136" s="165"/>
      <c r="P136" s="170"/>
    </row>
    <row r="137" spans="1:16" ht="18" hidden="1" customHeight="1">
      <c r="A137" s="9" t="s">
        <v>332</v>
      </c>
      <c r="B137" s="10" t="s">
        <v>336</v>
      </c>
      <c r="C137" s="9" t="s">
        <v>466</v>
      </c>
      <c r="D137" s="48"/>
      <c r="E137" s="4" t="s">
        <v>337</v>
      </c>
      <c r="F137" s="54"/>
      <c r="G137" s="24">
        <v>150000</v>
      </c>
      <c r="H137" s="24">
        <f>F137*G137</f>
        <v>0</v>
      </c>
      <c r="I137" s="24">
        <v>30000</v>
      </c>
      <c r="J137" s="24">
        <f>F137*I137</f>
        <v>0</v>
      </c>
      <c r="K137" s="24">
        <f t="shared" ref="K137:K141" si="81">G137+I137</f>
        <v>180000</v>
      </c>
      <c r="L137" s="25">
        <f>F137*K137</f>
        <v>0</v>
      </c>
      <c r="M137" s="176"/>
    </row>
    <row r="138" spans="1:16" s="52" customFormat="1" ht="18" hidden="1" customHeight="1">
      <c r="A138" s="53" t="s">
        <v>41</v>
      </c>
      <c r="B138" s="47" t="s">
        <v>338</v>
      </c>
      <c r="C138" s="347"/>
      <c r="D138" s="48"/>
      <c r="E138" s="48" t="s">
        <v>37</v>
      </c>
      <c r="F138" s="54"/>
      <c r="G138" s="50">
        <v>230000</v>
      </c>
      <c r="H138" s="50">
        <f>F138*G138</f>
        <v>0</v>
      </c>
      <c r="I138" s="50">
        <v>50000</v>
      </c>
      <c r="J138" s="50">
        <f>F138*I138</f>
        <v>0</v>
      </c>
      <c r="K138" s="50">
        <f t="shared" si="81"/>
        <v>280000</v>
      </c>
      <c r="L138" s="51">
        <f>F138*K138</f>
        <v>0</v>
      </c>
      <c r="M138" s="175"/>
      <c r="O138" s="165"/>
      <c r="P138" s="170"/>
    </row>
    <row r="139" spans="1:16" s="52" customFormat="1" ht="18" customHeight="1">
      <c r="A139" s="53" t="s">
        <v>41</v>
      </c>
      <c r="B139" s="47" t="s">
        <v>399</v>
      </c>
      <c r="C139" s="347"/>
      <c r="D139" s="347"/>
      <c r="E139" s="48" t="s">
        <v>37</v>
      </c>
      <c r="F139" s="54">
        <v>0</v>
      </c>
      <c r="G139" s="50">
        <v>225000</v>
      </c>
      <c r="H139" s="50">
        <f t="shared" ref="H139:H140" si="82">F139*G139</f>
        <v>0</v>
      </c>
      <c r="I139" s="50">
        <v>150000</v>
      </c>
      <c r="J139" s="50">
        <f t="shared" ref="J139:J140" si="83">F139*I139</f>
        <v>0</v>
      </c>
      <c r="K139" s="50">
        <f t="shared" si="81"/>
        <v>375000</v>
      </c>
      <c r="L139" s="51">
        <f t="shared" ref="L139:L144" si="84">F139*K139</f>
        <v>0</v>
      </c>
      <c r="M139" s="175"/>
      <c r="O139" s="165"/>
      <c r="P139" s="170"/>
    </row>
    <row r="140" spans="1:16" s="52" customFormat="1" ht="18" hidden="1" customHeight="1">
      <c r="A140" s="53" t="s">
        <v>12</v>
      </c>
      <c r="B140" s="47" t="s">
        <v>400</v>
      </c>
      <c r="C140" s="347" t="s">
        <v>248</v>
      </c>
      <c r="D140" s="48"/>
      <c r="E140" s="48" t="s">
        <v>74</v>
      </c>
      <c r="F140" s="54"/>
      <c r="G140" s="50">
        <v>60000</v>
      </c>
      <c r="H140" s="50">
        <f t="shared" si="82"/>
        <v>0</v>
      </c>
      <c r="I140" s="50">
        <v>20000</v>
      </c>
      <c r="J140" s="50">
        <f t="shared" si="83"/>
        <v>0</v>
      </c>
      <c r="K140" s="50">
        <f t="shared" si="81"/>
        <v>80000</v>
      </c>
      <c r="L140" s="51">
        <f t="shared" si="84"/>
        <v>0</v>
      </c>
      <c r="M140" s="176"/>
      <c r="O140" s="165"/>
      <c r="P140" s="170"/>
    </row>
    <row r="141" spans="1:16" s="52" customFormat="1" ht="18" hidden="1" customHeight="1">
      <c r="A141" s="53" t="s">
        <v>41</v>
      </c>
      <c r="B141" s="47" t="s">
        <v>339</v>
      </c>
      <c r="C141" s="347" t="s">
        <v>351</v>
      </c>
      <c r="D141" s="48"/>
      <c r="E141" s="48" t="s">
        <v>102</v>
      </c>
      <c r="F141" s="54"/>
      <c r="G141" s="50">
        <v>120000</v>
      </c>
      <c r="H141" s="50">
        <f>F141*G141</f>
        <v>0</v>
      </c>
      <c r="I141" s="50">
        <v>30000</v>
      </c>
      <c r="J141" s="50">
        <f>F141*I141</f>
        <v>0</v>
      </c>
      <c r="K141" s="50">
        <f t="shared" si="81"/>
        <v>150000</v>
      </c>
      <c r="L141" s="51">
        <f t="shared" si="84"/>
        <v>0</v>
      </c>
      <c r="M141" s="176"/>
      <c r="O141" s="165">
        <f>40/3</f>
        <v>13.333333333333334</v>
      </c>
      <c r="P141" s="170"/>
    </row>
    <row r="142" spans="1:16" s="52" customFormat="1" ht="18" hidden="1" customHeight="1">
      <c r="A142" s="53"/>
      <c r="B142" s="47"/>
      <c r="C142" s="53"/>
      <c r="D142" s="48"/>
      <c r="E142" s="48"/>
      <c r="F142" s="54"/>
      <c r="G142" s="50"/>
      <c r="H142" s="50"/>
      <c r="I142" s="50"/>
      <c r="J142" s="50"/>
      <c r="K142" s="50"/>
      <c r="L142" s="51"/>
      <c r="M142" s="176"/>
      <c r="O142" s="165"/>
      <c r="P142" s="170"/>
    </row>
    <row r="143" spans="1:16" s="52" customFormat="1" ht="18" hidden="1" customHeight="1">
      <c r="A143" s="53">
        <v>-1</v>
      </c>
      <c r="B143" s="47" t="s">
        <v>378</v>
      </c>
      <c r="C143" s="53"/>
      <c r="D143" s="48"/>
      <c r="E143" s="48"/>
      <c r="F143" s="54"/>
      <c r="G143" s="50"/>
      <c r="H143" s="50"/>
      <c r="I143" s="50"/>
      <c r="J143" s="50"/>
      <c r="K143" s="50"/>
      <c r="L143" s="51"/>
      <c r="M143" s="176"/>
      <c r="O143" s="165"/>
      <c r="P143" s="170"/>
    </row>
    <row r="144" spans="1:16" s="52" customFormat="1" ht="18" customHeight="1">
      <c r="A144" s="53" t="s">
        <v>41</v>
      </c>
      <c r="B144" s="47" t="s">
        <v>256</v>
      </c>
      <c r="C144" s="53" t="s">
        <v>565</v>
      </c>
      <c r="D144" s="48"/>
      <c r="E144" s="48" t="s">
        <v>74</v>
      </c>
      <c r="F144" s="54">
        <v>3</v>
      </c>
      <c r="G144" s="50">
        <v>250000</v>
      </c>
      <c r="H144" s="50">
        <f>F144*G144</f>
        <v>750000</v>
      </c>
      <c r="I144" s="50">
        <v>100000</v>
      </c>
      <c r="J144" s="50">
        <f>F144*I144</f>
        <v>300000</v>
      </c>
      <c r="K144" s="50">
        <f>G144+I144</f>
        <v>350000</v>
      </c>
      <c r="L144" s="51">
        <f t="shared" si="84"/>
        <v>1050000</v>
      </c>
      <c r="M144" s="175"/>
      <c r="O144" s="165"/>
      <c r="P144" s="170"/>
    </row>
    <row r="145" spans="1:16" s="52" customFormat="1" ht="18" hidden="1" customHeight="1">
      <c r="A145" s="53" t="s">
        <v>41</v>
      </c>
      <c r="B145" s="47" t="s">
        <v>563</v>
      </c>
      <c r="C145" s="53" t="s">
        <v>564</v>
      </c>
      <c r="D145" s="48"/>
      <c r="E145" s="48" t="s">
        <v>102</v>
      </c>
      <c r="F145" s="54"/>
      <c r="G145" s="50">
        <v>120000</v>
      </c>
      <c r="H145" s="50">
        <f>F145*G145</f>
        <v>0</v>
      </c>
      <c r="I145" s="50">
        <v>30000</v>
      </c>
      <c r="J145" s="50">
        <f>F145*I145</f>
        <v>0</v>
      </c>
      <c r="K145" s="50">
        <f>G145+I145</f>
        <v>150000</v>
      </c>
      <c r="L145" s="51">
        <f>F145*K145</f>
        <v>0</v>
      </c>
      <c r="M145" s="176"/>
      <c r="O145" s="165">
        <f>(39+26)/3</f>
        <v>21.666666666666668</v>
      </c>
      <c r="P145" s="170"/>
    </row>
    <row r="146" spans="1:16" s="52" customFormat="1" ht="18" customHeight="1">
      <c r="A146" s="53"/>
      <c r="B146" s="47"/>
      <c r="C146" s="347"/>
      <c r="D146" s="48"/>
      <c r="E146" s="48"/>
      <c r="F146" s="54"/>
      <c r="G146" s="50"/>
      <c r="H146" s="50"/>
      <c r="I146" s="50"/>
      <c r="J146" s="50"/>
      <c r="K146" s="50"/>
      <c r="L146" s="51"/>
      <c r="M146" s="175"/>
      <c r="O146" s="165"/>
      <c r="P146" s="170"/>
    </row>
    <row r="147" spans="1:16" s="52" customFormat="1" ht="18" customHeight="1">
      <c r="A147" s="46">
        <v>-1</v>
      </c>
      <c r="B147" s="47" t="s">
        <v>656</v>
      </c>
      <c r="C147" s="46"/>
      <c r="D147" s="48"/>
      <c r="E147" s="48"/>
      <c r="F147" s="49"/>
      <c r="G147" s="50"/>
      <c r="H147" s="50"/>
      <c r="I147" s="50"/>
      <c r="J147" s="50"/>
      <c r="K147" s="50"/>
      <c r="L147" s="51"/>
      <c r="M147" s="176"/>
      <c r="O147" s="165"/>
      <c r="P147" s="170"/>
    </row>
    <row r="148" spans="1:16" s="52" customFormat="1" ht="18" customHeight="1">
      <c r="A148" s="53" t="s">
        <v>41</v>
      </c>
      <c r="B148" s="47" t="s">
        <v>220</v>
      </c>
      <c r="C148" s="53" t="s">
        <v>657</v>
      </c>
      <c r="D148" s="48" t="s">
        <v>637</v>
      </c>
      <c r="E148" s="48" t="s">
        <v>102</v>
      </c>
      <c r="F148" s="54">
        <v>12</v>
      </c>
      <c r="G148" s="50">
        <f>120000*1.2</f>
        <v>144000</v>
      </c>
      <c r="H148" s="50">
        <f t="shared" ref="H148:H153" si="85">F148*G148</f>
        <v>1728000</v>
      </c>
      <c r="I148" s="50">
        <v>30000</v>
      </c>
      <c r="J148" s="50">
        <f t="shared" ref="J148:J153" si="86">F148*I148</f>
        <v>360000</v>
      </c>
      <c r="K148" s="50">
        <f t="shared" ref="K148:K153" si="87">G148+I148</f>
        <v>174000</v>
      </c>
      <c r="L148" s="51">
        <f t="shared" ref="L148:L153" si="88">F148*K148</f>
        <v>2088000</v>
      </c>
      <c r="M148" s="176"/>
      <c r="O148" s="165">
        <f>(39+26)/3</f>
        <v>21.666666666666668</v>
      </c>
      <c r="P148" s="170"/>
    </row>
    <row r="149" spans="1:16" s="52" customFormat="1" ht="18" hidden="1" customHeight="1">
      <c r="A149" s="53" t="s">
        <v>41</v>
      </c>
      <c r="B149" s="47" t="s">
        <v>220</v>
      </c>
      <c r="C149" s="53" t="s">
        <v>403</v>
      </c>
      <c r="D149" s="48"/>
      <c r="E149" s="48" t="s">
        <v>102</v>
      </c>
      <c r="F149" s="54"/>
      <c r="G149" s="50">
        <v>180000</v>
      </c>
      <c r="H149" s="50">
        <f t="shared" si="85"/>
        <v>0</v>
      </c>
      <c r="I149" s="50">
        <v>30000</v>
      </c>
      <c r="J149" s="50">
        <f t="shared" si="86"/>
        <v>0</v>
      </c>
      <c r="K149" s="50">
        <f t="shared" si="87"/>
        <v>210000</v>
      </c>
      <c r="L149" s="51">
        <f t="shared" si="88"/>
        <v>0</v>
      </c>
      <c r="M149" s="176"/>
      <c r="O149" s="165">
        <f>(39+26)/3</f>
        <v>21.666666666666668</v>
      </c>
      <c r="P149" s="170"/>
    </row>
    <row r="150" spans="1:16" s="52" customFormat="1" ht="18" hidden="1" customHeight="1">
      <c r="A150" s="53" t="s">
        <v>12</v>
      </c>
      <c r="B150" s="47" t="s">
        <v>247</v>
      </c>
      <c r="C150" s="53" t="s">
        <v>248</v>
      </c>
      <c r="D150" s="48"/>
      <c r="E150" s="48" t="s">
        <v>74</v>
      </c>
      <c r="F150" s="54"/>
      <c r="G150" s="50">
        <v>60000</v>
      </c>
      <c r="H150" s="50">
        <f t="shared" si="85"/>
        <v>0</v>
      </c>
      <c r="I150" s="50">
        <v>20000</v>
      </c>
      <c r="J150" s="50">
        <f t="shared" si="86"/>
        <v>0</v>
      </c>
      <c r="K150" s="50">
        <f t="shared" si="87"/>
        <v>80000</v>
      </c>
      <c r="L150" s="51">
        <f t="shared" si="88"/>
        <v>0</v>
      </c>
      <c r="M150" s="176"/>
      <c r="O150" s="165"/>
      <c r="P150" s="170"/>
    </row>
    <row r="151" spans="1:16" s="52" customFormat="1" ht="18" hidden="1" customHeight="1">
      <c r="A151" s="53" t="s">
        <v>328</v>
      </c>
      <c r="B151" s="47" t="s">
        <v>329</v>
      </c>
      <c r="C151" s="53"/>
      <c r="D151" s="48"/>
      <c r="E151" s="48" t="s">
        <v>334</v>
      </c>
      <c r="F151" s="54"/>
      <c r="G151" s="50">
        <v>275000</v>
      </c>
      <c r="H151" s="50">
        <f t="shared" si="85"/>
        <v>0</v>
      </c>
      <c r="I151" s="50">
        <v>55000</v>
      </c>
      <c r="J151" s="50">
        <f t="shared" si="86"/>
        <v>0</v>
      </c>
      <c r="K151" s="50">
        <f t="shared" si="87"/>
        <v>330000</v>
      </c>
      <c r="L151" s="51">
        <f t="shared" si="88"/>
        <v>0</v>
      </c>
      <c r="M151" s="176"/>
      <c r="O151" s="165"/>
      <c r="P151" s="170"/>
    </row>
    <row r="152" spans="1:16" s="52" customFormat="1" ht="18" hidden="1" customHeight="1">
      <c r="A152" s="53" t="s">
        <v>332</v>
      </c>
      <c r="B152" s="47" t="s">
        <v>330</v>
      </c>
      <c r="C152" s="53"/>
      <c r="D152" s="48"/>
      <c r="E152" s="48" t="s">
        <v>333</v>
      </c>
      <c r="F152" s="54"/>
      <c r="G152" s="50">
        <v>120000</v>
      </c>
      <c r="H152" s="50">
        <f t="shared" si="85"/>
        <v>0</v>
      </c>
      <c r="I152" s="50">
        <v>33000</v>
      </c>
      <c r="J152" s="50">
        <f t="shared" si="86"/>
        <v>0</v>
      </c>
      <c r="K152" s="50">
        <f t="shared" si="87"/>
        <v>153000</v>
      </c>
      <c r="L152" s="51">
        <f t="shared" si="88"/>
        <v>0</v>
      </c>
      <c r="M152" s="176"/>
      <c r="O152" s="165"/>
      <c r="P152" s="170"/>
    </row>
    <row r="153" spans="1:16" s="52" customFormat="1" ht="18" hidden="1" customHeight="1">
      <c r="A153" s="53" t="s">
        <v>332</v>
      </c>
      <c r="B153" s="47" t="s">
        <v>331</v>
      </c>
      <c r="C153" s="347"/>
      <c r="D153" s="347" t="s">
        <v>409</v>
      </c>
      <c r="E153" s="48" t="s">
        <v>335</v>
      </c>
      <c r="F153" s="54"/>
      <c r="G153" s="50">
        <v>250000</v>
      </c>
      <c r="H153" s="50">
        <f t="shared" si="85"/>
        <v>0</v>
      </c>
      <c r="I153" s="50">
        <v>150000</v>
      </c>
      <c r="J153" s="50">
        <f t="shared" si="86"/>
        <v>0</v>
      </c>
      <c r="K153" s="50">
        <f t="shared" si="87"/>
        <v>400000</v>
      </c>
      <c r="L153" s="51">
        <f t="shared" si="88"/>
        <v>0</v>
      </c>
      <c r="M153" s="176"/>
      <c r="O153" s="165"/>
      <c r="P153" s="170"/>
    </row>
    <row r="154" spans="1:16" s="52" customFormat="1" ht="18" hidden="1" customHeight="1">
      <c r="A154" s="46">
        <v>-1</v>
      </c>
      <c r="B154" s="47" t="s">
        <v>467</v>
      </c>
      <c r="C154" s="46"/>
      <c r="D154" s="48"/>
      <c r="E154" s="48"/>
      <c r="F154" s="49"/>
      <c r="G154" s="50"/>
      <c r="H154" s="50"/>
      <c r="I154" s="50"/>
      <c r="J154" s="50"/>
      <c r="K154" s="50"/>
      <c r="L154" s="51"/>
      <c r="M154" s="176"/>
      <c r="O154" s="165"/>
      <c r="P154" s="170"/>
    </row>
    <row r="155" spans="1:16" ht="18" hidden="1" customHeight="1">
      <c r="A155" s="9" t="s">
        <v>41</v>
      </c>
      <c r="B155" s="10" t="s">
        <v>336</v>
      </c>
      <c r="C155" s="9" t="s">
        <v>468</v>
      </c>
      <c r="D155" s="48"/>
      <c r="E155" s="4" t="s">
        <v>36</v>
      </c>
      <c r="F155" s="54"/>
      <c r="G155" s="24">
        <v>150000</v>
      </c>
      <c r="H155" s="24">
        <f>F155*G155</f>
        <v>0</v>
      </c>
      <c r="I155" s="24">
        <v>30000</v>
      </c>
      <c r="J155" s="24">
        <f>F155*I155</f>
        <v>0</v>
      </c>
      <c r="K155" s="24">
        <f t="shared" ref="K155" si="89">G155+I155</f>
        <v>180000</v>
      </c>
      <c r="L155" s="25">
        <f>F155*K155</f>
        <v>0</v>
      </c>
      <c r="M155" s="176"/>
    </row>
    <row r="156" spans="1:16" ht="18" hidden="1" customHeight="1">
      <c r="A156" s="9" t="s">
        <v>484</v>
      </c>
      <c r="B156" s="10" t="s">
        <v>485</v>
      </c>
      <c r="C156" s="9" t="s">
        <v>487</v>
      </c>
      <c r="D156" s="48"/>
      <c r="E156" s="4" t="s">
        <v>486</v>
      </c>
      <c r="F156" s="54"/>
      <c r="G156" s="24">
        <v>320000</v>
      </c>
      <c r="H156" s="24">
        <f>F156*G156</f>
        <v>0</v>
      </c>
      <c r="I156" s="24">
        <v>50000</v>
      </c>
      <c r="J156" s="24">
        <f>F156*I156</f>
        <v>0</v>
      </c>
      <c r="K156" s="24">
        <f t="shared" ref="K156" si="90">G156+I156</f>
        <v>370000</v>
      </c>
      <c r="L156" s="25">
        <f>F156*K156</f>
        <v>0</v>
      </c>
      <c r="M156" s="176"/>
    </row>
    <row r="157" spans="1:16" s="52" customFormat="1" ht="18" hidden="1" customHeight="1">
      <c r="A157" s="46"/>
      <c r="B157" s="47"/>
      <c r="C157" s="46"/>
      <c r="D157" s="48"/>
      <c r="E157" s="48"/>
      <c r="F157" s="49"/>
      <c r="G157" s="50"/>
      <c r="H157" s="50"/>
      <c r="I157" s="50"/>
      <c r="J157" s="50"/>
      <c r="K157" s="50"/>
      <c r="L157" s="51"/>
      <c r="M157" s="176"/>
      <c r="O157" s="165"/>
      <c r="P157" s="170"/>
    </row>
    <row r="158" spans="1:16" s="52" customFormat="1" ht="18" hidden="1" customHeight="1">
      <c r="A158" s="46">
        <v>-1</v>
      </c>
      <c r="B158" s="47" t="s">
        <v>469</v>
      </c>
      <c r="C158" s="46"/>
      <c r="D158" s="48"/>
      <c r="E158" s="48"/>
      <c r="F158" s="49"/>
      <c r="G158" s="50"/>
      <c r="H158" s="50"/>
      <c r="I158" s="50"/>
      <c r="J158" s="50"/>
      <c r="K158" s="50"/>
      <c r="L158" s="51"/>
      <c r="M158" s="176"/>
      <c r="O158" s="165"/>
      <c r="P158" s="170"/>
    </row>
    <row r="159" spans="1:16" ht="18" hidden="1" customHeight="1">
      <c r="A159" s="9" t="s">
        <v>41</v>
      </c>
      <c r="B159" s="10" t="s">
        <v>336</v>
      </c>
      <c r="C159" s="9" t="s">
        <v>488</v>
      </c>
      <c r="D159" s="48"/>
      <c r="E159" s="4" t="s">
        <v>36</v>
      </c>
      <c r="F159" s="54"/>
      <c r="G159" s="24">
        <v>150000</v>
      </c>
      <c r="H159" s="24">
        <f>F159*G159</f>
        <v>0</v>
      </c>
      <c r="I159" s="24">
        <v>30000</v>
      </c>
      <c r="J159" s="24">
        <f>F159*I159</f>
        <v>0</v>
      </c>
      <c r="K159" s="24">
        <f t="shared" ref="K159" si="91">G159+I159</f>
        <v>180000</v>
      </c>
      <c r="L159" s="25">
        <f>F159*K159</f>
        <v>0</v>
      </c>
      <c r="M159" s="176"/>
    </row>
    <row r="160" spans="1:16" s="52" customFormat="1" ht="18" hidden="1" customHeight="1">
      <c r="A160" s="46"/>
      <c r="B160" s="47"/>
      <c r="C160" s="46"/>
      <c r="D160" s="48"/>
      <c r="E160" s="48"/>
      <c r="F160" s="49"/>
      <c r="G160" s="50"/>
      <c r="H160" s="50"/>
      <c r="I160" s="50"/>
      <c r="J160" s="50"/>
      <c r="K160" s="50"/>
      <c r="L160" s="51"/>
      <c r="M160" s="176"/>
      <c r="O160" s="165"/>
      <c r="P160" s="170"/>
    </row>
    <row r="161" spans="1:16" s="52" customFormat="1" ht="18" hidden="1" customHeight="1">
      <c r="A161" s="46">
        <v>-1</v>
      </c>
      <c r="B161" s="47" t="s">
        <v>566</v>
      </c>
      <c r="C161" s="46"/>
      <c r="D161" s="48"/>
      <c r="E161" s="48"/>
      <c r="F161" s="49"/>
      <c r="G161" s="50"/>
      <c r="H161" s="50"/>
      <c r="I161" s="50"/>
      <c r="J161" s="50"/>
      <c r="K161" s="50"/>
      <c r="L161" s="51"/>
      <c r="M161" s="176"/>
      <c r="O161" s="165"/>
      <c r="P161" s="170"/>
    </row>
    <row r="162" spans="1:16" s="276" customFormat="1" ht="18" hidden="1" customHeight="1">
      <c r="A162" s="347" t="s">
        <v>41</v>
      </c>
      <c r="B162" s="270" t="s">
        <v>220</v>
      </c>
      <c r="C162" s="347" t="s">
        <v>562</v>
      </c>
      <c r="D162" s="271"/>
      <c r="E162" s="271" t="s">
        <v>102</v>
      </c>
      <c r="F162" s="272"/>
      <c r="G162" s="273">
        <v>120000</v>
      </c>
      <c r="H162" s="273">
        <f>F162*G162</f>
        <v>0</v>
      </c>
      <c r="I162" s="273">
        <v>30000</v>
      </c>
      <c r="J162" s="273">
        <f>F162*I162</f>
        <v>0</v>
      </c>
      <c r="K162" s="273">
        <f>G162+I162</f>
        <v>150000</v>
      </c>
      <c r="L162" s="274">
        <f>F162*K162</f>
        <v>0</v>
      </c>
      <c r="M162" s="275"/>
      <c r="O162" s="277">
        <f>(39+26)/3</f>
        <v>21.666666666666668</v>
      </c>
      <c r="P162" s="278"/>
    </row>
    <row r="163" spans="1:16" s="52" customFormat="1" ht="18" hidden="1" customHeight="1">
      <c r="A163" s="53" t="s">
        <v>41</v>
      </c>
      <c r="B163" s="47" t="s">
        <v>220</v>
      </c>
      <c r="C163" s="53" t="s">
        <v>561</v>
      </c>
      <c r="D163" s="48" t="s">
        <v>569</v>
      </c>
      <c r="E163" s="48" t="s">
        <v>568</v>
      </c>
      <c r="F163" s="54"/>
      <c r="G163" s="50">
        <v>275000</v>
      </c>
      <c r="H163" s="50">
        <f>F163*G163</f>
        <v>0</v>
      </c>
      <c r="I163" s="50">
        <v>30000</v>
      </c>
      <c r="J163" s="50">
        <f>F163*I163</f>
        <v>0</v>
      </c>
      <c r="K163" s="50">
        <f>G163+I163</f>
        <v>305000</v>
      </c>
      <c r="L163" s="51">
        <f>F163*K163</f>
        <v>0</v>
      </c>
      <c r="M163" s="176"/>
      <c r="O163" s="165">
        <f>(39+26)/3</f>
        <v>21.666666666666668</v>
      </c>
      <c r="P163" s="170"/>
    </row>
    <row r="164" spans="1:16" s="286" customFormat="1" ht="18" hidden="1" customHeight="1">
      <c r="A164" s="355"/>
      <c r="B164" s="295"/>
      <c r="C164" s="357"/>
      <c r="D164" s="359"/>
      <c r="E164" s="281"/>
      <c r="F164" s="356"/>
      <c r="G164" s="283"/>
      <c r="H164" s="283"/>
      <c r="I164" s="283"/>
      <c r="J164" s="283"/>
      <c r="K164" s="283"/>
      <c r="L164" s="284"/>
      <c r="M164" s="281"/>
      <c r="O164" s="287"/>
      <c r="P164" s="288"/>
    </row>
    <row r="165" spans="1:16" s="286" customFormat="1" ht="18" hidden="1" customHeight="1">
      <c r="A165" s="355">
        <v>-1</v>
      </c>
      <c r="B165" s="295" t="s">
        <v>504</v>
      </c>
      <c r="C165" s="357" t="s">
        <v>515</v>
      </c>
      <c r="D165" s="357" t="s">
        <v>495</v>
      </c>
      <c r="E165" s="281" t="s">
        <v>412</v>
      </c>
      <c r="F165" s="356"/>
      <c r="G165" s="283">
        <v>1540000</v>
      </c>
      <c r="H165" s="283">
        <f>F165*G165</f>
        <v>0</v>
      </c>
      <c r="I165" s="283">
        <v>300000</v>
      </c>
      <c r="J165" s="283">
        <f>F165*I165</f>
        <v>0</v>
      </c>
      <c r="K165" s="283">
        <f>G165+I165</f>
        <v>1840000</v>
      </c>
      <c r="L165" s="284">
        <f>F165*K165</f>
        <v>0</v>
      </c>
      <c r="M165" s="281" t="s">
        <v>500</v>
      </c>
      <c r="O165" s="287"/>
      <c r="P165" s="288"/>
    </row>
    <row r="166" spans="1:16" s="286" customFormat="1" ht="18" hidden="1" customHeight="1">
      <c r="A166" s="355">
        <v>-1</v>
      </c>
      <c r="B166" s="295" t="s">
        <v>502</v>
      </c>
      <c r="C166" s="360" t="s">
        <v>494</v>
      </c>
      <c r="D166" s="357" t="s">
        <v>496</v>
      </c>
      <c r="E166" s="281" t="s">
        <v>492</v>
      </c>
      <c r="F166" s="356"/>
      <c r="G166" s="283">
        <v>2590000</v>
      </c>
      <c r="H166" s="283">
        <f>F166*G166</f>
        <v>0</v>
      </c>
      <c r="I166" s="283"/>
      <c r="J166" s="283">
        <f>F166*I166</f>
        <v>0</v>
      </c>
      <c r="K166" s="283">
        <f>G166+I166</f>
        <v>2590000</v>
      </c>
      <c r="L166" s="284">
        <f>F166*K166</f>
        <v>0</v>
      </c>
      <c r="M166" s="281" t="s">
        <v>500</v>
      </c>
      <c r="O166" s="287"/>
      <c r="P166" s="288"/>
    </row>
    <row r="167" spans="1:16" s="286" customFormat="1" ht="18" hidden="1" customHeight="1">
      <c r="A167" s="355">
        <v>-1</v>
      </c>
      <c r="B167" s="295" t="s">
        <v>529</v>
      </c>
      <c r="C167" s="357" t="s">
        <v>530</v>
      </c>
      <c r="D167" s="357" t="s">
        <v>496</v>
      </c>
      <c r="E167" s="281" t="s">
        <v>492</v>
      </c>
      <c r="F167" s="356"/>
      <c r="G167" s="283">
        <v>150000</v>
      </c>
      <c r="H167" s="283">
        <f>F167*G167</f>
        <v>0</v>
      </c>
      <c r="I167" s="283">
        <v>200000</v>
      </c>
      <c r="J167" s="283">
        <f>F167*I167</f>
        <v>0</v>
      </c>
      <c r="K167" s="283">
        <f>G167+I167</f>
        <v>350000</v>
      </c>
      <c r="L167" s="284">
        <f>F167*K167</f>
        <v>0</v>
      </c>
      <c r="M167" s="281" t="s">
        <v>500</v>
      </c>
      <c r="O167" s="287"/>
      <c r="P167" s="288"/>
    </row>
    <row r="168" spans="1:16" s="52" customFormat="1" ht="18" hidden="1" customHeight="1">
      <c r="A168" s="46"/>
      <c r="B168" s="47"/>
      <c r="C168" s="46"/>
      <c r="D168" s="48"/>
      <c r="E168" s="48"/>
      <c r="F168" s="49"/>
      <c r="G168" s="50"/>
      <c r="H168" s="50"/>
      <c r="I168" s="50"/>
      <c r="J168" s="50"/>
      <c r="K168" s="50"/>
      <c r="L168" s="51"/>
      <c r="M168" s="176"/>
      <c r="O168" s="165"/>
      <c r="P168" s="170"/>
    </row>
    <row r="169" spans="1:16" s="52" customFormat="1" ht="18" hidden="1" customHeight="1">
      <c r="A169" s="46"/>
      <c r="B169" s="47"/>
      <c r="C169" s="46"/>
      <c r="D169" s="48"/>
      <c r="E169" s="48"/>
      <c r="F169" s="49"/>
      <c r="G169" s="50"/>
      <c r="H169" s="50"/>
      <c r="I169" s="50"/>
      <c r="J169" s="50"/>
      <c r="K169" s="50"/>
      <c r="L169" s="51"/>
      <c r="M169" s="176"/>
      <c r="O169" s="165"/>
      <c r="P169" s="170"/>
    </row>
    <row r="170" spans="1:16" s="52" customFormat="1" ht="18" hidden="1" customHeight="1">
      <c r="A170" s="46"/>
      <c r="B170" s="47"/>
      <c r="C170" s="46"/>
      <c r="D170" s="48"/>
      <c r="E170" s="48"/>
      <c r="F170" s="49"/>
      <c r="G170" s="50"/>
      <c r="H170" s="50"/>
      <c r="I170" s="50"/>
      <c r="J170" s="50"/>
      <c r="K170" s="50"/>
      <c r="L170" s="51"/>
      <c r="M170" s="176"/>
      <c r="O170" s="165"/>
      <c r="P170" s="170"/>
    </row>
    <row r="171" spans="1:16" s="52" customFormat="1" ht="18" hidden="1" customHeight="1">
      <c r="A171" s="46"/>
      <c r="B171" s="47"/>
      <c r="C171" s="46"/>
      <c r="D171" s="48"/>
      <c r="E171" s="48"/>
      <c r="F171" s="49"/>
      <c r="G171" s="50"/>
      <c r="H171" s="50"/>
      <c r="I171" s="50"/>
      <c r="J171" s="50"/>
      <c r="K171" s="50"/>
      <c r="L171" s="51"/>
      <c r="M171" s="176"/>
      <c r="O171" s="165"/>
      <c r="P171" s="170"/>
    </row>
    <row r="172" spans="1:16" s="52" customFormat="1" ht="18" hidden="1" customHeight="1">
      <c r="A172" s="46"/>
      <c r="B172" s="47"/>
      <c r="C172" s="46"/>
      <c r="D172" s="48"/>
      <c r="E172" s="48"/>
      <c r="F172" s="49"/>
      <c r="G172" s="50"/>
      <c r="H172" s="50"/>
      <c r="I172" s="50"/>
      <c r="J172" s="50"/>
      <c r="K172" s="50"/>
      <c r="L172" s="51"/>
      <c r="M172" s="176"/>
      <c r="O172" s="165"/>
      <c r="P172" s="170"/>
    </row>
    <row r="173" spans="1:16" s="52" customFormat="1" ht="18" hidden="1" customHeight="1">
      <c r="A173" s="46"/>
      <c r="B173" s="47"/>
      <c r="C173" s="46"/>
      <c r="D173" s="48"/>
      <c r="E173" s="48"/>
      <c r="F173" s="49"/>
      <c r="G173" s="50"/>
      <c r="H173" s="50"/>
      <c r="I173" s="50"/>
      <c r="J173" s="50"/>
      <c r="K173" s="50"/>
      <c r="L173" s="51"/>
      <c r="M173" s="176"/>
      <c r="O173" s="165"/>
      <c r="P173" s="170"/>
    </row>
    <row r="174" spans="1:16" s="52" customFormat="1" ht="18" hidden="1" customHeight="1">
      <c r="A174" s="46"/>
      <c r="B174" s="47"/>
      <c r="C174" s="46"/>
      <c r="D174" s="48"/>
      <c r="E174" s="48"/>
      <c r="F174" s="49"/>
      <c r="G174" s="50"/>
      <c r="H174" s="50"/>
      <c r="I174" s="50"/>
      <c r="J174" s="50"/>
      <c r="K174" s="50"/>
      <c r="L174" s="51"/>
      <c r="M174" s="176"/>
      <c r="O174" s="165"/>
      <c r="P174" s="170"/>
    </row>
    <row r="175" spans="1:16" s="52" customFormat="1" ht="18" hidden="1" customHeight="1">
      <c r="A175" s="46"/>
      <c r="B175" s="47"/>
      <c r="C175" s="46"/>
      <c r="D175" s="48"/>
      <c r="E175" s="48"/>
      <c r="F175" s="49"/>
      <c r="G175" s="50"/>
      <c r="H175" s="50"/>
      <c r="I175" s="50"/>
      <c r="J175" s="50"/>
      <c r="K175" s="50"/>
      <c r="L175" s="51"/>
      <c r="M175" s="176"/>
      <c r="O175" s="165"/>
      <c r="P175" s="170"/>
    </row>
    <row r="176" spans="1:16" s="52" customFormat="1" ht="18" hidden="1" customHeight="1">
      <c r="A176" s="46"/>
      <c r="B176" s="47"/>
      <c r="C176" s="46"/>
      <c r="D176" s="48"/>
      <c r="E176" s="48"/>
      <c r="F176" s="49"/>
      <c r="G176" s="50"/>
      <c r="H176" s="50"/>
      <c r="I176" s="50"/>
      <c r="J176" s="50"/>
      <c r="K176" s="50"/>
      <c r="L176" s="51"/>
      <c r="M176" s="176"/>
      <c r="O176" s="165"/>
      <c r="P176" s="170"/>
    </row>
    <row r="177" spans="1:16" ht="18" hidden="1" customHeight="1">
      <c r="A177" s="9"/>
      <c r="B177" s="10"/>
      <c r="C177" s="9"/>
      <c r="D177" s="4"/>
      <c r="E177" s="4"/>
      <c r="F177" s="44"/>
      <c r="G177" s="24"/>
      <c r="H177" s="24"/>
      <c r="I177" s="24"/>
      <c r="J177" s="24"/>
      <c r="K177" s="24"/>
      <c r="L177" s="25"/>
      <c r="M177" s="176"/>
    </row>
    <row r="178" spans="1:16" s="389" customFormat="1" ht="18" hidden="1" customHeight="1">
      <c r="A178" s="267" t="s">
        <v>505</v>
      </c>
      <c r="B178" s="295" t="s">
        <v>506</v>
      </c>
      <c r="C178" s="267" t="s">
        <v>559</v>
      </c>
      <c r="D178" s="383" t="s">
        <v>560</v>
      </c>
      <c r="E178" s="384" t="s">
        <v>507</v>
      </c>
      <c r="F178" s="385"/>
      <c r="G178" s="386">
        <v>0</v>
      </c>
      <c r="H178" s="386">
        <f>F178*G178</f>
        <v>0</v>
      </c>
      <c r="I178" s="386">
        <v>0</v>
      </c>
      <c r="J178" s="386">
        <f>F178*I178</f>
        <v>0</v>
      </c>
      <c r="K178" s="386">
        <f>G178+I178</f>
        <v>0</v>
      </c>
      <c r="L178" s="387">
        <f>F178*K178</f>
        <v>0</v>
      </c>
      <c r="M178" s="388"/>
      <c r="O178" s="390"/>
      <c r="P178" s="391"/>
    </row>
    <row r="179" spans="1:16" s="52" customFormat="1" ht="18" customHeight="1">
      <c r="A179" s="53" t="s">
        <v>41</v>
      </c>
      <c r="B179" s="47" t="s">
        <v>220</v>
      </c>
      <c r="C179" s="53" t="s">
        <v>657</v>
      </c>
      <c r="D179" s="48" t="s">
        <v>658</v>
      </c>
      <c r="E179" s="48" t="s">
        <v>102</v>
      </c>
      <c r="F179" s="54">
        <v>5</v>
      </c>
      <c r="G179" s="50">
        <f>120000*1.2</f>
        <v>144000</v>
      </c>
      <c r="H179" s="50">
        <f t="shared" ref="H179" si="92">F179*G179</f>
        <v>720000</v>
      </c>
      <c r="I179" s="50">
        <v>30000</v>
      </c>
      <c r="J179" s="50">
        <f t="shared" ref="J179" si="93">F179*I179</f>
        <v>150000</v>
      </c>
      <c r="K179" s="50">
        <f t="shared" ref="K179" si="94">G179+I179</f>
        <v>174000</v>
      </c>
      <c r="L179" s="51">
        <f t="shared" ref="L179" si="95">F179*K179</f>
        <v>870000</v>
      </c>
      <c r="M179" s="176"/>
      <c r="O179" s="165">
        <f>(39+26)/3</f>
        <v>21.666666666666668</v>
      </c>
      <c r="P179" s="170"/>
    </row>
    <row r="180" spans="1:16" s="52" customFormat="1" ht="18" customHeight="1">
      <c r="A180" s="53" t="s">
        <v>41</v>
      </c>
      <c r="B180" s="47" t="s">
        <v>659</v>
      </c>
      <c r="C180" s="53" t="s">
        <v>380</v>
      </c>
      <c r="D180" s="48" t="s">
        <v>658</v>
      </c>
      <c r="E180" s="48" t="s">
        <v>74</v>
      </c>
      <c r="F180" s="54">
        <v>1</v>
      </c>
      <c r="G180" s="50">
        <v>350000</v>
      </c>
      <c r="H180" s="50">
        <f t="shared" ref="H180" si="96">F180*G180</f>
        <v>350000</v>
      </c>
      <c r="I180" s="50">
        <v>50000</v>
      </c>
      <c r="J180" s="50">
        <f t="shared" ref="J180" si="97">F180*I180</f>
        <v>50000</v>
      </c>
      <c r="K180" s="50">
        <f t="shared" ref="K180" si="98">G180+I180</f>
        <v>400000</v>
      </c>
      <c r="L180" s="51">
        <f t="shared" ref="L180" si="99">F180*K180</f>
        <v>400000</v>
      </c>
      <c r="M180" s="176"/>
      <c r="O180" s="165">
        <f>(39+26)/3</f>
        <v>21.666666666666668</v>
      </c>
      <c r="P180" s="170"/>
    </row>
    <row r="181" spans="1:16" s="52" customFormat="1" ht="18" customHeight="1">
      <c r="A181" s="53" t="s">
        <v>12</v>
      </c>
      <c r="B181" s="47" t="s">
        <v>700</v>
      </c>
      <c r="C181" s="53"/>
      <c r="D181" s="48"/>
      <c r="E181" s="48" t="s">
        <v>36</v>
      </c>
      <c r="F181" s="54">
        <v>2</v>
      </c>
      <c r="G181" s="50">
        <v>80000</v>
      </c>
      <c r="H181" s="50">
        <f>F181*G181</f>
        <v>160000</v>
      </c>
      <c r="I181" s="50">
        <v>30000</v>
      </c>
      <c r="J181" s="50">
        <f>F181*I181</f>
        <v>60000</v>
      </c>
      <c r="K181" s="50">
        <f>G181+I181</f>
        <v>110000</v>
      </c>
      <c r="L181" s="51">
        <f>F181*K181</f>
        <v>220000</v>
      </c>
      <c r="M181" s="176"/>
      <c r="O181" s="165">
        <f>2.5+21</f>
        <v>23.5</v>
      </c>
      <c r="P181" s="170"/>
    </row>
    <row r="182" spans="1:16" s="52" customFormat="1" ht="18" customHeight="1">
      <c r="A182" s="53" t="s">
        <v>41</v>
      </c>
      <c r="B182" s="47" t="s">
        <v>220</v>
      </c>
      <c r="C182" s="53" t="s">
        <v>657</v>
      </c>
      <c r="D182" s="48" t="s">
        <v>701</v>
      </c>
      <c r="E182" s="48" t="s">
        <v>102</v>
      </c>
      <c r="F182" s="54">
        <v>3</v>
      </c>
      <c r="G182" s="50">
        <f>120000*1.2</f>
        <v>144000</v>
      </c>
      <c r="H182" s="50">
        <f t="shared" ref="H182" si="100">F182*G182</f>
        <v>432000</v>
      </c>
      <c r="I182" s="50">
        <v>30000</v>
      </c>
      <c r="J182" s="50">
        <f t="shared" ref="J182" si="101">F182*I182</f>
        <v>90000</v>
      </c>
      <c r="K182" s="50">
        <f t="shared" ref="K182" si="102">G182+I182</f>
        <v>174000</v>
      </c>
      <c r="L182" s="51">
        <f t="shared" ref="L182" si="103">F182*K182</f>
        <v>522000</v>
      </c>
      <c r="M182" s="176"/>
      <c r="O182" s="165">
        <f>(39+26)/3</f>
        <v>21.666666666666668</v>
      </c>
      <c r="P182" s="170"/>
    </row>
    <row r="183" spans="1:16" s="389" customFormat="1" ht="18" customHeight="1">
      <c r="A183" s="267"/>
      <c r="B183" s="295"/>
      <c r="C183" s="267"/>
      <c r="D183" s="383"/>
      <c r="E183" s="384"/>
      <c r="F183" s="385"/>
      <c r="G183" s="386"/>
      <c r="H183" s="386"/>
      <c r="I183" s="386"/>
      <c r="J183" s="386"/>
      <c r="K183" s="386"/>
      <c r="L183" s="387"/>
      <c r="M183" s="388"/>
      <c r="O183" s="390"/>
      <c r="P183" s="391"/>
    </row>
    <row r="184" spans="1:16" s="52" customFormat="1" ht="18" customHeight="1">
      <c r="A184" s="46">
        <v>-1</v>
      </c>
      <c r="B184" s="47" t="s">
        <v>630</v>
      </c>
      <c r="C184" s="46"/>
      <c r="D184" s="48"/>
      <c r="E184" s="48"/>
      <c r="F184" s="49"/>
      <c r="G184" s="50"/>
      <c r="H184" s="50"/>
      <c r="I184" s="50"/>
      <c r="J184" s="50"/>
      <c r="K184" s="50"/>
      <c r="L184" s="51"/>
      <c r="M184" s="176"/>
      <c r="O184" s="165"/>
      <c r="P184" s="170"/>
    </row>
    <row r="185" spans="1:16" s="52" customFormat="1" ht="18" customHeight="1">
      <c r="A185" s="53" t="s">
        <v>41</v>
      </c>
      <c r="B185" s="47" t="s">
        <v>663</v>
      </c>
      <c r="C185" s="53"/>
      <c r="D185" s="48"/>
      <c r="E185" s="48" t="s">
        <v>36</v>
      </c>
      <c r="F185" s="54">
        <v>3</v>
      </c>
      <c r="G185" s="50">
        <v>1500000</v>
      </c>
      <c r="H185" s="50">
        <f t="shared" ref="H185:H187" si="104">F185*G185</f>
        <v>4500000</v>
      </c>
      <c r="I185" s="50">
        <v>200000</v>
      </c>
      <c r="J185" s="50">
        <f t="shared" ref="J185" si="105">F185*I185</f>
        <v>600000</v>
      </c>
      <c r="K185" s="50">
        <f t="shared" ref="K185" si="106">G185+I185</f>
        <v>1700000</v>
      </c>
      <c r="L185" s="51">
        <f t="shared" ref="L185" si="107">F185*K185</f>
        <v>5100000</v>
      </c>
      <c r="M185" s="176"/>
      <c r="O185" s="165">
        <f>(39+26)/3</f>
        <v>21.666666666666668</v>
      </c>
      <c r="P185" s="170"/>
    </row>
    <row r="186" spans="1:16" s="52" customFormat="1" ht="18" customHeight="1">
      <c r="A186" s="46" t="s">
        <v>631</v>
      </c>
      <c r="B186" s="47" t="s">
        <v>664</v>
      </c>
      <c r="C186" s="46"/>
      <c r="D186" s="48"/>
      <c r="E186" s="48" t="s">
        <v>37</v>
      </c>
      <c r="F186" s="49">
        <v>8</v>
      </c>
      <c r="G186" s="50">
        <v>155000</v>
      </c>
      <c r="H186" s="50">
        <f t="shared" si="104"/>
        <v>1240000</v>
      </c>
      <c r="I186" s="50">
        <v>30000</v>
      </c>
      <c r="J186" s="50">
        <f t="shared" ref="J186:J187" si="108">F186*I186</f>
        <v>240000</v>
      </c>
      <c r="K186" s="50">
        <f t="shared" ref="K186:K187" si="109">G186+I186</f>
        <v>185000</v>
      </c>
      <c r="L186" s="51">
        <f>F186*G186</f>
        <v>1240000</v>
      </c>
      <c r="M186" s="291"/>
      <c r="O186" s="165"/>
      <c r="P186" s="170"/>
    </row>
    <row r="187" spans="1:16" s="52" customFormat="1" ht="18" customHeight="1">
      <c r="A187" s="46" t="s">
        <v>631</v>
      </c>
      <c r="B187" s="47" t="s">
        <v>633</v>
      </c>
      <c r="C187" s="46"/>
      <c r="D187" s="48"/>
      <c r="E187" s="48" t="s">
        <v>632</v>
      </c>
      <c r="F187" s="49">
        <v>6</v>
      </c>
      <c r="G187" s="50">
        <v>250000</v>
      </c>
      <c r="H187" s="50">
        <f t="shared" si="104"/>
        <v>1500000</v>
      </c>
      <c r="I187" s="50">
        <v>0</v>
      </c>
      <c r="J187" s="50">
        <f t="shared" si="108"/>
        <v>0</v>
      </c>
      <c r="K187" s="50">
        <f t="shared" si="109"/>
        <v>250000</v>
      </c>
      <c r="L187" s="51">
        <f>F187*G187</f>
        <v>1500000</v>
      </c>
      <c r="M187" s="176"/>
      <c r="O187" s="165"/>
      <c r="P187" s="170"/>
    </row>
    <row r="188" spans="1:16" s="52" customFormat="1" ht="18" customHeight="1">
      <c r="A188" s="53" t="s">
        <v>41</v>
      </c>
      <c r="B188" s="47" t="s">
        <v>665</v>
      </c>
      <c r="C188" s="53" t="s">
        <v>657</v>
      </c>
      <c r="D188" s="268"/>
      <c r="E188" s="48" t="s">
        <v>74</v>
      </c>
      <c r="F188" s="54">
        <v>1</v>
      </c>
      <c r="G188" s="50">
        <v>250000</v>
      </c>
      <c r="H188" s="50">
        <f>F188*G188</f>
        <v>250000</v>
      </c>
      <c r="I188" s="50">
        <v>50000</v>
      </c>
      <c r="J188" s="50">
        <f>F188*I188</f>
        <v>50000</v>
      </c>
      <c r="K188" s="50">
        <f>G188+I188</f>
        <v>300000</v>
      </c>
      <c r="L188" s="51">
        <f>F188*K188</f>
        <v>300000</v>
      </c>
      <c r="M188" s="175"/>
      <c r="O188" s="165"/>
      <c r="P188" s="170"/>
    </row>
    <row r="189" spans="1:16" s="52" customFormat="1" ht="18" customHeight="1">
      <c r="A189" s="53" t="s">
        <v>41</v>
      </c>
      <c r="B189" s="47" t="s">
        <v>329</v>
      </c>
      <c r="C189" s="53" t="s">
        <v>657</v>
      </c>
      <c r="D189" s="268"/>
      <c r="E189" s="48" t="s">
        <v>74</v>
      </c>
      <c r="F189" s="54">
        <v>1</v>
      </c>
      <c r="G189" s="50">
        <v>250000</v>
      </c>
      <c r="H189" s="50">
        <f>F189*G189</f>
        <v>250000</v>
      </c>
      <c r="I189" s="50">
        <v>50000</v>
      </c>
      <c r="J189" s="50">
        <f>F189*I189</f>
        <v>50000</v>
      </c>
      <c r="K189" s="50">
        <f>G189+I189</f>
        <v>300000</v>
      </c>
      <c r="L189" s="51">
        <f>F189*K189</f>
        <v>300000</v>
      </c>
      <c r="M189" s="175"/>
      <c r="O189" s="165"/>
      <c r="P189" s="170"/>
    </row>
    <row r="190" spans="1:16" s="52" customFormat="1" ht="18" customHeight="1">
      <c r="A190" s="53" t="s">
        <v>41</v>
      </c>
      <c r="B190" s="47" t="s">
        <v>689</v>
      </c>
      <c r="C190" s="53" t="s">
        <v>657</v>
      </c>
      <c r="D190" s="268"/>
      <c r="E190" s="48" t="s">
        <v>74</v>
      </c>
      <c r="F190" s="54">
        <v>1</v>
      </c>
      <c r="G190" s="50">
        <v>350000</v>
      </c>
      <c r="H190" s="50">
        <f>F190*G190</f>
        <v>350000</v>
      </c>
      <c r="I190" s="50">
        <v>30000</v>
      </c>
      <c r="J190" s="50">
        <f>F190*I190</f>
        <v>30000</v>
      </c>
      <c r="K190" s="50">
        <f>G190+I190</f>
        <v>380000</v>
      </c>
      <c r="L190" s="51">
        <f>F190*K190</f>
        <v>380000</v>
      </c>
      <c r="M190" s="175"/>
      <c r="O190" s="165"/>
      <c r="P190" s="170"/>
    </row>
    <row r="191" spans="1:16" s="389" customFormat="1" ht="18" customHeight="1">
      <c r="A191" s="267" t="s">
        <v>41</v>
      </c>
      <c r="B191" s="295" t="s">
        <v>702</v>
      </c>
      <c r="C191" s="267" t="s">
        <v>703</v>
      </c>
      <c r="D191" s="267" t="s">
        <v>704</v>
      </c>
      <c r="E191" s="384" t="s">
        <v>40</v>
      </c>
      <c r="F191" s="385">
        <v>1</v>
      </c>
      <c r="G191" s="386">
        <v>0</v>
      </c>
      <c r="H191" s="386">
        <f>F191*G191</f>
        <v>0</v>
      </c>
      <c r="I191" s="386">
        <v>0</v>
      </c>
      <c r="J191" s="386">
        <f>F191*I191</f>
        <v>0</v>
      </c>
      <c r="K191" s="386">
        <f>G191+I191</f>
        <v>0</v>
      </c>
      <c r="L191" s="387">
        <f>F191*K191</f>
        <v>0</v>
      </c>
      <c r="M191" s="388" t="s">
        <v>660</v>
      </c>
      <c r="O191" s="390"/>
      <c r="P191" s="391"/>
    </row>
    <row r="192" spans="1:16" s="389" customFormat="1" ht="18" customHeight="1">
      <c r="A192" s="267"/>
      <c r="B192" s="295"/>
      <c r="C192" s="267"/>
      <c r="D192" s="383"/>
      <c r="E192" s="384"/>
      <c r="F192" s="385"/>
      <c r="G192" s="386"/>
      <c r="H192" s="386"/>
      <c r="I192" s="386"/>
      <c r="J192" s="386"/>
      <c r="K192" s="386"/>
      <c r="L192" s="387"/>
      <c r="M192" s="388"/>
      <c r="O192" s="390"/>
      <c r="P192" s="391"/>
    </row>
    <row r="193" spans="1:22" s="17" customFormat="1" ht="18" customHeight="1">
      <c r="A193" s="11"/>
      <c r="B193" s="11" t="s">
        <v>13</v>
      </c>
      <c r="C193" s="11"/>
      <c r="D193" s="13"/>
      <c r="E193" s="13"/>
      <c r="F193" s="45"/>
      <c r="G193" s="42"/>
      <c r="H193" s="42">
        <f>SUM(H105:H191)</f>
        <v>33097000</v>
      </c>
      <c r="I193" s="42"/>
      <c r="J193" s="42">
        <f>SUM(J105:J191)</f>
        <v>8450000</v>
      </c>
      <c r="K193" s="42"/>
      <c r="L193" s="42">
        <f>SUM(L105:L191)</f>
        <v>41307000</v>
      </c>
      <c r="M193" s="176"/>
      <c r="O193" s="163"/>
      <c r="P193" s="168"/>
    </row>
    <row r="194" spans="1:22" s="17" customFormat="1" ht="18" customHeight="1">
      <c r="A194" s="39" t="s">
        <v>31</v>
      </c>
      <c r="B194" s="40" t="s">
        <v>105</v>
      </c>
      <c r="C194" s="362"/>
      <c r="D194" s="13"/>
      <c r="E194" s="13"/>
      <c r="F194" s="45"/>
      <c r="G194" s="42"/>
      <c r="H194" s="42"/>
      <c r="I194" s="42"/>
      <c r="J194" s="42"/>
      <c r="K194" s="42"/>
      <c r="L194" s="43"/>
      <c r="M194" s="176"/>
      <c r="O194" s="163"/>
      <c r="P194" s="168"/>
    </row>
    <row r="195" spans="1:22" s="52" customFormat="1" ht="18" customHeight="1">
      <c r="A195" s="46">
        <v>-1</v>
      </c>
      <c r="B195" s="47" t="s">
        <v>106</v>
      </c>
      <c r="C195" s="46"/>
      <c r="D195" s="48"/>
      <c r="E195" s="48"/>
      <c r="F195" s="49"/>
      <c r="G195" s="50"/>
      <c r="H195" s="50"/>
      <c r="I195" s="50"/>
      <c r="J195" s="50"/>
      <c r="K195" s="50"/>
      <c r="L195" s="51"/>
      <c r="M195" s="176"/>
      <c r="O195" s="165"/>
      <c r="P195" s="170"/>
    </row>
    <row r="196" spans="1:22" s="52" customFormat="1" ht="18" hidden="1" customHeight="1">
      <c r="A196" s="46" t="s">
        <v>275</v>
      </c>
      <c r="B196" s="47" t="s">
        <v>284</v>
      </c>
      <c r="C196" s="46" t="s">
        <v>285</v>
      </c>
      <c r="D196" s="48"/>
      <c r="E196" s="48" t="s">
        <v>286</v>
      </c>
      <c r="F196" s="54"/>
      <c r="G196" s="50">
        <f>510000*1.1</f>
        <v>561000</v>
      </c>
      <c r="H196" s="50">
        <f t="shared" ref="H196:H203" si="110">F196*G196</f>
        <v>0</v>
      </c>
      <c r="I196" s="50">
        <v>200000</v>
      </c>
      <c r="J196" s="50">
        <f t="shared" ref="J196:J203" si="111">F196*I196</f>
        <v>0</v>
      </c>
      <c r="K196" s="50">
        <f>G196+I196</f>
        <v>761000</v>
      </c>
      <c r="L196" s="51">
        <f>F196*K196</f>
        <v>0</v>
      </c>
      <c r="M196" s="175"/>
      <c r="O196" s="165"/>
      <c r="P196" s="170"/>
    </row>
    <row r="197" spans="1:22" s="52" customFormat="1" ht="18" hidden="1" customHeight="1">
      <c r="A197" s="53" t="s">
        <v>12</v>
      </c>
      <c r="B197" s="47" t="s">
        <v>108</v>
      </c>
      <c r="C197" s="53" t="s">
        <v>272</v>
      </c>
      <c r="D197" s="48"/>
      <c r="E197" s="48" t="s">
        <v>36</v>
      </c>
      <c r="F197" s="54">
        <v>0</v>
      </c>
      <c r="G197" s="50">
        <v>8300</v>
      </c>
      <c r="H197" s="50">
        <f t="shared" si="110"/>
        <v>0</v>
      </c>
      <c r="I197" s="50">
        <v>10000</v>
      </c>
      <c r="J197" s="50">
        <f t="shared" si="111"/>
        <v>0</v>
      </c>
      <c r="K197" s="50">
        <f t="shared" ref="K197:K203" si="112">G197+I197</f>
        <v>18300</v>
      </c>
      <c r="L197" s="51">
        <f t="shared" ref="L197:L203" si="113">F197*K197</f>
        <v>0</v>
      </c>
      <c r="M197" s="176"/>
      <c r="O197" s="165">
        <f>(3+6+22+6+6+2+3)</f>
        <v>48</v>
      </c>
      <c r="P197" s="170">
        <f>136/3.3*1.3</f>
        <v>53.575757575757578</v>
      </c>
    </row>
    <row r="198" spans="1:22" s="52" customFormat="1" ht="18" hidden="1" customHeight="1">
      <c r="A198" s="53" t="s">
        <v>278</v>
      </c>
      <c r="B198" s="47" t="s">
        <v>268</v>
      </c>
      <c r="C198" s="53" t="s">
        <v>271</v>
      </c>
      <c r="D198" s="48"/>
      <c r="E198" s="48" t="s">
        <v>269</v>
      </c>
      <c r="F198" s="54"/>
      <c r="G198" s="50">
        <v>47000</v>
      </c>
      <c r="H198" s="50">
        <f t="shared" si="110"/>
        <v>0</v>
      </c>
      <c r="I198" s="50">
        <v>55000</v>
      </c>
      <c r="J198" s="50">
        <f t="shared" si="111"/>
        <v>0</v>
      </c>
      <c r="K198" s="50">
        <f t="shared" si="112"/>
        <v>102000</v>
      </c>
      <c r="L198" s="51">
        <f t="shared" si="113"/>
        <v>0</v>
      </c>
      <c r="M198" s="176"/>
      <c r="O198" s="165"/>
      <c r="P198" s="170"/>
    </row>
    <row r="199" spans="1:22" s="52" customFormat="1" ht="18" hidden="1" customHeight="1">
      <c r="A199" s="53" t="s">
        <v>12</v>
      </c>
      <c r="B199" s="47" t="s">
        <v>107</v>
      </c>
      <c r="C199" s="53" t="s">
        <v>273</v>
      </c>
      <c r="D199" s="53"/>
      <c r="E199" s="48" t="s">
        <v>270</v>
      </c>
      <c r="F199" s="54">
        <v>0</v>
      </c>
      <c r="G199" s="50">
        <v>22000</v>
      </c>
      <c r="H199" s="50">
        <f t="shared" si="110"/>
        <v>0</v>
      </c>
      <c r="I199" s="50">
        <v>10000</v>
      </c>
      <c r="J199" s="50">
        <f t="shared" si="111"/>
        <v>0</v>
      </c>
      <c r="K199" s="50">
        <f t="shared" si="112"/>
        <v>32000</v>
      </c>
      <c r="L199" s="51">
        <f t="shared" si="113"/>
        <v>0</v>
      </c>
      <c r="M199" s="176"/>
      <c r="O199" s="165">
        <f>2.1+2.4+2.7+2+2.5+0.7+1.6</f>
        <v>13.999999999999998</v>
      </c>
      <c r="P199" s="170"/>
    </row>
    <row r="200" spans="1:22" s="52" customFormat="1" ht="18" customHeight="1">
      <c r="A200" s="53" t="s">
        <v>404</v>
      </c>
      <c r="B200" s="47" t="s">
        <v>666</v>
      </c>
      <c r="C200" s="53" t="s">
        <v>470</v>
      </c>
      <c r="D200" s="268"/>
      <c r="E200" s="48" t="s">
        <v>419</v>
      </c>
      <c r="F200" s="54">
        <v>45</v>
      </c>
      <c r="G200" s="50">
        <v>55000</v>
      </c>
      <c r="H200" s="50">
        <f t="shared" si="110"/>
        <v>2475000</v>
      </c>
      <c r="I200" s="50">
        <v>15000</v>
      </c>
      <c r="J200" s="50">
        <f>F200*I200</f>
        <v>675000</v>
      </c>
      <c r="K200" s="50">
        <f>G200+I200</f>
        <v>70000</v>
      </c>
      <c r="L200" s="51">
        <f>F200*K200</f>
        <v>3150000</v>
      </c>
      <c r="M200" s="176"/>
      <c r="O200" s="165"/>
      <c r="P200" s="170"/>
    </row>
    <row r="201" spans="1:22" s="52" customFormat="1" ht="18" customHeight="1">
      <c r="A201" s="53" t="s">
        <v>12</v>
      </c>
      <c r="B201" s="47" t="s">
        <v>183</v>
      </c>
      <c r="C201" s="53" t="s">
        <v>587</v>
      </c>
      <c r="D201" s="48"/>
      <c r="E201" s="48" t="s">
        <v>184</v>
      </c>
      <c r="F201" s="54">
        <v>1</v>
      </c>
      <c r="G201" s="50">
        <v>2300000</v>
      </c>
      <c r="H201" s="50">
        <f t="shared" si="110"/>
        <v>2300000</v>
      </c>
      <c r="I201" s="50">
        <v>1000000</v>
      </c>
      <c r="J201" s="50">
        <f t="shared" si="111"/>
        <v>1000000</v>
      </c>
      <c r="K201" s="50">
        <f t="shared" si="112"/>
        <v>3300000</v>
      </c>
      <c r="L201" s="51">
        <f t="shared" si="113"/>
        <v>3300000</v>
      </c>
      <c r="M201" s="176"/>
      <c r="O201" s="165"/>
      <c r="P201" s="170"/>
    </row>
    <row r="202" spans="1:22" s="52" customFormat="1" ht="18" customHeight="1">
      <c r="A202" s="53" t="s">
        <v>12</v>
      </c>
      <c r="B202" s="47" t="s">
        <v>109</v>
      </c>
      <c r="C202" s="53"/>
      <c r="D202" s="48"/>
      <c r="E202" s="48" t="s">
        <v>36</v>
      </c>
      <c r="F202" s="54">
        <v>1</v>
      </c>
      <c r="G202" s="50">
        <v>15000</v>
      </c>
      <c r="H202" s="50">
        <f t="shared" si="110"/>
        <v>15000</v>
      </c>
      <c r="I202" s="50">
        <v>5000</v>
      </c>
      <c r="J202" s="50">
        <f t="shared" si="111"/>
        <v>5000</v>
      </c>
      <c r="K202" s="50">
        <f t="shared" si="112"/>
        <v>20000</v>
      </c>
      <c r="L202" s="51">
        <f>F202*K202</f>
        <v>20000</v>
      </c>
      <c r="M202" s="176"/>
      <c r="O202" s="165"/>
      <c r="P202" s="170"/>
    </row>
    <row r="203" spans="1:22" s="52" customFormat="1" ht="18" customHeight="1">
      <c r="A203" s="53" t="s">
        <v>275</v>
      </c>
      <c r="B203" s="47" t="s">
        <v>276</v>
      </c>
      <c r="C203" s="53" t="s">
        <v>667</v>
      </c>
      <c r="D203" s="48"/>
      <c r="E203" s="48" t="s">
        <v>277</v>
      </c>
      <c r="F203" s="54">
        <v>3</v>
      </c>
      <c r="G203" s="50">
        <v>37000</v>
      </c>
      <c r="H203" s="50">
        <f t="shared" si="110"/>
        <v>111000</v>
      </c>
      <c r="I203" s="50">
        <v>15000</v>
      </c>
      <c r="J203" s="50">
        <f t="shared" si="111"/>
        <v>45000</v>
      </c>
      <c r="K203" s="50">
        <f t="shared" si="112"/>
        <v>52000</v>
      </c>
      <c r="L203" s="51">
        <f t="shared" si="113"/>
        <v>156000</v>
      </c>
      <c r="M203" s="175"/>
      <c r="O203" s="165"/>
      <c r="P203" s="170"/>
    </row>
    <row r="204" spans="1:22" s="276" customFormat="1" ht="18" customHeight="1">
      <c r="A204" s="53" t="s">
        <v>340</v>
      </c>
      <c r="B204" s="270" t="s">
        <v>110</v>
      </c>
      <c r="C204" s="347" t="s">
        <v>224</v>
      </c>
      <c r="D204" s="271"/>
      <c r="E204" s="271" t="s">
        <v>341</v>
      </c>
      <c r="F204" s="272">
        <v>2</v>
      </c>
      <c r="G204" s="273">
        <v>55000</v>
      </c>
      <c r="H204" s="273">
        <f>F204*G204</f>
        <v>110000</v>
      </c>
      <c r="I204" s="273">
        <v>5000</v>
      </c>
      <c r="J204" s="273">
        <f t="shared" ref="J204:J212" si="114">F204*I204</f>
        <v>10000</v>
      </c>
      <c r="K204" s="273">
        <f>G204+I204</f>
        <v>60000</v>
      </c>
      <c r="L204" s="274">
        <f>F204*K204</f>
        <v>120000</v>
      </c>
      <c r="M204" s="279"/>
      <c r="O204" s="277"/>
      <c r="P204" s="278"/>
    </row>
    <row r="205" spans="1:22" s="276" customFormat="1" ht="18" customHeight="1">
      <c r="A205" s="53" t="s">
        <v>340</v>
      </c>
      <c r="B205" s="270" t="s">
        <v>342</v>
      </c>
      <c r="C205" s="347" t="s">
        <v>343</v>
      </c>
      <c r="D205" s="271"/>
      <c r="E205" s="271" t="s">
        <v>335</v>
      </c>
      <c r="F205" s="272">
        <v>57</v>
      </c>
      <c r="G205" s="273">
        <v>22000</v>
      </c>
      <c r="H205" s="273">
        <f>F205*G205</f>
        <v>1254000</v>
      </c>
      <c r="I205" s="273">
        <v>8000</v>
      </c>
      <c r="J205" s="273">
        <f t="shared" si="114"/>
        <v>456000</v>
      </c>
      <c r="K205" s="273">
        <f>G205+I205</f>
        <v>30000</v>
      </c>
      <c r="L205" s="274">
        <f>F205*K205</f>
        <v>1710000</v>
      </c>
      <c r="M205" s="279"/>
      <c r="O205" s="277">
        <f>5.2+3.3+2.9+4+1.5+2.5+2.1+1.9+1.7+1.3+3.3</f>
        <v>29.7</v>
      </c>
      <c r="P205" s="278"/>
    </row>
    <row r="206" spans="1:22" s="276" customFormat="1" ht="18" customHeight="1">
      <c r="A206" s="53" t="s">
        <v>583</v>
      </c>
      <c r="B206" s="270" t="s">
        <v>584</v>
      </c>
      <c r="C206" s="347" t="s">
        <v>586</v>
      </c>
      <c r="D206" s="271"/>
      <c r="E206" s="271" t="s">
        <v>585</v>
      </c>
      <c r="F206" s="272">
        <v>1</v>
      </c>
      <c r="G206" s="273">
        <v>45000</v>
      </c>
      <c r="H206" s="273">
        <f>F206*G206</f>
        <v>45000</v>
      </c>
      <c r="I206" s="273">
        <v>8000</v>
      </c>
      <c r="J206" s="273">
        <f t="shared" si="114"/>
        <v>8000</v>
      </c>
      <c r="K206" s="273">
        <f>G206+I206</f>
        <v>53000</v>
      </c>
      <c r="L206" s="274">
        <f>F206*K206</f>
        <v>53000</v>
      </c>
      <c r="M206" s="279"/>
      <c r="O206" s="277"/>
      <c r="P206" s="278"/>
    </row>
    <row r="207" spans="1:22" s="276" customFormat="1" ht="18" customHeight="1">
      <c r="A207" s="53" t="s">
        <v>344</v>
      </c>
      <c r="B207" s="270" t="s">
        <v>108</v>
      </c>
      <c r="C207" s="347" t="s">
        <v>345</v>
      </c>
      <c r="D207" s="271"/>
      <c r="E207" s="271" t="s">
        <v>346</v>
      </c>
      <c r="F207" s="272">
        <v>70</v>
      </c>
      <c r="G207" s="273">
        <v>5000</v>
      </c>
      <c r="H207" s="273">
        <f>F207*G207</f>
        <v>350000</v>
      </c>
      <c r="I207" s="273">
        <v>5000</v>
      </c>
      <c r="J207" s="273">
        <f t="shared" si="114"/>
        <v>350000</v>
      </c>
      <c r="K207" s="273">
        <f>G207+I207</f>
        <v>10000</v>
      </c>
      <c r="L207" s="274">
        <f>F207*K207</f>
        <v>700000</v>
      </c>
      <c r="M207" s="279"/>
      <c r="O207" s="277"/>
      <c r="P207" s="278"/>
      <c r="S207" s="276">
        <f>4+4+3+3+1.5+1.5+1</f>
        <v>18</v>
      </c>
    </row>
    <row r="208" spans="1:22" s="276" customFormat="1" ht="18" customHeight="1">
      <c r="A208" s="53" t="s">
        <v>41</v>
      </c>
      <c r="B208" s="270" t="s">
        <v>548</v>
      </c>
      <c r="C208" s="347" t="s">
        <v>549</v>
      </c>
      <c r="D208" s="271"/>
      <c r="E208" s="271" t="s">
        <v>74</v>
      </c>
      <c r="F208" s="272">
        <v>1</v>
      </c>
      <c r="G208" s="273">
        <v>150000</v>
      </c>
      <c r="H208" s="273">
        <f>F208*G208</f>
        <v>150000</v>
      </c>
      <c r="I208" s="273">
        <v>50000</v>
      </c>
      <c r="J208" s="273">
        <f t="shared" si="114"/>
        <v>50000</v>
      </c>
      <c r="K208" s="273">
        <f>G208+I208</f>
        <v>200000</v>
      </c>
      <c r="L208" s="274">
        <f>F208*K208</f>
        <v>200000</v>
      </c>
      <c r="M208" s="279"/>
      <c r="O208" s="277"/>
      <c r="P208" s="278"/>
      <c r="V208" s="276" t="s">
        <v>380</v>
      </c>
    </row>
    <row r="209" spans="1:21" s="52" customFormat="1" ht="18" customHeight="1">
      <c r="A209" s="53" t="s">
        <v>12</v>
      </c>
      <c r="B209" s="47" t="s">
        <v>111</v>
      </c>
      <c r="C209" s="378"/>
      <c r="D209" s="48"/>
      <c r="E209" s="48" t="s">
        <v>37</v>
      </c>
      <c r="F209" s="54">
        <v>140</v>
      </c>
      <c r="G209" s="50">
        <v>10000</v>
      </c>
      <c r="H209" s="50">
        <f t="shared" ref="H209:H211" si="115">F209*G209</f>
        <v>1400000</v>
      </c>
      <c r="I209" s="50">
        <v>20000</v>
      </c>
      <c r="J209" s="50">
        <f t="shared" si="114"/>
        <v>2800000</v>
      </c>
      <c r="K209" s="50">
        <f t="shared" ref="K209:K211" si="116">G209+I209</f>
        <v>30000</v>
      </c>
      <c r="L209" s="51">
        <f t="shared" ref="L209:L211" si="117">F209*K209</f>
        <v>4200000</v>
      </c>
      <c r="M209" s="279"/>
      <c r="N209" s="52" t="s">
        <v>544</v>
      </c>
      <c r="P209" s="52">
        <f>(38*1.5)</f>
        <v>57</v>
      </c>
      <c r="U209" s="276"/>
    </row>
    <row r="210" spans="1:21" s="52" customFormat="1" ht="18" customHeight="1">
      <c r="A210" s="53" t="s">
        <v>588</v>
      </c>
      <c r="B210" s="47" t="s">
        <v>589</v>
      </c>
      <c r="C210" s="347" t="s">
        <v>590</v>
      </c>
      <c r="D210" s="48" t="s">
        <v>591</v>
      </c>
      <c r="E210" s="48" t="s">
        <v>592</v>
      </c>
      <c r="F210" s="54">
        <v>2</v>
      </c>
      <c r="G210" s="50">
        <v>130000</v>
      </c>
      <c r="H210" s="50">
        <f t="shared" si="115"/>
        <v>260000</v>
      </c>
      <c r="I210" s="50">
        <v>15000</v>
      </c>
      <c r="J210" s="50">
        <f t="shared" si="114"/>
        <v>30000</v>
      </c>
      <c r="K210" s="50">
        <f t="shared" si="116"/>
        <v>145000</v>
      </c>
      <c r="L210" s="51">
        <f t="shared" si="117"/>
        <v>290000</v>
      </c>
      <c r="M210" s="279"/>
      <c r="U210" s="276"/>
    </row>
    <row r="211" spans="1:21" s="341" customFormat="1" ht="18" customHeight="1">
      <c r="A211" s="171" t="s">
        <v>583</v>
      </c>
      <c r="B211" s="339" t="s">
        <v>593</v>
      </c>
      <c r="C211" s="363" t="s">
        <v>594</v>
      </c>
      <c r="D211" s="328" t="s">
        <v>595</v>
      </c>
      <c r="E211" s="328" t="s">
        <v>596</v>
      </c>
      <c r="F211" s="340">
        <v>2</v>
      </c>
      <c r="G211" s="335">
        <v>300000</v>
      </c>
      <c r="H211" s="335">
        <f t="shared" si="115"/>
        <v>600000</v>
      </c>
      <c r="I211" s="335">
        <v>15000</v>
      </c>
      <c r="J211" s="335">
        <f t="shared" si="114"/>
        <v>30000</v>
      </c>
      <c r="K211" s="335">
        <f t="shared" si="116"/>
        <v>315000</v>
      </c>
      <c r="L211" s="336">
        <f t="shared" si="117"/>
        <v>630000</v>
      </c>
      <c r="M211" s="275"/>
      <c r="O211" s="342"/>
      <c r="P211" s="343"/>
    </row>
    <row r="212" spans="1:21" s="286" customFormat="1" ht="18" hidden="1" customHeight="1">
      <c r="A212" s="267" t="s">
        <v>493</v>
      </c>
      <c r="B212" s="280" t="s">
        <v>545</v>
      </c>
      <c r="C212" s="359" t="s">
        <v>546</v>
      </c>
      <c r="D212" s="281"/>
      <c r="E212" s="281" t="s">
        <v>492</v>
      </c>
      <c r="F212" s="282">
        <v>0</v>
      </c>
      <c r="G212" s="283">
        <v>0</v>
      </c>
      <c r="H212" s="283">
        <f>F212*G212</f>
        <v>0</v>
      </c>
      <c r="I212" s="283">
        <v>0</v>
      </c>
      <c r="J212" s="283">
        <f t="shared" si="114"/>
        <v>0</v>
      </c>
      <c r="K212" s="283">
        <f>G212+I212</f>
        <v>0</v>
      </c>
      <c r="L212" s="284">
        <f>F212*K212</f>
        <v>0</v>
      </c>
      <c r="M212" s="281" t="s">
        <v>547</v>
      </c>
      <c r="O212" s="287"/>
      <c r="P212" s="288"/>
    </row>
    <row r="213" spans="1:21" s="52" customFormat="1" ht="18" customHeight="1">
      <c r="A213" s="242"/>
      <c r="B213" s="261"/>
      <c r="C213" s="46"/>
      <c r="D213" s="48"/>
      <c r="E213" s="48"/>
      <c r="F213" s="49"/>
      <c r="G213" s="50" t="s">
        <v>567</v>
      </c>
      <c r="H213" s="50"/>
      <c r="I213" s="50"/>
      <c r="J213" s="50"/>
      <c r="K213" s="50"/>
      <c r="L213" s="51"/>
      <c r="M213" s="175"/>
      <c r="O213" s="165"/>
      <c r="P213" s="170"/>
    </row>
    <row r="214" spans="1:21" s="52" customFormat="1" ht="18" customHeight="1">
      <c r="A214" s="242"/>
      <c r="B214" s="261" t="s">
        <v>711</v>
      </c>
      <c r="C214" s="46"/>
      <c r="D214" s="48"/>
      <c r="E214" s="48"/>
      <c r="F214" s="49"/>
      <c r="G214" s="50" t="s">
        <v>567</v>
      </c>
      <c r="H214" s="50"/>
      <c r="I214" s="50"/>
      <c r="J214" s="50"/>
      <c r="K214" s="50"/>
      <c r="L214" s="51"/>
      <c r="M214" s="175"/>
      <c r="O214" s="165"/>
      <c r="P214" s="170"/>
    </row>
    <row r="215" spans="1:21" s="246" customFormat="1" ht="18" customHeight="1">
      <c r="A215" s="242"/>
      <c r="B215" s="242" t="s">
        <v>13</v>
      </c>
      <c r="C215" s="242"/>
      <c r="D215" s="243"/>
      <c r="E215" s="243"/>
      <c r="F215" s="244"/>
      <c r="G215" s="245"/>
      <c r="H215" s="245">
        <f>SUM(H196:H211)</f>
        <v>9070000</v>
      </c>
      <c r="I215" s="245"/>
      <c r="J215" s="245">
        <f>SUM(J196:J211)</f>
        <v>5459000</v>
      </c>
      <c r="K215" s="245"/>
      <c r="L215" s="245">
        <f>SUM(L196:L211)</f>
        <v>14529000</v>
      </c>
      <c r="M215" s="175"/>
      <c r="O215" s="247"/>
      <c r="P215" s="248"/>
    </row>
    <row r="216" spans="1:21" ht="18" customHeight="1">
      <c r="A216" s="11"/>
      <c r="B216" s="12"/>
      <c r="C216" s="9"/>
      <c r="D216" s="4"/>
      <c r="E216" s="4"/>
      <c r="F216" s="44"/>
      <c r="G216" s="24"/>
      <c r="H216" s="24"/>
      <c r="I216" s="24"/>
      <c r="J216" s="24"/>
      <c r="K216" s="24"/>
      <c r="L216" s="25"/>
      <c r="M216" s="176"/>
    </row>
    <row r="217" spans="1:21" s="17" customFormat="1" ht="18" customHeight="1">
      <c r="A217" s="39" t="s">
        <v>518</v>
      </c>
      <c r="B217" s="40" t="s">
        <v>116</v>
      </c>
      <c r="C217" s="362"/>
      <c r="D217" s="13"/>
      <c r="E217" s="13"/>
      <c r="F217" s="45"/>
      <c r="G217" s="42"/>
      <c r="H217" s="42"/>
      <c r="I217" s="42"/>
      <c r="J217" s="42"/>
      <c r="K217" s="42"/>
      <c r="L217" s="43"/>
      <c r="M217" s="176"/>
      <c r="O217" s="163"/>
      <c r="P217" s="168"/>
    </row>
    <row r="218" spans="1:21" s="52" customFormat="1" ht="18" customHeight="1">
      <c r="A218" s="46">
        <v>-1</v>
      </c>
      <c r="B218" s="47" t="s">
        <v>190</v>
      </c>
      <c r="C218" s="46"/>
      <c r="D218" s="48"/>
      <c r="E218" s="48"/>
      <c r="F218" s="49"/>
      <c r="G218" s="50"/>
      <c r="H218" s="50"/>
      <c r="I218" s="50"/>
      <c r="J218" s="50"/>
      <c r="K218" s="50"/>
      <c r="L218" s="51"/>
      <c r="M218" s="176"/>
      <c r="O218" s="165"/>
      <c r="P218" s="170"/>
    </row>
    <row r="219" spans="1:21" s="52" customFormat="1" ht="18" customHeight="1">
      <c r="A219" s="53" t="s">
        <v>12</v>
      </c>
      <c r="B219" s="47" t="s">
        <v>597</v>
      </c>
      <c r="C219" s="46"/>
      <c r="D219" s="48"/>
      <c r="E219" s="48" t="s">
        <v>74</v>
      </c>
      <c r="F219" s="54">
        <v>2</v>
      </c>
      <c r="G219" s="50">
        <v>250000</v>
      </c>
      <c r="H219" s="50">
        <f>F219*G219</f>
        <v>500000</v>
      </c>
      <c r="I219" s="50">
        <v>170000</v>
      </c>
      <c r="J219" s="50">
        <f>F219*I219</f>
        <v>340000</v>
      </c>
      <c r="K219" s="50">
        <f>G219+I219</f>
        <v>420000</v>
      </c>
      <c r="L219" s="51">
        <f>F219*K219</f>
        <v>840000</v>
      </c>
      <c r="M219" s="175"/>
      <c r="O219" s="165"/>
      <c r="P219" s="170"/>
    </row>
    <row r="220" spans="1:21" s="52" customFormat="1" ht="18" customHeight="1">
      <c r="A220" s="53"/>
      <c r="B220" s="47"/>
      <c r="C220" s="46"/>
      <c r="D220" s="48"/>
      <c r="E220" s="48"/>
      <c r="F220" s="54"/>
      <c r="G220" s="50"/>
      <c r="H220" s="50"/>
      <c r="I220" s="50"/>
      <c r="J220" s="50"/>
      <c r="K220" s="50"/>
      <c r="L220" s="51"/>
      <c r="M220" s="175"/>
      <c r="O220" s="165"/>
      <c r="P220" s="170"/>
    </row>
    <row r="221" spans="1:21" s="52" customFormat="1" ht="18" customHeight="1">
      <c r="A221" s="53" t="s">
        <v>12</v>
      </c>
      <c r="B221" s="47" t="s">
        <v>113</v>
      </c>
      <c r="C221" s="53" t="s">
        <v>557</v>
      </c>
      <c r="D221" s="53"/>
      <c r="E221" s="48" t="s">
        <v>36</v>
      </c>
      <c r="F221" s="54">
        <v>2</v>
      </c>
      <c r="G221" s="50">
        <v>260000</v>
      </c>
      <c r="H221" s="50">
        <f>F221*G221</f>
        <v>520000</v>
      </c>
      <c r="I221" s="50">
        <v>50000</v>
      </c>
      <c r="J221" s="50">
        <f>F221*I221</f>
        <v>100000</v>
      </c>
      <c r="K221" s="50">
        <f>G221+I221</f>
        <v>310000</v>
      </c>
      <c r="L221" s="51">
        <f>F221*K221</f>
        <v>620000</v>
      </c>
      <c r="M221" s="50"/>
      <c r="O221" s="165"/>
      <c r="P221" s="170"/>
    </row>
    <row r="222" spans="1:21" s="52" customFormat="1" ht="18" customHeight="1">
      <c r="A222" s="46"/>
      <c r="B222" s="47"/>
      <c r="C222" s="46"/>
      <c r="D222" s="48"/>
      <c r="E222" s="48"/>
      <c r="F222" s="49"/>
      <c r="G222" s="50"/>
      <c r="H222" s="50"/>
      <c r="I222" s="50"/>
      <c r="J222" s="50"/>
      <c r="K222" s="50"/>
      <c r="L222" s="51"/>
      <c r="M222" s="175"/>
      <c r="O222" s="165"/>
      <c r="P222" s="170"/>
    </row>
    <row r="223" spans="1:21" s="52" customFormat="1" ht="18" customHeight="1">
      <c r="A223" s="46">
        <v>-1</v>
      </c>
      <c r="B223" s="47" t="s">
        <v>112</v>
      </c>
      <c r="C223" s="46"/>
      <c r="D223" s="48"/>
      <c r="E223" s="48"/>
      <c r="F223" s="49"/>
      <c r="G223" s="50"/>
      <c r="H223" s="50"/>
      <c r="I223" s="50"/>
      <c r="J223" s="50"/>
      <c r="K223" s="50"/>
      <c r="L223" s="51"/>
      <c r="M223" s="175"/>
      <c r="O223" s="165"/>
      <c r="P223" s="170"/>
    </row>
    <row r="224" spans="1:21" s="393" customFormat="1" ht="18" customHeight="1">
      <c r="A224" s="53" t="s">
        <v>12</v>
      </c>
      <c r="B224" s="47" t="s">
        <v>668</v>
      </c>
      <c r="C224" s="46" t="s">
        <v>705</v>
      </c>
      <c r="D224" s="404" t="s">
        <v>362</v>
      </c>
      <c r="E224" s="48" t="s">
        <v>36</v>
      </c>
      <c r="F224" s="54">
        <v>2</v>
      </c>
      <c r="G224" s="50">
        <v>650000</v>
      </c>
      <c r="H224" s="50">
        <f>F224*G224</f>
        <v>1300000</v>
      </c>
      <c r="I224" s="50">
        <v>150000</v>
      </c>
      <c r="J224" s="50">
        <f>F224*I224</f>
        <v>300000</v>
      </c>
      <c r="K224" s="50">
        <f>G224+I224</f>
        <v>800000</v>
      </c>
      <c r="L224" s="51">
        <f>F224*K224</f>
        <v>1600000</v>
      </c>
      <c r="M224" s="175"/>
      <c r="O224" s="394"/>
      <c r="P224" s="395"/>
    </row>
    <row r="225" spans="1:17" s="393" customFormat="1" ht="18" customHeight="1">
      <c r="A225" s="53" t="s">
        <v>12</v>
      </c>
      <c r="B225" s="47" t="s">
        <v>114</v>
      </c>
      <c r="C225" s="46" t="s">
        <v>598</v>
      </c>
      <c r="D225" s="298" t="s">
        <v>362</v>
      </c>
      <c r="E225" s="48" t="s">
        <v>36</v>
      </c>
      <c r="F225" s="54">
        <v>2</v>
      </c>
      <c r="G225" s="50">
        <v>396000</v>
      </c>
      <c r="H225" s="50">
        <f>F225*G225</f>
        <v>792000</v>
      </c>
      <c r="I225" s="50">
        <v>50000</v>
      </c>
      <c r="J225" s="50">
        <f t="shared" ref="J225:J238" si="118">F225*I225</f>
        <v>100000</v>
      </c>
      <c r="K225" s="50">
        <f>G225+I225</f>
        <v>446000</v>
      </c>
      <c r="L225" s="51">
        <f>F225*K225</f>
        <v>892000</v>
      </c>
      <c r="M225" s="175"/>
      <c r="O225" s="394"/>
      <c r="P225" s="395"/>
    </row>
    <row r="226" spans="1:17" ht="18" hidden="1" customHeight="1">
      <c r="A226" s="53" t="s">
        <v>12</v>
      </c>
      <c r="B226" s="47" t="s">
        <v>115</v>
      </c>
      <c r="C226" s="53" t="s">
        <v>379</v>
      </c>
      <c r="D226" s="298" t="s">
        <v>117</v>
      </c>
      <c r="E226" s="48" t="s">
        <v>36</v>
      </c>
      <c r="F226" s="54">
        <v>0</v>
      </c>
      <c r="G226" s="50">
        <v>800000</v>
      </c>
      <c r="H226" s="50">
        <f>F226*G226</f>
        <v>0</v>
      </c>
      <c r="I226" s="50">
        <v>120000</v>
      </c>
      <c r="J226" s="50">
        <f t="shared" si="118"/>
        <v>0</v>
      </c>
      <c r="K226" s="50">
        <f>G226+I226</f>
        <v>920000</v>
      </c>
      <c r="L226" s="51">
        <f>F226*K226</f>
        <v>0</v>
      </c>
      <c r="M226" s="175"/>
    </row>
    <row r="227" spans="1:17" ht="18" customHeight="1">
      <c r="A227" s="53"/>
      <c r="B227" s="47"/>
      <c r="C227" s="53"/>
      <c r="D227" s="298"/>
      <c r="E227" s="48"/>
      <c r="F227" s="54"/>
      <c r="G227" s="50"/>
      <c r="H227" s="50"/>
      <c r="I227" s="50"/>
      <c r="J227" s="50"/>
      <c r="K227" s="50"/>
      <c r="L227" s="51"/>
      <c r="M227" s="175"/>
    </row>
    <row r="228" spans="1:17" ht="18" hidden="1" customHeight="1">
      <c r="A228" s="46">
        <v>-1</v>
      </c>
      <c r="B228" s="47" t="s">
        <v>101</v>
      </c>
      <c r="C228" s="46"/>
      <c r="D228" s="298"/>
      <c r="E228" s="48"/>
      <c r="F228" s="49"/>
      <c r="G228" s="50"/>
      <c r="H228" s="50"/>
      <c r="I228" s="50"/>
      <c r="J228" s="50"/>
      <c r="K228" s="50"/>
      <c r="L228" s="51"/>
      <c r="M228" s="175"/>
    </row>
    <row r="229" spans="1:17" s="341" customFormat="1" ht="18" hidden="1" customHeight="1">
      <c r="A229" s="53" t="s">
        <v>12</v>
      </c>
      <c r="B229" s="270" t="s">
        <v>119</v>
      </c>
      <c r="C229" s="347" t="s">
        <v>257</v>
      </c>
      <c r="D229" s="271" t="s">
        <v>362</v>
      </c>
      <c r="E229" s="271" t="s">
        <v>40</v>
      </c>
      <c r="F229" s="272">
        <v>0</v>
      </c>
      <c r="G229" s="273">
        <v>62000</v>
      </c>
      <c r="H229" s="273">
        <f>F229*G229</f>
        <v>0</v>
      </c>
      <c r="I229" s="273">
        <v>30000</v>
      </c>
      <c r="J229" s="273">
        <f t="shared" si="118"/>
        <v>0</v>
      </c>
      <c r="K229" s="273">
        <f>G229+I229</f>
        <v>92000</v>
      </c>
      <c r="L229" s="274">
        <f>F229*K229</f>
        <v>0</v>
      </c>
      <c r="M229" s="279"/>
      <c r="O229" s="342"/>
      <c r="P229" s="343"/>
    </row>
    <row r="230" spans="1:17" s="341" customFormat="1" ht="18" hidden="1" customHeight="1">
      <c r="A230" s="53" t="s">
        <v>12</v>
      </c>
      <c r="B230" s="270" t="s">
        <v>120</v>
      </c>
      <c r="C230" s="347" t="s">
        <v>258</v>
      </c>
      <c r="D230" s="271" t="s">
        <v>362</v>
      </c>
      <c r="E230" s="271" t="s">
        <v>40</v>
      </c>
      <c r="F230" s="272">
        <v>0</v>
      </c>
      <c r="G230" s="273">
        <v>125000</v>
      </c>
      <c r="H230" s="273">
        <f>F230*G230</f>
        <v>0</v>
      </c>
      <c r="I230" s="273">
        <v>30000</v>
      </c>
      <c r="J230" s="273">
        <f t="shared" si="118"/>
        <v>0</v>
      </c>
      <c r="K230" s="273">
        <f>G230+I230</f>
        <v>155000</v>
      </c>
      <c r="L230" s="274">
        <f>F230*K230</f>
        <v>0</v>
      </c>
      <c r="M230" s="279"/>
      <c r="O230" s="342"/>
      <c r="P230" s="343"/>
    </row>
    <row r="231" spans="1:17" s="52" customFormat="1" ht="18" hidden="1" customHeight="1">
      <c r="A231" s="53"/>
      <c r="B231" s="47"/>
      <c r="C231" s="53"/>
      <c r="D231" s="298"/>
      <c r="E231" s="48"/>
      <c r="F231" s="54"/>
      <c r="G231" s="50"/>
      <c r="H231" s="50"/>
      <c r="I231" s="50"/>
      <c r="J231" s="50"/>
      <c r="K231" s="50"/>
      <c r="L231" s="51"/>
      <c r="M231" s="175"/>
      <c r="O231" s="165"/>
      <c r="P231" s="170"/>
    </row>
    <row r="232" spans="1:17" s="52" customFormat="1" ht="18" customHeight="1">
      <c r="A232" s="46">
        <v>-1</v>
      </c>
      <c r="B232" s="47" t="s">
        <v>124</v>
      </c>
      <c r="C232" s="46"/>
      <c r="D232" s="298"/>
      <c r="E232" s="48"/>
      <c r="F232" s="49"/>
      <c r="G232" s="50"/>
      <c r="H232" s="50"/>
      <c r="I232" s="50"/>
      <c r="J232" s="50"/>
      <c r="K232" s="50"/>
      <c r="L232" s="51"/>
      <c r="M232" s="175"/>
      <c r="O232" s="165"/>
      <c r="P232" s="170"/>
    </row>
    <row r="233" spans="1:17" s="396" customFormat="1" ht="18" customHeight="1">
      <c r="A233" s="53" t="s">
        <v>12</v>
      </c>
      <c r="B233" s="270" t="s">
        <v>119</v>
      </c>
      <c r="C233" s="347" t="s">
        <v>669</v>
      </c>
      <c r="D233" s="271" t="s">
        <v>362</v>
      </c>
      <c r="E233" s="271" t="s">
        <v>40</v>
      </c>
      <c r="F233" s="272">
        <v>1</v>
      </c>
      <c r="G233" s="273">
        <v>290000</v>
      </c>
      <c r="H233" s="273">
        <f>F233*G233</f>
        <v>290000</v>
      </c>
      <c r="I233" s="273">
        <v>250000</v>
      </c>
      <c r="J233" s="273">
        <f>F233*I233</f>
        <v>250000</v>
      </c>
      <c r="K233" s="273">
        <f t="shared" ref="K233:K234" si="119">G233+I233</f>
        <v>540000</v>
      </c>
      <c r="L233" s="274">
        <f>F233*K233</f>
        <v>540000</v>
      </c>
      <c r="M233" s="279"/>
      <c r="O233" s="397"/>
      <c r="P233" s="398"/>
    </row>
    <row r="234" spans="1:17" s="416" customFormat="1" ht="18" customHeight="1">
      <c r="A234" s="267" t="s">
        <v>12</v>
      </c>
      <c r="B234" s="295" t="s">
        <v>120</v>
      </c>
      <c r="C234" s="267" t="s">
        <v>719</v>
      </c>
      <c r="D234" s="384" t="s">
        <v>362</v>
      </c>
      <c r="E234" s="384" t="s">
        <v>40</v>
      </c>
      <c r="F234" s="385">
        <v>1</v>
      </c>
      <c r="G234" s="386">
        <v>500000</v>
      </c>
      <c r="H234" s="386">
        <f t="shared" ref="H234" si="120">F234*G234</f>
        <v>500000</v>
      </c>
      <c r="I234" s="386">
        <v>250000</v>
      </c>
      <c r="J234" s="386">
        <f t="shared" ref="J234" si="121">F234*I234</f>
        <v>250000</v>
      </c>
      <c r="K234" s="386">
        <f t="shared" si="119"/>
        <v>750000</v>
      </c>
      <c r="L234" s="387">
        <f>F234*K234</f>
        <v>750000</v>
      </c>
      <c r="M234" s="388"/>
      <c r="O234" s="417"/>
      <c r="P234" s="418"/>
      <c r="Q234" s="419"/>
    </row>
    <row r="235" spans="1:17" s="276" customFormat="1" ht="18" customHeight="1">
      <c r="A235" s="53" t="s">
        <v>583</v>
      </c>
      <c r="B235" s="270" t="s">
        <v>600</v>
      </c>
      <c r="C235" s="347" t="s">
        <v>601</v>
      </c>
      <c r="D235" s="271" t="s">
        <v>602</v>
      </c>
      <c r="E235" s="271" t="s">
        <v>603</v>
      </c>
      <c r="F235" s="272">
        <v>1</v>
      </c>
      <c r="G235" s="273">
        <v>250000</v>
      </c>
      <c r="H235" s="273">
        <f>F235*G235</f>
        <v>250000</v>
      </c>
      <c r="I235" s="273">
        <v>150000</v>
      </c>
      <c r="J235" s="273">
        <f t="shared" ref="J235" si="122">F235*I235</f>
        <v>150000</v>
      </c>
      <c r="K235" s="273">
        <f t="shared" ref="K235" si="123">G235+I235</f>
        <v>400000</v>
      </c>
      <c r="L235" s="274">
        <f>F235*K235</f>
        <v>400000</v>
      </c>
      <c r="M235" s="279"/>
      <c r="O235" s="277"/>
      <c r="P235" s="278"/>
      <c r="Q235" s="415"/>
    </row>
    <row r="236" spans="1:17" s="52" customFormat="1" ht="18" hidden="1" customHeight="1">
      <c r="A236" s="53" t="s">
        <v>41</v>
      </c>
      <c r="B236" s="47" t="s">
        <v>233</v>
      </c>
      <c r="C236" s="46" t="s">
        <v>234</v>
      </c>
      <c r="D236" s="298" t="s">
        <v>362</v>
      </c>
      <c r="E236" s="48" t="s">
        <v>40</v>
      </c>
      <c r="F236" s="54">
        <v>0</v>
      </c>
      <c r="G236" s="50">
        <v>250000</v>
      </c>
      <c r="H236" s="50">
        <f>F236*G236</f>
        <v>0</v>
      </c>
      <c r="I236" s="50">
        <v>50000</v>
      </c>
      <c r="J236" s="50">
        <f t="shared" si="118"/>
        <v>0</v>
      </c>
      <c r="K236" s="50">
        <f>G236+I236</f>
        <v>300000</v>
      </c>
      <c r="L236" s="51">
        <f t="shared" ref="L236:L242" si="124">F236*K236</f>
        <v>0</v>
      </c>
      <c r="M236" s="175"/>
      <c r="O236" s="165"/>
      <c r="P236" s="170"/>
    </row>
    <row r="237" spans="1:17" s="52" customFormat="1" ht="18" customHeight="1">
      <c r="A237" s="53" t="s">
        <v>12</v>
      </c>
      <c r="B237" s="47" t="s">
        <v>121</v>
      </c>
      <c r="C237" s="53" t="s">
        <v>599</v>
      </c>
      <c r="D237" s="298" t="s">
        <v>362</v>
      </c>
      <c r="E237" s="48" t="s">
        <v>40</v>
      </c>
      <c r="F237" s="54">
        <v>1</v>
      </c>
      <c r="G237" s="50">
        <v>19800</v>
      </c>
      <c r="H237" s="50">
        <f>F237*G237</f>
        <v>19800</v>
      </c>
      <c r="I237" s="50">
        <v>50000</v>
      </c>
      <c r="J237" s="50">
        <f t="shared" si="118"/>
        <v>50000</v>
      </c>
      <c r="K237" s="50">
        <f>G237+I237</f>
        <v>69800</v>
      </c>
      <c r="L237" s="51">
        <f t="shared" si="124"/>
        <v>69800</v>
      </c>
      <c r="M237" s="175"/>
      <c r="O237" s="165"/>
      <c r="P237" s="170"/>
    </row>
    <row r="238" spans="1:17" s="393" customFormat="1" ht="18" customHeight="1">
      <c r="A238" s="53" t="s">
        <v>12</v>
      </c>
      <c r="B238" s="47" t="s">
        <v>122</v>
      </c>
      <c r="C238" s="53" t="s">
        <v>604</v>
      </c>
      <c r="D238" s="298" t="s">
        <v>362</v>
      </c>
      <c r="E238" s="48" t="s">
        <v>40</v>
      </c>
      <c r="F238" s="54">
        <v>1</v>
      </c>
      <c r="G238" s="50">
        <v>25000</v>
      </c>
      <c r="H238" s="50">
        <v>45000</v>
      </c>
      <c r="I238" s="50">
        <v>50000</v>
      </c>
      <c r="J238" s="50">
        <f t="shared" si="118"/>
        <v>50000</v>
      </c>
      <c r="K238" s="50">
        <f>G238+I238</f>
        <v>75000</v>
      </c>
      <c r="L238" s="51">
        <f t="shared" si="124"/>
        <v>75000</v>
      </c>
      <c r="M238" s="175"/>
      <c r="O238" s="394"/>
      <c r="P238" s="395"/>
    </row>
    <row r="239" spans="1:17" s="52" customFormat="1" ht="18" customHeight="1">
      <c r="A239" s="53" t="s">
        <v>12</v>
      </c>
      <c r="B239" s="47" t="s">
        <v>165</v>
      </c>
      <c r="C239" s="46" t="s">
        <v>553</v>
      </c>
      <c r="D239" s="404" t="s">
        <v>362</v>
      </c>
      <c r="E239" s="48" t="s">
        <v>74</v>
      </c>
      <c r="F239" s="54">
        <v>1</v>
      </c>
      <c r="G239" s="50">
        <v>225000</v>
      </c>
      <c r="H239" s="50">
        <f>F239*G239</f>
        <v>225000</v>
      </c>
      <c r="I239" s="50">
        <v>30000</v>
      </c>
      <c r="J239" s="50">
        <f t="shared" ref="J239:J243" si="125">F239*I239</f>
        <v>30000</v>
      </c>
      <c r="K239" s="50">
        <f t="shared" ref="K239" si="126">G239+I239</f>
        <v>255000</v>
      </c>
      <c r="L239" s="51">
        <f>F239*K239</f>
        <v>255000</v>
      </c>
      <c r="M239" s="175"/>
      <c r="O239" s="165"/>
      <c r="P239" s="170"/>
    </row>
    <row r="240" spans="1:17" s="52" customFormat="1" ht="18" hidden="1" customHeight="1">
      <c r="A240" s="53" t="s">
        <v>12</v>
      </c>
      <c r="B240" s="47" t="s">
        <v>232</v>
      </c>
      <c r="C240" s="46" t="s">
        <v>229</v>
      </c>
      <c r="D240" s="298" t="s">
        <v>362</v>
      </c>
      <c r="E240" s="48" t="s">
        <v>74</v>
      </c>
      <c r="F240" s="54">
        <v>0</v>
      </c>
      <c r="G240" s="313">
        <v>60000</v>
      </c>
      <c r="H240" s="50">
        <f t="shared" ref="H240:H242" si="127">F240*G240</f>
        <v>0</v>
      </c>
      <c r="I240" s="50">
        <v>10000</v>
      </c>
      <c r="J240" s="50">
        <f t="shared" si="125"/>
        <v>0</v>
      </c>
      <c r="K240" s="50">
        <f t="shared" ref="K240:K242" si="128">G240+I240</f>
        <v>70000</v>
      </c>
      <c r="L240" s="51">
        <f t="shared" si="124"/>
        <v>0</v>
      </c>
      <c r="M240" s="175"/>
      <c r="O240" s="165"/>
      <c r="P240" s="170"/>
    </row>
    <row r="241" spans="1:17" s="52" customFormat="1" ht="18" customHeight="1">
      <c r="A241" s="53" t="s">
        <v>249</v>
      </c>
      <c r="B241" s="47" t="s">
        <v>250</v>
      </c>
      <c r="C241" s="46" t="s">
        <v>605</v>
      </c>
      <c r="D241" s="404" t="s">
        <v>362</v>
      </c>
      <c r="E241" s="48" t="s">
        <v>251</v>
      </c>
      <c r="F241" s="54">
        <v>1</v>
      </c>
      <c r="G241" s="50">
        <v>250000</v>
      </c>
      <c r="H241" s="50">
        <f t="shared" si="127"/>
        <v>250000</v>
      </c>
      <c r="I241" s="50">
        <v>50000</v>
      </c>
      <c r="J241" s="50">
        <f t="shared" si="125"/>
        <v>50000</v>
      </c>
      <c r="K241" s="50">
        <f t="shared" si="128"/>
        <v>300000</v>
      </c>
      <c r="L241" s="51">
        <f t="shared" si="124"/>
        <v>300000</v>
      </c>
      <c r="M241" s="175"/>
      <c r="O241" s="165"/>
      <c r="P241" s="170"/>
    </row>
    <row r="242" spans="1:17" ht="18" customHeight="1">
      <c r="A242" s="46" t="s">
        <v>188</v>
      </c>
      <c r="B242" s="47" t="s">
        <v>355</v>
      </c>
      <c r="C242" s="46" t="s">
        <v>356</v>
      </c>
      <c r="D242" s="404" t="s">
        <v>362</v>
      </c>
      <c r="E242" s="48" t="s">
        <v>385</v>
      </c>
      <c r="F242" s="54">
        <v>6</v>
      </c>
      <c r="G242" s="50">
        <v>23000</v>
      </c>
      <c r="H242" s="50">
        <f t="shared" si="127"/>
        <v>138000</v>
      </c>
      <c r="I242" s="50">
        <v>50000</v>
      </c>
      <c r="J242" s="50">
        <f t="shared" si="125"/>
        <v>300000</v>
      </c>
      <c r="K242" s="50">
        <f t="shared" si="128"/>
        <v>73000</v>
      </c>
      <c r="L242" s="51">
        <f t="shared" si="124"/>
        <v>438000</v>
      </c>
      <c r="M242" s="175"/>
      <c r="Q242" s="377"/>
    </row>
    <row r="243" spans="1:17" ht="18" hidden="1" customHeight="1">
      <c r="A243" s="46" t="s">
        <v>387</v>
      </c>
      <c r="B243" s="47" t="s">
        <v>389</v>
      </c>
      <c r="C243" s="46" t="s">
        <v>390</v>
      </c>
      <c r="D243" s="404" t="s">
        <v>362</v>
      </c>
      <c r="E243" s="48" t="s">
        <v>391</v>
      </c>
      <c r="F243" s="54">
        <v>0</v>
      </c>
      <c r="G243" s="50">
        <v>300000</v>
      </c>
      <c r="H243" s="50">
        <f>F243*G243</f>
        <v>0</v>
      </c>
      <c r="I243" s="50">
        <v>100000</v>
      </c>
      <c r="J243" s="50">
        <f t="shared" si="125"/>
        <v>0</v>
      </c>
      <c r="K243" s="50">
        <f>G243+I243</f>
        <v>400000</v>
      </c>
      <c r="L243" s="51">
        <f>F243*K243</f>
        <v>0</v>
      </c>
      <c r="M243" s="175"/>
    </row>
    <row r="244" spans="1:17" ht="18" customHeight="1">
      <c r="A244" s="46"/>
      <c r="B244" s="47"/>
      <c r="C244" s="46"/>
      <c r="D244" s="404"/>
      <c r="E244" s="48"/>
      <c r="F244" s="54"/>
      <c r="G244" s="50"/>
      <c r="H244" s="50"/>
      <c r="I244" s="50"/>
      <c r="J244" s="50"/>
      <c r="K244" s="50"/>
      <c r="L244" s="51"/>
      <c r="M244" s="175"/>
    </row>
    <row r="245" spans="1:17" s="52" customFormat="1" ht="18" customHeight="1">
      <c r="A245" s="46">
        <v>-1</v>
      </c>
      <c r="B245" s="47" t="s">
        <v>606</v>
      </c>
      <c r="C245" s="46"/>
      <c r="D245" s="298"/>
      <c r="E245" s="48"/>
      <c r="F245" s="49"/>
      <c r="G245" s="50"/>
      <c r="H245" s="50"/>
      <c r="I245" s="50"/>
      <c r="J245" s="50"/>
      <c r="K245" s="50"/>
      <c r="L245" s="51"/>
      <c r="M245" s="175"/>
      <c r="O245" s="165"/>
      <c r="P245" s="170"/>
    </row>
    <row r="246" spans="1:17" s="396" customFormat="1" ht="18" customHeight="1">
      <c r="A246" s="53" t="s">
        <v>12</v>
      </c>
      <c r="B246" s="270" t="s">
        <v>119</v>
      </c>
      <c r="C246" s="347" t="s">
        <v>669</v>
      </c>
      <c r="D246" s="271" t="s">
        <v>362</v>
      </c>
      <c r="E246" s="271" t="s">
        <v>40</v>
      </c>
      <c r="F246" s="272">
        <v>1</v>
      </c>
      <c r="G246" s="273">
        <v>290000</v>
      </c>
      <c r="H246" s="273">
        <f>F246*G246</f>
        <v>290000</v>
      </c>
      <c r="I246" s="273">
        <v>250000</v>
      </c>
      <c r="J246" s="273">
        <f>F246*I246</f>
        <v>250000</v>
      </c>
      <c r="K246" s="273">
        <f t="shared" ref="K246" si="129">G246+I246</f>
        <v>540000</v>
      </c>
      <c r="L246" s="274">
        <f>F246*K246</f>
        <v>540000</v>
      </c>
      <c r="M246" s="279"/>
      <c r="O246" s="397"/>
      <c r="P246" s="398"/>
    </row>
    <row r="247" spans="1:17" s="416" customFormat="1" ht="18" customHeight="1">
      <c r="A247" s="267" t="s">
        <v>12</v>
      </c>
      <c r="B247" s="295" t="s">
        <v>120</v>
      </c>
      <c r="C247" s="267" t="s">
        <v>719</v>
      </c>
      <c r="D247" s="384" t="s">
        <v>362</v>
      </c>
      <c r="E247" s="384" t="s">
        <v>40</v>
      </c>
      <c r="F247" s="385">
        <v>1</v>
      </c>
      <c r="G247" s="386">
        <v>500000</v>
      </c>
      <c r="H247" s="386">
        <f t="shared" ref="H247:H252" si="130">F247*G247</f>
        <v>500000</v>
      </c>
      <c r="I247" s="386">
        <v>250000</v>
      </c>
      <c r="J247" s="386">
        <f t="shared" ref="J247:J258" si="131">F247*I247</f>
        <v>250000</v>
      </c>
      <c r="K247" s="386">
        <f t="shared" ref="K247:K250" si="132">G247+I247</f>
        <v>750000</v>
      </c>
      <c r="L247" s="387">
        <f>F247*K247</f>
        <v>750000</v>
      </c>
      <c r="M247" s="388"/>
      <c r="O247" s="417"/>
      <c r="P247" s="418"/>
      <c r="Q247" s="419"/>
    </row>
    <row r="248" spans="1:17" s="396" customFormat="1" ht="18" customHeight="1">
      <c r="A248" s="53" t="s">
        <v>12</v>
      </c>
      <c r="B248" s="270" t="s">
        <v>672</v>
      </c>
      <c r="C248" s="347" t="s">
        <v>673</v>
      </c>
      <c r="D248" s="271" t="s">
        <v>362</v>
      </c>
      <c r="E248" s="271" t="s">
        <v>40</v>
      </c>
      <c r="F248" s="272">
        <v>1</v>
      </c>
      <c r="G248" s="273">
        <v>360000</v>
      </c>
      <c r="H248" s="273">
        <f>F248*G248</f>
        <v>360000</v>
      </c>
      <c r="I248" s="273">
        <v>250000</v>
      </c>
      <c r="J248" s="273">
        <f>F248*I248</f>
        <v>250000</v>
      </c>
      <c r="K248" s="273">
        <f t="shared" si="132"/>
        <v>610000</v>
      </c>
      <c r="L248" s="274">
        <f>F248*K248</f>
        <v>610000</v>
      </c>
      <c r="M248" s="279"/>
      <c r="O248" s="397"/>
      <c r="P248" s="398"/>
    </row>
    <row r="249" spans="1:17" s="396" customFormat="1" ht="18" customHeight="1">
      <c r="A249" s="53" t="s">
        <v>578</v>
      </c>
      <c r="B249" s="270" t="s">
        <v>670</v>
      </c>
      <c r="C249" s="347" t="s">
        <v>671</v>
      </c>
      <c r="D249" s="271" t="s">
        <v>607</v>
      </c>
      <c r="E249" s="271" t="s">
        <v>245</v>
      </c>
      <c r="F249" s="272">
        <v>1</v>
      </c>
      <c r="G249" s="273">
        <v>550000</v>
      </c>
      <c r="H249" s="273">
        <f t="shared" si="130"/>
        <v>550000</v>
      </c>
      <c r="I249" s="273">
        <v>90000</v>
      </c>
      <c r="J249" s="273">
        <f t="shared" ref="J249" si="133">F249*I249</f>
        <v>90000</v>
      </c>
      <c r="K249" s="273">
        <f t="shared" ref="K249" si="134">G249+I249</f>
        <v>640000</v>
      </c>
      <c r="L249" s="274">
        <f>F249*K249</f>
        <v>640000</v>
      </c>
      <c r="M249" s="279"/>
      <c r="O249" s="397"/>
      <c r="P249" s="398"/>
      <c r="Q249" s="399"/>
    </row>
    <row r="250" spans="1:17" s="276" customFormat="1" ht="18" customHeight="1">
      <c r="A250" s="53" t="s">
        <v>583</v>
      </c>
      <c r="B250" s="270" t="s">
        <v>600</v>
      </c>
      <c r="C250" s="347" t="s">
        <v>601</v>
      </c>
      <c r="D250" s="271" t="s">
        <v>602</v>
      </c>
      <c r="E250" s="271" t="s">
        <v>603</v>
      </c>
      <c r="F250" s="272">
        <v>1</v>
      </c>
      <c r="G250" s="273">
        <v>250000</v>
      </c>
      <c r="H250" s="273">
        <f t="shared" si="130"/>
        <v>250000</v>
      </c>
      <c r="I250" s="273">
        <v>150000</v>
      </c>
      <c r="J250" s="273">
        <f t="shared" si="131"/>
        <v>150000</v>
      </c>
      <c r="K250" s="273">
        <f t="shared" si="132"/>
        <v>400000</v>
      </c>
      <c r="L250" s="274">
        <f>F250*K250</f>
        <v>400000</v>
      </c>
      <c r="M250" s="279"/>
      <c r="O250" s="277"/>
      <c r="P250" s="278"/>
      <c r="Q250" s="415"/>
    </row>
    <row r="251" spans="1:17" s="52" customFormat="1" ht="18" hidden="1" customHeight="1">
      <c r="A251" s="53" t="s">
        <v>41</v>
      </c>
      <c r="B251" s="47" t="s">
        <v>233</v>
      </c>
      <c r="C251" s="46" t="s">
        <v>234</v>
      </c>
      <c r="D251" s="298" t="s">
        <v>362</v>
      </c>
      <c r="E251" s="48" t="s">
        <v>40</v>
      </c>
      <c r="F251" s="54">
        <v>0</v>
      </c>
      <c r="G251" s="50">
        <v>250000</v>
      </c>
      <c r="H251" s="50">
        <f t="shared" si="130"/>
        <v>0</v>
      </c>
      <c r="I251" s="50">
        <v>50000</v>
      </c>
      <c r="J251" s="50">
        <f t="shared" si="131"/>
        <v>0</v>
      </c>
      <c r="K251" s="50">
        <f>G251+I251</f>
        <v>300000</v>
      </c>
      <c r="L251" s="51">
        <f t="shared" ref="L251:L253" si="135">F251*K251</f>
        <v>0</v>
      </c>
      <c r="M251" s="175"/>
      <c r="O251" s="165"/>
      <c r="P251" s="170"/>
    </row>
    <row r="252" spans="1:17" s="393" customFormat="1" ht="18" customHeight="1">
      <c r="A252" s="53" t="s">
        <v>12</v>
      </c>
      <c r="B252" s="47" t="s">
        <v>121</v>
      </c>
      <c r="C252" s="53" t="s">
        <v>123</v>
      </c>
      <c r="D252" s="298" t="s">
        <v>362</v>
      </c>
      <c r="E252" s="48" t="s">
        <v>40</v>
      </c>
      <c r="F252" s="54">
        <v>1</v>
      </c>
      <c r="G252" s="50">
        <v>24500</v>
      </c>
      <c r="H252" s="50">
        <f t="shared" si="130"/>
        <v>24500</v>
      </c>
      <c r="I252" s="50">
        <v>50000</v>
      </c>
      <c r="J252" s="50">
        <f t="shared" si="131"/>
        <v>50000</v>
      </c>
      <c r="K252" s="50">
        <f>G252+I252</f>
        <v>74500</v>
      </c>
      <c r="L252" s="51">
        <f t="shared" si="135"/>
        <v>74500</v>
      </c>
      <c r="M252" s="175"/>
      <c r="O252" s="394"/>
      <c r="P252" s="395"/>
    </row>
    <row r="253" spans="1:17" s="393" customFormat="1" ht="18" customHeight="1">
      <c r="A253" s="53" t="s">
        <v>12</v>
      </c>
      <c r="B253" s="47" t="s">
        <v>122</v>
      </c>
      <c r="C253" s="53" t="s">
        <v>608</v>
      </c>
      <c r="D253" s="298" t="s">
        <v>362</v>
      </c>
      <c r="E253" s="48" t="s">
        <v>40</v>
      </c>
      <c r="F253" s="54">
        <v>1</v>
      </c>
      <c r="G253" s="50">
        <f>35000*0.8</f>
        <v>28000</v>
      </c>
      <c r="H253" s="50">
        <v>45000</v>
      </c>
      <c r="I253" s="50">
        <v>50000</v>
      </c>
      <c r="J253" s="50">
        <f t="shared" si="131"/>
        <v>50000</v>
      </c>
      <c r="K253" s="50">
        <f>G253+I253</f>
        <v>78000</v>
      </c>
      <c r="L253" s="51">
        <f t="shared" si="135"/>
        <v>78000</v>
      </c>
      <c r="M253" s="175"/>
      <c r="O253" s="394"/>
      <c r="P253" s="395"/>
    </row>
    <row r="254" spans="1:17" s="52" customFormat="1" ht="18" customHeight="1">
      <c r="A254" s="53" t="s">
        <v>12</v>
      </c>
      <c r="B254" s="47" t="s">
        <v>165</v>
      </c>
      <c r="C254" s="46" t="s">
        <v>553</v>
      </c>
      <c r="D254" s="404" t="s">
        <v>362</v>
      </c>
      <c r="E254" s="48" t="s">
        <v>74</v>
      </c>
      <c r="F254" s="54">
        <v>1</v>
      </c>
      <c r="G254" s="50">
        <v>225000</v>
      </c>
      <c r="H254" s="50">
        <f>F254*G254</f>
        <v>225000</v>
      </c>
      <c r="I254" s="50">
        <v>30000</v>
      </c>
      <c r="J254" s="50">
        <f t="shared" si="131"/>
        <v>30000</v>
      </c>
      <c r="K254" s="50">
        <f t="shared" ref="K254:K257" si="136">G254+I254</f>
        <v>255000</v>
      </c>
      <c r="L254" s="51">
        <f>F254*K254</f>
        <v>255000</v>
      </c>
      <c r="M254" s="175"/>
      <c r="O254" s="165"/>
      <c r="P254" s="170"/>
    </row>
    <row r="255" spans="1:17" s="52" customFormat="1" ht="18" hidden="1" customHeight="1">
      <c r="A255" s="53" t="s">
        <v>12</v>
      </c>
      <c r="B255" s="47" t="s">
        <v>232</v>
      </c>
      <c r="C255" s="46" t="s">
        <v>229</v>
      </c>
      <c r="D255" s="304" t="s">
        <v>362</v>
      </c>
      <c r="E255" s="48" t="s">
        <v>74</v>
      </c>
      <c r="F255" s="54">
        <v>0</v>
      </c>
      <c r="G255" s="313">
        <v>60000</v>
      </c>
      <c r="H255" s="50">
        <f t="shared" ref="H255:H257" si="137">F255*G255</f>
        <v>0</v>
      </c>
      <c r="I255" s="50">
        <v>10000</v>
      </c>
      <c r="J255" s="50">
        <f t="shared" si="131"/>
        <v>0</v>
      </c>
      <c r="K255" s="50">
        <f t="shared" si="136"/>
        <v>70000</v>
      </c>
      <c r="L255" s="51">
        <f t="shared" ref="L255:L257" si="138">F255*K255</f>
        <v>0</v>
      </c>
      <c r="M255" s="176"/>
      <c r="O255" s="165"/>
      <c r="P255" s="170"/>
    </row>
    <row r="256" spans="1:17" s="52" customFormat="1" ht="18" customHeight="1">
      <c r="A256" s="53" t="s">
        <v>41</v>
      </c>
      <c r="B256" s="47" t="s">
        <v>609</v>
      </c>
      <c r="C256" s="46" t="s">
        <v>605</v>
      </c>
      <c r="D256" s="314" t="s">
        <v>362</v>
      </c>
      <c r="E256" s="48" t="s">
        <v>74</v>
      </c>
      <c r="F256" s="54">
        <v>1</v>
      </c>
      <c r="G256" s="50">
        <v>450000</v>
      </c>
      <c r="H256" s="50">
        <f t="shared" si="137"/>
        <v>450000</v>
      </c>
      <c r="I256" s="50">
        <v>50000</v>
      </c>
      <c r="J256" s="50">
        <f t="shared" si="131"/>
        <v>50000</v>
      </c>
      <c r="K256" s="50">
        <f t="shared" si="136"/>
        <v>500000</v>
      </c>
      <c r="L256" s="51">
        <f t="shared" si="138"/>
        <v>500000</v>
      </c>
      <c r="M256" s="176"/>
      <c r="O256" s="165"/>
      <c r="P256" s="170"/>
    </row>
    <row r="257" spans="1:17" ht="18" customHeight="1">
      <c r="A257" s="9" t="s">
        <v>41</v>
      </c>
      <c r="B257" s="10" t="s">
        <v>355</v>
      </c>
      <c r="C257" s="9" t="s">
        <v>356</v>
      </c>
      <c r="D257" s="314" t="s">
        <v>362</v>
      </c>
      <c r="E257" s="4" t="s">
        <v>385</v>
      </c>
      <c r="F257" s="172">
        <v>6</v>
      </c>
      <c r="G257" s="24">
        <v>23000</v>
      </c>
      <c r="H257" s="24">
        <f t="shared" si="137"/>
        <v>138000</v>
      </c>
      <c r="I257" s="24">
        <v>50000</v>
      </c>
      <c r="J257" s="24">
        <f t="shared" si="131"/>
        <v>300000</v>
      </c>
      <c r="K257" s="24">
        <f t="shared" si="136"/>
        <v>73000</v>
      </c>
      <c r="L257" s="25">
        <f t="shared" si="138"/>
        <v>438000</v>
      </c>
      <c r="M257" s="176"/>
      <c r="Q257" s="377"/>
    </row>
    <row r="258" spans="1:17" ht="18" hidden="1" customHeight="1">
      <c r="A258" s="9" t="s">
        <v>387</v>
      </c>
      <c r="B258" s="10" t="s">
        <v>216</v>
      </c>
      <c r="C258" s="9" t="s">
        <v>390</v>
      </c>
      <c r="D258" s="314" t="s">
        <v>362</v>
      </c>
      <c r="E258" s="4" t="s">
        <v>391</v>
      </c>
      <c r="F258" s="172">
        <v>0</v>
      </c>
      <c r="G258" s="24">
        <v>300000</v>
      </c>
      <c r="H258" s="24">
        <f>F258*G258</f>
        <v>0</v>
      </c>
      <c r="I258" s="24">
        <v>100000</v>
      </c>
      <c r="J258" s="24">
        <f t="shared" si="131"/>
        <v>0</v>
      </c>
      <c r="K258" s="24">
        <f>G258+I258</f>
        <v>400000</v>
      </c>
      <c r="L258" s="25">
        <f>F258*K258</f>
        <v>0</v>
      </c>
      <c r="M258" s="176"/>
    </row>
    <row r="259" spans="1:17" ht="18" hidden="1" customHeight="1">
      <c r="A259" s="9"/>
      <c r="B259" s="10"/>
      <c r="C259" s="9"/>
      <c r="D259" s="314"/>
      <c r="E259" s="4"/>
      <c r="F259" s="172"/>
      <c r="G259" s="24"/>
      <c r="H259" s="24"/>
      <c r="I259" s="24"/>
      <c r="J259" s="24"/>
      <c r="K259" s="24"/>
      <c r="L259" s="25"/>
      <c r="M259" s="176"/>
    </row>
    <row r="260" spans="1:17" ht="18" hidden="1" customHeight="1">
      <c r="A260" s="9"/>
      <c r="B260" s="10"/>
      <c r="C260" s="9"/>
      <c r="D260" s="314"/>
      <c r="E260" s="4"/>
      <c r="F260" s="172"/>
      <c r="G260" s="24"/>
      <c r="H260" s="24"/>
      <c r="I260" s="24"/>
      <c r="J260" s="24"/>
      <c r="K260" s="24"/>
      <c r="L260" s="25"/>
      <c r="M260" s="176"/>
    </row>
    <row r="261" spans="1:17" ht="18" hidden="1" customHeight="1">
      <c r="A261" s="9"/>
      <c r="B261" s="10"/>
      <c r="C261" s="9"/>
      <c r="D261" s="314"/>
      <c r="E261" s="4"/>
      <c r="F261" s="172"/>
      <c r="G261" s="24"/>
      <c r="H261" s="24"/>
      <c r="I261" s="24"/>
      <c r="J261" s="24"/>
      <c r="K261" s="24"/>
      <c r="L261" s="25"/>
      <c r="M261" s="176"/>
    </row>
    <row r="262" spans="1:17" ht="18" hidden="1" customHeight="1">
      <c r="A262" s="9"/>
      <c r="B262" s="10"/>
      <c r="C262" s="9"/>
      <c r="D262" s="314"/>
      <c r="E262" s="4"/>
      <c r="F262" s="172"/>
      <c r="G262" s="24"/>
      <c r="H262" s="24"/>
      <c r="I262" s="24"/>
      <c r="J262" s="24"/>
      <c r="K262" s="24"/>
      <c r="L262" s="25"/>
      <c r="M262" s="176"/>
    </row>
    <row r="263" spans="1:17" ht="18" hidden="1" customHeight="1">
      <c r="A263" s="9"/>
      <c r="B263" s="10"/>
      <c r="C263" s="9"/>
      <c r="D263" s="314"/>
      <c r="E263" s="4"/>
      <c r="F263" s="172"/>
      <c r="G263" s="24"/>
      <c r="H263" s="24"/>
      <c r="I263" s="24"/>
      <c r="J263" s="24"/>
      <c r="K263" s="24"/>
      <c r="L263" s="25"/>
      <c r="M263" s="176"/>
    </row>
    <row r="264" spans="1:17" ht="18" customHeight="1">
      <c r="A264" s="9"/>
      <c r="B264" s="10"/>
      <c r="C264" s="9"/>
      <c r="D264" s="314"/>
      <c r="E264" s="4"/>
      <c r="F264" s="172"/>
      <c r="G264" s="24"/>
      <c r="H264" s="24"/>
      <c r="I264" s="24"/>
      <c r="J264" s="24"/>
      <c r="K264" s="24"/>
      <c r="L264" s="25"/>
      <c r="M264" s="176"/>
    </row>
    <row r="265" spans="1:17" s="17" customFormat="1" ht="18" customHeight="1">
      <c r="A265" s="11"/>
      <c r="B265" s="11" t="s">
        <v>13</v>
      </c>
      <c r="C265" s="11"/>
      <c r="D265" s="13"/>
      <c r="E265" s="13"/>
      <c r="F265" s="45"/>
      <c r="G265" s="42"/>
      <c r="H265" s="42">
        <f>SUM(H219:H263)</f>
        <v>7662300</v>
      </c>
      <c r="I265" s="42"/>
      <c r="J265" s="42">
        <f>SUM(J219:J263)</f>
        <v>3440000</v>
      </c>
      <c r="K265" s="42"/>
      <c r="L265" s="42">
        <f>SUM(L219:L263)</f>
        <v>11065300</v>
      </c>
      <c r="M265" s="176"/>
      <c r="O265" s="163"/>
      <c r="P265" s="168"/>
    </row>
    <row r="266" spans="1:17" ht="18" customHeight="1">
      <c r="A266" s="9"/>
      <c r="B266" s="10"/>
      <c r="C266" s="9"/>
      <c r="D266" s="4"/>
      <c r="E266" s="4"/>
      <c r="F266" s="44"/>
      <c r="G266" s="24"/>
      <c r="H266" s="24"/>
      <c r="I266" s="24"/>
      <c r="J266" s="24"/>
      <c r="K266" s="24"/>
      <c r="L266" s="25"/>
      <c r="M266" s="176"/>
    </row>
    <row r="267" spans="1:17" s="17" customFormat="1" ht="18" customHeight="1">
      <c r="A267" s="39" t="s">
        <v>520</v>
      </c>
      <c r="B267" s="40" t="s">
        <v>64</v>
      </c>
      <c r="C267" s="362"/>
      <c r="D267" s="13"/>
      <c r="E267" s="13"/>
      <c r="F267" s="45"/>
      <c r="G267" s="42"/>
      <c r="H267" s="42"/>
      <c r="I267" s="42"/>
      <c r="J267" s="42"/>
      <c r="K267" s="42"/>
      <c r="L267" s="43"/>
      <c r="M267" s="176"/>
      <c r="O267" s="163"/>
      <c r="P267" s="168"/>
    </row>
    <row r="268" spans="1:17" s="52" customFormat="1" ht="18" customHeight="1">
      <c r="A268" s="46">
        <v>-1</v>
      </c>
      <c r="B268" s="47" t="s">
        <v>125</v>
      </c>
      <c r="C268" s="46"/>
      <c r="D268" s="48"/>
      <c r="E268" s="48"/>
      <c r="F268" s="49"/>
      <c r="G268" s="50"/>
      <c r="H268" s="50"/>
      <c r="I268" s="50"/>
      <c r="J268" s="50"/>
      <c r="K268" s="50"/>
      <c r="L268" s="51"/>
      <c r="M268" s="176"/>
      <c r="O268" s="165"/>
      <c r="P268" s="170"/>
    </row>
    <row r="269" spans="1:17" s="286" customFormat="1" ht="18" customHeight="1">
      <c r="A269" s="53" t="s">
        <v>188</v>
      </c>
      <c r="B269" s="47" t="s">
        <v>535</v>
      </c>
      <c r="C269" s="406" t="s">
        <v>133</v>
      </c>
      <c r="D269" s="48" t="s">
        <v>538</v>
      </c>
      <c r="E269" s="48" t="s">
        <v>181</v>
      </c>
      <c r="F269" s="54">
        <f>10*1.1</f>
        <v>11</v>
      </c>
      <c r="G269" s="50">
        <v>31000</v>
      </c>
      <c r="H269" s="50">
        <f t="shared" ref="H269:H274" si="139">F269*G269</f>
        <v>341000</v>
      </c>
      <c r="I269" s="50">
        <v>60000</v>
      </c>
      <c r="J269" s="50">
        <f t="shared" ref="J269:J274" si="140">F269*I269</f>
        <v>660000</v>
      </c>
      <c r="K269" s="50">
        <f t="shared" ref="K269:K274" si="141">G269+I269</f>
        <v>91000</v>
      </c>
      <c r="L269" s="51">
        <f t="shared" ref="L269:L274" si="142">F269*K269</f>
        <v>1001000</v>
      </c>
      <c r="M269" s="372"/>
      <c r="N269" s="286" t="s">
        <v>235</v>
      </c>
      <c r="O269" s="287"/>
      <c r="P269" s="288">
        <f>11*1.5</f>
        <v>16.5</v>
      </c>
    </row>
    <row r="270" spans="1:17" s="286" customFormat="1" ht="18" customHeight="1">
      <c r="A270" s="53" t="s">
        <v>188</v>
      </c>
      <c r="B270" s="47" t="s">
        <v>536</v>
      </c>
      <c r="C270" s="406" t="s">
        <v>133</v>
      </c>
      <c r="D270" s="48" t="s">
        <v>538</v>
      </c>
      <c r="E270" s="48" t="s">
        <v>181</v>
      </c>
      <c r="F270" s="54">
        <v>60</v>
      </c>
      <c r="G270" s="50">
        <v>31000</v>
      </c>
      <c r="H270" s="50">
        <f t="shared" si="139"/>
        <v>1860000</v>
      </c>
      <c r="I270" s="50">
        <v>60000</v>
      </c>
      <c r="J270" s="50">
        <f t="shared" si="140"/>
        <v>3600000</v>
      </c>
      <c r="K270" s="50">
        <f t="shared" si="141"/>
        <v>91000</v>
      </c>
      <c r="L270" s="51">
        <f t="shared" si="142"/>
        <v>5460000</v>
      </c>
      <c r="M270" s="373"/>
      <c r="O270" s="287">
        <f>11*2.1</f>
        <v>23.1</v>
      </c>
      <c r="P270" s="288">
        <f>7.5*2.4*1.5</f>
        <v>27</v>
      </c>
    </row>
    <row r="271" spans="1:17" s="52" customFormat="1" ht="18" customHeight="1">
      <c r="A271" s="53" t="s">
        <v>41</v>
      </c>
      <c r="B271" s="47" t="s">
        <v>674</v>
      </c>
      <c r="C271" s="53"/>
      <c r="D271" s="48"/>
      <c r="E271" s="48" t="s">
        <v>74</v>
      </c>
      <c r="F271" s="54">
        <v>3</v>
      </c>
      <c r="G271" s="50">
        <v>0</v>
      </c>
      <c r="H271" s="50">
        <f t="shared" si="139"/>
        <v>0</v>
      </c>
      <c r="I271" s="50">
        <v>300000</v>
      </c>
      <c r="J271" s="50">
        <f t="shared" si="140"/>
        <v>900000</v>
      </c>
      <c r="K271" s="50">
        <f t="shared" si="141"/>
        <v>300000</v>
      </c>
      <c r="L271" s="51">
        <f t="shared" si="142"/>
        <v>900000</v>
      </c>
      <c r="M271" s="176"/>
      <c r="O271" s="165"/>
      <c r="P271" s="170"/>
    </row>
    <row r="272" spans="1:17" s="52" customFormat="1" ht="18" customHeight="1">
      <c r="A272" s="53" t="s">
        <v>41</v>
      </c>
      <c r="B272" s="47" t="s">
        <v>675</v>
      </c>
      <c r="C272" s="53"/>
      <c r="D272" s="48"/>
      <c r="E272" s="48" t="s">
        <v>158</v>
      </c>
      <c r="F272" s="54">
        <v>4</v>
      </c>
      <c r="G272" s="50">
        <v>0</v>
      </c>
      <c r="H272" s="50">
        <f t="shared" si="139"/>
        <v>0</v>
      </c>
      <c r="I272" s="50">
        <v>300000</v>
      </c>
      <c r="J272" s="50">
        <f t="shared" si="140"/>
        <v>1200000</v>
      </c>
      <c r="K272" s="50">
        <f t="shared" si="141"/>
        <v>300000</v>
      </c>
      <c r="L272" s="51">
        <f t="shared" si="142"/>
        <v>1200000</v>
      </c>
      <c r="M272" s="176"/>
      <c r="O272" s="165"/>
      <c r="P272" s="170"/>
    </row>
    <row r="273" spans="1:16" s="52" customFormat="1" ht="18" customHeight="1">
      <c r="A273" s="53" t="s">
        <v>41</v>
      </c>
      <c r="B273" s="47" t="s">
        <v>676</v>
      </c>
      <c r="C273" s="53"/>
      <c r="D273" s="48"/>
      <c r="E273" s="48" t="s">
        <v>74</v>
      </c>
      <c r="F273" s="54">
        <v>2</v>
      </c>
      <c r="G273" s="50">
        <v>150000</v>
      </c>
      <c r="H273" s="50">
        <f t="shared" si="139"/>
        <v>300000</v>
      </c>
      <c r="I273" s="50">
        <v>200000</v>
      </c>
      <c r="J273" s="50">
        <f t="shared" si="140"/>
        <v>400000</v>
      </c>
      <c r="K273" s="50">
        <f t="shared" si="141"/>
        <v>350000</v>
      </c>
      <c r="L273" s="51">
        <f t="shared" si="142"/>
        <v>700000</v>
      </c>
      <c r="M273" s="176"/>
      <c r="O273" s="165"/>
      <c r="P273" s="170"/>
    </row>
    <row r="274" spans="1:16" s="52" customFormat="1" ht="18" customHeight="1">
      <c r="A274" s="53" t="s">
        <v>188</v>
      </c>
      <c r="B274" s="47" t="s">
        <v>128</v>
      </c>
      <c r="C274" s="53" t="s">
        <v>129</v>
      </c>
      <c r="D274" s="48"/>
      <c r="E274" s="48" t="s">
        <v>74</v>
      </c>
      <c r="F274" s="54">
        <v>3</v>
      </c>
      <c r="G274" s="50">
        <v>450000</v>
      </c>
      <c r="H274" s="50">
        <f t="shared" si="139"/>
        <v>1350000</v>
      </c>
      <c r="I274" s="50">
        <v>0</v>
      </c>
      <c r="J274" s="50">
        <f t="shared" si="140"/>
        <v>0</v>
      </c>
      <c r="K274" s="50">
        <f t="shared" si="141"/>
        <v>450000</v>
      </c>
      <c r="L274" s="51">
        <f t="shared" si="142"/>
        <v>1350000</v>
      </c>
      <c r="M274" s="176"/>
      <c r="O274" s="165"/>
      <c r="P274" s="170"/>
    </row>
    <row r="275" spans="1:16" s="52" customFormat="1" ht="18" customHeight="1">
      <c r="A275" s="53"/>
      <c r="B275" s="47"/>
      <c r="C275" s="53"/>
      <c r="D275" s="48"/>
      <c r="E275" s="48"/>
      <c r="F275" s="54"/>
      <c r="G275" s="50"/>
      <c r="H275" s="50"/>
      <c r="I275" s="50"/>
      <c r="J275" s="50"/>
      <c r="K275" s="50"/>
      <c r="L275" s="51"/>
      <c r="M275" s="176"/>
      <c r="O275" s="165"/>
      <c r="P275" s="170"/>
    </row>
    <row r="276" spans="1:16" s="52" customFormat="1" ht="18" hidden="1" customHeight="1">
      <c r="A276" s="46">
        <v>-1</v>
      </c>
      <c r="B276" s="47" t="s">
        <v>533</v>
      </c>
      <c r="C276" s="46"/>
      <c r="D276" s="48"/>
      <c r="E276" s="48"/>
      <c r="F276" s="49"/>
      <c r="G276" s="50"/>
      <c r="H276" s="50"/>
      <c r="I276" s="50"/>
      <c r="J276" s="50"/>
      <c r="K276" s="50"/>
      <c r="L276" s="51"/>
      <c r="M276" s="176"/>
      <c r="O276" s="165"/>
      <c r="P276" s="170"/>
    </row>
    <row r="277" spans="1:16" s="286" customFormat="1" ht="18" hidden="1" customHeight="1">
      <c r="A277" s="53" t="s">
        <v>12</v>
      </c>
      <c r="B277" s="47" t="s">
        <v>132</v>
      </c>
      <c r="C277" s="53" t="s">
        <v>133</v>
      </c>
      <c r="D277" s="48"/>
      <c r="E277" s="48" t="s">
        <v>11</v>
      </c>
      <c r="F277" s="54"/>
      <c r="G277" s="50">
        <v>35000</v>
      </c>
      <c r="H277" s="50">
        <f>F277*G277</f>
        <v>0</v>
      </c>
      <c r="I277" s="50">
        <v>60000</v>
      </c>
      <c r="J277" s="50">
        <f>F277*I277</f>
        <v>0</v>
      </c>
      <c r="K277" s="50">
        <f>G277+I277</f>
        <v>95000</v>
      </c>
      <c r="L277" s="51">
        <f>F277*K277</f>
        <v>0</v>
      </c>
      <c r="M277" s="373"/>
      <c r="O277" s="287">
        <f>12.6*1.5</f>
        <v>18.899999999999999</v>
      </c>
      <c r="P277" s="288">
        <f>6*1.5</f>
        <v>9</v>
      </c>
    </row>
    <row r="278" spans="1:16" s="52" customFormat="1" ht="18" hidden="1" customHeight="1">
      <c r="A278" s="53"/>
      <c r="B278" s="47"/>
      <c r="C278" s="53"/>
      <c r="D278" s="48"/>
      <c r="E278" s="48"/>
      <c r="F278" s="54"/>
      <c r="G278" s="50"/>
      <c r="H278" s="50"/>
      <c r="I278" s="50"/>
      <c r="J278" s="50"/>
      <c r="K278" s="50"/>
      <c r="L278" s="51"/>
      <c r="M278" s="176"/>
      <c r="O278" s="165"/>
      <c r="P278" s="170"/>
    </row>
    <row r="279" spans="1:16" s="52" customFormat="1" ht="18" hidden="1" customHeight="1">
      <c r="A279" s="53"/>
      <c r="B279" s="47"/>
      <c r="C279" s="53"/>
      <c r="D279" s="48"/>
      <c r="E279" s="48"/>
      <c r="F279" s="54"/>
      <c r="G279" s="50"/>
      <c r="H279" s="50"/>
      <c r="I279" s="50"/>
      <c r="J279" s="50"/>
      <c r="K279" s="50"/>
      <c r="L279" s="51"/>
      <c r="M279" s="176"/>
      <c r="O279" s="165"/>
      <c r="P279" s="170"/>
    </row>
    <row r="280" spans="1:16" s="52" customFormat="1" ht="18" hidden="1" customHeight="1">
      <c r="A280" s="53" t="s">
        <v>12</v>
      </c>
      <c r="B280" s="47" t="s">
        <v>127</v>
      </c>
      <c r="C280" s="46" t="s">
        <v>133</v>
      </c>
      <c r="D280" s="48"/>
      <c r="E280" s="48" t="s">
        <v>39</v>
      </c>
      <c r="F280" s="54"/>
      <c r="G280" s="50">
        <v>25000</v>
      </c>
      <c r="H280" s="50">
        <f>F280*G280</f>
        <v>0</v>
      </c>
      <c r="I280" s="50">
        <v>0</v>
      </c>
      <c r="J280" s="50">
        <f>F280*I280</f>
        <v>0</v>
      </c>
      <c r="K280" s="50">
        <f>G280+I280</f>
        <v>25000</v>
      </c>
      <c r="L280" s="51">
        <f>F280*K280</f>
        <v>0</v>
      </c>
      <c r="M280" s="176"/>
      <c r="O280" s="165"/>
      <c r="P280" s="170"/>
    </row>
    <row r="281" spans="1:16" s="52" customFormat="1" ht="18" hidden="1" customHeight="1">
      <c r="A281" s="53" t="s">
        <v>12</v>
      </c>
      <c r="B281" s="47" t="s">
        <v>126</v>
      </c>
      <c r="C281" s="46" t="s">
        <v>133</v>
      </c>
      <c r="D281" s="48"/>
      <c r="E281" s="48" t="s">
        <v>11</v>
      </c>
      <c r="F281" s="54"/>
      <c r="G281" s="50">
        <v>25000</v>
      </c>
      <c r="H281" s="50">
        <f>F281*G281</f>
        <v>0</v>
      </c>
      <c r="I281" s="50">
        <v>0</v>
      </c>
      <c r="J281" s="50">
        <f>F281*I281</f>
        <v>0</v>
      </c>
      <c r="K281" s="50">
        <f>G281+I281</f>
        <v>25000</v>
      </c>
      <c r="L281" s="51">
        <f>F281*K281</f>
        <v>0</v>
      </c>
      <c r="M281" s="176"/>
      <c r="O281" s="165"/>
      <c r="P281" s="170"/>
    </row>
    <row r="282" spans="1:16" s="52" customFormat="1" ht="18" hidden="1" customHeight="1">
      <c r="A282" s="53"/>
      <c r="B282" s="47"/>
      <c r="C282" s="53"/>
      <c r="D282" s="48"/>
      <c r="E282" s="48"/>
      <c r="F282" s="54"/>
      <c r="G282" s="50"/>
      <c r="H282" s="50"/>
      <c r="I282" s="50"/>
      <c r="J282" s="50"/>
      <c r="K282" s="50"/>
      <c r="L282" s="51"/>
      <c r="M282" s="176"/>
      <c r="O282" s="165"/>
      <c r="P282" s="170"/>
    </row>
    <row r="283" spans="1:16" s="52" customFormat="1" ht="18" hidden="1" customHeight="1">
      <c r="A283" s="46"/>
      <c r="B283" s="47"/>
      <c r="C283" s="46"/>
      <c r="D283" s="48"/>
      <c r="E283" s="48"/>
      <c r="F283" s="49"/>
      <c r="G283" s="50"/>
      <c r="H283" s="50"/>
      <c r="I283" s="50"/>
      <c r="J283" s="50"/>
      <c r="K283" s="50"/>
      <c r="L283" s="51"/>
      <c r="M283" s="176"/>
      <c r="O283" s="165"/>
      <c r="P283" s="170"/>
    </row>
    <row r="284" spans="1:16" ht="18" hidden="1" customHeight="1">
      <c r="A284" s="171">
        <v>-1</v>
      </c>
      <c r="B284" s="10" t="s">
        <v>308</v>
      </c>
      <c r="C284" s="171"/>
      <c r="D284" s="4"/>
      <c r="E284" s="4"/>
      <c r="F284" s="172"/>
      <c r="G284" s="24"/>
      <c r="H284" s="24"/>
      <c r="I284" s="24"/>
      <c r="J284" s="24"/>
      <c r="K284" s="24"/>
      <c r="L284" s="25"/>
      <c r="M284" s="176"/>
    </row>
    <row r="285" spans="1:16" ht="18" hidden="1" customHeight="1">
      <c r="A285" s="9" t="s">
        <v>306</v>
      </c>
      <c r="B285" s="10" t="s">
        <v>307</v>
      </c>
      <c r="C285" s="9" t="s">
        <v>305</v>
      </c>
      <c r="D285" s="4"/>
      <c r="E285" s="4" t="s">
        <v>304</v>
      </c>
      <c r="F285" s="44"/>
      <c r="G285" s="24">
        <v>25000</v>
      </c>
      <c r="H285" s="24">
        <f>F285*G285</f>
        <v>0</v>
      </c>
      <c r="I285" s="24">
        <v>70000</v>
      </c>
      <c r="J285" s="24">
        <f>F285*I285</f>
        <v>0</v>
      </c>
      <c r="K285" s="24">
        <f>G285+I285</f>
        <v>95000</v>
      </c>
      <c r="L285" s="25">
        <f>F285*K285</f>
        <v>0</v>
      </c>
      <c r="M285" s="176"/>
    </row>
    <row r="286" spans="1:16" ht="18" hidden="1" customHeight="1">
      <c r="A286" s="171" t="s">
        <v>188</v>
      </c>
      <c r="B286" s="10" t="s">
        <v>128</v>
      </c>
      <c r="C286" s="171" t="s">
        <v>129</v>
      </c>
      <c r="D286" s="4"/>
      <c r="E286" s="4" t="s">
        <v>74</v>
      </c>
      <c r="F286" s="172"/>
      <c r="G286" s="24">
        <v>450000</v>
      </c>
      <c r="H286" s="24">
        <f>F286*G286</f>
        <v>0</v>
      </c>
      <c r="I286" s="24">
        <v>0</v>
      </c>
      <c r="J286" s="24">
        <f>F286*I286</f>
        <v>0</v>
      </c>
      <c r="K286" s="24">
        <f>G286+I286</f>
        <v>450000</v>
      </c>
      <c r="L286" s="25">
        <f>F286*K286</f>
        <v>0</v>
      </c>
      <c r="M286" s="176"/>
    </row>
    <row r="287" spans="1:16" s="292" customFormat="1" ht="18" hidden="1" customHeight="1">
      <c r="A287" s="171"/>
      <c r="B287" s="10"/>
      <c r="C287" s="171"/>
      <c r="D287" s="4"/>
      <c r="E287" s="4"/>
      <c r="F287" s="172"/>
      <c r="G287" s="24"/>
      <c r="H287" s="24"/>
      <c r="I287" s="24"/>
      <c r="J287" s="24"/>
      <c r="K287" s="24"/>
      <c r="L287" s="25"/>
      <c r="M287" s="291"/>
      <c r="O287" s="293"/>
      <c r="P287" s="294"/>
    </row>
    <row r="288" spans="1:16" s="52" customFormat="1" ht="18" hidden="1" customHeight="1">
      <c r="A288" s="46">
        <v>-1</v>
      </c>
      <c r="B288" s="47" t="s">
        <v>134</v>
      </c>
      <c r="C288" s="46"/>
      <c r="D288" s="48"/>
      <c r="E288" s="48"/>
      <c r="F288" s="49"/>
      <c r="G288" s="50"/>
      <c r="H288" s="50"/>
      <c r="I288" s="50"/>
      <c r="J288" s="50"/>
      <c r="K288" s="50"/>
      <c r="L288" s="51"/>
      <c r="M288" s="176"/>
      <c r="O288" s="165"/>
      <c r="P288" s="170"/>
    </row>
    <row r="289" spans="1:16" s="52" customFormat="1" ht="18" hidden="1" customHeight="1">
      <c r="A289" s="53" t="s">
        <v>12</v>
      </c>
      <c r="B289" s="47" t="s">
        <v>135</v>
      </c>
      <c r="C289" s="46" t="s">
        <v>136</v>
      </c>
      <c r="D289" s="48"/>
      <c r="E289" s="48" t="s">
        <v>11</v>
      </c>
      <c r="F289" s="54"/>
      <c r="G289" s="50">
        <v>11000</v>
      </c>
      <c r="H289" s="50">
        <f>F289*G289</f>
        <v>0</v>
      </c>
      <c r="I289" s="50">
        <v>25000</v>
      </c>
      <c r="J289" s="50">
        <f>F289*I289</f>
        <v>0</v>
      </c>
      <c r="K289" s="50">
        <f>G289+I289</f>
        <v>36000</v>
      </c>
      <c r="L289" s="51">
        <f>F289*K289</f>
        <v>0</v>
      </c>
      <c r="M289" s="176"/>
      <c r="O289" s="165">
        <f>16*1.5</f>
        <v>24</v>
      </c>
      <c r="P289" s="170"/>
    </row>
    <row r="290" spans="1:16" ht="18" hidden="1" customHeight="1">
      <c r="A290" s="171" t="s">
        <v>188</v>
      </c>
      <c r="B290" s="10" t="s">
        <v>128</v>
      </c>
      <c r="C290" s="171" t="s">
        <v>129</v>
      </c>
      <c r="D290" s="4"/>
      <c r="E290" s="4" t="s">
        <v>74</v>
      </c>
      <c r="F290" s="172"/>
      <c r="G290" s="24">
        <v>450000</v>
      </c>
      <c r="H290" s="50">
        <f>F290*G290</f>
        <v>0</v>
      </c>
      <c r="I290" s="24">
        <v>0</v>
      </c>
      <c r="J290" s="50">
        <f>F290*I290</f>
        <v>0</v>
      </c>
      <c r="K290" s="24">
        <f>G290+I290</f>
        <v>450000</v>
      </c>
      <c r="L290" s="51">
        <f>F290*K290</f>
        <v>0</v>
      </c>
      <c r="M290" s="176"/>
    </row>
    <row r="291" spans="1:16" s="52" customFormat="1" ht="18" hidden="1" customHeight="1">
      <c r="A291" s="53"/>
      <c r="B291" s="47"/>
      <c r="C291" s="53"/>
      <c r="D291" s="48"/>
      <c r="E291" s="48"/>
      <c r="F291" s="54"/>
      <c r="G291" s="50"/>
      <c r="H291" s="50"/>
      <c r="I291" s="50"/>
      <c r="J291" s="50"/>
      <c r="K291" s="50"/>
      <c r="L291" s="51"/>
      <c r="M291" s="176"/>
      <c r="O291" s="165"/>
      <c r="P291" s="170"/>
    </row>
    <row r="292" spans="1:16" s="52" customFormat="1" ht="18" customHeight="1">
      <c r="A292" s="46">
        <v>-1</v>
      </c>
      <c r="B292" s="47" t="s">
        <v>533</v>
      </c>
      <c r="C292" s="46"/>
      <c r="D292" s="48"/>
      <c r="E292" s="48"/>
      <c r="F292" s="49"/>
      <c r="G292" s="50"/>
      <c r="H292" s="50"/>
      <c r="I292" s="50"/>
      <c r="J292" s="50"/>
      <c r="K292" s="50"/>
      <c r="L292" s="51"/>
      <c r="M292" s="176"/>
      <c r="O292" s="165"/>
      <c r="P292" s="170"/>
    </row>
    <row r="293" spans="1:16" s="286" customFormat="1" ht="18" customHeight="1">
      <c r="A293" s="53" t="s">
        <v>12</v>
      </c>
      <c r="B293" s="47" t="s">
        <v>130</v>
      </c>
      <c r="C293" s="406" t="s">
        <v>133</v>
      </c>
      <c r="D293" s="48"/>
      <c r="E293" s="48" t="s">
        <v>11</v>
      </c>
      <c r="F293" s="54">
        <v>8</v>
      </c>
      <c r="G293" s="50">
        <v>31000</v>
      </c>
      <c r="H293" s="50">
        <f>F293*G293</f>
        <v>248000</v>
      </c>
      <c r="I293" s="50">
        <v>60000</v>
      </c>
      <c r="J293" s="50">
        <f>F293*I293</f>
        <v>480000</v>
      </c>
      <c r="K293" s="50">
        <f>G293+I293</f>
        <v>91000</v>
      </c>
      <c r="L293" s="51">
        <f>F293*K293</f>
        <v>728000</v>
      </c>
      <c r="M293" s="373"/>
      <c r="O293" s="287">
        <f>12.6*1.5</f>
        <v>18.899999999999999</v>
      </c>
      <c r="P293" s="288">
        <f>6*1.5</f>
        <v>9</v>
      </c>
    </row>
    <row r="294" spans="1:16" s="52" customFormat="1" ht="18" hidden="1" customHeight="1">
      <c r="A294" s="53"/>
      <c r="B294" s="47"/>
      <c r="C294" s="46"/>
      <c r="D294" s="48"/>
      <c r="E294" s="48"/>
      <c r="F294" s="54"/>
      <c r="G294" s="50"/>
      <c r="H294" s="50"/>
      <c r="I294" s="50"/>
      <c r="J294" s="50"/>
      <c r="K294" s="50"/>
      <c r="L294" s="51"/>
      <c r="M294" s="176"/>
      <c r="O294" s="165"/>
      <c r="P294" s="170"/>
    </row>
    <row r="295" spans="1:16" s="52" customFormat="1" ht="18" hidden="1" customHeight="1">
      <c r="A295" s="53"/>
      <c r="B295" s="47"/>
      <c r="C295" s="46"/>
      <c r="D295" s="48"/>
      <c r="E295" s="48"/>
      <c r="F295" s="54"/>
      <c r="G295" s="50"/>
      <c r="H295" s="50"/>
      <c r="I295" s="50"/>
      <c r="J295" s="50"/>
      <c r="K295" s="50"/>
      <c r="L295" s="51"/>
      <c r="M295" s="176"/>
      <c r="O295" s="165"/>
      <c r="P295" s="170"/>
    </row>
    <row r="296" spans="1:16" s="52" customFormat="1" ht="18" hidden="1" customHeight="1">
      <c r="A296" s="46">
        <v>-1</v>
      </c>
      <c r="B296" s="47" t="s">
        <v>131</v>
      </c>
      <c r="C296" s="46"/>
      <c r="D296" s="48"/>
      <c r="E296" s="48"/>
      <c r="F296" s="54"/>
      <c r="G296" s="50"/>
      <c r="H296" s="50"/>
      <c r="I296" s="50"/>
      <c r="J296" s="50"/>
      <c r="K296" s="50"/>
      <c r="L296" s="51"/>
      <c r="M296" s="176"/>
      <c r="O296" s="165"/>
      <c r="P296" s="170"/>
    </row>
    <row r="297" spans="1:16" s="52" customFormat="1" ht="18" hidden="1" customHeight="1">
      <c r="A297" s="53" t="s">
        <v>12</v>
      </c>
      <c r="B297" s="47" t="s">
        <v>132</v>
      </c>
      <c r="C297" s="46" t="s">
        <v>133</v>
      </c>
      <c r="D297" s="48"/>
      <c r="E297" s="48"/>
      <c r="F297" s="54"/>
      <c r="G297" s="50"/>
      <c r="H297" s="50">
        <f t="shared" ref="H297:H304" si="143">F297*G297</f>
        <v>0</v>
      </c>
      <c r="I297" s="50"/>
      <c r="J297" s="50">
        <f t="shared" ref="J297:J304" si="144">F297*I297</f>
        <v>0</v>
      </c>
      <c r="K297" s="50">
        <f t="shared" ref="K297:K303" si="145">G297+I297</f>
        <v>0</v>
      </c>
      <c r="L297" s="51">
        <f t="shared" ref="L297:L304" si="146">F297*K297</f>
        <v>0</v>
      </c>
      <c r="M297" s="176"/>
      <c r="O297" s="165"/>
      <c r="P297" s="170"/>
    </row>
    <row r="298" spans="1:16" s="52" customFormat="1" ht="18" hidden="1" customHeight="1">
      <c r="A298" s="53" t="s">
        <v>188</v>
      </c>
      <c r="B298" s="47" t="s">
        <v>128</v>
      </c>
      <c r="C298" s="53" t="s">
        <v>129</v>
      </c>
      <c r="D298" s="48" t="s">
        <v>169</v>
      </c>
      <c r="E298" s="48"/>
      <c r="F298" s="54"/>
      <c r="G298" s="50"/>
      <c r="H298" s="50">
        <f t="shared" si="143"/>
        <v>0</v>
      </c>
      <c r="I298" s="50"/>
      <c r="J298" s="50">
        <f t="shared" si="144"/>
        <v>0</v>
      </c>
      <c r="K298" s="50">
        <f t="shared" si="145"/>
        <v>0</v>
      </c>
      <c r="L298" s="51">
        <f t="shared" si="146"/>
        <v>0</v>
      </c>
      <c r="M298" s="176"/>
      <c r="O298" s="165"/>
      <c r="P298" s="170"/>
    </row>
    <row r="299" spans="1:16" s="52" customFormat="1" ht="18" hidden="1" customHeight="1">
      <c r="A299" s="53"/>
      <c r="B299" s="47"/>
      <c r="C299" s="46"/>
      <c r="D299" s="48"/>
      <c r="E299" s="48"/>
      <c r="F299" s="54"/>
      <c r="G299" s="50"/>
      <c r="H299" s="50"/>
      <c r="I299" s="50"/>
      <c r="J299" s="50"/>
      <c r="K299" s="50"/>
      <c r="L299" s="51"/>
      <c r="M299" s="176"/>
      <c r="O299" s="165"/>
      <c r="P299" s="170"/>
    </row>
    <row r="300" spans="1:16" s="52" customFormat="1" ht="18" hidden="1" customHeight="1">
      <c r="A300" s="53"/>
      <c r="B300" s="47"/>
      <c r="C300" s="46"/>
      <c r="D300" s="48"/>
      <c r="E300" s="48"/>
      <c r="F300" s="54"/>
      <c r="G300" s="50"/>
      <c r="H300" s="50"/>
      <c r="I300" s="50"/>
      <c r="J300" s="50"/>
      <c r="K300" s="50"/>
      <c r="L300" s="51"/>
      <c r="M300" s="176"/>
      <c r="O300" s="165"/>
      <c r="P300" s="170"/>
    </row>
    <row r="301" spans="1:16" s="52" customFormat="1" ht="18" hidden="1" customHeight="1">
      <c r="A301" s="53" t="s">
        <v>212</v>
      </c>
      <c r="B301" s="47" t="s">
        <v>213</v>
      </c>
      <c r="C301" s="46" t="s">
        <v>214</v>
      </c>
      <c r="D301" s="48" t="s">
        <v>215</v>
      </c>
      <c r="E301" s="48"/>
      <c r="F301" s="54"/>
      <c r="G301" s="50">
        <v>26008</v>
      </c>
      <c r="H301" s="50">
        <f t="shared" si="143"/>
        <v>0</v>
      </c>
      <c r="I301" s="50">
        <v>50008</v>
      </c>
      <c r="J301" s="50">
        <f t="shared" si="144"/>
        <v>0</v>
      </c>
      <c r="K301" s="50">
        <f t="shared" si="145"/>
        <v>76016</v>
      </c>
      <c r="L301" s="51">
        <f t="shared" si="146"/>
        <v>0</v>
      </c>
      <c r="M301" s="176"/>
      <c r="O301" s="165"/>
      <c r="P301" s="170"/>
    </row>
    <row r="302" spans="1:16" s="52" customFormat="1" ht="18" hidden="1" customHeight="1">
      <c r="A302" s="53" t="s">
        <v>212</v>
      </c>
      <c r="B302" s="47" t="s">
        <v>216</v>
      </c>
      <c r="C302" s="46" t="s">
        <v>129</v>
      </c>
      <c r="D302" s="48"/>
      <c r="E302" s="48"/>
      <c r="F302" s="54"/>
      <c r="G302" s="50">
        <v>26009</v>
      </c>
      <c r="H302" s="50">
        <f t="shared" si="143"/>
        <v>0</v>
      </c>
      <c r="I302" s="50">
        <v>50009</v>
      </c>
      <c r="J302" s="50">
        <f t="shared" si="144"/>
        <v>0</v>
      </c>
      <c r="K302" s="50">
        <f t="shared" si="145"/>
        <v>76018</v>
      </c>
      <c r="L302" s="51">
        <f t="shared" si="146"/>
        <v>0</v>
      </c>
      <c r="M302" s="176"/>
      <c r="O302" s="165"/>
      <c r="P302" s="170"/>
    </row>
    <row r="303" spans="1:16" ht="18" customHeight="1">
      <c r="A303" s="9" t="s">
        <v>361</v>
      </c>
      <c r="B303" s="10" t="s">
        <v>375</v>
      </c>
      <c r="C303" s="9" t="s">
        <v>363</v>
      </c>
      <c r="D303" s="48"/>
      <c r="E303" s="48" t="s">
        <v>11</v>
      </c>
      <c r="F303" s="54">
        <v>4</v>
      </c>
      <c r="G303" s="50">
        <v>20000</v>
      </c>
      <c r="H303" s="50">
        <f t="shared" si="143"/>
        <v>80000</v>
      </c>
      <c r="I303" s="50">
        <v>50000</v>
      </c>
      <c r="J303" s="50">
        <f t="shared" si="144"/>
        <v>200000</v>
      </c>
      <c r="K303" s="50">
        <f t="shared" si="145"/>
        <v>70000</v>
      </c>
      <c r="L303" s="51">
        <f t="shared" si="146"/>
        <v>280000</v>
      </c>
      <c r="M303" s="176"/>
      <c r="O303" s="162">
        <f>17*1.5</f>
        <v>25.5</v>
      </c>
    </row>
    <row r="304" spans="1:16" s="52" customFormat="1" ht="18" customHeight="1">
      <c r="A304" s="53" t="s">
        <v>41</v>
      </c>
      <c r="B304" s="47" t="s">
        <v>128</v>
      </c>
      <c r="C304" s="53" t="s">
        <v>129</v>
      </c>
      <c r="D304" s="48"/>
      <c r="E304" s="48" t="s">
        <v>74</v>
      </c>
      <c r="F304" s="54">
        <v>1</v>
      </c>
      <c r="G304" s="50">
        <v>450000</v>
      </c>
      <c r="H304" s="50">
        <f t="shared" si="143"/>
        <v>450000</v>
      </c>
      <c r="I304" s="50">
        <v>0</v>
      </c>
      <c r="J304" s="50">
        <f t="shared" si="144"/>
        <v>0</v>
      </c>
      <c r="K304" s="50">
        <f>G304+I304</f>
        <v>450000</v>
      </c>
      <c r="L304" s="51">
        <f t="shared" si="146"/>
        <v>450000</v>
      </c>
      <c r="M304" s="176"/>
      <c r="O304" s="165"/>
      <c r="P304" s="170"/>
    </row>
    <row r="305" spans="1:16" s="52" customFormat="1" ht="18" customHeight="1">
      <c r="A305" s="53"/>
      <c r="B305" s="295" t="s">
        <v>720</v>
      </c>
      <c r="C305" s="53"/>
      <c r="D305" s="48"/>
      <c r="E305" s="48"/>
      <c r="F305" s="54"/>
      <c r="G305" s="50"/>
      <c r="H305" s="50"/>
      <c r="I305" s="50"/>
      <c r="J305" s="50"/>
      <c r="K305" s="50"/>
      <c r="L305" s="51"/>
      <c r="M305" s="176"/>
      <c r="O305" s="165"/>
      <c r="P305" s="170"/>
    </row>
    <row r="306" spans="1:16" s="52" customFormat="1" ht="18" hidden="1" customHeight="1">
      <c r="A306" s="53" t="s">
        <v>41</v>
      </c>
      <c r="B306" s="47" t="s">
        <v>203</v>
      </c>
      <c r="C306" s="53" t="s">
        <v>214</v>
      </c>
      <c r="D306" s="48" t="s">
        <v>537</v>
      </c>
      <c r="E306" s="48" t="s">
        <v>39</v>
      </c>
      <c r="F306" s="54">
        <f>12*1.5</f>
        <v>18</v>
      </c>
      <c r="G306" s="50">
        <v>25000</v>
      </c>
      <c r="H306" s="50">
        <f>F306*G306</f>
        <v>450000</v>
      </c>
      <c r="I306" s="50">
        <v>50000</v>
      </c>
      <c r="J306" s="50">
        <f>F306*I306</f>
        <v>900000</v>
      </c>
      <c r="K306" s="50">
        <f>G306+I306</f>
        <v>75000</v>
      </c>
      <c r="L306" s="51">
        <f>F306*K306</f>
        <v>1350000</v>
      </c>
      <c r="M306" s="176"/>
      <c r="N306" s="52" t="s">
        <v>235</v>
      </c>
      <c r="O306" s="165"/>
      <c r="P306" s="170">
        <f>11*1.5</f>
        <v>16.5</v>
      </c>
    </row>
    <row r="307" spans="1:16" s="52" customFormat="1" ht="18" hidden="1" customHeight="1">
      <c r="A307" s="53" t="s">
        <v>41</v>
      </c>
      <c r="B307" s="47" t="s">
        <v>204</v>
      </c>
      <c r="C307" s="53" t="s">
        <v>534</v>
      </c>
      <c r="D307" s="48" t="s">
        <v>538</v>
      </c>
      <c r="E307" s="48" t="s">
        <v>39</v>
      </c>
      <c r="F307" s="54">
        <f>72</f>
        <v>72</v>
      </c>
      <c r="G307" s="50">
        <v>25000</v>
      </c>
      <c r="H307" s="50">
        <f>F307*G307</f>
        <v>1800000</v>
      </c>
      <c r="I307" s="50">
        <v>50000</v>
      </c>
      <c r="J307" s="50">
        <f>F307*I307</f>
        <v>3600000</v>
      </c>
      <c r="K307" s="50">
        <f>G307+I307</f>
        <v>75000</v>
      </c>
      <c r="L307" s="51">
        <f>F307*K307</f>
        <v>5400000</v>
      </c>
      <c r="M307" s="176"/>
      <c r="O307" s="165">
        <f>11*2.1</f>
        <v>23.1</v>
      </c>
      <c r="P307" s="170">
        <f>7.5*2.4*1.5</f>
        <v>27</v>
      </c>
    </row>
    <row r="308" spans="1:16" s="52" customFormat="1" ht="18" hidden="1" customHeight="1">
      <c r="A308" s="53" t="s">
        <v>12</v>
      </c>
      <c r="B308" s="47" t="s">
        <v>130</v>
      </c>
      <c r="C308" s="53" t="s">
        <v>534</v>
      </c>
      <c r="D308" s="48"/>
      <c r="E308" s="48" t="s">
        <v>11</v>
      </c>
      <c r="F308" s="54">
        <v>12</v>
      </c>
      <c r="G308" s="50">
        <v>25000</v>
      </c>
      <c r="H308" s="50">
        <f>F308*G308</f>
        <v>300000</v>
      </c>
      <c r="I308" s="50">
        <v>50000</v>
      </c>
      <c r="J308" s="50">
        <f>F308*I308</f>
        <v>600000</v>
      </c>
      <c r="K308" s="50">
        <f>G308+I308</f>
        <v>75000</v>
      </c>
      <c r="L308" s="51">
        <f>F308*K308</f>
        <v>900000</v>
      </c>
      <c r="M308" s="176"/>
      <c r="O308" s="165">
        <f>12.6*1.5</f>
        <v>18.899999999999999</v>
      </c>
      <c r="P308" s="170">
        <f>6*1.5</f>
        <v>9</v>
      </c>
    </row>
    <row r="309" spans="1:16" s="52" customFormat="1" ht="18" hidden="1" customHeight="1">
      <c r="A309" s="53"/>
      <c r="B309" s="47"/>
      <c r="C309" s="53"/>
      <c r="D309" s="48"/>
      <c r="E309" s="48"/>
      <c r="F309" s="54"/>
      <c r="G309" s="50"/>
      <c r="H309" s="50"/>
      <c r="I309" s="50"/>
      <c r="J309" s="50"/>
      <c r="K309" s="50"/>
      <c r="L309" s="51"/>
      <c r="M309" s="176"/>
      <c r="O309" s="165"/>
      <c r="P309" s="170"/>
    </row>
    <row r="310" spans="1:16" s="52" customFormat="1" ht="18" hidden="1" customHeight="1">
      <c r="A310" s="53">
        <v>-1</v>
      </c>
      <c r="B310" s="47" t="s">
        <v>437</v>
      </c>
      <c r="C310" s="53"/>
      <c r="D310" s="48"/>
      <c r="E310" s="48"/>
      <c r="F310" s="54"/>
      <c r="G310" s="50"/>
      <c r="H310" s="50"/>
      <c r="I310" s="50"/>
      <c r="J310" s="50"/>
      <c r="K310" s="50"/>
      <c r="L310" s="51"/>
      <c r="M310" s="176"/>
      <c r="O310" s="165"/>
      <c r="P310" s="170"/>
    </row>
    <row r="311" spans="1:16" s="52" customFormat="1" ht="18" hidden="1" customHeight="1">
      <c r="A311" s="53" t="s">
        <v>438</v>
      </c>
      <c r="B311" s="47" t="s">
        <v>439</v>
      </c>
      <c r="C311" s="53" t="s">
        <v>274</v>
      </c>
      <c r="D311" s="48" t="s">
        <v>442</v>
      </c>
      <c r="E311" s="48" t="s">
        <v>11</v>
      </c>
      <c r="F311" s="54"/>
      <c r="G311" s="50">
        <v>45000</v>
      </c>
      <c r="H311" s="50">
        <f>F311*G311</f>
        <v>0</v>
      </c>
      <c r="I311" s="50">
        <v>50000</v>
      </c>
      <c r="J311" s="50">
        <f>F311*I311</f>
        <v>0</v>
      </c>
      <c r="K311" s="50">
        <f>G311+I311</f>
        <v>95000</v>
      </c>
      <c r="L311" s="51">
        <f>F311*K311</f>
        <v>0</v>
      </c>
      <c r="M311" s="176"/>
      <c r="O311" s="165"/>
      <c r="P311" s="170"/>
    </row>
    <row r="312" spans="1:16" s="52" customFormat="1" ht="18" hidden="1" customHeight="1">
      <c r="A312" s="53" t="s">
        <v>438</v>
      </c>
      <c r="B312" s="47" t="s">
        <v>440</v>
      </c>
      <c r="C312" s="53" t="s">
        <v>129</v>
      </c>
      <c r="D312" s="48"/>
      <c r="E312" s="48" t="s">
        <v>74</v>
      </c>
      <c r="F312" s="54"/>
      <c r="G312" s="50">
        <v>450000</v>
      </c>
      <c r="H312" s="50">
        <f>F312*G312</f>
        <v>0</v>
      </c>
      <c r="I312" s="50">
        <v>0</v>
      </c>
      <c r="J312" s="50">
        <f>F312*I312</f>
        <v>0</v>
      </c>
      <c r="K312" s="50">
        <f>G312+I312</f>
        <v>450000</v>
      </c>
      <c r="L312" s="51">
        <f>F312*K312</f>
        <v>0</v>
      </c>
      <c r="M312" s="176"/>
      <c r="O312" s="165"/>
      <c r="P312" s="170"/>
    </row>
    <row r="313" spans="1:16" s="52" customFormat="1" ht="18" hidden="1" customHeight="1">
      <c r="A313" s="53"/>
      <c r="B313" s="47"/>
      <c r="C313" s="53"/>
      <c r="D313" s="48"/>
      <c r="E313" s="48"/>
      <c r="F313" s="54"/>
      <c r="G313" s="50"/>
      <c r="H313" s="50"/>
      <c r="I313" s="50"/>
      <c r="J313" s="50"/>
      <c r="K313" s="50"/>
      <c r="L313" s="51"/>
      <c r="M313" s="176"/>
      <c r="O313" s="165"/>
      <c r="P313" s="170"/>
    </row>
    <row r="314" spans="1:16" s="17" customFormat="1" ht="18" customHeight="1">
      <c r="A314" s="11"/>
      <c r="B314" s="11" t="s">
        <v>13</v>
      </c>
      <c r="C314" s="11"/>
      <c r="D314" s="13"/>
      <c r="E314" s="13"/>
      <c r="F314" s="45"/>
      <c r="G314" s="42"/>
      <c r="H314" s="42">
        <f>SUM(H269:H304)</f>
        <v>4629000</v>
      </c>
      <c r="I314" s="42"/>
      <c r="J314" s="42">
        <f>SUM(J269:J304)</f>
        <v>7440000</v>
      </c>
      <c r="K314" s="42"/>
      <c r="L314" s="42">
        <f>SUM(L269:L304)</f>
        <v>12069000</v>
      </c>
      <c r="M314" s="176"/>
      <c r="O314" s="163"/>
      <c r="P314" s="168"/>
    </row>
    <row r="315" spans="1:16" ht="18" customHeight="1">
      <c r="A315" s="9"/>
      <c r="B315" s="10"/>
      <c r="C315" s="9"/>
      <c r="D315" s="4"/>
      <c r="E315" s="4"/>
      <c r="F315" s="44"/>
      <c r="G315" s="24"/>
      <c r="H315" s="24"/>
      <c r="I315" s="24"/>
      <c r="J315" s="24"/>
      <c r="K315" s="24"/>
      <c r="L315" s="25"/>
      <c r="M315" s="176"/>
    </row>
    <row r="316" spans="1:16" s="17" customFormat="1" ht="18" customHeight="1">
      <c r="A316" s="39" t="s">
        <v>522</v>
      </c>
      <c r="B316" s="40" t="s">
        <v>65</v>
      </c>
      <c r="C316" s="362"/>
      <c r="D316" s="13"/>
      <c r="E316" s="13"/>
      <c r="F316" s="45"/>
      <c r="G316" s="42"/>
      <c r="H316" s="42"/>
      <c r="I316" s="42"/>
      <c r="J316" s="42"/>
      <c r="K316" s="42"/>
      <c r="L316" s="43"/>
      <c r="M316" s="176"/>
      <c r="O316" s="163"/>
      <c r="P316" s="168"/>
    </row>
    <row r="317" spans="1:16" ht="18" customHeight="1">
      <c r="A317" s="9">
        <v>-1</v>
      </c>
      <c r="B317" s="10" t="s">
        <v>138</v>
      </c>
      <c r="C317" s="9"/>
      <c r="D317" s="4"/>
      <c r="E317" s="4"/>
      <c r="F317" s="44"/>
      <c r="G317" s="24"/>
      <c r="H317" s="24"/>
      <c r="I317" s="24"/>
      <c r="J317" s="24"/>
      <c r="K317" s="24"/>
      <c r="L317" s="25"/>
      <c r="M317" s="176"/>
    </row>
    <row r="318" spans="1:16" ht="18" customHeight="1">
      <c r="A318" s="9" t="s">
        <v>188</v>
      </c>
      <c r="B318" s="10" t="s">
        <v>171</v>
      </c>
      <c r="C318" s="9" t="s">
        <v>610</v>
      </c>
      <c r="D318" s="4" t="s">
        <v>384</v>
      </c>
      <c r="E318" s="4" t="s">
        <v>39</v>
      </c>
      <c r="F318" s="44">
        <v>185</v>
      </c>
      <c r="G318" s="24">
        <v>7700</v>
      </c>
      <c r="H318" s="24">
        <f>F318*G318</f>
        <v>1424500</v>
      </c>
      <c r="I318" s="24">
        <v>12000</v>
      </c>
      <c r="J318" s="24">
        <f>F318*I318</f>
        <v>2220000</v>
      </c>
      <c r="K318" s="24">
        <f>G318+I318</f>
        <v>19700</v>
      </c>
      <c r="L318" s="25">
        <f>F318*K318</f>
        <v>3644500</v>
      </c>
      <c r="M318" s="176"/>
    </row>
    <row r="319" spans="1:16" ht="18" customHeight="1">
      <c r="A319" s="9" t="s">
        <v>188</v>
      </c>
      <c r="B319" s="10" t="s">
        <v>170</v>
      </c>
      <c r="C319" s="9" t="s">
        <v>610</v>
      </c>
      <c r="D319" s="4" t="s">
        <v>262</v>
      </c>
      <c r="E319" s="4" t="s">
        <v>39</v>
      </c>
      <c r="F319" s="44">
        <v>220</v>
      </c>
      <c r="G319" s="24">
        <v>7700</v>
      </c>
      <c r="H319" s="24">
        <f>F319*G319</f>
        <v>1694000</v>
      </c>
      <c r="I319" s="24">
        <v>12000</v>
      </c>
      <c r="J319" s="24">
        <f>F319*I319</f>
        <v>2640000</v>
      </c>
      <c r="K319" s="24">
        <f>G319+I319</f>
        <v>19700</v>
      </c>
      <c r="L319" s="25">
        <f>F319*K319</f>
        <v>4334000</v>
      </c>
      <c r="M319" s="176"/>
      <c r="O319" s="162">
        <f>(53*2.3)</f>
        <v>121.89999999999999</v>
      </c>
    </row>
    <row r="320" spans="1:16" ht="18" hidden="1" customHeight="1">
      <c r="A320" s="9" t="s">
        <v>188</v>
      </c>
      <c r="B320" s="10" t="s">
        <v>186</v>
      </c>
      <c r="C320" s="9"/>
      <c r="D320" s="4" t="s">
        <v>187</v>
      </c>
      <c r="E320" s="4" t="s">
        <v>181</v>
      </c>
      <c r="F320" s="44"/>
      <c r="G320" s="24">
        <v>6600</v>
      </c>
      <c r="H320" s="24">
        <f>F320*G320</f>
        <v>0</v>
      </c>
      <c r="I320" s="24">
        <v>7500</v>
      </c>
      <c r="J320" s="24">
        <f>F320*I320</f>
        <v>0</v>
      </c>
      <c r="K320" s="24">
        <f>G320+I320</f>
        <v>14100</v>
      </c>
      <c r="L320" s="25">
        <f>F320*K320</f>
        <v>0</v>
      </c>
      <c r="M320" s="176"/>
    </row>
    <row r="321" spans="1:16" ht="18" hidden="1" customHeight="1">
      <c r="A321" s="9"/>
      <c r="B321" s="10"/>
      <c r="C321" s="9"/>
      <c r="D321" s="4"/>
      <c r="E321" s="4"/>
      <c r="F321" s="44"/>
      <c r="G321" s="24"/>
      <c r="H321" s="24"/>
      <c r="I321" s="24"/>
      <c r="J321" s="24"/>
      <c r="K321" s="24"/>
      <c r="L321" s="25"/>
      <c r="M321" s="176"/>
    </row>
    <row r="322" spans="1:16" ht="18" customHeight="1">
      <c r="A322" s="9"/>
      <c r="B322" s="10"/>
      <c r="C322" s="9"/>
      <c r="D322" s="4"/>
      <c r="E322" s="4"/>
      <c r="F322" s="44"/>
      <c r="G322" s="24"/>
      <c r="H322" s="24"/>
      <c r="I322" s="24"/>
      <c r="J322" s="24"/>
      <c r="K322" s="24"/>
      <c r="L322" s="25"/>
      <c r="M322" s="176"/>
    </row>
    <row r="323" spans="1:16" s="17" customFormat="1" ht="18" customHeight="1">
      <c r="A323" s="11"/>
      <c r="B323" s="11" t="s">
        <v>13</v>
      </c>
      <c r="C323" s="11"/>
      <c r="D323" s="13"/>
      <c r="E323" s="13"/>
      <c r="F323" s="45"/>
      <c r="G323" s="42"/>
      <c r="H323" s="42">
        <f>SUM(H318:H322)</f>
        <v>3118500</v>
      </c>
      <c r="I323" s="42"/>
      <c r="J323" s="42">
        <f>SUM(J318:J322)</f>
        <v>4860000</v>
      </c>
      <c r="K323" s="42"/>
      <c r="L323" s="43">
        <f>SUM(L318:L322)</f>
        <v>7978500</v>
      </c>
      <c r="M323" s="176"/>
      <c r="O323" s="163"/>
      <c r="P323" s="168"/>
    </row>
    <row r="324" spans="1:16" ht="18" customHeight="1">
      <c r="A324" s="9"/>
      <c r="B324" s="10"/>
      <c r="C324" s="9"/>
      <c r="D324" s="4"/>
      <c r="E324" s="4"/>
      <c r="F324" s="44"/>
      <c r="G324" s="24"/>
      <c r="H324" s="24"/>
      <c r="I324" s="24"/>
      <c r="J324" s="24"/>
      <c r="K324" s="24"/>
      <c r="L324" s="25"/>
      <c r="M324" s="176"/>
    </row>
    <row r="325" spans="1:16" s="17" customFormat="1" ht="18" customHeight="1">
      <c r="A325" s="39" t="s">
        <v>32</v>
      </c>
      <c r="B325" s="40" t="s">
        <v>66</v>
      </c>
      <c r="C325" s="362"/>
      <c r="D325" s="13"/>
      <c r="E325" s="13"/>
      <c r="F325" s="45"/>
      <c r="G325" s="42"/>
      <c r="H325" s="42"/>
      <c r="I325" s="42"/>
      <c r="J325" s="42"/>
      <c r="K325" s="42"/>
      <c r="L325" s="43"/>
      <c r="M325" s="176"/>
      <c r="O325" s="163"/>
      <c r="P325" s="168"/>
    </row>
    <row r="326" spans="1:16" s="307" customFormat="1" ht="18" customHeight="1">
      <c r="A326" s="310">
        <v>-1</v>
      </c>
      <c r="B326" s="311" t="s">
        <v>140</v>
      </c>
      <c r="C326" s="364" t="s">
        <v>263</v>
      </c>
      <c r="D326" s="304"/>
      <c r="E326" s="304" t="s">
        <v>295</v>
      </c>
      <c r="F326" s="312">
        <v>1</v>
      </c>
      <c r="G326" s="305">
        <v>150000</v>
      </c>
      <c r="H326" s="305">
        <f t="shared" ref="H326:H331" si="147">F326*G326</f>
        <v>150000</v>
      </c>
      <c r="I326" s="305">
        <v>150000</v>
      </c>
      <c r="J326" s="305">
        <f t="shared" ref="J326:J331" si="148">F326*I326</f>
        <v>150000</v>
      </c>
      <c r="K326" s="305">
        <f t="shared" ref="K326:K331" si="149">G326+I326</f>
        <v>300000</v>
      </c>
      <c r="L326" s="306">
        <f t="shared" ref="L326:L331" si="150">F326*K326</f>
        <v>300000</v>
      </c>
      <c r="M326" s="300"/>
      <c r="O326" s="308"/>
      <c r="P326" s="309"/>
    </row>
    <row r="327" spans="1:16" s="307" customFormat="1" ht="18" customHeight="1">
      <c r="A327" s="310">
        <v>-1</v>
      </c>
      <c r="B327" s="311" t="s">
        <v>611</v>
      </c>
      <c r="C327" s="364" t="s">
        <v>677</v>
      </c>
      <c r="D327" s="304" t="s">
        <v>612</v>
      </c>
      <c r="E327" s="304" t="s">
        <v>613</v>
      </c>
      <c r="F327" s="312">
        <v>120</v>
      </c>
      <c r="G327" s="305">
        <v>75000</v>
      </c>
      <c r="H327" s="305">
        <f t="shared" si="147"/>
        <v>9000000</v>
      </c>
      <c r="I327" s="305">
        <v>50000</v>
      </c>
      <c r="J327" s="305">
        <f t="shared" si="148"/>
        <v>6000000</v>
      </c>
      <c r="K327" s="305">
        <f t="shared" si="149"/>
        <v>125000</v>
      </c>
      <c r="L327" s="306">
        <f t="shared" si="150"/>
        <v>15000000</v>
      </c>
      <c r="M327" s="285"/>
      <c r="O327" s="308"/>
      <c r="P327" s="309"/>
    </row>
    <row r="328" spans="1:16" s="307" customFormat="1" ht="18" customHeight="1">
      <c r="A328" s="310">
        <v>-1</v>
      </c>
      <c r="B328" s="311" t="s">
        <v>678</v>
      </c>
      <c r="C328" s="364" t="s">
        <v>317</v>
      </c>
      <c r="D328" s="304" t="s">
        <v>679</v>
      </c>
      <c r="E328" s="304" t="s">
        <v>158</v>
      </c>
      <c r="F328" s="312">
        <v>6</v>
      </c>
      <c r="G328" s="305">
        <v>150000</v>
      </c>
      <c r="H328" s="305">
        <f t="shared" si="147"/>
        <v>900000</v>
      </c>
      <c r="I328" s="305">
        <v>280000</v>
      </c>
      <c r="J328" s="305">
        <f t="shared" si="148"/>
        <v>1680000</v>
      </c>
      <c r="K328" s="305">
        <f t="shared" si="149"/>
        <v>430000</v>
      </c>
      <c r="L328" s="306">
        <f t="shared" si="150"/>
        <v>2580000</v>
      </c>
      <c r="M328" s="285"/>
      <c r="O328" s="308"/>
      <c r="P328" s="309"/>
    </row>
    <row r="329" spans="1:16" ht="18" customHeight="1">
      <c r="A329" s="9">
        <v>-1</v>
      </c>
      <c r="B329" s="10" t="s">
        <v>139</v>
      </c>
      <c r="C329" s="9"/>
      <c r="D329" s="4"/>
      <c r="E329" s="4" t="s">
        <v>74</v>
      </c>
      <c r="F329" s="44">
        <v>1</v>
      </c>
      <c r="G329" s="24">
        <v>150000</v>
      </c>
      <c r="H329" s="24">
        <f t="shared" si="147"/>
        <v>150000</v>
      </c>
      <c r="I329" s="24">
        <v>270000</v>
      </c>
      <c r="J329" s="24">
        <f t="shared" si="148"/>
        <v>270000</v>
      </c>
      <c r="K329" s="24">
        <f t="shared" si="149"/>
        <v>420000</v>
      </c>
      <c r="L329" s="25">
        <f t="shared" si="150"/>
        <v>420000</v>
      </c>
      <c r="M329" s="176"/>
    </row>
    <row r="330" spans="1:16" ht="18" customHeight="1">
      <c r="A330" s="9">
        <v>-1</v>
      </c>
      <c r="B330" s="10" t="s">
        <v>172</v>
      </c>
      <c r="C330" s="9"/>
      <c r="D330" s="4"/>
      <c r="E330" s="4" t="s">
        <v>74</v>
      </c>
      <c r="F330" s="44">
        <v>3</v>
      </c>
      <c r="G330" s="24">
        <v>150000</v>
      </c>
      <c r="H330" s="24">
        <f t="shared" si="147"/>
        <v>450000</v>
      </c>
      <c r="I330" s="24">
        <v>150000</v>
      </c>
      <c r="J330" s="24">
        <f t="shared" si="148"/>
        <v>450000</v>
      </c>
      <c r="K330" s="24">
        <f t="shared" si="149"/>
        <v>300000</v>
      </c>
      <c r="L330" s="25">
        <f t="shared" si="150"/>
        <v>900000</v>
      </c>
      <c r="M330" s="176"/>
    </row>
    <row r="331" spans="1:16" ht="18" hidden="1" customHeight="1">
      <c r="A331" s="9">
        <v>-1</v>
      </c>
      <c r="B331" s="10" t="s">
        <v>319</v>
      </c>
      <c r="C331" s="9" t="s">
        <v>317</v>
      </c>
      <c r="D331" s="4" t="s">
        <v>318</v>
      </c>
      <c r="E331" s="4" t="s">
        <v>320</v>
      </c>
      <c r="F331" s="44"/>
      <c r="G331" s="24">
        <v>30000</v>
      </c>
      <c r="H331" s="24">
        <f t="shared" si="147"/>
        <v>0</v>
      </c>
      <c r="I331" s="24">
        <v>77000</v>
      </c>
      <c r="J331" s="24">
        <f t="shared" si="148"/>
        <v>0</v>
      </c>
      <c r="K331" s="24">
        <f t="shared" si="149"/>
        <v>107000</v>
      </c>
      <c r="L331" s="25">
        <f t="shared" si="150"/>
        <v>0</v>
      </c>
      <c r="M331" s="176"/>
    </row>
    <row r="332" spans="1:16" ht="18" hidden="1" customHeight="1">
      <c r="A332" s="9"/>
      <c r="B332" s="10"/>
      <c r="C332" s="9"/>
      <c r="D332" s="4"/>
      <c r="E332" s="4"/>
      <c r="F332" s="44"/>
      <c r="G332" s="24"/>
      <c r="H332" s="24"/>
      <c r="I332" s="24"/>
      <c r="J332" s="24"/>
      <c r="K332" s="24"/>
      <c r="L332" s="25"/>
      <c r="M332" s="176"/>
    </row>
    <row r="333" spans="1:16" ht="18" hidden="1" customHeight="1">
      <c r="A333" s="9"/>
      <c r="B333" s="10"/>
      <c r="C333" s="9"/>
      <c r="D333" s="4"/>
      <c r="E333" s="4"/>
      <c r="F333" s="44"/>
      <c r="G333" s="24"/>
      <c r="H333" s="24"/>
      <c r="I333" s="24"/>
      <c r="J333" s="24"/>
      <c r="K333" s="24"/>
      <c r="L333" s="25"/>
      <c r="M333" s="176"/>
    </row>
    <row r="334" spans="1:16" ht="18" hidden="1" customHeight="1">
      <c r="A334" s="9">
        <v>-1</v>
      </c>
      <c r="B334" s="10" t="s">
        <v>489</v>
      </c>
      <c r="C334" s="9" t="s">
        <v>490</v>
      </c>
      <c r="D334" s="4"/>
      <c r="E334" s="4" t="s">
        <v>491</v>
      </c>
      <c r="F334" s="44">
        <v>0</v>
      </c>
      <c r="G334" s="24">
        <v>300000</v>
      </c>
      <c r="H334" s="24">
        <f>F334*G334</f>
        <v>0</v>
      </c>
      <c r="I334" s="24">
        <v>0</v>
      </c>
      <c r="J334" s="24">
        <f>F334*I334</f>
        <v>0</v>
      </c>
      <c r="K334" s="24">
        <f>G334+I334</f>
        <v>300000</v>
      </c>
      <c r="L334" s="25">
        <f>F334*K334</f>
        <v>0</v>
      </c>
      <c r="M334" s="176"/>
    </row>
    <row r="335" spans="1:16" ht="18" hidden="1" customHeight="1">
      <c r="A335" s="9"/>
      <c r="B335" s="10"/>
      <c r="C335" s="9"/>
      <c r="D335" s="4"/>
      <c r="E335" s="4"/>
      <c r="F335" s="44"/>
      <c r="G335" s="24"/>
      <c r="H335" s="24"/>
      <c r="I335" s="24"/>
      <c r="J335" s="24"/>
      <c r="K335" s="24"/>
      <c r="L335" s="25"/>
      <c r="M335" s="176"/>
    </row>
    <row r="336" spans="1:16" s="320" customFormat="1" ht="18" hidden="1" customHeight="1">
      <c r="A336" s="158">
        <v>-1</v>
      </c>
      <c r="B336" s="159" t="s">
        <v>471</v>
      </c>
      <c r="C336" s="158" t="s">
        <v>474</v>
      </c>
      <c r="D336" s="316" t="s">
        <v>473</v>
      </c>
      <c r="E336" s="316" t="s">
        <v>472</v>
      </c>
      <c r="F336" s="329">
        <v>70</v>
      </c>
      <c r="G336" s="318">
        <v>40000</v>
      </c>
      <c r="H336" s="318">
        <f>F336*G336</f>
        <v>2800000</v>
      </c>
      <c r="I336" s="318">
        <v>30000</v>
      </c>
      <c r="J336" s="318">
        <f>F336*I336</f>
        <v>2100000</v>
      </c>
      <c r="K336" s="318">
        <f>G336+I336</f>
        <v>70000</v>
      </c>
      <c r="L336" s="319">
        <f>F336*K336</f>
        <v>4900000</v>
      </c>
      <c r="M336" s="281" t="s">
        <v>500</v>
      </c>
      <c r="O336" s="321"/>
      <c r="P336" s="322"/>
    </row>
    <row r="337" spans="1:16" s="320" customFormat="1" ht="18" customHeight="1">
      <c r="A337" s="158"/>
      <c r="B337" s="159"/>
      <c r="C337" s="158"/>
      <c r="D337" s="316"/>
      <c r="E337" s="316"/>
      <c r="F337" s="329"/>
      <c r="G337" s="318"/>
      <c r="H337" s="318"/>
      <c r="I337" s="318"/>
      <c r="J337" s="318"/>
      <c r="K337" s="318"/>
      <c r="L337" s="319"/>
      <c r="M337" s="281"/>
      <c r="O337" s="321"/>
      <c r="P337" s="322"/>
    </row>
    <row r="338" spans="1:16" ht="18" customHeight="1">
      <c r="A338" s="9"/>
      <c r="B338" s="10"/>
      <c r="C338" s="9"/>
      <c r="D338" s="4"/>
      <c r="E338" s="4"/>
      <c r="F338" s="44"/>
      <c r="G338" s="24"/>
      <c r="H338" s="24"/>
      <c r="I338" s="24"/>
      <c r="J338" s="24"/>
      <c r="K338" s="24"/>
      <c r="L338" s="25"/>
      <c r="M338" s="176"/>
    </row>
    <row r="339" spans="1:16" s="17" customFormat="1" ht="18" customHeight="1">
      <c r="A339" s="11"/>
      <c r="B339" s="11" t="s">
        <v>13</v>
      </c>
      <c r="C339" s="11"/>
      <c r="D339" s="13"/>
      <c r="E339" s="13"/>
      <c r="F339" s="45"/>
      <c r="G339" s="42"/>
      <c r="H339" s="42">
        <f>SUM(H326:H334)</f>
        <v>10650000</v>
      </c>
      <c r="I339" s="42"/>
      <c r="J339" s="42">
        <f>SUM(J326:J334)</f>
        <v>8550000</v>
      </c>
      <c r="K339" s="42"/>
      <c r="L339" s="43">
        <f>SUM(L326:L334)</f>
        <v>19200000</v>
      </c>
      <c r="M339" s="176"/>
      <c r="O339" s="163"/>
      <c r="P339" s="168"/>
    </row>
    <row r="340" spans="1:16" ht="18" customHeight="1">
      <c r="A340" s="9"/>
      <c r="B340" s="10"/>
      <c r="C340" s="9"/>
      <c r="D340" s="4"/>
      <c r="E340" s="4"/>
      <c r="F340" s="44"/>
      <c r="G340" s="24"/>
      <c r="H340" s="24"/>
      <c r="I340" s="24"/>
      <c r="J340" s="24"/>
      <c r="K340" s="24"/>
      <c r="L340" s="25"/>
      <c r="M340" s="176"/>
    </row>
    <row r="341" spans="1:16" s="17" customFormat="1" ht="18" customHeight="1">
      <c r="A341" s="39" t="s">
        <v>523</v>
      </c>
      <c r="B341" s="40" t="s">
        <v>137</v>
      </c>
      <c r="C341" s="362"/>
      <c r="D341" s="13"/>
      <c r="E341" s="13"/>
      <c r="F341" s="45"/>
      <c r="G341" s="42"/>
      <c r="H341" s="42"/>
      <c r="I341" s="42"/>
      <c r="J341" s="42"/>
      <c r="K341" s="42"/>
      <c r="L341" s="43"/>
      <c r="M341" s="176"/>
      <c r="O341" s="163"/>
      <c r="P341" s="168"/>
    </row>
    <row r="342" spans="1:16" ht="18" hidden="1" customHeight="1">
      <c r="A342" s="9">
        <v>-1</v>
      </c>
      <c r="B342" s="10" t="s">
        <v>265</v>
      </c>
      <c r="C342" s="9"/>
      <c r="D342" s="4"/>
      <c r="E342" s="4" t="s">
        <v>267</v>
      </c>
      <c r="F342" s="44"/>
      <c r="G342" s="24">
        <v>83000</v>
      </c>
      <c r="H342" s="50">
        <f t="shared" ref="H342:H348" si="151">F342*G342</f>
        <v>0</v>
      </c>
      <c r="I342" s="50">
        <v>25000</v>
      </c>
      <c r="J342" s="50">
        <f t="shared" ref="J342:J348" si="152">F342*I342</f>
        <v>0</v>
      </c>
      <c r="K342" s="50">
        <f t="shared" ref="K342:K348" si="153">G342+I342</f>
        <v>108000</v>
      </c>
      <c r="L342" s="51">
        <f t="shared" ref="L342:L348" si="154">F342*K342</f>
        <v>0</v>
      </c>
      <c r="M342" s="176"/>
    </row>
    <row r="343" spans="1:16" s="52" customFormat="1" ht="18" hidden="1" customHeight="1">
      <c r="A343" s="46">
        <v>-1</v>
      </c>
      <c r="B343" s="47" t="s">
        <v>261</v>
      </c>
      <c r="C343" s="46" t="s">
        <v>260</v>
      </c>
      <c r="D343" s="48"/>
      <c r="E343" s="48" t="s">
        <v>185</v>
      </c>
      <c r="F343" s="49"/>
      <c r="G343" s="50">
        <v>100000</v>
      </c>
      <c r="H343" s="50">
        <f t="shared" si="151"/>
        <v>0</v>
      </c>
      <c r="I343" s="50">
        <v>25000</v>
      </c>
      <c r="J343" s="50">
        <f t="shared" si="152"/>
        <v>0</v>
      </c>
      <c r="K343" s="50">
        <f t="shared" si="153"/>
        <v>125000</v>
      </c>
      <c r="L343" s="51">
        <f t="shared" si="154"/>
        <v>0</v>
      </c>
      <c r="M343" s="175"/>
      <c r="O343" s="165">
        <f>133/3.3</f>
        <v>40.303030303030305</v>
      </c>
      <c r="P343" s="170"/>
    </row>
    <row r="344" spans="1:16" ht="18" hidden="1" customHeight="1">
      <c r="A344" s="9">
        <v>-1</v>
      </c>
      <c r="B344" s="10" t="s">
        <v>266</v>
      </c>
      <c r="C344" s="9"/>
      <c r="D344" s="4"/>
      <c r="E344" s="4" t="s">
        <v>267</v>
      </c>
      <c r="F344" s="44"/>
      <c r="G344" s="24">
        <v>120000</v>
      </c>
      <c r="H344" s="50">
        <f t="shared" si="151"/>
        <v>0</v>
      </c>
      <c r="I344" s="24">
        <v>25000</v>
      </c>
      <c r="J344" s="50">
        <f t="shared" si="152"/>
        <v>0</v>
      </c>
      <c r="K344" s="50">
        <f t="shared" si="153"/>
        <v>145000</v>
      </c>
      <c r="L344" s="51">
        <f t="shared" si="154"/>
        <v>0</v>
      </c>
      <c r="M344" s="176"/>
    </row>
    <row r="345" spans="1:16" ht="18" hidden="1" customHeight="1">
      <c r="A345" s="9">
        <v>-1</v>
      </c>
      <c r="B345" s="10" t="s">
        <v>163</v>
      </c>
      <c r="C345" s="9" t="s">
        <v>162</v>
      </c>
      <c r="D345" s="4" t="s">
        <v>160</v>
      </c>
      <c r="E345" s="4" t="s">
        <v>67</v>
      </c>
      <c r="F345" s="44"/>
      <c r="G345" s="24">
        <v>130000</v>
      </c>
      <c r="H345" s="50">
        <f t="shared" si="151"/>
        <v>0</v>
      </c>
      <c r="I345" s="24">
        <v>25000</v>
      </c>
      <c r="J345" s="50">
        <f t="shared" si="152"/>
        <v>0</v>
      </c>
      <c r="K345" s="24">
        <f t="shared" si="153"/>
        <v>155000</v>
      </c>
      <c r="L345" s="25">
        <f t="shared" si="154"/>
        <v>0</v>
      </c>
      <c r="M345" s="176"/>
    </row>
    <row r="346" spans="1:16" ht="18" hidden="1" customHeight="1">
      <c r="A346" s="9">
        <v>-1</v>
      </c>
      <c r="B346" s="10" t="s">
        <v>313</v>
      </c>
      <c r="C346" s="9"/>
      <c r="D346" s="4"/>
      <c r="E346" s="4" t="s">
        <v>314</v>
      </c>
      <c r="F346" s="44"/>
      <c r="G346" s="24">
        <v>200000</v>
      </c>
      <c r="H346" s="50">
        <f t="shared" si="151"/>
        <v>0</v>
      </c>
      <c r="I346" s="24">
        <v>25000</v>
      </c>
      <c r="J346" s="50">
        <f t="shared" si="152"/>
        <v>0</v>
      </c>
      <c r="K346" s="24">
        <f t="shared" si="153"/>
        <v>225000</v>
      </c>
      <c r="L346" s="25">
        <f t="shared" si="154"/>
        <v>0</v>
      </c>
      <c r="M346" s="176"/>
    </row>
    <row r="347" spans="1:16" ht="18" hidden="1" customHeight="1">
      <c r="A347" s="9">
        <v>-1</v>
      </c>
      <c r="B347" s="10" t="s">
        <v>324</v>
      </c>
      <c r="C347" s="9" t="s">
        <v>325</v>
      </c>
      <c r="D347" s="4"/>
      <c r="E347" s="4" t="s">
        <v>326</v>
      </c>
      <c r="F347" s="44"/>
      <c r="G347" s="24">
        <v>100000</v>
      </c>
      <c r="H347" s="50">
        <f t="shared" si="151"/>
        <v>0</v>
      </c>
      <c r="I347" s="24">
        <v>25000</v>
      </c>
      <c r="J347" s="50">
        <f t="shared" si="152"/>
        <v>0</v>
      </c>
      <c r="K347" s="24">
        <f t="shared" si="153"/>
        <v>125000</v>
      </c>
      <c r="L347" s="25">
        <f t="shared" si="154"/>
        <v>0</v>
      </c>
      <c r="M347" s="176"/>
    </row>
    <row r="348" spans="1:16" ht="18" customHeight="1">
      <c r="A348" s="9">
        <v>-1</v>
      </c>
      <c r="B348" s="10" t="s">
        <v>324</v>
      </c>
      <c r="C348" s="9" t="s">
        <v>634</v>
      </c>
      <c r="D348" s="4" t="s">
        <v>635</v>
      </c>
      <c r="E348" s="4" t="s">
        <v>327</v>
      </c>
      <c r="F348" s="44">
        <v>53</v>
      </c>
      <c r="G348" s="24">
        <v>200000</v>
      </c>
      <c r="H348" s="50">
        <f t="shared" si="151"/>
        <v>10600000</v>
      </c>
      <c r="I348" s="24">
        <v>25000</v>
      </c>
      <c r="J348" s="50">
        <f t="shared" si="152"/>
        <v>1325000</v>
      </c>
      <c r="K348" s="24">
        <f t="shared" si="153"/>
        <v>225000</v>
      </c>
      <c r="L348" s="25">
        <f t="shared" si="154"/>
        <v>11925000</v>
      </c>
      <c r="M348" s="176"/>
    </row>
    <row r="349" spans="1:16" ht="18" customHeight="1">
      <c r="A349" s="9"/>
      <c r="B349" s="10"/>
      <c r="C349" s="9"/>
      <c r="D349" s="4"/>
      <c r="E349" s="4"/>
      <c r="F349" s="44"/>
      <c r="G349" s="24"/>
      <c r="H349" s="50"/>
      <c r="I349" s="24"/>
      <c r="J349" s="50"/>
      <c r="K349" s="24"/>
      <c r="L349" s="25"/>
      <c r="M349" s="176"/>
    </row>
    <row r="350" spans="1:16" ht="18" hidden="1" customHeight="1">
      <c r="A350" s="9">
        <v>-1</v>
      </c>
      <c r="B350" s="10" t="s">
        <v>315</v>
      </c>
      <c r="C350" s="9"/>
      <c r="D350" s="4"/>
      <c r="E350" s="4" t="s">
        <v>316</v>
      </c>
      <c r="F350" s="44"/>
      <c r="G350" s="24"/>
      <c r="H350" s="50"/>
      <c r="I350" s="24"/>
      <c r="J350" s="50"/>
      <c r="K350" s="24"/>
      <c r="L350" s="25"/>
      <c r="M350" s="176"/>
    </row>
    <row r="351" spans="1:16" s="17" customFormat="1" ht="18" customHeight="1">
      <c r="A351" s="11"/>
      <c r="B351" s="11" t="s">
        <v>13</v>
      </c>
      <c r="C351" s="11"/>
      <c r="D351" s="13"/>
      <c r="E351" s="13"/>
      <c r="F351" s="45"/>
      <c r="G351" s="42"/>
      <c r="H351" s="42">
        <f>SUM(H343:H348)</f>
        <v>10600000</v>
      </c>
      <c r="I351" s="42"/>
      <c r="J351" s="42">
        <f>SUM(J343:J348)</f>
        <v>1325000</v>
      </c>
      <c r="K351" s="42"/>
      <c r="L351" s="42">
        <f>SUM(L342:L348)</f>
        <v>11925000</v>
      </c>
      <c r="M351" s="176"/>
      <c r="O351" s="163"/>
      <c r="P351" s="168"/>
    </row>
    <row r="352" spans="1:16" ht="18" customHeight="1">
      <c r="A352" s="9"/>
      <c r="B352" s="10"/>
      <c r="C352" s="9"/>
      <c r="D352" s="4"/>
      <c r="E352" s="4"/>
      <c r="F352" s="44"/>
      <c r="G352" s="24"/>
      <c r="H352" s="24"/>
      <c r="I352" s="24"/>
      <c r="J352" s="24"/>
      <c r="K352" s="24"/>
      <c r="L352" s="25"/>
      <c r="M352" s="176"/>
    </row>
    <row r="353" spans="1:16" ht="18" customHeight="1">
      <c r="A353" s="39" t="s">
        <v>43</v>
      </c>
      <c r="B353" s="40" t="s">
        <v>141</v>
      </c>
      <c r="C353" s="362"/>
      <c r="D353" s="4"/>
      <c r="E353" s="4"/>
      <c r="F353" s="44"/>
      <c r="G353" s="24"/>
      <c r="H353" s="24"/>
      <c r="I353" s="24"/>
      <c r="J353" s="24"/>
      <c r="K353" s="24"/>
      <c r="L353" s="25"/>
      <c r="M353" s="176"/>
    </row>
    <row r="354" spans="1:16" s="52" customFormat="1" ht="18" customHeight="1">
      <c r="A354" s="53">
        <v>-1</v>
      </c>
      <c r="B354" s="47" t="s">
        <v>142</v>
      </c>
      <c r="C354" s="46" t="s">
        <v>143</v>
      </c>
      <c r="D354" s="48"/>
      <c r="E354" s="48" t="s">
        <v>74</v>
      </c>
      <c r="F354" s="54">
        <v>1</v>
      </c>
      <c r="G354" s="50">
        <v>0</v>
      </c>
      <c r="H354" s="50">
        <f>F354*G354</f>
        <v>0</v>
      </c>
      <c r="I354" s="173">
        <v>700000</v>
      </c>
      <c r="J354" s="50">
        <f>F354*I354</f>
        <v>700000</v>
      </c>
      <c r="K354" s="50">
        <f>G354+I354</f>
        <v>700000</v>
      </c>
      <c r="L354" s="51">
        <f>F354*K354</f>
        <v>700000</v>
      </c>
      <c r="M354" s="176"/>
      <c r="O354" s="165"/>
      <c r="P354" s="170"/>
    </row>
    <row r="355" spans="1:16" s="52" customFormat="1" ht="18" customHeight="1">
      <c r="A355" s="53"/>
      <c r="B355" s="47"/>
      <c r="C355" s="46"/>
      <c r="D355" s="48"/>
      <c r="E355" s="48"/>
      <c r="F355" s="54"/>
      <c r="G355" s="50"/>
      <c r="H355" s="50"/>
      <c r="I355" s="50"/>
      <c r="J355" s="50"/>
      <c r="K355" s="50"/>
      <c r="L355" s="51"/>
      <c r="M355" s="176"/>
      <c r="O355" s="165"/>
      <c r="P355" s="170"/>
    </row>
    <row r="356" spans="1:16" s="52" customFormat="1" ht="18" customHeight="1">
      <c r="A356" s="46">
        <v>-1</v>
      </c>
      <c r="B356" s="47" t="s">
        <v>189</v>
      </c>
      <c r="C356" s="46"/>
      <c r="D356" s="48"/>
      <c r="E356" s="48"/>
      <c r="F356" s="49"/>
      <c r="G356" s="50"/>
      <c r="H356" s="50"/>
      <c r="I356" s="24"/>
      <c r="J356" s="50"/>
      <c r="K356" s="50"/>
      <c r="L356" s="51"/>
      <c r="M356" s="176"/>
      <c r="O356" s="165"/>
      <c r="P356" s="170"/>
    </row>
    <row r="357" spans="1:16" s="52" customFormat="1" ht="18" customHeight="1">
      <c r="A357" s="53" t="s">
        <v>12</v>
      </c>
      <c r="B357" s="47" t="s">
        <v>282</v>
      </c>
      <c r="C357" s="46" t="s">
        <v>614</v>
      </c>
      <c r="D357" s="48" t="s">
        <v>550</v>
      </c>
      <c r="E357" s="48" t="s">
        <v>39</v>
      </c>
      <c r="F357" s="54">
        <v>40</v>
      </c>
      <c r="G357" s="50">
        <v>17000</v>
      </c>
      <c r="H357" s="50">
        <f t="shared" ref="H357:H366" si="155">F357*G357</f>
        <v>680000</v>
      </c>
      <c r="I357" s="50">
        <v>28000</v>
      </c>
      <c r="J357" s="50">
        <f t="shared" ref="J357:J366" si="156">F357*I357</f>
        <v>1120000</v>
      </c>
      <c r="K357" s="50">
        <f t="shared" ref="K357:K363" si="157">G357+I357</f>
        <v>45000</v>
      </c>
      <c r="L357" s="51">
        <f t="shared" ref="L357:L366" si="158">F357*K357</f>
        <v>1800000</v>
      </c>
      <c r="M357" s="176"/>
    </row>
    <row r="358" spans="1:16" s="52" customFormat="1" ht="18" customHeight="1">
      <c r="A358" s="53" t="s">
        <v>188</v>
      </c>
      <c r="B358" s="47" t="s">
        <v>198</v>
      </c>
      <c r="C358" s="53" t="s">
        <v>617</v>
      </c>
      <c r="D358" s="48" t="s">
        <v>550</v>
      </c>
      <c r="E358" s="48" t="s">
        <v>181</v>
      </c>
      <c r="F358" s="54">
        <v>20</v>
      </c>
      <c r="G358" s="50">
        <v>12000</v>
      </c>
      <c r="H358" s="50">
        <f>F358*G358</f>
        <v>240000</v>
      </c>
      <c r="I358" s="50">
        <v>15000</v>
      </c>
      <c r="J358" s="50">
        <f t="shared" si="156"/>
        <v>300000</v>
      </c>
      <c r="K358" s="50">
        <f t="shared" si="157"/>
        <v>27000</v>
      </c>
      <c r="L358" s="51">
        <f t="shared" si="158"/>
        <v>540000</v>
      </c>
      <c r="M358" s="175"/>
      <c r="O358" s="165"/>
      <c r="P358" s="170"/>
    </row>
    <row r="359" spans="1:16" s="52" customFormat="1" ht="18" customHeight="1">
      <c r="A359" s="53" t="s">
        <v>278</v>
      </c>
      <c r="B359" s="47" t="s">
        <v>280</v>
      </c>
      <c r="C359" s="46" t="s">
        <v>281</v>
      </c>
      <c r="D359" s="48" t="s">
        <v>551</v>
      </c>
      <c r="E359" s="48" t="s">
        <v>283</v>
      </c>
      <c r="F359" s="54">
        <v>182</v>
      </c>
      <c r="G359" s="50">
        <v>4500</v>
      </c>
      <c r="H359" s="50">
        <f t="shared" si="155"/>
        <v>819000</v>
      </c>
      <c r="I359" s="50">
        <v>8500</v>
      </c>
      <c r="J359" s="50">
        <f t="shared" si="156"/>
        <v>1547000</v>
      </c>
      <c r="K359" s="50">
        <f t="shared" si="157"/>
        <v>13000</v>
      </c>
      <c r="L359" s="51">
        <f t="shared" si="158"/>
        <v>2366000</v>
      </c>
      <c r="M359" s="176"/>
    </row>
    <row r="360" spans="1:16" s="52" customFormat="1" ht="18" hidden="1" customHeight="1">
      <c r="A360" s="53" t="s">
        <v>188</v>
      </c>
      <c r="B360" s="47" t="s">
        <v>207</v>
      </c>
      <c r="C360" s="53" t="s">
        <v>416</v>
      </c>
      <c r="D360" s="48"/>
      <c r="E360" s="48" t="s">
        <v>205</v>
      </c>
      <c r="F360" s="54"/>
      <c r="G360" s="50">
        <v>1000</v>
      </c>
      <c r="H360" s="50">
        <f t="shared" si="155"/>
        <v>0</v>
      </c>
      <c r="I360" s="50">
        <v>5500</v>
      </c>
      <c r="J360" s="50">
        <f t="shared" si="156"/>
        <v>0</v>
      </c>
      <c r="K360" s="50">
        <f t="shared" si="157"/>
        <v>6500</v>
      </c>
      <c r="L360" s="51">
        <f t="shared" si="158"/>
        <v>0</v>
      </c>
      <c r="M360" s="175"/>
      <c r="O360" s="165">
        <f>(3.3+3+3.3+0.6)+(2.1+0.4+0.7+1.4+4.3+1.9+2.4+3.2)+(2.9+2.7+2.1)+(2.3+3.6+3.9+1.3+2.2)</f>
        <v>47.599999999999994</v>
      </c>
      <c r="P360" s="170"/>
    </row>
    <row r="361" spans="1:16" s="52" customFormat="1" ht="18" hidden="1" customHeight="1">
      <c r="A361" s="53" t="s">
        <v>278</v>
      </c>
      <c r="B361" s="47" t="s">
        <v>279</v>
      </c>
      <c r="C361" s="53" t="s">
        <v>352</v>
      </c>
      <c r="D361" s="48"/>
      <c r="E361" s="48" t="s">
        <v>269</v>
      </c>
      <c r="F361" s="54"/>
      <c r="G361" s="50">
        <v>2500</v>
      </c>
      <c r="H361" s="50">
        <f t="shared" si="155"/>
        <v>0</v>
      </c>
      <c r="I361" s="50">
        <v>5500</v>
      </c>
      <c r="J361" s="50">
        <f t="shared" si="156"/>
        <v>0</v>
      </c>
      <c r="K361" s="50">
        <f t="shared" si="157"/>
        <v>8000</v>
      </c>
      <c r="L361" s="51">
        <f t="shared" si="158"/>
        <v>0</v>
      </c>
      <c r="M361" s="175"/>
      <c r="O361" s="165"/>
      <c r="P361" s="170"/>
    </row>
    <row r="362" spans="1:16" s="52" customFormat="1" ht="18" customHeight="1">
      <c r="A362" s="53" t="s">
        <v>578</v>
      </c>
      <c r="B362" s="47" t="s">
        <v>615</v>
      </c>
      <c r="C362" s="46" t="s">
        <v>539</v>
      </c>
      <c r="D362" s="48" t="s">
        <v>616</v>
      </c>
      <c r="E362" s="48" t="s">
        <v>596</v>
      </c>
      <c r="F362" s="54">
        <v>2</v>
      </c>
      <c r="G362" s="50">
        <v>100000</v>
      </c>
      <c r="H362" s="50">
        <f t="shared" si="155"/>
        <v>200000</v>
      </c>
      <c r="I362" s="50">
        <v>230000</v>
      </c>
      <c r="J362" s="50">
        <f t="shared" ref="J362" si="159">F362*I362</f>
        <v>460000</v>
      </c>
      <c r="K362" s="50">
        <f t="shared" ref="K362" si="160">G362+I362</f>
        <v>330000</v>
      </c>
      <c r="L362" s="51">
        <f t="shared" ref="L362" si="161">F362*K362</f>
        <v>660000</v>
      </c>
      <c r="M362" s="175"/>
      <c r="O362" s="165"/>
      <c r="P362" s="170"/>
    </row>
    <row r="363" spans="1:16" s="52" customFormat="1" ht="18" customHeight="1">
      <c r="A363" s="53" t="s">
        <v>401</v>
      </c>
      <c r="B363" s="47" t="s">
        <v>414</v>
      </c>
      <c r="C363" s="46" t="s">
        <v>415</v>
      </c>
      <c r="D363" s="48"/>
      <c r="E363" s="48" t="s">
        <v>392</v>
      </c>
      <c r="F363" s="54">
        <v>7</v>
      </c>
      <c r="G363" s="50">
        <v>100000</v>
      </c>
      <c r="H363" s="50">
        <f>F363*G363</f>
        <v>700000</v>
      </c>
      <c r="I363" s="50">
        <v>120000</v>
      </c>
      <c r="J363" s="50">
        <f>F363*I363</f>
        <v>840000</v>
      </c>
      <c r="K363" s="50">
        <f t="shared" si="157"/>
        <v>220000</v>
      </c>
      <c r="L363" s="51">
        <f>F363*K363</f>
        <v>1540000</v>
      </c>
      <c r="M363" s="175"/>
      <c r="O363" s="165"/>
      <c r="P363" s="170"/>
    </row>
    <row r="364" spans="1:16" s="52" customFormat="1" ht="18" hidden="1" customHeight="1">
      <c r="A364" s="53"/>
      <c r="B364" s="47"/>
      <c r="C364" s="53"/>
      <c r="D364" s="48"/>
      <c r="E364" s="48"/>
      <c r="F364" s="54"/>
      <c r="G364" s="50"/>
      <c r="H364" s="50">
        <f t="shared" si="155"/>
        <v>0</v>
      </c>
      <c r="I364" s="50"/>
      <c r="J364" s="50">
        <f t="shared" si="156"/>
        <v>0</v>
      </c>
      <c r="K364" s="50"/>
      <c r="L364" s="51">
        <f t="shared" si="158"/>
        <v>0</v>
      </c>
      <c r="M364" s="175"/>
      <c r="O364" s="165"/>
      <c r="P364" s="170"/>
    </row>
    <row r="365" spans="1:16" s="52" customFormat="1" ht="18" hidden="1" customHeight="1">
      <c r="A365" s="53" t="s">
        <v>188</v>
      </c>
      <c r="B365" s="47" t="s">
        <v>197</v>
      </c>
      <c r="C365" s="53" t="s">
        <v>194</v>
      </c>
      <c r="D365" s="48"/>
      <c r="E365" s="48" t="s">
        <v>181</v>
      </c>
      <c r="F365" s="54"/>
      <c r="G365" s="50">
        <v>17000</v>
      </c>
      <c r="H365" s="50">
        <f t="shared" si="155"/>
        <v>0</v>
      </c>
      <c r="I365" s="50">
        <v>28000</v>
      </c>
      <c r="J365" s="50">
        <f t="shared" si="156"/>
        <v>0</v>
      </c>
      <c r="K365" s="50">
        <f>G365+I365</f>
        <v>45000</v>
      </c>
      <c r="L365" s="51">
        <f t="shared" si="158"/>
        <v>0</v>
      </c>
      <c r="M365" s="175"/>
      <c r="O365" s="165"/>
      <c r="P365" s="170"/>
    </row>
    <row r="366" spans="1:16" s="52" customFormat="1" ht="18" hidden="1" customHeight="1">
      <c r="A366" s="53" t="s">
        <v>188</v>
      </c>
      <c r="B366" s="47" t="s">
        <v>198</v>
      </c>
      <c r="C366" s="53" t="s">
        <v>144</v>
      </c>
      <c r="D366" s="48"/>
      <c r="E366" s="48" t="s">
        <v>181</v>
      </c>
      <c r="F366" s="54"/>
      <c r="G366" s="50">
        <v>6000</v>
      </c>
      <c r="H366" s="50">
        <f t="shared" si="155"/>
        <v>0</v>
      </c>
      <c r="I366" s="50">
        <v>23000</v>
      </c>
      <c r="J366" s="50">
        <f t="shared" si="156"/>
        <v>0</v>
      </c>
      <c r="K366" s="50">
        <f>G366+I366</f>
        <v>29000</v>
      </c>
      <c r="L366" s="51">
        <f t="shared" si="158"/>
        <v>0</v>
      </c>
      <c r="M366" s="175"/>
      <c r="O366" s="165"/>
      <c r="P366" s="170"/>
    </row>
    <row r="367" spans="1:16" s="52" customFormat="1" ht="18" customHeight="1">
      <c r="A367" s="53" t="s">
        <v>41</v>
      </c>
      <c r="B367" s="47" t="s">
        <v>552</v>
      </c>
      <c r="C367" s="53" t="s">
        <v>279</v>
      </c>
      <c r="D367" s="48" t="s">
        <v>480</v>
      </c>
      <c r="E367" s="48" t="s">
        <v>37</v>
      </c>
      <c r="F367" s="54">
        <v>64</v>
      </c>
      <c r="G367" s="50">
        <v>2500</v>
      </c>
      <c r="H367" s="50">
        <f>F367*G367</f>
        <v>160000</v>
      </c>
      <c r="I367" s="50">
        <v>10000</v>
      </c>
      <c r="J367" s="50">
        <f>F367*I367</f>
        <v>640000</v>
      </c>
      <c r="K367" s="50">
        <f t="shared" ref="K367" si="162">G367+I367</f>
        <v>12500</v>
      </c>
      <c r="L367" s="51">
        <f>F367*K367</f>
        <v>800000</v>
      </c>
      <c r="M367" s="175"/>
      <c r="O367" s="165"/>
      <c r="P367" s="170"/>
    </row>
    <row r="368" spans="1:16" s="52" customFormat="1" ht="18" hidden="1" customHeight="1">
      <c r="A368" s="53" t="s">
        <v>41</v>
      </c>
      <c r="B368" s="47" t="s">
        <v>552</v>
      </c>
      <c r="C368" s="53" t="s">
        <v>416</v>
      </c>
      <c r="D368" s="48"/>
      <c r="E368" s="48" t="s">
        <v>37</v>
      </c>
      <c r="F368" s="54"/>
      <c r="G368" s="50">
        <v>1000</v>
      </c>
      <c r="H368" s="50">
        <f>F368*G368</f>
        <v>0</v>
      </c>
      <c r="I368" s="50">
        <v>4500</v>
      </c>
      <c r="J368" s="50">
        <f>F368*I368</f>
        <v>0</v>
      </c>
      <c r="K368" s="50">
        <f t="shared" ref="K368" si="163">G368+I368</f>
        <v>5500</v>
      </c>
      <c r="L368" s="51">
        <f>F368*K368</f>
        <v>0</v>
      </c>
      <c r="M368" s="175"/>
      <c r="O368" s="165"/>
      <c r="P368" s="170"/>
    </row>
    <row r="369" spans="1:16" s="52" customFormat="1" ht="18" customHeight="1">
      <c r="A369" s="53"/>
      <c r="B369" s="47"/>
      <c r="C369" s="53"/>
      <c r="D369" s="48"/>
      <c r="E369" s="48"/>
      <c r="F369" s="54"/>
      <c r="G369" s="50"/>
      <c r="H369" s="50"/>
      <c r="I369" s="50"/>
      <c r="J369" s="50"/>
      <c r="K369" s="50"/>
      <c r="L369" s="51"/>
      <c r="M369" s="175"/>
      <c r="O369" s="165"/>
      <c r="P369" s="170"/>
    </row>
    <row r="370" spans="1:16" s="52" customFormat="1" ht="18" customHeight="1">
      <c r="A370" s="46">
        <v>-1</v>
      </c>
      <c r="B370" s="47" t="s">
        <v>145</v>
      </c>
      <c r="C370" s="46"/>
      <c r="D370" s="48"/>
      <c r="E370" s="48"/>
      <c r="F370" s="49"/>
      <c r="G370" s="50"/>
      <c r="H370" s="50"/>
      <c r="I370" s="50"/>
      <c r="J370" s="50"/>
      <c r="K370" s="50"/>
      <c r="L370" s="51"/>
      <c r="M370" s="175"/>
      <c r="O370" s="165"/>
      <c r="P370" s="170"/>
    </row>
    <row r="371" spans="1:16" s="52" customFormat="1" ht="18" customHeight="1">
      <c r="A371" s="53" t="s">
        <v>12</v>
      </c>
      <c r="B371" s="47" t="s">
        <v>146</v>
      </c>
      <c r="C371" s="46" t="s">
        <v>539</v>
      </c>
      <c r="D371" s="48" t="s">
        <v>681</v>
      </c>
      <c r="E371" s="48" t="s">
        <v>39</v>
      </c>
      <c r="F371" s="54">
        <v>120</v>
      </c>
      <c r="G371" s="50">
        <v>12000</v>
      </c>
      <c r="H371" s="50">
        <f>F371*G371</f>
        <v>1440000</v>
      </c>
      <c r="I371" s="50">
        <v>28000</v>
      </c>
      <c r="J371" s="50">
        <f t="shared" ref="J371:J376" si="164">F371*I371</f>
        <v>3360000</v>
      </c>
      <c r="K371" s="50">
        <f t="shared" ref="K371:K376" si="165">G371+I371</f>
        <v>40000</v>
      </c>
      <c r="L371" s="51">
        <f t="shared" ref="L371:L376" si="166">F371*K371</f>
        <v>4800000</v>
      </c>
      <c r="M371" s="175"/>
      <c r="O371" s="165">
        <f>(2.7+3+0.8+3.5)*2.4+28</f>
        <v>52</v>
      </c>
      <c r="P371" s="170"/>
    </row>
    <row r="372" spans="1:16" s="52" customFormat="1" ht="18" customHeight="1">
      <c r="A372" s="53" t="s">
        <v>249</v>
      </c>
      <c r="B372" s="47" t="s">
        <v>253</v>
      </c>
      <c r="C372" s="53" t="s">
        <v>556</v>
      </c>
      <c r="D372" s="48" t="s">
        <v>681</v>
      </c>
      <c r="E372" s="48" t="s">
        <v>252</v>
      </c>
      <c r="F372" s="54">
        <v>120</v>
      </c>
      <c r="G372" s="50">
        <v>15000</v>
      </c>
      <c r="H372" s="50">
        <f>F372*G372</f>
        <v>1800000</v>
      </c>
      <c r="I372" s="50">
        <v>15000</v>
      </c>
      <c r="J372" s="50">
        <f t="shared" si="164"/>
        <v>1800000</v>
      </c>
      <c r="K372" s="50">
        <f t="shared" si="165"/>
        <v>30000</v>
      </c>
      <c r="L372" s="51">
        <f t="shared" si="166"/>
        <v>3600000</v>
      </c>
      <c r="M372" s="175"/>
    </row>
    <row r="373" spans="1:16" s="52" customFormat="1" ht="18" customHeight="1">
      <c r="A373" s="53" t="s">
        <v>12</v>
      </c>
      <c r="B373" s="47" t="s">
        <v>146</v>
      </c>
      <c r="C373" s="46" t="s">
        <v>539</v>
      </c>
      <c r="D373" s="48" t="s">
        <v>680</v>
      </c>
      <c r="E373" s="48" t="s">
        <v>39</v>
      </c>
      <c r="F373" s="54">
        <v>96</v>
      </c>
      <c r="G373" s="50">
        <v>12000</v>
      </c>
      <c r="H373" s="50">
        <f>F373*G373</f>
        <v>1152000</v>
      </c>
      <c r="I373" s="50">
        <v>28000</v>
      </c>
      <c r="J373" s="50">
        <f t="shared" si="164"/>
        <v>2688000</v>
      </c>
      <c r="K373" s="50">
        <f t="shared" si="165"/>
        <v>40000</v>
      </c>
      <c r="L373" s="51">
        <f t="shared" si="166"/>
        <v>3840000</v>
      </c>
      <c r="M373" s="175"/>
      <c r="O373" s="165">
        <f>(2.7+3+0.8+3.5)*2.4+28</f>
        <v>52</v>
      </c>
      <c r="P373" s="170"/>
    </row>
    <row r="374" spans="1:16" s="52" customFormat="1" ht="18" customHeight="1">
      <c r="A374" s="53" t="s">
        <v>12</v>
      </c>
      <c r="B374" s="47" t="s">
        <v>238</v>
      </c>
      <c r="C374" s="53" t="s">
        <v>195</v>
      </c>
      <c r="D374" s="48" t="s">
        <v>680</v>
      </c>
      <c r="E374" s="48" t="s">
        <v>39</v>
      </c>
      <c r="F374" s="54">
        <v>96</v>
      </c>
      <c r="G374" s="50">
        <v>15000</v>
      </c>
      <c r="H374" s="50">
        <f t="shared" ref="H374:H383" si="167">F374*G374</f>
        <v>1440000</v>
      </c>
      <c r="I374" s="50">
        <v>15000</v>
      </c>
      <c r="J374" s="50">
        <f t="shared" si="164"/>
        <v>1440000</v>
      </c>
      <c r="K374" s="50">
        <f t="shared" si="165"/>
        <v>30000</v>
      </c>
      <c r="L374" s="51">
        <f t="shared" si="166"/>
        <v>2880000</v>
      </c>
      <c r="M374" s="175"/>
    </row>
    <row r="375" spans="1:16" s="52" customFormat="1" ht="18" customHeight="1">
      <c r="A375" s="53" t="s">
        <v>12</v>
      </c>
      <c r="B375" s="47" t="s">
        <v>146</v>
      </c>
      <c r="C375" s="46" t="s">
        <v>539</v>
      </c>
      <c r="D375" s="48" t="s">
        <v>686</v>
      </c>
      <c r="E375" s="48" t="s">
        <v>39</v>
      </c>
      <c r="F375" s="54">
        <v>55</v>
      </c>
      <c r="G375" s="50">
        <v>12000</v>
      </c>
      <c r="H375" s="50">
        <f>F375*G375</f>
        <v>660000</v>
      </c>
      <c r="I375" s="50">
        <v>28000</v>
      </c>
      <c r="J375" s="50">
        <f t="shared" si="164"/>
        <v>1540000</v>
      </c>
      <c r="K375" s="50">
        <f t="shared" si="165"/>
        <v>40000</v>
      </c>
      <c r="L375" s="51">
        <f t="shared" si="166"/>
        <v>2200000</v>
      </c>
      <c r="M375" s="175"/>
      <c r="O375" s="165">
        <f>(2.7+3+0.8+3.5)*2.4+28</f>
        <v>52</v>
      </c>
      <c r="P375" s="170"/>
    </row>
    <row r="376" spans="1:16" s="52" customFormat="1" ht="18" customHeight="1">
      <c r="A376" s="53" t="s">
        <v>41</v>
      </c>
      <c r="B376" s="47" t="s">
        <v>253</v>
      </c>
      <c r="C376" s="53" t="s">
        <v>556</v>
      </c>
      <c r="D376" s="48" t="s">
        <v>686</v>
      </c>
      <c r="E376" s="48" t="s">
        <v>39</v>
      </c>
      <c r="F376" s="54">
        <v>55</v>
      </c>
      <c r="G376" s="50">
        <v>15000</v>
      </c>
      <c r="H376" s="50">
        <f>F376*G376</f>
        <v>825000</v>
      </c>
      <c r="I376" s="50">
        <v>15000</v>
      </c>
      <c r="J376" s="50">
        <f t="shared" si="164"/>
        <v>825000</v>
      </c>
      <c r="K376" s="50">
        <f t="shared" si="165"/>
        <v>30000</v>
      </c>
      <c r="L376" s="51">
        <f t="shared" si="166"/>
        <v>1650000</v>
      </c>
      <c r="M376" s="175"/>
    </row>
    <row r="377" spans="1:16" s="389" customFormat="1" ht="18" customHeight="1">
      <c r="A377" s="267" t="s">
        <v>12</v>
      </c>
      <c r="B377" s="295" t="s">
        <v>146</v>
      </c>
      <c r="C377" s="355" t="s">
        <v>712</v>
      </c>
      <c r="D377" s="384" t="s">
        <v>714</v>
      </c>
      <c r="E377" s="384" t="s">
        <v>74</v>
      </c>
      <c r="F377" s="385">
        <v>1</v>
      </c>
      <c r="G377" s="386">
        <v>200000</v>
      </c>
      <c r="H377" s="386">
        <f>F377*G377</f>
        <v>200000</v>
      </c>
      <c r="I377" s="386">
        <v>800000</v>
      </c>
      <c r="J377" s="386">
        <f t="shared" ref="J377" si="168">F377*I377</f>
        <v>800000</v>
      </c>
      <c r="K377" s="386">
        <f t="shared" ref="K377" si="169">G377+I377</f>
        <v>1000000</v>
      </c>
      <c r="L377" s="387">
        <f t="shared" ref="L377" si="170">F377*K377</f>
        <v>1000000</v>
      </c>
      <c r="M377" s="388"/>
      <c r="O377" s="390">
        <f>(2.7+3+0.8+3.5)*2.4+28</f>
        <v>52</v>
      </c>
      <c r="P377" s="391"/>
    </row>
    <row r="378" spans="1:16" s="52" customFormat="1" ht="18" customHeight="1">
      <c r="A378" s="53" t="s">
        <v>188</v>
      </c>
      <c r="B378" s="47" t="s">
        <v>206</v>
      </c>
      <c r="C378" s="53" t="s">
        <v>416</v>
      </c>
      <c r="D378" s="48" t="s">
        <v>262</v>
      </c>
      <c r="E378" s="48" t="s">
        <v>205</v>
      </c>
      <c r="F378" s="54">
        <v>80</v>
      </c>
      <c r="G378" s="50">
        <v>1000</v>
      </c>
      <c r="H378" s="50">
        <f t="shared" si="167"/>
        <v>80000</v>
      </c>
      <c r="I378" s="50">
        <v>5000</v>
      </c>
      <c r="J378" s="50">
        <f t="shared" ref="J378:J383" si="171">F378*I378</f>
        <v>400000</v>
      </c>
      <c r="K378" s="50">
        <f t="shared" ref="K378:K383" si="172">G378+I378</f>
        <v>6000</v>
      </c>
      <c r="L378" s="51">
        <f t="shared" ref="L378:L383" si="173">F378*K378</f>
        <v>480000</v>
      </c>
      <c r="M378" s="175"/>
      <c r="O378" s="165"/>
      <c r="P378" s="170"/>
    </row>
    <row r="379" spans="1:16" s="52" customFormat="1" ht="18" hidden="1" customHeight="1">
      <c r="A379" s="53"/>
      <c r="B379" s="47"/>
      <c r="C379" s="53"/>
      <c r="D379" s="48"/>
      <c r="E379" s="48"/>
      <c r="F379" s="54"/>
      <c r="G379" s="50"/>
      <c r="H379" s="50"/>
      <c r="I379" s="50"/>
      <c r="J379" s="50"/>
      <c r="K379" s="50"/>
      <c r="L379" s="51"/>
      <c r="M379" s="175"/>
      <c r="O379" s="165"/>
      <c r="P379" s="170"/>
    </row>
    <row r="380" spans="1:16" s="52" customFormat="1" ht="18" hidden="1" customHeight="1">
      <c r="A380" s="53" t="s">
        <v>188</v>
      </c>
      <c r="B380" s="47" t="s">
        <v>191</v>
      </c>
      <c r="C380" s="53" t="s">
        <v>194</v>
      </c>
      <c r="D380" s="48"/>
      <c r="E380" s="48" t="s">
        <v>181</v>
      </c>
      <c r="F380" s="54"/>
      <c r="G380" s="50">
        <v>12000</v>
      </c>
      <c r="H380" s="50">
        <f t="shared" si="167"/>
        <v>0</v>
      </c>
      <c r="I380" s="50">
        <v>20000</v>
      </c>
      <c r="J380" s="50">
        <f t="shared" si="171"/>
        <v>0</v>
      </c>
      <c r="K380" s="50">
        <f t="shared" si="172"/>
        <v>32000</v>
      </c>
      <c r="L380" s="51">
        <f t="shared" si="173"/>
        <v>0</v>
      </c>
      <c r="M380" s="176"/>
      <c r="O380" s="165"/>
      <c r="P380" s="170"/>
    </row>
    <row r="381" spans="1:16" s="52" customFormat="1" ht="18" hidden="1" customHeight="1">
      <c r="A381" s="53" t="s">
        <v>188</v>
      </c>
      <c r="B381" s="47" t="s">
        <v>192</v>
      </c>
      <c r="C381" s="53" t="s">
        <v>195</v>
      </c>
      <c r="D381" s="48"/>
      <c r="E381" s="48" t="s">
        <v>181</v>
      </c>
      <c r="F381" s="54"/>
      <c r="G381" s="50">
        <v>10000</v>
      </c>
      <c r="H381" s="50">
        <f t="shared" si="167"/>
        <v>0</v>
      </c>
      <c r="I381" s="50">
        <v>15000</v>
      </c>
      <c r="J381" s="50">
        <f t="shared" si="171"/>
        <v>0</v>
      </c>
      <c r="K381" s="50">
        <f t="shared" si="172"/>
        <v>25000</v>
      </c>
      <c r="L381" s="51">
        <f t="shared" si="173"/>
        <v>0</v>
      </c>
      <c r="M381" s="176"/>
      <c r="O381" s="165"/>
      <c r="P381" s="170"/>
    </row>
    <row r="382" spans="1:16" s="52" customFormat="1" ht="18" hidden="1" customHeight="1">
      <c r="A382" s="53" t="s">
        <v>188</v>
      </c>
      <c r="B382" s="47" t="s">
        <v>193</v>
      </c>
      <c r="C382" s="53" t="s">
        <v>196</v>
      </c>
      <c r="D382" s="48"/>
      <c r="E382" s="48" t="s">
        <v>181</v>
      </c>
      <c r="F382" s="54"/>
      <c r="G382" s="50">
        <v>25000</v>
      </c>
      <c r="H382" s="50">
        <f t="shared" si="167"/>
        <v>0</v>
      </c>
      <c r="I382" s="50">
        <v>20000</v>
      </c>
      <c r="J382" s="50">
        <f t="shared" si="171"/>
        <v>0</v>
      </c>
      <c r="K382" s="50">
        <f t="shared" si="172"/>
        <v>45000</v>
      </c>
      <c r="L382" s="51">
        <f t="shared" si="173"/>
        <v>0</v>
      </c>
      <c r="M382" s="176"/>
      <c r="O382" s="165"/>
      <c r="P382" s="170"/>
    </row>
    <row r="383" spans="1:16" ht="18" hidden="1" customHeight="1">
      <c r="A383" s="171" t="s">
        <v>347</v>
      </c>
      <c r="B383" s="10" t="s">
        <v>348</v>
      </c>
      <c r="C383" s="171" t="s">
        <v>373</v>
      </c>
      <c r="D383" s="4"/>
      <c r="E383" s="4" t="s">
        <v>349</v>
      </c>
      <c r="F383" s="172"/>
      <c r="G383" s="24">
        <v>1750000</v>
      </c>
      <c r="H383" s="24">
        <f t="shared" si="167"/>
        <v>0</v>
      </c>
      <c r="I383" s="24">
        <v>250000</v>
      </c>
      <c r="J383" s="24">
        <f t="shared" si="171"/>
        <v>0</v>
      </c>
      <c r="K383" s="24">
        <f t="shared" si="172"/>
        <v>2000000</v>
      </c>
      <c r="L383" s="25">
        <f t="shared" si="173"/>
        <v>0</v>
      </c>
      <c r="M383" s="176"/>
    </row>
    <row r="384" spans="1:16" ht="18" customHeight="1">
      <c r="A384" s="171"/>
      <c r="B384" s="10"/>
      <c r="C384" s="171"/>
      <c r="D384" s="4"/>
      <c r="E384" s="4"/>
      <c r="F384" s="172"/>
      <c r="G384" s="24"/>
      <c r="H384" s="24"/>
      <c r="I384" s="24"/>
      <c r="J384" s="24"/>
      <c r="K384" s="24"/>
      <c r="L384" s="25"/>
      <c r="M384" s="176"/>
    </row>
    <row r="385" spans="1:16" ht="18" customHeight="1">
      <c r="A385" s="9">
        <v>-1</v>
      </c>
      <c r="B385" s="10" t="s">
        <v>147</v>
      </c>
      <c r="C385" s="9"/>
      <c r="D385" s="4"/>
      <c r="E385" s="4"/>
      <c r="F385" s="44"/>
      <c r="G385" s="24"/>
      <c r="H385" s="24"/>
      <c r="I385" s="24"/>
      <c r="J385" s="24"/>
      <c r="K385" s="24"/>
      <c r="L385" s="25"/>
      <c r="M385" s="176"/>
    </row>
    <row r="386" spans="1:16" ht="18" customHeight="1">
      <c r="A386" s="9" t="s">
        <v>41</v>
      </c>
      <c r="B386" s="10" t="s">
        <v>687</v>
      </c>
      <c r="C386" s="46" t="s">
        <v>210</v>
      </c>
      <c r="D386" s="4" t="s">
        <v>428</v>
      </c>
      <c r="E386" s="4" t="s">
        <v>74</v>
      </c>
      <c r="F386" s="172">
        <v>1</v>
      </c>
      <c r="G386" s="24">
        <v>200000</v>
      </c>
      <c r="H386" s="24">
        <f t="shared" ref="H386" si="174">F386*G386</f>
        <v>200000</v>
      </c>
      <c r="I386" s="24">
        <v>280000</v>
      </c>
      <c r="J386" s="24">
        <f t="shared" ref="J386" si="175">F386*I386</f>
        <v>280000</v>
      </c>
      <c r="K386" s="24">
        <f t="shared" ref="K386" si="176">G386+I386</f>
        <v>480000</v>
      </c>
      <c r="L386" s="25">
        <f t="shared" ref="L386" si="177">F386*K386</f>
        <v>480000</v>
      </c>
      <c r="M386" s="176"/>
    </row>
    <row r="387" spans="1:16" ht="18" customHeight="1">
      <c r="A387" s="9" t="s">
        <v>41</v>
      </c>
      <c r="B387" s="10" t="s">
        <v>688</v>
      </c>
      <c r="C387" s="46" t="s">
        <v>210</v>
      </c>
      <c r="D387" s="4" t="s">
        <v>428</v>
      </c>
      <c r="E387" s="4" t="s">
        <v>74</v>
      </c>
      <c r="F387" s="172">
        <v>1</v>
      </c>
      <c r="G387" s="24">
        <v>250000</v>
      </c>
      <c r="H387" s="24">
        <f t="shared" ref="H387" si="178">F387*G387</f>
        <v>250000</v>
      </c>
      <c r="I387" s="24">
        <v>560000</v>
      </c>
      <c r="J387" s="24">
        <f t="shared" ref="J387" si="179">F387*I387</f>
        <v>560000</v>
      </c>
      <c r="K387" s="24">
        <f t="shared" ref="K387" si="180">G387+I387</f>
        <v>810000</v>
      </c>
      <c r="L387" s="25">
        <f t="shared" ref="L387" si="181">F387*K387</f>
        <v>810000</v>
      </c>
      <c r="M387" s="176"/>
    </row>
    <row r="388" spans="1:16" ht="18" customHeight="1">
      <c r="A388" s="9" t="s">
        <v>41</v>
      </c>
      <c r="B388" s="10" t="s">
        <v>691</v>
      </c>
      <c r="C388" s="46" t="s">
        <v>692</v>
      </c>
      <c r="D388" s="4" t="s">
        <v>693</v>
      </c>
      <c r="E388" s="4" t="s">
        <v>74</v>
      </c>
      <c r="F388" s="172">
        <v>1</v>
      </c>
      <c r="G388" s="24">
        <v>80000</v>
      </c>
      <c r="H388" s="24">
        <f t="shared" ref="H388" si="182">F388*G388</f>
        <v>80000</v>
      </c>
      <c r="I388" s="24">
        <v>50000</v>
      </c>
      <c r="J388" s="24">
        <f t="shared" ref="J388" si="183">F388*I388</f>
        <v>50000</v>
      </c>
      <c r="K388" s="24">
        <f t="shared" ref="K388" si="184">G388+I388</f>
        <v>130000</v>
      </c>
      <c r="L388" s="25">
        <f t="shared" ref="L388" si="185">F388*K388</f>
        <v>130000</v>
      </c>
      <c r="M388" s="176"/>
    </row>
    <row r="389" spans="1:16" ht="18" customHeight="1">
      <c r="A389" s="9" t="s">
        <v>41</v>
      </c>
      <c r="B389" s="10" t="s">
        <v>694</v>
      </c>
      <c r="C389" s="46" t="s">
        <v>690</v>
      </c>
      <c r="D389" s="4" t="s">
        <v>695</v>
      </c>
      <c r="E389" s="4" t="s">
        <v>74</v>
      </c>
      <c r="F389" s="172">
        <v>1</v>
      </c>
      <c r="G389" s="24">
        <v>600000</v>
      </c>
      <c r="H389" s="24">
        <f t="shared" ref="H389" si="186">F389*G389</f>
        <v>600000</v>
      </c>
      <c r="I389" s="24">
        <v>300000</v>
      </c>
      <c r="J389" s="24">
        <f t="shared" ref="J389" si="187">F389*I389</f>
        <v>300000</v>
      </c>
      <c r="K389" s="24">
        <f t="shared" ref="K389" si="188">G389+I389</f>
        <v>900000</v>
      </c>
      <c r="L389" s="25">
        <f t="shared" ref="L389" si="189">F389*K389</f>
        <v>900000</v>
      </c>
      <c r="M389" s="176"/>
    </row>
    <row r="390" spans="1:16" ht="18" customHeight="1">
      <c r="A390" s="9" t="s">
        <v>41</v>
      </c>
      <c r="B390" s="10" t="s">
        <v>696</v>
      </c>
      <c r="C390" s="9" t="s">
        <v>618</v>
      </c>
      <c r="D390" s="4" t="s">
        <v>480</v>
      </c>
      <c r="E390" s="4" t="s">
        <v>74</v>
      </c>
      <c r="F390" s="172">
        <v>5</v>
      </c>
      <c r="G390" s="24">
        <v>750000</v>
      </c>
      <c r="H390" s="24">
        <f t="shared" ref="H390" si="190">F390*G390</f>
        <v>3750000</v>
      </c>
      <c r="I390" s="24">
        <v>250000</v>
      </c>
      <c r="J390" s="24">
        <f t="shared" ref="J390" si="191">F390*I390</f>
        <v>1250000</v>
      </c>
      <c r="K390" s="24">
        <f t="shared" ref="K390" si="192">G390+I390</f>
        <v>1000000</v>
      </c>
      <c r="L390" s="25">
        <f t="shared" ref="L390" si="193">F390*K390</f>
        <v>5000000</v>
      </c>
      <c r="M390" s="176"/>
    </row>
    <row r="391" spans="1:16" ht="18" customHeight="1">
      <c r="A391" s="171" t="s">
        <v>12</v>
      </c>
      <c r="B391" s="10" t="s">
        <v>558</v>
      </c>
      <c r="C391" s="9" t="s">
        <v>254</v>
      </c>
      <c r="D391" s="4" t="s">
        <v>117</v>
      </c>
      <c r="E391" s="4" t="s">
        <v>74</v>
      </c>
      <c r="F391" s="172">
        <v>1</v>
      </c>
      <c r="G391" s="24">
        <v>550000</v>
      </c>
      <c r="H391" s="24">
        <f t="shared" ref="H391:H401" si="194">F391*G391</f>
        <v>550000</v>
      </c>
      <c r="I391" s="24">
        <v>250000</v>
      </c>
      <c r="J391" s="24">
        <f t="shared" ref="J391:J401" si="195">F391*I391</f>
        <v>250000</v>
      </c>
      <c r="K391" s="24">
        <f t="shared" ref="K391:K401" si="196">G391+I391</f>
        <v>800000</v>
      </c>
      <c r="L391" s="25">
        <f t="shared" ref="L391:L401" si="197">F391*K391</f>
        <v>800000</v>
      </c>
      <c r="M391" s="176"/>
    </row>
    <row r="392" spans="1:16" ht="18" customHeight="1">
      <c r="A392" s="171" t="s">
        <v>41</v>
      </c>
      <c r="B392" s="403" t="s">
        <v>620</v>
      </c>
      <c r="C392" s="9" t="s">
        <v>690</v>
      </c>
      <c r="D392" s="4" t="s">
        <v>682</v>
      </c>
      <c r="E392" s="4" t="s">
        <v>74</v>
      </c>
      <c r="F392" s="172">
        <v>1</v>
      </c>
      <c r="G392" s="24">
        <v>650000</v>
      </c>
      <c r="H392" s="24">
        <f t="shared" ref="H392" si="198">F392*G392</f>
        <v>650000</v>
      </c>
      <c r="I392" s="24">
        <v>450000</v>
      </c>
      <c r="J392" s="24">
        <f t="shared" ref="J392" si="199">F392*I392</f>
        <v>450000</v>
      </c>
      <c r="K392" s="24">
        <f t="shared" ref="K392" si="200">G392+I392</f>
        <v>1100000</v>
      </c>
      <c r="L392" s="25">
        <f t="shared" ref="L392" si="201">F392*K392</f>
        <v>1100000</v>
      </c>
      <c r="M392" s="176"/>
    </row>
    <row r="393" spans="1:16" ht="18" customHeight="1">
      <c r="A393" s="171" t="s">
        <v>583</v>
      </c>
      <c r="B393" s="403" t="s">
        <v>620</v>
      </c>
      <c r="C393" s="9" t="s">
        <v>618</v>
      </c>
      <c r="D393" s="4" t="s">
        <v>713</v>
      </c>
      <c r="E393" s="4" t="s">
        <v>619</v>
      </c>
      <c r="F393" s="172">
        <v>2</v>
      </c>
      <c r="G393" s="24">
        <v>250000</v>
      </c>
      <c r="H393" s="24">
        <f>F393*G393</f>
        <v>500000</v>
      </c>
      <c r="I393" s="24">
        <v>150000</v>
      </c>
      <c r="J393" s="24">
        <f t="shared" ref="J393" si="202">F393*I393</f>
        <v>300000</v>
      </c>
      <c r="K393" s="24">
        <f t="shared" ref="K393" si="203">G393+I393</f>
        <v>400000</v>
      </c>
      <c r="L393" s="25">
        <f t="shared" ref="L393" si="204">F393*K393</f>
        <v>800000</v>
      </c>
      <c r="M393" s="176"/>
    </row>
    <row r="394" spans="1:16" ht="18" customHeight="1">
      <c r="A394" s="171" t="s">
        <v>41</v>
      </c>
      <c r="B394" s="403" t="s">
        <v>697</v>
      </c>
      <c r="C394" s="46" t="s">
        <v>698</v>
      </c>
      <c r="D394" s="4" t="s">
        <v>713</v>
      </c>
      <c r="E394" s="4" t="s">
        <v>74</v>
      </c>
      <c r="F394" s="172">
        <v>2</v>
      </c>
      <c r="G394" s="24">
        <v>100000</v>
      </c>
      <c r="H394" s="24">
        <f t="shared" ref="H394" si="205">F394*G394</f>
        <v>200000</v>
      </c>
      <c r="I394" s="24">
        <v>250000</v>
      </c>
      <c r="J394" s="24">
        <f t="shared" ref="J394" si="206">F394*I394</f>
        <v>500000</v>
      </c>
      <c r="K394" s="24">
        <f t="shared" ref="K394" si="207">G394+I394</f>
        <v>350000</v>
      </c>
      <c r="L394" s="25">
        <f t="shared" ref="L394" si="208">F394*K394</f>
        <v>700000</v>
      </c>
      <c r="M394" s="176"/>
    </row>
    <row r="395" spans="1:16" ht="18" customHeight="1">
      <c r="A395" s="171" t="s">
        <v>484</v>
      </c>
      <c r="B395" s="10" t="s">
        <v>526</v>
      </c>
      <c r="C395" s="171" t="s">
        <v>528</v>
      </c>
      <c r="D395" s="4"/>
      <c r="E395" s="4" t="s">
        <v>527</v>
      </c>
      <c r="F395" s="172">
        <v>0</v>
      </c>
      <c r="G395" s="24">
        <v>24000</v>
      </c>
      <c r="H395" s="24">
        <f t="shared" si="194"/>
        <v>0</v>
      </c>
      <c r="I395" s="24">
        <v>30000</v>
      </c>
      <c r="J395" s="24">
        <f t="shared" si="195"/>
        <v>0</v>
      </c>
      <c r="K395" s="24">
        <f t="shared" si="196"/>
        <v>54000</v>
      </c>
      <c r="L395" s="25">
        <f t="shared" si="197"/>
        <v>0</v>
      </c>
      <c r="M395" s="291" t="s">
        <v>710</v>
      </c>
    </row>
    <row r="396" spans="1:16" s="276" customFormat="1" ht="18" hidden="1" customHeight="1">
      <c r="A396" s="53" t="s">
        <v>393</v>
      </c>
      <c r="B396" s="270" t="s">
        <v>394</v>
      </c>
      <c r="C396" s="347" t="s">
        <v>395</v>
      </c>
      <c r="D396" s="271"/>
      <c r="E396" s="271" t="s">
        <v>396</v>
      </c>
      <c r="F396" s="272"/>
      <c r="G396" s="335">
        <v>15000</v>
      </c>
      <c r="H396" s="335">
        <f t="shared" si="194"/>
        <v>0</v>
      </c>
      <c r="I396" s="335">
        <v>10000</v>
      </c>
      <c r="J396" s="335">
        <f t="shared" si="195"/>
        <v>0</v>
      </c>
      <c r="K396" s="335">
        <f t="shared" si="196"/>
        <v>25000</v>
      </c>
      <c r="L396" s="336">
        <f t="shared" si="197"/>
        <v>0</v>
      </c>
      <c r="M396" s="275"/>
      <c r="O396" s="277"/>
      <c r="P396" s="278"/>
    </row>
    <row r="397" spans="1:16" s="276" customFormat="1" ht="18" hidden="1" customHeight="1">
      <c r="A397" s="53" t="s">
        <v>426</v>
      </c>
      <c r="B397" s="270" t="s">
        <v>427</v>
      </c>
      <c r="C397" s="347"/>
      <c r="D397" s="271" t="s">
        <v>428</v>
      </c>
      <c r="E397" s="271" t="s">
        <v>202</v>
      </c>
      <c r="F397" s="272"/>
      <c r="G397" s="335">
        <v>600000</v>
      </c>
      <c r="H397" s="335">
        <f t="shared" si="194"/>
        <v>0</v>
      </c>
      <c r="I397" s="335">
        <v>200000</v>
      </c>
      <c r="J397" s="335">
        <f t="shared" si="195"/>
        <v>0</v>
      </c>
      <c r="K397" s="335">
        <f t="shared" si="196"/>
        <v>800000</v>
      </c>
      <c r="L397" s="336">
        <f t="shared" si="197"/>
        <v>0</v>
      </c>
      <c r="M397" s="275"/>
      <c r="O397" s="277"/>
      <c r="P397" s="278"/>
    </row>
    <row r="398" spans="1:16" s="276" customFormat="1" ht="18" hidden="1" customHeight="1">
      <c r="A398" s="53" t="s">
        <v>482</v>
      </c>
      <c r="B398" s="270" t="s">
        <v>554</v>
      </c>
      <c r="C398" s="347" t="s">
        <v>555</v>
      </c>
      <c r="D398" s="347" t="s">
        <v>362</v>
      </c>
      <c r="E398" s="271" t="s">
        <v>483</v>
      </c>
      <c r="F398" s="272"/>
      <c r="G398" s="335">
        <v>100000</v>
      </c>
      <c r="H398" s="335">
        <f t="shared" si="194"/>
        <v>0</v>
      </c>
      <c r="I398" s="335">
        <v>200000</v>
      </c>
      <c r="J398" s="335">
        <f t="shared" si="195"/>
        <v>0</v>
      </c>
      <c r="K398" s="335">
        <f t="shared" si="196"/>
        <v>300000</v>
      </c>
      <c r="L398" s="336">
        <f t="shared" si="197"/>
        <v>0</v>
      </c>
      <c r="M398" s="275"/>
      <c r="O398" s="277"/>
      <c r="P398" s="278"/>
    </row>
    <row r="399" spans="1:16" s="276" customFormat="1" ht="18" customHeight="1">
      <c r="A399" s="53" t="s">
        <v>578</v>
      </c>
      <c r="B399" s="270" t="s">
        <v>621</v>
      </c>
      <c r="C399" s="347" t="s">
        <v>622</v>
      </c>
      <c r="D399" s="347"/>
      <c r="E399" s="271" t="s">
        <v>619</v>
      </c>
      <c r="F399" s="272">
        <v>1</v>
      </c>
      <c r="G399" s="335">
        <v>150000</v>
      </c>
      <c r="H399" s="24">
        <f t="shared" si="194"/>
        <v>150000</v>
      </c>
      <c r="I399" s="335">
        <v>200000</v>
      </c>
      <c r="J399" s="24">
        <f t="shared" si="195"/>
        <v>200000</v>
      </c>
      <c r="K399" s="335">
        <f t="shared" si="196"/>
        <v>350000</v>
      </c>
      <c r="L399" s="25">
        <f t="shared" si="197"/>
        <v>350000</v>
      </c>
      <c r="M399" s="275"/>
      <c r="O399" s="277"/>
      <c r="P399" s="278"/>
    </row>
    <row r="400" spans="1:16" s="276" customFormat="1" ht="18" customHeight="1">
      <c r="A400" s="53" t="s">
        <v>41</v>
      </c>
      <c r="B400" s="270" t="s">
        <v>164</v>
      </c>
      <c r="C400" s="347" t="s">
        <v>690</v>
      </c>
      <c r="D400" s="347"/>
      <c r="E400" s="271" t="s">
        <v>36</v>
      </c>
      <c r="F400" s="272">
        <v>1</v>
      </c>
      <c r="G400" s="335">
        <v>1200000</v>
      </c>
      <c r="H400" s="335">
        <f t="shared" si="194"/>
        <v>1200000</v>
      </c>
      <c r="I400" s="335">
        <v>200000</v>
      </c>
      <c r="J400" s="335">
        <f t="shared" si="195"/>
        <v>200000</v>
      </c>
      <c r="K400" s="335">
        <f t="shared" si="196"/>
        <v>1400000</v>
      </c>
      <c r="L400" s="336">
        <f t="shared" si="197"/>
        <v>1400000</v>
      </c>
      <c r="M400" s="275"/>
      <c r="O400" s="277"/>
      <c r="P400" s="278"/>
    </row>
    <row r="401" spans="1:16" s="276" customFormat="1" ht="18" hidden="1" customHeight="1">
      <c r="A401" s="53" t="s">
        <v>41</v>
      </c>
      <c r="B401" s="270" t="s">
        <v>225</v>
      </c>
      <c r="C401" s="347" t="s">
        <v>226</v>
      </c>
      <c r="D401" s="347"/>
      <c r="E401" s="271" t="s">
        <v>36</v>
      </c>
      <c r="F401" s="272"/>
      <c r="G401" s="335">
        <v>650000</v>
      </c>
      <c r="H401" s="335">
        <f t="shared" si="194"/>
        <v>0</v>
      </c>
      <c r="I401" s="335">
        <v>180000</v>
      </c>
      <c r="J401" s="335">
        <f t="shared" si="195"/>
        <v>0</v>
      </c>
      <c r="K401" s="335">
        <f t="shared" si="196"/>
        <v>830000</v>
      </c>
      <c r="L401" s="336">
        <f t="shared" si="197"/>
        <v>0</v>
      </c>
      <c r="M401" s="275"/>
      <c r="O401" s="277"/>
      <c r="P401" s="278"/>
    </row>
    <row r="402" spans="1:16" ht="18" customHeight="1">
      <c r="A402" s="171"/>
      <c r="B402" s="159" t="s">
        <v>708</v>
      </c>
      <c r="C402" s="9"/>
      <c r="D402" s="4"/>
      <c r="E402" s="4"/>
      <c r="F402" s="172"/>
      <c r="G402" s="24"/>
      <c r="H402" s="24"/>
      <c r="I402" s="24"/>
      <c r="J402" s="24"/>
      <c r="K402" s="24"/>
      <c r="L402" s="25"/>
      <c r="M402" s="176"/>
    </row>
    <row r="403" spans="1:16" ht="18" hidden="1" customHeight="1">
      <c r="A403" s="171" t="s">
        <v>188</v>
      </c>
      <c r="B403" s="10" t="s">
        <v>199</v>
      </c>
      <c r="C403" s="9" t="s">
        <v>200</v>
      </c>
      <c r="D403" s="4"/>
      <c r="E403" s="4" t="s">
        <v>202</v>
      </c>
      <c r="F403" s="172"/>
      <c r="G403" s="24"/>
      <c r="H403" s="24">
        <f t="shared" ref="H403:H408" si="209">F403*G403</f>
        <v>0</v>
      </c>
      <c r="I403" s="24"/>
      <c r="J403" s="24">
        <f t="shared" ref="J403:J408" si="210">F403*I403</f>
        <v>0</v>
      </c>
      <c r="K403" s="24">
        <f t="shared" ref="K403:K408" si="211">G403+I403</f>
        <v>0</v>
      </c>
      <c r="L403" s="25">
        <f t="shared" ref="L403:L408" si="212">F403*K403</f>
        <v>0</v>
      </c>
      <c r="M403" s="176"/>
    </row>
    <row r="404" spans="1:16" ht="18" hidden="1" customHeight="1">
      <c r="A404" s="171" t="s">
        <v>188</v>
      </c>
      <c r="B404" s="10" t="s">
        <v>199</v>
      </c>
      <c r="C404" s="9" t="s">
        <v>201</v>
      </c>
      <c r="D404" s="4"/>
      <c r="E404" s="4" t="s">
        <v>202</v>
      </c>
      <c r="F404" s="172"/>
      <c r="G404" s="24"/>
      <c r="H404" s="24">
        <f t="shared" si="209"/>
        <v>0</v>
      </c>
      <c r="I404" s="24"/>
      <c r="J404" s="24">
        <f t="shared" si="210"/>
        <v>0</v>
      </c>
      <c r="K404" s="24">
        <f t="shared" si="211"/>
        <v>0</v>
      </c>
      <c r="L404" s="25">
        <f t="shared" si="212"/>
        <v>0</v>
      </c>
      <c r="M404" s="176"/>
    </row>
    <row r="405" spans="1:16" s="307" customFormat="1" ht="18" hidden="1" customHeight="1">
      <c r="A405" s="323" t="s">
        <v>12</v>
      </c>
      <c r="B405" s="324" t="s">
        <v>354</v>
      </c>
      <c r="C405" s="365" t="s">
        <v>353</v>
      </c>
      <c r="D405" s="304" t="s">
        <v>371</v>
      </c>
      <c r="E405" s="304" t="s">
        <v>36</v>
      </c>
      <c r="F405" s="325"/>
      <c r="G405" s="24"/>
      <c r="H405" s="24">
        <f t="shared" si="209"/>
        <v>0</v>
      </c>
      <c r="I405" s="24"/>
      <c r="J405" s="24">
        <f t="shared" si="210"/>
        <v>0</v>
      </c>
      <c r="K405" s="24">
        <f t="shared" si="211"/>
        <v>0</v>
      </c>
      <c r="L405" s="25">
        <f t="shared" si="212"/>
        <v>0</v>
      </c>
      <c r="M405" s="300"/>
      <c r="O405" s="308"/>
      <c r="P405" s="309"/>
    </row>
    <row r="406" spans="1:16" s="307" customFormat="1" ht="18" hidden="1" customHeight="1">
      <c r="A406" s="323" t="s">
        <v>366</v>
      </c>
      <c r="B406" s="324" t="s">
        <v>369</v>
      </c>
      <c r="C406" s="365"/>
      <c r="D406" s="304"/>
      <c r="E406" s="304" t="s">
        <v>370</v>
      </c>
      <c r="F406" s="325"/>
      <c r="G406" s="24"/>
      <c r="H406" s="24">
        <f t="shared" si="209"/>
        <v>0</v>
      </c>
      <c r="I406" s="24"/>
      <c r="J406" s="24">
        <f t="shared" si="210"/>
        <v>0</v>
      </c>
      <c r="K406" s="24">
        <f t="shared" si="211"/>
        <v>0</v>
      </c>
      <c r="L406" s="25">
        <f t="shared" si="212"/>
        <v>0</v>
      </c>
      <c r="M406" s="300"/>
      <c r="O406" s="308"/>
      <c r="P406" s="309"/>
    </row>
    <row r="407" spans="1:16" s="301" customFormat="1" ht="18" hidden="1" customHeight="1">
      <c r="A407" s="296" t="s">
        <v>367</v>
      </c>
      <c r="B407" s="297" t="s">
        <v>365</v>
      </c>
      <c r="C407" s="366" t="s">
        <v>357</v>
      </c>
      <c r="D407" s="298"/>
      <c r="E407" s="298" t="s">
        <v>358</v>
      </c>
      <c r="F407" s="299"/>
      <c r="G407" s="24"/>
      <c r="H407" s="24">
        <f t="shared" si="209"/>
        <v>0</v>
      </c>
      <c r="I407" s="24"/>
      <c r="J407" s="24">
        <f t="shared" si="210"/>
        <v>0</v>
      </c>
      <c r="K407" s="24">
        <f t="shared" si="211"/>
        <v>0</v>
      </c>
      <c r="L407" s="25">
        <f t="shared" si="212"/>
        <v>0</v>
      </c>
      <c r="M407" s="300"/>
      <c r="O407" s="302"/>
      <c r="P407" s="303"/>
    </row>
    <row r="408" spans="1:16" s="276" customFormat="1" ht="18" hidden="1" customHeight="1">
      <c r="A408" s="53" t="s">
        <v>368</v>
      </c>
      <c r="B408" s="270" t="s">
        <v>364</v>
      </c>
      <c r="C408" s="347" t="s">
        <v>501</v>
      </c>
      <c r="D408" s="271" t="s">
        <v>359</v>
      </c>
      <c r="E408" s="271" t="s">
        <v>360</v>
      </c>
      <c r="F408" s="272"/>
      <c r="G408" s="335"/>
      <c r="H408" s="335">
        <f t="shared" si="209"/>
        <v>0</v>
      </c>
      <c r="I408" s="335"/>
      <c r="J408" s="335">
        <f t="shared" si="210"/>
        <v>0</v>
      </c>
      <c r="K408" s="335">
        <f t="shared" si="211"/>
        <v>0</v>
      </c>
      <c r="L408" s="336">
        <f t="shared" si="212"/>
        <v>0</v>
      </c>
      <c r="M408" s="275"/>
      <c r="O408" s="277"/>
      <c r="P408" s="278"/>
    </row>
    <row r="409" spans="1:16" ht="18" hidden="1" customHeight="1">
      <c r="A409" s="171" t="s">
        <v>12</v>
      </c>
      <c r="B409" s="10" t="s">
        <v>161</v>
      </c>
      <c r="C409" s="171" t="s">
        <v>353</v>
      </c>
      <c r="D409" s="4"/>
      <c r="E409" s="4" t="s">
        <v>36</v>
      </c>
      <c r="F409" s="172"/>
      <c r="G409" s="24"/>
      <c r="H409" s="24">
        <f>F409*G409</f>
        <v>0</v>
      </c>
      <c r="I409" s="24"/>
      <c r="J409" s="24">
        <f>F409*I409</f>
        <v>0</v>
      </c>
      <c r="K409" s="24">
        <f>G409+I409</f>
        <v>0</v>
      </c>
      <c r="L409" s="25">
        <f>F409*K409</f>
        <v>0</v>
      </c>
      <c r="M409" s="176"/>
    </row>
    <row r="410" spans="1:16" ht="18" hidden="1" customHeight="1">
      <c r="A410" s="171" t="s">
        <v>208</v>
      </c>
      <c r="B410" s="10" t="s">
        <v>209</v>
      </c>
      <c r="C410" s="171" t="s">
        <v>210</v>
      </c>
      <c r="D410" s="4"/>
      <c r="E410" s="4" t="s">
        <v>211</v>
      </c>
      <c r="F410" s="172"/>
      <c r="G410" s="24"/>
      <c r="H410" s="24">
        <f>F410*G410</f>
        <v>0</v>
      </c>
      <c r="I410" s="24"/>
      <c r="J410" s="24">
        <f>F410*I410</f>
        <v>0</v>
      </c>
      <c r="K410" s="24">
        <f>G410+I410</f>
        <v>0</v>
      </c>
      <c r="L410" s="25">
        <f>F410*K410</f>
        <v>0</v>
      </c>
      <c r="M410" s="176"/>
    </row>
    <row r="411" spans="1:16" ht="18" hidden="1" customHeight="1">
      <c r="A411" s="171" t="s">
        <v>41</v>
      </c>
      <c r="B411" s="10" t="s">
        <v>225</v>
      </c>
      <c r="C411" s="171" t="s">
        <v>226</v>
      </c>
      <c r="D411" s="4"/>
      <c r="E411" s="4" t="s">
        <v>36</v>
      </c>
      <c r="F411" s="172"/>
      <c r="G411" s="24"/>
      <c r="H411" s="24">
        <f>F411*G411</f>
        <v>0</v>
      </c>
      <c r="I411" s="24"/>
      <c r="J411" s="24">
        <f>F411*I411</f>
        <v>0</v>
      </c>
      <c r="K411" s="24">
        <f>G411+I411</f>
        <v>0</v>
      </c>
      <c r="L411" s="25">
        <f>F411*K411</f>
        <v>0</v>
      </c>
      <c r="M411" s="176"/>
    </row>
    <row r="412" spans="1:16" s="320" customFormat="1" ht="18" hidden="1" customHeight="1">
      <c r="A412" s="290" t="s">
        <v>41</v>
      </c>
      <c r="B412" s="315" t="s">
        <v>164</v>
      </c>
      <c r="C412" s="367" t="s">
        <v>259</v>
      </c>
      <c r="D412" s="316"/>
      <c r="E412" s="316" t="s">
        <v>74</v>
      </c>
      <c r="F412" s="317"/>
      <c r="G412" s="24"/>
      <c r="H412" s="24">
        <f>F412*G412</f>
        <v>0</v>
      </c>
      <c r="I412" s="24"/>
      <c r="J412" s="24">
        <f>F412*I412</f>
        <v>0</v>
      </c>
      <c r="K412" s="24">
        <f>G412+I412</f>
        <v>0</v>
      </c>
      <c r="L412" s="25">
        <f>F412*K412</f>
        <v>0</v>
      </c>
      <c r="M412" s="285"/>
      <c r="O412" s="321"/>
      <c r="P412" s="322"/>
    </row>
    <row r="413" spans="1:16" s="286" customFormat="1" ht="18" hidden="1" customHeight="1">
      <c r="A413" s="267"/>
      <c r="B413" s="295"/>
      <c r="C413" s="359"/>
      <c r="D413" s="281"/>
      <c r="E413" s="281"/>
      <c r="F413" s="282"/>
      <c r="G413" s="283"/>
      <c r="H413" s="283"/>
      <c r="I413" s="283"/>
      <c r="J413" s="283"/>
      <c r="K413" s="283"/>
      <c r="L413" s="284"/>
      <c r="M413" s="285"/>
      <c r="O413" s="287"/>
      <c r="P413" s="288"/>
    </row>
    <row r="414" spans="1:16" s="276" customFormat="1" ht="18" hidden="1" customHeight="1">
      <c r="A414" s="53">
        <v>-1</v>
      </c>
      <c r="B414" s="47" t="s">
        <v>381</v>
      </c>
      <c r="C414" s="347"/>
      <c r="D414" s="271"/>
      <c r="E414" s="271"/>
      <c r="F414" s="272"/>
      <c r="G414" s="273"/>
      <c r="H414" s="273"/>
      <c r="I414" s="273"/>
      <c r="J414" s="273"/>
      <c r="K414" s="273"/>
      <c r="L414" s="274"/>
      <c r="M414" s="275"/>
      <c r="O414" s="277"/>
      <c r="P414" s="278"/>
    </row>
    <row r="415" spans="1:16" s="276" customFormat="1" ht="18" hidden="1" customHeight="1">
      <c r="A415" s="53"/>
      <c r="B415" s="47" t="s">
        <v>382</v>
      </c>
      <c r="C415" s="347"/>
      <c r="D415" s="271"/>
      <c r="E415" s="271" t="s">
        <v>383</v>
      </c>
      <c r="F415" s="272"/>
      <c r="G415" s="273">
        <v>140000</v>
      </c>
      <c r="H415" s="273">
        <f>F415*G415</f>
        <v>0</v>
      </c>
      <c r="I415" s="273">
        <v>80000</v>
      </c>
      <c r="J415" s="273">
        <f>F415*I415</f>
        <v>0</v>
      </c>
      <c r="K415" s="273">
        <f>G415+I415</f>
        <v>220000</v>
      </c>
      <c r="L415" s="274">
        <f>F415*K415</f>
        <v>0</v>
      </c>
      <c r="M415" s="275"/>
      <c r="O415" s="277"/>
      <c r="P415" s="278"/>
    </row>
    <row r="416" spans="1:16" s="286" customFormat="1" ht="18" hidden="1" customHeight="1">
      <c r="A416" s="267"/>
      <c r="B416" s="295"/>
      <c r="C416" s="359"/>
      <c r="D416" s="281"/>
      <c r="E416" s="281"/>
      <c r="F416" s="282"/>
      <c r="G416" s="283"/>
      <c r="H416" s="283"/>
      <c r="I416" s="283"/>
      <c r="J416" s="283"/>
      <c r="K416" s="283"/>
      <c r="L416" s="284"/>
      <c r="M416" s="285"/>
      <c r="O416" s="287"/>
      <c r="P416" s="288"/>
    </row>
    <row r="417" spans="1:16" s="286" customFormat="1" ht="18" hidden="1" customHeight="1">
      <c r="A417" s="267"/>
      <c r="B417" s="295"/>
      <c r="C417" s="359"/>
      <c r="D417" s="281"/>
      <c r="E417" s="281"/>
      <c r="F417" s="282"/>
      <c r="G417" s="283"/>
      <c r="H417" s="283"/>
      <c r="I417" s="283"/>
      <c r="J417" s="283"/>
      <c r="K417" s="283"/>
      <c r="L417" s="284"/>
      <c r="M417" s="285"/>
      <c r="O417" s="287"/>
      <c r="P417" s="288"/>
    </row>
    <row r="418" spans="1:16" s="286" customFormat="1" ht="18" hidden="1" customHeight="1">
      <c r="A418" s="267"/>
      <c r="B418" s="295"/>
      <c r="C418" s="359"/>
      <c r="D418" s="281"/>
      <c r="E418" s="281"/>
      <c r="F418" s="282"/>
      <c r="G418" s="283"/>
      <c r="H418" s="283"/>
      <c r="I418" s="283"/>
      <c r="J418" s="283"/>
      <c r="K418" s="283"/>
      <c r="L418" s="284"/>
      <c r="M418" s="285"/>
      <c r="O418" s="287"/>
      <c r="P418" s="288"/>
    </row>
    <row r="419" spans="1:16" s="286" customFormat="1" ht="18" hidden="1" customHeight="1">
      <c r="A419" s="267"/>
      <c r="B419" s="295"/>
      <c r="C419" s="359"/>
      <c r="D419" s="281"/>
      <c r="E419" s="281"/>
      <c r="F419" s="282"/>
      <c r="G419" s="283"/>
      <c r="H419" s="283"/>
      <c r="I419" s="283"/>
      <c r="J419" s="283"/>
      <c r="K419" s="283"/>
      <c r="L419" s="284"/>
      <c r="M419" s="285"/>
      <c r="O419" s="287"/>
      <c r="P419" s="288"/>
    </row>
    <row r="420" spans="1:16" s="276" customFormat="1" ht="18" hidden="1" customHeight="1">
      <c r="A420" s="53">
        <v>-1</v>
      </c>
      <c r="B420" s="47" t="s">
        <v>455</v>
      </c>
      <c r="C420" s="347"/>
      <c r="D420" s="271"/>
      <c r="E420" s="271"/>
      <c r="F420" s="272"/>
      <c r="G420" s="273"/>
      <c r="H420" s="273"/>
      <c r="I420" s="273"/>
      <c r="J420" s="273"/>
      <c r="K420" s="273"/>
      <c r="L420" s="274"/>
      <c r="M420" s="275"/>
      <c r="O420" s="277"/>
      <c r="P420" s="278"/>
    </row>
    <row r="421" spans="1:16" s="276" customFormat="1" ht="18" hidden="1" customHeight="1">
      <c r="A421" s="53" t="s">
        <v>456</v>
      </c>
      <c r="B421" s="47" t="s">
        <v>457</v>
      </c>
      <c r="C421" s="347" t="s">
        <v>458</v>
      </c>
      <c r="D421" s="271"/>
      <c r="E421" s="271" t="s">
        <v>459</v>
      </c>
      <c r="F421" s="272"/>
      <c r="G421" s="273">
        <v>1700000</v>
      </c>
      <c r="H421" s="273">
        <f>F421*G421</f>
        <v>0</v>
      </c>
      <c r="I421" s="273">
        <v>0</v>
      </c>
      <c r="J421" s="273">
        <f>F421*I421</f>
        <v>0</v>
      </c>
      <c r="K421" s="273">
        <f>G421+I421</f>
        <v>1700000</v>
      </c>
      <c r="L421" s="274">
        <f>F421*K421</f>
        <v>0</v>
      </c>
      <c r="M421" s="275"/>
      <c r="O421" s="277"/>
      <c r="P421" s="278"/>
    </row>
    <row r="422" spans="1:16" s="286" customFormat="1" ht="18" hidden="1" customHeight="1">
      <c r="A422" s="267"/>
      <c r="B422" s="295"/>
      <c r="C422" s="359"/>
      <c r="D422" s="281"/>
      <c r="E422" s="281"/>
      <c r="F422" s="282"/>
      <c r="G422" s="283"/>
      <c r="H422" s="283"/>
      <c r="I422" s="283"/>
      <c r="J422" s="283"/>
      <c r="K422" s="283"/>
      <c r="L422" s="284"/>
      <c r="M422" s="285"/>
      <c r="O422" s="287"/>
      <c r="P422" s="288"/>
    </row>
    <row r="423" spans="1:16" ht="18" customHeight="1">
      <c r="A423" s="9"/>
      <c r="B423" s="11" t="s">
        <v>13</v>
      </c>
      <c r="C423" s="9"/>
      <c r="D423" s="4"/>
      <c r="E423" s="4"/>
      <c r="F423" s="44"/>
      <c r="G423" s="42"/>
      <c r="H423" s="42">
        <f>SUM(H354:H421)</f>
        <v>18526000</v>
      </c>
      <c r="I423" s="42"/>
      <c r="J423" s="42">
        <f>SUM(J354:J421)</f>
        <v>22800000</v>
      </c>
      <c r="K423" s="42"/>
      <c r="L423" s="42">
        <f>SUM(L354:L421)</f>
        <v>41326000</v>
      </c>
      <c r="M423" s="176"/>
    </row>
    <row r="424" spans="1:16" ht="18" hidden="1" customHeight="1">
      <c r="A424" s="9"/>
      <c r="B424" s="11"/>
      <c r="C424" s="9"/>
      <c r="D424" s="4"/>
      <c r="E424" s="4"/>
      <c r="F424" s="44"/>
      <c r="G424" s="42"/>
      <c r="H424" s="42"/>
      <c r="I424" s="42"/>
      <c r="J424" s="42"/>
      <c r="K424" s="42"/>
      <c r="L424" s="43"/>
      <c r="M424" s="176"/>
    </row>
    <row r="425" spans="1:16" ht="18" hidden="1" customHeight="1">
      <c r="A425" s="9">
        <v>-1</v>
      </c>
      <c r="B425" s="11" t="s">
        <v>453</v>
      </c>
      <c r="C425" s="9"/>
      <c r="D425" s="4"/>
      <c r="E425" s="4"/>
      <c r="F425" s="44"/>
      <c r="G425" s="42"/>
      <c r="H425" s="42"/>
      <c r="I425" s="42"/>
      <c r="J425" s="42"/>
      <c r="K425" s="42"/>
      <c r="L425" s="43"/>
      <c r="M425" s="176"/>
    </row>
    <row r="426" spans="1:16" ht="18" hidden="1" customHeight="1">
      <c r="A426" s="9" t="s">
        <v>429</v>
      </c>
      <c r="B426" s="337" t="s">
        <v>430</v>
      </c>
      <c r="C426" s="9" t="s">
        <v>434</v>
      </c>
      <c r="D426" s="4" t="s">
        <v>441</v>
      </c>
      <c r="E426" s="4" t="s">
        <v>435</v>
      </c>
      <c r="F426" s="44"/>
      <c r="G426" s="24"/>
      <c r="H426" s="24"/>
      <c r="I426" s="24"/>
      <c r="J426" s="24"/>
      <c r="K426" s="24"/>
      <c r="L426" s="25">
        <v>7900000</v>
      </c>
      <c r="M426" s="354" t="s">
        <v>452</v>
      </c>
    </row>
    <row r="427" spans="1:16" ht="18" hidden="1" customHeight="1">
      <c r="A427" s="9" t="s">
        <v>429</v>
      </c>
      <c r="B427" s="337" t="s">
        <v>432</v>
      </c>
      <c r="C427" s="9" t="s">
        <v>460</v>
      </c>
      <c r="D427" s="4"/>
      <c r="E427" s="4" t="s">
        <v>435</v>
      </c>
      <c r="F427" s="44"/>
      <c r="G427" s="24"/>
      <c r="H427" s="24"/>
      <c r="I427" s="24"/>
      <c r="J427" s="24"/>
      <c r="K427" s="24"/>
      <c r="L427" s="25">
        <v>10400000</v>
      </c>
      <c r="M427" s="354" t="s">
        <v>452</v>
      </c>
    </row>
    <row r="428" spans="1:16" ht="18" hidden="1" customHeight="1">
      <c r="A428" s="9" t="s">
        <v>431</v>
      </c>
      <c r="B428" s="337" t="s">
        <v>443</v>
      </c>
      <c r="C428" s="9"/>
      <c r="D428" s="4"/>
      <c r="E428" s="4" t="s">
        <v>436</v>
      </c>
      <c r="F428" s="44"/>
      <c r="G428" s="24"/>
      <c r="H428" s="24"/>
      <c r="I428" s="24"/>
      <c r="J428" s="24"/>
      <c r="K428" s="24"/>
      <c r="L428" s="25">
        <v>11000000</v>
      </c>
      <c r="M428" s="354" t="s">
        <v>452</v>
      </c>
    </row>
    <row r="429" spans="1:16" ht="18" hidden="1" customHeight="1">
      <c r="A429" s="9" t="s">
        <v>429</v>
      </c>
      <c r="B429" s="337" t="s">
        <v>433</v>
      </c>
      <c r="C429" s="9"/>
      <c r="D429" s="4"/>
      <c r="E429" s="4" t="s">
        <v>451</v>
      </c>
      <c r="F429" s="353">
        <v>0</v>
      </c>
      <c r="G429" s="24"/>
      <c r="H429" s="24"/>
      <c r="I429" s="24"/>
      <c r="J429" s="24"/>
      <c r="K429" s="24"/>
      <c r="L429" s="338">
        <v>0</v>
      </c>
      <c r="M429" s="354" t="s">
        <v>452</v>
      </c>
    </row>
    <row r="430" spans="1:16" ht="18" customHeight="1">
      <c r="A430" s="9"/>
      <c r="B430" s="10"/>
      <c r="C430" s="9"/>
      <c r="D430" s="4"/>
      <c r="E430" s="4"/>
      <c r="F430" s="44"/>
      <c r="G430" s="24"/>
      <c r="H430" s="24"/>
      <c r="I430" s="24"/>
      <c r="J430" s="34"/>
      <c r="K430" s="24"/>
      <c r="L430" s="25"/>
      <c r="M430" s="176"/>
    </row>
    <row r="431" spans="1:16" ht="18" customHeight="1">
      <c r="A431" s="249"/>
      <c r="B431" s="249" t="s">
        <v>68</v>
      </c>
      <c r="C431" s="249"/>
      <c r="D431" s="250"/>
      <c r="E431" s="250"/>
      <c r="F431" s="251"/>
      <c r="G431" s="252"/>
      <c r="H431" s="266">
        <f>H69+H423+H351+H339+H323+H314+H265+H215+H193+H101+H84</f>
        <v>106387600</v>
      </c>
      <c r="I431" s="266"/>
      <c r="J431" s="266">
        <f>J69+J423+J351+J339+J323+J314+J265+J215+J193+J101+J84</f>
        <v>77004200</v>
      </c>
      <c r="K431" s="266"/>
      <c r="L431" s="266">
        <f>L69+L423+L351+L339+L323+L314+L265+L215+L193+L101+L84</f>
        <v>183114800</v>
      </c>
      <c r="M431" s="253"/>
    </row>
    <row r="432" spans="1:16" ht="18" customHeight="1">
      <c r="A432" s="9"/>
      <c r="B432" s="10"/>
      <c r="C432" s="9"/>
      <c r="D432" s="4"/>
      <c r="E432" s="4"/>
      <c r="F432" s="5"/>
      <c r="G432" s="6"/>
      <c r="H432" s="6"/>
      <c r="I432" s="6"/>
      <c r="J432" s="6"/>
      <c r="K432" s="6"/>
      <c r="L432" s="7"/>
      <c r="M432" s="176"/>
    </row>
    <row r="433" spans="1:13" ht="18" customHeight="1">
      <c r="A433" s="9"/>
      <c r="B433" s="10"/>
      <c r="C433" s="9"/>
      <c r="D433" s="4"/>
      <c r="E433" s="4"/>
      <c r="F433" s="5"/>
      <c r="G433" s="6"/>
      <c r="H433" s="6"/>
      <c r="I433" s="6"/>
      <c r="J433" s="55"/>
      <c r="K433" s="6"/>
      <c r="L433" s="7"/>
      <c r="M433" s="176"/>
    </row>
    <row r="452" spans="3:3" ht="19.5" customHeight="1">
      <c r="C452" s="56" t="s">
        <v>380</v>
      </c>
    </row>
  </sheetData>
  <autoFilter ref="A4:M433" xr:uid="{00000000-0009-0000-0000-000002000000}"/>
  <mergeCells count="12">
    <mergeCell ref="Q53:Q54"/>
    <mergeCell ref="M2:M3"/>
    <mergeCell ref="A1:M1"/>
    <mergeCell ref="A2:A3"/>
    <mergeCell ref="B2:B3"/>
    <mergeCell ref="C2:C3"/>
    <mergeCell ref="D2:D3"/>
    <mergeCell ref="E2:E3"/>
    <mergeCell ref="F2:F3"/>
    <mergeCell ref="G2:H2"/>
    <mergeCell ref="I2:J2"/>
    <mergeCell ref="K2:L2"/>
  </mergeCells>
  <phoneticPr fontId="22" type="noConversion"/>
  <pageMargins left="0.7" right="0.7" top="0.75" bottom="0.75" header="0.3" footer="0.3"/>
  <pageSetup paperSize="8" scale="93" fitToHeight="0" orientation="landscape" r:id="rId1"/>
  <rowBreaks count="9" manualBreakCount="9">
    <brk id="34" max="12" man="1"/>
    <brk id="85" max="12" man="1"/>
    <brk id="102" max="12" man="1"/>
    <brk id="144" max="12" man="1"/>
    <brk id="193" max="12" man="1"/>
    <brk id="216" max="12" man="1"/>
    <brk id="266" max="12" man="1"/>
    <brk id="315" max="12" man="1"/>
    <brk id="352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갑지</vt:lpstr>
      <vt:lpstr> 갑지-1</vt:lpstr>
      <vt:lpstr>상세</vt:lpstr>
      <vt:lpstr>' 갑지-1'!Print_Area</vt:lpstr>
      <vt:lpstr>상세!Print_Area</vt:lpstr>
      <vt:lpstr>' 갑지-1'!Print_Titles</vt:lpstr>
      <vt:lpstr>상세!Print_Titles</vt:lpstr>
    </vt:vector>
  </TitlesOfParts>
  <Company>RIDGE P&amp;C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민제 성</cp:lastModifiedBy>
  <cp:lastPrinted>2024-09-21T08:57:42Z</cp:lastPrinted>
  <dcterms:created xsi:type="dcterms:W3CDTF">1997-06-17T05:19:13Z</dcterms:created>
  <dcterms:modified xsi:type="dcterms:W3CDTF">2024-10-21T15:04:57Z</dcterms:modified>
</cp:coreProperties>
</file>