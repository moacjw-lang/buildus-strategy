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eheewon/Downloads/"/>
    </mc:Choice>
  </mc:AlternateContent>
  <xr:revisionPtr revIDLastSave="0" documentId="8_{C225703A-A0B3-6846-8111-229C0E2E46FA}" xr6:coauthVersionLast="47" xr6:coauthVersionMax="47" xr10:uidLastSave="{00000000-0000-0000-0000-000000000000}"/>
  <bookViews>
    <workbookView xWindow="0" yWindow="620" windowWidth="51200" windowHeight="26500" tabRatio="680" activeTab="2" xr2:uid="{00000000-000D-0000-FFFF-FFFF00000000}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갑지-1'!$A$6:$M$36</definedName>
    <definedName name="_xlnm._FilterDatabase" localSheetId="0" hidden="1">[9]인사자료총집계!#REF!</definedName>
    <definedName name="_xlnm._FilterDatabase" localSheetId="2" hidden="1">상세!$A$4:$M$409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[10]노임이!#REF!</definedName>
    <definedName name="가리" localSheetId="0" hidden="1">[10]노임이!#REF!</definedName>
    <definedName name="가리" localSheetId="2" hidden="1">[10]노임이!#REF!</definedName>
    <definedName name="가리" hidden="1">[10]노임이!#REF!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[11]전기!$B$4:$B$163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견적SHEET" localSheetId="0" hidden="1">{#N/A,#N/A,FALSE,"CCTV"}</definedName>
    <definedName name="견적SHEET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[12]프랜트면허!#REF!</definedName>
    <definedName name="계약의뢰" localSheetId="0" hidden="1">[12]프랜트면허!#REF!</definedName>
    <definedName name="계약의뢰" localSheetId="2" hidden="1">[12]프랜트면허!#REF!</definedName>
    <definedName name="계약의뢰" hidden="1">[12]프랜트면허!#REF!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[13]설계내역서!#REF!</definedName>
    <definedName name="공기1" localSheetId="0" hidden="1">[13]설계내역서!#REF!</definedName>
    <definedName name="공기1" localSheetId="2" hidden="1">[13]설계내역서!#REF!</definedName>
    <definedName name="공기1" hidden="1">[13]설계내역서!#REF!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[14]유림골조!#REF!</definedName>
    <definedName name="공통비" localSheetId="0" hidden="1">[14]유림골조!#REF!</definedName>
    <definedName name="공통비" localSheetId="2" hidden="1">[14]유림골조!#REF!</definedName>
    <definedName name="공통비" hidden="1">[14]유림골조!#REF!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[15]노임이!#REF!</definedName>
    <definedName name="기공" localSheetId="0" hidden="1">[15]노임이!#REF!</definedName>
    <definedName name="기공" localSheetId="2" hidden="1">[15]노임이!#REF!</definedName>
    <definedName name="기공" hidden="1">[15]노임이!#REF!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ㄴㄶ" localSheetId="0" hidden="1">{#N/A,#N/A,FALSE,"집계표"}</definedName>
    <definedName name="ㄴㄶ" hidden="1">{#N/A,#N/A,FALSE,"집계표"}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[16]유림골조!#REF!</definedName>
    <definedName name="ㅁㄴㅁㅇ" localSheetId="0" hidden="1">[16]유림골조!#REF!</definedName>
    <definedName name="ㅁㄴㅁㅇ" localSheetId="2" hidden="1">[16]유림골조!#REF!</definedName>
    <definedName name="ㅁㄴㅁㅇ" hidden="1">[16]유림골조!#REF!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ㅇ" localSheetId="0" hidden="1">{#N/A,#N/A,FALSE,"Sheet1"}</definedName>
    <definedName name="ㅁㅇㅇ" hidden="1">{#N/A,#N/A,FALSE,"Sheet1"}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ㅂ2ㅂ2" localSheetId="0" hidden="1">{#N/A,#N/A,FALSE,"배수1"}</definedName>
    <definedName name="ㅂ2ㅂ2" hidden="1">{#N/A,#N/A,FALSE,"배수1"}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건축2" localSheetId="1" hidden="1">[17]유림골조!#REF!</definedName>
    <definedName name="부대건축2" localSheetId="0" hidden="1">[17]유림골조!#REF!</definedName>
    <definedName name="부대건축2" localSheetId="2" hidden="1">[17]유림골조!#REF!</definedName>
    <definedName name="부대건축2" hidden="1">[17]유림골조!#REF!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[18]내역서!#REF!</definedName>
    <definedName name="ㅅㄱ" localSheetId="0" hidden="1">[18]내역서!#REF!</definedName>
    <definedName name="ㅅㄱ" localSheetId="2" hidden="1">[18]내역서!#REF!</definedName>
    <definedName name="ㅅㄱ" hidden="1">[18]내역서!#REF!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ㅁ" hidden="1">[19]실행철강하도!$A$1:$A$4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[20]추가예산!#REF!</definedName>
    <definedName name="영업외" localSheetId="0" hidden="1">[20]추가예산!#REF!</definedName>
    <definedName name="영업외" localSheetId="2" hidden="1">[20]추가예산!#REF!</definedName>
    <definedName name="영업외" hidden="1">[20]추가예산!#REF!</definedName>
    <definedName name="영업외수" localSheetId="1" hidden="1">[20]추가예산!#REF!</definedName>
    <definedName name="영업외수" localSheetId="0" hidden="1">[20]추가예산!#REF!</definedName>
    <definedName name="영업외수" localSheetId="2" hidden="1">[20]추가예산!#REF!</definedName>
    <definedName name="영업외수" hidden="1">[20]추가예산!#REF!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[21]실행철강하도!$A$1:$A$4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[11]전기!$A$4:$A$163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[22]집계표!#REF!</definedName>
    <definedName name="입찰금액안" localSheetId="0" hidden="1">[22]집계표!#REF!</definedName>
    <definedName name="입찰금액안" localSheetId="2" hidden="1">[22]집계표!#REF!</definedName>
    <definedName name="입찰금액안" hidden="1">[22]집계표!#REF!</definedName>
    <definedName name="ㅇㄳㄹ호" localSheetId="0" hidden="1">{#N/A,#N/A,FALSE,"집계표"}</definedName>
    <definedName name="ㅇㄳㄹ호" hidden="1">{#N/A,#N/A,FALSE,"집계표"}</definedName>
    <definedName name="ㅇㄶ" localSheetId="0" hidden="1">{#N/A,#N/A,FALSE,"표지"}</definedName>
    <definedName name="ㅇㄶ" hidden="1">{#N/A,#N/A,FALSE,"표지"}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ㄷㄳㅈㄷ" localSheetId="0" hidden="1">{#N/A,#N/A,FALSE,"Sheet6"}</definedName>
    <definedName name="ㅈㄷㄳㅈㄷ" hidden="1">{#N/A,#N/A,FALSE,"Sheet6"}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[23]입찰안!#REF!</definedName>
    <definedName name="조사가" localSheetId="0" hidden="1">[23]입찰안!#REF!</definedName>
    <definedName name="조사가" localSheetId="2" hidden="1">[23]입찰안!#REF!</definedName>
    <definedName name="조사가" hidden="1">[23]입찰안!#REF!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[24]설계내역서!#REF!</definedName>
    <definedName name="충주" localSheetId="0" hidden="1">[24]설계내역서!#REF!</definedName>
    <definedName name="충주" localSheetId="2" hidden="1">[24]설계내역서!#REF!</definedName>
    <definedName name="충주" hidden="1">[24]설계내역서!#REF!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ㅋㅀ" localSheetId="0" hidden="1">{#N/A,#N/A,FALSE,"집계표"}</definedName>
    <definedName name="ㅌㅋㅀ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ㅌㄾㅎ" localSheetId="0" hidden="1">{#N/A,#N/A,FALSE,"집계표"}</definedName>
    <definedName name="ㅌㄾㅎ" hidden="1">{#N/A,#N/A,FALSE,"집계표"}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ㅕㅓ" localSheetId="0" hidden="1">{#N/A,#N/A,FALSE,"집계표"}</definedName>
    <definedName name="ㅎㅕㅓ" hidden="1">{#N/A,#N/A,FALSE,"집계표"}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[25]입찰안!#REF!</definedName>
    <definedName name="호ㅓㅕㅏ6ㅅ서ㅛㅓ" localSheetId="0" hidden="1">[25]입찰안!#REF!</definedName>
    <definedName name="호ㅓㅕㅏ6ㅅ서ㅛㅓ" localSheetId="2" hidden="1">[25]입찰안!#REF!</definedName>
    <definedName name="호ㅓㅕㅏ6ㅅ서ㅛㅓ" hidden="1">[25]입찰안!#REF!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[19]실행철강하도!$A$1:$A$4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[26]집계표!#REF!</definedName>
    <definedName name="ㅔㅔ" localSheetId="0" hidden="1">[26]집계표!#REF!</definedName>
    <definedName name="ㅔㅔ" localSheetId="2" hidden="1">[26]집계표!#REF!</definedName>
    <definedName name="ㅔㅔ" hidden="1">[26]집계표!#REF!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ㅀㅅ" localSheetId="0" hidden="1">{#N/A,#N/A,FALSE,"집계표"}</definedName>
    <definedName name="ㅗㅓㅀㅅ" hidden="1">{#N/A,#N/A,FALSE,"집계표"}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ㄳㄳㄳ" localSheetId="0" hidden="1">{"'용역비'!$A$4:$C$8"}</definedName>
    <definedName name="ㄳㄳㄳㄳ" hidden="1">{"'용역비'!$A$4:$C$8"}</definedName>
    <definedName name="ㄶ" localSheetId="0" hidden="1">{#N/A,#N/A,FALSE,"집계표"}</definedName>
    <definedName name="ㄶ" hidden="1">{#N/A,#N/A,FALSE,"집계표"}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ab" hidden="1">1</definedName>
    <definedName name="abcd" localSheetId="1" hidden="1">[27]노임이!#REF!</definedName>
    <definedName name="abcd" localSheetId="0" hidden="1">[27]노임이!#REF!</definedName>
    <definedName name="abcd" localSheetId="2" hidden="1">[27]노임이!#REF!</definedName>
    <definedName name="abcd" hidden="1">[27]노임이!#REF!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[28]GAEYO!#REF!</definedName>
    <definedName name="ACDA" localSheetId="0" hidden="1">[28]GAEYO!#REF!</definedName>
    <definedName name="ACDA" localSheetId="2" hidden="1">[28]GAEYO!#REF!</definedName>
    <definedName name="ACDA" hidden="1">[28]GAEYO!#REF!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[10]노임이!#REF!</definedName>
    <definedName name="dkdkjf" localSheetId="0" hidden="1">[10]노임이!#REF!</definedName>
    <definedName name="dkdkjf" localSheetId="2" hidden="1">[10]노임이!#REF!</definedName>
    <definedName name="dkdkjf" hidden="1">[10]노임이!#REF!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ㅗ" localSheetId="0" hidden="1">{#N/A,#N/A,FALSE,"집계표"}</definedName>
    <definedName name="fgㅗ" hidden="1">{#N/A,#N/A,FALSE,"집계표"}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gdfg" localSheetId="1" hidden="1">[29]차액보증!#REF!</definedName>
    <definedName name="gfgdfg" localSheetId="0" hidden="1">[29]차액보증!#REF!</definedName>
    <definedName name="gfgdfg" localSheetId="2" hidden="1">[29]차액보증!#REF!</definedName>
    <definedName name="gfgdfg" hidden="1">[29]차액보증!#REF!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갑지-1'!$A$1:$M$36</definedName>
    <definedName name="_xlnm.Print_Area" localSheetId="2">상세!$A$1:$M$409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[30]실행철강하도!$A$1:$A$4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ㅗ" localSheetId="0" hidden="1">{#N/A,#N/A,FALSE,"집계표"}</definedName>
    <definedName name="swㅗ" hidden="1">{#N/A,#N/A,FALSE,"집계표"}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[31]실행철강하도!$A$1:$A$4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7" i="23313" l="1"/>
  <c r="F350" i="23313"/>
  <c r="F354" i="23313"/>
  <c r="K354" i="23313"/>
  <c r="L354" i="23313" s="1"/>
  <c r="J354" i="23313"/>
  <c r="H354" i="23313"/>
  <c r="K349" i="23313"/>
  <c r="L349" i="23313" s="1"/>
  <c r="J349" i="23313"/>
  <c r="H349" i="23313"/>
  <c r="K69" i="23313"/>
  <c r="L69" i="23313" s="1"/>
  <c r="J69" i="23313"/>
  <c r="H69" i="23313"/>
  <c r="K153" i="23313"/>
  <c r="L153" i="23313" s="1"/>
  <c r="J153" i="23313"/>
  <c r="H153" i="23313"/>
  <c r="K130" i="23313"/>
  <c r="L130" i="23313" s="1"/>
  <c r="J130" i="23313"/>
  <c r="H130" i="23313"/>
  <c r="K164" i="23313"/>
  <c r="L164" i="23313" s="1"/>
  <c r="J164" i="23313"/>
  <c r="H164" i="23313"/>
  <c r="K287" i="23313"/>
  <c r="L287" i="23313" s="1"/>
  <c r="J287" i="23313"/>
  <c r="H287" i="23313"/>
  <c r="J316" i="23313"/>
  <c r="F329" i="23313"/>
  <c r="F328" i="23313"/>
  <c r="F327" i="23313"/>
  <c r="F326" i="23313"/>
  <c r="F336" i="23313"/>
  <c r="F341" i="23313"/>
  <c r="F366" i="23313"/>
  <c r="K391" i="23313"/>
  <c r="L391" i="23313" s="1"/>
  <c r="J391" i="23313"/>
  <c r="H391" i="23313"/>
  <c r="F388" i="23313"/>
  <c r="F387" i="23313"/>
  <c r="F85" i="23313"/>
  <c r="K397" i="23313"/>
  <c r="L397" i="23313" s="1"/>
  <c r="J397" i="23313"/>
  <c r="H397" i="23313"/>
  <c r="K398" i="23313"/>
  <c r="L398" i="23313" s="1"/>
  <c r="J398" i="23313"/>
  <c r="H398" i="23313"/>
  <c r="K253" i="23313"/>
  <c r="L253" i="23313" s="1"/>
  <c r="J253" i="23313"/>
  <c r="H253" i="23313"/>
  <c r="K223" i="23313"/>
  <c r="L223" i="23313" s="1"/>
  <c r="J223" i="23313"/>
  <c r="H223" i="23313"/>
  <c r="F231" i="23313"/>
  <c r="K217" i="23313"/>
  <c r="L217" i="23313" s="1"/>
  <c r="J217" i="23313"/>
  <c r="H217" i="23313"/>
  <c r="K145" i="23313"/>
  <c r="L145" i="23313" s="1"/>
  <c r="J145" i="23313"/>
  <c r="H145" i="23313"/>
  <c r="K179" i="23313"/>
  <c r="L179" i="23313" s="1"/>
  <c r="J179" i="23313"/>
  <c r="H179" i="23313"/>
  <c r="F178" i="23313"/>
  <c r="K178" i="23313"/>
  <c r="K177" i="23313"/>
  <c r="L177" i="23313" s="1"/>
  <c r="J177" i="23313"/>
  <c r="H177" i="23313"/>
  <c r="K168" i="23313"/>
  <c r="L168" i="23313" s="1"/>
  <c r="J168" i="23313"/>
  <c r="H168" i="23313"/>
  <c r="K167" i="23313"/>
  <c r="L167" i="23313" s="1"/>
  <c r="J167" i="23313"/>
  <c r="H167" i="23313"/>
  <c r="K166" i="23313"/>
  <c r="L166" i="23313" s="1"/>
  <c r="J166" i="23313"/>
  <c r="H166" i="23313"/>
  <c r="K165" i="23313"/>
  <c r="L165" i="23313" s="1"/>
  <c r="J165" i="23313"/>
  <c r="H165" i="23313"/>
  <c r="K154" i="23313"/>
  <c r="L154" i="23313" s="1"/>
  <c r="J154" i="23313"/>
  <c r="H154" i="23313"/>
  <c r="K157" i="23313"/>
  <c r="L157" i="23313" s="1"/>
  <c r="J157" i="23313"/>
  <c r="H157" i="23313"/>
  <c r="K156" i="23313"/>
  <c r="K155" i="23313"/>
  <c r="L155" i="23313" s="1"/>
  <c r="J155" i="23313"/>
  <c r="H155" i="23313"/>
  <c r="K158" i="23313"/>
  <c r="L158" i="23313" s="1"/>
  <c r="J158" i="23313"/>
  <c r="H158" i="23313"/>
  <c r="K150" i="23313"/>
  <c r="L150" i="23313" s="1"/>
  <c r="J150" i="23313"/>
  <c r="H150" i="23313"/>
  <c r="H148" i="23313"/>
  <c r="J148" i="23313"/>
  <c r="K148" i="23313"/>
  <c r="L148" i="23313" s="1"/>
  <c r="K149" i="23313"/>
  <c r="L149" i="23313" s="1"/>
  <c r="J149" i="23313"/>
  <c r="H149" i="23313"/>
  <c r="K144" i="23313"/>
  <c r="L144" i="23313" s="1"/>
  <c r="J144" i="23313"/>
  <c r="H144" i="23313"/>
  <c r="K143" i="23313"/>
  <c r="L143" i="23313" s="1"/>
  <c r="J143" i="23313"/>
  <c r="H143" i="23313"/>
  <c r="K137" i="23313"/>
  <c r="L137" i="23313" s="1"/>
  <c r="J137" i="23313"/>
  <c r="H137" i="23313"/>
  <c r="K136" i="23313"/>
  <c r="L136" i="23313" s="1"/>
  <c r="J136" i="23313"/>
  <c r="H136" i="23313"/>
  <c r="K132" i="23313"/>
  <c r="L132" i="23313" s="1"/>
  <c r="J132" i="23313"/>
  <c r="H132" i="23313"/>
  <c r="K123" i="23313"/>
  <c r="L123" i="23313" s="1"/>
  <c r="J123" i="23313"/>
  <c r="H123" i="23313"/>
  <c r="K117" i="23313"/>
  <c r="L117" i="23313" s="1"/>
  <c r="J117" i="23313"/>
  <c r="H117" i="23313"/>
  <c r="K116" i="23313"/>
  <c r="L116" i="23313" s="1"/>
  <c r="J116" i="23313"/>
  <c r="H116" i="23313"/>
  <c r="K115" i="23313"/>
  <c r="L115" i="23313" s="1"/>
  <c r="J115" i="23313"/>
  <c r="H115" i="23313"/>
  <c r="F114" i="23313"/>
  <c r="K114" i="23313"/>
  <c r="K113" i="23313"/>
  <c r="L113" i="23313" s="1"/>
  <c r="J113" i="23313"/>
  <c r="H113" i="23313"/>
  <c r="K112" i="23313"/>
  <c r="L112" i="23313" s="1"/>
  <c r="J112" i="23313"/>
  <c r="H112" i="23313"/>
  <c r="K111" i="23313"/>
  <c r="L111" i="23313" s="1"/>
  <c r="J111" i="23313"/>
  <c r="H111" i="23313"/>
  <c r="K110" i="23313"/>
  <c r="L110" i="23313" s="1"/>
  <c r="J110" i="23313"/>
  <c r="H110" i="23313"/>
  <c r="K109" i="23313"/>
  <c r="L109" i="23313" s="1"/>
  <c r="J109" i="23313"/>
  <c r="H109" i="23313"/>
  <c r="K108" i="23313"/>
  <c r="L108" i="23313" s="1"/>
  <c r="J108" i="23313"/>
  <c r="H108" i="23313"/>
  <c r="K107" i="23313"/>
  <c r="L107" i="23313" s="1"/>
  <c r="J107" i="23313"/>
  <c r="H107" i="23313"/>
  <c r="K106" i="23313"/>
  <c r="L106" i="23313" s="1"/>
  <c r="J106" i="23313"/>
  <c r="H106" i="23313"/>
  <c r="K105" i="23313"/>
  <c r="L105" i="23313" s="1"/>
  <c r="J105" i="23313"/>
  <c r="H105" i="23313"/>
  <c r="J104" i="23313"/>
  <c r="K104" i="23313"/>
  <c r="L104" i="23313" s="1"/>
  <c r="H104" i="23313"/>
  <c r="K103" i="23313"/>
  <c r="L103" i="23313" s="1"/>
  <c r="J103" i="23313"/>
  <c r="H103" i="23313"/>
  <c r="K102" i="23313"/>
  <c r="L102" i="23313" s="1"/>
  <c r="J102" i="23313"/>
  <c r="H102" i="23313"/>
  <c r="K101" i="23313"/>
  <c r="L101" i="23313" s="1"/>
  <c r="J101" i="23313"/>
  <c r="H101" i="23313"/>
  <c r="K99" i="23313"/>
  <c r="L99" i="23313" s="1"/>
  <c r="J99" i="23313"/>
  <c r="H99" i="23313"/>
  <c r="K96" i="23313"/>
  <c r="L96" i="23313" s="1"/>
  <c r="J96" i="23313"/>
  <c r="H96" i="23313"/>
  <c r="H83" i="23313"/>
  <c r="J83" i="23313"/>
  <c r="K83" i="23313"/>
  <c r="L83" i="23313"/>
  <c r="K82" i="23313"/>
  <c r="K22" i="23313"/>
  <c r="L22" i="23313" s="1"/>
  <c r="J22" i="23313"/>
  <c r="H22" i="23313"/>
  <c r="K64" i="23313"/>
  <c r="L64" i="23313" s="1"/>
  <c r="J64" i="23313"/>
  <c r="H64" i="23313"/>
  <c r="K60" i="23313"/>
  <c r="L60" i="23313" s="1"/>
  <c r="J60" i="23313"/>
  <c r="H60" i="23313"/>
  <c r="F45" i="23313"/>
  <c r="K353" i="23313"/>
  <c r="L353" i="23313" s="1"/>
  <c r="J353" i="23313"/>
  <c r="H353" i="23313"/>
  <c r="K227" i="23313"/>
  <c r="L227" i="23313" s="1"/>
  <c r="J227" i="23313"/>
  <c r="H227" i="23313"/>
  <c r="K199" i="23313"/>
  <c r="L199" i="23313" s="1"/>
  <c r="J199" i="23313"/>
  <c r="H199" i="23313"/>
  <c r="K250" i="23313"/>
  <c r="L250" i="23313" s="1"/>
  <c r="J250" i="23313"/>
  <c r="H250" i="23313"/>
  <c r="K249" i="23313"/>
  <c r="L249" i="23313" s="1"/>
  <c r="J249" i="23313"/>
  <c r="H249" i="23313"/>
  <c r="K197" i="23313"/>
  <c r="L197" i="23313" s="1"/>
  <c r="J197" i="23313"/>
  <c r="H197" i="23313"/>
  <c r="K198" i="23313"/>
  <c r="L198" i="23313" s="1"/>
  <c r="J198" i="23313"/>
  <c r="H198" i="23313"/>
  <c r="K230" i="23313"/>
  <c r="L230" i="23313" s="1"/>
  <c r="J230" i="23313"/>
  <c r="H230" i="23313"/>
  <c r="K229" i="23313"/>
  <c r="L229" i="23313" s="1"/>
  <c r="J229" i="23313"/>
  <c r="H229" i="23313"/>
  <c r="K228" i="23313"/>
  <c r="L228" i="23313" s="1"/>
  <c r="J228" i="23313"/>
  <c r="H228" i="23313"/>
  <c r="K19" i="23313"/>
  <c r="L19" i="23313" s="1"/>
  <c r="J19" i="23313"/>
  <c r="H19" i="23313"/>
  <c r="K20" i="23313"/>
  <c r="L20" i="23313" s="1"/>
  <c r="J20" i="23313"/>
  <c r="H20" i="23313"/>
  <c r="K367" i="23313"/>
  <c r="G368" i="23313"/>
  <c r="K368" i="23313" s="1"/>
  <c r="K351" i="23313"/>
  <c r="K352" i="23313"/>
  <c r="L352" i="23313" s="1"/>
  <c r="J352" i="23313"/>
  <c r="H352" i="23313"/>
  <c r="K350" i="23313"/>
  <c r="K127" i="23313"/>
  <c r="L127" i="23313" s="1"/>
  <c r="J127" i="23313"/>
  <c r="H127" i="23313"/>
  <c r="K252" i="23313"/>
  <c r="L252" i="23313" s="1"/>
  <c r="J252" i="23313"/>
  <c r="H252" i="23313"/>
  <c r="K251" i="23313"/>
  <c r="K247" i="23313"/>
  <c r="L247" i="23313" s="1"/>
  <c r="J247" i="23313"/>
  <c r="H247" i="23313"/>
  <c r="K84" i="23313"/>
  <c r="L84" i="23313" s="1"/>
  <c r="J84" i="23313"/>
  <c r="H84" i="23313"/>
  <c r="K301" i="23313"/>
  <c r="L301" i="23313" s="1"/>
  <c r="J301" i="23313"/>
  <c r="H301" i="23313"/>
  <c r="K296" i="23313"/>
  <c r="L296" i="23313" s="1"/>
  <c r="J296" i="23313"/>
  <c r="H296" i="23313"/>
  <c r="K378" i="23313"/>
  <c r="L378" i="23313" s="1"/>
  <c r="J378" i="23313"/>
  <c r="H378" i="23313"/>
  <c r="K396" i="23313"/>
  <c r="L396" i="23313" s="1"/>
  <c r="J396" i="23313"/>
  <c r="H396" i="23313"/>
  <c r="K122" i="23313"/>
  <c r="L122" i="23313" s="1"/>
  <c r="J122" i="23313"/>
  <c r="H122" i="23313"/>
  <c r="K163" i="23313"/>
  <c r="L163" i="23313" s="1"/>
  <c r="J163" i="23313"/>
  <c r="H163" i="23313"/>
  <c r="K162" i="23313"/>
  <c r="L162" i="23313" s="1"/>
  <c r="J162" i="23313"/>
  <c r="H162" i="23313"/>
  <c r="K133" i="23313"/>
  <c r="L133" i="23313" s="1"/>
  <c r="J133" i="23313"/>
  <c r="H133" i="23313"/>
  <c r="K138" i="23313"/>
  <c r="L138" i="23313" s="1"/>
  <c r="J138" i="23313"/>
  <c r="H138" i="23313"/>
  <c r="K135" i="23313"/>
  <c r="L135" i="23313" s="1"/>
  <c r="J135" i="23313"/>
  <c r="H135" i="23313"/>
  <c r="Q276" i="23313"/>
  <c r="K290" i="23313"/>
  <c r="L290" i="23313" s="1"/>
  <c r="J290" i="23313"/>
  <c r="H290" i="23313"/>
  <c r="K306" i="23313"/>
  <c r="L306" i="23313" s="1"/>
  <c r="J306" i="23313"/>
  <c r="H306" i="23313"/>
  <c r="K319" i="23313"/>
  <c r="L319" i="23313" s="1"/>
  <c r="J319" i="23313"/>
  <c r="H319" i="23313"/>
  <c r="J178" i="23313" l="1"/>
  <c r="H178" i="23313"/>
  <c r="L178" i="23313"/>
  <c r="J251" i="23313"/>
  <c r="H251" i="23313"/>
  <c r="L156" i="23313"/>
  <c r="J156" i="23313"/>
  <c r="H156" i="23313"/>
  <c r="J114" i="23313"/>
  <c r="H114" i="23313"/>
  <c r="L114" i="23313"/>
  <c r="L82" i="23313"/>
  <c r="J82" i="23313"/>
  <c r="H82" i="23313"/>
  <c r="L368" i="23313"/>
  <c r="L251" i="23313"/>
  <c r="L367" i="23313"/>
  <c r="J367" i="23313"/>
  <c r="H367" i="23313"/>
  <c r="J368" i="23313"/>
  <c r="H368" i="23313"/>
  <c r="L351" i="23313"/>
  <c r="J351" i="23313"/>
  <c r="H351" i="23313"/>
  <c r="L350" i="23313"/>
  <c r="J350" i="23313"/>
  <c r="H350" i="23313"/>
  <c r="K54" i="23313"/>
  <c r="L54" i="23313" s="1"/>
  <c r="J54" i="23313"/>
  <c r="H54" i="23313"/>
  <c r="F49" i="23313"/>
  <c r="F26" i="23313"/>
  <c r="K171" i="23313" l="1"/>
  <c r="L171" i="23313" s="1"/>
  <c r="J171" i="23313"/>
  <c r="K172" i="23313"/>
  <c r="L172" i="23313" s="1"/>
  <c r="J172" i="23313"/>
  <c r="H171" i="23313"/>
  <c r="H172" i="23313"/>
  <c r="J63" i="23313" l="1"/>
  <c r="K63" i="23313"/>
  <c r="L63" i="23313" s="1"/>
  <c r="K386" i="23313" l="1"/>
  <c r="L386" i="23313" s="1"/>
  <c r="J386" i="23313"/>
  <c r="H386" i="23313"/>
  <c r="K282" i="23313" l="1"/>
  <c r="L282" i="23313" s="1"/>
  <c r="K283" i="23313"/>
  <c r="L283" i="23313" s="1"/>
  <c r="J283" i="23313"/>
  <c r="H283" i="23313"/>
  <c r="J282" i="23313"/>
  <c r="K276" i="23313"/>
  <c r="L276" i="23313" s="1"/>
  <c r="J276" i="23313"/>
  <c r="H276" i="23313"/>
  <c r="K206" i="23313"/>
  <c r="L206" i="23313" s="1"/>
  <c r="J206" i="23313"/>
  <c r="H206" i="23313"/>
  <c r="K232" i="23313"/>
  <c r="L232" i="23313" s="1"/>
  <c r="J232" i="23313"/>
  <c r="H232" i="23313"/>
  <c r="K231" i="23313"/>
  <c r="K226" i="23313"/>
  <c r="L226" i="23313" s="1"/>
  <c r="J226" i="23313"/>
  <c r="H226" i="23313"/>
  <c r="K196" i="23313"/>
  <c r="L196" i="23313" s="1"/>
  <c r="J196" i="23313"/>
  <c r="H196" i="23313"/>
  <c r="K192" i="23313"/>
  <c r="L192" i="23313" s="1"/>
  <c r="J192" i="23313"/>
  <c r="H192" i="23313"/>
  <c r="K248" i="23313"/>
  <c r="L248" i="23313" s="1"/>
  <c r="J248" i="23313"/>
  <c r="H248" i="23313"/>
  <c r="K191" i="23313"/>
  <c r="L191" i="23313" s="1"/>
  <c r="J191" i="23313"/>
  <c r="H191" i="23313"/>
  <c r="K142" i="23313"/>
  <c r="L142" i="23313" s="1"/>
  <c r="J142" i="23313"/>
  <c r="H142" i="23313"/>
  <c r="K175" i="23313"/>
  <c r="L175" i="23313" s="1"/>
  <c r="J175" i="23313"/>
  <c r="H175" i="23313"/>
  <c r="K174" i="23313"/>
  <c r="L174" i="23313" s="1"/>
  <c r="J174" i="23313"/>
  <c r="H174" i="23313"/>
  <c r="K173" i="23313"/>
  <c r="L173" i="23313" s="1"/>
  <c r="J173" i="23313"/>
  <c r="H173" i="23313"/>
  <c r="K141" i="23313"/>
  <c r="L141" i="23313" s="1"/>
  <c r="J141" i="23313"/>
  <c r="H141" i="23313"/>
  <c r="K119" i="23313"/>
  <c r="L119" i="23313" s="1"/>
  <c r="J119" i="23313"/>
  <c r="H119" i="23313"/>
  <c r="K118" i="23313"/>
  <c r="L118" i="23313" s="1"/>
  <c r="J118" i="23313"/>
  <c r="H118" i="23313"/>
  <c r="K100" i="23313"/>
  <c r="L100" i="23313" s="1"/>
  <c r="J100" i="23313"/>
  <c r="H100" i="23313"/>
  <c r="K15" i="23313"/>
  <c r="L15" i="23313" s="1"/>
  <c r="J15" i="23313"/>
  <c r="H15" i="23313"/>
  <c r="K62" i="23313"/>
  <c r="L62" i="23313" s="1"/>
  <c r="J62" i="23313"/>
  <c r="K65" i="23313"/>
  <c r="L65" i="23313" s="1"/>
  <c r="J65" i="23313"/>
  <c r="H65" i="23313"/>
  <c r="H62" i="23313"/>
  <c r="H63" i="23313"/>
  <c r="H282" i="23313" l="1"/>
  <c r="L231" i="23313"/>
  <c r="J231" i="23313"/>
  <c r="H231" i="23313"/>
  <c r="K188" i="23313" l="1"/>
  <c r="L188" i="23313" s="1"/>
  <c r="J188" i="23313"/>
  <c r="H188" i="23313"/>
  <c r="K348" i="23313" l="1"/>
  <c r="L348" i="23313" s="1"/>
  <c r="K347" i="23313"/>
  <c r="L347" i="23313" s="1"/>
  <c r="J347" i="23313"/>
  <c r="J348" i="23313"/>
  <c r="H347" i="23313"/>
  <c r="H348" i="23313"/>
  <c r="J78" i="23313"/>
  <c r="J79" i="23313"/>
  <c r="J80" i="23313"/>
  <c r="J81" i="23313"/>
  <c r="J86" i="23313"/>
  <c r="J341" i="23313"/>
  <c r="J340" i="23313"/>
  <c r="J337" i="23313"/>
  <c r="J330" i="23313"/>
  <c r="L356" i="23313" l="1"/>
  <c r="J356" i="23313"/>
  <c r="H356" i="23313"/>
  <c r="H316" i="23313"/>
  <c r="J305" i="23313"/>
  <c r="J314" i="23313"/>
  <c r="K318" i="23313"/>
  <c r="K320" i="23313"/>
  <c r="K317" i="23313"/>
  <c r="K240" i="23313"/>
  <c r="L240" i="23313" s="1"/>
  <c r="J240" i="23313"/>
  <c r="H240" i="23313"/>
  <c r="K257" i="23313"/>
  <c r="L257" i="23313" s="1"/>
  <c r="J257" i="23313"/>
  <c r="H257" i="23313"/>
  <c r="K256" i="23313"/>
  <c r="L256" i="23313" s="1"/>
  <c r="J256" i="23313"/>
  <c r="H256" i="23313"/>
  <c r="K308" i="23313" l="1"/>
  <c r="L308" i="23313" s="1"/>
  <c r="J308" i="23313"/>
  <c r="H308" i="23313"/>
  <c r="K307" i="23313"/>
  <c r="L307" i="23313" s="1"/>
  <c r="J307" i="23313"/>
  <c r="H307" i="23313"/>
  <c r="K316" i="23313"/>
  <c r="L316" i="23313" s="1"/>
  <c r="K395" i="23313" l="1"/>
  <c r="L395" i="23313" s="1"/>
  <c r="J395" i="23313"/>
  <c r="H395" i="23313"/>
  <c r="J333" i="23313"/>
  <c r="K294" i="23313"/>
  <c r="L294" i="23313" s="1"/>
  <c r="J294" i="23313"/>
  <c r="H294" i="23313"/>
  <c r="K299" i="23313"/>
  <c r="L299" i="23313" s="1"/>
  <c r="J299" i="23313"/>
  <c r="H299" i="23313"/>
  <c r="K268" i="23313" l="1"/>
  <c r="L268" i="23313" s="1"/>
  <c r="J268" i="23313"/>
  <c r="H268" i="23313"/>
  <c r="J265" i="23313"/>
  <c r="K264" i="23313"/>
  <c r="L264" i="23313" s="1"/>
  <c r="J264" i="23313"/>
  <c r="H264" i="23313"/>
  <c r="K267" i="23313"/>
  <c r="L267" i="23313" s="1"/>
  <c r="J267" i="23313"/>
  <c r="H267" i="23313"/>
  <c r="J373" i="23313" l="1"/>
  <c r="J376" i="23313"/>
  <c r="J377" i="23313"/>
  <c r="J379" i="23313"/>
  <c r="J380" i="23313"/>
  <c r="J381" i="23313"/>
  <c r="J382" i="23313"/>
  <c r="J383" i="23313"/>
  <c r="J389" i="23313"/>
  <c r="J390" i="23313"/>
  <c r="J392" i="23313"/>
  <c r="J399" i="23313"/>
  <c r="J400" i="23313"/>
  <c r="J401" i="23313"/>
  <c r="J402" i="23313"/>
  <c r="J403" i="23313"/>
  <c r="J404" i="23313"/>
  <c r="J387" i="23313"/>
  <c r="K205" i="23313"/>
  <c r="L205" i="23313" s="1"/>
  <c r="L320" i="23313" l="1"/>
  <c r="J320" i="23313"/>
  <c r="H320" i="23313"/>
  <c r="J281" i="23313"/>
  <c r="K281" i="23313"/>
  <c r="L281" i="23313" s="1"/>
  <c r="K280" i="23313"/>
  <c r="L280" i="23313" s="1"/>
  <c r="J280" i="23313"/>
  <c r="H280" i="23313"/>
  <c r="K388" i="23313"/>
  <c r="J388" i="23313"/>
  <c r="J406" i="23313" s="1"/>
  <c r="H281" i="23313" l="1"/>
  <c r="H388" i="23313"/>
  <c r="L388" i="23313"/>
  <c r="K295" i="23313"/>
  <c r="L295" i="23313" s="1"/>
  <c r="J295" i="23313"/>
  <c r="H295" i="23313"/>
  <c r="K380" i="23313"/>
  <c r="L380" i="23313" s="1"/>
  <c r="H380" i="23313"/>
  <c r="K379" i="23313"/>
  <c r="L379" i="23313" s="1"/>
  <c r="H379" i="23313"/>
  <c r="J336" i="23313"/>
  <c r="K333" i="23313"/>
  <c r="J329" i="23313"/>
  <c r="J327" i="23313"/>
  <c r="J326" i="23313"/>
  <c r="K284" i="23313"/>
  <c r="L284" i="23313" s="1"/>
  <c r="J285" i="23313"/>
  <c r="K285" i="23313"/>
  <c r="L285" i="23313" s="1"/>
  <c r="J284" i="23313"/>
  <c r="H284" i="23313"/>
  <c r="K265" i="23313"/>
  <c r="L265" i="23313" s="1"/>
  <c r="H265" i="23313"/>
  <c r="K263" i="23313"/>
  <c r="L263" i="23313" s="1"/>
  <c r="J263" i="23313"/>
  <c r="H263" i="23313"/>
  <c r="K262" i="23313"/>
  <c r="L262" i="23313" s="1"/>
  <c r="J262" i="23313"/>
  <c r="H262" i="23313"/>
  <c r="K261" i="23313"/>
  <c r="L261" i="23313" s="1"/>
  <c r="J261" i="23313"/>
  <c r="H261" i="23313"/>
  <c r="K201" i="23313"/>
  <c r="L201" i="23313" s="1"/>
  <c r="J201" i="23313"/>
  <c r="H201" i="23313"/>
  <c r="K258" i="23313"/>
  <c r="L258" i="23313" s="1"/>
  <c r="J258" i="23313"/>
  <c r="H258" i="23313"/>
  <c r="J205" i="23313"/>
  <c r="H205" i="23313"/>
  <c r="K204" i="23313"/>
  <c r="L204" i="23313" s="1"/>
  <c r="J204" i="23313"/>
  <c r="H204" i="23313"/>
  <c r="K244" i="23313"/>
  <c r="L244" i="23313" s="1"/>
  <c r="J244" i="23313"/>
  <c r="H244" i="23313"/>
  <c r="K243" i="23313"/>
  <c r="L243" i="23313" s="1"/>
  <c r="J243" i="23313"/>
  <c r="H243" i="23313"/>
  <c r="K242" i="23313"/>
  <c r="H242" i="23313"/>
  <c r="K241" i="23313"/>
  <c r="L241" i="23313" s="1"/>
  <c r="J241" i="23313"/>
  <c r="H241" i="23313"/>
  <c r="K237" i="23313"/>
  <c r="L237" i="23313" s="1"/>
  <c r="J237" i="23313"/>
  <c r="H237" i="23313"/>
  <c r="K236" i="23313"/>
  <c r="K235" i="23313"/>
  <c r="L235" i="23313" s="1"/>
  <c r="J235" i="23313"/>
  <c r="H235" i="23313"/>
  <c r="H221" i="23313"/>
  <c r="K222" i="23313"/>
  <c r="L222" i="23313" s="1"/>
  <c r="J222" i="23313"/>
  <c r="H222" i="23313"/>
  <c r="K221" i="23313"/>
  <c r="K220" i="23313"/>
  <c r="L220" i="23313" s="1"/>
  <c r="J220" i="23313"/>
  <c r="H220" i="23313"/>
  <c r="K216" i="23313"/>
  <c r="L216" i="23313" s="1"/>
  <c r="J216" i="23313"/>
  <c r="H216" i="23313"/>
  <c r="K215" i="23313"/>
  <c r="K214" i="23313"/>
  <c r="L214" i="23313" s="1"/>
  <c r="J214" i="23313"/>
  <c r="H214" i="23313"/>
  <c r="K275" i="23313"/>
  <c r="L275" i="23313" s="1"/>
  <c r="J275" i="23313"/>
  <c r="H275" i="23313"/>
  <c r="H277" i="23313"/>
  <c r="K211" i="23313"/>
  <c r="L211" i="23313" s="1"/>
  <c r="J211" i="23313"/>
  <c r="H211" i="23313"/>
  <c r="K210" i="23313"/>
  <c r="K209" i="23313"/>
  <c r="L209" i="23313" s="1"/>
  <c r="J209" i="23313"/>
  <c r="H209" i="23313"/>
  <c r="K193" i="23313"/>
  <c r="L193" i="23313" s="1"/>
  <c r="J193" i="23313"/>
  <c r="H193" i="23313"/>
  <c r="K190" i="23313"/>
  <c r="L190" i="23313" s="1"/>
  <c r="J190" i="23313"/>
  <c r="H190" i="23313"/>
  <c r="K194" i="23313"/>
  <c r="L194" i="23313" s="1"/>
  <c r="J194" i="23313"/>
  <c r="H194" i="23313"/>
  <c r="K195" i="23313"/>
  <c r="L195" i="23313" s="1"/>
  <c r="J195" i="23313"/>
  <c r="H195" i="23313"/>
  <c r="J202" i="23313"/>
  <c r="K203" i="23313"/>
  <c r="L203" i="23313" s="1"/>
  <c r="J203" i="23313"/>
  <c r="H203" i="23313"/>
  <c r="K202" i="23313"/>
  <c r="K189" i="23313"/>
  <c r="L189" i="23313" s="1"/>
  <c r="J189" i="23313"/>
  <c r="H189" i="23313"/>
  <c r="J124" i="23313"/>
  <c r="K124" i="23313"/>
  <c r="L124" i="23313" s="1"/>
  <c r="H124" i="23313"/>
  <c r="K181" i="23313"/>
  <c r="L181" i="23313" s="1"/>
  <c r="J181" i="23313"/>
  <c r="H181" i="23313"/>
  <c r="J134" i="23313"/>
  <c r="K134" i="23313"/>
  <c r="L134" i="23313" s="1"/>
  <c r="H134" i="23313"/>
  <c r="K161" i="23313"/>
  <c r="L161" i="23313" s="1"/>
  <c r="J161" i="23313"/>
  <c r="H161" i="23313"/>
  <c r="K176" i="23313"/>
  <c r="L176" i="23313" s="1"/>
  <c r="J176" i="23313"/>
  <c r="H176" i="23313"/>
  <c r="J85" i="23313"/>
  <c r="G86" i="23313"/>
  <c r="K340" i="23313"/>
  <c r="L340" i="23313" s="1"/>
  <c r="K328" i="23313"/>
  <c r="K327" i="23313"/>
  <c r="H328" i="23313" l="1"/>
  <c r="J328" i="23313"/>
  <c r="L215" i="23313"/>
  <c r="L210" i="23313"/>
  <c r="H285" i="23313"/>
  <c r="H333" i="23313"/>
  <c r="L333" i="23313"/>
  <c r="L236" i="23313"/>
  <c r="L242" i="23313"/>
  <c r="J242" i="23313"/>
  <c r="H236" i="23313"/>
  <c r="J236" i="23313"/>
  <c r="L221" i="23313"/>
  <c r="J221" i="23313"/>
  <c r="J215" i="23313"/>
  <c r="H215" i="23313"/>
  <c r="H210" i="23313"/>
  <c r="J210" i="23313"/>
  <c r="L202" i="23313"/>
  <c r="H202" i="23313"/>
  <c r="H340" i="23313"/>
  <c r="H327" i="23313"/>
  <c r="L327" i="23313"/>
  <c r="L328" i="23313"/>
  <c r="H403" i="23313"/>
  <c r="H402" i="23313"/>
  <c r="K403" i="23313"/>
  <c r="L403" i="23313" s="1"/>
  <c r="K402" i="23313"/>
  <c r="L402" i="23313" s="1"/>
  <c r="K289" i="23313" l="1"/>
  <c r="L289" i="23313" s="1"/>
  <c r="J289" i="23313"/>
  <c r="H289" i="23313"/>
  <c r="K86" i="23313"/>
  <c r="L86" i="23313" s="1"/>
  <c r="K400" i="23313"/>
  <c r="L400" i="23313" s="1"/>
  <c r="H400" i="23313"/>
  <c r="K401" i="23313"/>
  <c r="L401" i="23313" s="1"/>
  <c r="H401" i="23313"/>
  <c r="K383" i="23313"/>
  <c r="L383" i="23313" s="1"/>
  <c r="H383" i="23313"/>
  <c r="K87" i="23313"/>
  <c r="L87" i="23313" s="1"/>
  <c r="H87" i="23313"/>
  <c r="K66" i="23313"/>
  <c r="L66" i="23313" s="1"/>
  <c r="J66" i="23313"/>
  <c r="H66" i="23313"/>
  <c r="H86" i="23313" l="1"/>
  <c r="K377" i="23313"/>
  <c r="H377" i="23313"/>
  <c r="L317" i="23313"/>
  <c r="J317" i="23313"/>
  <c r="H317" i="23313"/>
  <c r="K315" i="23313"/>
  <c r="L315" i="23313" s="1"/>
  <c r="J315" i="23313"/>
  <c r="H315" i="23313"/>
  <c r="L377" i="23313" l="1"/>
  <c r="J59" i="23313"/>
  <c r="K59" i="23313"/>
  <c r="L59" i="23313" s="1"/>
  <c r="H59" i="23313"/>
  <c r="K298" i="23313"/>
  <c r="L298" i="23313" s="1"/>
  <c r="J298" i="23313"/>
  <c r="H298" i="23313"/>
  <c r="K23" i="23313"/>
  <c r="L23" i="23313" s="1"/>
  <c r="J23" i="23313"/>
  <c r="H23" i="23313"/>
  <c r="K79" i="23313" l="1"/>
  <c r="L79" i="23313" s="1"/>
  <c r="H79" i="23313"/>
  <c r="K300" i="23313" l="1"/>
  <c r="L300" i="23313" s="1"/>
  <c r="J300" i="23313"/>
  <c r="H300" i="23313"/>
  <c r="H72" i="23313"/>
  <c r="J72" i="23313"/>
  <c r="K72" i="23313"/>
  <c r="L72" i="23313" s="1"/>
  <c r="K51" i="23313"/>
  <c r="L51" i="23313" s="1"/>
  <c r="J51" i="23313"/>
  <c r="H51" i="23313"/>
  <c r="K376" i="23313"/>
  <c r="L376" i="23313" s="1"/>
  <c r="H376" i="23313"/>
  <c r="K50" i="23313"/>
  <c r="L50" i="23313" s="1"/>
  <c r="J50" i="23313"/>
  <c r="H50" i="23313"/>
  <c r="K293" i="23313"/>
  <c r="L293" i="23313" s="1"/>
  <c r="J293" i="23313"/>
  <c r="H293" i="23313"/>
  <c r="K286" i="23313"/>
  <c r="L286" i="23313" s="1"/>
  <c r="J286" i="23313"/>
  <c r="H286" i="23313"/>
  <c r="K58" i="23313"/>
  <c r="L58" i="23313" s="1"/>
  <c r="J58" i="23313"/>
  <c r="H58" i="23313"/>
  <c r="K56" i="23313" l="1"/>
  <c r="L56" i="23313" s="1"/>
  <c r="J56" i="23313"/>
  <c r="H56" i="23313"/>
  <c r="H57" i="23313"/>
  <c r="J57" i="23313"/>
  <c r="K57" i="23313"/>
  <c r="L57" i="23313" s="1"/>
  <c r="K70" i="23313" l="1"/>
  <c r="L70" i="23313" s="1"/>
  <c r="J70" i="23313"/>
  <c r="H70" i="23313"/>
  <c r="K277" i="23313"/>
  <c r="L277" i="23313" s="1"/>
  <c r="J277" i="23313"/>
  <c r="K80" i="23313"/>
  <c r="L80" i="23313" s="1"/>
  <c r="H80" i="23313"/>
  <c r="K131" i="23313"/>
  <c r="L131" i="23313" s="1"/>
  <c r="J131" i="23313"/>
  <c r="H131" i="23313"/>
  <c r="K305" i="23313"/>
  <c r="L305" i="23313" s="1"/>
  <c r="H305" i="23313"/>
  <c r="H200" i="23313" l="1"/>
  <c r="H270" i="23313" s="1"/>
  <c r="K25" i="23313"/>
  <c r="L25" i="23313" s="1"/>
  <c r="J25" i="23313"/>
  <c r="H25" i="23313"/>
  <c r="K26" i="23313"/>
  <c r="L26" i="23313" s="1"/>
  <c r="J26" i="23313"/>
  <c r="H26" i="23313"/>
  <c r="K381" i="23313" l="1"/>
  <c r="L381" i="23313" s="1"/>
  <c r="H381" i="23313"/>
  <c r="K392" i="23313"/>
  <c r="L392" i="23313" s="1"/>
  <c r="H392" i="23313"/>
  <c r="K366" i="23313"/>
  <c r="K390" i="23313"/>
  <c r="L390" i="23313" s="1"/>
  <c r="H390" i="23313"/>
  <c r="K95" i="23313"/>
  <c r="L95" i="23313" s="1"/>
  <c r="J95" i="23313"/>
  <c r="H95" i="23313"/>
  <c r="K404" i="23313"/>
  <c r="L404" i="23313" s="1"/>
  <c r="H404" i="23313"/>
  <c r="K389" i="23313"/>
  <c r="L389" i="23313" s="1"/>
  <c r="B7" i="23313"/>
  <c r="K200" i="23313" l="1"/>
  <c r="L200" i="23313" s="1"/>
  <c r="L270" i="23313" s="1"/>
  <c r="J200" i="23313"/>
  <c r="J270" i="23313" s="1"/>
  <c r="H61" i="23313" l="1"/>
  <c r="J61" i="23313"/>
  <c r="K61" i="23313"/>
  <c r="L61" i="23313" s="1"/>
  <c r="K382" i="23313" l="1"/>
  <c r="L382" i="23313" s="1"/>
  <c r="H382" i="23313"/>
  <c r="F3" i="23312" l="1"/>
  <c r="K97" i="23313" l="1"/>
  <c r="L97" i="23313" s="1"/>
  <c r="J97" i="23313"/>
  <c r="H97" i="23313"/>
  <c r="J310" i="23313" l="1"/>
  <c r="K310" i="23313"/>
  <c r="L310" i="23313" s="1"/>
  <c r="H310" i="23313"/>
  <c r="K399" i="23313" l="1"/>
  <c r="L399" i="23313" s="1"/>
  <c r="H399" i="23313"/>
  <c r="K314" i="23313" l="1"/>
  <c r="L314" i="23313" s="1"/>
  <c r="H314" i="23313"/>
  <c r="K52" i="23313"/>
  <c r="L52" i="23313" s="1"/>
  <c r="J52" i="23313"/>
  <c r="H52" i="23313"/>
  <c r="H329" i="23313" l="1"/>
  <c r="H330" i="23313"/>
  <c r="H341" i="23313"/>
  <c r="H337" i="23313"/>
  <c r="H336" i="23313"/>
  <c r="H326" i="23313"/>
  <c r="J288" i="23313"/>
  <c r="J297" i="23313"/>
  <c r="J304" i="23313"/>
  <c r="J309" i="23313"/>
  <c r="J313" i="23313"/>
  <c r="J318" i="23313"/>
  <c r="J274" i="23313"/>
  <c r="H288" i="23313"/>
  <c r="H297" i="23313"/>
  <c r="H304" i="23313"/>
  <c r="H309" i="23313"/>
  <c r="H313" i="23313"/>
  <c r="H318" i="23313"/>
  <c r="H274" i="23313"/>
  <c r="K24" i="23313"/>
  <c r="L24" i="23313" s="1"/>
  <c r="J24" i="23313"/>
  <c r="H24" i="23313"/>
  <c r="K18" i="23313"/>
  <c r="L18" i="23313" s="1"/>
  <c r="J18" i="23313"/>
  <c r="H18" i="23313"/>
  <c r="K48" i="23313"/>
  <c r="L48" i="23313" s="1"/>
  <c r="J48" i="23313"/>
  <c r="H48" i="23313"/>
  <c r="H322" i="23313" l="1"/>
  <c r="J322" i="23313"/>
  <c r="H387" i="23313"/>
  <c r="K387" i="23313"/>
  <c r="L387" i="23313" s="1"/>
  <c r="J343" i="23313" l="1"/>
  <c r="H343" i="23313"/>
  <c r="K326" i="23313" l="1"/>
  <c r="L326" i="23313" s="1"/>
  <c r="K329" i="23313"/>
  <c r="L329" i="23313" s="1"/>
  <c r="L366" i="23313"/>
  <c r="L370" i="23313" s="1"/>
  <c r="J366" i="23313"/>
  <c r="H366" i="23313"/>
  <c r="H370" i="23313" s="1"/>
  <c r="K81" i="23313"/>
  <c r="L81" i="23313" s="1"/>
  <c r="H81" i="23313"/>
  <c r="K361" i="23313"/>
  <c r="L361" i="23313" s="1"/>
  <c r="J361" i="23313"/>
  <c r="H361" i="23313"/>
  <c r="K337" i="23313"/>
  <c r="L337" i="23313" s="1"/>
  <c r="K46" i="23313"/>
  <c r="L46" i="23313" s="1"/>
  <c r="J46" i="23313"/>
  <c r="H46" i="23313"/>
  <c r="K309" i="23313" l="1"/>
  <c r="L309" i="23313" s="1"/>
  <c r="L318" i="23313"/>
  <c r="K373" i="23313"/>
  <c r="L373" i="23313" s="1"/>
  <c r="L406" i="23313" s="1"/>
  <c r="H373" i="23313"/>
  <c r="H406" i="23313" s="1"/>
  <c r="K336" i="23313"/>
  <c r="L336" i="23313" s="1"/>
  <c r="K304" i="23313"/>
  <c r="L304" i="23313" s="1"/>
  <c r="K313" i="23313"/>
  <c r="L313" i="23313" s="1"/>
  <c r="H71" i="23313"/>
  <c r="J71" i="23313"/>
  <c r="K71" i="23313"/>
  <c r="L71" i="23313" s="1"/>
  <c r="K16" i="23313"/>
  <c r="L16" i="23313" s="1"/>
  <c r="J16" i="23313"/>
  <c r="H16" i="23313"/>
  <c r="J40" i="23313" l="1"/>
  <c r="L40" i="23313"/>
  <c r="H78" i="23313"/>
  <c r="H40" i="23313"/>
  <c r="B40" i="23313"/>
  <c r="B39" i="23313"/>
  <c r="B38" i="23313"/>
  <c r="B37" i="23313"/>
  <c r="B36" i="23313"/>
  <c r="B35" i="23313"/>
  <c r="B34" i="23313"/>
  <c r="B33" i="23313"/>
  <c r="B32" i="23313"/>
  <c r="B31" i="23313"/>
  <c r="J370" i="23313"/>
  <c r="K360" i="23313"/>
  <c r="L360" i="23313" s="1"/>
  <c r="J360" i="23313"/>
  <c r="H360" i="23313"/>
  <c r="K359" i="23313"/>
  <c r="L359" i="23313" s="1"/>
  <c r="L363" i="23313" s="1"/>
  <c r="J359" i="23313"/>
  <c r="H359" i="23313"/>
  <c r="K330" i="23313"/>
  <c r="L330" i="23313" s="1"/>
  <c r="K341" i="23313"/>
  <c r="L341" i="23313" s="1"/>
  <c r="K297" i="23313"/>
  <c r="L297" i="23313" s="1"/>
  <c r="K288" i="23313"/>
  <c r="L288" i="23313" s="1"/>
  <c r="K274" i="23313"/>
  <c r="L274" i="23313" s="1"/>
  <c r="L322" i="23313" s="1"/>
  <c r="K93" i="23313"/>
  <c r="L93" i="23313" s="1"/>
  <c r="J93" i="23313"/>
  <c r="H93" i="23313"/>
  <c r="K98" i="23313"/>
  <c r="L98" i="23313" s="1"/>
  <c r="J98" i="23313"/>
  <c r="H98" i="23313"/>
  <c r="K55" i="23313"/>
  <c r="L55" i="23313" s="1"/>
  <c r="J55" i="23313"/>
  <c r="H55" i="23313"/>
  <c r="K49" i="23313"/>
  <c r="L49" i="23313" s="1"/>
  <c r="J49" i="23313"/>
  <c r="H49" i="23313"/>
  <c r="K85" i="23313"/>
  <c r="L85" i="23313" s="1"/>
  <c r="H85" i="23313"/>
  <c r="K88" i="23313"/>
  <c r="L88" i="23313" s="1"/>
  <c r="H88" i="23313"/>
  <c r="K78" i="23313"/>
  <c r="L78" i="23313" s="1"/>
  <c r="H45" i="23313"/>
  <c r="J45" i="23313"/>
  <c r="K45" i="23313"/>
  <c r="L45" i="23313" s="1"/>
  <c r="H47" i="23313"/>
  <c r="J47" i="23313"/>
  <c r="K47" i="23313"/>
  <c r="L47" i="23313" s="1"/>
  <c r="L89" i="23313" l="1"/>
  <c r="L32" i="23313" s="1"/>
  <c r="L343" i="23313"/>
  <c r="L36" i="23313" s="1"/>
  <c r="L183" i="23313"/>
  <c r="L33" i="23313" s="1"/>
  <c r="L74" i="23313"/>
  <c r="J74" i="23313"/>
  <c r="H74" i="23313"/>
  <c r="L35" i="23313"/>
  <c r="H183" i="23313"/>
  <c r="H33" i="23313" s="1"/>
  <c r="J183" i="23313"/>
  <c r="J33" i="23313" s="1"/>
  <c r="J89" i="23313"/>
  <c r="H36" i="23313"/>
  <c r="H35" i="23313"/>
  <c r="J35" i="23313"/>
  <c r="J36" i="23313"/>
  <c r="H363" i="23313"/>
  <c r="J363" i="23313"/>
  <c r="J34" i="23313"/>
  <c r="H34" i="23313"/>
  <c r="H89" i="23313"/>
  <c r="L39" i="23313" l="1"/>
  <c r="H39" i="23313"/>
  <c r="J39" i="23313"/>
  <c r="K17" i="23313" l="1"/>
  <c r="L17" i="23313" s="1"/>
  <c r="J17" i="23313"/>
  <c r="H17" i="23313"/>
  <c r="K14" i="23313"/>
  <c r="L14" i="23313" s="1"/>
  <c r="J14" i="23313"/>
  <c r="H14" i="23313"/>
  <c r="K13" i="23313"/>
  <c r="L13" i="23313" s="1"/>
  <c r="J13" i="23313"/>
  <c r="H13" i="23313"/>
  <c r="B8" i="23313"/>
  <c r="J28" i="23313" l="1"/>
  <c r="H28" i="23313"/>
  <c r="L28" i="23313"/>
  <c r="J32" i="23313"/>
  <c r="L31" i="23313"/>
  <c r="H32" i="23313"/>
  <c r="L7" i="23313" l="1"/>
  <c r="H7" i="23313"/>
  <c r="J7" i="23313"/>
  <c r="J31" i="23313"/>
  <c r="H31" i="23313"/>
  <c r="J37" i="23313"/>
  <c r="H37" i="23313"/>
  <c r="L37" i="23313"/>
  <c r="L38" i="23313" l="1"/>
  <c r="J38" i="23313" l="1"/>
  <c r="J41" i="23313" s="1"/>
  <c r="J409" i="23313"/>
  <c r="H409" i="23313"/>
  <c r="H38" i="23313"/>
  <c r="H41" i="23313" l="1"/>
  <c r="J8" i="23313"/>
  <c r="J10" i="23313" s="1"/>
  <c r="J10" i="23309" l="1"/>
  <c r="L15" i="23309" s="1"/>
  <c r="J8" i="23309"/>
  <c r="L8" i="23309" s="1"/>
  <c r="H8" i="23313"/>
  <c r="H10" i="23313" s="1"/>
  <c r="L34" i="23313"/>
  <c r="L41" i="23313" s="1"/>
  <c r="L409" i="23313"/>
  <c r="L13" i="23309" l="1"/>
  <c r="L14" i="23309"/>
  <c r="L16" i="23309" s="1"/>
  <c r="L12" i="23309"/>
  <c r="H10" i="23309"/>
  <c r="H7" i="23309"/>
  <c r="L7" i="23309" s="1"/>
  <c r="L10" i="23309" s="1"/>
  <c r="L8" i="23313"/>
  <c r="L10" i="23313" s="1"/>
  <c r="L17" i="23309" l="1"/>
  <c r="L18" i="23309"/>
  <c r="L20" i="23309"/>
  <c r="L19" i="23309"/>
  <c r="L23" i="23309" l="1"/>
  <c r="L26" i="23309" s="1"/>
  <c r="D8" i="23312" l="1"/>
  <c r="D7" i="23312" s="1"/>
</calcChain>
</file>

<file path=xl/sharedStrings.xml><?xml version="1.0" encoding="utf-8"?>
<sst xmlns="http://schemas.openxmlformats.org/spreadsheetml/2006/main" count="1472" uniqueCount="619">
  <si>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</si>
  <si>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</si>
  <si>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</si>
  <si>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</si>
  <si>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</si>
  <si>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</si>
  <si>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</si>
  <si>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</si>
  <si>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</si>
  <si>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</si>
  <si>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</si>
  <si>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</si>
  <si>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</si>
  <si>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</si>
  <si>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</si>
  <si>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</si>
  <si>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</si>
  <si>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</si>
  <si>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</si>
  <si>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</si>
  <si>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</si>
  <si>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</si>
  <si>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</si>
  <si>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</si>
  <si>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소운반</t>
    <phoneticPr fontId="22" type="noConversion"/>
  </si>
  <si>
    <t>B.</t>
    <phoneticPr fontId="2" type="noConversion"/>
  </si>
  <si>
    <t>10.</t>
  </si>
  <si>
    <t>11.</t>
  </si>
  <si>
    <t>1.</t>
    <phoneticPr fontId="22" type="noConversion"/>
  </si>
  <si>
    <t>2.</t>
    <phoneticPr fontId="22" type="noConversion"/>
  </si>
  <si>
    <t>3.</t>
    <phoneticPr fontId="22" type="noConversion"/>
  </si>
  <si>
    <t>4.</t>
    <phoneticPr fontId="22" type="noConversion"/>
  </si>
  <si>
    <t>5.</t>
    <phoneticPr fontId="22" type="noConversion"/>
  </si>
  <si>
    <t>6.</t>
    <phoneticPr fontId="22" type="noConversion"/>
  </si>
  <si>
    <t>9.</t>
    <phoneticPr fontId="22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</si>
  <si>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</si>
  <si>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</si>
  <si>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</si>
  <si>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2" type="noConversion"/>
  </si>
  <si>
    <t>M</t>
    <phoneticPr fontId="22" type="noConversion"/>
  </si>
  <si>
    <t>*</t>
    <phoneticPr fontId="22" type="noConversion"/>
  </si>
  <si>
    <t>M2</t>
    <phoneticPr fontId="22" type="noConversion"/>
  </si>
  <si>
    <t>SET</t>
    <phoneticPr fontId="22" type="noConversion"/>
  </si>
  <si>
    <t>10.</t>
    <phoneticPr fontId="22" type="noConversion"/>
  </si>
  <si>
    <t>-</t>
    <phoneticPr fontId="22" type="noConversion"/>
  </si>
  <si>
    <t>A.</t>
    <phoneticPr fontId="2" type="noConversion"/>
  </si>
  <si>
    <t>11.</t>
    <phoneticPr fontId="22" type="noConversion"/>
  </si>
  <si>
    <t>12.</t>
  </si>
  <si>
    <t>12.</t>
    <phoneticPr fontId="22" type="noConversion"/>
  </si>
  <si>
    <t>참고사항</t>
  </si>
  <si>
    <t>7.</t>
    <phoneticPr fontId="2" type="noConversion"/>
  </si>
  <si>
    <t xml:space="preserve"> </t>
    <phoneticPr fontId="49" type="noConversion"/>
  </si>
  <si>
    <t>1.</t>
    <phoneticPr fontId="104" type="noConversion"/>
  </si>
  <si>
    <t xml:space="preserve">    ◈ 비  고 (REMARK)</t>
    <phoneticPr fontId="2" type="noConversion"/>
  </si>
  <si>
    <t>)</t>
    <phoneticPr fontId="104" type="noConversion"/>
  </si>
  <si>
    <t>(</t>
    <phoneticPr fontId="104" type="noConversion"/>
  </si>
  <si>
    <t>一일금</t>
    <phoneticPr fontId="2" type="noConversion"/>
  </si>
  <si>
    <t xml:space="preserve">金    額(AMOUNT) : </t>
    <phoneticPr fontId="109" type="noConversion"/>
  </si>
  <si>
    <t xml:space="preserve">工事名(PROJECT) : </t>
    <phoneticPr fontId="109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</si>
  <si>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</si>
  <si>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</si>
  <si>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</si>
  <si>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</si>
  <si>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</si>
  <si>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</si>
  <si>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</si>
  <si>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</si>
  <si>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</si>
  <si>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</si>
  <si>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</si>
  <si>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2" type="noConversion"/>
  </si>
  <si>
    <t>TOTAL</t>
    <phoneticPr fontId="22" type="noConversion"/>
  </si>
  <si>
    <t>현장보양 및 현장 정리</t>
    <phoneticPr fontId="22" type="noConversion"/>
  </si>
  <si>
    <t>대</t>
    <phoneticPr fontId="22" type="noConversion"/>
  </si>
  <si>
    <t>가설공사</t>
    <phoneticPr fontId="2" type="noConversion"/>
  </si>
  <si>
    <t>식</t>
    <phoneticPr fontId="22" type="noConversion"/>
  </si>
  <si>
    <t>개소</t>
    <phoneticPr fontId="22" type="noConversion"/>
  </si>
  <si>
    <t>허가</t>
    <phoneticPr fontId="2" type="noConversion"/>
  </si>
  <si>
    <t>인터폰</t>
    <phoneticPr fontId="22" type="noConversion"/>
  </si>
  <si>
    <t>입주청소</t>
    <phoneticPr fontId="2" type="noConversion"/>
  </si>
  <si>
    <t>입주청소</t>
    <phoneticPr fontId="22" type="noConversion"/>
  </si>
  <si>
    <t>폐기물</t>
    <phoneticPr fontId="2" type="noConversion"/>
  </si>
  <si>
    <t>페기물 반출</t>
    <phoneticPr fontId="22" type="noConversion"/>
  </si>
  <si>
    <t>1TON</t>
    <phoneticPr fontId="22" type="noConversion"/>
  </si>
  <si>
    <t>공사동의서 및 행위허가</t>
    <phoneticPr fontId="22" type="noConversion"/>
  </si>
  <si>
    <t>화장실 철거</t>
    <phoneticPr fontId="22" type="noConversion"/>
  </si>
  <si>
    <t>본 철거</t>
    <phoneticPr fontId="2" type="noConversion"/>
  </si>
  <si>
    <t>확장 공사</t>
    <phoneticPr fontId="22" type="noConversion"/>
  </si>
  <si>
    <t>마루 철거</t>
    <phoneticPr fontId="2" type="noConversion"/>
  </si>
  <si>
    <t>배관 이설 공사</t>
    <phoneticPr fontId="2" type="noConversion"/>
  </si>
  <si>
    <t>화장실 방수 공사</t>
    <phoneticPr fontId="22" type="noConversion"/>
  </si>
  <si>
    <t>설비</t>
    <phoneticPr fontId="2" type="noConversion"/>
  </si>
  <si>
    <t>설비</t>
    <phoneticPr fontId="22" type="noConversion"/>
  </si>
  <si>
    <t>철거 / 설비 공사</t>
    <phoneticPr fontId="2" type="noConversion"/>
  </si>
  <si>
    <t>필름 공사</t>
    <phoneticPr fontId="2" type="noConversion"/>
  </si>
  <si>
    <t>필름 공사</t>
    <phoneticPr fontId="22" type="noConversion"/>
  </si>
  <si>
    <t>PL창호</t>
    <phoneticPr fontId="2" type="noConversion"/>
  </si>
  <si>
    <t>직접공사비 계</t>
    <phoneticPr fontId="22" type="noConversion"/>
  </si>
  <si>
    <t>인테리어 공사</t>
    <phoneticPr fontId="2" type="noConversion"/>
  </si>
  <si>
    <t>가구 공사</t>
    <phoneticPr fontId="2" type="noConversion"/>
  </si>
  <si>
    <t>수전</t>
    <phoneticPr fontId="2" type="noConversion"/>
  </si>
  <si>
    <t>자</t>
    <phoneticPr fontId="22" type="noConversion"/>
  </si>
  <si>
    <t>전기 공사</t>
    <phoneticPr fontId="2" type="noConversion"/>
  </si>
  <si>
    <t>조명 및 전열</t>
    <phoneticPr fontId="22" type="noConversion"/>
  </si>
  <si>
    <t>간접 조명</t>
    <phoneticPr fontId="2" type="noConversion"/>
  </si>
  <si>
    <t>발코니 조명</t>
    <phoneticPr fontId="2" type="noConversion"/>
  </si>
  <si>
    <t>전선 입선 라인</t>
    <phoneticPr fontId="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</si>
  <si>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</si>
  <si>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</si>
  <si>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</si>
  <si>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</si>
  <si>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화장실 공사</t>
    <phoneticPr fontId="2" type="noConversion"/>
  </si>
  <si>
    <t>안방 화장실</t>
    <phoneticPr fontId="22" type="noConversion"/>
  </si>
  <si>
    <t>거실 화장실</t>
    <phoneticPr fontId="22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</si>
  <si>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</si>
  <si>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</si>
  <si>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</si>
  <si>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</si>
  <si>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</si>
  <si>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기타 (안방 화장실)</t>
    <phoneticPr fontId="2" type="noConversion"/>
  </si>
  <si>
    <t>기타 (거실 화장실)</t>
    <phoneticPr fontId="2" type="noConversion"/>
  </si>
  <si>
    <t>화장실 타일</t>
    <phoneticPr fontId="2" type="noConversion"/>
  </si>
  <si>
    <t>부자재</t>
    <phoneticPr fontId="2" type="noConversion"/>
  </si>
  <si>
    <t>X18, 레미탈</t>
    <phoneticPr fontId="22" type="noConversion"/>
  </si>
  <si>
    <t>현관 타일</t>
    <phoneticPr fontId="2" type="noConversion"/>
  </si>
  <si>
    <t>현관 바닥</t>
    <phoneticPr fontId="2" type="noConversion"/>
  </si>
  <si>
    <t>600*1200</t>
    <phoneticPr fontId="22" type="noConversion"/>
  </si>
  <si>
    <t>마루 공사</t>
    <phoneticPr fontId="2" type="noConversion"/>
  </si>
  <si>
    <t>실크 도배</t>
    <phoneticPr fontId="22" type="noConversion"/>
  </si>
  <si>
    <t>도배 퍼티</t>
    <phoneticPr fontId="22" type="noConversion"/>
  </si>
  <si>
    <t>탄성 코트</t>
    <phoneticPr fontId="22" type="noConversion"/>
  </si>
  <si>
    <t>목공사</t>
    <phoneticPr fontId="22" type="noConversion"/>
  </si>
  <si>
    <t>먹 놓기</t>
    <phoneticPr fontId="2" type="noConversion"/>
  </si>
  <si>
    <t>거실 수직, 수평 및 벽체</t>
    <phoneticPr fontId="22" type="noConversion"/>
  </si>
  <si>
    <t>9.5T 석고보드 1PLY</t>
    <phoneticPr fontId="22" type="noConversion"/>
  </si>
  <si>
    <t>벽체 공사</t>
    <phoneticPr fontId="2" type="noConversion"/>
  </si>
  <si>
    <t>벽체 골조 공사</t>
    <phoneticPr fontId="2" type="noConversion"/>
  </si>
  <si>
    <t>각 방</t>
    <phoneticPr fontId="22" type="noConversion"/>
  </si>
  <si>
    <t>기타 목 공사</t>
    <phoneticPr fontId="2" type="noConversion"/>
  </si>
  <si>
    <t xml:space="preserve"> MOHAE DESIGN</t>
    <phoneticPr fontId="2" type="noConversion"/>
  </si>
  <si>
    <t>경기 용인시 수지구 신봉동 242-28</t>
    <phoneticPr fontId="2" type="noConversion"/>
  </si>
  <si>
    <t>Tel : 031-272-2724</t>
    <phoneticPr fontId="2" type="noConversion"/>
  </si>
  <si>
    <t>간접공사비 계</t>
    <phoneticPr fontId="22" type="noConversion"/>
  </si>
  <si>
    <t>공사비 계</t>
    <phoneticPr fontId="2" type="noConversion"/>
  </si>
  <si>
    <t>Location &amp; Spec.</t>
    <phoneticPr fontId="2" type="noConversion"/>
  </si>
  <si>
    <t>인</t>
    <phoneticPr fontId="22" type="noConversion"/>
  </si>
  <si>
    <t>별도</t>
    <phoneticPr fontId="22" type="noConversion"/>
  </si>
  <si>
    <t>S.M.C</t>
    <phoneticPr fontId="2" type="noConversion"/>
  </si>
  <si>
    <t>유가</t>
    <phoneticPr fontId="22" type="noConversion"/>
  </si>
  <si>
    <t>절사</t>
    <phoneticPr fontId="22" type="noConversion"/>
  </si>
  <si>
    <t>타일 철거</t>
    <phoneticPr fontId="22" type="noConversion"/>
  </si>
  <si>
    <t>150*150 S150SS 도무스</t>
    <phoneticPr fontId="22" type="noConversion"/>
  </si>
  <si>
    <t>벽체</t>
    <phoneticPr fontId="22" type="noConversion"/>
  </si>
  <si>
    <t>천장</t>
    <phoneticPr fontId="22" type="noConversion"/>
  </si>
  <si>
    <t>견적 외 별도</t>
    <phoneticPr fontId="22" type="noConversion"/>
  </si>
  <si>
    <t>견적외 별도</t>
    <phoneticPr fontId="22" type="noConversion"/>
  </si>
  <si>
    <t>공과잡비</t>
    <phoneticPr fontId="22" type="noConversion"/>
  </si>
  <si>
    <t>기업이윤</t>
    <phoneticPr fontId="22" type="noConversion"/>
  </si>
  <si>
    <t>도어 / 도어틀</t>
    <phoneticPr fontId="22" type="noConversion"/>
  </si>
  <si>
    <t>M2</t>
    <phoneticPr fontId="22" type="noConversion"/>
  </si>
  <si>
    <t>스위치 콘센트 시공</t>
    <phoneticPr fontId="22" type="noConversion"/>
  </si>
  <si>
    <t>식</t>
    <phoneticPr fontId="22" type="noConversion"/>
  </si>
  <si>
    <t>PY</t>
    <phoneticPr fontId="22" type="noConversion"/>
  </si>
  <si>
    <t>-</t>
    <phoneticPr fontId="22" type="noConversion"/>
  </si>
  <si>
    <t>천장 공사</t>
    <phoneticPr fontId="22" type="noConversion"/>
  </si>
  <si>
    <t>천장</t>
    <phoneticPr fontId="2" type="noConversion"/>
  </si>
  <si>
    <t>9.5T 석고보드 2PLY</t>
    <phoneticPr fontId="22" type="noConversion"/>
  </si>
  <si>
    <t>EA</t>
    <phoneticPr fontId="22" type="noConversion"/>
  </si>
  <si>
    <t>M</t>
    <phoneticPr fontId="22" type="noConversion"/>
  </si>
  <si>
    <t>걸레받이</t>
    <phoneticPr fontId="22" type="noConversion"/>
  </si>
  <si>
    <t>VAT 별도</t>
    <phoneticPr fontId="22" type="noConversion"/>
  </si>
  <si>
    <t>부가세 별도</t>
    <phoneticPr fontId="22" type="noConversion"/>
  </si>
  <si>
    <t>에어컨</t>
    <phoneticPr fontId="22" type="noConversion"/>
  </si>
  <si>
    <t>식</t>
    <phoneticPr fontId="22" type="noConversion"/>
  </si>
  <si>
    <t>현관</t>
    <phoneticPr fontId="22" type="noConversion"/>
  </si>
  <si>
    <t>싱크대 하부장</t>
    <phoneticPr fontId="2" type="noConversion"/>
  </si>
  <si>
    <t>식</t>
    <phoneticPr fontId="22" type="noConversion"/>
  </si>
  <si>
    <t>가스관 철거</t>
    <phoneticPr fontId="2" type="noConversion"/>
  </si>
  <si>
    <t>아메리칸 웨이브S 투피스</t>
    <phoneticPr fontId="22" type="noConversion"/>
  </si>
  <si>
    <t>전열교환기</t>
    <phoneticPr fontId="22" type="noConversion"/>
  </si>
  <si>
    <t>환기</t>
    <phoneticPr fontId="22" type="noConversion"/>
  </si>
  <si>
    <t>싱크대 상부장</t>
    <phoneticPr fontId="2" type="noConversion"/>
  </si>
  <si>
    <t>-</t>
    <phoneticPr fontId="22" type="noConversion"/>
  </si>
  <si>
    <t>파티션</t>
    <phoneticPr fontId="22" type="noConversion"/>
  </si>
  <si>
    <t>식</t>
    <phoneticPr fontId="22" type="noConversion"/>
  </si>
  <si>
    <t>벽체 고밀도 MDF 시공</t>
    <phoneticPr fontId="22" type="noConversion"/>
  </si>
  <si>
    <t>강마루</t>
    <phoneticPr fontId="22" type="noConversion"/>
  </si>
  <si>
    <t>M</t>
    <phoneticPr fontId="22" type="noConversion"/>
  </si>
  <si>
    <t>-</t>
    <phoneticPr fontId="22" type="noConversion"/>
  </si>
  <si>
    <t>락소 히든몰딩</t>
    <phoneticPr fontId="22" type="noConversion"/>
  </si>
  <si>
    <t>거실 천장</t>
    <phoneticPr fontId="22" type="noConversion"/>
  </si>
  <si>
    <t>EA</t>
    <phoneticPr fontId="22" type="noConversion"/>
  </si>
  <si>
    <t>온도조절기 공사</t>
    <phoneticPr fontId="22" type="noConversion"/>
  </si>
  <si>
    <t>EA</t>
    <phoneticPr fontId="22" type="noConversion"/>
  </si>
  <si>
    <t xml:space="preserve"> </t>
    <phoneticPr fontId="22" type="noConversion"/>
  </si>
  <si>
    <t>감지기</t>
    <phoneticPr fontId="2" type="noConversion"/>
  </si>
  <si>
    <t>기타 감지기류</t>
    <phoneticPr fontId="22" type="noConversion"/>
  </si>
  <si>
    <t>진행</t>
    <phoneticPr fontId="22" type="noConversion"/>
  </si>
  <si>
    <t>디아망 LX하우시스 부자재 포함</t>
    <phoneticPr fontId="22" type="noConversion"/>
  </si>
  <si>
    <t>단열공사</t>
    <phoneticPr fontId="22" type="noConversion"/>
  </si>
  <si>
    <t>방 벽체 석고보드 시공</t>
    <phoneticPr fontId="22" type="noConversion"/>
  </si>
  <si>
    <t>석고보드 덧붙힘 시공</t>
    <phoneticPr fontId="22" type="noConversion"/>
  </si>
  <si>
    <t>화장실 하단 방수</t>
    <phoneticPr fontId="22" type="noConversion"/>
  </si>
  <si>
    <t>플랩장</t>
    <phoneticPr fontId="22" type="noConversion"/>
  </si>
  <si>
    <t>모해디자인 진행 사항</t>
    <phoneticPr fontId="22" type="noConversion"/>
  </si>
  <si>
    <t>서비스 품목</t>
    <phoneticPr fontId="22" type="noConversion"/>
  </si>
  <si>
    <r>
      <rPr>
        <sz val="9"/>
        <rFont val="Arial Unicode MS"/>
        <family val="2"/>
        <charset val="129"/>
      </rPr>
      <t xml:space="preserve">고밀도 </t>
    </r>
    <r>
      <rPr>
        <sz val="9"/>
        <rFont val="Calibri"/>
        <family val="2"/>
      </rPr>
      <t xml:space="preserve">MDF </t>
    </r>
    <phoneticPr fontId="22" type="noConversion"/>
  </si>
  <si>
    <t>SERVICE</t>
    <phoneticPr fontId="22" type="noConversion"/>
  </si>
  <si>
    <t>모해 서비스 진행</t>
    <phoneticPr fontId="22" type="noConversion"/>
  </si>
  <si>
    <t>급 / 배수 배관이설</t>
    <phoneticPr fontId="22" type="noConversion"/>
  </si>
  <si>
    <t>조적 벽체 /젠다이</t>
    <phoneticPr fontId="2" type="noConversion"/>
  </si>
  <si>
    <t>현관문</t>
    <phoneticPr fontId="22" type="noConversion"/>
  </si>
  <si>
    <t>걸레받이</t>
    <phoneticPr fontId="2" type="noConversion"/>
  </si>
  <si>
    <t>기타</t>
    <phoneticPr fontId="2" type="noConversion"/>
  </si>
  <si>
    <t>액체방수 공사</t>
    <phoneticPr fontId="22" type="noConversion"/>
  </si>
  <si>
    <t>세라믹 코트</t>
    <phoneticPr fontId="22" type="noConversion"/>
  </si>
  <si>
    <t>확장 공사</t>
    <phoneticPr fontId="2" type="noConversion"/>
  </si>
  <si>
    <t>조적벽체 철거</t>
    <phoneticPr fontId="2" type="noConversion"/>
  </si>
  <si>
    <t>거실 화장실</t>
    <phoneticPr fontId="22" type="noConversion"/>
  </si>
  <si>
    <t>아메리칸 스탠리 탱크리스</t>
    <phoneticPr fontId="22" type="noConversion"/>
  </si>
  <si>
    <t>-</t>
    <phoneticPr fontId="22" type="noConversion"/>
  </si>
  <si>
    <t>-</t>
    <phoneticPr fontId="22" type="noConversion"/>
  </si>
  <si>
    <t>타일 파티션</t>
    <phoneticPr fontId="22" type="noConversion"/>
  </si>
  <si>
    <t>천장철거</t>
    <phoneticPr fontId="2" type="noConversion"/>
  </si>
  <si>
    <t>발코니</t>
    <phoneticPr fontId="2" type="noConversion"/>
  </si>
  <si>
    <t>마감코킹</t>
    <phoneticPr fontId="22" type="noConversion"/>
  </si>
  <si>
    <t>조색 1SET / 아덱스 실리콘</t>
    <phoneticPr fontId="22" type="noConversion"/>
  </si>
  <si>
    <t>공용부</t>
    <phoneticPr fontId="22" type="noConversion"/>
  </si>
  <si>
    <t>소방</t>
    <phoneticPr fontId="22" type="noConversion"/>
  </si>
  <si>
    <t>자동확산소화기</t>
    <phoneticPr fontId="22" type="noConversion"/>
  </si>
  <si>
    <t>스프레이건</t>
    <phoneticPr fontId="2" type="noConversion"/>
  </si>
  <si>
    <t>거실 / 안방</t>
    <phoneticPr fontId="22" type="noConversion"/>
  </si>
  <si>
    <t>니켈</t>
    <phoneticPr fontId="22" type="noConversion"/>
  </si>
  <si>
    <t>-</t>
    <phoneticPr fontId="22" type="noConversion"/>
  </si>
  <si>
    <t>현관</t>
    <phoneticPr fontId="22" type="noConversion"/>
  </si>
  <si>
    <t>벽체</t>
    <phoneticPr fontId="2" type="noConversion"/>
  </si>
  <si>
    <t>설비</t>
    <phoneticPr fontId="22" type="noConversion"/>
  </si>
  <si>
    <t>M</t>
    <phoneticPr fontId="22" type="noConversion"/>
  </si>
  <si>
    <t>안방</t>
    <phoneticPr fontId="22" type="noConversion"/>
  </si>
  <si>
    <t xml:space="preserve">30X30 각재 </t>
    <phoneticPr fontId="22" type="noConversion"/>
  </si>
  <si>
    <t xml:space="preserve">30X30 각재 </t>
    <phoneticPr fontId="22" type="noConversion"/>
  </si>
  <si>
    <t>석고+고밀도 MDF(메지 시공)</t>
    <phoneticPr fontId="22" type="noConversion"/>
  </si>
  <si>
    <t>제품 미정</t>
    <phoneticPr fontId="22" type="noConversion"/>
  </si>
  <si>
    <t>식</t>
    <phoneticPr fontId="22" type="noConversion"/>
  </si>
  <si>
    <t>EA</t>
    <phoneticPr fontId="22" type="noConversion"/>
  </si>
  <si>
    <t>220V 콘센트</t>
    <phoneticPr fontId="22" type="noConversion"/>
  </si>
  <si>
    <t>2구 스위치</t>
    <phoneticPr fontId="22" type="noConversion"/>
  </si>
  <si>
    <t>주방</t>
    <phoneticPr fontId="22" type="noConversion"/>
  </si>
  <si>
    <t>설비</t>
    <phoneticPr fontId="22" type="noConversion"/>
  </si>
  <si>
    <t>우수관 부틸러버</t>
    <phoneticPr fontId="22" type="noConversion"/>
  </si>
  <si>
    <t>식</t>
    <phoneticPr fontId="22" type="noConversion"/>
  </si>
  <si>
    <t>안방 화장실</t>
    <phoneticPr fontId="22" type="noConversion"/>
  </si>
  <si>
    <t>거실 화장실</t>
    <phoneticPr fontId="22" type="noConversion"/>
  </si>
  <si>
    <t>보일러</t>
    <phoneticPr fontId="22" type="noConversion"/>
  </si>
  <si>
    <t>바흐만 콘센트</t>
    <phoneticPr fontId="22" type="noConversion"/>
  </si>
  <si>
    <t xml:space="preserve">콘센트 </t>
    <phoneticPr fontId="22" type="noConversion"/>
  </si>
  <si>
    <t>천장 석고보드</t>
    <phoneticPr fontId="22" type="noConversion"/>
  </si>
  <si>
    <r>
      <rPr>
        <sz val="11"/>
        <rFont val="맑은 고딕"/>
        <family val="3"/>
        <charset val="129"/>
      </rPr>
      <t>貴社</t>
    </r>
    <r>
      <rPr>
        <sz val="11"/>
        <rFont val="에스코어 드림 6 Bold"/>
        <family val="2"/>
        <charset val="129"/>
      </rPr>
      <t xml:space="preserve">의 사양에 </t>
    </r>
    <r>
      <rPr>
        <sz val="11"/>
        <rFont val="맑은 고딕"/>
        <family val="3"/>
        <charset val="129"/>
      </rPr>
      <t>依</t>
    </r>
    <r>
      <rPr>
        <sz val="11"/>
        <rFont val="에스코어 드림 6 Bold"/>
        <family val="2"/>
        <charset val="129"/>
      </rPr>
      <t xml:space="preserve">하여 </t>
    </r>
    <r>
      <rPr>
        <sz val="11"/>
        <rFont val="맑은 고딕"/>
        <family val="3"/>
        <charset val="129"/>
      </rPr>
      <t>下記內容</t>
    </r>
    <r>
      <rPr>
        <sz val="11"/>
        <rFont val="에스코어 드림 6 Bold"/>
        <family val="2"/>
        <charset val="129"/>
      </rPr>
      <t xml:space="preserve">과 같이 </t>
    </r>
    <r>
      <rPr>
        <sz val="11"/>
        <rFont val="맑은 고딕"/>
        <family val="3"/>
        <charset val="129"/>
      </rPr>
      <t>見積</t>
    </r>
    <r>
      <rPr>
        <sz val="11"/>
        <rFont val="에스코어 드림 6 Bold"/>
        <family val="2"/>
        <charset val="129"/>
      </rPr>
      <t>합니다.</t>
    </r>
    <phoneticPr fontId="22" type="noConversion"/>
  </si>
  <si>
    <t>현관</t>
    <phoneticPr fontId="22" type="noConversion"/>
  </si>
  <si>
    <t>거실, 방 전체</t>
    <phoneticPr fontId="22" type="noConversion"/>
  </si>
  <si>
    <t>전체 철거</t>
    <phoneticPr fontId="22" type="noConversion"/>
  </si>
  <si>
    <t>화장실</t>
    <phoneticPr fontId="22" type="noConversion"/>
  </si>
  <si>
    <t>-</t>
    <phoneticPr fontId="22" type="noConversion"/>
  </si>
  <si>
    <t>부자재</t>
    <phoneticPr fontId="22" type="noConversion"/>
  </si>
  <si>
    <t>식</t>
    <phoneticPr fontId="22" type="noConversion"/>
  </si>
  <si>
    <t>거실, 각 방</t>
    <phoneticPr fontId="22" type="noConversion"/>
  </si>
  <si>
    <t>현관</t>
    <phoneticPr fontId="22" type="noConversion"/>
  </si>
  <si>
    <t>현관</t>
    <phoneticPr fontId="22" type="noConversion"/>
  </si>
  <si>
    <t>전체</t>
    <phoneticPr fontId="22" type="noConversion"/>
  </si>
  <si>
    <t>300*300</t>
    <phoneticPr fontId="22" type="noConversion"/>
  </si>
  <si>
    <t>LED BAR</t>
    <phoneticPr fontId="22" type="noConversion"/>
  </si>
  <si>
    <t>SMPS</t>
    <phoneticPr fontId="22" type="noConversion"/>
  </si>
  <si>
    <t>-</t>
    <phoneticPr fontId="22" type="noConversion"/>
  </si>
  <si>
    <t>2,3인치 매립등</t>
    <phoneticPr fontId="2" type="noConversion"/>
  </si>
  <si>
    <t>거실, 주방</t>
    <phoneticPr fontId="22" type="noConversion"/>
  </si>
  <si>
    <t>M101 19 10MM 도배용</t>
    <phoneticPr fontId="22" type="noConversion"/>
  </si>
  <si>
    <t>M101 19 10MM 도배용 / 액자레일</t>
    <phoneticPr fontId="22" type="noConversion"/>
  </si>
  <si>
    <t>르그랑</t>
    <phoneticPr fontId="22" type="noConversion"/>
  </si>
  <si>
    <t>안 방</t>
    <phoneticPr fontId="22" type="noConversion"/>
  </si>
  <si>
    <t>식</t>
    <phoneticPr fontId="22" type="noConversion"/>
  </si>
  <si>
    <t>-</t>
    <phoneticPr fontId="22" type="noConversion"/>
  </si>
  <si>
    <t>벤치</t>
    <phoneticPr fontId="22" type="noConversion"/>
  </si>
  <si>
    <t>-</t>
    <phoneticPr fontId="22" type="noConversion"/>
  </si>
  <si>
    <t>침대 헤드 및 프레임</t>
    <phoneticPr fontId="22" type="noConversion"/>
  </si>
  <si>
    <t>식</t>
    <phoneticPr fontId="22" type="noConversion"/>
  </si>
  <si>
    <t>욕조</t>
    <phoneticPr fontId="22" type="noConversion"/>
  </si>
  <si>
    <t>별도</t>
    <phoneticPr fontId="22" type="noConversion"/>
  </si>
  <si>
    <t>철거시 이슈사항</t>
    <phoneticPr fontId="22" type="noConversion"/>
  </si>
  <si>
    <t>-</t>
    <phoneticPr fontId="22" type="noConversion"/>
  </si>
  <si>
    <t>슬라이딩 도어</t>
    <phoneticPr fontId="22" type="noConversion"/>
  </si>
  <si>
    <t>중문공사</t>
    <phoneticPr fontId="22" type="noConversion"/>
  </si>
  <si>
    <t>원목 간살</t>
    <phoneticPr fontId="22" type="noConversion"/>
  </si>
  <si>
    <t>현관 선반</t>
    <phoneticPr fontId="2" type="noConversion"/>
  </si>
  <si>
    <t>BL-TL-31-CM</t>
    <phoneticPr fontId="22" type="noConversion"/>
  </si>
  <si>
    <t>거실 벽 타일</t>
    <phoneticPr fontId="22" type="noConversion"/>
  </si>
  <si>
    <t>거실 바닥 타일</t>
    <phoneticPr fontId="22" type="noConversion"/>
  </si>
  <si>
    <t>안방 벽 타일</t>
    <phoneticPr fontId="22" type="noConversion"/>
  </si>
  <si>
    <t>안방 바닥 타일</t>
    <phoneticPr fontId="22" type="noConversion"/>
  </si>
  <si>
    <t>-</t>
    <phoneticPr fontId="22" type="noConversion"/>
  </si>
  <si>
    <t>주방 벽 타일</t>
    <phoneticPr fontId="22" type="noConversion"/>
  </si>
  <si>
    <t>한솔 메종 라이트 오크</t>
    <phoneticPr fontId="22" type="noConversion"/>
  </si>
  <si>
    <t>세라믹</t>
    <phoneticPr fontId="22" type="noConversion"/>
  </si>
  <si>
    <t>주방</t>
    <phoneticPr fontId="22" type="noConversion"/>
  </si>
  <si>
    <t>주방</t>
    <phoneticPr fontId="22" type="noConversion"/>
  </si>
  <si>
    <t>안방</t>
    <phoneticPr fontId="22" type="noConversion"/>
  </si>
  <si>
    <t>런드리룸</t>
    <phoneticPr fontId="22" type="noConversion"/>
  </si>
  <si>
    <t>-</t>
    <phoneticPr fontId="22" type="noConversion"/>
  </si>
  <si>
    <t>거울</t>
    <phoneticPr fontId="22" type="noConversion"/>
  </si>
  <si>
    <t>거실</t>
    <phoneticPr fontId="22" type="noConversion"/>
  </si>
  <si>
    <t>현관 신발장</t>
    <phoneticPr fontId="2" type="noConversion"/>
  </si>
  <si>
    <t>행잉(하부 띄움)</t>
    <phoneticPr fontId="22" type="noConversion"/>
  </si>
  <si>
    <t>붙박이 장</t>
    <phoneticPr fontId="2" type="noConversion"/>
  </si>
  <si>
    <t>EA</t>
    <phoneticPr fontId="22" type="noConversion"/>
  </si>
  <si>
    <t>입구방</t>
    <phoneticPr fontId="22" type="noConversion"/>
  </si>
  <si>
    <t>하드웨어</t>
    <phoneticPr fontId="22" type="noConversion"/>
  </si>
  <si>
    <t xml:space="preserve">경첩 및 서랍 등 하드웨어 </t>
    <phoneticPr fontId="22" type="noConversion"/>
  </si>
  <si>
    <t>-</t>
    <phoneticPr fontId="22" type="noConversion"/>
  </si>
  <si>
    <t>안방 침대헤드</t>
    <phoneticPr fontId="22" type="noConversion"/>
  </si>
  <si>
    <t>하부장</t>
    <phoneticPr fontId="2" type="noConversion"/>
  </si>
  <si>
    <t>-</t>
    <phoneticPr fontId="22" type="noConversion"/>
  </si>
  <si>
    <t>이노솔</t>
    <phoneticPr fontId="22" type="noConversion"/>
  </si>
  <si>
    <t>현관</t>
    <phoneticPr fontId="22" type="noConversion"/>
  </si>
  <si>
    <t xml:space="preserve">팬던트 </t>
    <phoneticPr fontId="22" type="noConversion"/>
  </si>
  <si>
    <t>미정</t>
    <phoneticPr fontId="22" type="noConversion"/>
  </si>
  <si>
    <t>안방화장실</t>
    <phoneticPr fontId="22" type="noConversion"/>
  </si>
  <si>
    <t>거실화장실</t>
    <phoneticPr fontId="22" type="noConversion"/>
  </si>
  <si>
    <t>현관</t>
    <phoneticPr fontId="22" type="noConversion"/>
  </si>
  <si>
    <t>현관</t>
    <phoneticPr fontId="22" type="noConversion"/>
  </si>
  <si>
    <t>-</t>
    <phoneticPr fontId="22" type="noConversion"/>
  </si>
  <si>
    <t>거실,주방</t>
    <phoneticPr fontId="22" type="noConversion"/>
  </si>
  <si>
    <t>기타 및 공통</t>
    <phoneticPr fontId="22" type="noConversion"/>
  </si>
  <si>
    <t>세면대</t>
    <phoneticPr fontId="22" type="noConversion"/>
  </si>
  <si>
    <t>거실 화장실</t>
    <phoneticPr fontId="22" type="noConversion"/>
  </si>
  <si>
    <t>9.5T 합판 1PLY</t>
    <phoneticPr fontId="22" type="noConversion"/>
  </si>
  <si>
    <t>공용부 및 각 방</t>
    <phoneticPr fontId="22" type="noConversion"/>
  </si>
  <si>
    <t>거울</t>
    <phoneticPr fontId="2" type="noConversion"/>
  </si>
  <si>
    <t>은경</t>
    <phoneticPr fontId="22" type="noConversion"/>
  </si>
  <si>
    <t>벽체 석고보드</t>
    <phoneticPr fontId="22" type="noConversion"/>
  </si>
  <si>
    <t>EA</t>
    <phoneticPr fontId="22" type="noConversion"/>
  </si>
  <si>
    <t>이노솔 천장 골조 공사</t>
    <phoneticPr fontId="22" type="noConversion"/>
  </si>
  <si>
    <t>이노솔 천장 합판 보강</t>
    <phoneticPr fontId="22" type="noConversion"/>
  </si>
  <si>
    <t>세면대 구조틀</t>
    <phoneticPr fontId="22" type="noConversion"/>
  </si>
  <si>
    <t>ㅁ각파이프</t>
    <phoneticPr fontId="22" type="noConversion"/>
  </si>
  <si>
    <t>파티션 도어</t>
    <phoneticPr fontId="2" type="noConversion"/>
  </si>
  <si>
    <t>샤워부스, 양변기</t>
    <phoneticPr fontId="22" type="noConversion"/>
  </si>
  <si>
    <t>깜뽀르테 860</t>
    <phoneticPr fontId="22" type="noConversion"/>
  </si>
  <si>
    <t>안 방</t>
    <phoneticPr fontId="22" type="noConversion"/>
  </si>
  <si>
    <t>주 방</t>
    <phoneticPr fontId="22" type="noConversion"/>
  </si>
  <si>
    <t>현 관</t>
    <phoneticPr fontId="22" type="noConversion"/>
  </si>
  <si>
    <t>전체</t>
    <phoneticPr fontId="22" type="noConversion"/>
  </si>
  <si>
    <t>침대 헤드 및 오픈 가구</t>
    <phoneticPr fontId="22" type="noConversion"/>
  </si>
  <si>
    <t xml:space="preserve"> </t>
    <phoneticPr fontId="22" type="noConversion"/>
  </si>
  <si>
    <t>접합유리,필름 마감</t>
    <phoneticPr fontId="22" type="noConversion"/>
  </si>
  <si>
    <t>비디오폰 이설</t>
    <phoneticPr fontId="22" type="noConversion"/>
  </si>
  <si>
    <t>슈티에싱크 80127 니켈</t>
    <phoneticPr fontId="22" type="noConversion"/>
  </si>
  <si>
    <t>미정</t>
    <phoneticPr fontId="22" type="noConversion"/>
  </si>
  <si>
    <t>-</t>
    <phoneticPr fontId="22" type="noConversion"/>
  </si>
  <si>
    <t>식탁 다리</t>
    <phoneticPr fontId="22" type="noConversion"/>
  </si>
  <si>
    <t>선진수도 선택9</t>
    <phoneticPr fontId="22" type="noConversion"/>
  </si>
  <si>
    <t>샤워 거치대(슬라이드바)</t>
    <phoneticPr fontId="2" type="noConversion"/>
  </si>
  <si>
    <t>-</t>
    <phoneticPr fontId="22" type="noConversion"/>
  </si>
  <si>
    <t>후크형 옷걸이</t>
    <phoneticPr fontId="22" type="noConversion"/>
  </si>
  <si>
    <t>그레이바스 SP 프랑크 옷걸이</t>
    <phoneticPr fontId="22" type="noConversion"/>
  </si>
  <si>
    <t>아메리칸 언더카운터 씬엣지 F514</t>
    <phoneticPr fontId="22" type="noConversion"/>
  </si>
  <si>
    <t>누오보 유광 화이트 281 5435W</t>
    <phoneticPr fontId="22" type="noConversion"/>
  </si>
  <si>
    <t>스위치</t>
    <phoneticPr fontId="2" type="noConversion"/>
  </si>
  <si>
    <t>EA</t>
    <phoneticPr fontId="22" type="noConversion"/>
  </si>
  <si>
    <t>르그랑 아테오 5구</t>
    <phoneticPr fontId="22" type="noConversion"/>
  </si>
  <si>
    <t>거실</t>
    <phoneticPr fontId="22" type="noConversion"/>
  </si>
  <si>
    <t>르그랑 아테오 2구</t>
    <phoneticPr fontId="22" type="noConversion"/>
  </si>
  <si>
    <t>주방</t>
    <phoneticPr fontId="22" type="noConversion"/>
  </si>
  <si>
    <t>르그랑 아테오 2구</t>
    <phoneticPr fontId="22" type="noConversion"/>
  </si>
  <si>
    <t>침대헤드 조명(스포트라이트)</t>
    <phoneticPr fontId="22" type="noConversion"/>
  </si>
  <si>
    <t>브러쉬드 니켈</t>
    <phoneticPr fontId="22" type="noConversion"/>
  </si>
  <si>
    <t>https://www.11st.co.kr/products/8079203930?NaPm=ct%3Dmaxk569k%7Cci%3Dc6e4d8ab258280f0a46cc831570a1a307430154d%7Ctr%3Dslsl%7Csn%3D17703%7Chk%3D1b5f2f00b24663d783b48ff81b61f101adb619ad&amp;utm_term=&amp;utm_campaign=%B3%D7%C0%CC%B9%F6pc_%B0%A1%B0%DD%BA%F1%B1%B3%B1%E2%BA%BB&amp;utm_source=%B3%D7%C0%CC%B9%F6_PC_PCS&amp;utm_medium=%B0%A1%B0%DD%BA%F1%B1%B3</t>
    <phoneticPr fontId="22" type="noConversion"/>
  </si>
  <si>
    <t>고객 직접 결제</t>
    <phoneticPr fontId="22" type="noConversion"/>
  </si>
  <si>
    <t>SERVICE</t>
    <phoneticPr fontId="22" type="noConversion"/>
  </si>
  <si>
    <t>엘리베이터 및 공용부 보양</t>
    <phoneticPr fontId="22" type="noConversion"/>
  </si>
  <si>
    <t>M2</t>
    <phoneticPr fontId="22" type="noConversion"/>
  </si>
  <si>
    <t>전체 철거</t>
    <phoneticPr fontId="22" type="noConversion"/>
  </si>
  <si>
    <t>보일러</t>
    <phoneticPr fontId="22" type="noConversion"/>
  </si>
  <si>
    <t>온도조절기 공사</t>
    <phoneticPr fontId="22" type="noConversion"/>
  </si>
  <si>
    <t>허니웰 제어기</t>
    <phoneticPr fontId="22" type="noConversion"/>
  </si>
  <si>
    <t>분배기</t>
    <phoneticPr fontId="22" type="noConversion"/>
  </si>
  <si>
    <t>분배기</t>
    <phoneticPr fontId="22" type="noConversion"/>
  </si>
  <si>
    <t>허니웰 온도조절기</t>
    <phoneticPr fontId="22" type="noConversion"/>
  </si>
  <si>
    <t>EA</t>
    <phoneticPr fontId="22" type="noConversion"/>
  </si>
  <si>
    <t xml:space="preserve"> 각 방</t>
    <phoneticPr fontId="22" type="noConversion"/>
  </si>
  <si>
    <t>허니웰 구동기</t>
    <phoneticPr fontId="22" type="noConversion"/>
  </si>
  <si>
    <t>분배기 이설 및 교체</t>
    <phoneticPr fontId="22" type="noConversion"/>
  </si>
  <si>
    <t>식</t>
    <phoneticPr fontId="22" type="noConversion"/>
  </si>
  <si>
    <t>융 온도조절기</t>
    <phoneticPr fontId="22" type="noConversion"/>
  </si>
  <si>
    <t>대운반</t>
    <phoneticPr fontId="22" type="noConversion"/>
  </si>
  <si>
    <t>대</t>
    <phoneticPr fontId="22" type="noConversion"/>
  </si>
  <si>
    <t>EA</t>
    <phoneticPr fontId="22" type="noConversion"/>
  </si>
  <si>
    <t>좌,우</t>
    <phoneticPr fontId="22" type="noConversion"/>
  </si>
  <si>
    <t>냉장고 장 EP</t>
    <phoneticPr fontId="2" type="noConversion"/>
  </si>
  <si>
    <t>상판 자재</t>
    <phoneticPr fontId="2" type="noConversion"/>
  </si>
  <si>
    <t>키큰장</t>
    <phoneticPr fontId="2" type="noConversion"/>
  </si>
  <si>
    <t>키큰장 EP</t>
    <phoneticPr fontId="2" type="noConversion"/>
  </si>
  <si>
    <t>EA</t>
    <phoneticPr fontId="22" type="noConversion"/>
  </si>
  <si>
    <t>아일랜드 하부장</t>
    <phoneticPr fontId="2" type="noConversion"/>
  </si>
  <si>
    <t>우측</t>
    <phoneticPr fontId="22" type="noConversion"/>
  </si>
  <si>
    <t>식</t>
    <phoneticPr fontId="22" type="noConversion"/>
  </si>
  <si>
    <t>상부장</t>
    <phoneticPr fontId="2" type="noConversion"/>
  </si>
  <si>
    <t>현관</t>
    <phoneticPr fontId="2" type="noConversion"/>
  </si>
  <si>
    <t>안방</t>
    <phoneticPr fontId="2" type="noConversion"/>
  </si>
  <si>
    <t>붙박이 장 EP</t>
    <phoneticPr fontId="2" type="noConversion"/>
  </si>
  <si>
    <t>드레스룸</t>
    <phoneticPr fontId="22" type="noConversion"/>
  </si>
  <si>
    <t>드레스룸</t>
    <phoneticPr fontId="22" type="noConversion"/>
  </si>
  <si>
    <t>발코니</t>
    <phoneticPr fontId="22" type="noConversion"/>
  </si>
  <si>
    <t>가구도어</t>
    <phoneticPr fontId="2" type="noConversion"/>
  </si>
  <si>
    <t>발코니 A</t>
    <phoneticPr fontId="22" type="noConversion"/>
  </si>
  <si>
    <t>발코니 B</t>
    <phoneticPr fontId="22" type="noConversion"/>
  </si>
  <si>
    <t>세탁실</t>
    <phoneticPr fontId="22" type="noConversion"/>
  </si>
  <si>
    <t>-</t>
    <phoneticPr fontId="22" type="noConversion"/>
  </si>
  <si>
    <t>세면대 하부장</t>
    <phoneticPr fontId="22" type="noConversion"/>
  </si>
  <si>
    <t>안방화장실</t>
    <phoneticPr fontId="22" type="noConversion"/>
  </si>
  <si>
    <t>공용부</t>
    <phoneticPr fontId="22" type="noConversion"/>
  </si>
  <si>
    <t>일괄소등</t>
    <phoneticPr fontId="22" type="noConversion"/>
  </si>
  <si>
    <t>1구 프레임</t>
    <phoneticPr fontId="22" type="noConversion"/>
  </si>
  <si>
    <t>2구 프레임</t>
    <phoneticPr fontId="22" type="noConversion"/>
  </si>
  <si>
    <t>거실</t>
    <phoneticPr fontId="22" type="noConversion"/>
  </si>
  <si>
    <t>공용부</t>
    <phoneticPr fontId="22" type="noConversion"/>
  </si>
  <si>
    <t>거실 화장실</t>
    <phoneticPr fontId="22" type="noConversion"/>
  </si>
  <si>
    <t>비디오폰,도어락 및 별도</t>
    <phoneticPr fontId="22" type="noConversion"/>
  </si>
  <si>
    <t>분전함 교체</t>
    <phoneticPr fontId="22" type="noConversion"/>
  </si>
  <si>
    <t>마그네틱 조명</t>
    <phoneticPr fontId="2" type="noConversion"/>
  </si>
  <si>
    <t>레일</t>
    <phoneticPr fontId="22" type="noConversion"/>
  </si>
  <si>
    <t>조명기구(별도)</t>
    <phoneticPr fontId="22" type="noConversion"/>
  </si>
  <si>
    <t>거실 화장실</t>
    <phoneticPr fontId="22" type="noConversion"/>
  </si>
  <si>
    <t>안방,거실 화장실</t>
    <phoneticPr fontId="22" type="noConversion"/>
  </si>
  <si>
    <t>안방 화장실</t>
    <phoneticPr fontId="22" type="noConversion"/>
  </si>
  <si>
    <t>거울장</t>
    <phoneticPr fontId="2" type="noConversion"/>
  </si>
  <si>
    <t>제작</t>
    <phoneticPr fontId="22" type="noConversion"/>
  </si>
  <si>
    <t>아메리칸 FB2614-0KAKC11BA</t>
    <phoneticPr fontId="22" type="noConversion"/>
  </si>
  <si>
    <t>라우체 COIN-11N</t>
    <phoneticPr fontId="22" type="noConversion"/>
  </si>
  <si>
    <t>라우체 앨로이 7011N</t>
    <phoneticPr fontId="22" type="noConversion"/>
  </si>
  <si>
    <t>안방, 거실 화장실</t>
    <phoneticPr fontId="22" type="noConversion"/>
  </si>
  <si>
    <t>전체</t>
    <phoneticPr fontId="22" type="noConversion"/>
  </si>
  <si>
    <t>전체</t>
    <phoneticPr fontId="22" type="noConversion"/>
  </si>
  <si>
    <t>TV 아트월</t>
    <phoneticPr fontId="22" type="noConversion"/>
  </si>
  <si>
    <t>디자인</t>
    <phoneticPr fontId="22" type="noConversion"/>
  </si>
  <si>
    <t>전체</t>
    <phoneticPr fontId="22" type="noConversion"/>
  </si>
  <si>
    <t>융 제외 나머지</t>
    <phoneticPr fontId="22" type="noConversion"/>
  </si>
  <si>
    <t>현관</t>
    <phoneticPr fontId="22" type="noConversion"/>
  </si>
  <si>
    <t>유럽형 제어기(제작)</t>
    <phoneticPr fontId="22" type="noConversion"/>
  </si>
  <si>
    <t>SMPS(300W)</t>
    <phoneticPr fontId="22" type="noConversion"/>
  </si>
  <si>
    <t>재료비</t>
    <phoneticPr fontId="22" type="noConversion"/>
  </si>
  <si>
    <t>노무비</t>
    <phoneticPr fontId="22" type="noConversion"/>
  </si>
  <si>
    <t>*</t>
    <phoneticPr fontId="22" type="noConversion"/>
  </si>
  <si>
    <t>산재 보험료</t>
    <phoneticPr fontId="22" type="noConversion"/>
  </si>
  <si>
    <t>고용 보험료</t>
    <phoneticPr fontId="22" type="noConversion"/>
  </si>
  <si>
    <t>국민건강 보험료</t>
    <phoneticPr fontId="22" type="noConversion"/>
  </si>
  <si>
    <t>국민연금 보험료</t>
    <phoneticPr fontId="22" type="noConversion"/>
  </si>
  <si>
    <t>노인 장기 요양 보험료</t>
    <phoneticPr fontId="22" type="noConversion"/>
  </si>
  <si>
    <t>안전관리비</t>
    <phoneticPr fontId="22" type="noConversion"/>
  </si>
  <si>
    <t>노무비*3.56%</t>
    <phoneticPr fontId="22" type="noConversion"/>
  </si>
  <si>
    <t>노무비*1.01%</t>
    <phoneticPr fontId="22" type="noConversion"/>
  </si>
  <si>
    <t>노무비*3.545%</t>
    <phoneticPr fontId="22" type="noConversion"/>
  </si>
  <si>
    <t>노무비*4.5%</t>
    <phoneticPr fontId="22" type="noConversion"/>
  </si>
  <si>
    <t>건강보혐료*12.95%</t>
    <phoneticPr fontId="22" type="noConversion"/>
  </si>
  <si>
    <t>직접공사비*3.11%</t>
    <phoneticPr fontId="22" type="noConversion"/>
  </si>
  <si>
    <t>*</t>
    <phoneticPr fontId="22" type="noConversion"/>
  </si>
  <si>
    <t>기타경비</t>
    <phoneticPr fontId="22" type="noConversion"/>
  </si>
  <si>
    <t>-</t>
    <phoneticPr fontId="22" type="noConversion"/>
  </si>
  <si>
    <t>옷봉</t>
    <phoneticPr fontId="22" type="noConversion"/>
  </si>
  <si>
    <t>옷봉</t>
    <phoneticPr fontId="22" type="noConversion"/>
  </si>
  <si>
    <t>거실,안방 화장실</t>
    <phoneticPr fontId="22" type="noConversion"/>
  </si>
  <si>
    <t>무타공세면대</t>
    <phoneticPr fontId="22" type="noConversion"/>
  </si>
  <si>
    <t>가구 도어</t>
    <phoneticPr fontId="22" type="noConversion"/>
  </si>
  <si>
    <t>슬라이딩 도어</t>
    <phoneticPr fontId="2" type="noConversion"/>
  </si>
  <si>
    <t xml:space="preserve">아덱스 도막방수제 2회 </t>
    <phoneticPr fontId="22" type="noConversion"/>
  </si>
  <si>
    <t>거실</t>
    <phoneticPr fontId="22" type="noConversion"/>
  </si>
  <si>
    <t>주방,방</t>
    <phoneticPr fontId="22" type="noConversion"/>
  </si>
  <si>
    <t>안방,거실 화장실</t>
    <phoneticPr fontId="22" type="noConversion"/>
  </si>
  <si>
    <t>바닥면적 확장,조적 및 미장</t>
    <phoneticPr fontId="22" type="noConversion"/>
  </si>
  <si>
    <t>방</t>
    <phoneticPr fontId="22" type="noConversion"/>
  </si>
  <si>
    <t>안방 화장실</t>
    <phoneticPr fontId="22" type="noConversion"/>
  </si>
  <si>
    <t>은경 추가</t>
    <phoneticPr fontId="22" type="noConversion"/>
  </si>
  <si>
    <t>-</t>
    <phoneticPr fontId="22" type="noConversion"/>
  </si>
  <si>
    <t>운임</t>
    <phoneticPr fontId="22" type="noConversion"/>
  </si>
  <si>
    <t>은경 제작 운임</t>
    <phoneticPr fontId="22" type="noConversion"/>
  </si>
  <si>
    <t>식</t>
    <phoneticPr fontId="22" type="noConversion"/>
  </si>
  <si>
    <t>가구 도어</t>
    <phoneticPr fontId="22" type="noConversion"/>
  </si>
  <si>
    <t>가구 도어</t>
    <phoneticPr fontId="22" type="noConversion"/>
  </si>
  <si>
    <t>현관(신발장)</t>
    <phoneticPr fontId="22" type="noConversion"/>
  </si>
  <si>
    <t>현관(스타일러장)</t>
    <phoneticPr fontId="22" type="noConversion"/>
  </si>
  <si>
    <t>-</t>
    <phoneticPr fontId="22" type="noConversion"/>
  </si>
  <si>
    <t>스타일러 장</t>
    <phoneticPr fontId="22" type="noConversion"/>
  </si>
  <si>
    <t>플랩장</t>
    <phoneticPr fontId="22" type="noConversion"/>
  </si>
  <si>
    <t>드레스룸</t>
    <phoneticPr fontId="22" type="noConversion"/>
  </si>
  <si>
    <t>EA</t>
    <phoneticPr fontId="22" type="noConversion"/>
  </si>
  <si>
    <t>상판</t>
    <phoneticPr fontId="22" type="noConversion"/>
  </si>
  <si>
    <t>은경(거울)</t>
    <phoneticPr fontId="2" type="noConversion"/>
  </si>
  <si>
    <t>냉장고 장 A</t>
    <phoneticPr fontId="2" type="noConversion"/>
  </si>
  <si>
    <t>ㄴ 팬트리 및 밥솥 레일, 서랍,선반,블룸 등 스펙에 따라 변동 (견적미포함)</t>
    <phoneticPr fontId="22" type="noConversion"/>
  </si>
  <si>
    <t>공용부 면적*2</t>
    <phoneticPr fontId="22" type="noConversion"/>
  </si>
  <si>
    <t>기존 배선 제거 후 새로 입선</t>
    <phoneticPr fontId="22" type="noConversion"/>
  </si>
  <si>
    <t>주방</t>
    <phoneticPr fontId="2" type="noConversion"/>
  </si>
  <si>
    <t>화장실</t>
    <phoneticPr fontId="22" type="noConversion"/>
  </si>
  <si>
    <t>-</t>
    <phoneticPr fontId="22" type="noConversion"/>
  </si>
  <si>
    <t>거실,안방</t>
    <phoneticPr fontId="22" type="noConversion"/>
  </si>
  <si>
    <t>식</t>
    <phoneticPr fontId="22" type="noConversion"/>
  </si>
  <si>
    <t>PS합판</t>
    <phoneticPr fontId="22" type="noConversion"/>
  </si>
  <si>
    <t>디자인 및 자재 스펙에 따른 변동</t>
    <phoneticPr fontId="22" type="noConversion"/>
  </si>
  <si>
    <t>히든도어</t>
    <phoneticPr fontId="22" type="noConversion"/>
  </si>
  <si>
    <t>작업실,드레스룸</t>
    <phoneticPr fontId="22" type="noConversion"/>
  </si>
  <si>
    <t>신설벽체</t>
    <phoneticPr fontId="22" type="noConversion"/>
  </si>
  <si>
    <t>신설벽체</t>
    <phoneticPr fontId="22" type="noConversion"/>
  </si>
  <si>
    <t>20T*2 아이소핑크</t>
    <phoneticPr fontId="22" type="noConversion"/>
  </si>
  <si>
    <t>커튼 박스</t>
    <phoneticPr fontId="22" type="noConversion"/>
  </si>
  <si>
    <t>욕조 수전</t>
    <phoneticPr fontId="2" type="noConversion"/>
  </si>
  <si>
    <t>욕조 수전</t>
    <phoneticPr fontId="2" type="noConversion"/>
  </si>
  <si>
    <t>매립 2홀 수전</t>
    <phoneticPr fontId="22" type="noConversion"/>
  </si>
  <si>
    <t>1000*1700</t>
    <phoneticPr fontId="22" type="noConversion"/>
  </si>
  <si>
    <t>M2</t>
    <phoneticPr fontId="22" type="noConversion"/>
  </si>
  <si>
    <t>천장</t>
    <phoneticPr fontId="22" type="noConversion"/>
  </si>
  <si>
    <t>작업실, 드레스룸</t>
    <phoneticPr fontId="22" type="noConversion"/>
  </si>
  <si>
    <t>영림발렌</t>
    <phoneticPr fontId="22" type="noConversion"/>
  </si>
  <si>
    <t>작업방</t>
    <phoneticPr fontId="22" type="noConversion"/>
  </si>
  <si>
    <t>안방</t>
    <phoneticPr fontId="22" type="noConversion"/>
  </si>
  <si>
    <t>신설 벽체 포함</t>
    <phoneticPr fontId="22" type="noConversion"/>
  </si>
  <si>
    <t>신설 벽체 포함</t>
    <phoneticPr fontId="22" type="noConversion"/>
  </si>
  <si>
    <t>행위허가</t>
    <phoneticPr fontId="22" type="noConversion"/>
  </si>
  <si>
    <t>자재 양중</t>
    <phoneticPr fontId="22" type="noConversion"/>
  </si>
  <si>
    <t>싱크 수전(메인)</t>
    <phoneticPr fontId="2" type="noConversion"/>
  </si>
  <si>
    <t>싱크볼(메인)</t>
    <phoneticPr fontId="2" type="noConversion"/>
  </si>
  <si>
    <t>SQSR380</t>
    <phoneticPr fontId="22" type="noConversion"/>
  </si>
  <si>
    <t>ABS 도어 및 문틀</t>
    <phoneticPr fontId="22" type="noConversion"/>
  </si>
  <si>
    <t>천장 골조 및 석고보드</t>
    <phoneticPr fontId="22" type="noConversion"/>
  </si>
  <si>
    <t>가구 도어</t>
    <phoneticPr fontId="22" type="noConversion"/>
  </si>
  <si>
    <t>디아망 포티스 부자재 포함</t>
    <phoneticPr fontId="22" type="noConversion"/>
  </si>
  <si>
    <t>PNC44</t>
    <phoneticPr fontId="22" type="noConversion"/>
  </si>
  <si>
    <t>아메리칸 리비어 FB2614</t>
    <phoneticPr fontId="22" type="noConversion"/>
  </si>
  <si>
    <t>원목마루</t>
    <phoneticPr fontId="22" type="noConversion"/>
  </si>
  <si>
    <t>디엔메종 믹싱불</t>
    <phoneticPr fontId="22" type="noConversion"/>
  </si>
  <si>
    <t>샷시</t>
    <phoneticPr fontId="22" type="noConversion"/>
  </si>
  <si>
    <t>난방배관 교체</t>
    <phoneticPr fontId="22" type="noConversion"/>
  </si>
  <si>
    <t>홈파기 / 분배기 교체 포함</t>
    <phoneticPr fontId="22" type="noConversion"/>
  </si>
  <si>
    <t>난방</t>
    <phoneticPr fontId="22" type="noConversion"/>
  </si>
  <si>
    <t>개별 보일러</t>
    <phoneticPr fontId="22" type="noConversion"/>
  </si>
  <si>
    <t>마그네틱 조명</t>
    <phoneticPr fontId="22" type="noConversion"/>
  </si>
  <si>
    <t>팬던트</t>
    <phoneticPr fontId="22" type="noConversion"/>
  </si>
  <si>
    <t>고객 지급 자재</t>
    <phoneticPr fontId="22" type="noConversion"/>
  </si>
  <si>
    <t>3구 프레임</t>
    <phoneticPr fontId="22" type="noConversion"/>
  </si>
  <si>
    <t>UTP</t>
    <phoneticPr fontId="22" type="noConversion"/>
  </si>
  <si>
    <t>융(매트화이트)</t>
    <phoneticPr fontId="22" type="noConversion"/>
  </si>
  <si>
    <t>3로 스위치</t>
    <phoneticPr fontId="22" type="noConversion"/>
  </si>
  <si>
    <t>안방 발코니</t>
    <phoneticPr fontId="22" type="noConversion"/>
  </si>
  <si>
    <t>플로어 콘센트</t>
    <phoneticPr fontId="2" type="noConversion"/>
  </si>
  <si>
    <t>바닥 매립</t>
    <phoneticPr fontId="22" type="noConversion"/>
  </si>
  <si>
    <t>이건 그린 230</t>
    <phoneticPr fontId="22" type="noConversion"/>
  </si>
  <si>
    <r>
      <rPr>
        <sz val="9"/>
        <color theme="1"/>
        <rFont val="에스코어 드림 5 Medium"/>
        <family val="3"/>
        <charset val="129"/>
      </rPr>
      <t>보일러</t>
    </r>
    <phoneticPr fontId="22" type="noConversion"/>
  </si>
  <si>
    <r>
      <rPr>
        <sz val="9"/>
        <color rgb="FFFF0000"/>
        <rFont val="에스코어 드림 5 Medium"/>
        <family val="2"/>
        <charset val="129"/>
      </rPr>
      <t>에어컨</t>
    </r>
    <phoneticPr fontId="22" type="noConversion"/>
  </si>
  <si>
    <r>
      <rPr>
        <sz val="9"/>
        <color rgb="FFFF0000"/>
        <rFont val="에스코어 드림 5 Medium"/>
        <family val="2"/>
        <charset val="129"/>
      </rPr>
      <t>창호</t>
    </r>
    <phoneticPr fontId="22" type="noConversion"/>
  </si>
  <si>
    <t>경동보일러 / 별도</t>
    <phoneticPr fontId="22" type="noConversion"/>
  </si>
  <si>
    <t>별도 / KCC</t>
    <phoneticPr fontId="22" type="noConversion"/>
  </si>
  <si>
    <t>별도 / LG 시스템에어컨 5대</t>
    <phoneticPr fontId="22" type="noConversion"/>
  </si>
  <si>
    <t>구글네스트 4세대</t>
    <phoneticPr fontId="22" type="noConversion"/>
  </si>
  <si>
    <t>지역난방 / 분배기 가지관 교체</t>
    <phoneticPr fontId="22" type="noConversion"/>
  </si>
  <si>
    <t>영림</t>
    <phoneticPr fontId="22" type="noConversion"/>
  </si>
  <si>
    <t>샷시</t>
    <phoneticPr fontId="2" type="noConversion"/>
  </si>
  <si>
    <t>벽체 및 선반</t>
    <phoneticPr fontId="2" type="noConversion"/>
  </si>
  <si>
    <t>좌측</t>
    <phoneticPr fontId="22" type="noConversion"/>
  </si>
  <si>
    <t>오픈장</t>
    <phoneticPr fontId="22" type="noConversion"/>
  </si>
  <si>
    <t>하부장  EP</t>
    <phoneticPr fontId="2" type="noConversion"/>
  </si>
  <si>
    <t>상,하부장  EP</t>
    <phoneticPr fontId="2" type="noConversion"/>
  </si>
  <si>
    <t>좌,우측</t>
    <phoneticPr fontId="22" type="noConversion"/>
  </si>
  <si>
    <t>가구 EP</t>
    <phoneticPr fontId="2" type="noConversion"/>
  </si>
  <si>
    <t>가운데</t>
    <phoneticPr fontId="22" type="noConversion"/>
  </si>
  <si>
    <t>상,하부장</t>
    <phoneticPr fontId="22" type="noConversion"/>
  </si>
  <si>
    <t>세면대 하부장</t>
    <phoneticPr fontId="2" type="noConversion"/>
  </si>
  <si>
    <t>세면대 하부</t>
    <phoneticPr fontId="22" type="noConversion"/>
  </si>
  <si>
    <t>상부장 LED 조명</t>
    <phoneticPr fontId="2" type="noConversion"/>
  </si>
  <si>
    <t>상부장 조명 프로파일</t>
    <phoneticPr fontId="2" type="noConversion"/>
  </si>
  <si>
    <t>800*2300</t>
    <phoneticPr fontId="22" type="noConversion"/>
  </si>
  <si>
    <t>1200*1600</t>
    <phoneticPr fontId="22" type="noConversion"/>
  </si>
  <si>
    <t>윈도우시트</t>
    <phoneticPr fontId="22" type="noConversion"/>
  </si>
  <si>
    <t>입구방 1</t>
    <phoneticPr fontId="22" type="noConversion"/>
  </si>
  <si>
    <t>입구방1</t>
    <phoneticPr fontId="22" type="noConversion"/>
  </si>
  <si>
    <t>스타일러</t>
    <phoneticPr fontId="2" type="noConversion"/>
  </si>
  <si>
    <t>입구방1 발코니</t>
    <phoneticPr fontId="22" type="noConversion"/>
  </si>
  <si>
    <t>입구방 2</t>
    <phoneticPr fontId="22" type="noConversion"/>
  </si>
  <si>
    <t>상부장</t>
    <phoneticPr fontId="22" type="noConversion"/>
  </si>
  <si>
    <t>상부장  EP</t>
    <phoneticPr fontId="2" type="noConversion"/>
  </si>
  <si>
    <t>좌,우 측</t>
    <phoneticPr fontId="22" type="noConversion"/>
  </si>
  <si>
    <t>싱크볼</t>
    <phoneticPr fontId="2" type="noConversion"/>
  </si>
  <si>
    <t>싱크 수전</t>
    <phoneticPr fontId="2" type="noConversion"/>
  </si>
  <si>
    <t>상판, 측면</t>
    <phoneticPr fontId="22" type="noConversion"/>
  </si>
  <si>
    <t>직부등</t>
    <phoneticPr fontId="2" type="noConversion"/>
  </si>
  <si>
    <t>슬림형 엣지</t>
    <phoneticPr fontId="22" type="noConversion"/>
  </si>
  <si>
    <t>입구방  2</t>
    <phoneticPr fontId="22" type="noConversion"/>
  </si>
  <si>
    <t>입구방2</t>
    <phoneticPr fontId="22" type="noConversion"/>
  </si>
  <si>
    <t>비디오폰 및 도어락</t>
    <phoneticPr fontId="22" type="noConversion"/>
  </si>
  <si>
    <t>입구방 1 발코니</t>
    <phoneticPr fontId="22" type="noConversion"/>
  </si>
  <si>
    <t>방 / 확장부</t>
    <phoneticPr fontId="22" type="noConversion"/>
  </si>
  <si>
    <t>거실 / 확장부</t>
    <phoneticPr fontId="22" type="noConversion"/>
  </si>
  <si>
    <t>스텝도어</t>
    <phoneticPr fontId="22" type="noConversion"/>
  </si>
  <si>
    <t>안방, 현관</t>
    <phoneticPr fontId="22" type="noConversion"/>
  </si>
  <si>
    <t>현관, 거실, 방</t>
    <phoneticPr fontId="22" type="noConversion"/>
  </si>
  <si>
    <r>
      <rPr>
        <sz val="9"/>
        <rFont val="Malgun Gothic"/>
        <family val="2"/>
        <charset val="129"/>
      </rPr>
      <t>컬러</t>
    </r>
    <r>
      <rPr>
        <sz val="9"/>
        <rFont val="Calibri"/>
        <family val="2"/>
      </rPr>
      <t xml:space="preserve"> MDF </t>
    </r>
    <phoneticPr fontId="22" type="noConversion"/>
  </si>
  <si>
    <t>원목 선일마루 - 오크네츄럴</t>
    <phoneticPr fontId="22" type="noConversion"/>
  </si>
  <si>
    <t>아메리칸 플랫 비데일체형</t>
    <phoneticPr fontId="22" type="noConversion"/>
  </si>
  <si>
    <t>타일세면대</t>
    <phoneticPr fontId="2" type="noConversion"/>
  </si>
  <si>
    <t>휴젠트  노바</t>
    <phoneticPr fontId="22" type="noConversion"/>
  </si>
  <si>
    <t>1200*1200</t>
    <phoneticPr fontId="22" type="noConversion"/>
  </si>
  <si>
    <t>2홀 수전</t>
    <phoneticPr fontId="22" type="noConversion"/>
  </si>
  <si>
    <t>PROJECT: 진산마을 삼성레미안 5단지 인테리어 공사</t>
    <phoneticPr fontId="2" type="noConversion"/>
  </si>
  <si>
    <t>TO : 정혜경 고객님</t>
    <rPh sb="0" eb="5">
      <t>ｷｶ</t>
    </rPh>
    <phoneticPr fontId="109" type="noConversion"/>
  </si>
  <si>
    <t>진산마을 삼성레미안 5단지 인테리어 공사</t>
    <phoneticPr fontId="22" type="noConversion"/>
  </si>
  <si>
    <t>정혜경 고객님</t>
    <phoneticPr fontId="22" type="noConversion"/>
  </si>
  <si>
    <t>금속 구조틀</t>
    <phoneticPr fontId="22" type="noConversion"/>
  </si>
  <si>
    <t>벤치 및 선반</t>
    <phoneticPr fontId="22" type="noConversion"/>
  </si>
  <si>
    <t>구글네스트 3세대</t>
    <phoneticPr fontId="22" type="noConversion"/>
  </si>
  <si>
    <t>각방</t>
    <phoneticPr fontId="22" type="noConversion"/>
  </si>
  <si>
    <t>하부장 보강</t>
    <phoneticPr fontId="22" type="noConversion"/>
  </si>
  <si>
    <t>디아망  부자재 포함</t>
    <phoneticPr fontId="22" type="noConversion"/>
  </si>
  <si>
    <t>포티스 부자재 포함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</si>
</sst>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24" formatCode="\$#,##0_);[Red]\(\$#,##0\)"/>
    <numFmt numFmtId="176" formatCode="&quot;₩&quot;#,##0;\-&quot;₩&quot;#,##0"/>
    <numFmt numFmtId="177" formatCode="_-&quot;₩&quot;* #,##0_-;\-&quot;₩&quot;* #,##0_-;_-&quot;₩&quot;* &quot;-&quot;_-;_-@_-"/>
    <numFmt numFmtId="178" formatCode="_-* #,##0_-;\-* #,##0_-;_-* &quot;-&quot;_-;_-@_-"/>
    <numFmt numFmtId="179" formatCode="_-* #,##0.00_-;\-* #,##0.00_-;_-* &quot;-&quot;??_-;_-@_-"/>
    <numFmt numFmtId="180" formatCode="&quot;$&quot;#,##0.00_);\(&quot;$&quot;#,##0.00\)"/>
    <numFmt numFmtId="181" formatCode="_(&quot;$&quot;* #,##0.00_);_(&quot;$&quot;* \(#,##0.00\);_(&quot;$&quot;* &quot;-&quot;??_);_(@_)"/>
    <numFmt numFmtId="182" formatCode="_ &quot;₩&quot;* #,##0_ ;_ &quot;₩&quot;* \-#,##0_ ;_ &quot;₩&quot;* &quot;-&quot;_ ;_ @_ "/>
    <numFmt numFmtId="183" formatCode="_ * #,##0_ ;_ * \-#,##0_ ;_ * &quot;-&quot;_ ;_ @_ "/>
    <numFmt numFmtId="184" formatCode="_ * #,##0.00_ ;_ * \-#,##0.00_ ;_ * &quot;-&quot;??_ ;_ @_ "/>
    <numFmt numFmtId="185" formatCode="&quot;₩&quot;#,##0.00;[Red]&quot;₩&quot;\-#,##0.00"/>
    <numFmt numFmtId="186" formatCode="\$#,##0\ ;\(\$#,##0\)"/>
    <numFmt numFmtId="187" formatCode="0.0%"/>
    <numFmt numFmtId="188" formatCode="&quot;(&quot;###.00&quot;)&quot;"/>
    <numFmt numFmtId="189" formatCode="_ &quot;₩&quot;* #,##0.00_ ;_ &quot;₩&quot;* \-#,##0.00_ ;_ &quot;₩&quot;* &quot;-&quot;??_ ;_ @_ "/>
    <numFmt numFmtId="190" formatCode="[Red]\+#;[Red]\-#;[Red]0"/>
    <numFmt numFmtId="191" formatCode="#,##0;[Red]&quot;△&quot;#,##0"/>
    <numFmt numFmtId="192" formatCode="#,##0_ ;[Red]&quot;△&quot;#,##0\ "/>
    <numFmt numFmtId="193" formatCode="#,##0.0;[Red]#,##0.0;&quot; &quot;"/>
    <numFmt numFmtId="194" formatCode="yyyy&quot;年&quot;m&quot;月&quot;d&quot;日&quot;"/>
    <numFmt numFmtId="195" formatCode="0.0000%"/>
    <numFmt numFmtId="196" formatCode="0.0%;[Red]\(0.0%\)"/>
    <numFmt numFmtId="197" formatCode="#,##0&quot; 원&quot;"/>
    <numFmt numFmtId="198" formatCode="#,##0.00;[Red]#,##0.00;&quot; &quot;"/>
    <numFmt numFmtId="199" formatCode="#."/>
    <numFmt numFmtId="200" formatCode="&quot;₩&quot;#,##0;&quot;₩&quot;&quot;₩&quot;&quot;₩&quot;&quot;₩&quot;\-#,##0"/>
    <numFmt numFmtId="201" formatCode="0.0%;[Red]&quot;△&quot;0.0%"/>
    <numFmt numFmtId="202" formatCode="0.00%;[Red]&quot;△&quot;0.00%"/>
    <numFmt numFmtId="203" formatCode="#,##0_ ;[Red]\-#,##0\ "/>
    <numFmt numFmtId="204" formatCode="General_)"/>
    <numFmt numFmtId="205" formatCode="_-* #,##0;\-* #,##0;_-* &quot;-&quot;;_-@"/>
    <numFmt numFmtId="206" formatCode="#,##0;[Red]&quot;-&quot;#,##0"/>
    <numFmt numFmtId="207" formatCode="&quot;  &quot;@"/>
    <numFmt numFmtId="208" formatCode="#,##0.0#####\ ;[Red]\-#,##0.0#####\ "/>
    <numFmt numFmtId="209" formatCode="#,##0_ "/>
    <numFmt numFmtId="210" formatCode="#,##0\ ;[Red]&quot;-&quot;#,##0\ "/>
    <numFmt numFmtId="211" formatCode="* #,##0\ ;[Red]* &quot;-&quot;#,##0\ "/>
    <numFmt numFmtId="212" formatCode="_-* #,##0.000_-;\-* #,##0.000_-;_-* &quot;-&quot;_-;_-@_-"/>
    <numFmt numFmtId="213" formatCode="#,##0.####;[Red]&quot;-&quot;#,##0.####"/>
    <numFmt numFmtId="214" formatCode="_-* #,##0.00_-;&quot;₩&quot;&quot;₩&quot;\-* #,##0.00_-;_-* &quot;-&quot;??_-;_-@_-"/>
    <numFmt numFmtId="215" formatCode="_-&quot;₩&quot;* #,##0.00_-;&quot;₩&quot;&quot;₩&quot;\-&quot;₩&quot;* #,##0.00_-;_-&quot;₩&quot;* &quot;-&quot;??_-;_-@_-"/>
    <numFmt numFmtId="216" formatCode="&quot;₩&quot;#,##0.00;&quot;₩&quot;&quot;₩&quot;&quot;₩&quot;&quot;₩&quot;\-#,##0.00"/>
    <numFmt numFmtId="217" formatCode="_ &quot;₩&quot;\ * #,##0_ ;_ &quot;₩&quot;\ * \-#,##0_ ;_ &quot;₩&quot;\ * &quot;-&quot;_ ;_ @_ "/>
    <numFmt numFmtId="218" formatCode="yy\.mm\.dd"/>
    <numFmt numFmtId="219" formatCode="General&quot;·&quot;"/>
    <numFmt numFmtId="220" formatCode="\$#.00"/>
    <numFmt numFmtId="221" formatCode="_-[$€-2]* #,##0.00_-;\-[$€-2]* #,##0.00_-;_-[$€-2]* &quot;-&quot;??_-"/>
    <numFmt numFmtId="222" formatCode="&quot;Fr.&quot;\ #,##0;[Red]&quot;Fr.&quot;\ \-#,##0"/>
    <numFmt numFmtId="223" formatCode="&quot;Fr.&quot;\ #,##0.00;[Red]&quot;Fr.&quot;\ \-#,##0.00"/>
    <numFmt numFmtId="224" formatCode="%#.00"/>
    <numFmt numFmtId="225" formatCode="0.00_);[Red]\(0.00\)"/>
    <numFmt numFmtId="226" formatCode="_-* #,##0_-;\-* #,##0_-;_-* &quot;-&quot;??_-;_-@_-"/>
    <numFmt numFmtId="227" formatCode="&quot;₩&quot;#,##0"/>
  </numFmts>
  <fonts count="161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2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name val="맑은 고딕"/>
      <family val="2"/>
      <charset val="129"/>
    </font>
    <font>
      <sz val="9"/>
      <name val="Arial Unicode MS"/>
      <family val="2"/>
      <charset val="129"/>
    </font>
    <font>
      <sz val="9"/>
      <name val="굴림"/>
      <family val="2"/>
      <charset val="129"/>
    </font>
    <font>
      <sz val="9"/>
      <name val="Calibri"/>
      <family val="2"/>
    </font>
    <font>
      <b/>
      <sz val="9"/>
      <name val="굴림"/>
      <family val="2"/>
      <charset val="129"/>
    </font>
    <font>
      <b/>
      <sz val="9"/>
      <color rgb="FFFFFF00"/>
      <name val="에스코어 드림 5 Medium"/>
      <family val="3"/>
      <charset val="129"/>
    </font>
    <font>
      <strike/>
      <sz val="9"/>
      <color rgb="FFFF0000"/>
      <name val="에스코어 드림 5 Medium"/>
      <family val="2"/>
      <charset val="129"/>
    </font>
    <font>
      <sz val="9"/>
      <color theme="1"/>
      <name val="에스코어 드림 5 Medium"/>
      <family val="2"/>
      <charset val="129"/>
    </font>
    <font>
      <sz val="9"/>
      <color rgb="FFFF0000"/>
      <name val="맑은 고딕"/>
      <family val="2"/>
      <charset val="129"/>
    </font>
    <font>
      <b/>
      <sz val="9"/>
      <color rgb="FFFF0000"/>
      <name val="맑은 고딕"/>
      <family val="3"/>
      <charset val="129"/>
    </font>
    <font>
      <b/>
      <sz val="9"/>
      <color rgb="FFFF0000"/>
      <name val="에스코어 드림 5 Medium"/>
      <family val="2"/>
      <charset val="129"/>
    </font>
    <font>
      <b/>
      <sz val="9"/>
      <color rgb="FFFF0000"/>
      <name val="에스코어 드림 5 Medium"/>
      <family val="3"/>
      <charset val="129"/>
    </font>
    <font>
      <sz val="11"/>
      <name val="맑은 고딕"/>
      <family val="3"/>
      <charset val="129"/>
    </font>
    <font>
      <sz val="11"/>
      <name val="에스코어 드림 6 Bold"/>
      <family val="3"/>
      <charset val="129"/>
    </font>
    <font>
      <b/>
      <sz val="9"/>
      <name val="에스코어 드림 5 Medium"/>
      <family val="3"/>
      <charset val="129"/>
    </font>
    <font>
      <sz val="9"/>
      <color rgb="FFFF0000"/>
      <name val="Arial Unicode MS"/>
      <family val="2"/>
      <charset val="129"/>
    </font>
    <font>
      <sz val="9"/>
      <color rgb="FFFF0000"/>
      <name val="에스코어 드림 5 Medium"/>
    </font>
    <font>
      <sz val="9"/>
      <color theme="1"/>
      <name val="에스코어 드림 5 Medium"/>
    </font>
    <font>
      <b/>
      <sz val="9"/>
      <color rgb="FFFF0000"/>
      <name val="에스코어 드림 5 Medium"/>
    </font>
    <font>
      <sz val="9"/>
      <color theme="1"/>
      <name val="에스코어 드림 5 Medium"/>
      <family val="3"/>
      <charset val="129"/>
    </font>
    <font>
      <sz val="9"/>
      <color rgb="FFFF0000"/>
      <name val="에스코어 드림 6 Bold"/>
      <family val="2"/>
      <charset val="129"/>
    </font>
    <font>
      <sz val="9"/>
      <color rgb="FFFF0000"/>
      <name val="에스코어 드림 4 Regular"/>
      <family val="2"/>
      <charset val="129"/>
    </font>
    <font>
      <sz val="9"/>
      <name val="에스코어 드림 5 Medium"/>
    </font>
    <font>
      <sz val="9"/>
      <name val="Malgun Gothic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88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3" fillId="0" borderId="1">
      <alignment horizontal="center"/>
    </xf>
    <xf numFmtId="3" fontId="11" fillId="0" borderId="2"/>
    <xf numFmtId="24" fontId="2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82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28" fillId="0" borderId="0"/>
    <xf numFmtId="0" fontId="29" fillId="0" borderId="0"/>
    <xf numFmtId="0" fontId="6" fillId="0" borderId="0" applyNumberFormat="0" applyFill="0" applyBorder="0" applyAlignment="0" applyProtection="0"/>
    <xf numFmtId="183" fontId="27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30" fillId="2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23" fillId="0" borderId="0"/>
    <xf numFmtId="0" fontId="8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2" fillId="0" borderId="0"/>
    <xf numFmtId="0" fontId="7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7" fillId="0" borderId="0" applyFont="0" applyFill="0" applyBorder="0" applyAlignment="0" applyProtection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3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6" fillId="0" borderId="0"/>
    <xf numFmtId="0" fontId="8" fillId="0" borderId="0" applyFont="0" applyFill="0" applyBorder="0" applyAlignment="0" applyProtection="0"/>
    <xf numFmtId="190" fontId="1" fillId="0" borderId="0" applyFont="0" applyFill="0" applyBorder="0" applyProtection="0">
      <alignment vertical="center"/>
    </xf>
    <xf numFmtId="0" fontId="12" fillId="0" borderId="0"/>
    <xf numFmtId="191" fontId="1" fillId="0" borderId="0">
      <alignment vertical="center"/>
    </xf>
    <xf numFmtId="192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105" fillId="0" borderId="0"/>
    <xf numFmtId="183" fontId="38" fillId="0" borderId="2">
      <alignment vertical="center"/>
    </xf>
    <xf numFmtId="0" fontId="7" fillId="0" borderId="0"/>
    <xf numFmtId="3" fontId="11" fillId="0" borderId="2"/>
    <xf numFmtId="3" fontId="11" fillId="0" borderId="2"/>
    <xf numFmtId="183" fontId="39" fillId="0" borderId="3" applyBorder="0">
      <alignment vertical="center"/>
    </xf>
    <xf numFmtId="193" fontId="40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5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7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96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3" fontId="41" fillId="0" borderId="4">
      <alignment horizontal="right" vertical="center"/>
    </xf>
    <xf numFmtId="193" fontId="40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93" fontId="40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194" fontId="3" fillId="0" borderId="0">
      <alignment vertical="center"/>
    </xf>
    <xf numFmtId="0" fontId="42" fillId="0" borderId="0"/>
    <xf numFmtId="198" fontId="1" fillId="0" borderId="0">
      <alignment vertical="center"/>
    </xf>
    <xf numFmtId="0" fontId="3" fillId="0" borderId="0"/>
    <xf numFmtId="0" fontId="3" fillId="0" borderId="0">
      <protection locked="0"/>
    </xf>
    <xf numFmtId="199" fontId="43" fillId="0" borderId="0">
      <protection locked="0"/>
    </xf>
    <xf numFmtId="10" fontId="6" fillId="0" borderId="0" applyFont="0" applyFill="0" applyBorder="0" applyAlignment="0" applyProtection="0"/>
    <xf numFmtId="0" fontId="8" fillId="0" borderId="0"/>
    <xf numFmtId="0" fontId="8" fillId="0" borderId="5">
      <alignment horizontal="center"/>
    </xf>
    <xf numFmtId="2" fontId="41" fillId="0" borderId="4">
      <alignment horizontal="right" vertical="center"/>
    </xf>
    <xf numFmtId="198" fontId="1" fillId="0" borderId="6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4" fillId="0" borderId="0"/>
    <xf numFmtId="0" fontId="45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183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9" fontId="43" fillId="0" borderId="0">
      <protection locked="0"/>
    </xf>
    <xf numFmtId="0" fontId="5" fillId="0" borderId="0">
      <protection locked="0"/>
    </xf>
    <xf numFmtId="199" fontId="4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182" fontId="65" fillId="0" borderId="0" applyFont="0" applyFill="0" applyBorder="0" applyAlignment="0" applyProtection="0"/>
    <xf numFmtId="0" fontId="3" fillId="0" borderId="0" applyFont="0" applyFill="0" applyBorder="0" applyAlignment="0" applyProtection="0"/>
    <xf numFmtId="182" fontId="12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82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177" fontId="6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189" fontId="6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8" fillId="0" borderId="0" applyFont="0" applyFill="0" applyBorder="0" applyAlignment="0" applyProtection="0"/>
    <xf numFmtId="189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218" fontId="3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82" fontId="62" fillId="0" borderId="0" applyFont="0" applyFill="0" applyBorder="0" applyAlignment="0" applyProtection="0"/>
    <xf numFmtId="189" fontId="62" fillId="0" borderId="0" applyFont="0" applyFill="0" applyBorder="0" applyAlignment="0" applyProtection="0"/>
    <xf numFmtId="0" fontId="23" fillId="0" borderId="0"/>
    <xf numFmtId="0" fontId="71" fillId="0" borderId="0">
      <alignment horizontal="center" wrapText="1"/>
      <protection locked="0"/>
    </xf>
    <xf numFmtId="199" fontId="43" fillId="0" borderId="0">
      <protection locked="0"/>
    </xf>
    <xf numFmtId="0" fontId="3" fillId="0" borderId="0">
      <protection locked="0"/>
    </xf>
    <xf numFmtId="199" fontId="43" fillId="0" borderId="0">
      <protection locked="0"/>
    </xf>
    <xf numFmtId="0" fontId="72" fillId="0" borderId="0" applyFont="0" applyFill="0" applyBorder="0" applyAlignment="0" applyProtection="0"/>
    <xf numFmtId="0" fontId="64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12" fillId="0" borderId="0" applyFont="0" applyFill="0" applyBorder="0" applyAlignment="0" applyProtection="0"/>
    <xf numFmtId="183" fontId="1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184" fontId="65" fillId="0" borderId="0" applyFont="0" applyFill="0" applyBorder="0" applyAlignment="0" applyProtection="0"/>
    <xf numFmtId="0" fontId="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67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8" fillId="0" borderId="0" applyFont="0" applyFill="0" applyBorder="0" applyAlignment="0" applyProtection="0">
      <alignment horizontal="right"/>
    </xf>
    <xf numFmtId="0" fontId="74" fillId="0" borderId="0"/>
    <xf numFmtId="0" fontId="75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6" fillId="0" borderId="0"/>
    <xf numFmtId="0" fontId="77" fillId="0" borderId="0"/>
    <xf numFmtId="0" fontId="62" fillId="0" borderId="0">
      <alignment vertical="center"/>
    </xf>
    <xf numFmtId="199" fontId="43" fillId="0" borderId="0">
      <protection locked="0"/>
    </xf>
    <xf numFmtId="0" fontId="78" fillId="0" borderId="0"/>
    <xf numFmtId="0" fontId="79" fillId="0" borderId="0"/>
    <xf numFmtId="0" fontId="80" fillId="0" borderId="0"/>
    <xf numFmtId="0" fontId="64" fillId="0" borderId="0"/>
    <xf numFmtId="0" fontId="80" fillId="0" borderId="0"/>
    <xf numFmtId="0" fontId="79" fillId="0" borderId="0"/>
    <xf numFmtId="0" fontId="81" fillId="0" borderId="0"/>
    <xf numFmtId="0" fontId="64" fillId="0" borderId="0"/>
    <xf numFmtId="0" fontId="77" fillId="0" borderId="0"/>
    <xf numFmtId="0" fontId="80" fillId="0" borderId="0"/>
    <xf numFmtId="0" fontId="66" fillId="0" borderId="0"/>
    <xf numFmtId="0" fontId="66" fillId="0" borderId="0"/>
    <xf numFmtId="0" fontId="12" fillId="0" borderId="0"/>
    <xf numFmtId="49" fontId="66" fillId="0" borderId="0" applyBorder="0"/>
    <xf numFmtId="0" fontId="82" fillId="0" borderId="0"/>
    <xf numFmtId="0" fontId="66" fillId="0" borderId="0"/>
    <xf numFmtId="0" fontId="68" fillId="0" borderId="0"/>
    <xf numFmtId="0" fontId="66" fillId="0" borderId="0"/>
    <xf numFmtId="0" fontId="12" fillId="0" borderId="0"/>
    <xf numFmtId="0" fontId="66" fillId="0" borderId="0"/>
    <xf numFmtId="0" fontId="83" fillId="0" borderId="0"/>
    <xf numFmtId="0" fontId="67" fillId="0" borderId="0"/>
    <xf numFmtId="37" fontId="12" fillId="0" borderId="0"/>
    <xf numFmtId="0" fontId="6" fillId="0" borderId="0"/>
    <xf numFmtId="0" fontId="72" fillId="0" borderId="0"/>
    <xf numFmtId="0" fontId="66" fillId="0" borderId="0"/>
    <xf numFmtId="0" fontId="6" fillId="0" borderId="0"/>
    <xf numFmtId="0" fontId="6" fillId="0" borderId="0"/>
    <xf numFmtId="219" fontId="8" fillId="0" borderId="0" applyFill="0" applyBorder="0" applyAlignment="0"/>
    <xf numFmtId="0" fontId="8" fillId="0" borderId="0" applyFill="0" applyBorder="0" applyAlignment="0"/>
    <xf numFmtId="0" fontId="8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14" fillId="0" borderId="0"/>
    <xf numFmtId="0" fontId="85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50" fillId="0" borderId="0">
      <protection locked="0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58" fillId="0" borderId="0" applyFont="0" applyFill="0" applyBorder="0" applyAlignment="0" applyProtection="0"/>
    <xf numFmtId="0" fontId="8" fillId="0" borderId="0"/>
    <xf numFmtId="179" fontId="6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87" fillId="0" borderId="0" applyNumberFormat="0" applyAlignment="0">
      <alignment horizontal="left"/>
    </xf>
    <xf numFmtId="0" fontId="7" fillId="0" borderId="0" applyFont="0" applyFill="0" applyBorder="0" applyAlignment="0" applyProtection="0"/>
    <xf numFmtId="220" fontId="50" fillId="0" borderId="0">
      <protection locked="0"/>
    </xf>
    <xf numFmtId="0" fontId="23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6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6" fillId="0" borderId="0"/>
    <xf numFmtId="0" fontId="15" fillId="0" borderId="0" applyFont="0" applyFill="0" applyBorder="0" applyAlignment="0" applyProtection="0"/>
    <xf numFmtId="14" fontId="34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88" fillId="0" borderId="0" applyNumberFormat="0" applyAlignment="0">
      <alignment horizontal="left"/>
    </xf>
    <xf numFmtId="221" fontId="3" fillId="0" borderId="0" applyFont="0" applyFill="0" applyBorder="0" applyAlignment="0" applyProtection="0"/>
    <xf numFmtId="0" fontId="50" fillId="0" borderId="0">
      <protection locked="0"/>
    </xf>
    <xf numFmtId="0" fontId="50" fillId="0" borderId="0">
      <protection locked="0"/>
    </xf>
    <xf numFmtId="0" fontId="89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89" fillId="0" borderId="0">
      <protection locked="0"/>
    </xf>
    <xf numFmtId="3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90" fillId="0" borderId="0" applyNumberFormat="0" applyFill="0" applyBorder="0" applyAlignment="0" applyProtection="0"/>
    <xf numFmtId="2" fontId="91" fillId="0" borderId="0">
      <alignment horizontal="left"/>
    </xf>
    <xf numFmtId="38" fontId="16" fillId="3" borderId="0" applyNumberFormat="0" applyBorder="0" applyAlignment="0" applyProtection="0"/>
    <xf numFmtId="3" fontId="49" fillId="0" borderId="9">
      <alignment horizontal="right" vertical="center"/>
    </xf>
    <xf numFmtId="4" fontId="49" fillId="0" borderId="9">
      <alignment horizontal="right" vertical="center"/>
    </xf>
    <xf numFmtId="0" fontId="17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99" fontId="46" fillId="0" borderId="0">
      <protection locked="0"/>
    </xf>
    <xf numFmtId="199" fontId="46" fillId="0" borderId="0">
      <protection locked="0"/>
    </xf>
    <xf numFmtId="0" fontId="92" fillId="0" borderId="12">
      <alignment horizontal="center"/>
    </xf>
    <xf numFmtId="0" fontId="92" fillId="0" borderId="0">
      <alignment horizontal="center"/>
    </xf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0" fontId="16" fillId="3" borderId="2" applyNumberFormat="0" applyBorder="0" applyAlignment="0" applyProtection="0"/>
    <xf numFmtId="0" fontId="3" fillId="0" borderId="12">
      <protection locked="0"/>
    </xf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12"/>
    <xf numFmtId="222" fontId="23" fillId="0" borderId="0" applyFont="0" applyFill="0" applyBorder="0" applyAlignment="0" applyProtection="0"/>
    <xf numFmtId="223" fontId="23" fillId="0" borderId="0" applyFont="0" applyFill="0" applyBorder="0" applyAlignment="0" applyProtection="0"/>
    <xf numFmtId="176" fontId="15" fillId="0" borderId="0" applyFont="0" applyFill="0" applyBorder="0" applyAlignment="0" applyProtection="0"/>
    <xf numFmtId="37" fontId="95" fillId="0" borderId="0"/>
    <xf numFmtId="0" fontId="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4" fontId="1" fillId="0" borderId="0">
      <alignment vertical="center"/>
    </xf>
    <xf numFmtId="14" fontId="71" fillId="0" borderId="0">
      <alignment horizontal="center" wrapText="1"/>
      <protection locked="0"/>
    </xf>
    <xf numFmtId="224" fontId="50" fillId="0" borderId="0">
      <protection locked="0"/>
    </xf>
    <xf numFmtId="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6" fillId="4" borderId="0" applyNumberFormat="0" applyFont="0" applyBorder="0" applyAlignment="0">
      <alignment horizontal="center"/>
    </xf>
    <xf numFmtId="14" fontId="97" fillId="0" borderId="0" applyNumberFormat="0" applyFill="0" applyBorder="0" applyAlignment="0" applyProtection="0">
      <alignment horizontal="left"/>
    </xf>
    <xf numFmtId="0" fontId="49" fillId="0" borderId="2" applyNumberFormat="0" applyFont="0" applyFill="0" applyAlignment="0" applyProtection="0"/>
    <xf numFmtId="0" fontId="8" fillId="0" borderId="0"/>
    <xf numFmtId="4" fontId="98" fillId="5" borderId="13" applyNumberFormat="0" applyProtection="0">
      <alignment vertical="center"/>
    </xf>
    <xf numFmtId="4" fontId="99" fillId="6" borderId="13" applyNumberFormat="0" applyProtection="0">
      <alignment horizontal="right" vertical="center"/>
    </xf>
    <xf numFmtId="225" fontId="1" fillId="0" borderId="0">
      <alignment horizontal="right" vertical="center"/>
    </xf>
    <xf numFmtId="0" fontId="96" fillId="1" borderId="11" applyNumberFormat="0" applyFont="0" applyAlignment="0">
      <alignment horizontal="center"/>
    </xf>
    <xf numFmtId="0" fontId="100" fillId="0" borderId="0" applyNumberFormat="0" applyFill="0" applyBorder="0" applyAlignment="0">
      <alignment horizontal="center"/>
    </xf>
    <xf numFmtId="225" fontId="1" fillId="0" borderId="0">
      <alignment vertical="distributed"/>
    </xf>
    <xf numFmtId="0" fontId="3" fillId="0" borderId="0">
      <alignment horizontal="center"/>
    </xf>
    <xf numFmtId="0" fontId="20" fillId="0" borderId="0"/>
    <xf numFmtId="40" fontId="101" fillId="0" borderId="0" applyBorder="0">
      <alignment horizontal="right"/>
    </xf>
    <xf numFmtId="49" fontId="3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49" fontId="102" fillId="0" borderId="0" applyFill="0" applyBorder="0" applyProtection="0">
      <alignment horizontal="centerContinuous" vertical="center"/>
    </xf>
    <xf numFmtId="0" fontId="103" fillId="0" borderId="0" applyFill="0" applyBorder="0" applyProtection="0">
      <alignment horizontal="centerContinuous" vertical="center"/>
    </xf>
    <xf numFmtId="0" fontId="24" fillId="3" borderId="0" applyFill="0" applyBorder="0" applyProtection="0">
      <alignment horizontal="center" vertical="center"/>
    </xf>
    <xf numFmtId="49" fontId="102" fillId="0" borderId="0" applyFill="0" applyBorder="0" applyProtection="0">
      <alignment horizontal="centerContinuous" vertical="center"/>
    </xf>
    <xf numFmtId="0" fontId="15" fillId="0" borderId="14" applyNumberFormat="0" applyFont="0" applyFill="0" applyAlignment="0" applyProtection="0"/>
    <xf numFmtId="0" fontId="104" fillId="0" borderId="5">
      <alignment horizontal="left"/>
    </xf>
    <xf numFmtId="2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4" fillId="0" borderId="0"/>
    <xf numFmtId="200" fontId="8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7" fillId="0" borderId="0"/>
    <xf numFmtId="38" fontId="48" fillId="0" borderId="0"/>
    <xf numFmtId="191" fontId="7" fillId="0" borderId="15" applyFont="0" applyFill="0" applyBorder="0" applyAlignment="0">
      <alignment horizontal="left" vertical="center"/>
    </xf>
    <xf numFmtId="0" fontId="49" fillId="0" borderId="16" applyNumberFormat="0" applyFont="0" applyFill="0" applyAlignment="0" applyProtection="0"/>
    <xf numFmtId="0" fontId="49" fillId="0" borderId="17" applyNumberFormat="0" applyFont="0" applyFill="0" applyAlignment="0" applyProtection="0"/>
    <xf numFmtId="0" fontId="3" fillId="0" borderId="0">
      <protection locked="0"/>
    </xf>
    <xf numFmtId="0" fontId="50" fillId="0" borderId="0">
      <protection locked="0"/>
    </xf>
    <xf numFmtId="3" fontId="23" fillId="0" borderId="18">
      <alignment horizontal="center"/>
    </xf>
    <xf numFmtId="37" fontId="11" fillId="0" borderId="0"/>
    <xf numFmtId="0" fontId="50" fillId="0" borderId="0">
      <protection locked="0"/>
    </xf>
    <xf numFmtId="0" fontId="38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3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9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01" fontId="1" fillId="0" borderId="0" applyFont="0" applyFill="0" applyBorder="0" applyProtection="0">
      <alignment horizontal="center" vertical="center"/>
    </xf>
    <xf numFmtId="202" fontId="1" fillId="0" borderId="0" applyFont="0" applyFill="0" applyBorder="0" applyProtection="0">
      <alignment horizontal="center" vertical="center"/>
    </xf>
    <xf numFmtId="9" fontId="48" fillId="3" borderId="0" applyFill="0" applyBorder="0" applyProtection="0">
      <alignment horizontal="right"/>
    </xf>
    <xf numFmtId="10" fontId="48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203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5" fontId="3" fillId="0" borderId="19" applyFont="0" applyFill="0" applyAlignment="0" applyProtection="0">
      <alignment horizontal="center" vertical="center"/>
    </xf>
    <xf numFmtId="0" fontId="8" fillId="0" borderId="0"/>
    <xf numFmtId="183" fontId="51" fillId="0" borderId="15">
      <alignment vertical="center"/>
    </xf>
    <xf numFmtId="204" fontId="52" fillId="0" borderId="0"/>
    <xf numFmtId="0" fontId="1" fillId="0" borderId="0" applyNumberFormat="0" applyFont="0" applyFill="0" applyBorder="0" applyProtection="0">
      <alignment horizontal="centerContinuous" vertical="center"/>
    </xf>
    <xf numFmtId="0" fontId="53" fillId="0" borderId="20">
      <alignment vertical="center"/>
    </xf>
    <xf numFmtId="0" fontId="22" fillId="0" borderId="0">
      <alignment vertical="center"/>
    </xf>
    <xf numFmtId="205" fontId="39" fillId="0" borderId="0">
      <alignment vertical="center"/>
    </xf>
    <xf numFmtId="183" fontId="21" fillId="0" borderId="15">
      <alignment vertical="center"/>
    </xf>
    <xf numFmtId="206" fontId="54" fillId="0" borderId="0">
      <alignment vertical="center"/>
    </xf>
    <xf numFmtId="183" fontId="1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106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21"/>
    <xf numFmtId="0" fontId="37" fillId="0" borderId="0" applyNumberFormat="0" applyFill="0" applyBorder="0" applyAlignment="0" applyProtection="0">
      <alignment vertical="top"/>
      <protection locked="0"/>
    </xf>
    <xf numFmtId="0" fontId="49" fillId="0" borderId="0"/>
    <xf numFmtId="207" fontId="49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50" fillId="0" borderId="0">
      <protection locked="0"/>
    </xf>
    <xf numFmtId="0" fontId="47" fillId="0" borderId="0"/>
    <xf numFmtId="4" fontId="50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6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83" fontId="57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6" fontId="58" fillId="0" borderId="0" applyFont="0" applyFill="0" applyBorder="0" applyAlignment="0" applyProtection="0">
      <alignment vertical="center"/>
    </xf>
    <xf numFmtId="0" fontId="3" fillId="0" borderId="0">
      <protection locked="0"/>
    </xf>
    <xf numFmtId="208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6" fontId="8" fillId="0" borderId="0" applyFont="0" applyFill="0" applyBorder="0" applyAlignment="0" applyProtection="0"/>
    <xf numFmtId="0" fontId="59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9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5" fontId="60" fillId="0" borderId="0" applyFont="0" applyFill="0" applyBorder="0" applyAlignment="0" applyProtection="0"/>
    <xf numFmtId="210" fontId="7" fillId="0" borderId="0" applyFont="0" applyFill="0" applyBorder="0" applyAlignment="0" applyProtection="0">
      <alignment textRotation="255"/>
    </xf>
    <xf numFmtId="211" fontId="7" fillId="0" borderId="0" applyFont="0" applyFill="0" applyBorder="0" applyAlignment="0" applyProtection="0">
      <alignment textRotation="255"/>
    </xf>
    <xf numFmtId="212" fontId="60" fillId="0" borderId="2">
      <alignment vertical="center"/>
    </xf>
    <xf numFmtId="213" fontId="7" fillId="0" borderId="0" applyFont="0" applyFill="0" applyBorder="0" applyAlignment="0" applyProtection="0">
      <alignment textRotation="255"/>
    </xf>
    <xf numFmtId="0" fontId="24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4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5" fillId="0" borderId="0"/>
    <xf numFmtId="0" fontId="3" fillId="0" borderId="0"/>
    <xf numFmtId="0" fontId="106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5" fillId="0" borderId="7">
      <alignment horizontal="center" vertical="center"/>
    </xf>
    <xf numFmtId="0" fontId="50" fillId="0" borderId="14">
      <protection locked="0"/>
    </xf>
    <xf numFmtId="215" fontId="8" fillId="0" borderId="0">
      <protection locked="0"/>
    </xf>
    <xf numFmtId="216" fontId="8" fillId="0" borderId="0">
      <protection locked="0"/>
    </xf>
    <xf numFmtId="0" fontId="107" fillId="0" borderId="0">
      <alignment vertical="center"/>
    </xf>
    <xf numFmtId="0" fontId="8" fillId="0" borderId="0"/>
    <xf numFmtId="0" fontId="107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0" fontId="108" fillId="0" borderId="0">
      <alignment vertical="center"/>
    </xf>
    <xf numFmtId="178" fontId="107" fillId="0" borderId="0" applyFont="0" applyFill="0" applyBorder="0" applyAlignment="0" applyProtection="0">
      <alignment vertical="center"/>
    </xf>
    <xf numFmtId="0" fontId="8" fillId="0" borderId="0"/>
    <xf numFmtId="178" fontId="1" fillId="0" borderId="0" applyFont="0" applyFill="0" applyBorder="0" applyAlignment="0" applyProtection="0">
      <alignment vertical="center"/>
    </xf>
    <xf numFmtId="0" fontId="26" fillId="0" borderId="0"/>
    <xf numFmtId="178" fontId="1" fillId="0" borderId="0" applyFont="0" applyFill="0" applyBorder="0" applyAlignment="0" applyProtection="0">
      <alignment vertical="center"/>
    </xf>
  </cellStyleXfs>
  <cellXfs count="483">
    <xf numFmtId="0" fontId="0" fillId="0" borderId="0" xfId="0"/>
    <xf numFmtId="0" fontId="111" fillId="0" borderId="0" xfId="2597" applyNumberFormat="1" applyFont="1" applyFill="1" applyBorder="1" applyAlignment="1">
      <alignment horizontal="center" vertical="center"/>
    </xf>
    <xf numFmtId="0" fontId="114" fillId="0" borderId="4" xfId="2597" applyNumberFormat="1" applyFont="1" applyFill="1" applyBorder="1" applyAlignment="1">
      <alignment horizontal="center" vertical="center" wrapText="1"/>
    </xf>
    <xf numFmtId="0" fontId="113" fillId="0" borderId="4" xfId="2597" applyNumberFormat="1" applyFont="1" applyFill="1" applyBorder="1" applyAlignment="1">
      <alignment vertical="center"/>
    </xf>
    <xf numFmtId="0" fontId="114" fillId="0" borderId="4" xfId="2597" applyNumberFormat="1" applyFont="1" applyFill="1" applyBorder="1" applyAlignment="1">
      <alignment horizontal="left" vertical="center"/>
    </xf>
    <xf numFmtId="0" fontId="114" fillId="0" borderId="4" xfId="0" applyFont="1" applyBorder="1" applyAlignment="1">
      <alignment horizontal="center" vertical="center"/>
    </xf>
    <xf numFmtId="179" fontId="114" fillId="0" borderId="4" xfId="2597" applyNumberFormat="1" applyFont="1" applyFill="1" applyBorder="1" applyAlignment="1">
      <alignment horizontal="center" vertical="center"/>
    </xf>
    <xf numFmtId="183" fontId="114" fillId="0" borderId="4" xfId="2597" applyFont="1" applyFill="1" applyBorder="1" applyAlignment="1">
      <alignment vertical="center"/>
    </xf>
    <xf numFmtId="183" fontId="114" fillId="0" borderId="6" xfId="2597" applyFont="1" applyFill="1" applyBorder="1" applyAlignment="1">
      <alignment vertical="center"/>
    </xf>
    <xf numFmtId="0" fontId="114" fillId="0" borderId="0" xfId="0" applyFont="1" applyAlignment="1">
      <alignment vertical="center"/>
    </xf>
    <xf numFmtId="0" fontId="114" fillId="0" borderId="20" xfId="2597" applyNumberFormat="1" applyFont="1" applyFill="1" applyBorder="1" applyAlignment="1">
      <alignment horizontal="center" vertical="center"/>
    </xf>
    <xf numFmtId="0" fontId="114" fillId="0" borderId="20" xfId="2597" applyNumberFormat="1" applyFont="1" applyFill="1" applyBorder="1" applyAlignment="1">
      <alignment vertical="center"/>
    </xf>
    <xf numFmtId="0" fontId="114" fillId="0" borderId="20" xfId="2597" applyNumberFormat="1" applyFont="1" applyFill="1" applyBorder="1" applyAlignment="1">
      <alignment horizontal="left" vertical="center"/>
    </xf>
    <xf numFmtId="0" fontId="115" fillId="0" borderId="20" xfId="2597" applyNumberFormat="1" applyFont="1" applyFill="1" applyBorder="1" applyAlignment="1">
      <alignment horizontal="center" vertical="center"/>
    </xf>
    <xf numFmtId="0" fontId="115" fillId="0" borderId="20" xfId="2597" applyNumberFormat="1" applyFont="1" applyFill="1" applyBorder="1" applyAlignment="1">
      <alignment vertical="center"/>
    </xf>
    <xf numFmtId="0" fontId="115" fillId="0" borderId="20" xfId="2597" applyNumberFormat="1" applyFont="1" applyFill="1" applyBorder="1" applyAlignment="1">
      <alignment horizontal="left" vertical="center"/>
    </xf>
    <xf numFmtId="0" fontId="115" fillId="0" borderId="4" xfId="0" applyFont="1" applyBorder="1" applyAlignment="1">
      <alignment horizontal="center" vertical="center"/>
    </xf>
    <xf numFmtId="179" fontId="115" fillId="0" borderId="4" xfId="2597" applyNumberFormat="1" applyFont="1" applyFill="1" applyBorder="1" applyAlignment="1">
      <alignment horizontal="center" vertical="center"/>
    </xf>
    <xf numFmtId="183" fontId="115" fillId="0" borderId="4" xfId="2597" applyFont="1" applyFill="1" applyBorder="1" applyAlignment="1">
      <alignment vertical="center"/>
    </xf>
    <xf numFmtId="183" fontId="115" fillId="0" borderId="6" xfId="2597" applyFont="1" applyFill="1" applyBorder="1" applyAlignment="1">
      <alignment vertical="center"/>
    </xf>
    <xf numFmtId="0" fontId="115" fillId="0" borderId="0" xfId="0" applyFont="1" applyAlignment="1">
      <alignment vertical="center"/>
    </xf>
    <xf numFmtId="0" fontId="115" fillId="11" borderId="0" xfId="0" applyFont="1" applyFill="1" applyAlignment="1">
      <alignment vertical="center"/>
    </xf>
    <xf numFmtId="0" fontId="115" fillId="9" borderId="20" xfId="2597" applyNumberFormat="1" applyFont="1" applyFill="1" applyBorder="1" applyAlignment="1">
      <alignment horizontal="center" vertical="center"/>
    </xf>
    <xf numFmtId="0" fontId="115" fillId="9" borderId="20" xfId="2597" applyNumberFormat="1" applyFont="1" applyFill="1" applyBorder="1" applyAlignment="1">
      <alignment vertical="center"/>
    </xf>
    <xf numFmtId="0" fontId="115" fillId="9" borderId="20" xfId="2597" applyNumberFormat="1" applyFont="1" applyFill="1" applyBorder="1" applyAlignment="1">
      <alignment horizontal="left" vertical="center"/>
    </xf>
    <xf numFmtId="0" fontId="115" fillId="9" borderId="4" xfId="0" applyFont="1" applyFill="1" applyBorder="1" applyAlignment="1">
      <alignment horizontal="center" vertical="center"/>
    </xf>
    <xf numFmtId="0" fontId="115" fillId="9" borderId="0" xfId="0" applyFont="1" applyFill="1" applyAlignment="1">
      <alignment vertical="center"/>
    </xf>
    <xf numFmtId="179" fontId="114" fillId="0" borderId="9" xfId="2597" applyNumberFormat="1" applyFont="1" applyFill="1" applyBorder="1" applyAlignment="1">
      <alignment horizontal="center" vertical="center"/>
    </xf>
    <xf numFmtId="178" fontId="114" fillId="0" borderId="4" xfId="2878" applyFont="1" applyFill="1" applyBorder="1" applyAlignment="1">
      <alignment vertical="center"/>
    </xf>
    <xf numFmtId="178" fontId="114" fillId="0" borderId="6" xfId="2878" applyFont="1" applyFill="1" applyBorder="1" applyAlignment="1">
      <alignment vertical="center"/>
    </xf>
    <xf numFmtId="0" fontId="114" fillId="0" borderId="9" xfId="0" applyFont="1" applyBorder="1" applyAlignment="1">
      <alignment horizontal="center" vertical="center"/>
    </xf>
    <xf numFmtId="0" fontId="114" fillId="10" borderId="20" xfId="2597" applyNumberFormat="1" applyFont="1" applyFill="1" applyBorder="1" applyAlignment="1">
      <alignment horizontal="center" vertical="center"/>
    </xf>
    <xf numFmtId="0" fontId="115" fillId="10" borderId="20" xfId="2597" applyNumberFormat="1" applyFont="1" applyFill="1" applyBorder="1" applyAlignment="1">
      <alignment vertical="center"/>
    </xf>
    <xf numFmtId="0" fontId="114" fillId="10" borderId="20" xfId="2597" applyNumberFormat="1" applyFont="1" applyFill="1" applyBorder="1" applyAlignment="1">
      <alignment horizontal="left" vertical="center"/>
    </xf>
    <xf numFmtId="0" fontId="114" fillId="10" borderId="4" xfId="0" applyFont="1" applyFill="1" applyBorder="1" applyAlignment="1">
      <alignment horizontal="center" vertical="center"/>
    </xf>
    <xf numFmtId="0" fontId="114" fillId="10" borderId="9" xfId="0" applyFont="1" applyFill="1" applyBorder="1" applyAlignment="1">
      <alignment horizontal="center" vertical="center"/>
    </xf>
    <xf numFmtId="178" fontId="114" fillId="10" borderId="4" xfId="2878" applyFont="1" applyFill="1" applyBorder="1" applyAlignment="1">
      <alignment vertical="center"/>
    </xf>
    <xf numFmtId="178" fontId="114" fillId="10" borderId="6" xfId="2878" applyFont="1" applyFill="1" applyBorder="1" applyAlignment="1">
      <alignment vertical="center"/>
    </xf>
    <xf numFmtId="0" fontId="114" fillId="10" borderId="0" xfId="0" applyFont="1" applyFill="1" applyAlignment="1">
      <alignment vertical="center"/>
    </xf>
    <xf numFmtId="179" fontId="114" fillId="0" borderId="4" xfId="2878" applyNumberFormat="1" applyFont="1" applyFill="1" applyBorder="1" applyAlignment="1">
      <alignment vertical="center"/>
    </xf>
    <xf numFmtId="0" fontId="115" fillId="9" borderId="9" xfId="0" applyFont="1" applyFill="1" applyBorder="1" applyAlignment="1">
      <alignment horizontal="center" vertical="center"/>
    </xf>
    <xf numFmtId="178" fontId="115" fillId="9" borderId="4" xfId="2878" applyFont="1" applyFill="1" applyBorder="1" applyAlignment="1">
      <alignment vertical="center"/>
    </xf>
    <xf numFmtId="178" fontId="115" fillId="9" borderId="6" xfId="2878" applyFont="1" applyFill="1" applyBorder="1" applyAlignment="1">
      <alignment vertical="center"/>
    </xf>
    <xf numFmtId="0" fontId="114" fillId="0" borderId="20" xfId="2597" quotePrefix="1" applyNumberFormat="1" applyFont="1" applyFill="1" applyBorder="1" applyAlignment="1">
      <alignment horizontal="center" vertical="center"/>
    </xf>
    <xf numFmtId="0" fontId="115" fillId="8" borderId="20" xfId="2597" quotePrefix="1" applyNumberFormat="1" applyFont="1" applyFill="1" applyBorder="1" applyAlignment="1">
      <alignment horizontal="center" vertical="center"/>
    </xf>
    <xf numFmtId="0" fontId="115" fillId="8" borderId="20" xfId="2597" applyNumberFormat="1" applyFont="1" applyFill="1" applyBorder="1" applyAlignment="1">
      <alignment vertical="center"/>
    </xf>
    <xf numFmtId="0" fontId="115" fillId="8" borderId="20" xfId="2597" applyNumberFormat="1" applyFont="1" applyFill="1" applyBorder="1" applyAlignment="1">
      <alignment horizontal="left" vertical="center"/>
    </xf>
    <xf numFmtId="0" fontId="115" fillId="0" borderId="9" xfId="0" applyFont="1" applyBorder="1" applyAlignment="1">
      <alignment horizontal="center" vertical="center"/>
    </xf>
    <xf numFmtId="178" fontId="115" fillId="0" borderId="4" xfId="2878" applyFont="1" applyFill="1" applyBorder="1" applyAlignment="1">
      <alignment vertical="center"/>
    </xf>
    <xf numFmtId="178" fontId="115" fillId="0" borderId="6" xfId="2878" applyFont="1" applyFill="1" applyBorder="1" applyAlignment="1">
      <alignment vertical="center"/>
    </xf>
    <xf numFmtId="2" fontId="114" fillId="0" borderId="9" xfId="0" applyNumberFormat="1" applyFont="1" applyBorder="1" applyAlignment="1">
      <alignment vertical="center"/>
    </xf>
    <xf numFmtId="2" fontId="115" fillId="0" borderId="9" xfId="0" applyNumberFormat="1" applyFont="1" applyBorder="1" applyAlignment="1">
      <alignment vertical="center"/>
    </xf>
    <xf numFmtId="0" fontId="114" fillId="13" borderId="20" xfId="2597" applyNumberFormat="1" applyFont="1" applyFill="1" applyBorder="1" applyAlignment="1">
      <alignment horizontal="center" vertical="center"/>
    </xf>
    <xf numFmtId="0" fontId="114" fillId="13" borderId="20" xfId="2597" applyNumberFormat="1" applyFont="1" applyFill="1" applyBorder="1" applyAlignment="1">
      <alignment vertical="center"/>
    </xf>
    <xf numFmtId="0" fontId="114" fillId="13" borderId="20" xfId="2597" applyNumberFormat="1" applyFont="1" applyFill="1" applyBorder="1" applyAlignment="1">
      <alignment horizontal="left" vertical="center"/>
    </xf>
    <xf numFmtId="0" fontId="114" fillId="13" borderId="4" xfId="0" applyFont="1" applyFill="1" applyBorder="1" applyAlignment="1">
      <alignment horizontal="center" vertical="center"/>
    </xf>
    <xf numFmtId="2" fontId="114" fillId="13" borderId="9" xfId="0" applyNumberFormat="1" applyFont="1" applyFill="1" applyBorder="1" applyAlignment="1">
      <alignment vertical="center"/>
    </xf>
    <xf numFmtId="178" fontId="114" fillId="13" borderId="4" xfId="2878" applyFont="1" applyFill="1" applyBorder="1" applyAlignment="1">
      <alignment vertical="center"/>
    </xf>
    <xf numFmtId="178" fontId="114" fillId="13" borderId="6" xfId="2878" applyFont="1" applyFill="1" applyBorder="1" applyAlignment="1">
      <alignment vertical="center"/>
    </xf>
    <xf numFmtId="0" fontId="114" fillId="13" borderId="0" xfId="0" applyFont="1" applyFill="1" applyAlignment="1">
      <alignment vertical="center"/>
    </xf>
    <xf numFmtId="0" fontId="114" fillId="13" borderId="20" xfId="2878" applyNumberFormat="1" applyFont="1" applyFill="1" applyBorder="1" applyAlignment="1">
      <alignment horizontal="center" vertical="center"/>
    </xf>
    <xf numFmtId="179" fontId="114" fillId="13" borderId="9" xfId="0" applyNumberFormat="1" applyFont="1" applyFill="1" applyBorder="1" applyAlignment="1">
      <alignment vertical="center"/>
    </xf>
    <xf numFmtId="0" fontId="114" fillId="13" borderId="20" xfId="2878" applyNumberFormat="1" applyFont="1" applyFill="1" applyBorder="1" applyAlignment="1">
      <alignment horizontal="left" vertical="center"/>
    </xf>
    <xf numFmtId="0" fontId="114" fillId="0" borderId="0" xfId="2597" applyNumberFormat="1" applyFont="1" applyFill="1" applyBorder="1" applyAlignment="1">
      <alignment horizontal="center" vertical="center"/>
    </xf>
    <xf numFmtId="0" fontId="114" fillId="0" borderId="0" xfId="2597" applyNumberFormat="1" applyFont="1" applyFill="1" applyBorder="1" applyAlignment="1">
      <alignment vertical="center"/>
    </xf>
    <xf numFmtId="0" fontId="114" fillId="0" borderId="0" xfId="2597" applyNumberFormat="1" applyFont="1" applyFill="1" applyBorder="1" applyAlignment="1">
      <alignment horizontal="left" vertical="center"/>
    </xf>
    <xf numFmtId="0" fontId="114" fillId="0" borderId="0" xfId="0" applyFont="1" applyAlignment="1">
      <alignment horizontal="center" vertical="center"/>
    </xf>
    <xf numFmtId="179" fontId="114" fillId="0" borderId="0" xfId="2597" applyNumberFormat="1" applyFont="1" applyFill="1" applyBorder="1" applyAlignment="1">
      <alignment vertical="center"/>
    </xf>
    <xf numFmtId="183" fontId="114" fillId="0" borderId="0" xfId="2597" applyFont="1" applyFill="1" applyBorder="1" applyAlignment="1">
      <alignment vertical="center"/>
    </xf>
    <xf numFmtId="0" fontId="119" fillId="0" borderId="0" xfId="0" applyFont="1" applyAlignment="1">
      <alignment vertical="center"/>
    </xf>
    <xf numFmtId="0" fontId="117" fillId="0" borderId="0" xfId="2879" applyFont="1"/>
    <xf numFmtId="0" fontId="119" fillId="0" borderId="0" xfId="2879" applyFont="1"/>
    <xf numFmtId="0" fontId="120" fillId="0" borderId="21" xfId="2879" applyFont="1" applyBorder="1"/>
    <xf numFmtId="0" fontId="120" fillId="0" borderId="0" xfId="2879" applyFont="1"/>
    <xf numFmtId="0" fontId="121" fillId="0" borderId="0" xfId="2879" applyFont="1"/>
    <xf numFmtId="0" fontId="121" fillId="0" borderId="21" xfId="2879" applyFont="1" applyBorder="1"/>
    <xf numFmtId="0" fontId="121" fillId="0" borderId="21" xfId="2879" applyFont="1" applyBorder="1" applyAlignment="1">
      <alignment horizontal="left"/>
    </xf>
    <xf numFmtId="0" fontId="121" fillId="0" borderId="0" xfId="2879" applyFont="1" applyAlignment="1">
      <alignment horizontal="right"/>
    </xf>
    <xf numFmtId="227" fontId="121" fillId="0" borderId="0" xfId="2879" applyNumberFormat="1" applyFont="1" applyAlignment="1">
      <alignment horizontal="center"/>
    </xf>
    <xf numFmtId="0" fontId="122" fillId="0" borderId="0" xfId="2879" applyFont="1"/>
    <xf numFmtId="0" fontId="121" fillId="0" borderId="0" xfId="2879" applyFont="1" applyAlignment="1">
      <alignment horizontal="left"/>
    </xf>
    <xf numFmtId="0" fontId="124" fillId="0" borderId="0" xfId="2879" applyFont="1"/>
    <xf numFmtId="0" fontId="122" fillId="0" borderId="0" xfId="2879" applyFont="1" applyAlignment="1">
      <alignment horizontal="left"/>
    </xf>
    <xf numFmtId="0" fontId="118" fillId="0" borderId="0" xfId="2879" applyFont="1"/>
    <xf numFmtId="0" fontId="126" fillId="0" borderId="0" xfId="2597" applyNumberFormat="1" applyFont="1" applyFill="1" applyBorder="1" applyAlignment="1">
      <alignment horizontal="center" vertical="center"/>
    </xf>
    <xf numFmtId="0" fontId="127" fillId="13" borderId="0" xfId="2597" applyNumberFormat="1" applyFont="1" applyFill="1" applyBorder="1" applyAlignment="1">
      <alignment vertical="center"/>
    </xf>
    <xf numFmtId="0" fontId="125" fillId="13" borderId="0" xfId="2597" applyNumberFormat="1" applyFont="1" applyFill="1" applyBorder="1" applyAlignment="1">
      <alignment vertical="center"/>
    </xf>
    <xf numFmtId="0" fontId="129" fillId="0" borderId="0" xfId="2597" applyNumberFormat="1" applyFont="1" applyFill="1" applyBorder="1" applyAlignment="1">
      <alignment horizontal="center" vertical="center"/>
    </xf>
    <xf numFmtId="183" fontId="128" fillId="7" borderId="27" xfId="2597" applyFont="1" applyFill="1" applyBorder="1" applyAlignment="1">
      <alignment horizontal="center" vertical="center"/>
    </xf>
    <xf numFmtId="0" fontId="130" fillId="0" borderId="20" xfId="2597" applyNumberFormat="1" applyFont="1" applyFill="1" applyBorder="1" applyAlignment="1">
      <alignment horizontal="center" vertical="center"/>
    </xf>
    <xf numFmtId="0" fontId="130" fillId="0" borderId="20" xfId="2597" applyNumberFormat="1" applyFont="1" applyFill="1" applyBorder="1" applyAlignment="1">
      <alignment vertical="center"/>
    </xf>
    <xf numFmtId="0" fontId="130" fillId="0" borderId="20" xfId="2597" applyNumberFormat="1" applyFont="1" applyFill="1" applyBorder="1" applyAlignment="1">
      <alignment horizontal="left" vertical="center"/>
    </xf>
    <xf numFmtId="0" fontId="130" fillId="0" borderId="4" xfId="0" applyFont="1" applyBorder="1" applyAlignment="1">
      <alignment horizontal="center" vertical="center"/>
    </xf>
    <xf numFmtId="0" fontId="130" fillId="0" borderId="6" xfId="0" applyFont="1" applyBorder="1" applyAlignment="1">
      <alignment horizontal="center" vertical="center"/>
    </xf>
    <xf numFmtId="179" fontId="130" fillId="0" borderId="4" xfId="2597" applyNumberFormat="1" applyFont="1" applyFill="1" applyBorder="1" applyAlignment="1">
      <alignment horizontal="center" vertical="center"/>
    </xf>
    <xf numFmtId="183" fontId="130" fillId="0" borderId="4" xfId="2597" applyFont="1" applyFill="1" applyBorder="1" applyAlignment="1">
      <alignment vertical="center"/>
    </xf>
    <xf numFmtId="0" fontId="130" fillId="0" borderId="9" xfId="0" applyFont="1" applyBorder="1" applyAlignment="1">
      <alignment horizontal="center" vertical="center" shrinkToFit="1"/>
    </xf>
    <xf numFmtId="0" fontId="130" fillId="0" borderId="0" xfId="0" applyFont="1" applyAlignment="1">
      <alignment vertical="center"/>
    </xf>
    <xf numFmtId="0" fontId="131" fillId="0" borderId="20" xfId="2597" applyNumberFormat="1" applyFont="1" applyFill="1" applyBorder="1" applyAlignment="1">
      <alignment horizontal="center" vertical="center"/>
    </xf>
    <xf numFmtId="0" fontId="131" fillId="0" borderId="20" xfId="2597" applyNumberFormat="1" applyFont="1" applyFill="1" applyBorder="1" applyAlignment="1">
      <alignment vertical="center"/>
    </xf>
    <xf numFmtId="0" fontId="131" fillId="0" borderId="20" xfId="2597" applyNumberFormat="1" applyFont="1" applyFill="1" applyBorder="1" applyAlignment="1">
      <alignment horizontal="left" vertical="center"/>
    </xf>
    <xf numFmtId="0" fontId="131" fillId="0" borderId="4" xfId="0" applyFont="1" applyBorder="1" applyAlignment="1">
      <alignment horizontal="center" vertical="center"/>
    </xf>
    <xf numFmtId="0" fontId="131" fillId="0" borderId="6" xfId="0" applyFont="1" applyBorder="1" applyAlignment="1">
      <alignment horizontal="center" vertical="center"/>
    </xf>
    <xf numFmtId="179" fontId="131" fillId="0" borderId="4" xfId="2597" applyNumberFormat="1" applyFont="1" applyFill="1" applyBorder="1" applyAlignment="1">
      <alignment horizontal="center" vertical="center"/>
    </xf>
    <xf numFmtId="183" fontId="131" fillId="0" borderId="4" xfId="2597" applyFont="1" applyFill="1" applyBorder="1" applyAlignment="1">
      <alignment vertical="center"/>
    </xf>
    <xf numFmtId="0" fontId="131" fillId="0" borderId="9" xfId="0" applyFont="1" applyBorder="1" applyAlignment="1">
      <alignment horizontal="center" vertical="center" shrinkToFit="1"/>
    </xf>
    <xf numFmtId="0" fontId="131" fillId="0" borderId="0" xfId="0" applyFont="1" applyAlignment="1">
      <alignment vertical="center"/>
    </xf>
    <xf numFmtId="0" fontId="130" fillId="11" borderId="20" xfId="2597" applyNumberFormat="1" applyFont="1" applyFill="1" applyBorder="1" applyAlignment="1">
      <alignment horizontal="center" vertical="center"/>
    </xf>
    <xf numFmtId="0" fontId="130" fillId="11" borderId="20" xfId="2597" applyNumberFormat="1" applyFont="1" applyFill="1" applyBorder="1" applyAlignment="1">
      <alignment horizontal="left" vertical="center"/>
    </xf>
    <xf numFmtId="0" fontId="130" fillId="11" borderId="4" xfId="0" applyFont="1" applyFill="1" applyBorder="1" applyAlignment="1">
      <alignment horizontal="center" vertical="center"/>
    </xf>
    <xf numFmtId="0" fontId="130" fillId="11" borderId="6" xfId="0" applyFont="1" applyFill="1" applyBorder="1" applyAlignment="1">
      <alignment horizontal="center" vertical="center"/>
    </xf>
    <xf numFmtId="179" fontId="130" fillId="11" borderId="4" xfId="2597" applyNumberFormat="1" applyFont="1" applyFill="1" applyBorder="1" applyAlignment="1">
      <alignment horizontal="center" vertical="center"/>
    </xf>
    <xf numFmtId="183" fontId="130" fillId="11" borderId="4" xfId="2597" applyFont="1" applyFill="1" applyBorder="1" applyAlignment="1">
      <alignment vertical="center"/>
    </xf>
    <xf numFmtId="183" fontId="130" fillId="11" borderId="9" xfId="0" applyNumberFormat="1" applyFont="1" applyFill="1" applyBorder="1" applyAlignment="1">
      <alignment horizontal="center" vertical="center" shrinkToFit="1"/>
    </xf>
    <xf numFmtId="0" fontId="130" fillId="11" borderId="0" xfId="0" applyFont="1" applyFill="1" applyAlignment="1">
      <alignment vertical="center"/>
    </xf>
    <xf numFmtId="0" fontId="131" fillId="0" borderId="0" xfId="2597" applyNumberFormat="1" applyFont="1" applyFill="1" applyBorder="1" applyAlignment="1">
      <alignment horizontal="left" vertical="center"/>
    </xf>
    <xf numFmtId="179" fontId="131" fillId="0" borderId="20" xfId="0" applyNumberFormat="1" applyFont="1" applyBorder="1" applyAlignment="1">
      <alignment horizontal="center" vertical="center"/>
    </xf>
    <xf numFmtId="183" fontId="131" fillId="0" borderId="20" xfId="2597" applyFont="1" applyFill="1" applyBorder="1" applyAlignment="1">
      <alignment horizontal="center" vertical="center"/>
    </xf>
    <xf numFmtId="183" fontId="131" fillId="0" borderId="20" xfId="2597" applyFont="1" applyFill="1" applyBorder="1" applyAlignment="1">
      <alignment vertical="center"/>
    </xf>
    <xf numFmtId="226" fontId="131" fillId="0" borderId="20" xfId="2597" applyNumberFormat="1" applyFont="1" applyFill="1" applyBorder="1" applyAlignment="1">
      <alignment vertical="center"/>
    </xf>
    <xf numFmtId="0" fontId="131" fillId="0" borderId="20" xfId="2597" quotePrefix="1" applyNumberFormat="1" applyFont="1" applyFill="1" applyBorder="1" applyAlignment="1">
      <alignment horizontal="left" vertical="center"/>
    </xf>
    <xf numFmtId="0" fontId="131" fillId="0" borderId="20" xfId="0" applyFont="1" applyBorder="1" applyAlignment="1">
      <alignment horizontal="center" vertical="center"/>
    </xf>
    <xf numFmtId="0" fontId="131" fillId="0" borderId="31" xfId="0" applyFont="1" applyBorder="1" applyAlignment="1">
      <alignment horizontal="center" vertical="center"/>
    </xf>
    <xf numFmtId="0" fontId="130" fillId="11" borderId="20" xfId="2597" quotePrefix="1" applyNumberFormat="1" applyFont="1" applyFill="1" applyBorder="1" applyAlignment="1">
      <alignment horizontal="center" vertical="center"/>
    </xf>
    <xf numFmtId="0" fontId="130" fillId="11" borderId="20" xfId="0" applyFont="1" applyFill="1" applyBorder="1" applyAlignment="1">
      <alignment horizontal="center" vertical="center"/>
    </xf>
    <xf numFmtId="0" fontId="130" fillId="11" borderId="31" xfId="0" applyFont="1" applyFill="1" applyBorder="1" applyAlignment="1">
      <alignment horizontal="center" vertical="center"/>
    </xf>
    <xf numFmtId="179" fontId="130" fillId="11" borderId="20" xfId="0" applyNumberFormat="1" applyFont="1" applyFill="1" applyBorder="1" applyAlignment="1">
      <alignment horizontal="center" vertical="center"/>
    </xf>
    <xf numFmtId="183" fontId="130" fillId="11" borderId="20" xfId="2597" applyFont="1" applyFill="1" applyBorder="1" applyAlignment="1">
      <alignment horizontal="center" vertical="center"/>
    </xf>
    <xf numFmtId="183" fontId="130" fillId="11" borderId="20" xfId="2597" applyFont="1" applyFill="1" applyBorder="1" applyAlignment="1">
      <alignment vertical="center"/>
    </xf>
    <xf numFmtId="0" fontId="131" fillId="11" borderId="9" xfId="0" applyFont="1" applyFill="1" applyBorder="1" applyAlignment="1">
      <alignment horizontal="center" vertical="center" shrinkToFit="1"/>
    </xf>
    <xf numFmtId="0" fontId="131" fillId="11" borderId="0" xfId="0" applyFont="1" applyFill="1" applyAlignment="1">
      <alignment vertical="center"/>
    </xf>
    <xf numFmtId="0" fontId="132" fillId="12" borderId="20" xfId="2597" applyNumberFormat="1" applyFont="1" applyFill="1" applyBorder="1" applyAlignment="1">
      <alignment horizontal="center" vertical="center"/>
    </xf>
    <xf numFmtId="0" fontId="132" fillId="12" borderId="20" xfId="2597" applyNumberFormat="1" applyFont="1" applyFill="1" applyBorder="1" applyAlignment="1">
      <alignment horizontal="left" vertical="center"/>
    </xf>
    <xf numFmtId="0" fontId="132" fillId="12" borderId="4" xfId="0" applyFont="1" applyFill="1" applyBorder="1" applyAlignment="1">
      <alignment horizontal="center" vertical="center"/>
    </xf>
    <xf numFmtId="0" fontId="132" fillId="12" borderId="6" xfId="0" applyFont="1" applyFill="1" applyBorder="1" applyAlignment="1">
      <alignment horizontal="center" vertical="center"/>
    </xf>
    <xf numFmtId="179" fontId="132" fillId="12" borderId="4" xfId="2597" applyNumberFormat="1" applyFont="1" applyFill="1" applyBorder="1" applyAlignment="1">
      <alignment horizontal="center" vertical="center"/>
    </xf>
    <xf numFmtId="183" fontId="132" fillId="12" borderId="4" xfId="2597" applyFont="1" applyFill="1" applyBorder="1" applyAlignment="1">
      <alignment vertical="center"/>
    </xf>
    <xf numFmtId="0" fontId="133" fillId="12" borderId="9" xfId="0" applyFont="1" applyFill="1" applyBorder="1" applyAlignment="1">
      <alignment horizontal="center" vertical="center" shrinkToFit="1"/>
    </xf>
    <xf numFmtId="0" fontId="133" fillId="12" borderId="0" xfId="0" applyFont="1" applyFill="1" applyAlignment="1">
      <alignment vertical="center"/>
    </xf>
    <xf numFmtId="0" fontId="131" fillId="13" borderId="34" xfId="2597" applyNumberFormat="1" applyFont="1" applyFill="1" applyBorder="1" applyAlignment="1">
      <alignment horizontal="center" vertical="center"/>
    </xf>
    <xf numFmtId="0" fontId="131" fillId="13" borderId="36" xfId="2597" applyNumberFormat="1" applyFont="1" applyFill="1" applyBorder="1" applyAlignment="1">
      <alignment vertical="center"/>
    </xf>
    <xf numFmtId="0" fontId="131" fillId="13" borderId="36" xfId="2597" applyNumberFormat="1" applyFont="1" applyFill="1" applyBorder="1" applyAlignment="1">
      <alignment horizontal="left" vertical="center"/>
    </xf>
    <xf numFmtId="0" fontId="131" fillId="13" borderId="36" xfId="0" applyFont="1" applyFill="1" applyBorder="1" applyAlignment="1">
      <alignment horizontal="center" vertical="center"/>
    </xf>
    <xf numFmtId="179" fontId="131" fillId="13" borderId="36" xfId="2597" applyNumberFormat="1" applyFont="1" applyFill="1" applyBorder="1" applyAlignment="1">
      <alignment horizontal="center" vertical="center"/>
    </xf>
    <xf numFmtId="183" fontId="131" fillId="13" borderId="36" xfId="2597" applyFont="1" applyFill="1" applyBorder="1" applyAlignment="1">
      <alignment vertical="center"/>
    </xf>
    <xf numFmtId="0" fontId="131" fillId="13" borderId="35" xfId="0" applyFont="1" applyFill="1" applyBorder="1" applyAlignment="1">
      <alignment horizontal="center" vertical="center" shrinkToFit="1"/>
    </xf>
    <xf numFmtId="0" fontId="131" fillId="13" borderId="32" xfId="2597" applyNumberFormat="1" applyFont="1" applyFill="1" applyBorder="1" applyAlignment="1">
      <alignment horizontal="center" vertical="center"/>
    </xf>
    <xf numFmtId="0" fontId="131" fillId="13" borderId="0" xfId="2597" applyNumberFormat="1" applyFont="1" applyFill="1" applyBorder="1" applyAlignment="1">
      <alignment vertical="center"/>
    </xf>
    <xf numFmtId="0" fontId="131" fillId="13" borderId="0" xfId="2597" applyNumberFormat="1" applyFont="1" applyFill="1" applyBorder="1" applyAlignment="1">
      <alignment horizontal="left" vertical="center"/>
    </xf>
    <xf numFmtId="0" fontId="131" fillId="13" borderId="0" xfId="0" applyFont="1" applyFill="1" applyAlignment="1">
      <alignment horizontal="center" vertical="center"/>
    </xf>
    <xf numFmtId="179" fontId="131" fillId="13" borderId="0" xfId="2597" applyNumberFormat="1" applyFont="1" applyFill="1" applyBorder="1" applyAlignment="1">
      <alignment horizontal="center" vertical="center"/>
    </xf>
    <xf numFmtId="183" fontId="131" fillId="13" borderId="0" xfId="2597" applyFont="1" applyFill="1" applyBorder="1" applyAlignment="1">
      <alignment vertical="center"/>
    </xf>
    <xf numFmtId="0" fontId="131" fillId="13" borderId="33" xfId="0" applyFont="1" applyFill="1" applyBorder="1" applyAlignment="1">
      <alignment horizontal="center" vertical="center" shrinkToFit="1"/>
    </xf>
    <xf numFmtId="0" fontId="131" fillId="13" borderId="6" xfId="2597" applyNumberFormat="1" applyFont="1" applyFill="1" applyBorder="1" applyAlignment="1">
      <alignment horizontal="center" vertical="center"/>
    </xf>
    <xf numFmtId="0" fontId="131" fillId="13" borderId="21" xfId="2597" applyNumberFormat="1" applyFont="1" applyFill="1" applyBorder="1" applyAlignment="1">
      <alignment vertical="center"/>
    </xf>
    <xf numFmtId="0" fontId="131" fillId="13" borderId="21" xfId="2597" applyNumberFormat="1" applyFont="1" applyFill="1" applyBorder="1" applyAlignment="1">
      <alignment horizontal="left" vertical="center"/>
    </xf>
    <xf numFmtId="0" fontId="131" fillId="13" borderId="21" xfId="0" applyFont="1" applyFill="1" applyBorder="1" applyAlignment="1">
      <alignment horizontal="center" vertical="center"/>
    </xf>
    <xf numFmtId="179" fontId="131" fillId="13" borderId="21" xfId="2597" applyNumberFormat="1" applyFont="1" applyFill="1" applyBorder="1" applyAlignment="1">
      <alignment horizontal="center" vertical="center"/>
    </xf>
    <xf numFmtId="183" fontId="131" fillId="13" borderId="21" xfId="2597" applyFont="1" applyFill="1" applyBorder="1" applyAlignment="1">
      <alignment vertical="center"/>
    </xf>
    <xf numFmtId="0" fontId="131" fillId="13" borderId="9" xfId="0" applyFont="1" applyFill="1" applyBorder="1" applyAlignment="1">
      <alignment horizontal="center" vertical="center" shrinkToFit="1"/>
    </xf>
    <xf numFmtId="0" fontId="131" fillId="0" borderId="0" xfId="2597" applyNumberFormat="1" applyFont="1" applyFill="1" applyBorder="1" applyAlignment="1">
      <alignment horizontal="center" vertical="center"/>
    </xf>
    <xf numFmtId="0" fontId="131" fillId="0" borderId="0" xfId="2597" applyNumberFormat="1" applyFont="1" applyFill="1" applyBorder="1" applyAlignment="1">
      <alignment vertical="center"/>
    </xf>
    <xf numFmtId="0" fontId="131" fillId="0" borderId="0" xfId="0" applyFont="1" applyAlignment="1">
      <alignment horizontal="center" vertical="center"/>
    </xf>
    <xf numFmtId="179" fontId="131" fillId="0" borderId="0" xfId="2597" applyNumberFormat="1" applyFont="1" applyFill="1" applyBorder="1" applyAlignment="1">
      <alignment vertical="center"/>
    </xf>
    <xf numFmtId="183" fontId="131" fillId="0" borderId="0" xfId="2597" applyFont="1" applyFill="1" applyBorder="1" applyAlignment="1">
      <alignment vertical="center"/>
    </xf>
    <xf numFmtId="0" fontId="131" fillId="0" borderId="0" xfId="0" applyFont="1" applyAlignment="1">
      <alignment vertical="center" shrinkToFit="1"/>
    </xf>
    <xf numFmtId="9" fontId="131" fillId="0" borderId="20" xfId="2597" applyNumberFormat="1" applyFont="1" applyFill="1" applyBorder="1" applyAlignment="1">
      <alignment vertical="center" wrapText="1"/>
    </xf>
    <xf numFmtId="0" fontId="116" fillId="0" borderId="20" xfId="2597" applyNumberFormat="1" applyFont="1" applyFill="1" applyBorder="1" applyAlignment="1">
      <alignment horizontal="center" vertical="center"/>
    </xf>
    <xf numFmtId="0" fontId="116" fillId="0" borderId="20" xfId="2597" applyNumberFormat="1" applyFont="1" applyFill="1" applyBorder="1" applyAlignment="1">
      <alignment vertical="center"/>
    </xf>
    <xf numFmtId="0" fontId="116" fillId="0" borderId="20" xfId="2597" applyNumberFormat="1" applyFont="1" applyFill="1" applyBorder="1" applyAlignment="1">
      <alignment horizontal="left" vertical="center"/>
    </xf>
    <xf numFmtId="0" fontId="131" fillId="13" borderId="32" xfId="2597" quotePrefix="1" applyNumberFormat="1" applyFont="1" applyFill="1" applyBorder="1" applyAlignment="1">
      <alignment horizontal="center" vertical="center"/>
    </xf>
    <xf numFmtId="0" fontId="114" fillId="0" borderId="20" xfId="2878" applyNumberFormat="1" applyFont="1" applyFill="1" applyBorder="1" applyAlignment="1">
      <alignment horizontal="center" vertical="center"/>
    </xf>
    <xf numFmtId="0" fontId="114" fillId="0" borderId="20" xfId="2878" applyNumberFormat="1" applyFont="1" applyFill="1" applyBorder="1" applyAlignment="1">
      <alignment horizontal="left" vertical="center"/>
    </xf>
    <xf numFmtId="179" fontId="114" fillId="0" borderId="9" xfId="0" applyNumberFormat="1" applyFont="1" applyBorder="1" applyAlignment="1">
      <alignment vertical="center"/>
    </xf>
    <xf numFmtId="178" fontId="114" fillId="13" borderId="20" xfId="2878" applyFont="1" applyFill="1" applyBorder="1" applyAlignment="1">
      <alignment vertical="center"/>
    </xf>
    <xf numFmtId="14" fontId="127" fillId="13" borderId="0" xfId="2597" applyNumberFormat="1" applyFont="1" applyFill="1" applyBorder="1" applyAlignment="1">
      <alignment vertical="center"/>
    </xf>
    <xf numFmtId="0" fontId="114" fillId="13" borderId="4" xfId="0" applyFont="1" applyFill="1" applyBorder="1" applyAlignment="1">
      <alignment horizontal="center" vertical="center" shrinkToFit="1"/>
    </xf>
    <xf numFmtId="0" fontId="114" fillId="0" borderId="4" xfId="0" applyFont="1" applyBorder="1" applyAlignment="1">
      <alignment horizontal="center" vertical="center" shrinkToFit="1"/>
    </xf>
    <xf numFmtId="14" fontId="125" fillId="13" borderId="0" xfId="2597" applyNumberFormat="1" applyFont="1" applyFill="1" applyBorder="1" applyAlignment="1">
      <alignment vertical="center"/>
    </xf>
    <xf numFmtId="183" fontId="131" fillId="0" borderId="26" xfId="2597" applyFont="1" applyFill="1" applyBorder="1" applyAlignment="1">
      <alignment vertical="center"/>
    </xf>
    <xf numFmtId="183" fontId="130" fillId="11" borderId="26" xfId="2597" applyFont="1" applyFill="1" applyBorder="1" applyAlignment="1">
      <alignment vertical="center"/>
    </xf>
    <xf numFmtId="0" fontId="131" fillId="0" borderId="29" xfId="2597" applyNumberFormat="1" applyFont="1" applyFill="1" applyBorder="1" applyAlignment="1">
      <alignment horizontal="center" vertical="center"/>
    </xf>
    <xf numFmtId="0" fontId="131" fillId="0" borderId="29" xfId="2597" applyNumberFormat="1" applyFont="1" applyFill="1" applyBorder="1" applyAlignment="1">
      <alignment vertical="center"/>
    </xf>
    <xf numFmtId="0" fontId="131" fillId="0" borderId="29" xfId="2597" applyNumberFormat="1" applyFont="1" applyFill="1" applyBorder="1" applyAlignment="1">
      <alignment horizontal="left" vertical="center"/>
    </xf>
    <xf numFmtId="0" fontId="131" fillId="0" borderId="30" xfId="0" applyFont="1" applyBorder="1" applyAlignment="1">
      <alignment horizontal="center" vertical="center"/>
    </xf>
    <xf numFmtId="0" fontId="131" fillId="0" borderId="32" xfId="0" applyFont="1" applyBorder="1" applyAlignment="1">
      <alignment horizontal="center" vertical="center"/>
    </xf>
    <xf numFmtId="179" fontId="131" fillId="0" borderId="30" xfId="2597" applyNumberFormat="1" applyFont="1" applyFill="1" applyBorder="1" applyAlignment="1">
      <alignment horizontal="center" vertical="center"/>
    </xf>
    <xf numFmtId="183" fontId="131" fillId="0" borderId="30" xfId="2597" applyFont="1" applyFill="1" applyBorder="1" applyAlignment="1">
      <alignment vertical="center"/>
    </xf>
    <xf numFmtId="0" fontId="131" fillId="0" borderId="4" xfId="2597" applyNumberFormat="1" applyFont="1" applyFill="1" applyBorder="1" applyAlignment="1">
      <alignment horizontal="center" vertical="center"/>
    </xf>
    <xf numFmtId="0" fontId="131" fillId="0" borderId="4" xfId="2597" applyNumberFormat="1" applyFont="1" applyFill="1" applyBorder="1" applyAlignment="1">
      <alignment vertical="center"/>
    </xf>
    <xf numFmtId="0" fontId="131" fillId="0" borderId="4" xfId="2597" applyNumberFormat="1" applyFont="1" applyFill="1" applyBorder="1" applyAlignment="1">
      <alignment horizontal="left" vertical="center"/>
    </xf>
    <xf numFmtId="0" fontId="119" fillId="0" borderId="39" xfId="2879" applyFont="1" applyBorder="1"/>
    <xf numFmtId="0" fontId="119" fillId="0" borderId="40" xfId="2879" applyFont="1" applyBorder="1"/>
    <xf numFmtId="0" fontId="121" fillId="0" borderId="40" xfId="2879" applyFont="1" applyBorder="1"/>
    <xf numFmtId="0" fontId="121" fillId="0" borderId="41" xfId="2879" applyFont="1" applyBorder="1"/>
    <xf numFmtId="0" fontId="121" fillId="0" borderId="42" xfId="2879" applyFont="1" applyBorder="1" applyAlignment="1">
      <alignment horizontal="left"/>
    </xf>
    <xf numFmtId="0" fontId="121" fillId="0" borderId="0" xfId="2877" applyFont="1"/>
    <xf numFmtId="0" fontId="123" fillId="0" borderId="0" xfId="2879" applyFont="1"/>
    <xf numFmtId="0" fontId="123" fillId="0" borderId="43" xfId="2879" applyFont="1" applyBorder="1"/>
    <xf numFmtId="0" fontId="122" fillId="0" borderId="42" xfId="2879" quotePrefix="1" applyFont="1" applyBorder="1" applyAlignment="1">
      <alignment horizontal="right"/>
    </xf>
    <xf numFmtId="0" fontId="122" fillId="0" borderId="0" xfId="2877" applyFont="1"/>
    <xf numFmtId="0" fontId="121" fillId="0" borderId="43" xfId="2879" applyFont="1" applyBorder="1"/>
    <xf numFmtId="0" fontId="122" fillId="0" borderId="43" xfId="2879" applyFont="1" applyBorder="1"/>
    <xf numFmtId="0" fontId="122" fillId="0" borderId="44" xfId="2879" quotePrefix="1" applyFont="1" applyBorder="1" applyAlignment="1">
      <alignment horizontal="right"/>
    </xf>
    <xf numFmtId="0" fontId="122" fillId="0" borderId="45" xfId="2877" applyFont="1" applyBorder="1"/>
    <xf numFmtId="0" fontId="122" fillId="0" borderId="45" xfId="2879" applyFont="1" applyBorder="1"/>
    <xf numFmtId="0" fontId="123" fillId="0" borderId="45" xfId="2879" applyFont="1" applyBorder="1"/>
    <xf numFmtId="0" fontId="123" fillId="0" borderId="19" xfId="2879" applyFont="1" applyBorder="1"/>
    <xf numFmtId="0" fontId="114" fillId="0" borderId="20" xfId="0" applyFont="1" applyBorder="1" applyAlignment="1">
      <alignment horizontal="center" vertical="center"/>
    </xf>
    <xf numFmtId="179" fontId="114" fillId="0" borderId="20" xfId="2597" applyNumberFormat="1" applyFont="1" applyFill="1" applyBorder="1" applyAlignment="1">
      <alignment horizontal="center" vertical="center"/>
    </xf>
    <xf numFmtId="178" fontId="114" fillId="0" borderId="20" xfId="2878" applyFont="1" applyFill="1" applyBorder="1" applyAlignment="1">
      <alignment vertical="center"/>
    </xf>
    <xf numFmtId="0" fontId="116" fillId="0" borderId="20" xfId="0" applyFont="1" applyBorder="1" applyAlignment="1">
      <alignment horizontal="center" vertical="center"/>
    </xf>
    <xf numFmtId="179" fontId="116" fillId="0" borderId="20" xfId="2597" applyNumberFormat="1" applyFont="1" applyFill="1" applyBorder="1" applyAlignment="1">
      <alignment horizontal="center" vertical="center"/>
    </xf>
    <xf numFmtId="178" fontId="116" fillId="0" borderId="20" xfId="2878" applyFont="1" applyFill="1" applyBorder="1" applyAlignment="1">
      <alignment vertical="center"/>
    </xf>
    <xf numFmtId="0" fontId="115" fillId="11" borderId="29" xfId="2597" applyNumberFormat="1" applyFont="1" applyFill="1" applyBorder="1" applyAlignment="1">
      <alignment horizontal="center" vertical="center"/>
    </xf>
    <xf numFmtId="0" fontId="115" fillId="11" borderId="29" xfId="2597" applyNumberFormat="1" applyFont="1" applyFill="1" applyBorder="1" applyAlignment="1">
      <alignment horizontal="left" vertical="center"/>
    </xf>
    <xf numFmtId="0" fontId="115" fillId="11" borderId="30" xfId="0" applyFont="1" applyFill="1" applyBorder="1" applyAlignment="1">
      <alignment horizontal="center" vertical="center"/>
    </xf>
    <xf numFmtId="179" fontId="115" fillId="11" borderId="30" xfId="2597" applyNumberFormat="1" applyFont="1" applyFill="1" applyBorder="1" applyAlignment="1">
      <alignment horizontal="center" vertical="center"/>
    </xf>
    <xf numFmtId="183" fontId="115" fillId="11" borderId="30" xfId="2597" applyFont="1" applyFill="1" applyBorder="1" applyAlignment="1">
      <alignment vertical="center"/>
    </xf>
    <xf numFmtId="183" fontId="115" fillId="11" borderId="32" xfId="2597" applyFont="1" applyFill="1" applyBorder="1" applyAlignment="1">
      <alignment vertical="center"/>
    </xf>
    <xf numFmtId="0" fontId="115" fillId="9" borderId="4" xfId="2597" applyNumberFormat="1" applyFont="1" applyFill="1" applyBorder="1" applyAlignment="1">
      <alignment horizontal="center" vertical="center"/>
    </xf>
    <xf numFmtId="0" fontId="115" fillId="9" borderId="4" xfId="2597" applyNumberFormat="1" applyFont="1" applyFill="1" applyBorder="1" applyAlignment="1">
      <alignment vertical="center"/>
    </xf>
    <xf numFmtId="0" fontId="115" fillId="9" borderId="4" xfId="2597" applyNumberFormat="1" applyFont="1" applyFill="1" applyBorder="1" applyAlignment="1">
      <alignment horizontal="left" vertical="center"/>
    </xf>
    <xf numFmtId="183" fontId="114" fillId="0" borderId="20" xfId="2597" applyFont="1" applyFill="1" applyBorder="1" applyAlignment="1">
      <alignment vertical="center"/>
    </xf>
    <xf numFmtId="0" fontId="114" fillId="0" borderId="20" xfId="0" applyFont="1" applyBorder="1" applyAlignment="1">
      <alignment vertical="center"/>
    </xf>
    <xf numFmtId="0" fontId="115" fillId="9" borderId="20" xfId="0" applyFont="1" applyFill="1" applyBorder="1" applyAlignment="1">
      <alignment horizontal="center" vertical="center"/>
    </xf>
    <xf numFmtId="179" fontId="115" fillId="9" borderId="20" xfId="2597" applyNumberFormat="1" applyFont="1" applyFill="1" applyBorder="1" applyAlignment="1">
      <alignment horizontal="center" vertical="center"/>
    </xf>
    <xf numFmtId="183" fontId="115" fillId="9" borderId="20" xfId="2597" applyFont="1" applyFill="1" applyBorder="1" applyAlignment="1">
      <alignment vertical="center"/>
    </xf>
    <xf numFmtId="0" fontId="115" fillId="9" borderId="20" xfId="0" applyFont="1" applyFill="1" applyBorder="1" applyAlignment="1">
      <alignment vertical="center"/>
    </xf>
    <xf numFmtId="0" fontId="116" fillId="0" borderId="20" xfId="0" applyFont="1" applyBorder="1" applyAlignment="1">
      <alignment vertical="center"/>
    </xf>
    <xf numFmtId="0" fontId="114" fillId="10" borderId="20" xfId="0" applyFont="1" applyFill="1" applyBorder="1" applyAlignment="1">
      <alignment horizontal="center" vertical="center"/>
    </xf>
    <xf numFmtId="178" fontId="114" fillId="10" borderId="20" xfId="2878" applyFont="1" applyFill="1" applyBorder="1" applyAlignment="1">
      <alignment vertical="center"/>
    </xf>
    <xf numFmtId="0" fontId="114" fillId="10" borderId="20" xfId="0" applyFont="1" applyFill="1" applyBorder="1" applyAlignment="1">
      <alignment vertical="center"/>
    </xf>
    <xf numFmtId="179" fontId="114" fillId="0" borderId="20" xfId="2878" applyNumberFormat="1" applyFont="1" applyFill="1" applyBorder="1" applyAlignment="1">
      <alignment vertical="center"/>
    </xf>
    <xf numFmtId="0" fontId="114" fillId="13" borderId="20" xfId="2597" quotePrefix="1" applyNumberFormat="1" applyFont="1" applyFill="1" applyBorder="1" applyAlignment="1">
      <alignment horizontal="center" vertical="center"/>
    </xf>
    <xf numFmtId="179" fontId="114" fillId="13" borderId="9" xfId="2597" applyNumberFormat="1" applyFont="1" applyFill="1" applyBorder="1" applyAlignment="1">
      <alignment horizontal="center" vertical="center"/>
    </xf>
    <xf numFmtId="0" fontId="115" fillId="13" borderId="20" xfId="2597" applyNumberFormat="1" applyFont="1" applyFill="1" applyBorder="1" applyAlignment="1">
      <alignment horizontal="center" vertical="center"/>
    </xf>
    <xf numFmtId="0" fontId="115" fillId="13" borderId="20" xfId="2597" applyNumberFormat="1" applyFont="1" applyFill="1" applyBorder="1" applyAlignment="1">
      <alignment horizontal="left" vertical="center"/>
    </xf>
    <xf numFmtId="0" fontId="115" fillId="13" borderId="4" xfId="0" applyFont="1" applyFill="1" applyBorder="1" applyAlignment="1">
      <alignment horizontal="center" vertical="center"/>
    </xf>
    <xf numFmtId="2" fontId="115" fillId="13" borderId="9" xfId="0" applyNumberFormat="1" applyFont="1" applyFill="1" applyBorder="1" applyAlignment="1">
      <alignment vertical="center"/>
    </xf>
    <xf numFmtId="178" fontId="115" fillId="13" borderId="4" xfId="2878" applyFont="1" applyFill="1" applyBorder="1" applyAlignment="1">
      <alignment vertical="center"/>
    </xf>
    <xf numFmtId="0" fontId="115" fillId="13" borderId="0" xfId="0" applyFont="1" applyFill="1" applyAlignment="1">
      <alignment vertical="center"/>
    </xf>
    <xf numFmtId="0" fontId="115" fillId="14" borderId="20" xfId="2597" applyNumberFormat="1" applyFont="1" applyFill="1" applyBorder="1" applyAlignment="1">
      <alignment horizontal="center" vertical="center"/>
    </xf>
    <xf numFmtId="0" fontId="115" fillId="14" borderId="20" xfId="2597" applyNumberFormat="1" applyFont="1" applyFill="1" applyBorder="1" applyAlignment="1">
      <alignment horizontal="left" vertical="center"/>
    </xf>
    <xf numFmtId="0" fontId="115" fillId="14" borderId="4" xfId="0" applyFont="1" applyFill="1" applyBorder="1" applyAlignment="1">
      <alignment horizontal="center" vertical="center"/>
    </xf>
    <xf numFmtId="179" fontId="115" fillId="14" borderId="4" xfId="2597" applyNumberFormat="1" applyFont="1" applyFill="1" applyBorder="1" applyAlignment="1">
      <alignment horizontal="center" vertical="center"/>
    </xf>
    <xf numFmtId="178" fontId="115" fillId="14" borderId="4" xfId="2878" applyFont="1" applyFill="1" applyBorder="1" applyAlignment="1">
      <alignment vertical="center"/>
    </xf>
    <xf numFmtId="0" fontId="115" fillId="14" borderId="4" xfId="0" applyFont="1" applyFill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0" fontId="115" fillId="0" borderId="4" xfId="0" applyFont="1" applyBorder="1" applyAlignment="1">
      <alignment horizontal="center" vertical="center" shrinkToFit="1"/>
    </xf>
    <xf numFmtId="183" fontId="115" fillId="11" borderId="30" xfId="0" applyNumberFormat="1" applyFont="1" applyFill="1" applyBorder="1" applyAlignment="1">
      <alignment horizontal="center" vertical="center" shrinkToFit="1"/>
    </xf>
    <xf numFmtId="0" fontId="114" fillId="0" borderId="20" xfId="0" applyFont="1" applyBorder="1" applyAlignment="1">
      <alignment horizontal="center" vertical="center" shrinkToFit="1"/>
    </xf>
    <xf numFmtId="0" fontId="115" fillId="9" borderId="20" xfId="0" applyFont="1" applyFill="1" applyBorder="1" applyAlignment="1">
      <alignment horizontal="center" vertical="center" shrinkToFit="1"/>
    </xf>
    <xf numFmtId="0" fontId="115" fillId="9" borderId="4" xfId="0" applyFont="1" applyFill="1" applyBorder="1" applyAlignment="1">
      <alignment horizontal="center" vertical="center" shrinkToFit="1"/>
    </xf>
    <xf numFmtId="0" fontId="114" fillId="10" borderId="4" xfId="0" applyFont="1" applyFill="1" applyBorder="1" applyAlignment="1">
      <alignment horizontal="center" vertical="center" shrinkToFit="1"/>
    </xf>
    <xf numFmtId="0" fontId="115" fillId="13" borderId="20" xfId="2597" applyNumberFormat="1" applyFont="1" applyFill="1" applyBorder="1" applyAlignment="1">
      <alignment vertical="center"/>
    </xf>
    <xf numFmtId="0" fontId="112" fillId="0" borderId="0" xfId="2597" applyNumberFormat="1" applyFont="1" applyFill="1" applyBorder="1" applyAlignment="1">
      <alignment horizontal="center" vertical="center"/>
    </xf>
    <xf numFmtId="178" fontId="134" fillId="14" borderId="4" xfId="2878" applyFont="1" applyFill="1" applyBorder="1" applyAlignment="1">
      <alignment vertical="center"/>
    </xf>
    <xf numFmtId="0" fontId="116" fillId="13" borderId="20" xfId="2878" applyNumberFormat="1" applyFont="1" applyFill="1" applyBorder="1" applyAlignment="1">
      <alignment horizontal="center" vertical="center"/>
    </xf>
    <xf numFmtId="183" fontId="112" fillId="16" borderId="27" xfId="2597" applyFont="1" applyFill="1" applyBorder="1" applyAlignment="1">
      <alignment horizontal="center" vertical="center"/>
    </xf>
    <xf numFmtId="0" fontId="116" fillId="0" borderId="20" xfId="2878" applyNumberFormat="1" applyFont="1" applyFill="1" applyBorder="1" applyAlignment="1">
      <alignment horizontal="center" vertical="center"/>
    </xf>
    <xf numFmtId="0" fontId="116" fillId="0" borderId="4" xfId="0" applyFont="1" applyBorder="1" applyAlignment="1">
      <alignment horizontal="center" vertical="center"/>
    </xf>
    <xf numFmtId="178" fontId="116" fillId="0" borderId="4" xfId="2878" applyFont="1" applyFill="1" applyBorder="1" applyAlignment="1">
      <alignment vertical="center"/>
    </xf>
    <xf numFmtId="178" fontId="116" fillId="0" borderId="6" xfId="2878" applyFont="1" applyFill="1" applyBorder="1" applyAlignment="1">
      <alignment vertical="center"/>
    </xf>
    <xf numFmtId="0" fontId="116" fillId="0" borderId="4" xfId="0" applyFont="1" applyBorder="1" applyAlignment="1">
      <alignment horizontal="center" vertical="center" shrinkToFit="1"/>
    </xf>
    <xf numFmtId="0" fontId="116" fillId="0" borderId="0" xfId="0" applyFont="1" applyAlignment="1">
      <alignment vertical="center"/>
    </xf>
    <xf numFmtId="2" fontId="116" fillId="0" borderId="9" xfId="0" applyNumberFormat="1" applyFont="1" applyBorder="1" applyAlignment="1">
      <alignment vertical="center"/>
    </xf>
    <xf numFmtId="0" fontId="116" fillId="13" borderId="20" xfId="2597" applyNumberFormat="1" applyFont="1" applyFill="1" applyBorder="1" applyAlignment="1">
      <alignment vertical="center"/>
    </xf>
    <xf numFmtId="0" fontId="116" fillId="13" borderId="20" xfId="2878" applyNumberFormat="1" applyFont="1" applyFill="1" applyBorder="1" applyAlignment="1">
      <alignment horizontal="left" vertical="center"/>
    </xf>
    <xf numFmtId="0" fontId="116" fillId="13" borderId="4" xfId="0" applyFont="1" applyFill="1" applyBorder="1" applyAlignment="1">
      <alignment horizontal="center" vertical="center"/>
    </xf>
    <xf numFmtId="179" fontId="116" fillId="13" borderId="9" xfId="0" applyNumberFormat="1" applyFont="1" applyFill="1" applyBorder="1" applyAlignment="1">
      <alignment vertical="center"/>
    </xf>
    <xf numFmtId="178" fontId="116" fillId="13" borderId="4" xfId="2878" applyFont="1" applyFill="1" applyBorder="1" applyAlignment="1">
      <alignment vertical="center"/>
    </xf>
    <xf numFmtId="178" fontId="116" fillId="13" borderId="6" xfId="2878" applyFont="1" applyFill="1" applyBorder="1" applyAlignment="1">
      <alignment vertical="center"/>
    </xf>
    <xf numFmtId="0" fontId="116" fillId="13" borderId="4" xfId="0" applyFont="1" applyFill="1" applyBorder="1" applyAlignment="1">
      <alignment horizontal="center" vertical="center" shrinkToFit="1"/>
    </xf>
    <xf numFmtId="0" fontId="116" fillId="13" borderId="0" xfId="0" applyFont="1" applyFill="1" applyAlignment="1">
      <alignment vertical="center"/>
    </xf>
    <xf numFmtId="0" fontId="114" fillId="15" borderId="0" xfId="0" applyFont="1" applyFill="1" applyAlignment="1">
      <alignment vertical="center"/>
    </xf>
    <xf numFmtId="0" fontId="141" fillId="8" borderId="20" xfId="2597" applyNumberFormat="1" applyFont="1" applyFill="1" applyBorder="1" applyAlignment="1">
      <alignment horizontal="left" vertical="center"/>
    </xf>
    <xf numFmtId="0" fontId="139" fillId="13" borderId="0" xfId="2597" applyNumberFormat="1" applyFont="1" applyFill="1" applyBorder="1" applyAlignment="1">
      <alignment vertical="center"/>
    </xf>
    <xf numFmtId="178" fontId="142" fillId="15" borderId="0" xfId="2878" applyFont="1" applyFill="1" applyAlignment="1">
      <alignment vertical="center"/>
    </xf>
    <xf numFmtId="178" fontId="143" fillId="0" borderId="20" xfId="2878" applyFont="1" applyFill="1" applyBorder="1" applyAlignment="1">
      <alignment vertical="center"/>
    </xf>
    <xf numFmtId="0" fontId="131" fillId="13" borderId="20" xfId="0" applyFont="1" applyFill="1" applyBorder="1" applyAlignment="1">
      <alignment horizontal="center" vertical="center"/>
    </xf>
    <xf numFmtId="0" fontId="131" fillId="13" borderId="20" xfId="2597" applyNumberFormat="1" applyFont="1" applyFill="1" applyBorder="1" applyAlignment="1">
      <alignment horizontal="left" vertical="center"/>
    </xf>
    <xf numFmtId="0" fontId="131" fillId="13" borderId="20" xfId="2597" applyNumberFormat="1" applyFont="1" applyFill="1" applyBorder="1" applyAlignment="1">
      <alignment vertical="center"/>
    </xf>
    <xf numFmtId="179" fontId="131" fillId="13" borderId="20" xfId="0" applyNumberFormat="1" applyFont="1" applyFill="1" applyBorder="1" applyAlignment="1">
      <alignment horizontal="center" vertical="center"/>
    </xf>
    <xf numFmtId="183" fontId="131" fillId="13" borderId="20" xfId="2597" applyFont="1" applyFill="1" applyBorder="1" applyAlignment="1">
      <alignment horizontal="center" vertical="center"/>
    </xf>
    <xf numFmtId="183" fontId="131" fillId="13" borderId="20" xfId="2597" applyFont="1" applyFill="1" applyBorder="1" applyAlignment="1">
      <alignment vertical="center"/>
    </xf>
    <xf numFmtId="183" fontId="131" fillId="13" borderId="26" xfId="2597" applyFont="1" applyFill="1" applyBorder="1" applyAlignment="1">
      <alignment vertical="center"/>
    </xf>
    <xf numFmtId="0" fontId="131" fillId="13" borderId="0" xfId="0" applyFont="1" applyFill="1" applyAlignment="1">
      <alignment vertical="center"/>
    </xf>
    <xf numFmtId="179" fontId="139" fillId="13" borderId="9" xfId="0" applyNumberFormat="1" applyFont="1" applyFill="1" applyBorder="1" applyAlignment="1">
      <alignment vertical="center"/>
    </xf>
    <xf numFmtId="0" fontId="137" fillId="13" borderId="0" xfId="0" applyFont="1" applyFill="1" applyAlignment="1">
      <alignment vertical="center"/>
    </xf>
    <xf numFmtId="0" fontId="136" fillId="13" borderId="20" xfId="2597" applyNumberFormat="1" applyFont="1" applyFill="1" applyBorder="1" applyAlignment="1">
      <alignment vertical="center"/>
    </xf>
    <xf numFmtId="0" fontId="136" fillId="13" borderId="20" xfId="2878" applyNumberFormat="1" applyFont="1" applyFill="1" applyBorder="1" applyAlignment="1">
      <alignment horizontal="left" vertical="center"/>
    </xf>
    <xf numFmtId="0" fontId="136" fillId="13" borderId="4" xfId="0" applyFont="1" applyFill="1" applyBorder="1" applyAlignment="1">
      <alignment horizontal="center" vertical="center"/>
    </xf>
    <xf numFmtId="179" fontId="136" fillId="13" borderId="9" xfId="0" applyNumberFormat="1" applyFont="1" applyFill="1" applyBorder="1" applyAlignment="1">
      <alignment vertical="center"/>
    </xf>
    <xf numFmtId="178" fontId="136" fillId="13" borderId="4" xfId="2878" applyFont="1" applyFill="1" applyBorder="1" applyAlignment="1">
      <alignment vertical="center"/>
    </xf>
    <xf numFmtId="178" fontId="136" fillId="13" borderId="6" xfId="2878" applyFont="1" applyFill="1" applyBorder="1" applyAlignment="1">
      <alignment vertical="center"/>
    </xf>
    <xf numFmtId="0" fontId="136" fillId="13" borderId="4" xfId="0" applyFont="1" applyFill="1" applyBorder="1" applyAlignment="1">
      <alignment horizontal="center" vertical="center" shrinkToFit="1"/>
    </xf>
    <xf numFmtId="0" fontId="136" fillId="13" borderId="0" xfId="0" applyFont="1" applyFill="1" applyAlignment="1">
      <alignment vertical="center"/>
    </xf>
    <xf numFmtId="0" fontId="144" fillId="13" borderId="20" xfId="2878" applyNumberFormat="1" applyFont="1" applyFill="1" applyBorder="1" applyAlignment="1">
      <alignment horizontal="center" vertical="center"/>
    </xf>
    <xf numFmtId="0" fontId="138" fillId="13" borderId="20" xfId="2597" applyNumberFormat="1" applyFont="1" applyFill="1" applyBorder="1" applyAlignment="1">
      <alignment vertical="center"/>
    </xf>
    <xf numFmtId="0" fontId="146" fillId="13" borderId="4" xfId="0" applyFont="1" applyFill="1" applyBorder="1" applyAlignment="1">
      <alignment horizontal="center" vertical="center" shrinkToFit="1"/>
    </xf>
    <xf numFmtId="2" fontId="137" fillId="13" borderId="9" xfId="0" applyNumberFormat="1" applyFont="1" applyFill="1" applyBorder="1" applyAlignment="1">
      <alignment vertical="center"/>
    </xf>
    <xf numFmtId="0" fontId="137" fillId="13" borderId="20" xfId="2878" applyNumberFormat="1" applyFont="1" applyFill="1" applyBorder="1" applyAlignment="1">
      <alignment horizontal="left" vertical="center"/>
    </xf>
    <xf numFmtId="0" fontId="137" fillId="13" borderId="4" xfId="0" applyFont="1" applyFill="1" applyBorder="1" applyAlignment="1">
      <alignment horizontal="center" vertical="center"/>
    </xf>
    <xf numFmtId="0" fontId="137" fillId="13" borderId="20" xfId="2597" applyNumberFormat="1" applyFont="1" applyFill="1" applyBorder="1" applyAlignment="1">
      <alignment vertical="center"/>
    </xf>
    <xf numFmtId="0" fontId="147" fillId="0" borderId="4" xfId="0" applyFont="1" applyBorder="1" applyAlignment="1">
      <alignment horizontal="center" vertical="center" shrinkToFit="1"/>
    </xf>
    <xf numFmtId="0" fontId="147" fillId="13" borderId="4" xfId="0" applyFont="1" applyFill="1" applyBorder="1" applyAlignment="1">
      <alignment horizontal="center" vertical="center" shrinkToFit="1"/>
    </xf>
    <xf numFmtId="0" fontId="135" fillId="0" borderId="20" xfId="2597" applyNumberFormat="1" applyFont="1" applyFill="1" applyBorder="1" applyAlignment="1">
      <alignment vertical="center"/>
    </xf>
    <xf numFmtId="0" fontId="135" fillId="0" borderId="20" xfId="2597" applyNumberFormat="1" applyFont="1" applyFill="1" applyBorder="1" applyAlignment="1">
      <alignment horizontal="left" vertical="center"/>
    </xf>
    <xf numFmtId="0" fontId="135" fillId="0" borderId="4" xfId="0" applyFont="1" applyBorder="1" applyAlignment="1">
      <alignment horizontal="center" vertical="center"/>
    </xf>
    <xf numFmtId="2" fontId="135" fillId="0" borderId="9" xfId="0" applyNumberFormat="1" applyFont="1" applyBorder="1" applyAlignment="1">
      <alignment vertical="center"/>
    </xf>
    <xf numFmtId="178" fontId="135" fillId="0" borderId="4" xfId="2878" applyFont="1" applyFill="1" applyBorder="1" applyAlignment="1">
      <alignment vertical="center"/>
    </xf>
    <xf numFmtId="178" fontId="135" fillId="0" borderId="6" xfId="2878" applyFont="1" applyFill="1" applyBorder="1" applyAlignment="1">
      <alignment vertical="center"/>
    </xf>
    <xf numFmtId="0" fontId="135" fillId="0" borderId="4" xfId="0" applyFont="1" applyBorder="1" applyAlignment="1">
      <alignment horizontal="center" vertical="center" shrinkToFit="1"/>
    </xf>
    <xf numFmtId="0" fontId="135" fillId="0" borderId="0" xfId="0" applyFont="1" applyAlignment="1">
      <alignment vertical="center"/>
    </xf>
    <xf numFmtId="0" fontId="138" fillId="0" borderId="4" xfId="0" applyFont="1" applyBorder="1" applyAlignment="1">
      <alignment horizontal="center" vertical="center"/>
    </xf>
    <xf numFmtId="0" fontId="135" fillId="13" borderId="20" xfId="2597" applyNumberFormat="1" applyFont="1" applyFill="1" applyBorder="1" applyAlignment="1">
      <alignment vertical="center"/>
    </xf>
    <xf numFmtId="0" fontId="135" fillId="13" borderId="20" xfId="2878" applyNumberFormat="1" applyFont="1" applyFill="1" applyBorder="1" applyAlignment="1">
      <alignment horizontal="left" vertical="center"/>
    </xf>
    <xf numFmtId="0" fontId="135" fillId="13" borderId="4" xfId="0" applyFont="1" applyFill="1" applyBorder="1" applyAlignment="1">
      <alignment horizontal="center" vertical="center"/>
    </xf>
    <xf numFmtId="179" fontId="135" fillId="13" borderId="9" xfId="0" applyNumberFormat="1" applyFont="1" applyFill="1" applyBorder="1" applyAlignment="1">
      <alignment vertical="center"/>
    </xf>
    <xf numFmtId="178" fontId="135" fillId="13" borderId="4" xfId="2878" applyFont="1" applyFill="1" applyBorder="1" applyAlignment="1">
      <alignment vertical="center"/>
    </xf>
    <xf numFmtId="178" fontId="135" fillId="13" borderId="6" xfId="2878" applyFont="1" applyFill="1" applyBorder="1" applyAlignment="1">
      <alignment vertical="center"/>
    </xf>
    <xf numFmtId="0" fontId="135" fillId="13" borderId="4" xfId="0" applyFont="1" applyFill="1" applyBorder="1" applyAlignment="1">
      <alignment horizontal="center" vertical="center" shrinkToFit="1"/>
    </xf>
    <xf numFmtId="0" fontId="135" fillId="13" borderId="0" xfId="0" applyFont="1" applyFill="1" applyAlignment="1">
      <alignment vertical="center"/>
    </xf>
    <xf numFmtId="0" fontId="145" fillId="0" borderId="4" xfId="0" applyFont="1" applyBorder="1" applyAlignment="1">
      <alignment horizontal="center" vertical="center"/>
    </xf>
    <xf numFmtId="0" fontId="145" fillId="0" borderId="4" xfId="0" applyFont="1" applyBorder="1" applyAlignment="1">
      <alignment horizontal="center" vertical="center" shrinkToFit="1"/>
    </xf>
    <xf numFmtId="0" fontId="148" fillId="0" borderId="4" xfId="0" applyFont="1" applyBorder="1" applyAlignment="1">
      <alignment horizontal="center" vertical="center" shrinkToFit="1"/>
    </xf>
    <xf numFmtId="0" fontId="116" fillId="13" borderId="20" xfId="2597" applyNumberFormat="1" applyFont="1" applyFill="1" applyBorder="1" applyAlignment="1">
      <alignment horizontal="center" vertical="center"/>
    </xf>
    <xf numFmtId="0" fontId="136" fillId="13" borderId="20" xfId="2597" applyNumberFormat="1" applyFont="1" applyFill="1" applyBorder="1" applyAlignment="1">
      <alignment horizontal="left" vertical="center"/>
    </xf>
    <xf numFmtId="2" fontId="136" fillId="13" borderId="9" xfId="0" applyNumberFormat="1" applyFont="1" applyFill="1" applyBorder="1" applyAlignment="1">
      <alignment vertical="center"/>
    </xf>
    <xf numFmtId="0" fontId="136" fillId="0" borderId="20" xfId="2597" applyNumberFormat="1" applyFont="1" applyFill="1" applyBorder="1" applyAlignment="1">
      <alignment vertical="center"/>
    </xf>
    <xf numFmtId="0" fontId="136" fillId="0" borderId="20" xfId="2597" applyNumberFormat="1" applyFont="1" applyFill="1" applyBorder="1" applyAlignment="1">
      <alignment horizontal="left" vertical="center"/>
    </xf>
    <xf numFmtId="0" fontId="136" fillId="0" borderId="4" xfId="0" applyFont="1" applyBorder="1" applyAlignment="1">
      <alignment horizontal="center" vertical="center"/>
    </xf>
    <xf numFmtId="2" fontId="136" fillId="0" borderId="9" xfId="0" applyNumberFormat="1" applyFont="1" applyBorder="1" applyAlignment="1">
      <alignment vertical="center"/>
    </xf>
    <xf numFmtId="178" fontId="136" fillId="0" borderId="4" xfId="2878" applyFont="1" applyFill="1" applyBorder="1" applyAlignment="1">
      <alignment vertical="center"/>
    </xf>
    <xf numFmtId="178" fontId="136" fillId="0" borderId="6" xfId="2878" applyFont="1" applyFill="1" applyBorder="1" applyAlignment="1">
      <alignment vertical="center"/>
    </xf>
    <xf numFmtId="0" fontId="136" fillId="0" borderId="4" xfId="0" applyFont="1" applyBorder="1" applyAlignment="1">
      <alignment horizontal="center" vertical="center" shrinkToFit="1"/>
    </xf>
    <xf numFmtId="0" fontId="136" fillId="0" borderId="0" xfId="0" applyFont="1" applyAlignment="1">
      <alignment vertical="center"/>
    </xf>
    <xf numFmtId="2" fontId="135" fillId="13" borderId="9" xfId="0" applyNumberFormat="1" applyFont="1" applyFill="1" applyBorder="1" applyAlignment="1">
      <alignment vertical="center"/>
    </xf>
    <xf numFmtId="0" fontId="138" fillId="0" borderId="20" xfId="2597" applyNumberFormat="1" applyFont="1" applyFill="1" applyBorder="1" applyAlignment="1">
      <alignment vertical="center"/>
    </xf>
    <xf numFmtId="0" fontId="150" fillId="0" borderId="0" xfId="2879" applyFont="1"/>
    <xf numFmtId="179" fontId="136" fillId="0" borderId="9" xfId="0" applyNumberFormat="1" applyFont="1" applyBorder="1" applyAlignment="1">
      <alignment vertical="center"/>
    </xf>
    <xf numFmtId="0" fontId="136" fillId="0" borderId="20" xfId="2878" applyNumberFormat="1" applyFont="1" applyFill="1" applyBorder="1" applyAlignment="1">
      <alignment horizontal="left" vertical="center"/>
    </xf>
    <xf numFmtId="0" fontId="148" fillId="13" borderId="4" xfId="0" applyFont="1" applyFill="1" applyBorder="1" applyAlignment="1">
      <alignment horizontal="center" vertical="center" shrinkToFit="1"/>
    </xf>
    <xf numFmtId="178" fontId="116" fillId="0" borderId="6" xfId="2878" applyFont="1" applyFill="1" applyBorder="1" applyAlignment="1">
      <alignment horizontal="center" vertical="center"/>
    </xf>
    <xf numFmtId="178" fontId="136" fillId="0" borderId="6" xfId="2878" applyFont="1" applyFill="1" applyBorder="1" applyAlignment="1">
      <alignment horizontal="center" vertical="center"/>
    </xf>
    <xf numFmtId="178" fontId="131" fillId="0" borderId="20" xfId="2597" applyNumberFormat="1" applyFont="1" applyFill="1" applyBorder="1" applyAlignment="1">
      <alignment vertical="center"/>
    </xf>
    <xf numFmtId="0" fontId="116" fillId="15" borderId="20" xfId="2597" applyNumberFormat="1" applyFont="1" applyFill="1" applyBorder="1" applyAlignment="1">
      <alignment horizontal="center" vertical="center"/>
    </xf>
    <xf numFmtId="0" fontId="116" fillId="15" borderId="20" xfId="2597" applyNumberFormat="1" applyFont="1" applyFill="1" applyBorder="1" applyAlignment="1">
      <alignment vertical="center"/>
    </xf>
    <xf numFmtId="0" fontId="116" fillId="15" borderId="20" xfId="2597" applyNumberFormat="1" applyFont="1" applyFill="1" applyBorder="1" applyAlignment="1">
      <alignment horizontal="left" vertical="center"/>
    </xf>
    <xf numFmtId="0" fontId="116" fillId="15" borderId="4" xfId="0" applyFont="1" applyFill="1" applyBorder="1" applyAlignment="1">
      <alignment horizontal="center" vertical="center"/>
    </xf>
    <xf numFmtId="179" fontId="116" fillId="15" borderId="9" xfId="0" applyNumberFormat="1" applyFont="1" applyFill="1" applyBorder="1" applyAlignment="1">
      <alignment vertical="center"/>
    </xf>
    <xf numFmtId="178" fontId="116" fillId="15" borderId="4" xfId="2878" applyFont="1" applyFill="1" applyBorder="1" applyAlignment="1">
      <alignment vertical="center"/>
    </xf>
    <xf numFmtId="178" fontId="116" fillId="15" borderId="6" xfId="2878" applyFont="1" applyFill="1" applyBorder="1" applyAlignment="1">
      <alignment vertical="center"/>
    </xf>
    <xf numFmtId="0" fontId="116" fillId="15" borderId="4" xfId="0" applyFont="1" applyFill="1" applyBorder="1" applyAlignment="1">
      <alignment horizontal="center" vertical="center" shrinkToFit="1"/>
    </xf>
    <xf numFmtId="0" fontId="116" fillId="15" borderId="0" xfId="0" applyFont="1" applyFill="1" applyAlignment="1">
      <alignment vertical="center"/>
    </xf>
    <xf numFmtId="0" fontId="114" fillId="15" borderId="20" xfId="2878" applyNumberFormat="1" applyFont="1" applyFill="1" applyBorder="1" applyAlignment="1">
      <alignment horizontal="center" vertical="center"/>
    </xf>
    <xf numFmtId="0" fontId="114" fillId="15" borderId="20" xfId="2597" applyNumberFormat="1" applyFont="1" applyFill="1" applyBorder="1" applyAlignment="1">
      <alignment vertical="center"/>
    </xf>
    <xf numFmtId="0" fontId="114" fillId="15" borderId="20" xfId="2878" applyNumberFormat="1" applyFont="1" applyFill="1" applyBorder="1" applyAlignment="1">
      <alignment horizontal="left" vertical="center"/>
    </xf>
    <xf numFmtId="0" fontId="114" fillId="15" borderId="4" xfId="0" applyFont="1" applyFill="1" applyBorder="1" applyAlignment="1">
      <alignment horizontal="center" vertical="center"/>
    </xf>
    <xf numFmtId="179" fontId="114" fillId="15" borderId="9" xfId="0" applyNumberFormat="1" applyFont="1" applyFill="1" applyBorder="1" applyAlignment="1">
      <alignment vertical="center"/>
    </xf>
    <xf numFmtId="178" fontId="114" fillId="15" borderId="4" xfId="2878" applyFont="1" applyFill="1" applyBorder="1" applyAlignment="1">
      <alignment vertical="center"/>
    </xf>
    <xf numFmtId="178" fontId="114" fillId="15" borderId="6" xfId="2878" applyFont="1" applyFill="1" applyBorder="1" applyAlignment="1">
      <alignment vertical="center"/>
    </xf>
    <xf numFmtId="0" fontId="114" fillId="15" borderId="4" xfId="0" applyFont="1" applyFill="1" applyBorder="1" applyAlignment="1">
      <alignment horizontal="center" vertical="center" shrinkToFit="1"/>
    </xf>
    <xf numFmtId="0" fontId="116" fillId="15" borderId="20" xfId="2878" applyNumberFormat="1" applyFont="1" applyFill="1" applyBorder="1" applyAlignment="1">
      <alignment horizontal="center" vertical="center"/>
    </xf>
    <xf numFmtId="0" fontId="136" fillId="15" borderId="20" xfId="2597" applyNumberFormat="1" applyFont="1" applyFill="1" applyBorder="1" applyAlignment="1">
      <alignment vertical="center"/>
    </xf>
    <xf numFmtId="0" fontId="136" fillId="15" borderId="20" xfId="2878" applyNumberFormat="1" applyFont="1" applyFill="1" applyBorder="1" applyAlignment="1">
      <alignment horizontal="left" vertical="center"/>
    </xf>
    <xf numFmtId="0" fontId="136" fillId="15" borderId="4" xfId="0" applyFont="1" applyFill="1" applyBorder="1" applyAlignment="1">
      <alignment horizontal="center" vertical="center"/>
    </xf>
    <xf numFmtId="179" fontId="136" fillId="15" borderId="9" xfId="0" applyNumberFormat="1" applyFont="1" applyFill="1" applyBorder="1" applyAlignment="1">
      <alignment vertical="center"/>
    </xf>
    <xf numFmtId="178" fontId="136" fillId="15" borderId="4" xfId="2878" applyFont="1" applyFill="1" applyBorder="1" applyAlignment="1">
      <alignment vertical="center"/>
    </xf>
    <xf numFmtId="178" fontId="136" fillId="15" borderId="6" xfId="2878" applyFont="1" applyFill="1" applyBorder="1" applyAlignment="1">
      <alignment vertical="center"/>
    </xf>
    <xf numFmtId="0" fontId="148" fillId="15" borderId="4" xfId="0" applyFont="1" applyFill="1" applyBorder="1" applyAlignment="1">
      <alignment horizontal="center" vertical="center" shrinkToFit="1"/>
    </xf>
    <xf numFmtId="0" fontId="136" fillId="15" borderId="0" xfId="0" applyFont="1" applyFill="1" applyAlignment="1">
      <alignment vertical="center"/>
    </xf>
    <xf numFmtId="0" fontId="137" fillId="0" borderId="4" xfId="0" applyFont="1" applyBorder="1" applyAlignment="1">
      <alignment horizontal="center" vertical="center"/>
    </xf>
    <xf numFmtId="0" fontId="137" fillId="0" borderId="4" xfId="0" applyFont="1" applyBorder="1" applyAlignment="1">
      <alignment horizontal="center" vertical="center" shrinkToFit="1"/>
    </xf>
    <xf numFmtId="0" fontId="135" fillId="0" borderId="20" xfId="2597" applyNumberFormat="1" applyFont="1" applyFill="1" applyBorder="1" applyAlignment="1">
      <alignment horizontal="center" vertical="center"/>
    </xf>
    <xf numFmtId="0" fontId="151" fillId="13" borderId="4" xfId="0" applyFont="1" applyFill="1" applyBorder="1" applyAlignment="1">
      <alignment horizontal="center" vertical="center" shrinkToFit="1"/>
    </xf>
    <xf numFmtId="0" fontId="135" fillId="13" borderId="20" xfId="2597" applyNumberFormat="1" applyFont="1" applyFill="1" applyBorder="1" applyAlignment="1">
      <alignment horizontal="left" vertical="center"/>
    </xf>
    <xf numFmtId="179" fontId="135" fillId="0" borderId="9" xfId="0" applyNumberFormat="1" applyFont="1" applyBorder="1" applyAlignment="1">
      <alignment vertical="center"/>
    </xf>
    <xf numFmtId="0" fontId="116" fillId="0" borderId="20" xfId="2878" applyNumberFormat="1" applyFont="1" applyFill="1" applyBorder="1" applyAlignment="1">
      <alignment horizontal="left" vertical="center"/>
    </xf>
    <xf numFmtId="0" fontId="152" fillId="0" borderId="4" xfId="0" applyFont="1" applyBorder="1" applyAlignment="1">
      <alignment horizontal="center" vertical="center"/>
    </xf>
    <xf numFmtId="179" fontId="116" fillId="0" borderId="9" xfId="0" applyNumberFormat="1" applyFont="1" applyBorder="1" applyAlignment="1">
      <alignment vertical="center"/>
    </xf>
    <xf numFmtId="0" fontId="114" fillId="13" borderId="6" xfId="0" applyFont="1" applyFill="1" applyBorder="1" applyAlignment="1">
      <alignment horizontal="center" vertical="center" shrinkToFit="1"/>
    </xf>
    <xf numFmtId="183" fontId="131" fillId="0" borderId="9" xfId="2597" applyFont="1" applyFill="1" applyBorder="1" applyAlignment="1">
      <alignment vertical="center"/>
    </xf>
    <xf numFmtId="10" fontId="131" fillId="0" borderId="32" xfId="0" applyNumberFormat="1" applyFont="1" applyBorder="1" applyAlignment="1">
      <alignment horizontal="right" vertical="center"/>
    </xf>
    <xf numFmtId="179" fontId="131" fillId="0" borderId="4" xfId="0" applyNumberFormat="1" applyFont="1" applyBorder="1" applyAlignment="1">
      <alignment horizontal="center" vertical="center"/>
    </xf>
    <xf numFmtId="10" fontId="131" fillId="0" borderId="34" xfId="0" applyNumberFormat="1" applyFont="1" applyBorder="1" applyAlignment="1">
      <alignment horizontal="right" vertical="center"/>
    </xf>
    <xf numFmtId="179" fontId="131" fillId="0" borderId="29" xfId="2597" applyNumberFormat="1" applyFont="1" applyFill="1" applyBorder="1" applyAlignment="1">
      <alignment horizontal="center" vertical="center"/>
    </xf>
    <xf numFmtId="10" fontId="131" fillId="0" borderId="29" xfId="0" applyNumberFormat="1" applyFont="1" applyBorder="1" applyAlignment="1">
      <alignment horizontal="right" vertical="center"/>
    </xf>
    <xf numFmtId="10" fontId="131" fillId="0" borderId="20" xfId="0" applyNumberFormat="1" applyFont="1" applyBorder="1" applyAlignment="1">
      <alignment horizontal="right" vertical="center"/>
    </xf>
    <xf numFmtId="179" fontId="131" fillId="0" borderId="20" xfId="2597" applyNumberFormat="1" applyFont="1" applyFill="1" applyBorder="1" applyAlignment="1">
      <alignment horizontal="center" vertical="center"/>
    </xf>
    <xf numFmtId="183" fontId="131" fillId="0" borderId="29" xfId="2597" applyFont="1" applyFill="1" applyBorder="1" applyAlignment="1">
      <alignment vertical="center"/>
    </xf>
    <xf numFmtId="179" fontId="131" fillId="0" borderId="0" xfId="0" applyNumberFormat="1" applyFont="1" applyAlignment="1">
      <alignment vertical="center"/>
    </xf>
    <xf numFmtId="0" fontId="153" fillId="0" borderId="20" xfId="2597" applyNumberFormat="1" applyFont="1" applyFill="1" applyBorder="1" applyAlignment="1">
      <alignment horizontal="center" vertical="center"/>
    </xf>
    <xf numFmtId="0" fontId="153" fillId="0" borderId="20" xfId="2597" applyNumberFormat="1" applyFont="1" applyFill="1" applyBorder="1" applyAlignment="1">
      <alignment vertical="center"/>
    </xf>
    <xf numFmtId="0" fontId="153" fillId="0" borderId="20" xfId="2597" applyNumberFormat="1" applyFont="1" applyFill="1" applyBorder="1" applyAlignment="1">
      <alignment horizontal="left" vertical="center"/>
    </xf>
    <xf numFmtId="178" fontId="153" fillId="0" borderId="4" xfId="2878" applyFont="1" applyFill="1" applyBorder="1" applyAlignment="1">
      <alignment vertical="center"/>
    </xf>
    <xf numFmtId="0" fontId="153" fillId="0" borderId="4" xfId="0" applyFont="1" applyBorder="1" applyAlignment="1">
      <alignment horizontal="center" vertical="center" shrinkToFit="1"/>
    </xf>
    <xf numFmtId="0" fontId="144" fillId="0" borderId="20" xfId="2597" applyNumberFormat="1" applyFont="1" applyFill="1" applyBorder="1" applyAlignment="1">
      <alignment horizontal="center" vertical="center"/>
    </xf>
    <xf numFmtId="0" fontId="154" fillId="0" borderId="20" xfId="2597" applyNumberFormat="1" applyFont="1" applyFill="1" applyBorder="1" applyAlignment="1">
      <alignment vertical="center"/>
    </xf>
    <xf numFmtId="0" fontId="154" fillId="0" borderId="20" xfId="2597" applyNumberFormat="1" applyFont="1" applyFill="1" applyBorder="1" applyAlignment="1">
      <alignment horizontal="left" vertical="center"/>
    </xf>
    <xf numFmtId="0" fontId="154" fillId="0" borderId="20" xfId="0" applyFont="1" applyBorder="1" applyAlignment="1">
      <alignment horizontal="center" vertical="center"/>
    </xf>
    <xf numFmtId="179" fontId="154" fillId="0" borderId="20" xfId="2597" applyNumberFormat="1" applyFont="1" applyFill="1" applyBorder="1" applyAlignment="1">
      <alignment horizontal="center" vertical="center"/>
    </xf>
    <xf numFmtId="178" fontId="154" fillId="0" borderId="20" xfId="2878" applyFont="1" applyFill="1" applyBorder="1" applyAlignment="1">
      <alignment vertical="center"/>
    </xf>
    <xf numFmtId="0" fontId="154" fillId="0" borderId="4" xfId="0" applyFont="1" applyBorder="1" applyAlignment="1">
      <alignment horizontal="center" vertical="center" shrinkToFit="1"/>
    </xf>
    <xf numFmtId="0" fontId="154" fillId="0" borderId="20" xfId="0" applyFont="1" applyBorder="1" applyAlignment="1">
      <alignment vertical="center"/>
    </xf>
    <xf numFmtId="0" fontId="153" fillId="0" borderId="20" xfId="0" applyFont="1" applyBorder="1" applyAlignment="1">
      <alignment horizontal="center" vertical="center"/>
    </xf>
    <xf numFmtId="179" fontId="153" fillId="0" borderId="20" xfId="2597" applyNumberFormat="1" applyFont="1" applyFill="1" applyBorder="1" applyAlignment="1">
      <alignment horizontal="center" vertical="center"/>
    </xf>
    <xf numFmtId="178" fontId="153" fillId="0" borderId="20" xfId="2878" applyFont="1" applyFill="1" applyBorder="1" applyAlignment="1">
      <alignment vertical="center"/>
    </xf>
    <xf numFmtId="0" fontId="153" fillId="0" borderId="20" xfId="0" applyFont="1" applyBorder="1" applyAlignment="1">
      <alignment vertical="center"/>
    </xf>
    <xf numFmtId="0" fontId="153" fillId="13" borderId="20" xfId="2878" applyNumberFormat="1" applyFont="1" applyFill="1" applyBorder="1" applyAlignment="1">
      <alignment horizontal="center" vertical="center"/>
    </xf>
    <xf numFmtId="0" fontId="153" fillId="13" borderId="20" xfId="2597" applyNumberFormat="1" applyFont="1" applyFill="1" applyBorder="1" applyAlignment="1">
      <alignment vertical="center"/>
    </xf>
    <xf numFmtId="0" fontId="153" fillId="13" borderId="20" xfId="2878" applyNumberFormat="1" applyFont="1" applyFill="1" applyBorder="1" applyAlignment="1">
      <alignment horizontal="left" vertical="center"/>
    </xf>
    <xf numFmtId="0" fontId="153" fillId="13" borderId="4" xfId="0" applyFont="1" applyFill="1" applyBorder="1" applyAlignment="1">
      <alignment horizontal="center" vertical="center"/>
    </xf>
    <xf numFmtId="179" fontId="153" fillId="13" borderId="9" xfId="0" applyNumberFormat="1" applyFont="1" applyFill="1" applyBorder="1" applyAlignment="1">
      <alignment vertical="center"/>
    </xf>
    <xf numFmtId="178" fontId="153" fillId="13" borderId="4" xfId="2878" applyFont="1" applyFill="1" applyBorder="1" applyAlignment="1">
      <alignment vertical="center"/>
    </xf>
    <xf numFmtId="178" fontId="153" fillId="13" borderId="6" xfId="2878" applyFont="1" applyFill="1" applyBorder="1" applyAlignment="1">
      <alignment vertical="center"/>
    </xf>
    <xf numFmtId="0" fontId="153" fillId="13" borderId="0" xfId="0" applyFont="1" applyFill="1" applyAlignment="1">
      <alignment vertical="center"/>
    </xf>
    <xf numFmtId="0" fontId="155" fillId="0" borderId="4" xfId="0" applyFont="1" applyBorder="1" applyAlignment="1">
      <alignment horizontal="center" vertical="center" shrinkToFit="1"/>
    </xf>
    <xf numFmtId="0" fontId="154" fillId="0" borderId="20" xfId="2597" applyNumberFormat="1" applyFont="1" applyFill="1" applyBorder="1" applyAlignment="1">
      <alignment horizontal="center" vertical="center"/>
    </xf>
    <xf numFmtId="0" fontId="154" fillId="0" borderId="4" xfId="0" applyFont="1" applyBorder="1" applyAlignment="1">
      <alignment horizontal="center" vertical="center"/>
    </xf>
    <xf numFmtId="2" fontId="154" fillId="0" borderId="9" xfId="0" applyNumberFormat="1" applyFont="1" applyBorder="1" applyAlignment="1">
      <alignment vertical="center"/>
    </xf>
    <xf numFmtId="178" fontId="154" fillId="0" borderId="4" xfId="2878" applyFont="1" applyFill="1" applyBorder="1" applyAlignment="1">
      <alignment vertical="center"/>
    </xf>
    <xf numFmtId="178" fontId="154" fillId="0" borderId="6" xfId="2878" applyFont="1" applyFill="1" applyBorder="1" applyAlignment="1">
      <alignment vertical="center"/>
    </xf>
    <xf numFmtId="0" fontId="154" fillId="0" borderId="0" xfId="0" applyFont="1" applyAlignment="1">
      <alignment vertical="center"/>
    </xf>
    <xf numFmtId="0" fontId="157" fillId="0" borderId="0" xfId="2877" applyFont="1"/>
    <xf numFmtId="0" fontId="154" fillId="13" borderId="4" xfId="0" applyFont="1" applyFill="1" applyBorder="1" applyAlignment="1">
      <alignment horizontal="center" vertical="center" shrinkToFit="1"/>
    </xf>
    <xf numFmtId="0" fontId="158" fillId="13" borderId="0" xfId="2597" applyNumberFormat="1" applyFont="1" applyFill="1" applyBorder="1" applyAlignment="1">
      <alignment vertical="center"/>
    </xf>
    <xf numFmtId="0" fontId="159" fillId="0" borderId="20" xfId="2597" applyNumberFormat="1" applyFont="1" applyFill="1" applyBorder="1" applyAlignment="1">
      <alignment horizontal="center" vertical="center"/>
    </xf>
    <xf numFmtId="0" fontId="159" fillId="0" borderId="20" xfId="2597" applyNumberFormat="1" applyFont="1" applyFill="1" applyBorder="1" applyAlignment="1">
      <alignment vertical="center"/>
    </xf>
    <xf numFmtId="0" fontId="159" fillId="0" borderId="20" xfId="2597" applyNumberFormat="1" applyFont="1" applyFill="1" applyBorder="1" applyAlignment="1">
      <alignment horizontal="left" vertical="center"/>
    </xf>
    <xf numFmtId="0" fontId="159" fillId="0" borderId="20" xfId="0" applyFont="1" applyBorder="1" applyAlignment="1">
      <alignment horizontal="center" vertical="center"/>
    </xf>
    <xf numFmtId="179" fontId="159" fillId="0" borderId="20" xfId="2597" applyNumberFormat="1" applyFont="1" applyFill="1" applyBorder="1" applyAlignment="1">
      <alignment horizontal="center" vertical="center"/>
    </xf>
    <xf numFmtId="178" fontId="159" fillId="0" borderId="20" xfId="2878" applyFont="1" applyFill="1" applyBorder="1" applyAlignment="1">
      <alignment vertical="center"/>
    </xf>
    <xf numFmtId="0" fontId="159" fillId="0" borderId="4" xfId="0" applyFont="1" applyBorder="1" applyAlignment="1">
      <alignment horizontal="center" vertical="center" shrinkToFit="1"/>
    </xf>
    <xf numFmtId="0" fontId="159" fillId="0" borderId="20" xfId="0" applyFont="1" applyBorder="1" applyAlignment="1">
      <alignment vertical="center"/>
    </xf>
    <xf numFmtId="0" fontId="155" fillId="13" borderId="4" xfId="0" applyFont="1" applyFill="1" applyBorder="1" applyAlignment="1">
      <alignment horizontal="center" vertical="center" shrinkToFit="1"/>
    </xf>
    <xf numFmtId="0" fontId="153" fillId="0" borderId="20" xfId="2878" applyNumberFormat="1" applyFont="1" applyFill="1" applyBorder="1" applyAlignment="1">
      <alignment horizontal="left" vertical="center"/>
    </xf>
    <xf numFmtId="0" fontId="114" fillId="15" borderId="20" xfId="2597" applyNumberFormat="1" applyFont="1" applyFill="1" applyBorder="1" applyAlignment="1">
      <alignment horizontal="center" vertical="center"/>
    </xf>
    <xf numFmtId="0" fontId="135" fillId="15" borderId="20" xfId="2597" applyNumberFormat="1" applyFont="1" applyFill="1" applyBorder="1" applyAlignment="1">
      <alignment vertical="center"/>
    </xf>
    <xf numFmtId="0" fontId="135" fillId="15" borderId="20" xfId="2597" applyNumberFormat="1" applyFont="1" applyFill="1" applyBorder="1" applyAlignment="1">
      <alignment horizontal="left" vertical="center"/>
    </xf>
    <xf numFmtId="0" fontId="135" fillId="15" borderId="4" xfId="0" applyFont="1" applyFill="1" applyBorder="1" applyAlignment="1">
      <alignment horizontal="center" vertical="center"/>
    </xf>
    <xf numFmtId="178" fontId="135" fillId="15" borderId="4" xfId="2878" applyFont="1" applyFill="1" applyBorder="1" applyAlignment="1">
      <alignment vertical="center"/>
    </xf>
    <xf numFmtId="0" fontId="135" fillId="15" borderId="0" xfId="0" applyFont="1" applyFill="1" applyAlignment="1">
      <alignment vertical="center"/>
    </xf>
    <xf numFmtId="0" fontId="114" fillId="15" borderId="20" xfId="2597" applyNumberFormat="1" applyFont="1" applyFill="1" applyBorder="1" applyAlignment="1">
      <alignment horizontal="left" vertical="center"/>
    </xf>
    <xf numFmtId="2" fontId="114" fillId="15" borderId="9" xfId="0" applyNumberFormat="1" applyFont="1" applyFill="1" applyBorder="1" applyAlignment="1">
      <alignment vertical="center"/>
    </xf>
    <xf numFmtId="0" fontId="117" fillId="0" borderId="0" xfId="2879" applyFont="1" applyAlignment="1">
      <alignment horizontal="center"/>
    </xf>
    <xf numFmtId="0" fontId="118" fillId="0" borderId="0" xfId="2877" applyFont="1" applyAlignment="1">
      <alignment horizontal="center"/>
    </xf>
    <xf numFmtId="57" fontId="119" fillId="0" borderId="0" xfId="2879" applyNumberFormat="1" applyFont="1" applyAlignment="1">
      <alignment horizontal="right"/>
    </xf>
    <xf numFmtId="0" fontId="121" fillId="0" borderId="21" xfId="2879" applyFont="1" applyBorder="1"/>
    <xf numFmtId="0" fontId="121" fillId="0" borderId="0" xfId="2879" applyFont="1" applyAlignment="1">
      <alignment horizontal="left"/>
    </xf>
    <xf numFmtId="0" fontId="128" fillId="7" borderId="38" xfId="0" applyFont="1" applyFill="1" applyBorder="1" applyAlignment="1">
      <alignment horizontal="center" vertical="center"/>
    </xf>
    <xf numFmtId="0" fontId="128" fillId="7" borderId="27" xfId="0" applyFont="1" applyFill="1" applyBorder="1" applyAlignment="1">
      <alignment horizontal="center" vertical="center"/>
    </xf>
    <xf numFmtId="0" fontId="125" fillId="0" borderId="0" xfId="2597" applyNumberFormat="1" applyFont="1" applyFill="1" applyBorder="1" applyAlignment="1">
      <alignment vertical="center"/>
    </xf>
    <xf numFmtId="0" fontId="128" fillId="7" borderId="38" xfId="2597" applyNumberFormat="1" applyFont="1" applyFill="1" applyBorder="1" applyAlignment="1">
      <alignment horizontal="center" vertical="center"/>
    </xf>
    <xf numFmtId="0" fontId="128" fillId="7" borderId="27" xfId="2597" applyNumberFormat="1" applyFont="1" applyFill="1" applyBorder="1" applyAlignment="1">
      <alignment horizontal="center" vertical="center"/>
    </xf>
    <xf numFmtId="179" fontId="128" fillId="7" borderId="38" xfId="0" applyNumberFormat="1" applyFont="1" applyFill="1" applyBorder="1" applyAlignment="1">
      <alignment horizontal="center" vertical="center"/>
    </xf>
    <xf numFmtId="179" fontId="128" fillId="7" borderId="27" xfId="0" applyNumberFormat="1" applyFont="1" applyFill="1" applyBorder="1" applyAlignment="1">
      <alignment horizontal="center" vertical="center"/>
    </xf>
    <xf numFmtId="183" fontId="128" fillId="7" borderId="38" xfId="2597" applyFont="1" applyFill="1" applyBorder="1" applyAlignment="1">
      <alignment horizontal="center" vertical="center"/>
    </xf>
    <xf numFmtId="0" fontId="116" fillId="0" borderId="31" xfId="2597" applyNumberFormat="1" applyFont="1" applyFill="1" applyBorder="1" applyAlignment="1">
      <alignment vertical="center"/>
    </xf>
    <xf numFmtId="0" fontId="116" fillId="0" borderId="46" xfId="2597" applyNumberFormat="1" applyFont="1" applyFill="1" applyBorder="1" applyAlignment="1">
      <alignment vertical="center"/>
    </xf>
    <xf numFmtId="0" fontId="116" fillId="0" borderId="26" xfId="2597" applyNumberFormat="1" applyFont="1" applyFill="1" applyBorder="1" applyAlignment="1">
      <alignment vertical="center"/>
    </xf>
    <xf numFmtId="0" fontId="134" fillId="16" borderId="37" xfId="0" applyFont="1" applyFill="1" applyBorder="1" applyAlignment="1">
      <alignment horizontal="center" vertical="center"/>
    </xf>
    <xf numFmtId="0" fontId="134" fillId="16" borderId="38" xfId="0" applyFont="1" applyFill="1" applyBorder="1" applyAlignment="1">
      <alignment horizontal="center" vertical="center"/>
    </xf>
    <xf numFmtId="0" fontId="110" fillId="0" borderId="28" xfId="2597" applyNumberFormat="1" applyFont="1" applyFill="1" applyBorder="1" applyAlignment="1">
      <alignment vertical="center"/>
    </xf>
    <xf numFmtId="0" fontId="112" fillId="7" borderId="27" xfId="0" applyFont="1" applyFill="1" applyBorder="1" applyAlignment="1">
      <alignment horizontal="center" vertical="center"/>
    </xf>
    <xf numFmtId="0" fontId="112" fillId="16" borderId="27" xfId="2597" applyNumberFormat="1" applyFont="1" applyFill="1" applyBorder="1" applyAlignment="1">
      <alignment horizontal="center" vertical="center"/>
    </xf>
    <xf numFmtId="0" fontId="112" fillId="16" borderId="27" xfId="0" applyFont="1" applyFill="1" applyBorder="1" applyAlignment="1">
      <alignment horizontal="center" vertical="center"/>
    </xf>
    <xf numFmtId="179" fontId="112" fillId="16" borderId="27" xfId="0" applyNumberFormat="1" applyFont="1" applyFill="1" applyBorder="1" applyAlignment="1">
      <alignment horizontal="center" vertical="center"/>
    </xf>
    <xf numFmtId="183" fontId="112" fillId="16" borderId="27" xfId="2597" applyFont="1" applyFill="1" applyBorder="1" applyAlignment="1">
      <alignment horizontal="center" vertical="center"/>
    </xf>
    <xf numFmtId="2" fontId="135" fillId="15" borderId="9" xfId="0" applyNumberFormat="1" applyFont="1" applyFill="1" applyBorder="1" applyAlignment="1">
      <alignment vertical="center"/>
    </xf>
    <xf numFmtId="178" fontId="135" fillId="15" borderId="6" xfId="2878" applyFont="1" applyFill="1" applyBorder="1" applyAlignment="1">
      <alignment vertical="center"/>
    </xf>
    <xf numFmtId="0" fontId="136" fillId="15" borderId="4" xfId="0" applyFont="1" applyFill="1" applyBorder="1" applyAlignment="1">
      <alignment horizontal="center" vertical="center" shrinkToFit="1"/>
    </xf>
    <xf numFmtId="0" fontId="137" fillId="15" borderId="20" xfId="2878" applyNumberFormat="1" applyFont="1" applyFill="1" applyBorder="1" applyAlignment="1">
      <alignment horizontal="left" vertical="center"/>
    </xf>
    <xf numFmtId="0" fontId="137" fillId="15" borderId="4" xfId="0" applyFont="1" applyFill="1" applyBorder="1" applyAlignment="1">
      <alignment horizontal="center" vertical="center"/>
    </xf>
    <xf numFmtId="0" fontId="144" fillId="15" borderId="20" xfId="2878" applyNumberFormat="1" applyFont="1" applyFill="1" applyBorder="1" applyAlignment="1">
      <alignment horizontal="center" vertical="center"/>
    </xf>
    <xf numFmtId="0" fontId="144" fillId="15" borderId="20" xfId="2597" applyNumberFormat="1" applyFont="1" applyFill="1" applyBorder="1" applyAlignment="1">
      <alignment vertical="center"/>
    </xf>
    <xf numFmtId="0" fontId="144" fillId="15" borderId="20" xfId="2878" applyNumberFormat="1" applyFont="1" applyFill="1" applyBorder="1" applyAlignment="1">
      <alignment horizontal="left" vertical="center"/>
    </xf>
    <xf numFmtId="0" fontId="144" fillId="15" borderId="4" xfId="0" applyFont="1" applyFill="1" applyBorder="1" applyAlignment="1">
      <alignment horizontal="center" vertical="center"/>
    </xf>
    <xf numFmtId="179" fontId="144" fillId="15" borderId="9" xfId="0" applyNumberFormat="1" applyFont="1" applyFill="1" applyBorder="1" applyAlignment="1">
      <alignment vertical="center"/>
    </xf>
    <xf numFmtId="178" fontId="144" fillId="15" borderId="4" xfId="2878" applyFont="1" applyFill="1" applyBorder="1" applyAlignment="1">
      <alignment vertical="center"/>
    </xf>
    <xf numFmtId="0" fontId="144" fillId="15" borderId="4" xfId="0" applyFont="1" applyFill="1" applyBorder="1" applyAlignment="1">
      <alignment horizontal="center" vertical="center" shrinkToFit="1"/>
    </xf>
    <xf numFmtId="0" fontId="144" fillId="15" borderId="0" xfId="0" applyFont="1" applyFill="1" applyAlignment="1">
      <alignment vertical="center"/>
    </xf>
  </cellXfs>
  <cellStyles count="2881">
    <cellStyle name=" " xfId="1" xr:uid="{00000000-0005-0000-0000-000000000000}"/>
    <cellStyle name=" _97연말" xfId="2" xr:uid="{00000000-0005-0000-0000-000001000000}"/>
    <cellStyle name=" _97연말_방수-대맥" xfId="3" xr:uid="{00000000-0005-0000-0000-000002000000}"/>
    <cellStyle name=" _97연말1" xfId="4" xr:uid="{00000000-0005-0000-0000-000003000000}"/>
    <cellStyle name=" _97연말1_방수-대맥" xfId="5" xr:uid="{00000000-0005-0000-0000-000004000000}"/>
    <cellStyle name=" _방수-대맥" xfId="8" xr:uid="{00000000-0005-0000-0000-000007000000}"/>
    <cellStyle name=" _Book1" xfId="6" xr:uid="{00000000-0005-0000-0000-000005000000}"/>
    <cellStyle name=" _Book1_방수-대맥" xfId="7" xr:uid="{00000000-0005-0000-0000-000006000000}"/>
    <cellStyle name="_(02.03.05) 묵동 현장관리비 실행" xfId="36" xr:uid="{00000000-0005-0000-0000-000023000000}"/>
    <cellStyle name="_(02.03.08) 묵동 현장관리비 실행" xfId="37" xr:uid="{00000000-0005-0000-0000-000024000000}"/>
    <cellStyle name="_(02.09.17)인천 삼산1지구 2블럭 주공아파트" xfId="38" xr:uid="{00000000-0005-0000-0000-000025000000}"/>
    <cellStyle name="_(02.09.23  64,000평)인천 삼산1지구 2블럭 " xfId="39" xr:uid="{00000000-0005-0000-0000-000026000000}"/>
    <cellStyle name="_(07.31 최종확정)묵동 실행예산" xfId="40" xr:uid="{00000000-0005-0000-0000-000027000000}"/>
    <cellStyle name="_(09.05)인천원당 공통가설공사" xfId="41" xr:uid="{00000000-0005-0000-0000-000028000000}"/>
    <cellStyle name="_00" xfId="42" xr:uid="{00000000-0005-0000-0000-000029000000}"/>
    <cellStyle name="_00012002년 업체평가 결과 현장전파공문(030310)" xfId="43" xr:uid="{00000000-0005-0000-0000-00002A000000}"/>
    <cellStyle name="_001-인원및일반관리비" xfId="44" xr:uid="{00000000-0005-0000-0000-00002B000000}"/>
    <cellStyle name="_01-1.본실행.간접비" xfId="47" xr:uid="{00000000-0005-0000-0000-00002E000000}"/>
    <cellStyle name="_01-건축공사" xfId="48" xr:uid="{00000000-0005-0000-0000-00002F000000}"/>
    <cellStyle name="_01.본실행" xfId="45" xr:uid="{00000000-0005-0000-0000-00002C000000}"/>
    <cellStyle name="_0106-06-007 금속 및 수장공사 단가견적- 대림" xfId="46" xr:uid="{00000000-0005-0000-0000-00002D000000}"/>
    <cellStyle name="_02-도급공사비내역" xfId="52" xr:uid="{00000000-0005-0000-0000-000033000000}"/>
    <cellStyle name="_02.본실행(건축)" xfId="49" xr:uid="{00000000-0005-0000-0000-000030000000}"/>
    <cellStyle name="_02.본실행(건축1)" xfId="50" xr:uid="{00000000-0005-0000-0000-000031000000}"/>
    <cellStyle name="_0210 암센타 내역 A ZONE" xfId="51" xr:uid="{00000000-0005-0000-0000-000032000000}"/>
    <cellStyle name="_03 실행내역(대전MBC)-건축토목" xfId="53" xr:uid="{00000000-0005-0000-0000-000034000000}"/>
    <cellStyle name="_03_정보통신R.C공사(051031)" xfId="54" xr:uid="{00000000-0005-0000-0000-000035000000}"/>
    <cellStyle name="_04 건축-인테리어(주거)공내역" xfId="55" xr:uid="{00000000-0005-0000-0000-000036000000}"/>
    <cellStyle name="_0426 제주 봉개 견적서(제출)" xfId="56" xr:uid="{00000000-0005-0000-0000-000037000000}"/>
    <cellStyle name="_05 건축-인테리어(상업)공내역" xfId="57" xr:uid="{00000000-0005-0000-0000-000038000000}"/>
    <cellStyle name="_05_방수공사" xfId="58" xr:uid="{00000000-0005-0000-0000-000039000000}"/>
    <cellStyle name="_05_방수공사(6.21)" xfId="59" xr:uid="{00000000-0005-0000-0000-00003A000000}"/>
    <cellStyle name="_050728 IBM Lounge Renovation Work" xfId="60" xr:uid="{00000000-0005-0000-0000-00003B000000}"/>
    <cellStyle name="_050805 스파피스-입찰내역서" xfId="61" xr:uid="{00000000-0005-0000-0000-00003C000000}"/>
    <cellStyle name="_050829 Schedule of Rate for Intel R&amp;D Center" xfId="62" xr:uid="{00000000-0005-0000-0000-00003D000000}"/>
    <cellStyle name="_0510 CGV 수원인계8" xfId="63" xr:uid="{00000000-0005-0000-0000-00003E000000}"/>
    <cellStyle name="_0512제출(1공구)" xfId="64" xr:uid="{00000000-0005-0000-0000-00003F000000}"/>
    <cellStyle name="_0513 견적서양식및3개평형별내역" xfId="65" xr:uid="{00000000-0005-0000-0000-000040000000}"/>
    <cellStyle name="_0514회의확정자료" xfId="66" xr:uid="{00000000-0005-0000-0000-000041000000}"/>
    <cellStyle name="_0524 특기시방" xfId="67" xr:uid="{00000000-0005-0000-0000-000042000000}"/>
    <cellStyle name="_060621 뉴 금오산 호텔 본관" xfId="68" xr:uid="{00000000-0005-0000-0000-000043000000}"/>
    <cellStyle name="_061114 GS MART A,B,C복층 내역(제출)" xfId="69" xr:uid="{00000000-0005-0000-0000-000044000000}"/>
    <cellStyle name="_07_미장공사" xfId="70" xr:uid="{00000000-0005-0000-0000-000045000000}"/>
    <cellStyle name="_07_진장점-미장공사 발주-진장점-RDR-051031" xfId="71" xr:uid="{00000000-0005-0000-0000-000046000000}"/>
    <cellStyle name="_070111 한우리리조트(취합)-공종분류" xfId="72" xr:uid="{00000000-0005-0000-0000-000047000000}"/>
    <cellStyle name="_070119 서초동쇼룸(최종)" xfId="73" xr:uid="{00000000-0005-0000-0000-000048000000}"/>
    <cellStyle name="_08-가실행내역" xfId="74" xr:uid="{00000000-0005-0000-0000-000049000000}"/>
    <cellStyle name="_09_흡음단열공사" xfId="75" xr:uid="{00000000-0005-0000-0000-00004A000000}"/>
    <cellStyle name="_0901작업1-금액분리" xfId="76" xr:uid="{00000000-0005-0000-0000-00004B000000}"/>
    <cellStyle name="_1 총괄-건축집행(평창콘도)" xfId="77" xr:uid="{00000000-0005-0000-0000-00004C000000}"/>
    <cellStyle name="_1. 삼성동 실행 030225(조적추가)" xfId="78" xr:uid="{00000000-0005-0000-0000-00004D000000}"/>
    <cellStyle name="_1. 삼성동 실행(030329)" xfId="79" xr:uid="{00000000-0005-0000-0000-00004E000000}"/>
    <cellStyle name="_1. 송도신도시현장관리비전순일검토" xfId="80" xr:uid="{00000000-0005-0000-0000-00004F000000}"/>
    <cellStyle name="_12_스텐스틸창호" xfId="81" xr:uid="{00000000-0005-0000-0000-000050000000}"/>
    <cellStyle name="_16_진장점수장공사(051209)" xfId="82" xr:uid="{00000000-0005-0000-0000-000051000000}"/>
    <cellStyle name="_2001전북도청 실행예산" xfId="83" xr:uid="{00000000-0005-0000-0000-000052000000}"/>
    <cellStyle name="_2002년 업체평가 결과 현장전파공문(030310)" xfId="84" xr:uid="{00000000-0005-0000-0000-000053000000}"/>
    <cellStyle name="_2003년전망(현장발송본) " xfId="85" xr:uid="{00000000-0005-0000-0000-000054000000}"/>
    <cellStyle name="_3. 인천간석동현장관리비전순일 분석" xfId="86" xr:uid="{00000000-0005-0000-0000-000055000000}"/>
    <cellStyle name="_4. 파주 변경 현장안20030128" xfId="87" xr:uid="{00000000-0005-0000-0000-000056000000}"/>
    <cellStyle name="_가로양식(2005)" xfId="121" xr:uid="{00000000-0005-0000-0000-000078000000}"/>
    <cellStyle name="_가실행" xfId="122" xr:uid="{00000000-0005-0000-0000-000079000000}"/>
    <cellStyle name="_가실행 최종본사분" xfId="123" xr:uid="{00000000-0005-0000-0000-00007A000000}"/>
    <cellStyle name="_가실행-화물터미널B(수정)" xfId="130" xr:uid="{00000000-0005-0000-0000-000081000000}"/>
    <cellStyle name="_가실행-화물터미널B(재수정)" xfId="131" xr:uid="{00000000-0005-0000-0000-000082000000}"/>
    <cellStyle name="_가실행(3th)" xfId="124" xr:uid="{00000000-0005-0000-0000-00007B000000}"/>
    <cellStyle name="_가실행(대전아울렛)" xfId="125" xr:uid="{00000000-0005-0000-0000-00007C000000}"/>
    <cellStyle name="_가실행(대혜건축)" xfId="126" xr:uid="{00000000-0005-0000-0000-00007D000000}"/>
    <cellStyle name="_가실행(분리발주)" xfId="127" xr:uid="{00000000-0005-0000-0000-00007E000000}"/>
    <cellStyle name="_가실행(조선대)-최종" xfId="128" xr:uid="{00000000-0005-0000-0000-00007F000000}"/>
    <cellStyle name="_가실행내역(김해공항)" xfId="129" xr:uid="{00000000-0005-0000-0000-000080000000}"/>
    <cellStyle name="_간석동실행" xfId="132" xr:uid="{00000000-0005-0000-0000-000083000000}"/>
    <cellStyle name="_간석동실행(확정)" xfId="133" xr:uid="{00000000-0005-0000-0000-000084000000}"/>
    <cellStyle name="_간석동현장관리비(alt3-2)1021" xfId="134" xr:uid="{00000000-0005-0000-0000-000085000000}"/>
    <cellStyle name="_간접비(01.09.28-변경내용포함)" xfId="135" xr:uid="{00000000-0005-0000-0000-000086000000}"/>
    <cellStyle name="_강제창호 및 잡철공사" xfId="136" xr:uid="{00000000-0005-0000-0000-000087000000}"/>
    <cellStyle name="_개산견적" xfId="137" xr:uid="{00000000-0005-0000-0000-000088000000}"/>
    <cellStyle name="_건축_공내역" xfId="138" xr:uid="{00000000-0005-0000-0000-000089000000}"/>
    <cellStyle name="_건축내역" xfId="139" xr:uid="{00000000-0005-0000-0000-00008A000000}"/>
    <cellStyle name="_건축내역2" xfId="140" xr:uid="{00000000-0005-0000-0000-00008B000000}"/>
    <cellStyle name="_건축내역서(단가입력)" xfId="141" xr:uid="{00000000-0005-0000-0000-00008C000000}"/>
    <cellStyle name="_건축사업팀검토008-철골공사Ⅲ" xfId="142" xr:uid="{00000000-0005-0000-0000-00008D000000}"/>
    <cellStyle name="_검단 실행 작성(0515)" xfId="143" xr:uid="{00000000-0005-0000-0000-00008E000000}"/>
    <cellStyle name="_검단 최종(변경0623 최종)" xfId="144" xr:uid="{00000000-0005-0000-0000-00008F000000}"/>
    <cellStyle name="_검암2차사전공사(본사검토) " xfId="145" xr:uid="{00000000-0005-0000-0000-000090000000}"/>
    <cellStyle name="_검암2차사전공사(본사검토) _1차 기성 내역서 0612023" xfId="146" xr:uid="{00000000-0005-0000-0000-000091000000}"/>
    <cellStyle name="_검암2차사전공사(본사검토) _3차네고견적(061017-1)" xfId="147" xr:uid="{00000000-0005-0000-0000-000092000000}"/>
    <cellStyle name="_검암2차사전공사(본사검토) _문화센타" xfId="148" xr:uid="{00000000-0005-0000-0000-000093000000}"/>
    <cellStyle name="_검암2차사전공사(본사검토) _총괄내역표" xfId="149" xr:uid="{00000000-0005-0000-0000-000094000000}"/>
    <cellStyle name="_견적 질의서" xfId="150" xr:uid="{00000000-0005-0000-0000-000095000000}"/>
    <cellStyle name="_견적기준(운송대리점)" xfId="151" xr:uid="{00000000-0005-0000-0000-000096000000}"/>
    <cellStyle name="_견적서(서초포스코)" xfId="152" xr:uid="{00000000-0005-0000-0000-000097000000}"/>
    <cellStyle name="_견적서표지" xfId="153" xr:uid="{00000000-0005-0000-0000-000098000000}"/>
    <cellStyle name="_견적양식-가로" xfId="154" xr:uid="{00000000-0005-0000-0000-000099000000}"/>
    <cellStyle name="_견적의뢰양식" xfId="155" xr:uid="{00000000-0005-0000-0000-00009A000000}"/>
    <cellStyle name="_견적조건" xfId="156" xr:uid="{00000000-0005-0000-0000-00009B000000}"/>
    <cellStyle name="_결정01-총괄가실행(0820)" xfId="157" xr:uid="{00000000-0005-0000-0000-00009C000000}"/>
    <cellStyle name="_경쟁사" xfId="158" xr:uid="{00000000-0005-0000-0000-00009D000000}"/>
    <cellStyle name="_공내역서_토목" xfId="160" xr:uid="{00000000-0005-0000-0000-00009F000000}"/>
    <cellStyle name="_공내역서(송파트리플)" xfId="159" xr:uid="{00000000-0005-0000-0000-00009E000000}"/>
    <cellStyle name="_공사개요(건축사업팀03.09.02)" xfId="161" xr:uid="{00000000-0005-0000-0000-0000A0000000}"/>
    <cellStyle name="_공정표" xfId="162" xr:uid="{00000000-0005-0000-0000-0000A1000000}"/>
    <cellStyle name="_공종분개작업" xfId="163" xr:uid="{00000000-0005-0000-0000-0000A2000000}"/>
    <cellStyle name="_관리비" xfId="164" xr:uid="{00000000-0005-0000-0000-0000A3000000}"/>
    <cellStyle name="_광주+속초내역(듀엘견적)" xfId="165" xr:uid="{00000000-0005-0000-0000-0000A4000000}"/>
    <cellStyle name="_교원그룹 낙산 숙박시설 신축공사" xfId="166" xr:uid="{00000000-0005-0000-0000-0000A5000000}"/>
    <cellStyle name="_구월동오피스텔(이토협의)의 백업" xfId="167" xr:uid="{00000000-0005-0000-0000-0000A6000000}"/>
    <cellStyle name="_그랜드호텔(본실행)" xfId="168" xr:uid="{00000000-0005-0000-0000-0000A7000000}"/>
    <cellStyle name="_내역003-추정내역" xfId="169" xr:uid="{00000000-0005-0000-0000-0000A8000000}"/>
    <cellStyle name="_내역서_토목" xfId="170" xr:uid="{00000000-0005-0000-0000-0000A9000000}"/>
    <cellStyle name="_단가표" xfId="171" xr:uid="{00000000-0005-0000-0000-0000AA000000}"/>
    <cellStyle name="_단위세대물량산출서" xfId="172" xr:uid="{00000000-0005-0000-0000-0000AB000000}"/>
    <cellStyle name="_당팀-가실행작업" xfId="173" xr:uid="{00000000-0005-0000-0000-0000AC000000}"/>
    <cellStyle name="_대림-온양온천역사 EST 050427-제출" xfId="174" xr:uid="{00000000-0005-0000-0000-0000AD000000}"/>
    <cellStyle name="_대림-전주가톨릭센터 EST 050516-제출" xfId="175" xr:uid="{00000000-0005-0000-0000-0000AE000000}"/>
    <cellStyle name="_대림-전주카톨릭센터 EST 051005" xfId="176" xr:uid="{00000000-0005-0000-0000-0000AF000000}"/>
    <cellStyle name="_대림-한국토지공사 광주사옥 EST 050502-제출" xfId="177" xr:uid="{00000000-0005-0000-0000-0000B0000000}"/>
    <cellStyle name="_대비표양식" xfId="178" xr:uid="{00000000-0005-0000-0000-0000B1000000}"/>
    <cellStyle name="_도곡동실행1차" xfId="179" xr:uid="{00000000-0005-0000-0000-0000B2000000}"/>
    <cellStyle name="_도곡동토공사사발주계획" xfId="180" xr:uid="{00000000-0005-0000-0000-0000B3000000}"/>
    <cellStyle name="_도급공사변경Ⅰ(0626)" xfId="181" xr:uid="{00000000-0005-0000-0000-0000B4000000}"/>
    <cellStyle name="_도봉동 빌라실행보고서" xfId="182" xr:uid="{00000000-0005-0000-0000-0000B5000000}"/>
    <cellStyle name="_라이나 대구 (8차)" xfId="183" xr:uid="{00000000-0005-0000-0000-0000B6000000}"/>
    <cellStyle name="_마가레트 호텔" xfId="184" xr:uid="{00000000-0005-0000-0000-0000B7000000}"/>
    <cellStyle name="_매입세근거" xfId="185" xr:uid="{00000000-0005-0000-0000-0000B8000000}"/>
    <cellStyle name="_매입세근거_습식공사현설" xfId="186" xr:uid="{00000000-0005-0000-0000-0000B9000000}"/>
    <cellStyle name="_문래동 방적 방림" xfId="187" xr:uid="{00000000-0005-0000-0000-0000BA000000}"/>
    <cellStyle name="_문래동가실행" xfId="188" xr:uid="{00000000-0005-0000-0000-0000BB000000}"/>
    <cellStyle name="_문래동쇼핑몰" xfId="189" xr:uid="{00000000-0005-0000-0000-0000BC000000}"/>
    <cellStyle name="_변경내역5" xfId="190" xr:uid="{00000000-0005-0000-0000-0000BD000000}"/>
    <cellStyle name="_변경내역7(보고)" xfId="191" xr:uid="{00000000-0005-0000-0000-0000BE000000}"/>
    <cellStyle name="_변경내역서(건축외)" xfId="192" xr:uid="{00000000-0005-0000-0000-0000BF000000}"/>
    <cellStyle name="_보고02-건축공사감액보고서(0714)" xfId="193" xr:uid="{00000000-0005-0000-0000-0000C0000000}"/>
    <cellStyle name="_보고서 cover" xfId="194" xr:uid="{00000000-0005-0000-0000-0000C1000000}"/>
    <cellStyle name="_부에나비스타 빌라 설계견적" xfId="195" xr:uid="{00000000-0005-0000-0000-0000C2000000}"/>
    <cellStyle name="_분당파크뷰시공계획서(송산)" xfId="196" xr:uid="{00000000-0005-0000-0000-0000C3000000}"/>
    <cellStyle name="_분석001-구조체투입관련" xfId="197" xr:uid="{00000000-0005-0000-0000-0000C4000000}"/>
    <cellStyle name="_빌라평당비교표" xfId="198" xr:uid="{00000000-0005-0000-0000-0000C5000000}"/>
    <cellStyle name="_사본 - 인테리어실행내역" xfId="199" xr:uid="{00000000-0005-0000-0000-0000C6000000}"/>
    <cellStyle name="_사본 - 조경실행내역" xfId="200" xr:uid="{00000000-0005-0000-0000-0000C7000000}"/>
    <cellStyle name="_사전공사(토목본사검토) " xfId="201" xr:uid="{00000000-0005-0000-0000-0000C8000000}"/>
    <cellStyle name="_사전공사(토목본사검토) _1차 기성 내역서 0612023" xfId="202" xr:uid="{00000000-0005-0000-0000-0000C9000000}"/>
    <cellStyle name="_사전공사(토목본사검토) _3차네고견적(061017-1)" xfId="203" xr:uid="{00000000-0005-0000-0000-0000CA000000}"/>
    <cellStyle name="_사전공사(토목본사검토) _문화센타" xfId="204" xr:uid="{00000000-0005-0000-0000-0000CB000000}"/>
    <cellStyle name="_사전공사(토목본사검토) _총괄내역표" xfId="205" xr:uid="{00000000-0005-0000-0000-0000CC000000}"/>
    <cellStyle name="_산출001-공동구공사" xfId="206" xr:uid="{00000000-0005-0000-0000-0000CD000000}"/>
    <cellStyle name="_삼성 실행 내역 수정" xfId="207" xr:uid="{00000000-0005-0000-0000-0000CE000000}"/>
    <cellStyle name="_서울 중앙우체국 인테리어공사(03.10.08)" xfId="208" xr:uid="{00000000-0005-0000-0000-0000CF000000}"/>
    <cellStyle name="_서울 중앙우체국 인테리어공사(04.03.29)철희실행(0417)" xfId="209" xr:uid="{00000000-0005-0000-0000-0000D0000000}"/>
    <cellStyle name="_성원오피스텔휘트니스센터" xfId="210" xr:uid="{00000000-0005-0000-0000-0000D1000000}"/>
    <cellStyle name="_세로양식(2005)" xfId="211" xr:uid="{00000000-0005-0000-0000-0000D2000000}"/>
    <cellStyle name="_센터블 스파신축공사(토목공사-정주공영)" xfId="212" xr:uid="{00000000-0005-0000-0000-0000D3000000}"/>
    <cellStyle name="_수정-공항운송도급내역(0917)" xfId="213" xr:uid="{00000000-0005-0000-0000-0000D4000000}"/>
    <cellStyle name="_수정이여2003.05.19xls" xfId="214" xr:uid="{00000000-0005-0000-0000-0000D5000000}"/>
    <cellStyle name="_스틸커튼월 사전공사 승인요청(평창콘도)" xfId="215" xr:uid="{00000000-0005-0000-0000-0000D6000000}"/>
    <cellStyle name="_신규(철골공사)집행예산 승인요청" xfId="216" xr:uid="{00000000-0005-0000-0000-0000D7000000}"/>
    <cellStyle name="_신촌(2차)트리플지점(원본)" xfId="217" xr:uid="{00000000-0005-0000-0000-0000D8000000}"/>
    <cellStyle name="_실행" xfId="218" xr:uid="{00000000-0005-0000-0000-0000D9000000}"/>
    <cellStyle name="_실행(갑지)" xfId="219" xr:uid="{00000000-0005-0000-0000-0000DA000000}"/>
    <cellStyle name="_실행01-총괄가실행(0828)" xfId="220" xr:uid="{00000000-0005-0000-0000-0000DB000000}"/>
    <cellStyle name="_실행갑지" xfId="221" xr:uid="{00000000-0005-0000-0000-0000DC000000}"/>
    <cellStyle name="_실행갑지(변경)" xfId="222" xr:uid="{00000000-0005-0000-0000-0000DD000000}"/>
    <cellStyle name="_실행내역" xfId="223" xr:uid="{00000000-0005-0000-0000-0000DE000000}"/>
    <cellStyle name="_실행내역(아+부)" xfId="224" xr:uid="{00000000-0005-0000-0000-0000DF000000}"/>
    <cellStyle name="_實行內譯書(평내)" xfId="225" xr:uid="{00000000-0005-0000-0000-0000E0000000}"/>
    <cellStyle name="_실행예산(사장님)" xfId="226" xr:uid="{00000000-0005-0000-0000-0000E1000000}"/>
    <cellStyle name="_실행예산(최종사장님승인)" xfId="227" xr:uid="{00000000-0005-0000-0000-0000E2000000}"/>
    <cellStyle name="_실행최종(12.18)" xfId="228" xr:uid="{00000000-0005-0000-0000-0000E3000000}"/>
    <cellStyle name="_아미고터워 리모델링공사(계약,실행내역)9월.3일 " xfId="229" xr:uid="{00000000-0005-0000-0000-0000E4000000}"/>
    <cellStyle name="_아크로리버기준-개산견적기준(건축)" xfId="230" xr:uid="{00000000-0005-0000-0000-0000E5000000}"/>
    <cellStyle name="_안동최종정산" xfId="231" xr:uid="{00000000-0005-0000-0000-0000E6000000}"/>
    <cellStyle name="_양재동 도매센타(수정1006)" xfId="232" xr:uid="{00000000-0005-0000-0000-0000E7000000}"/>
    <cellStyle name="_여의도(실행)" xfId="233" xr:uid="{00000000-0005-0000-0000-0000E8000000}"/>
    <cellStyle name="_오공본드" xfId="234" xr:uid="{00000000-0005-0000-0000-0000E9000000}"/>
    <cellStyle name="_용인동백C2-3" xfId="235" xr:uid="{00000000-0005-0000-0000-0000EA000000}"/>
    <cellStyle name="_우면동주택계약내역서초안(1110)" xfId="236" xr:uid="{00000000-0005-0000-0000-0000EB000000}"/>
    <cellStyle name="_원당 1차 실행001(030329)" xfId="237" xr:uid="{00000000-0005-0000-0000-0000EC000000}"/>
    <cellStyle name="_원당실행내역" xfId="238" xr:uid="{00000000-0005-0000-0000-0000ED000000}"/>
    <cellStyle name="_이건창호-풍림 평창콘도 제안서(071228)" xfId="239" xr:uid="{00000000-0005-0000-0000-0000EE000000}"/>
    <cellStyle name="_이행각서" xfId="240" xr:uid="{00000000-0005-0000-0000-0000EF000000}"/>
    <cellStyle name="_인원계획표 " xfId="241" xr:uid="{00000000-0005-0000-0000-0000F0000000}"/>
    <cellStyle name="_인원계획표 _04-가실행(작업중)" xfId="243" xr:uid="{00000000-0005-0000-0000-0000F2000000}"/>
    <cellStyle name="_인원계획표 _04-가실행(작업중1)" xfId="244" xr:uid="{00000000-0005-0000-0000-0000F3000000}"/>
    <cellStyle name="_인원계획표 _04028적산수량집계" xfId="242" xr:uid="{00000000-0005-0000-0000-0000F1000000}"/>
    <cellStyle name="_인원계획표 _1차 기성 내역서 0612023" xfId="245" xr:uid="{00000000-0005-0000-0000-0000F4000000}"/>
    <cellStyle name="_인원계획표 _3차네고견적(061017-1)" xfId="246" xr:uid="{00000000-0005-0000-0000-0000F5000000}"/>
    <cellStyle name="_인원계획표 _가실행" xfId="248" xr:uid="{00000000-0005-0000-0000-0000F7000000}"/>
    <cellStyle name="_인원계획표 _건축내역서(가경)" xfId="249" xr:uid="{00000000-0005-0000-0000-0000F8000000}"/>
    <cellStyle name="_인원계획표 _검암2차사전공사(본사검토) " xfId="250" xr:uid="{00000000-0005-0000-0000-0000F9000000}"/>
    <cellStyle name="_인원계획표 _검암2차사전공사(본사검토) _1차 기성 내역서 0612023" xfId="251" xr:uid="{00000000-0005-0000-0000-0000FA000000}"/>
    <cellStyle name="_인원계획표 _검암2차사전공사(본사검토) _3차네고견적(061017-1)" xfId="252" xr:uid="{00000000-0005-0000-0000-0000FB000000}"/>
    <cellStyle name="_인원계획표 _검암2차사전공사(본사검토) _문화센타" xfId="253" xr:uid="{00000000-0005-0000-0000-0000FC000000}"/>
    <cellStyle name="_인원계획표 _검암2차사전공사(본사검토) _총괄내역표" xfId="254" xr:uid="{00000000-0005-0000-0000-0000FD000000}"/>
    <cellStyle name="_인원계획표 _문화센타" xfId="255" xr:uid="{00000000-0005-0000-0000-0000FE000000}"/>
    <cellStyle name="_인원계획표 _부천소사점내역서" xfId="256" xr:uid="{00000000-0005-0000-0000-0000FF000000}"/>
    <cellStyle name="_인원계획표 _비교표(시화,청주)" xfId="257" xr:uid="{00000000-0005-0000-0000-000000010000}"/>
    <cellStyle name="_인원계획표 _비교표(청주가경점)" xfId="258" xr:uid="{00000000-0005-0000-0000-000001010000}"/>
    <cellStyle name="_인원계획표 _사전공사(토목본사검토) " xfId="259" xr:uid="{00000000-0005-0000-0000-000002010000}"/>
    <cellStyle name="_인원계획표 _사전공사(토목본사검토) _1차 기성 내역서 0612023" xfId="260" xr:uid="{00000000-0005-0000-0000-000003010000}"/>
    <cellStyle name="_인원계획표 _사전공사(토목본사검토) _3차네고견적(061017-1)" xfId="261" xr:uid="{00000000-0005-0000-0000-000004010000}"/>
    <cellStyle name="_인원계획표 _사전공사(토목본사검토) _문화센타" xfId="262" xr:uid="{00000000-0005-0000-0000-000005010000}"/>
    <cellStyle name="_인원계획표 _사전공사(토목본사검토) _총괄내역표" xfId="263" xr:uid="{00000000-0005-0000-0000-000006010000}"/>
    <cellStyle name="_인원계획표 _수원-가실행" xfId="264" xr:uid="{00000000-0005-0000-0000-000007010000}"/>
    <cellStyle name="_인원계획표 _순천점내역서" xfId="265" xr:uid="{00000000-0005-0000-0000-000008010000}"/>
    <cellStyle name="_인원계획표 _이행각서" xfId="266" xr:uid="{00000000-0005-0000-0000-000009010000}"/>
    <cellStyle name="_인원계획표 _적격 " xfId="267" xr:uid="{00000000-0005-0000-0000-00000A010000}"/>
    <cellStyle name="_인원계획표 _적격 _04-가실행(작업중)" xfId="269" xr:uid="{00000000-0005-0000-0000-00000C010000}"/>
    <cellStyle name="_인원계획표 _적격 _04-가실행(작업중1)" xfId="270" xr:uid="{00000000-0005-0000-0000-00000D010000}"/>
    <cellStyle name="_인원계획표 _적격 _04028적산수량집계" xfId="268" xr:uid="{00000000-0005-0000-0000-00000B010000}"/>
    <cellStyle name="_인원계획표 _적격 _1차 기성 내역서 0612023" xfId="271" xr:uid="{00000000-0005-0000-0000-00000E010000}"/>
    <cellStyle name="_인원계획표 _적격 _3차네고견적(061017-1)" xfId="272" xr:uid="{00000000-0005-0000-0000-00000F010000}"/>
    <cellStyle name="_인원계획표 _적격 _가실행" xfId="274" xr:uid="{00000000-0005-0000-0000-000011010000}"/>
    <cellStyle name="_인원계획표 _적격 _건축내역서(가경)" xfId="275" xr:uid="{00000000-0005-0000-0000-000012010000}"/>
    <cellStyle name="_인원계획표 _적격 _문화센타" xfId="276" xr:uid="{00000000-0005-0000-0000-000013010000}"/>
    <cellStyle name="_인원계획표 _적격 _부천소사점내역서" xfId="277" xr:uid="{00000000-0005-0000-0000-000014010000}"/>
    <cellStyle name="_인원계획표 _적격 _비교표(시화,청주)" xfId="278" xr:uid="{00000000-0005-0000-0000-000015010000}"/>
    <cellStyle name="_인원계획표 _적격 _비교표(청주가경점)" xfId="279" xr:uid="{00000000-0005-0000-0000-000016010000}"/>
    <cellStyle name="_인원계획표 _적격 _수원-가실행" xfId="280" xr:uid="{00000000-0005-0000-0000-000017010000}"/>
    <cellStyle name="_인원계획표 _적격 _순천점내역서" xfId="281" xr:uid="{00000000-0005-0000-0000-000018010000}"/>
    <cellStyle name="_인원계획표 _적격 _총괄내역표" xfId="282" xr:uid="{00000000-0005-0000-0000-000019010000}"/>
    <cellStyle name="_인원계획표 _적격 _KT견적요청" xfId="273" xr:uid="{00000000-0005-0000-0000-000010010000}"/>
    <cellStyle name="_인원계획표 _총괄내역표" xfId="283" xr:uid="{00000000-0005-0000-0000-00001A010000}"/>
    <cellStyle name="_인원계획표 _포기각서" xfId="284" xr:uid="{00000000-0005-0000-0000-00001B010000}"/>
    <cellStyle name="_인원계획표 _현설양식" xfId="285" xr:uid="{00000000-0005-0000-0000-00001C010000}"/>
    <cellStyle name="_인원계획표 _현장설명" xfId="286" xr:uid="{00000000-0005-0000-0000-00001D010000}"/>
    <cellStyle name="_인원계획표 _KT견적요청" xfId="247" xr:uid="{00000000-0005-0000-0000-0000F6000000}"/>
    <cellStyle name="_인테리어공사 발주계획서" xfId="287" xr:uid="{00000000-0005-0000-0000-00001E010000}"/>
    <cellStyle name="_인테리어발주 건축공사" xfId="288" xr:uid="{00000000-0005-0000-0000-00001F010000}"/>
    <cellStyle name="_일위(김천)" xfId="289" xr:uid="{00000000-0005-0000-0000-000020010000}"/>
    <cellStyle name="_일위(포천)" xfId="290" xr:uid="{00000000-0005-0000-0000-000021010000}"/>
    <cellStyle name="_입찰갑지" xfId="291" xr:uid="{00000000-0005-0000-0000-000022010000}"/>
    <cellStyle name="_입찰표지 " xfId="292" xr:uid="{00000000-0005-0000-0000-000023010000}"/>
    <cellStyle name="_입찰표지 _04-가실행(작업중)" xfId="294" xr:uid="{00000000-0005-0000-0000-000025010000}"/>
    <cellStyle name="_입찰표지 _04-가실행(작업중1)" xfId="295" xr:uid="{00000000-0005-0000-0000-000026010000}"/>
    <cellStyle name="_입찰표지 _04028적산수량집계" xfId="293" xr:uid="{00000000-0005-0000-0000-000024010000}"/>
    <cellStyle name="_입찰표지 _1차 기성 내역서 0612023" xfId="296" xr:uid="{00000000-0005-0000-0000-000027010000}"/>
    <cellStyle name="_입찰표지 _3차네고견적(061017-1)" xfId="297" xr:uid="{00000000-0005-0000-0000-000028010000}"/>
    <cellStyle name="_입찰표지 _가실행" xfId="299" xr:uid="{00000000-0005-0000-0000-00002A010000}"/>
    <cellStyle name="_입찰표지 _건축내역서(가경)" xfId="300" xr:uid="{00000000-0005-0000-0000-00002B010000}"/>
    <cellStyle name="_입찰표지 _검암2차사전공사(본사검토) " xfId="301" xr:uid="{00000000-0005-0000-0000-00002C010000}"/>
    <cellStyle name="_입찰표지 _검암2차사전공사(본사검토) _1차 기성 내역서 0612023" xfId="302" xr:uid="{00000000-0005-0000-0000-00002D010000}"/>
    <cellStyle name="_입찰표지 _검암2차사전공사(본사검토) _3차네고견적(061017-1)" xfId="303" xr:uid="{00000000-0005-0000-0000-00002E010000}"/>
    <cellStyle name="_입찰표지 _검암2차사전공사(본사검토) _문화센타" xfId="304" xr:uid="{00000000-0005-0000-0000-00002F010000}"/>
    <cellStyle name="_입찰표지 _검암2차사전공사(본사검토) _총괄내역표" xfId="305" xr:uid="{00000000-0005-0000-0000-000030010000}"/>
    <cellStyle name="_입찰표지 _문화센타" xfId="306" xr:uid="{00000000-0005-0000-0000-000031010000}"/>
    <cellStyle name="_입찰표지 _부천소사점내역서" xfId="307" xr:uid="{00000000-0005-0000-0000-000032010000}"/>
    <cellStyle name="_입찰표지 _비교표(시화,청주)" xfId="308" xr:uid="{00000000-0005-0000-0000-000033010000}"/>
    <cellStyle name="_입찰표지 _비교표(청주가경점)" xfId="309" xr:uid="{00000000-0005-0000-0000-000034010000}"/>
    <cellStyle name="_입찰표지 _사전공사(토목본사검토) " xfId="310" xr:uid="{00000000-0005-0000-0000-000035010000}"/>
    <cellStyle name="_입찰표지 _사전공사(토목본사검토) _1차 기성 내역서 0612023" xfId="311" xr:uid="{00000000-0005-0000-0000-000036010000}"/>
    <cellStyle name="_입찰표지 _사전공사(토목본사검토) _3차네고견적(061017-1)" xfId="312" xr:uid="{00000000-0005-0000-0000-000037010000}"/>
    <cellStyle name="_입찰표지 _사전공사(토목본사검토) _문화센타" xfId="313" xr:uid="{00000000-0005-0000-0000-000038010000}"/>
    <cellStyle name="_입찰표지 _수원-가실행" xfId="314" xr:uid="{00000000-0005-0000-0000-000039010000}"/>
    <cellStyle name="_입찰표지 _순천점내역서" xfId="315" xr:uid="{00000000-0005-0000-0000-00003A010000}"/>
    <cellStyle name="_입찰표지 _이행각서" xfId="316" xr:uid="{00000000-0005-0000-0000-00003B010000}"/>
    <cellStyle name="_입찰표지 _총괄내역표" xfId="317" xr:uid="{00000000-0005-0000-0000-00003C010000}"/>
    <cellStyle name="_입찰표지 _포기각서" xfId="318" xr:uid="{00000000-0005-0000-0000-00003D010000}"/>
    <cellStyle name="_입찰표지 _현설양식" xfId="319" xr:uid="{00000000-0005-0000-0000-00003E010000}"/>
    <cellStyle name="_입찰표지 _현장설명" xfId="320" xr:uid="{00000000-0005-0000-0000-00003F010000}"/>
    <cellStyle name="_입찰표지 _KT견적요청" xfId="298" xr:uid="{00000000-0005-0000-0000-000029010000}"/>
    <cellStyle name="_입찰품의" xfId="321" xr:uid="{00000000-0005-0000-0000-000040010000}"/>
    <cellStyle name="_입찰품의(HANG LUNG-Rev1)" xfId="323" xr:uid="{00000000-0005-0000-0000-000042010000}"/>
    <cellStyle name="_입찰품의(HANG LUNG)" xfId="322" xr:uid="{00000000-0005-0000-0000-000041010000}"/>
    <cellStyle name="_입찰품의(KIL)" xfId="324" xr:uid="{00000000-0005-0000-0000-000043010000}"/>
    <cellStyle name="_자료01-공통가설" xfId="325" xr:uid="{00000000-0005-0000-0000-000044010000}"/>
    <cellStyle name="_자료03-대안수량조정실행대비표" xfId="326" xr:uid="{00000000-0005-0000-0000-000045010000}"/>
    <cellStyle name="_자료06-토목공사" xfId="327" xr:uid="{00000000-0005-0000-0000-000046010000}"/>
    <cellStyle name="_자재단가의뢰" xfId="328" xr:uid="{00000000-0005-0000-0000-000047010000}"/>
    <cellStyle name="_작업01-조경공사0709" xfId="329" xr:uid="{00000000-0005-0000-0000-000048010000}"/>
    <cellStyle name="_장지도급(공종분개)-결재용" xfId="330" xr:uid="{00000000-0005-0000-0000-000049010000}"/>
    <cellStyle name="_적격 " xfId="331" xr:uid="{00000000-0005-0000-0000-00004A010000}"/>
    <cellStyle name="_적격 _04-가실행(작업중)" xfId="333" xr:uid="{00000000-0005-0000-0000-00004C010000}"/>
    <cellStyle name="_적격 _04-가실행(작업중1)" xfId="334" xr:uid="{00000000-0005-0000-0000-00004D010000}"/>
    <cellStyle name="_적격 _04028적산수량집계" xfId="332" xr:uid="{00000000-0005-0000-0000-00004B010000}"/>
    <cellStyle name="_적격 _1차 기성 내역서 0612023" xfId="335" xr:uid="{00000000-0005-0000-0000-00004E010000}"/>
    <cellStyle name="_적격 _3차네고견적(061017-1)" xfId="336" xr:uid="{00000000-0005-0000-0000-00004F010000}"/>
    <cellStyle name="_적격 _가실행" xfId="338" xr:uid="{00000000-0005-0000-0000-000051010000}"/>
    <cellStyle name="_적격 _건축내역서(가경)" xfId="339" xr:uid="{00000000-0005-0000-0000-000052010000}"/>
    <cellStyle name="_적격 _문화센타" xfId="340" xr:uid="{00000000-0005-0000-0000-000053010000}"/>
    <cellStyle name="_적격 _부천소사점내역서" xfId="341" xr:uid="{00000000-0005-0000-0000-000054010000}"/>
    <cellStyle name="_적격 _비교표(시화,청주)" xfId="342" xr:uid="{00000000-0005-0000-0000-000055010000}"/>
    <cellStyle name="_적격 _비교표(청주가경점)" xfId="343" xr:uid="{00000000-0005-0000-0000-000056010000}"/>
    <cellStyle name="_적격 _수원-가실행" xfId="344" xr:uid="{00000000-0005-0000-0000-000057010000}"/>
    <cellStyle name="_적격 _순천점내역서" xfId="345" xr:uid="{00000000-0005-0000-0000-000058010000}"/>
    <cellStyle name="_적격 _집행갑지 " xfId="346" xr:uid="{00000000-0005-0000-0000-000059010000}"/>
    <cellStyle name="_적격 _집행갑지 _1차 기성 내역서 0612023" xfId="347" xr:uid="{00000000-0005-0000-0000-00005A010000}"/>
    <cellStyle name="_적격 _집행갑지 _3차네고견적(061017-1)" xfId="348" xr:uid="{00000000-0005-0000-0000-00005B010000}"/>
    <cellStyle name="_적격 _집행갑지 _건축내역서(가경)" xfId="349" xr:uid="{00000000-0005-0000-0000-00005C010000}"/>
    <cellStyle name="_적격 _집행갑지 _문화센타" xfId="350" xr:uid="{00000000-0005-0000-0000-00005D010000}"/>
    <cellStyle name="_적격 _집행갑지 _부천소사점내역서" xfId="351" xr:uid="{00000000-0005-0000-0000-00005E010000}"/>
    <cellStyle name="_적격 _집행갑지 _비교표(시화,청주)" xfId="352" xr:uid="{00000000-0005-0000-0000-00005F010000}"/>
    <cellStyle name="_적격 _집행갑지 _비교표(청주가경점)" xfId="353" xr:uid="{00000000-0005-0000-0000-000060010000}"/>
    <cellStyle name="_적격 _집행갑지 _순천점내역서" xfId="354" xr:uid="{00000000-0005-0000-0000-000061010000}"/>
    <cellStyle name="_적격 _KT견적요청" xfId="337" xr:uid="{00000000-0005-0000-0000-000050010000}"/>
    <cellStyle name="_적격(화산) " xfId="355" xr:uid="{00000000-0005-0000-0000-000062010000}"/>
    <cellStyle name="_적격(화산) _04-가실행(작업중)" xfId="357" xr:uid="{00000000-0005-0000-0000-000064010000}"/>
    <cellStyle name="_적격(화산) _04-가실행(작업중1)" xfId="358" xr:uid="{00000000-0005-0000-0000-000065010000}"/>
    <cellStyle name="_적격(화산) _04028적산수량집계" xfId="356" xr:uid="{00000000-0005-0000-0000-000063010000}"/>
    <cellStyle name="_적격(화산) _1차 기성 내역서 0612023" xfId="359" xr:uid="{00000000-0005-0000-0000-000066010000}"/>
    <cellStyle name="_적격(화산) _3차네고견적(061017-1)" xfId="360" xr:uid="{00000000-0005-0000-0000-000067010000}"/>
    <cellStyle name="_적격(화산) _가실행" xfId="362" xr:uid="{00000000-0005-0000-0000-000069010000}"/>
    <cellStyle name="_적격(화산) _건축내역서(가경)" xfId="363" xr:uid="{00000000-0005-0000-0000-00006A010000}"/>
    <cellStyle name="_적격(화산) _검암2차사전공사(본사검토) " xfId="364" xr:uid="{00000000-0005-0000-0000-00006B010000}"/>
    <cellStyle name="_적격(화산) _검암2차사전공사(본사검토) _1차 기성 내역서 0612023" xfId="365" xr:uid="{00000000-0005-0000-0000-00006C010000}"/>
    <cellStyle name="_적격(화산) _검암2차사전공사(본사검토) _3차네고견적(061017-1)" xfId="366" xr:uid="{00000000-0005-0000-0000-00006D010000}"/>
    <cellStyle name="_적격(화산) _검암2차사전공사(본사검토) _문화센타" xfId="367" xr:uid="{00000000-0005-0000-0000-00006E010000}"/>
    <cellStyle name="_적격(화산) _문화센타" xfId="368" xr:uid="{00000000-0005-0000-0000-00006F010000}"/>
    <cellStyle name="_적격(화산) _부천소사점내역서" xfId="369" xr:uid="{00000000-0005-0000-0000-000070010000}"/>
    <cellStyle name="_적격(화산) _비교표(시화,청주)" xfId="370" xr:uid="{00000000-0005-0000-0000-000071010000}"/>
    <cellStyle name="_적격(화산) _비교표(청주가경점)" xfId="371" xr:uid="{00000000-0005-0000-0000-000072010000}"/>
    <cellStyle name="_적격(화산) _사전공사(토목본사검토) " xfId="372" xr:uid="{00000000-0005-0000-0000-000073010000}"/>
    <cellStyle name="_적격(화산) _사전공사(토목본사검토) _1차 기성 내역서 0612023" xfId="373" xr:uid="{00000000-0005-0000-0000-000074010000}"/>
    <cellStyle name="_적격(화산) _사전공사(토목본사검토) _3차네고견적(061017-1)" xfId="374" xr:uid="{00000000-0005-0000-0000-000075010000}"/>
    <cellStyle name="_적격(화산) _사전공사(토목본사검토) _문화센타" xfId="375" xr:uid="{00000000-0005-0000-0000-000076010000}"/>
    <cellStyle name="_적격(화산) _수원-가실행" xfId="376" xr:uid="{00000000-0005-0000-0000-000077010000}"/>
    <cellStyle name="_적격(화산) _순천점내역서" xfId="377" xr:uid="{00000000-0005-0000-0000-000078010000}"/>
    <cellStyle name="_적격(화산) _이행각서" xfId="378" xr:uid="{00000000-0005-0000-0000-000079010000}"/>
    <cellStyle name="_적격(화산) _포기각서" xfId="379" xr:uid="{00000000-0005-0000-0000-00007A010000}"/>
    <cellStyle name="_적격(화산) _현설양식" xfId="380" xr:uid="{00000000-0005-0000-0000-00007B010000}"/>
    <cellStyle name="_적격(화산) _현장설명" xfId="381" xr:uid="{00000000-0005-0000-0000-00007C010000}"/>
    <cellStyle name="_적격(화산) _KT견적요청" xfId="361" xr:uid="{00000000-0005-0000-0000-000068010000}"/>
    <cellStyle name="_점수산정총괄(조달청)" xfId="382" xr:uid="{00000000-0005-0000-0000-00007D010000}"/>
    <cellStyle name="_정보통신미장(051115)" xfId="383" xr:uid="{00000000-0005-0000-0000-00007E010000}"/>
    <cellStyle name="_정보통신수장(바닥-051115)" xfId="384" xr:uid="{00000000-0005-0000-0000-00007F010000}"/>
    <cellStyle name="_정보통신수장(바닥-051115)_1차 기성 내역서 0612023" xfId="385" xr:uid="{00000000-0005-0000-0000-000080010000}"/>
    <cellStyle name="_정보통신수장(바닥-051115)_3차네고견적(061017-1)" xfId="386" xr:uid="{00000000-0005-0000-0000-000081010000}"/>
    <cellStyle name="_정보통신수장(바닥-051115)_문화센타" xfId="387" xr:uid="{00000000-0005-0000-0000-000082010000}"/>
    <cellStyle name="_정보통신수장(바닥-051122)" xfId="388" xr:uid="{00000000-0005-0000-0000-000083010000}"/>
    <cellStyle name="_정보통신수장(바닥-051122)_1차 기성 내역서 0612023" xfId="389" xr:uid="{00000000-0005-0000-0000-000084010000}"/>
    <cellStyle name="_정보통신수장(바닥-051122)_3차네고견적(061017-1)" xfId="390" xr:uid="{00000000-0005-0000-0000-000085010000}"/>
    <cellStyle name="_정보통신수장(바닥-051122)_문화센타" xfId="391" xr:uid="{00000000-0005-0000-0000-000086010000}"/>
    <cellStyle name="_정보통신수장(벽,천정-051122)" xfId="392" xr:uid="{00000000-0005-0000-0000-000087010000}"/>
    <cellStyle name="_정보통신수장(벽,천정-051122)_1차 기성 내역서 0612023" xfId="393" xr:uid="{00000000-0005-0000-0000-000088010000}"/>
    <cellStyle name="_정보통신수장(벽,천정-051122)_3차네고견적(061017-1)" xfId="394" xr:uid="{00000000-0005-0000-0000-000089010000}"/>
    <cellStyle name="_정보통신수장(벽,천정-051122)_문화센타" xfId="395" xr:uid="{00000000-0005-0000-0000-00008A010000}"/>
    <cellStyle name="_제출(2.25)" xfId="396" xr:uid="{00000000-0005-0000-0000-00008B010000}"/>
    <cellStyle name="_제출완료-공항운송가실행(0919)" xfId="397" xr:uid="{00000000-0005-0000-0000-00008C010000}"/>
    <cellStyle name="_조직표및인원투입" xfId="398" xr:uid="{00000000-0005-0000-0000-00008D010000}"/>
    <cellStyle name="_중동골조현설" xfId="400" xr:uid="{00000000-0005-0000-0000-00008F010000}"/>
    <cellStyle name="_중동TC현설" xfId="399" xr:uid="{00000000-0005-0000-0000-00008E010000}"/>
    <cellStyle name="_집계" xfId="401" xr:uid="{00000000-0005-0000-0000-000090010000}"/>
    <cellStyle name="_집행-유성" xfId="411" xr:uid="{00000000-0005-0000-0000-00009A010000}"/>
    <cellStyle name="_집행-유성_건축내역서(가경)" xfId="412" xr:uid="{00000000-0005-0000-0000-00009B010000}"/>
    <cellStyle name="_집행-유성_부천소사점내역서" xfId="413" xr:uid="{00000000-0005-0000-0000-00009C010000}"/>
    <cellStyle name="_집행-유성_비교표(시화,청주)" xfId="414" xr:uid="{00000000-0005-0000-0000-00009D010000}"/>
    <cellStyle name="_집행-유성_비교표(청주가경점)" xfId="415" xr:uid="{00000000-0005-0000-0000-00009E010000}"/>
    <cellStyle name="_집행-유성_순천점내역서" xfId="416" xr:uid="{00000000-0005-0000-0000-00009F010000}"/>
    <cellStyle name="_집행갑지 " xfId="402" xr:uid="{00000000-0005-0000-0000-000091010000}"/>
    <cellStyle name="_집행갑지 _1차 기성 내역서 0612023" xfId="403" xr:uid="{00000000-0005-0000-0000-000092010000}"/>
    <cellStyle name="_집행갑지 _3차네고견적(061017-1)" xfId="404" xr:uid="{00000000-0005-0000-0000-000093010000}"/>
    <cellStyle name="_집행갑지 _건축내역서(가경)" xfId="405" xr:uid="{00000000-0005-0000-0000-000094010000}"/>
    <cellStyle name="_집행갑지 _문화센타" xfId="406" xr:uid="{00000000-0005-0000-0000-000095010000}"/>
    <cellStyle name="_집행갑지 _부천소사점내역서" xfId="407" xr:uid="{00000000-0005-0000-0000-000096010000}"/>
    <cellStyle name="_집행갑지 _비교표(시화,청주)" xfId="408" xr:uid="{00000000-0005-0000-0000-000097010000}"/>
    <cellStyle name="_집행갑지 _비교표(청주가경점)" xfId="409" xr:uid="{00000000-0005-0000-0000-000098010000}"/>
    <cellStyle name="_집행갑지 _순천점내역서" xfId="410" xr:uid="{00000000-0005-0000-0000-000099010000}"/>
    <cellStyle name="_참고" xfId="417" xr:uid="{00000000-0005-0000-0000-0000A0010000}"/>
    <cellStyle name="_참고01-50억대안제시" xfId="418" xr:uid="{00000000-0005-0000-0000-0000A1010000}"/>
    <cellStyle name="_참고02-당초가실행" xfId="419" xr:uid="{00000000-0005-0000-0000-0000A2010000}"/>
    <cellStyle name="_철콘견적대비수정2(2002.12.10)" xfId="420" xr:uid="{00000000-0005-0000-0000-0000A3010000}"/>
    <cellStyle name="_철콘공내역서5" xfId="421" xr:uid="{00000000-0005-0000-0000-0000A4010000}"/>
    <cellStyle name="_최종보고-파주완료030401" xfId="422" xr:uid="{00000000-0005-0000-0000-0000A5010000}"/>
    <cellStyle name="_코레노2차-공내역-인테리어공사" xfId="423" xr:uid="{00000000-0005-0000-0000-0000A6010000}"/>
    <cellStyle name="_타일공사" xfId="424" xr:uid="{00000000-0005-0000-0000-0000A7010000}"/>
    <cellStyle name="_타일공사_강제창호 및 잡철공사" xfId="425" xr:uid="{00000000-0005-0000-0000-0000A8010000}"/>
    <cellStyle name="_타일공사_도곡동토공사사발주계획" xfId="426" xr:uid="{00000000-0005-0000-0000-0000A9010000}"/>
    <cellStyle name="_타일공사_인테리어공사 발주계획서" xfId="427" xr:uid="{00000000-0005-0000-0000-0000AA010000}"/>
    <cellStyle name="_타일공사_테라조공사" xfId="428" xr:uid="{00000000-0005-0000-0000-0000AB010000}"/>
    <cellStyle name="_타일공사_테라조공사_강제창호 및 잡철공사" xfId="429" xr:uid="{00000000-0005-0000-0000-0000AC010000}"/>
    <cellStyle name="_타일공사_테라조공사_도곡동토공사사발주계획" xfId="430" xr:uid="{00000000-0005-0000-0000-0000AD010000}"/>
    <cellStyle name="_타일공사_테라조공사_인테리어공사 발주계획서" xfId="431" xr:uid="{00000000-0005-0000-0000-0000AE010000}"/>
    <cellStyle name="_타일공사_테라조공사_토공사발주" xfId="432" xr:uid="{00000000-0005-0000-0000-0000AF010000}"/>
    <cellStyle name="_타일공사_토공사발주" xfId="433" xr:uid="{00000000-0005-0000-0000-0000B0010000}"/>
    <cellStyle name="_토공및흙막이공사" xfId="434" xr:uid="{00000000-0005-0000-0000-0000B1010000}"/>
    <cellStyle name="_토공사발주" xfId="435" xr:uid="{00000000-0005-0000-0000-0000B2010000}"/>
    <cellStyle name="_투팔양식" xfId="436" xr:uid="{00000000-0005-0000-0000-0000B3010000}"/>
    <cellStyle name="_파주출판물개략완료" xfId="437" xr:uid="{00000000-0005-0000-0000-0000B4010000}"/>
    <cellStyle name="_파주출판물개략완료Ⅲ" xfId="438" xr:uid="{00000000-0005-0000-0000-0000B5010000}"/>
    <cellStyle name="_평당공사비(05.26)" xfId="439" xr:uid="{00000000-0005-0000-0000-0000B6010000}"/>
    <cellStyle name="_평택화학중대(본실행)" xfId="440" xr:uid="{00000000-0005-0000-0000-0000B7010000}"/>
    <cellStyle name="_포기각서" xfId="441" xr:uid="{00000000-0005-0000-0000-0000B8010000}"/>
    <cellStyle name="_하나로정보센터 견적(각층별 최종)" xfId="442" xr:uid="{00000000-0005-0000-0000-0000B9010000}"/>
    <cellStyle name="_하도급승인요청(금속기와공사)" xfId="443" xr:uid="{00000000-0005-0000-0000-0000BA010000}"/>
    <cellStyle name="_한남정산" xfId="444" xr:uid="{00000000-0005-0000-0000-0000BB010000}"/>
    <cellStyle name="_현설양식" xfId="445" xr:uid="{00000000-0005-0000-0000-0000BC010000}"/>
    <cellStyle name="_현장설명" xfId="446" xr:uid="{00000000-0005-0000-0000-0000BD010000}"/>
    <cellStyle name="_현장설명서" xfId="447" xr:uid="{00000000-0005-0000-0000-0000BE010000}"/>
    <cellStyle name="_현장설명서-지하수개발" xfId="448" xr:uid="{00000000-0005-0000-0000-0000BF010000}"/>
    <cellStyle name="_현장완료" xfId="449" xr:uid="{00000000-0005-0000-0000-0000C0010000}"/>
    <cellStyle name="_호수건설내역서20040403" xfId="450" xr:uid="{00000000-0005-0000-0000-0000C1010000}"/>
    <cellStyle name="_홈플러스 대구칠성점 내역서 " xfId="451" xr:uid="{00000000-0005-0000-0000-0000C2010000}"/>
    <cellStyle name="_화성태안아파트" xfId="452" xr:uid="{00000000-0005-0000-0000-0000C3010000}"/>
    <cellStyle name="_황제의 실행0623최종결재용" xfId="453" xr:uid="{00000000-0005-0000-0000-0000C4010000}"/>
    <cellStyle name="_A" xfId="88" xr:uid="{00000000-0005-0000-0000-000057000000}"/>
    <cellStyle name="_A-0902건축공사확정(대안포함)" xfId="90" xr:uid="{00000000-0005-0000-0000-000059000000}"/>
    <cellStyle name="_A-0902조경공사확정(대안포함)" xfId="91" xr:uid="{00000000-0005-0000-0000-00005A000000}"/>
    <cellStyle name="_A0509-가실행(파주)" xfId="89" xr:uid="{00000000-0005-0000-0000-000058000000}"/>
    <cellStyle name="_A발주자참고내역003-전기공사" xfId="93" xr:uid="{00000000-0005-0000-0000-00005C000000}"/>
    <cellStyle name="_AA" xfId="92" xr:uid="{00000000-0005-0000-0000-00005B000000}"/>
    <cellStyle name="_BAT현장(본실행1)" xfId="94" xr:uid="{00000000-0005-0000-0000-00005D000000}"/>
    <cellStyle name="_Book1" xfId="95" xr:uid="{00000000-0005-0000-0000-00005E000000}"/>
    <cellStyle name="_Book2" xfId="96" xr:uid="{00000000-0005-0000-0000-00005F000000}"/>
    <cellStyle name="_BOQ(Hang Lung-rev1)" xfId="98" xr:uid="{00000000-0005-0000-0000-000061000000}"/>
    <cellStyle name="_BOQ(Hang Lung)" xfId="97" xr:uid="{00000000-0005-0000-0000-000060000000}"/>
    <cellStyle name="_FCST (2)" xfId="99" xr:uid="{00000000-0005-0000-0000-000062000000}"/>
    <cellStyle name="_KIL11107비교xls" xfId="100" xr:uid="{00000000-0005-0000-0000-000063000000}"/>
    <cellStyle name="_KT견적요청" xfId="101" xr:uid="{00000000-0005-0000-0000-000064000000}"/>
    <cellStyle name="_LG2,3,4,6층(0313)" xfId="102" xr:uid="{00000000-0005-0000-0000-000065000000}"/>
    <cellStyle name="_N-A023정보통신수장(바닥-060425)-최종" xfId="103" xr:uid="{00000000-0005-0000-0000-000066000000}"/>
    <cellStyle name="_N-A023정보통신수장(바닥-060425)-최종_1차 기성 내역서 0612023" xfId="104" xr:uid="{00000000-0005-0000-0000-000067000000}"/>
    <cellStyle name="_N-A023정보통신수장(바닥-060425)-최종_3차네고견적(061017-1)" xfId="105" xr:uid="{00000000-0005-0000-0000-000068000000}"/>
    <cellStyle name="_N-A023정보통신수장(바닥-060425)-최종_문화센타" xfId="106" xr:uid="{00000000-0005-0000-0000-000069000000}"/>
    <cellStyle name="_NA-A012정보통신알미늄커튼월공사(060119)" xfId="107" xr:uid="{00000000-0005-0000-0000-00006A000000}"/>
    <cellStyle name="_NC12E1F75" xfId="108" xr:uid="{00000000-0005-0000-0000-00006B000000}"/>
    <cellStyle name="_NC22E43F4" xfId="109" xr:uid="{00000000-0005-0000-0000-00006C000000}"/>
    <cellStyle name="_NC2308EFD" xfId="110" xr:uid="{00000000-0005-0000-0000-00006D000000}"/>
    <cellStyle name="_NC85018F" xfId="111" xr:uid="{00000000-0005-0000-0000-00006E000000}"/>
    <cellStyle name="_NCA07108" xfId="112" xr:uid="{00000000-0005-0000-0000-00006F000000}"/>
    <cellStyle name="_NCF3A0B2" xfId="113" xr:uid="{00000000-0005-0000-0000-000070000000}"/>
    <cellStyle name="_port" xfId="114" xr:uid="{00000000-0005-0000-0000-000071000000}"/>
    <cellStyle name="_RESULTS" xfId="115" xr:uid="{00000000-0005-0000-0000-000072000000}"/>
    <cellStyle name="_SK-역삼동 Leaders View EST 050711" xfId="117" xr:uid="{00000000-0005-0000-0000-000074000000}"/>
    <cellStyle name="_SK건설추정견적" xfId="116" xr:uid="{00000000-0005-0000-0000-000073000000}"/>
    <cellStyle name="_summary for MTRC P3" xfId="118" xr:uid="{00000000-0005-0000-0000-000075000000}"/>
    <cellStyle name="_Unit rate &amp; Quantity" xfId="119" xr:uid="{00000000-0005-0000-0000-000076000000}"/>
    <cellStyle name="_X" xfId="120" xr:uid="{00000000-0005-0000-0000-000077000000}"/>
    <cellStyle name="¡¾¨u￠￢ⓒ÷A¨u," xfId="454" xr:uid="{00000000-0005-0000-0000-0000C5010000}"/>
    <cellStyle name="??_x000c_둄_x001b__x000d_|?_x0001_?_x0003__x0014__x0007__x0001__x0001_" xfId="19" xr:uid="{00000000-0005-0000-0000-000012000000}"/>
    <cellStyle name="??_pldt" xfId="29" xr:uid="{00000000-0005-0000-0000-00001C000000}"/>
    <cellStyle name="???­ [0]_±??¸" xfId="26" xr:uid="{00000000-0005-0000-0000-000019000000}"/>
    <cellStyle name="???­_±??¸" xfId="27" xr:uid="{00000000-0005-0000-0000-00001A000000}"/>
    <cellStyle name="???Ø_¿?°?¿?¾?º¸°?" xfId="28" xr:uid="{00000000-0005-0000-0000-00001B000000}"/>
    <cellStyle name="??&amp;5_x0007_?._x0007_9_x0008_??_x0007__x0001__x0001_" xfId="20" xr:uid="{00000000-0005-0000-0000-000013000000}"/>
    <cellStyle name="??&amp;6_x0007_?/_x0007_9_x0008_??_x0007__x0001__x0001_" xfId="21" xr:uid="{00000000-0005-0000-0000-000014000000}"/>
    <cellStyle name="??&amp;멅?둃9_x0008_??_x0007__x0001__x0001_" xfId="24" xr:uid="{00000000-0005-0000-0000-000017000000}"/>
    <cellStyle name="??&amp;쏗?뷐9_x0008__x0011__x0007_?_x0007__x0001__x0001_" xfId="25" xr:uid="{00000000-0005-0000-0000-000018000000}"/>
    <cellStyle name="??&amp;O?&amp;H?_x0008__x000f__x0007_?_x0007__x0001__x0001_" xfId="22" xr:uid="{00000000-0005-0000-0000-000015000000}"/>
    <cellStyle name="??&amp;O?&amp;H?_x0008_??_x0007__x0001__x0001_" xfId="23" xr:uid="{00000000-0005-0000-0000-000016000000}"/>
    <cellStyle name="?曹%U?&amp;H?_x0008_?s_x000a__x0007__x0001__x0001_" xfId="34" xr:uid="{00000000-0005-0000-0000-000021000000}"/>
    <cellStyle name="?珠??? " xfId="35" xr:uid="{00000000-0005-0000-0000-000022000000}"/>
    <cellStyle name="?ðC%U?&amp;H?_x0008_?s_x000a__x0007__x0001__x0001_" xfId="30" xr:uid="{00000000-0005-0000-0000-00001D000000}"/>
    <cellStyle name="?W?_laroux" xfId="33" xr:uid="{00000000-0005-0000-0000-000020000000}"/>
    <cellStyle name="?Þ¸¶ [0]_±??¸" xfId="31" xr:uid="{00000000-0005-0000-0000-00001E000000}"/>
    <cellStyle name="?Þ¸¶_±??¸" xfId="32" xr:uid="{00000000-0005-0000-0000-00001F000000}"/>
    <cellStyle name="’E‰Y [0.00]_laroux" xfId="455" xr:uid="{00000000-0005-0000-0000-0000C6010000}"/>
    <cellStyle name="’E‰Y_laroux" xfId="456" xr:uid="{00000000-0005-0000-0000-0000C7010000}"/>
    <cellStyle name="&quot;" xfId="9" xr:uid="{00000000-0005-0000-0000-000008000000}"/>
    <cellStyle name="(##.00)" xfId="15" xr:uid="{00000000-0005-0000-0000-00000E000000}"/>
    <cellStyle name="(△콤마)" xfId="16" xr:uid="{00000000-0005-0000-0000-00000F000000}"/>
    <cellStyle name="(백분율)" xfId="17" xr:uid="{00000000-0005-0000-0000-000010000000}"/>
    <cellStyle name="(콤마)" xfId="18" xr:uid="{00000000-0005-0000-0000-000011000000}"/>
    <cellStyle name="\MNPREF32.DLL&amp;" xfId="458" xr:uid="{00000000-0005-0000-0000-0000C9010000}"/>
    <cellStyle name="#,##0" xfId="10" xr:uid="{00000000-0005-0000-0000-000009000000}"/>
    <cellStyle name="°ßAu" xfId="465" xr:uid="{00000000-0005-0000-0000-0000D0010000}"/>
    <cellStyle name="+,-,0" xfId="459" xr:uid="{00000000-0005-0000-0000-0000CA010000}"/>
    <cellStyle name="±a°e" xfId="460" xr:uid="{00000000-0005-0000-0000-0000CB010000}"/>
    <cellStyle name="△ []" xfId="461" xr:uid="{00000000-0005-0000-0000-0000CC010000}"/>
    <cellStyle name="△ [0]" xfId="462" xr:uid="{00000000-0005-0000-0000-0000CD010000}"/>
    <cellStyle name="△백분율" xfId="463" xr:uid="{00000000-0005-0000-0000-0000CE010000}"/>
    <cellStyle name="△콤마" xfId="464" xr:uid="{00000000-0005-0000-0000-0000CF010000}"/>
    <cellStyle name="¤@?e_TEST-1 " xfId="457" xr:uid="{00000000-0005-0000-0000-0000C8010000}"/>
    <cellStyle name="$" xfId="11" xr:uid="{00000000-0005-0000-0000-00000A000000}"/>
    <cellStyle name="$_견적2" xfId="13" xr:uid="{00000000-0005-0000-0000-00000C000000}"/>
    <cellStyle name="$_기아" xfId="14" xr:uid="{00000000-0005-0000-0000-00000D000000}"/>
    <cellStyle name="$_db진흥" xfId="12" xr:uid="{00000000-0005-0000-0000-00000B000000}"/>
    <cellStyle name="0" xfId="470" xr:uid="{00000000-0005-0000-0000-0000D7010000}"/>
    <cellStyle name="0,0_x000d__x000a_NA_x000d__x000a_" xfId="471" xr:uid="{00000000-0005-0000-0000-0000D8010000}"/>
    <cellStyle name="0.0" xfId="472" xr:uid="{00000000-0005-0000-0000-0000D9010000}"/>
    <cellStyle name="0.00" xfId="473" xr:uid="{00000000-0005-0000-0000-0000DA010000}"/>
    <cellStyle name="00" xfId="474" xr:uid="{00000000-0005-0000-0000-0000DB010000}"/>
    <cellStyle name="1" xfId="475" xr:uid="{00000000-0005-0000-0000-0000DC010000}"/>
    <cellStyle name="1_남해총괄표" xfId="1802" xr:uid="{00000000-0005-0000-0000-00000B070000}"/>
    <cellStyle name="1_남해총괄표_1차 기성 내역서 0612023" xfId="1803" xr:uid="{00000000-0005-0000-0000-00000C070000}"/>
    <cellStyle name="1_남해총괄표_3차네고견적(061017-1)" xfId="1804" xr:uid="{00000000-0005-0000-0000-00000D070000}"/>
    <cellStyle name="1_남해총괄표_문화센타" xfId="1805" xr:uid="{00000000-0005-0000-0000-00000E070000}"/>
    <cellStyle name="1_남해총괄표_백화점화장실인테리어" xfId="1806" xr:uid="{00000000-0005-0000-0000-00000F070000}"/>
    <cellStyle name="1_남해총괄표_백화점화장실인테리어_1차 기성 내역서 0612023" xfId="1807" xr:uid="{00000000-0005-0000-0000-000010070000}"/>
    <cellStyle name="1_남해총괄표_백화점화장실인테리어_3차네고견적(061017-1)" xfId="1808" xr:uid="{00000000-0005-0000-0000-000011070000}"/>
    <cellStyle name="1_남해총괄표_백화점화장실인테리어_문화센타" xfId="1809" xr:uid="{00000000-0005-0000-0000-000012070000}"/>
    <cellStyle name="1_남해총괄표_설계내역서" xfId="1810" xr:uid="{00000000-0005-0000-0000-000013070000}"/>
    <cellStyle name="1_남해총괄표_설계내역서_1차 기성 내역서 0612023" xfId="1811" xr:uid="{00000000-0005-0000-0000-000014070000}"/>
    <cellStyle name="1_남해총괄표_설계내역서_3차네고견적(061017-1)" xfId="1812" xr:uid="{00000000-0005-0000-0000-000015070000}"/>
    <cellStyle name="1_남해총괄표_설계내역서_문화센타" xfId="1813" xr:uid="{00000000-0005-0000-0000-000016070000}"/>
    <cellStyle name="1_남해총괄표_설계내역서_백화점화장실인테리어" xfId="1814" xr:uid="{00000000-0005-0000-0000-000017070000}"/>
    <cellStyle name="1_남해총괄표_설계내역서_백화점화장실인테리어_1차 기성 내역서 0612023" xfId="1815" xr:uid="{00000000-0005-0000-0000-000018070000}"/>
    <cellStyle name="1_남해총괄표_설계내역서_백화점화장실인테리어_3차네고견적(061017-1)" xfId="1816" xr:uid="{00000000-0005-0000-0000-000019070000}"/>
    <cellStyle name="1_남해총괄표_설계내역서_백화점화장실인테리어_문화센타" xfId="1817" xr:uid="{00000000-0005-0000-0000-00001A070000}"/>
    <cellStyle name="1_남해총괄표_설계내역서_화명조경" xfId="1818" xr:uid="{00000000-0005-0000-0000-00001B070000}"/>
    <cellStyle name="1_남해총괄표_설계내역서_화명조경_1차 기성 내역서 0612023" xfId="1819" xr:uid="{00000000-0005-0000-0000-00001C070000}"/>
    <cellStyle name="1_남해총괄표_설계내역서_화명조경_3차네고견적(061017-1)" xfId="1820" xr:uid="{00000000-0005-0000-0000-00001D070000}"/>
    <cellStyle name="1_남해총괄표_설계내역서_화명조경_문화센타" xfId="1821" xr:uid="{00000000-0005-0000-0000-00001E070000}"/>
    <cellStyle name="1_남해총괄표_설계내역서_화명조경_백화점화장실인테리어" xfId="1822" xr:uid="{00000000-0005-0000-0000-00001F070000}"/>
    <cellStyle name="1_남해총괄표_설계내역서_화명조경_백화점화장실인테리어_1차 기성 내역서 0612023" xfId="1823" xr:uid="{00000000-0005-0000-0000-000020070000}"/>
    <cellStyle name="1_남해총괄표_설계내역서_화명조경_백화점화장실인테리어_3차네고견적(061017-1)" xfId="1824" xr:uid="{00000000-0005-0000-0000-000021070000}"/>
    <cellStyle name="1_남해총괄표_설계내역서_화명조경_백화점화장실인테리어_문화센타" xfId="1825" xr:uid="{00000000-0005-0000-0000-000022070000}"/>
    <cellStyle name="1_남해총괄표_설계내역서1월7일" xfId="1826" xr:uid="{00000000-0005-0000-0000-000023070000}"/>
    <cellStyle name="1_남해총괄표_설계내역서1월7일_1차 기성 내역서 0612023" xfId="1827" xr:uid="{00000000-0005-0000-0000-000024070000}"/>
    <cellStyle name="1_남해총괄표_설계내역서1월7일_3차네고견적(061017-1)" xfId="1828" xr:uid="{00000000-0005-0000-0000-000025070000}"/>
    <cellStyle name="1_남해총괄표_설계내역서1월7일_문화센타" xfId="1829" xr:uid="{00000000-0005-0000-0000-000026070000}"/>
    <cellStyle name="1_남해총괄표_설계내역서1월7일_백화점화장실인테리어" xfId="1830" xr:uid="{00000000-0005-0000-0000-000027070000}"/>
    <cellStyle name="1_남해총괄표_설계내역서1월7일_백화점화장실인테리어_1차 기성 내역서 0612023" xfId="1831" xr:uid="{00000000-0005-0000-0000-000028070000}"/>
    <cellStyle name="1_남해총괄표_설계내역서1월7일_백화점화장실인테리어_3차네고견적(061017-1)" xfId="1832" xr:uid="{00000000-0005-0000-0000-000029070000}"/>
    <cellStyle name="1_남해총괄표_설계내역서1월7일_백화점화장실인테리어_문화센타" xfId="1833" xr:uid="{00000000-0005-0000-0000-00002A070000}"/>
    <cellStyle name="1_남해총괄표_설계내역서1월7일_화명조경" xfId="1834" xr:uid="{00000000-0005-0000-0000-00002B070000}"/>
    <cellStyle name="1_남해총괄표_설계내역서1월7일_화명조경_1차 기성 내역서 0612023" xfId="1835" xr:uid="{00000000-0005-0000-0000-00002C070000}"/>
    <cellStyle name="1_남해총괄표_설계내역서1월7일_화명조경_3차네고견적(061017-1)" xfId="1836" xr:uid="{00000000-0005-0000-0000-00002D070000}"/>
    <cellStyle name="1_남해총괄표_설계내역서1월7일_화명조경_문화센타" xfId="1837" xr:uid="{00000000-0005-0000-0000-00002E070000}"/>
    <cellStyle name="1_남해총괄표_설계내역서1월7일_화명조경_백화점화장실인테리어" xfId="1838" xr:uid="{00000000-0005-0000-0000-00002F070000}"/>
    <cellStyle name="1_남해총괄표_설계내역서1월7일_화명조경_백화점화장실인테리어_1차 기성 내역서 0612023" xfId="1839" xr:uid="{00000000-0005-0000-0000-000030070000}"/>
    <cellStyle name="1_남해총괄표_설계내역서1월7일_화명조경_백화점화장실인테리어_3차네고견적(061017-1)" xfId="1840" xr:uid="{00000000-0005-0000-0000-000031070000}"/>
    <cellStyle name="1_남해총괄표_설계내역서1월7일_화명조경_백화점화장실인테리어_문화센타" xfId="1841" xr:uid="{00000000-0005-0000-0000-000032070000}"/>
    <cellStyle name="1_남해총괄표_화명조경" xfId="1842" xr:uid="{00000000-0005-0000-0000-000033070000}"/>
    <cellStyle name="1_남해총괄표_화명조경_1차 기성 내역서 0612023" xfId="1843" xr:uid="{00000000-0005-0000-0000-000034070000}"/>
    <cellStyle name="1_남해총괄표_화명조경_3차네고견적(061017-1)" xfId="1844" xr:uid="{00000000-0005-0000-0000-000035070000}"/>
    <cellStyle name="1_남해총괄표_화명조경_백화점화장실인테리어" xfId="1845" xr:uid="{00000000-0005-0000-0000-000036070000}"/>
    <cellStyle name="1_남해총괄표_화명조경_백화점화장실인테리어_1차 기성 내역서 0612023" xfId="1846" xr:uid="{00000000-0005-0000-0000-000037070000}"/>
    <cellStyle name="1_남해총괄표_화명조경_백화점화장실인테리어_3차네고견적(061017-1)" xfId="1847" xr:uid="{00000000-0005-0000-0000-000038070000}"/>
    <cellStyle name="1_단가조사표" xfId="1848" xr:uid="{00000000-0005-0000-0000-000039070000}"/>
    <cellStyle name="1_수원변경수량산출" xfId="1849" xr:uid="{00000000-0005-0000-0000-00003A070000}"/>
    <cellStyle name="1_쌍용수량0905" xfId="1850" xr:uid="{00000000-0005-0000-0000-00003B070000}"/>
    <cellStyle name="1_쌍용수량0905_1차 기성 내역서 0612023" xfId="1851" xr:uid="{00000000-0005-0000-0000-00003C070000}"/>
    <cellStyle name="1_쌍용수량0905_3차네고견적(061017-1)" xfId="1852" xr:uid="{00000000-0005-0000-0000-00003D070000}"/>
    <cellStyle name="1_쌍용수량0905_백화점화장실인테리어" xfId="1853" xr:uid="{00000000-0005-0000-0000-00003E070000}"/>
    <cellStyle name="1_쌍용수량0905_백화점화장실인테리어_1차 기성 내역서 0612023" xfId="1854" xr:uid="{00000000-0005-0000-0000-00003F070000}"/>
    <cellStyle name="1_쌍용수량0905_백화점화장실인테리어_3차네고견적(061017-1)" xfId="1855" xr:uid="{00000000-0005-0000-0000-000040070000}"/>
    <cellStyle name="1_쌍용수량0905_설계내역서" xfId="1856" xr:uid="{00000000-0005-0000-0000-000041070000}"/>
    <cellStyle name="1_쌍용수량0905_설계내역서_1차 기성 내역서 0612023" xfId="1857" xr:uid="{00000000-0005-0000-0000-000042070000}"/>
    <cellStyle name="1_쌍용수량0905_설계내역서_3차네고견적(061017-1)" xfId="1858" xr:uid="{00000000-0005-0000-0000-000043070000}"/>
    <cellStyle name="1_쌍용수량0905_설계내역서_백화점화장실인테리어" xfId="1859" xr:uid="{00000000-0005-0000-0000-000044070000}"/>
    <cellStyle name="1_쌍용수량0905_설계내역서_백화점화장실인테리어_1차 기성 내역서 0612023" xfId="1860" xr:uid="{00000000-0005-0000-0000-000045070000}"/>
    <cellStyle name="1_쌍용수량0905_설계내역서_백화점화장실인테리어_3차네고견적(061017-1)" xfId="1861" xr:uid="{00000000-0005-0000-0000-000046070000}"/>
    <cellStyle name="1_쌍용수량0905_설계내역서_화명조경" xfId="1862" xr:uid="{00000000-0005-0000-0000-000047070000}"/>
    <cellStyle name="1_쌍용수량0905_설계내역서_화명조경_1차 기성 내역서 0612023" xfId="1863" xr:uid="{00000000-0005-0000-0000-000048070000}"/>
    <cellStyle name="1_쌍용수량0905_설계내역서_화명조경_3차네고견적(061017-1)" xfId="1864" xr:uid="{00000000-0005-0000-0000-000049070000}"/>
    <cellStyle name="1_쌍용수량0905_설계내역서_화명조경_백화점화장실인테리어" xfId="1865" xr:uid="{00000000-0005-0000-0000-00004A070000}"/>
    <cellStyle name="1_쌍용수량0905_설계내역서_화명조경_백화점화장실인테리어_1차 기성 내역서 0612023" xfId="1866" xr:uid="{00000000-0005-0000-0000-00004B070000}"/>
    <cellStyle name="1_쌍용수량0905_설계내역서_화명조경_백화점화장실인테리어_3차네고견적(061017-1)" xfId="1867" xr:uid="{00000000-0005-0000-0000-00004C070000}"/>
    <cellStyle name="1_쌍용수량0905_설계내역서1월7일" xfId="1868" xr:uid="{00000000-0005-0000-0000-00004D070000}"/>
    <cellStyle name="1_쌍용수량0905_설계내역서1월7일_1차 기성 내역서 0612023" xfId="1869" xr:uid="{00000000-0005-0000-0000-00004E070000}"/>
    <cellStyle name="1_쌍용수량0905_설계내역서1월7일_3차네고견적(061017-1)" xfId="1870" xr:uid="{00000000-0005-0000-0000-00004F070000}"/>
    <cellStyle name="1_쌍용수량0905_설계내역서1월7일_백화점화장실인테리어" xfId="1871" xr:uid="{00000000-0005-0000-0000-000050070000}"/>
    <cellStyle name="1_쌍용수량0905_설계내역서1월7일_백화점화장실인테리어_1차 기성 내역서 0612023" xfId="1872" xr:uid="{00000000-0005-0000-0000-000051070000}"/>
    <cellStyle name="1_쌍용수량0905_설계내역서1월7일_백화점화장실인테리어_3차네고견적(061017-1)" xfId="1873" xr:uid="{00000000-0005-0000-0000-000052070000}"/>
    <cellStyle name="1_쌍용수량0905_설계내역서1월7일_화명조경" xfId="1874" xr:uid="{00000000-0005-0000-0000-000053070000}"/>
    <cellStyle name="1_쌍용수량0905_설계내역서1월7일_화명조경_1차 기성 내역서 0612023" xfId="1875" xr:uid="{00000000-0005-0000-0000-000054070000}"/>
    <cellStyle name="1_쌍용수량0905_설계내역서1월7일_화명조경_3차네고견적(061017-1)" xfId="1876" xr:uid="{00000000-0005-0000-0000-000055070000}"/>
    <cellStyle name="1_쌍용수량0905_설계내역서1월7일_화명조경_백화점화장실인테리어" xfId="1877" xr:uid="{00000000-0005-0000-0000-000056070000}"/>
    <cellStyle name="1_쌍용수량0905_설계내역서1월7일_화명조경_백화점화장실인테리어_1차 기성 내역서 0612023" xfId="1878" xr:uid="{00000000-0005-0000-0000-000057070000}"/>
    <cellStyle name="1_쌍용수량0905_설계내역서1월7일_화명조경_백화점화장실인테리어_3차네고견적(061017-1)" xfId="1879" xr:uid="{00000000-0005-0000-0000-000058070000}"/>
    <cellStyle name="1_쌍용수량0905_화명조경" xfId="1880" xr:uid="{00000000-0005-0000-0000-000059070000}"/>
    <cellStyle name="1_쌍용수량0905_화명조경_1차 기성 내역서 0612023" xfId="1881" xr:uid="{00000000-0005-0000-0000-00005A070000}"/>
    <cellStyle name="1_쌍용수량0905_화명조경_3차네고견적(061017-1)" xfId="1882" xr:uid="{00000000-0005-0000-0000-00005B070000}"/>
    <cellStyle name="1_쌍용수량0905_화명조경_백화점화장실인테리어" xfId="1883" xr:uid="{00000000-0005-0000-0000-00005C070000}"/>
    <cellStyle name="1_쌍용수량0905_화명조경_백화점화장실인테리어_1차 기성 내역서 0612023" xfId="1884" xr:uid="{00000000-0005-0000-0000-00005D070000}"/>
    <cellStyle name="1_쌍용수량0905_화명조경_백화점화장실인테리어_3차네고견적(061017-1)" xfId="1885" xr:uid="{00000000-0005-0000-0000-00005E070000}"/>
    <cellStyle name="1_원가계산서" xfId="1886" xr:uid="{00000000-0005-0000-0000-00005F070000}"/>
    <cellStyle name="1_원가계산서_00갑지" xfId="1887" xr:uid="{00000000-0005-0000-0000-000060070000}"/>
    <cellStyle name="1_원가계산서_00갑지_1차 기성 내역서 0612023" xfId="1888" xr:uid="{00000000-0005-0000-0000-000061070000}"/>
    <cellStyle name="1_원가계산서_00갑지_3차네고견적(061017-1)" xfId="1889" xr:uid="{00000000-0005-0000-0000-000062070000}"/>
    <cellStyle name="1_원가계산서_00갑지_백화점화장실인테리어" xfId="1890" xr:uid="{00000000-0005-0000-0000-000063070000}"/>
    <cellStyle name="1_원가계산서_00갑지_백화점화장실인테리어_1차 기성 내역서 0612023" xfId="1891" xr:uid="{00000000-0005-0000-0000-000064070000}"/>
    <cellStyle name="1_원가계산서_00갑지_백화점화장실인테리어_3차네고견적(061017-1)" xfId="1892" xr:uid="{00000000-0005-0000-0000-000065070000}"/>
    <cellStyle name="1_원가계산서_00갑지_설계내역서" xfId="1893" xr:uid="{00000000-0005-0000-0000-000066070000}"/>
    <cellStyle name="1_원가계산서_00갑지_설계내역서_1차 기성 내역서 0612023" xfId="1894" xr:uid="{00000000-0005-0000-0000-000067070000}"/>
    <cellStyle name="1_원가계산서_00갑지_설계내역서_3차네고견적(061017-1)" xfId="1895" xr:uid="{00000000-0005-0000-0000-000068070000}"/>
    <cellStyle name="1_원가계산서_00갑지_설계내역서_백화점화장실인테리어" xfId="1896" xr:uid="{00000000-0005-0000-0000-000069070000}"/>
    <cellStyle name="1_원가계산서_00갑지_설계내역서_백화점화장실인테리어_1차 기성 내역서 0612023" xfId="1897" xr:uid="{00000000-0005-0000-0000-00006A070000}"/>
    <cellStyle name="1_원가계산서_00갑지_설계내역서_백화점화장실인테리어_3차네고견적(061017-1)" xfId="1898" xr:uid="{00000000-0005-0000-0000-00006B070000}"/>
    <cellStyle name="1_원가계산서_00갑지_설계내역서_화명조경" xfId="1899" xr:uid="{00000000-0005-0000-0000-00006C070000}"/>
    <cellStyle name="1_원가계산서_00갑지_설계내역서_화명조경_1차 기성 내역서 0612023" xfId="1900" xr:uid="{00000000-0005-0000-0000-00006D070000}"/>
    <cellStyle name="1_원가계산서_00갑지_설계내역서_화명조경_3차네고견적(061017-1)" xfId="1901" xr:uid="{00000000-0005-0000-0000-00006E070000}"/>
    <cellStyle name="1_원가계산서_00갑지_설계내역서_화명조경_백화점화장실인테리어" xfId="1902" xr:uid="{00000000-0005-0000-0000-00006F070000}"/>
    <cellStyle name="1_원가계산서_00갑지_설계내역서_화명조경_백화점화장실인테리어_1차 기성 내역서 0612023" xfId="1903" xr:uid="{00000000-0005-0000-0000-000070070000}"/>
    <cellStyle name="1_원가계산서_00갑지_설계내역서_화명조경_백화점화장실인테리어_3차네고견적(061017-1)" xfId="1904" xr:uid="{00000000-0005-0000-0000-000071070000}"/>
    <cellStyle name="1_원가계산서_00갑지_설계내역서1월7일" xfId="1905" xr:uid="{00000000-0005-0000-0000-000072070000}"/>
    <cellStyle name="1_원가계산서_00갑지_설계내역서1월7일_1차 기성 내역서 0612023" xfId="1906" xr:uid="{00000000-0005-0000-0000-000073070000}"/>
    <cellStyle name="1_원가계산서_00갑지_설계내역서1월7일_3차네고견적(061017-1)" xfId="1907" xr:uid="{00000000-0005-0000-0000-000074070000}"/>
    <cellStyle name="1_원가계산서_00갑지_설계내역서1월7일_백화점화장실인테리어" xfId="1908" xr:uid="{00000000-0005-0000-0000-000075070000}"/>
    <cellStyle name="1_원가계산서_00갑지_설계내역서1월7일_백화점화장실인테리어_1차 기성 내역서 0612023" xfId="1909" xr:uid="{00000000-0005-0000-0000-000076070000}"/>
    <cellStyle name="1_원가계산서_00갑지_설계내역서1월7일_백화점화장실인테리어_3차네고견적(061017-1)" xfId="1910" xr:uid="{00000000-0005-0000-0000-000077070000}"/>
    <cellStyle name="1_원가계산서_00갑지_설계내역서1월7일_화명조경" xfId="1911" xr:uid="{00000000-0005-0000-0000-000078070000}"/>
    <cellStyle name="1_원가계산서_00갑지_설계내역서1월7일_화명조경_1차 기성 내역서 0612023" xfId="1912" xr:uid="{00000000-0005-0000-0000-000079070000}"/>
    <cellStyle name="1_원가계산서_00갑지_설계내역서1월7일_화명조경_3차네고견적(061017-1)" xfId="1913" xr:uid="{00000000-0005-0000-0000-00007A070000}"/>
    <cellStyle name="1_원가계산서_00갑지_설계내역서1월7일_화명조경_백화점화장실인테리어" xfId="1914" xr:uid="{00000000-0005-0000-0000-00007B070000}"/>
    <cellStyle name="1_원가계산서_00갑지_설계내역서1월7일_화명조경_백화점화장실인테리어_1차 기성 내역서 0612023" xfId="1915" xr:uid="{00000000-0005-0000-0000-00007C070000}"/>
    <cellStyle name="1_원가계산서_00갑지_설계내역서1월7일_화명조경_백화점화장실인테리어_3차네고견적(061017-1)" xfId="1916" xr:uid="{00000000-0005-0000-0000-00007D070000}"/>
    <cellStyle name="1_원가계산서_00갑지_화명조경" xfId="1917" xr:uid="{00000000-0005-0000-0000-00007E070000}"/>
    <cellStyle name="1_원가계산서_00갑지_화명조경_1차 기성 내역서 0612023" xfId="1918" xr:uid="{00000000-0005-0000-0000-00007F070000}"/>
    <cellStyle name="1_원가계산서_00갑지_화명조경_3차네고견적(061017-1)" xfId="1919" xr:uid="{00000000-0005-0000-0000-000080070000}"/>
    <cellStyle name="1_원가계산서_00갑지_화명조경_백화점화장실인테리어" xfId="1920" xr:uid="{00000000-0005-0000-0000-000081070000}"/>
    <cellStyle name="1_원가계산서_00갑지_화명조경_백화점화장실인테리어_1차 기성 내역서 0612023" xfId="1921" xr:uid="{00000000-0005-0000-0000-000082070000}"/>
    <cellStyle name="1_원가계산서_00갑지_화명조경_백화점화장실인테리어_3차네고견적(061017-1)" xfId="1922" xr:uid="{00000000-0005-0000-0000-000083070000}"/>
    <cellStyle name="1_원가계산서_1차 기성 내역서 0612023" xfId="1923" xr:uid="{00000000-0005-0000-0000-000084070000}"/>
    <cellStyle name="1_원가계산서_3차네고견적(061017-1)" xfId="1924" xr:uid="{00000000-0005-0000-0000-000085070000}"/>
    <cellStyle name="1_원가계산서_과천놀이터설계서" xfId="1925" xr:uid="{00000000-0005-0000-0000-000086070000}"/>
    <cellStyle name="1_원가계산서_과천놀이터설계서_1차 기성 내역서 0612023" xfId="1926" xr:uid="{00000000-0005-0000-0000-000087070000}"/>
    <cellStyle name="1_원가계산서_과천놀이터설계서_3차네고견적(061017-1)" xfId="1927" xr:uid="{00000000-0005-0000-0000-000088070000}"/>
    <cellStyle name="1_원가계산서_과천놀이터설계서_백화점화장실인테리어" xfId="1928" xr:uid="{00000000-0005-0000-0000-000089070000}"/>
    <cellStyle name="1_원가계산서_과천놀이터설계서_백화점화장실인테리어_1차 기성 내역서 0612023" xfId="1929" xr:uid="{00000000-0005-0000-0000-00008A070000}"/>
    <cellStyle name="1_원가계산서_과천놀이터설계서_백화점화장실인테리어_3차네고견적(061017-1)" xfId="1930" xr:uid="{00000000-0005-0000-0000-00008B070000}"/>
    <cellStyle name="1_원가계산서_과천놀이터설계서_설계내역서" xfId="1931" xr:uid="{00000000-0005-0000-0000-00008C070000}"/>
    <cellStyle name="1_원가계산서_과천놀이터설계서_설계내역서_1차 기성 내역서 0612023" xfId="1932" xr:uid="{00000000-0005-0000-0000-00008D070000}"/>
    <cellStyle name="1_원가계산서_과천놀이터설계서_설계내역서_3차네고견적(061017-1)" xfId="1933" xr:uid="{00000000-0005-0000-0000-00008E070000}"/>
    <cellStyle name="1_원가계산서_과천놀이터설계서_설계내역서_백화점화장실인테리어" xfId="1934" xr:uid="{00000000-0005-0000-0000-00008F070000}"/>
    <cellStyle name="1_원가계산서_과천놀이터설계서_설계내역서_백화점화장실인테리어_1차 기성 내역서 0612023" xfId="1935" xr:uid="{00000000-0005-0000-0000-000090070000}"/>
    <cellStyle name="1_원가계산서_과천놀이터설계서_설계내역서_백화점화장실인테리어_3차네고견적(061017-1)" xfId="1936" xr:uid="{00000000-0005-0000-0000-000091070000}"/>
    <cellStyle name="1_원가계산서_과천놀이터설계서_설계내역서_화명조경" xfId="1937" xr:uid="{00000000-0005-0000-0000-000092070000}"/>
    <cellStyle name="1_원가계산서_과천놀이터설계서_설계내역서_화명조경_1차 기성 내역서 0612023" xfId="1938" xr:uid="{00000000-0005-0000-0000-000093070000}"/>
    <cellStyle name="1_원가계산서_과천놀이터설계서_설계내역서_화명조경_3차네고견적(061017-1)" xfId="1939" xr:uid="{00000000-0005-0000-0000-000094070000}"/>
    <cellStyle name="1_원가계산서_과천놀이터설계서_설계내역서_화명조경_백화점화장실인테리어" xfId="1940" xr:uid="{00000000-0005-0000-0000-000095070000}"/>
    <cellStyle name="1_원가계산서_과천놀이터설계서_설계내역서_화명조경_백화점화장실인테리어_1차 기성 내역서 0612023" xfId="1941" xr:uid="{00000000-0005-0000-0000-000096070000}"/>
    <cellStyle name="1_원가계산서_과천놀이터설계서_설계내역서_화명조경_백화점화장실인테리어_3차네고견적(061017-1)" xfId="1942" xr:uid="{00000000-0005-0000-0000-000097070000}"/>
    <cellStyle name="1_원가계산서_과천놀이터설계서_설계내역서1월7일" xfId="1943" xr:uid="{00000000-0005-0000-0000-000098070000}"/>
    <cellStyle name="1_원가계산서_과천놀이터설계서_설계내역서1월7일_1차 기성 내역서 0612023" xfId="1944" xr:uid="{00000000-0005-0000-0000-000099070000}"/>
    <cellStyle name="1_원가계산서_과천놀이터설계서_설계내역서1월7일_3차네고견적(061017-1)" xfId="1945" xr:uid="{00000000-0005-0000-0000-00009A070000}"/>
    <cellStyle name="1_원가계산서_과천놀이터설계서_설계내역서1월7일_백화점화장실인테리어" xfId="1946" xr:uid="{00000000-0005-0000-0000-00009B070000}"/>
    <cellStyle name="1_원가계산서_과천놀이터설계서_설계내역서1월7일_백화점화장실인테리어_1차 기성 내역서 0612023" xfId="1947" xr:uid="{00000000-0005-0000-0000-00009C070000}"/>
    <cellStyle name="1_원가계산서_과천놀이터설계서_설계내역서1월7일_백화점화장실인테리어_3차네고견적(061017-1)" xfId="1948" xr:uid="{00000000-0005-0000-0000-00009D070000}"/>
    <cellStyle name="1_원가계산서_과천놀이터설계서_설계내역서1월7일_화명조경" xfId="1949" xr:uid="{00000000-0005-0000-0000-00009E070000}"/>
    <cellStyle name="1_원가계산서_과천놀이터설계서_설계내역서1월7일_화명조경_1차 기성 내역서 0612023" xfId="1950" xr:uid="{00000000-0005-0000-0000-00009F070000}"/>
    <cellStyle name="1_원가계산서_과천놀이터설계서_설계내역서1월7일_화명조경_3차네고견적(061017-1)" xfId="1951" xr:uid="{00000000-0005-0000-0000-0000A0070000}"/>
    <cellStyle name="1_원가계산서_과천놀이터설계서_설계내역서1월7일_화명조경_백화점화장실인테리어" xfId="1952" xr:uid="{00000000-0005-0000-0000-0000A1070000}"/>
    <cellStyle name="1_원가계산서_과천놀이터설계서_설계내역서1월7일_화명조경_백화점화장실인테리어_1차 기성 내역서 0612023" xfId="1953" xr:uid="{00000000-0005-0000-0000-0000A2070000}"/>
    <cellStyle name="1_원가계산서_과천놀이터설계서_설계내역서1월7일_화명조경_백화점화장실인테리어_3차네고견적(061017-1)" xfId="1954" xr:uid="{00000000-0005-0000-0000-0000A3070000}"/>
    <cellStyle name="1_원가계산서_과천놀이터설계서_화명조경" xfId="1955" xr:uid="{00000000-0005-0000-0000-0000A4070000}"/>
    <cellStyle name="1_원가계산서_과천놀이터설계서_화명조경_1차 기성 내역서 0612023" xfId="1956" xr:uid="{00000000-0005-0000-0000-0000A5070000}"/>
    <cellStyle name="1_원가계산서_과천놀이터설계서_화명조경_3차네고견적(061017-1)" xfId="1957" xr:uid="{00000000-0005-0000-0000-0000A6070000}"/>
    <cellStyle name="1_원가계산서_과천놀이터설계서_화명조경_백화점화장실인테리어" xfId="1958" xr:uid="{00000000-0005-0000-0000-0000A7070000}"/>
    <cellStyle name="1_원가계산서_과천놀이터설계서_화명조경_백화점화장실인테리어_1차 기성 내역서 0612023" xfId="1959" xr:uid="{00000000-0005-0000-0000-0000A8070000}"/>
    <cellStyle name="1_원가계산서_과천놀이터설계서_화명조경_백화점화장실인테리어_3차네고견적(061017-1)" xfId="1960" xr:uid="{00000000-0005-0000-0000-0000A9070000}"/>
    <cellStyle name="1_원가계산서_백화점화장실인테리어" xfId="1961" xr:uid="{00000000-0005-0000-0000-0000AA070000}"/>
    <cellStyle name="1_원가계산서_백화점화장실인테리어_1차 기성 내역서 0612023" xfId="1962" xr:uid="{00000000-0005-0000-0000-0000AB070000}"/>
    <cellStyle name="1_원가계산서_백화점화장실인테리어_3차네고견적(061017-1)" xfId="1963" xr:uid="{00000000-0005-0000-0000-0000AC070000}"/>
    <cellStyle name="1_원가계산서_총괄갑지" xfId="1964" xr:uid="{00000000-0005-0000-0000-0000AD070000}"/>
    <cellStyle name="1_원가계산서_총괄갑지_1차 기성 내역서 0612023" xfId="1965" xr:uid="{00000000-0005-0000-0000-0000AE070000}"/>
    <cellStyle name="1_원가계산서_총괄갑지_3차네고견적(061017-1)" xfId="1966" xr:uid="{00000000-0005-0000-0000-0000AF070000}"/>
    <cellStyle name="1_원가계산서_총괄갑지_백화점화장실인테리어" xfId="1967" xr:uid="{00000000-0005-0000-0000-0000B0070000}"/>
    <cellStyle name="1_원가계산서_총괄갑지_백화점화장실인테리어_1차 기성 내역서 0612023" xfId="1968" xr:uid="{00000000-0005-0000-0000-0000B1070000}"/>
    <cellStyle name="1_원가계산서_총괄갑지_백화점화장실인테리어_3차네고견적(061017-1)" xfId="1969" xr:uid="{00000000-0005-0000-0000-0000B2070000}"/>
    <cellStyle name="1_원가계산서_총괄갑지_설계내역서" xfId="1970" xr:uid="{00000000-0005-0000-0000-0000B3070000}"/>
    <cellStyle name="1_원가계산서_총괄갑지_설계내역서_1차 기성 내역서 0612023" xfId="1971" xr:uid="{00000000-0005-0000-0000-0000B4070000}"/>
    <cellStyle name="1_원가계산서_총괄갑지_설계내역서_3차네고견적(061017-1)" xfId="1972" xr:uid="{00000000-0005-0000-0000-0000B5070000}"/>
    <cellStyle name="1_원가계산서_총괄갑지_설계내역서_백화점화장실인테리어" xfId="1973" xr:uid="{00000000-0005-0000-0000-0000B6070000}"/>
    <cellStyle name="1_원가계산서_총괄갑지_설계내역서_백화점화장실인테리어_1차 기성 내역서 0612023" xfId="1974" xr:uid="{00000000-0005-0000-0000-0000B7070000}"/>
    <cellStyle name="1_원가계산서_총괄갑지_설계내역서_백화점화장실인테리어_3차네고견적(061017-1)" xfId="1975" xr:uid="{00000000-0005-0000-0000-0000B8070000}"/>
    <cellStyle name="1_원가계산서_총괄갑지_설계내역서_화명조경" xfId="1976" xr:uid="{00000000-0005-0000-0000-0000B9070000}"/>
    <cellStyle name="1_원가계산서_총괄갑지_설계내역서_화명조경_1차 기성 내역서 0612023" xfId="1977" xr:uid="{00000000-0005-0000-0000-0000BA070000}"/>
    <cellStyle name="1_원가계산서_총괄갑지_설계내역서_화명조경_3차네고견적(061017-1)" xfId="1978" xr:uid="{00000000-0005-0000-0000-0000BB070000}"/>
    <cellStyle name="1_원가계산서_총괄갑지_설계내역서_화명조경_백화점화장실인테리어" xfId="1979" xr:uid="{00000000-0005-0000-0000-0000BC070000}"/>
    <cellStyle name="1_원가계산서_총괄갑지_설계내역서_화명조경_백화점화장실인테리어_1차 기성 내역서 0612023" xfId="1980" xr:uid="{00000000-0005-0000-0000-0000BD070000}"/>
    <cellStyle name="1_원가계산서_총괄갑지_설계내역서_화명조경_백화점화장실인테리어_3차네고견적(061017-1)" xfId="1981" xr:uid="{00000000-0005-0000-0000-0000BE070000}"/>
    <cellStyle name="1_원가계산서_총괄갑지_설계내역서1월7일" xfId="1982" xr:uid="{00000000-0005-0000-0000-0000BF070000}"/>
    <cellStyle name="1_원가계산서_총괄갑지_설계내역서1월7일_1차 기성 내역서 0612023" xfId="1983" xr:uid="{00000000-0005-0000-0000-0000C0070000}"/>
    <cellStyle name="1_원가계산서_총괄갑지_설계내역서1월7일_3차네고견적(061017-1)" xfId="1984" xr:uid="{00000000-0005-0000-0000-0000C1070000}"/>
    <cellStyle name="1_원가계산서_총괄갑지_설계내역서1월7일_백화점화장실인테리어" xfId="1985" xr:uid="{00000000-0005-0000-0000-0000C2070000}"/>
    <cellStyle name="1_원가계산서_총괄갑지_설계내역서1월7일_백화점화장실인테리어_1차 기성 내역서 0612023" xfId="1986" xr:uid="{00000000-0005-0000-0000-0000C3070000}"/>
    <cellStyle name="1_원가계산서_총괄갑지_설계내역서1월7일_백화점화장실인테리어_3차네고견적(061017-1)" xfId="1987" xr:uid="{00000000-0005-0000-0000-0000C4070000}"/>
    <cellStyle name="1_원가계산서_총괄갑지_설계내역서1월7일_화명조경" xfId="1988" xr:uid="{00000000-0005-0000-0000-0000C5070000}"/>
    <cellStyle name="1_원가계산서_총괄갑지_설계내역서1월7일_화명조경_1차 기성 내역서 0612023" xfId="1989" xr:uid="{00000000-0005-0000-0000-0000C6070000}"/>
    <cellStyle name="1_원가계산서_총괄갑지_설계내역서1월7일_화명조경_3차네고견적(061017-1)" xfId="1990" xr:uid="{00000000-0005-0000-0000-0000C7070000}"/>
    <cellStyle name="1_원가계산서_총괄갑지_설계내역서1월7일_화명조경_백화점화장실인테리어" xfId="1991" xr:uid="{00000000-0005-0000-0000-0000C8070000}"/>
    <cellStyle name="1_원가계산서_총괄갑지_설계내역서1월7일_화명조경_백화점화장실인테리어_1차 기성 내역서 0612023" xfId="1992" xr:uid="{00000000-0005-0000-0000-0000C9070000}"/>
    <cellStyle name="1_원가계산서_총괄갑지_설계내역서1월7일_화명조경_백화점화장실인테리어_3차네고견적(061017-1)" xfId="1993" xr:uid="{00000000-0005-0000-0000-0000CA070000}"/>
    <cellStyle name="1_원가계산서_총괄갑지_화명조경" xfId="1994" xr:uid="{00000000-0005-0000-0000-0000CB070000}"/>
    <cellStyle name="1_원가계산서_총괄갑지_화명조경_1차 기성 내역서 0612023" xfId="1995" xr:uid="{00000000-0005-0000-0000-0000CC070000}"/>
    <cellStyle name="1_원가계산서_총괄갑지_화명조경_3차네고견적(061017-1)" xfId="1996" xr:uid="{00000000-0005-0000-0000-0000CD070000}"/>
    <cellStyle name="1_원가계산서_총괄갑지_화명조경_백화점화장실인테리어" xfId="1997" xr:uid="{00000000-0005-0000-0000-0000CE070000}"/>
    <cellStyle name="1_원가계산서_총괄갑지_화명조경_백화점화장실인테리어_1차 기성 내역서 0612023" xfId="1998" xr:uid="{00000000-0005-0000-0000-0000CF070000}"/>
    <cellStyle name="1_원가계산서_총괄갑지_화명조경_백화점화장실인테리어_3차네고견적(061017-1)" xfId="1999" xr:uid="{00000000-0005-0000-0000-0000D0070000}"/>
    <cellStyle name="1_원가계산서_총괄내역서" xfId="2000" xr:uid="{00000000-0005-0000-0000-0000D1070000}"/>
    <cellStyle name="1_원가계산서_총괄내역서_1차 기성 내역서 0612023" xfId="2001" xr:uid="{00000000-0005-0000-0000-0000D2070000}"/>
    <cellStyle name="1_원가계산서_총괄내역서_3차네고견적(061017-1)" xfId="2002" xr:uid="{00000000-0005-0000-0000-0000D3070000}"/>
    <cellStyle name="1_원가계산서_총괄내역서_백화점화장실인테리어" xfId="2003" xr:uid="{00000000-0005-0000-0000-0000D4070000}"/>
    <cellStyle name="1_원가계산서_총괄내역서_백화점화장실인테리어_1차 기성 내역서 0612023" xfId="2004" xr:uid="{00000000-0005-0000-0000-0000D5070000}"/>
    <cellStyle name="1_원가계산서_총괄내역서_백화점화장실인테리어_3차네고견적(061017-1)" xfId="2005" xr:uid="{00000000-0005-0000-0000-0000D6070000}"/>
    <cellStyle name="1_원가계산서_총괄내역서_설계내역서" xfId="2006" xr:uid="{00000000-0005-0000-0000-0000D7070000}"/>
    <cellStyle name="1_원가계산서_총괄내역서_설계내역서_1차 기성 내역서 0612023" xfId="2007" xr:uid="{00000000-0005-0000-0000-0000D8070000}"/>
    <cellStyle name="1_원가계산서_총괄내역서_설계내역서_3차네고견적(061017-1)" xfId="2008" xr:uid="{00000000-0005-0000-0000-0000D9070000}"/>
    <cellStyle name="1_원가계산서_총괄내역서_설계내역서_백화점화장실인테리어" xfId="2009" xr:uid="{00000000-0005-0000-0000-0000DA070000}"/>
    <cellStyle name="1_원가계산서_총괄내역서_설계내역서_백화점화장실인테리어_1차 기성 내역서 0612023" xfId="2010" xr:uid="{00000000-0005-0000-0000-0000DB070000}"/>
    <cellStyle name="1_원가계산서_총괄내역서_설계내역서_백화점화장실인테리어_3차네고견적(061017-1)" xfId="2011" xr:uid="{00000000-0005-0000-0000-0000DC070000}"/>
    <cellStyle name="1_원가계산서_총괄내역서_설계내역서_화명조경" xfId="2012" xr:uid="{00000000-0005-0000-0000-0000DD070000}"/>
    <cellStyle name="1_원가계산서_총괄내역서_설계내역서_화명조경_1차 기성 내역서 0612023" xfId="2013" xr:uid="{00000000-0005-0000-0000-0000DE070000}"/>
    <cellStyle name="1_원가계산서_총괄내역서_설계내역서_화명조경_3차네고견적(061017-1)" xfId="2014" xr:uid="{00000000-0005-0000-0000-0000DF070000}"/>
    <cellStyle name="1_원가계산서_총괄내역서_설계내역서_화명조경_백화점화장실인테리어" xfId="2015" xr:uid="{00000000-0005-0000-0000-0000E0070000}"/>
    <cellStyle name="1_원가계산서_총괄내역서_설계내역서_화명조경_백화점화장실인테리어_1차 기성 내역서 0612023" xfId="2016" xr:uid="{00000000-0005-0000-0000-0000E1070000}"/>
    <cellStyle name="1_원가계산서_총괄내역서_설계내역서_화명조경_백화점화장실인테리어_3차네고견적(061017-1)" xfId="2017" xr:uid="{00000000-0005-0000-0000-0000E2070000}"/>
    <cellStyle name="1_원가계산서_총괄내역서_설계내역서1월7일" xfId="2018" xr:uid="{00000000-0005-0000-0000-0000E3070000}"/>
    <cellStyle name="1_원가계산서_총괄내역서_설계내역서1월7일_1차 기성 내역서 0612023" xfId="2019" xr:uid="{00000000-0005-0000-0000-0000E4070000}"/>
    <cellStyle name="1_원가계산서_총괄내역서_설계내역서1월7일_3차네고견적(061017-1)" xfId="2020" xr:uid="{00000000-0005-0000-0000-0000E5070000}"/>
    <cellStyle name="1_원가계산서_총괄내역서_설계내역서1월7일_백화점화장실인테리어" xfId="2021" xr:uid="{00000000-0005-0000-0000-0000E6070000}"/>
    <cellStyle name="1_원가계산서_총괄내역서_설계내역서1월7일_백화점화장실인테리어_1차 기성 내역서 0612023" xfId="2022" xr:uid="{00000000-0005-0000-0000-0000E7070000}"/>
    <cellStyle name="1_원가계산서_총괄내역서_설계내역서1월7일_백화점화장실인테리어_3차네고견적(061017-1)" xfId="2023" xr:uid="{00000000-0005-0000-0000-0000E8070000}"/>
    <cellStyle name="1_원가계산서_총괄내역서_설계내역서1월7일_화명조경" xfId="2024" xr:uid="{00000000-0005-0000-0000-0000E9070000}"/>
    <cellStyle name="1_원가계산서_총괄내역서_설계내역서1월7일_화명조경_1차 기성 내역서 0612023" xfId="2025" xr:uid="{00000000-0005-0000-0000-0000EA070000}"/>
    <cellStyle name="1_원가계산서_총괄내역서_설계내역서1월7일_화명조경_3차네고견적(061017-1)" xfId="2026" xr:uid="{00000000-0005-0000-0000-0000EB070000}"/>
    <cellStyle name="1_원가계산서_총괄내역서_설계내역서1월7일_화명조경_백화점화장실인테리어" xfId="2027" xr:uid="{00000000-0005-0000-0000-0000EC070000}"/>
    <cellStyle name="1_원가계산서_총괄내역서_설계내역서1월7일_화명조경_백화점화장실인테리어_1차 기성 내역서 0612023" xfId="2028" xr:uid="{00000000-0005-0000-0000-0000ED070000}"/>
    <cellStyle name="1_원가계산서_총괄내역서_설계내역서1월7일_화명조경_백화점화장실인테리어_3차네고견적(061017-1)" xfId="2029" xr:uid="{00000000-0005-0000-0000-0000EE070000}"/>
    <cellStyle name="1_원가계산서_총괄내역서_화명조경" xfId="2030" xr:uid="{00000000-0005-0000-0000-0000EF070000}"/>
    <cellStyle name="1_원가계산서_총괄내역서_화명조경_1차 기성 내역서 0612023" xfId="2031" xr:uid="{00000000-0005-0000-0000-0000F0070000}"/>
    <cellStyle name="1_원가계산서_총괄내역서_화명조경_3차네고견적(061017-1)" xfId="2032" xr:uid="{00000000-0005-0000-0000-0000F1070000}"/>
    <cellStyle name="1_원가계산서_총괄내역서_화명조경_백화점화장실인테리어" xfId="2033" xr:uid="{00000000-0005-0000-0000-0000F2070000}"/>
    <cellStyle name="1_원가계산서_총괄내역서_화명조경_백화점화장실인테리어_1차 기성 내역서 0612023" xfId="2034" xr:uid="{00000000-0005-0000-0000-0000F3070000}"/>
    <cellStyle name="1_원가계산서_총괄내역서_화명조경_백화점화장실인테리어_3차네고견적(061017-1)" xfId="2035" xr:uid="{00000000-0005-0000-0000-0000F4070000}"/>
    <cellStyle name="1_원가계산서_화명조경" xfId="2036" xr:uid="{00000000-0005-0000-0000-0000F5070000}"/>
    <cellStyle name="1_원가계산서_화명조경_1차 기성 내역서 0612023" xfId="2037" xr:uid="{00000000-0005-0000-0000-0000F6070000}"/>
    <cellStyle name="1_원가계산서_화명조경_3차네고견적(061017-1)" xfId="2038" xr:uid="{00000000-0005-0000-0000-0000F7070000}"/>
    <cellStyle name="1_원가계산서_화명조경_백화점화장실인테리어" xfId="2039" xr:uid="{00000000-0005-0000-0000-0000F8070000}"/>
    <cellStyle name="1_원가계산서_화명조경_백화점화장실인테리어_1차 기성 내역서 0612023" xfId="2040" xr:uid="{00000000-0005-0000-0000-0000F9070000}"/>
    <cellStyle name="1_원가계산서_화명조경_백화점화장실인테리어_3차네고견적(061017-1)" xfId="2041" xr:uid="{00000000-0005-0000-0000-0000FA070000}"/>
    <cellStyle name="1_은파수량집계" xfId="2042" xr:uid="{00000000-0005-0000-0000-0000FB070000}"/>
    <cellStyle name="1_터미널1-0" xfId="2043" xr:uid="{00000000-0005-0000-0000-0000FC070000}"/>
    <cellStyle name="1_터미널1-0_1차 기성 내역서 0612023" xfId="2044" xr:uid="{00000000-0005-0000-0000-0000FD070000}"/>
    <cellStyle name="1_터미널1-0_3차네고견적(061017-1)" xfId="2045" xr:uid="{00000000-0005-0000-0000-0000FE070000}"/>
    <cellStyle name="1_터미널1-0_백화점화장실인테리어" xfId="2046" xr:uid="{00000000-0005-0000-0000-0000FF070000}"/>
    <cellStyle name="1_터미널1-0_백화점화장실인테리어_1차 기성 내역서 0612023" xfId="2047" xr:uid="{00000000-0005-0000-0000-000000080000}"/>
    <cellStyle name="1_터미널1-0_백화점화장실인테리어_3차네고견적(061017-1)" xfId="2048" xr:uid="{00000000-0005-0000-0000-000001080000}"/>
    <cellStyle name="1_터미널1-0_설계내역서" xfId="2049" xr:uid="{00000000-0005-0000-0000-000002080000}"/>
    <cellStyle name="1_터미널1-0_설계내역서_1차 기성 내역서 0612023" xfId="2050" xr:uid="{00000000-0005-0000-0000-000003080000}"/>
    <cellStyle name="1_터미널1-0_설계내역서_3차네고견적(061017-1)" xfId="2051" xr:uid="{00000000-0005-0000-0000-000004080000}"/>
    <cellStyle name="1_터미널1-0_설계내역서_백화점화장실인테리어" xfId="2052" xr:uid="{00000000-0005-0000-0000-000005080000}"/>
    <cellStyle name="1_터미널1-0_설계내역서_백화점화장실인테리어_1차 기성 내역서 0612023" xfId="2053" xr:uid="{00000000-0005-0000-0000-000006080000}"/>
    <cellStyle name="1_터미널1-0_설계내역서_백화점화장실인테리어_3차네고견적(061017-1)" xfId="2054" xr:uid="{00000000-0005-0000-0000-000007080000}"/>
    <cellStyle name="1_터미널1-0_설계내역서_화명조경" xfId="2055" xr:uid="{00000000-0005-0000-0000-000008080000}"/>
    <cellStyle name="1_터미널1-0_설계내역서_화명조경_1차 기성 내역서 0612023" xfId="2056" xr:uid="{00000000-0005-0000-0000-000009080000}"/>
    <cellStyle name="1_터미널1-0_설계내역서_화명조경_3차네고견적(061017-1)" xfId="2057" xr:uid="{00000000-0005-0000-0000-00000A080000}"/>
    <cellStyle name="1_터미널1-0_설계내역서_화명조경_백화점화장실인테리어" xfId="2058" xr:uid="{00000000-0005-0000-0000-00000B080000}"/>
    <cellStyle name="1_터미널1-0_설계내역서_화명조경_백화점화장실인테리어_1차 기성 내역서 0612023" xfId="2059" xr:uid="{00000000-0005-0000-0000-00000C080000}"/>
    <cellStyle name="1_터미널1-0_설계내역서_화명조경_백화점화장실인테리어_3차네고견적(061017-1)" xfId="2060" xr:uid="{00000000-0005-0000-0000-00000D080000}"/>
    <cellStyle name="1_터미널1-0_설계내역서1월7일" xfId="2061" xr:uid="{00000000-0005-0000-0000-00000E080000}"/>
    <cellStyle name="1_터미널1-0_설계내역서1월7일_1차 기성 내역서 0612023" xfId="2062" xr:uid="{00000000-0005-0000-0000-00000F080000}"/>
    <cellStyle name="1_터미널1-0_설계내역서1월7일_3차네고견적(061017-1)" xfId="2063" xr:uid="{00000000-0005-0000-0000-000010080000}"/>
    <cellStyle name="1_터미널1-0_설계내역서1월7일_백화점화장실인테리어" xfId="2064" xr:uid="{00000000-0005-0000-0000-000011080000}"/>
    <cellStyle name="1_터미널1-0_설계내역서1월7일_백화점화장실인테리어_1차 기성 내역서 0612023" xfId="2065" xr:uid="{00000000-0005-0000-0000-000012080000}"/>
    <cellStyle name="1_터미널1-0_설계내역서1월7일_백화점화장실인테리어_3차네고견적(061017-1)" xfId="2066" xr:uid="{00000000-0005-0000-0000-000013080000}"/>
    <cellStyle name="1_터미널1-0_설계내역서1월7일_화명조경" xfId="2067" xr:uid="{00000000-0005-0000-0000-000014080000}"/>
    <cellStyle name="1_터미널1-0_설계내역서1월7일_화명조경_1차 기성 내역서 0612023" xfId="2068" xr:uid="{00000000-0005-0000-0000-000015080000}"/>
    <cellStyle name="1_터미널1-0_설계내역서1월7일_화명조경_3차네고견적(061017-1)" xfId="2069" xr:uid="{00000000-0005-0000-0000-000016080000}"/>
    <cellStyle name="1_터미널1-0_설계내역서1월7일_화명조경_백화점화장실인테리어" xfId="2070" xr:uid="{00000000-0005-0000-0000-000017080000}"/>
    <cellStyle name="1_터미널1-0_설계내역서1월7일_화명조경_백화점화장실인테리어_1차 기성 내역서 0612023" xfId="2071" xr:uid="{00000000-0005-0000-0000-000018080000}"/>
    <cellStyle name="1_터미널1-0_설계내역서1월7일_화명조경_백화점화장실인테리어_3차네고견적(061017-1)" xfId="2072" xr:uid="{00000000-0005-0000-0000-000019080000}"/>
    <cellStyle name="1_터미널1-0_쌍용수량0905" xfId="2073" xr:uid="{00000000-0005-0000-0000-00001A080000}"/>
    <cellStyle name="1_터미널1-0_쌍용수량0905_1차 기성 내역서 0612023" xfId="2074" xr:uid="{00000000-0005-0000-0000-00001B080000}"/>
    <cellStyle name="1_터미널1-0_쌍용수량0905_3차네고견적(061017-1)" xfId="2075" xr:uid="{00000000-0005-0000-0000-00001C080000}"/>
    <cellStyle name="1_터미널1-0_쌍용수량0905_백화점화장실인테리어" xfId="2076" xr:uid="{00000000-0005-0000-0000-00001D080000}"/>
    <cellStyle name="1_터미널1-0_쌍용수량0905_백화점화장실인테리어_1차 기성 내역서 0612023" xfId="2077" xr:uid="{00000000-0005-0000-0000-00001E080000}"/>
    <cellStyle name="1_터미널1-0_쌍용수량0905_백화점화장실인테리어_3차네고견적(061017-1)" xfId="2078" xr:uid="{00000000-0005-0000-0000-00001F080000}"/>
    <cellStyle name="1_터미널1-0_쌍용수량0905_설계내역서" xfId="2079" xr:uid="{00000000-0005-0000-0000-000020080000}"/>
    <cellStyle name="1_터미널1-0_쌍용수량0905_설계내역서_1차 기성 내역서 0612023" xfId="2080" xr:uid="{00000000-0005-0000-0000-000021080000}"/>
    <cellStyle name="1_터미널1-0_쌍용수량0905_설계내역서_3차네고견적(061017-1)" xfId="2081" xr:uid="{00000000-0005-0000-0000-000022080000}"/>
    <cellStyle name="1_터미널1-0_쌍용수량0905_설계내역서_백화점화장실인테리어" xfId="2082" xr:uid="{00000000-0005-0000-0000-000023080000}"/>
    <cellStyle name="1_터미널1-0_쌍용수량0905_설계내역서_백화점화장실인테리어_1차 기성 내역서 0612023" xfId="2083" xr:uid="{00000000-0005-0000-0000-000024080000}"/>
    <cellStyle name="1_터미널1-0_쌍용수량0905_설계내역서_백화점화장실인테리어_3차네고견적(061017-1)" xfId="2084" xr:uid="{00000000-0005-0000-0000-000025080000}"/>
    <cellStyle name="1_터미널1-0_쌍용수량0905_설계내역서_화명조경" xfId="2085" xr:uid="{00000000-0005-0000-0000-000026080000}"/>
    <cellStyle name="1_터미널1-0_쌍용수량0905_설계내역서_화명조경_1차 기성 내역서 0612023" xfId="2086" xr:uid="{00000000-0005-0000-0000-000027080000}"/>
    <cellStyle name="1_터미널1-0_쌍용수량0905_설계내역서_화명조경_3차네고견적(061017-1)" xfId="2087" xr:uid="{00000000-0005-0000-0000-000028080000}"/>
    <cellStyle name="1_터미널1-0_쌍용수량0905_설계내역서_화명조경_백화점화장실인테리어" xfId="2088" xr:uid="{00000000-0005-0000-0000-000029080000}"/>
    <cellStyle name="1_터미널1-0_쌍용수량0905_설계내역서_화명조경_백화점화장실인테리어_1차 기성 내역서 0612023" xfId="2089" xr:uid="{00000000-0005-0000-0000-00002A080000}"/>
    <cellStyle name="1_터미널1-0_쌍용수량0905_설계내역서_화명조경_백화점화장실인테리어_3차네고견적(061017-1)" xfId="2090" xr:uid="{00000000-0005-0000-0000-00002B080000}"/>
    <cellStyle name="1_터미널1-0_쌍용수량0905_설계내역서1월7일" xfId="2091" xr:uid="{00000000-0005-0000-0000-00002C080000}"/>
    <cellStyle name="1_터미널1-0_쌍용수량0905_설계내역서1월7일_1차 기성 내역서 0612023" xfId="2092" xr:uid="{00000000-0005-0000-0000-00002D080000}"/>
    <cellStyle name="1_터미널1-0_쌍용수량0905_설계내역서1월7일_3차네고견적(061017-1)" xfId="2093" xr:uid="{00000000-0005-0000-0000-00002E080000}"/>
    <cellStyle name="1_터미널1-0_쌍용수량0905_설계내역서1월7일_백화점화장실인테리어" xfId="2094" xr:uid="{00000000-0005-0000-0000-00002F080000}"/>
    <cellStyle name="1_터미널1-0_쌍용수량0905_설계내역서1월7일_백화점화장실인테리어_1차 기성 내역서 0612023" xfId="2095" xr:uid="{00000000-0005-0000-0000-000030080000}"/>
    <cellStyle name="1_터미널1-0_쌍용수량0905_설계내역서1월7일_백화점화장실인테리어_3차네고견적(061017-1)" xfId="2096" xr:uid="{00000000-0005-0000-0000-000031080000}"/>
    <cellStyle name="1_터미널1-0_쌍용수량0905_설계내역서1월7일_화명조경" xfId="2097" xr:uid="{00000000-0005-0000-0000-000032080000}"/>
    <cellStyle name="1_터미널1-0_쌍용수량0905_설계내역서1월7일_화명조경_1차 기성 내역서 0612023" xfId="2098" xr:uid="{00000000-0005-0000-0000-000033080000}"/>
    <cellStyle name="1_터미널1-0_쌍용수량0905_설계내역서1월7일_화명조경_3차네고견적(061017-1)" xfId="2099" xr:uid="{00000000-0005-0000-0000-000034080000}"/>
    <cellStyle name="1_터미널1-0_쌍용수량0905_설계내역서1월7일_화명조경_백화점화장실인테리어" xfId="2100" xr:uid="{00000000-0005-0000-0000-000035080000}"/>
    <cellStyle name="1_터미널1-0_쌍용수량0905_설계내역서1월7일_화명조경_백화점화장실인테리어_1차 기성 내역서 0612023" xfId="2101" xr:uid="{00000000-0005-0000-0000-000036080000}"/>
    <cellStyle name="1_터미널1-0_쌍용수량0905_설계내역서1월7일_화명조경_백화점화장실인테리어_3차네고견적(061017-1)" xfId="2102" xr:uid="{00000000-0005-0000-0000-000037080000}"/>
    <cellStyle name="1_터미널1-0_쌍용수량0905_화명조경" xfId="2103" xr:uid="{00000000-0005-0000-0000-000038080000}"/>
    <cellStyle name="1_터미널1-0_쌍용수량0905_화명조경_1차 기성 내역서 0612023" xfId="2104" xr:uid="{00000000-0005-0000-0000-000039080000}"/>
    <cellStyle name="1_터미널1-0_쌍용수량0905_화명조경_3차네고견적(061017-1)" xfId="2105" xr:uid="{00000000-0005-0000-0000-00003A080000}"/>
    <cellStyle name="1_터미널1-0_쌍용수량0905_화명조경_백화점화장실인테리어" xfId="2106" xr:uid="{00000000-0005-0000-0000-00003B080000}"/>
    <cellStyle name="1_터미널1-0_쌍용수량0905_화명조경_백화점화장실인테리어_1차 기성 내역서 0612023" xfId="2107" xr:uid="{00000000-0005-0000-0000-00003C080000}"/>
    <cellStyle name="1_터미널1-0_쌍용수량0905_화명조경_백화점화장실인테리어_3차네고견적(061017-1)" xfId="2108" xr:uid="{00000000-0005-0000-0000-00003D080000}"/>
    <cellStyle name="1_터미널1-0_화명조경" xfId="2109" xr:uid="{00000000-0005-0000-0000-00003E080000}"/>
    <cellStyle name="1_터미널1-0_화명조경_1차 기성 내역서 0612023" xfId="2110" xr:uid="{00000000-0005-0000-0000-00003F080000}"/>
    <cellStyle name="1_터미널1-0_화명조경_3차네고견적(061017-1)" xfId="2111" xr:uid="{00000000-0005-0000-0000-000040080000}"/>
    <cellStyle name="1_터미널1-0_화명조경_백화점화장실인테리어" xfId="2112" xr:uid="{00000000-0005-0000-0000-000041080000}"/>
    <cellStyle name="1_터미널1-0_화명조경_백화점화장실인테리어_1차 기성 내역서 0612023" xfId="2113" xr:uid="{00000000-0005-0000-0000-000042080000}"/>
    <cellStyle name="1_터미널1-0_화명조경_백화점화장실인테리어_3차네고견적(061017-1)" xfId="2114" xr:uid="{00000000-0005-0000-0000-000043080000}"/>
    <cellStyle name="1_total" xfId="476" xr:uid="{00000000-0005-0000-0000-0000DD010000}"/>
    <cellStyle name="1_total_1차 기성 내역서 0612023" xfId="477" xr:uid="{00000000-0005-0000-0000-0000DE010000}"/>
    <cellStyle name="1_total_3차네고견적(061017-1)" xfId="478" xr:uid="{00000000-0005-0000-0000-0000DF010000}"/>
    <cellStyle name="1_total_갑지0601" xfId="482" xr:uid="{00000000-0005-0000-0000-0000E3010000}"/>
    <cellStyle name="1_total_갑지0601_00갑지" xfId="483" xr:uid="{00000000-0005-0000-0000-0000E4010000}"/>
    <cellStyle name="1_total_갑지0601_00갑지_1차 기성 내역서 0612023" xfId="484" xr:uid="{00000000-0005-0000-0000-0000E5010000}"/>
    <cellStyle name="1_total_갑지0601_00갑지_3차네고견적(061017-1)" xfId="485" xr:uid="{00000000-0005-0000-0000-0000E6010000}"/>
    <cellStyle name="1_total_갑지0601_00갑지_백화점화장실인테리어" xfId="486" xr:uid="{00000000-0005-0000-0000-0000E7010000}"/>
    <cellStyle name="1_total_갑지0601_00갑지_백화점화장실인테리어_1차 기성 내역서 0612023" xfId="487" xr:uid="{00000000-0005-0000-0000-0000E8010000}"/>
    <cellStyle name="1_total_갑지0601_00갑지_백화점화장실인테리어_3차네고견적(061017-1)" xfId="488" xr:uid="{00000000-0005-0000-0000-0000E9010000}"/>
    <cellStyle name="1_total_갑지0601_00갑지_설계내역서" xfId="489" xr:uid="{00000000-0005-0000-0000-0000EA010000}"/>
    <cellStyle name="1_total_갑지0601_00갑지_설계내역서_1차 기성 내역서 0612023" xfId="490" xr:uid="{00000000-0005-0000-0000-0000EB010000}"/>
    <cellStyle name="1_total_갑지0601_00갑지_설계내역서_3차네고견적(061017-1)" xfId="491" xr:uid="{00000000-0005-0000-0000-0000EC010000}"/>
    <cellStyle name="1_total_갑지0601_00갑지_설계내역서_백화점화장실인테리어" xfId="492" xr:uid="{00000000-0005-0000-0000-0000ED010000}"/>
    <cellStyle name="1_total_갑지0601_00갑지_설계내역서_백화점화장실인테리어_1차 기성 내역서 0612023" xfId="493" xr:uid="{00000000-0005-0000-0000-0000EE010000}"/>
    <cellStyle name="1_total_갑지0601_00갑지_설계내역서_백화점화장실인테리어_3차네고견적(061017-1)" xfId="494" xr:uid="{00000000-0005-0000-0000-0000EF010000}"/>
    <cellStyle name="1_total_갑지0601_00갑지_설계내역서_화명조경" xfId="495" xr:uid="{00000000-0005-0000-0000-0000F0010000}"/>
    <cellStyle name="1_total_갑지0601_00갑지_설계내역서_화명조경_1차 기성 내역서 0612023" xfId="496" xr:uid="{00000000-0005-0000-0000-0000F1010000}"/>
    <cellStyle name="1_total_갑지0601_00갑지_설계내역서_화명조경_3차네고견적(061017-1)" xfId="497" xr:uid="{00000000-0005-0000-0000-0000F2010000}"/>
    <cellStyle name="1_total_갑지0601_00갑지_설계내역서_화명조경_백화점화장실인테리어" xfId="498" xr:uid="{00000000-0005-0000-0000-0000F3010000}"/>
    <cellStyle name="1_total_갑지0601_00갑지_설계내역서_화명조경_백화점화장실인테리어_1차 기성 내역서 0612023" xfId="499" xr:uid="{00000000-0005-0000-0000-0000F4010000}"/>
    <cellStyle name="1_total_갑지0601_00갑지_설계내역서_화명조경_백화점화장실인테리어_3차네고견적(061017-1)" xfId="500" xr:uid="{00000000-0005-0000-0000-0000F5010000}"/>
    <cellStyle name="1_total_갑지0601_00갑지_설계내역서1월7일" xfId="501" xr:uid="{00000000-0005-0000-0000-0000F6010000}"/>
    <cellStyle name="1_total_갑지0601_00갑지_설계내역서1월7일_1차 기성 내역서 0612023" xfId="502" xr:uid="{00000000-0005-0000-0000-0000F7010000}"/>
    <cellStyle name="1_total_갑지0601_00갑지_설계내역서1월7일_3차네고견적(061017-1)" xfId="503" xr:uid="{00000000-0005-0000-0000-0000F8010000}"/>
    <cellStyle name="1_total_갑지0601_00갑지_설계내역서1월7일_백화점화장실인테리어" xfId="504" xr:uid="{00000000-0005-0000-0000-0000F9010000}"/>
    <cellStyle name="1_total_갑지0601_00갑지_설계내역서1월7일_백화점화장실인테리어_1차 기성 내역서 0612023" xfId="505" xr:uid="{00000000-0005-0000-0000-0000FA010000}"/>
    <cellStyle name="1_total_갑지0601_00갑지_설계내역서1월7일_백화점화장실인테리어_3차네고견적(061017-1)" xfId="506" xr:uid="{00000000-0005-0000-0000-0000FB010000}"/>
    <cellStyle name="1_total_갑지0601_00갑지_설계내역서1월7일_화명조경" xfId="507" xr:uid="{00000000-0005-0000-0000-0000FC010000}"/>
    <cellStyle name="1_total_갑지0601_00갑지_설계내역서1월7일_화명조경_1차 기성 내역서 0612023" xfId="508" xr:uid="{00000000-0005-0000-0000-0000FD010000}"/>
    <cellStyle name="1_total_갑지0601_00갑지_설계내역서1월7일_화명조경_3차네고견적(061017-1)" xfId="509" xr:uid="{00000000-0005-0000-0000-0000FE010000}"/>
    <cellStyle name="1_total_갑지0601_00갑지_설계내역서1월7일_화명조경_백화점화장실인테리어" xfId="510" xr:uid="{00000000-0005-0000-0000-0000FF010000}"/>
    <cellStyle name="1_total_갑지0601_00갑지_설계내역서1월7일_화명조경_백화점화장실인테리어_1차 기성 내역서 0612023" xfId="511" xr:uid="{00000000-0005-0000-0000-000000020000}"/>
    <cellStyle name="1_total_갑지0601_00갑지_설계내역서1월7일_화명조경_백화점화장실인테리어_3차네고견적(061017-1)" xfId="512" xr:uid="{00000000-0005-0000-0000-000001020000}"/>
    <cellStyle name="1_total_갑지0601_00갑지_화명조경" xfId="513" xr:uid="{00000000-0005-0000-0000-000002020000}"/>
    <cellStyle name="1_total_갑지0601_00갑지_화명조경_1차 기성 내역서 0612023" xfId="514" xr:uid="{00000000-0005-0000-0000-000003020000}"/>
    <cellStyle name="1_total_갑지0601_00갑지_화명조경_3차네고견적(061017-1)" xfId="515" xr:uid="{00000000-0005-0000-0000-000004020000}"/>
    <cellStyle name="1_total_갑지0601_00갑지_화명조경_백화점화장실인테리어" xfId="516" xr:uid="{00000000-0005-0000-0000-000005020000}"/>
    <cellStyle name="1_total_갑지0601_00갑지_화명조경_백화점화장실인테리어_1차 기성 내역서 0612023" xfId="517" xr:uid="{00000000-0005-0000-0000-000006020000}"/>
    <cellStyle name="1_total_갑지0601_00갑지_화명조경_백화점화장실인테리어_3차네고견적(061017-1)" xfId="518" xr:uid="{00000000-0005-0000-0000-000007020000}"/>
    <cellStyle name="1_total_갑지0601_1차 기성 내역서 0612023" xfId="519" xr:uid="{00000000-0005-0000-0000-000008020000}"/>
    <cellStyle name="1_total_갑지0601_3차네고견적(061017-1)" xfId="520" xr:uid="{00000000-0005-0000-0000-000009020000}"/>
    <cellStyle name="1_total_갑지0601_과천놀이터설계서" xfId="521" xr:uid="{00000000-0005-0000-0000-00000A020000}"/>
    <cellStyle name="1_total_갑지0601_과천놀이터설계서_1차 기성 내역서 0612023" xfId="522" xr:uid="{00000000-0005-0000-0000-00000B020000}"/>
    <cellStyle name="1_total_갑지0601_과천놀이터설계서_3차네고견적(061017-1)" xfId="523" xr:uid="{00000000-0005-0000-0000-00000C020000}"/>
    <cellStyle name="1_total_갑지0601_과천놀이터설계서_백화점화장실인테리어" xfId="524" xr:uid="{00000000-0005-0000-0000-00000D020000}"/>
    <cellStyle name="1_total_갑지0601_과천놀이터설계서_백화점화장실인테리어_1차 기성 내역서 0612023" xfId="525" xr:uid="{00000000-0005-0000-0000-00000E020000}"/>
    <cellStyle name="1_total_갑지0601_과천놀이터설계서_백화점화장실인테리어_3차네고견적(061017-1)" xfId="526" xr:uid="{00000000-0005-0000-0000-00000F020000}"/>
    <cellStyle name="1_total_갑지0601_과천놀이터설계서_설계내역서" xfId="527" xr:uid="{00000000-0005-0000-0000-000010020000}"/>
    <cellStyle name="1_total_갑지0601_과천놀이터설계서_설계내역서_1차 기성 내역서 0612023" xfId="528" xr:uid="{00000000-0005-0000-0000-000011020000}"/>
    <cellStyle name="1_total_갑지0601_과천놀이터설계서_설계내역서_3차네고견적(061017-1)" xfId="529" xr:uid="{00000000-0005-0000-0000-000012020000}"/>
    <cellStyle name="1_total_갑지0601_과천놀이터설계서_설계내역서_백화점화장실인테리어" xfId="530" xr:uid="{00000000-0005-0000-0000-000013020000}"/>
    <cellStyle name="1_total_갑지0601_과천놀이터설계서_설계내역서_백화점화장실인테리어_1차 기성 내역서 0612023" xfId="531" xr:uid="{00000000-0005-0000-0000-000014020000}"/>
    <cellStyle name="1_total_갑지0601_과천놀이터설계서_설계내역서_백화점화장실인테리어_3차네고견적(061017-1)" xfId="532" xr:uid="{00000000-0005-0000-0000-000015020000}"/>
    <cellStyle name="1_total_갑지0601_과천놀이터설계서_설계내역서_화명조경" xfId="533" xr:uid="{00000000-0005-0000-0000-000016020000}"/>
    <cellStyle name="1_total_갑지0601_과천놀이터설계서_설계내역서_화명조경_1차 기성 내역서 0612023" xfId="534" xr:uid="{00000000-0005-0000-0000-000017020000}"/>
    <cellStyle name="1_total_갑지0601_과천놀이터설계서_설계내역서_화명조경_3차네고견적(061017-1)" xfId="535" xr:uid="{00000000-0005-0000-0000-000018020000}"/>
    <cellStyle name="1_total_갑지0601_과천놀이터설계서_설계내역서_화명조경_백화점화장실인테리어" xfId="536" xr:uid="{00000000-0005-0000-0000-000019020000}"/>
    <cellStyle name="1_total_갑지0601_과천놀이터설계서_설계내역서_화명조경_백화점화장실인테리어_1차 기성 내역서 0612023" xfId="537" xr:uid="{00000000-0005-0000-0000-00001A020000}"/>
    <cellStyle name="1_total_갑지0601_과천놀이터설계서_설계내역서_화명조경_백화점화장실인테리어_3차네고견적(061017-1)" xfId="538" xr:uid="{00000000-0005-0000-0000-00001B020000}"/>
    <cellStyle name="1_total_갑지0601_과천놀이터설계서_설계내역서1월7일" xfId="539" xr:uid="{00000000-0005-0000-0000-00001C020000}"/>
    <cellStyle name="1_total_갑지0601_과천놀이터설계서_설계내역서1월7일_1차 기성 내역서 0612023" xfId="540" xr:uid="{00000000-0005-0000-0000-00001D020000}"/>
    <cellStyle name="1_total_갑지0601_과천놀이터설계서_설계내역서1월7일_3차네고견적(061017-1)" xfId="541" xr:uid="{00000000-0005-0000-0000-00001E020000}"/>
    <cellStyle name="1_total_갑지0601_과천놀이터설계서_설계내역서1월7일_백화점화장실인테리어" xfId="542" xr:uid="{00000000-0005-0000-0000-00001F020000}"/>
    <cellStyle name="1_total_갑지0601_과천놀이터설계서_설계내역서1월7일_백화점화장실인테리어_1차 기성 내역서 0612023" xfId="543" xr:uid="{00000000-0005-0000-0000-000020020000}"/>
    <cellStyle name="1_total_갑지0601_과천놀이터설계서_설계내역서1월7일_백화점화장실인테리어_3차네고견적(061017-1)" xfId="544" xr:uid="{00000000-0005-0000-0000-000021020000}"/>
    <cellStyle name="1_total_갑지0601_과천놀이터설계서_설계내역서1월7일_화명조경" xfId="545" xr:uid="{00000000-0005-0000-0000-000022020000}"/>
    <cellStyle name="1_total_갑지0601_과천놀이터설계서_설계내역서1월7일_화명조경_1차 기성 내역서 0612023" xfId="546" xr:uid="{00000000-0005-0000-0000-000023020000}"/>
    <cellStyle name="1_total_갑지0601_과천놀이터설계서_설계내역서1월7일_화명조경_3차네고견적(061017-1)" xfId="547" xr:uid="{00000000-0005-0000-0000-000024020000}"/>
    <cellStyle name="1_total_갑지0601_과천놀이터설계서_설계내역서1월7일_화명조경_백화점화장실인테리어" xfId="548" xr:uid="{00000000-0005-0000-0000-000025020000}"/>
    <cellStyle name="1_total_갑지0601_과천놀이터설계서_설계내역서1월7일_화명조경_백화점화장실인테리어_1차 기성 내역서 0612023" xfId="549" xr:uid="{00000000-0005-0000-0000-000026020000}"/>
    <cellStyle name="1_total_갑지0601_과천놀이터설계서_설계내역서1월7일_화명조경_백화점화장실인테리어_3차네고견적(061017-1)" xfId="550" xr:uid="{00000000-0005-0000-0000-000027020000}"/>
    <cellStyle name="1_total_갑지0601_과천놀이터설계서_화명조경" xfId="551" xr:uid="{00000000-0005-0000-0000-000028020000}"/>
    <cellStyle name="1_total_갑지0601_과천놀이터설계서_화명조경_1차 기성 내역서 0612023" xfId="552" xr:uid="{00000000-0005-0000-0000-000029020000}"/>
    <cellStyle name="1_total_갑지0601_과천놀이터설계서_화명조경_3차네고견적(061017-1)" xfId="553" xr:uid="{00000000-0005-0000-0000-00002A020000}"/>
    <cellStyle name="1_total_갑지0601_과천놀이터설계서_화명조경_백화점화장실인테리어" xfId="554" xr:uid="{00000000-0005-0000-0000-00002B020000}"/>
    <cellStyle name="1_total_갑지0601_과천놀이터설계서_화명조경_백화점화장실인테리어_1차 기성 내역서 0612023" xfId="555" xr:uid="{00000000-0005-0000-0000-00002C020000}"/>
    <cellStyle name="1_total_갑지0601_과천놀이터설계서_화명조경_백화점화장실인테리어_3차네고견적(061017-1)" xfId="556" xr:uid="{00000000-0005-0000-0000-00002D020000}"/>
    <cellStyle name="1_total_갑지0601_백화점화장실인테리어" xfId="557" xr:uid="{00000000-0005-0000-0000-00002E020000}"/>
    <cellStyle name="1_total_갑지0601_백화점화장실인테리어_1차 기성 내역서 0612023" xfId="558" xr:uid="{00000000-0005-0000-0000-00002F020000}"/>
    <cellStyle name="1_total_갑지0601_백화점화장실인테리어_3차네고견적(061017-1)" xfId="559" xr:uid="{00000000-0005-0000-0000-000030020000}"/>
    <cellStyle name="1_total_갑지0601_총괄갑지" xfId="560" xr:uid="{00000000-0005-0000-0000-000031020000}"/>
    <cellStyle name="1_total_갑지0601_총괄갑지_1차 기성 내역서 0612023" xfId="561" xr:uid="{00000000-0005-0000-0000-000032020000}"/>
    <cellStyle name="1_total_갑지0601_총괄갑지_3차네고견적(061017-1)" xfId="562" xr:uid="{00000000-0005-0000-0000-000033020000}"/>
    <cellStyle name="1_total_갑지0601_총괄갑지_백화점화장실인테리어" xfId="563" xr:uid="{00000000-0005-0000-0000-000034020000}"/>
    <cellStyle name="1_total_갑지0601_총괄갑지_백화점화장실인테리어_1차 기성 내역서 0612023" xfId="564" xr:uid="{00000000-0005-0000-0000-000035020000}"/>
    <cellStyle name="1_total_갑지0601_총괄갑지_백화점화장실인테리어_3차네고견적(061017-1)" xfId="565" xr:uid="{00000000-0005-0000-0000-000036020000}"/>
    <cellStyle name="1_total_갑지0601_총괄갑지_설계내역서" xfId="566" xr:uid="{00000000-0005-0000-0000-000037020000}"/>
    <cellStyle name="1_total_갑지0601_총괄갑지_설계내역서_1차 기성 내역서 0612023" xfId="567" xr:uid="{00000000-0005-0000-0000-000038020000}"/>
    <cellStyle name="1_total_갑지0601_총괄갑지_설계내역서_3차네고견적(061017-1)" xfId="568" xr:uid="{00000000-0005-0000-0000-000039020000}"/>
    <cellStyle name="1_total_갑지0601_총괄갑지_설계내역서_백화점화장실인테리어" xfId="569" xr:uid="{00000000-0005-0000-0000-00003A020000}"/>
    <cellStyle name="1_total_갑지0601_총괄갑지_설계내역서_백화점화장실인테리어_1차 기성 내역서 0612023" xfId="570" xr:uid="{00000000-0005-0000-0000-00003B020000}"/>
    <cellStyle name="1_total_갑지0601_총괄갑지_설계내역서_백화점화장실인테리어_3차네고견적(061017-1)" xfId="571" xr:uid="{00000000-0005-0000-0000-00003C020000}"/>
    <cellStyle name="1_total_갑지0601_총괄갑지_설계내역서_화명조경" xfId="572" xr:uid="{00000000-0005-0000-0000-00003D020000}"/>
    <cellStyle name="1_total_갑지0601_총괄갑지_설계내역서_화명조경_1차 기성 내역서 0612023" xfId="573" xr:uid="{00000000-0005-0000-0000-00003E020000}"/>
    <cellStyle name="1_total_갑지0601_총괄갑지_설계내역서_화명조경_3차네고견적(061017-1)" xfId="574" xr:uid="{00000000-0005-0000-0000-00003F020000}"/>
    <cellStyle name="1_total_갑지0601_총괄갑지_설계내역서_화명조경_백화점화장실인테리어" xfId="575" xr:uid="{00000000-0005-0000-0000-000040020000}"/>
    <cellStyle name="1_total_갑지0601_총괄갑지_설계내역서_화명조경_백화점화장실인테리어_1차 기성 내역서 0612023" xfId="576" xr:uid="{00000000-0005-0000-0000-000041020000}"/>
    <cellStyle name="1_total_갑지0601_총괄갑지_설계내역서_화명조경_백화점화장실인테리어_3차네고견적(061017-1)" xfId="577" xr:uid="{00000000-0005-0000-0000-000042020000}"/>
    <cellStyle name="1_total_갑지0601_총괄갑지_설계내역서1월7일" xfId="578" xr:uid="{00000000-0005-0000-0000-000043020000}"/>
    <cellStyle name="1_total_갑지0601_총괄갑지_설계내역서1월7일_1차 기성 내역서 0612023" xfId="579" xr:uid="{00000000-0005-0000-0000-000044020000}"/>
    <cellStyle name="1_total_갑지0601_총괄갑지_설계내역서1월7일_3차네고견적(061017-1)" xfId="580" xr:uid="{00000000-0005-0000-0000-000045020000}"/>
    <cellStyle name="1_total_갑지0601_총괄갑지_설계내역서1월7일_백화점화장실인테리어" xfId="581" xr:uid="{00000000-0005-0000-0000-000046020000}"/>
    <cellStyle name="1_total_갑지0601_총괄갑지_설계내역서1월7일_백화점화장실인테리어_1차 기성 내역서 0612023" xfId="582" xr:uid="{00000000-0005-0000-0000-000047020000}"/>
    <cellStyle name="1_total_갑지0601_총괄갑지_설계내역서1월7일_백화점화장실인테리어_3차네고견적(061017-1)" xfId="583" xr:uid="{00000000-0005-0000-0000-000048020000}"/>
    <cellStyle name="1_total_갑지0601_총괄갑지_설계내역서1월7일_화명조경" xfId="584" xr:uid="{00000000-0005-0000-0000-000049020000}"/>
    <cellStyle name="1_total_갑지0601_총괄갑지_설계내역서1월7일_화명조경_1차 기성 내역서 0612023" xfId="585" xr:uid="{00000000-0005-0000-0000-00004A020000}"/>
    <cellStyle name="1_total_갑지0601_총괄갑지_설계내역서1월7일_화명조경_3차네고견적(061017-1)" xfId="586" xr:uid="{00000000-0005-0000-0000-00004B020000}"/>
    <cellStyle name="1_total_갑지0601_총괄갑지_설계내역서1월7일_화명조경_백화점화장실인테리어" xfId="587" xr:uid="{00000000-0005-0000-0000-00004C020000}"/>
    <cellStyle name="1_total_갑지0601_총괄갑지_설계내역서1월7일_화명조경_백화점화장실인테리어_1차 기성 내역서 0612023" xfId="588" xr:uid="{00000000-0005-0000-0000-00004D020000}"/>
    <cellStyle name="1_total_갑지0601_총괄갑지_설계내역서1월7일_화명조경_백화점화장실인테리어_3차네고견적(061017-1)" xfId="589" xr:uid="{00000000-0005-0000-0000-00004E020000}"/>
    <cellStyle name="1_total_갑지0601_총괄갑지_화명조경" xfId="590" xr:uid="{00000000-0005-0000-0000-00004F020000}"/>
    <cellStyle name="1_total_갑지0601_총괄갑지_화명조경_1차 기성 내역서 0612023" xfId="591" xr:uid="{00000000-0005-0000-0000-000050020000}"/>
    <cellStyle name="1_total_갑지0601_총괄갑지_화명조경_3차네고견적(061017-1)" xfId="592" xr:uid="{00000000-0005-0000-0000-000051020000}"/>
    <cellStyle name="1_total_갑지0601_총괄갑지_화명조경_백화점화장실인테리어" xfId="593" xr:uid="{00000000-0005-0000-0000-000052020000}"/>
    <cellStyle name="1_total_갑지0601_총괄갑지_화명조경_백화점화장실인테리어_1차 기성 내역서 0612023" xfId="594" xr:uid="{00000000-0005-0000-0000-000053020000}"/>
    <cellStyle name="1_total_갑지0601_총괄갑지_화명조경_백화점화장실인테리어_3차네고견적(061017-1)" xfId="595" xr:uid="{00000000-0005-0000-0000-000054020000}"/>
    <cellStyle name="1_total_갑지0601_총괄내역서" xfId="596" xr:uid="{00000000-0005-0000-0000-000055020000}"/>
    <cellStyle name="1_total_갑지0601_총괄내역서_1차 기성 내역서 0612023" xfId="597" xr:uid="{00000000-0005-0000-0000-000056020000}"/>
    <cellStyle name="1_total_갑지0601_총괄내역서_3차네고견적(061017-1)" xfId="598" xr:uid="{00000000-0005-0000-0000-000057020000}"/>
    <cellStyle name="1_total_갑지0601_총괄내역서_백화점화장실인테리어" xfId="599" xr:uid="{00000000-0005-0000-0000-000058020000}"/>
    <cellStyle name="1_total_갑지0601_총괄내역서_백화점화장실인테리어_1차 기성 내역서 0612023" xfId="600" xr:uid="{00000000-0005-0000-0000-000059020000}"/>
    <cellStyle name="1_total_갑지0601_총괄내역서_백화점화장실인테리어_3차네고견적(061017-1)" xfId="601" xr:uid="{00000000-0005-0000-0000-00005A020000}"/>
    <cellStyle name="1_total_갑지0601_총괄내역서_설계내역서" xfId="602" xr:uid="{00000000-0005-0000-0000-00005B020000}"/>
    <cellStyle name="1_total_갑지0601_총괄내역서_설계내역서_1차 기성 내역서 0612023" xfId="603" xr:uid="{00000000-0005-0000-0000-00005C020000}"/>
    <cellStyle name="1_total_갑지0601_총괄내역서_설계내역서_3차네고견적(061017-1)" xfId="604" xr:uid="{00000000-0005-0000-0000-00005D020000}"/>
    <cellStyle name="1_total_갑지0601_총괄내역서_설계내역서_백화점화장실인테리어" xfId="605" xr:uid="{00000000-0005-0000-0000-00005E020000}"/>
    <cellStyle name="1_total_갑지0601_총괄내역서_설계내역서_백화점화장실인테리어_1차 기성 내역서 0612023" xfId="606" xr:uid="{00000000-0005-0000-0000-00005F020000}"/>
    <cellStyle name="1_total_갑지0601_총괄내역서_설계내역서_백화점화장실인테리어_3차네고견적(061017-1)" xfId="607" xr:uid="{00000000-0005-0000-0000-000060020000}"/>
    <cellStyle name="1_total_갑지0601_총괄내역서_설계내역서_화명조경" xfId="608" xr:uid="{00000000-0005-0000-0000-000061020000}"/>
    <cellStyle name="1_total_갑지0601_총괄내역서_설계내역서_화명조경_1차 기성 내역서 0612023" xfId="609" xr:uid="{00000000-0005-0000-0000-000062020000}"/>
    <cellStyle name="1_total_갑지0601_총괄내역서_설계내역서_화명조경_3차네고견적(061017-1)" xfId="610" xr:uid="{00000000-0005-0000-0000-000063020000}"/>
    <cellStyle name="1_total_갑지0601_총괄내역서_설계내역서_화명조경_백화점화장실인테리어" xfId="611" xr:uid="{00000000-0005-0000-0000-000064020000}"/>
    <cellStyle name="1_total_갑지0601_총괄내역서_설계내역서_화명조경_백화점화장실인테리어_1차 기성 내역서 0612023" xfId="612" xr:uid="{00000000-0005-0000-0000-000065020000}"/>
    <cellStyle name="1_total_갑지0601_총괄내역서_설계내역서_화명조경_백화점화장실인테리어_3차네고견적(061017-1)" xfId="613" xr:uid="{00000000-0005-0000-0000-000066020000}"/>
    <cellStyle name="1_total_갑지0601_총괄내역서_설계내역서1월7일" xfId="614" xr:uid="{00000000-0005-0000-0000-000067020000}"/>
    <cellStyle name="1_total_갑지0601_총괄내역서_설계내역서1월7일_1차 기성 내역서 0612023" xfId="615" xr:uid="{00000000-0005-0000-0000-000068020000}"/>
    <cellStyle name="1_total_갑지0601_총괄내역서_설계내역서1월7일_3차네고견적(061017-1)" xfId="616" xr:uid="{00000000-0005-0000-0000-000069020000}"/>
    <cellStyle name="1_total_갑지0601_총괄내역서_설계내역서1월7일_백화점화장실인테리어" xfId="617" xr:uid="{00000000-0005-0000-0000-00006A020000}"/>
    <cellStyle name="1_total_갑지0601_총괄내역서_설계내역서1월7일_백화점화장실인테리어_1차 기성 내역서 0612023" xfId="618" xr:uid="{00000000-0005-0000-0000-00006B020000}"/>
    <cellStyle name="1_total_갑지0601_총괄내역서_설계내역서1월7일_백화점화장실인테리어_3차네고견적(061017-1)" xfId="619" xr:uid="{00000000-0005-0000-0000-00006C020000}"/>
    <cellStyle name="1_total_갑지0601_총괄내역서_설계내역서1월7일_화명조경" xfId="620" xr:uid="{00000000-0005-0000-0000-00006D020000}"/>
    <cellStyle name="1_total_갑지0601_총괄내역서_설계내역서1월7일_화명조경_1차 기성 내역서 0612023" xfId="621" xr:uid="{00000000-0005-0000-0000-00006E020000}"/>
    <cellStyle name="1_total_갑지0601_총괄내역서_설계내역서1월7일_화명조경_3차네고견적(061017-1)" xfId="622" xr:uid="{00000000-0005-0000-0000-00006F020000}"/>
    <cellStyle name="1_total_갑지0601_총괄내역서_설계내역서1월7일_화명조경_백화점화장실인테리어" xfId="623" xr:uid="{00000000-0005-0000-0000-000070020000}"/>
    <cellStyle name="1_total_갑지0601_총괄내역서_설계내역서1월7일_화명조경_백화점화장실인테리어_1차 기성 내역서 0612023" xfId="624" xr:uid="{00000000-0005-0000-0000-000071020000}"/>
    <cellStyle name="1_total_갑지0601_총괄내역서_설계내역서1월7일_화명조경_백화점화장실인테리어_3차네고견적(061017-1)" xfId="625" xr:uid="{00000000-0005-0000-0000-000072020000}"/>
    <cellStyle name="1_total_갑지0601_총괄내역서_화명조경" xfId="626" xr:uid="{00000000-0005-0000-0000-000073020000}"/>
    <cellStyle name="1_total_갑지0601_총괄내역서_화명조경_1차 기성 내역서 0612023" xfId="627" xr:uid="{00000000-0005-0000-0000-000074020000}"/>
    <cellStyle name="1_total_갑지0601_총괄내역서_화명조경_3차네고견적(061017-1)" xfId="628" xr:uid="{00000000-0005-0000-0000-000075020000}"/>
    <cellStyle name="1_total_갑지0601_총괄내역서_화명조경_백화점화장실인테리어" xfId="629" xr:uid="{00000000-0005-0000-0000-000076020000}"/>
    <cellStyle name="1_total_갑지0601_총괄내역서_화명조경_백화점화장실인테리어_1차 기성 내역서 0612023" xfId="630" xr:uid="{00000000-0005-0000-0000-000077020000}"/>
    <cellStyle name="1_total_갑지0601_총괄내역서_화명조경_백화점화장실인테리어_3차네고견적(061017-1)" xfId="631" xr:uid="{00000000-0005-0000-0000-000078020000}"/>
    <cellStyle name="1_total_갑지0601_화명조경" xfId="632" xr:uid="{00000000-0005-0000-0000-000079020000}"/>
    <cellStyle name="1_total_갑지0601_화명조경_1차 기성 내역서 0612023" xfId="633" xr:uid="{00000000-0005-0000-0000-00007A020000}"/>
    <cellStyle name="1_total_갑지0601_화명조경_3차네고견적(061017-1)" xfId="634" xr:uid="{00000000-0005-0000-0000-00007B020000}"/>
    <cellStyle name="1_total_갑지0601_화명조경_백화점화장실인테리어" xfId="635" xr:uid="{00000000-0005-0000-0000-00007C020000}"/>
    <cellStyle name="1_total_갑지0601_화명조경_백화점화장실인테리어_1차 기성 내역서 0612023" xfId="636" xr:uid="{00000000-0005-0000-0000-00007D020000}"/>
    <cellStyle name="1_total_갑지0601_화명조경_백화점화장실인테리어_3차네고견적(061017-1)" xfId="637" xr:uid="{00000000-0005-0000-0000-00007E020000}"/>
    <cellStyle name="1_total_백화점화장실인테리어" xfId="638" xr:uid="{00000000-0005-0000-0000-00007F020000}"/>
    <cellStyle name="1_total_백화점화장실인테리어_1차 기성 내역서 0612023" xfId="639" xr:uid="{00000000-0005-0000-0000-000080020000}"/>
    <cellStyle name="1_total_백화점화장실인테리어_3차네고견적(061017-1)" xfId="640" xr:uid="{00000000-0005-0000-0000-000081020000}"/>
    <cellStyle name="1_total_설계내역서" xfId="641" xr:uid="{00000000-0005-0000-0000-000082020000}"/>
    <cellStyle name="1_total_설계내역서_1차 기성 내역서 0612023" xfId="642" xr:uid="{00000000-0005-0000-0000-000083020000}"/>
    <cellStyle name="1_total_설계내역서_3차네고견적(061017-1)" xfId="643" xr:uid="{00000000-0005-0000-0000-000084020000}"/>
    <cellStyle name="1_total_설계내역서_백화점화장실인테리어" xfId="644" xr:uid="{00000000-0005-0000-0000-000085020000}"/>
    <cellStyle name="1_total_설계내역서_백화점화장실인테리어_1차 기성 내역서 0612023" xfId="645" xr:uid="{00000000-0005-0000-0000-000086020000}"/>
    <cellStyle name="1_total_설계내역서_백화점화장실인테리어_3차네고견적(061017-1)" xfId="646" xr:uid="{00000000-0005-0000-0000-000087020000}"/>
    <cellStyle name="1_total_설계내역서_화명조경" xfId="647" xr:uid="{00000000-0005-0000-0000-000088020000}"/>
    <cellStyle name="1_total_설계내역서_화명조경_1차 기성 내역서 0612023" xfId="648" xr:uid="{00000000-0005-0000-0000-000089020000}"/>
    <cellStyle name="1_total_설계내역서_화명조경_3차네고견적(061017-1)" xfId="649" xr:uid="{00000000-0005-0000-0000-00008A020000}"/>
    <cellStyle name="1_total_설계내역서_화명조경_백화점화장실인테리어" xfId="650" xr:uid="{00000000-0005-0000-0000-00008B020000}"/>
    <cellStyle name="1_total_설계내역서_화명조경_백화점화장실인테리어_1차 기성 내역서 0612023" xfId="651" xr:uid="{00000000-0005-0000-0000-00008C020000}"/>
    <cellStyle name="1_total_설계내역서_화명조경_백화점화장실인테리어_3차네고견적(061017-1)" xfId="652" xr:uid="{00000000-0005-0000-0000-00008D020000}"/>
    <cellStyle name="1_total_설계내역서1월7일" xfId="653" xr:uid="{00000000-0005-0000-0000-00008E020000}"/>
    <cellStyle name="1_total_설계내역서1월7일_1차 기성 내역서 0612023" xfId="654" xr:uid="{00000000-0005-0000-0000-00008F020000}"/>
    <cellStyle name="1_total_설계내역서1월7일_3차네고견적(061017-1)" xfId="655" xr:uid="{00000000-0005-0000-0000-000090020000}"/>
    <cellStyle name="1_total_설계내역서1월7일_백화점화장실인테리어" xfId="656" xr:uid="{00000000-0005-0000-0000-000091020000}"/>
    <cellStyle name="1_total_설계내역서1월7일_백화점화장실인테리어_1차 기성 내역서 0612023" xfId="657" xr:uid="{00000000-0005-0000-0000-000092020000}"/>
    <cellStyle name="1_total_설계내역서1월7일_백화점화장실인테리어_3차네고견적(061017-1)" xfId="658" xr:uid="{00000000-0005-0000-0000-000093020000}"/>
    <cellStyle name="1_total_설계내역서1월7일_화명조경" xfId="659" xr:uid="{00000000-0005-0000-0000-000094020000}"/>
    <cellStyle name="1_total_설계내역서1월7일_화명조경_1차 기성 내역서 0612023" xfId="660" xr:uid="{00000000-0005-0000-0000-000095020000}"/>
    <cellStyle name="1_total_설계내역서1월7일_화명조경_3차네고견적(061017-1)" xfId="661" xr:uid="{00000000-0005-0000-0000-000096020000}"/>
    <cellStyle name="1_total_설계내역서1월7일_화명조경_백화점화장실인테리어" xfId="662" xr:uid="{00000000-0005-0000-0000-000097020000}"/>
    <cellStyle name="1_total_설계내역서1월7일_화명조경_백화점화장실인테리어_1차 기성 내역서 0612023" xfId="663" xr:uid="{00000000-0005-0000-0000-000098020000}"/>
    <cellStyle name="1_total_설계내역서1월7일_화명조경_백화점화장실인테리어_3차네고견적(061017-1)" xfId="664" xr:uid="{00000000-0005-0000-0000-000099020000}"/>
    <cellStyle name="1_total_수원변경수량산출" xfId="665" xr:uid="{00000000-0005-0000-0000-00009A020000}"/>
    <cellStyle name="1_total_수원변경수량산출_1차 기성 내역서 0612023" xfId="666" xr:uid="{00000000-0005-0000-0000-00009B020000}"/>
    <cellStyle name="1_total_수원변경수량산출_3차네고견적(061017-1)" xfId="667" xr:uid="{00000000-0005-0000-0000-00009C020000}"/>
    <cellStyle name="1_total_수원변경수량산출_백화점화장실인테리어" xfId="668" xr:uid="{00000000-0005-0000-0000-00009D020000}"/>
    <cellStyle name="1_total_수원변경수량산출_백화점화장실인테리어_1차 기성 내역서 0612023" xfId="669" xr:uid="{00000000-0005-0000-0000-00009E020000}"/>
    <cellStyle name="1_total_수원변경수량산출_백화점화장실인테리어_3차네고견적(061017-1)" xfId="670" xr:uid="{00000000-0005-0000-0000-00009F020000}"/>
    <cellStyle name="1_total_수원변경수량산출_설계내역서" xfId="671" xr:uid="{00000000-0005-0000-0000-0000A0020000}"/>
    <cellStyle name="1_total_수원변경수량산출_설계내역서_1차 기성 내역서 0612023" xfId="672" xr:uid="{00000000-0005-0000-0000-0000A1020000}"/>
    <cellStyle name="1_total_수원변경수량산출_설계내역서_3차네고견적(061017-1)" xfId="673" xr:uid="{00000000-0005-0000-0000-0000A2020000}"/>
    <cellStyle name="1_total_수원변경수량산출_설계내역서_백화점화장실인테리어" xfId="674" xr:uid="{00000000-0005-0000-0000-0000A3020000}"/>
    <cellStyle name="1_total_수원변경수량산출_설계내역서_백화점화장실인테리어_1차 기성 내역서 0612023" xfId="675" xr:uid="{00000000-0005-0000-0000-0000A4020000}"/>
    <cellStyle name="1_total_수원변경수량산출_설계내역서_백화점화장실인테리어_3차네고견적(061017-1)" xfId="676" xr:uid="{00000000-0005-0000-0000-0000A5020000}"/>
    <cellStyle name="1_total_수원변경수량산출_설계내역서_화명조경" xfId="677" xr:uid="{00000000-0005-0000-0000-0000A6020000}"/>
    <cellStyle name="1_total_수원변경수량산출_설계내역서_화명조경_1차 기성 내역서 0612023" xfId="678" xr:uid="{00000000-0005-0000-0000-0000A7020000}"/>
    <cellStyle name="1_total_수원변경수량산출_설계내역서_화명조경_3차네고견적(061017-1)" xfId="679" xr:uid="{00000000-0005-0000-0000-0000A8020000}"/>
    <cellStyle name="1_total_수원변경수량산출_설계내역서_화명조경_백화점화장실인테리어" xfId="680" xr:uid="{00000000-0005-0000-0000-0000A9020000}"/>
    <cellStyle name="1_total_수원변경수량산출_설계내역서_화명조경_백화점화장실인테리어_1차 기성 내역서 0612023" xfId="681" xr:uid="{00000000-0005-0000-0000-0000AA020000}"/>
    <cellStyle name="1_total_수원변경수량산출_설계내역서_화명조경_백화점화장실인테리어_3차네고견적(061017-1)" xfId="682" xr:uid="{00000000-0005-0000-0000-0000AB020000}"/>
    <cellStyle name="1_total_수원변경수량산출_설계내역서1월7일" xfId="683" xr:uid="{00000000-0005-0000-0000-0000AC020000}"/>
    <cellStyle name="1_total_수원변경수량산출_설계내역서1월7일_1차 기성 내역서 0612023" xfId="684" xr:uid="{00000000-0005-0000-0000-0000AD020000}"/>
    <cellStyle name="1_total_수원변경수량산출_설계내역서1월7일_3차네고견적(061017-1)" xfId="685" xr:uid="{00000000-0005-0000-0000-0000AE020000}"/>
    <cellStyle name="1_total_수원변경수량산출_설계내역서1월7일_백화점화장실인테리어" xfId="686" xr:uid="{00000000-0005-0000-0000-0000AF020000}"/>
    <cellStyle name="1_total_수원변경수량산출_설계내역서1월7일_백화점화장실인테리어_1차 기성 내역서 0612023" xfId="687" xr:uid="{00000000-0005-0000-0000-0000B0020000}"/>
    <cellStyle name="1_total_수원변경수량산출_설계내역서1월7일_백화점화장실인테리어_3차네고견적(061017-1)" xfId="688" xr:uid="{00000000-0005-0000-0000-0000B1020000}"/>
    <cellStyle name="1_total_수원변경수량산출_설계내역서1월7일_화명조경" xfId="689" xr:uid="{00000000-0005-0000-0000-0000B2020000}"/>
    <cellStyle name="1_total_수원변경수량산출_설계내역서1월7일_화명조경_1차 기성 내역서 0612023" xfId="690" xr:uid="{00000000-0005-0000-0000-0000B3020000}"/>
    <cellStyle name="1_total_수원변경수량산출_설계내역서1월7일_화명조경_3차네고견적(061017-1)" xfId="691" xr:uid="{00000000-0005-0000-0000-0000B4020000}"/>
    <cellStyle name="1_total_수원변경수량산출_설계내역서1월7일_화명조경_백화점화장실인테리어" xfId="692" xr:uid="{00000000-0005-0000-0000-0000B5020000}"/>
    <cellStyle name="1_total_수원변경수량산출_설계내역서1월7일_화명조경_백화점화장실인테리어_1차 기성 내역서 0612023" xfId="693" xr:uid="{00000000-0005-0000-0000-0000B6020000}"/>
    <cellStyle name="1_total_수원변경수량산출_설계내역서1월7일_화명조경_백화점화장실인테리어_3차네고견적(061017-1)" xfId="694" xr:uid="{00000000-0005-0000-0000-0000B7020000}"/>
    <cellStyle name="1_total_수원변경수량산출_화명조경" xfId="695" xr:uid="{00000000-0005-0000-0000-0000B8020000}"/>
    <cellStyle name="1_total_수원변경수량산출_화명조경_1차 기성 내역서 0612023" xfId="696" xr:uid="{00000000-0005-0000-0000-0000B9020000}"/>
    <cellStyle name="1_total_수원변경수량산출_화명조경_3차네고견적(061017-1)" xfId="697" xr:uid="{00000000-0005-0000-0000-0000BA020000}"/>
    <cellStyle name="1_total_수원변경수량산출_화명조경_백화점화장실인테리어" xfId="698" xr:uid="{00000000-0005-0000-0000-0000BB020000}"/>
    <cellStyle name="1_total_수원변경수량산출_화명조경_백화점화장실인테리어_1차 기성 내역서 0612023" xfId="699" xr:uid="{00000000-0005-0000-0000-0000BC020000}"/>
    <cellStyle name="1_total_수원변경수량산출_화명조경_백화점화장실인테리어_3차네고견적(061017-1)" xfId="700" xr:uid="{00000000-0005-0000-0000-0000BD020000}"/>
    <cellStyle name="1_total_쌍용수량0905" xfId="701" xr:uid="{00000000-0005-0000-0000-0000BE020000}"/>
    <cellStyle name="1_total_쌍용수량0905_1차 기성 내역서 0612023" xfId="702" xr:uid="{00000000-0005-0000-0000-0000BF020000}"/>
    <cellStyle name="1_total_쌍용수량0905_3차네고견적(061017-1)" xfId="703" xr:uid="{00000000-0005-0000-0000-0000C0020000}"/>
    <cellStyle name="1_total_쌍용수량0905_백화점화장실인테리어" xfId="704" xr:uid="{00000000-0005-0000-0000-0000C1020000}"/>
    <cellStyle name="1_total_쌍용수량0905_백화점화장실인테리어_1차 기성 내역서 0612023" xfId="705" xr:uid="{00000000-0005-0000-0000-0000C2020000}"/>
    <cellStyle name="1_total_쌍용수량0905_백화점화장실인테리어_3차네고견적(061017-1)" xfId="706" xr:uid="{00000000-0005-0000-0000-0000C3020000}"/>
    <cellStyle name="1_total_쌍용수량0905_설계내역서" xfId="707" xr:uid="{00000000-0005-0000-0000-0000C4020000}"/>
    <cellStyle name="1_total_쌍용수량0905_설계내역서_1차 기성 내역서 0612023" xfId="708" xr:uid="{00000000-0005-0000-0000-0000C5020000}"/>
    <cellStyle name="1_total_쌍용수량0905_설계내역서_3차네고견적(061017-1)" xfId="709" xr:uid="{00000000-0005-0000-0000-0000C6020000}"/>
    <cellStyle name="1_total_쌍용수량0905_설계내역서_백화점화장실인테리어" xfId="710" xr:uid="{00000000-0005-0000-0000-0000C7020000}"/>
    <cellStyle name="1_total_쌍용수량0905_설계내역서_백화점화장실인테리어_1차 기성 내역서 0612023" xfId="711" xr:uid="{00000000-0005-0000-0000-0000C8020000}"/>
    <cellStyle name="1_total_쌍용수량0905_설계내역서_백화점화장실인테리어_3차네고견적(061017-1)" xfId="712" xr:uid="{00000000-0005-0000-0000-0000C9020000}"/>
    <cellStyle name="1_total_쌍용수량0905_설계내역서_화명조경" xfId="713" xr:uid="{00000000-0005-0000-0000-0000CA020000}"/>
    <cellStyle name="1_total_쌍용수량0905_설계내역서_화명조경_1차 기성 내역서 0612023" xfId="714" xr:uid="{00000000-0005-0000-0000-0000CB020000}"/>
    <cellStyle name="1_total_쌍용수량0905_설계내역서_화명조경_3차네고견적(061017-1)" xfId="715" xr:uid="{00000000-0005-0000-0000-0000CC020000}"/>
    <cellStyle name="1_total_쌍용수량0905_설계내역서_화명조경_백화점화장실인테리어" xfId="716" xr:uid="{00000000-0005-0000-0000-0000CD020000}"/>
    <cellStyle name="1_total_쌍용수량0905_설계내역서_화명조경_백화점화장실인테리어_1차 기성 내역서 0612023" xfId="717" xr:uid="{00000000-0005-0000-0000-0000CE020000}"/>
    <cellStyle name="1_total_쌍용수량0905_설계내역서_화명조경_백화점화장실인테리어_3차네고견적(061017-1)" xfId="718" xr:uid="{00000000-0005-0000-0000-0000CF020000}"/>
    <cellStyle name="1_total_쌍용수량0905_설계내역서1월7일" xfId="719" xr:uid="{00000000-0005-0000-0000-0000D0020000}"/>
    <cellStyle name="1_total_쌍용수량0905_설계내역서1월7일_1차 기성 내역서 0612023" xfId="720" xr:uid="{00000000-0005-0000-0000-0000D1020000}"/>
    <cellStyle name="1_total_쌍용수량0905_설계내역서1월7일_3차네고견적(061017-1)" xfId="721" xr:uid="{00000000-0005-0000-0000-0000D2020000}"/>
    <cellStyle name="1_total_쌍용수량0905_설계내역서1월7일_백화점화장실인테리어" xfId="722" xr:uid="{00000000-0005-0000-0000-0000D3020000}"/>
    <cellStyle name="1_total_쌍용수량0905_설계내역서1월7일_백화점화장실인테리어_1차 기성 내역서 0612023" xfId="723" xr:uid="{00000000-0005-0000-0000-0000D4020000}"/>
    <cellStyle name="1_total_쌍용수량0905_설계내역서1월7일_백화점화장실인테리어_3차네고견적(061017-1)" xfId="724" xr:uid="{00000000-0005-0000-0000-0000D5020000}"/>
    <cellStyle name="1_total_쌍용수량0905_설계내역서1월7일_화명조경" xfId="725" xr:uid="{00000000-0005-0000-0000-0000D6020000}"/>
    <cellStyle name="1_total_쌍용수량0905_설계내역서1월7일_화명조경_1차 기성 내역서 0612023" xfId="726" xr:uid="{00000000-0005-0000-0000-0000D7020000}"/>
    <cellStyle name="1_total_쌍용수량0905_설계내역서1월7일_화명조경_3차네고견적(061017-1)" xfId="727" xr:uid="{00000000-0005-0000-0000-0000D8020000}"/>
    <cellStyle name="1_total_쌍용수량0905_설계내역서1월7일_화명조경_백화점화장실인테리어" xfId="728" xr:uid="{00000000-0005-0000-0000-0000D9020000}"/>
    <cellStyle name="1_total_쌍용수량0905_설계내역서1월7일_화명조경_백화점화장실인테리어_1차 기성 내역서 0612023" xfId="729" xr:uid="{00000000-0005-0000-0000-0000DA020000}"/>
    <cellStyle name="1_total_쌍용수량0905_설계내역서1월7일_화명조경_백화점화장실인테리어_3차네고견적(061017-1)" xfId="730" xr:uid="{00000000-0005-0000-0000-0000DB020000}"/>
    <cellStyle name="1_total_쌍용수량0905_화명조경" xfId="731" xr:uid="{00000000-0005-0000-0000-0000DC020000}"/>
    <cellStyle name="1_total_쌍용수량0905_화명조경_1차 기성 내역서 0612023" xfId="732" xr:uid="{00000000-0005-0000-0000-0000DD020000}"/>
    <cellStyle name="1_total_쌍용수량0905_화명조경_3차네고견적(061017-1)" xfId="733" xr:uid="{00000000-0005-0000-0000-0000DE020000}"/>
    <cellStyle name="1_total_쌍용수량0905_화명조경_백화점화장실인테리어" xfId="734" xr:uid="{00000000-0005-0000-0000-0000DF020000}"/>
    <cellStyle name="1_total_쌍용수량0905_화명조경_백화점화장실인테리어_1차 기성 내역서 0612023" xfId="735" xr:uid="{00000000-0005-0000-0000-0000E0020000}"/>
    <cellStyle name="1_total_쌍용수량0905_화명조경_백화점화장실인테리어_3차네고견적(061017-1)" xfId="736" xr:uid="{00000000-0005-0000-0000-0000E1020000}"/>
    <cellStyle name="1_total_은파수량집계" xfId="737" xr:uid="{00000000-0005-0000-0000-0000E2020000}"/>
    <cellStyle name="1_total_은파수량집계_1차 기성 내역서 0612023" xfId="738" xr:uid="{00000000-0005-0000-0000-0000E3020000}"/>
    <cellStyle name="1_total_은파수량집계_3차네고견적(061017-1)" xfId="739" xr:uid="{00000000-0005-0000-0000-0000E4020000}"/>
    <cellStyle name="1_total_은파수량집계_백화점화장실인테리어" xfId="740" xr:uid="{00000000-0005-0000-0000-0000E5020000}"/>
    <cellStyle name="1_total_은파수량집계_백화점화장실인테리어_1차 기성 내역서 0612023" xfId="741" xr:uid="{00000000-0005-0000-0000-0000E6020000}"/>
    <cellStyle name="1_total_은파수량집계_백화점화장실인테리어_3차네고견적(061017-1)" xfId="742" xr:uid="{00000000-0005-0000-0000-0000E7020000}"/>
    <cellStyle name="1_total_은파수량집계_설계내역서" xfId="743" xr:uid="{00000000-0005-0000-0000-0000E8020000}"/>
    <cellStyle name="1_total_은파수량집계_설계내역서_1차 기성 내역서 0612023" xfId="744" xr:uid="{00000000-0005-0000-0000-0000E9020000}"/>
    <cellStyle name="1_total_은파수량집계_설계내역서_3차네고견적(061017-1)" xfId="745" xr:uid="{00000000-0005-0000-0000-0000EA020000}"/>
    <cellStyle name="1_total_은파수량집계_설계내역서_백화점화장실인테리어" xfId="746" xr:uid="{00000000-0005-0000-0000-0000EB020000}"/>
    <cellStyle name="1_total_은파수량집계_설계내역서_백화점화장실인테리어_1차 기성 내역서 0612023" xfId="747" xr:uid="{00000000-0005-0000-0000-0000EC020000}"/>
    <cellStyle name="1_total_은파수량집계_설계내역서_백화점화장실인테리어_3차네고견적(061017-1)" xfId="748" xr:uid="{00000000-0005-0000-0000-0000ED020000}"/>
    <cellStyle name="1_total_은파수량집계_설계내역서_화명조경" xfId="749" xr:uid="{00000000-0005-0000-0000-0000EE020000}"/>
    <cellStyle name="1_total_은파수량집계_설계내역서_화명조경_1차 기성 내역서 0612023" xfId="750" xr:uid="{00000000-0005-0000-0000-0000EF020000}"/>
    <cellStyle name="1_total_은파수량집계_설계내역서_화명조경_3차네고견적(061017-1)" xfId="751" xr:uid="{00000000-0005-0000-0000-0000F0020000}"/>
    <cellStyle name="1_total_은파수량집계_설계내역서_화명조경_백화점화장실인테리어" xfId="752" xr:uid="{00000000-0005-0000-0000-0000F1020000}"/>
    <cellStyle name="1_total_은파수량집계_설계내역서_화명조경_백화점화장실인테리어_1차 기성 내역서 0612023" xfId="753" xr:uid="{00000000-0005-0000-0000-0000F2020000}"/>
    <cellStyle name="1_total_은파수량집계_설계내역서_화명조경_백화점화장실인테리어_3차네고견적(061017-1)" xfId="754" xr:uid="{00000000-0005-0000-0000-0000F3020000}"/>
    <cellStyle name="1_total_은파수량집계_설계내역서1월7일" xfId="755" xr:uid="{00000000-0005-0000-0000-0000F4020000}"/>
    <cellStyle name="1_total_은파수량집계_설계내역서1월7일_1차 기성 내역서 0612023" xfId="756" xr:uid="{00000000-0005-0000-0000-0000F5020000}"/>
    <cellStyle name="1_total_은파수량집계_설계내역서1월7일_3차네고견적(061017-1)" xfId="757" xr:uid="{00000000-0005-0000-0000-0000F6020000}"/>
    <cellStyle name="1_total_은파수량집계_설계내역서1월7일_백화점화장실인테리어" xfId="758" xr:uid="{00000000-0005-0000-0000-0000F7020000}"/>
    <cellStyle name="1_total_은파수량집계_설계내역서1월7일_백화점화장실인테리어_1차 기성 내역서 0612023" xfId="759" xr:uid="{00000000-0005-0000-0000-0000F8020000}"/>
    <cellStyle name="1_total_은파수량집계_설계내역서1월7일_백화점화장실인테리어_3차네고견적(061017-1)" xfId="760" xr:uid="{00000000-0005-0000-0000-0000F9020000}"/>
    <cellStyle name="1_total_은파수량집계_설계내역서1월7일_화명조경" xfId="761" xr:uid="{00000000-0005-0000-0000-0000FA020000}"/>
    <cellStyle name="1_total_은파수량집계_설계내역서1월7일_화명조경_1차 기성 내역서 0612023" xfId="762" xr:uid="{00000000-0005-0000-0000-0000FB020000}"/>
    <cellStyle name="1_total_은파수량집계_설계내역서1월7일_화명조경_3차네고견적(061017-1)" xfId="763" xr:uid="{00000000-0005-0000-0000-0000FC020000}"/>
    <cellStyle name="1_total_은파수량집계_설계내역서1월7일_화명조경_백화점화장실인테리어" xfId="764" xr:uid="{00000000-0005-0000-0000-0000FD020000}"/>
    <cellStyle name="1_total_은파수량집계_설계내역서1월7일_화명조경_백화점화장실인테리어_1차 기성 내역서 0612023" xfId="765" xr:uid="{00000000-0005-0000-0000-0000FE020000}"/>
    <cellStyle name="1_total_은파수량집계_설계내역서1월7일_화명조경_백화점화장실인테리어_3차네고견적(061017-1)" xfId="766" xr:uid="{00000000-0005-0000-0000-0000FF020000}"/>
    <cellStyle name="1_total_은파수량집계_화명조경" xfId="767" xr:uid="{00000000-0005-0000-0000-000000030000}"/>
    <cellStyle name="1_total_은파수량집계_화명조경_1차 기성 내역서 0612023" xfId="768" xr:uid="{00000000-0005-0000-0000-000001030000}"/>
    <cellStyle name="1_total_은파수량집계_화명조경_3차네고견적(061017-1)" xfId="769" xr:uid="{00000000-0005-0000-0000-000002030000}"/>
    <cellStyle name="1_total_은파수량집계_화명조경_백화점화장실인테리어" xfId="770" xr:uid="{00000000-0005-0000-0000-000003030000}"/>
    <cellStyle name="1_total_은파수량집계_화명조경_백화점화장실인테리어_1차 기성 내역서 0612023" xfId="771" xr:uid="{00000000-0005-0000-0000-000004030000}"/>
    <cellStyle name="1_total_은파수량집계_화명조경_백화점화장실인테리어_3차네고견적(061017-1)" xfId="772" xr:uid="{00000000-0005-0000-0000-000005030000}"/>
    <cellStyle name="1_total_터미널1-0" xfId="773" xr:uid="{00000000-0005-0000-0000-000006030000}"/>
    <cellStyle name="1_total_터미널1-0_1차 기성 내역서 0612023" xfId="774" xr:uid="{00000000-0005-0000-0000-000007030000}"/>
    <cellStyle name="1_total_터미널1-0_3차네고견적(061017-1)" xfId="775" xr:uid="{00000000-0005-0000-0000-000008030000}"/>
    <cellStyle name="1_total_터미널1-0_백화점화장실인테리어" xfId="776" xr:uid="{00000000-0005-0000-0000-000009030000}"/>
    <cellStyle name="1_total_터미널1-0_백화점화장실인테리어_1차 기성 내역서 0612023" xfId="777" xr:uid="{00000000-0005-0000-0000-00000A030000}"/>
    <cellStyle name="1_total_터미널1-0_백화점화장실인테리어_3차네고견적(061017-1)" xfId="778" xr:uid="{00000000-0005-0000-0000-00000B030000}"/>
    <cellStyle name="1_total_터미널1-0_화명조경" xfId="779" xr:uid="{00000000-0005-0000-0000-00000C030000}"/>
    <cellStyle name="1_total_터미널1-0_화명조경_1차 기성 내역서 0612023" xfId="780" xr:uid="{00000000-0005-0000-0000-00000D030000}"/>
    <cellStyle name="1_total_터미널1-0_화명조경_3차네고견적(061017-1)" xfId="781" xr:uid="{00000000-0005-0000-0000-00000E030000}"/>
    <cellStyle name="1_total_터미널1-0_화명조경_백화점화장실인테리어" xfId="782" xr:uid="{00000000-0005-0000-0000-00000F030000}"/>
    <cellStyle name="1_total_터미널1-0_화명조경_백화점화장실인테리어_1차 기성 내역서 0612023" xfId="783" xr:uid="{00000000-0005-0000-0000-000010030000}"/>
    <cellStyle name="1_total_터미널1-0_화명조경_백화점화장실인테리어_3차네고견적(061017-1)" xfId="784" xr:uid="{00000000-0005-0000-0000-000011030000}"/>
    <cellStyle name="1_total_화명조경" xfId="785" xr:uid="{00000000-0005-0000-0000-000012030000}"/>
    <cellStyle name="1_total_화명조경_1차 기성 내역서 0612023" xfId="786" xr:uid="{00000000-0005-0000-0000-000013030000}"/>
    <cellStyle name="1_total_화명조경_3차네고견적(061017-1)" xfId="787" xr:uid="{00000000-0005-0000-0000-000014030000}"/>
    <cellStyle name="1_total_화명조경_백화점화장실인테리어" xfId="788" xr:uid="{00000000-0005-0000-0000-000015030000}"/>
    <cellStyle name="1_total_화명조경_백화점화장실인테리어_1차 기성 내역서 0612023" xfId="789" xr:uid="{00000000-0005-0000-0000-000016030000}"/>
    <cellStyle name="1_total_화명조경_백화점화장실인테리어_3차네고견적(061017-1)" xfId="790" xr:uid="{00000000-0005-0000-0000-000017030000}"/>
    <cellStyle name="1_total_Sheet1" xfId="479" xr:uid="{00000000-0005-0000-0000-0000E0010000}"/>
    <cellStyle name="1_total_Sheet1_1차 기성 내역서 0612023" xfId="480" xr:uid="{00000000-0005-0000-0000-0000E1010000}"/>
    <cellStyle name="1_total_Sheet1_3차네고견적(061017-1)" xfId="481" xr:uid="{00000000-0005-0000-0000-0000E2010000}"/>
    <cellStyle name="1_tree" xfId="791" xr:uid="{00000000-0005-0000-0000-000018030000}"/>
    <cellStyle name="1_tree_1차 기성 내역서 0612023" xfId="792" xr:uid="{00000000-0005-0000-0000-000019030000}"/>
    <cellStyle name="1_tree_3차네고견적(061017-1)" xfId="793" xr:uid="{00000000-0005-0000-0000-00001A030000}"/>
    <cellStyle name="1_tree_갑지0601" xfId="797" xr:uid="{00000000-0005-0000-0000-00001E030000}"/>
    <cellStyle name="1_tree_갑지0601_00갑지" xfId="798" xr:uid="{00000000-0005-0000-0000-00001F030000}"/>
    <cellStyle name="1_tree_갑지0601_00갑지_1차 기성 내역서 0612023" xfId="799" xr:uid="{00000000-0005-0000-0000-000020030000}"/>
    <cellStyle name="1_tree_갑지0601_00갑지_3차네고견적(061017-1)" xfId="800" xr:uid="{00000000-0005-0000-0000-000021030000}"/>
    <cellStyle name="1_tree_갑지0601_00갑지_백화점화장실인테리어" xfId="801" xr:uid="{00000000-0005-0000-0000-000022030000}"/>
    <cellStyle name="1_tree_갑지0601_00갑지_백화점화장실인테리어_1차 기성 내역서 0612023" xfId="802" xr:uid="{00000000-0005-0000-0000-000023030000}"/>
    <cellStyle name="1_tree_갑지0601_00갑지_백화점화장실인테리어_3차네고견적(061017-1)" xfId="803" xr:uid="{00000000-0005-0000-0000-000024030000}"/>
    <cellStyle name="1_tree_갑지0601_00갑지_설계내역서" xfId="804" xr:uid="{00000000-0005-0000-0000-000025030000}"/>
    <cellStyle name="1_tree_갑지0601_00갑지_설계내역서_1차 기성 내역서 0612023" xfId="805" xr:uid="{00000000-0005-0000-0000-000026030000}"/>
    <cellStyle name="1_tree_갑지0601_00갑지_설계내역서_3차네고견적(061017-1)" xfId="806" xr:uid="{00000000-0005-0000-0000-000027030000}"/>
    <cellStyle name="1_tree_갑지0601_00갑지_설계내역서_백화점화장실인테리어" xfId="807" xr:uid="{00000000-0005-0000-0000-000028030000}"/>
    <cellStyle name="1_tree_갑지0601_00갑지_설계내역서_백화점화장실인테리어_1차 기성 내역서 0612023" xfId="808" xr:uid="{00000000-0005-0000-0000-000029030000}"/>
    <cellStyle name="1_tree_갑지0601_00갑지_설계내역서_백화점화장실인테리어_3차네고견적(061017-1)" xfId="809" xr:uid="{00000000-0005-0000-0000-00002A030000}"/>
    <cellStyle name="1_tree_갑지0601_00갑지_설계내역서_화명조경" xfId="810" xr:uid="{00000000-0005-0000-0000-00002B030000}"/>
    <cellStyle name="1_tree_갑지0601_00갑지_설계내역서_화명조경_1차 기성 내역서 0612023" xfId="811" xr:uid="{00000000-0005-0000-0000-00002C030000}"/>
    <cellStyle name="1_tree_갑지0601_00갑지_설계내역서_화명조경_3차네고견적(061017-1)" xfId="812" xr:uid="{00000000-0005-0000-0000-00002D030000}"/>
    <cellStyle name="1_tree_갑지0601_00갑지_설계내역서_화명조경_백화점화장실인테리어" xfId="813" xr:uid="{00000000-0005-0000-0000-00002E030000}"/>
    <cellStyle name="1_tree_갑지0601_00갑지_설계내역서_화명조경_백화점화장실인테리어_1차 기성 내역서 0612023" xfId="814" xr:uid="{00000000-0005-0000-0000-00002F030000}"/>
    <cellStyle name="1_tree_갑지0601_00갑지_설계내역서_화명조경_백화점화장실인테리어_3차네고견적(061017-1)" xfId="815" xr:uid="{00000000-0005-0000-0000-000030030000}"/>
    <cellStyle name="1_tree_갑지0601_00갑지_설계내역서1월7일" xfId="816" xr:uid="{00000000-0005-0000-0000-000031030000}"/>
    <cellStyle name="1_tree_갑지0601_00갑지_설계내역서1월7일_1차 기성 내역서 0612023" xfId="817" xr:uid="{00000000-0005-0000-0000-000032030000}"/>
    <cellStyle name="1_tree_갑지0601_00갑지_설계내역서1월7일_3차네고견적(061017-1)" xfId="818" xr:uid="{00000000-0005-0000-0000-000033030000}"/>
    <cellStyle name="1_tree_갑지0601_00갑지_설계내역서1월7일_백화점화장실인테리어" xfId="819" xr:uid="{00000000-0005-0000-0000-000034030000}"/>
    <cellStyle name="1_tree_갑지0601_00갑지_설계내역서1월7일_백화점화장실인테리어_1차 기성 내역서 0612023" xfId="820" xr:uid="{00000000-0005-0000-0000-000035030000}"/>
    <cellStyle name="1_tree_갑지0601_00갑지_설계내역서1월7일_백화점화장실인테리어_3차네고견적(061017-1)" xfId="821" xr:uid="{00000000-0005-0000-0000-000036030000}"/>
    <cellStyle name="1_tree_갑지0601_00갑지_설계내역서1월7일_화명조경" xfId="822" xr:uid="{00000000-0005-0000-0000-000037030000}"/>
    <cellStyle name="1_tree_갑지0601_00갑지_설계내역서1월7일_화명조경_1차 기성 내역서 0612023" xfId="823" xr:uid="{00000000-0005-0000-0000-000038030000}"/>
    <cellStyle name="1_tree_갑지0601_00갑지_설계내역서1월7일_화명조경_3차네고견적(061017-1)" xfId="824" xr:uid="{00000000-0005-0000-0000-000039030000}"/>
    <cellStyle name="1_tree_갑지0601_00갑지_설계내역서1월7일_화명조경_백화점화장실인테리어" xfId="825" xr:uid="{00000000-0005-0000-0000-00003A030000}"/>
    <cellStyle name="1_tree_갑지0601_00갑지_설계내역서1월7일_화명조경_백화점화장실인테리어_1차 기성 내역서 0612023" xfId="826" xr:uid="{00000000-0005-0000-0000-00003B030000}"/>
    <cellStyle name="1_tree_갑지0601_00갑지_설계내역서1월7일_화명조경_백화점화장실인테리어_3차네고견적(061017-1)" xfId="827" xr:uid="{00000000-0005-0000-0000-00003C030000}"/>
    <cellStyle name="1_tree_갑지0601_00갑지_화명조경" xfId="828" xr:uid="{00000000-0005-0000-0000-00003D030000}"/>
    <cellStyle name="1_tree_갑지0601_00갑지_화명조경_1차 기성 내역서 0612023" xfId="829" xr:uid="{00000000-0005-0000-0000-00003E030000}"/>
    <cellStyle name="1_tree_갑지0601_00갑지_화명조경_3차네고견적(061017-1)" xfId="830" xr:uid="{00000000-0005-0000-0000-00003F030000}"/>
    <cellStyle name="1_tree_갑지0601_00갑지_화명조경_백화점화장실인테리어" xfId="831" xr:uid="{00000000-0005-0000-0000-000040030000}"/>
    <cellStyle name="1_tree_갑지0601_00갑지_화명조경_백화점화장실인테리어_1차 기성 내역서 0612023" xfId="832" xr:uid="{00000000-0005-0000-0000-000041030000}"/>
    <cellStyle name="1_tree_갑지0601_00갑지_화명조경_백화점화장실인테리어_3차네고견적(061017-1)" xfId="833" xr:uid="{00000000-0005-0000-0000-000042030000}"/>
    <cellStyle name="1_tree_갑지0601_1차 기성 내역서 0612023" xfId="834" xr:uid="{00000000-0005-0000-0000-000043030000}"/>
    <cellStyle name="1_tree_갑지0601_3차네고견적(061017-1)" xfId="835" xr:uid="{00000000-0005-0000-0000-000044030000}"/>
    <cellStyle name="1_tree_갑지0601_과천놀이터설계서" xfId="836" xr:uid="{00000000-0005-0000-0000-000045030000}"/>
    <cellStyle name="1_tree_갑지0601_과천놀이터설계서_1차 기성 내역서 0612023" xfId="837" xr:uid="{00000000-0005-0000-0000-000046030000}"/>
    <cellStyle name="1_tree_갑지0601_과천놀이터설계서_3차네고견적(061017-1)" xfId="838" xr:uid="{00000000-0005-0000-0000-000047030000}"/>
    <cellStyle name="1_tree_갑지0601_과천놀이터설계서_백화점화장실인테리어" xfId="839" xr:uid="{00000000-0005-0000-0000-000048030000}"/>
    <cellStyle name="1_tree_갑지0601_과천놀이터설계서_백화점화장실인테리어_1차 기성 내역서 0612023" xfId="840" xr:uid="{00000000-0005-0000-0000-000049030000}"/>
    <cellStyle name="1_tree_갑지0601_과천놀이터설계서_백화점화장실인테리어_3차네고견적(061017-1)" xfId="841" xr:uid="{00000000-0005-0000-0000-00004A030000}"/>
    <cellStyle name="1_tree_갑지0601_과천놀이터설계서_설계내역서" xfId="842" xr:uid="{00000000-0005-0000-0000-00004B030000}"/>
    <cellStyle name="1_tree_갑지0601_과천놀이터설계서_설계내역서_1차 기성 내역서 0612023" xfId="843" xr:uid="{00000000-0005-0000-0000-00004C030000}"/>
    <cellStyle name="1_tree_갑지0601_과천놀이터설계서_설계내역서_3차네고견적(061017-1)" xfId="844" xr:uid="{00000000-0005-0000-0000-00004D030000}"/>
    <cellStyle name="1_tree_갑지0601_과천놀이터설계서_설계내역서_백화점화장실인테리어" xfId="845" xr:uid="{00000000-0005-0000-0000-00004E030000}"/>
    <cellStyle name="1_tree_갑지0601_과천놀이터설계서_설계내역서_백화점화장실인테리어_1차 기성 내역서 0612023" xfId="846" xr:uid="{00000000-0005-0000-0000-00004F030000}"/>
    <cellStyle name="1_tree_갑지0601_과천놀이터설계서_설계내역서_백화점화장실인테리어_3차네고견적(061017-1)" xfId="847" xr:uid="{00000000-0005-0000-0000-000050030000}"/>
    <cellStyle name="1_tree_갑지0601_과천놀이터설계서_설계내역서_화명조경" xfId="848" xr:uid="{00000000-0005-0000-0000-000051030000}"/>
    <cellStyle name="1_tree_갑지0601_과천놀이터설계서_설계내역서_화명조경_1차 기성 내역서 0612023" xfId="849" xr:uid="{00000000-0005-0000-0000-000052030000}"/>
    <cellStyle name="1_tree_갑지0601_과천놀이터설계서_설계내역서_화명조경_3차네고견적(061017-1)" xfId="850" xr:uid="{00000000-0005-0000-0000-000053030000}"/>
    <cellStyle name="1_tree_갑지0601_과천놀이터설계서_설계내역서_화명조경_백화점화장실인테리어" xfId="851" xr:uid="{00000000-0005-0000-0000-000054030000}"/>
    <cellStyle name="1_tree_갑지0601_과천놀이터설계서_설계내역서_화명조경_백화점화장실인테리어_1차 기성 내역서 0612023" xfId="852" xr:uid="{00000000-0005-0000-0000-000055030000}"/>
    <cellStyle name="1_tree_갑지0601_과천놀이터설계서_설계내역서_화명조경_백화점화장실인테리어_3차네고견적(061017-1)" xfId="853" xr:uid="{00000000-0005-0000-0000-000056030000}"/>
    <cellStyle name="1_tree_갑지0601_과천놀이터설계서_설계내역서1월7일" xfId="854" xr:uid="{00000000-0005-0000-0000-000057030000}"/>
    <cellStyle name="1_tree_갑지0601_과천놀이터설계서_설계내역서1월7일_1차 기성 내역서 0612023" xfId="855" xr:uid="{00000000-0005-0000-0000-000058030000}"/>
    <cellStyle name="1_tree_갑지0601_과천놀이터설계서_설계내역서1월7일_3차네고견적(061017-1)" xfId="856" xr:uid="{00000000-0005-0000-0000-000059030000}"/>
    <cellStyle name="1_tree_갑지0601_과천놀이터설계서_설계내역서1월7일_백화점화장실인테리어" xfId="857" xr:uid="{00000000-0005-0000-0000-00005A030000}"/>
    <cellStyle name="1_tree_갑지0601_과천놀이터설계서_설계내역서1월7일_백화점화장실인테리어_1차 기성 내역서 0612023" xfId="858" xr:uid="{00000000-0005-0000-0000-00005B030000}"/>
    <cellStyle name="1_tree_갑지0601_과천놀이터설계서_설계내역서1월7일_백화점화장실인테리어_3차네고견적(061017-1)" xfId="859" xr:uid="{00000000-0005-0000-0000-00005C030000}"/>
    <cellStyle name="1_tree_갑지0601_과천놀이터설계서_설계내역서1월7일_화명조경" xfId="860" xr:uid="{00000000-0005-0000-0000-00005D030000}"/>
    <cellStyle name="1_tree_갑지0601_과천놀이터설계서_설계내역서1월7일_화명조경_1차 기성 내역서 0612023" xfId="861" xr:uid="{00000000-0005-0000-0000-00005E030000}"/>
    <cellStyle name="1_tree_갑지0601_과천놀이터설계서_설계내역서1월7일_화명조경_3차네고견적(061017-1)" xfId="862" xr:uid="{00000000-0005-0000-0000-00005F030000}"/>
    <cellStyle name="1_tree_갑지0601_과천놀이터설계서_설계내역서1월7일_화명조경_백화점화장실인테리어" xfId="863" xr:uid="{00000000-0005-0000-0000-000060030000}"/>
    <cellStyle name="1_tree_갑지0601_과천놀이터설계서_설계내역서1월7일_화명조경_백화점화장실인테리어_1차 기성 내역서 0612023" xfId="864" xr:uid="{00000000-0005-0000-0000-000061030000}"/>
    <cellStyle name="1_tree_갑지0601_과천놀이터설계서_설계내역서1월7일_화명조경_백화점화장실인테리어_3차네고견적(061017-1)" xfId="865" xr:uid="{00000000-0005-0000-0000-000062030000}"/>
    <cellStyle name="1_tree_갑지0601_과천놀이터설계서_화명조경" xfId="866" xr:uid="{00000000-0005-0000-0000-000063030000}"/>
    <cellStyle name="1_tree_갑지0601_과천놀이터설계서_화명조경_1차 기성 내역서 0612023" xfId="867" xr:uid="{00000000-0005-0000-0000-000064030000}"/>
    <cellStyle name="1_tree_갑지0601_과천놀이터설계서_화명조경_3차네고견적(061017-1)" xfId="868" xr:uid="{00000000-0005-0000-0000-000065030000}"/>
    <cellStyle name="1_tree_갑지0601_과천놀이터설계서_화명조경_백화점화장실인테리어" xfId="869" xr:uid="{00000000-0005-0000-0000-000066030000}"/>
    <cellStyle name="1_tree_갑지0601_과천놀이터설계서_화명조경_백화점화장실인테리어_1차 기성 내역서 0612023" xfId="870" xr:uid="{00000000-0005-0000-0000-000067030000}"/>
    <cellStyle name="1_tree_갑지0601_과천놀이터설계서_화명조경_백화점화장실인테리어_3차네고견적(061017-1)" xfId="871" xr:uid="{00000000-0005-0000-0000-000068030000}"/>
    <cellStyle name="1_tree_갑지0601_백화점화장실인테리어" xfId="872" xr:uid="{00000000-0005-0000-0000-000069030000}"/>
    <cellStyle name="1_tree_갑지0601_백화점화장실인테리어_1차 기성 내역서 0612023" xfId="873" xr:uid="{00000000-0005-0000-0000-00006A030000}"/>
    <cellStyle name="1_tree_갑지0601_백화점화장실인테리어_3차네고견적(061017-1)" xfId="874" xr:uid="{00000000-0005-0000-0000-00006B030000}"/>
    <cellStyle name="1_tree_갑지0601_총괄갑지" xfId="875" xr:uid="{00000000-0005-0000-0000-00006C030000}"/>
    <cellStyle name="1_tree_갑지0601_총괄갑지_1차 기성 내역서 0612023" xfId="876" xr:uid="{00000000-0005-0000-0000-00006D030000}"/>
    <cellStyle name="1_tree_갑지0601_총괄갑지_3차네고견적(061017-1)" xfId="877" xr:uid="{00000000-0005-0000-0000-00006E030000}"/>
    <cellStyle name="1_tree_갑지0601_총괄갑지_백화점화장실인테리어" xfId="878" xr:uid="{00000000-0005-0000-0000-00006F030000}"/>
    <cellStyle name="1_tree_갑지0601_총괄갑지_백화점화장실인테리어_1차 기성 내역서 0612023" xfId="879" xr:uid="{00000000-0005-0000-0000-000070030000}"/>
    <cellStyle name="1_tree_갑지0601_총괄갑지_백화점화장실인테리어_3차네고견적(061017-1)" xfId="880" xr:uid="{00000000-0005-0000-0000-000071030000}"/>
    <cellStyle name="1_tree_갑지0601_총괄갑지_설계내역서" xfId="881" xr:uid="{00000000-0005-0000-0000-000072030000}"/>
    <cellStyle name="1_tree_갑지0601_총괄갑지_설계내역서_1차 기성 내역서 0612023" xfId="882" xr:uid="{00000000-0005-0000-0000-000073030000}"/>
    <cellStyle name="1_tree_갑지0601_총괄갑지_설계내역서_3차네고견적(061017-1)" xfId="883" xr:uid="{00000000-0005-0000-0000-000074030000}"/>
    <cellStyle name="1_tree_갑지0601_총괄갑지_설계내역서_백화점화장실인테리어" xfId="884" xr:uid="{00000000-0005-0000-0000-000075030000}"/>
    <cellStyle name="1_tree_갑지0601_총괄갑지_설계내역서_백화점화장실인테리어_1차 기성 내역서 0612023" xfId="885" xr:uid="{00000000-0005-0000-0000-000076030000}"/>
    <cellStyle name="1_tree_갑지0601_총괄갑지_설계내역서_백화점화장실인테리어_3차네고견적(061017-1)" xfId="886" xr:uid="{00000000-0005-0000-0000-000077030000}"/>
    <cellStyle name="1_tree_갑지0601_총괄갑지_설계내역서_화명조경" xfId="887" xr:uid="{00000000-0005-0000-0000-000078030000}"/>
    <cellStyle name="1_tree_갑지0601_총괄갑지_설계내역서_화명조경_1차 기성 내역서 0612023" xfId="888" xr:uid="{00000000-0005-0000-0000-000079030000}"/>
    <cellStyle name="1_tree_갑지0601_총괄갑지_설계내역서_화명조경_3차네고견적(061017-1)" xfId="889" xr:uid="{00000000-0005-0000-0000-00007A030000}"/>
    <cellStyle name="1_tree_갑지0601_총괄갑지_설계내역서_화명조경_백화점화장실인테리어" xfId="890" xr:uid="{00000000-0005-0000-0000-00007B030000}"/>
    <cellStyle name="1_tree_갑지0601_총괄갑지_설계내역서_화명조경_백화점화장실인테리어_1차 기성 내역서 0612023" xfId="891" xr:uid="{00000000-0005-0000-0000-00007C030000}"/>
    <cellStyle name="1_tree_갑지0601_총괄갑지_설계내역서_화명조경_백화점화장실인테리어_3차네고견적(061017-1)" xfId="892" xr:uid="{00000000-0005-0000-0000-00007D030000}"/>
    <cellStyle name="1_tree_갑지0601_총괄갑지_설계내역서1월7일" xfId="893" xr:uid="{00000000-0005-0000-0000-00007E030000}"/>
    <cellStyle name="1_tree_갑지0601_총괄갑지_설계내역서1월7일_1차 기성 내역서 0612023" xfId="894" xr:uid="{00000000-0005-0000-0000-00007F030000}"/>
    <cellStyle name="1_tree_갑지0601_총괄갑지_설계내역서1월7일_3차네고견적(061017-1)" xfId="895" xr:uid="{00000000-0005-0000-0000-000080030000}"/>
    <cellStyle name="1_tree_갑지0601_총괄갑지_설계내역서1월7일_백화점화장실인테리어" xfId="896" xr:uid="{00000000-0005-0000-0000-000081030000}"/>
    <cellStyle name="1_tree_갑지0601_총괄갑지_설계내역서1월7일_백화점화장실인테리어_1차 기성 내역서 0612023" xfId="897" xr:uid="{00000000-0005-0000-0000-000082030000}"/>
    <cellStyle name="1_tree_갑지0601_총괄갑지_설계내역서1월7일_백화점화장실인테리어_3차네고견적(061017-1)" xfId="898" xr:uid="{00000000-0005-0000-0000-000083030000}"/>
    <cellStyle name="1_tree_갑지0601_총괄갑지_설계내역서1월7일_화명조경" xfId="899" xr:uid="{00000000-0005-0000-0000-000084030000}"/>
    <cellStyle name="1_tree_갑지0601_총괄갑지_설계내역서1월7일_화명조경_1차 기성 내역서 0612023" xfId="900" xr:uid="{00000000-0005-0000-0000-000085030000}"/>
    <cellStyle name="1_tree_갑지0601_총괄갑지_설계내역서1월7일_화명조경_3차네고견적(061017-1)" xfId="901" xr:uid="{00000000-0005-0000-0000-000086030000}"/>
    <cellStyle name="1_tree_갑지0601_총괄갑지_설계내역서1월7일_화명조경_백화점화장실인테리어" xfId="902" xr:uid="{00000000-0005-0000-0000-000087030000}"/>
    <cellStyle name="1_tree_갑지0601_총괄갑지_설계내역서1월7일_화명조경_백화점화장실인테리어_1차 기성 내역서 0612023" xfId="903" xr:uid="{00000000-0005-0000-0000-000088030000}"/>
    <cellStyle name="1_tree_갑지0601_총괄갑지_설계내역서1월7일_화명조경_백화점화장실인테리어_3차네고견적(061017-1)" xfId="904" xr:uid="{00000000-0005-0000-0000-000089030000}"/>
    <cellStyle name="1_tree_갑지0601_총괄갑지_화명조경" xfId="905" xr:uid="{00000000-0005-0000-0000-00008A030000}"/>
    <cellStyle name="1_tree_갑지0601_총괄갑지_화명조경_1차 기성 내역서 0612023" xfId="906" xr:uid="{00000000-0005-0000-0000-00008B030000}"/>
    <cellStyle name="1_tree_갑지0601_총괄갑지_화명조경_3차네고견적(061017-1)" xfId="907" xr:uid="{00000000-0005-0000-0000-00008C030000}"/>
    <cellStyle name="1_tree_갑지0601_총괄갑지_화명조경_백화점화장실인테리어" xfId="908" xr:uid="{00000000-0005-0000-0000-00008D030000}"/>
    <cellStyle name="1_tree_갑지0601_총괄갑지_화명조경_백화점화장실인테리어_1차 기성 내역서 0612023" xfId="909" xr:uid="{00000000-0005-0000-0000-00008E030000}"/>
    <cellStyle name="1_tree_갑지0601_총괄갑지_화명조경_백화점화장실인테리어_3차네고견적(061017-1)" xfId="910" xr:uid="{00000000-0005-0000-0000-00008F030000}"/>
    <cellStyle name="1_tree_갑지0601_총괄내역서" xfId="911" xr:uid="{00000000-0005-0000-0000-000090030000}"/>
    <cellStyle name="1_tree_갑지0601_총괄내역서_1차 기성 내역서 0612023" xfId="912" xr:uid="{00000000-0005-0000-0000-000091030000}"/>
    <cellStyle name="1_tree_갑지0601_총괄내역서_3차네고견적(061017-1)" xfId="913" xr:uid="{00000000-0005-0000-0000-000092030000}"/>
    <cellStyle name="1_tree_갑지0601_총괄내역서_백화점화장실인테리어" xfId="914" xr:uid="{00000000-0005-0000-0000-000093030000}"/>
    <cellStyle name="1_tree_갑지0601_총괄내역서_백화점화장실인테리어_1차 기성 내역서 0612023" xfId="915" xr:uid="{00000000-0005-0000-0000-000094030000}"/>
    <cellStyle name="1_tree_갑지0601_총괄내역서_백화점화장실인테리어_3차네고견적(061017-1)" xfId="916" xr:uid="{00000000-0005-0000-0000-000095030000}"/>
    <cellStyle name="1_tree_갑지0601_총괄내역서_설계내역서" xfId="917" xr:uid="{00000000-0005-0000-0000-000096030000}"/>
    <cellStyle name="1_tree_갑지0601_총괄내역서_설계내역서_1차 기성 내역서 0612023" xfId="918" xr:uid="{00000000-0005-0000-0000-000097030000}"/>
    <cellStyle name="1_tree_갑지0601_총괄내역서_설계내역서_3차네고견적(061017-1)" xfId="919" xr:uid="{00000000-0005-0000-0000-000098030000}"/>
    <cellStyle name="1_tree_갑지0601_총괄내역서_설계내역서_백화점화장실인테리어" xfId="920" xr:uid="{00000000-0005-0000-0000-000099030000}"/>
    <cellStyle name="1_tree_갑지0601_총괄내역서_설계내역서_백화점화장실인테리어_1차 기성 내역서 0612023" xfId="921" xr:uid="{00000000-0005-0000-0000-00009A030000}"/>
    <cellStyle name="1_tree_갑지0601_총괄내역서_설계내역서_백화점화장실인테리어_3차네고견적(061017-1)" xfId="922" xr:uid="{00000000-0005-0000-0000-00009B030000}"/>
    <cellStyle name="1_tree_갑지0601_총괄내역서_설계내역서_화명조경" xfId="923" xr:uid="{00000000-0005-0000-0000-00009C030000}"/>
    <cellStyle name="1_tree_갑지0601_총괄내역서_설계내역서_화명조경_1차 기성 내역서 0612023" xfId="924" xr:uid="{00000000-0005-0000-0000-00009D030000}"/>
    <cellStyle name="1_tree_갑지0601_총괄내역서_설계내역서_화명조경_3차네고견적(061017-1)" xfId="925" xr:uid="{00000000-0005-0000-0000-00009E030000}"/>
    <cellStyle name="1_tree_갑지0601_총괄내역서_설계내역서_화명조경_백화점화장실인테리어" xfId="926" xr:uid="{00000000-0005-0000-0000-00009F030000}"/>
    <cellStyle name="1_tree_갑지0601_총괄내역서_설계내역서_화명조경_백화점화장실인테리어_1차 기성 내역서 0612023" xfId="927" xr:uid="{00000000-0005-0000-0000-0000A0030000}"/>
    <cellStyle name="1_tree_갑지0601_총괄내역서_설계내역서_화명조경_백화점화장실인테리어_3차네고견적(061017-1)" xfId="928" xr:uid="{00000000-0005-0000-0000-0000A1030000}"/>
    <cellStyle name="1_tree_갑지0601_총괄내역서_설계내역서1월7일" xfId="929" xr:uid="{00000000-0005-0000-0000-0000A2030000}"/>
    <cellStyle name="1_tree_갑지0601_총괄내역서_설계내역서1월7일_1차 기성 내역서 0612023" xfId="930" xr:uid="{00000000-0005-0000-0000-0000A3030000}"/>
    <cellStyle name="1_tree_갑지0601_총괄내역서_설계내역서1월7일_3차네고견적(061017-1)" xfId="931" xr:uid="{00000000-0005-0000-0000-0000A4030000}"/>
    <cellStyle name="1_tree_갑지0601_총괄내역서_설계내역서1월7일_백화점화장실인테리어" xfId="932" xr:uid="{00000000-0005-0000-0000-0000A5030000}"/>
    <cellStyle name="1_tree_갑지0601_총괄내역서_설계내역서1월7일_백화점화장실인테리어_1차 기성 내역서 0612023" xfId="933" xr:uid="{00000000-0005-0000-0000-0000A6030000}"/>
    <cellStyle name="1_tree_갑지0601_총괄내역서_설계내역서1월7일_백화점화장실인테리어_3차네고견적(061017-1)" xfId="934" xr:uid="{00000000-0005-0000-0000-0000A7030000}"/>
    <cellStyle name="1_tree_갑지0601_총괄내역서_설계내역서1월7일_화명조경" xfId="935" xr:uid="{00000000-0005-0000-0000-0000A8030000}"/>
    <cellStyle name="1_tree_갑지0601_총괄내역서_설계내역서1월7일_화명조경_1차 기성 내역서 0612023" xfId="936" xr:uid="{00000000-0005-0000-0000-0000A9030000}"/>
    <cellStyle name="1_tree_갑지0601_총괄내역서_설계내역서1월7일_화명조경_3차네고견적(061017-1)" xfId="937" xr:uid="{00000000-0005-0000-0000-0000AA030000}"/>
    <cellStyle name="1_tree_갑지0601_총괄내역서_설계내역서1월7일_화명조경_백화점화장실인테리어" xfId="938" xr:uid="{00000000-0005-0000-0000-0000AB030000}"/>
    <cellStyle name="1_tree_갑지0601_총괄내역서_설계내역서1월7일_화명조경_백화점화장실인테리어_1차 기성 내역서 0612023" xfId="939" xr:uid="{00000000-0005-0000-0000-0000AC030000}"/>
    <cellStyle name="1_tree_갑지0601_총괄내역서_설계내역서1월7일_화명조경_백화점화장실인테리어_3차네고견적(061017-1)" xfId="940" xr:uid="{00000000-0005-0000-0000-0000AD030000}"/>
    <cellStyle name="1_tree_갑지0601_총괄내역서_화명조경" xfId="941" xr:uid="{00000000-0005-0000-0000-0000AE030000}"/>
    <cellStyle name="1_tree_갑지0601_총괄내역서_화명조경_1차 기성 내역서 0612023" xfId="942" xr:uid="{00000000-0005-0000-0000-0000AF030000}"/>
    <cellStyle name="1_tree_갑지0601_총괄내역서_화명조경_3차네고견적(061017-1)" xfId="943" xr:uid="{00000000-0005-0000-0000-0000B0030000}"/>
    <cellStyle name="1_tree_갑지0601_총괄내역서_화명조경_백화점화장실인테리어" xfId="944" xr:uid="{00000000-0005-0000-0000-0000B1030000}"/>
    <cellStyle name="1_tree_갑지0601_총괄내역서_화명조경_백화점화장실인테리어_1차 기성 내역서 0612023" xfId="945" xr:uid="{00000000-0005-0000-0000-0000B2030000}"/>
    <cellStyle name="1_tree_갑지0601_총괄내역서_화명조경_백화점화장실인테리어_3차네고견적(061017-1)" xfId="946" xr:uid="{00000000-0005-0000-0000-0000B3030000}"/>
    <cellStyle name="1_tree_갑지0601_화명조경" xfId="947" xr:uid="{00000000-0005-0000-0000-0000B4030000}"/>
    <cellStyle name="1_tree_갑지0601_화명조경_1차 기성 내역서 0612023" xfId="948" xr:uid="{00000000-0005-0000-0000-0000B5030000}"/>
    <cellStyle name="1_tree_갑지0601_화명조경_3차네고견적(061017-1)" xfId="949" xr:uid="{00000000-0005-0000-0000-0000B6030000}"/>
    <cellStyle name="1_tree_갑지0601_화명조경_백화점화장실인테리어" xfId="950" xr:uid="{00000000-0005-0000-0000-0000B7030000}"/>
    <cellStyle name="1_tree_갑지0601_화명조경_백화점화장실인테리어_1차 기성 내역서 0612023" xfId="951" xr:uid="{00000000-0005-0000-0000-0000B8030000}"/>
    <cellStyle name="1_tree_갑지0601_화명조경_백화점화장실인테리어_3차네고견적(061017-1)" xfId="952" xr:uid="{00000000-0005-0000-0000-0000B9030000}"/>
    <cellStyle name="1_tree_남해총괄표" xfId="953" xr:uid="{00000000-0005-0000-0000-0000BA030000}"/>
    <cellStyle name="1_tree_남해총괄표_1차 기성 내역서 0612023" xfId="954" xr:uid="{00000000-0005-0000-0000-0000BB030000}"/>
    <cellStyle name="1_tree_남해총괄표_3차네고견적(061017-1)" xfId="955" xr:uid="{00000000-0005-0000-0000-0000BC030000}"/>
    <cellStyle name="1_tree_남해총괄표_백화점화장실인테리어" xfId="956" xr:uid="{00000000-0005-0000-0000-0000BD030000}"/>
    <cellStyle name="1_tree_남해총괄표_백화점화장실인테리어_1차 기성 내역서 0612023" xfId="957" xr:uid="{00000000-0005-0000-0000-0000BE030000}"/>
    <cellStyle name="1_tree_남해총괄표_백화점화장실인테리어_3차네고견적(061017-1)" xfId="958" xr:uid="{00000000-0005-0000-0000-0000BF030000}"/>
    <cellStyle name="1_tree_남해총괄표_설계내역서" xfId="959" xr:uid="{00000000-0005-0000-0000-0000C0030000}"/>
    <cellStyle name="1_tree_남해총괄표_설계내역서_1차 기성 내역서 0612023" xfId="960" xr:uid="{00000000-0005-0000-0000-0000C1030000}"/>
    <cellStyle name="1_tree_남해총괄표_설계내역서_3차네고견적(061017-1)" xfId="961" xr:uid="{00000000-0005-0000-0000-0000C2030000}"/>
    <cellStyle name="1_tree_남해총괄표_설계내역서_백화점화장실인테리어" xfId="962" xr:uid="{00000000-0005-0000-0000-0000C3030000}"/>
    <cellStyle name="1_tree_남해총괄표_설계내역서_백화점화장실인테리어_1차 기성 내역서 0612023" xfId="963" xr:uid="{00000000-0005-0000-0000-0000C4030000}"/>
    <cellStyle name="1_tree_남해총괄표_설계내역서_백화점화장실인테리어_3차네고견적(061017-1)" xfId="964" xr:uid="{00000000-0005-0000-0000-0000C5030000}"/>
    <cellStyle name="1_tree_남해총괄표_설계내역서_화명조경" xfId="965" xr:uid="{00000000-0005-0000-0000-0000C6030000}"/>
    <cellStyle name="1_tree_남해총괄표_설계내역서_화명조경_1차 기성 내역서 0612023" xfId="966" xr:uid="{00000000-0005-0000-0000-0000C7030000}"/>
    <cellStyle name="1_tree_남해총괄표_설계내역서_화명조경_3차네고견적(061017-1)" xfId="967" xr:uid="{00000000-0005-0000-0000-0000C8030000}"/>
    <cellStyle name="1_tree_남해총괄표_설계내역서_화명조경_백화점화장실인테리어" xfId="968" xr:uid="{00000000-0005-0000-0000-0000C9030000}"/>
    <cellStyle name="1_tree_남해총괄표_설계내역서_화명조경_백화점화장실인테리어_1차 기성 내역서 0612023" xfId="969" xr:uid="{00000000-0005-0000-0000-0000CA030000}"/>
    <cellStyle name="1_tree_남해총괄표_설계내역서_화명조경_백화점화장실인테리어_3차네고견적(061017-1)" xfId="970" xr:uid="{00000000-0005-0000-0000-0000CB030000}"/>
    <cellStyle name="1_tree_남해총괄표_설계내역서1월7일" xfId="971" xr:uid="{00000000-0005-0000-0000-0000CC030000}"/>
    <cellStyle name="1_tree_남해총괄표_설계내역서1월7일_1차 기성 내역서 0612023" xfId="972" xr:uid="{00000000-0005-0000-0000-0000CD030000}"/>
    <cellStyle name="1_tree_남해총괄표_설계내역서1월7일_3차네고견적(061017-1)" xfId="973" xr:uid="{00000000-0005-0000-0000-0000CE030000}"/>
    <cellStyle name="1_tree_남해총괄표_설계내역서1월7일_백화점화장실인테리어" xfId="974" xr:uid="{00000000-0005-0000-0000-0000CF030000}"/>
    <cellStyle name="1_tree_남해총괄표_설계내역서1월7일_백화점화장실인테리어_1차 기성 내역서 0612023" xfId="975" xr:uid="{00000000-0005-0000-0000-0000D0030000}"/>
    <cellStyle name="1_tree_남해총괄표_설계내역서1월7일_백화점화장실인테리어_3차네고견적(061017-1)" xfId="976" xr:uid="{00000000-0005-0000-0000-0000D1030000}"/>
    <cellStyle name="1_tree_남해총괄표_설계내역서1월7일_화명조경" xfId="977" xr:uid="{00000000-0005-0000-0000-0000D2030000}"/>
    <cellStyle name="1_tree_남해총괄표_설계내역서1월7일_화명조경_1차 기성 내역서 0612023" xfId="978" xr:uid="{00000000-0005-0000-0000-0000D3030000}"/>
    <cellStyle name="1_tree_남해총괄표_설계내역서1월7일_화명조경_3차네고견적(061017-1)" xfId="979" xr:uid="{00000000-0005-0000-0000-0000D4030000}"/>
    <cellStyle name="1_tree_남해총괄표_설계내역서1월7일_화명조경_백화점화장실인테리어" xfId="980" xr:uid="{00000000-0005-0000-0000-0000D5030000}"/>
    <cellStyle name="1_tree_남해총괄표_설계내역서1월7일_화명조경_백화점화장실인테리어_1차 기성 내역서 0612023" xfId="981" xr:uid="{00000000-0005-0000-0000-0000D6030000}"/>
    <cellStyle name="1_tree_남해총괄표_설계내역서1월7일_화명조경_백화점화장실인테리어_3차네고견적(061017-1)" xfId="982" xr:uid="{00000000-0005-0000-0000-0000D7030000}"/>
    <cellStyle name="1_tree_남해총괄표_화명조경" xfId="983" xr:uid="{00000000-0005-0000-0000-0000D8030000}"/>
    <cellStyle name="1_tree_남해총괄표_화명조경_1차 기성 내역서 0612023" xfId="984" xr:uid="{00000000-0005-0000-0000-0000D9030000}"/>
    <cellStyle name="1_tree_남해총괄표_화명조경_3차네고견적(061017-1)" xfId="985" xr:uid="{00000000-0005-0000-0000-0000DA030000}"/>
    <cellStyle name="1_tree_남해총괄표_화명조경_백화점화장실인테리어" xfId="986" xr:uid="{00000000-0005-0000-0000-0000DB030000}"/>
    <cellStyle name="1_tree_남해총괄표_화명조경_백화점화장실인테리어_1차 기성 내역서 0612023" xfId="987" xr:uid="{00000000-0005-0000-0000-0000DC030000}"/>
    <cellStyle name="1_tree_남해총괄표_화명조경_백화점화장실인테리어_3차네고견적(061017-1)" xfId="988" xr:uid="{00000000-0005-0000-0000-0000DD030000}"/>
    <cellStyle name="1_tree_마운딩수량" xfId="989" xr:uid="{00000000-0005-0000-0000-0000DE030000}"/>
    <cellStyle name="1_tree_마운딩수량_1차 기성 내역서 0612023" xfId="990" xr:uid="{00000000-0005-0000-0000-0000DF030000}"/>
    <cellStyle name="1_tree_마운딩수량_3차네고견적(061017-1)" xfId="991" xr:uid="{00000000-0005-0000-0000-0000E0030000}"/>
    <cellStyle name="1_tree_마운딩수량_갑지0601" xfId="992" xr:uid="{00000000-0005-0000-0000-0000E1030000}"/>
    <cellStyle name="1_tree_마운딩수량_갑지0601_00갑지" xfId="993" xr:uid="{00000000-0005-0000-0000-0000E2030000}"/>
    <cellStyle name="1_tree_마운딩수량_갑지0601_00갑지_1차 기성 내역서 0612023" xfId="994" xr:uid="{00000000-0005-0000-0000-0000E3030000}"/>
    <cellStyle name="1_tree_마운딩수량_갑지0601_00갑지_3차네고견적(061017-1)" xfId="995" xr:uid="{00000000-0005-0000-0000-0000E4030000}"/>
    <cellStyle name="1_tree_마운딩수량_갑지0601_00갑지_백화점화장실인테리어" xfId="996" xr:uid="{00000000-0005-0000-0000-0000E5030000}"/>
    <cellStyle name="1_tree_마운딩수량_갑지0601_00갑지_백화점화장실인테리어_1차 기성 내역서 0612023" xfId="997" xr:uid="{00000000-0005-0000-0000-0000E6030000}"/>
    <cellStyle name="1_tree_마운딩수량_갑지0601_00갑지_백화점화장실인테리어_3차네고견적(061017-1)" xfId="998" xr:uid="{00000000-0005-0000-0000-0000E7030000}"/>
    <cellStyle name="1_tree_마운딩수량_갑지0601_00갑지_설계내역서" xfId="999" xr:uid="{00000000-0005-0000-0000-0000E8030000}"/>
    <cellStyle name="1_tree_마운딩수량_갑지0601_00갑지_설계내역서_1차 기성 내역서 0612023" xfId="1000" xr:uid="{00000000-0005-0000-0000-0000E9030000}"/>
    <cellStyle name="1_tree_마운딩수량_갑지0601_00갑지_설계내역서_3차네고견적(061017-1)" xfId="1001" xr:uid="{00000000-0005-0000-0000-0000EA030000}"/>
    <cellStyle name="1_tree_마운딩수량_갑지0601_00갑지_설계내역서_백화점화장실인테리어" xfId="1002" xr:uid="{00000000-0005-0000-0000-0000EB030000}"/>
    <cellStyle name="1_tree_마운딩수량_갑지0601_00갑지_설계내역서_백화점화장실인테리어_1차 기성 내역서 0612023" xfId="1003" xr:uid="{00000000-0005-0000-0000-0000EC030000}"/>
    <cellStyle name="1_tree_마운딩수량_갑지0601_00갑지_설계내역서_백화점화장실인테리어_3차네고견적(061017-1)" xfId="1004" xr:uid="{00000000-0005-0000-0000-0000ED030000}"/>
    <cellStyle name="1_tree_마운딩수량_갑지0601_00갑지_설계내역서_화명조경" xfId="1005" xr:uid="{00000000-0005-0000-0000-0000EE030000}"/>
    <cellStyle name="1_tree_마운딩수량_갑지0601_00갑지_설계내역서_화명조경_1차 기성 내역서 0612023" xfId="1006" xr:uid="{00000000-0005-0000-0000-0000EF030000}"/>
    <cellStyle name="1_tree_마운딩수량_갑지0601_00갑지_설계내역서_화명조경_3차네고견적(061017-1)" xfId="1007" xr:uid="{00000000-0005-0000-0000-0000F0030000}"/>
    <cellStyle name="1_tree_마운딩수량_갑지0601_00갑지_설계내역서_화명조경_백화점화장실인테리어" xfId="1008" xr:uid="{00000000-0005-0000-0000-0000F1030000}"/>
    <cellStyle name="1_tree_마운딩수량_갑지0601_00갑지_설계내역서_화명조경_백화점화장실인테리어_1차 기성 내역서 0612023" xfId="1009" xr:uid="{00000000-0005-0000-0000-0000F2030000}"/>
    <cellStyle name="1_tree_마운딩수량_갑지0601_00갑지_설계내역서_화명조경_백화점화장실인테리어_3차네고견적(061017-1)" xfId="1010" xr:uid="{00000000-0005-0000-0000-0000F3030000}"/>
    <cellStyle name="1_tree_마운딩수량_갑지0601_00갑지_설계내역서1월7일" xfId="1011" xr:uid="{00000000-0005-0000-0000-0000F4030000}"/>
    <cellStyle name="1_tree_마운딩수량_갑지0601_00갑지_설계내역서1월7일_1차 기성 내역서 0612023" xfId="1012" xr:uid="{00000000-0005-0000-0000-0000F5030000}"/>
    <cellStyle name="1_tree_마운딩수량_갑지0601_00갑지_설계내역서1월7일_3차네고견적(061017-1)" xfId="1013" xr:uid="{00000000-0005-0000-0000-0000F6030000}"/>
    <cellStyle name="1_tree_마운딩수량_갑지0601_00갑지_설계내역서1월7일_백화점화장실인테리어" xfId="1014" xr:uid="{00000000-0005-0000-0000-0000F7030000}"/>
    <cellStyle name="1_tree_마운딩수량_갑지0601_00갑지_설계내역서1월7일_백화점화장실인테리어_1차 기성 내역서 0612023" xfId="1015" xr:uid="{00000000-0005-0000-0000-0000F8030000}"/>
    <cellStyle name="1_tree_마운딩수량_갑지0601_00갑지_설계내역서1월7일_백화점화장실인테리어_3차네고견적(061017-1)" xfId="1016" xr:uid="{00000000-0005-0000-0000-0000F9030000}"/>
    <cellStyle name="1_tree_마운딩수량_갑지0601_00갑지_설계내역서1월7일_화명조경" xfId="1017" xr:uid="{00000000-0005-0000-0000-0000FA030000}"/>
    <cellStyle name="1_tree_마운딩수량_갑지0601_00갑지_설계내역서1월7일_화명조경_1차 기성 내역서 0612023" xfId="1018" xr:uid="{00000000-0005-0000-0000-0000FB030000}"/>
    <cellStyle name="1_tree_마운딩수량_갑지0601_00갑지_설계내역서1월7일_화명조경_3차네고견적(061017-1)" xfId="1019" xr:uid="{00000000-0005-0000-0000-0000FC030000}"/>
    <cellStyle name="1_tree_마운딩수량_갑지0601_00갑지_설계내역서1월7일_화명조경_백화점화장실인테리어" xfId="1020" xr:uid="{00000000-0005-0000-0000-0000FD030000}"/>
    <cellStyle name="1_tree_마운딩수량_갑지0601_00갑지_설계내역서1월7일_화명조경_백화점화장실인테리어_1차 기성 내역서 0612023" xfId="1021" xr:uid="{00000000-0005-0000-0000-0000FE030000}"/>
    <cellStyle name="1_tree_마운딩수량_갑지0601_00갑지_설계내역서1월7일_화명조경_백화점화장실인테리어_3차네고견적(061017-1)" xfId="1022" xr:uid="{00000000-0005-0000-0000-0000FF030000}"/>
    <cellStyle name="1_tree_마운딩수량_갑지0601_00갑지_화명조경" xfId="1023" xr:uid="{00000000-0005-0000-0000-000000040000}"/>
    <cellStyle name="1_tree_마운딩수량_갑지0601_00갑지_화명조경_1차 기성 내역서 0612023" xfId="1024" xr:uid="{00000000-0005-0000-0000-000001040000}"/>
    <cellStyle name="1_tree_마운딩수량_갑지0601_00갑지_화명조경_3차네고견적(061017-1)" xfId="1025" xr:uid="{00000000-0005-0000-0000-000002040000}"/>
    <cellStyle name="1_tree_마운딩수량_갑지0601_00갑지_화명조경_백화점화장실인테리어" xfId="1026" xr:uid="{00000000-0005-0000-0000-000003040000}"/>
    <cellStyle name="1_tree_마운딩수량_갑지0601_00갑지_화명조경_백화점화장실인테리어_1차 기성 내역서 0612023" xfId="1027" xr:uid="{00000000-0005-0000-0000-000004040000}"/>
    <cellStyle name="1_tree_마운딩수량_갑지0601_00갑지_화명조경_백화점화장실인테리어_3차네고견적(061017-1)" xfId="1028" xr:uid="{00000000-0005-0000-0000-000005040000}"/>
    <cellStyle name="1_tree_마운딩수량_갑지0601_1차 기성 내역서 0612023" xfId="1029" xr:uid="{00000000-0005-0000-0000-000006040000}"/>
    <cellStyle name="1_tree_마운딩수량_갑지0601_3차네고견적(061017-1)" xfId="1030" xr:uid="{00000000-0005-0000-0000-000007040000}"/>
    <cellStyle name="1_tree_마운딩수량_갑지0601_과천놀이터설계서" xfId="1031" xr:uid="{00000000-0005-0000-0000-000008040000}"/>
    <cellStyle name="1_tree_마운딩수량_갑지0601_과천놀이터설계서_1차 기성 내역서 0612023" xfId="1032" xr:uid="{00000000-0005-0000-0000-000009040000}"/>
    <cellStyle name="1_tree_마운딩수량_갑지0601_과천놀이터설계서_3차네고견적(061017-1)" xfId="1033" xr:uid="{00000000-0005-0000-0000-00000A040000}"/>
    <cellStyle name="1_tree_마운딩수량_갑지0601_과천놀이터설계서_백화점화장실인테리어" xfId="1034" xr:uid="{00000000-0005-0000-0000-00000B040000}"/>
    <cellStyle name="1_tree_마운딩수량_갑지0601_과천놀이터설계서_백화점화장실인테리어_1차 기성 내역서 0612023" xfId="1035" xr:uid="{00000000-0005-0000-0000-00000C040000}"/>
    <cellStyle name="1_tree_마운딩수량_갑지0601_과천놀이터설계서_백화점화장실인테리어_3차네고견적(061017-1)" xfId="1036" xr:uid="{00000000-0005-0000-0000-00000D040000}"/>
    <cellStyle name="1_tree_마운딩수량_갑지0601_과천놀이터설계서_설계내역서" xfId="1037" xr:uid="{00000000-0005-0000-0000-00000E040000}"/>
    <cellStyle name="1_tree_마운딩수량_갑지0601_과천놀이터설계서_설계내역서_1차 기성 내역서 0612023" xfId="1038" xr:uid="{00000000-0005-0000-0000-00000F040000}"/>
    <cellStyle name="1_tree_마운딩수량_갑지0601_과천놀이터설계서_설계내역서_3차네고견적(061017-1)" xfId="1039" xr:uid="{00000000-0005-0000-0000-000010040000}"/>
    <cellStyle name="1_tree_마운딩수량_갑지0601_과천놀이터설계서_설계내역서_백화점화장실인테리어" xfId="1040" xr:uid="{00000000-0005-0000-0000-000011040000}"/>
    <cellStyle name="1_tree_마운딩수량_갑지0601_과천놀이터설계서_설계내역서_백화점화장실인테리어_1차 기성 내역서 0612023" xfId="1041" xr:uid="{00000000-0005-0000-0000-000012040000}"/>
    <cellStyle name="1_tree_마운딩수량_갑지0601_과천놀이터설계서_설계내역서_백화점화장실인테리어_3차네고견적(061017-1)" xfId="1042" xr:uid="{00000000-0005-0000-0000-000013040000}"/>
    <cellStyle name="1_tree_마운딩수량_갑지0601_과천놀이터설계서_설계내역서_화명조경" xfId="1043" xr:uid="{00000000-0005-0000-0000-000014040000}"/>
    <cellStyle name="1_tree_마운딩수량_갑지0601_과천놀이터설계서_설계내역서_화명조경_1차 기성 내역서 0612023" xfId="1044" xr:uid="{00000000-0005-0000-0000-000015040000}"/>
    <cellStyle name="1_tree_마운딩수량_갑지0601_과천놀이터설계서_설계내역서_화명조경_3차네고견적(061017-1)" xfId="1045" xr:uid="{00000000-0005-0000-0000-000016040000}"/>
    <cellStyle name="1_tree_마운딩수량_갑지0601_과천놀이터설계서_설계내역서_화명조경_백화점화장실인테리어" xfId="1046" xr:uid="{00000000-0005-0000-0000-000017040000}"/>
    <cellStyle name="1_tree_마운딩수량_갑지0601_과천놀이터설계서_설계내역서_화명조경_백화점화장실인테리어_1차 기성 내역서 0612023" xfId="1047" xr:uid="{00000000-0005-0000-0000-000018040000}"/>
    <cellStyle name="1_tree_마운딩수량_갑지0601_과천놀이터설계서_설계내역서_화명조경_백화점화장실인테리어_3차네고견적(061017-1)" xfId="1048" xr:uid="{00000000-0005-0000-0000-000019040000}"/>
    <cellStyle name="1_tree_마운딩수량_갑지0601_과천놀이터설계서_설계내역서1월7일" xfId="1049" xr:uid="{00000000-0005-0000-0000-00001A040000}"/>
    <cellStyle name="1_tree_마운딩수량_갑지0601_과천놀이터설계서_설계내역서1월7일_1차 기성 내역서 0612023" xfId="1050" xr:uid="{00000000-0005-0000-0000-00001B040000}"/>
    <cellStyle name="1_tree_마운딩수량_갑지0601_과천놀이터설계서_설계내역서1월7일_3차네고견적(061017-1)" xfId="1051" xr:uid="{00000000-0005-0000-0000-00001C040000}"/>
    <cellStyle name="1_tree_마운딩수량_갑지0601_과천놀이터설계서_설계내역서1월7일_백화점화장실인테리어" xfId="1052" xr:uid="{00000000-0005-0000-0000-00001D040000}"/>
    <cellStyle name="1_tree_마운딩수량_갑지0601_과천놀이터설계서_설계내역서1월7일_백화점화장실인테리어_1차 기성 내역서 0612023" xfId="1053" xr:uid="{00000000-0005-0000-0000-00001E040000}"/>
    <cellStyle name="1_tree_마운딩수량_갑지0601_과천놀이터설계서_설계내역서1월7일_백화점화장실인테리어_3차네고견적(061017-1)" xfId="1054" xr:uid="{00000000-0005-0000-0000-00001F040000}"/>
    <cellStyle name="1_tree_마운딩수량_갑지0601_과천놀이터설계서_설계내역서1월7일_화명조경" xfId="1055" xr:uid="{00000000-0005-0000-0000-000020040000}"/>
    <cellStyle name="1_tree_마운딩수량_갑지0601_과천놀이터설계서_설계내역서1월7일_화명조경_1차 기성 내역서 0612023" xfId="1056" xr:uid="{00000000-0005-0000-0000-000021040000}"/>
    <cellStyle name="1_tree_마운딩수량_갑지0601_과천놀이터설계서_설계내역서1월7일_화명조경_3차네고견적(061017-1)" xfId="1057" xr:uid="{00000000-0005-0000-0000-000022040000}"/>
    <cellStyle name="1_tree_마운딩수량_갑지0601_과천놀이터설계서_설계내역서1월7일_화명조경_백화점화장실인테리어" xfId="1058" xr:uid="{00000000-0005-0000-0000-000023040000}"/>
    <cellStyle name="1_tree_마운딩수량_갑지0601_과천놀이터설계서_설계내역서1월7일_화명조경_백화점화장실인테리어_1차 기성 내역서 0612023" xfId="1059" xr:uid="{00000000-0005-0000-0000-000024040000}"/>
    <cellStyle name="1_tree_마운딩수량_갑지0601_과천놀이터설계서_설계내역서1월7일_화명조경_백화점화장실인테리어_3차네고견적(061017-1)" xfId="1060" xr:uid="{00000000-0005-0000-0000-000025040000}"/>
    <cellStyle name="1_tree_마운딩수량_갑지0601_과천놀이터설계서_화명조경" xfId="1061" xr:uid="{00000000-0005-0000-0000-000026040000}"/>
    <cellStyle name="1_tree_마운딩수량_갑지0601_과천놀이터설계서_화명조경_1차 기성 내역서 0612023" xfId="1062" xr:uid="{00000000-0005-0000-0000-000027040000}"/>
    <cellStyle name="1_tree_마운딩수량_갑지0601_과천놀이터설계서_화명조경_3차네고견적(061017-1)" xfId="1063" xr:uid="{00000000-0005-0000-0000-000028040000}"/>
    <cellStyle name="1_tree_마운딩수량_갑지0601_과천놀이터설계서_화명조경_백화점화장실인테리어" xfId="1064" xr:uid="{00000000-0005-0000-0000-000029040000}"/>
    <cellStyle name="1_tree_마운딩수량_갑지0601_과천놀이터설계서_화명조경_백화점화장실인테리어_1차 기성 내역서 0612023" xfId="1065" xr:uid="{00000000-0005-0000-0000-00002A040000}"/>
    <cellStyle name="1_tree_마운딩수량_갑지0601_과천놀이터설계서_화명조경_백화점화장실인테리어_3차네고견적(061017-1)" xfId="1066" xr:uid="{00000000-0005-0000-0000-00002B040000}"/>
    <cellStyle name="1_tree_마운딩수량_갑지0601_백화점화장실인테리어" xfId="1067" xr:uid="{00000000-0005-0000-0000-00002C040000}"/>
    <cellStyle name="1_tree_마운딩수량_갑지0601_백화점화장실인테리어_1차 기성 내역서 0612023" xfId="1068" xr:uid="{00000000-0005-0000-0000-00002D040000}"/>
    <cellStyle name="1_tree_마운딩수량_갑지0601_백화점화장실인테리어_3차네고견적(061017-1)" xfId="1069" xr:uid="{00000000-0005-0000-0000-00002E040000}"/>
    <cellStyle name="1_tree_마운딩수량_갑지0601_총괄갑지" xfId="1070" xr:uid="{00000000-0005-0000-0000-00002F040000}"/>
    <cellStyle name="1_tree_마운딩수량_갑지0601_총괄갑지_1차 기성 내역서 0612023" xfId="1071" xr:uid="{00000000-0005-0000-0000-000030040000}"/>
    <cellStyle name="1_tree_마운딩수량_갑지0601_총괄갑지_3차네고견적(061017-1)" xfId="1072" xr:uid="{00000000-0005-0000-0000-000031040000}"/>
    <cellStyle name="1_tree_마운딩수량_갑지0601_총괄갑지_백화점화장실인테리어" xfId="1073" xr:uid="{00000000-0005-0000-0000-000032040000}"/>
    <cellStyle name="1_tree_마운딩수량_갑지0601_총괄갑지_백화점화장실인테리어_1차 기성 내역서 0612023" xfId="1074" xr:uid="{00000000-0005-0000-0000-000033040000}"/>
    <cellStyle name="1_tree_마운딩수량_갑지0601_총괄갑지_백화점화장실인테리어_3차네고견적(061017-1)" xfId="1075" xr:uid="{00000000-0005-0000-0000-000034040000}"/>
    <cellStyle name="1_tree_마운딩수량_갑지0601_총괄갑지_설계내역서" xfId="1076" xr:uid="{00000000-0005-0000-0000-000035040000}"/>
    <cellStyle name="1_tree_마운딩수량_갑지0601_총괄갑지_설계내역서_1차 기성 내역서 0612023" xfId="1077" xr:uid="{00000000-0005-0000-0000-000036040000}"/>
    <cellStyle name="1_tree_마운딩수량_갑지0601_총괄갑지_설계내역서_3차네고견적(061017-1)" xfId="1078" xr:uid="{00000000-0005-0000-0000-000037040000}"/>
    <cellStyle name="1_tree_마운딩수량_갑지0601_총괄갑지_설계내역서_백화점화장실인테리어" xfId="1079" xr:uid="{00000000-0005-0000-0000-000038040000}"/>
    <cellStyle name="1_tree_마운딩수량_갑지0601_총괄갑지_설계내역서_백화점화장실인테리어_1차 기성 내역서 0612023" xfId="1080" xr:uid="{00000000-0005-0000-0000-000039040000}"/>
    <cellStyle name="1_tree_마운딩수량_갑지0601_총괄갑지_설계내역서_백화점화장실인테리어_3차네고견적(061017-1)" xfId="1081" xr:uid="{00000000-0005-0000-0000-00003A040000}"/>
    <cellStyle name="1_tree_마운딩수량_갑지0601_총괄갑지_설계내역서_화명조경" xfId="1082" xr:uid="{00000000-0005-0000-0000-00003B040000}"/>
    <cellStyle name="1_tree_마운딩수량_갑지0601_총괄갑지_설계내역서_화명조경_1차 기성 내역서 0612023" xfId="1083" xr:uid="{00000000-0005-0000-0000-00003C040000}"/>
    <cellStyle name="1_tree_마운딩수량_갑지0601_총괄갑지_설계내역서_화명조경_3차네고견적(061017-1)" xfId="1084" xr:uid="{00000000-0005-0000-0000-00003D040000}"/>
    <cellStyle name="1_tree_마운딩수량_갑지0601_총괄갑지_설계내역서_화명조경_백화점화장실인테리어" xfId="1085" xr:uid="{00000000-0005-0000-0000-00003E040000}"/>
    <cellStyle name="1_tree_마운딩수량_갑지0601_총괄갑지_설계내역서_화명조경_백화점화장실인테리어_1차 기성 내역서 0612023" xfId="1086" xr:uid="{00000000-0005-0000-0000-00003F040000}"/>
    <cellStyle name="1_tree_마운딩수량_갑지0601_총괄갑지_설계내역서_화명조경_백화점화장실인테리어_3차네고견적(061017-1)" xfId="1087" xr:uid="{00000000-0005-0000-0000-000040040000}"/>
    <cellStyle name="1_tree_마운딩수량_갑지0601_총괄갑지_설계내역서1월7일" xfId="1088" xr:uid="{00000000-0005-0000-0000-000041040000}"/>
    <cellStyle name="1_tree_마운딩수량_갑지0601_총괄갑지_설계내역서1월7일_1차 기성 내역서 0612023" xfId="1089" xr:uid="{00000000-0005-0000-0000-000042040000}"/>
    <cellStyle name="1_tree_마운딩수량_갑지0601_총괄갑지_설계내역서1월7일_3차네고견적(061017-1)" xfId="1090" xr:uid="{00000000-0005-0000-0000-000043040000}"/>
    <cellStyle name="1_tree_마운딩수량_갑지0601_총괄갑지_설계내역서1월7일_백화점화장실인테리어" xfId="1091" xr:uid="{00000000-0005-0000-0000-000044040000}"/>
    <cellStyle name="1_tree_마운딩수량_갑지0601_총괄갑지_설계내역서1월7일_백화점화장실인테리어_1차 기성 내역서 0612023" xfId="1092" xr:uid="{00000000-0005-0000-0000-000045040000}"/>
    <cellStyle name="1_tree_마운딩수량_갑지0601_총괄갑지_설계내역서1월7일_백화점화장실인테리어_3차네고견적(061017-1)" xfId="1093" xr:uid="{00000000-0005-0000-0000-000046040000}"/>
    <cellStyle name="1_tree_마운딩수량_갑지0601_총괄갑지_설계내역서1월7일_화명조경" xfId="1094" xr:uid="{00000000-0005-0000-0000-000047040000}"/>
    <cellStyle name="1_tree_마운딩수량_갑지0601_총괄갑지_설계내역서1월7일_화명조경_1차 기성 내역서 0612023" xfId="1095" xr:uid="{00000000-0005-0000-0000-000048040000}"/>
    <cellStyle name="1_tree_마운딩수량_갑지0601_총괄갑지_설계내역서1월7일_화명조경_3차네고견적(061017-1)" xfId="1096" xr:uid="{00000000-0005-0000-0000-000049040000}"/>
    <cellStyle name="1_tree_마운딩수량_갑지0601_총괄갑지_설계내역서1월7일_화명조경_백화점화장실인테리어" xfId="1097" xr:uid="{00000000-0005-0000-0000-00004A040000}"/>
    <cellStyle name="1_tree_마운딩수량_갑지0601_총괄갑지_설계내역서1월7일_화명조경_백화점화장실인테리어_1차 기성 내역서 0612023" xfId="1098" xr:uid="{00000000-0005-0000-0000-00004B040000}"/>
    <cellStyle name="1_tree_마운딩수량_갑지0601_총괄갑지_설계내역서1월7일_화명조경_백화점화장실인테리어_3차네고견적(061017-1)" xfId="1099" xr:uid="{00000000-0005-0000-0000-00004C040000}"/>
    <cellStyle name="1_tree_마운딩수량_갑지0601_총괄갑지_화명조경" xfId="1100" xr:uid="{00000000-0005-0000-0000-00004D040000}"/>
    <cellStyle name="1_tree_마운딩수량_갑지0601_총괄갑지_화명조경_1차 기성 내역서 0612023" xfId="1101" xr:uid="{00000000-0005-0000-0000-00004E040000}"/>
    <cellStyle name="1_tree_마운딩수량_갑지0601_총괄갑지_화명조경_3차네고견적(061017-1)" xfId="1102" xr:uid="{00000000-0005-0000-0000-00004F040000}"/>
    <cellStyle name="1_tree_마운딩수량_갑지0601_총괄갑지_화명조경_백화점화장실인테리어" xfId="1103" xr:uid="{00000000-0005-0000-0000-000050040000}"/>
    <cellStyle name="1_tree_마운딩수량_갑지0601_총괄갑지_화명조경_백화점화장실인테리어_1차 기성 내역서 0612023" xfId="1104" xr:uid="{00000000-0005-0000-0000-000051040000}"/>
    <cellStyle name="1_tree_마운딩수량_갑지0601_총괄갑지_화명조경_백화점화장실인테리어_3차네고견적(061017-1)" xfId="1105" xr:uid="{00000000-0005-0000-0000-000052040000}"/>
    <cellStyle name="1_tree_마운딩수량_갑지0601_총괄내역서" xfId="1106" xr:uid="{00000000-0005-0000-0000-000053040000}"/>
    <cellStyle name="1_tree_마운딩수량_갑지0601_총괄내역서_1차 기성 내역서 0612023" xfId="1107" xr:uid="{00000000-0005-0000-0000-000054040000}"/>
    <cellStyle name="1_tree_마운딩수량_갑지0601_총괄내역서_3차네고견적(061017-1)" xfId="1108" xr:uid="{00000000-0005-0000-0000-000055040000}"/>
    <cellStyle name="1_tree_마운딩수량_갑지0601_총괄내역서_백화점화장실인테리어" xfId="1109" xr:uid="{00000000-0005-0000-0000-000056040000}"/>
    <cellStyle name="1_tree_마운딩수량_갑지0601_총괄내역서_백화점화장실인테리어_1차 기성 내역서 0612023" xfId="1110" xr:uid="{00000000-0005-0000-0000-000057040000}"/>
    <cellStyle name="1_tree_마운딩수량_갑지0601_총괄내역서_백화점화장실인테리어_3차네고견적(061017-1)" xfId="1111" xr:uid="{00000000-0005-0000-0000-000058040000}"/>
    <cellStyle name="1_tree_마운딩수량_갑지0601_총괄내역서_설계내역서" xfId="1112" xr:uid="{00000000-0005-0000-0000-000059040000}"/>
    <cellStyle name="1_tree_마운딩수량_갑지0601_총괄내역서_설계내역서_1차 기성 내역서 0612023" xfId="1113" xr:uid="{00000000-0005-0000-0000-00005A040000}"/>
    <cellStyle name="1_tree_마운딩수량_갑지0601_총괄내역서_설계내역서_3차네고견적(061017-1)" xfId="1114" xr:uid="{00000000-0005-0000-0000-00005B040000}"/>
    <cellStyle name="1_tree_마운딩수량_갑지0601_총괄내역서_설계내역서_백화점화장실인테리어" xfId="1115" xr:uid="{00000000-0005-0000-0000-00005C040000}"/>
    <cellStyle name="1_tree_마운딩수량_갑지0601_총괄내역서_설계내역서_백화점화장실인테리어_1차 기성 내역서 0612023" xfId="1116" xr:uid="{00000000-0005-0000-0000-00005D040000}"/>
    <cellStyle name="1_tree_마운딩수량_갑지0601_총괄내역서_설계내역서_백화점화장실인테리어_3차네고견적(061017-1)" xfId="1117" xr:uid="{00000000-0005-0000-0000-00005E040000}"/>
    <cellStyle name="1_tree_마운딩수량_갑지0601_총괄내역서_설계내역서_화명조경" xfId="1118" xr:uid="{00000000-0005-0000-0000-00005F040000}"/>
    <cellStyle name="1_tree_마운딩수량_갑지0601_총괄내역서_설계내역서_화명조경_1차 기성 내역서 0612023" xfId="1119" xr:uid="{00000000-0005-0000-0000-000060040000}"/>
    <cellStyle name="1_tree_마운딩수량_갑지0601_총괄내역서_설계내역서_화명조경_3차네고견적(061017-1)" xfId="1120" xr:uid="{00000000-0005-0000-0000-000061040000}"/>
    <cellStyle name="1_tree_마운딩수량_갑지0601_총괄내역서_설계내역서_화명조경_백화점화장실인테리어" xfId="1121" xr:uid="{00000000-0005-0000-0000-000062040000}"/>
    <cellStyle name="1_tree_마운딩수량_갑지0601_총괄내역서_설계내역서_화명조경_백화점화장실인테리어_1차 기성 내역서 0612023" xfId="1122" xr:uid="{00000000-0005-0000-0000-000063040000}"/>
    <cellStyle name="1_tree_마운딩수량_갑지0601_총괄내역서_설계내역서_화명조경_백화점화장실인테리어_3차네고견적(061017-1)" xfId="1123" xr:uid="{00000000-0005-0000-0000-000064040000}"/>
    <cellStyle name="1_tree_마운딩수량_갑지0601_총괄내역서_설계내역서1월7일" xfId="1124" xr:uid="{00000000-0005-0000-0000-000065040000}"/>
    <cellStyle name="1_tree_마운딩수량_갑지0601_총괄내역서_설계내역서1월7일_1차 기성 내역서 0612023" xfId="1125" xr:uid="{00000000-0005-0000-0000-000066040000}"/>
    <cellStyle name="1_tree_마운딩수량_갑지0601_총괄내역서_설계내역서1월7일_3차네고견적(061017-1)" xfId="1126" xr:uid="{00000000-0005-0000-0000-000067040000}"/>
    <cellStyle name="1_tree_마운딩수량_갑지0601_총괄내역서_설계내역서1월7일_백화점화장실인테리어" xfId="1127" xr:uid="{00000000-0005-0000-0000-000068040000}"/>
    <cellStyle name="1_tree_마운딩수량_갑지0601_총괄내역서_설계내역서1월7일_백화점화장실인테리어_1차 기성 내역서 0612023" xfId="1128" xr:uid="{00000000-0005-0000-0000-000069040000}"/>
    <cellStyle name="1_tree_마운딩수량_갑지0601_총괄내역서_설계내역서1월7일_백화점화장실인테리어_3차네고견적(061017-1)" xfId="1129" xr:uid="{00000000-0005-0000-0000-00006A040000}"/>
    <cellStyle name="1_tree_마운딩수량_갑지0601_총괄내역서_설계내역서1월7일_화명조경" xfId="1130" xr:uid="{00000000-0005-0000-0000-00006B040000}"/>
    <cellStyle name="1_tree_마운딩수량_갑지0601_총괄내역서_설계내역서1월7일_화명조경_1차 기성 내역서 0612023" xfId="1131" xr:uid="{00000000-0005-0000-0000-00006C040000}"/>
    <cellStyle name="1_tree_마운딩수량_갑지0601_총괄내역서_설계내역서1월7일_화명조경_3차네고견적(061017-1)" xfId="1132" xr:uid="{00000000-0005-0000-0000-00006D040000}"/>
    <cellStyle name="1_tree_마운딩수량_갑지0601_총괄내역서_설계내역서1월7일_화명조경_백화점화장실인테리어" xfId="1133" xr:uid="{00000000-0005-0000-0000-00006E040000}"/>
    <cellStyle name="1_tree_마운딩수량_갑지0601_총괄내역서_설계내역서1월7일_화명조경_백화점화장실인테리어_1차 기성 내역서 0612023" xfId="1134" xr:uid="{00000000-0005-0000-0000-00006F040000}"/>
    <cellStyle name="1_tree_마운딩수량_갑지0601_총괄내역서_설계내역서1월7일_화명조경_백화점화장실인테리어_3차네고견적(061017-1)" xfId="1135" xr:uid="{00000000-0005-0000-0000-000070040000}"/>
    <cellStyle name="1_tree_마운딩수량_갑지0601_총괄내역서_화명조경" xfId="1136" xr:uid="{00000000-0005-0000-0000-000071040000}"/>
    <cellStyle name="1_tree_마운딩수량_갑지0601_총괄내역서_화명조경_1차 기성 내역서 0612023" xfId="1137" xr:uid="{00000000-0005-0000-0000-000072040000}"/>
    <cellStyle name="1_tree_마운딩수량_갑지0601_총괄내역서_화명조경_3차네고견적(061017-1)" xfId="1138" xr:uid="{00000000-0005-0000-0000-000073040000}"/>
    <cellStyle name="1_tree_마운딩수량_갑지0601_총괄내역서_화명조경_백화점화장실인테리어" xfId="1139" xr:uid="{00000000-0005-0000-0000-000074040000}"/>
    <cellStyle name="1_tree_마운딩수량_갑지0601_총괄내역서_화명조경_백화점화장실인테리어_1차 기성 내역서 0612023" xfId="1140" xr:uid="{00000000-0005-0000-0000-000075040000}"/>
    <cellStyle name="1_tree_마운딩수량_갑지0601_총괄내역서_화명조경_백화점화장실인테리어_3차네고견적(061017-1)" xfId="1141" xr:uid="{00000000-0005-0000-0000-000076040000}"/>
    <cellStyle name="1_tree_마운딩수량_갑지0601_화명조경" xfId="1142" xr:uid="{00000000-0005-0000-0000-000077040000}"/>
    <cellStyle name="1_tree_마운딩수량_갑지0601_화명조경_1차 기성 내역서 0612023" xfId="1143" xr:uid="{00000000-0005-0000-0000-000078040000}"/>
    <cellStyle name="1_tree_마운딩수량_갑지0601_화명조경_3차네고견적(061017-1)" xfId="1144" xr:uid="{00000000-0005-0000-0000-000079040000}"/>
    <cellStyle name="1_tree_마운딩수량_갑지0601_화명조경_백화점화장실인테리어" xfId="1145" xr:uid="{00000000-0005-0000-0000-00007A040000}"/>
    <cellStyle name="1_tree_마운딩수량_갑지0601_화명조경_백화점화장실인테리어_1차 기성 내역서 0612023" xfId="1146" xr:uid="{00000000-0005-0000-0000-00007B040000}"/>
    <cellStyle name="1_tree_마운딩수량_갑지0601_화명조경_백화점화장실인테리어_3차네고견적(061017-1)" xfId="1147" xr:uid="{00000000-0005-0000-0000-00007C040000}"/>
    <cellStyle name="1_tree_마운딩수량_백화점화장실인테리어" xfId="1148" xr:uid="{00000000-0005-0000-0000-00007D040000}"/>
    <cellStyle name="1_tree_마운딩수량_백화점화장실인테리어_1차 기성 내역서 0612023" xfId="1149" xr:uid="{00000000-0005-0000-0000-00007E040000}"/>
    <cellStyle name="1_tree_마운딩수량_백화점화장실인테리어_3차네고견적(061017-1)" xfId="1150" xr:uid="{00000000-0005-0000-0000-00007F040000}"/>
    <cellStyle name="1_tree_마운딩수량_설계내역서" xfId="1151" xr:uid="{00000000-0005-0000-0000-000080040000}"/>
    <cellStyle name="1_tree_마운딩수량_설계내역서_1차 기성 내역서 0612023" xfId="1152" xr:uid="{00000000-0005-0000-0000-000081040000}"/>
    <cellStyle name="1_tree_마운딩수량_설계내역서_3차네고견적(061017-1)" xfId="1153" xr:uid="{00000000-0005-0000-0000-000082040000}"/>
    <cellStyle name="1_tree_마운딩수량_설계내역서_백화점화장실인테리어" xfId="1154" xr:uid="{00000000-0005-0000-0000-000083040000}"/>
    <cellStyle name="1_tree_마운딩수량_설계내역서_백화점화장실인테리어_1차 기성 내역서 0612023" xfId="1155" xr:uid="{00000000-0005-0000-0000-000084040000}"/>
    <cellStyle name="1_tree_마운딩수량_설계내역서_백화점화장실인테리어_3차네고견적(061017-1)" xfId="1156" xr:uid="{00000000-0005-0000-0000-000085040000}"/>
    <cellStyle name="1_tree_마운딩수량_설계내역서_화명조경" xfId="1157" xr:uid="{00000000-0005-0000-0000-000086040000}"/>
    <cellStyle name="1_tree_마운딩수량_설계내역서_화명조경_1차 기성 내역서 0612023" xfId="1158" xr:uid="{00000000-0005-0000-0000-000087040000}"/>
    <cellStyle name="1_tree_마운딩수량_설계내역서_화명조경_3차네고견적(061017-1)" xfId="1159" xr:uid="{00000000-0005-0000-0000-000088040000}"/>
    <cellStyle name="1_tree_마운딩수량_설계내역서_화명조경_백화점화장실인테리어" xfId="1160" xr:uid="{00000000-0005-0000-0000-000089040000}"/>
    <cellStyle name="1_tree_마운딩수량_설계내역서_화명조경_백화점화장실인테리어_1차 기성 내역서 0612023" xfId="1161" xr:uid="{00000000-0005-0000-0000-00008A040000}"/>
    <cellStyle name="1_tree_마운딩수량_설계내역서_화명조경_백화점화장실인테리어_3차네고견적(061017-1)" xfId="1162" xr:uid="{00000000-0005-0000-0000-00008B040000}"/>
    <cellStyle name="1_tree_마운딩수량_설계내역서1월7일" xfId="1163" xr:uid="{00000000-0005-0000-0000-00008C040000}"/>
    <cellStyle name="1_tree_마운딩수량_설계내역서1월7일_1차 기성 내역서 0612023" xfId="1164" xr:uid="{00000000-0005-0000-0000-00008D040000}"/>
    <cellStyle name="1_tree_마운딩수량_설계내역서1월7일_3차네고견적(061017-1)" xfId="1165" xr:uid="{00000000-0005-0000-0000-00008E040000}"/>
    <cellStyle name="1_tree_마운딩수량_설계내역서1월7일_백화점화장실인테리어" xfId="1166" xr:uid="{00000000-0005-0000-0000-00008F040000}"/>
    <cellStyle name="1_tree_마운딩수량_설계내역서1월7일_백화점화장실인테리어_1차 기성 내역서 0612023" xfId="1167" xr:uid="{00000000-0005-0000-0000-000090040000}"/>
    <cellStyle name="1_tree_마운딩수량_설계내역서1월7일_백화점화장실인테리어_3차네고견적(061017-1)" xfId="1168" xr:uid="{00000000-0005-0000-0000-000091040000}"/>
    <cellStyle name="1_tree_마운딩수량_설계내역서1월7일_화명조경" xfId="1169" xr:uid="{00000000-0005-0000-0000-000092040000}"/>
    <cellStyle name="1_tree_마운딩수량_설계내역서1월7일_화명조경_1차 기성 내역서 0612023" xfId="1170" xr:uid="{00000000-0005-0000-0000-000093040000}"/>
    <cellStyle name="1_tree_마운딩수량_설계내역서1월7일_화명조경_3차네고견적(061017-1)" xfId="1171" xr:uid="{00000000-0005-0000-0000-000094040000}"/>
    <cellStyle name="1_tree_마운딩수량_설계내역서1월7일_화명조경_백화점화장실인테리어" xfId="1172" xr:uid="{00000000-0005-0000-0000-000095040000}"/>
    <cellStyle name="1_tree_마운딩수량_설계내역서1월7일_화명조경_백화점화장실인테리어_1차 기성 내역서 0612023" xfId="1173" xr:uid="{00000000-0005-0000-0000-000096040000}"/>
    <cellStyle name="1_tree_마운딩수량_설계내역서1월7일_화명조경_백화점화장실인테리어_3차네고견적(061017-1)" xfId="1174" xr:uid="{00000000-0005-0000-0000-000097040000}"/>
    <cellStyle name="1_tree_마운딩수량_화명조경" xfId="1175" xr:uid="{00000000-0005-0000-0000-000098040000}"/>
    <cellStyle name="1_tree_마운딩수량_화명조경_1차 기성 내역서 0612023" xfId="1176" xr:uid="{00000000-0005-0000-0000-000099040000}"/>
    <cellStyle name="1_tree_마운딩수량_화명조경_3차네고견적(061017-1)" xfId="1177" xr:uid="{00000000-0005-0000-0000-00009A040000}"/>
    <cellStyle name="1_tree_마운딩수량_화명조경_백화점화장실인테리어" xfId="1178" xr:uid="{00000000-0005-0000-0000-00009B040000}"/>
    <cellStyle name="1_tree_마운딩수량_화명조경_백화점화장실인테리어_1차 기성 내역서 0612023" xfId="1179" xr:uid="{00000000-0005-0000-0000-00009C040000}"/>
    <cellStyle name="1_tree_마운딩수량_화명조경_백화점화장실인테리어_3차네고견적(061017-1)" xfId="1180" xr:uid="{00000000-0005-0000-0000-00009D040000}"/>
    <cellStyle name="1_tree_백화점화장실인테리어" xfId="1181" xr:uid="{00000000-0005-0000-0000-00009E040000}"/>
    <cellStyle name="1_tree_백화점화장실인테리어_1차 기성 내역서 0612023" xfId="1182" xr:uid="{00000000-0005-0000-0000-00009F040000}"/>
    <cellStyle name="1_tree_백화점화장실인테리어_3차네고견적(061017-1)" xfId="1183" xr:uid="{00000000-0005-0000-0000-0000A0040000}"/>
    <cellStyle name="1_tree_설계내역서" xfId="1184" xr:uid="{00000000-0005-0000-0000-0000A1040000}"/>
    <cellStyle name="1_tree_설계내역서_1차 기성 내역서 0612023" xfId="1185" xr:uid="{00000000-0005-0000-0000-0000A2040000}"/>
    <cellStyle name="1_tree_설계내역서_3차네고견적(061017-1)" xfId="1186" xr:uid="{00000000-0005-0000-0000-0000A3040000}"/>
    <cellStyle name="1_tree_설계내역서_백화점화장실인테리어" xfId="1187" xr:uid="{00000000-0005-0000-0000-0000A4040000}"/>
    <cellStyle name="1_tree_설계내역서_백화점화장실인테리어_1차 기성 내역서 0612023" xfId="1188" xr:uid="{00000000-0005-0000-0000-0000A5040000}"/>
    <cellStyle name="1_tree_설계내역서_백화점화장실인테리어_3차네고견적(061017-1)" xfId="1189" xr:uid="{00000000-0005-0000-0000-0000A6040000}"/>
    <cellStyle name="1_tree_설계내역서_화명조경" xfId="1190" xr:uid="{00000000-0005-0000-0000-0000A7040000}"/>
    <cellStyle name="1_tree_설계내역서_화명조경_1차 기성 내역서 0612023" xfId="1191" xr:uid="{00000000-0005-0000-0000-0000A8040000}"/>
    <cellStyle name="1_tree_설계내역서_화명조경_3차네고견적(061017-1)" xfId="1192" xr:uid="{00000000-0005-0000-0000-0000A9040000}"/>
    <cellStyle name="1_tree_설계내역서_화명조경_백화점화장실인테리어" xfId="1193" xr:uid="{00000000-0005-0000-0000-0000AA040000}"/>
    <cellStyle name="1_tree_설계내역서_화명조경_백화점화장실인테리어_1차 기성 내역서 0612023" xfId="1194" xr:uid="{00000000-0005-0000-0000-0000AB040000}"/>
    <cellStyle name="1_tree_설계내역서_화명조경_백화점화장실인테리어_3차네고견적(061017-1)" xfId="1195" xr:uid="{00000000-0005-0000-0000-0000AC040000}"/>
    <cellStyle name="1_tree_설계내역서1월7일" xfId="1196" xr:uid="{00000000-0005-0000-0000-0000AD040000}"/>
    <cellStyle name="1_tree_설계내역서1월7일_1차 기성 내역서 0612023" xfId="1197" xr:uid="{00000000-0005-0000-0000-0000AE040000}"/>
    <cellStyle name="1_tree_설계내역서1월7일_3차네고견적(061017-1)" xfId="1198" xr:uid="{00000000-0005-0000-0000-0000AF040000}"/>
    <cellStyle name="1_tree_설계내역서1월7일_백화점화장실인테리어" xfId="1199" xr:uid="{00000000-0005-0000-0000-0000B0040000}"/>
    <cellStyle name="1_tree_설계내역서1월7일_백화점화장실인테리어_1차 기성 내역서 0612023" xfId="1200" xr:uid="{00000000-0005-0000-0000-0000B1040000}"/>
    <cellStyle name="1_tree_설계내역서1월7일_백화점화장실인테리어_3차네고견적(061017-1)" xfId="1201" xr:uid="{00000000-0005-0000-0000-0000B2040000}"/>
    <cellStyle name="1_tree_설계내역서1월7일_화명조경" xfId="1202" xr:uid="{00000000-0005-0000-0000-0000B3040000}"/>
    <cellStyle name="1_tree_설계내역서1월7일_화명조경_1차 기성 내역서 0612023" xfId="1203" xr:uid="{00000000-0005-0000-0000-0000B4040000}"/>
    <cellStyle name="1_tree_설계내역서1월7일_화명조경_3차네고견적(061017-1)" xfId="1204" xr:uid="{00000000-0005-0000-0000-0000B5040000}"/>
    <cellStyle name="1_tree_설계내역서1월7일_화명조경_백화점화장실인테리어" xfId="1205" xr:uid="{00000000-0005-0000-0000-0000B6040000}"/>
    <cellStyle name="1_tree_설계내역서1월7일_화명조경_백화점화장실인테리어_1차 기성 내역서 0612023" xfId="1206" xr:uid="{00000000-0005-0000-0000-0000B7040000}"/>
    <cellStyle name="1_tree_설계내역서1월7일_화명조경_백화점화장실인테리어_3차네고견적(061017-1)" xfId="1207" xr:uid="{00000000-0005-0000-0000-0000B8040000}"/>
    <cellStyle name="1_tree_수원변경수량산출" xfId="1208" xr:uid="{00000000-0005-0000-0000-0000B9040000}"/>
    <cellStyle name="1_tree_수원변경수량산출_1차 기성 내역서 0612023" xfId="1209" xr:uid="{00000000-0005-0000-0000-0000BA040000}"/>
    <cellStyle name="1_tree_수원변경수량산출_3차네고견적(061017-1)" xfId="1210" xr:uid="{00000000-0005-0000-0000-0000BB040000}"/>
    <cellStyle name="1_tree_수원변경수량산출_백화점화장실인테리어" xfId="1211" xr:uid="{00000000-0005-0000-0000-0000BC040000}"/>
    <cellStyle name="1_tree_수원변경수량산출_백화점화장실인테리어_1차 기성 내역서 0612023" xfId="1212" xr:uid="{00000000-0005-0000-0000-0000BD040000}"/>
    <cellStyle name="1_tree_수원변경수량산출_백화점화장실인테리어_3차네고견적(061017-1)" xfId="1213" xr:uid="{00000000-0005-0000-0000-0000BE040000}"/>
    <cellStyle name="1_tree_수원변경수량산출_설계내역서" xfId="1214" xr:uid="{00000000-0005-0000-0000-0000BF040000}"/>
    <cellStyle name="1_tree_수원변경수량산출_설계내역서_1차 기성 내역서 0612023" xfId="1215" xr:uid="{00000000-0005-0000-0000-0000C0040000}"/>
    <cellStyle name="1_tree_수원변경수량산출_설계내역서_3차네고견적(061017-1)" xfId="1216" xr:uid="{00000000-0005-0000-0000-0000C1040000}"/>
    <cellStyle name="1_tree_수원변경수량산출_설계내역서_백화점화장실인테리어" xfId="1217" xr:uid="{00000000-0005-0000-0000-0000C2040000}"/>
    <cellStyle name="1_tree_수원변경수량산출_설계내역서_백화점화장실인테리어_1차 기성 내역서 0612023" xfId="1218" xr:uid="{00000000-0005-0000-0000-0000C3040000}"/>
    <cellStyle name="1_tree_수원변경수량산출_설계내역서_백화점화장실인테리어_3차네고견적(061017-1)" xfId="1219" xr:uid="{00000000-0005-0000-0000-0000C4040000}"/>
    <cellStyle name="1_tree_수원변경수량산출_설계내역서_화명조경" xfId="1220" xr:uid="{00000000-0005-0000-0000-0000C5040000}"/>
    <cellStyle name="1_tree_수원변경수량산출_설계내역서_화명조경_1차 기성 내역서 0612023" xfId="1221" xr:uid="{00000000-0005-0000-0000-0000C6040000}"/>
    <cellStyle name="1_tree_수원변경수량산출_설계내역서_화명조경_3차네고견적(061017-1)" xfId="1222" xr:uid="{00000000-0005-0000-0000-0000C7040000}"/>
    <cellStyle name="1_tree_수원변경수량산출_설계내역서_화명조경_백화점화장실인테리어" xfId="1223" xr:uid="{00000000-0005-0000-0000-0000C8040000}"/>
    <cellStyle name="1_tree_수원변경수량산출_설계내역서_화명조경_백화점화장실인테리어_1차 기성 내역서 0612023" xfId="1224" xr:uid="{00000000-0005-0000-0000-0000C9040000}"/>
    <cellStyle name="1_tree_수원변경수량산출_설계내역서_화명조경_백화점화장실인테리어_3차네고견적(061017-1)" xfId="1225" xr:uid="{00000000-0005-0000-0000-0000CA040000}"/>
    <cellStyle name="1_tree_수원변경수량산출_설계내역서1월7일" xfId="1226" xr:uid="{00000000-0005-0000-0000-0000CB040000}"/>
    <cellStyle name="1_tree_수원변경수량산출_설계내역서1월7일_1차 기성 내역서 0612023" xfId="1227" xr:uid="{00000000-0005-0000-0000-0000CC040000}"/>
    <cellStyle name="1_tree_수원변경수량산출_설계내역서1월7일_3차네고견적(061017-1)" xfId="1228" xr:uid="{00000000-0005-0000-0000-0000CD040000}"/>
    <cellStyle name="1_tree_수원변경수량산출_설계내역서1월7일_백화점화장실인테리어" xfId="1229" xr:uid="{00000000-0005-0000-0000-0000CE040000}"/>
    <cellStyle name="1_tree_수원변경수량산출_설계내역서1월7일_백화점화장실인테리어_1차 기성 내역서 0612023" xfId="1230" xr:uid="{00000000-0005-0000-0000-0000CF040000}"/>
    <cellStyle name="1_tree_수원변경수량산출_설계내역서1월7일_백화점화장실인테리어_3차네고견적(061017-1)" xfId="1231" xr:uid="{00000000-0005-0000-0000-0000D0040000}"/>
    <cellStyle name="1_tree_수원변경수량산출_설계내역서1월7일_화명조경" xfId="1232" xr:uid="{00000000-0005-0000-0000-0000D1040000}"/>
    <cellStyle name="1_tree_수원변경수량산출_설계내역서1월7일_화명조경_1차 기성 내역서 0612023" xfId="1233" xr:uid="{00000000-0005-0000-0000-0000D2040000}"/>
    <cellStyle name="1_tree_수원변경수량산출_설계내역서1월7일_화명조경_3차네고견적(061017-1)" xfId="1234" xr:uid="{00000000-0005-0000-0000-0000D3040000}"/>
    <cellStyle name="1_tree_수원변경수량산출_설계내역서1월7일_화명조경_백화점화장실인테리어" xfId="1235" xr:uid="{00000000-0005-0000-0000-0000D4040000}"/>
    <cellStyle name="1_tree_수원변경수량산출_설계내역서1월7일_화명조경_백화점화장실인테리어_1차 기성 내역서 0612023" xfId="1236" xr:uid="{00000000-0005-0000-0000-0000D5040000}"/>
    <cellStyle name="1_tree_수원변경수량산출_설계내역서1월7일_화명조경_백화점화장실인테리어_3차네고견적(061017-1)" xfId="1237" xr:uid="{00000000-0005-0000-0000-0000D6040000}"/>
    <cellStyle name="1_tree_수원변경수량산출_화명조경" xfId="1238" xr:uid="{00000000-0005-0000-0000-0000D7040000}"/>
    <cellStyle name="1_tree_수원변경수량산출_화명조경_1차 기성 내역서 0612023" xfId="1239" xr:uid="{00000000-0005-0000-0000-0000D8040000}"/>
    <cellStyle name="1_tree_수원변경수량산출_화명조경_3차네고견적(061017-1)" xfId="1240" xr:uid="{00000000-0005-0000-0000-0000D9040000}"/>
    <cellStyle name="1_tree_수원변경수량산출_화명조경_백화점화장실인테리어" xfId="1241" xr:uid="{00000000-0005-0000-0000-0000DA040000}"/>
    <cellStyle name="1_tree_수원변경수량산출_화명조경_백화점화장실인테리어_1차 기성 내역서 0612023" xfId="1242" xr:uid="{00000000-0005-0000-0000-0000DB040000}"/>
    <cellStyle name="1_tree_수원변경수량산출_화명조경_백화점화장실인테리어_3차네고견적(061017-1)" xfId="1243" xr:uid="{00000000-0005-0000-0000-0000DC040000}"/>
    <cellStyle name="1_tree_쌍용수량0905" xfId="1244" xr:uid="{00000000-0005-0000-0000-0000DD040000}"/>
    <cellStyle name="1_tree_쌍용수량0905_1차 기성 내역서 0612023" xfId="1245" xr:uid="{00000000-0005-0000-0000-0000DE040000}"/>
    <cellStyle name="1_tree_쌍용수량0905_3차네고견적(061017-1)" xfId="1246" xr:uid="{00000000-0005-0000-0000-0000DF040000}"/>
    <cellStyle name="1_tree_쌍용수량0905_백화점화장실인테리어" xfId="1247" xr:uid="{00000000-0005-0000-0000-0000E0040000}"/>
    <cellStyle name="1_tree_쌍용수량0905_백화점화장실인테리어_1차 기성 내역서 0612023" xfId="1248" xr:uid="{00000000-0005-0000-0000-0000E1040000}"/>
    <cellStyle name="1_tree_쌍용수량0905_백화점화장실인테리어_3차네고견적(061017-1)" xfId="1249" xr:uid="{00000000-0005-0000-0000-0000E2040000}"/>
    <cellStyle name="1_tree_쌍용수량0905_설계내역서" xfId="1250" xr:uid="{00000000-0005-0000-0000-0000E3040000}"/>
    <cellStyle name="1_tree_쌍용수량0905_설계내역서_1차 기성 내역서 0612023" xfId="1251" xr:uid="{00000000-0005-0000-0000-0000E4040000}"/>
    <cellStyle name="1_tree_쌍용수량0905_설계내역서_3차네고견적(061017-1)" xfId="1252" xr:uid="{00000000-0005-0000-0000-0000E5040000}"/>
    <cellStyle name="1_tree_쌍용수량0905_설계내역서_백화점화장실인테리어" xfId="1253" xr:uid="{00000000-0005-0000-0000-0000E6040000}"/>
    <cellStyle name="1_tree_쌍용수량0905_설계내역서_백화점화장실인테리어_1차 기성 내역서 0612023" xfId="1254" xr:uid="{00000000-0005-0000-0000-0000E7040000}"/>
    <cellStyle name="1_tree_쌍용수량0905_설계내역서_백화점화장실인테리어_3차네고견적(061017-1)" xfId="1255" xr:uid="{00000000-0005-0000-0000-0000E8040000}"/>
    <cellStyle name="1_tree_쌍용수량0905_설계내역서_화명조경" xfId="1256" xr:uid="{00000000-0005-0000-0000-0000E9040000}"/>
    <cellStyle name="1_tree_쌍용수량0905_설계내역서_화명조경_1차 기성 내역서 0612023" xfId="1257" xr:uid="{00000000-0005-0000-0000-0000EA040000}"/>
    <cellStyle name="1_tree_쌍용수량0905_설계내역서_화명조경_3차네고견적(061017-1)" xfId="1258" xr:uid="{00000000-0005-0000-0000-0000EB040000}"/>
    <cellStyle name="1_tree_쌍용수량0905_설계내역서_화명조경_백화점화장실인테리어" xfId="1259" xr:uid="{00000000-0005-0000-0000-0000EC040000}"/>
    <cellStyle name="1_tree_쌍용수량0905_설계내역서_화명조경_백화점화장실인테리어_1차 기성 내역서 0612023" xfId="1260" xr:uid="{00000000-0005-0000-0000-0000ED040000}"/>
    <cellStyle name="1_tree_쌍용수량0905_설계내역서_화명조경_백화점화장실인테리어_3차네고견적(061017-1)" xfId="1261" xr:uid="{00000000-0005-0000-0000-0000EE040000}"/>
    <cellStyle name="1_tree_쌍용수량0905_설계내역서1월7일" xfId="1262" xr:uid="{00000000-0005-0000-0000-0000EF040000}"/>
    <cellStyle name="1_tree_쌍용수량0905_설계내역서1월7일_1차 기성 내역서 0612023" xfId="1263" xr:uid="{00000000-0005-0000-0000-0000F0040000}"/>
    <cellStyle name="1_tree_쌍용수량0905_설계내역서1월7일_3차네고견적(061017-1)" xfId="1264" xr:uid="{00000000-0005-0000-0000-0000F1040000}"/>
    <cellStyle name="1_tree_쌍용수량0905_설계내역서1월7일_백화점화장실인테리어" xfId="1265" xr:uid="{00000000-0005-0000-0000-0000F2040000}"/>
    <cellStyle name="1_tree_쌍용수량0905_설계내역서1월7일_백화점화장실인테리어_1차 기성 내역서 0612023" xfId="1266" xr:uid="{00000000-0005-0000-0000-0000F3040000}"/>
    <cellStyle name="1_tree_쌍용수량0905_설계내역서1월7일_백화점화장실인테리어_3차네고견적(061017-1)" xfId="1267" xr:uid="{00000000-0005-0000-0000-0000F4040000}"/>
    <cellStyle name="1_tree_쌍용수량0905_설계내역서1월7일_화명조경" xfId="1268" xr:uid="{00000000-0005-0000-0000-0000F5040000}"/>
    <cellStyle name="1_tree_쌍용수량0905_설계내역서1월7일_화명조경_1차 기성 내역서 0612023" xfId="1269" xr:uid="{00000000-0005-0000-0000-0000F6040000}"/>
    <cellStyle name="1_tree_쌍용수량0905_설계내역서1월7일_화명조경_3차네고견적(061017-1)" xfId="1270" xr:uid="{00000000-0005-0000-0000-0000F7040000}"/>
    <cellStyle name="1_tree_쌍용수량0905_설계내역서1월7일_화명조경_백화점화장실인테리어" xfId="1271" xr:uid="{00000000-0005-0000-0000-0000F8040000}"/>
    <cellStyle name="1_tree_쌍용수량0905_설계내역서1월7일_화명조경_백화점화장실인테리어_1차 기성 내역서 0612023" xfId="1272" xr:uid="{00000000-0005-0000-0000-0000F9040000}"/>
    <cellStyle name="1_tree_쌍용수량0905_설계내역서1월7일_화명조경_백화점화장실인테리어_3차네고견적(061017-1)" xfId="1273" xr:uid="{00000000-0005-0000-0000-0000FA040000}"/>
    <cellStyle name="1_tree_쌍용수량0905_화명조경" xfId="1274" xr:uid="{00000000-0005-0000-0000-0000FB040000}"/>
    <cellStyle name="1_tree_쌍용수량0905_화명조경_1차 기성 내역서 0612023" xfId="1275" xr:uid="{00000000-0005-0000-0000-0000FC040000}"/>
    <cellStyle name="1_tree_쌍용수량0905_화명조경_3차네고견적(061017-1)" xfId="1276" xr:uid="{00000000-0005-0000-0000-0000FD040000}"/>
    <cellStyle name="1_tree_쌍용수량0905_화명조경_백화점화장실인테리어" xfId="1277" xr:uid="{00000000-0005-0000-0000-0000FE040000}"/>
    <cellStyle name="1_tree_쌍용수량0905_화명조경_백화점화장실인테리어_1차 기성 내역서 0612023" xfId="1278" xr:uid="{00000000-0005-0000-0000-0000FF040000}"/>
    <cellStyle name="1_tree_쌍용수량0905_화명조경_백화점화장실인테리어_3차네고견적(061017-1)" xfId="1279" xr:uid="{00000000-0005-0000-0000-000000050000}"/>
    <cellStyle name="1_tree_원가계산서" xfId="1280" xr:uid="{00000000-0005-0000-0000-000001050000}"/>
    <cellStyle name="1_tree_원가계산서_00갑지" xfId="1281" xr:uid="{00000000-0005-0000-0000-000002050000}"/>
    <cellStyle name="1_tree_원가계산서_00갑지_1차 기성 내역서 0612023" xfId="1282" xr:uid="{00000000-0005-0000-0000-000003050000}"/>
    <cellStyle name="1_tree_원가계산서_00갑지_3차네고견적(061017-1)" xfId="1283" xr:uid="{00000000-0005-0000-0000-000004050000}"/>
    <cellStyle name="1_tree_원가계산서_00갑지_백화점화장실인테리어" xfId="1284" xr:uid="{00000000-0005-0000-0000-000005050000}"/>
    <cellStyle name="1_tree_원가계산서_00갑지_백화점화장실인테리어_1차 기성 내역서 0612023" xfId="1285" xr:uid="{00000000-0005-0000-0000-000006050000}"/>
    <cellStyle name="1_tree_원가계산서_00갑지_백화점화장실인테리어_3차네고견적(061017-1)" xfId="1286" xr:uid="{00000000-0005-0000-0000-000007050000}"/>
    <cellStyle name="1_tree_원가계산서_00갑지_설계내역서" xfId="1287" xr:uid="{00000000-0005-0000-0000-000008050000}"/>
    <cellStyle name="1_tree_원가계산서_00갑지_설계내역서_1차 기성 내역서 0612023" xfId="1288" xr:uid="{00000000-0005-0000-0000-000009050000}"/>
    <cellStyle name="1_tree_원가계산서_00갑지_설계내역서_3차네고견적(061017-1)" xfId="1289" xr:uid="{00000000-0005-0000-0000-00000A050000}"/>
    <cellStyle name="1_tree_원가계산서_00갑지_설계내역서_백화점화장실인테리어" xfId="1290" xr:uid="{00000000-0005-0000-0000-00000B050000}"/>
    <cellStyle name="1_tree_원가계산서_00갑지_설계내역서_백화점화장실인테리어_1차 기성 내역서 0612023" xfId="1291" xr:uid="{00000000-0005-0000-0000-00000C050000}"/>
    <cellStyle name="1_tree_원가계산서_00갑지_설계내역서_백화점화장실인테리어_3차네고견적(061017-1)" xfId="1292" xr:uid="{00000000-0005-0000-0000-00000D050000}"/>
    <cellStyle name="1_tree_원가계산서_00갑지_설계내역서_화명조경" xfId="1293" xr:uid="{00000000-0005-0000-0000-00000E050000}"/>
    <cellStyle name="1_tree_원가계산서_00갑지_설계내역서_화명조경_1차 기성 내역서 0612023" xfId="1294" xr:uid="{00000000-0005-0000-0000-00000F050000}"/>
    <cellStyle name="1_tree_원가계산서_00갑지_설계내역서_화명조경_3차네고견적(061017-1)" xfId="1295" xr:uid="{00000000-0005-0000-0000-000010050000}"/>
    <cellStyle name="1_tree_원가계산서_00갑지_설계내역서_화명조경_백화점화장실인테리어" xfId="1296" xr:uid="{00000000-0005-0000-0000-000011050000}"/>
    <cellStyle name="1_tree_원가계산서_00갑지_설계내역서_화명조경_백화점화장실인테리어_1차 기성 내역서 0612023" xfId="1297" xr:uid="{00000000-0005-0000-0000-000012050000}"/>
    <cellStyle name="1_tree_원가계산서_00갑지_설계내역서_화명조경_백화점화장실인테리어_3차네고견적(061017-1)" xfId="1298" xr:uid="{00000000-0005-0000-0000-000013050000}"/>
    <cellStyle name="1_tree_원가계산서_00갑지_설계내역서1월7일" xfId="1299" xr:uid="{00000000-0005-0000-0000-000014050000}"/>
    <cellStyle name="1_tree_원가계산서_00갑지_설계내역서1월7일_1차 기성 내역서 0612023" xfId="1300" xr:uid="{00000000-0005-0000-0000-000015050000}"/>
    <cellStyle name="1_tree_원가계산서_00갑지_설계내역서1월7일_3차네고견적(061017-1)" xfId="1301" xr:uid="{00000000-0005-0000-0000-000016050000}"/>
    <cellStyle name="1_tree_원가계산서_00갑지_설계내역서1월7일_백화점화장실인테리어" xfId="1302" xr:uid="{00000000-0005-0000-0000-000017050000}"/>
    <cellStyle name="1_tree_원가계산서_00갑지_설계내역서1월7일_백화점화장실인테리어_1차 기성 내역서 0612023" xfId="1303" xr:uid="{00000000-0005-0000-0000-000018050000}"/>
    <cellStyle name="1_tree_원가계산서_00갑지_설계내역서1월7일_백화점화장실인테리어_3차네고견적(061017-1)" xfId="1304" xr:uid="{00000000-0005-0000-0000-000019050000}"/>
    <cellStyle name="1_tree_원가계산서_00갑지_설계내역서1월7일_화명조경" xfId="1305" xr:uid="{00000000-0005-0000-0000-00001A050000}"/>
    <cellStyle name="1_tree_원가계산서_00갑지_설계내역서1월7일_화명조경_1차 기성 내역서 0612023" xfId="1306" xr:uid="{00000000-0005-0000-0000-00001B050000}"/>
    <cellStyle name="1_tree_원가계산서_00갑지_설계내역서1월7일_화명조경_3차네고견적(061017-1)" xfId="1307" xr:uid="{00000000-0005-0000-0000-00001C050000}"/>
    <cellStyle name="1_tree_원가계산서_00갑지_설계내역서1월7일_화명조경_백화점화장실인테리어" xfId="1308" xr:uid="{00000000-0005-0000-0000-00001D050000}"/>
    <cellStyle name="1_tree_원가계산서_00갑지_설계내역서1월7일_화명조경_백화점화장실인테리어_1차 기성 내역서 0612023" xfId="1309" xr:uid="{00000000-0005-0000-0000-00001E050000}"/>
    <cellStyle name="1_tree_원가계산서_00갑지_설계내역서1월7일_화명조경_백화점화장실인테리어_3차네고견적(061017-1)" xfId="1310" xr:uid="{00000000-0005-0000-0000-00001F050000}"/>
    <cellStyle name="1_tree_원가계산서_00갑지_화명조경" xfId="1311" xr:uid="{00000000-0005-0000-0000-000020050000}"/>
    <cellStyle name="1_tree_원가계산서_00갑지_화명조경_1차 기성 내역서 0612023" xfId="1312" xr:uid="{00000000-0005-0000-0000-000021050000}"/>
    <cellStyle name="1_tree_원가계산서_00갑지_화명조경_3차네고견적(061017-1)" xfId="1313" xr:uid="{00000000-0005-0000-0000-000022050000}"/>
    <cellStyle name="1_tree_원가계산서_00갑지_화명조경_백화점화장실인테리어" xfId="1314" xr:uid="{00000000-0005-0000-0000-000023050000}"/>
    <cellStyle name="1_tree_원가계산서_00갑지_화명조경_백화점화장실인테리어_1차 기성 내역서 0612023" xfId="1315" xr:uid="{00000000-0005-0000-0000-000024050000}"/>
    <cellStyle name="1_tree_원가계산서_00갑지_화명조경_백화점화장실인테리어_3차네고견적(061017-1)" xfId="1316" xr:uid="{00000000-0005-0000-0000-000025050000}"/>
    <cellStyle name="1_tree_원가계산서_1차 기성 내역서 0612023" xfId="1317" xr:uid="{00000000-0005-0000-0000-000026050000}"/>
    <cellStyle name="1_tree_원가계산서_3차네고견적(061017-1)" xfId="1318" xr:uid="{00000000-0005-0000-0000-000027050000}"/>
    <cellStyle name="1_tree_원가계산서_과천놀이터설계서" xfId="1319" xr:uid="{00000000-0005-0000-0000-000028050000}"/>
    <cellStyle name="1_tree_원가계산서_과천놀이터설계서_1차 기성 내역서 0612023" xfId="1320" xr:uid="{00000000-0005-0000-0000-000029050000}"/>
    <cellStyle name="1_tree_원가계산서_과천놀이터설계서_3차네고견적(061017-1)" xfId="1321" xr:uid="{00000000-0005-0000-0000-00002A050000}"/>
    <cellStyle name="1_tree_원가계산서_과천놀이터설계서_백화점화장실인테리어" xfId="1322" xr:uid="{00000000-0005-0000-0000-00002B050000}"/>
    <cellStyle name="1_tree_원가계산서_과천놀이터설계서_백화점화장실인테리어_1차 기성 내역서 0612023" xfId="1323" xr:uid="{00000000-0005-0000-0000-00002C050000}"/>
    <cellStyle name="1_tree_원가계산서_과천놀이터설계서_백화점화장실인테리어_3차네고견적(061017-1)" xfId="1324" xr:uid="{00000000-0005-0000-0000-00002D050000}"/>
    <cellStyle name="1_tree_원가계산서_과천놀이터설계서_설계내역서" xfId="1325" xr:uid="{00000000-0005-0000-0000-00002E050000}"/>
    <cellStyle name="1_tree_원가계산서_과천놀이터설계서_설계내역서_1차 기성 내역서 0612023" xfId="1326" xr:uid="{00000000-0005-0000-0000-00002F050000}"/>
    <cellStyle name="1_tree_원가계산서_과천놀이터설계서_설계내역서_3차네고견적(061017-1)" xfId="1327" xr:uid="{00000000-0005-0000-0000-000030050000}"/>
    <cellStyle name="1_tree_원가계산서_과천놀이터설계서_설계내역서_백화점화장실인테리어" xfId="1328" xr:uid="{00000000-0005-0000-0000-000031050000}"/>
    <cellStyle name="1_tree_원가계산서_과천놀이터설계서_설계내역서_백화점화장실인테리어_1차 기성 내역서 0612023" xfId="1329" xr:uid="{00000000-0005-0000-0000-000032050000}"/>
    <cellStyle name="1_tree_원가계산서_과천놀이터설계서_설계내역서_백화점화장실인테리어_3차네고견적(061017-1)" xfId="1330" xr:uid="{00000000-0005-0000-0000-000033050000}"/>
    <cellStyle name="1_tree_원가계산서_과천놀이터설계서_설계내역서_화명조경" xfId="1331" xr:uid="{00000000-0005-0000-0000-000034050000}"/>
    <cellStyle name="1_tree_원가계산서_과천놀이터설계서_설계내역서_화명조경_1차 기성 내역서 0612023" xfId="1332" xr:uid="{00000000-0005-0000-0000-000035050000}"/>
    <cellStyle name="1_tree_원가계산서_과천놀이터설계서_설계내역서_화명조경_3차네고견적(061017-1)" xfId="1333" xr:uid="{00000000-0005-0000-0000-000036050000}"/>
    <cellStyle name="1_tree_원가계산서_과천놀이터설계서_설계내역서_화명조경_백화점화장실인테리어" xfId="1334" xr:uid="{00000000-0005-0000-0000-000037050000}"/>
    <cellStyle name="1_tree_원가계산서_과천놀이터설계서_설계내역서_화명조경_백화점화장실인테리어_1차 기성 내역서 0612023" xfId="1335" xr:uid="{00000000-0005-0000-0000-000038050000}"/>
    <cellStyle name="1_tree_원가계산서_과천놀이터설계서_설계내역서_화명조경_백화점화장실인테리어_3차네고견적(061017-1)" xfId="1336" xr:uid="{00000000-0005-0000-0000-000039050000}"/>
    <cellStyle name="1_tree_원가계산서_과천놀이터설계서_설계내역서1월7일" xfId="1337" xr:uid="{00000000-0005-0000-0000-00003A050000}"/>
    <cellStyle name="1_tree_원가계산서_과천놀이터설계서_설계내역서1월7일_1차 기성 내역서 0612023" xfId="1338" xr:uid="{00000000-0005-0000-0000-00003B050000}"/>
    <cellStyle name="1_tree_원가계산서_과천놀이터설계서_설계내역서1월7일_3차네고견적(061017-1)" xfId="1339" xr:uid="{00000000-0005-0000-0000-00003C050000}"/>
    <cellStyle name="1_tree_원가계산서_과천놀이터설계서_설계내역서1월7일_백화점화장실인테리어" xfId="1340" xr:uid="{00000000-0005-0000-0000-00003D050000}"/>
    <cellStyle name="1_tree_원가계산서_과천놀이터설계서_설계내역서1월7일_백화점화장실인테리어_1차 기성 내역서 0612023" xfId="1341" xr:uid="{00000000-0005-0000-0000-00003E050000}"/>
    <cellStyle name="1_tree_원가계산서_과천놀이터설계서_설계내역서1월7일_백화점화장실인테리어_3차네고견적(061017-1)" xfId="1342" xr:uid="{00000000-0005-0000-0000-00003F050000}"/>
    <cellStyle name="1_tree_원가계산서_과천놀이터설계서_설계내역서1월7일_화명조경" xfId="1343" xr:uid="{00000000-0005-0000-0000-000040050000}"/>
    <cellStyle name="1_tree_원가계산서_과천놀이터설계서_설계내역서1월7일_화명조경_1차 기성 내역서 0612023" xfId="1344" xr:uid="{00000000-0005-0000-0000-000041050000}"/>
    <cellStyle name="1_tree_원가계산서_과천놀이터설계서_설계내역서1월7일_화명조경_3차네고견적(061017-1)" xfId="1345" xr:uid="{00000000-0005-0000-0000-000042050000}"/>
    <cellStyle name="1_tree_원가계산서_과천놀이터설계서_설계내역서1월7일_화명조경_백화점화장실인테리어" xfId="1346" xr:uid="{00000000-0005-0000-0000-000043050000}"/>
    <cellStyle name="1_tree_원가계산서_과천놀이터설계서_설계내역서1월7일_화명조경_백화점화장실인테리어_1차 기성 내역서 0612023" xfId="1347" xr:uid="{00000000-0005-0000-0000-000044050000}"/>
    <cellStyle name="1_tree_원가계산서_과천놀이터설계서_설계내역서1월7일_화명조경_백화점화장실인테리어_3차네고견적(061017-1)" xfId="1348" xr:uid="{00000000-0005-0000-0000-000045050000}"/>
    <cellStyle name="1_tree_원가계산서_과천놀이터설계서_화명조경" xfId="1349" xr:uid="{00000000-0005-0000-0000-000046050000}"/>
    <cellStyle name="1_tree_원가계산서_과천놀이터설계서_화명조경_1차 기성 내역서 0612023" xfId="1350" xr:uid="{00000000-0005-0000-0000-000047050000}"/>
    <cellStyle name="1_tree_원가계산서_과천놀이터설계서_화명조경_3차네고견적(061017-1)" xfId="1351" xr:uid="{00000000-0005-0000-0000-000048050000}"/>
    <cellStyle name="1_tree_원가계산서_과천놀이터설계서_화명조경_백화점화장실인테리어" xfId="1352" xr:uid="{00000000-0005-0000-0000-000049050000}"/>
    <cellStyle name="1_tree_원가계산서_과천놀이터설계서_화명조경_백화점화장실인테리어_1차 기성 내역서 0612023" xfId="1353" xr:uid="{00000000-0005-0000-0000-00004A050000}"/>
    <cellStyle name="1_tree_원가계산서_과천놀이터설계서_화명조경_백화점화장실인테리어_3차네고견적(061017-1)" xfId="1354" xr:uid="{00000000-0005-0000-0000-00004B050000}"/>
    <cellStyle name="1_tree_원가계산서_백화점화장실인테리어" xfId="1355" xr:uid="{00000000-0005-0000-0000-00004C050000}"/>
    <cellStyle name="1_tree_원가계산서_백화점화장실인테리어_1차 기성 내역서 0612023" xfId="1356" xr:uid="{00000000-0005-0000-0000-00004D050000}"/>
    <cellStyle name="1_tree_원가계산서_백화점화장실인테리어_3차네고견적(061017-1)" xfId="1357" xr:uid="{00000000-0005-0000-0000-00004E050000}"/>
    <cellStyle name="1_tree_원가계산서_총괄갑지" xfId="1358" xr:uid="{00000000-0005-0000-0000-00004F050000}"/>
    <cellStyle name="1_tree_원가계산서_총괄갑지_1차 기성 내역서 0612023" xfId="1359" xr:uid="{00000000-0005-0000-0000-000050050000}"/>
    <cellStyle name="1_tree_원가계산서_총괄갑지_3차네고견적(061017-1)" xfId="1360" xr:uid="{00000000-0005-0000-0000-000051050000}"/>
    <cellStyle name="1_tree_원가계산서_총괄갑지_백화점화장실인테리어" xfId="1361" xr:uid="{00000000-0005-0000-0000-000052050000}"/>
    <cellStyle name="1_tree_원가계산서_총괄갑지_백화점화장실인테리어_1차 기성 내역서 0612023" xfId="1362" xr:uid="{00000000-0005-0000-0000-000053050000}"/>
    <cellStyle name="1_tree_원가계산서_총괄갑지_백화점화장실인테리어_3차네고견적(061017-1)" xfId="1363" xr:uid="{00000000-0005-0000-0000-000054050000}"/>
    <cellStyle name="1_tree_원가계산서_총괄갑지_설계내역서" xfId="1364" xr:uid="{00000000-0005-0000-0000-000055050000}"/>
    <cellStyle name="1_tree_원가계산서_총괄갑지_설계내역서_1차 기성 내역서 0612023" xfId="1365" xr:uid="{00000000-0005-0000-0000-000056050000}"/>
    <cellStyle name="1_tree_원가계산서_총괄갑지_설계내역서_3차네고견적(061017-1)" xfId="1366" xr:uid="{00000000-0005-0000-0000-000057050000}"/>
    <cellStyle name="1_tree_원가계산서_총괄갑지_설계내역서_백화점화장실인테리어" xfId="1367" xr:uid="{00000000-0005-0000-0000-000058050000}"/>
    <cellStyle name="1_tree_원가계산서_총괄갑지_설계내역서_백화점화장실인테리어_1차 기성 내역서 0612023" xfId="1368" xr:uid="{00000000-0005-0000-0000-000059050000}"/>
    <cellStyle name="1_tree_원가계산서_총괄갑지_설계내역서_백화점화장실인테리어_3차네고견적(061017-1)" xfId="1369" xr:uid="{00000000-0005-0000-0000-00005A050000}"/>
    <cellStyle name="1_tree_원가계산서_총괄갑지_설계내역서_화명조경" xfId="1370" xr:uid="{00000000-0005-0000-0000-00005B050000}"/>
    <cellStyle name="1_tree_원가계산서_총괄갑지_설계내역서_화명조경_1차 기성 내역서 0612023" xfId="1371" xr:uid="{00000000-0005-0000-0000-00005C050000}"/>
    <cellStyle name="1_tree_원가계산서_총괄갑지_설계내역서_화명조경_3차네고견적(061017-1)" xfId="1372" xr:uid="{00000000-0005-0000-0000-00005D050000}"/>
    <cellStyle name="1_tree_원가계산서_총괄갑지_설계내역서_화명조경_백화점화장실인테리어" xfId="1373" xr:uid="{00000000-0005-0000-0000-00005E050000}"/>
    <cellStyle name="1_tree_원가계산서_총괄갑지_설계내역서_화명조경_백화점화장실인테리어_1차 기성 내역서 0612023" xfId="1374" xr:uid="{00000000-0005-0000-0000-00005F050000}"/>
    <cellStyle name="1_tree_원가계산서_총괄갑지_설계내역서_화명조경_백화점화장실인테리어_3차네고견적(061017-1)" xfId="1375" xr:uid="{00000000-0005-0000-0000-000060050000}"/>
    <cellStyle name="1_tree_원가계산서_총괄갑지_설계내역서1월7일" xfId="1376" xr:uid="{00000000-0005-0000-0000-000061050000}"/>
    <cellStyle name="1_tree_원가계산서_총괄갑지_설계내역서1월7일_1차 기성 내역서 0612023" xfId="1377" xr:uid="{00000000-0005-0000-0000-000062050000}"/>
    <cellStyle name="1_tree_원가계산서_총괄갑지_설계내역서1월7일_3차네고견적(061017-1)" xfId="1378" xr:uid="{00000000-0005-0000-0000-000063050000}"/>
    <cellStyle name="1_tree_원가계산서_총괄갑지_설계내역서1월7일_백화점화장실인테리어" xfId="1379" xr:uid="{00000000-0005-0000-0000-000064050000}"/>
    <cellStyle name="1_tree_원가계산서_총괄갑지_설계내역서1월7일_백화점화장실인테리어_1차 기성 내역서 0612023" xfId="1380" xr:uid="{00000000-0005-0000-0000-000065050000}"/>
    <cellStyle name="1_tree_원가계산서_총괄갑지_설계내역서1월7일_백화점화장실인테리어_3차네고견적(061017-1)" xfId="1381" xr:uid="{00000000-0005-0000-0000-000066050000}"/>
    <cellStyle name="1_tree_원가계산서_총괄갑지_설계내역서1월7일_화명조경" xfId="1382" xr:uid="{00000000-0005-0000-0000-000067050000}"/>
    <cellStyle name="1_tree_원가계산서_총괄갑지_설계내역서1월7일_화명조경_1차 기성 내역서 0612023" xfId="1383" xr:uid="{00000000-0005-0000-0000-000068050000}"/>
    <cellStyle name="1_tree_원가계산서_총괄갑지_설계내역서1월7일_화명조경_3차네고견적(061017-1)" xfId="1384" xr:uid="{00000000-0005-0000-0000-000069050000}"/>
    <cellStyle name="1_tree_원가계산서_총괄갑지_설계내역서1월7일_화명조경_백화점화장실인테리어" xfId="1385" xr:uid="{00000000-0005-0000-0000-00006A050000}"/>
    <cellStyle name="1_tree_원가계산서_총괄갑지_설계내역서1월7일_화명조경_백화점화장실인테리어_1차 기성 내역서 0612023" xfId="1386" xr:uid="{00000000-0005-0000-0000-00006B050000}"/>
    <cellStyle name="1_tree_원가계산서_총괄갑지_설계내역서1월7일_화명조경_백화점화장실인테리어_3차네고견적(061017-1)" xfId="1387" xr:uid="{00000000-0005-0000-0000-00006C050000}"/>
    <cellStyle name="1_tree_원가계산서_총괄갑지_화명조경" xfId="1388" xr:uid="{00000000-0005-0000-0000-00006D050000}"/>
    <cellStyle name="1_tree_원가계산서_총괄갑지_화명조경_1차 기성 내역서 0612023" xfId="1389" xr:uid="{00000000-0005-0000-0000-00006E050000}"/>
    <cellStyle name="1_tree_원가계산서_총괄갑지_화명조경_3차네고견적(061017-1)" xfId="1390" xr:uid="{00000000-0005-0000-0000-00006F050000}"/>
    <cellStyle name="1_tree_원가계산서_총괄갑지_화명조경_백화점화장실인테리어" xfId="1391" xr:uid="{00000000-0005-0000-0000-000070050000}"/>
    <cellStyle name="1_tree_원가계산서_총괄갑지_화명조경_백화점화장실인테리어_1차 기성 내역서 0612023" xfId="1392" xr:uid="{00000000-0005-0000-0000-000071050000}"/>
    <cellStyle name="1_tree_원가계산서_총괄갑지_화명조경_백화점화장실인테리어_3차네고견적(061017-1)" xfId="1393" xr:uid="{00000000-0005-0000-0000-000072050000}"/>
    <cellStyle name="1_tree_원가계산서_총괄내역서" xfId="1394" xr:uid="{00000000-0005-0000-0000-000073050000}"/>
    <cellStyle name="1_tree_원가계산서_총괄내역서_1차 기성 내역서 0612023" xfId="1395" xr:uid="{00000000-0005-0000-0000-000074050000}"/>
    <cellStyle name="1_tree_원가계산서_총괄내역서_3차네고견적(061017-1)" xfId="1396" xr:uid="{00000000-0005-0000-0000-000075050000}"/>
    <cellStyle name="1_tree_원가계산서_총괄내역서_백화점화장실인테리어" xfId="1397" xr:uid="{00000000-0005-0000-0000-000076050000}"/>
    <cellStyle name="1_tree_원가계산서_총괄내역서_백화점화장실인테리어_1차 기성 내역서 0612023" xfId="1398" xr:uid="{00000000-0005-0000-0000-000077050000}"/>
    <cellStyle name="1_tree_원가계산서_총괄내역서_백화점화장실인테리어_3차네고견적(061017-1)" xfId="1399" xr:uid="{00000000-0005-0000-0000-000078050000}"/>
    <cellStyle name="1_tree_원가계산서_총괄내역서_설계내역서" xfId="1400" xr:uid="{00000000-0005-0000-0000-000079050000}"/>
    <cellStyle name="1_tree_원가계산서_총괄내역서_설계내역서_1차 기성 내역서 0612023" xfId="1401" xr:uid="{00000000-0005-0000-0000-00007A050000}"/>
    <cellStyle name="1_tree_원가계산서_총괄내역서_설계내역서_3차네고견적(061017-1)" xfId="1402" xr:uid="{00000000-0005-0000-0000-00007B050000}"/>
    <cellStyle name="1_tree_원가계산서_총괄내역서_설계내역서_백화점화장실인테리어" xfId="1403" xr:uid="{00000000-0005-0000-0000-00007C050000}"/>
    <cellStyle name="1_tree_원가계산서_총괄내역서_설계내역서_백화점화장실인테리어_1차 기성 내역서 0612023" xfId="1404" xr:uid="{00000000-0005-0000-0000-00007D050000}"/>
    <cellStyle name="1_tree_원가계산서_총괄내역서_설계내역서_백화점화장실인테리어_3차네고견적(061017-1)" xfId="1405" xr:uid="{00000000-0005-0000-0000-00007E050000}"/>
    <cellStyle name="1_tree_원가계산서_총괄내역서_설계내역서_화명조경" xfId="1406" xr:uid="{00000000-0005-0000-0000-00007F050000}"/>
    <cellStyle name="1_tree_원가계산서_총괄내역서_설계내역서_화명조경_1차 기성 내역서 0612023" xfId="1407" xr:uid="{00000000-0005-0000-0000-000080050000}"/>
    <cellStyle name="1_tree_원가계산서_총괄내역서_설계내역서_화명조경_3차네고견적(061017-1)" xfId="1408" xr:uid="{00000000-0005-0000-0000-000081050000}"/>
    <cellStyle name="1_tree_원가계산서_총괄내역서_설계내역서_화명조경_백화점화장실인테리어" xfId="1409" xr:uid="{00000000-0005-0000-0000-000082050000}"/>
    <cellStyle name="1_tree_원가계산서_총괄내역서_설계내역서_화명조경_백화점화장실인테리어_1차 기성 내역서 0612023" xfId="1410" xr:uid="{00000000-0005-0000-0000-000083050000}"/>
    <cellStyle name="1_tree_원가계산서_총괄내역서_설계내역서_화명조경_백화점화장실인테리어_3차네고견적(061017-1)" xfId="1411" xr:uid="{00000000-0005-0000-0000-000084050000}"/>
    <cellStyle name="1_tree_원가계산서_총괄내역서_설계내역서1월7일" xfId="1412" xr:uid="{00000000-0005-0000-0000-000085050000}"/>
    <cellStyle name="1_tree_원가계산서_총괄내역서_설계내역서1월7일_1차 기성 내역서 0612023" xfId="1413" xr:uid="{00000000-0005-0000-0000-000086050000}"/>
    <cellStyle name="1_tree_원가계산서_총괄내역서_설계내역서1월7일_3차네고견적(061017-1)" xfId="1414" xr:uid="{00000000-0005-0000-0000-000087050000}"/>
    <cellStyle name="1_tree_원가계산서_총괄내역서_설계내역서1월7일_백화점화장실인테리어" xfId="1415" xr:uid="{00000000-0005-0000-0000-000088050000}"/>
    <cellStyle name="1_tree_원가계산서_총괄내역서_설계내역서1월7일_백화점화장실인테리어_1차 기성 내역서 0612023" xfId="1416" xr:uid="{00000000-0005-0000-0000-000089050000}"/>
    <cellStyle name="1_tree_원가계산서_총괄내역서_설계내역서1월7일_백화점화장실인테리어_3차네고견적(061017-1)" xfId="1417" xr:uid="{00000000-0005-0000-0000-00008A050000}"/>
    <cellStyle name="1_tree_원가계산서_총괄내역서_설계내역서1월7일_화명조경" xfId="1418" xr:uid="{00000000-0005-0000-0000-00008B050000}"/>
    <cellStyle name="1_tree_원가계산서_총괄내역서_설계내역서1월7일_화명조경_1차 기성 내역서 0612023" xfId="1419" xr:uid="{00000000-0005-0000-0000-00008C050000}"/>
    <cellStyle name="1_tree_원가계산서_총괄내역서_설계내역서1월7일_화명조경_3차네고견적(061017-1)" xfId="1420" xr:uid="{00000000-0005-0000-0000-00008D050000}"/>
    <cellStyle name="1_tree_원가계산서_총괄내역서_설계내역서1월7일_화명조경_백화점화장실인테리어" xfId="1421" xr:uid="{00000000-0005-0000-0000-00008E050000}"/>
    <cellStyle name="1_tree_원가계산서_총괄내역서_설계내역서1월7일_화명조경_백화점화장실인테리어_1차 기성 내역서 0612023" xfId="1422" xr:uid="{00000000-0005-0000-0000-00008F050000}"/>
    <cellStyle name="1_tree_원가계산서_총괄내역서_설계내역서1월7일_화명조경_백화점화장실인테리어_3차네고견적(061017-1)" xfId="1423" xr:uid="{00000000-0005-0000-0000-000090050000}"/>
    <cellStyle name="1_tree_원가계산서_총괄내역서_화명조경" xfId="1424" xr:uid="{00000000-0005-0000-0000-000091050000}"/>
    <cellStyle name="1_tree_원가계산서_총괄내역서_화명조경_1차 기성 내역서 0612023" xfId="1425" xr:uid="{00000000-0005-0000-0000-000092050000}"/>
    <cellStyle name="1_tree_원가계산서_총괄내역서_화명조경_3차네고견적(061017-1)" xfId="1426" xr:uid="{00000000-0005-0000-0000-000093050000}"/>
    <cellStyle name="1_tree_원가계산서_총괄내역서_화명조경_백화점화장실인테리어" xfId="1427" xr:uid="{00000000-0005-0000-0000-000094050000}"/>
    <cellStyle name="1_tree_원가계산서_총괄내역서_화명조경_백화점화장실인테리어_1차 기성 내역서 0612023" xfId="1428" xr:uid="{00000000-0005-0000-0000-000095050000}"/>
    <cellStyle name="1_tree_원가계산서_총괄내역서_화명조경_백화점화장실인테리어_3차네고견적(061017-1)" xfId="1429" xr:uid="{00000000-0005-0000-0000-000096050000}"/>
    <cellStyle name="1_tree_원가계산서_화명조경" xfId="1430" xr:uid="{00000000-0005-0000-0000-000097050000}"/>
    <cellStyle name="1_tree_원가계산서_화명조경_1차 기성 내역서 0612023" xfId="1431" xr:uid="{00000000-0005-0000-0000-000098050000}"/>
    <cellStyle name="1_tree_원가계산서_화명조경_3차네고견적(061017-1)" xfId="1432" xr:uid="{00000000-0005-0000-0000-000099050000}"/>
    <cellStyle name="1_tree_원가계산서_화명조경_백화점화장실인테리어" xfId="1433" xr:uid="{00000000-0005-0000-0000-00009A050000}"/>
    <cellStyle name="1_tree_원가계산서_화명조경_백화점화장실인테리어_1차 기성 내역서 0612023" xfId="1434" xr:uid="{00000000-0005-0000-0000-00009B050000}"/>
    <cellStyle name="1_tree_원가계산서_화명조경_백화점화장실인테리어_3차네고견적(061017-1)" xfId="1435" xr:uid="{00000000-0005-0000-0000-00009C050000}"/>
    <cellStyle name="1_tree_은파수량집계" xfId="1436" xr:uid="{00000000-0005-0000-0000-00009D050000}"/>
    <cellStyle name="1_tree_은파수량집계_1차 기성 내역서 0612023" xfId="1437" xr:uid="{00000000-0005-0000-0000-00009E050000}"/>
    <cellStyle name="1_tree_은파수량집계_3차네고견적(061017-1)" xfId="1438" xr:uid="{00000000-0005-0000-0000-00009F050000}"/>
    <cellStyle name="1_tree_은파수량집계_백화점화장실인테리어" xfId="1439" xr:uid="{00000000-0005-0000-0000-0000A0050000}"/>
    <cellStyle name="1_tree_은파수량집계_백화점화장실인테리어_1차 기성 내역서 0612023" xfId="1440" xr:uid="{00000000-0005-0000-0000-0000A1050000}"/>
    <cellStyle name="1_tree_은파수량집계_백화점화장실인테리어_3차네고견적(061017-1)" xfId="1441" xr:uid="{00000000-0005-0000-0000-0000A2050000}"/>
    <cellStyle name="1_tree_은파수량집계_설계내역서" xfId="1442" xr:uid="{00000000-0005-0000-0000-0000A3050000}"/>
    <cellStyle name="1_tree_은파수량집계_설계내역서_1차 기성 내역서 0612023" xfId="1443" xr:uid="{00000000-0005-0000-0000-0000A4050000}"/>
    <cellStyle name="1_tree_은파수량집계_설계내역서_3차네고견적(061017-1)" xfId="1444" xr:uid="{00000000-0005-0000-0000-0000A5050000}"/>
    <cellStyle name="1_tree_은파수량집계_설계내역서_백화점화장실인테리어" xfId="1445" xr:uid="{00000000-0005-0000-0000-0000A6050000}"/>
    <cellStyle name="1_tree_은파수량집계_설계내역서_백화점화장실인테리어_1차 기성 내역서 0612023" xfId="1446" xr:uid="{00000000-0005-0000-0000-0000A7050000}"/>
    <cellStyle name="1_tree_은파수량집계_설계내역서_백화점화장실인테리어_3차네고견적(061017-1)" xfId="1447" xr:uid="{00000000-0005-0000-0000-0000A8050000}"/>
    <cellStyle name="1_tree_은파수량집계_설계내역서_화명조경" xfId="1448" xr:uid="{00000000-0005-0000-0000-0000A9050000}"/>
    <cellStyle name="1_tree_은파수량집계_설계내역서_화명조경_1차 기성 내역서 0612023" xfId="1449" xr:uid="{00000000-0005-0000-0000-0000AA050000}"/>
    <cellStyle name="1_tree_은파수량집계_설계내역서_화명조경_3차네고견적(061017-1)" xfId="1450" xr:uid="{00000000-0005-0000-0000-0000AB050000}"/>
    <cellStyle name="1_tree_은파수량집계_설계내역서_화명조경_백화점화장실인테리어" xfId="1451" xr:uid="{00000000-0005-0000-0000-0000AC050000}"/>
    <cellStyle name="1_tree_은파수량집계_설계내역서_화명조경_백화점화장실인테리어_1차 기성 내역서 0612023" xfId="1452" xr:uid="{00000000-0005-0000-0000-0000AD050000}"/>
    <cellStyle name="1_tree_은파수량집계_설계내역서_화명조경_백화점화장실인테리어_3차네고견적(061017-1)" xfId="1453" xr:uid="{00000000-0005-0000-0000-0000AE050000}"/>
    <cellStyle name="1_tree_은파수량집계_설계내역서1월7일" xfId="1454" xr:uid="{00000000-0005-0000-0000-0000AF050000}"/>
    <cellStyle name="1_tree_은파수량집계_설계내역서1월7일_1차 기성 내역서 0612023" xfId="1455" xr:uid="{00000000-0005-0000-0000-0000B0050000}"/>
    <cellStyle name="1_tree_은파수량집계_설계내역서1월7일_3차네고견적(061017-1)" xfId="1456" xr:uid="{00000000-0005-0000-0000-0000B1050000}"/>
    <cellStyle name="1_tree_은파수량집계_설계내역서1월7일_백화점화장실인테리어" xfId="1457" xr:uid="{00000000-0005-0000-0000-0000B2050000}"/>
    <cellStyle name="1_tree_은파수량집계_설계내역서1월7일_백화점화장실인테리어_1차 기성 내역서 0612023" xfId="1458" xr:uid="{00000000-0005-0000-0000-0000B3050000}"/>
    <cellStyle name="1_tree_은파수량집계_설계내역서1월7일_백화점화장실인테리어_3차네고견적(061017-1)" xfId="1459" xr:uid="{00000000-0005-0000-0000-0000B4050000}"/>
    <cellStyle name="1_tree_은파수량집계_설계내역서1월7일_화명조경" xfId="1460" xr:uid="{00000000-0005-0000-0000-0000B5050000}"/>
    <cellStyle name="1_tree_은파수량집계_설계내역서1월7일_화명조경_1차 기성 내역서 0612023" xfId="1461" xr:uid="{00000000-0005-0000-0000-0000B6050000}"/>
    <cellStyle name="1_tree_은파수량집계_설계내역서1월7일_화명조경_3차네고견적(061017-1)" xfId="1462" xr:uid="{00000000-0005-0000-0000-0000B7050000}"/>
    <cellStyle name="1_tree_은파수량집계_설계내역서1월7일_화명조경_백화점화장실인테리어" xfId="1463" xr:uid="{00000000-0005-0000-0000-0000B8050000}"/>
    <cellStyle name="1_tree_은파수량집계_설계내역서1월7일_화명조경_백화점화장실인테리어_1차 기성 내역서 0612023" xfId="1464" xr:uid="{00000000-0005-0000-0000-0000B9050000}"/>
    <cellStyle name="1_tree_은파수량집계_설계내역서1월7일_화명조경_백화점화장실인테리어_3차네고견적(061017-1)" xfId="1465" xr:uid="{00000000-0005-0000-0000-0000BA050000}"/>
    <cellStyle name="1_tree_은파수량집계_화명조경" xfId="1466" xr:uid="{00000000-0005-0000-0000-0000BB050000}"/>
    <cellStyle name="1_tree_은파수량집계_화명조경_1차 기성 내역서 0612023" xfId="1467" xr:uid="{00000000-0005-0000-0000-0000BC050000}"/>
    <cellStyle name="1_tree_은파수량집계_화명조경_3차네고견적(061017-1)" xfId="1468" xr:uid="{00000000-0005-0000-0000-0000BD050000}"/>
    <cellStyle name="1_tree_은파수량집계_화명조경_백화점화장실인테리어" xfId="1469" xr:uid="{00000000-0005-0000-0000-0000BE050000}"/>
    <cellStyle name="1_tree_은파수량집계_화명조경_백화점화장실인테리어_1차 기성 내역서 0612023" xfId="1470" xr:uid="{00000000-0005-0000-0000-0000BF050000}"/>
    <cellStyle name="1_tree_은파수량집계_화명조경_백화점화장실인테리어_3차네고견적(061017-1)" xfId="1471" xr:uid="{00000000-0005-0000-0000-0000C0050000}"/>
    <cellStyle name="1_tree_터미널1-0" xfId="1472" xr:uid="{00000000-0005-0000-0000-0000C1050000}"/>
    <cellStyle name="1_tree_터미널1-0_1" xfId="1473" xr:uid="{00000000-0005-0000-0000-0000C2050000}"/>
    <cellStyle name="1_tree_터미널1-0_1_1차 기성 내역서 0612023" xfId="1474" xr:uid="{00000000-0005-0000-0000-0000C3050000}"/>
    <cellStyle name="1_tree_터미널1-0_1_3차네고견적(061017-1)" xfId="1475" xr:uid="{00000000-0005-0000-0000-0000C4050000}"/>
    <cellStyle name="1_tree_터미널1-0_1_백화점화장실인테리어" xfId="1476" xr:uid="{00000000-0005-0000-0000-0000C5050000}"/>
    <cellStyle name="1_tree_터미널1-0_1_백화점화장실인테리어_1차 기성 내역서 0612023" xfId="1477" xr:uid="{00000000-0005-0000-0000-0000C6050000}"/>
    <cellStyle name="1_tree_터미널1-0_1_백화점화장실인테리어_3차네고견적(061017-1)" xfId="1478" xr:uid="{00000000-0005-0000-0000-0000C7050000}"/>
    <cellStyle name="1_tree_터미널1-0_1_화명조경" xfId="1479" xr:uid="{00000000-0005-0000-0000-0000C8050000}"/>
    <cellStyle name="1_tree_터미널1-0_1_화명조경_1차 기성 내역서 0612023" xfId="1480" xr:uid="{00000000-0005-0000-0000-0000C9050000}"/>
    <cellStyle name="1_tree_터미널1-0_1_화명조경_3차네고견적(061017-1)" xfId="1481" xr:uid="{00000000-0005-0000-0000-0000CA050000}"/>
    <cellStyle name="1_tree_터미널1-0_1_화명조경_백화점화장실인테리어" xfId="1482" xr:uid="{00000000-0005-0000-0000-0000CB050000}"/>
    <cellStyle name="1_tree_터미널1-0_1_화명조경_백화점화장실인테리어_1차 기성 내역서 0612023" xfId="1483" xr:uid="{00000000-0005-0000-0000-0000CC050000}"/>
    <cellStyle name="1_tree_터미널1-0_1_화명조경_백화점화장실인테리어_3차네고견적(061017-1)" xfId="1484" xr:uid="{00000000-0005-0000-0000-0000CD050000}"/>
    <cellStyle name="1_tree_터미널1-0_1차 기성 내역서 0612023" xfId="1485" xr:uid="{00000000-0005-0000-0000-0000CE050000}"/>
    <cellStyle name="1_tree_터미널1-0_3차네고견적(061017-1)" xfId="1486" xr:uid="{00000000-0005-0000-0000-0000CF050000}"/>
    <cellStyle name="1_tree_터미널1-0_백화점화장실인테리어" xfId="1487" xr:uid="{00000000-0005-0000-0000-0000D0050000}"/>
    <cellStyle name="1_tree_터미널1-0_백화점화장실인테리어_1차 기성 내역서 0612023" xfId="1488" xr:uid="{00000000-0005-0000-0000-0000D1050000}"/>
    <cellStyle name="1_tree_터미널1-0_백화점화장실인테리어_3차네고견적(061017-1)" xfId="1489" xr:uid="{00000000-0005-0000-0000-0000D2050000}"/>
    <cellStyle name="1_tree_터미널1-0_설계내역서" xfId="1490" xr:uid="{00000000-0005-0000-0000-0000D3050000}"/>
    <cellStyle name="1_tree_터미널1-0_설계내역서_1차 기성 내역서 0612023" xfId="1491" xr:uid="{00000000-0005-0000-0000-0000D4050000}"/>
    <cellStyle name="1_tree_터미널1-0_설계내역서_3차네고견적(061017-1)" xfId="1492" xr:uid="{00000000-0005-0000-0000-0000D5050000}"/>
    <cellStyle name="1_tree_터미널1-0_설계내역서_백화점화장실인테리어" xfId="1493" xr:uid="{00000000-0005-0000-0000-0000D6050000}"/>
    <cellStyle name="1_tree_터미널1-0_설계내역서_백화점화장실인테리어_1차 기성 내역서 0612023" xfId="1494" xr:uid="{00000000-0005-0000-0000-0000D7050000}"/>
    <cellStyle name="1_tree_터미널1-0_설계내역서_백화점화장실인테리어_3차네고견적(061017-1)" xfId="1495" xr:uid="{00000000-0005-0000-0000-0000D8050000}"/>
    <cellStyle name="1_tree_터미널1-0_설계내역서_화명조경" xfId="1496" xr:uid="{00000000-0005-0000-0000-0000D9050000}"/>
    <cellStyle name="1_tree_터미널1-0_설계내역서_화명조경_1차 기성 내역서 0612023" xfId="1497" xr:uid="{00000000-0005-0000-0000-0000DA050000}"/>
    <cellStyle name="1_tree_터미널1-0_설계내역서_화명조경_3차네고견적(061017-1)" xfId="1498" xr:uid="{00000000-0005-0000-0000-0000DB050000}"/>
    <cellStyle name="1_tree_터미널1-0_설계내역서_화명조경_백화점화장실인테리어" xfId="1499" xr:uid="{00000000-0005-0000-0000-0000DC050000}"/>
    <cellStyle name="1_tree_터미널1-0_설계내역서_화명조경_백화점화장실인테리어_1차 기성 내역서 0612023" xfId="1500" xr:uid="{00000000-0005-0000-0000-0000DD050000}"/>
    <cellStyle name="1_tree_터미널1-0_설계내역서_화명조경_백화점화장실인테리어_3차네고견적(061017-1)" xfId="1501" xr:uid="{00000000-0005-0000-0000-0000DE050000}"/>
    <cellStyle name="1_tree_터미널1-0_설계내역서1월7일" xfId="1502" xr:uid="{00000000-0005-0000-0000-0000DF050000}"/>
    <cellStyle name="1_tree_터미널1-0_설계내역서1월7일_1차 기성 내역서 0612023" xfId="1503" xr:uid="{00000000-0005-0000-0000-0000E0050000}"/>
    <cellStyle name="1_tree_터미널1-0_설계내역서1월7일_3차네고견적(061017-1)" xfId="1504" xr:uid="{00000000-0005-0000-0000-0000E1050000}"/>
    <cellStyle name="1_tree_터미널1-0_설계내역서1월7일_백화점화장실인테리어" xfId="1505" xr:uid="{00000000-0005-0000-0000-0000E2050000}"/>
    <cellStyle name="1_tree_터미널1-0_설계내역서1월7일_백화점화장실인테리어_1차 기성 내역서 0612023" xfId="1506" xr:uid="{00000000-0005-0000-0000-0000E3050000}"/>
    <cellStyle name="1_tree_터미널1-0_설계내역서1월7일_백화점화장실인테리어_3차네고견적(061017-1)" xfId="1507" xr:uid="{00000000-0005-0000-0000-0000E4050000}"/>
    <cellStyle name="1_tree_터미널1-0_설계내역서1월7일_화명조경" xfId="1508" xr:uid="{00000000-0005-0000-0000-0000E5050000}"/>
    <cellStyle name="1_tree_터미널1-0_설계내역서1월7일_화명조경_1차 기성 내역서 0612023" xfId="1509" xr:uid="{00000000-0005-0000-0000-0000E6050000}"/>
    <cellStyle name="1_tree_터미널1-0_설계내역서1월7일_화명조경_3차네고견적(061017-1)" xfId="1510" xr:uid="{00000000-0005-0000-0000-0000E7050000}"/>
    <cellStyle name="1_tree_터미널1-0_설계내역서1월7일_화명조경_백화점화장실인테리어" xfId="1511" xr:uid="{00000000-0005-0000-0000-0000E8050000}"/>
    <cellStyle name="1_tree_터미널1-0_설계내역서1월7일_화명조경_백화점화장실인테리어_1차 기성 내역서 0612023" xfId="1512" xr:uid="{00000000-0005-0000-0000-0000E9050000}"/>
    <cellStyle name="1_tree_터미널1-0_설계내역서1월7일_화명조경_백화점화장실인테리어_3차네고견적(061017-1)" xfId="1513" xr:uid="{00000000-0005-0000-0000-0000EA050000}"/>
    <cellStyle name="1_tree_터미널1-0_쌍용수량0905" xfId="1514" xr:uid="{00000000-0005-0000-0000-0000EB050000}"/>
    <cellStyle name="1_tree_터미널1-0_쌍용수량0905_1차 기성 내역서 0612023" xfId="1515" xr:uid="{00000000-0005-0000-0000-0000EC050000}"/>
    <cellStyle name="1_tree_터미널1-0_쌍용수량0905_3차네고견적(061017-1)" xfId="1516" xr:uid="{00000000-0005-0000-0000-0000ED050000}"/>
    <cellStyle name="1_tree_터미널1-0_쌍용수량0905_백화점화장실인테리어" xfId="1517" xr:uid="{00000000-0005-0000-0000-0000EE050000}"/>
    <cellStyle name="1_tree_터미널1-0_쌍용수량0905_백화점화장실인테리어_1차 기성 내역서 0612023" xfId="1518" xr:uid="{00000000-0005-0000-0000-0000EF050000}"/>
    <cellStyle name="1_tree_터미널1-0_쌍용수량0905_백화점화장실인테리어_3차네고견적(061017-1)" xfId="1519" xr:uid="{00000000-0005-0000-0000-0000F0050000}"/>
    <cellStyle name="1_tree_터미널1-0_쌍용수량0905_설계내역서" xfId="1520" xr:uid="{00000000-0005-0000-0000-0000F1050000}"/>
    <cellStyle name="1_tree_터미널1-0_쌍용수량0905_설계내역서_1차 기성 내역서 0612023" xfId="1521" xr:uid="{00000000-0005-0000-0000-0000F2050000}"/>
    <cellStyle name="1_tree_터미널1-0_쌍용수량0905_설계내역서_3차네고견적(061017-1)" xfId="1522" xr:uid="{00000000-0005-0000-0000-0000F3050000}"/>
    <cellStyle name="1_tree_터미널1-0_쌍용수량0905_설계내역서_백화점화장실인테리어" xfId="1523" xr:uid="{00000000-0005-0000-0000-0000F4050000}"/>
    <cellStyle name="1_tree_터미널1-0_쌍용수량0905_설계내역서_백화점화장실인테리어_1차 기성 내역서 0612023" xfId="1524" xr:uid="{00000000-0005-0000-0000-0000F5050000}"/>
    <cellStyle name="1_tree_터미널1-0_쌍용수량0905_설계내역서_백화점화장실인테리어_3차네고견적(061017-1)" xfId="1525" xr:uid="{00000000-0005-0000-0000-0000F6050000}"/>
    <cellStyle name="1_tree_터미널1-0_쌍용수량0905_설계내역서_화명조경" xfId="1526" xr:uid="{00000000-0005-0000-0000-0000F7050000}"/>
    <cellStyle name="1_tree_터미널1-0_쌍용수량0905_설계내역서_화명조경_1차 기성 내역서 0612023" xfId="1527" xr:uid="{00000000-0005-0000-0000-0000F8050000}"/>
    <cellStyle name="1_tree_터미널1-0_쌍용수량0905_설계내역서_화명조경_3차네고견적(061017-1)" xfId="1528" xr:uid="{00000000-0005-0000-0000-0000F9050000}"/>
    <cellStyle name="1_tree_터미널1-0_쌍용수량0905_설계내역서_화명조경_백화점화장실인테리어" xfId="1529" xr:uid="{00000000-0005-0000-0000-0000FA050000}"/>
    <cellStyle name="1_tree_터미널1-0_쌍용수량0905_설계내역서_화명조경_백화점화장실인테리어_1차 기성 내역서 0612023" xfId="1530" xr:uid="{00000000-0005-0000-0000-0000FB050000}"/>
    <cellStyle name="1_tree_터미널1-0_쌍용수량0905_설계내역서_화명조경_백화점화장실인테리어_3차네고견적(061017-1)" xfId="1531" xr:uid="{00000000-0005-0000-0000-0000FC050000}"/>
    <cellStyle name="1_tree_터미널1-0_쌍용수량0905_설계내역서1월7일" xfId="1532" xr:uid="{00000000-0005-0000-0000-0000FD050000}"/>
    <cellStyle name="1_tree_터미널1-0_쌍용수량0905_설계내역서1월7일_1차 기성 내역서 0612023" xfId="1533" xr:uid="{00000000-0005-0000-0000-0000FE050000}"/>
    <cellStyle name="1_tree_터미널1-0_쌍용수량0905_설계내역서1월7일_3차네고견적(061017-1)" xfId="1534" xr:uid="{00000000-0005-0000-0000-0000FF050000}"/>
    <cellStyle name="1_tree_터미널1-0_쌍용수량0905_설계내역서1월7일_백화점화장실인테리어" xfId="1535" xr:uid="{00000000-0005-0000-0000-000000060000}"/>
    <cellStyle name="1_tree_터미널1-0_쌍용수량0905_설계내역서1월7일_백화점화장실인테리어_1차 기성 내역서 0612023" xfId="1536" xr:uid="{00000000-0005-0000-0000-000001060000}"/>
    <cellStyle name="1_tree_터미널1-0_쌍용수량0905_설계내역서1월7일_백화점화장실인테리어_3차네고견적(061017-1)" xfId="1537" xr:uid="{00000000-0005-0000-0000-000002060000}"/>
    <cellStyle name="1_tree_터미널1-0_쌍용수량0905_설계내역서1월7일_화명조경" xfId="1538" xr:uid="{00000000-0005-0000-0000-000003060000}"/>
    <cellStyle name="1_tree_터미널1-0_쌍용수량0905_설계내역서1월7일_화명조경_1차 기성 내역서 0612023" xfId="1539" xr:uid="{00000000-0005-0000-0000-000004060000}"/>
    <cellStyle name="1_tree_터미널1-0_쌍용수량0905_설계내역서1월7일_화명조경_3차네고견적(061017-1)" xfId="1540" xr:uid="{00000000-0005-0000-0000-000005060000}"/>
    <cellStyle name="1_tree_터미널1-0_쌍용수량0905_설계내역서1월7일_화명조경_백화점화장실인테리어" xfId="1541" xr:uid="{00000000-0005-0000-0000-000006060000}"/>
    <cellStyle name="1_tree_터미널1-0_쌍용수량0905_설계내역서1월7일_화명조경_백화점화장실인테리어_1차 기성 내역서 0612023" xfId="1542" xr:uid="{00000000-0005-0000-0000-000007060000}"/>
    <cellStyle name="1_tree_터미널1-0_쌍용수량0905_설계내역서1월7일_화명조경_백화점화장실인테리어_3차네고견적(061017-1)" xfId="1543" xr:uid="{00000000-0005-0000-0000-000008060000}"/>
    <cellStyle name="1_tree_터미널1-0_쌍용수량0905_화명조경" xfId="1544" xr:uid="{00000000-0005-0000-0000-000009060000}"/>
    <cellStyle name="1_tree_터미널1-0_쌍용수량0905_화명조경_1차 기성 내역서 0612023" xfId="1545" xr:uid="{00000000-0005-0000-0000-00000A060000}"/>
    <cellStyle name="1_tree_터미널1-0_쌍용수량0905_화명조경_3차네고견적(061017-1)" xfId="1546" xr:uid="{00000000-0005-0000-0000-00000B060000}"/>
    <cellStyle name="1_tree_터미널1-0_쌍용수량0905_화명조경_백화점화장실인테리어" xfId="1547" xr:uid="{00000000-0005-0000-0000-00000C060000}"/>
    <cellStyle name="1_tree_터미널1-0_쌍용수량0905_화명조경_백화점화장실인테리어_1차 기성 내역서 0612023" xfId="1548" xr:uid="{00000000-0005-0000-0000-00000D060000}"/>
    <cellStyle name="1_tree_터미널1-0_쌍용수량0905_화명조경_백화점화장실인테리어_3차네고견적(061017-1)" xfId="1549" xr:uid="{00000000-0005-0000-0000-00000E060000}"/>
    <cellStyle name="1_tree_터미널1-0_화명조경" xfId="1550" xr:uid="{00000000-0005-0000-0000-00000F060000}"/>
    <cellStyle name="1_tree_터미널1-0_화명조경_1차 기성 내역서 0612023" xfId="1551" xr:uid="{00000000-0005-0000-0000-000010060000}"/>
    <cellStyle name="1_tree_터미널1-0_화명조경_3차네고견적(061017-1)" xfId="1552" xr:uid="{00000000-0005-0000-0000-000011060000}"/>
    <cellStyle name="1_tree_터미널1-0_화명조경_백화점화장실인테리어" xfId="1553" xr:uid="{00000000-0005-0000-0000-000012060000}"/>
    <cellStyle name="1_tree_터미널1-0_화명조경_백화점화장실인테리어_1차 기성 내역서 0612023" xfId="1554" xr:uid="{00000000-0005-0000-0000-000013060000}"/>
    <cellStyle name="1_tree_터미널1-0_화명조경_백화점화장실인테리어_3차네고견적(061017-1)" xfId="1555" xr:uid="{00000000-0005-0000-0000-000014060000}"/>
    <cellStyle name="1_tree_한풍집계" xfId="1556" xr:uid="{00000000-0005-0000-0000-000015060000}"/>
    <cellStyle name="1_tree_한풍집계_1차 기성 내역서 0612023" xfId="1557" xr:uid="{00000000-0005-0000-0000-000016060000}"/>
    <cellStyle name="1_tree_한풍집계_3차네고견적(061017-1)" xfId="1558" xr:uid="{00000000-0005-0000-0000-000017060000}"/>
    <cellStyle name="1_tree_한풍집계_갑지0601" xfId="1559" xr:uid="{00000000-0005-0000-0000-000018060000}"/>
    <cellStyle name="1_tree_한풍집계_갑지0601_00갑지" xfId="1560" xr:uid="{00000000-0005-0000-0000-000019060000}"/>
    <cellStyle name="1_tree_한풍집계_갑지0601_00갑지_1차 기성 내역서 0612023" xfId="1561" xr:uid="{00000000-0005-0000-0000-00001A060000}"/>
    <cellStyle name="1_tree_한풍집계_갑지0601_00갑지_3차네고견적(061017-1)" xfId="1562" xr:uid="{00000000-0005-0000-0000-00001B060000}"/>
    <cellStyle name="1_tree_한풍집계_갑지0601_00갑지_백화점화장실인테리어" xfId="1563" xr:uid="{00000000-0005-0000-0000-00001C060000}"/>
    <cellStyle name="1_tree_한풍집계_갑지0601_00갑지_백화점화장실인테리어_1차 기성 내역서 0612023" xfId="1564" xr:uid="{00000000-0005-0000-0000-00001D060000}"/>
    <cellStyle name="1_tree_한풍집계_갑지0601_00갑지_백화점화장실인테리어_3차네고견적(061017-1)" xfId="1565" xr:uid="{00000000-0005-0000-0000-00001E060000}"/>
    <cellStyle name="1_tree_한풍집계_갑지0601_00갑지_설계내역서" xfId="1566" xr:uid="{00000000-0005-0000-0000-00001F060000}"/>
    <cellStyle name="1_tree_한풍집계_갑지0601_00갑지_설계내역서_1차 기성 내역서 0612023" xfId="1567" xr:uid="{00000000-0005-0000-0000-000020060000}"/>
    <cellStyle name="1_tree_한풍집계_갑지0601_00갑지_설계내역서_3차네고견적(061017-1)" xfId="1568" xr:uid="{00000000-0005-0000-0000-000021060000}"/>
    <cellStyle name="1_tree_한풍집계_갑지0601_00갑지_설계내역서_백화점화장실인테리어" xfId="1569" xr:uid="{00000000-0005-0000-0000-000022060000}"/>
    <cellStyle name="1_tree_한풍집계_갑지0601_00갑지_설계내역서_백화점화장실인테리어_1차 기성 내역서 0612023" xfId="1570" xr:uid="{00000000-0005-0000-0000-000023060000}"/>
    <cellStyle name="1_tree_한풍집계_갑지0601_00갑지_설계내역서_백화점화장실인테리어_3차네고견적(061017-1)" xfId="1571" xr:uid="{00000000-0005-0000-0000-000024060000}"/>
    <cellStyle name="1_tree_한풍집계_갑지0601_00갑지_설계내역서_화명조경" xfId="1572" xr:uid="{00000000-0005-0000-0000-000025060000}"/>
    <cellStyle name="1_tree_한풍집계_갑지0601_00갑지_설계내역서_화명조경_1차 기성 내역서 0612023" xfId="1573" xr:uid="{00000000-0005-0000-0000-000026060000}"/>
    <cellStyle name="1_tree_한풍집계_갑지0601_00갑지_설계내역서_화명조경_3차네고견적(061017-1)" xfId="1574" xr:uid="{00000000-0005-0000-0000-000027060000}"/>
    <cellStyle name="1_tree_한풍집계_갑지0601_00갑지_설계내역서_화명조경_백화점화장실인테리어" xfId="1575" xr:uid="{00000000-0005-0000-0000-000028060000}"/>
    <cellStyle name="1_tree_한풍집계_갑지0601_00갑지_설계내역서_화명조경_백화점화장실인테리어_1차 기성 내역서 0612023" xfId="1576" xr:uid="{00000000-0005-0000-0000-000029060000}"/>
    <cellStyle name="1_tree_한풍집계_갑지0601_00갑지_설계내역서_화명조경_백화점화장실인테리어_3차네고견적(061017-1)" xfId="1577" xr:uid="{00000000-0005-0000-0000-00002A060000}"/>
    <cellStyle name="1_tree_한풍집계_갑지0601_00갑지_설계내역서1월7일" xfId="1578" xr:uid="{00000000-0005-0000-0000-00002B060000}"/>
    <cellStyle name="1_tree_한풍집계_갑지0601_00갑지_설계내역서1월7일_1차 기성 내역서 0612023" xfId="1579" xr:uid="{00000000-0005-0000-0000-00002C060000}"/>
    <cellStyle name="1_tree_한풍집계_갑지0601_00갑지_설계내역서1월7일_3차네고견적(061017-1)" xfId="1580" xr:uid="{00000000-0005-0000-0000-00002D060000}"/>
    <cellStyle name="1_tree_한풍집계_갑지0601_00갑지_설계내역서1월7일_백화점화장실인테리어" xfId="1581" xr:uid="{00000000-0005-0000-0000-00002E060000}"/>
    <cellStyle name="1_tree_한풍집계_갑지0601_00갑지_설계내역서1월7일_백화점화장실인테리어_1차 기성 내역서 0612023" xfId="1582" xr:uid="{00000000-0005-0000-0000-00002F060000}"/>
    <cellStyle name="1_tree_한풍집계_갑지0601_00갑지_설계내역서1월7일_백화점화장실인테리어_3차네고견적(061017-1)" xfId="1583" xr:uid="{00000000-0005-0000-0000-000030060000}"/>
    <cellStyle name="1_tree_한풍집계_갑지0601_00갑지_설계내역서1월7일_화명조경" xfId="1584" xr:uid="{00000000-0005-0000-0000-000031060000}"/>
    <cellStyle name="1_tree_한풍집계_갑지0601_00갑지_설계내역서1월7일_화명조경_1차 기성 내역서 0612023" xfId="1585" xr:uid="{00000000-0005-0000-0000-000032060000}"/>
    <cellStyle name="1_tree_한풍집계_갑지0601_00갑지_설계내역서1월7일_화명조경_3차네고견적(061017-1)" xfId="1586" xr:uid="{00000000-0005-0000-0000-000033060000}"/>
    <cellStyle name="1_tree_한풍집계_갑지0601_00갑지_설계내역서1월7일_화명조경_백화점화장실인테리어" xfId="1587" xr:uid="{00000000-0005-0000-0000-000034060000}"/>
    <cellStyle name="1_tree_한풍집계_갑지0601_00갑지_설계내역서1월7일_화명조경_백화점화장실인테리어_1차 기성 내역서 0612023" xfId="1588" xr:uid="{00000000-0005-0000-0000-000035060000}"/>
    <cellStyle name="1_tree_한풍집계_갑지0601_00갑지_설계내역서1월7일_화명조경_백화점화장실인테리어_3차네고견적(061017-1)" xfId="1589" xr:uid="{00000000-0005-0000-0000-000036060000}"/>
    <cellStyle name="1_tree_한풍집계_갑지0601_00갑지_화명조경" xfId="1590" xr:uid="{00000000-0005-0000-0000-000037060000}"/>
    <cellStyle name="1_tree_한풍집계_갑지0601_00갑지_화명조경_1차 기성 내역서 0612023" xfId="1591" xr:uid="{00000000-0005-0000-0000-000038060000}"/>
    <cellStyle name="1_tree_한풍집계_갑지0601_00갑지_화명조경_3차네고견적(061017-1)" xfId="1592" xr:uid="{00000000-0005-0000-0000-000039060000}"/>
    <cellStyle name="1_tree_한풍집계_갑지0601_00갑지_화명조경_백화점화장실인테리어" xfId="1593" xr:uid="{00000000-0005-0000-0000-00003A060000}"/>
    <cellStyle name="1_tree_한풍집계_갑지0601_00갑지_화명조경_백화점화장실인테리어_1차 기성 내역서 0612023" xfId="1594" xr:uid="{00000000-0005-0000-0000-00003B060000}"/>
    <cellStyle name="1_tree_한풍집계_갑지0601_00갑지_화명조경_백화점화장실인테리어_3차네고견적(061017-1)" xfId="1595" xr:uid="{00000000-0005-0000-0000-00003C060000}"/>
    <cellStyle name="1_tree_한풍집계_갑지0601_1차 기성 내역서 0612023" xfId="1596" xr:uid="{00000000-0005-0000-0000-00003D060000}"/>
    <cellStyle name="1_tree_한풍집계_갑지0601_3차네고견적(061017-1)" xfId="1597" xr:uid="{00000000-0005-0000-0000-00003E060000}"/>
    <cellStyle name="1_tree_한풍집계_갑지0601_과천놀이터설계서" xfId="1598" xr:uid="{00000000-0005-0000-0000-00003F060000}"/>
    <cellStyle name="1_tree_한풍집계_갑지0601_과천놀이터설계서_1차 기성 내역서 0612023" xfId="1599" xr:uid="{00000000-0005-0000-0000-000040060000}"/>
    <cellStyle name="1_tree_한풍집계_갑지0601_과천놀이터설계서_3차네고견적(061017-1)" xfId="1600" xr:uid="{00000000-0005-0000-0000-000041060000}"/>
    <cellStyle name="1_tree_한풍집계_갑지0601_과천놀이터설계서_백화점화장실인테리어" xfId="1601" xr:uid="{00000000-0005-0000-0000-000042060000}"/>
    <cellStyle name="1_tree_한풍집계_갑지0601_과천놀이터설계서_백화점화장실인테리어_1차 기성 내역서 0612023" xfId="1602" xr:uid="{00000000-0005-0000-0000-000043060000}"/>
    <cellStyle name="1_tree_한풍집계_갑지0601_과천놀이터설계서_백화점화장실인테리어_3차네고견적(061017-1)" xfId="1603" xr:uid="{00000000-0005-0000-0000-000044060000}"/>
    <cellStyle name="1_tree_한풍집계_갑지0601_과천놀이터설계서_설계내역서" xfId="1604" xr:uid="{00000000-0005-0000-0000-000045060000}"/>
    <cellStyle name="1_tree_한풍집계_갑지0601_과천놀이터설계서_설계내역서_1차 기성 내역서 0612023" xfId="1605" xr:uid="{00000000-0005-0000-0000-000046060000}"/>
    <cellStyle name="1_tree_한풍집계_갑지0601_과천놀이터설계서_설계내역서_3차네고견적(061017-1)" xfId="1606" xr:uid="{00000000-0005-0000-0000-000047060000}"/>
    <cellStyle name="1_tree_한풍집계_갑지0601_과천놀이터설계서_설계내역서_백화점화장실인테리어" xfId="1607" xr:uid="{00000000-0005-0000-0000-000048060000}"/>
    <cellStyle name="1_tree_한풍집계_갑지0601_과천놀이터설계서_설계내역서_백화점화장실인테리어_1차 기성 내역서 0612023" xfId="1608" xr:uid="{00000000-0005-0000-0000-000049060000}"/>
    <cellStyle name="1_tree_한풍집계_갑지0601_과천놀이터설계서_설계내역서_백화점화장실인테리어_3차네고견적(061017-1)" xfId="1609" xr:uid="{00000000-0005-0000-0000-00004A060000}"/>
    <cellStyle name="1_tree_한풍집계_갑지0601_과천놀이터설계서_설계내역서_화명조경" xfId="1610" xr:uid="{00000000-0005-0000-0000-00004B060000}"/>
    <cellStyle name="1_tree_한풍집계_갑지0601_과천놀이터설계서_설계내역서_화명조경_1차 기성 내역서 0612023" xfId="1611" xr:uid="{00000000-0005-0000-0000-00004C060000}"/>
    <cellStyle name="1_tree_한풍집계_갑지0601_과천놀이터설계서_설계내역서_화명조경_3차네고견적(061017-1)" xfId="1612" xr:uid="{00000000-0005-0000-0000-00004D060000}"/>
    <cellStyle name="1_tree_한풍집계_갑지0601_과천놀이터설계서_설계내역서_화명조경_백화점화장실인테리어" xfId="1613" xr:uid="{00000000-0005-0000-0000-00004E060000}"/>
    <cellStyle name="1_tree_한풍집계_갑지0601_과천놀이터설계서_설계내역서_화명조경_백화점화장실인테리어_1차 기성 내역서 0612023" xfId="1614" xr:uid="{00000000-0005-0000-0000-00004F060000}"/>
    <cellStyle name="1_tree_한풍집계_갑지0601_과천놀이터설계서_설계내역서_화명조경_백화점화장실인테리어_3차네고견적(061017-1)" xfId="1615" xr:uid="{00000000-0005-0000-0000-000050060000}"/>
    <cellStyle name="1_tree_한풍집계_갑지0601_과천놀이터설계서_설계내역서1월7일" xfId="1616" xr:uid="{00000000-0005-0000-0000-000051060000}"/>
    <cellStyle name="1_tree_한풍집계_갑지0601_과천놀이터설계서_설계내역서1월7일_1차 기성 내역서 0612023" xfId="1617" xr:uid="{00000000-0005-0000-0000-000052060000}"/>
    <cellStyle name="1_tree_한풍집계_갑지0601_과천놀이터설계서_설계내역서1월7일_3차네고견적(061017-1)" xfId="1618" xr:uid="{00000000-0005-0000-0000-000053060000}"/>
    <cellStyle name="1_tree_한풍집계_갑지0601_과천놀이터설계서_설계내역서1월7일_백화점화장실인테리어" xfId="1619" xr:uid="{00000000-0005-0000-0000-000054060000}"/>
    <cellStyle name="1_tree_한풍집계_갑지0601_과천놀이터설계서_설계내역서1월7일_백화점화장실인테리어_1차 기성 내역서 0612023" xfId="1620" xr:uid="{00000000-0005-0000-0000-000055060000}"/>
    <cellStyle name="1_tree_한풍집계_갑지0601_과천놀이터설계서_설계내역서1월7일_백화점화장실인테리어_3차네고견적(061017-1)" xfId="1621" xr:uid="{00000000-0005-0000-0000-000056060000}"/>
    <cellStyle name="1_tree_한풍집계_갑지0601_과천놀이터설계서_설계내역서1월7일_화명조경" xfId="1622" xr:uid="{00000000-0005-0000-0000-000057060000}"/>
    <cellStyle name="1_tree_한풍집계_갑지0601_과천놀이터설계서_설계내역서1월7일_화명조경_1차 기성 내역서 0612023" xfId="1623" xr:uid="{00000000-0005-0000-0000-000058060000}"/>
    <cellStyle name="1_tree_한풍집계_갑지0601_과천놀이터설계서_설계내역서1월7일_화명조경_3차네고견적(061017-1)" xfId="1624" xr:uid="{00000000-0005-0000-0000-000059060000}"/>
    <cellStyle name="1_tree_한풍집계_갑지0601_과천놀이터설계서_설계내역서1월7일_화명조경_백화점화장실인테리어" xfId="1625" xr:uid="{00000000-0005-0000-0000-00005A060000}"/>
    <cellStyle name="1_tree_한풍집계_갑지0601_과천놀이터설계서_설계내역서1월7일_화명조경_백화점화장실인테리어_1차 기성 내역서 0612023" xfId="1626" xr:uid="{00000000-0005-0000-0000-00005B060000}"/>
    <cellStyle name="1_tree_한풍집계_갑지0601_과천놀이터설계서_설계내역서1월7일_화명조경_백화점화장실인테리어_3차네고견적(061017-1)" xfId="1627" xr:uid="{00000000-0005-0000-0000-00005C060000}"/>
    <cellStyle name="1_tree_한풍집계_갑지0601_과천놀이터설계서_화명조경" xfId="1628" xr:uid="{00000000-0005-0000-0000-00005D060000}"/>
    <cellStyle name="1_tree_한풍집계_갑지0601_과천놀이터설계서_화명조경_1차 기성 내역서 0612023" xfId="1629" xr:uid="{00000000-0005-0000-0000-00005E060000}"/>
    <cellStyle name="1_tree_한풍집계_갑지0601_과천놀이터설계서_화명조경_3차네고견적(061017-1)" xfId="1630" xr:uid="{00000000-0005-0000-0000-00005F060000}"/>
    <cellStyle name="1_tree_한풍집계_갑지0601_과천놀이터설계서_화명조경_백화점화장실인테리어" xfId="1631" xr:uid="{00000000-0005-0000-0000-000060060000}"/>
    <cellStyle name="1_tree_한풍집계_갑지0601_과천놀이터설계서_화명조경_백화점화장실인테리어_1차 기성 내역서 0612023" xfId="1632" xr:uid="{00000000-0005-0000-0000-000061060000}"/>
    <cellStyle name="1_tree_한풍집계_갑지0601_과천놀이터설계서_화명조경_백화점화장실인테리어_3차네고견적(061017-1)" xfId="1633" xr:uid="{00000000-0005-0000-0000-000062060000}"/>
    <cellStyle name="1_tree_한풍집계_갑지0601_백화점화장실인테리어" xfId="1634" xr:uid="{00000000-0005-0000-0000-000063060000}"/>
    <cellStyle name="1_tree_한풍집계_갑지0601_백화점화장실인테리어_1차 기성 내역서 0612023" xfId="1635" xr:uid="{00000000-0005-0000-0000-000064060000}"/>
    <cellStyle name="1_tree_한풍집계_갑지0601_백화점화장실인테리어_3차네고견적(061017-1)" xfId="1636" xr:uid="{00000000-0005-0000-0000-000065060000}"/>
    <cellStyle name="1_tree_한풍집계_갑지0601_총괄갑지" xfId="1637" xr:uid="{00000000-0005-0000-0000-000066060000}"/>
    <cellStyle name="1_tree_한풍집계_갑지0601_총괄갑지_1차 기성 내역서 0612023" xfId="1638" xr:uid="{00000000-0005-0000-0000-000067060000}"/>
    <cellStyle name="1_tree_한풍집계_갑지0601_총괄갑지_3차네고견적(061017-1)" xfId="1639" xr:uid="{00000000-0005-0000-0000-000068060000}"/>
    <cellStyle name="1_tree_한풍집계_갑지0601_총괄갑지_백화점화장실인테리어" xfId="1640" xr:uid="{00000000-0005-0000-0000-000069060000}"/>
    <cellStyle name="1_tree_한풍집계_갑지0601_총괄갑지_백화점화장실인테리어_1차 기성 내역서 0612023" xfId="1641" xr:uid="{00000000-0005-0000-0000-00006A060000}"/>
    <cellStyle name="1_tree_한풍집계_갑지0601_총괄갑지_백화점화장실인테리어_3차네고견적(061017-1)" xfId="1642" xr:uid="{00000000-0005-0000-0000-00006B060000}"/>
    <cellStyle name="1_tree_한풍집계_갑지0601_총괄갑지_설계내역서" xfId="1643" xr:uid="{00000000-0005-0000-0000-00006C060000}"/>
    <cellStyle name="1_tree_한풍집계_갑지0601_총괄갑지_설계내역서_1차 기성 내역서 0612023" xfId="1644" xr:uid="{00000000-0005-0000-0000-00006D060000}"/>
    <cellStyle name="1_tree_한풍집계_갑지0601_총괄갑지_설계내역서_3차네고견적(061017-1)" xfId="1645" xr:uid="{00000000-0005-0000-0000-00006E060000}"/>
    <cellStyle name="1_tree_한풍집계_갑지0601_총괄갑지_설계내역서_백화점화장실인테리어" xfId="1646" xr:uid="{00000000-0005-0000-0000-00006F060000}"/>
    <cellStyle name="1_tree_한풍집계_갑지0601_총괄갑지_설계내역서_백화점화장실인테리어_1차 기성 내역서 0612023" xfId="1647" xr:uid="{00000000-0005-0000-0000-000070060000}"/>
    <cellStyle name="1_tree_한풍집계_갑지0601_총괄갑지_설계내역서_백화점화장실인테리어_3차네고견적(061017-1)" xfId="1648" xr:uid="{00000000-0005-0000-0000-000071060000}"/>
    <cellStyle name="1_tree_한풍집계_갑지0601_총괄갑지_설계내역서_화명조경" xfId="1649" xr:uid="{00000000-0005-0000-0000-000072060000}"/>
    <cellStyle name="1_tree_한풍집계_갑지0601_총괄갑지_설계내역서_화명조경_1차 기성 내역서 0612023" xfId="1650" xr:uid="{00000000-0005-0000-0000-000073060000}"/>
    <cellStyle name="1_tree_한풍집계_갑지0601_총괄갑지_설계내역서_화명조경_3차네고견적(061017-1)" xfId="1651" xr:uid="{00000000-0005-0000-0000-000074060000}"/>
    <cellStyle name="1_tree_한풍집계_갑지0601_총괄갑지_설계내역서_화명조경_백화점화장실인테리어" xfId="1652" xr:uid="{00000000-0005-0000-0000-000075060000}"/>
    <cellStyle name="1_tree_한풍집계_갑지0601_총괄갑지_설계내역서_화명조경_백화점화장실인테리어_1차 기성 내역서 0612023" xfId="1653" xr:uid="{00000000-0005-0000-0000-000076060000}"/>
    <cellStyle name="1_tree_한풍집계_갑지0601_총괄갑지_설계내역서_화명조경_백화점화장실인테리어_3차네고견적(061017-1)" xfId="1654" xr:uid="{00000000-0005-0000-0000-000077060000}"/>
    <cellStyle name="1_tree_한풍집계_갑지0601_총괄갑지_설계내역서1월7일" xfId="1655" xr:uid="{00000000-0005-0000-0000-000078060000}"/>
    <cellStyle name="1_tree_한풍집계_갑지0601_총괄갑지_설계내역서1월7일_1차 기성 내역서 0612023" xfId="1656" xr:uid="{00000000-0005-0000-0000-000079060000}"/>
    <cellStyle name="1_tree_한풍집계_갑지0601_총괄갑지_설계내역서1월7일_3차네고견적(061017-1)" xfId="1657" xr:uid="{00000000-0005-0000-0000-00007A060000}"/>
    <cellStyle name="1_tree_한풍집계_갑지0601_총괄갑지_설계내역서1월7일_백화점화장실인테리어" xfId="1658" xr:uid="{00000000-0005-0000-0000-00007B060000}"/>
    <cellStyle name="1_tree_한풍집계_갑지0601_총괄갑지_설계내역서1월7일_백화점화장실인테리어_1차 기성 내역서 0612023" xfId="1659" xr:uid="{00000000-0005-0000-0000-00007C060000}"/>
    <cellStyle name="1_tree_한풍집계_갑지0601_총괄갑지_설계내역서1월7일_백화점화장실인테리어_3차네고견적(061017-1)" xfId="1660" xr:uid="{00000000-0005-0000-0000-00007D060000}"/>
    <cellStyle name="1_tree_한풍집계_갑지0601_총괄갑지_설계내역서1월7일_화명조경" xfId="1661" xr:uid="{00000000-0005-0000-0000-00007E060000}"/>
    <cellStyle name="1_tree_한풍집계_갑지0601_총괄갑지_설계내역서1월7일_화명조경_1차 기성 내역서 0612023" xfId="1662" xr:uid="{00000000-0005-0000-0000-00007F060000}"/>
    <cellStyle name="1_tree_한풍집계_갑지0601_총괄갑지_설계내역서1월7일_화명조경_3차네고견적(061017-1)" xfId="1663" xr:uid="{00000000-0005-0000-0000-000080060000}"/>
    <cellStyle name="1_tree_한풍집계_갑지0601_총괄갑지_설계내역서1월7일_화명조경_백화점화장실인테리어" xfId="1664" xr:uid="{00000000-0005-0000-0000-000081060000}"/>
    <cellStyle name="1_tree_한풍집계_갑지0601_총괄갑지_설계내역서1월7일_화명조경_백화점화장실인테리어_1차 기성 내역서 0612023" xfId="1665" xr:uid="{00000000-0005-0000-0000-000082060000}"/>
    <cellStyle name="1_tree_한풍집계_갑지0601_총괄갑지_설계내역서1월7일_화명조경_백화점화장실인테리어_3차네고견적(061017-1)" xfId="1666" xr:uid="{00000000-0005-0000-0000-000083060000}"/>
    <cellStyle name="1_tree_한풍집계_갑지0601_총괄갑지_화명조경" xfId="1667" xr:uid="{00000000-0005-0000-0000-000084060000}"/>
    <cellStyle name="1_tree_한풍집계_갑지0601_총괄갑지_화명조경_1차 기성 내역서 0612023" xfId="1668" xr:uid="{00000000-0005-0000-0000-000085060000}"/>
    <cellStyle name="1_tree_한풍집계_갑지0601_총괄갑지_화명조경_3차네고견적(061017-1)" xfId="1669" xr:uid="{00000000-0005-0000-0000-000086060000}"/>
    <cellStyle name="1_tree_한풍집계_갑지0601_총괄갑지_화명조경_백화점화장실인테리어" xfId="1670" xr:uid="{00000000-0005-0000-0000-000087060000}"/>
    <cellStyle name="1_tree_한풍집계_갑지0601_총괄갑지_화명조경_백화점화장실인테리어_1차 기성 내역서 0612023" xfId="1671" xr:uid="{00000000-0005-0000-0000-000088060000}"/>
    <cellStyle name="1_tree_한풍집계_갑지0601_총괄갑지_화명조경_백화점화장실인테리어_3차네고견적(061017-1)" xfId="1672" xr:uid="{00000000-0005-0000-0000-000089060000}"/>
    <cellStyle name="1_tree_한풍집계_갑지0601_총괄내역서" xfId="1673" xr:uid="{00000000-0005-0000-0000-00008A060000}"/>
    <cellStyle name="1_tree_한풍집계_갑지0601_총괄내역서_1차 기성 내역서 0612023" xfId="1674" xr:uid="{00000000-0005-0000-0000-00008B060000}"/>
    <cellStyle name="1_tree_한풍집계_갑지0601_총괄내역서_3차네고견적(061017-1)" xfId="1675" xr:uid="{00000000-0005-0000-0000-00008C060000}"/>
    <cellStyle name="1_tree_한풍집계_갑지0601_총괄내역서_백화점화장실인테리어" xfId="1676" xr:uid="{00000000-0005-0000-0000-00008D060000}"/>
    <cellStyle name="1_tree_한풍집계_갑지0601_총괄내역서_백화점화장실인테리어_1차 기성 내역서 0612023" xfId="1677" xr:uid="{00000000-0005-0000-0000-00008E060000}"/>
    <cellStyle name="1_tree_한풍집계_갑지0601_총괄내역서_백화점화장실인테리어_3차네고견적(061017-1)" xfId="1678" xr:uid="{00000000-0005-0000-0000-00008F060000}"/>
    <cellStyle name="1_tree_한풍집계_갑지0601_총괄내역서_설계내역서" xfId="1679" xr:uid="{00000000-0005-0000-0000-000090060000}"/>
    <cellStyle name="1_tree_한풍집계_갑지0601_총괄내역서_설계내역서_1차 기성 내역서 0612023" xfId="1680" xr:uid="{00000000-0005-0000-0000-000091060000}"/>
    <cellStyle name="1_tree_한풍집계_갑지0601_총괄내역서_설계내역서_3차네고견적(061017-1)" xfId="1681" xr:uid="{00000000-0005-0000-0000-000092060000}"/>
    <cellStyle name="1_tree_한풍집계_갑지0601_총괄내역서_설계내역서_백화점화장실인테리어" xfId="1682" xr:uid="{00000000-0005-0000-0000-000093060000}"/>
    <cellStyle name="1_tree_한풍집계_갑지0601_총괄내역서_설계내역서_백화점화장실인테리어_1차 기성 내역서 0612023" xfId="1683" xr:uid="{00000000-0005-0000-0000-000094060000}"/>
    <cellStyle name="1_tree_한풍집계_갑지0601_총괄내역서_설계내역서_백화점화장실인테리어_3차네고견적(061017-1)" xfId="1684" xr:uid="{00000000-0005-0000-0000-000095060000}"/>
    <cellStyle name="1_tree_한풍집계_갑지0601_총괄내역서_설계내역서_화명조경" xfId="1685" xr:uid="{00000000-0005-0000-0000-000096060000}"/>
    <cellStyle name="1_tree_한풍집계_갑지0601_총괄내역서_설계내역서_화명조경_1차 기성 내역서 0612023" xfId="1686" xr:uid="{00000000-0005-0000-0000-000097060000}"/>
    <cellStyle name="1_tree_한풍집계_갑지0601_총괄내역서_설계내역서_화명조경_3차네고견적(061017-1)" xfId="1687" xr:uid="{00000000-0005-0000-0000-000098060000}"/>
    <cellStyle name="1_tree_한풍집계_갑지0601_총괄내역서_설계내역서_화명조경_백화점화장실인테리어" xfId="1688" xr:uid="{00000000-0005-0000-0000-000099060000}"/>
    <cellStyle name="1_tree_한풍집계_갑지0601_총괄내역서_설계내역서_화명조경_백화점화장실인테리어_1차 기성 내역서 0612023" xfId="1689" xr:uid="{00000000-0005-0000-0000-00009A060000}"/>
    <cellStyle name="1_tree_한풍집계_갑지0601_총괄내역서_설계내역서_화명조경_백화점화장실인테리어_3차네고견적(061017-1)" xfId="1690" xr:uid="{00000000-0005-0000-0000-00009B060000}"/>
    <cellStyle name="1_tree_한풍집계_갑지0601_총괄내역서_설계내역서1월7일" xfId="1691" xr:uid="{00000000-0005-0000-0000-00009C060000}"/>
    <cellStyle name="1_tree_한풍집계_갑지0601_총괄내역서_설계내역서1월7일_1차 기성 내역서 0612023" xfId="1692" xr:uid="{00000000-0005-0000-0000-00009D060000}"/>
    <cellStyle name="1_tree_한풍집계_갑지0601_총괄내역서_설계내역서1월7일_3차네고견적(061017-1)" xfId="1693" xr:uid="{00000000-0005-0000-0000-00009E060000}"/>
    <cellStyle name="1_tree_한풍집계_갑지0601_총괄내역서_설계내역서1월7일_백화점화장실인테리어" xfId="1694" xr:uid="{00000000-0005-0000-0000-00009F060000}"/>
    <cellStyle name="1_tree_한풍집계_갑지0601_총괄내역서_설계내역서1월7일_백화점화장실인테리어_1차 기성 내역서 0612023" xfId="1695" xr:uid="{00000000-0005-0000-0000-0000A0060000}"/>
    <cellStyle name="1_tree_한풍집계_갑지0601_총괄내역서_설계내역서1월7일_백화점화장실인테리어_3차네고견적(061017-1)" xfId="1696" xr:uid="{00000000-0005-0000-0000-0000A1060000}"/>
    <cellStyle name="1_tree_한풍집계_갑지0601_총괄내역서_설계내역서1월7일_화명조경" xfId="1697" xr:uid="{00000000-0005-0000-0000-0000A2060000}"/>
    <cellStyle name="1_tree_한풍집계_갑지0601_총괄내역서_설계내역서1월7일_화명조경_1차 기성 내역서 0612023" xfId="1698" xr:uid="{00000000-0005-0000-0000-0000A3060000}"/>
    <cellStyle name="1_tree_한풍집계_갑지0601_총괄내역서_설계내역서1월7일_화명조경_3차네고견적(061017-1)" xfId="1699" xr:uid="{00000000-0005-0000-0000-0000A4060000}"/>
    <cellStyle name="1_tree_한풍집계_갑지0601_총괄내역서_설계내역서1월7일_화명조경_백화점화장실인테리어" xfId="1700" xr:uid="{00000000-0005-0000-0000-0000A5060000}"/>
    <cellStyle name="1_tree_한풍집계_갑지0601_총괄내역서_설계내역서1월7일_화명조경_백화점화장실인테리어_1차 기성 내역서 0612023" xfId="1701" xr:uid="{00000000-0005-0000-0000-0000A6060000}"/>
    <cellStyle name="1_tree_한풍집계_갑지0601_총괄내역서_설계내역서1월7일_화명조경_백화점화장실인테리어_3차네고견적(061017-1)" xfId="1702" xr:uid="{00000000-0005-0000-0000-0000A7060000}"/>
    <cellStyle name="1_tree_한풍집계_갑지0601_총괄내역서_화명조경" xfId="1703" xr:uid="{00000000-0005-0000-0000-0000A8060000}"/>
    <cellStyle name="1_tree_한풍집계_갑지0601_총괄내역서_화명조경_1차 기성 내역서 0612023" xfId="1704" xr:uid="{00000000-0005-0000-0000-0000A9060000}"/>
    <cellStyle name="1_tree_한풍집계_갑지0601_총괄내역서_화명조경_3차네고견적(061017-1)" xfId="1705" xr:uid="{00000000-0005-0000-0000-0000AA060000}"/>
    <cellStyle name="1_tree_한풍집계_갑지0601_총괄내역서_화명조경_백화점화장실인테리어" xfId="1706" xr:uid="{00000000-0005-0000-0000-0000AB060000}"/>
    <cellStyle name="1_tree_한풍집계_갑지0601_총괄내역서_화명조경_백화점화장실인테리어_1차 기성 내역서 0612023" xfId="1707" xr:uid="{00000000-0005-0000-0000-0000AC060000}"/>
    <cellStyle name="1_tree_한풍집계_갑지0601_총괄내역서_화명조경_백화점화장실인테리어_3차네고견적(061017-1)" xfId="1708" xr:uid="{00000000-0005-0000-0000-0000AD060000}"/>
    <cellStyle name="1_tree_한풍집계_갑지0601_화명조경" xfId="1709" xr:uid="{00000000-0005-0000-0000-0000AE060000}"/>
    <cellStyle name="1_tree_한풍집계_갑지0601_화명조경_1차 기성 내역서 0612023" xfId="1710" xr:uid="{00000000-0005-0000-0000-0000AF060000}"/>
    <cellStyle name="1_tree_한풍집계_갑지0601_화명조경_3차네고견적(061017-1)" xfId="1711" xr:uid="{00000000-0005-0000-0000-0000B0060000}"/>
    <cellStyle name="1_tree_한풍집계_갑지0601_화명조경_백화점화장실인테리어" xfId="1712" xr:uid="{00000000-0005-0000-0000-0000B1060000}"/>
    <cellStyle name="1_tree_한풍집계_갑지0601_화명조경_백화점화장실인테리어_1차 기성 내역서 0612023" xfId="1713" xr:uid="{00000000-0005-0000-0000-0000B2060000}"/>
    <cellStyle name="1_tree_한풍집계_갑지0601_화명조경_백화점화장실인테리어_3차네고견적(061017-1)" xfId="1714" xr:uid="{00000000-0005-0000-0000-0000B3060000}"/>
    <cellStyle name="1_tree_한풍집계_백화점화장실인테리어" xfId="1715" xr:uid="{00000000-0005-0000-0000-0000B4060000}"/>
    <cellStyle name="1_tree_한풍집계_백화점화장실인테리어_1차 기성 내역서 0612023" xfId="1716" xr:uid="{00000000-0005-0000-0000-0000B5060000}"/>
    <cellStyle name="1_tree_한풍집계_백화점화장실인테리어_3차네고견적(061017-1)" xfId="1717" xr:uid="{00000000-0005-0000-0000-0000B6060000}"/>
    <cellStyle name="1_tree_한풍집계_설계내역서" xfId="1718" xr:uid="{00000000-0005-0000-0000-0000B7060000}"/>
    <cellStyle name="1_tree_한풍집계_설계내역서_1차 기성 내역서 0612023" xfId="1719" xr:uid="{00000000-0005-0000-0000-0000B8060000}"/>
    <cellStyle name="1_tree_한풍집계_설계내역서_3차네고견적(061017-1)" xfId="1720" xr:uid="{00000000-0005-0000-0000-0000B9060000}"/>
    <cellStyle name="1_tree_한풍집계_설계내역서_백화점화장실인테리어" xfId="1721" xr:uid="{00000000-0005-0000-0000-0000BA060000}"/>
    <cellStyle name="1_tree_한풍집계_설계내역서_백화점화장실인테리어_1차 기성 내역서 0612023" xfId="1722" xr:uid="{00000000-0005-0000-0000-0000BB060000}"/>
    <cellStyle name="1_tree_한풍집계_설계내역서_백화점화장실인테리어_3차네고견적(061017-1)" xfId="1723" xr:uid="{00000000-0005-0000-0000-0000BC060000}"/>
    <cellStyle name="1_tree_한풍집계_설계내역서_화명조경" xfId="1724" xr:uid="{00000000-0005-0000-0000-0000BD060000}"/>
    <cellStyle name="1_tree_한풍집계_설계내역서_화명조경_1차 기성 내역서 0612023" xfId="1725" xr:uid="{00000000-0005-0000-0000-0000BE060000}"/>
    <cellStyle name="1_tree_한풍집계_설계내역서_화명조경_3차네고견적(061017-1)" xfId="1726" xr:uid="{00000000-0005-0000-0000-0000BF060000}"/>
    <cellStyle name="1_tree_한풍집계_설계내역서_화명조경_백화점화장실인테리어" xfId="1727" xr:uid="{00000000-0005-0000-0000-0000C0060000}"/>
    <cellStyle name="1_tree_한풍집계_설계내역서_화명조경_백화점화장실인테리어_1차 기성 내역서 0612023" xfId="1728" xr:uid="{00000000-0005-0000-0000-0000C1060000}"/>
    <cellStyle name="1_tree_한풍집계_설계내역서_화명조경_백화점화장실인테리어_3차네고견적(061017-1)" xfId="1729" xr:uid="{00000000-0005-0000-0000-0000C2060000}"/>
    <cellStyle name="1_tree_한풍집계_설계내역서1월7일" xfId="1730" xr:uid="{00000000-0005-0000-0000-0000C3060000}"/>
    <cellStyle name="1_tree_한풍집계_설계내역서1월7일_1차 기성 내역서 0612023" xfId="1731" xr:uid="{00000000-0005-0000-0000-0000C4060000}"/>
    <cellStyle name="1_tree_한풍집계_설계내역서1월7일_3차네고견적(061017-1)" xfId="1732" xr:uid="{00000000-0005-0000-0000-0000C5060000}"/>
    <cellStyle name="1_tree_한풍집계_설계내역서1월7일_백화점화장실인테리어" xfId="1733" xr:uid="{00000000-0005-0000-0000-0000C6060000}"/>
    <cellStyle name="1_tree_한풍집계_설계내역서1월7일_백화점화장실인테리어_1차 기성 내역서 0612023" xfId="1734" xr:uid="{00000000-0005-0000-0000-0000C7060000}"/>
    <cellStyle name="1_tree_한풍집계_설계내역서1월7일_백화점화장실인테리어_3차네고견적(061017-1)" xfId="1735" xr:uid="{00000000-0005-0000-0000-0000C8060000}"/>
    <cellStyle name="1_tree_한풍집계_설계내역서1월7일_화명조경" xfId="1736" xr:uid="{00000000-0005-0000-0000-0000C9060000}"/>
    <cellStyle name="1_tree_한풍집계_설계내역서1월7일_화명조경_1차 기성 내역서 0612023" xfId="1737" xr:uid="{00000000-0005-0000-0000-0000CA060000}"/>
    <cellStyle name="1_tree_한풍집계_설계내역서1월7일_화명조경_3차네고견적(061017-1)" xfId="1738" xr:uid="{00000000-0005-0000-0000-0000CB060000}"/>
    <cellStyle name="1_tree_한풍집계_설계내역서1월7일_화명조경_백화점화장실인테리어" xfId="1739" xr:uid="{00000000-0005-0000-0000-0000CC060000}"/>
    <cellStyle name="1_tree_한풍집계_설계내역서1월7일_화명조경_백화점화장실인테리어_1차 기성 내역서 0612023" xfId="1740" xr:uid="{00000000-0005-0000-0000-0000CD060000}"/>
    <cellStyle name="1_tree_한풍집계_설계내역서1월7일_화명조경_백화점화장실인테리어_3차네고견적(061017-1)" xfId="1741" xr:uid="{00000000-0005-0000-0000-0000CE060000}"/>
    <cellStyle name="1_tree_한풍집계_쌍용수량0905" xfId="1742" xr:uid="{00000000-0005-0000-0000-0000CF060000}"/>
    <cellStyle name="1_tree_한풍집계_쌍용수량0905_1차 기성 내역서 0612023" xfId="1743" xr:uid="{00000000-0005-0000-0000-0000D0060000}"/>
    <cellStyle name="1_tree_한풍집계_쌍용수량0905_3차네고견적(061017-1)" xfId="1744" xr:uid="{00000000-0005-0000-0000-0000D1060000}"/>
    <cellStyle name="1_tree_한풍집계_쌍용수량0905_백화점화장실인테리어" xfId="1745" xr:uid="{00000000-0005-0000-0000-0000D2060000}"/>
    <cellStyle name="1_tree_한풍집계_쌍용수량0905_백화점화장실인테리어_1차 기성 내역서 0612023" xfId="1746" xr:uid="{00000000-0005-0000-0000-0000D3060000}"/>
    <cellStyle name="1_tree_한풍집계_쌍용수량0905_백화점화장실인테리어_3차네고견적(061017-1)" xfId="1747" xr:uid="{00000000-0005-0000-0000-0000D4060000}"/>
    <cellStyle name="1_tree_한풍집계_쌍용수량0905_설계내역서" xfId="1748" xr:uid="{00000000-0005-0000-0000-0000D5060000}"/>
    <cellStyle name="1_tree_한풍집계_쌍용수량0905_설계내역서_1차 기성 내역서 0612023" xfId="1749" xr:uid="{00000000-0005-0000-0000-0000D6060000}"/>
    <cellStyle name="1_tree_한풍집계_쌍용수량0905_설계내역서_3차네고견적(061017-1)" xfId="1750" xr:uid="{00000000-0005-0000-0000-0000D7060000}"/>
    <cellStyle name="1_tree_한풍집계_쌍용수량0905_설계내역서_백화점화장실인테리어" xfId="1751" xr:uid="{00000000-0005-0000-0000-0000D8060000}"/>
    <cellStyle name="1_tree_한풍집계_쌍용수량0905_설계내역서_백화점화장실인테리어_1차 기성 내역서 0612023" xfId="1752" xr:uid="{00000000-0005-0000-0000-0000D9060000}"/>
    <cellStyle name="1_tree_한풍집계_쌍용수량0905_설계내역서_백화점화장실인테리어_3차네고견적(061017-1)" xfId="1753" xr:uid="{00000000-0005-0000-0000-0000DA060000}"/>
    <cellStyle name="1_tree_한풍집계_쌍용수량0905_설계내역서_화명조경" xfId="1754" xr:uid="{00000000-0005-0000-0000-0000DB060000}"/>
    <cellStyle name="1_tree_한풍집계_쌍용수량0905_설계내역서_화명조경_1차 기성 내역서 0612023" xfId="1755" xr:uid="{00000000-0005-0000-0000-0000DC060000}"/>
    <cellStyle name="1_tree_한풍집계_쌍용수량0905_설계내역서_화명조경_3차네고견적(061017-1)" xfId="1756" xr:uid="{00000000-0005-0000-0000-0000DD060000}"/>
    <cellStyle name="1_tree_한풍집계_쌍용수량0905_설계내역서_화명조경_백화점화장실인테리어" xfId="1757" xr:uid="{00000000-0005-0000-0000-0000DE060000}"/>
    <cellStyle name="1_tree_한풍집계_쌍용수량0905_설계내역서_화명조경_백화점화장실인테리어_1차 기성 내역서 0612023" xfId="1758" xr:uid="{00000000-0005-0000-0000-0000DF060000}"/>
    <cellStyle name="1_tree_한풍집계_쌍용수량0905_설계내역서_화명조경_백화점화장실인테리어_3차네고견적(061017-1)" xfId="1759" xr:uid="{00000000-0005-0000-0000-0000E0060000}"/>
    <cellStyle name="1_tree_한풍집계_쌍용수량0905_설계내역서1월7일" xfId="1760" xr:uid="{00000000-0005-0000-0000-0000E1060000}"/>
    <cellStyle name="1_tree_한풍집계_쌍용수량0905_설계내역서1월7일_1차 기성 내역서 0612023" xfId="1761" xr:uid="{00000000-0005-0000-0000-0000E2060000}"/>
    <cellStyle name="1_tree_한풍집계_쌍용수량0905_설계내역서1월7일_3차네고견적(061017-1)" xfId="1762" xr:uid="{00000000-0005-0000-0000-0000E3060000}"/>
    <cellStyle name="1_tree_한풍집계_쌍용수량0905_설계내역서1월7일_백화점화장실인테리어" xfId="1763" xr:uid="{00000000-0005-0000-0000-0000E4060000}"/>
    <cellStyle name="1_tree_한풍집계_쌍용수량0905_설계내역서1월7일_백화점화장실인테리어_1차 기성 내역서 0612023" xfId="1764" xr:uid="{00000000-0005-0000-0000-0000E5060000}"/>
    <cellStyle name="1_tree_한풍집계_쌍용수량0905_설계내역서1월7일_백화점화장실인테리어_3차네고견적(061017-1)" xfId="1765" xr:uid="{00000000-0005-0000-0000-0000E6060000}"/>
    <cellStyle name="1_tree_한풍집계_쌍용수량0905_설계내역서1월7일_화명조경" xfId="1766" xr:uid="{00000000-0005-0000-0000-0000E7060000}"/>
    <cellStyle name="1_tree_한풍집계_쌍용수량0905_설계내역서1월7일_화명조경_1차 기성 내역서 0612023" xfId="1767" xr:uid="{00000000-0005-0000-0000-0000E8060000}"/>
    <cellStyle name="1_tree_한풍집계_쌍용수량0905_설계내역서1월7일_화명조경_3차네고견적(061017-1)" xfId="1768" xr:uid="{00000000-0005-0000-0000-0000E9060000}"/>
    <cellStyle name="1_tree_한풍집계_쌍용수량0905_설계내역서1월7일_화명조경_백화점화장실인테리어" xfId="1769" xr:uid="{00000000-0005-0000-0000-0000EA060000}"/>
    <cellStyle name="1_tree_한풍집계_쌍용수량0905_설계내역서1월7일_화명조경_백화점화장실인테리어_1차 기성 내역서 0612023" xfId="1770" xr:uid="{00000000-0005-0000-0000-0000EB060000}"/>
    <cellStyle name="1_tree_한풍집계_쌍용수량0905_설계내역서1월7일_화명조경_백화점화장실인테리어_3차네고견적(061017-1)" xfId="1771" xr:uid="{00000000-0005-0000-0000-0000EC060000}"/>
    <cellStyle name="1_tree_한풍집계_쌍용수량0905_화명조경" xfId="1772" xr:uid="{00000000-0005-0000-0000-0000ED060000}"/>
    <cellStyle name="1_tree_한풍집계_쌍용수량0905_화명조경_1차 기성 내역서 0612023" xfId="1773" xr:uid="{00000000-0005-0000-0000-0000EE060000}"/>
    <cellStyle name="1_tree_한풍집계_쌍용수량0905_화명조경_3차네고견적(061017-1)" xfId="1774" xr:uid="{00000000-0005-0000-0000-0000EF060000}"/>
    <cellStyle name="1_tree_한풍집계_쌍용수량0905_화명조경_백화점화장실인테리어" xfId="1775" xr:uid="{00000000-0005-0000-0000-0000F0060000}"/>
    <cellStyle name="1_tree_한풍집계_쌍용수량0905_화명조경_백화점화장실인테리어_1차 기성 내역서 0612023" xfId="1776" xr:uid="{00000000-0005-0000-0000-0000F1060000}"/>
    <cellStyle name="1_tree_한풍집계_쌍용수량0905_화명조경_백화점화장실인테리어_3차네고견적(061017-1)" xfId="1777" xr:uid="{00000000-0005-0000-0000-0000F2060000}"/>
    <cellStyle name="1_tree_한풍집계_터미널1-0" xfId="1778" xr:uid="{00000000-0005-0000-0000-0000F3060000}"/>
    <cellStyle name="1_tree_한풍집계_터미널1-0_1차 기성 내역서 0612023" xfId="1779" xr:uid="{00000000-0005-0000-0000-0000F4060000}"/>
    <cellStyle name="1_tree_한풍집계_터미널1-0_3차네고견적(061017-1)" xfId="1780" xr:uid="{00000000-0005-0000-0000-0000F5060000}"/>
    <cellStyle name="1_tree_한풍집계_터미널1-0_백화점화장실인테리어" xfId="1781" xr:uid="{00000000-0005-0000-0000-0000F6060000}"/>
    <cellStyle name="1_tree_한풍집계_터미널1-0_백화점화장실인테리어_1차 기성 내역서 0612023" xfId="1782" xr:uid="{00000000-0005-0000-0000-0000F7060000}"/>
    <cellStyle name="1_tree_한풍집계_터미널1-0_백화점화장실인테리어_3차네고견적(061017-1)" xfId="1783" xr:uid="{00000000-0005-0000-0000-0000F8060000}"/>
    <cellStyle name="1_tree_한풍집계_터미널1-0_화명조경" xfId="1784" xr:uid="{00000000-0005-0000-0000-0000F9060000}"/>
    <cellStyle name="1_tree_한풍집계_터미널1-0_화명조경_1차 기성 내역서 0612023" xfId="1785" xr:uid="{00000000-0005-0000-0000-0000FA060000}"/>
    <cellStyle name="1_tree_한풍집계_터미널1-0_화명조경_3차네고견적(061017-1)" xfId="1786" xr:uid="{00000000-0005-0000-0000-0000FB060000}"/>
    <cellStyle name="1_tree_한풍집계_터미널1-0_화명조경_백화점화장실인테리어" xfId="1787" xr:uid="{00000000-0005-0000-0000-0000FC060000}"/>
    <cellStyle name="1_tree_한풍집계_터미널1-0_화명조경_백화점화장실인테리어_1차 기성 내역서 0612023" xfId="1788" xr:uid="{00000000-0005-0000-0000-0000FD060000}"/>
    <cellStyle name="1_tree_한풍집계_터미널1-0_화명조경_백화점화장실인테리어_3차네고견적(061017-1)" xfId="1789" xr:uid="{00000000-0005-0000-0000-0000FE060000}"/>
    <cellStyle name="1_tree_한풍집계_화명조경" xfId="1790" xr:uid="{00000000-0005-0000-0000-0000FF060000}"/>
    <cellStyle name="1_tree_한풍집계_화명조경_1차 기성 내역서 0612023" xfId="1791" xr:uid="{00000000-0005-0000-0000-000000070000}"/>
    <cellStyle name="1_tree_한풍집계_화명조경_3차네고견적(061017-1)" xfId="1792" xr:uid="{00000000-0005-0000-0000-000001070000}"/>
    <cellStyle name="1_tree_한풍집계_화명조경_백화점화장실인테리어" xfId="1793" xr:uid="{00000000-0005-0000-0000-000002070000}"/>
    <cellStyle name="1_tree_한풍집계_화명조경_백화점화장실인테리어_1차 기성 내역서 0612023" xfId="1794" xr:uid="{00000000-0005-0000-0000-000003070000}"/>
    <cellStyle name="1_tree_한풍집계_화명조경_백화점화장실인테리어_3차네고견적(061017-1)" xfId="1795" xr:uid="{00000000-0005-0000-0000-000004070000}"/>
    <cellStyle name="1_tree_화명조경" xfId="1796" xr:uid="{00000000-0005-0000-0000-000005070000}"/>
    <cellStyle name="1_tree_화명조경_1차 기성 내역서 0612023" xfId="1797" xr:uid="{00000000-0005-0000-0000-000006070000}"/>
    <cellStyle name="1_tree_화명조경_3차네고견적(061017-1)" xfId="1798" xr:uid="{00000000-0005-0000-0000-000007070000}"/>
    <cellStyle name="1_tree_화명조경_백화점화장실인테리어" xfId="1799" xr:uid="{00000000-0005-0000-0000-000008070000}"/>
    <cellStyle name="1_tree_화명조경_백화점화장실인테리어_1차 기성 내역서 0612023" xfId="1800" xr:uid="{00000000-0005-0000-0000-000009070000}"/>
    <cellStyle name="1_tree_화명조경_백화점화장실인테리어_3차네고견적(061017-1)" xfId="1801" xr:uid="{00000000-0005-0000-0000-00000A070000}"/>
    <cellStyle name="1_tree_Sheet1" xfId="794" xr:uid="{00000000-0005-0000-0000-00001B030000}"/>
    <cellStyle name="1_tree_Sheet1_1차 기성 내역서 0612023" xfId="795" xr:uid="{00000000-0005-0000-0000-00001C030000}"/>
    <cellStyle name="1_tree_Sheet1_3차네고견적(061017-1)" xfId="796" xr:uid="{00000000-0005-0000-0000-00001D030000}"/>
    <cellStyle name="10" xfId="2115" xr:uid="{00000000-0005-0000-0000-000044080000}"/>
    <cellStyle name="11" xfId="2116" xr:uid="{00000000-0005-0000-0000-000045080000}"/>
    <cellStyle name="111" xfId="2117" xr:uid="{00000000-0005-0000-0000-000046080000}"/>
    <cellStyle name="¹e" xfId="2118" xr:uid="{00000000-0005-0000-0000-000047080000}"/>
    <cellStyle name="¹éº" xfId="2119" xr:uid="{00000000-0005-0000-0000-000048080000}"/>
    <cellStyle name="¹éºÐÀ²_±¸¸Å³³±â" xfId="2120" xr:uid="{00000000-0005-0000-0000-000049080000}"/>
    <cellStyle name="2" xfId="2121" xr:uid="{00000000-0005-0000-0000-00004A080000}"/>
    <cellStyle name="2_단가조사표" xfId="2123" xr:uid="{00000000-0005-0000-0000-00004C080000}"/>
    <cellStyle name="2)" xfId="2122" xr:uid="{00000000-0005-0000-0000-00004B080000}"/>
    <cellStyle name="2자리" xfId="2124" xr:uid="{00000000-0005-0000-0000-00004D080000}"/>
    <cellStyle name="³f¹ô_pldt" xfId="2126" xr:uid="{00000000-0005-0000-0000-00004F080000}"/>
    <cellStyle name="³f¹ô[0]_pldt" xfId="2125" xr:uid="{00000000-0005-0000-0000-00004E080000}"/>
    <cellStyle name="60" xfId="2127" xr:uid="{00000000-0005-0000-0000-000050080000}"/>
    <cellStyle name="_x0014_7." xfId="2128" xr:uid="{00000000-0005-0000-0000-000051080000}"/>
    <cellStyle name="82" xfId="2129" xr:uid="{00000000-0005-0000-0000-000052080000}"/>
    <cellStyle name="90" xfId="2130" xr:uid="{00000000-0005-0000-0000-000053080000}"/>
    <cellStyle name="견적" xfId="2494" xr:uid="{00000000-0005-0000-0000-0000DB090000}"/>
    <cellStyle name="고정소숫점" xfId="2495" xr:uid="{00000000-0005-0000-0000-0000DC090000}"/>
    <cellStyle name="고정출력1" xfId="2496" xr:uid="{00000000-0005-0000-0000-0000DD090000}"/>
    <cellStyle name="고정출력2" xfId="2497" xr:uid="{00000000-0005-0000-0000-0000DE090000}"/>
    <cellStyle name="공사원가계산서(조경)" xfId="2498" xr:uid="{00000000-0005-0000-0000-0000DF090000}"/>
    <cellStyle name="기계" xfId="2499" xr:uid="{00000000-0005-0000-0000-0000E0090000}"/>
    <cellStyle name="기본숫자" xfId="2500" xr:uid="{00000000-0005-0000-0000-0000E1090000}"/>
    <cellStyle name="기성(내용)" xfId="2501" xr:uid="{00000000-0005-0000-0000-0000E2090000}"/>
    <cellStyle name="기성(내용2)" xfId="2502" xr:uid="{00000000-0005-0000-0000-0000E3090000}"/>
    <cellStyle name="끼_x0001_?" xfId="2503" xr:uid="{00000000-0005-0000-0000-0000E4090000}"/>
    <cellStyle name="날짜" xfId="2504" xr:uid="{00000000-0005-0000-0000-0000E5090000}"/>
    <cellStyle name="내역서" xfId="2505" xr:uid="{00000000-0005-0000-0000-0000E6090000}"/>
    <cellStyle name="단가" xfId="2506" xr:uid="{00000000-0005-0000-0000-0000E7090000}"/>
    <cellStyle name="달러" xfId="2507" xr:uid="{00000000-0005-0000-0000-0000E8090000}"/>
    <cellStyle name="돋움채" xfId="2508" xr:uid="{00000000-0005-0000-0000-0000E9090000}"/>
    <cellStyle name="뒤에 오는 하이퍼링크" xfId="2509" xr:uid="{00000000-0005-0000-0000-0000EA090000}"/>
    <cellStyle name="똿떓죶Ø괻 [0.00]_NT Server " xfId="2510" xr:uid="{00000000-0005-0000-0000-0000EB090000}"/>
    <cellStyle name="똿떓죶Ø괻_NT Server " xfId="2511" xr:uid="{00000000-0005-0000-0000-0000EC090000}"/>
    <cellStyle name="똿뗦먛귟 [0.00]_laroux" xfId="2512" xr:uid="{00000000-0005-0000-0000-0000ED090000}"/>
    <cellStyle name="똿뗦먛귟_laroux" xfId="2513" xr:uid="{00000000-0005-0000-0000-0000EE090000}"/>
    <cellStyle name="마이너스키" xfId="2514" xr:uid="{00000000-0005-0000-0000-0000EF090000}"/>
    <cellStyle name="묮뎋 [0.00]_NT Server " xfId="2515" xr:uid="{00000000-0005-0000-0000-0000F0090000}"/>
    <cellStyle name="묮뎋_NT Server " xfId="2516" xr:uid="{00000000-0005-0000-0000-0000F1090000}"/>
    <cellStyle name="물량집계(갑)" xfId="2517" xr:uid="{00000000-0005-0000-0000-0000F2090000}"/>
    <cellStyle name="믅됞 [0.00]_laroux" xfId="2518" xr:uid="{00000000-0005-0000-0000-0000F3090000}"/>
    <cellStyle name="믅됞_laroux" xfId="2519" xr:uid="{00000000-0005-0000-0000-0000F4090000}"/>
    <cellStyle name="배분" xfId="2520" xr:uid="{00000000-0005-0000-0000-0000F5090000}"/>
    <cellStyle name="백" xfId="2521" xr:uid="{00000000-0005-0000-0000-0000F6090000}"/>
    <cellStyle name="백_04028적산수량집계" xfId="2522" xr:uid="{00000000-0005-0000-0000-0000F7090000}"/>
    <cellStyle name="백_견적양식(가로)" xfId="2526" xr:uid="{00000000-0005-0000-0000-0000FB090000}"/>
    <cellStyle name="백_공설운동진입(가실행)" xfId="2527" xr:uid="{00000000-0005-0000-0000-0000FC090000}"/>
    <cellStyle name="백_공설운동진입(가실행)_04028적산수량집계" xfId="2528" xr:uid="{00000000-0005-0000-0000-0000FD090000}"/>
    <cellStyle name="백_공설운동진입(가실행)_사본 - 파주 북시티(이채)" xfId="2531" xr:uid="{00000000-0005-0000-0000-0000000A0000}"/>
    <cellStyle name="백_공설운동진입(가실행)_사본 - 파주 북시티(이채)_04028적산수량집계" xfId="2532" xr:uid="{00000000-0005-0000-0000-0000010A0000}"/>
    <cellStyle name="백_공설운동진입(가실행)_파주 북시티(이채)제출" xfId="2537" xr:uid="{00000000-0005-0000-0000-0000060A0000}"/>
    <cellStyle name="백_공설운동진입(가실행)_파주 북시티(이채)제출_04028적산수량집계" xfId="2538" xr:uid="{00000000-0005-0000-0000-0000070A0000}"/>
    <cellStyle name="백_공설운동진입(가실행)_파주 북시티(전체)제출(변경전)" xfId="2539" xr:uid="{00000000-0005-0000-0000-0000080A0000}"/>
    <cellStyle name="백_공설운동진입(가실행)_파주 북시티(전체)제출(변경전)_04028적산수량집계" xfId="2540" xr:uid="{00000000-0005-0000-0000-0000090A0000}"/>
    <cellStyle name="백_공설운동진입(가실행)_파주 BOOK CITY(통보용)" xfId="2533" xr:uid="{00000000-0005-0000-0000-0000020A0000}"/>
    <cellStyle name="백_공설운동진입(가실행)_파주 BOOK CITY(통보용)_04028적산수량집계" xfId="2534" xr:uid="{00000000-0005-0000-0000-0000030A0000}"/>
    <cellStyle name="백_공설운동진입(가실행)_파주 BOOK CITY가실행내역" xfId="2535" xr:uid="{00000000-0005-0000-0000-0000040A0000}"/>
    <cellStyle name="백_공설운동진입(가실행)_파주 BOOK CITY가실행내역_04028적산수량집계" xfId="2536" xr:uid="{00000000-0005-0000-0000-0000050A0000}"/>
    <cellStyle name="백_공설운동진입(가실행)_BOOKCITY(전기)" xfId="2529" xr:uid="{00000000-0005-0000-0000-0000FE090000}"/>
    <cellStyle name="백_공설운동진입(가실행)_BOOKCITY(전기)_04028적산수량집계" xfId="2530" xr:uid="{00000000-0005-0000-0000-0000FF090000}"/>
    <cellStyle name="백_사본 - 파주 북시티(이채)" xfId="2541" xr:uid="{00000000-0005-0000-0000-00000A0A0000}"/>
    <cellStyle name="백_사본 - 파주 북시티(이채)_04028적산수량집계" xfId="2542" xr:uid="{00000000-0005-0000-0000-00000B0A0000}"/>
    <cellStyle name="백_정산내역(0515)-검토" xfId="2543" xr:uid="{00000000-0005-0000-0000-00000C0A0000}"/>
    <cellStyle name="백_토목내역서" xfId="2544" xr:uid="{00000000-0005-0000-0000-00000D0A0000}"/>
    <cellStyle name="백_토목내역서_04028적산수량집계" xfId="2545" xr:uid="{00000000-0005-0000-0000-00000E0A0000}"/>
    <cellStyle name="백_토목내역서_공설운동진입(가실행)" xfId="2548" xr:uid="{00000000-0005-0000-0000-0000110A0000}"/>
    <cellStyle name="백_토목내역서_공설운동진입(가실행)_04028적산수량집계" xfId="2549" xr:uid="{00000000-0005-0000-0000-0000120A0000}"/>
    <cellStyle name="백_토목내역서_공설운동진입(가실행)_사본 - 파주 북시티(이채)" xfId="2552" xr:uid="{00000000-0005-0000-0000-0000150A0000}"/>
    <cellStyle name="백_토목내역서_공설운동진입(가실행)_사본 - 파주 북시티(이채)_04028적산수량집계" xfId="2553" xr:uid="{00000000-0005-0000-0000-0000160A0000}"/>
    <cellStyle name="백_토목내역서_공설운동진입(가실행)_파주 북시티(이채)제출" xfId="2558" xr:uid="{00000000-0005-0000-0000-00001B0A0000}"/>
    <cellStyle name="백_토목내역서_공설운동진입(가실행)_파주 북시티(이채)제출_04028적산수량집계" xfId="2559" xr:uid="{00000000-0005-0000-0000-00001C0A0000}"/>
    <cellStyle name="백_토목내역서_공설운동진입(가실행)_파주 북시티(전체)제출(변경전)" xfId="2560" xr:uid="{00000000-0005-0000-0000-00001D0A0000}"/>
    <cellStyle name="백_토목내역서_공설운동진입(가실행)_파주 북시티(전체)제출(변경전)_04028적산수량집계" xfId="2561" xr:uid="{00000000-0005-0000-0000-00001E0A0000}"/>
    <cellStyle name="백_토목내역서_공설운동진입(가실행)_파주 BOOK CITY(통보용)" xfId="2554" xr:uid="{00000000-0005-0000-0000-0000170A0000}"/>
    <cellStyle name="백_토목내역서_공설운동진입(가실행)_파주 BOOK CITY(통보용)_04028적산수량집계" xfId="2555" xr:uid="{00000000-0005-0000-0000-0000180A0000}"/>
    <cellStyle name="백_토목내역서_공설운동진입(가실행)_파주 BOOK CITY가실행내역" xfId="2556" xr:uid="{00000000-0005-0000-0000-0000190A0000}"/>
    <cellStyle name="백_토목내역서_공설운동진입(가실행)_파주 BOOK CITY가실행내역_04028적산수량집계" xfId="2557" xr:uid="{00000000-0005-0000-0000-00001A0A0000}"/>
    <cellStyle name="백_토목내역서_공설운동진입(가실행)_BOOKCITY(전기)" xfId="2550" xr:uid="{00000000-0005-0000-0000-0000130A0000}"/>
    <cellStyle name="백_토목내역서_공설운동진입(가실행)_BOOKCITY(전기)_04028적산수량집계" xfId="2551" xr:uid="{00000000-0005-0000-0000-0000140A0000}"/>
    <cellStyle name="백_토목내역서_사본 - 파주 북시티(이채)" xfId="2562" xr:uid="{00000000-0005-0000-0000-00001F0A0000}"/>
    <cellStyle name="백_토목내역서_사본 - 파주 북시티(이채)_04028적산수량집계" xfId="2563" xr:uid="{00000000-0005-0000-0000-0000200A0000}"/>
    <cellStyle name="백_토목내역서_파주 북시티(이채)제출" xfId="2568" xr:uid="{00000000-0005-0000-0000-0000250A0000}"/>
    <cellStyle name="백_토목내역서_파주 북시티(이채)제출_04028적산수량집계" xfId="2569" xr:uid="{00000000-0005-0000-0000-0000260A0000}"/>
    <cellStyle name="백_토목내역서_파주 북시티(전체)제출(변경전)" xfId="2570" xr:uid="{00000000-0005-0000-0000-0000270A0000}"/>
    <cellStyle name="백_토목내역서_파주 북시티(전체)제출(변경전)_04028적산수량집계" xfId="2571" xr:uid="{00000000-0005-0000-0000-0000280A0000}"/>
    <cellStyle name="백_토목내역서_파주 BOOK CITY(통보용)" xfId="2564" xr:uid="{00000000-0005-0000-0000-0000210A0000}"/>
    <cellStyle name="백_토목내역서_파주 BOOK CITY(통보용)_04028적산수량집계" xfId="2565" xr:uid="{00000000-0005-0000-0000-0000220A0000}"/>
    <cellStyle name="백_토목내역서_파주 BOOK CITY가실행내역" xfId="2566" xr:uid="{00000000-0005-0000-0000-0000230A0000}"/>
    <cellStyle name="백_토목내역서_파주 BOOK CITY가실행내역_04028적산수량집계" xfId="2567" xr:uid="{00000000-0005-0000-0000-0000240A0000}"/>
    <cellStyle name="백_토목내역서_BOOKCITY(전기)" xfId="2546" xr:uid="{00000000-0005-0000-0000-00000F0A0000}"/>
    <cellStyle name="백_토목내역서_BOOKCITY(전기)_04028적산수량집계" xfId="2547" xr:uid="{00000000-0005-0000-0000-0000100A0000}"/>
    <cellStyle name="백_파주 북시티(이채)제출" xfId="2576" xr:uid="{00000000-0005-0000-0000-00002D0A0000}"/>
    <cellStyle name="백_파주 북시티(이채)제출_04028적산수량집계" xfId="2577" xr:uid="{00000000-0005-0000-0000-00002E0A0000}"/>
    <cellStyle name="백_파주 북시티(전체)제출(변경전)" xfId="2578" xr:uid="{00000000-0005-0000-0000-00002F0A0000}"/>
    <cellStyle name="백_파주 북시티(전체)제출(변경전)_04028적산수량집계" xfId="2579" xr:uid="{00000000-0005-0000-0000-0000300A0000}"/>
    <cellStyle name="백_파주 BOOK CITY(통보용)" xfId="2572" xr:uid="{00000000-0005-0000-0000-0000290A0000}"/>
    <cellStyle name="백_파주 BOOK CITY(통보용)_04028적산수량집계" xfId="2573" xr:uid="{00000000-0005-0000-0000-00002A0A0000}"/>
    <cellStyle name="백_파주 BOOK CITY가실행내역" xfId="2574" xr:uid="{00000000-0005-0000-0000-00002B0A0000}"/>
    <cellStyle name="백_파주 BOOK CITY가실행내역_04028적산수량집계" xfId="2575" xr:uid="{00000000-0005-0000-0000-00002C0A0000}"/>
    <cellStyle name="백_BOOKCITY(전기)" xfId="2523" xr:uid="{00000000-0005-0000-0000-0000F8090000}"/>
    <cellStyle name="백_BOOKCITY(전기)_04028적산수량집계" xfId="2524" xr:uid="{00000000-0005-0000-0000-0000F9090000}"/>
    <cellStyle name="백_TRU내역서" xfId="2525" xr:uid="{00000000-0005-0000-0000-0000FA090000}"/>
    <cellStyle name="백분율 [△1]" xfId="2580" xr:uid="{00000000-0005-0000-0000-0000310A0000}"/>
    <cellStyle name="백분율 [△2]" xfId="2581" xr:uid="{00000000-0005-0000-0000-0000320A0000}"/>
    <cellStyle name="백분율 [0]" xfId="2582" xr:uid="{00000000-0005-0000-0000-0000330A0000}"/>
    <cellStyle name="백분율 [2]" xfId="2583" xr:uid="{00000000-0005-0000-0000-0000340A0000}"/>
    <cellStyle name="백분율 2" xfId="2584" xr:uid="{00000000-0005-0000-0000-0000350A0000}"/>
    <cellStyle name="백분율［△1］" xfId="2585" xr:uid="{00000000-0005-0000-0000-0000360A0000}"/>
    <cellStyle name="백분율［△2］" xfId="2586" xr:uid="{00000000-0005-0000-0000-0000370A0000}"/>
    <cellStyle name="분수" xfId="2587" xr:uid="{00000000-0005-0000-0000-0000380A0000}"/>
    <cellStyle name="뷭?" xfId="2588" xr:uid="{00000000-0005-0000-0000-0000390A0000}"/>
    <cellStyle name="빨간색" xfId="2589" xr:uid="{00000000-0005-0000-0000-00003A0A0000}"/>
    <cellStyle name="常规_PhaseⅡ Detail" xfId="2590" xr:uid="{00000000-0005-0000-0000-00003B0A0000}"/>
    <cellStyle name="선택영역의 가운데로" xfId="2591" xr:uid="{00000000-0005-0000-0000-00003C0A0000}"/>
    <cellStyle name="설계서" xfId="2592" xr:uid="{00000000-0005-0000-0000-00003D0A0000}"/>
    <cellStyle name="수량" xfId="2593" xr:uid="{00000000-0005-0000-0000-00003E0A0000}"/>
    <cellStyle name="수량1" xfId="2594" xr:uid="{00000000-0005-0000-0000-00003F0A0000}"/>
    <cellStyle name="수목명" xfId="2595" xr:uid="{00000000-0005-0000-0000-0000400A0000}"/>
    <cellStyle name="숫자(R)" xfId="2596" xr:uid="{00000000-0005-0000-0000-0000410A0000}"/>
    <cellStyle name="쉼표 [0]" xfId="2878" builtinId="6"/>
    <cellStyle name="쉼표 [0] 2" xfId="2598" xr:uid="{00000000-0005-0000-0000-0000430A0000}"/>
    <cellStyle name="쉼표 [0] 2 2" xfId="2599" xr:uid="{00000000-0005-0000-0000-0000440A0000}"/>
    <cellStyle name="쉼표 [0] 2 2 2" xfId="2873" xr:uid="{00000000-0005-0000-0000-0000450A0000}"/>
    <cellStyle name="쉼표 [0] 2 2 2 2" xfId="2874" xr:uid="{00000000-0005-0000-0000-0000460A0000}"/>
    <cellStyle name="쉼표 [0] 3" xfId="2600" xr:uid="{00000000-0005-0000-0000-0000470A0000}"/>
    <cellStyle name="쉼표 [0] 3 2" xfId="2876" xr:uid="{00000000-0005-0000-0000-0000480A0000}"/>
    <cellStyle name="쉼표 [0] 4" xfId="2601" xr:uid="{00000000-0005-0000-0000-0000490A0000}"/>
    <cellStyle name="쉼표 [0] 5" xfId="2880" xr:uid="{00000000-0005-0000-0000-00004A0A0000}"/>
    <cellStyle name="스타일 1" xfId="2602" xr:uid="{00000000-0005-0000-0000-00004B0A0000}"/>
    <cellStyle name="스타일 10" xfId="2603" xr:uid="{00000000-0005-0000-0000-00004C0A0000}"/>
    <cellStyle name="스타일 11" xfId="2604" xr:uid="{00000000-0005-0000-0000-00004D0A0000}"/>
    <cellStyle name="스타일 12" xfId="2605" xr:uid="{00000000-0005-0000-0000-00004E0A0000}"/>
    <cellStyle name="스타일 13" xfId="2606" xr:uid="{00000000-0005-0000-0000-00004F0A0000}"/>
    <cellStyle name="스타일 14" xfId="2607" xr:uid="{00000000-0005-0000-0000-0000500A0000}"/>
    <cellStyle name="스타일 15" xfId="2608" xr:uid="{00000000-0005-0000-0000-0000510A0000}"/>
    <cellStyle name="스타일 16" xfId="2609" xr:uid="{00000000-0005-0000-0000-0000520A0000}"/>
    <cellStyle name="스타일 17" xfId="2610" xr:uid="{00000000-0005-0000-0000-0000530A0000}"/>
    <cellStyle name="스타일 18" xfId="2611" xr:uid="{00000000-0005-0000-0000-0000540A0000}"/>
    <cellStyle name="스타일 19" xfId="2612" xr:uid="{00000000-0005-0000-0000-0000550A0000}"/>
    <cellStyle name="스타일 2" xfId="2613" xr:uid="{00000000-0005-0000-0000-0000560A0000}"/>
    <cellStyle name="스타일 20" xfId="2614" xr:uid="{00000000-0005-0000-0000-0000570A0000}"/>
    <cellStyle name="스타일 21" xfId="2615" xr:uid="{00000000-0005-0000-0000-0000580A0000}"/>
    <cellStyle name="스타일 22" xfId="2616" xr:uid="{00000000-0005-0000-0000-0000590A0000}"/>
    <cellStyle name="스타일 23" xfId="2617" xr:uid="{00000000-0005-0000-0000-00005A0A0000}"/>
    <cellStyle name="스타일 24" xfId="2618" xr:uid="{00000000-0005-0000-0000-00005B0A0000}"/>
    <cellStyle name="스타일 25" xfId="2619" xr:uid="{00000000-0005-0000-0000-00005C0A0000}"/>
    <cellStyle name="스타일 26" xfId="2620" xr:uid="{00000000-0005-0000-0000-00005D0A0000}"/>
    <cellStyle name="스타일 27" xfId="2621" xr:uid="{00000000-0005-0000-0000-00005E0A0000}"/>
    <cellStyle name="스타일 28" xfId="2622" xr:uid="{00000000-0005-0000-0000-00005F0A0000}"/>
    <cellStyle name="스타일 29" xfId="2623" xr:uid="{00000000-0005-0000-0000-0000600A0000}"/>
    <cellStyle name="스타일 3" xfId="2624" xr:uid="{00000000-0005-0000-0000-0000610A0000}"/>
    <cellStyle name="스타일 30" xfId="2625" xr:uid="{00000000-0005-0000-0000-0000620A0000}"/>
    <cellStyle name="스타일 31" xfId="2626" xr:uid="{00000000-0005-0000-0000-0000630A0000}"/>
    <cellStyle name="스타일 32" xfId="2627" xr:uid="{00000000-0005-0000-0000-0000640A0000}"/>
    <cellStyle name="스타일 33" xfId="2628" xr:uid="{00000000-0005-0000-0000-0000650A0000}"/>
    <cellStyle name="스타일 34" xfId="2629" xr:uid="{00000000-0005-0000-0000-0000660A0000}"/>
    <cellStyle name="스타일 35" xfId="2630" xr:uid="{00000000-0005-0000-0000-0000670A0000}"/>
    <cellStyle name="스타일 36" xfId="2631" xr:uid="{00000000-0005-0000-0000-0000680A0000}"/>
    <cellStyle name="스타일 37" xfId="2632" xr:uid="{00000000-0005-0000-0000-0000690A0000}"/>
    <cellStyle name="스타일 38" xfId="2633" xr:uid="{00000000-0005-0000-0000-00006A0A0000}"/>
    <cellStyle name="스타일 39" xfId="2634" xr:uid="{00000000-0005-0000-0000-00006B0A0000}"/>
    <cellStyle name="스타일 4" xfId="2635" xr:uid="{00000000-0005-0000-0000-00006C0A0000}"/>
    <cellStyle name="스타일 40" xfId="2636" xr:uid="{00000000-0005-0000-0000-00006D0A0000}"/>
    <cellStyle name="스타일 41" xfId="2637" xr:uid="{00000000-0005-0000-0000-00006E0A0000}"/>
    <cellStyle name="스타일 42" xfId="2638" xr:uid="{00000000-0005-0000-0000-00006F0A0000}"/>
    <cellStyle name="스타일 43" xfId="2639" xr:uid="{00000000-0005-0000-0000-0000700A0000}"/>
    <cellStyle name="스타일 44" xfId="2640" xr:uid="{00000000-0005-0000-0000-0000710A0000}"/>
    <cellStyle name="스타일 45" xfId="2641" xr:uid="{00000000-0005-0000-0000-0000720A0000}"/>
    <cellStyle name="스타일 5" xfId="2642" xr:uid="{00000000-0005-0000-0000-0000730A0000}"/>
    <cellStyle name="스타일 6" xfId="2643" xr:uid="{00000000-0005-0000-0000-0000740A0000}"/>
    <cellStyle name="스타일 7" xfId="2644" xr:uid="{00000000-0005-0000-0000-0000750A0000}"/>
    <cellStyle name="스타일 8" xfId="2645" xr:uid="{00000000-0005-0000-0000-0000760A0000}"/>
    <cellStyle name="스타일 9" xfId="2646" xr:uid="{00000000-0005-0000-0000-0000770A0000}"/>
    <cellStyle name="안건회계법인" xfId="2647" xr:uid="{00000000-0005-0000-0000-0000780A0000}"/>
    <cellStyle name="열어본 하이퍼링크" xfId="2648" xr:uid="{00000000-0005-0000-0000-0000790A0000}"/>
    <cellStyle name="옛체" xfId="2649" xr:uid="{00000000-0005-0000-0000-00007A0A0000}"/>
    <cellStyle name="왼쪽2" xfId="2650" xr:uid="{00000000-0005-0000-0000-00007B0A0000}"/>
    <cellStyle name="원" xfId="2651" xr:uid="{00000000-0005-0000-0000-00007C0A0000}"/>
    <cellStyle name="원_02대여금" xfId="2652" xr:uid="{00000000-0005-0000-0000-00007D0A0000}"/>
    <cellStyle name="원_02투자" xfId="2653" xr:uid="{00000000-0005-0000-0000-00007E0A0000}"/>
    <cellStyle name="원_02투자및대여금종합" xfId="2654" xr:uid="{00000000-0005-0000-0000-00007F0A0000}"/>
    <cellStyle name="원_남양주무궁화공정표(03.08.22)" xfId="2656" xr:uid="{00000000-0005-0000-0000-0000810A0000}"/>
    <cellStyle name="원_환경1팀수주최종본" xfId="2657" xr:uid="{00000000-0005-0000-0000-0000820A0000}"/>
    <cellStyle name="원_NCF6BB2F" xfId="2655" xr:uid="{00000000-0005-0000-0000-0000800A0000}"/>
    <cellStyle name="일위대가" xfId="2658" xr:uid="{00000000-0005-0000-0000-0000830A0000}"/>
    <cellStyle name="자리수" xfId="2659" xr:uid="{00000000-0005-0000-0000-0000840A0000}"/>
    <cellStyle name="자리수 - 유형1" xfId="2660" xr:uid="{00000000-0005-0000-0000-0000850A0000}"/>
    <cellStyle name="자리수_견적양식(가로)" xfId="2661" xr:uid="{00000000-0005-0000-0000-0000860A0000}"/>
    <cellStyle name="자리수0" xfId="2662" xr:uid="{00000000-0005-0000-0000-0000870A0000}"/>
    <cellStyle name="제목 1(左)" xfId="2663" xr:uid="{00000000-0005-0000-0000-0000880A0000}"/>
    <cellStyle name="제목 1(中)" xfId="2664" xr:uid="{00000000-0005-0000-0000-0000890A0000}"/>
    <cellStyle name="제목[1 줄]" xfId="2665" xr:uid="{00000000-0005-0000-0000-00008A0A0000}"/>
    <cellStyle name="제목[2줄 아래]" xfId="2666" xr:uid="{00000000-0005-0000-0000-00008B0A0000}"/>
    <cellStyle name="제목[2줄 위]" xfId="2667" xr:uid="{00000000-0005-0000-0000-00008C0A0000}"/>
    <cellStyle name="제목1" xfId="2668" xr:uid="{00000000-0005-0000-0000-00008D0A0000}"/>
    <cellStyle name="지정되지 않음" xfId="2669" xr:uid="{00000000-0005-0000-0000-00008E0A0000}"/>
    <cellStyle name="콤" xfId="2670" xr:uid="{00000000-0005-0000-0000-00008F0A0000}"/>
    <cellStyle name="콤_04028적산수량집계" xfId="2671" xr:uid="{00000000-0005-0000-0000-0000900A0000}"/>
    <cellStyle name="콤_공설운동진입(가실행)" xfId="2674" xr:uid="{00000000-0005-0000-0000-0000930A0000}"/>
    <cellStyle name="콤_공설운동진입(가실행)_04028적산수량집계" xfId="2675" xr:uid="{00000000-0005-0000-0000-0000940A0000}"/>
    <cellStyle name="콤_공설운동진입(가실행)_사본 - 파주 북시티(이채)" xfId="2678" xr:uid="{00000000-0005-0000-0000-0000970A0000}"/>
    <cellStyle name="콤_공설운동진입(가실행)_사본 - 파주 북시티(이채)_04028적산수량집계" xfId="2679" xr:uid="{00000000-0005-0000-0000-0000980A0000}"/>
    <cellStyle name="콤_공설운동진입(가실행)_파주 북시티(이채)제출" xfId="2684" xr:uid="{00000000-0005-0000-0000-00009D0A0000}"/>
    <cellStyle name="콤_공설운동진입(가실행)_파주 북시티(이채)제출_04028적산수량집계" xfId="2685" xr:uid="{00000000-0005-0000-0000-00009E0A0000}"/>
    <cellStyle name="콤_공설운동진입(가실행)_파주 북시티(전체)제출(변경전)" xfId="2686" xr:uid="{00000000-0005-0000-0000-00009F0A0000}"/>
    <cellStyle name="콤_공설운동진입(가실행)_파주 북시티(전체)제출(변경전)_04028적산수량집계" xfId="2687" xr:uid="{00000000-0005-0000-0000-0000A00A0000}"/>
    <cellStyle name="콤_공설운동진입(가실행)_파주 BOOK CITY(통보용)" xfId="2680" xr:uid="{00000000-0005-0000-0000-0000990A0000}"/>
    <cellStyle name="콤_공설운동진입(가실행)_파주 BOOK CITY(통보용)_04028적산수량집계" xfId="2681" xr:uid="{00000000-0005-0000-0000-00009A0A0000}"/>
    <cellStyle name="콤_공설운동진입(가실행)_파주 BOOK CITY가실행내역" xfId="2682" xr:uid="{00000000-0005-0000-0000-00009B0A0000}"/>
    <cellStyle name="콤_공설운동진입(가실행)_파주 BOOK CITY가실행내역_04028적산수량집계" xfId="2683" xr:uid="{00000000-0005-0000-0000-00009C0A0000}"/>
    <cellStyle name="콤_공설운동진입(가실행)_BOOKCITY(전기)" xfId="2676" xr:uid="{00000000-0005-0000-0000-0000950A0000}"/>
    <cellStyle name="콤_공설운동진입(가실행)_BOOKCITY(전기)_04028적산수량집계" xfId="2677" xr:uid="{00000000-0005-0000-0000-0000960A0000}"/>
    <cellStyle name="콤_사본 - 파주 북시티(이채)" xfId="2688" xr:uid="{00000000-0005-0000-0000-0000A10A0000}"/>
    <cellStyle name="콤_사본 - 파주 북시티(이채)_04028적산수량집계" xfId="2689" xr:uid="{00000000-0005-0000-0000-0000A20A0000}"/>
    <cellStyle name="콤_토목내역서" xfId="2690" xr:uid="{00000000-0005-0000-0000-0000A30A0000}"/>
    <cellStyle name="콤_토목내역서_04028적산수량집계" xfId="2691" xr:uid="{00000000-0005-0000-0000-0000A40A0000}"/>
    <cellStyle name="콤_토목내역서_공설운동진입(가실행)" xfId="2694" xr:uid="{00000000-0005-0000-0000-0000A70A0000}"/>
    <cellStyle name="콤_토목내역서_공설운동진입(가실행)_04028적산수량집계" xfId="2695" xr:uid="{00000000-0005-0000-0000-0000A80A0000}"/>
    <cellStyle name="콤_토목내역서_공설운동진입(가실행)_사본 - 파주 북시티(이채)" xfId="2698" xr:uid="{00000000-0005-0000-0000-0000AB0A0000}"/>
    <cellStyle name="콤_토목내역서_공설운동진입(가실행)_사본 - 파주 북시티(이채)_04028적산수량집계" xfId="2699" xr:uid="{00000000-0005-0000-0000-0000AC0A0000}"/>
    <cellStyle name="콤_토목내역서_공설운동진입(가실행)_파주 북시티(이채)제출" xfId="2704" xr:uid="{00000000-0005-0000-0000-0000B10A0000}"/>
    <cellStyle name="콤_토목내역서_공설운동진입(가실행)_파주 북시티(이채)제출_04028적산수량집계" xfId="2705" xr:uid="{00000000-0005-0000-0000-0000B20A0000}"/>
    <cellStyle name="콤_토목내역서_공설운동진입(가실행)_파주 북시티(전체)제출(변경전)" xfId="2706" xr:uid="{00000000-0005-0000-0000-0000B30A0000}"/>
    <cellStyle name="콤_토목내역서_공설운동진입(가실행)_파주 북시티(전체)제출(변경전)_04028적산수량집계" xfId="2707" xr:uid="{00000000-0005-0000-0000-0000B40A0000}"/>
    <cellStyle name="콤_토목내역서_공설운동진입(가실행)_파주 BOOK CITY(통보용)" xfId="2700" xr:uid="{00000000-0005-0000-0000-0000AD0A0000}"/>
    <cellStyle name="콤_토목내역서_공설운동진입(가실행)_파주 BOOK CITY(통보용)_04028적산수량집계" xfId="2701" xr:uid="{00000000-0005-0000-0000-0000AE0A0000}"/>
    <cellStyle name="콤_토목내역서_공설운동진입(가실행)_파주 BOOK CITY가실행내역" xfId="2702" xr:uid="{00000000-0005-0000-0000-0000AF0A0000}"/>
    <cellStyle name="콤_토목내역서_공설운동진입(가실행)_파주 BOOK CITY가실행내역_04028적산수량집계" xfId="2703" xr:uid="{00000000-0005-0000-0000-0000B00A0000}"/>
    <cellStyle name="콤_토목내역서_공설운동진입(가실행)_BOOKCITY(전기)" xfId="2696" xr:uid="{00000000-0005-0000-0000-0000A90A0000}"/>
    <cellStyle name="콤_토목내역서_공설운동진입(가실행)_BOOKCITY(전기)_04028적산수량집계" xfId="2697" xr:uid="{00000000-0005-0000-0000-0000AA0A0000}"/>
    <cellStyle name="콤_토목내역서_사본 - 파주 북시티(이채)" xfId="2708" xr:uid="{00000000-0005-0000-0000-0000B50A0000}"/>
    <cellStyle name="콤_토목내역서_사본 - 파주 북시티(이채)_04028적산수량집계" xfId="2709" xr:uid="{00000000-0005-0000-0000-0000B60A0000}"/>
    <cellStyle name="콤_토목내역서_파주 북시티(이채)제출" xfId="2714" xr:uid="{00000000-0005-0000-0000-0000BB0A0000}"/>
    <cellStyle name="콤_토목내역서_파주 북시티(이채)제출_04028적산수량집계" xfId="2715" xr:uid="{00000000-0005-0000-0000-0000BC0A0000}"/>
    <cellStyle name="콤_토목내역서_파주 북시티(전체)제출(변경전)" xfId="2716" xr:uid="{00000000-0005-0000-0000-0000BD0A0000}"/>
    <cellStyle name="콤_토목내역서_파주 북시티(전체)제출(변경전)_04028적산수량집계" xfId="2717" xr:uid="{00000000-0005-0000-0000-0000BE0A0000}"/>
    <cellStyle name="콤_토목내역서_파주 BOOK CITY(통보용)" xfId="2710" xr:uid="{00000000-0005-0000-0000-0000B70A0000}"/>
    <cellStyle name="콤_토목내역서_파주 BOOK CITY(통보용)_04028적산수량집계" xfId="2711" xr:uid="{00000000-0005-0000-0000-0000B80A0000}"/>
    <cellStyle name="콤_토목내역서_파주 BOOK CITY가실행내역" xfId="2712" xr:uid="{00000000-0005-0000-0000-0000B90A0000}"/>
    <cellStyle name="콤_토목내역서_파주 BOOK CITY가실행내역_04028적산수량집계" xfId="2713" xr:uid="{00000000-0005-0000-0000-0000BA0A0000}"/>
    <cellStyle name="콤_토목내역서_BOOKCITY(전기)" xfId="2692" xr:uid="{00000000-0005-0000-0000-0000A50A0000}"/>
    <cellStyle name="콤_토목내역서_BOOKCITY(전기)_04028적산수량집계" xfId="2693" xr:uid="{00000000-0005-0000-0000-0000A60A0000}"/>
    <cellStyle name="콤_파주 북시티(이채)제출" xfId="2722" xr:uid="{00000000-0005-0000-0000-0000C30A0000}"/>
    <cellStyle name="콤_파주 북시티(이채)제출_04028적산수량집계" xfId="2723" xr:uid="{00000000-0005-0000-0000-0000C40A0000}"/>
    <cellStyle name="콤_파주 북시티(전체)제출(변경전)" xfId="2724" xr:uid="{00000000-0005-0000-0000-0000C50A0000}"/>
    <cellStyle name="콤_파주 북시티(전체)제출(변경전)_04028적산수량집계" xfId="2725" xr:uid="{00000000-0005-0000-0000-0000C60A0000}"/>
    <cellStyle name="콤_파주 BOOK CITY(통보용)" xfId="2718" xr:uid="{00000000-0005-0000-0000-0000BF0A0000}"/>
    <cellStyle name="콤_파주 BOOK CITY(통보용)_04028적산수량집계" xfId="2719" xr:uid="{00000000-0005-0000-0000-0000C00A0000}"/>
    <cellStyle name="콤_파주 BOOK CITY가실행내역" xfId="2720" xr:uid="{00000000-0005-0000-0000-0000C10A0000}"/>
    <cellStyle name="콤_파주 BOOK CITY가실행내역_04028적산수량집계" xfId="2721" xr:uid="{00000000-0005-0000-0000-0000C20A0000}"/>
    <cellStyle name="콤_BOOKCITY(전기)" xfId="2672" xr:uid="{00000000-0005-0000-0000-0000910A0000}"/>
    <cellStyle name="콤_BOOKCITY(전기)_04028적산수량집계" xfId="2673" xr:uid="{00000000-0005-0000-0000-0000920A0000}"/>
    <cellStyle name="콤냡?&lt;_x000f_$??: `1_1 " xfId="2726" xr:uid="{00000000-0005-0000-0000-0000C70A0000}"/>
    <cellStyle name="콤마" xfId="2727" xr:uid="{00000000-0005-0000-0000-0000C80A0000}"/>
    <cellStyle name="콤마 [" xfId="2728" xr:uid="{00000000-0005-0000-0000-0000C90A0000}"/>
    <cellStyle name="콤마 []" xfId="2730" xr:uid="{00000000-0005-0000-0000-0000CB0A0000}"/>
    <cellStyle name="콤마 [#]" xfId="2729" xr:uid="{00000000-0005-0000-0000-0000CA0A0000}"/>
    <cellStyle name="콤마 [0]" xfId="2731" xr:uid="{00000000-0005-0000-0000-0000CC0A0000}"/>
    <cellStyle name="콤마 [2]" xfId="2732" xr:uid="{00000000-0005-0000-0000-0000CD0A0000}"/>
    <cellStyle name="콤마 [금액]" xfId="2733" xr:uid="{00000000-0005-0000-0000-0000CE0A0000}"/>
    <cellStyle name="콤마 [소수]" xfId="2734" xr:uid="{00000000-0005-0000-0000-0000CF0A0000}"/>
    <cellStyle name="콤마 [수량]" xfId="2735" xr:uid="{00000000-0005-0000-0000-0000D00A0000}"/>
    <cellStyle name="콤마 1" xfId="2736" xr:uid="{00000000-0005-0000-0000-0000D10A0000}"/>
    <cellStyle name="콤마_  종  합  " xfId="2742" xr:uid="{00000000-0005-0000-0000-0000D70A0000}"/>
    <cellStyle name="콤마[ ]" xfId="2737" xr:uid="{00000000-0005-0000-0000-0000D20A0000}"/>
    <cellStyle name="콤마[,]" xfId="2739" xr:uid="{00000000-0005-0000-0000-0000D40A0000}"/>
    <cellStyle name="콤마[.]" xfId="2740" xr:uid="{00000000-0005-0000-0000-0000D50A0000}"/>
    <cellStyle name="콤마[*]" xfId="2738" xr:uid="{00000000-0005-0000-0000-0000D30A0000}"/>
    <cellStyle name="콤마[0]" xfId="2741" xr:uid="{00000000-0005-0000-0000-0000D60A0000}"/>
    <cellStyle name="통" xfId="2743" xr:uid="{00000000-0005-0000-0000-0000D80A0000}"/>
    <cellStyle name="통_04028적산수량집계" xfId="2744" xr:uid="{00000000-0005-0000-0000-0000D90A0000}"/>
    <cellStyle name="통_공설운동진입(가실행)" xfId="2747" xr:uid="{00000000-0005-0000-0000-0000DC0A0000}"/>
    <cellStyle name="통_공설운동진입(가실행)_04028적산수량집계" xfId="2748" xr:uid="{00000000-0005-0000-0000-0000DD0A0000}"/>
    <cellStyle name="통_공설운동진입(가실행)_사본 - 파주 북시티(이채)" xfId="2751" xr:uid="{00000000-0005-0000-0000-0000E00A0000}"/>
    <cellStyle name="통_공설운동진입(가실행)_사본 - 파주 북시티(이채)_04028적산수량집계" xfId="2752" xr:uid="{00000000-0005-0000-0000-0000E10A0000}"/>
    <cellStyle name="통_공설운동진입(가실행)_파주 북시티(이채)제출" xfId="2757" xr:uid="{00000000-0005-0000-0000-0000E60A0000}"/>
    <cellStyle name="통_공설운동진입(가실행)_파주 북시티(이채)제출_04028적산수량집계" xfId="2758" xr:uid="{00000000-0005-0000-0000-0000E70A0000}"/>
    <cellStyle name="통_공설운동진입(가실행)_파주 북시티(전체)제출(변경전)" xfId="2759" xr:uid="{00000000-0005-0000-0000-0000E80A0000}"/>
    <cellStyle name="통_공설운동진입(가실행)_파주 북시티(전체)제출(변경전)_04028적산수량집계" xfId="2760" xr:uid="{00000000-0005-0000-0000-0000E90A0000}"/>
    <cellStyle name="통_공설운동진입(가실행)_파주 BOOK CITY(통보용)" xfId="2753" xr:uid="{00000000-0005-0000-0000-0000E20A0000}"/>
    <cellStyle name="통_공설운동진입(가실행)_파주 BOOK CITY(통보용)_04028적산수량집계" xfId="2754" xr:uid="{00000000-0005-0000-0000-0000E30A0000}"/>
    <cellStyle name="통_공설운동진입(가실행)_파주 BOOK CITY가실행내역" xfId="2755" xr:uid="{00000000-0005-0000-0000-0000E40A0000}"/>
    <cellStyle name="통_공설운동진입(가실행)_파주 BOOK CITY가실행내역_04028적산수량집계" xfId="2756" xr:uid="{00000000-0005-0000-0000-0000E50A0000}"/>
    <cellStyle name="통_공설운동진입(가실행)_BOOKCITY(전기)" xfId="2749" xr:uid="{00000000-0005-0000-0000-0000DE0A0000}"/>
    <cellStyle name="통_공설운동진입(가실행)_BOOKCITY(전기)_04028적산수량집계" xfId="2750" xr:uid="{00000000-0005-0000-0000-0000DF0A0000}"/>
    <cellStyle name="통_사본 - 파주 북시티(이채)" xfId="2761" xr:uid="{00000000-0005-0000-0000-0000EA0A0000}"/>
    <cellStyle name="통_사본 - 파주 북시티(이채)_04028적산수량집계" xfId="2762" xr:uid="{00000000-0005-0000-0000-0000EB0A0000}"/>
    <cellStyle name="통_토목내역서" xfId="2763" xr:uid="{00000000-0005-0000-0000-0000EC0A0000}"/>
    <cellStyle name="통_토목내역서_04028적산수량집계" xfId="2764" xr:uid="{00000000-0005-0000-0000-0000ED0A0000}"/>
    <cellStyle name="통_토목내역서_공설운동진입(가실행)" xfId="2767" xr:uid="{00000000-0005-0000-0000-0000F00A0000}"/>
    <cellStyle name="통_토목내역서_공설운동진입(가실행)_04028적산수량집계" xfId="2768" xr:uid="{00000000-0005-0000-0000-0000F10A0000}"/>
    <cellStyle name="통_토목내역서_공설운동진입(가실행)_사본 - 파주 북시티(이채)" xfId="2771" xr:uid="{00000000-0005-0000-0000-0000F40A0000}"/>
    <cellStyle name="통_토목내역서_공설운동진입(가실행)_사본 - 파주 북시티(이채)_04028적산수량집계" xfId="2772" xr:uid="{00000000-0005-0000-0000-0000F50A0000}"/>
    <cellStyle name="통_토목내역서_공설운동진입(가실행)_파주 북시티(이채)제출" xfId="2777" xr:uid="{00000000-0005-0000-0000-0000FA0A0000}"/>
    <cellStyle name="통_토목내역서_공설운동진입(가실행)_파주 북시티(이채)제출_04028적산수량집계" xfId="2778" xr:uid="{00000000-0005-0000-0000-0000FB0A0000}"/>
    <cellStyle name="통_토목내역서_공설운동진입(가실행)_파주 북시티(전체)제출(변경전)" xfId="2779" xr:uid="{00000000-0005-0000-0000-0000FC0A0000}"/>
    <cellStyle name="통_토목내역서_공설운동진입(가실행)_파주 북시티(전체)제출(변경전)_04028적산수량집계" xfId="2780" xr:uid="{00000000-0005-0000-0000-0000FD0A0000}"/>
    <cellStyle name="통_토목내역서_공설운동진입(가실행)_파주 BOOK CITY(통보용)" xfId="2773" xr:uid="{00000000-0005-0000-0000-0000F60A0000}"/>
    <cellStyle name="통_토목내역서_공설운동진입(가실행)_파주 BOOK CITY(통보용)_04028적산수량집계" xfId="2774" xr:uid="{00000000-0005-0000-0000-0000F70A0000}"/>
    <cellStyle name="통_토목내역서_공설운동진입(가실행)_파주 BOOK CITY가실행내역" xfId="2775" xr:uid="{00000000-0005-0000-0000-0000F80A0000}"/>
    <cellStyle name="통_토목내역서_공설운동진입(가실행)_파주 BOOK CITY가실행내역_04028적산수량집계" xfId="2776" xr:uid="{00000000-0005-0000-0000-0000F90A0000}"/>
    <cellStyle name="통_토목내역서_공설운동진입(가실행)_BOOKCITY(전기)" xfId="2769" xr:uid="{00000000-0005-0000-0000-0000F20A0000}"/>
    <cellStyle name="통_토목내역서_공설운동진입(가실행)_BOOKCITY(전기)_04028적산수량집계" xfId="2770" xr:uid="{00000000-0005-0000-0000-0000F30A0000}"/>
    <cellStyle name="통_토목내역서_사본 - 파주 북시티(이채)" xfId="2781" xr:uid="{00000000-0005-0000-0000-0000FE0A0000}"/>
    <cellStyle name="통_토목내역서_사본 - 파주 북시티(이채)_04028적산수량집계" xfId="2782" xr:uid="{00000000-0005-0000-0000-0000FF0A0000}"/>
    <cellStyle name="통_토목내역서_파주 북시티(이채)제출" xfId="2787" xr:uid="{00000000-0005-0000-0000-0000040B0000}"/>
    <cellStyle name="통_토목내역서_파주 북시티(이채)제출_04028적산수량집계" xfId="2788" xr:uid="{00000000-0005-0000-0000-0000050B0000}"/>
    <cellStyle name="통_토목내역서_파주 북시티(전체)제출(변경전)" xfId="2789" xr:uid="{00000000-0005-0000-0000-0000060B0000}"/>
    <cellStyle name="통_토목내역서_파주 북시티(전체)제출(변경전)_04028적산수량집계" xfId="2790" xr:uid="{00000000-0005-0000-0000-0000070B0000}"/>
    <cellStyle name="통_토목내역서_파주 BOOK CITY(통보용)" xfId="2783" xr:uid="{00000000-0005-0000-0000-0000000B0000}"/>
    <cellStyle name="통_토목내역서_파주 BOOK CITY(통보용)_04028적산수량집계" xfId="2784" xr:uid="{00000000-0005-0000-0000-0000010B0000}"/>
    <cellStyle name="통_토목내역서_파주 BOOK CITY가실행내역" xfId="2785" xr:uid="{00000000-0005-0000-0000-0000020B0000}"/>
    <cellStyle name="통_토목내역서_파주 BOOK CITY가실행내역_04028적산수량집계" xfId="2786" xr:uid="{00000000-0005-0000-0000-0000030B0000}"/>
    <cellStyle name="통_토목내역서_BOOKCITY(전기)" xfId="2765" xr:uid="{00000000-0005-0000-0000-0000EE0A0000}"/>
    <cellStyle name="통_토목내역서_BOOKCITY(전기)_04028적산수량집계" xfId="2766" xr:uid="{00000000-0005-0000-0000-0000EF0A0000}"/>
    <cellStyle name="통_파주 북시티(이채)제출" xfId="2795" xr:uid="{00000000-0005-0000-0000-00000C0B0000}"/>
    <cellStyle name="통_파주 북시티(이채)제출_04028적산수량집계" xfId="2796" xr:uid="{00000000-0005-0000-0000-00000D0B0000}"/>
    <cellStyle name="통_파주 북시티(전체)제출(변경전)" xfId="2797" xr:uid="{00000000-0005-0000-0000-00000E0B0000}"/>
    <cellStyle name="통_파주 북시티(전체)제출(변경전)_04028적산수량집계" xfId="2798" xr:uid="{00000000-0005-0000-0000-00000F0B0000}"/>
    <cellStyle name="통_파주 BOOK CITY(통보용)" xfId="2791" xr:uid="{00000000-0005-0000-0000-0000080B0000}"/>
    <cellStyle name="통_파주 BOOK CITY(통보용)_04028적산수량집계" xfId="2792" xr:uid="{00000000-0005-0000-0000-0000090B0000}"/>
    <cellStyle name="통_파주 BOOK CITY가실행내역" xfId="2793" xr:uid="{00000000-0005-0000-0000-00000A0B0000}"/>
    <cellStyle name="통_파주 BOOK CITY가실행내역_04028적산수량집계" xfId="2794" xr:uid="{00000000-0005-0000-0000-00000B0B0000}"/>
    <cellStyle name="통_BOOKCITY(전기)" xfId="2745" xr:uid="{00000000-0005-0000-0000-0000DA0A0000}"/>
    <cellStyle name="통_BOOKCITY(전기)_04028적산수량집계" xfId="2746" xr:uid="{00000000-0005-0000-0000-0000DB0A0000}"/>
    <cellStyle name="통화 [" xfId="2799" xr:uid="{00000000-0005-0000-0000-0000100B0000}"/>
    <cellStyle name="퍼센트" xfId="2800" xr:uid="{00000000-0005-0000-0000-0000110B0000}"/>
    <cellStyle name="표" xfId="2801" xr:uid="{00000000-0005-0000-0000-0000120B0000}"/>
    <cellStyle name="표_04028적산수량집계" xfId="2802" xr:uid="{00000000-0005-0000-0000-0000130B0000}"/>
    <cellStyle name="표_공설운동진입(가실행)" xfId="2805" xr:uid="{00000000-0005-0000-0000-0000160B0000}"/>
    <cellStyle name="표_공설운동진입(가실행)_04028적산수량집계" xfId="2806" xr:uid="{00000000-0005-0000-0000-0000170B0000}"/>
    <cellStyle name="표_공설운동진입(가실행)_사본 - 파주 북시티(이채)" xfId="2809" xr:uid="{00000000-0005-0000-0000-00001A0B0000}"/>
    <cellStyle name="표_공설운동진입(가실행)_사본 - 파주 북시티(이채)_04028적산수량집계" xfId="2810" xr:uid="{00000000-0005-0000-0000-00001B0B0000}"/>
    <cellStyle name="표_공설운동진입(가실행)_파주 북시티(이채)제출" xfId="2815" xr:uid="{00000000-0005-0000-0000-0000200B0000}"/>
    <cellStyle name="표_공설운동진입(가실행)_파주 북시티(이채)제출_04028적산수량집계" xfId="2816" xr:uid="{00000000-0005-0000-0000-0000210B0000}"/>
    <cellStyle name="표_공설운동진입(가실행)_파주 북시티(전체)제출(변경전)" xfId="2817" xr:uid="{00000000-0005-0000-0000-0000220B0000}"/>
    <cellStyle name="표_공설운동진입(가실행)_파주 북시티(전체)제출(변경전)_04028적산수량집계" xfId="2818" xr:uid="{00000000-0005-0000-0000-0000230B0000}"/>
    <cellStyle name="표_공설운동진입(가실행)_파주 BOOK CITY(통보용)" xfId="2811" xr:uid="{00000000-0005-0000-0000-00001C0B0000}"/>
    <cellStyle name="표_공설운동진입(가실행)_파주 BOOK CITY(통보용)_04028적산수량집계" xfId="2812" xr:uid="{00000000-0005-0000-0000-00001D0B0000}"/>
    <cellStyle name="표_공설운동진입(가실행)_파주 BOOK CITY가실행내역" xfId="2813" xr:uid="{00000000-0005-0000-0000-00001E0B0000}"/>
    <cellStyle name="표_공설운동진입(가실행)_파주 BOOK CITY가실행내역_04028적산수량집계" xfId="2814" xr:uid="{00000000-0005-0000-0000-00001F0B0000}"/>
    <cellStyle name="표_공설운동진입(가실행)_BOOKCITY(전기)" xfId="2807" xr:uid="{00000000-0005-0000-0000-0000180B0000}"/>
    <cellStyle name="표_공설운동진입(가실행)_BOOKCITY(전기)_04028적산수량집계" xfId="2808" xr:uid="{00000000-0005-0000-0000-0000190B0000}"/>
    <cellStyle name="표_사본 - 파주 북시티(이채)" xfId="2819" xr:uid="{00000000-0005-0000-0000-0000240B0000}"/>
    <cellStyle name="표_사본 - 파주 북시티(이채)_04028적산수량집계" xfId="2820" xr:uid="{00000000-0005-0000-0000-0000250B0000}"/>
    <cellStyle name="표_토목내역서" xfId="2821" xr:uid="{00000000-0005-0000-0000-0000260B0000}"/>
    <cellStyle name="표_토목내역서_04028적산수량집계" xfId="2822" xr:uid="{00000000-0005-0000-0000-0000270B0000}"/>
    <cellStyle name="표_토목내역서_공설운동진입(가실행)" xfId="2825" xr:uid="{00000000-0005-0000-0000-00002A0B0000}"/>
    <cellStyle name="표_토목내역서_공설운동진입(가실행)_04028적산수량집계" xfId="2826" xr:uid="{00000000-0005-0000-0000-00002B0B0000}"/>
    <cellStyle name="표_토목내역서_공설운동진입(가실행)_사본 - 파주 북시티(이채)" xfId="2829" xr:uid="{00000000-0005-0000-0000-00002E0B0000}"/>
    <cellStyle name="표_토목내역서_공설운동진입(가실행)_사본 - 파주 북시티(이채)_04028적산수량집계" xfId="2830" xr:uid="{00000000-0005-0000-0000-00002F0B0000}"/>
    <cellStyle name="표_토목내역서_공설운동진입(가실행)_파주 북시티(이채)제출" xfId="2835" xr:uid="{00000000-0005-0000-0000-0000340B0000}"/>
    <cellStyle name="표_토목내역서_공설운동진입(가실행)_파주 북시티(이채)제출_04028적산수량집계" xfId="2836" xr:uid="{00000000-0005-0000-0000-0000350B0000}"/>
    <cellStyle name="표_토목내역서_공설운동진입(가실행)_파주 북시티(전체)제출(변경전)" xfId="2837" xr:uid="{00000000-0005-0000-0000-0000360B0000}"/>
    <cellStyle name="표_토목내역서_공설운동진입(가실행)_파주 북시티(전체)제출(변경전)_04028적산수량집계" xfId="2838" xr:uid="{00000000-0005-0000-0000-0000370B0000}"/>
    <cellStyle name="표_토목내역서_공설운동진입(가실행)_파주 BOOK CITY(통보용)" xfId="2831" xr:uid="{00000000-0005-0000-0000-0000300B0000}"/>
    <cellStyle name="표_토목내역서_공설운동진입(가실행)_파주 BOOK CITY(통보용)_04028적산수량집계" xfId="2832" xr:uid="{00000000-0005-0000-0000-0000310B0000}"/>
    <cellStyle name="표_토목내역서_공설운동진입(가실행)_파주 BOOK CITY가실행내역" xfId="2833" xr:uid="{00000000-0005-0000-0000-0000320B0000}"/>
    <cellStyle name="표_토목내역서_공설운동진입(가실행)_파주 BOOK CITY가실행내역_04028적산수량집계" xfId="2834" xr:uid="{00000000-0005-0000-0000-0000330B0000}"/>
    <cellStyle name="표_토목내역서_공설운동진입(가실행)_BOOKCITY(전기)" xfId="2827" xr:uid="{00000000-0005-0000-0000-00002C0B0000}"/>
    <cellStyle name="표_토목내역서_공설운동진입(가실행)_BOOKCITY(전기)_04028적산수량집계" xfId="2828" xr:uid="{00000000-0005-0000-0000-00002D0B0000}"/>
    <cellStyle name="표_토목내역서_사본 - 파주 북시티(이채)" xfId="2839" xr:uid="{00000000-0005-0000-0000-0000380B0000}"/>
    <cellStyle name="표_토목내역서_사본 - 파주 북시티(이채)_04028적산수량집계" xfId="2840" xr:uid="{00000000-0005-0000-0000-0000390B0000}"/>
    <cellStyle name="표_토목내역서_파주 북시티(이채)제출" xfId="2845" xr:uid="{00000000-0005-0000-0000-00003E0B0000}"/>
    <cellStyle name="표_토목내역서_파주 북시티(이채)제출_04028적산수량집계" xfId="2846" xr:uid="{00000000-0005-0000-0000-00003F0B0000}"/>
    <cellStyle name="표_토목내역서_파주 북시티(전체)제출(변경전)" xfId="2847" xr:uid="{00000000-0005-0000-0000-0000400B0000}"/>
    <cellStyle name="표_토목내역서_파주 북시티(전체)제출(변경전)_04028적산수량집계" xfId="2848" xr:uid="{00000000-0005-0000-0000-0000410B0000}"/>
    <cellStyle name="표_토목내역서_파주 BOOK CITY(통보용)" xfId="2841" xr:uid="{00000000-0005-0000-0000-00003A0B0000}"/>
    <cellStyle name="표_토목내역서_파주 BOOK CITY(통보용)_04028적산수량집계" xfId="2842" xr:uid="{00000000-0005-0000-0000-00003B0B0000}"/>
    <cellStyle name="표_토목내역서_파주 BOOK CITY가실행내역" xfId="2843" xr:uid="{00000000-0005-0000-0000-00003C0B0000}"/>
    <cellStyle name="표_토목내역서_파주 BOOK CITY가실행내역_04028적산수량집계" xfId="2844" xr:uid="{00000000-0005-0000-0000-00003D0B0000}"/>
    <cellStyle name="표_토목내역서_BOOKCITY(전기)" xfId="2823" xr:uid="{00000000-0005-0000-0000-0000280B0000}"/>
    <cellStyle name="표_토목내역서_BOOKCITY(전기)_04028적산수량집계" xfId="2824" xr:uid="{00000000-0005-0000-0000-0000290B0000}"/>
    <cellStyle name="표_파주 북시티(이채)제출" xfId="2853" xr:uid="{00000000-0005-0000-0000-0000460B0000}"/>
    <cellStyle name="표_파주 북시티(이채)제출_04028적산수량집계" xfId="2854" xr:uid="{00000000-0005-0000-0000-0000470B0000}"/>
    <cellStyle name="표_파주 북시티(전체)제출(변경전)" xfId="2855" xr:uid="{00000000-0005-0000-0000-0000480B0000}"/>
    <cellStyle name="표_파주 북시티(전체)제출(변경전)_04028적산수량집계" xfId="2856" xr:uid="{00000000-0005-0000-0000-0000490B0000}"/>
    <cellStyle name="표_파주 BOOK CITY(통보용)" xfId="2849" xr:uid="{00000000-0005-0000-0000-0000420B0000}"/>
    <cellStyle name="표_파주 BOOK CITY(통보용)_04028적산수량집계" xfId="2850" xr:uid="{00000000-0005-0000-0000-0000430B0000}"/>
    <cellStyle name="표_파주 BOOK CITY가실행내역" xfId="2851" xr:uid="{00000000-0005-0000-0000-0000440B0000}"/>
    <cellStyle name="표_파주 BOOK CITY가실행내역_04028적산수량집계" xfId="2852" xr:uid="{00000000-0005-0000-0000-0000450B0000}"/>
    <cellStyle name="표_BOOKCITY(전기)" xfId="2803" xr:uid="{00000000-0005-0000-0000-0000140B0000}"/>
    <cellStyle name="표_BOOKCITY(전기)_04028적산수량집계" xfId="2804" xr:uid="{00000000-0005-0000-0000-0000150B0000}"/>
    <cellStyle name="표머릿글(上)" xfId="2857" xr:uid="{00000000-0005-0000-0000-00004A0B0000}"/>
    <cellStyle name="표머릿글(中)" xfId="2858" xr:uid="{00000000-0005-0000-0000-00004B0B0000}"/>
    <cellStyle name="표머릿글(下)" xfId="2859" xr:uid="{00000000-0005-0000-0000-00004C0B0000}"/>
    <cellStyle name="표준" xfId="0" builtinId="0"/>
    <cellStyle name="표준 2" xfId="2860" xr:uid="{00000000-0005-0000-0000-00004E0B0000}"/>
    <cellStyle name="표준 2 2" xfId="2877" xr:uid="{00000000-0005-0000-0000-00004F0B0000}"/>
    <cellStyle name="표준 2 32" xfId="2870" xr:uid="{00000000-0005-0000-0000-0000500B0000}"/>
    <cellStyle name="표준 28" xfId="2875" xr:uid="{00000000-0005-0000-0000-0000510B0000}"/>
    <cellStyle name="표준 3" xfId="2861" xr:uid="{00000000-0005-0000-0000-0000520B0000}"/>
    <cellStyle name="표준 3 2" xfId="2872" xr:uid="{00000000-0005-0000-0000-0000530B0000}"/>
    <cellStyle name="표준 3 2 2" xfId="2871" xr:uid="{00000000-0005-0000-0000-0000540B0000}"/>
    <cellStyle name="표준 4" xfId="2862" xr:uid="{00000000-0005-0000-0000-0000550B0000}"/>
    <cellStyle name="표준 5" xfId="2863" xr:uid="{00000000-0005-0000-0000-0000560B0000}"/>
    <cellStyle name="標準_Akia(F）-8" xfId="2864" xr:uid="{00000000-0005-0000-0000-0000570B0000}"/>
    <cellStyle name="표준_NY-FORM 2 2" xfId="2879" xr:uid="{00000000-0005-0000-0000-0000580B0000}"/>
    <cellStyle name="표준1" xfId="2865" xr:uid="{00000000-0005-0000-0000-0000590B0000}"/>
    <cellStyle name="표쥰" xfId="2866" xr:uid="{00000000-0005-0000-0000-00005A0B0000}"/>
    <cellStyle name="합산" xfId="2867" xr:uid="{00000000-0005-0000-0000-00005B0B0000}"/>
    <cellStyle name="화폐기호" xfId="2868" xr:uid="{00000000-0005-0000-0000-00005C0B0000}"/>
    <cellStyle name="화폐기호0" xfId="2869" xr:uid="{00000000-0005-0000-0000-00005D0B0000}"/>
    <cellStyle name="A" xfId="2131" xr:uid="{00000000-0005-0000-0000-000054080000}"/>
    <cellStyle name="A_02-도급공사비내역" xfId="2132" xr:uid="{00000000-0005-0000-0000-000055080000}"/>
    <cellStyle name="A_04028적산수량집계" xfId="2133" xr:uid="{00000000-0005-0000-0000-000056080000}"/>
    <cellStyle name="a_0514회의확정자료" xfId="2134" xr:uid="{00000000-0005-0000-0000-000057080000}"/>
    <cellStyle name="A_0901작업1-금액분리" xfId="2135" xr:uid="{00000000-0005-0000-0000-000058080000}"/>
    <cellStyle name="A_가실행(3th)" xfId="2142" xr:uid="{00000000-0005-0000-0000-00005F080000}"/>
    <cellStyle name="A_결정01-총괄가실행(0820)" xfId="2143" xr:uid="{00000000-0005-0000-0000-000060080000}"/>
    <cellStyle name="A_공설운동진입(가실행)" xfId="2144" xr:uid="{00000000-0005-0000-0000-000061080000}"/>
    <cellStyle name="A_공설운동진입(가실행)_04028적산수량집계" xfId="2145" xr:uid="{00000000-0005-0000-0000-000062080000}"/>
    <cellStyle name="A_공설운동진입(가실행)_사본 - 파주 북시티(이채)" xfId="2148" xr:uid="{00000000-0005-0000-0000-000065080000}"/>
    <cellStyle name="A_공설운동진입(가실행)_사본 - 파주 북시티(이채)_04028적산수량집계" xfId="2149" xr:uid="{00000000-0005-0000-0000-000066080000}"/>
    <cellStyle name="A_공설운동진입(가실행)_파주 북시티(이채)제출" xfId="2154" xr:uid="{00000000-0005-0000-0000-00006B080000}"/>
    <cellStyle name="A_공설운동진입(가실행)_파주 북시티(이채)제출_04028적산수량집계" xfId="2155" xr:uid="{00000000-0005-0000-0000-00006C080000}"/>
    <cellStyle name="A_공설운동진입(가실행)_파주 북시티(전체)제출(변경전)" xfId="2156" xr:uid="{00000000-0005-0000-0000-00006D080000}"/>
    <cellStyle name="A_공설운동진입(가실행)_파주 북시티(전체)제출(변경전)_04028적산수량집계" xfId="2157" xr:uid="{00000000-0005-0000-0000-00006E080000}"/>
    <cellStyle name="A_공설운동진입(가실행)_파주 BOOK CITY(통보용)" xfId="2150" xr:uid="{00000000-0005-0000-0000-000067080000}"/>
    <cellStyle name="A_공설운동진입(가실행)_파주 BOOK CITY(통보용)_04028적산수량집계" xfId="2151" xr:uid="{00000000-0005-0000-0000-000068080000}"/>
    <cellStyle name="A_공설운동진입(가실행)_파주 BOOK CITY가실행내역" xfId="2152" xr:uid="{00000000-0005-0000-0000-000069080000}"/>
    <cellStyle name="A_공설운동진입(가실행)_파주 BOOK CITY가실행내역_04028적산수량집계" xfId="2153" xr:uid="{00000000-0005-0000-0000-00006A080000}"/>
    <cellStyle name="A_공설운동진입(가실행)_BOOKCITY(전기)" xfId="2146" xr:uid="{00000000-0005-0000-0000-000063080000}"/>
    <cellStyle name="A_공설운동진입(가실행)_BOOKCITY(전기)_04028적산수량집계" xfId="2147" xr:uid="{00000000-0005-0000-0000-000064080000}"/>
    <cellStyle name="a_공항관련공사비 비교" xfId="2158" xr:uid="{00000000-0005-0000-0000-00006F080000}"/>
    <cellStyle name="A_당팀-가실행작업" xfId="2159" xr:uid="{00000000-0005-0000-0000-000070080000}"/>
    <cellStyle name="A_도급공사변경Ⅰ(0626)" xfId="2160" xr:uid="{00000000-0005-0000-0000-000071080000}"/>
    <cellStyle name="A_보고02-건축공사감액보고서(0714)" xfId="2161" xr:uid="{00000000-0005-0000-0000-000072080000}"/>
    <cellStyle name="A_분석001-구조체투입관련" xfId="2162" xr:uid="{00000000-0005-0000-0000-000073080000}"/>
    <cellStyle name="A_사본 - 0429파본사" xfId="2163" xr:uid="{00000000-0005-0000-0000-000074080000}"/>
    <cellStyle name="A_사본 - 파주 북시티(이채)" xfId="2164" xr:uid="{00000000-0005-0000-0000-000075080000}"/>
    <cellStyle name="A_사본 - 파주 북시티(이채)_04028적산수량집계" xfId="2165" xr:uid="{00000000-0005-0000-0000-000076080000}"/>
    <cellStyle name="A_실행01-총괄가실행(0828)" xfId="2166" xr:uid="{00000000-0005-0000-0000-000077080000}"/>
    <cellStyle name="a_자료03-대안수량조정실행대비표" xfId="2167" xr:uid="{00000000-0005-0000-0000-000078080000}"/>
    <cellStyle name="a_자료06-토목공사" xfId="2168" xr:uid="{00000000-0005-0000-0000-000079080000}"/>
    <cellStyle name="a_작업01-조경공사0709" xfId="2169" xr:uid="{00000000-0005-0000-0000-00007A080000}"/>
    <cellStyle name="a_참고02-당초가실행" xfId="2170" xr:uid="{00000000-0005-0000-0000-00007B080000}"/>
    <cellStyle name="A_토목내역서" xfId="2171" xr:uid="{00000000-0005-0000-0000-00007C080000}"/>
    <cellStyle name="A_토목내역서_04028적산수량집계" xfId="2172" xr:uid="{00000000-0005-0000-0000-00007D080000}"/>
    <cellStyle name="A_토목내역서_공설운동진입(가실행)" xfId="2175" xr:uid="{00000000-0005-0000-0000-000080080000}"/>
    <cellStyle name="A_토목내역서_공설운동진입(가실행)_04028적산수량집계" xfId="2176" xr:uid="{00000000-0005-0000-0000-000081080000}"/>
    <cellStyle name="A_토목내역서_공설운동진입(가실행)_사본 - 파주 북시티(이채)" xfId="2179" xr:uid="{00000000-0005-0000-0000-000084080000}"/>
    <cellStyle name="A_토목내역서_공설운동진입(가실행)_사본 - 파주 북시티(이채)_04028적산수량집계" xfId="2180" xr:uid="{00000000-0005-0000-0000-000085080000}"/>
    <cellStyle name="A_토목내역서_공설운동진입(가실행)_파주 북시티(이채)제출" xfId="2185" xr:uid="{00000000-0005-0000-0000-00008A080000}"/>
    <cellStyle name="A_토목내역서_공설운동진입(가실행)_파주 북시티(이채)제출_04028적산수량집계" xfId="2186" xr:uid="{00000000-0005-0000-0000-00008B080000}"/>
    <cellStyle name="A_토목내역서_공설운동진입(가실행)_파주 북시티(전체)제출(변경전)" xfId="2187" xr:uid="{00000000-0005-0000-0000-00008C080000}"/>
    <cellStyle name="A_토목내역서_공설운동진입(가실행)_파주 북시티(전체)제출(변경전)_04028적산수량집계" xfId="2188" xr:uid="{00000000-0005-0000-0000-00008D080000}"/>
    <cellStyle name="A_토목내역서_공설운동진입(가실행)_파주 BOOK CITY(통보용)" xfId="2181" xr:uid="{00000000-0005-0000-0000-000086080000}"/>
    <cellStyle name="A_토목내역서_공설운동진입(가실행)_파주 BOOK CITY(통보용)_04028적산수량집계" xfId="2182" xr:uid="{00000000-0005-0000-0000-000087080000}"/>
    <cellStyle name="A_토목내역서_공설운동진입(가실행)_파주 BOOK CITY가실행내역" xfId="2183" xr:uid="{00000000-0005-0000-0000-000088080000}"/>
    <cellStyle name="A_토목내역서_공설운동진입(가실행)_파주 BOOK CITY가실행내역_04028적산수량집계" xfId="2184" xr:uid="{00000000-0005-0000-0000-000089080000}"/>
    <cellStyle name="A_토목내역서_공설운동진입(가실행)_BOOKCITY(전기)" xfId="2177" xr:uid="{00000000-0005-0000-0000-000082080000}"/>
    <cellStyle name="A_토목내역서_공설운동진입(가실행)_BOOKCITY(전기)_04028적산수량집계" xfId="2178" xr:uid="{00000000-0005-0000-0000-000083080000}"/>
    <cellStyle name="A_토목내역서_사본 - 파주 북시티(이채)" xfId="2189" xr:uid="{00000000-0005-0000-0000-00008E080000}"/>
    <cellStyle name="A_토목내역서_사본 - 파주 북시티(이채)_04028적산수량집계" xfId="2190" xr:uid="{00000000-0005-0000-0000-00008F080000}"/>
    <cellStyle name="A_토목내역서_파주 북시티(이채)제출" xfId="2195" xr:uid="{00000000-0005-0000-0000-000094080000}"/>
    <cellStyle name="A_토목내역서_파주 북시티(이채)제출_04028적산수량집계" xfId="2196" xr:uid="{00000000-0005-0000-0000-000095080000}"/>
    <cellStyle name="A_토목내역서_파주 북시티(전체)제출(변경전)" xfId="2197" xr:uid="{00000000-0005-0000-0000-000096080000}"/>
    <cellStyle name="A_토목내역서_파주 북시티(전체)제출(변경전)_04028적산수량집계" xfId="2198" xr:uid="{00000000-0005-0000-0000-000097080000}"/>
    <cellStyle name="A_토목내역서_파주 BOOK CITY(통보용)" xfId="2191" xr:uid="{00000000-0005-0000-0000-000090080000}"/>
    <cellStyle name="A_토목내역서_파주 BOOK CITY(통보용)_04028적산수량집계" xfId="2192" xr:uid="{00000000-0005-0000-0000-000091080000}"/>
    <cellStyle name="A_토목내역서_파주 BOOK CITY가실행내역" xfId="2193" xr:uid="{00000000-0005-0000-0000-000092080000}"/>
    <cellStyle name="A_토목내역서_파주 BOOK CITY가실행내역_04028적산수량집계" xfId="2194" xr:uid="{00000000-0005-0000-0000-000093080000}"/>
    <cellStyle name="A_토목내역서_BOOKCITY(전기)" xfId="2173" xr:uid="{00000000-0005-0000-0000-00007E080000}"/>
    <cellStyle name="A_토목내역서_BOOKCITY(전기)_04028적산수량집계" xfId="2174" xr:uid="{00000000-0005-0000-0000-00007F080000}"/>
    <cellStyle name="A_파주 북시티(이채)제출" xfId="2203" xr:uid="{00000000-0005-0000-0000-00009C080000}"/>
    <cellStyle name="A_파주 북시티(이채)제출_04028적산수량집계" xfId="2204" xr:uid="{00000000-0005-0000-0000-00009D080000}"/>
    <cellStyle name="A_파주 북시티(전체)제출(변경전)" xfId="2205" xr:uid="{00000000-0005-0000-0000-00009E080000}"/>
    <cellStyle name="A_파주 북시티(전체)제출(변경전)_04028적산수량집계" xfId="2206" xr:uid="{00000000-0005-0000-0000-00009F080000}"/>
    <cellStyle name="A_파주 BOOK CITY(통보용)" xfId="2199" xr:uid="{00000000-0005-0000-0000-000098080000}"/>
    <cellStyle name="A_파주 BOOK CITY(통보용)_04028적산수량집계" xfId="2200" xr:uid="{00000000-0005-0000-0000-000099080000}"/>
    <cellStyle name="A_파주 BOOK CITY가실행내역" xfId="2201" xr:uid="{00000000-0005-0000-0000-00009A080000}"/>
    <cellStyle name="A_파주 BOOK CITY가실행내역_04028적산수량집계" xfId="2202" xr:uid="{00000000-0005-0000-0000-00009B080000}"/>
    <cellStyle name="a_파주1차가실행(통합)-대안1-현장분" xfId="2207" xr:uid="{00000000-0005-0000-0000-0000A0080000}"/>
    <cellStyle name="a_A-0902건축공사확정(대안포함)" xfId="2137" xr:uid="{00000000-0005-0000-0000-00005A080000}"/>
    <cellStyle name="a_A-0902조경공사확정(대안포함)" xfId="2138" xr:uid="{00000000-0005-0000-0000-00005B080000}"/>
    <cellStyle name="A_A0509-가실행(파주)" xfId="2136" xr:uid="{00000000-0005-0000-0000-000059080000}"/>
    <cellStyle name="A_BOOKCITY(전기)" xfId="2139" xr:uid="{00000000-0005-0000-0000-00005C080000}"/>
    <cellStyle name="A_BOOKCITY(전기)_04028적산수량집계" xfId="2140" xr:uid="{00000000-0005-0000-0000-00005D080000}"/>
    <cellStyle name="A_Z01-본작업" xfId="2141" xr:uid="{00000000-0005-0000-0000-00005E080000}"/>
    <cellStyle name="A¨­￠￢￠O [0]_¨uc¨oA " xfId="2208" xr:uid="{00000000-0005-0000-0000-0000A1080000}"/>
    <cellStyle name="A¨­¢¬¢Ò [0]_INQUIRY ¢¯¥ì¨ú¡ÀA©¬A©ª " xfId="2209" xr:uid="{00000000-0005-0000-0000-0000A2080000}"/>
    <cellStyle name="A¨­￠￢￠O_¨uc¨oA " xfId="2210" xr:uid="{00000000-0005-0000-0000-0000A3080000}"/>
    <cellStyle name="A¨­¢¬¢Ò_INQUIRY ¢¯¥ì¨ú¡ÀA©¬A©ª " xfId="2211" xr:uid="{00000000-0005-0000-0000-0000A4080000}"/>
    <cellStyle name="Aⓒ­" xfId="2212" xr:uid="{00000000-0005-0000-0000-0000A5080000}"/>
    <cellStyle name="Ae" xfId="2213" xr:uid="{00000000-0005-0000-0000-0000A6080000}"/>
    <cellStyle name="Åë" xfId="2214" xr:uid="{00000000-0005-0000-0000-0000A7080000}"/>
    <cellStyle name="Aee­ " xfId="2215" xr:uid="{00000000-0005-0000-0000-0000A8080000}"/>
    <cellStyle name="Åëè­ [" xfId="2216" xr:uid="{00000000-0005-0000-0000-0000A9080000}"/>
    <cellStyle name="AeE­ [0]_ 2ÆAAþº° " xfId="2217" xr:uid="{00000000-0005-0000-0000-0000AA080000}"/>
    <cellStyle name="ÅëÈ­ [0]_´ëºñÇ¥" xfId="2218" xr:uid="{00000000-0005-0000-0000-0000AB080000}"/>
    <cellStyle name="AeE­ [0]_°ø A¤ C￥  BAR (sample) " xfId="2220" xr:uid="{00000000-0005-0000-0000-0000AE080000}"/>
    <cellStyle name="ÅëÈ­ [0]_±âÅ¸" xfId="2219" xr:uid="{00000000-0005-0000-0000-0000AD080000}"/>
    <cellStyle name="AeE­ [0]_1C￥Ao" xfId="2221" xr:uid="{00000000-0005-0000-0000-0000B0080000}"/>
    <cellStyle name="ÅëÈ­ [0]_2000¼ÕÈ® " xfId="2222" xr:uid="{00000000-0005-0000-0000-0000B1080000}"/>
    <cellStyle name="AeE­ [0]_95³aAN°y¼o·R " xfId="2223" xr:uid="{00000000-0005-0000-0000-0000B2080000}"/>
    <cellStyle name="ÅëÈ­ [0]_Á¤»ê¼­°©Áö" xfId="2224" xr:uid="{00000000-0005-0000-0000-0000B3080000}"/>
    <cellStyle name="AeE­ [0]_INQUIRY ¿μ¾÷AßAø " xfId="2225" xr:uid="{00000000-0005-0000-0000-0000B4080000}"/>
    <cellStyle name="ÅëÈ­ [0]_kc-elec system check list" xfId="2226" xr:uid="{00000000-0005-0000-0000-0000B5080000}"/>
    <cellStyle name="AeE­ [0]_º≫¼± ±æ¾i±uºI ¼o·R Ay°eC￥ " xfId="2227" xr:uid="{00000000-0005-0000-0000-0000B6080000}"/>
    <cellStyle name="ÅëÈ­ [0]_RESULTS" xfId="2228" xr:uid="{00000000-0005-0000-0000-0000B7080000}"/>
    <cellStyle name="AeE­ [0]_μμ±Þ°ø≫cºn " xfId="2229" xr:uid="{00000000-0005-0000-0000-0000B8080000}"/>
    <cellStyle name="AeE­_ 2ÆAAþº° " xfId="2230" xr:uid="{00000000-0005-0000-0000-0000BA080000}"/>
    <cellStyle name="ÅëÈ­_´ëºñÇ¥" xfId="2231" xr:uid="{00000000-0005-0000-0000-0000BB080000}"/>
    <cellStyle name="AeE­_°ø A¤ C￥  BAR (sample) " xfId="2233" xr:uid="{00000000-0005-0000-0000-0000BE080000}"/>
    <cellStyle name="ÅëÈ­_±âÅ¸" xfId="2232" xr:uid="{00000000-0005-0000-0000-0000BD080000}"/>
    <cellStyle name="AeE­_95³aAN°y¼o·R " xfId="2234" xr:uid="{00000000-0005-0000-0000-0000C0080000}"/>
    <cellStyle name="ÅëÈ­_Á¤»ê¼­°©Áö" xfId="2235" xr:uid="{00000000-0005-0000-0000-0000C1080000}"/>
    <cellStyle name="AeE­_INQUIRY ¿μ¾÷AßAø " xfId="2236" xr:uid="{00000000-0005-0000-0000-0000C2080000}"/>
    <cellStyle name="ÅëÈ­_kc-elec system check list" xfId="2237" xr:uid="{00000000-0005-0000-0000-0000C3080000}"/>
    <cellStyle name="AeE­_º≫¼± ±æ¾i±uºI ¼o·R Ay°eC￥ " xfId="2238" xr:uid="{00000000-0005-0000-0000-0000C4080000}"/>
    <cellStyle name="ÅëÈ­_RESULTS" xfId="2239" xr:uid="{00000000-0005-0000-0000-0000C5080000}"/>
    <cellStyle name="Aee¡" xfId="2240" xr:uid="{00000000-0005-0000-0000-0000C6080000}"/>
    <cellStyle name="AeE¡© [0]_INQUIRY ¢¯¥ì¨ú¡ÀA©¬A©ª " xfId="2241" xr:uid="{00000000-0005-0000-0000-0000C7080000}"/>
    <cellStyle name="AeE¡©_INQUIRY ¢¯¥ì¨ú¡ÀA©¬A©ª " xfId="2242" xr:uid="{00000000-0005-0000-0000-0000C8080000}"/>
    <cellStyle name="AeE¡ⓒ [0]_¨uc¨oA " xfId="2243" xr:uid="{00000000-0005-0000-0000-0000C9080000}"/>
    <cellStyle name="AeE¡ⓒ_¨uc¨oA " xfId="2244" xr:uid="{00000000-0005-0000-0000-0000CA080000}"/>
    <cellStyle name="ALIGNMENT" xfId="2245" xr:uid="{00000000-0005-0000-0000-0000CB080000}"/>
    <cellStyle name="args.style" xfId="2246" xr:uid="{00000000-0005-0000-0000-0000CC080000}"/>
    <cellStyle name="Äþ" xfId="2247" xr:uid="{00000000-0005-0000-0000-0000CD080000}"/>
    <cellStyle name="Aþ¸" xfId="2248" xr:uid="{00000000-0005-0000-0000-0000CE080000}"/>
    <cellStyle name="Äþ¸¶ [" xfId="2249" xr:uid="{00000000-0005-0000-0000-0000CF080000}"/>
    <cellStyle name="ÄÞ¸¶ [0]_º¯°æ¹®Ã³_Àç¹«È°µ¿ " xfId="2255" xr:uid="{00000000-0005-0000-0000-0000DD080000}"/>
    <cellStyle name="AÞ¸¶ [0]_ 2ÆAAþº° " xfId="2250" xr:uid="{00000000-0005-0000-0000-0000D0080000}"/>
    <cellStyle name="ÄÞ¸¶ [0]_´ëºñÇ¥" xfId="2251" xr:uid="{00000000-0005-0000-0000-0000D1080000}"/>
    <cellStyle name="AÞ¸¶ [0]_°¡³ª´U " xfId="2253" xr:uid="{00000000-0005-0000-0000-0000D4080000}"/>
    <cellStyle name="ÄÞ¸¶ [0]_±âÅ¸" xfId="2252" xr:uid="{00000000-0005-0000-0000-0000D3080000}"/>
    <cellStyle name="ÄÞ¸¶_2000¼ÕÈ® " xfId="2261" xr:uid="{00000000-0005-0000-0000-0000E7080000}"/>
    <cellStyle name="AÞ¸¶ [0]_1" xfId="2254" xr:uid="{00000000-0005-0000-0000-0000D8080000}"/>
    <cellStyle name="AÞ¸¶_ 2ÆAAþº° " xfId="2256" xr:uid="{00000000-0005-0000-0000-0000E0080000}"/>
    <cellStyle name="ÄÞ¸¶_´ëºñÇ¥" xfId="2257" xr:uid="{00000000-0005-0000-0000-0000E1080000}"/>
    <cellStyle name="AÞ¸¶_°ø A¤ C￥  BAR (sample) " xfId="2259" xr:uid="{00000000-0005-0000-0000-0000E4080000}"/>
    <cellStyle name="ÄÞ¸¶_±âÅ¸" xfId="2258" xr:uid="{00000000-0005-0000-0000-0000E3080000}"/>
    <cellStyle name="AÞ¸¶_1" xfId="2260" xr:uid="{00000000-0005-0000-0000-0000E6080000}"/>
    <cellStyle name="_x0001_b" xfId="2262" xr:uid="{00000000-0005-0000-0000-0000EE080000}"/>
    <cellStyle name="blank" xfId="2263" xr:uid="{00000000-0005-0000-0000-0000EF080000}"/>
    <cellStyle name="blank - Style1" xfId="2264" xr:uid="{00000000-0005-0000-0000-0000F0080000}"/>
    <cellStyle name="Body" xfId="2265" xr:uid="{00000000-0005-0000-0000-0000F1080000}"/>
    <cellStyle name="C" xfId="2266" xr:uid="{00000000-0005-0000-0000-0000F2080000}"/>
    <cellStyle name="C_04028적산수량집계" xfId="2267" xr:uid="{00000000-0005-0000-0000-0000F3080000}"/>
    <cellStyle name="C_공설운동진입(가실행)" xfId="2270" xr:uid="{00000000-0005-0000-0000-0000F6080000}"/>
    <cellStyle name="C_공설운동진입(가실행)_04028적산수량집계" xfId="2271" xr:uid="{00000000-0005-0000-0000-0000F7080000}"/>
    <cellStyle name="C_공설운동진입(가실행)_사본 - 파주 북시티(이채)" xfId="2274" xr:uid="{00000000-0005-0000-0000-0000FA080000}"/>
    <cellStyle name="C_공설운동진입(가실행)_사본 - 파주 북시티(이채)_04028적산수량집계" xfId="2275" xr:uid="{00000000-0005-0000-0000-0000FB080000}"/>
    <cellStyle name="C_공설운동진입(가실행)_파주 북시티(이채)제출" xfId="2280" xr:uid="{00000000-0005-0000-0000-000000090000}"/>
    <cellStyle name="C_공설운동진입(가실행)_파주 북시티(이채)제출_04028적산수량집계" xfId="2281" xr:uid="{00000000-0005-0000-0000-000001090000}"/>
    <cellStyle name="C_공설운동진입(가실행)_파주 북시티(전체)제출(변경전)" xfId="2282" xr:uid="{00000000-0005-0000-0000-000002090000}"/>
    <cellStyle name="C_공설운동진입(가실행)_파주 북시티(전체)제출(변경전)_04028적산수량집계" xfId="2283" xr:uid="{00000000-0005-0000-0000-000003090000}"/>
    <cellStyle name="C_공설운동진입(가실행)_파주 BOOK CITY(통보용)" xfId="2276" xr:uid="{00000000-0005-0000-0000-0000FC080000}"/>
    <cellStyle name="C_공설운동진입(가실행)_파주 BOOK CITY(통보용)_04028적산수량집계" xfId="2277" xr:uid="{00000000-0005-0000-0000-0000FD080000}"/>
    <cellStyle name="C_공설운동진입(가실행)_파주 BOOK CITY가실행내역" xfId="2278" xr:uid="{00000000-0005-0000-0000-0000FE080000}"/>
    <cellStyle name="C_공설운동진입(가실행)_파주 BOOK CITY가실행내역_04028적산수량집계" xfId="2279" xr:uid="{00000000-0005-0000-0000-0000FF080000}"/>
    <cellStyle name="C_공설운동진입(가실행)_BOOKCITY(전기)" xfId="2272" xr:uid="{00000000-0005-0000-0000-0000F8080000}"/>
    <cellStyle name="C_공설운동진입(가실행)_BOOKCITY(전기)_04028적산수량집계" xfId="2273" xr:uid="{00000000-0005-0000-0000-0000F9080000}"/>
    <cellStyle name="C_사본 - 파주 북시티(이채)" xfId="2284" xr:uid="{00000000-0005-0000-0000-000004090000}"/>
    <cellStyle name="C_사본 - 파주 북시티(이채)_04028적산수량집계" xfId="2285" xr:uid="{00000000-0005-0000-0000-000005090000}"/>
    <cellStyle name="C_토목내역서" xfId="2286" xr:uid="{00000000-0005-0000-0000-000006090000}"/>
    <cellStyle name="C_토목내역서_04028적산수량집계" xfId="2287" xr:uid="{00000000-0005-0000-0000-000007090000}"/>
    <cellStyle name="C_토목내역서_공설운동진입(가실행)" xfId="2290" xr:uid="{00000000-0005-0000-0000-00000A090000}"/>
    <cellStyle name="C_토목내역서_공설운동진입(가실행)_04028적산수량집계" xfId="2291" xr:uid="{00000000-0005-0000-0000-00000B090000}"/>
    <cellStyle name="C_토목내역서_공설운동진입(가실행)_사본 - 파주 북시티(이채)" xfId="2294" xr:uid="{00000000-0005-0000-0000-00000E090000}"/>
    <cellStyle name="C_토목내역서_공설운동진입(가실행)_사본 - 파주 북시티(이채)_04028적산수량집계" xfId="2295" xr:uid="{00000000-0005-0000-0000-00000F090000}"/>
    <cellStyle name="C_토목내역서_공설운동진입(가실행)_파주 북시티(이채)제출" xfId="2300" xr:uid="{00000000-0005-0000-0000-000014090000}"/>
    <cellStyle name="C_토목내역서_공설운동진입(가실행)_파주 북시티(이채)제출_04028적산수량집계" xfId="2301" xr:uid="{00000000-0005-0000-0000-000015090000}"/>
    <cellStyle name="C_토목내역서_공설운동진입(가실행)_파주 북시티(전체)제출(변경전)" xfId="2302" xr:uid="{00000000-0005-0000-0000-000016090000}"/>
    <cellStyle name="C_토목내역서_공설운동진입(가실행)_파주 북시티(전체)제출(변경전)_04028적산수량집계" xfId="2303" xr:uid="{00000000-0005-0000-0000-000017090000}"/>
    <cellStyle name="C_토목내역서_공설운동진입(가실행)_파주 BOOK CITY(통보용)" xfId="2296" xr:uid="{00000000-0005-0000-0000-000010090000}"/>
    <cellStyle name="C_토목내역서_공설운동진입(가실행)_파주 BOOK CITY(통보용)_04028적산수량집계" xfId="2297" xr:uid="{00000000-0005-0000-0000-000011090000}"/>
    <cellStyle name="C_토목내역서_공설운동진입(가실행)_파주 BOOK CITY가실행내역" xfId="2298" xr:uid="{00000000-0005-0000-0000-000012090000}"/>
    <cellStyle name="C_토목내역서_공설운동진입(가실행)_파주 BOOK CITY가실행내역_04028적산수량집계" xfId="2299" xr:uid="{00000000-0005-0000-0000-000013090000}"/>
    <cellStyle name="C_토목내역서_공설운동진입(가실행)_BOOKCITY(전기)" xfId="2292" xr:uid="{00000000-0005-0000-0000-00000C090000}"/>
    <cellStyle name="C_토목내역서_공설운동진입(가실행)_BOOKCITY(전기)_04028적산수량집계" xfId="2293" xr:uid="{00000000-0005-0000-0000-00000D090000}"/>
    <cellStyle name="C_토목내역서_사본 - 파주 북시티(이채)" xfId="2304" xr:uid="{00000000-0005-0000-0000-000018090000}"/>
    <cellStyle name="C_토목내역서_사본 - 파주 북시티(이채)_04028적산수량집계" xfId="2305" xr:uid="{00000000-0005-0000-0000-000019090000}"/>
    <cellStyle name="C_토목내역서_파주 북시티(이채)제출" xfId="2310" xr:uid="{00000000-0005-0000-0000-00001E090000}"/>
    <cellStyle name="C_토목내역서_파주 북시티(이채)제출_04028적산수량집계" xfId="2311" xr:uid="{00000000-0005-0000-0000-00001F090000}"/>
    <cellStyle name="C_토목내역서_파주 북시티(전체)제출(변경전)" xfId="2312" xr:uid="{00000000-0005-0000-0000-000020090000}"/>
    <cellStyle name="C_토목내역서_파주 북시티(전체)제출(변경전)_04028적산수량집계" xfId="2313" xr:uid="{00000000-0005-0000-0000-000021090000}"/>
    <cellStyle name="C_토목내역서_파주 BOOK CITY(통보용)" xfId="2306" xr:uid="{00000000-0005-0000-0000-00001A090000}"/>
    <cellStyle name="C_토목내역서_파주 BOOK CITY(통보용)_04028적산수량집계" xfId="2307" xr:uid="{00000000-0005-0000-0000-00001B090000}"/>
    <cellStyle name="C_토목내역서_파주 BOOK CITY가실행내역" xfId="2308" xr:uid="{00000000-0005-0000-0000-00001C090000}"/>
    <cellStyle name="C_토목내역서_파주 BOOK CITY가실행내역_04028적산수량집계" xfId="2309" xr:uid="{00000000-0005-0000-0000-00001D090000}"/>
    <cellStyle name="C_토목내역서_BOOKCITY(전기)" xfId="2288" xr:uid="{00000000-0005-0000-0000-000008090000}"/>
    <cellStyle name="C_토목내역서_BOOKCITY(전기)_04028적산수량집계" xfId="2289" xr:uid="{00000000-0005-0000-0000-000009090000}"/>
    <cellStyle name="C_파주 북시티(이채)제출" xfId="2318" xr:uid="{00000000-0005-0000-0000-000026090000}"/>
    <cellStyle name="C_파주 북시티(이채)제출_04028적산수량집계" xfId="2319" xr:uid="{00000000-0005-0000-0000-000027090000}"/>
    <cellStyle name="C_파주 북시티(전체)제출(변경전)" xfId="2320" xr:uid="{00000000-0005-0000-0000-000028090000}"/>
    <cellStyle name="C_파주 북시티(전체)제출(변경전)_04028적산수량집계" xfId="2321" xr:uid="{00000000-0005-0000-0000-000029090000}"/>
    <cellStyle name="C_파주 BOOK CITY(통보용)" xfId="2314" xr:uid="{00000000-0005-0000-0000-000022090000}"/>
    <cellStyle name="C_파주 BOOK CITY(통보용)_04028적산수량집계" xfId="2315" xr:uid="{00000000-0005-0000-0000-000023090000}"/>
    <cellStyle name="C_파주 BOOK CITY가실행내역" xfId="2316" xr:uid="{00000000-0005-0000-0000-000024090000}"/>
    <cellStyle name="C_파주 BOOK CITY가실행내역_04028적산수량집계" xfId="2317" xr:uid="{00000000-0005-0000-0000-000025090000}"/>
    <cellStyle name="C_BOOKCITY(전기)" xfId="2268" xr:uid="{00000000-0005-0000-0000-0000F4080000}"/>
    <cellStyle name="C_BOOKCITY(전기)_04028적산수량집계" xfId="2269" xr:uid="{00000000-0005-0000-0000-0000F5080000}"/>
    <cellStyle name="C¡IA¨ª_  FAB AIA￠´  " xfId="2322" xr:uid="{00000000-0005-0000-0000-00002A090000}"/>
    <cellStyle name="C¡ÍA¨ª_¡íc¨ú¡À¨¬I¨¬¡Æ AN¡Æe " xfId="2323" xr:uid="{00000000-0005-0000-0000-00002B090000}"/>
    <cellStyle name="C¡IA¨ª_AO¨uRCN¡¾U " xfId="2324" xr:uid="{00000000-0005-0000-0000-00002C090000}"/>
    <cellStyle name="Ç¥" xfId="2325" xr:uid="{00000000-0005-0000-0000-00002D090000}"/>
    <cellStyle name="C￥AØ_  FAB AIA¤  " xfId="2326" xr:uid="{00000000-0005-0000-0000-00002E090000}"/>
    <cellStyle name="Ç¥ÁØ_(Á¤º¸ºÎ¹®)¿ùº°ÀÎ¿ø°èÈ¹" xfId="2327" xr:uid="{00000000-0005-0000-0000-00002F090000}"/>
    <cellStyle name="C￥AØ_´eAN°yC￥ " xfId="2328" xr:uid="{00000000-0005-0000-0000-000030090000}"/>
    <cellStyle name="Ç¥ÁØ_´ëºñÇ¥" xfId="2329" xr:uid="{00000000-0005-0000-0000-000031090000}"/>
    <cellStyle name="C￥AØ_´eºnC￥ (2)_1_ºI´eAa°ø " xfId="2330" xr:uid="{00000000-0005-0000-0000-000032090000}"/>
    <cellStyle name="Ç¥ÁØ_´ëºñÇ¥ (2)_1_ºÎ´ëÅä°ø " xfId="2331" xr:uid="{00000000-0005-0000-0000-000033090000}"/>
    <cellStyle name="C￥AØ_´eºnC￥ (2)_ºI´eAa°ø " xfId="2332" xr:uid="{00000000-0005-0000-0000-000034090000}"/>
    <cellStyle name="Ç¥ÁØ_´ëºñÇ¥ (2)_ºÎ´ëÅä°ø " xfId="2333" xr:uid="{00000000-0005-0000-0000-000035090000}"/>
    <cellStyle name="C￥AØ_°ø≫cºn¿¹≫e¼­ " xfId="2335" xr:uid="{00000000-0005-0000-0000-00003A090000}"/>
    <cellStyle name="Ç¥ÁØ_°ø¹®" xfId="2336" xr:uid="{00000000-0005-0000-0000-00003B090000}"/>
    <cellStyle name="C￥AØ_≫c¾÷ºIº° AN°e " xfId="2334" xr:uid="{00000000-0005-0000-0000-000038090000}"/>
    <cellStyle name="Ç¥ÁØ_0N-HANDLING " xfId="2337" xr:uid="{00000000-0005-0000-0000-00003D090000}"/>
    <cellStyle name="C￥AØ_¼³°e¿e¿ª" xfId="2338" xr:uid="{00000000-0005-0000-0000-00003E090000}"/>
    <cellStyle name="Ç¥ÁØ_¼öÀÍ¼º " xfId="2339" xr:uid="{00000000-0005-0000-0000-00003F090000}"/>
    <cellStyle name="C￥AØ_¹y¸eº¸E￡ " xfId="2340" xr:uid="{00000000-0005-0000-0000-000040090000}"/>
    <cellStyle name="Ç¥ÁØ_5-1±¤°í " xfId="2341" xr:uid="{00000000-0005-0000-0000-000041090000}"/>
    <cellStyle name="C￥AØ_95³aAN°y¼o·R " xfId="2342" xr:uid="{00000000-0005-0000-0000-000042090000}"/>
    <cellStyle name="Ç¥ÁØ_Áý°èÇ¥(2¿ù) " xfId="2343" xr:uid="{00000000-0005-0000-0000-000043090000}"/>
    <cellStyle name="C￥AØ_CoAo¹yAI °A¾×¿ⓒ½A " xfId="2344" xr:uid="{00000000-0005-0000-0000-000044090000}"/>
    <cellStyle name="Ç¥ÁØ_ÇöÈ²_¹®Á¦Á¡ " xfId="2345" xr:uid="{00000000-0005-0000-0000-000045090000}"/>
    <cellStyle name="C￥AØ_E¸AaAO½A " xfId="2346" xr:uid="{00000000-0005-0000-0000-000046090000}"/>
    <cellStyle name="Ç¥ÁØ_ÈÞÀÏ±Ù·Î" xfId="2347" xr:uid="{00000000-0005-0000-0000-000047090000}"/>
    <cellStyle name="C￥AØ_FIRE " xfId="2348" xr:uid="{00000000-0005-0000-0000-000048090000}"/>
    <cellStyle name="Ç¥ÁØ_HATCO HQ" xfId="2349" xr:uid="{00000000-0005-0000-0000-000049090000}"/>
    <cellStyle name="C￥AØ_LIGHTNING " xfId="2350" xr:uid="{00000000-0005-0000-0000-00004A090000}"/>
    <cellStyle name="Ç¥ÁØ_º¯°æ(ÃÖÁ¾)" xfId="2351" xr:uid="{00000000-0005-0000-0000-00004B090000}"/>
    <cellStyle name="C￥AØ_PERSONAL" xfId="2352" xr:uid="{00000000-0005-0000-0000-00004C090000}"/>
    <cellStyle name="Ç¥ÁØ_RESULTS" xfId="2353" xr:uid="{00000000-0005-0000-0000-00004D090000}"/>
    <cellStyle name="Calc Currency (0)" xfId="2354" xr:uid="{00000000-0005-0000-0000-00004E090000}"/>
    <cellStyle name="Calc Currency (2)" xfId="2355" xr:uid="{00000000-0005-0000-0000-00004F090000}"/>
    <cellStyle name="Calc Percent (0)" xfId="2356" xr:uid="{00000000-0005-0000-0000-000050090000}"/>
    <cellStyle name="Calc Percent (1)" xfId="2357" xr:uid="{00000000-0005-0000-0000-000051090000}"/>
    <cellStyle name="Calc Percent (2)" xfId="2358" xr:uid="{00000000-0005-0000-0000-000052090000}"/>
    <cellStyle name="Calc Units (0)" xfId="2359" xr:uid="{00000000-0005-0000-0000-000053090000}"/>
    <cellStyle name="Calc Units (1)" xfId="2360" xr:uid="{00000000-0005-0000-0000-000054090000}"/>
    <cellStyle name="Calc Units (2)" xfId="2361" xr:uid="{00000000-0005-0000-0000-000055090000}"/>
    <cellStyle name="category" xfId="2362" xr:uid="{00000000-0005-0000-0000-000056090000}"/>
    <cellStyle name="ÇÏÀÌÆÛ¸µÅ©" xfId="2363" xr:uid="{00000000-0005-0000-0000-000057090000}"/>
    <cellStyle name="CIAIÆU¸μAⓒ" xfId="2364" xr:uid="{00000000-0005-0000-0000-000058090000}"/>
    <cellStyle name="ⓒo" xfId="2365" xr:uid="{00000000-0005-0000-0000-000059090000}"/>
    <cellStyle name="Comma" xfId="2366" xr:uid="{00000000-0005-0000-0000-00005A090000}"/>
    <cellStyle name="Comma  - Style2" xfId="2367" xr:uid="{00000000-0005-0000-0000-00005B090000}"/>
    <cellStyle name="Comma  - Style3" xfId="2368" xr:uid="{00000000-0005-0000-0000-00005C090000}"/>
    <cellStyle name="Comma  - Style4" xfId="2369" xr:uid="{00000000-0005-0000-0000-00005D090000}"/>
    <cellStyle name="Comma  - Style5" xfId="2370" xr:uid="{00000000-0005-0000-0000-00005E090000}"/>
    <cellStyle name="Comma  - Style6" xfId="2371" xr:uid="{00000000-0005-0000-0000-00005F090000}"/>
    <cellStyle name="Comma  - Style7" xfId="2372" xr:uid="{00000000-0005-0000-0000-000060090000}"/>
    <cellStyle name="Comma  - Style8" xfId="2373" xr:uid="{00000000-0005-0000-0000-000061090000}"/>
    <cellStyle name="Comma [0]" xfId="2597" xr:uid="{00000000-0005-0000-0000-000062090000}"/>
    <cellStyle name="Comma [00]" xfId="2374" xr:uid="{00000000-0005-0000-0000-000063090000}"/>
    <cellStyle name="comma zerodec" xfId="2375" xr:uid="{00000000-0005-0000-0000-000064090000}"/>
    <cellStyle name="Comma_ SG&amp;A Bridge" xfId="2376" xr:uid="{00000000-0005-0000-0000-000065090000}"/>
    <cellStyle name="Comma0" xfId="2377" xr:uid="{00000000-0005-0000-0000-000066090000}"/>
    <cellStyle name="Copied" xfId="2378" xr:uid="{00000000-0005-0000-0000-000067090000}"/>
    <cellStyle name="Curren?_x0012_퐀_x0017_?" xfId="2379" xr:uid="{00000000-0005-0000-0000-000068090000}"/>
    <cellStyle name="Currency" xfId="2380" xr:uid="{00000000-0005-0000-0000-000069090000}"/>
    <cellStyle name="Currency [0]" xfId="2381" xr:uid="{00000000-0005-0000-0000-00006A090000}"/>
    <cellStyle name="Currency [00]" xfId="2382" xr:uid="{00000000-0005-0000-0000-00006B090000}"/>
    <cellStyle name="Currency_ SG&amp;A Bridge " xfId="2383" xr:uid="{00000000-0005-0000-0000-00006C090000}"/>
    <cellStyle name="Currency0" xfId="2384" xr:uid="{00000000-0005-0000-0000-00006D090000}"/>
    <cellStyle name="Currency1" xfId="2385" xr:uid="{00000000-0005-0000-0000-00006E090000}"/>
    <cellStyle name="Date" xfId="2386" xr:uid="{00000000-0005-0000-0000-00006F090000}"/>
    <cellStyle name="Date Short" xfId="2387" xr:uid="{00000000-0005-0000-0000-000070090000}"/>
    <cellStyle name="Date_견적양식(가로)" xfId="2388" xr:uid="{00000000-0005-0000-0000-000071090000}"/>
    <cellStyle name="DELTA" xfId="2389" xr:uid="{00000000-0005-0000-0000-000072090000}"/>
    <cellStyle name="Dezimal [0]_Compiling Utility Macros" xfId="2390" xr:uid="{00000000-0005-0000-0000-000073090000}"/>
    <cellStyle name="Dezimal_Compiling Utility Macros" xfId="2391" xr:uid="{00000000-0005-0000-0000-000074090000}"/>
    <cellStyle name="Dollar (zero dec)" xfId="2392" xr:uid="{00000000-0005-0000-0000-000075090000}"/>
    <cellStyle name="En-t?e 1" xfId="2393" xr:uid="{00000000-0005-0000-0000-000076090000}"/>
    <cellStyle name="En-t?e 2" xfId="2394" xr:uid="{00000000-0005-0000-0000-000077090000}"/>
    <cellStyle name="Enter Currency (0)" xfId="2395" xr:uid="{00000000-0005-0000-0000-000078090000}"/>
    <cellStyle name="Enter Currency (2)" xfId="2396" xr:uid="{00000000-0005-0000-0000-000079090000}"/>
    <cellStyle name="Enter Units (0)" xfId="2397" xr:uid="{00000000-0005-0000-0000-00007A090000}"/>
    <cellStyle name="Enter Units (1)" xfId="2398" xr:uid="{00000000-0005-0000-0000-00007B090000}"/>
    <cellStyle name="Enter Units (2)" xfId="2399" xr:uid="{00000000-0005-0000-0000-00007C090000}"/>
    <cellStyle name="Entered" xfId="2400" xr:uid="{00000000-0005-0000-0000-00007D090000}"/>
    <cellStyle name="Euro" xfId="2401" xr:uid="{00000000-0005-0000-0000-00007E090000}"/>
    <cellStyle name="ÊÝ [0.00]_PRODUCT DETAIL Q1" xfId="467" xr:uid="{00000000-0005-0000-0000-0000D4010000}"/>
    <cellStyle name="ÊÝ_PRODUCT DETAIL Q1" xfId="468" xr:uid="{00000000-0005-0000-0000-0000D5010000}"/>
    <cellStyle name="F2" xfId="2402" xr:uid="{00000000-0005-0000-0000-00007F090000}"/>
    <cellStyle name="F3" xfId="2403" xr:uid="{00000000-0005-0000-0000-000080090000}"/>
    <cellStyle name="F4" xfId="2404" xr:uid="{00000000-0005-0000-0000-000081090000}"/>
    <cellStyle name="F5" xfId="2405" xr:uid="{00000000-0005-0000-0000-000082090000}"/>
    <cellStyle name="F6" xfId="2406" xr:uid="{00000000-0005-0000-0000-000083090000}"/>
    <cellStyle name="F7" xfId="2407" xr:uid="{00000000-0005-0000-0000-000084090000}"/>
    <cellStyle name="F8" xfId="2408" xr:uid="{00000000-0005-0000-0000-000085090000}"/>
    <cellStyle name="Financier0" xfId="2409" xr:uid="{00000000-0005-0000-0000-000086090000}"/>
    <cellStyle name="Fixed" xfId="2410" xr:uid="{00000000-0005-0000-0000-000087090000}"/>
    <cellStyle name="Followed Hyperlink" xfId="2411" xr:uid="{00000000-0005-0000-0000-000088090000}"/>
    <cellStyle name="G10" xfId="2412" xr:uid="{00000000-0005-0000-0000-000089090000}"/>
    <cellStyle name="Grey" xfId="2413" xr:uid="{00000000-0005-0000-0000-00008A090000}"/>
    <cellStyle name="H1" xfId="2414" xr:uid="{00000000-0005-0000-0000-00008B090000}"/>
    <cellStyle name="H2" xfId="2415" xr:uid="{00000000-0005-0000-0000-00008C090000}"/>
    <cellStyle name="HEADER" xfId="2416" xr:uid="{00000000-0005-0000-0000-00008D090000}"/>
    <cellStyle name="Header1" xfId="2417" xr:uid="{00000000-0005-0000-0000-00008E090000}"/>
    <cellStyle name="Header2" xfId="2418" xr:uid="{00000000-0005-0000-0000-00008F090000}"/>
    <cellStyle name="Heading 1" xfId="2419" xr:uid="{00000000-0005-0000-0000-000090090000}"/>
    <cellStyle name="Heading 2" xfId="2420" xr:uid="{00000000-0005-0000-0000-000091090000}"/>
    <cellStyle name="Heading1" xfId="2421" xr:uid="{00000000-0005-0000-0000-000092090000}"/>
    <cellStyle name="Heading2" xfId="2422" xr:uid="{00000000-0005-0000-0000-000093090000}"/>
    <cellStyle name="HEADINGS" xfId="2423" xr:uid="{00000000-0005-0000-0000-000094090000}"/>
    <cellStyle name="HEADINGSTOP" xfId="2424" xr:uid="{00000000-0005-0000-0000-000095090000}"/>
    <cellStyle name="Helv8_PFD4.XLS" xfId="2425" xr:uid="{00000000-0005-0000-0000-000096090000}"/>
    <cellStyle name="Hyperlink" xfId="2426" xr:uid="{00000000-0005-0000-0000-000097090000}"/>
    <cellStyle name="Input [yellow]" xfId="2427" xr:uid="{00000000-0005-0000-0000-000098090000}"/>
    <cellStyle name="L`" xfId="2428" xr:uid="{00000000-0005-0000-0000-000099090000}"/>
    <cellStyle name="Link Currency (0)" xfId="2429" xr:uid="{00000000-0005-0000-0000-00009A090000}"/>
    <cellStyle name="Link Currency (2)" xfId="2430" xr:uid="{00000000-0005-0000-0000-00009B090000}"/>
    <cellStyle name="Link Units (0)" xfId="2431" xr:uid="{00000000-0005-0000-0000-00009C090000}"/>
    <cellStyle name="Link Units (1)" xfId="2432" xr:uid="{00000000-0005-0000-0000-00009D090000}"/>
    <cellStyle name="Link Units (2)" xfId="2433" xr:uid="{00000000-0005-0000-0000-00009E090000}"/>
    <cellStyle name="Milliers [0]_399GC10" xfId="2434" xr:uid="{00000000-0005-0000-0000-00009F090000}"/>
    <cellStyle name="Milliers_399GC10" xfId="2435" xr:uid="{00000000-0005-0000-0000-0000A0090000}"/>
    <cellStyle name="mma_CASH &amp; DSO" xfId="2436" xr:uid="{00000000-0005-0000-0000-0000A1090000}"/>
    <cellStyle name="Model" xfId="2437" xr:uid="{00000000-0005-0000-0000-0000A2090000}"/>
    <cellStyle name="Mon?aire [0]_399GC10" xfId="2438" xr:uid="{00000000-0005-0000-0000-0000A3090000}"/>
    <cellStyle name="Mon?aire_399GC10" xfId="2439" xr:uid="{00000000-0005-0000-0000-0000A4090000}"/>
    <cellStyle name="Mon?aire0" xfId="2440" xr:uid="{00000000-0005-0000-0000-0000A5090000}"/>
    <cellStyle name="no dec" xfId="2441" xr:uid="{00000000-0005-0000-0000-0000A6090000}"/>
    <cellStyle name="Normal - 유형1" xfId="2450" xr:uid="{00000000-0005-0000-0000-0000AF090000}"/>
    <cellStyle name="Normal - Style1" xfId="2442" xr:uid="{00000000-0005-0000-0000-0000A7090000}"/>
    <cellStyle name="Normal - Style2" xfId="2443" xr:uid="{00000000-0005-0000-0000-0000A8090000}"/>
    <cellStyle name="Normal - Style3" xfId="2444" xr:uid="{00000000-0005-0000-0000-0000A9090000}"/>
    <cellStyle name="Normal - Style4" xfId="2445" xr:uid="{00000000-0005-0000-0000-0000AA090000}"/>
    <cellStyle name="Normal - Style5" xfId="2446" xr:uid="{00000000-0005-0000-0000-0000AB090000}"/>
    <cellStyle name="Normal - Style6" xfId="2447" xr:uid="{00000000-0005-0000-0000-0000AC090000}"/>
    <cellStyle name="Normal - Style7" xfId="2448" xr:uid="{00000000-0005-0000-0000-0000AD090000}"/>
    <cellStyle name="Normal - Style8" xfId="2449" xr:uid="{00000000-0005-0000-0000-0000AE090000}"/>
    <cellStyle name="Œ…?æ맖?e [0.00]_guyan" xfId="2451" xr:uid="{00000000-0005-0000-0000-0000B0090000}"/>
    <cellStyle name="Œ…?æ맖?e_guyan" xfId="2452" xr:uid="{00000000-0005-0000-0000-0000B1090000}"/>
    <cellStyle name="oh" xfId="2453" xr:uid="{00000000-0005-0000-0000-0000B2090000}"/>
    <cellStyle name="per.style" xfId="2454" xr:uid="{00000000-0005-0000-0000-0000B3090000}"/>
    <cellStyle name="Percent" xfId="2455" xr:uid="{00000000-0005-0000-0000-0000B4090000}"/>
    <cellStyle name="Percent (0)" xfId="2456" xr:uid="{00000000-0005-0000-0000-0000B5090000}"/>
    <cellStyle name="Percent [0]" xfId="2457" xr:uid="{00000000-0005-0000-0000-0000B6090000}"/>
    <cellStyle name="Percent [00]" xfId="2458" xr:uid="{00000000-0005-0000-0000-0000B7090000}"/>
    <cellStyle name="Percent [2]" xfId="2459" xr:uid="{00000000-0005-0000-0000-0000B8090000}"/>
    <cellStyle name="Percent_#6 Temps &amp; Contractors" xfId="2460" xr:uid="{00000000-0005-0000-0000-0000B9090000}"/>
    <cellStyle name="PrePop Currency (0)" xfId="2461" xr:uid="{00000000-0005-0000-0000-0000BA090000}"/>
    <cellStyle name="PrePop Currency (2)" xfId="2462" xr:uid="{00000000-0005-0000-0000-0000BB090000}"/>
    <cellStyle name="PrePop Units (0)" xfId="2463" xr:uid="{00000000-0005-0000-0000-0000BC090000}"/>
    <cellStyle name="PrePop Units (1)" xfId="2464" xr:uid="{00000000-0005-0000-0000-0000BD090000}"/>
    <cellStyle name="PrePop Units (2)" xfId="2465" xr:uid="{00000000-0005-0000-0000-0000BE090000}"/>
    <cellStyle name="regstoresfromspecstores" xfId="2466" xr:uid="{00000000-0005-0000-0000-0000BF090000}"/>
    <cellStyle name="RevList" xfId="2467" xr:uid="{00000000-0005-0000-0000-0000C0090000}"/>
    <cellStyle name="RLTJD(S" xfId="2468" xr:uid="{00000000-0005-0000-0000-0000C1090000}"/>
    <cellStyle name="s]_x000d__x000a_run=c:\Hedgehog\app31.exe_x000d__x000a_spooler=yes_x000d__x000a_load=_x000d__x000a_run=_x000d__x000a_Beep=yes_x000d__x000a_NullPort=None_x000d__x000a_BorderWidth=3_x000d__x000a_CursorBlinkRate=530_x000d__x000a_D" xfId="2469" xr:uid="{00000000-0005-0000-0000-0000C2090000}"/>
    <cellStyle name="SAPBEXaggData" xfId="2470" xr:uid="{00000000-0005-0000-0000-0000C3090000}"/>
    <cellStyle name="SAPBEXstdData" xfId="2471" xr:uid="{00000000-0005-0000-0000-0000C4090000}"/>
    <cellStyle name="sh" xfId="2472" xr:uid="{00000000-0005-0000-0000-0000C5090000}"/>
    <cellStyle name="SHADEDSTORES" xfId="2473" xr:uid="{00000000-0005-0000-0000-0000C6090000}"/>
    <cellStyle name="specstores" xfId="2474" xr:uid="{00000000-0005-0000-0000-0000C7090000}"/>
    <cellStyle name="ssh" xfId="2475" xr:uid="{00000000-0005-0000-0000-0000C8090000}"/>
    <cellStyle name="STANDARD" xfId="2476" xr:uid="{00000000-0005-0000-0000-0000C9090000}"/>
    <cellStyle name="subhead" xfId="2477" xr:uid="{00000000-0005-0000-0000-0000CA090000}"/>
    <cellStyle name="Subtotal" xfId="2478" xr:uid="{00000000-0005-0000-0000-0000CB090000}"/>
    <cellStyle name="Text Indent A" xfId="2479" xr:uid="{00000000-0005-0000-0000-0000CC090000}"/>
    <cellStyle name="Text Indent B" xfId="2480" xr:uid="{00000000-0005-0000-0000-0000CD090000}"/>
    <cellStyle name="Text Indent C" xfId="2481" xr:uid="{00000000-0005-0000-0000-0000CE090000}"/>
    <cellStyle name="Title" xfId="2482" xr:uid="{00000000-0005-0000-0000-0000CF090000}"/>
    <cellStyle name="title [1]" xfId="2483" xr:uid="{00000000-0005-0000-0000-0000D0090000}"/>
    <cellStyle name="title [2]" xfId="2484" xr:uid="{00000000-0005-0000-0000-0000D1090000}"/>
    <cellStyle name="Title_견적양식(가로)" xfId="2485" xr:uid="{00000000-0005-0000-0000-0000D2090000}"/>
    <cellStyle name="Total" xfId="2486" xr:uid="{00000000-0005-0000-0000-0000D3090000}"/>
    <cellStyle name="UM" xfId="2487" xr:uid="{00000000-0005-0000-0000-0000D4090000}"/>
    <cellStyle name="Virgule fixe" xfId="2488" xr:uid="{00000000-0005-0000-0000-0000D5090000}"/>
    <cellStyle name="W?_BOOKSHIP" xfId="469" xr:uid="{00000000-0005-0000-0000-0000D6010000}"/>
    <cellStyle name="W?rung [0]_Compiling Utility Macros" xfId="2489" xr:uid="{00000000-0005-0000-0000-0000D6090000}"/>
    <cellStyle name="W?rung_Compiling Utility Macros" xfId="2490" xr:uid="{00000000-0005-0000-0000-0000D7090000}"/>
    <cellStyle name="_x0008_z" xfId="2491" xr:uid="{00000000-0005-0000-0000-0000D8090000}"/>
    <cellStyle name="µÚ¿¡ ¿À´Â ÇÏÀÌÆÛ¸µÅ©" xfId="466" xr:uid="{00000000-0005-0000-0000-0000D1010000}"/>
    <cellStyle name="μU¿¡ ¿A´A CIAIÆU¸μAⓒ" xfId="2492" xr:uid="{00000000-0005-0000-0000-0000D9090000}"/>
    <cellStyle name="|?ドE" xfId="2493" xr:uid="{00000000-0005-0000-0000-0000DA09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51032;&#51221;/C/&#44277;&#47924;&#50629;&#47924;/&#45824;&#48376;&#49324;/&#44148;&#52629;&#49884;&#44277;&#54016;%20&#44277;&#49324;&#54788;&#54889;&#48372;&#44256;/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49;&#50857;&#48177;&#44284;&#51109;/EDATA/SINGLE/OFFICE40/temp/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eed1/need1%20F/&#48317;&#49328;%20&#50668;&#51032;&#46020;M.H/3&#52789;%20&#49888;&#47548;&#46041;/&#45768;&#46300;&#51068;&#51648;/Mine/&#47084;&#49884;&#50500;/&#54620;&#44397;&#45824;&#49324;&#44288;/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51652;-pc/f/&#54532;&#47196;&#51229;&#53944;/00.&#54060;&#50500;&#49884;&#50500;&#54168;&#51060;&#54140;.&#50976;&#52404;,&#51064;&#48260;&#53552;%20&#51204;&#52404;&#51652;&#45800;/2001&#45380;%20&#51064;&#48260;&#53552;&#50752;%20&#50976;&#52404;/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scljh/c/EXCEL/&#49688;&#51452;/&#49324;&#50629;&#49457;~1/96/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51652;-pc/f/WINDOWS/&#48148;&#53461;%20&#54868;&#47732;/Everland/Halla/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Excel&#44204;&#51201;/G/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Hdedms/Mepss/&#51648;&#54840;Docu/4.&#44592;&#53440;/2.&#50577;&#49885;/&#51473;&#50836;&#54620;%20&#50577;&#49885;/@&#54364;&#51456;&#50577;&#49885;/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MSOFFICE/EXCEL/YOON/&#51473;&#51216;&#49324;&#50629;/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4221;&#47564;/D/pjt-2002/&#54217;&#54868;&#51032;&#45840;/&#50696;&#49328;&#49436;(&#51068;&#50948;&#45824;&#44032;,&#45840;)/&#49444;&#44228;&#48320;&#44221;(&#44397;&#51088;)/&#44397;&#51088;&#48320;&#44221;&#53685;&#49888;/13&#522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109;&#49457;&#49340;/&#44277;&#50976;/JABO/O12060/INFORM/MYENGB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CIVIL_EST/EST/My%20Documents/&#51077;&#52272;/&#48264;&#50689;&#47196;/&#47924;&#50504;&#54616;&#49688;/&#49892;&#54665;(1)/&#45236;&#50669;&#49436;(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/APT&#51088;&#47308;/&#50976;&#47548;&#53080;&#460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60;&#46041;&#54788;/MY%20DOCUMENTS/MSOFFICE/EXCEL/YOON/&#51473;&#51216;&#49324;&#50629;/&#50629;&#52404;FIX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52632;&#44600;/E/KBLEE/&#44592;&#53440;/&#54364;&#51456;/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HDEDMS/Mepss/&#44204;&#51201;&#49892;/&#44592;&#51456;/&#44060;&#47029;&#44204;&#51201;/APT/FORM/970715&#50577;&#4988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900;&#54805;&#49453;/C/My%20Documents/My%20Documents/&#44368;&#48372;&#51613;&#44428;/LOTUS/&#44144;&#51228;&#46020;/&#44144;&#51228;&#4602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&#51473;&#50669;&#54924;&#51032;/96&#45380;10&#50900;/&#44288;&#47532;&#48376;&#48512;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49436;&#50872;/&#44053;&#48320;&#48513;&#47196;/My%20Documents/KHDATA/&#54620;&#44397;&#51204;&#47141;/&#49888;&#49457;&#45224;-&#44552;&#44257;/&#49888;&#49457;&#45224;&#53804;&#52272;&#45236;&#50669;(1&#48264;&#45236;&#50669;)(2)/KHDATA/&#44288;&#47532;&#52397;/&#50896;&#45224;-&#50872;&#51652;/&#50896;&#45224;&#50872;&#51652;&#45209;&#52272;&#45236;&#50669;(99.4.13%20&#48512;&#49328;&#52397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H4018/c/ESTI96/&#44053;&#51652;&#51109;&#55141;/&#54980;&#45796;&#45236;&#5066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&#51077;&#52272;&#5050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ark/&#47784;&#54644;&#46356;&#51088;&#51064;/My%20Documents/&#51077;&#52272;/&#48264;&#50689;&#47196;/&#47924;&#50504;&#54616;&#49688;/&#49892;&#54665;(1)/&#45236;&#50669;&#49436;(1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&#51077;&#52272;&#45236;&#50669;/&#44592;&#50500;&#45824;&#44368;/&#44592;&#50500;&#45824;&#4436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H1775/c/ESTI96/&#44053;&#51652;&#51109;&#55141;/&#54980;&#45796;&#45236;&#50669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5;&#49849;&#54872;/C/MSOFFICE/EXCEL/YOON/&#51473;&#51216;&#49324;&#50629;/&#50629;&#52404;FIX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SKEC_EB1/EB_1/1KON/YANGSIK/GAEYOXL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&#44608;&#50857;&#44592;/&#50641;&#49472;/GUMI4B2/&#44396;&#48120;4&#45800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49436;&#50872;/&#44053;&#48320;&#48513;&#47196;/My%20Documents/KHDATA/&#44288;&#47532;&#52397;/&#50896;&#45224;-&#50872;&#51652;/&#50896;&#45224;&#50872;&#51652;&#45209;&#52272;&#45236;&#50669;(99.4.13%20&#48512;&#49328;&#52397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1997040/C&#46300;&#46972;&#51060;&#48652;/My%20Documents/Khdata99/&#44288;&#47532;&#52397;/&#50896;&#45224;-&#50872;&#51652;/&#50896;&#45224;&#50872;&#51652;&#45209;&#52272;&#45236;&#50669;(99.4.13%20&#48512;&#49328;&#52397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예가표"/>
      <sheetName val="시멘트"/>
      <sheetName val="노임이"/>
      <sheetName val="4.공사별"/>
      <sheetName val="실적공사"/>
      <sheetName val="재료"/>
      <sheetName val="6공구(당초)"/>
      <sheetName val="전선 및 전선관"/>
      <sheetName val="식재"/>
      <sheetName val="시설물 "/>
      <sheetName val="7 (2)"/>
      <sheetName val="노임단가"/>
      <sheetName val="내역"/>
      <sheetName val="P.M 별"/>
      <sheetName val="화전내"/>
      <sheetName val="갑지1"/>
      <sheetName val="입찰안"/>
      <sheetName val="금액내역서"/>
      <sheetName val="일반부표"/>
      <sheetName val="현장관리비"/>
      <sheetName val="c_balju"/>
      <sheetName val="Sheet1"/>
      <sheetName val="내역표지"/>
      <sheetName val="Sheet10"/>
      <sheetName val="CTEMCOST"/>
      <sheetName val="A"/>
      <sheetName val="집계표"/>
      <sheetName val="내역서"/>
      <sheetName val="장기차입금"/>
      <sheetName val="DATA"/>
      <sheetName val="계획고"/>
      <sheetName val="DATA2000"/>
      <sheetName val="유림골조"/>
      <sheetName val="도급FORM"/>
      <sheetName val="스포회원매출"/>
      <sheetName val="정부노임단가"/>
      <sheetName val="설산1.나"/>
      <sheetName val="본사S"/>
      <sheetName val="목통"/>
      <sheetName val="2단지_원가"/>
      <sheetName val="설계내역서"/>
      <sheetName val="ABUT수량-A1"/>
      <sheetName val="BREAKDOWN(철거설치)"/>
      <sheetName val="당초"/>
      <sheetName val="01"/>
      <sheetName val="연돌일위집계"/>
      <sheetName val="직원인원"/>
      <sheetName val="지급자재"/>
      <sheetName val="동선(을)"/>
      <sheetName val="물가자료"/>
      <sheetName val="TOWER 12TON"/>
      <sheetName val="TOWER 10TON"/>
      <sheetName val="수량산출서(마감)"/>
      <sheetName val="공통비총괄표"/>
      <sheetName val="Sheet2"/>
      <sheetName val="부안일위"/>
      <sheetName val="RESOURCE"/>
      <sheetName val="#REF"/>
      <sheetName val="음료실행"/>
      <sheetName val="옥외외등집계표"/>
      <sheetName val="부대공Ⅱ"/>
      <sheetName val="조직도"/>
      <sheetName val="Shape code"/>
      <sheetName val="실행철강하도"/>
      <sheetName val="화설내"/>
      <sheetName val="분류코드 이름관리"/>
      <sheetName val="잡비"/>
      <sheetName val="실행"/>
      <sheetName val="DHEQSUPT"/>
      <sheetName val="COVER"/>
      <sheetName val="총괄집계"/>
      <sheetName val="견적서"/>
      <sheetName val="표지"/>
      <sheetName val="설비원가"/>
      <sheetName val="단가"/>
      <sheetName val="TRE TABLE"/>
      <sheetName val="본사공가현황"/>
      <sheetName val="에너지동"/>
      <sheetName val="4_공사별"/>
      <sheetName val="7_(2)"/>
      <sheetName val="전선_및_전선관"/>
      <sheetName val="시설물_"/>
      <sheetName val="6PILE  (돌출)"/>
      <sheetName val="예정(3)"/>
      <sheetName val="동원(3)"/>
      <sheetName val="Y-WORK"/>
      <sheetName val="P-산#1-1(WOWA1)"/>
      <sheetName val="GAEYO"/>
      <sheetName val="실적62"/>
      <sheetName val="Equipment"/>
      <sheetName val="TL,Termination"/>
      <sheetName val="Cable,Conduit"/>
      <sheetName val="공사개요"/>
      <sheetName val="원가계산서"/>
      <sheetName val="조도계산서 (도서)"/>
      <sheetName val="전체"/>
      <sheetName val="Sheet13"/>
      <sheetName val="발전기"/>
      <sheetName val="Sheet14"/>
      <sheetName val="수량집계1"/>
      <sheetName val="수량집계2"/>
      <sheetName val="공사비예산서(토목분)"/>
      <sheetName val="주요량(96)"/>
      <sheetName val="품"/>
      <sheetName val="업무처리전"/>
      <sheetName val="금융비용"/>
      <sheetName val="도시가스현황"/>
      <sheetName val="결과조달"/>
      <sheetName val="골조시행"/>
      <sheetName val="관기성공.내"/>
      <sheetName val="갑지"/>
      <sheetName val="O＆P"/>
      <sheetName val="1공구(을)"/>
      <sheetName val="trf(36%)"/>
      <sheetName val="일위대가"/>
      <sheetName val="공통가설"/>
      <sheetName val="별표"/>
      <sheetName val="수목표준대가"/>
      <sheetName val="시설물기초"/>
      <sheetName val="기계 도급내역서"/>
      <sheetName val="대비표"/>
      <sheetName val="갑지(추정)"/>
      <sheetName val="WORK"/>
      <sheetName val="F4-F7"/>
      <sheetName val="Cash2"/>
      <sheetName val="Z"/>
      <sheetName val="단면 (2)"/>
      <sheetName val="인원현황"/>
      <sheetName val="1.토공사 수량산출 및 집계"/>
      <sheetName val="경비"/>
      <sheetName val="백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인수인계"/>
      <sheetName val="추가항목"/>
      <sheetName val="목차"/>
      <sheetName val="추가목표"/>
      <sheetName val="갑지"/>
      <sheetName val="요약"/>
      <sheetName val="대비"/>
      <sheetName val="분석"/>
      <sheetName val="금융"/>
      <sheetName val="기준"/>
      <sheetName val="공정"/>
      <sheetName val="정직"/>
      <sheetName val="임직"/>
      <sheetName val="단가"/>
      <sheetName val="보험안전"/>
      <sheetName val="안전반영"/>
      <sheetName val="제목"/>
      <sheetName val="공사수행방안"/>
      <sheetName val="교통대책내역"/>
      <sheetName val="공사개요"/>
      <sheetName val="중(1공구)"/>
      <sheetName val="중(2공구)"/>
      <sheetName val="실행(1공구)"/>
      <sheetName val="실행철강하도"/>
      <sheetName val="무늬목판넬단가분석 (2)"/>
      <sheetName val="도급액분석"/>
      <sheetName val="내역"/>
      <sheetName val="건축집계"/>
      <sheetName val="금액내역서"/>
      <sheetName val="#REF"/>
      <sheetName val="1공구(을)"/>
      <sheetName val="Sheet2"/>
      <sheetName val="타일"/>
      <sheetName val="소비자가"/>
      <sheetName val="영종도IBC실행결재"/>
      <sheetName val="하도급정산품의서"/>
      <sheetName val="집계표"/>
      <sheetName val="건축"/>
      <sheetName val="단가조사"/>
      <sheetName val="금호"/>
      <sheetName val="집계"/>
      <sheetName val="0226"/>
      <sheetName val="01"/>
      <sheetName val="SUMMARY"/>
      <sheetName val="유림골조"/>
      <sheetName val="공통부대비"/>
      <sheetName val="총괄"/>
      <sheetName val="선급금지급청구서"/>
      <sheetName val="목표세부명세"/>
      <sheetName val="공문"/>
      <sheetName val="입찰안"/>
      <sheetName val="구산초등학교"/>
      <sheetName val="인사자료총집계"/>
      <sheetName val=" 견적서"/>
      <sheetName val="220 (2)"/>
      <sheetName val="평3"/>
      <sheetName val="일위대가"/>
      <sheetName val="연령현황"/>
      <sheetName val="을-ATYPE"/>
      <sheetName val="내역서변경성원"/>
      <sheetName val="연습"/>
      <sheetName val="데이타"/>
      <sheetName val="식재인부"/>
      <sheetName val="연돌일위집계"/>
      <sheetName val="Sheet1"/>
      <sheetName val="DATA2000"/>
      <sheetName val="설산1.나"/>
      <sheetName val="본사S"/>
      <sheetName val="총물량"/>
      <sheetName val="Breakdown"/>
      <sheetName val="UnitRate"/>
      <sheetName val="금융비용"/>
      <sheetName val="남양주부대"/>
      <sheetName val="6PILE  (돌출)"/>
      <sheetName val="전기 내역서(1차)"/>
      <sheetName val="SG"/>
      <sheetName val="전기"/>
      <sheetName val="ELECTRIC"/>
      <sheetName val="SCHEDULE"/>
      <sheetName val="CTEMCOST"/>
      <sheetName val="무늬목판넬단가분석_(2)"/>
      <sheetName val="_견적서"/>
      <sheetName val="220_(2)"/>
      <sheetName val="6PILE__(돌출)"/>
      <sheetName val="전기_내역서(1차)"/>
      <sheetName val="설산1_나"/>
      <sheetName val="0.0ControlSheet"/>
      <sheetName val="부하계산서"/>
      <sheetName val="현장지지물물량"/>
      <sheetName val="정부노임단가"/>
      <sheetName val="단위세대물량"/>
      <sheetName val="물량표"/>
      <sheetName val="일위대가목차"/>
      <sheetName val="동해title"/>
      <sheetName val="총괄표"/>
      <sheetName val="교수설계"/>
      <sheetName val="공종별집계표 0단계"/>
      <sheetName val="COVER"/>
      <sheetName val="품셈TABLE"/>
      <sheetName val="Total"/>
      <sheetName val="갑지1"/>
      <sheetName val="토목내역서"/>
      <sheetName val="건축내역서"/>
      <sheetName val="기계내역서"/>
      <sheetName val="전기내역서"/>
      <sheetName val="통신내역서"/>
      <sheetName val="소방내역서"/>
      <sheetName val="수량산출"/>
      <sheetName val="A-4"/>
      <sheetName val="공사비증감"/>
      <sheetName val="시중노임단가"/>
      <sheetName val="평가데이터"/>
      <sheetName val="정산합의서"/>
      <sheetName val="Project Brief"/>
      <sheetName val="1-1"/>
      <sheetName val="간접"/>
      <sheetName val="간접비"/>
      <sheetName val="원가계산서(남측)"/>
      <sheetName val="가로등"/>
      <sheetName val="공사내역"/>
      <sheetName val="내역서"/>
      <sheetName val="설계내역서"/>
      <sheetName val="N賃率-職"/>
      <sheetName val="실행"/>
      <sheetName val="PAINT"/>
      <sheetName val="DATA"/>
      <sheetName val="개산공사비"/>
      <sheetName val="노임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PROJECT BRIEF(EX.NEW)"/>
      <sheetName val="01"/>
      <sheetName val="금융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1"/>
      <sheetName val="QH1"/>
      <sheetName val="VSC1"/>
      <sheetName val="PAY1"/>
      <sheetName val="CAL2"/>
      <sheetName val="QH2"/>
      <sheetName val="VSC2"/>
      <sheetName val="PAY2"/>
    </sheetNames>
    <sheetDataSet>
      <sheetData sheetId="0">
        <row r="10">
          <cell r="B10">
            <v>0</v>
          </cell>
          <cell r="F10">
            <v>1.3</v>
          </cell>
          <cell r="G10">
            <v>0</v>
          </cell>
        </row>
        <row r="11">
          <cell r="B11">
            <v>116</v>
          </cell>
          <cell r="F11">
            <v>0.82678842291346033</v>
          </cell>
          <cell r="G11">
            <v>3.1417960070711494E-2</v>
          </cell>
        </row>
        <row r="12">
          <cell r="B12">
            <v>232</v>
          </cell>
          <cell r="F12">
            <v>3.3071536916538413</v>
          </cell>
          <cell r="G12">
            <v>0.25134368056569195</v>
          </cell>
          <cell r="U12">
            <v>185.78390183103852</v>
          </cell>
          <cell r="V12">
            <v>185.29048276812799</v>
          </cell>
        </row>
        <row r="13">
          <cell r="B13">
            <v>348</v>
          </cell>
          <cell r="F13">
            <v>7.4410958062211439</v>
          </cell>
          <cell r="G13">
            <v>0.84828492190921023</v>
          </cell>
          <cell r="U13">
            <v>201.47678016185802</v>
          </cell>
          <cell r="V13">
            <v>200.58160393454327</v>
          </cell>
        </row>
        <row r="14">
          <cell r="B14">
            <v>464</v>
          </cell>
          <cell r="F14">
            <v>13.228614766615365</v>
          </cell>
          <cell r="G14">
            <v>2.0107494445255356</v>
          </cell>
          <cell r="U14">
            <v>216.34870719602981</v>
          </cell>
          <cell r="V14">
            <v>215.24295209134112</v>
          </cell>
        </row>
        <row r="15">
          <cell r="B15">
            <v>580</v>
          </cell>
          <cell r="F15">
            <v>20.669710572836511</v>
          </cell>
          <cell r="G15">
            <v>3.9272450088389372</v>
          </cell>
          <cell r="U15">
            <v>230.39968293355398</v>
          </cell>
          <cell r="V15">
            <v>229.27452723852159</v>
          </cell>
        </row>
        <row r="16">
          <cell r="B16">
            <v>696</v>
          </cell>
          <cell r="F16">
            <v>29.764383224884575</v>
          </cell>
          <cell r="G16">
            <v>6.7862793752736819</v>
          </cell>
          <cell r="U16">
            <v>243.62970737443035</v>
          </cell>
          <cell r="V16">
            <v>242.67632937608465</v>
          </cell>
        </row>
        <row r="17">
          <cell r="B17">
            <v>812</v>
          </cell>
          <cell r="F17">
            <v>40.51263272275957</v>
          </cell>
          <cell r="G17">
            <v>10.776360304254045</v>
          </cell>
          <cell r="U17">
            <v>256.03878051865911</v>
          </cell>
          <cell r="V17">
            <v>255.4483585040303</v>
          </cell>
        </row>
        <row r="18">
          <cell r="B18">
            <v>928</v>
          </cell>
          <cell r="F18">
            <v>52.914459066461461</v>
          </cell>
          <cell r="G18">
            <v>16.085995556204285</v>
          </cell>
          <cell r="U18">
            <v>267.62690236624019</v>
          </cell>
          <cell r="V18">
            <v>267.59061462235849</v>
          </cell>
        </row>
        <row r="19">
          <cell r="B19">
            <v>1044</v>
          </cell>
          <cell r="F19">
            <v>66.969862255990279</v>
          </cell>
          <cell r="G19">
            <v>22.903692891548676</v>
          </cell>
          <cell r="U19">
            <v>278.3940729171735</v>
          </cell>
          <cell r="V19">
            <v>279.10309773106934</v>
          </cell>
        </row>
        <row r="20">
          <cell r="B20">
            <v>1160</v>
          </cell>
          <cell r="F20">
            <v>82.678842291346044</v>
          </cell>
          <cell r="G20">
            <v>31.417960070711498</v>
          </cell>
          <cell r="U20">
            <v>288.34029217145923</v>
          </cell>
          <cell r="V20">
            <v>289.98580783016268</v>
          </cell>
        </row>
        <row r="21">
          <cell r="B21">
            <v>1276</v>
          </cell>
          <cell r="F21">
            <v>100.0413991725287</v>
          </cell>
          <cell r="G21">
            <v>41.81730485411699</v>
          </cell>
          <cell r="U21">
            <v>297.46556012909718</v>
          </cell>
          <cell r="V21">
            <v>300.23874491963869</v>
          </cell>
        </row>
        <row r="22">
          <cell r="B22">
            <v>1392</v>
          </cell>
          <cell r="F22">
            <v>119.0575328995383</v>
          </cell>
          <cell r="G22">
            <v>54.290235002189455</v>
          </cell>
          <cell r="U22">
            <v>305.76987679008744</v>
          </cell>
          <cell r="V22">
            <v>309.86190899949725</v>
          </cell>
        </row>
        <row r="23">
          <cell r="B23">
            <v>1508</v>
          </cell>
          <cell r="F23">
            <v>139.72724347237482</v>
          </cell>
          <cell r="G23">
            <v>69.025258275353153</v>
          </cell>
          <cell r="U23">
            <v>313.2532421544301</v>
          </cell>
          <cell r="V23">
            <v>318.8553000697384</v>
          </cell>
        </row>
        <row r="24">
          <cell r="B24">
            <v>1624</v>
          </cell>
          <cell r="F24">
            <v>162.05053089103828</v>
          </cell>
          <cell r="G24">
            <v>86.210882434032357</v>
          </cell>
          <cell r="U24">
            <v>319.91565622212488</v>
          </cell>
          <cell r="V24">
            <v>327.21891813036217</v>
          </cell>
        </row>
        <row r="25">
          <cell r="B25">
            <v>1740</v>
          </cell>
          <cell r="F25">
            <v>186.02739515552858</v>
          </cell>
          <cell r="G25">
            <v>106.03561523865129</v>
          </cell>
          <cell r="U25">
            <v>325.75711899317218</v>
          </cell>
          <cell r="V25">
            <v>334.95276318136854</v>
          </cell>
        </row>
        <row r="26">
          <cell r="B26">
            <v>1856</v>
          </cell>
          <cell r="F26">
            <v>211.65783626584584</v>
          </cell>
          <cell r="G26">
            <v>128.68796444963428</v>
          </cell>
          <cell r="V26">
            <v>342.05683522275746</v>
          </cell>
        </row>
        <row r="27">
          <cell r="B27">
            <v>1972</v>
          </cell>
          <cell r="F27">
            <v>238.94185422199013</v>
          </cell>
          <cell r="G27">
            <v>154.35643782740561</v>
          </cell>
          <cell r="V27">
            <v>348.53113425452898</v>
          </cell>
        </row>
        <row r="28">
          <cell r="B28">
            <v>2088</v>
          </cell>
          <cell r="F28">
            <v>267.87944902396112</v>
          </cell>
          <cell r="G28">
            <v>183.22954313238941</v>
          </cell>
          <cell r="V28">
            <v>354.37566027668305</v>
          </cell>
        </row>
        <row r="29">
          <cell r="B29">
            <v>2204</v>
          </cell>
          <cell r="F29">
            <v>298.47062067175921</v>
          </cell>
          <cell r="G29">
            <v>215.49578812501014</v>
          </cell>
          <cell r="V29">
            <v>359.59041328921978</v>
          </cell>
        </row>
        <row r="30">
          <cell r="B30">
            <v>2320</v>
          </cell>
          <cell r="F30">
            <v>330.71536916538417</v>
          </cell>
          <cell r="G30">
            <v>251.34368056569198</v>
          </cell>
        </row>
        <row r="31">
          <cell r="B31">
            <v>2436</v>
          </cell>
          <cell r="F31">
            <v>364.61369450483596</v>
          </cell>
          <cell r="G31">
            <v>290.96172821485908</v>
          </cell>
        </row>
        <row r="32">
          <cell r="B32">
            <v>2552</v>
          </cell>
          <cell r="F32">
            <v>400.1655966901148</v>
          </cell>
          <cell r="G32">
            <v>334.53843883293592</v>
          </cell>
        </row>
        <row r="33">
          <cell r="B33">
            <v>2668</v>
          </cell>
          <cell r="F33">
            <v>437.37107572122056</v>
          </cell>
          <cell r="G33">
            <v>382.26232018034676</v>
          </cell>
        </row>
        <row r="34">
          <cell r="B34">
            <v>2784</v>
          </cell>
          <cell r="F34">
            <v>476.23013159815321</v>
          </cell>
          <cell r="G34">
            <v>434.32188001751564</v>
          </cell>
        </row>
        <row r="35">
          <cell r="B35">
            <v>2900</v>
          </cell>
          <cell r="F35">
            <v>516.74276432091267</v>
          </cell>
          <cell r="G35">
            <v>490.90562610486705</v>
          </cell>
        </row>
        <row r="36">
          <cell r="B36">
            <v>3016</v>
          </cell>
        </row>
        <row r="37">
          <cell r="B37">
            <v>3132</v>
          </cell>
        </row>
        <row r="38">
          <cell r="B38">
            <v>3248</v>
          </cell>
        </row>
        <row r="39">
          <cell r="B39">
            <v>1057.4342458400429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공통가설"/>
      <sheetName val="입찰안"/>
      <sheetName val="노임이"/>
      <sheetName val="C-A(취합)파리"/>
      <sheetName val="첨부1"/>
      <sheetName val="간접"/>
      <sheetName val="집계표"/>
      <sheetName val="손익분석"/>
      <sheetName val="수입"/>
      <sheetName val="관로내역원"/>
      <sheetName val="손익"/>
      <sheetName val="현금흐름"/>
      <sheetName val="SUMMARY"/>
      <sheetName val="PAINT"/>
      <sheetName val="CTEMCOST"/>
      <sheetName val="ELECTRIC"/>
      <sheetName val="A4288"/>
      <sheetName val="자바라1"/>
      <sheetName val="SG"/>
      <sheetName val="COL"/>
      <sheetName val="수정시산표"/>
      <sheetName val="주택"/>
      <sheetName val="주택(백만원)"/>
      <sheetName val="손익기01"/>
      <sheetName val="Sheet1"/>
      <sheetName val="동선(을)"/>
      <sheetName val="신공항A-9(원가수정)"/>
      <sheetName val="KUNGDEVI"/>
      <sheetName val="전계가"/>
      <sheetName val="예가표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공사개요"/>
      <sheetName val="실행내역"/>
      <sheetName val="내역"/>
      <sheetName val="금융비용"/>
      <sheetName val="공통비총괄표"/>
      <sheetName val="시멘트"/>
      <sheetName val="기계경비(시간당)"/>
      <sheetName val="램머"/>
      <sheetName val="호프"/>
      <sheetName val="현장관리비"/>
      <sheetName val="수주현황2월"/>
      <sheetName val="산근"/>
      <sheetName val="여흥"/>
      <sheetName val="감독1130"/>
      <sheetName val="APT"/>
      <sheetName val="b_balju (2)"/>
      <sheetName val="b_gunmul"/>
      <sheetName val="  한국 AMP ASP-23 판매가격  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ABUT수량-A1"/>
      <sheetName val="갑지(추정)"/>
      <sheetName val="견적의뢰"/>
      <sheetName val="노무비"/>
      <sheetName val="화의-현금흐름"/>
      <sheetName val="#REF"/>
      <sheetName val="유림골조"/>
      <sheetName val="기본DATA"/>
      <sheetName val="추가예산"/>
      <sheetName val="노임단가"/>
      <sheetName val="982월원안"/>
      <sheetName val="내역서"/>
      <sheetName val="TR제작사양"/>
      <sheetName val="실행철강하도"/>
      <sheetName val="재료"/>
      <sheetName val="Sheet13"/>
      <sheetName val="Sheet14"/>
      <sheetName val="회사정보"/>
      <sheetName val="MIJIBI"/>
      <sheetName val="JUCKEYK"/>
      <sheetName val="감가상각"/>
      <sheetName val="DATA"/>
      <sheetName val="실적공사"/>
      <sheetName val="업무처리전"/>
      <sheetName val="총괄내역서"/>
      <sheetName val="공통부대관리"/>
      <sheetName val="익월수주전망"/>
      <sheetName val="입찰내역서"/>
      <sheetName val="기성청구 공문"/>
      <sheetName val="IW-LIST"/>
      <sheetName val="6PILE  (돌출)"/>
      <sheetName val="방배동내역(리라)"/>
      <sheetName val="일위대가표"/>
      <sheetName val="2연암거"/>
      <sheetName val="경사수로집계표"/>
      <sheetName val="경사수로"/>
      <sheetName val="진입교량"/>
      <sheetName val="Variables"/>
      <sheetName val="제조원가 원단위 분석"/>
      <sheetName val="종합표양식(품의 &amp; 입고)_2"/>
      <sheetName val="상각스케쥴(조정)"/>
      <sheetName val="원가관리 (동월대비)"/>
      <sheetName val="요약"/>
      <sheetName val="woo(mac)"/>
      <sheetName val="중기조종사 단위단가"/>
      <sheetName val="A-4"/>
      <sheetName val="45,46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2-2.매출분석"/>
      <sheetName val="RECIMAKE"/>
      <sheetName val="A-100전제"/>
      <sheetName val="몰드시스템 리스트"/>
      <sheetName val="정비손익"/>
      <sheetName val="200"/>
      <sheetName val="MIBK원단위"/>
      <sheetName val="Proposal"/>
      <sheetName val="7 (2)"/>
      <sheetName val="SM1-09"/>
      <sheetName val="SM2-09"/>
      <sheetName val="BD-09"/>
      <sheetName val="물량표"/>
      <sheetName val="Calen"/>
      <sheetName val="CAUDIT"/>
      <sheetName val="장기대여금1"/>
      <sheetName val="Total"/>
      <sheetName val="조명시설"/>
      <sheetName val="SIL98"/>
      <sheetName val="XZLC004_PART2"/>
      <sheetName val="XZLC003_PART1"/>
      <sheetName val="역T형"/>
      <sheetName val="SO416"/>
      <sheetName val="개발비자산성검토"/>
      <sheetName val="가공MH"/>
      <sheetName val="08년(Form1)"/>
      <sheetName val="영동(D)"/>
      <sheetName val="총내역서"/>
      <sheetName val="2.총괄표"/>
      <sheetName val="일위대가"/>
      <sheetName val="점수계산1-2"/>
      <sheetName val="LinerWt"/>
      <sheetName val="입찰내역 발주처 양식"/>
      <sheetName val="37개월"/>
      <sheetName val="주형"/>
      <sheetName val="sum1 (2)"/>
      <sheetName val="적격"/>
      <sheetName val="공사비증감"/>
      <sheetName val="미드수량"/>
      <sheetName val="참조"/>
      <sheetName val="DATE"/>
      <sheetName val="단가표"/>
      <sheetName val="slipsumpR"/>
      <sheetName val="건축공사실행"/>
      <sheetName val="원가(통신)"/>
      <sheetName val="표지"/>
      <sheetName val="설비원가"/>
      <sheetName val="대비표"/>
      <sheetName val="골조시행"/>
      <sheetName val="3.바닥판설계"/>
      <sheetName val="Sheet1 (2)"/>
      <sheetName val="집행내역"/>
      <sheetName val="Borrower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RE9604"/>
      <sheetName val="평가제외"/>
      <sheetName val="12년 CF(9월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물량표(신)"/>
      <sheetName val="대공종"/>
      <sheetName val="조경"/>
      <sheetName val="손익현황"/>
      <sheetName val="현황CODE"/>
      <sheetName val="산출근거"/>
      <sheetName val="일위(토목)"/>
      <sheetName val="_x0018__x0000_"/>
      <sheetName val=""/>
      <sheetName val="실행간접비용"/>
      <sheetName val="D-623D"/>
      <sheetName val="BQMPALOC"/>
      <sheetName val="현장지지물물량"/>
      <sheetName val="세부내역서"/>
      <sheetName val="입찰보고"/>
      <sheetName val="지점장"/>
      <sheetName val="부서코드표"/>
      <sheetName val="적용건축"/>
      <sheetName val="품셈TABLE"/>
      <sheetName val="97년추정손익계산서"/>
      <sheetName val="업무연락"/>
      <sheetName val="Ethylene"/>
      <sheetName val="월별매출"/>
      <sheetName val="ChlorAlkali"/>
      <sheetName val="VXXXXXXX"/>
      <sheetName val="13월별BS"/>
      <sheetName val="하수급견적대비"/>
      <sheetName val="참조시트"/>
      <sheetName val="表21 净利润调节表"/>
      <sheetName val="원가계산하도"/>
      <sheetName val="504전기실 동부하-L"/>
      <sheetName val="Sheet15"/>
      <sheetName val="Sheet9"/>
      <sheetName val="DUT-BAT1"/>
      <sheetName val="슬래브"/>
      <sheetName val="ADR"/>
      <sheetName val="부하계산서"/>
      <sheetName val="설산1.나"/>
      <sheetName val="본사S"/>
      <sheetName val="재고현황"/>
      <sheetName val="발행제기"/>
      <sheetName val="2.대외공문"/>
      <sheetName val="BEST"/>
      <sheetName val="통장출금액"/>
      <sheetName val="카메라"/>
      <sheetName val="실적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자재단가"/>
      <sheetName val="입출재고현황 (2)"/>
      <sheetName val="자금추ȕ"/>
      <sheetName val="찍기"/>
      <sheetName val="단가일람"/>
      <sheetName val="단위량당중기"/>
      <sheetName val="수량집계표(舊)"/>
      <sheetName val="부속동"/>
      <sheetName val="Project Brief"/>
      <sheetName val="단가(반정3교-원주)"/>
      <sheetName val="CC16-내역서"/>
      <sheetName val="신공"/>
      <sheetName val="Y-WORK"/>
      <sheetName val="동절기투입(자재)"/>
      <sheetName val="건축내역"/>
      <sheetName val="2.주요계수총괄"/>
      <sheetName val="현금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TRE TABLE"/>
      <sheetName val="C3"/>
      <sheetName val="주현(해보)"/>
      <sheetName val="주현(영광)"/>
      <sheetName val="품셈표"/>
      <sheetName val="갑근세납세필증명원"/>
      <sheetName val="cp-e1"/>
      <sheetName val="MEMORY"/>
      <sheetName val="05년말(건재)"/>
      <sheetName val="GAEYO"/>
      <sheetName val="물량표S"/>
      <sheetName val="내역표지"/>
      <sheetName val="INPUT"/>
      <sheetName val="설계명세서"/>
      <sheetName val="전신환매도율"/>
      <sheetName val="경비"/>
      <sheetName val="P.M 별"/>
      <sheetName val="정부노임단가"/>
      <sheetName val="교각계산"/>
      <sheetName val="한강운반비"/>
      <sheetName val="0001new"/>
      <sheetName val="단면 (2)"/>
      <sheetName val="약품공급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UV"/>
      <sheetName val="Q-H"/>
      <sheetName val="VS P-Q"/>
      <sheetName val="VS  curve"/>
      <sheetName val="PAYBAK"/>
      <sheetName val="Chart1"/>
      <sheetName val="Sheet1"/>
      <sheetName val="Sheet3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내용"/>
      <sheetName val="의뢰서"/>
      <sheetName val="답사보고서"/>
      <sheetName val="비교표"/>
      <sheetName val="품의서"/>
      <sheetName val="차별화품목"/>
      <sheetName val="공통비"/>
      <sheetName val="건축"/>
      <sheetName val="동별현황"/>
      <sheetName val="파일공사(아파트)"/>
      <sheetName val="파일산출근거"/>
      <sheetName val="부대건축"/>
      <sheetName val="파일공사(부대동)"/>
      <sheetName val="토목및철거"/>
      <sheetName val="옥외및기타"/>
      <sheetName val="#REF"/>
      <sheetName val="인사자료총집계"/>
      <sheetName val="양식001-@표준양식.xls"/>
      <sheetName val="유림총괄"/>
      <sheetName val="P.M 별"/>
      <sheetName val="프랜트면허"/>
      <sheetName val="토목주소"/>
      <sheetName val="실행"/>
      <sheetName val="유림골조"/>
      <sheetName val="공통부대비"/>
      <sheetName val="01"/>
      <sheetName val="잡비"/>
      <sheetName val="갑지(추정)"/>
      <sheetName val="약품설비"/>
      <sheetName val="경비"/>
      <sheetName val="노임이"/>
      <sheetName val="CTEMCOST"/>
      <sheetName val="Sheet5"/>
      <sheetName val="합천내역"/>
      <sheetName val="금융"/>
      <sheetName val="총괄"/>
      <sheetName val="1ST"/>
      <sheetName val="기본사항"/>
      <sheetName val="단가표"/>
      <sheetName val="견적"/>
      <sheetName val="점당객석수"/>
      <sheetName val="수량산출"/>
      <sheetName val="표지"/>
      <sheetName val="96월별PL"/>
      <sheetName val="작성"/>
      <sheetName val="임원,관리,별도"/>
      <sheetName val="N賃率-職"/>
      <sheetName val="직노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업체FIX"/>
      <sheetName val="내역"/>
      <sheetName val="인사자료총집계"/>
      <sheetName val="원가계산서"/>
      <sheetName val="음료실행"/>
      <sheetName val="TEST1"/>
      <sheetName val="실행(표지,갑,을)"/>
      <sheetName val="갑지1"/>
      <sheetName val="01"/>
      <sheetName val="공문"/>
      <sheetName val="프랜트면허"/>
      <sheetName val="토목주소"/>
      <sheetName val="1ST"/>
      <sheetName val="수량명세서"/>
      <sheetName val="연결임시"/>
      <sheetName val="을"/>
      <sheetName val="갑지(추정)"/>
      <sheetName val="참조"/>
      <sheetName val="실행내역"/>
      <sheetName val="경비"/>
      <sheetName val="Sheet1"/>
      <sheetName val="중기사용료"/>
      <sheetName val="업무처리전"/>
      <sheetName val="원가계산"/>
      <sheetName val="목표세부명세"/>
      <sheetName val="금액내역서"/>
      <sheetName val="EQT-ESTN"/>
      <sheetName val="CTEMCOST"/>
      <sheetName val="인원투입현황"/>
      <sheetName val="Sheet3"/>
      <sheetName val="#REF"/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지급자재"/>
      <sheetName val="간접비계산"/>
      <sheetName val="부대입찰"/>
      <sheetName val="골조시행"/>
      <sheetName val="일위대가"/>
      <sheetName val="전체"/>
      <sheetName val="실행철강하도"/>
      <sheetName val="주요항목별"/>
      <sheetName val="APT"/>
      <sheetName val="일위"/>
      <sheetName val="예산총괄"/>
      <sheetName val="정산내역"/>
      <sheetName val="시화점실행"/>
      <sheetName val="단가"/>
      <sheetName val="FACTOR"/>
      <sheetName val="원가계산서(변경)"/>
      <sheetName val="대림경상68억"/>
      <sheetName val="1공구산출내역서"/>
      <sheetName val="사업수지"/>
      <sheetName val="옥외등신설"/>
      <sheetName val="저케CV22신설"/>
      <sheetName val="저케CV38신설"/>
      <sheetName val="저케CV8신설"/>
      <sheetName val="접지3종"/>
      <sheetName val="합계"/>
      <sheetName val="인부신상자료"/>
      <sheetName val="일위목록"/>
      <sheetName val="요율"/>
      <sheetName val="단가표"/>
      <sheetName val="갑(전기)"/>
      <sheetName val="갑(계장)"/>
      <sheetName val="2공구산출내역"/>
      <sheetName val="산출내역서"/>
      <sheetName val="1,2공구원가계산서"/>
      <sheetName val="소비자가"/>
      <sheetName val="토목단가"/>
      <sheetName val="경산"/>
      <sheetName val="수량산출"/>
      <sheetName val="을지"/>
      <sheetName val="선급금신청서"/>
      <sheetName val="신우"/>
      <sheetName val="집계표"/>
      <sheetName val="입찰안"/>
      <sheetName val="백암비스타내역"/>
      <sheetName val="투자효율분석"/>
      <sheetName val="Y-WORK"/>
      <sheetName val="총괄표"/>
      <sheetName val="2"/>
      <sheetName val="실행간접비"/>
      <sheetName val="기본설계기준"/>
      <sheetName val="간접(90)"/>
      <sheetName val="안양동교 1안"/>
      <sheetName val="SULKEA"/>
      <sheetName val="XXXXXX"/>
      <sheetName val="1유리"/>
      <sheetName val="b_balju (2)"/>
      <sheetName val="b_gunmul"/>
      <sheetName val="공통가설"/>
      <sheetName val="제경비율"/>
      <sheetName val="대비2"/>
      <sheetName val="시운전연료비"/>
      <sheetName val="회사정보"/>
      <sheetName val="설계내역서"/>
      <sheetName val="Customer Datab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13차"/>
      <sheetName val="정부노임단가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노임이"/>
      <sheetName val="Front"/>
      <sheetName val="wall"/>
      <sheetName val="#REF"/>
      <sheetName val="Total"/>
      <sheetName val="2003상반기노임기준"/>
      <sheetName val="갑지"/>
      <sheetName val="집계표"/>
      <sheetName val="일위대가표"/>
      <sheetName val="내역"/>
      <sheetName val="소비자가"/>
      <sheetName val="산업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실행"/>
      <sheetName val="입찰견적보고서"/>
      <sheetName val="산근"/>
      <sheetName val="자재가격조사표"/>
      <sheetName val="MYENGBU"/>
      <sheetName val="설계서(본관)"/>
      <sheetName val="물가시세"/>
      <sheetName val="원가계산하도"/>
      <sheetName val="전기"/>
      <sheetName val="중기조종사 단위단가"/>
      <sheetName val="기초단가"/>
      <sheetName val="1-최종안"/>
      <sheetName val="사업분석-분양가결정"/>
      <sheetName val="설계명세서"/>
      <sheetName val="BID"/>
      <sheetName val="2000년1차"/>
      <sheetName val="전등설비"/>
      <sheetName val="설계내역서"/>
      <sheetName val="건축(G6)"/>
      <sheetName val="철거(G6)"/>
      <sheetName val="토목(G6)"/>
      <sheetName val="총괄표"/>
      <sheetName val="자판실행"/>
      <sheetName val="1차 내역서"/>
      <sheetName val="실행대비"/>
      <sheetName val="암센터"/>
      <sheetName val="실행(ALT1)"/>
      <sheetName val="내역서2안"/>
      <sheetName val="해평견적"/>
      <sheetName val="내역서1999.8최종"/>
      <sheetName val="EL90"/>
      <sheetName val="개산공사비"/>
      <sheetName val="설비(제출)"/>
      <sheetName val="견적조건"/>
      <sheetName val="총괄내역서"/>
      <sheetName val="예산명세서"/>
      <sheetName val="자료입력"/>
      <sheetName val="시장성초안camera"/>
      <sheetName val="CON'C"/>
      <sheetName val="5.설계명세서"/>
      <sheetName val="설비원가"/>
      <sheetName val="친환경주택"/>
      <sheetName val="원가계산"/>
      <sheetName val="견적단가"/>
      <sheetName val="조명시설"/>
      <sheetName val="단가및재료비"/>
      <sheetName val="b_balju"/>
      <sheetName val="일위목록"/>
      <sheetName val="세금자료"/>
      <sheetName val="경제지표"/>
      <sheetName val="원가data"/>
      <sheetName val="설계"/>
      <sheetName val="공사설명서"/>
      <sheetName val="실행철강하도"/>
      <sheetName val="정부노임단가"/>
      <sheetName val="1.수인터널"/>
      <sheetName val="데이타"/>
      <sheetName val="식재인부"/>
      <sheetName val="주빔의 설계"/>
      <sheetName val="바닥판"/>
      <sheetName val="입력DATA"/>
      <sheetName val="21301동"/>
      <sheetName val="투자비"/>
      <sheetName val="조성원가DATA"/>
      <sheetName val="사업비"/>
      <sheetName val="CTEMCOST"/>
      <sheetName val="공사개요"/>
      <sheetName val="대비"/>
      <sheetName val="예총"/>
      <sheetName val="2005(공무2)"/>
      <sheetName val="지질조사"/>
      <sheetName val="설계변경총괄표(계산식)"/>
      <sheetName val="내역서"/>
      <sheetName val="BSD (2)"/>
      <sheetName val="갑지(추정)"/>
      <sheetName val="Sheet1"/>
      <sheetName val="Sheet1 (2)"/>
      <sheetName val="6PILE  (돌출)"/>
      <sheetName val="노무비단가"/>
      <sheetName val="Sheet12"/>
      <sheetName val="M-MG1"/>
      <sheetName val="내역서 (2)"/>
      <sheetName val="단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현장경비"/>
      <sheetName val="데이타"/>
      <sheetName val="현장경상비"/>
      <sheetName val="갑지(추정)"/>
      <sheetName val="식재인부"/>
      <sheetName val="갑지1"/>
      <sheetName val="샤워실위생"/>
      <sheetName val="현장관리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"/>
      <sheetName val="시멘트"/>
      <sheetName val="일위대가"/>
      <sheetName val="일위대가표"/>
      <sheetName val="노임이"/>
      <sheetName val="DATE"/>
      <sheetName val="중기사용료"/>
      <sheetName val="작성"/>
      <sheetName val="실행예산-변경분"/>
      <sheetName val="견적의뢰"/>
      <sheetName val="집계표"/>
      <sheetName val="동원인원"/>
      <sheetName val="Total"/>
      <sheetName val="입찰견적보고서"/>
      <sheetName val="금액"/>
      <sheetName val="판매시설"/>
      <sheetName val="평가데이터"/>
      <sheetName val="#REF"/>
      <sheetName val="요율"/>
      <sheetName val=" 갑  지 "/>
      <sheetName val="협력업체"/>
      <sheetName val="수량집계"/>
      <sheetName val="노임단가"/>
      <sheetName val="예가표"/>
      <sheetName val="건축직영"/>
      <sheetName val="계DATA"/>
      <sheetName val="실DATA "/>
      <sheetName val="내역서(1)"/>
      <sheetName val="산업"/>
      <sheetName val="음료실행"/>
      <sheetName val="지수980731이후"/>
      <sheetName val="내역표지"/>
      <sheetName val="설계서(7)"/>
      <sheetName val="개요"/>
      <sheetName val="현장관리"/>
      <sheetName val="프랜트면허"/>
      <sheetName val="토목주소"/>
      <sheetName val="소비자가"/>
      <sheetName val="인제내역"/>
      <sheetName val="실DATA_"/>
      <sheetName val="조내역"/>
      <sheetName val="조직도"/>
      <sheetName val="공정표"/>
      <sheetName val="코스모공장 (어음)"/>
      <sheetName val="공구"/>
      <sheetName val="총괄내역서"/>
      <sheetName val="건축내역서"/>
      <sheetName val="조건"/>
      <sheetName val="실행"/>
      <sheetName val="A 견적"/>
      <sheetName val="주식"/>
      <sheetName val="공사개요"/>
      <sheetName val="원가계산서(거목)"/>
      <sheetName val="원가계산서(다숲)"/>
      <sheetName val="원가계산서(법정외주)"/>
      <sheetName val="총괄"/>
      <sheetName val="을"/>
      <sheetName val="공문"/>
      <sheetName val="수량산출"/>
      <sheetName val="갑지"/>
      <sheetName val="GAEYO"/>
      <sheetName val="내역서"/>
      <sheetName val="경산"/>
      <sheetName val="실행(ALT1)"/>
      <sheetName val="참조"/>
      <sheetName val="내역서2안"/>
      <sheetName val="_갑__지_"/>
      <sheetName val="환경기계공정표 (3)"/>
      <sheetName val="아파트"/>
      <sheetName val="목차"/>
      <sheetName val="값"/>
      <sheetName val="건축공사실행"/>
      <sheetName val="내역"/>
      <sheetName val="FAB별"/>
      <sheetName val="COVER"/>
      <sheetName val="계약내역(2)"/>
      <sheetName val="일위대가목록"/>
      <sheetName val="Sheet1"/>
      <sheetName val="변수값"/>
      <sheetName val="중기상차"/>
      <sheetName val="AS복구"/>
      <sheetName val="중기터파기"/>
      <sheetName val="시설물일위"/>
      <sheetName val="가설공사"/>
      <sheetName val="단가결정"/>
      <sheetName val="내역아"/>
      <sheetName val="울타리"/>
      <sheetName val="재료"/>
      <sheetName val="관접합및부설"/>
      <sheetName val="단가"/>
      <sheetName val="조명시설"/>
      <sheetName val="기안"/>
      <sheetName val="사급자재"/>
      <sheetName val="기계경비(시간당)"/>
      <sheetName val="램머"/>
      <sheetName val="본실행경비"/>
      <sheetName val="납부서"/>
      <sheetName val="입력데이타"/>
      <sheetName val="SPEC"/>
      <sheetName val="원가계산서"/>
      <sheetName val="원가계산"/>
      <sheetName val="SAM"/>
      <sheetName val="Sheet5"/>
      <sheetName val="물가대비표"/>
      <sheetName val="입찰안"/>
      <sheetName val="인사자료총집계"/>
      <sheetName val="기초단가"/>
      <sheetName val="견적"/>
      <sheetName val="수량-양식"/>
      <sheetName val="CTEMCOST"/>
      <sheetName val="설계명세서"/>
      <sheetName val="원가data"/>
      <sheetName val="카펫타일"/>
      <sheetName val="개산공사비"/>
      <sheetName val="Y-WORK"/>
      <sheetName val="01"/>
      <sheetName val="금액내역서"/>
      <sheetName val="투찰내역서"/>
      <sheetName val="건축"/>
      <sheetName val="Sheet1 (2)"/>
      <sheetName val="총 원가계산"/>
      <sheetName val="증감내역서"/>
      <sheetName val="노무비"/>
      <sheetName val="총괄갑 "/>
      <sheetName val="일위"/>
      <sheetName val="제경비율"/>
      <sheetName val="단가 (2)"/>
      <sheetName val="실행대비"/>
      <sheetName val="5사남"/>
      <sheetName val="ilch"/>
      <sheetName val="식재수량표"/>
      <sheetName val="일위목록"/>
      <sheetName val="원가계산하도"/>
      <sheetName val="전등설비"/>
      <sheetName val="실행철강하도"/>
      <sheetName val="EQT-ESTN"/>
      <sheetName val="연돌일위집계"/>
      <sheetName val="BID"/>
      <sheetName val="자재가격조사표"/>
      <sheetName val="단중표"/>
      <sheetName val="6호기"/>
      <sheetName val="내역서1999.8최종"/>
      <sheetName val="시중노임단가"/>
      <sheetName val="6PILE  (돌출)"/>
      <sheetName val="구성비"/>
      <sheetName val="화전내"/>
      <sheetName val="F4-F7"/>
      <sheetName val="벽체물량산출서"/>
      <sheetName val="지수"/>
      <sheetName val="---FAB#1업무일지---"/>
      <sheetName val="표지"/>
      <sheetName val="변경내역서"/>
      <sheetName val="11-2.아파트내역"/>
      <sheetName val="SG"/>
      <sheetName val="DATA1"/>
      <sheetName val="물량표"/>
      <sheetName val="노무"/>
      <sheetName val="진주방향"/>
      <sheetName val="용역비내역-진짜"/>
      <sheetName val="추정_최근현장"/>
      <sheetName val="리스트_최근현장"/>
      <sheetName val="팩스리스트"/>
      <sheetName val="날개벽수량표"/>
      <sheetName val="참고사항"/>
      <sheetName val="근로자자료입력"/>
      <sheetName val="당정동경상이수"/>
      <sheetName val="당정동공통이수"/>
      <sheetName val="총괄집계표"/>
      <sheetName val="전기"/>
      <sheetName val="정보"/>
      <sheetName val="factor(건축)"/>
      <sheetName val="산근"/>
      <sheetName val="세금자료"/>
      <sheetName val="총투입계"/>
      <sheetName val="직재"/>
      <sheetName val="교통대책내역"/>
      <sheetName val="기초입력 DATA"/>
      <sheetName val="사진대지"/>
      <sheetName val="국내조달(통합-1)"/>
      <sheetName val="수배전반"/>
      <sheetName val="001"/>
      <sheetName val="노임"/>
      <sheetName val="건축공사집계"/>
      <sheetName val="상호참고자료"/>
      <sheetName val="발주처자료입력"/>
      <sheetName val="회사기본자료"/>
      <sheetName val="하자보증자료"/>
      <sheetName val="기술자관련자료"/>
      <sheetName val="공통가설"/>
      <sheetName val="차액보증"/>
      <sheetName val="C3"/>
      <sheetName val=" 견적서"/>
      <sheetName val="노임단가 (2)"/>
      <sheetName val="플랜트 설치"/>
      <sheetName val="Option"/>
      <sheetName val="FORM-0"/>
      <sheetName val="실행_ALT1_"/>
      <sheetName val="을지"/>
      <sheetName val="견적조건"/>
      <sheetName val="건축집계표"/>
      <sheetName val="계산서(곡선부)"/>
      <sheetName val="포장재료집계표"/>
      <sheetName val="날개벽(시점좌측)"/>
      <sheetName val="1차 내역서"/>
      <sheetName val="파일의이용"/>
      <sheetName val="공종목록표"/>
      <sheetName val="합천내역"/>
      <sheetName val="출입자명단"/>
      <sheetName val="일위산출"/>
      <sheetName val="TEST1"/>
      <sheetName val="Sheet2"/>
      <sheetName val="실행내역"/>
      <sheetName val="자재단가"/>
      <sheetName val="장비경비"/>
      <sheetName val="해평견적"/>
      <sheetName val="자단"/>
      <sheetName val="직접경비"/>
      <sheetName val="직접인건비"/>
      <sheetName val="inter"/>
      <sheetName val="수리결과"/>
      <sheetName val="TYPE-A"/>
      <sheetName val="배명(단가)"/>
      <sheetName val="견적갑지"/>
      <sheetName val="물량내역"/>
      <sheetName val="예산서"/>
      <sheetName val="CONCRETE"/>
      <sheetName val="설계서"/>
      <sheetName val="업무분장"/>
      <sheetName val="BSD (2)"/>
      <sheetName val="PAINT"/>
      <sheetName val="설계서(본관)"/>
      <sheetName val="2000년1차"/>
      <sheetName val="건축내역"/>
      <sheetName val="0"/>
      <sheetName val="수목단가"/>
      <sheetName val="시설수량표"/>
      <sheetName val="청천내"/>
      <sheetName val="토목공사"/>
      <sheetName val="차수"/>
      <sheetName val="CON'C"/>
      <sheetName val="건축실행"/>
      <sheetName val="중기조종사 단위단가"/>
      <sheetName val="설명서 "/>
      <sheetName val="토목"/>
      <sheetName val="역T형교대(말뚝기초)"/>
      <sheetName val="배관배선내역"/>
      <sheetName val="결재판"/>
      <sheetName val="pier(각형)"/>
      <sheetName val="경비"/>
      <sheetName val="내역서01"/>
      <sheetName val="2-1. 경관조명 내역총괄표"/>
      <sheetName val="신.분"/>
      <sheetName val="공사_산출"/>
      <sheetName val="철거산출근거"/>
      <sheetName val="FOB발"/>
      <sheetName val="설비공사"/>
      <sheetName val="토공집계"/>
      <sheetName val="기성"/>
      <sheetName val="적격심사표"/>
      <sheetName val="현장별"/>
      <sheetName val="동별집계(비디오폰흑백-&gt;칼라)"/>
      <sheetName val="동별집계"/>
      <sheetName val="세부내역서"/>
      <sheetName val="가설공사내역"/>
      <sheetName val="토공연장"/>
      <sheetName val="자재"/>
      <sheetName val="설계내역"/>
      <sheetName val="2공구산출내역"/>
      <sheetName val="입력"/>
      <sheetName val="COST"/>
      <sheetName val="인건비 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산출"/>
      <sheetName val="설비내역서"/>
      <sheetName val="전기내역서"/>
      <sheetName val="참조M"/>
      <sheetName val="소요자재"/>
      <sheetName val="05-원가계산"/>
      <sheetName val="장비집계"/>
      <sheetName val="Sheet3"/>
      <sheetName val="계목분류"/>
      <sheetName val="일위대가 "/>
      <sheetName val="말뚝지지력산정"/>
      <sheetName val="퍼스트"/>
      <sheetName val="기초일위"/>
      <sheetName val="시설일위"/>
      <sheetName val="조명일위"/>
      <sheetName val="정부노임단가"/>
      <sheetName val="단기차입금"/>
      <sheetName val="예정공정표"/>
      <sheetName val="초기화면"/>
      <sheetName val="관급자재"/>
      <sheetName val="Sheet4"/>
      <sheetName val="새공통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용수량(생활용수)"/>
      <sheetName val="견적율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한강운반비"/>
      <sheetName val="집계"/>
      <sheetName val="wall"/>
      <sheetName val="계정"/>
      <sheetName val="단가대비표"/>
      <sheetName val="연도별노무비(신)"/>
      <sheetName val="산출서"/>
      <sheetName val="980731"/>
      <sheetName val="3월팀계 "/>
      <sheetName val="전선 및 전선관-자유로"/>
      <sheetName val="관로터파기-자유로"/>
      <sheetName val="공사통보서"/>
      <sheetName val="철콘"/>
      <sheetName val="유림골조"/>
      <sheetName val="골조시행"/>
      <sheetName val="수량명세서"/>
      <sheetName val="99년신청"/>
      <sheetName val="ateCodes_x0000_TimeCodes_x0000_OverrideShor"/>
      <sheetName val="공사내역서"/>
      <sheetName val="APT"/>
      <sheetName val="C1.공사개요"/>
      <sheetName val="실행(1)"/>
      <sheetName val="A1.스케쥴"/>
      <sheetName val="삭제금지단가"/>
      <sheetName val="간지"/>
      <sheetName val="공사요율"/>
      <sheetName val="Customer Databas"/>
      <sheetName val="코드"/>
      <sheetName val="중기사용료산출근거"/>
      <sheetName val="단가 및 재료비"/>
      <sheetName val="단가(자재)"/>
      <sheetName val="단가(노임)"/>
      <sheetName val="기초목록"/>
      <sheetName val="계획금액"/>
      <sheetName val="우수받이재료집계표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간접"/>
      <sheetName val="장비사양"/>
      <sheetName val="단가조사"/>
      <sheetName val="토사(PE)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터널조도"/>
      <sheetName val="측량요율"/>
      <sheetName val="자재대"/>
      <sheetName val="내역서 제출"/>
      <sheetName val="연부97-1"/>
      <sheetName val="#3_일위대가목록"/>
      <sheetName val="1-최종안"/>
      <sheetName val="사업분석-분양가결정"/>
      <sheetName val="수정시산표"/>
      <sheetName val="매출현황"/>
      <sheetName val="등록자료"/>
      <sheetName val="입력정보"/>
      <sheetName val="본선토량운반계산서(1)0"/>
      <sheetName val="백암비스타내역"/>
      <sheetName val="토공사"/>
      <sheetName val="포장복구집계"/>
      <sheetName val="부표총괄"/>
      <sheetName val="AS포장복구 "/>
      <sheetName val="MAT_N048"/>
      <sheetName val="토목내역"/>
      <sheetName val="설계명세서-2"/>
      <sheetName val="빙장비사양"/>
      <sheetName val="노무비단가"/>
      <sheetName val="9811"/>
      <sheetName val="회사정보"/>
      <sheetName val="Apt내역"/>
      <sheetName val="경쟁실분"/>
      <sheetName val="고유코드_설계"/>
      <sheetName val="아파트 "/>
      <sheetName val="자판실행"/>
      <sheetName val="DATA 입력란"/>
      <sheetName val="수목표준대가"/>
      <sheetName val="횡배수관"/>
      <sheetName val="투입비분석표"/>
      <sheetName val="주공 갑지"/>
      <sheetName val="FD"/>
      <sheetName val="LD"/>
      <sheetName val="울산시산표"/>
      <sheetName val="G.R300경비"/>
      <sheetName val="표준건축비"/>
      <sheetName val="1안98Billing"/>
      <sheetName val="친환경주택"/>
      <sheetName val="工완성공사율"/>
      <sheetName val="신_분"/>
      <sheetName val="[내역서(ͭ_x0000_ͭ_x0000__x001c__x0000__x001c__x0000_가표"/>
      <sheetName val="견적1"/>
      <sheetName val="일위_파일"/>
      <sheetName val="제경비"/>
      <sheetName val="실적공사비"/>
      <sheetName val="입력(K0)"/>
      <sheetName val="장비기준"/>
      <sheetName val="재료비"/>
      <sheetName val="환율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6동"/>
      <sheetName val="내역1"/>
      <sheetName val="-치수표(곡선부)"/>
      <sheetName val="BLOCK(1)"/>
      <sheetName val="2003상반기노임기준"/>
      <sheetName val="전차선로 물량표"/>
      <sheetName val="회선별대책안(한전)"/>
      <sheetName val="ateCodes"/>
      <sheetName val="00000"/>
      <sheetName val="최적단면"/>
      <sheetName val="대비"/>
      <sheetName val="현금및현금등가물"/>
      <sheetName val="계정code"/>
      <sheetName val="기계경비"/>
      <sheetName val="아파트기별"/>
      <sheetName val="공리일"/>
      <sheetName val="월별수입"/>
      <sheetName val="경율산정.XLS"/>
      <sheetName val="8.설치품셈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[내역서(ͭ?ͭ?_x001c_?_x001c_?가표"/>
      <sheetName val="D"/>
      <sheetName val="목표세부명세"/>
      <sheetName val="소업1교"/>
      <sheetName val="전익자재"/>
      <sheetName val="매입세율"/>
      <sheetName val="DATA"/>
      <sheetName val="보증종류"/>
      <sheetName val="설계예산서"/>
      <sheetName val="예산내역서"/>
      <sheetName val="총계"/>
      <sheetName val="우배수"/>
      <sheetName val="계산식"/>
      <sheetName val="2.고용보험료산출근거"/>
      <sheetName val="database"/>
      <sheetName val="CC16-내역서"/>
      <sheetName val="21301동"/>
      <sheetName val="9-1차이내역"/>
      <sheetName val="설계조건"/>
      <sheetName val="출력"/>
      <sheetName val="4동급수"/>
      <sheetName val="도급"/>
      <sheetName val="경영상태"/>
      <sheetName val="제안서입력"/>
      <sheetName val="거래처등록"/>
      <sheetName val="참고자료"/>
      <sheetName val="은행코드"/>
      <sheetName val="품셈표"/>
      <sheetName val="자재단가비교표"/>
      <sheetName val="Macro(전선)"/>
      <sheetName val="금융비용"/>
      <sheetName val="관련부서"/>
      <sheetName val="공사내역"/>
      <sheetName val="조도계산서 (도서)"/>
      <sheetName val="부하(성남)"/>
      <sheetName val="용역비내역_진짜"/>
      <sheetName val="산출근거-배전"/>
      <sheetName val="1.동력공사"/>
      <sheetName val="노임(1차)"/>
      <sheetName val="XL4Poppy"/>
      <sheetName val="수지표"/>
      <sheetName val="셀명"/>
      <sheetName val="분석대장"/>
      <sheetName val="base"/>
      <sheetName val="COVER-P"/>
      <sheetName val="VST재료산출"/>
      <sheetName val="노임단가표"/>
      <sheetName val="손익집계(공장별)"/>
      <sheetName val="금회지출"/>
      <sheetName val="문학간접"/>
      <sheetName val="b_balju_cho"/>
      <sheetName val="BTL시설예산 기준표"/>
      <sheetName val="5.학교신설예산 집행(01~08)"/>
      <sheetName val="점검결과(08년 100교 지원)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1차_내역서"/>
      <sheetName val="6PILE__(돌출)1"/>
      <sheetName val="총괄갑_1"/>
      <sheetName val="11-2_아파트내역1"/>
      <sheetName val="내역서1999_8최종1"/>
      <sheetName val="기초입력_DATA"/>
      <sheetName val="노임단가_(2)"/>
      <sheetName val="_견적서"/>
      <sheetName val="2-1__경관조명_내역총괄표"/>
      <sheetName val="플랜트_설치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인건비_"/>
      <sheetName val="BSD_(2)"/>
      <sheetName val="중기조종사_단위단가"/>
      <sheetName val="설명서_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아파트_내역"/>
      <sheetName val="[내역서(ͭ"/>
      <sheetName val="품셈 "/>
      <sheetName val="방화도료"/>
      <sheetName val="물가시세"/>
      <sheetName val="5-1신설물량"/>
      <sheetName val="사업총괄"/>
      <sheetName val="수량3"/>
      <sheetName val="각형맨홀"/>
      <sheetName val="5.직원투입현황"/>
      <sheetName val="판가반영"/>
      <sheetName val="방배동내역(리라)"/>
      <sheetName val="부대공사총괄"/>
      <sheetName val="건축공사집계표"/>
      <sheetName val="참고"/>
      <sheetName val="BQ(실행)"/>
      <sheetName val="ateCodes?TimeCodes?OverrideShor"/>
      <sheetName val="2.대외공문"/>
      <sheetName val="손익분석"/>
      <sheetName val="1안"/>
      <sheetName val="교각1"/>
      <sheetName val="수량산출(음암)"/>
      <sheetName val="관람석제출"/>
      <sheetName val="낙찰표"/>
      <sheetName val="양식3"/>
      <sheetName val="영동(D)"/>
      <sheetName val="간선계산"/>
      <sheetName val="산출집계"/>
      <sheetName val="1. 조명내역서(조명설치)"/>
      <sheetName val="2. 조명내역서(조명자재)"/>
      <sheetName val="일위대가집계표"/>
      <sheetName val="일일작업현황"/>
      <sheetName val="견적단가"/>
      <sheetName val="신축(단위)"/>
      <sheetName val="수안보-MBR1"/>
      <sheetName val="전체내역 (2)"/>
      <sheetName val="FB25JN"/>
      <sheetName val="사통"/>
      <sheetName val="실행내역서 "/>
      <sheetName val="6-1. 관개량조서"/>
      <sheetName val="설계가"/>
      <sheetName val="내역- CCTV"/>
      <sheetName val="한일양산"/>
      <sheetName val="안정계산"/>
      <sheetName val="단면검토"/>
      <sheetName val="EQUIP LIST"/>
      <sheetName val="부하계산서"/>
      <sheetName val="패널"/>
      <sheetName val="장문교(대전)"/>
      <sheetName val="예정공정표 "/>
      <sheetName val="우각부보강"/>
      <sheetName val="물류최종8월7"/>
      <sheetName val="인수공"/>
      <sheetName val="당초"/>
      <sheetName val="단가_및_재료비"/>
      <sheetName val="주공_갑지"/>
      <sheetName val="AS포장복구_"/>
      <sheetName val="G_R300경비"/>
      <sheetName val="DATA_입력란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설계예시"/>
      <sheetName val="설비(제출)"/>
      <sheetName val="중동공구"/>
      <sheetName val="7.기-검-보.100"/>
      <sheetName val="입력자료"/>
      <sheetName val="원본"/>
      <sheetName val="98수문일위"/>
      <sheetName val="_내역서(ͭ"/>
      <sheetName val="&quot;"/>
      <sheetName val="단가산출2"/>
      <sheetName val="단가산출1"/>
      <sheetName val="Raw Data"/>
      <sheetName val="시행후면적"/>
      <sheetName val="수지예산"/>
      <sheetName val="nys"/>
      <sheetName val="연령별자료"/>
      <sheetName val="_내역서(ͭ_ͭ__x001c___x001c__가표"/>
      <sheetName val="페이지"/>
      <sheetName val="XREF"/>
      <sheetName val="양촌면도평리"/>
      <sheetName val="S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내역"/>
      <sheetName val="NYS"/>
      <sheetName val="하도업체(mal)_x0009_送곇엇듅⣌洀愀氀⤀ȀĀ노임_x0002_ꔁ䓇ҾĀ자재단"/>
      <sheetName val="인건비 "/>
      <sheetName val="설계내역서"/>
      <sheetName val="갑지1"/>
      <sheetName val="1.취수장"/>
      <sheetName val="미장"/>
      <sheetName val="일위대가"/>
      <sheetName val="중기조종사 단위단가"/>
      <sheetName val="실행내역서 "/>
      <sheetName val="CTEMCOST"/>
      <sheetName val="경비"/>
      <sheetName val="설직재-1"/>
      <sheetName val="Sheet2"/>
      <sheetName val="APT"/>
      <sheetName val="업체FIX"/>
      <sheetName val="예상"/>
      <sheetName val="Sheet1"/>
      <sheetName val="자료"/>
      <sheetName val="금관"/>
      <sheetName val="경주"/>
      <sheetName val="백화"/>
      <sheetName val="01"/>
      <sheetName val="부대tu"/>
      <sheetName val="하도업체(mal)_x0009_送곇엇듅⣌洀愀氀⤀ȀĀ노임?ꔁ䓇ҾĀ자재단"/>
      <sheetName val="견적의뢰"/>
      <sheetName val="밸브설치"/>
      <sheetName val="Y-WORK"/>
      <sheetName val="FRP PIPING 일위대가"/>
      <sheetName val="별표 "/>
      <sheetName val="기계"/>
      <sheetName val="정화조"/>
      <sheetName val="조경"/>
      <sheetName val="토목"/>
      <sheetName val="샤워실위생"/>
      <sheetName val="시설물"/>
      <sheetName val="식재출력용"/>
      <sheetName val="유지관리"/>
      <sheetName val="조달청적격심사"/>
      <sheetName val="전기(기계전기실)"/>
      <sheetName val="전기(열차제어)"/>
      <sheetName val="전기(전기성능)"/>
      <sheetName val="전기(차량)"/>
      <sheetName val="전기(차량부품)"/>
      <sheetName val="I.일위대가목차"/>
      <sheetName val="국내조달(통합-1)"/>
      <sheetName val="NN"/>
      <sheetName val="안양건축"/>
      <sheetName val="주공 갑지"/>
      <sheetName val="골프장예산"/>
      <sheetName val="단가조정"/>
      <sheetName val="공통가설"/>
      <sheetName val="현장관리비"/>
      <sheetName val="장비비"/>
      <sheetName val="00노임기준"/>
      <sheetName val="DATE"/>
      <sheetName val="#REF"/>
      <sheetName val="문학간접"/>
      <sheetName val="간접"/>
      <sheetName val="노임단가"/>
      <sheetName val="별표"/>
      <sheetName val="하도업체(mal) 送곇엇듅⣌洀愀氀⤀ȀĀ노임_x0002_ꔁ䓇ҾĀ자재단"/>
      <sheetName val="하도업체(mal) 送곇엇듅⣌洀愀氀⤀ȀĀ노임?ꔁ䓇ҾĀ자재단"/>
      <sheetName val="노무비단가"/>
      <sheetName val="갑지(요약)"/>
      <sheetName val="C1ㅇ"/>
      <sheetName val="변수값"/>
      <sheetName val="중기상차"/>
      <sheetName val="AS복구"/>
      <sheetName val="중기터파기"/>
      <sheetName val="공정코드"/>
      <sheetName val="우배수"/>
      <sheetName val="기초자료입력"/>
      <sheetName val="연결임시"/>
      <sheetName val="연부97-1"/>
      <sheetName val="교량하부공"/>
      <sheetName val="산출금액내역"/>
      <sheetName val="구조물공"/>
      <sheetName val="부대공"/>
      <sheetName val="배수공"/>
      <sheetName val="토공"/>
      <sheetName val="포장공"/>
      <sheetName val="정산서"/>
      <sheetName val="보호"/>
      <sheetName val="내역서"/>
      <sheetName val="산근"/>
      <sheetName val="구간산출"/>
      <sheetName val="기본일위"/>
      <sheetName val="03전반노무비"/>
      <sheetName val="토목주소"/>
      <sheetName val="파이프류"/>
      <sheetName val="건축내역"/>
      <sheetName val="경율산정"/>
      <sheetName val="효명0010"/>
      <sheetName val="예정공정표(금회분)"/>
      <sheetName val="예정공정표(전체분)"/>
      <sheetName val="남평내역"/>
      <sheetName val="감액총괄표"/>
      <sheetName val="조명시설"/>
      <sheetName val="산출1"/>
      <sheetName val="에너지요금"/>
      <sheetName val="실행간접비용"/>
      <sheetName val="고합"/>
      <sheetName val="유림골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노임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715양식"/>
      <sheetName val="유림골조"/>
      <sheetName val="공통부대비"/>
      <sheetName val="태화42 "/>
      <sheetName val="부산제일극장"/>
      <sheetName val="현장경상비"/>
      <sheetName val="임원,관리,별도"/>
      <sheetName val="0314재고확인"/>
      <sheetName val="Sheet1"/>
      <sheetName val="CDTK"/>
      <sheetName val="신메뉴백"/>
      <sheetName val="신메뉴백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실행내역"/>
      <sheetName val="일반부표"/>
      <sheetName val="1.가로등설비 산출집계"/>
      <sheetName val="거제도"/>
      <sheetName val="원가계산 (2)"/>
      <sheetName val="분전함신설"/>
      <sheetName val="접지1종"/>
      <sheetName val="표준건축비"/>
      <sheetName val="갑지1"/>
      <sheetName val="소비자가"/>
      <sheetName val="정부노임단가"/>
      <sheetName val="Breakdown"/>
      <sheetName val="UnitRate"/>
      <sheetName val="경제성분석"/>
      <sheetName val="N賃率-職"/>
      <sheetName val="표지"/>
      <sheetName val="집계표"/>
      <sheetName val=" 견적서"/>
      <sheetName val="집계"/>
      <sheetName val="유림골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"/>
      <sheetName val="집계표"/>
      <sheetName val="BID"/>
      <sheetName val="입찰안"/>
      <sheetName val="APT"/>
      <sheetName val="신우"/>
      <sheetName val="입력"/>
      <sheetName val="내역서"/>
      <sheetName val="DATE"/>
      <sheetName val="일위대가표"/>
      <sheetName val="Total"/>
      <sheetName val="신대방33(적용)"/>
      <sheetName val="일위대가(가설)"/>
      <sheetName val="실행(ALT1)"/>
      <sheetName val="설계내역서"/>
      <sheetName val="산근"/>
      <sheetName val="실행"/>
      <sheetName val="돈암사업"/>
      <sheetName val="단가산출"/>
      <sheetName val="원남울진낙찰내역(99.4.13 부산청)"/>
      <sheetName val="울산자동제어"/>
      <sheetName val="교통대책내역"/>
      <sheetName val="간접"/>
      <sheetName val="단가"/>
      <sheetName val="마산월령동골조물량변경"/>
      <sheetName val="2.건축"/>
      <sheetName val="개요"/>
      <sheetName val="현황산출서"/>
      <sheetName val="구의33고"/>
      <sheetName val="수량산출"/>
      <sheetName val="터파기및재료"/>
      <sheetName val="Sheet4"/>
      <sheetName val="자료입력"/>
      <sheetName val="비교1"/>
      <sheetName val="노임"/>
      <sheetName val="2000년1차"/>
      <sheetName val="증감내역서"/>
      <sheetName val="98수문일위"/>
      <sheetName val="Sheet1 (2)"/>
      <sheetName val="C-노임단가"/>
      <sheetName val="s"/>
      <sheetName val="식재가격"/>
      <sheetName val="식재총괄"/>
      <sheetName val="코드"/>
      <sheetName val="내역서 (2)"/>
      <sheetName val="화설내"/>
      <sheetName val="산출내역서집계표"/>
      <sheetName val="토목내역"/>
      <sheetName val="갑지(추정)"/>
      <sheetName val="콘크리트타설집계표"/>
      <sheetName val="아파트-가설"/>
      <sheetName val="소방사항"/>
      <sheetName val="45,46"/>
      <sheetName val="단"/>
      <sheetName val="데리네이타현황"/>
      <sheetName val="시운전연료"/>
      <sheetName val="소비자가"/>
      <sheetName val="골조시행"/>
      <sheetName val="N賃率-職"/>
      <sheetName val="포천송우교회_CheckList"/>
      <sheetName val="MOKDONG(1)"/>
      <sheetName val="일위목록"/>
      <sheetName val="여과지동"/>
      <sheetName val="기초자료"/>
      <sheetName val="코드표"/>
      <sheetName val="2.대외공문"/>
      <sheetName val="EACT10"/>
      <sheetName val="3BL공동구 수량"/>
      <sheetName val="보안등"/>
      <sheetName val="본부장"/>
      <sheetName val="가로등내역서"/>
      <sheetName val="화전내"/>
      <sheetName val="대비"/>
      <sheetName val="자재"/>
      <sheetName val="물가기준년"/>
      <sheetName val="장비기준"/>
      <sheetName val="개산공사비"/>
      <sheetName val="내역(중앙)"/>
      <sheetName val="내역(창신)"/>
      <sheetName val="실행내역서 "/>
      <sheetName val="기계내역"/>
      <sheetName val="인사자료총집계"/>
      <sheetName val="수정금지"/>
      <sheetName val="공사"/>
      <sheetName val="갑지"/>
      <sheetName val="준검 내역서"/>
      <sheetName val="#REF"/>
      <sheetName val="기초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1유리"/>
      <sheetName val="6호기"/>
      <sheetName val="여과지동"/>
      <sheetName val="기초자료"/>
      <sheetName val="8월차잔"/>
      <sheetName val="입찰안"/>
      <sheetName val="지우지말것"/>
      <sheetName val="실행"/>
      <sheetName val="내역서"/>
      <sheetName val="CAUDIT"/>
      <sheetName val="자재단가"/>
      <sheetName val="플랜트 설치"/>
      <sheetName val="안양동교 1안"/>
      <sheetName val="선급금신청서"/>
      <sheetName val="연습"/>
      <sheetName val="물량표"/>
      <sheetName val="실행철강하도"/>
      <sheetName val="업체(0801)"/>
      <sheetName val="Total"/>
      <sheetName val="노임이"/>
      <sheetName val="수량산출"/>
      <sheetName val="금융비용"/>
      <sheetName val="건축"/>
      <sheetName val="인부신상자료"/>
      <sheetName val="Sheet1"/>
      <sheetName val="갑지(추정)"/>
      <sheetName val="집계표"/>
      <sheetName val="CTEMCOST"/>
      <sheetName val="Anam Fab PL"/>
      <sheetName val="Schedules"/>
      <sheetName val="인천제철"/>
      <sheetName val="내역"/>
      <sheetName val="일위대가"/>
      <sheetName val="유림총괄"/>
      <sheetName val="수입"/>
      <sheetName val="차액보증"/>
      <sheetName val="점수계산1-2"/>
      <sheetName val="관리본부10"/>
      <sheetName val="은행"/>
      <sheetName val="#REF"/>
      <sheetName val="시멘트"/>
      <sheetName val="개요"/>
      <sheetName val="원가계산서"/>
      <sheetName val="본실행경비"/>
      <sheetName val="플랜트_설치"/>
      <sheetName val="안양동교_1안"/>
      <sheetName val="Anam_Fab_PL"/>
      <sheetName val="다곡2교"/>
      <sheetName val="2.주요계수총괄"/>
      <sheetName val="목차"/>
      <sheetName val="가설건물"/>
      <sheetName val="간지"/>
      <sheetName val="산출근거"/>
      <sheetName val="회사정보"/>
      <sheetName val="수지"/>
      <sheetName val="Sheet2"/>
      <sheetName val="득점현황"/>
      <sheetName val="손익"/>
      <sheetName val="조직도"/>
      <sheetName val="조명시설"/>
      <sheetName val="전계가"/>
      <sheetName val="입찰견적보고서"/>
      <sheetName val="45,46"/>
      <sheetName val="업체('08)"/>
      <sheetName val="MIJIBI"/>
      <sheetName val="손익분석"/>
      <sheetName val="국내조달(통합-1)"/>
      <sheetName val="인사자료총집계"/>
      <sheetName val="선급비용"/>
      <sheetName val="지급자재"/>
      <sheetName val="월별손익"/>
      <sheetName val="업체명"/>
      <sheetName val="Sheet5"/>
      <sheetName val="한화금융비"/>
      <sheetName val="CONCRETE"/>
      <sheetName val="중기일위대가"/>
      <sheetName val="노임단가"/>
      <sheetName val="입력"/>
      <sheetName val="설계내역서"/>
      <sheetName val="실행내역서 "/>
      <sheetName val="Xunit (단위환산)"/>
      <sheetName val="소방사항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집계표"/>
      <sheetName val="총괄내역서"/>
      <sheetName val="일위대가"/>
      <sheetName val="단가"/>
      <sheetName val="갑지(추정)"/>
      <sheetName val="입찰안"/>
      <sheetName val="시화점실행"/>
      <sheetName val="개요"/>
      <sheetName val="관급"/>
      <sheetName val="WORK"/>
      <sheetName val="원도급"/>
      <sheetName val="하도급"/>
      <sheetName val="전기공사"/>
      <sheetName val="차액보증"/>
      <sheetName val="자재단가"/>
      <sheetName val="Total"/>
      <sheetName val="일위대가(1)"/>
      <sheetName val="단가표"/>
      <sheetName val="금융비용"/>
      <sheetName val="대림경상68억"/>
      <sheetName val="현장별"/>
      <sheetName val="원남울진낙찰내역(99.4.13 부산청)"/>
      <sheetName val="산출내역서집계표"/>
      <sheetName val="공사"/>
      <sheetName val="SOS_PLC &amp; Panel"/>
      <sheetName val="DATE"/>
      <sheetName val="내역"/>
      <sheetName val="기본단가표"/>
      <sheetName val="원가서"/>
      <sheetName val="DANGA"/>
      <sheetName val="공통(20-91)"/>
      <sheetName val="터파기및재료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#REF"/>
      <sheetName val="N賃率-職"/>
      <sheetName val="수량산출"/>
      <sheetName val="골조시행"/>
      <sheetName val="마산월령동골조물량변경"/>
      <sheetName val="내역서"/>
      <sheetName val="_갑지"/>
      <sheetName val="Sheet1"/>
      <sheetName val="Sheet3"/>
      <sheetName val="원하대비"/>
      <sheetName val="1단계"/>
      <sheetName val="공사비증감"/>
      <sheetName val="조명시설"/>
      <sheetName val="날개벽수량표"/>
      <sheetName val="부대공Ⅱ"/>
      <sheetName val="원본(갑지)"/>
      <sheetName val="일위대가표"/>
      <sheetName val="신고조서"/>
      <sheetName val="환율change"/>
      <sheetName val="옥외외등집계표"/>
      <sheetName val="참조자료"/>
      <sheetName val="공사비집계"/>
      <sheetName val="CAUDIT"/>
      <sheetName val="세부추진"/>
      <sheetName val="상용보강"/>
      <sheetName val="여과지동"/>
      <sheetName val="기초자료"/>
      <sheetName val="프랜트면허"/>
      <sheetName val="토목주소"/>
      <sheetName val="Sheet4"/>
      <sheetName val="견적정보"/>
      <sheetName val=" 갑지"/>
      <sheetName val="sh1"/>
      <sheetName val="선급금신청서"/>
      <sheetName val="98지급계획"/>
      <sheetName val="부하계산서"/>
      <sheetName val="기안"/>
      <sheetName val="공통가설"/>
      <sheetName val="도급"/>
      <sheetName val="손익분석"/>
      <sheetName val="갑지"/>
      <sheetName val="원가"/>
      <sheetName val="추가예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산출내역서"/>
      <sheetName val="후다내역"/>
      <sheetName val="입찰안"/>
      <sheetName val="BID"/>
      <sheetName val=" HIT-&gt;HMC 견적(3900)"/>
      <sheetName val="한전일위"/>
      <sheetName val="일위대가목록"/>
      <sheetName val="일위대가"/>
      <sheetName val="투찰내역"/>
      <sheetName val="갑지"/>
      <sheetName val="현장관리비"/>
      <sheetName val="SG"/>
      <sheetName val="일위목록"/>
      <sheetName val="요율"/>
      <sheetName val="간접비계산"/>
      <sheetName val="실행철강하도"/>
      <sheetName val="합계"/>
      <sheetName val="일위CODE"/>
      <sheetName val="산수배수"/>
      <sheetName val="단가"/>
      <sheetName val="Macro1"/>
      <sheetName val="중기비"/>
      <sheetName val="노무비"/>
      <sheetName val="원가계산서"/>
      <sheetName val="관급자재"/>
      <sheetName val="#2_일위대가목록"/>
      <sheetName val="1공구산출내역서"/>
      <sheetName val="건설성적"/>
      <sheetName val="일  위  대  가  목  록"/>
      <sheetName val="인부신상자료"/>
      <sheetName val="간접(90)"/>
      <sheetName val="6. 안전관리비"/>
      <sheetName val="품셈"/>
      <sheetName val="금액결정"/>
      <sheetName val="직노"/>
      <sheetName val="2공구산출내역"/>
      <sheetName val="교각토공 _2_"/>
      <sheetName val="세부추진"/>
      <sheetName val="제안서"/>
      <sheetName val="상용보강"/>
      <sheetName val="행정표준(1)"/>
      <sheetName val="행정표준(2)"/>
      <sheetName val="일위산출"/>
      <sheetName val="1공구원가계산서"/>
      <sheetName val="1유리"/>
      <sheetName val="운반비요율"/>
      <sheetName val="자재단가"/>
      <sheetName val="1,2공구원가계산서"/>
      <sheetName val="3.공통공사대비"/>
      <sheetName val="당초명세(평)"/>
      <sheetName val="조명율표"/>
      <sheetName val="설계가"/>
      <sheetName val="DHEQSUPT"/>
      <sheetName val="INSTR"/>
      <sheetName val="단가산출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일일"/>
      <sheetName val="호안사석"/>
      <sheetName val="배수자집"/>
      <sheetName val="#2정산"/>
      <sheetName val="원형1호맨홀토공수량"/>
      <sheetName val="HRSG SMALL07220"/>
      <sheetName val="#REF"/>
      <sheetName val="JUCKEYK"/>
      <sheetName val="S0"/>
      <sheetName val="기본설계기준"/>
      <sheetName val="일위"/>
      <sheetName val="단가적용"/>
      <sheetName val="저"/>
      <sheetName val="참조"/>
      <sheetName val="유동표"/>
      <sheetName val="PI"/>
      <sheetName val="품셈총괄표"/>
      <sheetName val="2000년1차"/>
      <sheetName val="2000전체분"/>
      <sheetName val="b_balju"/>
      <sheetName val="조건표"/>
      <sheetName val="증감내역서"/>
      <sheetName val="차액보증"/>
      <sheetName val="별표집계"/>
      <sheetName val="Macro2"/>
      <sheetName val="코드표"/>
      <sheetName val="견적의뢰서"/>
      <sheetName val="내역(한신APT)"/>
      <sheetName val="노임"/>
      <sheetName val="노임단가"/>
      <sheetName val="표지1"/>
      <sheetName val="준검 내역서"/>
      <sheetName val="97년 추정"/>
      <sheetName val="6PILE  (돌출)"/>
      <sheetName val="A1"/>
      <sheetName val="일위단가"/>
      <sheetName val="ORIGIN"/>
      <sheetName val="일위대가목록표"/>
      <sheetName val="3개월-백데이타"/>
      <sheetName val="LG배관재단가"/>
      <sheetName val="다다수전류단가"/>
      <sheetName val="LG유통상품단가표"/>
      <sheetName val="TEST1"/>
      <sheetName val="1단계"/>
      <sheetName val="일위총괄"/>
      <sheetName val="덕전리"/>
      <sheetName val="일위대가목차"/>
      <sheetName val="도급"/>
      <sheetName val="작업일보"/>
      <sheetName val="48일위"/>
      <sheetName val="하도내역 (철콘)"/>
      <sheetName val="특기사항"/>
      <sheetName val="일위대가D"/>
      <sheetName val="조건표 (2)"/>
      <sheetName val="FORM-0"/>
      <sheetName val="표준건축비"/>
      <sheetName val="지급자재"/>
      <sheetName val="임율 Data"/>
      <sheetName val="1.설계기준"/>
      <sheetName val="BSD (2)"/>
      <sheetName val="노임조서"/>
      <sheetName val="10공구일위"/>
      <sheetName val="조명시설"/>
      <sheetName val="입출재고현황 (2)"/>
      <sheetName val="노무비 근거"/>
      <sheetName val="c_balju"/>
      <sheetName val="을"/>
      <sheetName val="입력데이타"/>
      <sheetName val="목차 "/>
      <sheetName val="시화점실행"/>
      <sheetName val="물가시세"/>
      <sheetName val="7. 현장관리비 "/>
      <sheetName val="WORK"/>
      <sheetName val="예산총괄"/>
      <sheetName val="기본단가표"/>
      <sheetName val="8.현장관리비"/>
      <sheetName val="7.안전관리비"/>
      <sheetName val="단가표"/>
      <sheetName val="기초1"/>
      <sheetName val="내역전기"/>
      <sheetName val="수정2"/>
      <sheetName val="수량산출서"/>
      <sheetName val="신공항A-9(원가수정)"/>
      <sheetName val="설계예산서"/>
      <sheetName val="중기"/>
      <sheetName val="U형개거"/>
      <sheetName val="공통가설"/>
      <sheetName val="배수내역"/>
      <sheetName val="수량3"/>
      <sheetName val="금융비용"/>
      <sheetName val="TOTAL"/>
      <sheetName val="b_balju (2)"/>
      <sheetName val="b_gunmul"/>
      <sheetName val="추가예산"/>
      <sheetName val="프랜트면허"/>
      <sheetName val="토목주소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산출근거"/>
      <sheetName val="IT-BAT"/>
      <sheetName val="수문일위1"/>
      <sheetName val="공정집계_국별"/>
      <sheetName val="일위산출근거"/>
      <sheetName val="인사자료총집계"/>
      <sheetName val="단면가정"/>
      <sheetName val="(원)기흥상갈"/>
      <sheetName val="집계"/>
      <sheetName val="개거총"/>
      <sheetName val="토공유동표(전체.당초)"/>
      <sheetName val="P_RPTB04_산근"/>
      <sheetName val="배수공"/>
      <sheetName val="업체별기성내역"/>
      <sheetName val="포장(수량)-관로부"/>
      <sheetName val="2터널시점"/>
      <sheetName val="이월"/>
      <sheetName val="약품공급2"/>
      <sheetName val="SLAB근거-1"/>
      <sheetName val="단면 (2)"/>
      <sheetName val="실행대비"/>
      <sheetName val="잡비"/>
      <sheetName val="제경비산출서"/>
      <sheetName val="철거산출근거"/>
      <sheetName val="CTEMCOST"/>
      <sheetName val="일위대가표48"/>
      <sheetName val="표지_(3)"/>
      <sheetName val="표지_(2)"/>
      <sheetName val="교각집계_(2)"/>
      <sheetName val="교각토공_(2)"/>
      <sheetName val="교각철근_(2)"/>
      <sheetName val="재료비"/>
      <sheetName val="공사내역서(을)실행"/>
      <sheetName val="직접비"/>
      <sheetName val="건장설비"/>
      <sheetName val="교통대책내역"/>
      <sheetName val="BND"/>
      <sheetName val="첨부1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3_공통공사대비"/>
      <sheetName val="HRSG_SMALL07220"/>
      <sheetName val="6__안전관리비"/>
      <sheetName val="단위단가"/>
      <sheetName val="토공사"/>
      <sheetName val="수량산출"/>
      <sheetName val="기계내역"/>
      <sheetName val="공량산출서"/>
      <sheetName val="유입량"/>
      <sheetName val="장비단가"/>
      <sheetName val="적현로"/>
      <sheetName val="(당평)자재"/>
      <sheetName val="유치원내역"/>
      <sheetName val="하도금액분계"/>
      <sheetName val="견적"/>
      <sheetName val="설계"/>
      <sheetName val="화재 탐지 설비"/>
      <sheetName val="음성방향"/>
      <sheetName val="준검_내역서"/>
      <sheetName val="97년_추정"/>
      <sheetName val="6PILE__(돌출)"/>
      <sheetName val="DANGA"/>
      <sheetName val="간선계산"/>
      <sheetName val="2000용수잠관-수량집계"/>
      <sheetName val="인원"/>
      <sheetName val="일위(PN)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8.PILE  (돌출)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전기"/>
      <sheetName val="효율표"/>
      <sheetName val="수량분개내역"/>
      <sheetName val="노무비 "/>
      <sheetName val="경상비"/>
      <sheetName val="전문하도급"/>
      <sheetName val="교량전기"/>
      <sheetName val="평가데이터"/>
      <sheetName val="MOTOR"/>
      <sheetName val="현장관리비 산출내역"/>
      <sheetName val="인명부"/>
      <sheetName val="내역표지"/>
      <sheetName val="가스"/>
      <sheetName val="양수장(기계)"/>
      <sheetName val="공사비예산서(토목분)"/>
      <sheetName val="기성갑지"/>
      <sheetName val="중기일위대가"/>
      <sheetName val="Customer Databas"/>
      <sheetName val="일위대가(1)"/>
      <sheetName val="4.일위대가집계"/>
      <sheetName val="공사비증감"/>
      <sheetName val="5. 현장관리비(new) "/>
      <sheetName val="ABUT수량-A1"/>
      <sheetName val="실행내역서 "/>
      <sheetName val="사업관리"/>
      <sheetName val="운반"/>
      <sheetName val="물가자료"/>
      <sheetName val="산출내역서집계표"/>
      <sheetName val="5_ 현장관리비_new_ "/>
      <sheetName val="예가표"/>
      <sheetName val="날개벽수량표"/>
      <sheetName val="입력정보"/>
      <sheetName val="FB25JN"/>
      <sheetName val="설계명세서"/>
      <sheetName val="내역서 제출"/>
      <sheetName val="자료입력"/>
      <sheetName val="총괄내역서"/>
      <sheetName val="내역(2000년)"/>
      <sheetName val="경영상태"/>
      <sheetName val="콘크리트타설집계표"/>
      <sheetName val="실행내역"/>
      <sheetName val="간 지1"/>
      <sheetName val="일위(시설)"/>
      <sheetName val="2"/>
      <sheetName val="인사자료"/>
      <sheetName val="공사원가계산서"/>
      <sheetName val="청천내"/>
      <sheetName val="중기조종사 단위단가"/>
      <sheetName val="1.설계조건"/>
      <sheetName val="유림골조"/>
      <sheetName val="공통부대비"/>
      <sheetName val="BQ"/>
      <sheetName val="결재난"/>
      <sheetName val="tggwan(mac)"/>
      <sheetName val="자재일람"/>
      <sheetName val="금액내역서"/>
      <sheetName val="방배동내역(리라)"/>
      <sheetName val="현장경비"/>
      <sheetName val="건축공사집계표"/>
      <sheetName val="방배동내역 (총괄)"/>
      <sheetName val="부대공사총괄"/>
      <sheetName val="lab"/>
      <sheetName val="만년달력"/>
      <sheetName val="우수"/>
      <sheetName val="부하계산서"/>
      <sheetName val="단가산출(T)"/>
      <sheetName val="날개벽(시점좌측)"/>
      <sheetName val="맨홀수량산출"/>
      <sheetName val="재료집계표"/>
      <sheetName val="단위중량"/>
      <sheetName val="파이프류"/>
      <sheetName val="인계"/>
      <sheetName val="경비2내역"/>
      <sheetName val="금리계산"/>
      <sheetName val="Temporary Mooring"/>
      <sheetName val="공문"/>
      <sheetName val="A LINE"/>
      <sheetName val="우석문틀"/>
      <sheetName val="SHL"/>
      <sheetName val="품셈TABLE"/>
      <sheetName val="2.대외공문"/>
      <sheetName val="U-TYPE(1)"/>
      <sheetName val="일반공사"/>
      <sheetName val="단위량당중기"/>
      <sheetName val="건설실행"/>
      <sheetName val="일위목록데이타"/>
      <sheetName val="설내역서 "/>
      <sheetName val="일위집계(기존)"/>
      <sheetName val="인원계획"/>
      <sheetName val="대로근거"/>
      <sheetName val="중로근거"/>
      <sheetName val="일위대가집계"/>
      <sheetName val="단가대비표"/>
      <sheetName val="N賃率-職"/>
      <sheetName val="원도급"/>
      <sheetName val="하도급"/>
      <sheetName val="초기화면"/>
      <sheetName val="RE9604"/>
      <sheetName val="코드"/>
      <sheetName val="경산"/>
      <sheetName val="여과지동"/>
      <sheetName val="기초자료"/>
      <sheetName val="격점별물량"/>
      <sheetName val="7.PILE  (돌출)"/>
      <sheetName val="일H35Y4"/>
      <sheetName val="식재가격"/>
      <sheetName val="식재총괄"/>
      <sheetName val="세부내역서"/>
      <sheetName val="기자재비"/>
      <sheetName val="교각계산"/>
      <sheetName val="700seg"/>
      <sheetName val="내역서2안"/>
      <sheetName val="1.취수장"/>
      <sheetName val="설계내역"/>
      <sheetName val="자동제어"/>
      <sheetName val="대치판정"/>
      <sheetName val="동천하상준설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갑지(추정)"/>
      <sheetName val="1.수인터널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6_ 안전관리비"/>
      <sheetName val="총 원가계산"/>
      <sheetName val=" 갑지"/>
      <sheetName val="계측기"/>
      <sheetName val="집 계 표"/>
      <sheetName val="CONCRETE"/>
      <sheetName val="원가계산서(변경)"/>
      <sheetName val="하중계산"/>
      <sheetName val="철근량"/>
      <sheetName val="돈암사업"/>
      <sheetName val="2.2_오피스텔(12~32F)"/>
      <sheetName val="1"/>
      <sheetName val="일위대가목록(ems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마산방향철근집계"/>
      <sheetName val="진주방향"/>
      <sheetName val="기성내역"/>
      <sheetName val="차수"/>
      <sheetName val="월별손익"/>
      <sheetName val="법면"/>
      <sheetName val="부대공"/>
      <sheetName val="구조물공"/>
      <sheetName val="포장공"/>
      <sheetName val="배수공1"/>
      <sheetName val="일위대가(가설)"/>
      <sheetName val="터널대가"/>
      <sheetName val="총괄"/>
      <sheetName val="기본일위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일위대가 집계표"/>
      <sheetName val="외주대비 -석축_x0000__x0000__x0000__x0000__x0000__x0012_[후다내역.XLS]견적표지 (3"/>
      <sheetName val="소방"/>
      <sheetName val="개산공사비"/>
      <sheetName val="인건비"/>
      <sheetName val="측량요율"/>
      <sheetName val="자재대"/>
      <sheetName val="점검총괄"/>
      <sheetName val="MODELING"/>
      <sheetName val="J直材4"/>
      <sheetName val="9.1지하2층하부보"/>
      <sheetName val="일용직6월"/>
      <sheetName val="골조"/>
      <sheetName val="Sheet1 (2)"/>
      <sheetName val="시중노임단가"/>
      <sheetName val="정렬"/>
      <sheetName val="기술부 VENDOR LIST"/>
      <sheetName val="현장별"/>
      <sheetName val="간접비"/>
      <sheetName val="양덕동"/>
      <sheetName val="입력"/>
      <sheetName val="일용직"/>
      <sheetName val="인천제철"/>
      <sheetName val="이형관중량"/>
      <sheetName val="일위대가(목록)"/>
      <sheetName val="산근(목록)"/>
      <sheetName val="기초단가"/>
      <sheetName val="입력데이타(비인쇄용)"/>
      <sheetName val="Code"/>
      <sheetName val="마산월령동골조물량변경"/>
      <sheetName val="환산"/>
      <sheetName val="자  재"/>
      <sheetName val="건축외주"/>
      <sheetName val="노원열병합  건축공사기성내역서"/>
      <sheetName val="케이블규격"/>
      <sheetName val="COVERSHEET"/>
      <sheetName val="할증 "/>
      <sheetName val="개인별 순위표"/>
      <sheetName val="CM 1"/>
      <sheetName val="전기실-1"/>
      <sheetName val="ROOF(ALKALI)"/>
      <sheetName val="중기조종사_단위단가"/>
      <sheetName val="단면_(2)"/>
      <sheetName val="BSD_(2)"/>
      <sheetName val="분전반"/>
      <sheetName val="COVER-P"/>
      <sheetName val="단계별내역 (2)"/>
      <sheetName val="데이타"/>
      <sheetName val="식재인부"/>
      <sheetName val="특별"/>
      <sheetName val="변경내역"/>
      <sheetName val="화전내"/>
      <sheetName val="70%"/>
      <sheetName val="일위총괄표"/>
      <sheetName val="현장일반사항"/>
      <sheetName val="제출내역 (2)"/>
      <sheetName val="호표"/>
      <sheetName val="소비자가"/>
      <sheetName val="수리결과"/>
      <sheetName val="임율산출표"/>
      <sheetName val="Print"/>
      <sheetName val="MATRLDATA"/>
      <sheetName val="터파기및재료"/>
      <sheetName val="퍼스트"/>
      <sheetName val="기안"/>
      <sheetName val="관개"/>
      <sheetName val="B"/>
      <sheetName val="선정요령"/>
      <sheetName val="252K444"/>
      <sheetName val="기계경비일람"/>
      <sheetName val="공통(20-91)"/>
      <sheetName val="기둥(원형)"/>
      <sheetName val="주요항목별"/>
      <sheetName val="2.2 띠장의 설계"/>
      <sheetName val="FACTOR"/>
      <sheetName val="일대"/>
      <sheetName val="증감대비"/>
      <sheetName val="말뚝지지력산정"/>
      <sheetName val="제수변수량"/>
      <sheetName val="일위1"/>
      <sheetName val="일위대가목록(기계)"/>
      <sheetName val="BOX 본체"/>
      <sheetName val="남양내역"/>
      <sheetName val="실행내역_원본"/>
      <sheetName val="골조시행"/>
      <sheetName val="총체"/>
      <sheetName val="4.일위대가"/>
      <sheetName val="단가삐출"/>
      <sheetName val="GEN"/>
      <sheetName val="주소"/>
      <sheetName val="MP MOB"/>
      <sheetName val="단중표"/>
      <sheetName val="방음벽기초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COVER"/>
      <sheetName val="플랜트 설치"/>
      <sheetName val="추가일위대가"/>
      <sheetName val="설비"/>
      <sheetName val="WING3"/>
      <sheetName val="4.2.1 마루높이 검토"/>
      <sheetName val="수량산출목록표"/>
      <sheetName val="관로분포도"/>
      <sheetName val=""/>
      <sheetName val="샘플표지"/>
      <sheetName val="s"/>
      <sheetName val="시운전연료비"/>
      <sheetName val="확약서"/>
      <sheetName val="보도경계블럭"/>
      <sheetName val="일집"/>
      <sheetName val="장비가동"/>
      <sheetName val="배수관공"/>
      <sheetName val="cctv예산대비"/>
      <sheetName val="라이닝폼예산대비내역"/>
      <sheetName val="옥외외등집계표"/>
      <sheetName val="메서,변+증"/>
      <sheetName val="명일작업계획 (3)"/>
      <sheetName val="횡배위치"/>
      <sheetName val="연결원본-절대지우지말것"/>
      <sheetName val="6호기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자동세륜기"/>
      <sheetName val="건축공사"/>
      <sheetName val="목록"/>
      <sheetName val="가격조사서"/>
      <sheetName val="TABLE DB"/>
      <sheetName val="쌍용 data base"/>
      <sheetName val="계정"/>
      <sheetName val="건축내역"/>
      <sheetName val="지원사무소원가배부내역"/>
      <sheetName val="중기사용료"/>
      <sheetName val="잔수량(작성)"/>
      <sheetName val="토목단가산출"/>
      <sheetName val="옥외배관기본공량"/>
      <sheetName val="대비2"/>
      <sheetName val="유림총괄"/>
      <sheetName val="감액총괄표"/>
      <sheetName val="사업개요"/>
      <sheetName val="현장관리비_입력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시설,관리하위"/>
      <sheetName val="단면치수"/>
      <sheetName val="대운반(철재)"/>
      <sheetName val="청주(철골발주의뢰서)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깨기"/>
      <sheetName val="흄관수량"/>
      <sheetName val="PROCURE"/>
      <sheetName val="우수공,맨홀,집수정"/>
      <sheetName val="기계경비"/>
      <sheetName val="간접1"/>
      <sheetName val="예산변경원인분석"/>
      <sheetName val="앵커(3안)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DATA_입력란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제출내역_(2)"/>
      <sheetName val="외주대비_-석축[후다내역_XLS]견적표지_(3"/>
      <sheetName val="4_일위대가"/>
      <sheetName val="플랜트_설치"/>
      <sheetName val="세골재  T2 변경 현황"/>
      <sheetName val="4동급수"/>
      <sheetName val="STEEL BOX 단면설계(SEC.8)"/>
      <sheetName val="소방사항"/>
      <sheetName val="품셈기준"/>
      <sheetName val="재료"/>
      <sheetName val="설치자재"/>
      <sheetName val="6.이토처리시간"/>
      <sheetName val="가설건물"/>
      <sheetName val="성토도수로현황"/>
      <sheetName val="원가서"/>
      <sheetName val="조건"/>
      <sheetName val="전 체"/>
      <sheetName val="일위집계"/>
      <sheetName val="내역(설계)"/>
      <sheetName val="VE절감"/>
      <sheetName val="unit 4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가로등내역서"/>
      <sheetName val="내역서(토목)"/>
      <sheetName val="미납품 현황"/>
      <sheetName val="신설개소별 총집계표(동해-배전)"/>
      <sheetName val="SSMITM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갑지"/>
      <sheetName val="내역서"/>
      <sheetName val="#REF"/>
      <sheetName val="실행내역"/>
      <sheetName val="입찰안"/>
      <sheetName val="직노"/>
      <sheetName val="시행결의을"/>
      <sheetName val="연부97-1"/>
      <sheetName val="금융비용"/>
      <sheetName val="현장"/>
      <sheetName val="공사개요"/>
      <sheetName val="개요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설계내역서"/>
      <sheetName val="1F"/>
      <sheetName val="실행철강하도"/>
      <sheetName val="인사자료총집계"/>
      <sheetName val="차액보증"/>
      <sheetName val="실행내역"/>
      <sheetName val="Y-WORK"/>
      <sheetName val="1차 내역서"/>
      <sheetName val="공종별집계표"/>
      <sheetName val="기아대교"/>
      <sheetName val="토목주소"/>
      <sheetName val="프랜트면허"/>
      <sheetName val="BID"/>
      <sheetName val="설계"/>
      <sheetName val="월별수입"/>
      <sheetName val="약품공급2"/>
      <sheetName val="공사개요"/>
      <sheetName val="일위대가"/>
      <sheetName val="견적서"/>
      <sheetName val="노임"/>
      <sheetName val="단가표"/>
      <sheetName val="일위대가(계측기설치)"/>
      <sheetName val="품셈TABLE"/>
      <sheetName val="관급"/>
      <sheetName val="실행(ALT1)"/>
      <sheetName val="분전반"/>
      <sheetName val="잡철물"/>
      <sheetName val="EJ"/>
      <sheetName val="조명율표"/>
      <sheetName val="내역서"/>
      <sheetName val="금호"/>
      <sheetName val="갑지"/>
      <sheetName val="동원인원계획표"/>
      <sheetName val="9GNG운반"/>
      <sheetName val="1.수인터널"/>
      <sheetName val="#REF"/>
      <sheetName val="용소리교"/>
      <sheetName val="토공"/>
      <sheetName val="준공조서갑지"/>
      <sheetName val="할증 "/>
      <sheetName val="설 계"/>
      <sheetName val="협조전"/>
      <sheetName val="단가"/>
      <sheetName val="1호맨홀수량산출"/>
      <sheetName val="단가비교표_공통1"/>
      <sheetName val="정부노임단가"/>
      <sheetName val="DATE"/>
      <sheetName val="전기공사"/>
      <sheetName val="조명시설"/>
      <sheetName val="2.대외공문"/>
      <sheetName val="현대물량"/>
      <sheetName val="sw1"/>
      <sheetName val="NOMUBI"/>
      <sheetName val="Total"/>
      <sheetName val="6PILE  (돌출)"/>
      <sheetName val="골조"/>
      <sheetName val="종배수관"/>
      <sheetName val="간접경상비"/>
      <sheetName val="품목"/>
      <sheetName val="본공사"/>
      <sheetName val="8.PILE  (돌출)"/>
      <sheetName val="정렬"/>
      <sheetName val="산출내역서"/>
      <sheetName val="98수문일위"/>
      <sheetName val="견적사양비교표"/>
      <sheetName val="당진1,2호기전선관설치및접지4차공사내역서-을지"/>
      <sheetName val="공사설명서"/>
      <sheetName val="을지"/>
      <sheetName val="I一般比"/>
      <sheetName val="참조자료"/>
      <sheetName val="품셈표"/>
      <sheetName val="Sheet1"/>
      <sheetName val="BSD (2)"/>
      <sheetName val="JUCKEYK"/>
      <sheetName val="원가계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입찰안"/>
      <sheetName val="준검 내역서"/>
      <sheetName val="신공항A-9(원가수정)"/>
      <sheetName val="저"/>
      <sheetName val="실행철강하도"/>
      <sheetName val="차액보증"/>
      <sheetName val="정부노임단가"/>
      <sheetName val="공사개요"/>
      <sheetName val="갑지"/>
      <sheetName val="산출내역서"/>
      <sheetName val="주차구획선수량"/>
      <sheetName val="내역서"/>
      <sheetName val="자재단가비교표"/>
      <sheetName val="개요"/>
      <sheetName val="부대tu"/>
      <sheetName val="일위대가"/>
      <sheetName val="#REF"/>
      <sheetName val="내역"/>
      <sheetName val="가도공"/>
      <sheetName val="A-4"/>
      <sheetName val="변경비교-을"/>
      <sheetName val="6공구(당초)"/>
      <sheetName val="품의서"/>
      <sheetName val="금호"/>
      <sheetName val="데리네이타현황"/>
      <sheetName val="하조서"/>
      <sheetName val="한강운반비"/>
      <sheetName val="목차"/>
      <sheetName val="노임단가"/>
      <sheetName val="서∼군(2)"/>
      <sheetName val="도급"/>
      <sheetName val="일위대가표"/>
      <sheetName val="98NS-N"/>
      <sheetName val="3차준공"/>
      <sheetName val="토적집계"/>
      <sheetName val="SP-B1"/>
      <sheetName val="재개발"/>
      <sheetName val="1.수인터널"/>
      <sheetName val="SG"/>
      <sheetName val="낙찰표"/>
      <sheetName val="45,46"/>
      <sheetName val="후다내역"/>
      <sheetName val="2.대외공문"/>
      <sheetName val="공업용수관로"/>
      <sheetName val="소야공정계획표"/>
      <sheetName val="BID"/>
      <sheetName val="기초코드"/>
      <sheetName val="을"/>
      <sheetName val="입적표"/>
      <sheetName val="실행대비"/>
      <sheetName val="시공여유율"/>
      <sheetName val="SANTOGO"/>
      <sheetName val="건축내역"/>
      <sheetName val="공제구간조서"/>
      <sheetName val="설계예산서"/>
      <sheetName val="설계"/>
      <sheetName val="보할"/>
      <sheetName val="접속도로1"/>
      <sheetName val="대로근거"/>
      <sheetName val="토목주소"/>
      <sheetName val="0.0ControlSheet"/>
      <sheetName val="0.1keyAssumption"/>
      <sheetName val="Total"/>
      <sheetName val="갑지(추정)"/>
      <sheetName val="물가시세"/>
      <sheetName val="총괄-1"/>
      <sheetName val="AS포장복구 "/>
      <sheetName val="Dae_Jiju"/>
      <sheetName val="Sikje_ingun"/>
      <sheetName val="TREE_D"/>
      <sheetName val="eq_data"/>
      <sheetName val="일위(토목)"/>
      <sheetName val="부대내역"/>
      <sheetName val="초기화면"/>
      <sheetName val="6PILE  (돌출)"/>
      <sheetName val="98지급계획"/>
      <sheetName val="특수선일위대가"/>
      <sheetName val="대비"/>
      <sheetName val="기본단가"/>
      <sheetName val="설 계"/>
      <sheetName val="경비"/>
      <sheetName val="2000년1차"/>
      <sheetName val="건축내역서"/>
      <sheetName val="자재단가"/>
      <sheetName val="단가비교표"/>
      <sheetName val="단가산출서"/>
      <sheetName val="원형1호맨홀토공수량"/>
      <sheetName val="입력시트"/>
      <sheetName val="장비집계"/>
      <sheetName val="지주설치제원"/>
      <sheetName val="결과조달"/>
      <sheetName val="중로근거"/>
      <sheetName val="원본(갑지)"/>
      <sheetName val="전기공사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내역(최종본4.5)"/>
      <sheetName val="DATA"/>
      <sheetName val="공통가설"/>
      <sheetName val="실행내역"/>
      <sheetName val="입찰품의서"/>
      <sheetName val="단"/>
      <sheetName val="전체_1설계"/>
      <sheetName val="수로단위수량"/>
      <sheetName val="DATE"/>
      <sheetName val="N賃率-職"/>
      <sheetName val="공사비총괄표"/>
      <sheetName val="실행내역서"/>
      <sheetName val="배수통관(좌)"/>
      <sheetName val="공문(신)"/>
      <sheetName val="토사(PE)"/>
      <sheetName val="입찰"/>
      <sheetName val="현경"/>
      <sheetName val="가시설"/>
      <sheetName val="경영혁신본부"/>
      <sheetName val="준공조서갑지"/>
      <sheetName val="입출재고현황 (2)"/>
      <sheetName val="수문일1"/>
      <sheetName val="을지"/>
      <sheetName val="관일"/>
      <sheetName val="흥양2교토공집계표"/>
      <sheetName val="표지"/>
      <sheetName val="시화점실행"/>
      <sheetName val="맨홀수량"/>
      <sheetName val="하수급견적대비"/>
      <sheetName val="광산내역"/>
      <sheetName val="type-F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9GNG운반"/>
      <sheetName val="2000년하반기"/>
      <sheetName val="여과지동"/>
      <sheetName val="기초자료"/>
      <sheetName val="현장관리"/>
      <sheetName val="일위대가(1)"/>
      <sheetName val="건집"/>
      <sheetName val="기집"/>
      <sheetName val="토집"/>
      <sheetName val="조집"/>
      <sheetName val="토공사"/>
      <sheetName val="횡배수관토공수량"/>
      <sheetName val="ELECTRIC"/>
      <sheetName val="기성신청"/>
      <sheetName val="연결임시"/>
      <sheetName val="전기일위대가"/>
      <sheetName val="신대방33(적용)"/>
      <sheetName val="구의33고"/>
      <sheetName val="직노"/>
      <sheetName val="일위대가(가설)"/>
      <sheetName val="물량표"/>
      <sheetName val="공사"/>
      <sheetName val="TYPE-A"/>
      <sheetName val="수량산출"/>
      <sheetName val="강교(Sub)"/>
      <sheetName val="몰탈재료산출"/>
      <sheetName val="ABUT수량-A1"/>
      <sheetName val="BJJIN"/>
      <sheetName val="총괄내역서"/>
      <sheetName val="위치조서"/>
      <sheetName val="4.내진설계"/>
      <sheetName val="총괄"/>
      <sheetName val="2000전체분"/>
      <sheetName val="간접비"/>
      <sheetName val="자재일람"/>
      <sheetName val="1.취수장"/>
      <sheetName val="가로등내역서"/>
      <sheetName val="TB-내역서"/>
      <sheetName val="전차선로 물량표"/>
      <sheetName val="자재"/>
      <sheetName val="공통(20-91)"/>
      <sheetName val="wall"/>
      <sheetName val="기계내역"/>
      <sheetName val="BSD (2)"/>
      <sheetName val="제잡비.xls"/>
      <sheetName val="배관단가조사서"/>
      <sheetName val="노원열병합  건축공사기성내역서"/>
      <sheetName val="토목내역"/>
      <sheetName val="APT"/>
      <sheetName val="부하(성남)"/>
      <sheetName val="부하계산서"/>
      <sheetName val="STAND20"/>
      <sheetName val="nys"/>
      <sheetName val="전신"/>
      <sheetName val="수량조서"/>
      <sheetName val="1_수인터널"/>
      <sheetName val="6PILE__(돌출)"/>
      <sheetName val="2_대외공문"/>
      <sheetName val="설_계"/>
      <sheetName val="AS포장복구_"/>
      <sheetName val="인건비"/>
      <sheetName val="설계예산"/>
      <sheetName val="충주"/>
      <sheetName val="구천"/>
      <sheetName val="교각1"/>
      <sheetName val="일위대가(계측기설치)"/>
      <sheetName val="현대물량"/>
      <sheetName val="단면가정"/>
      <sheetName val="설계조건"/>
      <sheetName val="부재력정리"/>
      <sheetName val="최초침전지집계표"/>
      <sheetName val="4)유동표"/>
      <sheetName val="CONCRETE"/>
      <sheetName val="전신환매도율"/>
      <sheetName val="설직재-1"/>
      <sheetName val="I一般比"/>
      <sheetName val="EQUIP-H"/>
      <sheetName val="코드표"/>
      <sheetName val="손익현황"/>
      <sheetName val="현황CODE"/>
      <sheetName val="교대(A1)"/>
      <sheetName val="6호기"/>
      <sheetName val="수자재단위당"/>
      <sheetName val="자재목록"/>
      <sheetName val="중기목록"/>
      <sheetName val="단가목록"/>
      <sheetName val="일위목록"/>
      <sheetName val="노임목록"/>
      <sheetName val="원가계산서"/>
      <sheetName val="견적서"/>
      <sheetName val="현장별계약현황('98.10.31)"/>
      <sheetName val="금액내역서"/>
      <sheetName val="세부내역"/>
      <sheetName val="설계내역서"/>
      <sheetName val="96보완계획7.12"/>
      <sheetName val="관급"/>
      <sheetName val="1. 설계조건 2.단면가정 3. 하중계산"/>
      <sheetName val="DATA 입력란"/>
      <sheetName val="적용대가"/>
      <sheetName val="인건비 "/>
      <sheetName val="3BL공동구 수량"/>
      <sheetName val="공종별산출내역서"/>
      <sheetName val="산출내역서집계표"/>
      <sheetName val="집계표(OPTION)"/>
      <sheetName val="MOTOR"/>
      <sheetName val="물집"/>
      <sheetName val="플랜트 설치"/>
      <sheetName val="실행내역서 "/>
      <sheetName val="화설내"/>
      <sheetName val="자재집계표"/>
      <sheetName val="부대입찰 내역서"/>
      <sheetName val="도급b_balju"/>
      <sheetName val="원가서"/>
      <sheetName val="200"/>
      <sheetName val="중기일위대가"/>
      <sheetName val="가격조사서"/>
      <sheetName val="교각계산"/>
      <sheetName val="조명시설"/>
      <sheetName val="단가"/>
      <sheetName val="철거산출근거"/>
      <sheetName val="노임이"/>
      <sheetName val="세금자료"/>
      <sheetName val="뚝토공"/>
      <sheetName val="토공(우물통,기타) "/>
      <sheetName val="명단"/>
      <sheetName val="인사자료총집계"/>
      <sheetName val=" 총괄표"/>
      <sheetName val="포장단면별단위수량"/>
      <sheetName val="2.고용보험료산출근거"/>
      <sheetName val="공사비예산서(토목분)"/>
      <sheetName val="원가계산 (2)"/>
      <sheetName val="포장공자재집계표"/>
      <sheetName val="골조시행"/>
      <sheetName val="단가조사"/>
      <sheetName val="Eq. Mobilization"/>
      <sheetName val="Y-WORK"/>
      <sheetName val="프랜트면허"/>
      <sheetName val="1.설계조건"/>
      <sheetName val="음료실행"/>
      <sheetName val="_REF"/>
      <sheetName val="s"/>
      <sheetName val="수량3"/>
      <sheetName val="확약서"/>
      <sheetName val="선정요령"/>
      <sheetName val="연습"/>
      <sheetName val="내역(최종본4_5)"/>
      <sheetName val="0_0ControlSheet"/>
      <sheetName val="0_1keyAssumption"/>
      <sheetName val="Front"/>
      <sheetName val="노무비"/>
      <sheetName val="건축집계"/>
      <sheetName val="현장관리비"/>
      <sheetName val="경영상태"/>
      <sheetName val="건축내역(진해석동)"/>
      <sheetName val="주경기-오배수"/>
      <sheetName val="실행간접비용"/>
      <sheetName val="보고"/>
      <sheetName val="COPING"/>
      <sheetName val="설계서"/>
      <sheetName val="예산서"/>
      <sheetName val="총공사비"/>
      <sheetName val="0Title"/>
      <sheetName val="일위(PN)"/>
      <sheetName val="집계"/>
      <sheetName val="날개벽(시점좌측)"/>
      <sheetName val="투찰(하수)"/>
      <sheetName val="전라자금"/>
      <sheetName val="b_yesan"/>
      <sheetName val="하중"/>
      <sheetName val="배수내역"/>
      <sheetName val="팔당터널(1공구)"/>
      <sheetName val="J直材4"/>
      <sheetName val="F4-F7"/>
      <sheetName val="장비당단가 (1)"/>
      <sheetName val="Sheet2 (2)"/>
      <sheetName val="업무"/>
      <sheetName val="Type(123)"/>
      <sheetName val="1.설계기준"/>
      <sheetName val="수량산출서"/>
      <sheetName val="98수문일위"/>
      <sheetName val="내역서01"/>
      <sheetName val="97년 추정"/>
      <sheetName val="현장관리비 산출내역"/>
      <sheetName val="실행(ALT1)"/>
      <sheetName val="정보"/>
      <sheetName val="VXXXXXXX"/>
      <sheetName val="건설성적"/>
      <sheetName val="증감내역서"/>
      <sheetName val="전기단가조사서"/>
      <sheetName val="산수배수"/>
      <sheetName val="집계표(수배전제조구매)"/>
      <sheetName val="종단계산"/>
      <sheetName val="입적6-10"/>
      <sheetName val="공량산출서"/>
      <sheetName val="JUCKEYK"/>
      <sheetName val="건축-물가변동"/>
      <sheetName val="품셈TABLE"/>
      <sheetName val="현황산출서"/>
      <sheetName val="견적대비표"/>
      <sheetName val="단가(반정1교-원주)"/>
      <sheetName val="주요자재단가"/>
      <sheetName val="각형맨홀"/>
      <sheetName val="본공사"/>
      <sheetName val="S0"/>
      <sheetName val="자금청구"/>
      <sheetName val="DC-O-4-S(설명서)"/>
      <sheetName val="평균터파기고(1-2,ASP)"/>
      <sheetName val="프라임 강변역(4,236)"/>
      <sheetName val="마산방향"/>
      <sheetName val="경비2내역"/>
      <sheetName val="INPUT(덕도방향-시점)"/>
      <sheetName val="CPM챠트"/>
      <sheetName val="지우지마"/>
      <sheetName val="토목"/>
      <sheetName val="설계기준"/>
      <sheetName val="내역1"/>
      <sheetName val="내   역"/>
      <sheetName val="날개벽"/>
      <sheetName val="국내"/>
      <sheetName val="우석문틀"/>
      <sheetName val="Sheet9"/>
      <sheetName val="설계명세서"/>
      <sheetName val="예산M6-B"/>
      <sheetName val="AB자재단가"/>
      <sheetName val="견적을지"/>
      <sheetName val="장비별표(오거보링)(Ø400)(12M)"/>
      <sheetName val="신공항A-;(원가수정)"/>
      <sheetName val="기계경비"/>
      <sheetName val="발주설계서(당초)"/>
      <sheetName val="IW-LIST"/>
      <sheetName val="3F"/>
      <sheetName val="ITEM"/>
      <sheetName val="앵커구조계산"/>
      <sheetName val="집 계 표"/>
      <sheetName val="비교1"/>
      <sheetName val="콤보박스와 리스트박스의 연결"/>
      <sheetName val="유형처분"/>
      <sheetName val="설-원가"/>
      <sheetName val="건축적용원가계산"/>
      <sheetName val="상세산출"/>
      <sheetName val="적현로"/>
      <sheetName val="진주방향"/>
      <sheetName val="수토공단위당"/>
      <sheetName val="TOT"/>
      <sheetName val="밸브설치"/>
      <sheetName val="TEST1"/>
      <sheetName val="수량집계표"/>
      <sheetName val="횡배수관"/>
      <sheetName val="부안일위"/>
      <sheetName val="모래기초"/>
      <sheetName val="공정표 "/>
      <sheetName val="전체ﾴ엿서"/>
      <sheetName val="시중노임단가"/>
      <sheetName val="S12"/>
      <sheetName val="50-4(2차)"/>
      <sheetName val="건축공사"/>
      <sheetName val="배수공"/>
      <sheetName val="5.2코핑"/>
      <sheetName val="수 량 명 세 서 - 1"/>
      <sheetName val="구조물터파기수량집계"/>
      <sheetName val="측구터파기공수량집계"/>
      <sheetName val="배수공 시멘트 및 골재량 산출"/>
      <sheetName val="부대공Ⅱ"/>
      <sheetName val="지급자재"/>
      <sheetName val="7.PILE  (돌출)"/>
      <sheetName val="기초(1)"/>
      <sheetName val="세부내역서"/>
      <sheetName val="P.M 별"/>
      <sheetName val="예산내역서"/>
      <sheetName val="수입"/>
      <sheetName val="산출근거"/>
      <sheetName val="1호맨홀수량산출"/>
      <sheetName val="관련자료입력"/>
      <sheetName val="견적조건"/>
      <sheetName val="참조"/>
      <sheetName val="구조물철거타공정이월"/>
      <sheetName val="총집계표"/>
      <sheetName val="철근단면적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맨홀(2호)"/>
      <sheetName val="덕전리"/>
      <sheetName val="예산총괄표"/>
      <sheetName val="재료비"/>
      <sheetName val="대림경상68억"/>
      <sheetName val="8.PILE  (돌출)"/>
      <sheetName val="공사비산출내역"/>
      <sheetName val="신우"/>
      <sheetName val="울산자금"/>
      <sheetName val="機器明細(MC)"/>
      <sheetName val="변경후원본2"/>
      <sheetName val="강북라우터"/>
      <sheetName val="공사분석"/>
      <sheetName val="2000년 공정표"/>
      <sheetName val="입찰보고"/>
      <sheetName val="대우"/>
      <sheetName val="마산월령동골조물량변경"/>
      <sheetName val="FB25JN"/>
      <sheetName val="전기"/>
      <sheetName val="데이타"/>
      <sheetName val="sw1"/>
      <sheetName val="1맨AO"/>
      <sheetName val="산출기준(파견전산실)"/>
      <sheetName val="실행(표지,갑,을)"/>
      <sheetName val="일위대가목차"/>
      <sheetName val="간접"/>
      <sheetName val="연부97-1"/>
      <sheetName val="2.교량(신설)"/>
      <sheetName val="내역분기"/>
      <sheetName val="별표 "/>
      <sheetName val="설내역서 "/>
      <sheetName val="구분자"/>
      <sheetName val="광통신 견적내역서1"/>
      <sheetName val="할증 "/>
      <sheetName val="전기실-1"/>
      <sheetName val="잡철물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작성기준"/>
      <sheetName val="단중"/>
      <sheetName val="금융비용"/>
      <sheetName val="8)중점관리장비현황"/>
      <sheetName val="돈암사업"/>
      <sheetName val="효율표"/>
      <sheetName val="전체기준Data"/>
      <sheetName val="사통"/>
      <sheetName val="파이프류"/>
      <sheetName val="DATA 입력부"/>
      <sheetName val="A"/>
      <sheetName val="식재수량표"/>
      <sheetName val="식재일위"/>
      <sheetName val="깨기"/>
      <sheetName val="영업소실적"/>
      <sheetName val="TBN실행"/>
      <sheetName val="지중자재단가"/>
      <sheetName val="SF내역및원가02"/>
      <sheetName val="EQUIP LIST"/>
      <sheetName val="코드"/>
      <sheetName val="간접경상비"/>
      <sheetName val="보도경계블럭"/>
      <sheetName val="아파트-가설"/>
      <sheetName val="일위대가목록"/>
      <sheetName val="base"/>
      <sheetName val="CALCULATION"/>
      <sheetName val="경상비"/>
      <sheetName val="역T형"/>
      <sheetName val="9-1차이내역"/>
      <sheetName val="96노임기준"/>
      <sheetName val="CIP 공사"/>
      <sheetName val="공통부대비"/>
      <sheetName val="공통가설공사"/>
      <sheetName val="샘플표지"/>
      <sheetName val="1차설계변경내역"/>
      <sheetName val="포설list원본"/>
      <sheetName val="차수"/>
      <sheetName val="본부장"/>
      <sheetName val="현장별"/>
      <sheetName val="설계변경내역서"/>
      <sheetName val="원가계산"/>
      <sheetName val="남양내역"/>
      <sheetName val="위생기구"/>
      <sheetName val="기계실냉난방"/>
      <sheetName val="식재"/>
      <sheetName val="시설물"/>
      <sheetName val="식재출력용"/>
      <sheetName val="유지관리"/>
      <sheetName val="출장내역"/>
      <sheetName val="CTEMCOST"/>
      <sheetName val="토량1-1"/>
      <sheetName val="유림골조"/>
      <sheetName val="PI"/>
      <sheetName val="직공비"/>
      <sheetName val="NOMUBI"/>
      <sheetName val="벽체면적당일위대가"/>
      <sheetName val="소비자가"/>
      <sheetName val="Baby일위대가"/>
      <sheetName val="조건"/>
      <sheetName val="중기가격"/>
      <sheetName val="주식"/>
      <sheetName val="상수도토공집계표"/>
      <sheetName val="남양시작동010313100%"/>
      <sheetName val="단가표"/>
      <sheetName val="5사남"/>
      <sheetName val="원본"/>
      <sheetName val="BREAKDOWN(철거설치)"/>
      <sheetName val="일반수량"/>
      <sheetName val="4.경비 5.영업외수지"/>
      <sheetName val="전체"/>
      <sheetName val="TS"/>
      <sheetName val="지급어음"/>
      <sheetName val="최종보고1"/>
      <sheetName val=" 견적서"/>
      <sheetName val="Input"/>
      <sheetName val="3월"/>
      <sheetName val="CJE"/>
      <sheetName val="choose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업무분장"/>
      <sheetName val="내역서변경성원"/>
      <sheetName val="울산자동제어"/>
      <sheetName val="일위_파일"/>
      <sheetName val="일반부표"/>
      <sheetName val="견적의뢰서"/>
      <sheetName val="현장일반사항"/>
      <sheetName val="표지 (2)"/>
      <sheetName val="명세서"/>
      <sheetName val="수량산출서 갑지"/>
      <sheetName val="마감사양"/>
      <sheetName val="기본사항"/>
      <sheetName val="유림콘도"/>
      <sheetName val="내역서당초"/>
      <sheetName val="평3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내역서(전기)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Macro(전동기)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Sheet1_(2)"/>
      <sheetName val="현금흐름"/>
      <sheetName val="1안"/>
      <sheetName val="기계경비일람"/>
      <sheetName val="배명(단가)"/>
      <sheetName val="형틀공사"/>
      <sheetName val="Mc1"/>
      <sheetName val="배수관공"/>
      <sheetName val="측구공"/>
      <sheetName val="산출금액내역"/>
      <sheetName val="건축토목실행내역"/>
      <sheetName val="동원(3)"/>
      <sheetName val="C-노임단가"/>
      <sheetName val="1.본부별"/>
      <sheetName val="수목단가"/>
      <sheetName val="시설수량표"/>
      <sheetName val="000000"/>
      <sheetName val="guard(mac)"/>
      <sheetName val="변경후-SHEET"/>
      <sheetName val="말고개터널조명전압강하"/>
      <sheetName val="2000.05"/>
      <sheetName val="기흥하도용"/>
      <sheetName val="cable-data"/>
      <sheetName val="노무비산출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토목품셈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FI원가_1"/>
      <sheetName val="시운전연료"/>
      <sheetName val="포장공"/>
      <sheetName val="구조물"/>
      <sheetName val="근로자자료입력"/>
      <sheetName val="참고자료"/>
      <sheetName val="1차3회-개소별명세서-빨간색-인쇄용(21873)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#3E1_GCR"/>
      <sheetName val="소소총괄표"/>
      <sheetName val="1공구_건정토건_토공2"/>
      <sheetName val="1.3.1절점좌표"/>
      <sheetName val="1.1설계기준"/>
      <sheetName val="기본DATA"/>
      <sheetName val="구단"/>
      <sheetName val="기초입력 DATA"/>
      <sheetName val="원가"/>
      <sheetName val="입찰내역"/>
      <sheetName val="적용토목"/>
      <sheetName val="식재인부"/>
      <sheetName val="평자재단가"/>
      <sheetName val="분전반일위대가"/>
      <sheetName val="첨부1-1"/>
      <sheetName val="빙설"/>
      <sheetName val="본사인상전"/>
      <sheetName val="4.장비손료"/>
      <sheetName val="1F"/>
      <sheetName val="설계내역"/>
      <sheetName val="49일위"/>
      <sheetName val="22일위"/>
      <sheetName val="10동"/>
      <sheetName val="제거식EA"/>
      <sheetName val="database"/>
      <sheetName val="기둥(원형)"/>
      <sheetName val="XL4Poppy"/>
      <sheetName val="조명일위"/>
      <sheetName val="NAIL단가산출"/>
      <sheetName val="설계명세"/>
      <sheetName val="단중표"/>
      <sheetName val="내부마감"/>
      <sheetName val="SUB일위대가"/>
      <sheetName val="교각"/>
      <sheetName val="단양 00 아파트-세부내역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단위수량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소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예산M12A"/>
      <sheetName val="70%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공문"/>
      <sheetName val="현장지지물물량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부산제일극장"/>
      <sheetName val="수주현황2월"/>
      <sheetName val="개산공사비"/>
      <sheetName val="공통자료"/>
      <sheetName val="안전시설내역서"/>
      <sheetName val="총공사내역서"/>
      <sheetName val="배수문"/>
      <sheetName val="간접재료비산출표-27-30"/>
      <sheetName val="바닥판"/>
      <sheetName val="쌍송교"/>
      <sheetName val="인원현황"/>
      <sheetName val="시설물기초"/>
      <sheetName val="식재일위대가"/>
      <sheetName val="기초일위대가"/>
      <sheetName val="단가대비표"/>
      <sheetName val="이자율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손익분석"/>
      <sheetName val="1-1호"/>
      <sheetName val="정부노임"/>
      <sheetName val="품셈(기초)"/>
      <sheetName val="Sheet14"/>
      <sheetName val="Sheet13"/>
      <sheetName val="전계가"/>
      <sheetName val="방송(체육관)"/>
      <sheetName val="증감분석"/>
      <sheetName val="입력값"/>
      <sheetName val="설계기준 및 하중계산"/>
      <sheetName val="2004노형교"/>
      <sheetName val="기기리스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시멘트"/>
      <sheetName val="공통가설"/>
      <sheetName val="FURNITURE-01"/>
      <sheetName val="점수계산1-2"/>
      <sheetName val="I一般比"/>
      <sheetName val="입찰안"/>
      <sheetName val="SUMMARY"/>
      <sheetName val="PAINT"/>
      <sheetName val="추가예산"/>
      <sheetName val="토목주소"/>
      <sheetName val="프랜트면허"/>
      <sheetName val="Customer Databas"/>
      <sheetName val="공사비집계"/>
      <sheetName val="목표세부명세"/>
      <sheetName val="45,46"/>
      <sheetName val="현금흐름"/>
      <sheetName val="인건비"/>
      <sheetName val="수입"/>
      <sheetName val="A-4"/>
      <sheetName val="공문"/>
      <sheetName val="상가지급현황"/>
      <sheetName val="교각1"/>
      <sheetName val="Sheet5"/>
      <sheetName val="내역"/>
      <sheetName val="음료실행"/>
      <sheetName val="갑지(추정)"/>
      <sheetName val="ITEM"/>
      <sheetName val="인사자료총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개요"/>
      <sheetName val="Ext. Stone-P"/>
      <sheetName val="FURNITURE-01"/>
      <sheetName val="시화점실행"/>
      <sheetName val="천안IP공장자100노100물량110할증"/>
      <sheetName val="Sheet5"/>
      <sheetName val="Girder"/>
      <sheetName val="공문"/>
      <sheetName val="토목주소"/>
      <sheetName val="프랜트면허"/>
      <sheetName val="플랜트 설치"/>
      <sheetName val="입찰안"/>
      <sheetName val="INPUT"/>
      <sheetName val="BSD (2)"/>
      <sheetName val="#REF"/>
      <sheetName val="정부노임단가"/>
      <sheetName val="인사자료총집계"/>
      <sheetName val="I一般比"/>
      <sheetName val="ETC"/>
      <sheetName val="갑지(추정)"/>
      <sheetName val="기본DATA"/>
      <sheetName val="CAT_5"/>
      <sheetName val="ITEM"/>
      <sheetName val="DATE"/>
      <sheetName val="갑지"/>
      <sheetName val="GAEYOXLS"/>
      <sheetName val="노임이"/>
      <sheetName val="직노"/>
      <sheetName val="추가예산"/>
      <sheetName val="APT"/>
      <sheetName val="부속동"/>
      <sheetName val="제출견적(을)"/>
      <sheetName val="6호기"/>
      <sheetName val="집행갑지"/>
      <sheetName val="내역서"/>
      <sheetName val="Parts"/>
      <sheetName val="Menu A"/>
      <sheetName val="간접경상비"/>
      <sheetName val="경제성분석"/>
      <sheetName val="공사개요"/>
      <sheetName val="매입세율"/>
      <sheetName val="광혁기성"/>
      <sheetName val="FB25JN"/>
      <sheetName val="원부자재"/>
      <sheetName val="갑지1"/>
      <sheetName val="양수장(기계)"/>
      <sheetName val="45,46"/>
      <sheetName val="일위대가"/>
      <sheetName val="SUMMARY"/>
      <sheetName val="PAINT"/>
      <sheetName val="소요자재"/>
      <sheetName val="노무산출서"/>
      <sheetName val="데이타"/>
      <sheetName val="식재인부"/>
      <sheetName val="공정코드"/>
      <sheetName val="예비품"/>
      <sheetName val="COMPOHP (2)"/>
      <sheetName val="Y-WORK"/>
      <sheetName val="대리점판정"/>
      <sheetName val="XZLC004_PART2"/>
      <sheetName val="sw1"/>
      <sheetName val="NOMUBI"/>
      <sheetName val="기존단가 (2)"/>
      <sheetName val="BID"/>
      <sheetName val="식재총괄"/>
      <sheetName val="기존"/>
      <sheetName val="단가산출1"/>
      <sheetName val="설계조건"/>
      <sheetName val="전신환매도율"/>
      <sheetName val="chitimc"/>
      <sheetName val="적용률"/>
      <sheetName val="차액보증"/>
      <sheetName val="1공구산출내역서"/>
      <sheetName val="plan&amp;section of foundation"/>
      <sheetName val="design criteria"/>
      <sheetName val="Total"/>
      <sheetName val="포장복구집계"/>
      <sheetName val="EQUIPMENT -2"/>
      <sheetName val="ABUT수량-A1"/>
      <sheetName val="건축집계"/>
      <sheetName val="설 계"/>
      <sheetName val="입출재고현황 (2)"/>
      <sheetName val="PANEL"/>
      <sheetName val="재료율"/>
      <sheetName val="4)유동표"/>
      <sheetName val="Sheet1 (2)"/>
      <sheetName val="일위"/>
      <sheetName val="잡비"/>
      <sheetName val="코드"/>
      <sheetName val="목표세부명세"/>
      <sheetName val="설계내역서"/>
      <sheetName val="9GNG운반"/>
      <sheetName val="기존단가_(2)"/>
      <sheetName val="Ext__Stone-P"/>
      <sheetName val="플랜트_설치"/>
      <sheetName val="BSD_(2)"/>
      <sheetName val="Menu_A"/>
      <sheetName val="연부97-1"/>
      <sheetName val="연돌일위집계"/>
      <sheetName val="실행내역서 "/>
      <sheetName val="연습"/>
      <sheetName val="원가계산"/>
      <sheetName val="콘크리트타설집계표"/>
      <sheetName val="횡배수관토공수량"/>
      <sheetName val="내역"/>
      <sheetName val="TOTAL1"/>
      <sheetName val="예산"/>
      <sheetName val="실행철강하도"/>
      <sheetName val="Curves"/>
      <sheetName val="Tables"/>
      <sheetName val="A-4"/>
      <sheetName val="노원열병합  건축공사기성내역서"/>
      <sheetName val="단위세대물량"/>
      <sheetName val="PROJECT BRIEF(EX.NEW)"/>
      <sheetName val="C_d"/>
      <sheetName val="을"/>
      <sheetName val="EJ"/>
      <sheetName val="BSD _2_"/>
      <sheetName val="일반부표"/>
      <sheetName val="6동"/>
      <sheetName val="기안지"/>
      <sheetName val="금융"/>
      <sheetName val="기흥하도용"/>
      <sheetName val="Customer Databas"/>
      <sheetName val="N賃率-職"/>
      <sheetName val="Raw Data"/>
      <sheetName val="업무분장"/>
      <sheetName val="집계표"/>
      <sheetName val="01"/>
      <sheetName val="DATA"/>
      <sheetName val="가압장(토목)"/>
      <sheetName val="금액"/>
      <sheetName val="교통대책내역"/>
      <sheetName val="품셈TABLE"/>
      <sheetName val="청천내"/>
      <sheetName val="품종별-이름"/>
      <sheetName val="전계가"/>
      <sheetName val="소방사항"/>
      <sheetName val="산#3-2-2"/>
      <sheetName val="시멘트"/>
      <sheetName val="산출내역서집계표"/>
      <sheetName val="XZLC003_PART1"/>
      <sheetName val="공통가설"/>
      <sheetName val="위치조서"/>
      <sheetName val="배수내역 (2)"/>
      <sheetName val="빗물받이(910-510-410)"/>
      <sheetName val="220 (2)"/>
      <sheetName val="견적서"/>
      <sheetName val="날개벽수량표"/>
      <sheetName val="심의위원명단"/>
      <sheetName val="7월11일"/>
      <sheetName val="견"/>
      <sheetName val="일위대가표"/>
      <sheetName val="1.취수장"/>
      <sheetName val="STAND20"/>
      <sheetName val="1층"/>
      <sheetName val="원본"/>
      <sheetName val="별표집계"/>
      <sheetName val="말뚝물량"/>
      <sheetName val="실행내역"/>
      <sheetName val="_REF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일반설비내역서"/>
      <sheetName val="NYS"/>
      <sheetName val="ASP"/>
      <sheetName val="EACT10"/>
      <sheetName val="자재단가"/>
      <sheetName val="IMPEADENCE MAP 취수장"/>
      <sheetName val="터파기및재료"/>
      <sheetName val="표지"/>
      <sheetName val="견적을지"/>
      <sheetName val="내역 누락분 수량산출서"/>
      <sheetName val="Sheet4"/>
      <sheetName val="전차선로 물량표"/>
      <sheetName val="PIPE(UG)내역"/>
      <sheetName val="점수계산1-2"/>
      <sheetName val="수입"/>
      <sheetName val="명세서"/>
      <sheetName val="낙찰표"/>
      <sheetName val="HW일위"/>
      <sheetName val="VENT"/>
      <sheetName val="단가산출"/>
      <sheetName val="Lr"/>
      <sheetName val="노무비"/>
      <sheetName val="COVER-P"/>
      <sheetName val="다곡2교"/>
      <sheetName val="단가대비표"/>
      <sheetName val="단가"/>
      <sheetName val="매립"/>
      <sheetName val="부대공Ⅱ"/>
      <sheetName val="처리단락"/>
      <sheetName val="DB"/>
      <sheetName val="sheet1"/>
      <sheetName val="D-경비1"/>
      <sheetName val="견적대비 견적서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소비자가"/>
      <sheetName val="cal"/>
      <sheetName val="도급"/>
      <sheetName val="70%"/>
      <sheetName val="EQUIP LIST"/>
      <sheetName val="Note"/>
      <sheetName val="Heads"/>
      <sheetName val="Page 2"/>
      <sheetName val="Dbase"/>
      <sheetName val="가설공사"/>
      <sheetName val="VXXXXX"/>
      <sheetName val=" 갑지"/>
      <sheetName val="EXCHANGER-BEAM1"/>
      <sheetName val="EXCHANGER-COM"/>
      <sheetName val="EXCHANGER"/>
      <sheetName val="EXCHANGER-BEAM2"/>
      <sheetName val="원가계산서"/>
      <sheetName val="설계변경내역서"/>
      <sheetName val="총괄내역서"/>
      <sheetName val="경비"/>
      <sheetName val="방수"/>
      <sheetName val="총원"/>
      <sheetName val="소요자재명세서"/>
      <sheetName val="노무비명세서"/>
      <sheetName val="건축내역"/>
      <sheetName val="수전기기DATA"/>
      <sheetName val="방배동내역(리라)"/>
      <sheetName val="부대공사총괄"/>
      <sheetName val="현장경비"/>
      <sheetName val="건축공사집계표"/>
      <sheetName val="9609추"/>
      <sheetName val="CTEMCOST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약품설비"/>
      <sheetName val="식음료"/>
      <sheetName val="종단계산"/>
      <sheetName val="200"/>
      <sheetName val="열린교실"/>
      <sheetName val="Feuil1"/>
      <sheetName val="설비원가"/>
      <sheetName val="진접"/>
      <sheetName val="현장관리비"/>
      <sheetName val="asd"/>
      <sheetName val="월별수입"/>
      <sheetName val="DHEQSUPT"/>
      <sheetName val="수량산출"/>
      <sheetName val="HANDHOLE(2)"/>
      <sheetName val="품셈(기초)"/>
      <sheetName val="골재산출"/>
      <sheetName val="조명시설"/>
      <sheetName val="Sheet3"/>
      <sheetName val="수량산출서 갑지"/>
      <sheetName val="중기일위대가"/>
      <sheetName val="날개½_x0000_뜀표"/>
      <sheetName val="상가지급현황"/>
      <sheetName val="예가표"/>
      <sheetName val="98지급계획"/>
      <sheetName val="공량산출근거서"/>
      <sheetName val="와동25-3(변경)"/>
      <sheetName val="문화재토적"/>
      <sheetName val="개요입력"/>
      <sheetName val="수량기준"/>
      <sheetName val="단가기준"/>
      <sheetName val="FORM-0"/>
      <sheetName val="직공비"/>
      <sheetName val="덕전리"/>
      <sheetName val="AC-01-원본"/>
      <sheetName val="견적대비표"/>
      <sheetName val="기초일위"/>
      <sheetName val="시설일위"/>
      <sheetName val="조명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BSD (2)"/>
      <sheetName val="BID"/>
      <sheetName val="을"/>
      <sheetName val=" 견적서"/>
      <sheetName val="EACT10"/>
      <sheetName val="교각1"/>
      <sheetName val="시멘트"/>
      <sheetName val="TEL"/>
      <sheetName val="소비자가"/>
      <sheetName val="설계명세서"/>
      <sheetName val="견적서"/>
      <sheetName val="danga"/>
      <sheetName val="Customer Databas"/>
      <sheetName val="노원열병합  건축공사기성내역서"/>
      <sheetName val="단가표"/>
      <sheetName val="일위대가목차"/>
      <sheetName val="#REF"/>
      <sheetName val="공사개요"/>
      <sheetName val="MATRLDATA"/>
      <sheetName val="구미4단2"/>
      <sheetName val="CAPVC"/>
      <sheetName val="FCU (2)"/>
      <sheetName val="Data"/>
      <sheetName val="수량산출"/>
      <sheetName val="단가조사"/>
      <sheetName val="보도경계블럭"/>
      <sheetName val="개요"/>
      <sheetName val="2.고용보험료산출근거"/>
      <sheetName val="경비2내역"/>
      <sheetName val="날개벽"/>
      <sheetName val="갑지"/>
      <sheetName val="기초공"/>
      <sheetName val="기둥(원형)"/>
      <sheetName val="대비"/>
      <sheetName val="공사비집계"/>
      <sheetName val="집계표"/>
      <sheetName val="데이타"/>
      <sheetName val="내역서"/>
      <sheetName val="일위대가"/>
      <sheetName val="2공구산출내역"/>
      <sheetName val="Proposal"/>
      <sheetName val="단위세대"/>
      <sheetName val="제경비"/>
      <sheetName val="구조물공1"/>
      <sheetName val="배수및구조물공1"/>
      <sheetName val="설계조건"/>
      <sheetName val="CC16-내역서"/>
      <sheetName val="건축원가계산서"/>
      <sheetName val="금액집계"/>
      <sheetName val="Galaxy 소비자가격표"/>
      <sheetName val="design criteria"/>
      <sheetName val="working load at the btm ft."/>
      <sheetName val="plan&amp;section of foundation"/>
      <sheetName val="member design"/>
      <sheetName val="soil bearing check"/>
      <sheetName val="전기일위대가"/>
      <sheetName val="Total"/>
      <sheetName val="PUMP"/>
      <sheetName val="내역"/>
      <sheetName val="갑지(추정)"/>
      <sheetName val="ilch"/>
      <sheetName val="6호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"/>
      <sheetName val="여과지동"/>
      <sheetName val="기초자료"/>
      <sheetName val="내역"/>
      <sheetName val="개요"/>
      <sheetName val="BID"/>
      <sheetName val="일위_파일"/>
      <sheetName val="집계표"/>
      <sheetName val="산출내역서집계표"/>
      <sheetName val="전기단가조사서"/>
      <sheetName val="내역서"/>
      <sheetName val="선급금신청서"/>
      <sheetName val="원남울진낙찰내역(99.4.13 부산청)"/>
      <sheetName val="시화점실행"/>
      <sheetName val="BSD (2)"/>
      <sheetName val="Sheet2"/>
      <sheetName val="일반공사"/>
      <sheetName val="기초작업"/>
      <sheetName val="차액보증"/>
      <sheetName val="하수급견적대비"/>
      <sheetName val="금융비용"/>
      <sheetName val="자재단가"/>
      <sheetName val="유림총괄"/>
      <sheetName val="견적정보"/>
      <sheetName val="갑지(추정)"/>
      <sheetName val="정보"/>
      <sheetName val="자재단가비교표"/>
      <sheetName val="SP-B1"/>
      <sheetName val="네고율"/>
      <sheetName val="표지"/>
      <sheetName val="PROJECT BRIEF"/>
      <sheetName val="수량산출"/>
      <sheetName val="설비"/>
      <sheetName val="산출근거"/>
      <sheetName val="변경품셈총괄"/>
      <sheetName val="인력터파기품"/>
      <sheetName val="우수"/>
      <sheetName val="지급자재"/>
      <sheetName val="터널조도"/>
      <sheetName val="대림경상68억"/>
      <sheetName val="플랜트 설치"/>
      <sheetName val="날개벽수량표"/>
      <sheetName val="전체"/>
      <sheetName val="N賃率-職"/>
      <sheetName val="추가예산"/>
      <sheetName val="POOM_MOTO"/>
      <sheetName val="POOM_MOTO2"/>
      <sheetName val="선정요령"/>
      <sheetName val="입찰안"/>
      <sheetName val="평당자료"/>
      <sheetName val="Total"/>
      <sheetName val="5.전사투자계획종함안"/>
      <sheetName val="Macro(차단기)"/>
      <sheetName val="#REF"/>
      <sheetName val="1단계"/>
      <sheetName val="마산방향"/>
      <sheetName val="진주방향"/>
      <sheetName val="00상노임"/>
      <sheetName val="노임단가"/>
      <sheetName val="WORK"/>
      <sheetName val="Sheet1"/>
      <sheetName val="기계경비"/>
      <sheetName val="본사인상전"/>
      <sheetName val="영동(D)"/>
      <sheetName val="cp1"/>
      <sheetName val="간접(90)"/>
      <sheetName val="남양내역"/>
      <sheetName val="용수간선"/>
      <sheetName val="DATA"/>
      <sheetName val="COVER"/>
      <sheetName val="단양 00 아파트-세부내역"/>
      <sheetName val="Sheet6"/>
      <sheetName val="관경별우수관집계"/>
      <sheetName val="차수"/>
      <sheetName val="터파기및재료"/>
      <sheetName val="대치판정"/>
      <sheetName val="예산조서"/>
      <sheetName val="전체공내역서"/>
      <sheetName val="기초단가"/>
      <sheetName val="BASE DATA1"/>
      <sheetName val="안양동교 1안"/>
      <sheetName val="6호기"/>
      <sheetName val="건축공사집계"/>
      <sheetName val="조명시설"/>
      <sheetName val="갱폼수직망"/>
      <sheetName val="시설물 설치표"/>
      <sheetName val="소상 &quot;1&quot;"/>
      <sheetName val="JUCKEYK"/>
      <sheetName val="2공구산출내역"/>
      <sheetName val="CONCRETE"/>
      <sheetName val="공통가설"/>
      <sheetName val="화재 탐지 설비"/>
      <sheetName val="PROJECT BRIEF(EX.NEW)"/>
      <sheetName val="본실행경비"/>
      <sheetName val="노임"/>
      <sheetName val="Baby일위대가"/>
      <sheetName val="대가표(품셈)"/>
      <sheetName val="중동상가"/>
      <sheetName val="SCH"/>
      <sheetName val="내역서단가산출용"/>
      <sheetName val="연습장소"/>
      <sheetName val="부대내역"/>
      <sheetName val="일위대가(1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서"/>
      <sheetName val="소상 &quot;1&quot;"/>
      <sheetName val="원남울진낙찰내역(99.4.13 부산청)"/>
      <sheetName val="장비명"/>
      <sheetName val="STORAGE"/>
      <sheetName val="일반공사"/>
      <sheetName val="타공종이기"/>
      <sheetName val="금액내역서"/>
      <sheetName val="BID"/>
      <sheetName val="건축집계"/>
      <sheetName val="BACK DATA"/>
      <sheetName val="Sheet1"/>
      <sheetName val="01"/>
      <sheetName val="cable-data"/>
      <sheetName val="매입세"/>
      <sheetName val="공사개요"/>
      <sheetName val="c_balju"/>
      <sheetName val="2.대외공문"/>
      <sheetName val="조도계산서 (도서)"/>
      <sheetName val="외천교"/>
      <sheetName val="현장관리비 산출내역"/>
      <sheetName val="차액보증"/>
      <sheetName val="Table"/>
      <sheetName val="정부노임단가"/>
      <sheetName val="CONCRETE"/>
      <sheetName val="Customer Databas"/>
      <sheetName val="FANDBS"/>
      <sheetName val="GRDATA"/>
      <sheetName val="SHAFTDBSE"/>
      <sheetName val="TEL"/>
      <sheetName val="을"/>
      <sheetName val="와동25-3(변경)"/>
      <sheetName val="JUCK"/>
      <sheetName val="약품공급2"/>
      <sheetName val="수안보-MBR1"/>
      <sheetName val="공사비집계"/>
      <sheetName val="#REF"/>
      <sheetName val="우각부보강"/>
      <sheetName val="DATA"/>
      <sheetName val="우배수"/>
      <sheetName val="계산식"/>
      <sheetName val="밸브설치"/>
      <sheetName val="매입세율"/>
      <sheetName val="Pjny"/>
      <sheetName val="쌍송교"/>
      <sheetName val="갑지(추정)"/>
      <sheetName val="부하(성남)"/>
      <sheetName val="MOTOR"/>
      <sheetName val="DATA1"/>
      <sheetName val="물량표"/>
      <sheetName val="Graph (LGEN)"/>
      <sheetName val="out_prog"/>
      <sheetName val="선적schedule (2)"/>
      <sheetName val="집수정(600-700)"/>
      <sheetName val="설명"/>
      <sheetName val="준검 내역서"/>
      <sheetName val="6PILE  (돌출)"/>
      <sheetName val="98수문일위"/>
      <sheetName val="예정(3)"/>
      <sheetName val="수량산출"/>
      <sheetName val="archi(본사)"/>
      <sheetName val="P-산#1-1(WOWA1)"/>
      <sheetName val="간접비"/>
      <sheetName val="동해title"/>
      <sheetName val="관람석제출"/>
      <sheetName val="기초자료입력"/>
      <sheetName val="DATE"/>
      <sheetName val="ABUT수량-A1"/>
      <sheetName val="Y-WORK"/>
      <sheetName val="원형1호맨홀토공수량"/>
      <sheetName val="다이꾸"/>
      <sheetName val="부하LOAD"/>
      <sheetName val="COVER"/>
      <sheetName val="Total"/>
      <sheetName val="Cost bd-&quot;A&quot;"/>
      <sheetName val="1공구(을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23"/>
  <sheetViews>
    <sheetView view="pageBreakPreview" zoomScale="145" zoomScaleNormal="100" zoomScaleSheetLayoutView="145" workbookViewId="0">
      <selection activeCell="C8" sqref="C8"/>
    </sheetView>
  </sheetViews>
  <sheetFormatPr baseColWidth="10" defaultColWidth="9" defaultRowHeight="18" customHeight="1"/>
  <cols>
    <col min="1" max="1" width="13.59765625" style="69" customWidth="1"/>
    <col min="2" max="2" width="8.19921875" style="69" customWidth="1"/>
    <col min="3" max="3" width="8.796875" style="69" customWidth="1"/>
    <col min="4" max="4" width="23.19921875" style="69" customWidth="1"/>
    <col min="5" max="5" width="16.796875" style="69" customWidth="1"/>
    <col min="6" max="6" width="30.796875" style="69" customWidth="1"/>
    <col min="7" max="7" width="17.796875" style="69" customWidth="1"/>
    <col min="8" max="8" width="22.19921875" style="69" customWidth="1"/>
    <col min="9" max="9" width="5.59765625" style="69" customWidth="1"/>
    <col min="10" max="256" width="9.19921875" style="69"/>
    <col min="257" max="257" width="13.59765625" style="69" customWidth="1"/>
    <col min="258" max="258" width="8.19921875" style="69" customWidth="1"/>
    <col min="259" max="259" width="8.796875" style="69" customWidth="1"/>
    <col min="260" max="260" width="23.19921875" style="69" customWidth="1"/>
    <col min="261" max="261" width="16.796875" style="69" customWidth="1"/>
    <col min="262" max="262" width="18.796875" style="69" customWidth="1"/>
    <col min="263" max="263" width="17.796875" style="69" customWidth="1"/>
    <col min="264" max="264" width="22.19921875" style="69" customWidth="1"/>
    <col min="265" max="265" width="5.59765625" style="69" customWidth="1"/>
    <col min="266" max="512" width="9.19921875" style="69"/>
    <col min="513" max="513" width="13.59765625" style="69" customWidth="1"/>
    <col min="514" max="514" width="8.19921875" style="69" customWidth="1"/>
    <col min="515" max="515" width="8.796875" style="69" customWidth="1"/>
    <col min="516" max="516" width="23.19921875" style="69" customWidth="1"/>
    <col min="517" max="517" width="16.796875" style="69" customWidth="1"/>
    <col min="518" max="518" width="18.796875" style="69" customWidth="1"/>
    <col min="519" max="519" width="17.796875" style="69" customWidth="1"/>
    <col min="520" max="520" width="22.19921875" style="69" customWidth="1"/>
    <col min="521" max="521" width="5.59765625" style="69" customWidth="1"/>
    <col min="522" max="768" width="9.19921875" style="69"/>
    <col min="769" max="769" width="13.59765625" style="69" customWidth="1"/>
    <col min="770" max="770" width="8.19921875" style="69" customWidth="1"/>
    <col min="771" max="771" width="8.796875" style="69" customWidth="1"/>
    <col min="772" max="772" width="23.19921875" style="69" customWidth="1"/>
    <col min="773" max="773" width="16.796875" style="69" customWidth="1"/>
    <col min="774" max="774" width="18.796875" style="69" customWidth="1"/>
    <col min="775" max="775" width="17.796875" style="69" customWidth="1"/>
    <col min="776" max="776" width="22.19921875" style="69" customWidth="1"/>
    <col min="777" max="777" width="5.59765625" style="69" customWidth="1"/>
    <col min="778" max="1024" width="9.19921875" style="69"/>
    <col min="1025" max="1025" width="13.59765625" style="69" customWidth="1"/>
    <col min="1026" max="1026" width="8.19921875" style="69" customWidth="1"/>
    <col min="1027" max="1027" width="8.796875" style="69" customWidth="1"/>
    <col min="1028" max="1028" width="23.19921875" style="69" customWidth="1"/>
    <col min="1029" max="1029" width="16.796875" style="69" customWidth="1"/>
    <col min="1030" max="1030" width="18.796875" style="69" customWidth="1"/>
    <col min="1031" max="1031" width="17.796875" style="69" customWidth="1"/>
    <col min="1032" max="1032" width="22.19921875" style="69" customWidth="1"/>
    <col min="1033" max="1033" width="5.59765625" style="69" customWidth="1"/>
    <col min="1034" max="1280" width="9.19921875" style="69"/>
    <col min="1281" max="1281" width="13.59765625" style="69" customWidth="1"/>
    <col min="1282" max="1282" width="8.19921875" style="69" customWidth="1"/>
    <col min="1283" max="1283" width="8.796875" style="69" customWidth="1"/>
    <col min="1284" max="1284" width="23.19921875" style="69" customWidth="1"/>
    <col min="1285" max="1285" width="16.796875" style="69" customWidth="1"/>
    <col min="1286" max="1286" width="18.796875" style="69" customWidth="1"/>
    <col min="1287" max="1287" width="17.796875" style="69" customWidth="1"/>
    <col min="1288" max="1288" width="22.19921875" style="69" customWidth="1"/>
    <col min="1289" max="1289" width="5.59765625" style="69" customWidth="1"/>
    <col min="1290" max="1536" width="9.19921875" style="69"/>
    <col min="1537" max="1537" width="13.59765625" style="69" customWidth="1"/>
    <col min="1538" max="1538" width="8.19921875" style="69" customWidth="1"/>
    <col min="1539" max="1539" width="8.796875" style="69" customWidth="1"/>
    <col min="1540" max="1540" width="23.19921875" style="69" customWidth="1"/>
    <col min="1541" max="1541" width="16.796875" style="69" customWidth="1"/>
    <col min="1542" max="1542" width="18.796875" style="69" customWidth="1"/>
    <col min="1543" max="1543" width="17.796875" style="69" customWidth="1"/>
    <col min="1544" max="1544" width="22.19921875" style="69" customWidth="1"/>
    <col min="1545" max="1545" width="5.59765625" style="69" customWidth="1"/>
    <col min="1546" max="1792" width="9.19921875" style="69"/>
    <col min="1793" max="1793" width="13.59765625" style="69" customWidth="1"/>
    <col min="1794" max="1794" width="8.19921875" style="69" customWidth="1"/>
    <col min="1795" max="1795" width="8.796875" style="69" customWidth="1"/>
    <col min="1796" max="1796" width="23.19921875" style="69" customWidth="1"/>
    <col min="1797" max="1797" width="16.796875" style="69" customWidth="1"/>
    <col min="1798" max="1798" width="18.796875" style="69" customWidth="1"/>
    <col min="1799" max="1799" width="17.796875" style="69" customWidth="1"/>
    <col min="1800" max="1800" width="22.19921875" style="69" customWidth="1"/>
    <col min="1801" max="1801" width="5.59765625" style="69" customWidth="1"/>
    <col min="1802" max="2048" width="9.19921875" style="69"/>
    <col min="2049" max="2049" width="13.59765625" style="69" customWidth="1"/>
    <col min="2050" max="2050" width="8.19921875" style="69" customWidth="1"/>
    <col min="2051" max="2051" width="8.796875" style="69" customWidth="1"/>
    <col min="2052" max="2052" width="23.19921875" style="69" customWidth="1"/>
    <col min="2053" max="2053" width="16.796875" style="69" customWidth="1"/>
    <col min="2054" max="2054" width="18.796875" style="69" customWidth="1"/>
    <col min="2055" max="2055" width="17.796875" style="69" customWidth="1"/>
    <col min="2056" max="2056" width="22.19921875" style="69" customWidth="1"/>
    <col min="2057" max="2057" width="5.59765625" style="69" customWidth="1"/>
    <col min="2058" max="2304" width="9.19921875" style="69"/>
    <col min="2305" max="2305" width="13.59765625" style="69" customWidth="1"/>
    <col min="2306" max="2306" width="8.19921875" style="69" customWidth="1"/>
    <col min="2307" max="2307" width="8.796875" style="69" customWidth="1"/>
    <col min="2308" max="2308" width="23.19921875" style="69" customWidth="1"/>
    <col min="2309" max="2309" width="16.796875" style="69" customWidth="1"/>
    <col min="2310" max="2310" width="18.796875" style="69" customWidth="1"/>
    <col min="2311" max="2311" width="17.796875" style="69" customWidth="1"/>
    <col min="2312" max="2312" width="22.19921875" style="69" customWidth="1"/>
    <col min="2313" max="2313" width="5.59765625" style="69" customWidth="1"/>
    <col min="2314" max="2560" width="9.19921875" style="69"/>
    <col min="2561" max="2561" width="13.59765625" style="69" customWidth="1"/>
    <col min="2562" max="2562" width="8.19921875" style="69" customWidth="1"/>
    <col min="2563" max="2563" width="8.796875" style="69" customWidth="1"/>
    <col min="2564" max="2564" width="23.19921875" style="69" customWidth="1"/>
    <col min="2565" max="2565" width="16.796875" style="69" customWidth="1"/>
    <col min="2566" max="2566" width="18.796875" style="69" customWidth="1"/>
    <col min="2567" max="2567" width="17.796875" style="69" customWidth="1"/>
    <col min="2568" max="2568" width="22.19921875" style="69" customWidth="1"/>
    <col min="2569" max="2569" width="5.59765625" style="69" customWidth="1"/>
    <col min="2570" max="2816" width="9.19921875" style="69"/>
    <col min="2817" max="2817" width="13.59765625" style="69" customWidth="1"/>
    <col min="2818" max="2818" width="8.19921875" style="69" customWidth="1"/>
    <col min="2819" max="2819" width="8.796875" style="69" customWidth="1"/>
    <col min="2820" max="2820" width="23.19921875" style="69" customWidth="1"/>
    <col min="2821" max="2821" width="16.796875" style="69" customWidth="1"/>
    <col min="2822" max="2822" width="18.796875" style="69" customWidth="1"/>
    <col min="2823" max="2823" width="17.796875" style="69" customWidth="1"/>
    <col min="2824" max="2824" width="22.19921875" style="69" customWidth="1"/>
    <col min="2825" max="2825" width="5.59765625" style="69" customWidth="1"/>
    <col min="2826" max="3072" width="9.19921875" style="69"/>
    <col min="3073" max="3073" width="13.59765625" style="69" customWidth="1"/>
    <col min="3074" max="3074" width="8.19921875" style="69" customWidth="1"/>
    <col min="3075" max="3075" width="8.796875" style="69" customWidth="1"/>
    <col min="3076" max="3076" width="23.19921875" style="69" customWidth="1"/>
    <col min="3077" max="3077" width="16.796875" style="69" customWidth="1"/>
    <col min="3078" max="3078" width="18.796875" style="69" customWidth="1"/>
    <col min="3079" max="3079" width="17.796875" style="69" customWidth="1"/>
    <col min="3080" max="3080" width="22.19921875" style="69" customWidth="1"/>
    <col min="3081" max="3081" width="5.59765625" style="69" customWidth="1"/>
    <col min="3082" max="3328" width="9.19921875" style="69"/>
    <col min="3329" max="3329" width="13.59765625" style="69" customWidth="1"/>
    <col min="3330" max="3330" width="8.19921875" style="69" customWidth="1"/>
    <col min="3331" max="3331" width="8.796875" style="69" customWidth="1"/>
    <col min="3332" max="3332" width="23.19921875" style="69" customWidth="1"/>
    <col min="3333" max="3333" width="16.796875" style="69" customWidth="1"/>
    <col min="3334" max="3334" width="18.796875" style="69" customWidth="1"/>
    <col min="3335" max="3335" width="17.796875" style="69" customWidth="1"/>
    <col min="3336" max="3336" width="22.19921875" style="69" customWidth="1"/>
    <col min="3337" max="3337" width="5.59765625" style="69" customWidth="1"/>
    <col min="3338" max="3584" width="9.19921875" style="69"/>
    <col min="3585" max="3585" width="13.59765625" style="69" customWidth="1"/>
    <col min="3586" max="3586" width="8.19921875" style="69" customWidth="1"/>
    <col min="3587" max="3587" width="8.796875" style="69" customWidth="1"/>
    <col min="3588" max="3588" width="23.19921875" style="69" customWidth="1"/>
    <col min="3589" max="3589" width="16.796875" style="69" customWidth="1"/>
    <col min="3590" max="3590" width="18.796875" style="69" customWidth="1"/>
    <col min="3591" max="3591" width="17.796875" style="69" customWidth="1"/>
    <col min="3592" max="3592" width="22.19921875" style="69" customWidth="1"/>
    <col min="3593" max="3593" width="5.59765625" style="69" customWidth="1"/>
    <col min="3594" max="3840" width="9.19921875" style="69"/>
    <col min="3841" max="3841" width="13.59765625" style="69" customWidth="1"/>
    <col min="3842" max="3842" width="8.19921875" style="69" customWidth="1"/>
    <col min="3843" max="3843" width="8.796875" style="69" customWidth="1"/>
    <col min="3844" max="3844" width="23.19921875" style="69" customWidth="1"/>
    <col min="3845" max="3845" width="16.796875" style="69" customWidth="1"/>
    <col min="3846" max="3846" width="18.796875" style="69" customWidth="1"/>
    <col min="3847" max="3847" width="17.796875" style="69" customWidth="1"/>
    <col min="3848" max="3848" width="22.19921875" style="69" customWidth="1"/>
    <col min="3849" max="3849" width="5.59765625" style="69" customWidth="1"/>
    <col min="3850" max="4096" width="9.19921875" style="69"/>
    <col min="4097" max="4097" width="13.59765625" style="69" customWidth="1"/>
    <col min="4098" max="4098" width="8.19921875" style="69" customWidth="1"/>
    <col min="4099" max="4099" width="8.796875" style="69" customWidth="1"/>
    <col min="4100" max="4100" width="23.19921875" style="69" customWidth="1"/>
    <col min="4101" max="4101" width="16.796875" style="69" customWidth="1"/>
    <col min="4102" max="4102" width="18.796875" style="69" customWidth="1"/>
    <col min="4103" max="4103" width="17.796875" style="69" customWidth="1"/>
    <col min="4104" max="4104" width="22.19921875" style="69" customWidth="1"/>
    <col min="4105" max="4105" width="5.59765625" style="69" customWidth="1"/>
    <col min="4106" max="4352" width="9.19921875" style="69"/>
    <col min="4353" max="4353" width="13.59765625" style="69" customWidth="1"/>
    <col min="4354" max="4354" width="8.19921875" style="69" customWidth="1"/>
    <col min="4355" max="4355" width="8.796875" style="69" customWidth="1"/>
    <col min="4356" max="4356" width="23.19921875" style="69" customWidth="1"/>
    <col min="4357" max="4357" width="16.796875" style="69" customWidth="1"/>
    <col min="4358" max="4358" width="18.796875" style="69" customWidth="1"/>
    <col min="4359" max="4359" width="17.796875" style="69" customWidth="1"/>
    <col min="4360" max="4360" width="22.19921875" style="69" customWidth="1"/>
    <col min="4361" max="4361" width="5.59765625" style="69" customWidth="1"/>
    <col min="4362" max="4608" width="9.19921875" style="69"/>
    <col min="4609" max="4609" width="13.59765625" style="69" customWidth="1"/>
    <col min="4610" max="4610" width="8.19921875" style="69" customWidth="1"/>
    <col min="4611" max="4611" width="8.796875" style="69" customWidth="1"/>
    <col min="4612" max="4612" width="23.19921875" style="69" customWidth="1"/>
    <col min="4613" max="4613" width="16.796875" style="69" customWidth="1"/>
    <col min="4614" max="4614" width="18.796875" style="69" customWidth="1"/>
    <col min="4615" max="4615" width="17.796875" style="69" customWidth="1"/>
    <col min="4616" max="4616" width="22.19921875" style="69" customWidth="1"/>
    <col min="4617" max="4617" width="5.59765625" style="69" customWidth="1"/>
    <col min="4618" max="4864" width="9.19921875" style="69"/>
    <col min="4865" max="4865" width="13.59765625" style="69" customWidth="1"/>
    <col min="4866" max="4866" width="8.19921875" style="69" customWidth="1"/>
    <col min="4867" max="4867" width="8.796875" style="69" customWidth="1"/>
    <col min="4868" max="4868" width="23.19921875" style="69" customWidth="1"/>
    <col min="4869" max="4869" width="16.796875" style="69" customWidth="1"/>
    <col min="4870" max="4870" width="18.796875" style="69" customWidth="1"/>
    <col min="4871" max="4871" width="17.796875" style="69" customWidth="1"/>
    <col min="4872" max="4872" width="22.19921875" style="69" customWidth="1"/>
    <col min="4873" max="4873" width="5.59765625" style="69" customWidth="1"/>
    <col min="4874" max="5120" width="9.19921875" style="69"/>
    <col min="5121" max="5121" width="13.59765625" style="69" customWidth="1"/>
    <col min="5122" max="5122" width="8.19921875" style="69" customWidth="1"/>
    <col min="5123" max="5123" width="8.796875" style="69" customWidth="1"/>
    <col min="5124" max="5124" width="23.19921875" style="69" customWidth="1"/>
    <col min="5125" max="5125" width="16.796875" style="69" customWidth="1"/>
    <col min="5126" max="5126" width="18.796875" style="69" customWidth="1"/>
    <col min="5127" max="5127" width="17.796875" style="69" customWidth="1"/>
    <col min="5128" max="5128" width="22.19921875" style="69" customWidth="1"/>
    <col min="5129" max="5129" width="5.59765625" style="69" customWidth="1"/>
    <col min="5130" max="5376" width="9.19921875" style="69"/>
    <col min="5377" max="5377" width="13.59765625" style="69" customWidth="1"/>
    <col min="5378" max="5378" width="8.19921875" style="69" customWidth="1"/>
    <col min="5379" max="5379" width="8.796875" style="69" customWidth="1"/>
    <col min="5380" max="5380" width="23.19921875" style="69" customWidth="1"/>
    <col min="5381" max="5381" width="16.796875" style="69" customWidth="1"/>
    <col min="5382" max="5382" width="18.796875" style="69" customWidth="1"/>
    <col min="5383" max="5383" width="17.796875" style="69" customWidth="1"/>
    <col min="5384" max="5384" width="22.19921875" style="69" customWidth="1"/>
    <col min="5385" max="5385" width="5.59765625" style="69" customWidth="1"/>
    <col min="5386" max="5632" width="9.19921875" style="69"/>
    <col min="5633" max="5633" width="13.59765625" style="69" customWidth="1"/>
    <col min="5634" max="5634" width="8.19921875" style="69" customWidth="1"/>
    <col min="5635" max="5635" width="8.796875" style="69" customWidth="1"/>
    <col min="5636" max="5636" width="23.19921875" style="69" customWidth="1"/>
    <col min="5637" max="5637" width="16.796875" style="69" customWidth="1"/>
    <col min="5638" max="5638" width="18.796875" style="69" customWidth="1"/>
    <col min="5639" max="5639" width="17.796875" style="69" customWidth="1"/>
    <col min="5640" max="5640" width="22.19921875" style="69" customWidth="1"/>
    <col min="5641" max="5641" width="5.59765625" style="69" customWidth="1"/>
    <col min="5642" max="5888" width="9.19921875" style="69"/>
    <col min="5889" max="5889" width="13.59765625" style="69" customWidth="1"/>
    <col min="5890" max="5890" width="8.19921875" style="69" customWidth="1"/>
    <col min="5891" max="5891" width="8.796875" style="69" customWidth="1"/>
    <col min="5892" max="5892" width="23.19921875" style="69" customWidth="1"/>
    <col min="5893" max="5893" width="16.796875" style="69" customWidth="1"/>
    <col min="5894" max="5894" width="18.796875" style="69" customWidth="1"/>
    <col min="5895" max="5895" width="17.796875" style="69" customWidth="1"/>
    <col min="5896" max="5896" width="22.19921875" style="69" customWidth="1"/>
    <col min="5897" max="5897" width="5.59765625" style="69" customWidth="1"/>
    <col min="5898" max="6144" width="9.19921875" style="69"/>
    <col min="6145" max="6145" width="13.59765625" style="69" customWidth="1"/>
    <col min="6146" max="6146" width="8.19921875" style="69" customWidth="1"/>
    <col min="6147" max="6147" width="8.796875" style="69" customWidth="1"/>
    <col min="6148" max="6148" width="23.19921875" style="69" customWidth="1"/>
    <col min="6149" max="6149" width="16.796875" style="69" customWidth="1"/>
    <col min="6150" max="6150" width="18.796875" style="69" customWidth="1"/>
    <col min="6151" max="6151" width="17.796875" style="69" customWidth="1"/>
    <col min="6152" max="6152" width="22.19921875" style="69" customWidth="1"/>
    <col min="6153" max="6153" width="5.59765625" style="69" customWidth="1"/>
    <col min="6154" max="6400" width="9.19921875" style="69"/>
    <col min="6401" max="6401" width="13.59765625" style="69" customWidth="1"/>
    <col min="6402" max="6402" width="8.19921875" style="69" customWidth="1"/>
    <col min="6403" max="6403" width="8.796875" style="69" customWidth="1"/>
    <col min="6404" max="6404" width="23.19921875" style="69" customWidth="1"/>
    <col min="6405" max="6405" width="16.796875" style="69" customWidth="1"/>
    <col min="6406" max="6406" width="18.796875" style="69" customWidth="1"/>
    <col min="6407" max="6407" width="17.796875" style="69" customWidth="1"/>
    <col min="6408" max="6408" width="22.19921875" style="69" customWidth="1"/>
    <col min="6409" max="6409" width="5.59765625" style="69" customWidth="1"/>
    <col min="6410" max="6656" width="9.19921875" style="69"/>
    <col min="6657" max="6657" width="13.59765625" style="69" customWidth="1"/>
    <col min="6658" max="6658" width="8.19921875" style="69" customWidth="1"/>
    <col min="6659" max="6659" width="8.796875" style="69" customWidth="1"/>
    <col min="6660" max="6660" width="23.19921875" style="69" customWidth="1"/>
    <col min="6661" max="6661" width="16.796875" style="69" customWidth="1"/>
    <col min="6662" max="6662" width="18.796875" style="69" customWidth="1"/>
    <col min="6663" max="6663" width="17.796875" style="69" customWidth="1"/>
    <col min="6664" max="6664" width="22.19921875" style="69" customWidth="1"/>
    <col min="6665" max="6665" width="5.59765625" style="69" customWidth="1"/>
    <col min="6666" max="6912" width="9.19921875" style="69"/>
    <col min="6913" max="6913" width="13.59765625" style="69" customWidth="1"/>
    <col min="6914" max="6914" width="8.19921875" style="69" customWidth="1"/>
    <col min="6915" max="6915" width="8.796875" style="69" customWidth="1"/>
    <col min="6916" max="6916" width="23.19921875" style="69" customWidth="1"/>
    <col min="6917" max="6917" width="16.796875" style="69" customWidth="1"/>
    <col min="6918" max="6918" width="18.796875" style="69" customWidth="1"/>
    <col min="6919" max="6919" width="17.796875" style="69" customWidth="1"/>
    <col min="6920" max="6920" width="22.19921875" style="69" customWidth="1"/>
    <col min="6921" max="6921" width="5.59765625" style="69" customWidth="1"/>
    <col min="6922" max="7168" width="9.19921875" style="69"/>
    <col min="7169" max="7169" width="13.59765625" style="69" customWidth="1"/>
    <col min="7170" max="7170" width="8.19921875" style="69" customWidth="1"/>
    <col min="7171" max="7171" width="8.796875" style="69" customWidth="1"/>
    <col min="7172" max="7172" width="23.19921875" style="69" customWidth="1"/>
    <col min="7173" max="7173" width="16.796875" style="69" customWidth="1"/>
    <col min="7174" max="7174" width="18.796875" style="69" customWidth="1"/>
    <col min="7175" max="7175" width="17.796875" style="69" customWidth="1"/>
    <col min="7176" max="7176" width="22.19921875" style="69" customWidth="1"/>
    <col min="7177" max="7177" width="5.59765625" style="69" customWidth="1"/>
    <col min="7178" max="7424" width="9.19921875" style="69"/>
    <col min="7425" max="7425" width="13.59765625" style="69" customWidth="1"/>
    <col min="7426" max="7426" width="8.19921875" style="69" customWidth="1"/>
    <col min="7427" max="7427" width="8.796875" style="69" customWidth="1"/>
    <col min="7428" max="7428" width="23.19921875" style="69" customWidth="1"/>
    <col min="7429" max="7429" width="16.796875" style="69" customWidth="1"/>
    <col min="7430" max="7430" width="18.796875" style="69" customWidth="1"/>
    <col min="7431" max="7431" width="17.796875" style="69" customWidth="1"/>
    <col min="7432" max="7432" width="22.19921875" style="69" customWidth="1"/>
    <col min="7433" max="7433" width="5.59765625" style="69" customWidth="1"/>
    <col min="7434" max="7680" width="9.19921875" style="69"/>
    <col min="7681" max="7681" width="13.59765625" style="69" customWidth="1"/>
    <col min="7682" max="7682" width="8.19921875" style="69" customWidth="1"/>
    <col min="7683" max="7683" width="8.796875" style="69" customWidth="1"/>
    <col min="7684" max="7684" width="23.19921875" style="69" customWidth="1"/>
    <col min="7685" max="7685" width="16.796875" style="69" customWidth="1"/>
    <col min="7686" max="7686" width="18.796875" style="69" customWidth="1"/>
    <col min="7687" max="7687" width="17.796875" style="69" customWidth="1"/>
    <col min="7688" max="7688" width="22.19921875" style="69" customWidth="1"/>
    <col min="7689" max="7689" width="5.59765625" style="69" customWidth="1"/>
    <col min="7690" max="7936" width="9.19921875" style="69"/>
    <col min="7937" max="7937" width="13.59765625" style="69" customWidth="1"/>
    <col min="7938" max="7938" width="8.19921875" style="69" customWidth="1"/>
    <col min="7939" max="7939" width="8.796875" style="69" customWidth="1"/>
    <col min="7940" max="7940" width="23.19921875" style="69" customWidth="1"/>
    <col min="7941" max="7941" width="16.796875" style="69" customWidth="1"/>
    <col min="7942" max="7942" width="18.796875" style="69" customWidth="1"/>
    <col min="7943" max="7943" width="17.796875" style="69" customWidth="1"/>
    <col min="7944" max="7944" width="22.19921875" style="69" customWidth="1"/>
    <col min="7945" max="7945" width="5.59765625" style="69" customWidth="1"/>
    <col min="7946" max="8192" width="9.19921875" style="69"/>
    <col min="8193" max="8193" width="13.59765625" style="69" customWidth="1"/>
    <col min="8194" max="8194" width="8.19921875" style="69" customWidth="1"/>
    <col min="8195" max="8195" width="8.796875" style="69" customWidth="1"/>
    <col min="8196" max="8196" width="23.19921875" style="69" customWidth="1"/>
    <col min="8197" max="8197" width="16.796875" style="69" customWidth="1"/>
    <col min="8198" max="8198" width="18.796875" style="69" customWidth="1"/>
    <col min="8199" max="8199" width="17.796875" style="69" customWidth="1"/>
    <col min="8200" max="8200" width="22.19921875" style="69" customWidth="1"/>
    <col min="8201" max="8201" width="5.59765625" style="69" customWidth="1"/>
    <col min="8202" max="8448" width="9.19921875" style="69"/>
    <col min="8449" max="8449" width="13.59765625" style="69" customWidth="1"/>
    <col min="8450" max="8450" width="8.19921875" style="69" customWidth="1"/>
    <col min="8451" max="8451" width="8.796875" style="69" customWidth="1"/>
    <col min="8452" max="8452" width="23.19921875" style="69" customWidth="1"/>
    <col min="8453" max="8453" width="16.796875" style="69" customWidth="1"/>
    <col min="8454" max="8454" width="18.796875" style="69" customWidth="1"/>
    <col min="8455" max="8455" width="17.796875" style="69" customWidth="1"/>
    <col min="8456" max="8456" width="22.19921875" style="69" customWidth="1"/>
    <col min="8457" max="8457" width="5.59765625" style="69" customWidth="1"/>
    <col min="8458" max="8704" width="9.19921875" style="69"/>
    <col min="8705" max="8705" width="13.59765625" style="69" customWidth="1"/>
    <col min="8706" max="8706" width="8.19921875" style="69" customWidth="1"/>
    <col min="8707" max="8707" width="8.796875" style="69" customWidth="1"/>
    <col min="8708" max="8708" width="23.19921875" style="69" customWidth="1"/>
    <col min="8709" max="8709" width="16.796875" style="69" customWidth="1"/>
    <col min="8710" max="8710" width="18.796875" style="69" customWidth="1"/>
    <col min="8711" max="8711" width="17.796875" style="69" customWidth="1"/>
    <col min="8712" max="8712" width="22.19921875" style="69" customWidth="1"/>
    <col min="8713" max="8713" width="5.59765625" style="69" customWidth="1"/>
    <col min="8714" max="8960" width="9.19921875" style="69"/>
    <col min="8961" max="8961" width="13.59765625" style="69" customWidth="1"/>
    <col min="8962" max="8962" width="8.19921875" style="69" customWidth="1"/>
    <col min="8963" max="8963" width="8.796875" style="69" customWidth="1"/>
    <col min="8964" max="8964" width="23.19921875" style="69" customWidth="1"/>
    <col min="8965" max="8965" width="16.796875" style="69" customWidth="1"/>
    <col min="8966" max="8966" width="18.796875" style="69" customWidth="1"/>
    <col min="8967" max="8967" width="17.796875" style="69" customWidth="1"/>
    <col min="8968" max="8968" width="22.19921875" style="69" customWidth="1"/>
    <col min="8969" max="8969" width="5.59765625" style="69" customWidth="1"/>
    <col min="8970" max="9216" width="9.19921875" style="69"/>
    <col min="9217" max="9217" width="13.59765625" style="69" customWidth="1"/>
    <col min="9218" max="9218" width="8.19921875" style="69" customWidth="1"/>
    <col min="9219" max="9219" width="8.796875" style="69" customWidth="1"/>
    <col min="9220" max="9220" width="23.19921875" style="69" customWidth="1"/>
    <col min="9221" max="9221" width="16.796875" style="69" customWidth="1"/>
    <col min="9222" max="9222" width="18.796875" style="69" customWidth="1"/>
    <col min="9223" max="9223" width="17.796875" style="69" customWidth="1"/>
    <col min="9224" max="9224" width="22.19921875" style="69" customWidth="1"/>
    <col min="9225" max="9225" width="5.59765625" style="69" customWidth="1"/>
    <col min="9226" max="9472" width="9.19921875" style="69"/>
    <col min="9473" max="9473" width="13.59765625" style="69" customWidth="1"/>
    <col min="9474" max="9474" width="8.19921875" style="69" customWidth="1"/>
    <col min="9475" max="9475" width="8.796875" style="69" customWidth="1"/>
    <col min="9476" max="9476" width="23.19921875" style="69" customWidth="1"/>
    <col min="9477" max="9477" width="16.796875" style="69" customWidth="1"/>
    <col min="9478" max="9478" width="18.796875" style="69" customWidth="1"/>
    <col min="9479" max="9479" width="17.796875" style="69" customWidth="1"/>
    <col min="9480" max="9480" width="22.19921875" style="69" customWidth="1"/>
    <col min="9481" max="9481" width="5.59765625" style="69" customWidth="1"/>
    <col min="9482" max="9728" width="9.19921875" style="69"/>
    <col min="9729" max="9729" width="13.59765625" style="69" customWidth="1"/>
    <col min="9730" max="9730" width="8.19921875" style="69" customWidth="1"/>
    <col min="9731" max="9731" width="8.796875" style="69" customWidth="1"/>
    <col min="9732" max="9732" width="23.19921875" style="69" customWidth="1"/>
    <col min="9733" max="9733" width="16.796875" style="69" customWidth="1"/>
    <col min="9734" max="9734" width="18.796875" style="69" customWidth="1"/>
    <col min="9735" max="9735" width="17.796875" style="69" customWidth="1"/>
    <col min="9736" max="9736" width="22.19921875" style="69" customWidth="1"/>
    <col min="9737" max="9737" width="5.59765625" style="69" customWidth="1"/>
    <col min="9738" max="9984" width="9.19921875" style="69"/>
    <col min="9985" max="9985" width="13.59765625" style="69" customWidth="1"/>
    <col min="9986" max="9986" width="8.19921875" style="69" customWidth="1"/>
    <col min="9987" max="9987" width="8.796875" style="69" customWidth="1"/>
    <col min="9988" max="9988" width="23.19921875" style="69" customWidth="1"/>
    <col min="9989" max="9989" width="16.796875" style="69" customWidth="1"/>
    <col min="9990" max="9990" width="18.796875" style="69" customWidth="1"/>
    <col min="9991" max="9991" width="17.796875" style="69" customWidth="1"/>
    <col min="9992" max="9992" width="22.19921875" style="69" customWidth="1"/>
    <col min="9993" max="9993" width="5.59765625" style="69" customWidth="1"/>
    <col min="9994" max="10240" width="9.19921875" style="69"/>
    <col min="10241" max="10241" width="13.59765625" style="69" customWidth="1"/>
    <col min="10242" max="10242" width="8.19921875" style="69" customWidth="1"/>
    <col min="10243" max="10243" width="8.796875" style="69" customWidth="1"/>
    <col min="10244" max="10244" width="23.19921875" style="69" customWidth="1"/>
    <col min="10245" max="10245" width="16.796875" style="69" customWidth="1"/>
    <col min="10246" max="10246" width="18.796875" style="69" customWidth="1"/>
    <col min="10247" max="10247" width="17.796875" style="69" customWidth="1"/>
    <col min="10248" max="10248" width="22.19921875" style="69" customWidth="1"/>
    <col min="10249" max="10249" width="5.59765625" style="69" customWidth="1"/>
    <col min="10250" max="10496" width="9.19921875" style="69"/>
    <col min="10497" max="10497" width="13.59765625" style="69" customWidth="1"/>
    <col min="10498" max="10498" width="8.19921875" style="69" customWidth="1"/>
    <col min="10499" max="10499" width="8.796875" style="69" customWidth="1"/>
    <col min="10500" max="10500" width="23.19921875" style="69" customWidth="1"/>
    <col min="10501" max="10501" width="16.796875" style="69" customWidth="1"/>
    <col min="10502" max="10502" width="18.796875" style="69" customWidth="1"/>
    <col min="10503" max="10503" width="17.796875" style="69" customWidth="1"/>
    <col min="10504" max="10504" width="22.19921875" style="69" customWidth="1"/>
    <col min="10505" max="10505" width="5.59765625" style="69" customWidth="1"/>
    <col min="10506" max="10752" width="9.19921875" style="69"/>
    <col min="10753" max="10753" width="13.59765625" style="69" customWidth="1"/>
    <col min="10754" max="10754" width="8.19921875" style="69" customWidth="1"/>
    <col min="10755" max="10755" width="8.796875" style="69" customWidth="1"/>
    <col min="10756" max="10756" width="23.19921875" style="69" customWidth="1"/>
    <col min="10757" max="10757" width="16.796875" style="69" customWidth="1"/>
    <col min="10758" max="10758" width="18.796875" style="69" customWidth="1"/>
    <col min="10759" max="10759" width="17.796875" style="69" customWidth="1"/>
    <col min="10760" max="10760" width="22.19921875" style="69" customWidth="1"/>
    <col min="10761" max="10761" width="5.59765625" style="69" customWidth="1"/>
    <col min="10762" max="11008" width="9.19921875" style="69"/>
    <col min="11009" max="11009" width="13.59765625" style="69" customWidth="1"/>
    <col min="11010" max="11010" width="8.19921875" style="69" customWidth="1"/>
    <col min="11011" max="11011" width="8.796875" style="69" customWidth="1"/>
    <col min="11012" max="11012" width="23.19921875" style="69" customWidth="1"/>
    <col min="11013" max="11013" width="16.796875" style="69" customWidth="1"/>
    <col min="11014" max="11014" width="18.796875" style="69" customWidth="1"/>
    <col min="11015" max="11015" width="17.796875" style="69" customWidth="1"/>
    <col min="11016" max="11016" width="22.19921875" style="69" customWidth="1"/>
    <col min="11017" max="11017" width="5.59765625" style="69" customWidth="1"/>
    <col min="11018" max="11264" width="9.19921875" style="69"/>
    <col min="11265" max="11265" width="13.59765625" style="69" customWidth="1"/>
    <col min="11266" max="11266" width="8.19921875" style="69" customWidth="1"/>
    <col min="11267" max="11267" width="8.796875" style="69" customWidth="1"/>
    <col min="11268" max="11268" width="23.19921875" style="69" customWidth="1"/>
    <col min="11269" max="11269" width="16.796875" style="69" customWidth="1"/>
    <col min="11270" max="11270" width="18.796875" style="69" customWidth="1"/>
    <col min="11271" max="11271" width="17.796875" style="69" customWidth="1"/>
    <col min="11272" max="11272" width="22.19921875" style="69" customWidth="1"/>
    <col min="11273" max="11273" width="5.59765625" style="69" customWidth="1"/>
    <col min="11274" max="11520" width="9.19921875" style="69"/>
    <col min="11521" max="11521" width="13.59765625" style="69" customWidth="1"/>
    <col min="11522" max="11522" width="8.19921875" style="69" customWidth="1"/>
    <col min="11523" max="11523" width="8.796875" style="69" customWidth="1"/>
    <col min="11524" max="11524" width="23.19921875" style="69" customWidth="1"/>
    <col min="11525" max="11525" width="16.796875" style="69" customWidth="1"/>
    <col min="11526" max="11526" width="18.796875" style="69" customWidth="1"/>
    <col min="11527" max="11527" width="17.796875" style="69" customWidth="1"/>
    <col min="11528" max="11528" width="22.19921875" style="69" customWidth="1"/>
    <col min="11529" max="11529" width="5.59765625" style="69" customWidth="1"/>
    <col min="11530" max="11776" width="9.19921875" style="69"/>
    <col min="11777" max="11777" width="13.59765625" style="69" customWidth="1"/>
    <col min="11778" max="11778" width="8.19921875" style="69" customWidth="1"/>
    <col min="11779" max="11779" width="8.796875" style="69" customWidth="1"/>
    <col min="11780" max="11780" width="23.19921875" style="69" customWidth="1"/>
    <col min="11781" max="11781" width="16.796875" style="69" customWidth="1"/>
    <col min="11782" max="11782" width="18.796875" style="69" customWidth="1"/>
    <col min="11783" max="11783" width="17.796875" style="69" customWidth="1"/>
    <col min="11784" max="11784" width="22.19921875" style="69" customWidth="1"/>
    <col min="11785" max="11785" width="5.59765625" style="69" customWidth="1"/>
    <col min="11786" max="12032" width="9.19921875" style="69"/>
    <col min="12033" max="12033" width="13.59765625" style="69" customWidth="1"/>
    <col min="12034" max="12034" width="8.19921875" style="69" customWidth="1"/>
    <col min="12035" max="12035" width="8.796875" style="69" customWidth="1"/>
    <col min="12036" max="12036" width="23.19921875" style="69" customWidth="1"/>
    <col min="12037" max="12037" width="16.796875" style="69" customWidth="1"/>
    <col min="12038" max="12038" width="18.796875" style="69" customWidth="1"/>
    <col min="12039" max="12039" width="17.796875" style="69" customWidth="1"/>
    <col min="12040" max="12040" width="22.19921875" style="69" customWidth="1"/>
    <col min="12041" max="12041" width="5.59765625" style="69" customWidth="1"/>
    <col min="12042" max="12288" width="9.19921875" style="69"/>
    <col min="12289" max="12289" width="13.59765625" style="69" customWidth="1"/>
    <col min="12290" max="12290" width="8.19921875" style="69" customWidth="1"/>
    <col min="12291" max="12291" width="8.796875" style="69" customWidth="1"/>
    <col min="12292" max="12292" width="23.19921875" style="69" customWidth="1"/>
    <col min="12293" max="12293" width="16.796875" style="69" customWidth="1"/>
    <col min="12294" max="12294" width="18.796875" style="69" customWidth="1"/>
    <col min="12295" max="12295" width="17.796875" style="69" customWidth="1"/>
    <col min="12296" max="12296" width="22.19921875" style="69" customWidth="1"/>
    <col min="12297" max="12297" width="5.59765625" style="69" customWidth="1"/>
    <col min="12298" max="12544" width="9.19921875" style="69"/>
    <col min="12545" max="12545" width="13.59765625" style="69" customWidth="1"/>
    <col min="12546" max="12546" width="8.19921875" style="69" customWidth="1"/>
    <col min="12547" max="12547" width="8.796875" style="69" customWidth="1"/>
    <col min="12548" max="12548" width="23.19921875" style="69" customWidth="1"/>
    <col min="12549" max="12549" width="16.796875" style="69" customWidth="1"/>
    <col min="12550" max="12550" width="18.796875" style="69" customWidth="1"/>
    <col min="12551" max="12551" width="17.796875" style="69" customWidth="1"/>
    <col min="12552" max="12552" width="22.19921875" style="69" customWidth="1"/>
    <col min="12553" max="12553" width="5.59765625" style="69" customWidth="1"/>
    <col min="12554" max="12800" width="9.19921875" style="69"/>
    <col min="12801" max="12801" width="13.59765625" style="69" customWidth="1"/>
    <col min="12802" max="12802" width="8.19921875" style="69" customWidth="1"/>
    <col min="12803" max="12803" width="8.796875" style="69" customWidth="1"/>
    <col min="12804" max="12804" width="23.19921875" style="69" customWidth="1"/>
    <col min="12805" max="12805" width="16.796875" style="69" customWidth="1"/>
    <col min="12806" max="12806" width="18.796875" style="69" customWidth="1"/>
    <col min="12807" max="12807" width="17.796875" style="69" customWidth="1"/>
    <col min="12808" max="12808" width="22.19921875" style="69" customWidth="1"/>
    <col min="12809" max="12809" width="5.59765625" style="69" customWidth="1"/>
    <col min="12810" max="13056" width="9.19921875" style="69"/>
    <col min="13057" max="13057" width="13.59765625" style="69" customWidth="1"/>
    <col min="13058" max="13058" width="8.19921875" style="69" customWidth="1"/>
    <col min="13059" max="13059" width="8.796875" style="69" customWidth="1"/>
    <col min="13060" max="13060" width="23.19921875" style="69" customWidth="1"/>
    <col min="13061" max="13061" width="16.796875" style="69" customWidth="1"/>
    <col min="13062" max="13062" width="18.796875" style="69" customWidth="1"/>
    <col min="13063" max="13063" width="17.796875" style="69" customWidth="1"/>
    <col min="13064" max="13064" width="22.19921875" style="69" customWidth="1"/>
    <col min="13065" max="13065" width="5.59765625" style="69" customWidth="1"/>
    <col min="13066" max="13312" width="9.19921875" style="69"/>
    <col min="13313" max="13313" width="13.59765625" style="69" customWidth="1"/>
    <col min="13314" max="13314" width="8.19921875" style="69" customWidth="1"/>
    <col min="13315" max="13315" width="8.796875" style="69" customWidth="1"/>
    <col min="13316" max="13316" width="23.19921875" style="69" customWidth="1"/>
    <col min="13317" max="13317" width="16.796875" style="69" customWidth="1"/>
    <col min="13318" max="13318" width="18.796875" style="69" customWidth="1"/>
    <col min="13319" max="13319" width="17.796875" style="69" customWidth="1"/>
    <col min="13320" max="13320" width="22.19921875" style="69" customWidth="1"/>
    <col min="13321" max="13321" width="5.59765625" style="69" customWidth="1"/>
    <col min="13322" max="13568" width="9.19921875" style="69"/>
    <col min="13569" max="13569" width="13.59765625" style="69" customWidth="1"/>
    <col min="13570" max="13570" width="8.19921875" style="69" customWidth="1"/>
    <col min="13571" max="13571" width="8.796875" style="69" customWidth="1"/>
    <col min="13572" max="13572" width="23.19921875" style="69" customWidth="1"/>
    <col min="13573" max="13573" width="16.796875" style="69" customWidth="1"/>
    <col min="13574" max="13574" width="18.796875" style="69" customWidth="1"/>
    <col min="13575" max="13575" width="17.796875" style="69" customWidth="1"/>
    <col min="13576" max="13576" width="22.19921875" style="69" customWidth="1"/>
    <col min="13577" max="13577" width="5.59765625" style="69" customWidth="1"/>
    <col min="13578" max="13824" width="9.19921875" style="69"/>
    <col min="13825" max="13825" width="13.59765625" style="69" customWidth="1"/>
    <col min="13826" max="13826" width="8.19921875" style="69" customWidth="1"/>
    <col min="13827" max="13827" width="8.796875" style="69" customWidth="1"/>
    <col min="13828" max="13828" width="23.19921875" style="69" customWidth="1"/>
    <col min="13829" max="13829" width="16.796875" style="69" customWidth="1"/>
    <col min="13830" max="13830" width="18.796875" style="69" customWidth="1"/>
    <col min="13831" max="13831" width="17.796875" style="69" customWidth="1"/>
    <col min="13832" max="13832" width="22.19921875" style="69" customWidth="1"/>
    <col min="13833" max="13833" width="5.59765625" style="69" customWidth="1"/>
    <col min="13834" max="14080" width="9.19921875" style="69"/>
    <col min="14081" max="14081" width="13.59765625" style="69" customWidth="1"/>
    <col min="14082" max="14082" width="8.19921875" style="69" customWidth="1"/>
    <col min="14083" max="14083" width="8.796875" style="69" customWidth="1"/>
    <col min="14084" max="14084" width="23.19921875" style="69" customWidth="1"/>
    <col min="14085" max="14085" width="16.796875" style="69" customWidth="1"/>
    <col min="14086" max="14086" width="18.796875" style="69" customWidth="1"/>
    <col min="14087" max="14087" width="17.796875" style="69" customWidth="1"/>
    <col min="14088" max="14088" width="22.19921875" style="69" customWidth="1"/>
    <col min="14089" max="14089" width="5.59765625" style="69" customWidth="1"/>
    <col min="14090" max="14336" width="9.19921875" style="69"/>
    <col min="14337" max="14337" width="13.59765625" style="69" customWidth="1"/>
    <col min="14338" max="14338" width="8.19921875" style="69" customWidth="1"/>
    <col min="14339" max="14339" width="8.796875" style="69" customWidth="1"/>
    <col min="14340" max="14340" width="23.19921875" style="69" customWidth="1"/>
    <col min="14341" max="14341" width="16.796875" style="69" customWidth="1"/>
    <col min="14342" max="14342" width="18.796875" style="69" customWidth="1"/>
    <col min="14343" max="14343" width="17.796875" style="69" customWidth="1"/>
    <col min="14344" max="14344" width="22.19921875" style="69" customWidth="1"/>
    <col min="14345" max="14345" width="5.59765625" style="69" customWidth="1"/>
    <col min="14346" max="14592" width="9.19921875" style="69"/>
    <col min="14593" max="14593" width="13.59765625" style="69" customWidth="1"/>
    <col min="14594" max="14594" width="8.19921875" style="69" customWidth="1"/>
    <col min="14595" max="14595" width="8.796875" style="69" customWidth="1"/>
    <col min="14596" max="14596" width="23.19921875" style="69" customWidth="1"/>
    <col min="14597" max="14597" width="16.796875" style="69" customWidth="1"/>
    <col min="14598" max="14598" width="18.796875" style="69" customWidth="1"/>
    <col min="14599" max="14599" width="17.796875" style="69" customWidth="1"/>
    <col min="14600" max="14600" width="22.19921875" style="69" customWidth="1"/>
    <col min="14601" max="14601" width="5.59765625" style="69" customWidth="1"/>
    <col min="14602" max="14848" width="9.19921875" style="69"/>
    <col min="14849" max="14849" width="13.59765625" style="69" customWidth="1"/>
    <col min="14850" max="14850" width="8.19921875" style="69" customWidth="1"/>
    <col min="14851" max="14851" width="8.796875" style="69" customWidth="1"/>
    <col min="14852" max="14852" width="23.19921875" style="69" customWidth="1"/>
    <col min="14853" max="14853" width="16.796875" style="69" customWidth="1"/>
    <col min="14854" max="14854" width="18.796875" style="69" customWidth="1"/>
    <col min="14855" max="14855" width="17.796875" style="69" customWidth="1"/>
    <col min="14856" max="14856" width="22.19921875" style="69" customWidth="1"/>
    <col min="14857" max="14857" width="5.59765625" style="69" customWidth="1"/>
    <col min="14858" max="15104" width="9.19921875" style="69"/>
    <col min="15105" max="15105" width="13.59765625" style="69" customWidth="1"/>
    <col min="15106" max="15106" width="8.19921875" style="69" customWidth="1"/>
    <col min="15107" max="15107" width="8.796875" style="69" customWidth="1"/>
    <col min="15108" max="15108" width="23.19921875" style="69" customWidth="1"/>
    <col min="15109" max="15109" width="16.796875" style="69" customWidth="1"/>
    <col min="15110" max="15110" width="18.796875" style="69" customWidth="1"/>
    <col min="15111" max="15111" width="17.796875" style="69" customWidth="1"/>
    <col min="15112" max="15112" width="22.19921875" style="69" customWidth="1"/>
    <col min="15113" max="15113" width="5.59765625" style="69" customWidth="1"/>
    <col min="15114" max="15360" width="9.19921875" style="69"/>
    <col min="15361" max="15361" width="13.59765625" style="69" customWidth="1"/>
    <col min="15362" max="15362" width="8.19921875" style="69" customWidth="1"/>
    <col min="15363" max="15363" width="8.796875" style="69" customWidth="1"/>
    <col min="15364" max="15364" width="23.19921875" style="69" customWidth="1"/>
    <col min="15365" max="15365" width="16.796875" style="69" customWidth="1"/>
    <col min="15366" max="15366" width="18.796875" style="69" customWidth="1"/>
    <col min="15367" max="15367" width="17.796875" style="69" customWidth="1"/>
    <col min="15368" max="15368" width="22.19921875" style="69" customWidth="1"/>
    <col min="15369" max="15369" width="5.59765625" style="69" customWidth="1"/>
    <col min="15370" max="15616" width="9.19921875" style="69"/>
    <col min="15617" max="15617" width="13.59765625" style="69" customWidth="1"/>
    <col min="15618" max="15618" width="8.19921875" style="69" customWidth="1"/>
    <col min="15619" max="15619" width="8.796875" style="69" customWidth="1"/>
    <col min="15620" max="15620" width="23.19921875" style="69" customWidth="1"/>
    <col min="15621" max="15621" width="16.796875" style="69" customWidth="1"/>
    <col min="15622" max="15622" width="18.796875" style="69" customWidth="1"/>
    <col min="15623" max="15623" width="17.796875" style="69" customWidth="1"/>
    <col min="15624" max="15624" width="22.19921875" style="69" customWidth="1"/>
    <col min="15625" max="15625" width="5.59765625" style="69" customWidth="1"/>
    <col min="15626" max="15872" width="9.19921875" style="69"/>
    <col min="15873" max="15873" width="13.59765625" style="69" customWidth="1"/>
    <col min="15874" max="15874" width="8.19921875" style="69" customWidth="1"/>
    <col min="15875" max="15875" width="8.796875" style="69" customWidth="1"/>
    <col min="15876" max="15876" width="23.19921875" style="69" customWidth="1"/>
    <col min="15877" max="15877" width="16.796875" style="69" customWidth="1"/>
    <col min="15878" max="15878" width="18.796875" style="69" customWidth="1"/>
    <col min="15879" max="15879" width="17.796875" style="69" customWidth="1"/>
    <col min="15880" max="15880" width="22.19921875" style="69" customWidth="1"/>
    <col min="15881" max="15881" width="5.59765625" style="69" customWidth="1"/>
    <col min="15882" max="16128" width="9.19921875" style="69"/>
    <col min="16129" max="16129" width="13.59765625" style="69" customWidth="1"/>
    <col min="16130" max="16130" width="8.19921875" style="69" customWidth="1"/>
    <col min="16131" max="16131" width="8.796875" style="69" customWidth="1"/>
    <col min="16132" max="16132" width="23.19921875" style="69" customWidth="1"/>
    <col min="16133" max="16133" width="16.796875" style="69" customWidth="1"/>
    <col min="16134" max="16134" width="18.796875" style="69" customWidth="1"/>
    <col min="16135" max="16135" width="17.796875" style="69" customWidth="1"/>
    <col min="16136" max="16136" width="22.19921875" style="69" customWidth="1"/>
    <col min="16137" max="16137" width="5.59765625" style="69" customWidth="1"/>
    <col min="16138" max="16384" width="9.19921875" style="69"/>
  </cols>
  <sheetData>
    <row r="1" spans="1:8" ht="27">
      <c r="A1" s="446" t="s">
        <v>59</v>
      </c>
      <c r="B1" s="447"/>
      <c r="C1" s="447"/>
      <c r="D1" s="447"/>
      <c r="E1" s="447"/>
      <c r="F1" s="447"/>
      <c r="G1" s="447"/>
      <c r="H1" s="447"/>
    </row>
    <row r="2" spans="1:8" ht="27">
      <c r="A2" s="70"/>
      <c r="B2" s="71"/>
      <c r="C2" s="71"/>
      <c r="D2" s="71"/>
      <c r="E2" s="71"/>
      <c r="F2" s="71"/>
      <c r="G2" s="71"/>
      <c r="H2" s="71"/>
    </row>
    <row r="3" spans="1:8">
      <c r="A3" s="72" t="s">
        <v>609</v>
      </c>
      <c r="B3" s="72"/>
      <c r="C3" s="72"/>
      <c r="D3" s="72"/>
      <c r="E3" s="73"/>
      <c r="F3" s="448">
        <f ca="1">TODAY()</f>
        <v>45973</v>
      </c>
      <c r="G3" s="448"/>
      <c r="H3" s="448"/>
    </row>
    <row r="4" spans="1:8" ht="17">
      <c r="A4" s="71"/>
      <c r="B4" s="74"/>
      <c r="C4" s="74"/>
      <c r="D4" s="74"/>
      <c r="E4" s="74"/>
      <c r="F4" s="74"/>
      <c r="G4" s="74"/>
      <c r="H4" s="74"/>
    </row>
    <row r="5" spans="1:8" ht="17">
      <c r="A5" s="449" t="s">
        <v>58</v>
      </c>
      <c r="B5" s="449"/>
      <c r="C5" s="75" t="s">
        <v>610</v>
      </c>
      <c r="D5" s="75"/>
      <c r="E5" s="75"/>
      <c r="F5" s="75"/>
      <c r="G5" s="75"/>
      <c r="H5" s="74"/>
    </row>
    <row r="6" spans="1:8" ht="17">
      <c r="A6" s="71"/>
      <c r="B6" s="74"/>
      <c r="C6" s="74"/>
      <c r="D6" s="74"/>
      <c r="E6" s="74"/>
      <c r="F6" s="74"/>
      <c r="G6" s="74"/>
      <c r="H6" s="74"/>
    </row>
    <row r="7" spans="1:8" ht="17">
      <c r="A7" s="449" t="s">
        <v>57</v>
      </c>
      <c r="B7" s="449"/>
      <c r="C7" s="76" t="s">
        <v>56</v>
      </c>
      <c r="D7" s="76" t="str">
        <f>NUMBERSTRING(D8,1)&amp;"원정-부가세 별도"</f>
        <v>일억팔천육백칠만삼천사백구십오원정-부가세 별도</v>
      </c>
      <c r="E7" s="75"/>
      <c r="F7" s="75"/>
      <c r="G7" s="75"/>
      <c r="H7" s="74"/>
    </row>
    <row r="8" spans="1:8" ht="17">
      <c r="A8" s="71"/>
      <c r="B8" s="74"/>
      <c r="C8" s="77" t="s">
        <v>55</v>
      </c>
      <c r="D8" s="78">
        <f>' 갑지-1'!L26</f>
        <v>186073494.79621598</v>
      </c>
      <c r="E8" s="74" t="s">
        <v>54</v>
      </c>
      <c r="F8" s="74"/>
      <c r="G8" s="74"/>
      <c r="H8" s="74"/>
    </row>
    <row r="9" spans="1:8" ht="17">
      <c r="A9" s="71"/>
      <c r="B9" s="74"/>
      <c r="C9" s="74"/>
      <c r="D9" s="74"/>
      <c r="E9" s="74"/>
      <c r="F9" s="74"/>
      <c r="G9" s="74"/>
      <c r="H9" s="74"/>
    </row>
    <row r="10" spans="1:8" ht="17">
      <c r="A10" s="340" t="s">
        <v>257</v>
      </c>
      <c r="B10" s="74"/>
      <c r="C10" s="74"/>
      <c r="D10" s="74"/>
      <c r="E10" s="74"/>
      <c r="F10" s="74"/>
      <c r="G10" s="74"/>
      <c r="H10" s="74"/>
    </row>
    <row r="11" spans="1:8" ht="17">
      <c r="A11" s="71"/>
      <c r="B11" s="71"/>
      <c r="C11" s="71"/>
      <c r="D11" s="71"/>
      <c r="E11" s="74"/>
      <c r="F11" s="74"/>
      <c r="G11" s="74"/>
      <c r="H11" s="74"/>
    </row>
    <row r="12" spans="1:8" ht="15.75" customHeight="1">
      <c r="A12" s="191"/>
      <c r="B12" s="192"/>
      <c r="C12" s="192"/>
      <c r="D12" s="192"/>
      <c r="E12" s="193"/>
      <c r="F12" s="193"/>
      <c r="G12" s="193"/>
      <c r="H12" s="194"/>
    </row>
    <row r="13" spans="1:8" ht="15.75" customHeight="1">
      <c r="A13" s="195" t="s">
        <v>53</v>
      </c>
      <c r="B13" s="196"/>
      <c r="C13" s="79"/>
      <c r="D13" s="79"/>
      <c r="E13" s="79"/>
      <c r="F13" s="197"/>
      <c r="G13" s="197"/>
      <c r="H13" s="198"/>
    </row>
    <row r="14" spans="1:8" ht="15.75" customHeight="1">
      <c r="A14" s="199" t="s">
        <v>52</v>
      </c>
      <c r="B14" s="200" t="s">
        <v>171</v>
      </c>
      <c r="C14" s="196"/>
      <c r="D14" s="74"/>
      <c r="E14" s="80"/>
      <c r="F14" s="74"/>
      <c r="G14" s="74"/>
      <c r="H14" s="201"/>
    </row>
    <row r="15" spans="1:8" ht="15.75" customHeight="1">
      <c r="A15" s="199" t="s">
        <v>16</v>
      </c>
      <c r="B15" s="425" t="s">
        <v>155</v>
      </c>
      <c r="C15" s="79"/>
      <c r="D15" s="79"/>
      <c r="E15" s="79"/>
      <c r="F15" s="79"/>
      <c r="G15" s="79"/>
      <c r="H15" s="202" t="s">
        <v>51</v>
      </c>
    </row>
    <row r="16" spans="1:8" ht="15.75" customHeight="1">
      <c r="A16" s="199" t="s">
        <v>17</v>
      </c>
      <c r="B16" s="200"/>
      <c r="C16" s="79"/>
      <c r="D16" s="79"/>
      <c r="E16" s="79"/>
      <c r="F16" s="79"/>
      <c r="G16" s="79"/>
      <c r="H16" s="202"/>
    </row>
    <row r="17" spans="1:8" ht="15.75" customHeight="1">
      <c r="A17" s="199" t="s">
        <v>18</v>
      </c>
      <c r="B17" s="200"/>
      <c r="C17" s="79"/>
      <c r="D17" s="79"/>
      <c r="E17" s="79"/>
      <c r="F17" s="79"/>
      <c r="G17" s="79"/>
      <c r="H17" s="202"/>
    </row>
    <row r="18" spans="1:8" ht="15.75" customHeight="1">
      <c r="A18" s="199" t="s">
        <v>19</v>
      </c>
      <c r="B18" s="200"/>
      <c r="C18" s="79"/>
      <c r="D18" s="79"/>
      <c r="E18" s="79"/>
      <c r="F18" s="79"/>
      <c r="G18" s="79"/>
      <c r="H18" s="202"/>
    </row>
    <row r="19" spans="1:8" ht="15.75" customHeight="1">
      <c r="A19" s="199" t="s">
        <v>20</v>
      </c>
      <c r="B19" s="200"/>
      <c r="C19" s="79"/>
      <c r="D19" s="79"/>
      <c r="E19" s="79"/>
      <c r="F19" s="79"/>
      <c r="G19" s="79"/>
      <c r="H19" s="202"/>
    </row>
    <row r="20" spans="1:8" ht="15.75" customHeight="1">
      <c r="A20" s="203" t="s">
        <v>50</v>
      </c>
      <c r="B20" s="204"/>
      <c r="C20" s="205"/>
      <c r="D20" s="205"/>
      <c r="E20" s="205"/>
      <c r="F20" s="206"/>
      <c r="G20" s="206"/>
      <c r="H20" s="207"/>
    </row>
    <row r="21" spans="1:8" ht="27">
      <c r="A21" s="79"/>
      <c r="B21" s="81"/>
      <c r="C21" s="81"/>
      <c r="D21" s="81"/>
      <c r="E21" s="82"/>
      <c r="F21" s="82"/>
      <c r="G21" s="450" t="s">
        <v>139</v>
      </c>
      <c r="H21" s="450"/>
    </row>
    <row r="22" spans="1:8" ht="27">
      <c r="A22" s="79"/>
      <c r="B22" s="83"/>
      <c r="C22" s="83"/>
      <c r="D22" s="81"/>
      <c r="E22" s="82"/>
      <c r="F22" s="82"/>
      <c r="G22" s="80" t="s">
        <v>140</v>
      </c>
      <c r="H22" s="81"/>
    </row>
    <row r="23" spans="1:8" ht="27">
      <c r="A23" s="79"/>
      <c r="B23" s="81"/>
      <c r="C23" s="81"/>
      <c r="D23" s="81"/>
      <c r="E23" s="82"/>
      <c r="F23" s="82"/>
      <c r="G23" s="80" t="s">
        <v>141</v>
      </c>
      <c r="H23" s="81"/>
    </row>
  </sheetData>
  <mergeCells count="5">
    <mergeCell ref="A1:H1"/>
    <mergeCell ref="F3:H3"/>
    <mergeCell ref="A5:B5"/>
    <mergeCell ref="A7:B7"/>
    <mergeCell ref="G21:H21"/>
  </mergeCells>
  <phoneticPr fontId="22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Q36"/>
  <sheetViews>
    <sheetView view="pageBreakPreview" zoomScaleSheetLayoutView="100" workbookViewId="0">
      <selection activeCell="L26" sqref="L26"/>
    </sheetView>
  </sheetViews>
  <sheetFormatPr baseColWidth="10" defaultColWidth="9.19921875" defaultRowHeight="19.5" customHeight="1" outlineLevelCol="1"/>
  <cols>
    <col min="1" max="1" width="19.19921875" style="160" bestFit="1" customWidth="1"/>
    <col min="2" max="2" width="32.796875" style="161" customWidth="1"/>
    <col min="3" max="3" width="24.59765625" style="115" customWidth="1"/>
    <col min="4" max="5" width="8.796875" style="162" customWidth="1"/>
    <col min="6" max="6" width="21.59765625" style="163" customWidth="1"/>
    <col min="7" max="7" width="14.796875" style="164" customWidth="1" outlineLevel="1"/>
    <col min="8" max="8" width="17.796875" style="164" customWidth="1" outlineLevel="1"/>
    <col min="9" max="9" width="14.796875" style="164" customWidth="1" outlineLevel="1"/>
    <col min="10" max="10" width="17.796875" style="164" customWidth="1" outlineLevel="1"/>
    <col min="11" max="11" width="14.796875" style="164" customWidth="1"/>
    <col min="12" max="12" width="17.796875" style="164" customWidth="1"/>
    <col min="13" max="13" width="23.19921875" style="165" customWidth="1"/>
    <col min="14" max="16" width="9.19921875" style="106"/>
    <col min="17" max="17" width="15.19921875" style="106" bestFit="1" customWidth="1"/>
    <col min="18" max="16384" width="9.19921875" style="106"/>
  </cols>
  <sheetData>
    <row r="1" spans="1:13" s="84" customFormat="1" ht="35" customHeight="1">
      <c r="A1" s="453" t="s">
        <v>608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</row>
    <row r="2" spans="1:13" s="84" customFormat="1" ht="24" customHeigh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s="84" customFormat="1" ht="24" customHeight="1">
      <c r="A3" s="175"/>
      <c r="B3" s="86"/>
      <c r="C3" s="86"/>
      <c r="D3" s="86"/>
      <c r="E3" s="86"/>
      <c r="F3" s="178"/>
      <c r="G3" s="86"/>
      <c r="H3" s="86"/>
      <c r="I3" s="86"/>
      <c r="J3" s="86"/>
      <c r="K3" s="86"/>
      <c r="L3" s="86"/>
      <c r="M3" s="86"/>
    </row>
    <row r="4" spans="1:13" s="87" customFormat="1" ht="18" customHeight="1">
      <c r="A4" s="451" t="s">
        <v>10</v>
      </c>
      <c r="B4" s="454" t="s">
        <v>4</v>
      </c>
      <c r="C4" s="451" t="s">
        <v>5</v>
      </c>
      <c r="D4" s="451" t="s">
        <v>37</v>
      </c>
      <c r="E4" s="451" t="s">
        <v>6</v>
      </c>
      <c r="F4" s="456" t="s">
        <v>7</v>
      </c>
      <c r="G4" s="458" t="s">
        <v>60</v>
      </c>
      <c r="H4" s="458"/>
      <c r="I4" s="458" t="s">
        <v>61</v>
      </c>
      <c r="J4" s="458"/>
      <c r="K4" s="458" t="s">
        <v>62</v>
      </c>
      <c r="L4" s="458"/>
      <c r="M4" s="451" t="s">
        <v>8</v>
      </c>
    </row>
    <row r="5" spans="1:13" s="87" customFormat="1" ht="18" customHeight="1">
      <c r="A5" s="452"/>
      <c r="B5" s="455"/>
      <c r="C5" s="452"/>
      <c r="D5" s="452"/>
      <c r="E5" s="452"/>
      <c r="F5" s="457"/>
      <c r="G5" s="88" t="s">
        <v>0</v>
      </c>
      <c r="H5" s="88" t="s">
        <v>1</v>
      </c>
      <c r="I5" s="88" t="s">
        <v>0</v>
      </c>
      <c r="J5" s="88" t="s">
        <v>1</v>
      </c>
      <c r="K5" s="88" t="s">
        <v>0</v>
      </c>
      <c r="L5" s="88" t="s">
        <v>1</v>
      </c>
      <c r="M5" s="452"/>
    </row>
    <row r="6" spans="1:13" s="97" customFormat="1" ht="18" customHeight="1">
      <c r="A6" s="89" t="s">
        <v>14</v>
      </c>
      <c r="B6" s="90" t="s">
        <v>611</v>
      </c>
      <c r="C6" s="91"/>
      <c r="D6" s="92"/>
      <c r="E6" s="93"/>
      <c r="F6" s="94"/>
      <c r="G6" s="95"/>
      <c r="H6" s="95"/>
      <c r="I6" s="95"/>
      <c r="J6" s="95"/>
      <c r="K6" s="95"/>
      <c r="L6" s="95"/>
      <c r="M6" s="96"/>
    </row>
    <row r="7" spans="1:13" ht="18" customHeight="1">
      <c r="A7" s="98" t="s">
        <v>45</v>
      </c>
      <c r="B7" s="99" t="s">
        <v>448</v>
      </c>
      <c r="C7" s="100"/>
      <c r="D7" s="101"/>
      <c r="E7" s="102" t="s">
        <v>36</v>
      </c>
      <c r="F7" s="103">
        <v>1</v>
      </c>
      <c r="G7" s="104"/>
      <c r="H7" s="104">
        <f>상세!H10</f>
        <v>93413610.727272719</v>
      </c>
      <c r="I7" s="104"/>
      <c r="J7" s="104">
        <v>0</v>
      </c>
      <c r="K7" s="104"/>
      <c r="L7" s="104">
        <f>H7</f>
        <v>93413610.727272719</v>
      </c>
      <c r="M7" s="105"/>
    </row>
    <row r="8" spans="1:13" ht="18" customHeight="1">
      <c r="A8" s="98" t="s">
        <v>25</v>
      </c>
      <c r="B8" s="99" t="s">
        <v>449</v>
      </c>
      <c r="C8" s="100"/>
      <c r="D8" s="101"/>
      <c r="E8" s="102" t="s">
        <v>36</v>
      </c>
      <c r="F8" s="103">
        <v>1</v>
      </c>
      <c r="G8" s="104"/>
      <c r="H8" s="104">
        <v>0</v>
      </c>
      <c r="I8" s="104"/>
      <c r="J8" s="104">
        <f>상세!J10</f>
        <v>56594216.545454547</v>
      </c>
      <c r="K8" s="104"/>
      <c r="L8" s="104">
        <f>J8</f>
        <v>56594216.545454547</v>
      </c>
      <c r="M8" s="105"/>
    </row>
    <row r="9" spans="1:13" ht="18" customHeight="1">
      <c r="A9" s="98"/>
      <c r="B9" s="99"/>
      <c r="C9" s="100"/>
      <c r="D9" s="101"/>
      <c r="E9" s="102"/>
      <c r="F9" s="103"/>
      <c r="G9" s="104"/>
      <c r="H9" s="104"/>
      <c r="I9" s="104"/>
      <c r="J9" s="104"/>
      <c r="K9" s="104"/>
      <c r="L9" s="104"/>
      <c r="M9" s="105"/>
    </row>
    <row r="10" spans="1:13" s="114" customFormat="1" ht="18" customHeight="1">
      <c r="A10" s="107"/>
      <c r="B10" s="107" t="s">
        <v>97</v>
      </c>
      <c r="C10" s="108"/>
      <c r="D10" s="109"/>
      <c r="E10" s="110"/>
      <c r="F10" s="111"/>
      <c r="G10" s="112"/>
      <c r="H10" s="112">
        <f>상세!H10</f>
        <v>93413610.727272719</v>
      </c>
      <c r="I10" s="112"/>
      <c r="J10" s="112">
        <f>상세!J10</f>
        <v>56594216.545454547</v>
      </c>
      <c r="K10" s="112"/>
      <c r="L10" s="112">
        <f>L8+L7</f>
        <v>150007827.27272725</v>
      </c>
      <c r="M10" s="113"/>
    </row>
    <row r="11" spans="1:13" ht="18" customHeight="1">
      <c r="A11" s="181"/>
      <c r="B11" s="182"/>
      <c r="C11" s="183"/>
      <c r="D11" s="184"/>
      <c r="E11" s="185"/>
      <c r="F11" s="390"/>
      <c r="G11" s="187"/>
      <c r="H11" s="187"/>
      <c r="I11" s="104"/>
      <c r="J11" s="104"/>
      <c r="K11" s="104"/>
      <c r="L11" s="104"/>
      <c r="M11" s="105"/>
    </row>
    <row r="12" spans="1:13" ht="18" customHeight="1">
      <c r="A12" s="181" t="s">
        <v>450</v>
      </c>
      <c r="B12" s="99" t="s">
        <v>451</v>
      </c>
      <c r="C12" s="183" t="s">
        <v>457</v>
      </c>
      <c r="D12" s="121"/>
      <c r="E12" s="389">
        <v>3.56E-2</v>
      </c>
      <c r="F12" s="186">
        <v>1</v>
      </c>
      <c r="G12" s="118"/>
      <c r="H12" s="118"/>
      <c r="I12" s="383"/>
      <c r="J12" s="104"/>
      <c r="K12" s="104"/>
      <c r="L12" s="104">
        <f>J10*E12</f>
        <v>2014754.1090181819</v>
      </c>
      <c r="M12" s="105"/>
    </row>
    <row r="13" spans="1:13" ht="18" customHeight="1">
      <c r="A13" s="181" t="s">
        <v>463</v>
      </c>
      <c r="B13" s="182" t="s">
        <v>452</v>
      </c>
      <c r="C13" s="183" t="s">
        <v>458</v>
      </c>
      <c r="D13" s="121"/>
      <c r="E13" s="386">
        <v>1.01E-2</v>
      </c>
      <c r="F13" s="387">
        <v>1</v>
      </c>
      <c r="G13" s="118"/>
      <c r="H13" s="118"/>
      <c r="I13" s="383"/>
      <c r="J13" s="104"/>
      <c r="K13" s="104"/>
      <c r="L13" s="104">
        <f>J10*E13</f>
        <v>571601.58710909088</v>
      </c>
      <c r="M13" s="105"/>
    </row>
    <row r="14" spans="1:13" ht="18" customHeight="1">
      <c r="A14" s="181" t="s">
        <v>450</v>
      </c>
      <c r="B14" s="182" t="s">
        <v>453</v>
      </c>
      <c r="C14" s="183" t="s">
        <v>459</v>
      </c>
      <c r="D14" s="184"/>
      <c r="E14" s="389">
        <v>3.5450000000000002E-2</v>
      </c>
      <c r="F14" s="390">
        <v>1</v>
      </c>
      <c r="G14" s="391"/>
      <c r="H14" s="118"/>
      <c r="I14" s="383"/>
      <c r="J14" s="104"/>
      <c r="K14" s="104"/>
      <c r="L14" s="104">
        <f>J10*E14</f>
        <v>2006264.9765363638</v>
      </c>
      <c r="M14" s="105"/>
    </row>
    <row r="15" spans="1:13" ht="18" customHeight="1">
      <c r="A15" s="181" t="s">
        <v>463</v>
      </c>
      <c r="B15" s="182" t="s">
        <v>454</v>
      </c>
      <c r="C15" s="183" t="s">
        <v>460</v>
      </c>
      <c r="D15" s="121"/>
      <c r="E15" s="389">
        <v>4.4999999999999998E-2</v>
      </c>
      <c r="F15" s="390">
        <v>1</v>
      </c>
      <c r="G15" s="391"/>
      <c r="H15" s="118"/>
      <c r="I15" s="383"/>
      <c r="J15" s="104"/>
      <c r="K15" s="104"/>
      <c r="L15" s="104">
        <f>J10*E15</f>
        <v>2546739.7445454546</v>
      </c>
      <c r="M15" s="105"/>
    </row>
    <row r="16" spans="1:13" ht="18" customHeight="1">
      <c r="A16" s="181" t="s">
        <v>463</v>
      </c>
      <c r="B16" s="182" t="s">
        <v>455</v>
      </c>
      <c r="C16" s="183" t="s">
        <v>461</v>
      </c>
      <c r="D16" s="184"/>
      <c r="E16" s="384">
        <v>0.1295</v>
      </c>
      <c r="F16" s="387">
        <v>1</v>
      </c>
      <c r="G16" s="118"/>
      <c r="H16" s="118"/>
      <c r="I16" s="383"/>
      <c r="J16" s="104"/>
      <c r="K16" s="104"/>
      <c r="L16" s="104">
        <f>L14*E16</f>
        <v>259811.31446145911</v>
      </c>
      <c r="M16" s="105"/>
    </row>
    <row r="17" spans="1:17" ht="18" customHeight="1">
      <c r="A17" s="181" t="s">
        <v>450</v>
      </c>
      <c r="B17" s="182" t="s">
        <v>456</v>
      </c>
      <c r="C17" s="183" t="s">
        <v>462</v>
      </c>
      <c r="D17" s="121"/>
      <c r="E17" s="388">
        <v>3.1099999999999999E-2</v>
      </c>
      <c r="F17" s="387">
        <v>1</v>
      </c>
      <c r="G17" s="187"/>
      <c r="H17" s="118"/>
      <c r="I17" s="383"/>
      <c r="J17" s="104"/>
      <c r="K17" s="104"/>
      <c r="L17" s="104">
        <f>L10*E17</f>
        <v>4665243.4281818178</v>
      </c>
      <c r="M17" s="105"/>
    </row>
    <row r="18" spans="1:17" ht="18" customHeight="1">
      <c r="A18" s="181" t="s">
        <v>450</v>
      </c>
      <c r="B18" s="182" t="s">
        <v>464</v>
      </c>
      <c r="C18" s="183"/>
      <c r="D18" s="121"/>
      <c r="E18" s="389">
        <v>0.02</v>
      </c>
      <c r="F18" s="390"/>
      <c r="G18" s="118"/>
      <c r="H18" s="118"/>
      <c r="I18" s="383"/>
      <c r="J18" s="104"/>
      <c r="K18" s="104"/>
      <c r="L18" s="104">
        <f>L10*E18</f>
        <v>3000156.5454545449</v>
      </c>
      <c r="M18" s="105"/>
      <c r="Q18" s="392"/>
    </row>
    <row r="19" spans="1:17" ht="18" customHeight="1">
      <c r="A19" s="121" t="s">
        <v>23</v>
      </c>
      <c r="B19" s="100" t="s">
        <v>156</v>
      </c>
      <c r="C19" s="100"/>
      <c r="D19" s="166"/>
      <c r="E19" s="384">
        <v>0.04</v>
      </c>
      <c r="F19" s="116">
        <v>1</v>
      </c>
      <c r="G19" s="117"/>
      <c r="H19" s="118"/>
      <c r="I19" s="179"/>
      <c r="J19" s="118"/>
      <c r="K19" s="118"/>
      <c r="L19" s="346">
        <f>L10*E19</f>
        <v>6000313.0909090899</v>
      </c>
      <c r="M19" s="105"/>
      <c r="Q19" s="392"/>
    </row>
    <row r="20" spans="1:17" s="287" customFormat="1" ht="18" customHeight="1">
      <c r="A20" s="280" t="s">
        <v>23</v>
      </c>
      <c r="B20" s="281" t="s">
        <v>157</v>
      </c>
      <c r="C20" s="281"/>
      <c r="D20" s="282"/>
      <c r="E20" s="389">
        <v>0.1</v>
      </c>
      <c r="F20" s="283">
        <v>1</v>
      </c>
      <c r="G20" s="284"/>
      <c r="H20" s="285"/>
      <c r="I20" s="286"/>
      <c r="J20" s="285"/>
      <c r="K20" s="285"/>
      <c r="L20" s="346">
        <f>L10*E20</f>
        <v>15000782.727272727</v>
      </c>
      <c r="M20" s="159"/>
    </row>
    <row r="21" spans="1:17" ht="18" customHeight="1">
      <c r="A21" s="121"/>
      <c r="B21" s="100"/>
      <c r="C21" s="190"/>
      <c r="D21" s="189"/>
      <c r="E21" s="102"/>
      <c r="F21" s="385"/>
      <c r="G21" s="117"/>
      <c r="H21" s="118"/>
      <c r="I21" s="179"/>
      <c r="J21" s="118"/>
      <c r="K21" s="118"/>
      <c r="L21" s="119"/>
      <c r="M21" s="105"/>
      <c r="Q21" s="392"/>
    </row>
    <row r="22" spans="1:17" ht="18" customHeight="1">
      <c r="A22" s="121"/>
      <c r="B22" s="100"/>
      <c r="C22" s="120"/>
      <c r="D22" s="121"/>
      <c r="E22" s="122"/>
      <c r="F22" s="116"/>
      <c r="G22" s="117"/>
      <c r="H22" s="118"/>
      <c r="I22" s="179"/>
      <c r="J22" s="118"/>
      <c r="K22" s="118"/>
      <c r="L22" s="118"/>
      <c r="M22" s="105"/>
    </row>
    <row r="23" spans="1:17" s="130" customFormat="1" ht="18" customHeight="1">
      <c r="A23" s="124"/>
      <c r="B23" s="107" t="s">
        <v>142</v>
      </c>
      <c r="C23" s="123"/>
      <c r="D23" s="124"/>
      <c r="E23" s="125"/>
      <c r="F23" s="126"/>
      <c r="G23" s="127"/>
      <c r="H23" s="128"/>
      <c r="I23" s="180"/>
      <c r="J23" s="128"/>
      <c r="K23" s="128"/>
      <c r="L23" s="128">
        <f>SUM(L12:L22)</f>
        <v>36065667.52348873</v>
      </c>
      <c r="M23" s="129"/>
    </row>
    <row r="24" spans="1:17" s="130" customFormat="1" ht="18" customHeight="1">
      <c r="A24" s="124"/>
      <c r="B24" s="107"/>
      <c r="C24" s="123"/>
      <c r="D24" s="124"/>
      <c r="E24" s="125"/>
      <c r="F24" s="126" t="s">
        <v>194</v>
      </c>
      <c r="G24" s="127"/>
      <c r="H24" s="128"/>
      <c r="I24" s="180"/>
      <c r="J24" s="128"/>
      <c r="K24" s="128"/>
      <c r="L24" s="128"/>
      <c r="M24" s="129"/>
    </row>
    <row r="25" spans="1:17" ht="18" customHeight="1">
      <c r="A25" s="188"/>
      <c r="B25" s="189"/>
      <c r="C25" s="190"/>
      <c r="D25" s="101"/>
      <c r="E25" s="102"/>
      <c r="F25" s="103"/>
      <c r="G25" s="104"/>
      <c r="H25" s="104"/>
      <c r="I25" s="104"/>
      <c r="J25" s="104"/>
      <c r="K25" s="104" t="s">
        <v>149</v>
      </c>
      <c r="L25" s="104"/>
      <c r="M25" s="105"/>
    </row>
    <row r="26" spans="1:17" s="138" customFormat="1" ht="18" customHeight="1">
      <c r="A26" s="131"/>
      <c r="B26" s="131" t="s">
        <v>143</v>
      </c>
      <c r="C26" s="132"/>
      <c r="D26" s="133"/>
      <c r="E26" s="134"/>
      <c r="F26" s="135"/>
      <c r="G26" s="136"/>
      <c r="H26" s="136"/>
      <c r="I26" s="136"/>
      <c r="J26" s="136"/>
      <c r="K26" s="136"/>
      <c r="L26" s="136">
        <f>L10+L23+L24-L25</f>
        <v>186073494.79621598</v>
      </c>
      <c r="M26" s="137" t="s">
        <v>170</v>
      </c>
    </row>
    <row r="27" spans="1:17" ht="18" customHeight="1">
      <c r="A27" s="139"/>
      <c r="B27" s="140"/>
      <c r="C27" s="141"/>
      <c r="D27" s="142"/>
      <c r="E27" s="142"/>
      <c r="F27" s="143"/>
      <c r="G27" s="144"/>
      <c r="H27" s="144"/>
      <c r="I27" s="144"/>
      <c r="J27" s="144"/>
      <c r="K27" s="144"/>
      <c r="L27" s="144"/>
      <c r="M27" s="145"/>
    </row>
    <row r="28" spans="1:17" ht="18" customHeight="1">
      <c r="A28" s="146"/>
      <c r="B28" s="147"/>
      <c r="C28" s="148"/>
      <c r="D28" s="149"/>
      <c r="E28" s="149"/>
      <c r="F28" s="150"/>
      <c r="G28" s="151"/>
      <c r="H28" s="151"/>
      <c r="I28" s="151"/>
      <c r="J28" s="151"/>
      <c r="K28" s="151"/>
      <c r="L28" s="151"/>
      <c r="M28" s="152"/>
    </row>
    <row r="29" spans="1:17" ht="18" customHeight="1">
      <c r="A29" s="146"/>
      <c r="B29" s="147"/>
      <c r="C29" s="148"/>
      <c r="D29" s="149"/>
      <c r="E29" s="149"/>
      <c r="F29" s="150"/>
      <c r="G29" s="151"/>
      <c r="H29" s="151"/>
      <c r="I29" s="151"/>
      <c r="J29" s="151"/>
      <c r="K29" s="151"/>
      <c r="L29" s="151"/>
      <c r="M29" s="152"/>
    </row>
    <row r="30" spans="1:17" ht="18" customHeight="1">
      <c r="A30" s="146"/>
      <c r="B30" s="147"/>
      <c r="C30" s="148"/>
      <c r="D30" s="149"/>
      <c r="E30" s="149"/>
      <c r="F30" s="150"/>
      <c r="G30" s="151"/>
      <c r="H30" s="151"/>
      <c r="I30" s="151"/>
      <c r="J30" s="151"/>
      <c r="K30" s="151"/>
      <c r="L30" s="151"/>
      <c r="M30" s="152"/>
    </row>
    <row r="31" spans="1:17" ht="18" customHeight="1">
      <c r="A31" s="146"/>
      <c r="B31" s="277" t="s">
        <v>194</v>
      </c>
      <c r="C31" s="148"/>
      <c r="D31" s="149"/>
      <c r="E31" s="149"/>
      <c r="F31" s="150"/>
      <c r="G31" s="151"/>
      <c r="H31" s="151"/>
      <c r="I31" s="151"/>
      <c r="J31" s="151"/>
      <c r="K31" s="151"/>
      <c r="L31" s="151"/>
      <c r="M31" s="152"/>
    </row>
    <row r="32" spans="1:17" ht="18" customHeight="1">
      <c r="A32" s="146" t="s">
        <v>40</v>
      </c>
      <c r="B32" s="147" t="s">
        <v>49</v>
      </c>
      <c r="C32" s="148"/>
      <c r="D32" s="149"/>
      <c r="E32" s="149"/>
      <c r="F32" s="150"/>
      <c r="G32" s="151"/>
      <c r="H32" s="151"/>
      <c r="I32" s="151"/>
      <c r="J32" s="151"/>
      <c r="K32" s="151"/>
      <c r="L32" s="151"/>
      <c r="M32" s="152"/>
    </row>
    <row r="33" spans="1:13" ht="18" customHeight="1">
      <c r="A33" s="146" t="s">
        <v>44</v>
      </c>
      <c r="B33" s="147" t="s">
        <v>171</v>
      </c>
      <c r="C33" s="148"/>
      <c r="D33" s="149"/>
      <c r="E33" s="149"/>
      <c r="F33" s="150"/>
      <c r="G33" s="151"/>
      <c r="H33" s="151"/>
      <c r="I33" s="151"/>
      <c r="J33" s="151"/>
      <c r="K33" s="151"/>
      <c r="L33" s="151"/>
      <c r="M33" s="152"/>
    </row>
    <row r="34" spans="1:13" ht="18" customHeight="1">
      <c r="A34" s="170" t="s">
        <v>44</v>
      </c>
      <c r="B34" s="427" t="s">
        <v>154</v>
      </c>
      <c r="C34" s="148"/>
      <c r="D34" s="149"/>
      <c r="E34" s="149"/>
      <c r="F34" s="150"/>
      <c r="G34" s="151"/>
      <c r="H34" s="151"/>
      <c r="I34" s="151"/>
      <c r="J34" s="151"/>
      <c r="K34" s="151"/>
      <c r="L34" s="151"/>
      <c r="M34" s="152"/>
    </row>
    <row r="35" spans="1:13" ht="18" customHeight="1">
      <c r="A35" s="146"/>
      <c r="B35" s="147"/>
      <c r="C35" s="148"/>
      <c r="D35" s="149"/>
      <c r="E35" s="149"/>
      <c r="F35" s="150"/>
      <c r="G35" s="151"/>
      <c r="H35" s="151"/>
      <c r="I35" s="151"/>
      <c r="J35" s="151"/>
      <c r="K35" s="151"/>
      <c r="L35" s="151"/>
      <c r="M35" s="152"/>
    </row>
    <row r="36" spans="1:13" ht="18" customHeight="1">
      <c r="A36" s="153"/>
      <c r="B36" s="154"/>
      <c r="C36" s="155"/>
      <c r="D36" s="156"/>
      <c r="E36" s="156"/>
      <c r="F36" s="157"/>
      <c r="G36" s="158"/>
      <c r="H36" s="158"/>
      <c r="I36" s="158"/>
      <c r="J36" s="158"/>
      <c r="K36" s="158"/>
      <c r="L36" s="158"/>
      <c r="M36" s="152"/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2" type="noConversion"/>
  <pageMargins left="0.7" right="0.7" top="0.75" bottom="0.75" header="0.3" footer="0.3"/>
  <pageSetup paperSize="9" scale="6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Q409"/>
  <sheetViews>
    <sheetView tabSelected="1" view="pageBreakPreview" topLeftCell="B1" zoomScale="133" zoomScaleSheetLayoutView="100" workbookViewId="0">
      <pane ySplit="4" topLeftCell="A246" activePane="bottomLeft" state="frozen"/>
      <selection activeCell="F18" sqref="F18"/>
      <selection pane="bottomLeft" activeCell="G388" sqref="G388"/>
    </sheetView>
  </sheetViews>
  <sheetFormatPr baseColWidth="10" defaultColWidth="9.19921875" defaultRowHeight="19.5" customHeight="1"/>
  <cols>
    <col min="1" max="1" width="8.796875" style="63" bestFit="1" customWidth="1"/>
    <col min="2" max="2" width="32.796875" style="64" customWidth="1"/>
    <col min="3" max="3" width="27.796875" style="65" customWidth="1"/>
    <col min="4" max="4" width="17.796875" style="66" customWidth="1"/>
    <col min="5" max="5" width="8.796875" style="66" customWidth="1"/>
    <col min="6" max="6" width="13" style="67" customWidth="1"/>
    <col min="7" max="7" width="14.796875" style="68" customWidth="1"/>
    <col min="8" max="8" width="18" style="68" customWidth="1"/>
    <col min="9" max="9" width="14.796875" style="68" customWidth="1"/>
    <col min="10" max="10" width="18" style="68" customWidth="1"/>
    <col min="11" max="11" width="14.796875" style="68" customWidth="1"/>
    <col min="12" max="12" width="18" style="68" customWidth="1"/>
    <col min="13" max="13" width="20.59765625" style="248" customWidth="1"/>
    <col min="14" max="16384" width="9.19921875" style="9"/>
  </cols>
  <sheetData>
    <row r="1" spans="1:13" s="1" customFormat="1" ht="35" customHeight="1">
      <c r="A1" s="464" t="s">
        <v>608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</row>
    <row r="2" spans="1:13" s="256" customFormat="1" ht="18" customHeight="1">
      <c r="A2" s="465" t="s">
        <v>10</v>
      </c>
      <c r="B2" s="466" t="s">
        <v>4</v>
      </c>
      <c r="C2" s="467" t="s">
        <v>114</v>
      </c>
      <c r="D2" s="467" t="s">
        <v>144</v>
      </c>
      <c r="E2" s="467" t="s">
        <v>6</v>
      </c>
      <c r="F2" s="468" t="s">
        <v>7</v>
      </c>
      <c r="G2" s="469" t="s">
        <v>2</v>
      </c>
      <c r="H2" s="469"/>
      <c r="I2" s="469" t="s">
        <v>9</v>
      </c>
      <c r="J2" s="469"/>
      <c r="K2" s="469" t="s">
        <v>3</v>
      </c>
      <c r="L2" s="469"/>
      <c r="M2" s="462" t="s">
        <v>8</v>
      </c>
    </row>
    <row r="3" spans="1:13" s="256" customFormat="1" ht="18" customHeight="1">
      <c r="A3" s="465"/>
      <c r="B3" s="466"/>
      <c r="C3" s="467"/>
      <c r="D3" s="467"/>
      <c r="E3" s="467"/>
      <c r="F3" s="468"/>
      <c r="G3" s="259" t="s">
        <v>0</v>
      </c>
      <c r="H3" s="259" t="s">
        <v>1</v>
      </c>
      <c r="I3" s="259" t="s">
        <v>0</v>
      </c>
      <c r="J3" s="259" t="s">
        <v>1</v>
      </c>
      <c r="K3" s="259" t="s">
        <v>0</v>
      </c>
      <c r="L3" s="259" t="s">
        <v>1</v>
      </c>
      <c r="M3" s="463"/>
    </row>
    <row r="4" spans="1:13" ht="18" customHeight="1">
      <c r="A4" s="2"/>
      <c r="B4" s="3"/>
      <c r="C4" s="4"/>
      <c r="D4" s="5"/>
      <c r="E4" s="5"/>
      <c r="F4" s="6"/>
      <c r="G4" s="7"/>
      <c r="H4" s="7"/>
      <c r="I4" s="7"/>
      <c r="J4" s="7"/>
      <c r="K4" s="7"/>
      <c r="L4" s="8"/>
      <c r="M4" s="177"/>
    </row>
    <row r="5" spans="1:13" ht="18" customHeight="1">
      <c r="A5" s="10"/>
      <c r="B5" s="11"/>
      <c r="C5" s="12"/>
      <c r="D5" s="5"/>
      <c r="E5" s="5"/>
      <c r="F5" s="6"/>
      <c r="G5" s="7"/>
      <c r="H5" s="7"/>
      <c r="I5" s="7"/>
      <c r="J5" s="7"/>
      <c r="K5" s="7"/>
      <c r="L5" s="8"/>
      <c r="M5" s="177"/>
    </row>
    <row r="6" spans="1:13" s="20" customFormat="1" ht="18" customHeight="1">
      <c r="A6" s="13" t="s">
        <v>14</v>
      </c>
      <c r="B6" s="14" t="s">
        <v>611</v>
      </c>
      <c r="C6" s="15"/>
      <c r="D6" s="16"/>
      <c r="E6" s="16"/>
      <c r="F6" s="17"/>
      <c r="G6" s="18"/>
      <c r="H6" s="18"/>
      <c r="I6" s="18"/>
      <c r="J6" s="18"/>
      <c r="K6" s="18"/>
      <c r="L6" s="19"/>
      <c r="M6" s="249"/>
    </row>
    <row r="7" spans="1:13" ht="18" customHeight="1">
      <c r="A7" s="10" t="s">
        <v>22</v>
      </c>
      <c r="B7" s="11" t="str">
        <f>B12</f>
        <v>가설공사</v>
      </c>
      <c r="C7" s="12"/>
      <c r="D7" s="5"/>
      <c r="E7" s="5" t="s">
        <v>36</v>
      </c>
      <c r="F7" s="6">
        <v>1</v>
      </c>
      <c r="G7" s="7"/>
      <c r="H7" s="7">
        <f>H28</f>
        <v>12182000</v>
      </c>
      <c r="I7" s="7"/>
      <c r="J7" s="7">
        <f>J28</f>
        <v>2528000</v>
      </c>
      <c r="K7" s="7"/>
      <c r="L7" s="8">
        <f>L28</f>
        <v>14710000</v>
      </c>
      <c r="M7" s="177"/>
    </row>
    <row r="8" spans="1:13" ht="18" customHeight="1">
      <c r="A8" s="10" t="s">
        <v>25</v>
      </c>
      <c r="B8" s="11" t="str">
        <f>B30</f>
        <v>인테리어 공사</v>
      </c>
      <c r="C8" s="12"/>
      <c r="D8" s="5"/>
      <c r="E8" s="5" t="s">
        <v>36</v>
      </c>
      <c r="F8" s="6">
        <v>1</v>
      </c>
      <c r="G8" s="7"/>
      <c r="H8" s="7">
        <f>H41</f>
        <v>81231610.727272719</v>
      </c>
      <c r="I8" s="7"/>
      <c r="J8" s="7">
        <f>J41</f>
        <v>54066216.545454547</v>
      </c>
      <c r="K8" s="7"/>
      <c r="L8" s="8">
        <f>L41</f>
        <v>135297827.27272728</v>
      </c>
      <c r="M8" s="177"/>
    </row>
    <row r="9" spans="1:13" ht="18" customHeight="1">
      <c r="A9" s="10"/>
      <c r="B9" s="11"/>
      <c r="C9" s="12"/>
      <c r="D9" s="5"/>
      <c r="E9" s="5"/>
      <c r="F9" s="6"/>
      <c r="G9" s="7"/>
      <c r="H9" s="7"/>
      <c r="I9" s="7"/>
      <c r="J9" s="7"/>
      <c r="K9" s="7"/>
      <c r="L9" s="8"/>
      <c r="M9" s="177"/>
    </row>
    <row r="10" spans="1:13" s="21" customFormat="1" ht="18" customHeight="1">
      <c r="A10" s="214"/>
      <c r="B10" s="214" t="s">
        <v>97</v>
      </c>
      <c r="C10" s="215"/>
      <c r="D10" s="216"/>
      <c r="E10" s="216"/>
      <c r="F10" s="217"/>
      <c r="G10" s="218"/>
      <c r="H10" s="218">
        <f>SUM(H7:H9)</f>
        <v>93413610.727272719</v>
      </c>
      <c r="I10" s="218"/>
      <c r="J10" s="218">
        <f>SUM(J7:J9)</f>
        <v>56594216.545454547</v>
      </c>
      <c r="K10" s="218"/>
      <c r="L10" s="219">
        <f>SUM(L7:L9)</f>
        <v>150007827.27272728</v>
      </c>
      <c r="M10" s="250"/>
    </row>
    <row r="11" spans="1:13" s="224" customFormat="1" ht="18" customHeight="1">
      <c r="A11" s="10"/>
      <c r="B11" s="11"/>
      <c r="C11" s="12"/>
      <c r="D11" s="208"/>
      <c r="E11" s="208"/>
      <c r="F11" s="209"/>
      <c r="G11" s="223"/>
      <c r="H11" s="223"/>
      <c r="I11" s="223"/>
      <c r="J11" s="223"/>
      <c r="K11" s="223"/>
      <c r="L11" s="223"/>
      <c r="M11" s="251"/>
    </row>
    <row r="12" spans="1:13" s="228" customFormat="1" ht="18" customHeight="1">
      <c r="A12" s="22" t="s">
        <v>22</v>
      </c>
      <c r="B12" s="23" t="s">
        <v>74</v>
      </c>
      <c r="C12" s="24"/>
      <c r="D12" s="225"/>
      <c r="E12" s="225"/>
      <c r="F12" s="226"/>
      <c r="G12" s="227"/>
      <c r="H12" s="227"/>
      <c r="I12" s="227"/>
      <c r="J12" s="227"/>
      <c r="K12" s="227"/>
      <c r="L12" s="227"/>
      <c r="M12" s="252"/>
    </row>
    <row r="13" spans="1:13" s="224" customFormat="1" ht="18" customHeight="1">
      <c r="A13" s="10" t="s">
        <v>63</v>
      </c>
      <c r="B13" s="11" t="s">
        <v>72</v>
      </c>
      <c r="C13" s="12"/>
      <c r="D13" s="208"/>
      <c r="E13" s="208" t="s">
        <v>11</v>
      </c>
      <c r="F13" s="209">
        <v>166</v>
      </c>
      <c r="G13" s="210">
        <v>2000</v>
      </c>
      <c r="H13" s="210">
        <f t="shared" ref="H13:H23" si="0">F13*G13</f>
        <v>332000</v>
      </c>
      <c r="I13" s="210">
        <v>8000</v>
      </c>
      <c r="J13" s="210">
        <f t="shared" ref="J13:J17" si="1">F13*I13</f>
        <v>1328000</v>
      </c>
      <c r="K13" s="210">
        <f t="shared" ref="K13:K17" si="2">G13+I13</f>
        <v>10000</v>
      </c>
      <c r="L13" s="210">
        <f t="shared" ref="L13:L17" si="3">F13*K13</f>
        <v>1660000</v>
      </c>
      <c r="M13" s="177"/>
    </row>
    <row r="14" spans="1:13" s="224" customFormat="1" ht="18" customHeight="1">
      <c r="A14" s="10" t="s">
        <v>63</v>
      </c>
      <c r="B14" s="11" t="s">
        <v>24</v>
      </c>
      <c r="C14" s="12"/>
      <c r="D14" s="208" t="s">
        <v>194</v>
      </c>
      <c r="E14" s="208" t="s">
        <v>145</v>
      </c>
      <c r="F14" s="209">
        <v>5</v>
      </c>
      <c r="G14" s="210">
        <v>0</v>
      </c>
      <c r="H14" s="210">
        <f t="shared" si="0"/>
        <v>0</v>
      </c>
      <c r="I14" s="210">
        <v>170000</v>
      </c>
      <c r="J14" s="210">
        <f t="shared" si="1"/>
        <v>850000</v>
      </c>
      <c r="K14" s="210">
        <f t="shared" si="2"/>
        <v>170000</v>
      </c>
      <c r="L14" s="210">
        <f t="shared" si="3"/>
        <v>850000</v>
      </c>
      <c r="M14" s="177"/>
    </row>
    <row r="15" spans="1:13" s="224" customFormat="1" ht="18" customHeight="1">
      <c r="A15" s="10" t="s">
        <v>63</v>
      </c>
      <c r="B15" s="11" t="s">
        <v>392</v>
      </c>
      <c r="C15" s="12" t="s">
        <v>525</v>
      </c>
      <c r="D15" s="208" t="s">
        <v>194</v>
      </c>
      <c r="E15" s="208" t="s">
        <v>393</v>
      </c>
      <c r="F15" s="209">
        <v>1</v>
      </c>
      <c r="G15" s="210">
        <v>0</v>
      </c>
      <c r="H15" s="210">
        <f t="shared" ref="H15" si="4">F15*G15</f>
        <v>0</v>
      </c>
      <c r="I15" s="210">
        <v>350000</v>
      </c>
      <c r="J15" s="210">
        <f t="shared" ref="J15" si="5">F15*I15</f>
        <v>350000</v>
      </c>
      <c r="K15" s="210">
        <f t="shared" ref="K15" si="6">G15+I15</f>
        <v>350000</v>
      </c>
      <c r="L15" s="210">
        <f t="shared" ref="L15" si="7">F15*K15</f>
        <v>350000</v>
      </c>
      <c r="M15" s="177"/>
    </row>
    <row r="16" spans="1:13" s="224" customFormat="1" ht="18" customHeight="1">
      <c r="A16" s="10" t="s">
        <v>77</v>
      </c>
      <c r="B16" s="11" t="s">
        <v>84</v>
      </c>
      <c r="C16" s="12" t="s">
        <v>524</v>
      </c>
      <c r="D16" s="208" t="s">
        <v>194</v>
      </c>
      <c r="E16" s="208" t="s">
        <v>75</v>
      </c>
      <c r="F16" s="209">
        <v>1</v>
      </c>
      <c r="G16" s="210">
        <v>350000</v>
      </c>
      <c r="H16" s="210">
        <f>F16*G16</f>
        <v>350000</v>
      </c>
      <c r="I16" s="210">
        <v>0</v>
      </c>
      <c r="J16" s="210">
        <f>F16*I16</f>
        <v>0</v>
      </c>
      <c r="K16" s="210">
        <f>G16+I16</f>
        <v>350000</v>
      </c>
      <c r="L16" s="210">
        <f>F16*K16</f>
        <v>350000</v>
      </c>
      <c r="M16" s="177"/>
    </row>
    <row r="17" spans="1:13" s="224" customFormat="1" ht="18" customHeight="1">
      <c r="A17" s="10" t="s">
        <v>64</v>
      </c>
      <c r="B17" s="11" t="s">
        <v>377</v>
      </c>
      <c r="C17" s="12"/>
      <c r="D17" s="208"/>
      <c r="E17" s="208" t="s">
        <v>76</v>
      </c>
      <c r="F17" s="209">
        <v>1</v>
      </c>
      <c r="G17" s="210">
        <v>200000</v>
      </c>
      <c r="H17" s="210">
        <f t="shared" si="0"/>
        <v>200000</v>
      </c>
      <c r="I17" s="210">
        <v>0</v>
      </c>
      <c r="J17" s="210">
        <f t="shared" si="1"/>
        <v>0</v>
      </c>
      <c r="K17" s="210">
        <f t="shared" si="2"/>
        <v>200000</v>
      </c>
      <c r="L17" s="210">
        <f t="shared" si="3"/>
        <v>200000</v>
      </c>
      <c r="M17" s="177"/>
    </row>
    <row r="18" spans="1:13" s="409" customFormat="1" ht="18" customHeight="1">
      <c r="A18" s="393" t="s">
        <v>554</v>
      </c>
      <c r="B18" s="394" t="s">
        <v>172</v>
      </c>
      <c r="C18" s="395" t="s">
        <v>558</v>
      </c>
      <c r="D18" s="406" t="s">
        <v>194</v>
      </c>
      <c r="E18" s="406" t="s">
        <v>75</v>
      </c>
      <c r="F18" s="407">
        <v>1</v>
      </c>
      <c r="G18" s="408">
        <v>0</v>
      </c>
      <c r="H18" s="408">
        <f>F18*G18</f>
        <v>0</v>
      </c>
      <c r="I18" s="408">
        <v>0</v>
      </c>
      <c r="J18" s="408">
        <f>F18*I18</f>
        <v>0</v>
      </c>
      <c r="K18" s="408">
        <f>G18+I18</f>
        <v>0</v>
      </c>
      <c r="L18" s="408">
        <f>F18*K18</f>
        <v>0</v>
      </c>
      <c r="M18" s="397"/>
    </row>
    <row r="19" spans="1:13" s="409" customFormat="1" ht="18" customHeight="1">
      <c r="A19" s="393" t="s">
        <v>555</v>
      </c>
      <c r="B19" s="394" t="s">
        <v>537</v>
      </c>
      <c r="C19" s="395" t="s">
        <v>557</v>
      </c>
      <c r="D19" s="406"/>
      <c r="E19" s="406" t="s">
        <v>75</v>
      </c>
      <c r="F19" s="407">
        <v>1</v>
      </c>
      <c r="G19" s="408">
        <v>0</v>
      </c>
      <c r="H19" s="408">
        <f>F19*G19</f>
        <v>0</v>
      </c>
      <c r="I19" s="408">
        <v>0</v>
      </c>
      <c r="J19" s="408">
        <f>F19*I19</f>
        <v>0</v>
      </c>
      <c r="K19" s="408">
        <f>G19+I19</f>
        <v>0</v>
      </c>
      <c r="L19" s="408">
        <f>F19*K19</f>
        <v>0</v>
      </c>
      <c r="M19" s="397"/>
    </row>
    <row r="20" spans="1:13" s="405" customFormat="1" ht="18" customHeight="1">
      <c r="A20" s="398" t="s">
        <v>540</v>
      </c>
      <c r="B20" s="399" t="s">
        <v>538</v>
      </c>
      <c r="C20" s="400" t="s">
        <v>539</v>
      </c>
      <c r="D20" s="401"/>
      <c r="E20" s="401" t="s">
        <v>75</v>
      </c>
      <c r="F20" s="402">
        <v>1</v>
      </c>
      <c r="G20" s="403">
        <v>7300000</v>
      </c>
      <c r="H20" s="403">
        <f>F20*G20</f>
        <v>7300000</v>
      </c>
      <c r="I20" s="403">
        <v>0</v>
      </c>
      <c r="J20" s="403">
        <f>F20*I20</f>
        <v>0</v>
      </c>
      <c r="K20" s="403">
        <f>G20+I20</f>
        <v>7300000</v>
      </c>
      <c r="L20" s="403">
        <f>F20*K20</f>
        <v>7300000</v>
      </c>
      <c r="M20" s="404"/>
    </row>
    <row r="21" spans="1:13" s="409" customFormat="1" ht="18" hidden="1" customHeight="1">
      <c r="A21" s="393" t="s">
        <v>253</v>
      </c>
      <c r="B21" s="394" t="s">
        <v>541</v>
      </c>
      <c r="C21" s="395" t="s">
        <v>556</v>
      </c>
      <c r="D21" s="406"/>
      <c r="E21" s="406" t="s">
        <v>75</v>
      </c>
      <c r="F21" s="407">
        <v>0</v>
      </c>
      <c r="G21" s="408"/>
      <c r="H21" s="408"/>
      <c r="I21" s="408"/>
      <c r="J21" s="408"/>
      <c r="K21" s="408"/>
      <c r="L21" s="408"/>
      <c r="M21" s="397"/>
    </row>
    <row r="22" spans="1:13" s="435" customFormat="1" ht="18" customHeight="1">
      <c r="A22" s="428" t="s">
        <v>540</v>
      </c>
      <c r="B22" s="429" t="s">
        <v>538</v>
      </c>
      <c r="C22" s="430" t="s">
        <v>560</v>
      </c>
      <c r="D22" s="431"/>
      <c r="E22" s="401" t="s">
        <v>75</v>
      </c>
      <c r="F22" s="432">
        <v>1</v>
      </c>
      <c r="G22" s="433">
        <v>1500000</v>
      </c>
      <c r="H22" s="403">
        <f>F22*G22</f>
        <v>1500000</v>
      </c>
      <c r="I22" s="403">
        <v>0</v>
      </c>
      <c r="J22" s="403">
        <f>F22*I22</f>
        <v>0</v>
      </c>
      <c r="K22" s="403">
        <f>G22+I22</f>
        <v>1500000</v>
      </c>
      <c r="L22" s="403">
        <f>F22*K22</f>
        <v>1500000</v>
      </c>
      <c r="M22" s="434"/>
    </row>
    <row r="23" spans="1:13" s="229" customFormat="1" ht="18" customHeight="1">
      <c r="A23" s="167" t="s">
        <v>78</v>
      </c>
      <c r="B23" s="168" t="s">
        <v>594</v>
      </c>
      <c r="C23" s="169" t="s">
        <v>242</v>
      </c>
      <c r="D23" s="211"/>
      <c r="E23" s="211" t="s">
        <v>243</v>
      </c>
      <c r="F23" s="212">
        <v>0</v>
      </c>
      <c r="G23" s="213">
        <v>0</v>
      </c>
      <c r="H23" s="213">
        <f t="shared" si="0"/>
        <v>0</v>
      </c>
      <c r="I23" s="213">
        <v>300000</v>
      </c>
      <c r="J23" s="213">
        <f t="shared" ref="J23" si="8">F23*I23</f>
        <v>0</v>
      </c>
      <c r="K23" s="213">
        <f t="shared" ref="K23" si="9">G23+I23</f>
        <v>300000</v>
      </c>
      <c r="L23" s="213">
        <f t="shared" ref="L23" si="10">F23*K23</f>
        <v>0</v>
      </c>
      <c r="M23" s="177"/>
    </row>
    <row r="24" spans="1:13" s="229" customFormat="1" ht="18" hidden="1" customHeight="1">
      <c r="A24" s="167" t="s">
        <v>180</v>
      </c>
      <c r="B24" s="168" t="s">
        <v>179</v>
      </c>
      <c r="C24" s="169" t="s">
        <v>146</v>
      </c>
      <c r="D24" s="211"/>
      <c r="E24" s="211" t="s">
        <v>173</v>
      </c>
      <c r="F24" s="212">
        <v>0</v>
      </c>
      <c r="G24" s="213">
        <v>0</v>
      </c>
      <c r="H24" s="213">
        <f>F24*G24</f>
        <v>0</v>
      </c>
      <c r="I24" s="213">
        <v>0</v>
      </c>
      <c r="J24" s="213">
        <f>F24*I24</f>
        <v>0</v>
      </c>
      <c r="K24" s="213">
        <f>G24+I24</f>
        <v>0</v>
      </c>
      <c r="L24" s="213">
        <f>F24*K24</f>
        <v>0</v>
      </c>
      <c r="M24" s="176"/>
    </row>
    <row r="25" spans="1:13" s="224" customFormat="1" ht="18" customHeight="1">
      <c r="A25" s="10" t="s">
        <v>81</v>
      </c>
      <c r="B25" s="11" t="s">
        <v>82</v>
      </c>
      <c r="C25" s="12" t="s">
        <v>83</v>
      </c>
      <c r="D25" s="208"/>
      <c r="E25" s="208" t="s">
        <v>73</v>
      </c>
      <c r="F25" s="209">
        <v>5</v>
      </c>
      <c r="G25" s="210">
        <v>500000</v>
      </c>
      <c r="H25" s="210">
        <f>F25*G25</f>
        <v>2500000</v>
      </c>
      <c r="I25" s="210">
        <v>0</v>
      </c>
      <c r="J25" s="210">
        <f>F25*I25</f>
        <v>0</v>
      </c>
      <c r="K25" s="210">
        <f>G25+I25</f>
        <v>500000</v>
      </c>
      <c r="L25" s="210">
        <f>F25*K25</f>
        <v>2500000</v>
      </c>
      <c r="M25" s="177"/>
    </row>
    <row r="26" spans="1:13" s="229" customFormat="1" ht="18" customHeight="1">
      <c r="A26" s="167" t="s">
        <v>79</v>
      </c>
      <c r="B26" s="168" t="s">
        <v>80</v>
      </c>
      <c r="C26" s="169" t="s">
        <v>204</v>
      </c>
      <c r="D26" s="211" t="s">
        <v>205</v>
      </c>
      <c r="E26" s="211" t="s">
        <v>70</v>
      </c>
      <c r="F26" s="212">
        <f>F13/3.3</f>
        <v>50.303030303030305</v>
      </c>
      <c r="G26" s="213">
        <v>3000</v>
      </c>
      <c r="H26" s="213">
        <f>F26*G26</f>
        <v>150909.09090909091</v>
      </c>
      <c r="I26" s="213">
        <v>15000</v>
      </c>
      <c r="J26" s="213">
        <f>F26*I26</f>
        <v>754545.45454545459</v>
      </c>
      <c r="K26" s="213">
        <f>G26+I26</f>
        <v>18000</v>
      </c>
      <c r="L26" s="279">
        <f>F26*K26</f>
        <v>905454.54545454553</v>
      </c>
      <c r="M26" s="213" t="s">
        <v>208</v>
      </c>
    </row>
    <row r="27" spans="1:13" s="224" customFormat="1" ht="18" customHeight="1">
      <c r="A27" s="10"/>
      <c r="B27" s="11"/>
      <c r="C27" s="12"/>
      <c r="D27" s="208"/>
      <c r="E27" s="208"/>
      <c r="F27" s="208"/>
      <c r="G27" s="210"/>
      <c r="H27" s="210"/>
      <c r="I27" s="210"/>
      <c r="J27" s="210"/>
      <c r="K27" s="210"/>
      <c r="L27" s="210"/>
      <c r="M27" s="177"/>
    </row>
    <row r="28" spans="1:13" s="232" customFormat="1" ht="18" customHeight="1">
      <c r="A28" s="31"/>
      <c r="B28" s="32" t="s">
        <v>35</v>
      </c>
      <c r="C28" s="33"/>
      <c r="D28" s="230"/>
      <c r="E28" s="230"/>
      <c r="F28" s="230"/>
      <c r="G28" s="231"/>
      <c r="H28" s="231">
        <f>SUM(H13:H25)</f>
        <v>12182000</v>
      </c>
      <c r="I28" s="231"/>
      <c r="J28" s="231">
        <f>SUM(J13:J25)</f>
        <v>2528000</v>
      </c>
      <c r="K28" s="231"/>
      <c r="L28" s="231">
        <f>SUM(L13:L25)</f>
        <v>14710000</v>
      </c>
      <c r="M28" s="177"/>
    </row>
    <row r="29" spans="1:13" s="224" customFormat="1" ht="18" customHeight="1">
      <c r="A29" s="10"/>
      <c r="B29" s="11"/>
      <c r="C29" s="12"/>
      <c r="D29" s="208"/>
      <c r="E29" s="208"/>
      <c r="F29" s="208"/>
      <c r="G29" s="210"/>
      <c r="H29" s="210"/>
      <c r="I29" s="210"/>
      <c r="J29" s="233"/>
      <c r="K29" s="210"/>
      <c r="L29" s="210"/>
      <c r="M29" s="177"/>
    </row>
    <row r="30" spans="1:13" s="26" customFormat="1" ht="18" customHeight="1">
      <c r="A30" s="220" t="s">
        <v>25</v>
      </c>
      <c r="B30" s="221" t="s">
        <v>98</v>
      </c>
      <c r="C30" s="222"/>
      <c r="D30" s="25"/>
      <c r="E30" s="25"/>
      <c r="F30" s="40"/>
      <c r="G30" s="41"/>
      <c r="H30" s="41"/>
      <c r="I30" s="41"/>
      <c r="J30" s="41"/>
      <c r="K30" s="41"/>
      <c r="L30" s="42"/>
      <c r="M30" s="253"/>
    </row>
    <row r="31" spans="1:13" ht="18" customHeight="1">
      <c r="A31" s="43" t="s">
        <v>15</v>
      </c>
      <c r="B31" s="11" t="str">
        <f>B44</f>
        <v>철거 / 설비 공사</v>
      </c>
      <c r="C31" s="12"/>
      <c r="D31" s="5"/>
      <c r="E31" s="5" t="s">
        <v>36</v>
      </c>
      <c r="F31" s="27">
        <v>1</v>
      </c>
      <c r="G31" s="28"/>
      <c r="H31" s="28">
        <f>H74</f>
        <v>7879454.5454545449</v>
      </c>
      <c r="I31" s="28"/>
      <c r="J31" s="28">
        <f>J74</f>
        <v>13852454.545454545</v>
      </c>
      <c r="K31" s="28"/>
      <c r="L31" s="29">
        <f>L74</f>
        <v>21731909.09090909</v>
      </c>
      <c r="M31" s="177"/>
    </row>
    <row r="32" spans="1:13" ht="18" customHeight="1">
      <c r="A32" s="43" t="s">
        <v>16</v>
      </c>
      <c r="B32" s="11" t="str">
        <f>B76</f>
        <v>필름 공사</v>
      </c>
      <c r="C32" s="12"/>
      <c r="D32" s="5"/>
      <c r="E32" s="5" t="s">
        <v>36</v>
      </c>
      <c r="F32" s="27">
        <v>1</v>
      </c>
      <c r="G32" s="28"/>
      <c r="H32" s="28">
        <f>H89</f>
        <v>1327050</v>
      </c>
      <c r="I32" s="28"/>
      <c r="J32" s="28">
        <f>J89</f>
        <v>2499450</v>
      </c>
      <c r="K32" s="28"/>
      <c r="L32" s="29">
        <f>L89</f>
        <v>3826500</v>
      </c>
      <c r="M32" s="177"/>
    </row>
    <row r="33" spans="1:13" ht="18" customHeight="1">
      <c r="A33" s="43" t="s">
        <v>17</v>
      </c>
      <c r="B33" s="11" t="str">
        <f>B91</f>
        <v>가구 공사</v>
      </c>
      <c r="C33" s="12"/>
      <c r="D33" s="5"/>
      <c r="E33" s="5" t="s">
        <v>36</v>
      </c>
      <c r="F33" s="27">
        <v>1</v>
      </c>
      <c r="G33" s="28"/>
      <c r="H33" s="28">
        <f>H183</f>
        <v>22570000</v>
      </c>
      <c r="I33" s="28"/>
      <c r="J33" s="28">
        <f>J183</f>
        <v>6106000</v>
      </c>
      <c r="K33" s="28"/>
      <c r="L33" s="29">
        <f>L183</f>
        <v>28676000</v>
      </c>
      <c r="M33" s="177"/>
    </row>
    <row r="34" spans="1:13" ht="18" customHeight="1">
      <c r="A34" s="43" t="s">
        <v>18</v>
      </c>
      <c r="B34" s="11" t="str">
        <f>B185</f>
        <v>전기 공사</v>
      </c>
      <c r="C34" s="12"/>
      <c r="D34" s="5"/>
      <c r="E34" s="5" t="s">
        <v>36</v>
      </c>
      <c r="F34" s="27">
        <v>1</v>
      </c>
      <c r="G34" s="28"/>
      <c r="H34" s="28">
        <f>H270</f>
        <v>5891100</v>
      </c>
      <c r="I34" s="28"/>
      <c r="J34" s="28">
        <f>J270</f>
        <v>4069000</v>
      </c>
      <c r="K34" s="28"/>
      <c r="L34" s="29">
        <f>L270</f>
        <v>9960100</v>
      </c>
      <c r="M34" s="177"/>
    </row>
    <row r="35" spans="1:13" s="59" customFormat="1" ht="18" customHeight="1">
      <c r="A35" s="234" t="s">
        <v>19</v>
      </c>
      <c r="B35" s="53" t="str">
        <f>B272</f>
        <v>화장실 공사</v>
      </c>
      <c r="C35" s="54"/>
      <c r="D35" s="55"/>
      <c r="E35" s="55" t="s">
        <v>36</v>
      </c>
      <c r="F35" s="235">
        <v>1</v>
      </c>
      <c r="G35" s="57"/>
      <c r="H35" s="57">
        <f>H322</f>
        <v>7698000</v>
      </c>
      <c r="I35" s="57"/>
      <c r="J35" s="57">
        <f>J322</f>
        <v>2340000</v>
      </c>
      <c r="K35" s="57"/>
      <c r="L35" s="58">
        <f>L322</f>
        <v>10038000</v>
      </c>
      <c r="M35" s="176"/>
    </row>
    <row r="36" spans="1:13" s="59" customFormat="1" ht="18" customHeight="1">
      <c r="A36" s="234" t="s">
        <v>20</v>
      </c>
      <c r="B36" s="53" t="str">
        <f>B324</f>
        <v>타일 공사</v>
      </c>
      <c r="C36" s="54"/>
      <c r="D36" s="55"/>
      <c r="E36" s="55" t="s">
        <v>36</v>
      </c>
      <c r="F36" s="235">
        <v>1</v>
      </c>
      <c r="G36" s="57"/>
      <c r="H36" s="57">
        <f>H343</f>
        <v>3983360</v>
      </c>
      <c r="I36" s="57"/>
      <c r="J36" s="57">
        <f>J343</f>
        <v>5904000</v>
      </c>
      <c r="K36" s="57"/>
      <c r="L36" s="58">
        <f>L343</f>
        <v>9887360</v>
      </c>
      <c r="M36" s="176"/>
    </row>
    <row r="37" spans="1:13" ht="18" customHeight="1">
      <c r="A37" s="43" t="s">
        <v>21</v>
      </c>
      <c r="B37" s="11" t="str">
        <f>B345</f>
        <v>도배 공사</v>
      </c>
      <c r="C37" s="12"/>
      <c r="D37" s="5"/>
      <c r="E37" s="5" t="s">
        <v>36</v>
      </c>
      <c r="F37" s="27">
        <v>1</v>
      </c>
      <c r="G37" s="28"/>
      <c r="H37" s="28">
        <f>H356</f>
        <v>3380279.9999999995</v>
      </c>
      <c r="I37" s="28"/>
      <c r="J37" s="28">
        <f>J356</f>
        <v>3187199.9999999995</v>
      </c>
      <c r="K37" s="28"/>
      <c r="L37" s="29">
        <f>L356</f>
        <v>6567479.9999999991</v>
      </c>
      <c r="M37" s="177"/>
    </row>
    <row r="38" spans="1:13" ht="18" customHeight="1">
      <c r="A38" s="43" t="s">
        <v>26</v>
      </c>
      <c r="B38" s="11" t="str">
        <f>B358</f>
        <v>도장 공사</v>
      </c>
      <c r="C38" s="12"/>
      <c r="D38" s="5"/>
      <c r="E38" s="5" t="s">
        <v>36</v>
      </c>
      <c r="F38" s="27">
        <v>1</v>
      </c>
      <c r="G38" s="28"/>
      <c r="H38" s="28">
        <f>H363</f>
        <v>755000</v>
      </c>
      <c r="I38" s="28"/>
      <c r="J38" s="28">
        <f>J363</f>
        <v>920000</v>
      </c>
      <c r="K38" s="28"/>
      <c r="L38" s="29">
        <f>L363</f>
        <v>1675000</v>
      </c>
      <c r="M38" s="177"/>
    </row>
    <row r="39" spans="1:13" ht="18" customHeight="1">
      <c r="A39" s="43" t="s">
        <v>27</v>
      </c>
      <c r="B39" s="11" t="str">
        <f>B365</f>
        <v>마루 공사</v>
      </c>
      <c r="C39" s="12"/>
      <c r="D39" s="5"/>
      <c r="E39" s="5" t="s">
        <v>36</v>
      </c>
      <c r="F39" s="27">
        <v>1</v>
      </c>
      <c r="G39" s="28"/>
      <c r="H39" s="28">
        <f>H370</f>
        <v>13381818.181818182</v>
      </c>
      <c r="I39" s="28"/>
      <c r="J39" s="28">
        <f>J370</f>
        <v>0</v>
      </c>
      <c r="K39" s="28"/>
      <c r="L39" s="29">
        <f>L370</f>
        <v>13381818.181818182</v>
      </c>
      <c r="M39" s="177"/>
    </row>
    <row r="40" spans="1:13" ht="18" customHeight="1">
      <c r="A40" s="43" t="s">
        <v>47</v>
      </c>
      <c r="B40" s="11" t="str">
        <f>B372</f>
        <v>목공사</v>
      </c>
      <c r="C40" s="12"/>
      <c r="D40" s="5"/>
      <c r="E40" s="5" t="s">
        <v>36</v>
      </c>
      <c r="F40" s="27">
        <v>1</v>
      </c>
      <c r="G40" s="28"/>
      <c r="H40" s="28">
        <f>H406</f>
        <v>14365548</v>
      </c>
      <c r="I40" s="28"/>
      <c r="J40" s="28">
        <f>J406</f>
        <v>15188112</v>
      </c>
      <c r="K40" s="28"/>
      <c r="L40" s="29">
        <f>L406</f>
        <v>29553660</v>
      </c>
      <c r="M40" s="177"/>
    </row>
    <row r="41" spans="1:13" s="38" customFormat="1" ht="18" customHeight="1">
      <c r="A41" s="31"/>
      <c r="B41" s="32" t="s">
        <v>35</v>
      </c>
      <c r="C41" s="33"/>
      <c r="D41" s="34"/>
      <c r="E41" s="34"/>
      <c r="F41" s="35"/>
      <c r="G41" s="36"/>
      <c r="H41" s="36">
        <f>SUM(H31:H40)</f>
        <v>81231610.727272719</v>
      </c>
      <c r="I41" s="36"/>
      <c r="J41" s="36">
        <f>SUM(J31:J40)</f>
        <v>54066216.545454547</v>
      </c>
      <c r="K41" s="36"/>
      <c r="L41" s="37">
        <f>SUM(L31:L40)</f>
        <v>135297827.27272728</v>
      </c>
      <c r="M41" s="254"/>
    </row>
    <row r="42" spans="1:13" ht="18" customHeight="1">
      <c r="A42" s="10"/>
      <c r="B42" s="11"/>
      <c r="C42" s="12"/>
      <c r="D42" s="5"/>
      <c r="E42" s="5"/>
      <c r="F42" s="30"/>
      <c r="G42" s="28"/>
      <c r="H42" s="28"/>
      <c r="I42" s="28"/>
      <c r="J42" s="28"/>
      <c r="K42" s="28"/>
      <c r="L42" s="29"/>
      <c r="M42" s="177"/>
    </row>
    <row r="43" spans="1:13" ht="18" customHeight="1">
      <c r="A43" s="10"/>
      <c r="B43" s="11"/>
      <c r="C43" s="12"/>
      <c r="D43" s="5"/>
      <c r="E43" s="5"/>
      <c r="F43" s="30"/>
      <c r="G43" s="28"/>
      <c r="H43" s="28"/>
      <c r="I43" s="28"/>
      <c r="J43" s="39"/>
      <c r="K43" s="28"/>
      <c r="L43" s="29"/>
      <c r="M43" s="177"/>
    </row>
    <row r="44" spans="1:13" s="20" customFormat="1" ht="18" customHeight="1">
      <c r="A44" s="44" t="s">
        <v>28</v>
      </c>
      <c r="B44" s="45" t="s">
        <v>93</v>
      </c>
      <c r="C44" s="276"/>
      <c r="D44" s="16"/>
      <c r="E44" s="16"/>
      <c r="F44" s="47"/>
      <c r="G44" s="48"/>
      <c r="H44" s="48"/>
      <c r="I44" s="48"/>
      <c r="J44" s="48"/>
      <c r="K44" s="48"/>
      <c r="L44" s="49"/>
      <c r="M44" s="249"/>
    </row>
    <row r="45" spans="1:13" ht="18" customHeight="1">
      <c r="A45" s="10" t="s">
        <v>65</v>
      </c>
      <c r="B45" s="11" t="s">
        <v>88</v>
      </c>
      <c r="C45" s="12"/>
      <c r="D45" s="5" t="s">
        <v>259</v>
      </c>
      <c r="E45" s="5" t="s">
        <v>70</v>
      </c>
      <c r="F45" s="50">
        <f>138/3.3</f>
        <v>41.81818181818182</v>
      </c>
      <c r="G45" s="28">
        <v>3000</v>
      </c>
      <c r="H45" s="28">
        <f t="shared" ref="H45:H71" si="11">F45*G45</f>
        <v>125454.54545454546</v>
      </c>
      <c r="I45" s="28">
        <v>25000</v>
      </c>
      <c r="J45" s="28">
        <f t="shared" ref="J45:J71" si="12">F45*I45</f>
        <v>1045454.5454545455</v>
      </c>
      <c r="K45" s="28">
        <f t="shared" ref="K45:K71" si="13">G45+I45</f>
        <v>28000</v>
      </c>
      <c r="L45" s="29">
        <f t="shared" ref="L45:L71" si="14">F45*K45</f>
        <v>1170909.0909090911</v>
      </c>
      <c r="M45" s="177"/>
    </row>
    <row r="46" spans="1:13" ht="18" customHeight="1">
      <c r="A46" s="10" t="s">
        <v>65</v>
      </c>
      <c r="B46" s="11" t="s">
        <v>150</v>
      </c>
      <c r="C46" s="12"/>
      <c r="D46" s="5" t="s">
        <v>258</v>
      </c>
      <c r="E46" s="5" t="s">
        <v>378</v>
      </c>
      <c r="F46" s="50">
        <v>18</v>
      </c>
      <c r="G46" s="28">
        <v>15000</v>
      </c>
      <c r="H46" s="28">
        <f t="shared" si="11"/>
        <v>270000</v>
      </c>
      <c r="I46" s="28">
        <v>70000</v>
      </c>
      <c r="J46" s="28">
        <f t="shared" si="12"/>
        <v>1260000</v>
      </c>
      <c r="K46" s="28">
        <f t="shared" si="13"/>
        <v>85000</v>
      </c>
      <c r="L46" s="29">
        <f t="shared" si="14"/>
        <v>1530000</v>
      </c>
      <c r="M46" s="177"/>
    </row>
    <row r="47" spans="1:13" ht="18" customHeight="1">
      <c r="A47" s="10" t="s">
        <v>66</v>
      </c>
      <c r="B47" s="11" t="s">
        <v>85</v>
      </c>
      <c r="C47" s="12"/>
      <c r="D47" s="5" t="s">
        <v>260</v>
      </c>
      <c r="E47" s="5" t="s">
        <v>75</v>
      </c>
      <c r="F47" s="50">
        <v>2</v>
      </c>
      <c r="G47" s="28">
        <v>0</v>
      </c>
      <c r="H47" s="28">
        <f t="shared" si="11"/>
        <v>0</v>
      </c>
      <c r="I47" s="28">
        <v>650000</v>
      </c>
      <c r="J47" s="28">
        <f t="shared" si="12"/>
        <v>1300000</v>
      </c>
      <c r="K47" s="28">
        <f t="shared" si="13"/>
        <v>650000</v>
      </c>
      <c r="L47" s="29">
        <f t="shared" si="14"/>
        <v>1300000</v>
      </c>
      <c r="M47" s="29"/>
    </row>
    <row r="48" spans="1:13" s="59" customFormat="1" ht="18" customHeight="1">
      <c r="A48" s="52" t="s">
        <v>65</v>
      </c>
      <c r="B48" s="53" t="s">
        <v>217</v>
      </c>
      <c r="C48" s="54"/>
      <c r="D48" s="55" t="s">
        <v>431</v>
      </c>
      <c r="E48" s="55" t="s">
        <v>75</v>
      </c>
      <c r="F48" s="56">
        <v>3</v>
      </c>
      <c r="G48" s="57">
        <v>20000</v>
      </c>
      <c r="H48" s="57">
        <f t="shared" si="11"/>
        <v>60000</v>
      </c>
      <c r="I48" s="57">
        <v>230000</v>
      </c>
      <c r="J48" s="57">
        <f t="shared" si="12"/>
        <v>690000</v>
      </c>
      <c r="K48" s="57">
        <f t="shared" si="13"/>
        <v>250000</v>
      </c>
      <c r="L48" s="58">
        <f t="shared" si="14"/>
        <v>750000</v>
      </c>
      <c r="M48" s="177"/>
    </row>
    <row r="49" spans="1:13" ht="18" customHeight="1">
      <c r="A49" s="10" t="s">
        <v>65</v>
      </c>
      <c r="B49" s="11" t="s">
        <v>86</v>
      </c>
      <c r="C49" s="12"/>
      <c r="D49" s="5"/>
      <c r="E49" s="5" t="s">
        <v>11</v>
      </c>
      <c r="F49" s="50">
        <f>F13</f>
        <v>166</v>
      </c>
      <c r="G49" s="28">
        <v>8000</v>
      </c>
      <c r="H49" s="28">
        <f t="shared" si="11"/>
        <v>1328000</v>
      </c>
      <c r="I49" s="28">
        <v>18000</v>
      </c>
      <c r="J49" s="28">
        <f t="shared" si="12"/>
        <v>2988000</v>
      </c>
      <c r="K49" s="28">
        <f t="shared" si="13"/>
        <v>26000</v>
      </c>
      <c r="L49" s="29">
        <f t="shared" si="14"/>
        <v>4316000</v>
      </c>
      <c r="M49" s="177"/>
    </row>
    <row r="50" spans="1:13" ht="18" customHeight="1">
      <c r="A50" s="10" t="s">
        <v>65</v>
      </c>
      <c r="B50" s="11" t="s">
        <v>223</v>
      </c>
      <c r="C50" s="12"/>
      <c r="D50" s="373" t="s">
        <v>379</v>
      </c>
      <c r="E50" s="5" t="s">
        <v>11</v>
      </c>
      <c r="F50" s="50">
        <v>147</v>
      </c>
      <c r="G50" s="28">
        <v>8000</v>
      </c>
      <c r="H50" s="28">
        <f t="shared" ref="H50" si="15">F50*G50</f>
        <v>1176000</v>
      </c>
      <c r="I50" s="28">
        <v>7000</v>
      </c>
      <c r="J50" s="28">
        <f t="shared" ref="J50" si="16">F50*I50</f>
        <v>1029000</v>
      </c>
      <c r="K50" s="28">
        <f t="shared" ref="K50" si="17">G50+I50</f>
        <v>15000</v>
      </c>
      <c r="L50" s="29">
        <f t="shared" ref="L50" si="18">F50*K50</f>
        <v>2205000</v>
      </c>
      <c r="M50" s="374"/>
    </row>
    <row r="51" spans="1:13" s="265" customFormat="1" ht="18" hidden="1" customHeight="1">
      <c r="A51" s="167" t="s">
        <v>65</v>
      </c>
      <c r="B51" s="168" t="s">
        <v>223</v>
      </c>
      <c r="C51" s="169"/>
      <c r="D51" s="324" t="s">
        <v>227</v>
      </c>
      <c r="E51" s="261" t="s">
        <v>11</v>
      </c>
      <c r="F51" s="266">
        <v>0</v>
      </c>
      <c r="G51" s="262">
        <v>8000</v>
      </c>
      <c r="H51" s="262">
        <f t="shared" ref="H51" si="19">F51*G51</f>
        <v>0</v>
      </c>
      <c r="I51" s="262">
        <v>7000</v>
      </c>
      <c r="J51" s="262">
        <f t="shared" ref="J51" si="20">F51*I51</f>
        <v>0</v>
      </c>
      <c r="K51" s="262">
        <f t="shared" ref="K51" si="21">G51+I51</f>
        <v>15000</v>
      </c>
      <c r="L51" s="263">
        <f t="shared" ref="L51" si="22">F51*K51</f>
        <v>0</v>
      </c>
      <c r="M51" s="325" t="s">
        <v>287</v>
      </c>
    </row>
    <row r="52" spans="1:13" ht="18" customHeight="1">
      <c r="A52" s="10" t="s">
        <v>65</v>
      </c>
      <c r="B52" s="11" t="s">
        <v>177</v>
      </c>
      <c r="C52" s="12"/>
      <c r="D52" s="5"/>
      <c r="E52" s="5" t="s">
        <v>176</v>
      </c>
      <c r="F52" s="50">
        <v>1</v>
      </c>
      <c r="G52" s="28"/>
      <c r="H52" s="28">
        <f t="shared" si="11"/>
        <v>0</v>
      </c>
      <c r="I52" s="28">
        <v>200000</v>
      </c>
      <c r="J52" s="28">
        <f t="shared" si="12"/>
        <v>200000</v>
      </c>
      <c r="K52" s="28">
        <f t="shared" si="13"/>
        <v>200000</v>
      </c>
      <c r="L52" s="29">
        <f t="shared" si="14"/>
        <v>200000</v>
      </c>
      <c r="M52" s="177"/>
    </row>
    <row r="53" spans="1:13" s="337" customFormat="1" ht="18" hidden="1" customHeight="1">
      <c r="A53" s="167" t="s">
        <v>248</v>
      </c>
      <c r="B53" s="330" t="s">
        <v>249</v>
      </c>
      <c r="C53" s="331"/>
      <c r="D53" s="332"/>
      <c r="E53" s="332" t="s">
        <v>250</v>
      </c>
      <c r="F53" s="333">
        <v>0</v>
      </c>
      <c r="G53" s="334"/>
      <c r="H53" s="334"/>
      <c r="I53" s="334"/>
      <c r="J53" s="334"/>
      <c r="K53" s="334"/>
      <c r="L53" s="335"/>
      <c r="M53" s="336" t="s">
        <v>286</v>
      </c>
    </row>
    <row r="54" spans="1:13" s="314" customFormat="1" ht="18" customHeight="1">
      <c r="A54" s="10" t="s">
        <v>91</v>
      </c>
      <c r="B54" s="307" t="s">
        <v>87</v>
      </c>
      <c r="C54" s="308"/>
      <c r="D54" s="309" t="s">
        <v>473</v>
      </c>
      <c r="E54" s="309" t="s">
        <v>191</v>
      </c>
      <c r="F54" s="310">
        <v>1</v>
      </c>
      <c r="G54" s="311">
        <v>500000</v>
      </c>
      <c r="H54" s="311">
        <f t="shared" ref="H54" si="23">F54*G54</f>
        <v>500000</v>
      </c>
      <c r="I54" s="311">
        <v>700000</v>
      </c>
      <c r="J54" s="311">
        <f t="shared" ref="J54" si="24">F54*I54</f>
        <v>700000</v>
      </c>
      <c r="K54" s="311">
        <f t="shared" ref="K54" si="25">G54+I54</f>
        <v>1200000</v>
      </c>
      <c r="L54" s="312">
        <f t="shared" ref="L54" si="26">F54*K54</f>
        <v>1200000</v>
      </c>
      <c r="M54" s="313"/>
    </row>
    <row r="55" spans="1:13" s="314" customFormat="1" ht="18" customHeight="1">
      <c r="A55" s="10" t="s">
        <v>91</v>
      </c>
      <c r="B55" s="307" t="s">
        <v>87</v>
      </c>
      <c r="C55" s="308"/>
      <c r="D55" s="309" t="s">
        <v>474</v>
      </c>
      <c r="E55" s="309" t="s">
        <v>191</v>
      </c>
      <c r="F55" s="310">
        <v>3</v>
      </c>
      <c r="G55" s="311">
        <v>300000</v>
      </c>
      <c r="H55" s="311">
        <f t="shared" si="11"/>
        <v>900000</v>
      </c>
      <c r="I55" s="311">
        <v>500000</v>
      </c>
      <c r="J55" s="311">
        <f t="shared" si="12"/>
        <v>1500000</v>
      </c>
      <c r="K55" s="311">
        <f t="shared" si="13"/>
        <v>800000</v>
      </c>
      <c r="L55" s="312">
        <f t="shared" si="14"/>
        <v>2400000</v>
      </c>
      <c r="M55" s="313"/>
    </row>
    <row r="56" spans="1:13" ht="18" customHeight="1">
      <c r="A56" s="10" t="s">
        <v>91</v>
      </c>
      <c r="B56" s="11" t="s">
        <v>216</v>
      </c>
      <c r="C56" s="12" t="s">
        <v>476</v>
      </c>
      <c r="D56" s="5" t="s">
        <v>475</v>
      </c>
      <c r="E56" s="5" t="s">
        <v>75</v>
      </c>
      <c r="F56" s="50">
        <v>0</v>
      </c>
      <c r="G56" s="28">
        <v>50000</v>
      </c>
      <c r="H56" s="28">
        <f t="shared" si="11"/>
        <v>0</v>
      </c>
      <c r="I56" s="28">
        <v>250000</v>
      </c>
      <c r="J56" s="28">
        <f t="shared" ref="J56" si="27">F56*I56</f>
        <v>0</v>
      </c>
      <c r="K56" s="28">
        <f t="shared" ref="K56" si="28">G56+I56</f>
        <v>300000</v>
      </c>
      <c r="L56" s="29">
        <f t="shared" ref="L56" si="29">F56*K56</f>
        <v>0</v>
      </c>
      <c r="M56" s="177"/>
    </row>
    <row r="57" spans="1:13" ht="18" customHeight="1">
      <c r="A57" s="10" t="s">
        <v>91</v>
      </c>
      <c r="B57" s="11" t="s">
        <v>89</v>
      </c>
      <c r="C57" s="12" t="s">
        <v>209</v>
      </c>
      <c r="D57" s="5" t="s">
        <v>261</v>
      </c>
      <c r="E57" s="5" t="s">
        <v>75</v>
      </c>
      <c r="F57" s="50">
        <v>3</v>
      </c>
      <c r="G57" s="28">
        <v>100000</v>
      </c>
      <c r="H57" s="28">
        <f t="shared" ref="H57:H70" si="30">F57*G57</f>
        <v>300000</v>
      </c>
      <c r="I57" s="28">
        <v>250000</v>
      </c>
      <c r="J57" s="28">
        <f t="shared" si="12"/>
        <v>750000</v>
      </c>
      <c r="K57" s="28">
        <f t="shared" si="13"/>
        <v>350000</v>
      </c>
      <c r="L57" s="29">
        <f t="shared" si="14"/>
        <v>1050000</v>
      </c>
      <c r="M57" s="177"/>
    </row>
    <row r="58" spans="1:13" ht="18" customHeight="1">
      <c r="A58" s="10" t="s">
        <v>91</v>
      </c>
      <c r="B58" s="11" t="s">
        <v>89</v>
      </c>
      <c r="C58" s="12" t="s">
        <v>209</v>
      </c>
      <c r="D58" s="5" t="s">
        <v>247</v>
      </c>
      <c r="E58" s="5" t="s">
        <v>75</v>
      </c>
      <c r="F58" s="50">
        <v>2</v>
      </c>
      <c r="G58" s="28">
        <v>100000</v>
      </c>
      <c r="H58" s="28">
        <f t="shared" ref="H58:H59" si="31">F58*G58</f>
        <v>200000</v>
      </c>
      <c r="I58" s="28">
        <v>250000</v>
      </c>
      <c r="J58" s="28">
        <f t="shared" ref="J58:J59" si="32">F58*I58</f>
        <v>500000</v>
      </c>
      <c r="K58" s="28">
        <f t="shared" ref="K58:K59" si="33">G58+I58</f>
        <v>350000</v>
      </c>
      <c r="L58" s="29">
        <f t="shared" ref="L58:L59" si="34">F58*K58</f>
        <v>700000</v>
      </c>
      <c r="M58" s="177"/>
    </row>
    <row r="59" spans="1:13" s="314" customFormat="1" ht="18" hidden="1" customHeight="1">
      <c r="A59" s="10" t="s">
        <v>236</v>
      </c>
      <c r="B59" s="307" t="s">
        <v>389</v>
      </c>
      <c r="C59" s="308"/>
      <c r="D59" s="309" t="s">
        <v>383</v>
      </c>
      <c r="E59" s="309" t="s">
        <v>390</v>
      </c>
      <c r="F59" s="310">
        <v>0</v>
      </c>
      <c r="G59" s="311">
        <v>1700000</v>
      </c>
      <c r="H59" s="311">
        <f t="shared" si="31"/>
        <v>0</v>
      </c>
      <c r="I59" s="311">
        <v>0</v>
      </c>
      <c r="J59" s="311">
        <f t="shared" si="32"/>
        <v>0</v>
      </c>
      <c r="K59" s="311">
        <f t="shared" si="33"/>
        <v>1700000</v>
      </c>
      <c r="L59" s="312">
        <f t="shared" si="34"/>
        <v>0</v>
      </c>
      <c r="M59" s="313"/>
    </row>
    <row r="60" spans="1:13" ht="18" customHeight="1">
      <c r="A60" s="10" t="s">
        <v>91</v>
      </c>
      <c r="B60" s="11" t="s">
        <v>89</v>
      </c>
      <c r="C60" s="12" t="s">
        <v>209</v>
      </c>
      <c r="D60" s="5" t="s">
        <v>305</v>
      </c>
      <c r="E60" s="5" t="s">
        <v>75</v>
      </c>
      <c r="F60" s="50">
        <v>2</v>
      </c>
      <c r="G60" s="28">
        <v>100000</v>
      </c>
      <c r="H60" s="28">
        <f t="shared" ref="H60" si="35">F60*G60</f>
        <v>200000</v>
      </c>
      <c r="I60" s="28">
        <v>250000</v>
      </c>
      <c r="J60" s="28">
        <f t="shared" ref="J60" si="36">F60*I60</f>
        <v>500000</v>
      </c>
      <c r="K60" s="28">
        <f t="shared" ref="K60" si="37">G60+I60</f>
        <v>350000</v>
      </c>
      <c r="L60" s="29">
        <f t="shared" ref="L60" si="38">F60*K60</f>
        <v>700000</v>
      </c>
      <c r="M60" s="177"/>
    </row>
    <row r="61" spans="1:13" s="314" customFormat="1" ht="18" customHeight="1">
      <c r="A61" s="10" t="s">
        <v>253</v>
      </c>
      <c r="B61" s="307" t="s">
        <v>192</v>
      </c>
      <c r="C61" s="308" t="s">
        <v>446</v>
      </c>
      <c r="D61" s="309" t="s">
        <v>384</v>
      </c>
      <c r="E61" s="309" t="s">
        <v>193</v>
      </c>
      <c r="F61" s="310">
        <v>1</v>
      </c>
      <c r="G61" s="311">
        <v>110000</v>
      </c>
      <c r="H61" s="311">
        <f t="shared" si="30"/>
        <v>110000</v>
      </c>
      <c r="I61" s="311">
        <v>50000</v>
      </c>
      <c r="J61" s="311">
        <f t="shared" si="12"/>
        <v>50000</v>
      </c>
      <c r="K61" s="311">
        <f t="shared" si="13"/>
        <v>160000</v>
      </c>
      <c r="L61" s="312">
        <f t="shared" si="14"/>
        <v>160000</v>
      </c>
      <c r="M61" s="336"/>
    </row>
    <row r="62" spans="1:13" s="424" customFormat="1" ht="18" customHeight="1">
      <c r="A62" s="419" t="s">
        <v>553</v>
      </c>
      <c r="B62" s="399" t="s">
        <v>192</v>
      </c>
      <c r="C62" s="400" t="s">
        <v>388</v>
      </c>
      <c r="D62" s="420" t="s">
        <v>383</v>
      </c>
      <c r="E62" s="420" t="s">
        <v>386</v>
      </c>
      <c r="F62" s="421">
        <v>10</v>
      </c>
      <c r="G62" s="422">
        <v>35000</v>
      </c>
      <c r="H62" s="422">
        <f>F62*G62</f>
        <v>350000</v>
      </c>
      <c r="I62" s="422">
        <v>11000</v>
      </c>
      <c r="J62" s="422">
        <f t="shared" ref="J62:J63" si="39">F62*I62</f>
        <v>110000</v>
      </c>
      <c r="K62" s="422">
        <f t="shared" ref="K62:K63" si="40">G62+I62</f>
        <v>46000</v>
      </c>
      <c r="L62" s="423">
        <f t="shared" ref="L62:L63" si="41">F62*K62</f>
        <v>460000</v>
      </c>
      <c r="M62" s="404"/>
    </row>
    <row r="63" spans="1:13" s="314" customFormat="1" ht="18" hidden="1" customHeight="1">
      <c r="A63" s="375" t="s">
        <v>253</v>
      </c>
      <c r="B63" s="307" t="s">
        <v>381</v>
      </c>
      <c r="C63" s="308" t="s">
        <v>382</v>
      </c>
      <c r="D63" s="309" t="s">
        <v>383</v>
      </c>
      <c r="E63" s="309" t="s">
        <v>386</v>
      </c>
      <c r="F63" s="310">
        <v>0</v>
      </c>
      <c r="G63" s="311">
        <v>120000</v>
      </c>
      <c r="H63" s="311">
        <f>F63*G63</f>
        <v>0</v>
      </c>
      <c r="I63" s="311">
        <v>30000</v>
      </c>
      <c r="J63" s="311">
        <f t="shared" si="39"/>
        <v>0</v>
      </c>
      <c r="K63" s="311">
        <f t="shared" si="40"/>
        <v>150000</v>
      </c>
      <c r="L63" s="312">
        <f t="shared" si="41"/>
        <v>0</v>
      </c>
      <c r="M63" s="336"/>
    </row>
    <row r="64" spans="1:13" s="443" customFormat="1" ht="18" customHeight="1">
      <c r="A64" s="438" t="s">
        <v>253</v>
      </c>
      <c r="B64" s="439" t="s">
        <v>192</v>
      </c>
      <c r="C64" s="440" t="s">
        <v>559</v>
      </c>
      <c r="D64" s="441" t="s">
        <v>227</v>
      </c>
      <c r="E64" s="441" t="s">
        <v>38</v>
      </c>
      <c r="F64" s="470">
        <v>1</v>
      </c>
      <c r="G64" s="442">
        <v>370000</v>
      </c>
      <c r="H64" s="442">
        <f>F64*G64</f>
        <v>370000</v>
      </c>
      <c r="I64" s="442">
        <v>50000</v>
      </c>
      <c r="J64" s="442">
        <f>F64*I64</f>
        <v>50000</v>
      </c>
      <c r="K64" s="442">
        <f>G64+I64</f>
        <v>420000</v>
      </c>
      <c r="L64" s="471">
        <f>F64*K64</f>
        <v>420000</v>
      </c>
      <c r="M64" s="472"/>
    </row>
    <row r="65" spans="1:13" s="443" customFormat="1" ht="18" hidden="1" customHeight="1">
      <c r="A65" s="438" t="s">
        <v>253</v>
      </c>
      <c r="B65" s="439" t="s">
        <v>192</v>
      </c>
      <c r="C65" s="440" t="s">
        <v>391</v>
      </c>
      <c r="D65" s="441" t="s">
        <v>227</v>
      </c>
      <c r="E65" s="441" t="s">
        <v>38</v>
      </c>
      <c r="F65" s="470">
        <v>0</v>
      </c>
      <c r="G65" s="442">
        <v>350000</v>
      </c>
      <c r="H65" s="442">
        <f>F65*G65</f>
        <v>0</v>
      </c>
      <c r="I65" s="442">
        <v>50000</v>
      </c>
      <c r="J65" s="442">
        <f>F65*I65</f>
        <v>0</v>
      </c>
      <c r="K65" s="442">
        <f>G65+I65</f>
        <v>400000</v>
      </c>
      <c r="L65" s="471">
        <f>F65*K65</f>
        <v>0</v>
      </c>
      <c r="M65" s="472"/>
    </row>
    <row r="66" spans="1:13" s="275" customFormat="1" ht="18" hidden="1" customHeight="1">
      <c r="A66" s="438" t="s">
        <v>253</v>
      </c>
      <c r="B66" s="357" t="s">
        <v>192</v>
      </c>
      <c r="C66" s="444" t="s">
        <v>385</v>
      </c>
      <c r="D66" s="359" t="s">
        <v>387</v>
      </c>
      <c r="E66" s="359" t="s">
        <v>193</v>
      </c>
      <c r="F66" s="445">
        <v>0</v>
      </c>
      <c r="G66" s="361">
        <v>70000</v>
      </c>
      <c r="H66" s="361">
        <f t="shared" ref="H66" si="42">F66*G66</f>
        <v>0</v>
      </c>
      <c r="I66" s="361">
        <v>20000</v>
      </c>
      <c r="J66" s="361">
        <f t="shared" ref="J66" si="43">F66*I66</f>
        <v>0</v>
      </c>
      <c r="K66" s="361">
        <f t="shared" ref="K66" si="44">G66+I66</f>
        <v>90000</v>
      </c>
      <c r="L66" s="362">
        <f t="shared" ref="L66" si="45">F66*K66</f>
        <v>0</v>
      </c>
      <c r="M66" s="472"/>
    </row>
    <row r="67" spans="1:13" s="275" customFormat="1" ht="18" hidden="1" customHeight="1">
      <c r="A67" s="438" t="s">
        <v>380</v>
      </c>
      <c r="B67" s="357" t="s">
        <v>381</v>
      </c>
      <c r="C67" s="444"/>
      <c r="D67" s="359"/>
      <c r="E67" s="359"/>
      <c r="F67" s="445"/>
      <c r="G67" s="361"/>
      <c r="H67" s="361"/>
      <c r="I67" s="361"/>
      <c r="J67" s="361"/>
      <c r="K67" s="361"/>
      <c r="L67" s="362"/>
      <c r="M67" s="354"/>
    </row>
    <row r="68" spans="1:13" s="275" customFormat="1" ht="18" hidden="1" customHeight="1">
      <c r="A68" s="438"/>
      <c r="B68" s="357"/>
      <c r="C68" s="444"/>
      <c r="D68" s="359"/>
      <c r="E68" s="359"/>
      <c r="F68" s="445"/>
      <c r="G68" s="361"/>
      <c r="H68" s="361"/>
      <c r="I68" s="361"/>
      <c r="J68" s="361"/>
      <c r="K68" s="361"/>
      <c r="L68" s="362"/>
      <c r="M68" s="354"/>
    </row>
    <row r="69" spans="1:13" s="443" customFormat="1" ht="18" customHeight="1">
      <c r="A69" s="438" t="s">
        <v>253</v>
      </c>
      <c r="B69" s="439" t="s">
        <v>192</v>
      </c>
      <c r="C69" s="440" t="s">
        <v>614</v>
      </c>
      <c r="D69" s="441" t="s">
        <v>615</v>
      </c>
      <c r="E69" s="441" t="s">
        <v>38</v>
      </c>
      <c r="F69" s="470">
        <v>4</v>
      </c>
      <c r="G69" s="442">
        <v>240000</v>
      </c>
      <c r="H69" s="442">
        <f>F69*G69</f>
        <v>960000</v>
      </c>
      <c r="I69" s="442">
        <v>50000</v>
      </c>
      <c r="J69" s="442">
        <f>F69*I69</f>
        <v>200000</v>
      </c>
      <c r="K69" s="442">
        <f>G69+I69</f>
        <v>290000</v>
      </c>
      <c r="L69" s="471">
        <f>F69*K69</f>
        <v>1160000</v>
      </c>
      <c r="M69" s="472"/>
    </row>
    <row r="70" spans="1:13" ht="18" customHeight="1">
      <c r="A70" s="10" t="s">
        <v>92</v>
      </c>
      <c r="B70" s="11" t="s">
        <v>90</v>
      </c>
      <c r="C70" s="12" t="s">
        <v>214</v>
      </c>
      <c r="D70" s="5" t="s">
        <v>202</v>
      </c>
      <c r="E70" s="5" t="s">
        <v>38</v>
      </c>
      <c r="F70" s="50">
        <v>2</v>
      </c>
      <c r="G70" s="28">
        <v>100000</v>
      </c>
      <c r="H70" s="28">
        <f t="shared" si="30"/>
        <v>200000</v>
      </c>
      <c r="I70" s="28">
        <v>250000</v>
      </c>
      <c r="J70" s="28">
        <f t="shared" ref="J70" si="46">F70*I70</f>
        <v>500000</v>
      </c>
      <c r="K70" s="28">
        <f t="shared" ref="K70" si="47">G70+I70</f>
        <v>350000</v>
      </c>
      <c r="L70" s="29">
        <f t="shared" ref="L70" si="48">F70*K70</f>
        <v>700000</v>
      </c>
      <c r="M70" s="177"/>
    </row>
    <row r="71" spans="1:13" ht="18" customHeight="1">
      <c r="A71" s="10" t="s">
        <v>92</v>
      </c>
      <c r="B71" s="11" t="s">
        <v>90</v>
      </c>
      <c r="C71" s="12" t="s">
        <v>472</v>
      </c>
      <c r="D71" s="5" t="s">
        <v>202</v>
      </c>
      <c r="E71" s="5" t="s">
        <v>167</v>
      </c>
      <c r="F71" s="50">
        <v>2</v>
      </c>
      <c r="G71" s="28">
        <v>240000</v>
      </c>
      <c r="H71" s="28">
        <f t="shared" si="11"/>
        <v>480000</v>
      </c>
      <c r="I71" s="28">
        <v>240000</v>
      </c>
      <c r="J71" s="28">
        <f t="shared" si="12"/>
        <v>480000</v>
      </c>
      <c r="K71" s="28">
        <f t="shared" si="13"/>
        <v>480000</v>
      </c>
      <c r="L71" s="29">
        <f t="shared" si="14"/>
        <v>960000</v>
      </c>
      <c r="M71" s="177"/>
    </row>
    <row r="72" spans="1:13" s="314" customFormat="1" ht="18" customHeight="1">
      <c r="A72" s="375" t="s">
        <v>228</v>
      </c>
      <c r="B72" s="307" t="s">
        <v>229</v>
      </c>
      <c r="C72" s="308"/>
      <c r="D72" s="309"/>
      <c r="E72" s="309" t="s">
        <v>38</v>
      </c>
      <c r="F72" s="310">
        <v>1</v>
      </c>
      <c r="G72" s="311">
        <v>350000</v>
      </c>
      <c r="H72" s="311">
        <f t="shared" ref="H72" si="49">F72*G72</f>
        <v>350000</v>
      </c>
      <c r="I72" s="311">
        <v>0</v>
      </c>
      <c r="J72" s="311">
        <f t="shared" ref="J72" si="50">F72*I72</f>
        <v>0</v>
      </c>
      <c r="K72" s="311">
        <f t="shared" ref="K72" si="51">G72+I72</f>
        <v>350000</v>
      </c>
      <c r="L72" s="312">
        <f t="shared" ref="L72" si="52">F72*K72</f>
        <v>350000</v>
      </c>
      <c r="M72" s="313"/>
    </row>
    <row r="73" spans="1:13" s="265" customFormat="1" ht="18" customHeight="1">
      <c r="A73" s="167"/>
      <c r="B73" s="459"/>
      <c r="C73" s="460"/>
      <c r="D73" s="460"/>
      <c r="E73" s="460"/>
      <c r="F73" s="460"/>
      <c r="G73" s="460"/>
      <c r="H73" s="460"/>
      <c r="I73" s="460"/>
      <c r="J73" s="460"/>
      <c r="K73" s="460"/>
      <c r="L73" s="461"/>
      <c r="M73" s="264"/>
    </row>
    <row r="74" spans="1:13" s="20" customFormat="1" ht="18" customHeight="1">
      <c r="A74" s="13"/>
      <c r="B74" s="13" t="s">
        <v>13</v>
      </c>
      <c r="C74" s="15"/>
      <c r="D74" s="16"/>
      <c r="E74" s="16"/>
      <c r="F74" s="51"/>
      <c r="G74" s="48" t="s">
        <v>194</v>
      </c>
      <c r="H74" s="49">
        <f>SUM(H45:H72)</f>
        <v>7879454.5454545449</v>
      </c>
      <c r="I74" s="48"/>
      <c r="J74" s="49">
        <f>SUM(J45:J72)</f>
        <v>13852454.545454545</v>
      </c>
      <c r="K74" s="48"/>
      <c r="L74" s="49">
        <f>SUM(L45:L72)</f>
        <v>21731909.09090909</v>
      </c>
      <c r="M74" s="177"/>
    </row>
    <row r="75" spans="1:13" ht="18" customHeight="1">
      <c r="A75" s="13"/>
      <c r="B75" s="14"/>
      <c r="C75" s="12"/>
      <c r="D75" s="5"/>
      <c r="E75" s="5"/>
      <c r="F75" s="50"/>
      <c r="G75" s="28"/>
      <c r="H75" s="28"/>
      <c r="I75" s="28"/>
      <c r="J75" s="28"/>
      <c r="K75" s="28"/>
      <c r="L75" s="29"/>
      <c r="M75" s="177"/>
    </row>
    <row r="76" spans="1:13" s="20" customFormat="1" ht="18" customHeight="1">
      <c r="A76" s="44" t="s">
        <v>29</v>
      </c>
      <c r="B76" s="45" t="s">
        <v>94</v>
      </c>
      <c r="C76" s="46"/>
      <c r="D76" s="16"/>
      <c r="E76" s="16"/>
      <c r="F76" s="51"/>
      <c r="G76" s="48"/>
      <c r="H76" s="48"/>
      <c r="I76" s="48"/>
      <c r="J76" s="48"/>
      <c r="K76" s="48"/>
      <c r="L76" s="49"/>
      <c r="M76" s="177"/>
    </row>
    <row r="77" spans="1:13" s="59" customFormat="1" ht="18" customHeight="1">
      <c r="A77" s="52">
        <v>-1</v>
      </c>
      <c r="B77" s="53" t="s">
        <v>95</v>
      </c>
      <c r="C77" s="54"/>
      <c r="D77" s="55"/>
      <c r="E77" s="55"/>
      <c r="F77" s="56"/>
      <c r="G77" s="57"/>
      <c r="H77" s="57"/>
      <c r="I77" s="57"/>
      <c r="J77" s="57"/>
      <c r="K77" s="57"/>
      <c r="L77" s="58"/>
      <c r="M77" s="177"/>
    </row>
    <row r="78" spans="1:13" s="59" customFormat="1" ht="18" customHeight="1">
      <c r="A78" s="60" t="s">
        <v>163</v>
      </c>
      <c r="B78" s="53" t="s">
        <v>211</v>
      </c>
      <c r="C78" s="62" t="s">
        <v>561</v>
      </c>
      <c r="D78" s="55" t="s">
        <v>267</v>
      </c>
      <c r="E78" s="55" t="s">
        <v>161</v>
      </c>
      <c r="F78" s="61">
        <v>2</v>
      </c>
      <c r="G78" s="57">
        <v>50000</v>
      </c>
      <c r="H78" s="57">
        <f t="shared" ref="H78:H87" si="53">F78*G78</f>
        <v>100000</v>
      </c>
      <c r="I78" s="57">
        <v>150000</v>
      </c>
      <c r="J78" s="57">
        <f t="shared" ref="J78" si="54">F78*I78</f>
        <v>300000</v>
      </c>
      <c r="K78" s="57">
        <f t="shared" ref="K78:K85" si="55">G78+I78</f>
        <v>200000</v>
      </c>
      <c r="L78" s="58">
        <f t="shared" ref="L78:L85" si="56">F78*K78</f>
        <v>400000</v>
      </c>
      <c r="M78" s="273"/>
    </row>
    <row r="79" spans="1:13" s="59" customFormat="1" ht="18" hidden="1" customHeight="1">
      <c r="A79" s="60" t="s">
        <v>233</v>
      </c>
      <c r="B79" s="53" t="s">
        <v>234</v>
      </c>
      <c r="C79" s="62" t="s">
        <v>519</v>
      </c>
      <c r="D79" s="55" t="s">
        <v>266</v>
      </c>
      <c r="E79" s="55" t="s">
        <v>41</v>
      </c>
      <c r="F79" s="61">
        <v>0</v>
      </c>
      <c r="G79" s="57">
        <v>7800</v>
      </c>
      <c r="H79" s="57">
        <f t="shared" si="53"/>
        <v>0</v>
      </c>
      <c r="I79" s="57">
        <v>12200</v>
      </c>
      <c r="J79" s="57">
        <f t="shared" ref="J79" si="57">F79*I79</f>
        <v>0</v>
      </c>
      <c r="K79" s="57">
        <f t="shared" ref="K79" si="58">G79+I79</f>
        <v>20000</v>
      </c>
      <c r="L79" s="58">
        <f t="shared" ref="L79" si="59">F79*K79</f>
        <v>0</v>
      </c>
      <c r="M79" s="273"/>
    </row>
    <row r="80" spans="1:13" s="59" customFormat="1" ht="18" customHeight="1">
      <c r="A80" s="60" t="s">
        <v>44</v>
      </c>
      <c r="B80" s="53" t="s">
        <v>212</v>
      </c>
      <c r="C80" s="62" t="s">
        <v>561</v>
      </c>
      <c r="D80" s="55" t="s">
        <v>265</v>
      </c>
      <c r="E80" s="55" t="s">
        <v>39</v>
      </c>
      <c r="F80" s="61">
        <v>60</v>
      </c>
      <c r="G80" s="57">
        <v>3300</v>
      </c>
      <c r="H80" s="57">
        <f t="shared" si="53"/>
        <v>198000</v>
      </c>
      <c r="I80" s="57">
        <v>6600</v>
      </c>
      <c r="J80" s="57">
        <f t="shared" ref="J80" si="60">F80*I80</f>
        <v>396000</v>
      </c>
      <c r="K80" s="57">
        <f t="shared" si="55"/>
        <v>9900</v>
      </c>
      <c r="L80" s="58">
        <f t="shared" si="56"/>
        <v>594000</v>
      </c>
      <c r="M80" s="273"/>
    </row>
    <row r="81" spans="1:14" s="59" customFormat="1" ht="18" customHeight="1">
      <c r="A81" s="60" t="s">
        <v>163</v>
      </c>
      <c r="B81" s="53" t="s">
        <v>158</v>
      </c>
      <c r="C81" s="62" t="s">
        <v>561</v>
      </c>
      <c r="D81" s="55" t="s">
        <v>265</v>
      </c>
      <c r="E81" s="55" t="s">
        <v>41</v>
      </c>
      <c r="F81" s="61">
        <v>42</v>
      </c>
      <c r="G81" s="57">
        <v>8500</v>
      </c>
      <c r="H81" s="57">
        <f t="shared" si="53"/>
        <v>357000</v>
      </c>
      <c r="I81" s="57">
        <v>16500</v>
      </c>
      <c r="J81" s="57">
        <f t="shared" ref="J81" si="61">F81*I81</f>
        <v>693000</v>
      </c>
      <c r="K81" s="57">
        <f t="shared" si="55"/>
        <v>25000</v>
      </c>
      <c r="L81" s="58">
        <f t="shared" si="56"/>
        <v>1050000</v>
      </c>
      <c r="M81" s="273"/>
    </row>
    <row r="82" spans="1:14" s="275" customFormat="1" ht="18" customHeight="1">
      <c r="A82" s="356" t="s">
        <v>44</v>
      </c>
      <c r="B82" s="357" t="s">
        <v>562</v>
      </c>
      <c r="C82" s="358" t="s">
        <v>561</v>
      </c>
      <c r="D82" s="359" t="s">
        <v>477</v>
      </c>
      <c r="E82" s="359" t="s">
        <v>39</v>
      </c>
      <c r="F82" s="360">
        <v>0</v>
      </c>
      <c r="G82" s="361">
        <v>3300</v>
      </c>
      <c r="H82" s="361">
        <f>F82*G82</f>
        <v>0</v>
      </c>
      <c r="I82" s="361">
        <v>6600</v>
      </c>
      <c r="J82" s="361">
        <f>F82*I82</f>
        <v>0</v>
      </c>
      <c r="K82" s="361">
        <f>G82+I82</f>
        <v>9900</v>
      </c>
      <c r="L82" s="362">
        <f>F82*K82</f>
        <v>0</v>
      </c>
      <c r="M82" s="354"/>
    </row>
    <row r="83" spans="1:14" s="59" customFormat="1" ht="18" customHeight="1">
      <c r="A83" s="60" t="s">
        <v>163</v>
      </c>
      <c r="B83" s="53" t="s">
        <v>517</v>
      </c>
      <c r="C83" s="62" t="s">
        <v>561</v>
      </c>
      <c r="D83" s="55" t="s">
        <v>477</v>
      </c>
      <c r="E83" s="55" t="s">
        <v>41</v>
      </c>
      <c r="F83" s="61">
        <v>3.8</v>
      </c>
      <c r="G83" s="57">
        <v>8500</v>
      </c>
      <c r="H83" s="57">
        <f t="shared" ref="H83:H84" si="62">F83*G83</f>
        <v>32300</v>
      </c>
      <c r="I83" s="57">
        <v>16500</v>
      </c>
      <c r="J83" s="57">
        <f>F83*I83</f>
        <v>62700</v>
      </c>
      <c r="K83" s="57">
        <f t="shared" ref="K83:K84" si="63">G83+I83</f>
        <v>25000</v>
      </c>
      <c r="L83" s="58">
        <f t="shared" ref="L83:L84" si="64">F83*K83</f>
        <v>95000</v>
      </c>
      <c r="M83" s="273"/>
    </row>
    <row r="84" spans="1:14" s="59" customFormat="1" ht="18" hidden="1" customHeight="1">
      <c r="A84" s="60" t="s">
        <v>44</v>
      </c>
      <c r="B84" s="53" t="s">
        <v>235</v>
      </c>
      <c r="C84" s="62" t="s">
        <v>533</v>
      </c>
      <c r="D84" s="55" t="s">
        <v>518</v>
      </c>
      <c r="E84" s="55" t="s">
        <v>41</v>
      </c>
      <c r="F84" s="61">
        <v>0</v>
      </c>
      <c r="G84" s="57">
        <v>14000</v>
      </c>
      <c r="H84" s="57">
        <f t="shared" si="62"/>
        <v>0</v>
      </c>
      <c r="I84" s="57">
        <v>12200</v>
      </c>
      <c r="J84" s="57">
        <f t="shared" ref="J84" si="65">F84*I84</f>
        <v>0</v>
      </c>
      <c r="K84" s="57">
        <f t="shared" si="63"/>
        <v>26200</v>
      </c>
      <c r="L84" s="58">
        <f t="shared" si="64"/>
        <v>0</v>
      </c>
      <c r="M84" s="273"/>
    </row>
    <row r="85" spans="1:14" s="59" customFormat="1" ht="18" customHeight="1">
      <c r="A85" s="60" t="s">
        <v>163</v>
      </c>
      <c r="B85" s="53" t="s">
        <v>563</v>
      </c>
      <c r="C85" s="62" t="s">
        <v>561</v>
      </c>
      <c r="D85" s="55" t="s">
        <v>600</v>
      </c>
      <c r="E85" s="55" t="s">
        <v>11</v>
      </c>
      <c r="F85" s="288">
        <f>15.2+3.8+2.3+6.6+18+17.6</f>
        <v>63.5</v>
      </c>
      <c r="G85" s="57">
        <v>8500</v>
      </c>
      <c r="H85" s="57">
        <f t="shared" si="53"/>
        <v>539750</v>
      </c>
      <c r="I85" s="57">
        <v>16500</v>
      </c>
      <c r="J85" s="57">
        <f t="shared" ref="J85" si="66">F85*I85</f>
        <v>1047750</v>
      </c>
      <c r="K85" s="57">
        <f t="shared" si="55"/>
        <v>25000</v>
      </c>
      <c r="L85" s="58">
        <f t="shared" si="56"/>
        <v>1587500</v>
      </c>
      <c r="M85" s="273"/>
      <c r="N85" s="289"/>
    </row>
    <row r="86" spans="1:14" s="59" customFormat="1" ht="18" hidden="1" customHeight="1">
      <c r="A86" s="60" t="s">
        <v>282</v>
      </c>
      <c r="B86" s="53" t="s">
        <v>283</v>
      </c>
      <c r="C86" s="62" t="s">
        <v>300</v>
      </c>
      <c r="D86" s="55" t="s">
        <v>278</v>
      </c>
      <c r="E86" s="55" t="s">
        <v>284</v>
      </c>
      <c r="F86" s="288"/>
      <c r="G86" s="57">
        <f>18000*15</f>
        <v>270000</v>
      </c>
      <c r="H86" s="57">
        <f t="shared" si="53"/>
        <v>0</v>
      </c>
      <c r="I86" s="57">
        <v>150000</v>
      </c>
      <c r="J86" s="57">
        <f t="shared" ref="J86" si="67">F86*I86</f>
        <v>0</v>
      </c>
      <c r="K86" s="57">
        <f t="shared" ref="K86" si="68">G86+I86</f>
        <v>420000</v>
      </c>
      <c r="L86" s="58">
        <f t="shared" ref="L86" si="69">F86*K86</f>
        <v>0</v>
      </c>
      <c r="M86" s="273"/>
      <c r="N86" s="289"/>
    </row>
    <row r="87" spans="1:14" s="59" customFormat="1" ht="18" customHeight="1">
      <c r="A87" s="60" t="s">
        <v>262</v>
      </c>
      <c r="B87" s="53" t="s">
        <v>263</v>
      </c>
      <c r="C87" s="62"/>
      <c r="D87" s="55" t="s">
        <v>268</v>
      </c>
      <c r="E87" s="55" t="s">
        <v>264</v>
      </c>
      <c r="F87" s="288">
        <v>1</v>
      </c>
      <c r="G87" s="57">
        <v>100000</v>
      </c>
      <c r="H87" s="57">
        <f t="shared" si="53"/>
        <v>100000</v>
      </c>
      <c r="I87" s="57">
        <v>0</v>
      </c>
      <c r="J87" s="57">
        <v>0</v>
      </c>
      <c r="K87" s="57">
        <f t="shared" ref="K87" si="70">G87+I87</f>
        <v>100000</v>
      </c>
      <c r="L87" s="58">
        <f t="shared" ref="L87" si="71">F87*K87</f>
        <v>100000</v>
      </c>
      <c r="M87" s="273"/>
      <c r="N87" s="289"/>
    </row>
    <row r="88" spans="1:14" s="337" customFormat="1" ht="18" hidden="1" customHeight="1">
      <c r="A88" s="260" t="s">
        <v>163</v>
      </c>
      <c r="B88" s="330" t="s">
        <v>96</v>
      </c>
      <c r="C88" s="62"/>
      <c r="D88" s="332"/>
      <c r="E88" s="332" t="s">
        <v>39</v>
      </c>
      <c r="F88" s="341">
        <v>0</v>
      </c>
      <c r="G88" s="334">
        <v>3300</v>
      </c>
      <c r="H88" s="334">
        <f>F88*G88</f>
        <v>0</v>
      </c>
      <c r="I88" s="334"/>
      <c r="J88" s="334"/>
      <c r="K88" s="334">
        <f>G88+I88</f>
        <v>3300</v>
      </c>
      <c r="L88" s="335">
        <f>F88*K88</f>
        <v>0</v>
      </c>
      <c r="M88" s="273" t="s">
        <v>375</v>
      </c>
    </row>
    <row r="89" spans="1:14" s="241" customFormat="1" ht="18" customHeight="1">
      <c r="A89" s="236"/>
      <c r="B89" s="236" t="s">
        <v>13</v>
      </c>
      <c r="C89" s="237"/>
      <c r="D89" s="238"/>
      <c r="E89" s="238"/>
      <c r="F89" s="239"/>
      <c r="G89" s="240"/>
      <c r="H89" s="240">
        <f>SUM(H78:H88)</f>
        <v>1327050</v>
      </c>
      <c r="I89" s="240"/>
      <c r="J89" s="240">
        <f>SUM(J78:J88)</f>
        <v>2499450</v>
      </c>
      <c r="K89" s="240"/>
      <c r="L89" s="240">
        <f>SUM(L78:L88)</f>
        <v>3826500</v>
      </c>
      <c r="M89" s="176"/>
    </row>
    <row r="90" spans="1:14" ht="18" customHeight="1">
      <c r="A90" s="10"/>
      <c r="B90" s="11"/>
      <c r="C90" s="12"/>
      <c r="D90" s="5"/>
      <c r="E90" s="5"/>
      <c r="F90" s="50"/>
      <c r="G90" s="28"/>
      <c r="H90" s="28"/>
      <c r="I90" s="28"/>
      <c r="J90" s="28"/>
      <c r="K90" s="28"/>
      <c r="L90" s="29"/>
      <c r="M90" s="177"/>
    </row>
    <row r="91" spans="1:14" s="20" customFormat="1" ht="18" customHeight="1">
      <c r="A91" s="44" t="s">
        <v>30</v>
      </c>
      <c r="B91" s="45" t="s">
        <v>99</v>
      </c>
      <c r="C91" s="46"/>
      <c r="D91" s="16"/>
      <c r="E91" s="16"/>
      <c r="F91" s="51"/>
      <c r="G91" s="48"/>
      <c r="H91" s="48"/>
      <c r="I91" s="48"/>
      <c r="J91" s="48"/>
      <c r="K91" s="48"/>
      <c r="L91" s="49"/>
      <c r="M91" s="177"/>
    </row>
    <row r="92" spans="1:14" s="59" customFormat="1" ht="18" customHeight="1">
      <c r="A92" s="52">
        <v>-1</v>
      </c>
      <c r="B92" s="53" t="s">
        <v>499</v>
      </c>
      <c r="C92" s="54"/>
      <c r="D92" s="55"/>
      <c r="E92" s="55"/>
      <c r="F92" s="56"/>
      <c r="G92" s="57"/>
      <c r="H92" s="57"/>
      <c r="I92" s="57"/>
      <c r="J92" s="57"/>
      <c r="K92" s="57"/>
      <c r="L92" s="58"/>
      <c r="M92" s="177"/>
    </row>
    <row r="93" spans="1:14" s="275" customFormat="1" ht="18" customHeight="1">
      <c r="A93" s="356" t="s">
        <v>163</v>
      </c>
      <c r="B93" s="357" t="s">
        <v>397</v>
      </c>
      <c r="C93" s="473" t="s">
        <v>301</v>
      </c>
      <c r="D93" s="359" t="s">
        <v>302</v>
      </c>
      <c r="E93" s="474" t="s">
        <v>38</v>
      </c>
      <c r="F93" s="360">
        <v>2</v>
      </c>
      <c r="G93" s="361">
        <v>2100000</v>
      </c>
      <c r="H93" s="361">
        <f>F93*G93</f>
        <v>4200000</v>
      </c>
      <c r="I93" s="361">
        <v>500000</v>
      </c>
      <c r="J93" s="361">
        <f>F93*I93</f>
        <v>1000000</v>
      </c>
      <c r="K93" s="361">
        <f>G93+I93</f>
        <v>2600000</v>
      </c>
      <c r="L93" s="362">
        <f>F93*K93</f>
        <v>5200000</v>
      </c>
      <c r="M93" s="363"/>
    </row>
    <row r="94" spans="1:14" s="59" customFormat="1" ht="18" customHeight="1">
      <c r="A94" s="60"/>
      <c r="B94" s="53"/>
      <c r="C94" s="302"/>
      <c r="D94" s="55"/>
      <c r="E94" s="303"/>
      <c r="F94" s="61" t="s">
        <v>194</v>
      </c>
      <c r="G94" s="57"/>
      <c r="H94" s="57"/>
      <c r="I94" s="57"/>
      <c r="J94" s="57"/>
      <c r="K94" s="57"/>
      <c r="L94" s="58"/>
      <c r="M94" s="177"/>
    </row>
    <row r="95" spans="1:14" s="59" customFormat="1" ht="18" customHeight="1">
      <c r="A95" s="60" t="s">
        <v>12</v>
      </c>
      <c r="B95" s="53" t="s">
        <v>495</v>
      </c>
      <c r="C95" s="62" t="s">
        <v>203</v>
      </c>
      <c r="D95" s="55" t="s">
        <v>303</v>
      </c>
      <c r="E95" s="55" t="s">
        <v>237</v>
      </c>
      <c r="F95" s="61">
        <v>1.8</v>
      </c>
      <c r="G95" s="57">
        <v>160000</v>
      </c>
      <c r="H95" s="57">
        <f>F95*G95</f>
        <v>288000</v>
      </c>
      <c r="I95" s="57">
        <v>50000</v>
      </c>
      <c r="J95" s="57">
        <f t="shared" ref="J95:J96" si="72">F95*I95</f>
        <v>90000</v>
      </c>
      <c r="K95" s="57">
        <f>G95+I95</f>
        <v>210000</v>
      </c>
      <c r="L95" s="58">
        <f t="shared" ref="L95:L96" si="73">F95*K95</f>
        <v>378000</v>
      </c>
      <c r="M95" s="177"/>
    </row>
    <row r="96" spans="1:14" s="59" customFormat="1" ht="18" customHeight="1">
      <c r="A96" s="60" t="s">
        <v>12</v>
      </c>
      <c r="B96" s="53" t="s">
        <v>396</v>
      </c>
      <c r="C96" s="62" t="s">
        <v>564</v>
      </c>
      <c r="D96" s="55" t="s">
        <v>247</v>
      </c>
      <c r="E96" s="55" t="s">
        <v>38</v>
      </c>
      <c r="F96" s="61">
        <v>1</v>
      </c>
      <c r="G96" s="57">
        <v>120000</v>
      </c>
      <c r="H96" s="57">
        <f>F96*G96</f>
        <v>120000</v>
      </c>
      <c r="I96" s="57">
        <v>20000</v>
      </c>
      <c r="J96" s="57">
        <f t="shared" si="72"/>
        <v>20000</v>
      </c>
      <c r="K96" s="57">
        <f>G96+I96</f>
        <v>140000</v>
      </c>
      <c r="L96" s="58">
        <f t="shared" si="73"/>
        <v>140000</v>
      </c>
      <c r="M96" s="177"/>
    </row>
    <row r="97" spans="1:16" s="59" customFormat="1" ht="18" customHeight="1">
      <c r="A97" s="60" t="s">
        <v>44</v>
      </c>
      <c r="B97" s="53" t="s">
        <v>181</v>
      </c>
      <c r="C97" s="62"/>
      <c r="D97" s="55" t="s">
        <v>303</v>
      </c>
      <c r="E97" s="55" t="s">
        <v>39</v>
      </c>
      <c r="F97" s="61">
        <v>1.7</v>
      </c>
      <c r="G97" s="57">
        <v>160000</v>
      </c>
      <c r="H97" s="57">
        <f t="shared" ref="H97" si="74">F97*G97</f>
        <v>272000</v>
      </c>
      <c r="I97" s="57">
        <v>50000</v>
      </c>
      <c r="J97" s="57">
        <f t="shared" ref="J97" si="75">F97*I97</f>
        <v>85000</v>
      </c>
      <c r="K97" s="57">
        <f t="shared" ref="K97" si="76">G97+I97</f>
        <v>210000</v>
      </c>
      <c r="L97" s="58">
        <f t="shared" ref="L97" si="77">F97*K97</f>
        <v>357000</v>
      </c>
      <c r="M97" s="176"/>
    </row>
    <row r="98" spans="1:16" s="59" customFormat="1" ht="18" customHeight="1">
      <c r="A98" s="60" t="s">
        <v>163</v>
      </c>
      <c r="B98" s="53" t="s">
        <v>175</v>
      </c>
      <c r="C98" s="62"/>
      <c r="D98" s="55" t="s">
        <v>302</v>
      </c>
      <c r="E98" s="55" t="s">
        <v>39</v>
      </c>
      <c r="F98" s="61">
        <v>1.7</v>
      </c>
      <c r="G98" s="57">
        <v>160000</v>
      </c>
      <c r="H98" s="57">
        <f t="shared" ref="H98:H105" si="78">F98*G98</f>
        <v>272000</v>
      </c>
      <c r="I98" s="57">
        <v>50000</v>
      </c>
      <c r="J98" s="57">
        <f>F98*I98</f>
        <v>85000</v>
      </c>
      <c r="K98" s="57">
        <f t="shared" ref="K98:K105" si="79">G98+I98</f>
        <v>210000</v>
      </c>
      <c r="L98" s="58">
        <f>F98*K98</f>
        <v>357000</v>
      </c>
      <c r="M98" s="177"/>
    </row>
    <row r="99" spans="1:16" s="59" customFormat="1" ht="18" customHeight="1">
      <c r="A99" s="60" t="s">
        <v>44</v>
      </c>
      <c r="B99" s="53" t="s">
        <v>398</v>
      </c>
      <c r="C99" s="62"/>
      <c r="D99" s="55" t="s">
        <v>247</v>
      </c>
      <c r="E99" s="55" t="s">
        <v>101</v>
      </c>
      <c r="F99" s="61">
        <v>2</v>
      </c>
      <c r="G99" s="57">
        <v>130000</v>
      </c>
      <c r="H99" s="57">
        <f t="shared" si="78"/>
        <v>260000</v>
      </c>
      <c r="I99" s="57">
        <v>50000</v>
      </c>
      <c r="J99" s="57">
        <f>F99*I99</f>
        <v>100000</v>
      </c>
      <c r="K99" s="57">
        <f t="shared" si="79"/>
        <v>180000</v>
      </c>
      <c r="L99" s="58">
        <f>F99*K99</f>
        <v>360000</v>
      </c>
      <c r="M99" s="177"/>
      <c r="O99" s="278"/>
      <c r="P99" s="278"/>
    </row>
    <row r="100" spans="1:16" s="59" customFormat="1" ht="18" customHeight="1">
      <c r="A100" s="60" t="s">
        <v>12</v>
      </c>
      <c r="B100" s="53" t="s">
        <v>399</v>
      </c>
      <c r="C100" s="62" t="s">
        <v>402</v>
      </c>
      <c r="D100" s="55" t="s">
        <v>247</v>
      </c>
      <c r="E100" s="55" t="s">
        <v>38</v>
      </c>
      <c r="F100" s="61">
        <v>1</v>
      </c>
      <c r="G100" s="57">
        <v>120000</v>
      </c>
      <c r="H100" s="57">
        <f t="shared" si="78"/>
        <v>120000</v>
      </c>
      <c r="I100" s="57">
        <v>20000</v>
      </c>
      <c r="J100" s="57">
        <f t="shared" ref="J100" si="80">F100*I100</f>
        <v>20000</v>
      </c>
      <c r="K100" s="57">
        <f t="shared" si="79"/>
        <v>140000</v>
      </c>
      <c r="L100" s="58">
        <f t="shared" ref="L100" si="81">F100*K100</f>
        <v>140000</v>
      </c>
      <c r="M100" s="177"/>
    </row>
    <row r="101" spans="1:16" s="59" customFormat="1" ht="18" customHeight="1">
      <c r="A101" s="60" t="s">
        <v>44</v>
      </c>
      <c r="B101" s="53" t="s">
        <v>470</v>
      </c>
      <c r="C101" s="62"/>
      <c r="D101" s="55" t="s">
        <v>247</v>
      </c>
      <c r="E101" s="55" t="s">
        <v>38</v>
      </c>
      <c r="F101" s="61">
        <v>2</v>
      </c>
      <c r="G101" s="57">
        <v>140000</v>
      </c>
      <c r="H101" s="57">
        <f t="shared" si="78"/>
        <v>280000</v>
      </c>
      <c r="I101" s="57">
        <v>20000</v>
      </c>
      <c r="J101" s="57">
        <f>F101*I101</f>
        <v>40000</v>
      </c>
      <c r="K101" s="57">
        <f t="shared" si="79"/>
        <v>160000</v>
      </c>
      <c r="L101" s="58">
        <f>F101*K101</f>
        <v>320000</v>
      </c>
      <c r="M101" s="177"/>
    </row>
    <row r="102" spans="1:16" s="59" customFormat="1" ht="18" customHeight="1">
      <c r="A102" s="60" t="s">
        <v>12</v>
      </c>
      <c r="B102" s="53" t="s">
        <v>399</v>
      </c>
      <c r="C102" s="62" t="s">
        <v>564</v>
      </c>
      <c r="D102" s="55" t="s">
        <v>247</v>
      </c>
      <c r="E102" s="55" t="s">
        <v>38</v>
      </c>
      <c r="F102" s="61">
        <v>1</v>
      </c>
      <c r="G102" s="57">
        <v>120000</v>
      </c>
      <c r="H102" s="57">
        <f t="shared" si="78"/>
        <v>120000</v>
      </c>
      <c r="I102" s="57">
        <v>20000</v>
      </c>
      <c r="J102" s="57">
        <f t="shared" ref="J102" si="82">F102*I102</f>
        <v>20000</v>
      </c>
      <c r="K102" s="57">
        <f t="shared" si="79"/>
        <v>140000</v>
      </c>
      <c r="L102" s="58">
        <f t="shared" ref="L102" si="83">F102*K102</f>
        <v>140000</v>
      </c>
      <c r="M102" s="177"/>
    </row>
    <row r="103" spans="1:16" s="59" customFormat="1" ht="18" customHeight="1">
      <c r="A103" s="60" t="s">
        <v>44</v>
      </c>
      <c r="B103" s="53" t="s">
        <v>398</v>
      </c>
      <c r="C103" s="62"/>
      <c r="D103" s="55" t="s">
        <v>247</v>
      </c>
      <c r="E103" s="55" t="s">
        <v>101</v>
      </c>
      <c r="F103" s="61">
        <v>2</v>
      </c>
      <c r="G103" s="57">
        <v>130000</v>
      </c>
      <c r="H103" s="57">
        <f t="shared" si="78"/>
        <v>260000</v>
      </c>
      <c r="I103" s="57">
        <v>50000</v>
      </c>
      <c r="J103" s="57">
        <f>F103*I103</f>
        <v>100000</v>
      </c>
      <c r="K103" s="57">
        <f t="shared" si="79"/>
        <v>180000</v>
      </c>
      <c r="L103" s="58">
        <f>F103*K103</f>
        <v>360000</v>
      </c>
      <c r="M103" s="177"/>
      <c r="O103" s="278"/>
      <c r="P103" s="278"/>
    </row>
    <row r="104" spans="1:16" s="59" customFormat="1" ht="18" customHeight="1">
      <c r="A104" s="60" t="s">
        <v>44</v>
      </c>
      <c r="B104" s="53" t="s">
        <v>565</v>
      </c>
      <c r="C104" s="62" t="s">
        <v>564</v>
      </c>
      <c r="D104" s="55" t="s">
        <v>247</v>
      </c>
      <c r="E104" s="55" t="s">
        <v>101</v>
      </c>
      <c r="F104" s="61">
        <v>1</v>
      </c>
      <c r="G104" s="57">
        <v>240000</v>
      </c>
      <c r="H104" s="57">
        <f t="shared" si="78"/>
        <v>240000</v>
      </c>
      <c r="I104" s="57">
        <v>50000</v>
      </c>
      <c r="J104" s="57">
        <f>F104*I104</f>
        <v>50000</v>
      </c>
      <c r="K104" s="57">
        <f t="shared" si="79"/>
        <v>290000</v>
      </c>
      <c r="L104" s="58">
        <f>F104*K104</f>
        <v>290000</v>
      </c>
      <c r="M104" s="177"/>
    </row>
    <row r="105" spans="1:16" s="59" customFormat="1" ht="18" customHeight="1">
      <c r="A105" s="60" t="s">
        <v>44</v>
      </c>
      <c r="B105" s="53" t="s">
        <v>565</v>
      </c>
      <c r="C105" s="62" t="s">
        <v>402</v>
      </c>
      <c r="D105" s="55" t="s">
        <v>247</v>
      </c>
      <c r="E105" s="55" t="s">
        <v>101</v>
      </c>
      <c r="F105" s="61">
        <v>1</v>
      </c>
      <c r="G105" s="57">
        <v>240000</v>
      </c>
      <c r="H105" s="57">
        <f t="shared" si="78"/>
        <v>240000</v>
      </c>
      <c r="I105" s="57">
        <v>50000</v>
      </c>
      <c r="J105" s="57">
        <f>F105*I105</f>
        <v>50000</v>
      </c>
      <c r="K105" s="57">
        <f t="shared" si="79"/>
        <v>290000</v>
      </c>
      <c r="L105" s="58">
        <f>F105*K105</f>
        <v>290000</v>
      </c>
      <c r="M105" s="177"/>
    </row>
    <row r="106" spans="1:16" s="59" customFormat="1" ht="18" customHeight="1">
      <c r="A106" s="60" t="s">
        <v>44</v>
      </c>
      <c r="B106" s="53" t="s">
        <v>404</v>
      </c>
      <c r="C106" s="62"/>
      <c r="D106" s="55" t="s">
        <v>247</v>
      </c>
      <c r="E106" s="55" t="s">
        <v>39</v>
      </c>
      <c r="F106" s="61">
        <v>1.2</v>
      </c>
      <c r="G106" s="57">
        <v>160000</v>
      </c>
      <c r="H106" s="57">
        <f t="shared" ref="H106" si="84">F106*G106</f>
        <v>192000</v>
      </c>
      <c r="I106" s="57">
        <v>50000</v>
      </c>
      <c r="J106" s="57">
        <f t="shared" ref="J106" si="85">F106*I106</f>
        <v>60000</v>
      </c>
      <c r="K106" s="57">
        <f t="shared" ref="K106" si="86">G106+I106</f>
        <v>210000</v>
      </c>
      <c r="L106" s="58">
        <f t="shared" ref="L106" si="87">F106*K106</f>
        <v>252000</v>
      </c>
      <c r="M106" s="176"/>
    </row>
    <row r="107" spans="1:16" s="59" customFormat="1" ht="18" customHeight="1">
      <c r="A107" s="60" t="s">
        <v>44</v>
      </c>
      <c r="B107" s="53" t="s">
        <v>318</v>
      </c>
      <c r="C107" s="62"/>
      <c r="D107" s="55" t="s">
        <v>247</v>
      </c>
      <c r="E107" s="55" t="s">
        <v>39</v>
      </c>
      <c r="F107" s="61">
        <v>1.2</v>
      </c>
      <c r="G107" s="57">
        <v>160000</v>
      </c>
      <c r="H107" s="57">
        <f>F107*G107</f>
        <v>192000</v>
      </c>
      <c r="I107" s="57">
        <v>50000</v>
      </c>
      <c r="J107" s="57">
        <f>F107*I107</f>
        <v>60000</v>
      </c>
      <c r="K107" s="57">
        <f>G107+I107</f>
        <v>210000</v>
      </c>
      <c r="L107" s="58">
        <f>F107*K107</f>
        <v>252000</v>
      </c>
      <c r="M107" s="177"/>
    </row>
    <row r="108" spans="1:16" s="59" customFormat="1" ht="18" customHeight="1">
      <c r="A108" s="60" t="s">
        <v>12</v>
      </c>
      <c r="B108" s="53" t="s">
        <v>566</v>
      </c>
      <c r="C108" s="62" t="s">
        <v>493</v>
      </c>
      <c r="D108" s="55" t="s">
        <v>247</v>
      </c>
      <c r="E108" s="55" t="s">
        <v>38</v>
      </c>
      <c r="F108" s="61">
        <v>1</v>
      </c>
      <c r="G108" s="57">
        <v>120000</v>
      </c>
      <c r="H108" s="57">
        <f>F108*G108</f>
        <v>120000</v>
      </c>
      <c r="I108" s="57">
        <v>20000</v>
      </c>
      <c r="J108" s="57">
        <f t="shared" ref="J108:J109" si="88">F108*I108</f>
        <v>20000</v>
      </c>
      <c r="K108" s="57">
        <f>G108+I108</f>
        <v>140000</v>
      </c>
      <c r="L108" s="58">
        <f t="shared" ref="L108:L109" si="89">F108*K108</f>
        <v>140000</v>
      </c>
      <c r="M108" s="177"/>
    </row>
    <row r="109" spans="1:16" s="59" customFormat="1" ht="18" customHeight="1">
      <c r="A109" s="60" t="s">
        <v>44</v>
      </c>
      <c r="B109" s="53" t="s">
        <v>404</v>
      </c>
      <c r="C109" s="62"/>
      <c r="D109" s="55" t="s">
        <v>247</v>
      </c>
      <c r="E109" s="55" t="s">
        <v>39</v>
      </c>
      <c r="F109" s="61">
        <v>2.1</v>
      </c>
      <c r="G109" s="57">
        <v>160000</v>
      </c>
      <c r="H109" s="57">
        <f t="shared" ref="H109" si="90">F109*G109</f>
        <v>336000</v>
      </c>
      <c r="I109" s="57">
        <v>50000</v>
      </c>
      <c r="J109" s="57">
        <f t="shared" si="88"/>
        <v>105000</v>
      </c>
      <c r="K109" s="57">
        <f t="shared" ref="K109" si="91">G109+I109</f>
        <v>210000</v>
      </c>
      <c r="L109" s="58">
        <f t="shared" si="89"/>
        <v>441000</v>
      </c>
      <c r="M109" s="176"/>
    </row>
    <row r="110" spans="1:16" s="59" customFormat="1" ht="18" customHeight="1">
      <c r="A110" s="60" t="s">
        <v>44</v>
      </c>
      <c r="B110" s="53" t="s">
        <v>318</v>
      </c>
      <c r="C110" s="62"/>
      <c r="D110" s="55" t="s">
        <v>247</v>
      </c>
      <c r="E110" s="55" t="s">
        <v>39</v>
      </c>
      <c r="F110" s="61">
        <v>2.1</v>
      </c>
      <c r="G110" s="57">
        <v>160000</v>
      </c>
      <c r="H110" s="57">
        <f t="shared" ref="H110:H119" si="92">F110*G110</f>
        <v>336000</v>
      </c>
      <c r="I110" s="57">
        <v>50000</v>
      </c>
      <c r="J110" s="57">
        <f>F110*I110</f>
        <v>105000</v>
      </c>
      <c r="K110" s="57">
        <f t="shared" ref="K110:K116" si="93">G110+I110</f>
        <v>210000</v>
      </c>
      <c r="L110" s="58">
        <f>F110*K110</f>
        <v>441000</v>
      </c>
      <c r="M110" s="177"/>
    </row>
    <row r="111" spans="1:16" s="59" customFormat="1" ht="18" customHeight="1">
      <c r="A111" s="60" t="s">
        <v>12</v>
      </c>
      <c r="B111" s="53" t="s">
        <v>567</v>
      </c>
      <c r="C111" s="62" t="s">
        <v>568</v>
      </c>
      <c r="D111" s="55" t="s">
        <v>247</v>
      </c>
      <c r="E111" s="55" t="s">
        <v>38</v>
      </c>
      <c r="F111" s="61">
        <v>2</v>
      </c>
      <c r="G111" s="57">
        <v>120000</v>
      </c>
      <c r="H111" s="57">
        <f t="shared" si="92"/>
        <v>240000</v>
      </c>
      <c r="I111" s="57">
        <v>20000</v>
      </c>
      <c r="J111" s="57">
        <f t="shared" ref="J111" si="94">F111*I111</f>
        <v>40000</v>
      </c>
      <c r="K111" s="57">
        <f t="shared" si="93"/>
        <v>140000</v>
      </c>
      <c r="L111" s="58">
        <f t="shared" ref="L111" si="95">F111*K111</f>
        <v>280000</v>
      </c>
      <c r="M111" s="177"/>
    </row>
    <row r="112" spans="1:16" s="59" customFormat="1" ht="18" customHeight="1">
      <c r="A112" s="60" t="s">
        <v>44</v>
      </c>
      <c r="B112" s="53" t="s">
        <v>398</v>
      </c>
      <c r="C112" s="62"/>
      <c r="D112" s="55" t="s">
        <v>247</v>
      </c>
      <c r="E112" s="55" t="s">
        <v>101</v>
      </c>
      <c r="F112" s="61">
        <v>2</v>
      </c>
      <c r="G112" s="57">
        <v>130000</v>
      </c>
      <c r="H112" s="57">
        <f t="shared" si="92"/>
        <v>260000</v>
      </c>
      <c r="I112" s="57">
        <v>50000</v>
      </c>
      <c r="J112" s="57">
        <f>F112*I112</f>
        <v>100000</v>
      </c>
      <c r="K112" s="57">
        <f t="shared" si="93"/>
        <v>180000</v>
      </c>
      <c r="L112" s="58">
        <f>F112*K112</f>
        <v>360000</v>
      </c>
      <c r="M112" s="177"/>
      <c r="O112" s="278"/>
      <c r="P112" s="278"/>
    </row>
    <row r="113" spans="1:16" s="59" customFormat="1" ht="18" customHeight="1">
      <c r="A113" s="60" t="s">
        <v>44</v>
      </c>
      <c r="B113" s="53" t="s">
        <v>470</v>
      </c>
      <c r="C113" s="62"/>
      <c r="D113" s="55" t="s">
        <v>247</v>
      </c>
      <c r="E113" s="55" t="s">
        <v>38</v>
      </c>
      <c r="F113" s="61">
        <v>2</v>
      </c>
      <c r="G113" s="57">
        <v>140000</v>
      </c>
      <c r="H113" s="57">
        <f t="shared" si="92"/>
        <v>280000</v>
      </c>
      <c r="I113" s="57">
        <v>20000</v>
      </c>
      <c r="J113" s="57">
        <f>F113*I113</f>
        <v>40000</v>
      </c>
      <c r="K113" s="57">
        <f t="shared" si="93"/>
        <v>160000</v>
      </c>
      <c r="L113" s="58">
        <f>F113*K113</f>
        <v>320000</v>
      </c>
      <c r="M113" s="177"/>
    </row>
    <row r="114" spans="1:16" s="59" customFormat="1" ht="18" customHeight="1">
      <c r="A114" s="60" t="s">
        <v>44</v>
      </c>
      <c r="B114" s="53" t="s">
        <v>401</v>
      </c>
      <c r="C114" s="62"/>
      <c r="D114" s="55" t="s">
        <v>247</v>
      </c>
      <c r="E114" s="55" t="s">
        <v>39</v>
      </c>
      <c r="F114" s="61">
        <f>2.6*2</f>
        <v>5.2</v>
      </c>
      <c r="G114" s="57">
        <v>160000</v>
      </c>
      <c r="H114" s="57">
        <f t="shared" si="92"/>
        <v>832000</v>
      </c>
      <c r="I114" s="57">
        <v>50000</v>
      </c>
      <c r="J114" s="57">
        <f>F114*I114</f>
        <v>260000</v>
      </c>
      <c r="K114" s="57">
        <f t="shared" si="93"/>
        <v>210000</v>
      </c>
      <c r="L114" s="58">
        <f>F114*K114</f>
        <v>1092000</v>
      </c>
      <c r="M114" s="177"/>
    </row>
    <row r="115" spans="1:16" s="59" customFormat="1" ht="18" customHeight="1">
      <c r="A115" s="60" t="s">
        <v>12</v>
      </c>
      <c r="B115" s="53" t="s">
        <v>569</v>
      </c>
      <c r="C115" s="62" t="s">
        <v>570</v>
      </c>
      <c r="D115" s="55" t="s">
        <v>247</v>
      </c>
      <c r="E115" s="55" t="s">
        <v>38</v>
      </c>
      <c r="F115" s="61">
        <v>2</v>
      </c>
      <c r="G115" s="57">
        <v>120000</v>
      </c>
      <c r="H115" s="57">
        <f t="shared" si="92"/>
        <v>240000</v>
      </c>
      <c r="I115" s="57">
        <v>20000</v>
      </c>
      <c r="J115" s="57">
        <f t="shared" ref="J115" si="96">F115*I115</f>
        <v>40000</v>
      </c>
      <c r="K115" s="57">
        <f t="shared" si="93"/>
        <v>140000</v>
      </c>
      <c r="L115" s="58">
        <f t="shared" ref="L115" si="97">F115*K115</f>
        <v>280000</v>
      </c>
      <c r="M115" s="177"/>
    </row>
    <row r="116" spans="1:16" s="59" customFormat="1" ht="18" customHeight="1">
      <c r="A116" s="60" t="s">
        <v>44</v>
      </c>
      <c r="B116" s="53" t="s">
        <v>527</v>
      </c>
      <c r="C116" s="302" t="s">
        <v>345</v>
      </c>
      <c r="D116" s="60" t="s">
        <v>247</v>
      </c>
      <c r="E116" s="55" t="s">
        <v>42</v>
      </c>
      <c r="F116" s="61">
        <v>1</v>
      </c>
      <c r="G116" s="57">
        <v>480000</v>
      </c>
      <c r="H116" s="57">
        <f t="shared" si="92"/>
        <v>480000</v>
      </c>
      <c r="I116" s="57">
        <v>50000</v>
      </c>
      <c r="J116" s="57">
        <f>F116*I116</f>
        <v>50000</v>
      </c>
      <c r="K116" s="57">
        <f t="shared" si="93"/>
        <v>530000</v>
      </c>
      <c r="L116" s="58">
        <f>F116*K116</f>
        <v>530000</v>
      </c>
      <c r="M116" s="426"/>
    </row>
    <row r="117" spans="1:16" s="59" customFormat="1" ht="18" customHeight="1">
      <c r="A117" s="60" t="s">
        <v>44</v>
      </c>
      <c r="B117" s="53" t="s">
        <v>526</v>
      </c>
      <c r="C117" s="268" t="s">
        <v>354</v>
      </c>
      <c r="D117" s="60" t="s">
        <v>247</v>
      </c>
      <c r="E117" s="55" t="s">
        <v>42</v>
      </c>
      <c r="F117" s="61">
        <v>1</v>
      </c>
      <c r="G117" s="57">
        <v>286000</v>
      </c>
      <c r="H117" s="57">
        <f t="shared" si="92"/>
        <v>286000</v>
      </c>
      <c r="I117" s="57">
        <v>50000</v>
      </c>
      <c r="J117" s="57">
        <f>F117*I117</f>
        <v>50000</v>
      </c>
      <c r="K117" s="57">
        <f t="shared" ref="K117" si="98">G117+I117</f>
        <v>336000</v>
      </c>
      <c r="L117" s="58">
        <f>F117*K117</f>
        <v>336000</v>
      </c>
      <c r="M117" s="426"/>
    </row>
    <row r="118" spans="1:16" s="59" customFormat="1" ht="18" customHeight="1">
      <c r="A118" s="60" t="s">
        <v>44</v>
      </c>
      <c r="B118" s="53" t="s">
        <v>574</v>
      </c>
      <c r="C118" s="62"/>
      <c r="D118" s="55" t="s">
        <v>247</v>
      </c>
      <c r="E118" s="55" t="s">
        <v>394</v>
      </c>
      <c r="F118" s="61">
        <v>3</v>
      </c>
      <c r="G118" s="57">
        <v>150000</v>
      </c>
      <c r="H118" s="57">
        <f t="shared" si="92"/>
        <v>450000</v>
      </c>
      <c r="I118" s="57">
        <v>50000</v>
      </c>
      <c r="J118" s="57">
        <f>F118*I118</f>
        <v>150000</v>
      </c>
      <c r="K118" s="57">
        <f>G118+I118</f>
        <v>200000</v>
      </c>
      <c r="L118" s="58">
        <f>F118*K118</f>
        <v>600000</v>
      </c>
      <c r="M118" s="176"/>
    </row>
    <row r="119" spans="1:16" s="59" customFormat="1" ht="18" customHeight="1">
      <c r="A119" s="60" t="s">
        <v>44</v>
      </c>
      <c r="B119" s="53" t="s">
        <v>575</v>
      </c>
      <c r="C119" s="62"/>
      <c r="D119" s="55" t="s">
        <v>247</v>
      </c>
      <c r="E119" s="55" t="s">
        <v>394</v>
      </c>
      <c r="F119" s="61">
        <v>3</v>
      </c>
      <c r="G119" s="57">
        <v>20000</v>
      </c>
      <c r="H119" s="57">
        <f t="shared" si="92"/>
        <v>60000</v>
      </c>
      <c r="I119" s="57">
        <v>0</v>
      </c>
      <c r="J119" s="57">
        <f>F119*I119</f>
        <v>0</v>
      </c>
      <c r="K119" s="57">
        <f>G119+I119</f>
        <v>20000</v>
      </c>
      <c r="L119" s="58">
        <f>F119*K119</f>
        <v>60000</v>
      </c>
      <c r="M119" s="176"/>
    </row>
    <row r="120" spans="1:16" s="59" customFormat="1" ht="18" customHeight="1">
      <c r="A120" s="60"/>
      <c r="B120" s="53"/>
      <c r="C120" s="62"/>
      <c r="D120" s="55"/>
      <c r="E120" s="55"/>
      <c r="F120" s="61"/>
      <c r="G120" s="57"/>
      <c r="H120" s="57"/>
      <c r="I120" s="57"/>
      <c r="J120" s="57"/>
      <c r="K120" s="57"/>
      <c r="L120" s="58"/>
      <c r="M120" s="177"/>
      <c r="O120" s="278"/>
      <c r="P120" s="278"/>
    </row>
    <row r="121" spans="1:16" s="59" customFormat="1" ht="18" customHeight="1">
      <c r="A121" s="60">
        <v>-1</v>
      </c>
      <c r="B121" s="53" t="s">
        <v>500</v>
      </c>
      <c r="C121" s="62"/>
      <c r="D121" s="55"/>
      <c r="E121" s="55"/>
      <c r="F121" s="61"/>
      <c r="G121" s="57"/>
      <c r="H121" s="57"/>
      <c r="I121" s="57"/>
      <c r="J121" s="57"/>
      <c r="K121" s="57"/>
      <c r="L121" s="58"/>
      <c r="M121" s="177"/>
    </row>
    <row r="122" spans="1:16" s="59" customFormat="1" ht="18" customHeight="1">
      <c r="A122" s="60" t="s">
        <v>488</v>
      </c>
      <c r="B122" s="53" t="s">
        <v>571</v>
      </c>
      <c r="C122" s="62" t="s">
        <v>504</v>
      </c>
      <c r="D122" s="55" t="s">
        <v>502</v>
      </c>
      <c r="E122" s="55" t="s">
        <v>503</v>
      </c>
      <c r="F122" s="61">
        <v>3</v>
      </c>
      <c r="G122" s="57">
        <v>500000</v>
      </c>
      <c r="H122" s="57">
        <f>F122*G122</f>
        <v>1500000</v>
      </c>
      <c r="I122" s="57">
        <v>50000</v>
      </c>
      <c r="J122" s="57">
        <f>F122*I122</f>
        <v>150000</v>
      </c>
      <c r="K122" s="57">
        <f>G122+I122</f>
        <v>550000</v>
      </c>
      <c r="L122" s="58">
        <f>F122*K122</f>
        <v>1650000</v>
      </c>
      <c r="M122" s="177"/>
    </row>
    <row r="123" spans="1:16" s="59" customFormat="1" ht="18" customHeight="1">
      <c r="A123" s="60" t="s">
        <v>44</v>
      </c>
      <c r="B123" s="53" t="s">
        <v>572</v>
      </c>
      <c r="C123" s="62" t="s">
        <v>573</v>
      </c>
      <c r="D123" s="55" t="s">
        <v>308</v>
      </c>
      <c r="E123" s="55" t="s">
        <v>39</v>
      </c>
      <c r="F123" s="61">
        <v>2.1</v>
      </c>
      <c r="G123" s="57">
        <v>160000</v>
      </c>
      <c r="H123" s="57">
        <f>F123*G123</f>
        <v>336000</v>
      </c>
      <c r="I123" s="57">
        <v>50000</v>
      </c>
      <c r="J123" s="57">
        <f>F123*I123</f>
        <v>105000</v>
      </c>
      <c r="K123" s="57">
        <f>G123+I123</f>
        <v>210000</v>
      </c>
      <c r="L123" s="58">
        <f>F123*K123</f>
        <v>441000</v>
      </c>
      <c r="M123" s="177"/>
    </row>
    <row r="124" spans="1:16" s="59" customFormat="1" ht="18" customHeight="1">
      <c r="A124" s="60" t="s">
        <v>298</v>
      </c>
      <c r="B124" s="53" t="s">
        <v>494</v>
      </c>
      <c r="C124" s="62" t="s">
        <v>577</v>
      </c>
      <c r="D124" s="55" t="s">
        <v>308</v>
      </c>
      <c r="E124" s="55" t="s">
        <v>101</v>
      </c>
      <c r="F124" s="61">
        <v>24</v>
      </c>
      <c r="G124" s="57">
        <v>4500</v>
      </c>
      <c r="H124" s="57">
        <f>F124*G124</f>
        <v>108000</v>
      </c>
      <c r="I124" s="57">
        <v>2000</v>
      </c>
      <c r="J124" s="57">
        <f>F124*I124</f>
        <v>48000</v>
      </c>
      <c r="K124" s="57">
        <f>G124+I124</f>
        <v>6500</v>
      </c>
      <c r="L124" s="58">
        <f>F124*K124</f>
        <v>156000</v>
      </c>
      <c r="M124" s="177"/>
    </row>
    <row r="125" spans="1:16" s="59" customFormat="1" ht="18" customHeight="1">
      <c r="A125" s="60"/>
      <c r="B125" s="53"/>
      <c r="C125" s="62"/>
      <c r="D125" s="55"/>
      <c r="E125" s="55"/>
      <c r="F125" s="61"/>
      <c r="G125" s="57"/>
      <c r="H125" s="57"/>
      <c r="I125" s="57"/>
      <c r="J125" s="57"/>
      <c r="K125" s="57"/>
      <c r="L125" s="58"/>
      <c r="M125" s="177"/>
    </row>
    <row r="126" spans="1:16" s="59" customFormat="1" ht="18" customHeight="1">
      <c r="A126" s="60">
        <v>-1</v>
      </c>
      <c r="B126" s="53" t="s">
        <v>308</v>
      </c>
      <c r="C126" s="62"/>
      <c r="D126" s="55"/>
      <c r="E126" s="55"/>
      <c r="F126" s="61"/>
      <c r="G126" s="57"/>
      <c r="H126" s="57"/>
      <c r="I126" s="57"/>
      <c r="J126" s="57"/>
      <c r="K126" s="57"/>
      <c r="L126" s="58"/>
      <c r="M126" s="177"/>
    </row>
    <row r="127" spans="1:16" s="59" customFormat="1" ht="18" customHeight="1">
      <c r="A127" s="60" t="s">
        <v>501</v>
      </c>
      <c r="B127" s="53" t="s">
        <v>531</v>
      </c>
      <c r="C127" s="62"/>
      <c r="D127" s="55" t="s">
        <v>308</v>
      </c>
      <c r="E127" s="55" t="s">
        <v>492</v>
      </c>
      <c r="F127" s="61">
        <v>2</v>
      </c>
      <c r="G127" s="57">
        <v>140000</v>
      </c>
      <c r="H127" s="57">
        <f>F127*G127</f>
        <v>280000</v>
      </c>
      <c r="I127" s="57">
        <v>20000</v>
      </c>
      <c r="J127" s="57">
        <f>F127*I127</f>
        <v>40000</v>
      </c>
      <c r="K127" s="57">
        <f>G127+I127</f>
        <v>160000</v>
      </c>
      <c r="L127" s="58">
        <f>F127*K127</f>
        <v>320000</v>
      </c>
      <c r="M127" s="177"/>
    </row>
    <row r="128" spans="1:16" s="59" customFormat="1" ht="18" customHeight="1">
      <c r="A128" s="60"/>
      <c r="B128" s="53"/>
      <c r="C128" s="62"/>
      <c r="D128" s="55"/>
      <c r="E128" s="55"/>
      <c r="F128" s="61"/>
      <c r="G128" s="57"/>
      <c r="H128" s="57"/>
      <c r="I128" s="57"/>
      <c r="J128" s="57"/>
      <c r="K128" s="57"/>
      <c r="L128" s="58"/>
      <c r="M128" s="177"/>
    </row>
    <row r="129" spans="1:16" s="59" customFormat="1" ht="18" customHeight="1">
      <c r="A129" s="52">
        <v>-1</v>
      </c>
      <c r="B129" s="53" t="s">
        <v>405</v>
      </c>
      <c r="C129" s="54"/>
      <c r="D129" s="55"/>
      <c r="E129" s="55"/>
      <c r="F129" s="56"/>
      <c r="G129" s="57"/>
      <c r="H129" s="57"/>
      <c r="I129" s="57"/>
      <c r="J129" s="57"/>
      <c r="K129" s="57"/>
      <c r="L129" s="58"/>
      <c r="M129" s="177"/>
    </row>
    <row r="130" spans="1:16" s="59" customFormat="1" ht="18" customHeight="1">
      <c r="A130" s="52" t="s">
        <v>44</v>
      </c>
      <c r="B130" s="53" t="s">
        <v>612</v>
      </c>
      <c r="C130" s="54" t="s">
        <v>613</v>
      </c>
      <c r="D130" s="55" t="s">
        <v>174</v>
      </c>
      <c r="E130" s="55" t="s">
        <v>75</v>
      </c>
      <c r="F130" s="56">
        <v>1</v>
      </c>
      <c r="G130" s="57">
        <v>250000</v>
      </c>
      <c r="H130" s="57">
        <f t="shared" ref="H130:H138" si="99">F130*G130</f>
        <v>250000</v>
      </c>
      <c r="I130" s="57">
        <v>150000</v>
      </c>
      <c r="J130" s="57">
        <f>F130*I130</f>
        <v>150000</v>
      </c>
      <c r="K130" s="57">
        <f t="shared" ref="K130" si="100">G130+I130</f>
        <v>400000</v>
      </c>
      <c r="L130" s="58">
        <f>F130*K130</f>
        <v>400000</v>
      </c>
      <c r="M130" s="177"/>
    </row>
    <row r="131" spans="1:16" s="59" customFormat="1" ht="18" customHeight="1">
      <c r="A131" s="60" t="s">
        <v>44</v>
      </c>
      <c r="B131" s="53" t="s">
        <v>309</v>
      </c>
      <c r="C131" s="62" t="s">
        <v>310</v>
      </c>
      <c r="D131" s="55" t="s">
        <v>174</v>
      </c>
      <c r="E131" s="55" t="s">
        <v>101</v>
      </c>
      <c r="F131" s="61">
        <v>7</v>
      </c>
      <c r="G131" s="57">
        <v>130000</v>
      </c>
      <c r="H131" s="57">
        <f t="shared" si="99"/>
        <v>910000</v>
      </c>
      <c r="I131" s="57">
        <v>50000</v>
      </c>
      <c r="J131" s="57">
        <f>F131*I131</f>
        <v>350000</v>
      </c>
      <c r="K131" s="57">
        <f t="shared" ref="K131:K161" si="101">G131+I131</f>
        <v>180000</v>
      </c>
      <c r="L131" s="58">
        <f>F131*K131</f>
        <v>1260000</v>
      </c>
      <c r="M131" s="177"/>
      <c r="O131" s="278"/>
      <c r="P131" s="278"/>
    </row>
    <row r="132" spans="1:16" s="59" customFormat="1" ht="18" customHeight="1">
      <c r="A132" s="60" t="s">
        <v>44</v>
      </c>
      <c r="B132" s="53" t="s">
        <v>318</v>
      </c>
      <c r="C132" s="62"/>
      <c r="D132" s="55" t="s">
        <v>174</v>
      </c>
      <c r="E132" s="55" t="s">
        <v>39</v>
      </c>
      <c r="F132" s="61">
        <v>2.2999999999999998</v>
      </c>
      <c r="G132" s="57">
        <v>160000</v>
      </c>
      <c r="H132" s="57">
        <f>F132*G132</f>
        <v>368000</v>
      </c>
      <c r="I132" s="57">
        <v>50000</v>
      </c>
      <c r="J132" s="57">
        <f>F132*I132</f>
        <v>114999.99999999999</v>
      </c>
      <c r="K132" s="57">
        <f t="shared" ref="K132:K138" si="102">G132+I132</f>
        <v>210000</v>
      </c>
      <c r="L132" s="58">
        <f>F132*K132</f>
        <v>482999.99999999994</v>
      </c>
      <c r="M132" s="177"/>
    </row>
    <row r="133" spans="1:16" s="59" customFormat="1" ht="18" hidden="1" customHeight="1">
      <c r="A133" s="60" t="s">
        <v>488</v>
      </c>
      <c r="B133" s="53" t="s">
        <v>489</v>
      </c>
      <c r="C133" s="62" t="s">
        <v>490</v>
      </c>
      <c r="D133" s="55" t="s">
        <v>174</v>
      </c>
      <c r="E133" s="55" t="s">
        <v>39</v>
      </c>
      <c r="F133" s="61">
        <v>0</v>
      </c>
      <c r="G133" s="57">
        <v>160000</v>
      </c>
      <c r="H133" s="57">
        <f t="shared" si="99"/>
        <v>0</v>
      </c>
      <c r="I133" s="57">
        <v>50000</v>
      </c>
      <c r="J133" s="57">
        <f t="shared" ref="J133" si="103">F133*I133</f>
        <v>0</v>
      </c>
      <c r="K133" s="57">
        <f t="shared" si="102"/>
        <v>210000</v>
      </c>
      <c r="L133" s="58">
        <f t="shared" ref="L133" si="104">F133*K133</f>
        <v>0</v>
      </c>
      <c r="M133" s="177"/>
      <c r="O133" s="278"/>
      <c r="P133" s="278"/>
    </row>
    <row r="134" spans="1:16" s="59" customFormat="1" ht="18" hidden="1" customHeight="1">
      <c r="A134" s="60" t="s">
        <v>306</v>
      </c>
      <c r="B134" s="53" t="s">
        <v>484</v>
      </c>
      <c r="C134" s="62" t="s">
        <v>479</v>
      </c>
      <c r="D134" s="55" t="s">
        <v>486</v>
      </c>
      <c r="E134" s="55" t="s">
        <v>312</v>
      </c>
      <c r="F134" s="61">
        <v>0</v>
      </c>
      <c r="G134" s="57">
        <v>235000</v>
      </c>
      <c r="H134" s="57">
        <f t="shared" si="99"/>
        <v>0</v>
      </c>
      <c r="I134" s="57">
        <v>0</v>
      </c>
      <c r="J134" s="57">
        <f>F134*I134</f>
        <v>0</v>
      </c>
      <c r="K134" s="57">
        <f t="shared" si="102"/>
        <v>235000</v>
      </c>
      <c r="L134" s="58">
        <f>F134*K134</f>
        <v>0</v>
      </c>
      <c r="M134" s="177"/>
    </row>
    <row r="135" spans="1:16" s="59" customFormat="1" ht="18" hidden="1" customHeight="1">
      <c r="A135" s="60" t="s">
        <v>44</v>
      </c>
      <c r="B135" s="53" t="s">
        <v>485</v>
      </c>
      <c r="C135" s="62" t="s">
        <v>479</v>
      </c>
      <c r="D135" s="55" t="s">
        <v>487</v>
      </c>
      <c r="E135" s="55" t="s">
        <v>38</v>
      </c>
      <c r="F135" s="61">
        <v>0</v>
      </c>
      <c r="G135" s="57">
        <v>96000</v>
      </c>
      <c r="H135" s="57">
        <f t="shared" si="99"/>
        <v>0</v>
      </c>
      <c r="I135" s="57">
        <v>0</v>
      </c>
      <c r="J135" s="57">
        <f>F135*I135</f>
        <v>0</v>
      </c>
      <c r="K135" s="57">
        <f t="shared" si="102"/>
        <v>96000</v>
      </c>
      <c r="L135" s="58">
        <f>F135*K135</f>
        <v>0</v>
      </c>
      <c r="M135" s="177"/>
    </row>
    <row r="136" spans="1:16" s="59" customFormat="1" ht="18" customHeight="1">
      <c r="A136" s="60" t="s">
        <v>12</v>
      </c>
      <c r="B136" s="53" t="s">
        <v>566</v>
      </c>
      <c r="C136" s="62" t="s">
        <v>493</v>
      </c>
      <c r="D136" s="55" t="s">
        <v>247</v>
      </c>
      <c r="E136" s="55" t="s">
        <v>38</v>
      </c>
      <c r="F136" s="61">
        <v>1</v>
      </c>
      <c r="G136" s="57">
        <v>120000</v>
      </c>
      <c r="H136" s="57">
        <f>F136*G136</f>
        <v>120000</v>
      </c>
      <c r="I136" s="57">
        <v>20000</v>
      </c>
      <c r="J136" s="57">
        <f t="shared" ref="J136" si="105">F136*I136</f>
        <v>20000</v>
      </c>
      <c r="K136" s="57">
        <f t="shared" si="102"/>
        <v>140000</v>
      </c>
      <c r="L136" s="58">
        <f t="shared" ref="L136" si="106">F136*K136</f>
        <v>140000</v>
      </c>
      <c r="M136" s="177"/>
    </row>
    <row r="137" spans="1:16" s="59" customFormat="1" ht="18" customHeight="1">
      <c r="A137" s="60" t="s">
        <v>44</v>
      </c>
      <c r="B137" s="53" t="s">
        <v>494</v>
      </c>
      <c r="C137" s="62" t="s">
        <v>576</v>
      </c>
      <c r="D137" s="55" t="s">
        <v>238</v>
      </c>
      <c r="E137" s="55" t="s">
        <v>101</v>
      </c>
      <c r="F137" s="61">
        <v>24</v>
      </c>
      <c r="G137" s="57">
        <v>4500</v>
      </c>
      <c r="H137" s="57">
        <f>F137*G137</f>
        <v>108000</v>
      </c>
      <c r="I137" s="57">
        <v>2000</v>
      </c>
      <c r="J137" s="57">
        <f>F137*I137</f>
        <v>48000</v>
      </c>
      <c r="K137" s="57">
        <f t="shared" si="102"/>
        <v>6500</v>
      </c>
      <c r="L137" s="58">
        <f>F137*K137</f>
        <v>156000</v>
      </c>
      <c r="M137" s="177"/>
    </row>
    <row r="138" spans="1:16" s="59" customFormat="1" ht="18" customHeight="1">
      <c r="A138" s="60" t="s">
        <v>480</v>
      </c>
      <c r="B138" s="53" t="s">
        <v>481</v>
      </c>
      <c r="C138" s="62" t="s">
        <v>482</v>
      </c>
      <c r="D138" s="55" t="s">
        <v>174</v>
      </c>
      <c r="E138" s="55" t="s">
        <v>483</v>
      </c>
      <c r="F138" s="61">
        <v>1</v>
      </c>
      <c r="G138" s="57">
        <v>100000</v>
      </c>
      <c r="H138" s="57">
        <f t="shared" si="99"/>
        <v>100000</v>
      </c>
      <c r="I138" s="57">
        <v>20000</v>
      </c>
      <c r="J138" s="57">
        <f>F138*I138</f>
        <v>20000</v>
      </c>
      <c r="K138" s="57">
        <f t="shared" si="102"/>
        <v>120000</v>
      </c>
      <c r="L138" s="58">
        <f>F138*K138</f>
        <v>120000</v>
      </c>
      <c r="M138" s="177"/>
    </row>
    <row r="139" spans="1:16" s="59" customFormat="1" ht="18" customHeight="1">
      <c r="A139" s="60"/>
      <c r="B139" s="53"/>
      <c r="C139" s="62"/>
      <c r="D139" s="55"/>
      <c r="E139" s="55"/>
      <c r="F139" s="61"/>
      <c r="G139" s="57"/>
      <c r="H139" s="57"/>
      <c r="I139" s="57"/>
      <c r="J139" s="57"/>
      <c r="K139" s="57"/>
      <c r="L139" s="58"/>
      <c r="M139" s="177"/>
    </row>
    <row r="140" spans="1:16" s="59" customFormat="1" ht="18" customHeight="1">
      <c r="A140" s="52">
        <v>-1</v>
      </c>
      <c r="B140" s="53" t="s">
        <v>406</v>
      </c>
      <c r="C140" s="54"/>
      <c r="D140" s="55"/>
      <c r="E140" s="55"/>
      <c r="F140" s="56"/>
      <c r="G140" s="57"/>
      <c r="H140" s="57"/>
      <c r="I140" s="57"/>
      <c r="J140" s="57"/>
      <c r="K140" s="57"/>
      <c r="L140" s="58"/>
      <c r="M140" s="177"/>
    </row>
    <row r="141" spans="1:16" s="59" customFormat="1" ht="18" hidden="1" customHeight="1">
      <c r="A141" s="60" t="s">
        <v>163</v>
      </c>
      <c r="B141" s="53" t="s">
        <v>407</v>
      </c>
      <c r="C141" s="62" t="s">
        <v>395</v>
      </c>
      <c r="D141" s="55" t="s">
        <v>238</v>
      </c>
      <c r="E141" s="55" t="s">
        <v>38</v>
      </c>
      <c r="F141" s="61"/>
      <c r="G141" s="57">
        <v>120000</v>
      </c>
      <c r="H141" s="57">
        <f>F141*G141</f>
        <v>0</v>
      </c>
      <c r="I141" s="57">
        <v>20000</v>
      </c>
      <c r="J141" s="57">
        <f>F141*I141</f>
        <v>0</v>
      </c>
      <c r="K141" s="57">
        <f>G141+I141</f>
        <v>140000</v>
      </c>
      <c r="L141" s="58">
        <f>F141*K141</f>
        <v>0</v>
      </c>
      <c r="M141" s="177"/>
    </row>
    <row r="142" spans="1:16" s="59" customFormat="1" ht="18" hidden="1" customHeight="1">
      <c r="A142" s="60" t="s">
        <v>415</v>
      </c>
      <c r="B142" s="53" t="s">
        <v>416</v>
      </c>
      <c r="C142" s="62"/>
      <c r="D142" s="55" t="s">
        <v>417</v>
      </c>
      <c r="E142" s="55" t="s">
        <v>39</v>
      </c>
      <c r="F142" s="61"/>
      <c r="G142" s="57">
        <v>160000</v>
      </c>
      <c r="H142" s="57">
        <f t="shared" ref="H142" si="107">F142*G142</f>
        <v>0</v>
      </c>
      <c r="I142" s="57">
        <v>50000</v>
      </c>
      <c r="J142" s="57">
        <f t="shared" ref="J142" si="108">F142*I142</f>
        <v>0</v>
      </c>
      <c r="K142" s="57">
        <f t="shared" ref="K142" si="109">G142+I142</f>
        <v>210000</v>
      </c>
      <c r="L142" s="58">
        <f t="shared" ref="L142" si="110">F142*K142</f>
        <v>0</v>
      </c>
      <c r="M142" s="177"/>
    </row>
    <row r="143" spans="1:16" s="275" customFormat="1" ht="18" customHeight="1">
      <c r="A143" s="356" t="s">
        <v>44</v>
      </c>
      <c r="B143" s="357" t="s">
        <v>311</v>
      </c>
      <c r="C143" s="358" t="s">
        <v>194</v>
      </c>
      <c r="D143" s="359" t="s">
        <v>238</v>
      </c>
      <c r="E143" s="359" t="s">
        <v>101</v>
      </c>
      <c r="F143" s="360">
        <v>0</v>
      </c>
      <c r="G143" s="361">
        <v>130000</v>
      </c>
      <c r="H143" s="361">
        <f>F143*G143</f>
        <v>0</v>
      </c>
      <c r="I143" s="361">
        <v>50000</v>
      </c>
      <c r="J143" s="361">
        <f>F143*I143</f>
        <v>0</v>
      </c>
      <c r="K143" s="361">
        <f>G143+I143</f>
        <v>180000</v>
      </c>
      <c r="L143" s="362">
        <f>F143*K143</f>
        <v>0</v>
      </c>
      <c r="M143" s="363"/>
    </row>
    <row r="144" spans="1:16" s="59" customFormat="1" ht="18" customHeight="1">
      <c r="A144" s="60" t="s">
        <v>44</v>
      </c>
      <c r="B144" s="53" t="s">
        <v>565</v>
      </c>
      <c r="C144" s="62" t="s">
        <v>578</v>
      </c>
      <c r="D144" s="55" t="s">
        <v>238</v>
      </c>
      <c r="E144" s="55" t="s">
        <v>101</v>
      </c>
      <c r="F144" s="61">
        <v>3</v>
      </c>
      <c r="G144" s="57">
        <v>210000</v>
      </c>
      <c r="H144" s="57">
        <f>F144*G144</f>
        <v>630000</v>
      </c>
      <c r="I144" s="57">
        <v>50000</v>
      </c>
      <c r="J144" s="57">
        <f>F144*I144</f>
        <v>150000</v>
      </c>
      <c r="K144" s="57">
        <f>G144+I144</f>
        <v>260000</v>
      </c>
      <c r="L144" s="58">
        <f>F144*K144</f>
        <v>780000</v>
      </c>
      <c r="M144" s="177"/>
    </row>
    <row r="145" spans="1:13" s="59" customFormat="1" ht="18" customHeight="1">
      <c r="A145" s="60" t="s">
        <v>44</v>
      </c>
      <c r="B145" s="53" t="s">
        <v>470</v>
      </c>
      <c r="C145" s="62"/>
      <c r="D145" s="55" t="s">
        <v>549</v>
      </c>
      <c r="E145" s="55" t="s">
        <v>38</v>
      </c>
      <c r="F145" s="61">
        <v>1</v>
      </c>
      <c r="G145" s="57">
        <v>140000</v>
      </c>
      <c r="H145" s="57">
        <f>F145*G145</f>
        <v>140000</v>
      </c>
      <c r="I145" s="57">
        <v>20000</v>
      </c>
      <c r="J145" s="57">
        <f>F145*I145</f>
        <v>20000</v>
      </c>
      <c r="K145" s="57">
        <f>G145+I145</f>
        <v>160000</v>
      </c>
      <c r="L145" s="58">
        <f>F145*K145</f>
        <v>160000</v>
      </c>
      <c r="M145" s="177"/>
    </row>
    <row r="146" spans="1:13" s="59" customFormat="1" ht="18" customHeight="1">
      <c r="A146" s="60"/>
      <c r="B146" s="53"/>
      <c r="C146" s="62"/>
      <c r="D146" s="55"/>
      <c r="E146" s="55"/>
      <c r="F146" s="61"/>
      <c r="G146" s="57"/>
      <c r="H146" s="57"/>
      <c r="I146" s="57"/>
      <c r="J146" s="57"/>
      <c r="K146" s="57"/>
      <c r="L146" s="58"/>
      <c r="M146" s="177"/>
    </row>
    <row r="147" spans="1:13" s="59" customFormat="1" ht="18" customHeight="1">
      <c r="A147" s="60">
        <v>-1</v>
      </c>
      <c r="B147" s="53" t="s">
        <v>579</v>
      </c>
      <c r="C147" s="62"/>
      <c r="D147" s="55"/>
      <c r="E147" s="55"/>
      <c r="F147" s="61"/>
      <c r="G147" s="57"/>
      <c r="H147" s="57"/>
      <c r="I147" s="57"/>
      <c r="J147" s="57"/>
      <c r="K147" s="57"/>
      <c r="L147" s="58"/>
      <c r="M147" s="177"/>
    </row>
    <row r="148" spans="1:13" s="59" customFormat="1" ht="18" customHeight="1">
      <c r="A148" s="60" t="s">
        <v>12</v>
      </c>
      <c r="B148" s="53" t="s">
        <v>581</v>
      </c>
      <c r="C148" s="62" t="s">
        <v>203</v>
      </c>
      <c r="D148" s="55" t="s">
        <v>580</v>
      </c>
      <c r="E148" s="55" t="s">
        <v>39</v>
      </c>
      <c r="F148" s="61">
        <v>0.5</v>
      </c>
      <c r="G148" s="57">
        <v>160000</v>
      </c>
      <c r="H148" s="57">
        <f>F148*G148</f>
        <v>80000</v>
      </c>
      <c r="I148" s="57">
        <v>50000</v>
      </c>
      <c r="J148" s="57">
        <f t="shared" ref="J148" si="111">F148*I148</f>
        <v>25000</v>
      </c>
      <c r="K148" s="57">
        <f>G148+I148</f>
        <v>210000</v>
      </c>
      <c r="L148" s="58">
        <f t="shared" ref="L148" si="112">F148*K148</f>
        <v>105000</v>
      </c>
      <c r="M148" s="177"/>
    </row>
    <row r="149" spans="1:13" s="59" customFormat="1" ht="18" customHeight="1">
      <c r="A149" s="60" t="s">
        <v>44</v>
      </c>
      <c r="B149" s="53" t="s">
        <v>311</v>
      </c>
      <c r="C149" s="62" t="s">
        <v>194</v>
      </c>
      <c r="D149" s="55" t="s">
        <v>580</v>
      </c>
      <c r="E149" s="55" t="s">
        <v>101</v>
      </c>
      <c r="F149" s="61">
        <v>10</v>
      </c>
      <c r="G149" s="57">
        <v>130000</v>
      </c>
      <c r="H149" s="57">
        <f>F149*G149</f>
        <v>1300000</v>
      </c>
      <c r="I149" s="57">
        <v>50000</v>
      </c>
      <c r="J149" s="57">
        <f>F149*I149</f>
        <v>500000</v>
      </c>
      <c r="K149" s="57">
        <f>G149+I149</f>
        <v>180000</v>
      </c>
      <c r="L149" s="58">
        <f>F149*K149</f>
        <v>1800000</v>
      </c>
      <c r="M149" s="177"/>
    </row>
    <row r="150" spans="1:13" s="59" customFormat="1" ht="18" customHeight="1">
      <c r="A150" s="60" t="s">
        <v>44</v>
      </c>
      <c r="B150" s="53" t="s">
        <v>311</v>
      </c>
      <c r="C150" s="62" t="s">
        <v>194</v>
      </c>
      <c r="D150" s="55" t="s">
        <v>582</v>
      </c>
      <c r="E150" s="55" t="s">
        <v>101</v>
      </c>
      <c r="F150" s="61">
        <v>3</v>
      </c>
      <c r="G150" s="57">
        <v>130000</v>
      </c>
      <c r="H150" s="57">
        <f>F150*G150</f>
        <v>390000</v>
      </c>
      <c r="I150" s="57">
        <v>50000</v>
      </c>
      <c r="J150" s="57">
        <f>F150*I150</f>
        <v>150000</v>
      </c>
      <c r="K150" s="57">
        <f>G150+I150</f>
        <v>180000</v>
      </c>
      <c r="L150" s="58">
        <f>F150*K150</f>
        <v>540000</v>
      </c>
      <c r="M150" s="177"/>
    </row>
    <row r="151" spans="1:13" s="59" customFormat="1" ht="18" customHeight="1">
      <c r="A151" s="60"/>
      <c r="B151" s="53"/>
      <c r="C151" s="62"/>
      <c r="D151" s="55"/>
      <c r="E151" s="55"/>
      <c r="F151" s="61"/>
      <c r="G151" s="57"/>
      <c r="H151" s="57"/>
      <c r="I151" s="57"/>
      <c r="J151" s="57"/>
      <c r="K151" s="57"/>
      <c r="L151" s="58"/>
      <c r="M151" s="177"/>
    </row>
    <row r="152" spans="1:13" s="59" customFormat="1" ht="18" customHeight="1">
      <c r="A152" s="60">
        <v>-1</v>
      </c>
      <c r="B152" s="53" t="s">
        <v>583</v>
      </c>
      <c r="C152" s="62"/>
      <c r="D152" s="55"/>
      <c r="E152" s="55"/>
      <c r="F152" s="61"/>
      <c r="G152" s="57"/>
      <c r="H152" s="57"/>
      <c r="I152" s="57"/>
      <c r="J152" s="57"/>
      <c r="K152" s="57"/>
      <c r="L152" s="58"/>
      <c r="M152" s="177"/>
    </row>
    <row r="153" spans="1:13" s="59" customFormat="1" ht="18" customHeight="1">
      <c r="A153" s="60" t="s">
        <v>44</v>
      </c>
      <c r="B153" s="53" t="s">
        <v>612</v>
      </c>
      <c r="C153" s="62" t="s">
        <v>616</v>
      </c>
      <c r="D153" s="55" t="s">
        <v>583</v>
      </c>
      <c r="E153" s="55" t="s">
        <v>75</v>
      </c>
      <c r="F153" s="61">
        <v>1</v>
      </c>
      <c r="G153" s="57">
        <v>150000</v>
      </c>
      <c r="H153" s="57">
        <f t="shared" ref="H153:H157" si="113">F153*G153</f>
        <v>150000</v>
      </c>
      <c r="I153" s="57">
        <v>50000</v>
      </c>
      <c r="J153" s="57">
        <f>F153*I153</f>
        <v>50000</v>
      </c>
      <c r="K153" s="57">
        <f t="shared" ref="K153:K157" si="114">G153+I153</f>
        <v>200000</v>
      </c>
      <c r="L153" s="58">
        <f>F153*K153</f>
        <v>200000</v>
      </c>
      <c r="M153" s="177"/>
    </row>
    <row r="154" spans="1:13" s="59" customFormat="1" ht="18" customHeight="1">
      <c r="A154" s="60" t="s">
        <v>44</v>
      </c>
      <c r="B154" s="53" t="s">
        <v>318</v>
      </c>
      <c r="C154" s="62"/>
      <c r="D154" s="55" t="s">
        <v>583</v>
      </c>
      <c r="E154" s="55" t="s">
        <v>39</v>
      </c>
      <c r="F154" s="61">
        <v>2.4</v>
      </c>
      <c r="G154" s="57">
        <v>160000</v>
      </c>
      <c r="H154" s="57">
        <f>F154*G154</f>
        <v>384000</v>
      </c>
      <c r="I154" s="57">
        <v>50000</v>
      </c>
      <c r="J154" s="57">
        <f>F154*I154</f>
        <v>120000</v>
      </c>
      <c r="K154" s="57">
        <f>G154+I154</f>
        <v>210000</v>
      </c>
      <c r="L154" s="58">
        <f>F154*K154</f>
        <v>504000</v>
      </c>
      <c r="M154" s="177"/>
    </row>
    <row r="155" spans="1:13" s="59" customFormat="1" ht="18" customHeight="1">
      <c r="A155" s="60" t="s">
        <v>12</v>
      </c>
      <c r="B155" s="53" t="s">
        <v>566</v>
      </c>
      <c r="C155" s="62" t="s">
        <v>493</v>
      </c>
      <c r="D155" s="55" t="s">
        <v>583</v>
      </c>
      <c r="E155" s="55" t="s">
        <v>38</v>
      </c>
      <c r="F155" s="61">
        <v>1</v>
      </c>
      <c r="G155" s="57">
        <v>120000</v>
      </c>
      <c r="H155" s="57">
        <f t="shared" si="113"/>
        <v>120000</v>
      </c>
      <c r="I155" s="57">
        <v>20000</v>
      </c>
      <c r="J155" s="57">
        <f t="shared" ref="J155" si="115">F155*I155</f>
        <v>20000</v>
      </c>
      <c r="K155" s="57">
        <f t="shared" si="114"/>
        <v>140000</v>
      </c>
      <c r="L155" s="58">
        <f t="shared" ref="L155" si="116">F155*K155</f>
        <v>140000</v>
      </c>
      <c r="M155" s="177"/>
    </row>
    <row r="156" spans="1:13" s="275" customFormat="1" ht="18" customHeight="1">
      <c r="A156" s="356" t="s">
        <v>44</v>
      </c>
      <c r="B156" s="357" t="s">
        <v>584</v>
      </c>
      <c r="C156" s="358"/>
      <c r="D156" s="359" t="s">
        <v>583</v>
      </c>
      <c r="E156" s="359" t="s">
        <v>39</v>
      </c>
      <c r="F156" s="360"/>
      <c r="G156" s="361">
        <v>160000</v>
      </c>
      <c r="H156" s="361">
        <f t="shared" si="113"/>
        <v>0</v>
      </c>
      <c r="I156" s="361">
        <v>50000</v>
      </c>
      <c r="J156" s="361">
        <f>F156*I156</f>
        <v>0</v>
      </c>
      <c r="K156" s="361">
        <f t="shared" si="114"/>
        <v>210000</v>
      </c>
      <c r="L156" s="362">
        <f>F156*K156</f>
        <v>0</v>
      </c>
      <c r="M156" s="363"/>
    </row>
    <row r="157" spans="1:13" s="275" customFormat="1" ht="18" customHeight="1">
      <c r="A157" s="356" t="s">
        <v>12</v>
      </c>
      <c r="B157" s="357" t="s">
        <v>585</v>
      </c>
      <c r="C157" s="358" t="s">
        <v>586</v>
      </c>
      <c r="D157" s="359" t="s">
        <v>583</v>
      </c>
      <c r="E157" s="359" t="s">
        <v>38</v>
      </c>
      <c r="F157" s="360"/>
      <c r="G157" s="361">
        <v>120000</v>
      </c>
      <c r="H157" s="361">
        <f t="shared" si="113"/>
        <v>0</v>
      </c>
      <c r="I157" s="361">
        <v>20000</v>
      </c>
      <c r="J157" s="361">
        <f t="shared" ref="J157" si="117">F157*I157</f>
        <v>0</v>
      </c>
      <c r="K157" s="361">
        <f t="shared" si="114"/>
        <v>140000</v>
      </c>
      <c r="L157" s="362">
        <f t="shared" ref="L157" si="118">F157*K157</f>
        <v>0</v>
      </c>
      <c r="M157" s="363"/>
    </row>
    <row r="158" spans="1:13" s="275" customFormat="1" ht="18" customHeight="1">
      <c r="A158" s="356" t="s">
        <v>44</v>
      </c>
      <c r="B158" s="357" t="s">
        <v>318</v>
      </c>
      <c r="C158" s="358"/>
      <c r="D158" s="359" t="s">
        <v>583</v>
      </c>
      <c r="E158" s="359" t="s">
        <v>39</v>
      </c>
      <c r="F158" s="360"/>
      <c r="G158" s="361">
        <v>160000</v>
      </c>
      <c r="H158" s="361">
        <f>F158*G158</f>
        <v>0</v>
      </c>
      <c r="I158" s="361">
        <v>50000</v>
      </c>
      <c r="J158" s="361">
        <f>F158*I158</f>
        <v>0</v>
      </c>
      <c r="K158" s="361">
        <f>G158+I158</f>
        <v>210000</v>
      </c>
      <c r="L158" s="362">
        <f>F158*K158</f>
        <v>0</v>
      </c>
      <c r="M158" s="363"/>
    </row>
    <row r="159" spans="1:13" s="59" customFormat="1" ht="18" customHeight="1">
      <c r="A159" s="60"/>
      <c r="B159" s="53"/>
      <c r="C159" s="62"/>
      <c r="D159" s="55"/>
      <c r="E159" s="55"/>
      <c r="F159" s="61"/>
      <c r="G159" s="57"/>
      <c r="H159" s="57"/>
      <c r="I159" s="57"/>
      <c r="J159" s="57"/>
      <c r="K159" s="57"/>
      <c r="L159" s="58"/>
      <c r="M159" s="177"/>
    </row>
    <row r="160" spans="1:13" s="59" customFormat="1" ht="18" customHeight="1">
      <c r="A160" s="60">
        <v>-1</v>
      </c>
      <c r="B160" s="53" t="s">
        <v>408</v>
      </c>
      <c r="C160" s="62"/>
      <c r="D160" s="55"/>
      <c r="E160" s="55"/>
      <c r="F160" s="61"/>
      <c r="G160" s="57"/>
      <c r="H160" s="57"/>
      <c r="I160" s="57"/>
      <c r="J160" s="57"/>
      <c r="K160" s="57"/>
      <c r="L160" s="58"/>
      <c r="M160" s="177"/>
    </row>
    <row r="161" spans="1:13" s="59" customFormat="1" ht="18" hidden="1" customHeight="1">
      <c r="A161" s="60" t="s">
        <v>163</v>
      </c>
      <c r="B161" s="53" t="s">
        <v>471</v>
      </c>
      <c r="C161" s="62"/>
      <c r="D161" s="55" t="s">
        <v>409</v>
      </c>
      <c r="E161" s="55" t="s">
        <v>400</v>
      </c>
      <c r="F161" s="61"/>
      <c r="G161" s="57">
        <v>300000</v>
      </c>
      <c r="H161" s="57">
        <f t="shared" ref="H161" si="119">F161*G161</f>
        <v>0</v>
      </c>
      <c r="I161" s="57">
        <v>70000</v>
      </c>
      <c r="J161" s="57">
        <f t="shared" ref="J161" si="120">F161*I161</f>
        <v>0</v>
      </c>
      <c r="K161" s="57">
        <f t="shared" si="101"/>
        <v>370000</v>
      </c>
      <c r="L161" s="58">
        <f t="shared" ref="L161" si="121">F161*K161</f>
        <v>0</v>
      </c>
      <c r="M161" s="177"/>
    </row>
    <row r="162" spans="1:13" s="59" customFormat="1" ht="18" customHeight="1">
      <c r="A162" s="60" t="s">
        <v>44</v>
      </c>
      <c r="B162" s="53" t="s">
        <v>311</v>
      </c>
      <c r="C162" s="62" t="s">
        <v>194</v>
      </c>
      <c r="D162" s="55" t="s">
        <v>491</v>
      </c>
      <c r="E162" s="55" t="s">
        <v>101</v>
      </c>
      <c r="F162" s="61">
        <v>15</v>
      </c>
      <c r="G162" s="57">
        <v>130000</v>
      </c>
      <c r="H162" s="57">
        <f t="shared" ref="H162:H168" si="122">F162*G162</f>
        <v>1950000</v>
      </c>
      <c r="I162" s="57">
        <v>50000</v>
      </c>
      <c r="J162" s="57">
        <f t="shared" ref="J162:J168" si="123">F162*I162</f>
        <v>750000</v>
      </c>
      <c r="K162" s="57">
        <f>G162+I162</f>
        <v>180000</v>
      </c>
      <c r="L162" s="58">
        <f t="shared" ref="L162:L168" si="124">F162*K162</f>
        <v>2700000</v>
      </c>
      <c r="M162" s="177"/>
    </row>
    <row r="163" spans="1:13" s="59" customFormat="1" ht="18" customHeight="1">
      <c r="A163" s="60" t="s">
        <v>44</v>
      </c>
      <c r="B163" s="53" t="s">
        <v>407</v>
      </c>
      <c r="C163" s="62" t="s">
        <v>402</v>
      </c>
      <c r="D163" s="55" t="s">
        <v>491</v>
      </c>
      <c r="E163" s="55" t="s">
        <v>38</v>
      </c>
      <c r="F163" s="61">
        <v>1</v>
      </c>
      <c r="G163" s="57">
        <v>120000</v>
      </c>
      <c r="H163" s="57">
        <f t="shared" si="122"/>
        <v>120000</v>
      </c>
      <c r="I163" s="57">
        <v>20000</v>
      </c>
      <c r="J163" s="57">
        <f t="shared" si="123"/>
        <v>20000</v>
      </c>
      <c r="K163" s="57">
        <f>G163+I163</f>
        <v>140000</v>
      </c>
      <c r="L163" s="58">
        <f t="shared" si="124"/>
        <v>140000</v>
      </c>
      <c r="M163" s="177"/>
    </row>
    <row r="164" spans="1:13" s="59" customFormat="1" ht="18" customHeight="1">
      <c r="A164" s="60" t="s">
        <v>44</v>
      </c>
      <c r="B164" s="53" t="s">
        <v>466</v>
      </c>
      <c r="C164" s="62" t="s">
        <v>434</v>
      </c>
      <c r="D164" s="55" t="s">
        <v>408</v>
      </c>
      <c r="E164" s="55" t="s">
        <v>39</v>
      </c>
      <c r="F164" s="61">
        <v>1</v>
      </c>
      <c r="G164" s="57">
        <v>85000</v>
      </c>
      <c r="H164" s="57">
        <f t="shared" si="122"/>
        <v>85000</v>
      </c>
      <c r="I164" s="57">
        <v>20000</v>
      </c>
      <c r="J164" s="57">
        <f t="shared" si="123"/>
        <v>20000</v>
      </c>
      <c r="K164" s="57">
        <f>G164+I164</f>
        <v>105000</v>
      </c>
      <c r="L164" s="58">
        <f t="shared" si="124"/>
        <v>105000</v>
      </c>
      <c r="M164" s="177"/>
    </row>
    <row r="165" spans="1:13" s="59" customFormat="1" ht="18" customHeight="1">
      <c r="A165" s="60" t="s">
        <v>44</v>
      </c>
      <c r="B165" s="53" t="s">
        <v>318</v>
      </c>
      <c r="C165" s="62"/>
      <c r="D165" s="55" t="s">
        <v>408</v>
      </c>
      <c r="E165" s="55" t="s">
        <v>39</v>
      </c>
      <c r="F165" s="61">
        <v>2.1</v>
      </c>
      <c r="G165" s="57">
        <v>160000</v>
      </c>
      <c r="H165" s="57">
        <f t="shared" si="122"/>
        <v>336000</v>
      </c>
      <c r="I165" s="57">
        <v>50000</v>
      </c>
      <c r="J165" s="57">
        <f t="shared" si="123"/>
        <v>105000</v>
      </c>
      <c r="K165" s="57">
        <f>G165+I165</f>
        <v>210000</v>
      </c>
      <c r="L165" s="58">
        <f t="shared" si="124"/>
        <v>441000</v>
      </c>
      <c r="M165" s="177"/>
    </row>
    <row r="166" spans="1:13" s="59" customFormat="1" ht="18" customHeight="1">
      <c r="A166" s="60" t="s">
        <v>44</v>
      </c>
      <c r="B166" s="53" t="s">
        <v>588</v>
      </c>
      <c r="C166" s="268" t="s">
        <v>354</v>
      </c>
      <c r="D166" s="55" t="s">
        <v>408</v>
      </c>
      <c r="E166" s="55" t="s">
        <v>42</v>
      </c>
      <c r="F166" s="61">
        <v>1</v>
      </c>
      <c r="G166" s="57">
        <v>286000</v>
      </c>
      <c r="H166" s="57">
        <f t="shared" si="122"/>
        <v>286000</v>
      </c>
      <c r="I166" s="57">
        <v>50000</v>
      </c>
      <c r="J166" s="57">
        <f t="shared" si="123"/>
        <v>50000</v>
      </c>
      <c r="K166" s="57">
        <f t="shared" ref="K166" si="125">G166+I166</f>
        <v>336000</v>
      </c>
      <c r="L166" s="58">
        <f t="shared" si="124"/>
        <v>336000</v>
      </c>
      <c r="M166" s="426"/>
    </row>
    <row r="167" spans="1:13" s="59" customFormat="1" ht="18" hidden="1" customHeight="1">
      <c r="A167" s="60" t="s">
        <v>44</v>
      </c>
      <c r="B167" s="53" t="s">
        <v>527</v>
      </c>
      <c r="C167" s="302" t="s">
        <v>345</v>
      </c>
      <c r="D167" s="60" t="s">
        <v>247</v>
      </c>
      <c r="E167" s="55" t="s">
        <v>42</v>
      </c>
      <c r="F167" s="61"/>
      <c r="G167" s="57">
        <v>480000</v>
      </c>
      <c r="H167" s="57">
        <f t="shared" si="122"/>
        <v>0</v>
      </c>
      <c r="I167" s="57">
        <v>50000</v>
      </c>
      <c r="J167" s="57">
        <f t="shared" si="123"/>
        <v>0</v>
      </c>
      <c r="K167" s="57">
        <f>G167+I167</f>
        <v>530000</v>
      </c>
      <c r="L167" s="58">
        <f t="shared" si="124"/>
        <v>0</v>
      </c>
      <c r="M167" s="426"/>
    </row>
    <row r="168" spans="1:13" s="59" customFormat="1" ht="18" customHeight="1">
      <c r="A168" s="60" t="s">
        <v>44</v>
      </c>
      <c r="B168" s="53" t="s">
        <v>587</v>
      </c>
      <c r="C168" s="302" t="s">
        <v>528</v>
      </c>
      <c r="D168" s="55" t="s">
        <v>408</v>
      </c>
      <c r="E168" s="55" t="s">
        <v>42</v>
      </c>
      <c r="F168" s="61">
        <v>1</v>
      </c>
      <c r="G168" s="57">
        <v>295000</v>
      </c>
      <c r="H168" s="57">
        <f t="shared" si="122"/>
        <v>295000</v>
      </c>
      <c r="I168" s="57">
        <v>50000</v>
      </c>
      <c r="J168" s="57">
        <f t="shared" si="123"/>
        <v>50000</v>
      </c>
      <c r="K168" s="57">
        <f>G168+I168</f>
        <v>345000</v>
      </c>
      <c r="L168" s="58">
        <f t="shared" si="124"/>
        <v>345000</v>
      </c>
      <c r="M168" s="426"/>
    </row>
    <row r="169" spans="1:13" s="59" customFormat="1" ht="18" hidden="1" customHeight="1">
      <c r="A169" s="60"/>
      <c r="B169" s="53"/>
      <c r="C169" s="62"/>
      <c r="D169" s="55"/>
      <c r="E169" s="55"/>
      <c r="F169" s="61"/>
      <c r="G169" s="57"/>
      <c r="H169" s="57"/>
      <c r="I169" s="57"/>
      <c r="J169" s="57"/>
      <c r="K169" s="57"/>
      <c r="L169" s="58"/>
      <c r="M169" s="177"/>
    </row>
    <row r="170" spans="1:13" s="59" customFormat="1" ht="18" hidden="1" customHeight="1">
      <c r="A170" s="60">
        <v>-1</v>
      </c>
      <c r="B170" s="53" t="s">
        <v>410</v>
      </c>
      <c r="C170" s="62"/>
      <c r="D170" s="55"/>
      <c r="E170" s="55"/>
      <c r="F170" s="61"/>
      <c r="G170" s="57"/>
      <c r="H170" s="57"/>
      <c r="I170" s="57"/>
      <c r="J170" s="57"/>
      <c r="K170" s="57"/>
      <c r="L170" s="58"/>
      <c r="M170" s="177"/>
    </row>
    <row r="171" spans="1:13" s="59" customFormat="1" ht="18" hidden="1" customHeight="1">
      <c r="A171" s="60" t="s">
        <v>465</v>
      </c>
      <c r="B171" s="53" t="s">
        <v>466</v>
      </c>
      <c r="C171" s="62"/>
      <c r="D171" s="55" t="s">
        <v>412</v>
      </c>
      <c r="E171" s="55" t="s">
        <v>38</v>
      </c>
      <c r="F171" s="61"/>
      <c r="G171" s="57">
        <v>100000</v>
      </c>
      <c r="H171" s="57">
        <f>F171*G171</f>
        <v>0</v>
      </c>
      <c r="I171" s="57">
        <v>30000</v>
      </c>
      <c r="J171" s="57">
        <f>F171*I171</f>
        <v>0</v>
      </c>
      <c r="K171" s="57">
        <f>G171+I171</f>
        <v>130000</v>
      </c>
      <c r="L171" s="58">
        <f>F171*K171</f>
        <v>0</v>
      </c>
      <c r="M171" s="177"/>
    </row>
    <row r="172" spans="1:13" s="59" customFormat="1" ht="18" hidden="1" customHeight="1">
      <c r="A172" s="60" t="s">
        <v>465</v>
      </c>
      <c r="B172" s="53" t="s">
        <v>467</v>
      </c>
      <c r="C172" s="62"/>
      <c r="D172" s="55" t="s">
        <v>413</v>
      </c>
      <c r="E172" s="55" t="s">
        <v>38</v>
      </c>
      <c r="F172" s="61"/>
      <c r="G172" s="57">
        <v>100000</v>
      </c>
      <c r="H172" s="57">
        <f>F172*G172</f>
        <v>0</v>
      </c>
      <c r="I172" s="57">
        <v>30000</v>
      </c>
      <c r="J172" s="57">
        <f>F172*I172</f>
        <v>0</v>
      </c>
      <c r="K172" s="57">
        <f>G172+I172</f>
        <v>130000</v>
      </c>
      <c r="L172" s="58">
        <f>F172*K172</f>
        <v>0</v>
      </c>
      <c r="M172" s="177"/>
    </row>
    <row r="173" spans="1:13" s="59" customFormat="1" ht="18" hidden="1" customHeight="1">
      <c r="A173" s="60" t="s">
        <v>12</v>
      </c>
      <c r="B173" s="53" t="s">
        <v>411</v>
      </c>
      <c r="C173" s="62"/>
      <c r="D173" s="55" t="s">
        <v>412</v>
      </c>
      <c r="E173" s="55" t="s">
        <v>38</v>
      </c>
      <c r="F173" s="61"/>
      <c r="G173" s="57">
        <v>120000</v>
      </c>
      <c r="H173" s="57">
        <f>F173*G173</f>
        <v>0</v>
      </c>
      <c r="I173" s="57">
        <v>20000</v>
      </c>
      <c r="J173" s="57">
        <f>F173*I173</f>
        <v>0</v>
      </c>
      <c r="K173" s="57">
        <f>G173+I173</f>
        <v>140000</v>
      </c>
      <c r="L173" s="58">
        <f>F173*K173</f>
        <v>0</v>
      </c>
      <c r="M173" s="177"/>
    </row>
    <row r="174" spans="1:13" s="59" customFormat="1" ht="18" hidden="1" customHeight="1">
      <c r="A174" s="60" t="s">
        <v>163</v>
      </c>
      <c r="B174" s="53" t="s">
        <v>411</v>
      </c>
      <c r="C174" s="62"/>
      <c r="D174" s="55" t="s">
        <v>413</v>
      </c>
      <c r="E174" s="55" t="s">
        <v>38</v>
      </c>
      <c r="F174" s="61"/>
      <c r="G174" s="57">
        <v>120000</v>
      </c>
      <c r="H174" s="57">
        <f>F174*G174</f>
        <v>0</v>
      </c>
      <c r="I174" s="57">
        <v>20000</v>
      </c>
      <c r="J174" s="57">
        <f>F174*I174</f>
        <v>0</v>
      </c>
      <c r="K174" s="57">
        <f>G174+I174</f>
        <v>140000</v>
      </c>
      <c r="L174" s="58">
        <f>F174*K174</f>
        <v>0</v>
      </c>
      <c r="M174" s="177"/>
    </row>
    <row r="175" spans="1:13" s="59" customFormat="1" ht="18" hidden="1" customHeight="1">
      <c r="A175" s="60" t="s">
        <v>163</v>
      </c>
      <c r="B175" s="53" t="s">
        <v>318</v>
      </c>
      <c r="C175" s="62"/>
      <c r="D175" s="55" t="s">
        <v>414</v>
      </c>
      <c r="E175" s="55" t="s">
        <v>39</v>
      </c>
      <c r="F175" s="61"/>
      <c r="G175" s="57">
        <v>160000</v>
      </c>
      <c r="H175" s="57">
        <f t="shared" ref="H175" si="126">F175*G175</f>
        <v>0</v>
      </c>
      <c r="I175" s="57">
        <v>50000</v>
      </c>
      <c r="J175" s="57">
        <f t="shared" ref="J175" si="127">F175*I175</f>
        <v>0</v>
      </c>
      <c r="K175" s="57">
        <f t="shared" ref="K175" si="128">G175+I175</f>
        <v>210000</v>
      </c>
      <c r="L175" s="58">
        <f t="shared" ref="L175" si="129">F175*K175</f>
        <v>0</v>
      </c>
      <c r="M175" s="177"/>
    </row>
    <row r="176" spans="1:13" s="59" customFormat="1" ht="18" hidden="1" customHeight="1">
      <c r="A176" s="60" t="s">
        <v>306</v>
      </c>
      <c r="B176" s="304" t="s">
        <v>307</v>
      </c>
      <c r="C176" s="62"/>
      <c r="D176" s="55" t="s">
        <v>308</v>
      </c>
      <c r="E176" s="55" t="s">
        <v>167</v>
      </c>
      <c r="F176" s="61"/>
      <c r="G176" s="57">
        <v>150000</v>
      </c>
      <c r="H176" s="57">
        <f>F176*G176</f>
        <v>0</v>
      </c>
      <c r="I176" s="57">
        <v>30000</v>
      </c>
      <c r="J176" s="57">
        <f>F176*I176</f>
        <v>0</v>
      </c>
      <c r="K176" s="57">
        <f>G176+I176</f>
        <v>180000</v>
      </c>
      <c r="L176" s="58">
        <f>F176*K176</f>
        <v>0</v>
      </c>
      <c r="M176" s="177"/>
    </row>
    <row r="177" spans="1:15" s="59" customFormat="1" ht="18" customHeight="1">
      <c r="A177" s="60" t="s">
        <v>44</v>
      </c>
      <c r="B177" s="53" t="s">
        <v>470</v>
      </c>
      <c r="C177" s="62"/>
      <c r="D177" s="55" t="s">
        <v>408</v>
      </c>
      <c r="E177" s="55" t="s">
        <v>38</v>
      </c>
      <c r="F177" s="61">
        <v>2</v>
      </c>
      <c r="G177" s="57">
        <v>140000</v>
      </c>
      <c r="H177" s="57">
        <f>F177*G177</f>
        <v>280000</v>
      </c>
      <c r="I177" s="57">
        <v>20000</v>
      </c>
      <c r="J177" s="57">
        <f>F177*I177</f>
        <v>40000</v>
      </c>
      <c r="K177" s="57">
        <f>G177+I177</f>
        <v>160000</v>
      </c>
      <c r="L177" s="58">
        <f>F177*K177</f>
        <v>320000</v>
      </c>
      <c r="M177" s="177"/>
    </row>
    <row r="178" spans="1:15" s="59" customFormat="1" ht="18" customHeight="1">
      <c r="A178" s="60" t="s">
        <v>44</v>
      </c>
      <c r="B178" s="53" t="s">
        <v>318</v>
      </c>
      <c r="C178" s="62"/>
      <c r="D178" s="55" t="s">
        <v>408</v>
      </c>
      <c r="E178" s="55" t="s">
        <v>39</v>
      </c>
      <c r="F178" s="61">
        <f>1.9*2</f>
        <v>3.8</v>
      </c>
      <c r="G178" s="57">
        <v>160000</v>
      </c>
      <c r="H178" s="57">
        <f>F178*G178</f>
        <v>608000</v>
      </c>
      <c r="I178" s="57">
        <v>50000</v>
      </c>
      <c r="J178" s="57">
        <f>F178*I178</f>
        <v>190000</v>
      </c>
      <c r="K178" s="57">
        <f>G178+I178</f>
        <v>210000</v>
      </c>
      <c r="L178" s="58">
        <f>F178*K178</f>
        <v>798000</v>
      </c>
      <c r="M178" s="177"/>
    </row>
    <row r="179" spans="1:15" s="59" customFormat="1" ht="18" customHeight="1">
      <c r="A179" s="60" t="s">
        <v>12</v>
      </c>
      <c r="B179" s="53" t="s">
        <v>566</v>
      </c>
      <c r="C179" s="62" t="s">
        <v>589</v>
      </c>
      <c r="D179" s="55" t="s">
        <v>408</v>
      </c>
      <c r="E179" s="55" t="s">
        <v>38</v>
      </c>
      <c r="F179" s="61">
        <v>3</v>
      </c>
      <c r="G179" s="57">
        <v>120000</v>
      </c>
      <c r="H179" s="57">
        <f>F179*G179</f>
        <v>360000</v>
      </c>
      <c r="I179" s="57">
        <v>20000</v>
      </c>
      <c r="J179" s="57">
        <f t="shared" ref="J179" si="130">F179*I179</f>
        <v>60000</v>
      </c>
      <c r="K179" s="57">
        <f>G179+I179</f>
        <v>140000</v>
      </c>
      <c r="L179" s="58">
        <f t="shared" ref="L179" si="131">F179*K179</f>
        <v>420000</v>
      </c>
      <c r="M179" s="177"/>
    </row>
    <row r="180" spans="1:15" s="59" customFormat="1" ht="18" customHeight="1">
      <c r="A180" s="60"/>
      <c r="B180" s="304"/>
      <c r="C180" s="62"/>
      <c r="D180" s="55"/>
      <c r="E180" s="55"/>
      <c r="F180" s="61"/>
      <c r="G180" s="57"/>
      <c r="H180" s="57"/>
      <c r="I180" s="57"/>
      <c r="J180" s="57"/>
      <c r="K180" s="57"/>
      <c r="L180" s="58"/>
      <c r="M180" s="177"/>
    </row>
    <row r="181" spans="1:15" s="59" customFormat="1" ht="18" customHeight="1">
      <c r="A181" s="167" t="s">
        <v>314</v>
      </c>
      <c r="B181" s="168" t="s">
        <v>315</v>
      </c>
      <c r="C181" s="169"/>
      <c r="D181" s="261"/>
      <c r="E181" s="261" t="s">
        <v>38</v>
      </c>
      <c r="F181" s="266">
        <v>1</v>
      </c>
      <c r="G181" s="262">
        <v>0</v>
      </c>
      <c r="H181" s="262">
        <f t="shared" ref="H181" si="132">F181*G181</f>
        <v>0</v>
      </c>
      <c r="I181" s="262">
        <v>0</v>
      </c>
      <c r="J181" s="262">
        <f t="shared" ref="J181" si="133">F181*I181</f>
        <v>0</v>
      </c>
      <c r="K181" s="262">
        <f t="shared" ref="K181" si="134">G181+I181</f>
        <v>0</v>
      </c>
      <c r="L181" s="263">
        <f t="shared" ref="L181" si="135">F181*K181</f>
        <v>0</v>
      </c>
      <c r="M181" s="177"/>
    </row>
    <row r="182" spans="1:15" ht="18" customHeight="1">
      <c r="A182" s="167"/>
      <c r="B182" s="459" t="s">
        <v>496</v>
      </c>
      <c r="C182" s="460"/>
      <c r="D182" s="460"/>
      <c r="E182" s="460"/>
      <c r="F182" s="460"/>
      <c r="G182" s="460"/>
      <c r="H182" s="460"/>
      <c r="I182" s="460"/>
      <c r="J182" s="460"/>
      <c r="K182" s="460"/>
      <c r="L182" s="461"/>
      <c r="M182" s="177"/>
    </row>
    <row r="183" spans="1:15" s="20" customFormat="1" ht="18" customHeight="1">
      <c r="A183" s="13"/>
      <c r="B183" s="13" t="s">
        <v>13</v>
      </c>
      <c r="C183" s="15"/>
      <c r="D183" s="16"/>
      <c r="E183" s="16"/>
      <c r="F183" s="173"/>
      <c r="G183" s="48"/>
      <c r="H183" s="48">
        <f>SUM(H93:H182)</f>
        <v>22570000</v>
      </c>
      <c r="I183" s="48"/>
      <c r="J183" s="48">
        <f>SUM(J93:J182)</f>
        <v>6106000</v>
      </c>
      <c r="K183" s="48"/>
      <c r="L183" s="48">
        <f>SUM(L93:L182)</f>
        <v>28676000</v>
      </c>
      <c r="M183" s="177"/>
    </row>
    <row r="184" spans="1:15" ht="18" customHeight="1">
      <c r="A184" s="13"/>
      <c r="B184" s="14"/>
      <c r="C184" s="12"/>
      <c r="D184" s="5"/>
      <c r="E184" s="5"/>
      <c r="F184" s="173"/>
      <c r="G184" s="28"/>
      <c r="H184" s="28"/>
      <c r="I184" s="28"/>
      <c r="J184" s="28"/>
      <c r="K184" s="28"/>
      <c r="L184" s="29"/>
      <c r="M184" s="177"/>
    </row>
    <row r="185" spans="1:15" s="20" customFormat="1" ht="18" customHeight="1">
      <c r="A185" s="44" t="s">
        <v>31</v>
      </c>
      <c r="B185" s="45" t="s">
        <v>102</v>
      </c>
      <c r="C185" s="46"/>
      <c r="D185" s="16"/>
      <c r="E185" s="16"/>
      <c r="F185" s="173"/>
      <c r="G185" s="48"/>
      <c r="H185" s="48"/>
      <c r="I185" s="48"/>
      <c r="J185" s="48"/>
      <c r="K185" s="48"/>
      <c r="L185" s="49"/>
      <c r="M185" s="177"/>
    </row>
    <row r="186" spans="1:15" s="59" customFormat="1" ht="18" customHeight="1">
      <c r="A186" s="52">
        <v>-1</v>
      </c>
      <c r="B186" s="53" t="s">
        <v>103</v>
      </c>
      <c r="C186" s="54"/>
      <c r="D186" s="55"/>
      <c r="E186" s="55"/>
      <c r="F186" s="56"/>
      <c r="G186" s="57"/>
      <c r="H186" s="57"/>
      <c r="I186" s="57"/>
      <c r="J186" s="57"/>
      <c r="K186" s="57"/>
      <c r="L186" s="58"/>
      <c r="M186" s="177"/>
    </row>
    <row r="187" spans="1:15" s="59" customFormat="1" ht="18" customHeight="1">
      <c r="A187" s="52">
        <v>-1</v>
      </c>
      <c r="B187" s="53" t="s">
        <v>418</v>
      </c>
      <c r="C187" s="54"/>
      <c r="D187" s="55"/>
      <c r="E187" s="55"/>
      <c r="F187" s="56"/>
      <c r="G187" s="57"/>
      <c r="H187" s="57"/>
      <c r="I187" s="57"/>
      <c r="J187" s="57"/>
      <c r="K187" s="57"/>
      <c r="L187" s="58"/>
      <c r="M187" s="177"/>
    </row>
    <row r="188" spans="1:15" s="275" customFormat="1" ht="18" hidden="1" customHeight="1">
      <c r="A188" s="356" t="s">
        <v>12</v>
      </c>
      <c r="B188" s="357" t="s">
        <v>365</v>
      </c>
      <c r="C188" s="358" t="s">
        <v>369</v>
      </c>
      <c r="D188" s="356" t="s">
        <v>238</v>
      </c>
      <c r="E188" s="359" t="s">
        <v>167</v>
      </c>
      <c r="F188" s="360">
        <v>0</v>
      </c>
      <c r="G188" s="361">
        <v>31000</v>
      </c>
      <c r="H188" s="361">
        <f t="shared" ref="H188" si="136">F188*G188</f>
        <v>0</v>
      </c>
      <c r="I188" s="361">
        <v>10000</v>
      </c>
      <c r="J188" s="361">
        <f t="shared" ref="J188" si="137">F188*I188</f>
        <v>0</v>
      </c>
      <c r="K188" s="361">
        <f t="shared" ref="K188" si="138">G188+I188</f>
        <v>41000</v>
      </c>
      <c r="L188" s="362">
        <f t="shared" ref="L188" si="139">F188*K188</f>
        <v>0</v>
      </c>
      <c r="M188" s="363"/>
    </row>
    <row r="189" spans="1:15" s="355" customFormat="1" ht="18" hidden="1" customHeight="1">
      <c r="A189" s="347" t="s">
        <v>316</v>
      </c>
      <c r="B189" s="348" t="s">
        <v>372</v>
      </c>
      <c r="C189" s="349" t="s">
        <v>373</v>
      </c>
      <c r="D189" s="350" t="s">
        <v>317</v>
      </c>
      <c r="E189" s="350" t="s">
        <v>38</v>
      </c>
      <c r="F189" s="351">
        <v>0</v>
      </c>
      <c r="G189" s="352">
        <v>58100</v>
      </c>
      <c r="H189" s="352">
        <f>F189*G189</f>
        <v>0</v>
      </c>
      <c r="I189" s="352">
        <v>20000</v>
      </c>
      <c r="J189" s="352">
        <f t="shared" ref="J189:J194" si="140">F189*I189</f>
        <v>0</v>
      </c>
      <c r="K189" s="352">
        <f t="shared" ref="K189:K194" si="141">G189+I189</f>
        <v>78100</v>
      </c>
      <c r="L189" s="353">
        <f t="shared" ref="L189:L194" si="142">F189*K189</f>
        <v>0</v>
      </c>
      <c r="M189" s="354"/>
      <c r="O189" s="355" t="s">
        <v>374</v>
      </c>
    </row>
    <row r="190" spans="1:15" s="417" customFormat="1" ht="18" customHeight="1">
      <c r="A190" s="410" t="s">
        <v>163</v>
      </c>
      <c r="B190" s="411" t="s">
        <v>547</v>
      </c>
      <c r="C190" s="412" t="s">
        <v>246</v>
      </c>
      <c r="D190" s="413" t="s">
        <v>419</v>
      </c>
      <c r="E190" s="413" t="s">
        <v>167</v>
      </c>
      <c r="F190" s="414">
        <v>5</v>
      </c>
      <c r="G190" s="415">
        <v>32500</v>
      </c>
      <c r="H190" s="415">
        <f>F190*G190</f>
        <v>162500</v>
      </c>
      <c r="I190" s="415">
        <v>5000</v>
      </c>
      <c r="J190" s="415">
        <f>F190*I190</f>
        <v>25000</v>
      </c>
      <c r="K190" s="415">
        <f>G190+I190</f>
        <v>37500</v>
      </c>
      <c r="L190" s="416">
        <f>F190*K190</f>
        <v>187500</v>
      </c>
      <c r="M190" s="418"/>
    </row>
    <row r="191" spans="1:15" s="417" customFormat="1" ht="18" customHeight="1">
      <c r="A191" s="410" t="s">
        <v>163</v>
      </c>
      <c r="B191" s="411" t="s">
        <v>547</v>
      </c>
      <c r="C191" s="412" t="s">
        <v>420</v>
      </c>
      <c r="D191" s="413" t="s">
        <v>419</v>
      </c>
      <c r="E191" s="413" t="s">
        <v>38</v>
      </c>
      <c r="F191" s="414"/>
      <c r="G191" s="415">
        <v>22000</v>
      </c>
      <c r="H191" s="415">
        <f>F191*G191</f>
        <v>0</v>
      </c>
      <c r="I191" s="415">
        <v>5000</v>
      </c>
      <c r="J191" s="415">
        <f>F191*I191</f>
        <v>0</v>
      </c>
      <c r="K191" s="415">
        <f>G191+I191</f>
        <v>27000</v>
      </c>
      <c r="L191" s="416">
        <f>F191*K191</f>
        <v>0</v>
      </c>
      <c r="M191" s="418"/>
    </row>
    <row r="192" spans="1:15" s="417" customFormat="1" ht="18" hidden="1" customHeight="1">
      <c r="A192" s="410" t="s">
        <v>163</v>
      </c>
      <c r="B192" s="411" t="s">
        <v>547</v>
      </c>
      <c r="C192" s="412" t="s">
        <v>420</v>
      </c>
      <c r="D192" s="413" t="s">
        <v>227</v>
      </c>
      <c r="E192" s="413" t="s">
        <v>38</v>
      </c>
      <c r="F192" s="414"/>
      <c r="G192" s="415">
        <v>22000</v>
      </c>
      <c r="H192" s="415">
        <f>F192*G192</f>
        <v>0</v>
      </c>
      <c r="I192" s="415">
        <v>5000</v>
      </c>
      <c r="J192" s="415">
        <f>F192*I192</f>
        <v>0</v>
      </c>
      <c r="K192" s="415">
        <f>G192+I192</f>
        <v>27000</v>
      </c>
      <c r="L192" s="416">
        <f>F192*K192</f>
        <v>0</v>
      </c>
      <c r="M192" s="418"/>
    </row>
    <row r="193" spans="1:14" s="417" customFormat="1" ht="18" customHeight="1">
      <c r="A193" s="410" t="s">
        <v>220</v>
      </c>
      <c r="B193" s="411" t="s">
        <v>547</v>
      </c>
      <c r="C193" s="412" t="s">
        <v>246</v>
      </c>
      <c r="D193" s="413" t="s">
        <v>227</v>
      </c>
      <c r="E193" s="413" t="s">
        <v>244</v>
      </c>
      <c r="F193" s="414"/>
      <c r="G193" s="415">
        <v>32500</v>
      </c>
      <c r="H193" s="415">
        <f t="shared" ref="H193:H194" si="143">F193*G193</f>
        <v>0</v>
      </c>
      <c r="I193" s="415">
        <v>5000</v>
      </c>
      <c r="J193" s="415">
        <f t="shared" si="140"/>
        <v>0</v>
      </c>
      <c r="K193" s="415">
        <f t="shared" si="141"/>
        <v>37500</v>
      </c>
      <c r="L193" s="416">
        <f t="shared" si="142"/>
        <v>0</v>
      </c>
      <c r="M193" s="418"/>
    </row>
    <row r="194" spans="1:14" s="417" customFormat="1" ht="18" customHeight="1">
      <c r="A194" s="410" t="s">
        <v>220</v>
      </c>
      <c r="B194" s="411" t="s">
        <v>547</v>
      </c>
      <c r="C194" s="412" t="s">
        <v>421</v>
      </c>
      <c r="D194" s="413" t="s">
        <v>227</v>
      </c>
      <c r="E194" s="413" t="s">
        <v>244</v>
      </c>
      <c r="F194" s="414">
        <v>7</v>
      </c>
      <c r="G194" s="415">
        <v>28500</v>
      </c>
      <c r="H194" s="415">
        <f t="shared" si="143"/>
        <v>199500</v>
      </c>
      <c r="I194" s="415">
        <v>5000</v>
      </c>
      <c r="J194" s="415">
        <f t="shared" si="140"/>
        <v>35000</v>
      </c>
      <c r="K194" s="415">
        <f t="shared" si="141"/>
        <v>33500</v>
      </c>
      <c r="L194" s="416">
        <f t="shared" si="142"/>
        <v>234500</v>
      </c>
      <c r="M194" s="418"/>
    </row>
    <row r="195" spans="1:14" s="417" customFormat="1" ht="18" customHeight="1">
      <c r="A195" s="410" t="s">
        <v>220</v>
      </c>
      <c r="B195" s="411" t="s">
        <v>547</v>
      </c>
      <c r="C195" s="412" t="s">
        <v>245</v>
      </c>
      <c r="D195" s="413" t="s">
        <v>227</v>
      </c>
      <c r="E195" s="413" t="s">
        <v>244</v>
      </c>
      <c r="F195" s="414">
        <v>8</v>
      </c>
      <c r="G195" s="415">
        <v>22600</v>
      </c>
      <c r="H195" s="415">
        <f>F195*G195</f>
        <v>180800</v>
      </c>
      <c r="I195" s="415">
        <v>5000</v>
      </c>
      <c r="J195" s="415">
        <f>F195*I195</f>
        <v>40000</v>
      </c>
      <c r="K195" s="415">
        <f>G195+I195</f>
        <v>27600</v>
      </c>
      <c r="L195" s="416">
        <f>F195*K195</f>
        <v>220800</v>
      </c>
      <c r="M195" s="436"/>
    </row>
    <row r="196" spans="1:14" s="417" customFormat="1" ht="18" customHeight="1">
      <c r="A196" s="410" t="s">
        <v>163</v>
      </c>
      <c r="B196" s="411" t="s">
        <v>547</v>
      </c>
      <c r="C196" s="412" t="s">
        <v>546</v>
      </c>
      <c r="D196" s="413" t="s">
        <v>227</v>
      </c>
      <c r="E196" s="413" t="s">
        <v>38</v>
      </c>
      <c r="F196" s="414">
        <v>2</v>
      </c>
      <c r="G196" s="415">
        <v>73300</v>
      </c>
      <c r="H196" s="415">
        <f t="shared" ref="H196" si="144">F196*G196</f>
        <v>146600</v>
      </c>
      <c r="I196" s="415">
        <v>5000</v>
      </c>
      <c r="J196" s="415">
        <f t="shared" ref="J196" si="145">F196*I196</f>
        <v>10000</v>
      </c>
      <c r="K196" s="415">
        <f t="shared" ref="K196" si="146">G196+I196</f>
        <v>78300</v>
      </c>
      <c r="L196" s="416">
        <f t="shared" ref="L196" si="147">F196*K196</f>
        <v>156600</v>
      </c>
      <c r="M196" s="418"/>
    </row>
    <row r="197" spans="1:14" s="417" customFormat="1" ht="18" customHeight="1">
      <c r="A197" s="410" t="s">
        <v>44</v>
      </c>
      <c r="B197" s="411" t="s">
        <v>547</v>
      </c>
      <c r="C197" s="412" t="s">
        <v>421</v>
      </c>
      <c r="D197" s="413" t="s">
        <v>227</v>
      </c>
      <c r="E197" s="413" t="s">
        <v>38</v>
      </c>
      <c r="F197" s="414"/>
      <c r="G197" s="415">
        <v>28500</v>
      </c>
      <c r="H197" s="415">
        <f t="shared" ref="H197" si="148">F197*G197</f>
        <v>0</v>
      </c>
      <c r="I197" s="415">
        <v>5000</v>
      </c>
      <c r="J197" s="415">
        <f t="shared" ref="J197" si="149">F197*I197</f>
        <v>0</v>
      </c>
      <c r="K197" s="415">
        <f t="shared" ref="K197" si="150">G197+I197</f>
        <v>33500</v>
      </c>
      <c r="L197" s="416">
        <f t="shared" ref="L197" si="151">F197*K197</f>
        <v>0</v>
      </c>
      <c r="M197" s="418"/>
    </row>
    <row r="198" spans="1:14" s="417" customFormat="1" ht="18" customHeight="1">
      <c r="A198" s="410" t="s">
        <v>44</v>
      </c>
      <c r="B198" s="411" t="s">
        <v>547</v>
      </c>
      <c r="C198" s="412" t="s">
        <v>545</v>
      </c>
      <c r="D198" s="413" t="s">
        <v>227</v>
      </c>
      <c r="E198" s="413" t="s">
        <v>38</v>
      </c>
      <c r="F198" s="414">
        <v>1</v>
      </c>
      <c r="G198" s="415">
        <v>47300</v>
      </c>
      <c r="H198" s="415">
        <f t="shared" ref="H198" si="152">F198*G198</f>
        <v>47300</v>
      </c>
      <c r="I198" s="415">
        <v>5000</v>
      </c>
      <c r="J198" s="415">
        <f t="shared" ref="J198" si="153">F198*I198</f>
        <v>5000</v>
      </c>
      <c r="K198" s="415">
        <f t="shared" ref="K198" si="154">G198+I198</f>
        <v>52300</v>
      </c>
      <c r="L198" s="416">
        <f t="shared" ref="L198" si="155">F198*K198</f>
        <v>52300</v>
      </c>
      <c r="M198" s="418"/>
    </row>
    <row r="199" spans="1:14" s="59" customFormat="1" ht="18" hidden="1" customHeight="1">
      <c r="A199" s="60" t="s">
        <v>12</v>
      </c>
      <c r="B199" s="53" t="s">
        <v>550</v>
      </c>
      <c r="C199" s="62" t="s">
        <v>551</v>
      </c>
      <c r="D199" s="55" t="s">
        <v>227</v>
      </c>
      <c r="E199" s="55" t="s">
        <v>38</v>
      </c>
      <c r="F199" s="61"/>
      <c r="G199" s="57">
        <v>70000</v>
      </c>
      <c r="H199" s="57">
        <f>F199*G199</f>
        <v>0</v>
      </c>
      <c r="I199" s="57">
        <v>20000</v>
      </c>
      <c r="J199" s="57">
        <f>F199*I199</f>
        <v>0</v>
      </c>
      <c r="K199" s="57">
        <f>G199+I199</f>
        <v>90000</v>
      </c>
      <c r="L199" s="58">
        <f>F199*K199</f>
        <v>0</v>
      </c>
      <c r="M199" s="177"/>
    </row>
    <row r="200" spans="1:14" s="59" customFormat="1" ht="18" customHeight="1">
      <c r="A200" s="60" t="s">
        <v>12</v>
      </c>
      <c r="B200" s="53" t="s">
        <v>273</v>
      </c>
      <c r="C200" s="62"/>
      <c r="D200" s="55" t="s">
        <v>423</v>
      </c>
      <c r="E200" s="55" t="s">
        <v>38</v>
      </c>
      <c r="F200" s="61">
        <v>18</v>
      </c>
      <c r="G200" s="57">
        <v>5000</v>
      </c>
      <c r="H200" s="57">
        <f>F200*G200</f>
        <v>90000</v>
      </c>
      <c r="I200" s="57">
        <v>8000</v>
      </c>
      <c r="J200" s="57">
        <f>F200*I200</f>
        <v>144000</v>
      </c>
      <c r="K200" s="57">
        <f>G200+I200</f>
        <v>13000</v>
      </c>
      <c r="L200" s="58">
        <f>F200*K200</f>
        <v>234000</v>
      </c>
      <c r="M200" s="177"/>
    </row>
    <row r="201" spans="1:14" s="417" customFormat="1" ht="18" hidden="1" customHeight="1">
      <c r="A201" s="258" t="s">
        <v>328</v>
      </c>
      <c r="B201" s="411" t="s">
        <v>543</v>
      </c>
      <c r="C201" s="412" t="s">
        <v>544</v>
      </c>
      <c r="D201" s="413" t="s">
        <v>227</v>
      </c>
      <c r="E201" s="413" t="s">
        <v>38</v>
      </c>
      <c r="F201" s="414">
        <v>0</v>
      </c>
      <c r="G201" s="415">
        <v>0</v>
      </c>
      <c r="H201" s="415">
        <f>F201*G201</f>
        <v>0</v>
      </c>
      <c r="I201" s="415">
        <v>8000</v>
      </c>
      <c r="J201" s="415">
        <f>F201*I201</f>
        <v>0</v>
      </c>
      <c r="K201" s="415">
        <f>G201+I201</f>
        <v>8000</v>
      </c>
      <c r="L201" s="416">
        <f>F201*K201</f>
        <v>0</v>
      </c>
      <c r="M201" s="418"/>
    </row>
    <row r="202" spans="1:14" s="59" customFormat="1" ht="18" customHeight="1">
      <c r="A202" s="60" t="s">
        <v>12</v>
      </c>
      <c r="B202" s="53" t="s">
        <v>104</v>
      </c>
      <c r="C202" s="62" t="s">
        <v>270</v>
      </c>
      <c r="D202" s="60" t="s">
        <v>227</v>
      </c>
      <c r="E202" s="55" t="s">
        <v>39</v>
      </c>
      <c r="F202" s="61">
        <v>15</v>
      </c>
      <c r="G202" s="57">
        <v>24000</v>
      </c>
      <c r="H202" s="57">
        <f t="shared" ref="H202:H203" si="156">F202*G202</f>
        <v>360000</v>
      </c>
      <c r="I202" s="57">
        <v>20000</v>
      </c>
      <c r="J202" s="57">
        <f t="shared" ref="J202:J203" si="157">F202*I202</f>
        <v>300000</v>
      </c>
      <c r="K202" s="57">
        <f t="shared" ref="K202:K203" si="158">G202+I202</f>
        <v>44000</v>
      </c>
      <c r="L202" s="58">
        <f t="shared" ref="L202:L203" si="159">F202*K202</f>
        <v>660000</v>
      </c>
      <c r="M202" s="177"/>
    </row>
    <row r="203" spans="1:14" s="59" customFormat="1" ht="18" customHeight="1">
      <c r="A203" s="60" t="s">
        <v>298</v>
      </c>
      <c r="B203" s="53" t="s">
        <v>104</v>
      </c>
      <c r="C203" s="62" t="s">
        <v>271</v>
      </c>
      <c r="D203" s="55" t="s">
        <v>227</v>
      </c>
      <c r="E203" s="55" t="s">
        <v>167</v>
      </c>
      <c r="F203" s="61">
        <v>6</v>
      </c>
      <c r="G203" s="57">
        <v>18000</v>
      </c>
      <c r="H203" s="57">
        <f t="shared" si="156"/>
        <v>108000</v>
      </c>
      <c r="I203" s="57">
        <v>5000</v>
      </c>
      <c r="J203" s="57">
        <f t="shared" si="157"/>
        <v>30000</v>
      </c>
      <c r="K203" s="57">
        <f t="shared" si="158"/>
        <v>23000</v>
      </c>
      <c r="L203" s="58">
        <f t="shared" si="159"/>
        <v>138000</v>
      </c>
      <c r="M203" s="305"/>
    </row>
    <row r="204" spans="1:14" ht="18" customHeight="1">
      <c r="A204" s="171" t="s">
        <v>12</v>
      </c>
      <c r="B204" s="11" t="s">
        <v>427</v>
      </c>
      <c r="C204" s="172" t="s">
        <v>428</v>
      </c>
      <c r="D204" s="55" t="s">
        <v>227</v>
      </c>
      <c r="E204" s="55" t="s">
        <v>39</v>
      </c>
      <c r="F204" s="173">
        <v>24</v>
      </c>
      <c r="G204" s="28">
        <v>38000</v>
      </c>
      <c r="H204" s="28">
        <f t="shared" ref="H204:H205" si="160">F204*G204</f>
        <v>912000</v>
      </c>
      <c r="I204" s="28">
        <v>8000</v>
      </c>
      <c r="J204" s="28">
        <f t="shared" ref="J204:J205" si="161">F204*I204</f>
        <v>192000</v>
      </c>
      <c r="K204" s="28">
        <f t="shared" ref="K204" si="162">G204+I204</f>
        <v>46000</v>
      </c>
      <c r="L204" s="29">
        <f t="shared" ref="L204" si="163">F204*K204</f>
        <v>1104000</v>
      </c>
      <c r="M204" s="177"/>
      <c r="N204" s="9">
        <v>37000</v>
      </c>
    </row>
    <row r="205" spans="1:14" s="417" customFormat="1" ht="18" customHeight="1">
      <c r="A205" s="410" t="s">
        <v>316</v>
      </c>
      <c r="B205" s="411" t="s">
        <v>427</v>
      </c>
      <c r="C205" s="412" t="s">
        <v>447</v>
      </c>
      <c r="D205" s="413" t="s">
        <v>227</v>
      </c>
      <c r="E205" s="413" t="s">
        <v>167</v>
      </c>
      <c r="F205" s="414">
        <v>0</v>
      </c>
      <c r="G205" s="415">
        <v>130000</v>
      </c>
      <c r="H205" s="396">
        <f t="shared" si="160"/>
        <v>0</v>
      </c>
      <c r="I205" s="396">
        <v>5000</v>
      </c>
      <c r="J205" s="396">
        <f t="shared" si="161"/>
        <v>0</v>
      </c>
      <c r="K205" s="415">
        <f>G205+I205</f>
        <v>135000</v>
      </c>
      <c r="L205" s="416">
        <f>F205*K205</f>
        <v>0</v>
      </c>
      <c r="M205" s="418"/>
    </row>
    <row r="206" spans="1:14" s="417" customFormat="1" ht="18" customHeight="1">
      <c r="A206" s="410" t="s">
        <v>163</v>
      </c>
      <c r="B206" s="411" t="s">
        <v>427</v>
      </c>
      <c r="C206" s="412" t="s">
        <v>429</v>
      </c>
      <c r="D206" s="413" t="s">
        <v>227</v>
      </c>
      <c r="E206" s="413" t="s">
        <v>38</v>
      </c>
      <c r="F206" s="414">
        <v>0</v>
      </c>
      <c r="G206" s="415">
        <v>0</v>
      </c>
      <c r="H206" s="396">
        <f t="shared" ref="H206" si="164">F206*G206</f>
        <v>0</v>
      </c>
      <c r="I206" s="396">
        <v>0</v>
      </c>
      <c r="J206" s="396">
        <f t="shared" ref="J206" si="165">F206*I206</f>
        <v>0</v>
      </c>
      <c r="K206" s="415">
        <f>G206+I206</f>
        <v>0</v>
      </c>
      <c r="L206" s="416">
        <f>F206*K206</f>
        <v>0</v>
      </c>
      <c r="M206" s="418"/>
    </row>
    <row r="207" spans="1:14" s="59" customFormat="1" ht="18" customHeight="1">
      <c r="A207" s="60"/>
      <c r="B207" s="53"/>
      <c r="C207" s="62"/>
      <c r="D207" s="55"/>
      <c r="E207" s="55"/>
      <c r="F207" s="61"/>
      <c r="G207" s="57"/>
      <c r="H207" s="57"/>
      <c r="I207" s="57"/>
      <c r="J207" s="57"/>
      <c r="K207" s="57"/>
      <c r="L207" s="58"/>
      <c r="M207" s="305"/>
    </row>
    <row r="208" spans="1:14" s="59" customFormat="1" ht="18" customHeight="1">
      <c r="A208" s="60">
        <v>-1</v>
      </c>
      <c r="B208" s="53" t="s">
        <v>424</v>
      </c>
      <c r="C208" s="62"/>
      <c r="D208" s="55"/>
      <c r="E208" s="55"/>
      <c r="F208" s="61"/>
      <c r="G208" s="57"/>
      <c r="H208" s="57"/>
      <c r="I208" s="57"/>
      <c r="J208" s="57"/>
      <c r="K208" s="57"/>
      <c r="L208" s="58"/>
      <c r="M208" s="305"/>
    </row>
    <row r="209" spans="1:13" s="59" customFormat="1" ht="18" customHeight="1">
      <c r="A209" s="60" t="s">
        <v>12</v>
      </c>
      <c r="B209" s="53" t="s">
        <v>273</v>
      </c>
      <c r="C209" s="62"/>
      <c r="D209" s="55" t="s">
        <v>325</v>
      </c>
      <c r="E209" s="55" t="s">
        <v>38</v>
      </c>
      <c r="F209" s="61">
        <v>4</v>
      </c>
      <c r="G209" s="57">
        <v>5000</v>
      </c>
      <c r="H209" s="57">
        <f>F209*G209</f>
        <v>20000</v>
      </c>
      <c r="I209" s="57">
        <v>8000</v>
      </c>
      <c r="J209" s="57">
        <f>F209*I209</f>
        <v>32000</v>
      </c>
      <c r="K209" s="57">
        <f>G209+I209</f>
        <v>13000</v>
      </c>
      <c r="L209" s="58">
        <f>F209*K209</f>
        <v>52000</v>
      </c>
      <c r="M209" s="177"/>
    </row>
    <row r="210" spans="1:13" s="59" customFormat="1" ht="18" customHeight="1">
      <c r="A210" s="60" t="s">
        <v>12</v>
      </c>
      <c r="B210" s="53" t="s">
        <v>104</v>
      </c>
      <c r="C210" s="62" t="s">
        <v>270</v>
      </c>
      <c r="D210" s="55" t="s">
        <v>325</v>
      </c>
      <c r="E210" s="55" t="s">
        <v>39</v>
      </c>
      <c r="F210" s="61">
        <v>1.8</v>
      </c>
      <c r="G210" s="57">
        <v>24000</v>
      </c>
      <c r="H210" s="57">
        <f t="shared" ref="H210:H211" si="166">F210*G210</f>
        <v>43200</v>
      </c>
      <c r="I210" s="57">
        <v>20000</v>
      </c>
      <c r="J210" s="57">
        <f t="shared" ref="J210:J211" si="167">F210*I210</f>
        <v>36000</v>
      </c>
      <c r="K210" s="57">
        <f t="shared" ref="K210:K211" si="168">G210+I210</f>
        <v>44000</v>
      </c>
      <c r="L210" s="58">
        <f t="shared" ref="L210:L211" si="169">F210*K210</f>
        <v>79200</v>
      </c>
      <c r="M210" s="177"/>
    </row>
    <row r="211" spans="1:13" s="59" customFormat="1" ht="18" customHeight="1">
      <c r="A211" s="60" t="s">
        <v>298</v>
      </c>
      <c r="B211" s="53" t="s">
        <v>104</v>
      </c>
      <c r="C211" s="62" t="s">
        <v>271</v>
      </c>
      <c r="D211" s="55" t="s">
        <v>325</v>
      </c>
      <c r="E211" s="55" t="s">
        <v>167</v>
      </c>
      <c r="F211" s="61">
        <v>1</v>
      </c>
      <c r="G211" s="57">
        <v>18000</v>
      </c>
      <c r="H211" s="57">
        <f t="shared" si="166"/>
        <v>18000</v>
      </c>
      <c r="I211" s="57">
        <v>5000</v>
      </c>
      <c r="J211" s="57">
        <f t="shared" si="167"/>
        <v>5000</v>
      </c>
      <c r="K211" s="57">
        <f t="shared" si="168"/>
        <v>23000</v>
      </c>
      <c r="L211" s="58">
        <f t="shared" si="169"/>
        <v>23000</v>
      </c>
      <c r="M211" s="305"/>
    </row>
    <row r="212" spans="1:13" s="59" customFormat="1" ht="18" customHeight="1">
      <c r="A212" s="60"/>
      <c r="B212" s="53"/>
      <c r="C212" s="62"/>
      <c r="D212" s="55"/>
      <c r="E212" s="55"/>
      <c r="F212" s="61"/>
      <c r="G212" s="57"/>
      <c r="H212" s="57"/>
      <c r="I212" s="57"/>
      <c r="J212" s="57"/>
      <c r="K212" s="57"/>
      <c r="L212" s="58"/>
      <c r="M212" s="305"/>
    </row>
    <row r="213" spans="1:13" s="59" customFormat="1" ht="18" customHeight="1">
      <c r="A213" s="60">
        <v>-1</v>
      </c>
      <c r="B213" s="53" t="s">
        <v>409</v>
      </c>
      <c r="C213" s="62"/>
      <c r="D213" s="55"/>
      <c r="E213" s="55"/>
      <c r="F213" s="61"/>
      <c r="G213" s="57"/>
      <c r="H213" s="57"/>
      <c r="I213" s="57"/>
      <c r="J213" s="57"/>
      <c r="K213" s="57"/>
      <c r="L213" s="58"/>
      <c r="M213" s="305"/>
    </row>
    <row r="214" spans="1:13" s="59" customFormat="1" ht="18" customHeight="1">
      <c r="A214" s="60" t="s">
        <v>12</v>
      </c>
      <c r="B214" s="53" t="s">
        <v>273</v>
      </c>
      <c r="C214" s="62"/>
      <c r="D214" s="55" t="s">
        <v>409</v>
      </c>
      <c r="E214" s="55" t="s">
        <v>38</v>
      </c>
      <c r="F214" s="61">
        <v>6</v>
      </c>
      <c r="G214" s="57">
        <v>5000</v>
      </c>
      <c r="H214" s="57">
        <f>F214*G214</f>
        <v>30000</v>
      </c>
      <c r="I214" s="57">
        <v>8000</v>
      </c>
      <c r="J214" s="57">
        <f>F214*I214</f>
        <v>48000</v>
      </c>
      <c r="K214" s="57">
        <f>G214+I214</f>
        <v>13000</v>
      </c>
      <c r="L214" s="58">
        <f>F214*K214</f>
        <v>78000</v>
      </c>
      <c r="M214" s="177"/>
    </row>
    <row r="215" spans="1:13" s="59" customFormat="1" ht="18" customHeight="1">
      <c r="A215" s="60" t="s">
        <v>12</v>
      </c>
      <c r="B215" s="53" t="s">
        <v>104</v>
      </c>
      <c r="C215" s="62" t="s">
        <v>270</v>
      </c>
      <c r="D215" s="55" t="s">
        <v>409</v>
      </c>
      <c r="E215" s="55" t="s">
        <v>39</v>
      </c>
      <c r="F215" s="61">
        <v>2</v>
      </c>
      <c r="G215" s="57">
        <v>24000</v>
      </c>
      <c r="H215" s="57">
        <f t="shared" ref="H215:H217" si="170">F215*G215</f>
        <v>48000</v>
      </c>
      <c r="I215" s="57">
        <v>20000</v>
      </c>
      <c r="J215" s="57">
        <f t="shared" ref="J215:J217" si="171">F215*I215</f>
        <v>40000</v>
      </c>
      <c r="K215" s="57">
        <f t="shared" ref="K215:K217" si="172">G215+I215</f>
        <v>44000</v>
      </c>
      <c r="L215" s="58">
        <f t="shared" ref="L215:L217" si="173">F215*K215</f>
        <v>88000</v>
      </c>
      <c r="M215" s="177"/>
    </row>
    <row r="216" spans="1:13" s="59" customFormat="1" ht="18" customHeight="1">
      <c r="A216" s="60" t="s">
        <v>298</v>
      </c>
      <c r="B216" s="53" t="s">
        <v>104</v>
      </c>
      <c r="C216" s="62" t="s">
        <v>271</v>
      </c>
      <c r="D216" s="55" t="s">
        <v>409</v>
      </c>
      <c r="E216" s="55" t="s">
        <v>167</v>
      </c>
      <c r="F216" s="61">
        <v>1</v>
      </c>
      <c r="G216" s="57">
        <v>18000</v>
      </c>
      <c r="H216" s="57">
        <f t="shared" si="170"/>
        <v>18000</v>
      </c>
      <c r="I216" s="57">
        <v>5000</v>
      </c>
      <c r="J216" s="57">
        <f t="shared" si="171"/>
        <v>5000</v>
      </c>
      <c r="K216" s="57">
        <f t="shared" si="172"/>
        <v>23000</v>
      </c>
      <c r="L216" s="58">
        <f t="shared" si="173"/>
        <v>23000</v>
      </c>
      <c r="M216" s="305"/>
    </row>
    <row r="217" spans="1:13" s="59" customFormat="1" ht="18" customHeight="1">
      <c r="A217" s="60" t="s">
        <v>12</v>
      </c>
      <c r="B217" s="53" t="s">
        <v>590</v>
      </c>
      <c r="C217" s="62" t="s">
        <v>591</v>
      </c>
      <c r="D217" s="55" t="s">
        <v>408</v>
      </c>
      <c r="E217" s="55" t="s">
        <v>38</v>
      </c>
      <c r="F217" s="61">
        <v>1</v>
      </c>
      <c r="G217" s="57">
        <v>15000</v>
      </c>
      <c r="H217" s="57">
        <f t="shared" si="170"/>
        <v>15000</v>
      </c>
      <c r="I217" s="57">
        <v>10000</v>
      </c>
      <c r="J217" s="57">
        <f t="shared" si="171"/>
        <v>10000</v>
      </c>
      <c r="K217" s="57">
        <f t="shared" si="172"/>
        <v>25000</v>
      </c>
      <c r="L217" s="58">
        <f t="shared" si="173"/>
        <v>25000</v>
      </c>
      <c r="M217" s="177"/>
    </row>
    <row r="218" spans="1:13" s="59" customFormat="1" ht="18" customHeight="1">
      <c r="A218" s="60"/>
      <c r="B218" s="53"/>
      <c r="C218" s="62"/>
      <c r="D218" s="55"/>
      <c r="E218" s="55"/>
      <c r="F218" s="61"/>
      <c r="G218" s="57"/>
      <c r="H218" s="57"/>
      <c r="I218" s="57"/>
      <c r="J218" s="57"/>
      <c r="K218" s="57"/>
      <c r="L218" s="58"/>
      <c r="M218" s="177"/>
    </row>
    <row r="219" spans="1:13" s="59" customFormat="1" ht="18" customHeight="1">
      <c r="A219" s="60">
        <v>-1</v>
      </c>
      <c r="B219" s="53" t="s">
        <v>579</v>
      </c>
      <c r="C219" s="62"/>
      <c r="D219" s="55"/>
      <c r="E219" s="55"/>
      <c r="F219" s="61"/>
      <c r="G219" s="57"/>
      <c r="H219" s="57"/>
      <c r="I219" s="57"/>
      <c r="J219" s="57"/>
      <c r="K219" s="57"/>
      <c r="L219" s="58"/>
      <c r="M219" s="305"/>
    </row>
    <row r="220" spans="1:13" s="59" customFormat="1" ht="18" customHeight="1">
      <c r="A220" s="60" t="s">
        <v>12</v>
      </c>
      <c r="B220" s="53" t="s">
        <v>273</v>
      </c>
      <c r="C220" s="62"/>
      <c r="D220" s="55" t="s">
        <v>580</v>
      </c>
      <c r="E220" s="55" t="s">
        <v>38</v>
      </c>
      <c r="F220" s="61">
        <v>6</v>
      </c>
      <c r="G220" s="57">
        <v>5000</v>
      </c>
      <c r="H220" s="57">
        <f>F220*G220</f>
        <v>30000</v>
      </c>
      <c r="I220" s="57">
        <v>8000</v>
      </c>
      <c r="J220" s="57">
        <f>F220*I220</f>
        <v>48000</v>
      </c>
      <c r="K220" s="57">
        <f>G220+I220</f>
        <v>13000</v>
      </c>
      <c r="L220" s="58">
        <f>F220*K220</f>
        <v>78000</v>
      </c>
      <c r="M220" s="177"/>
    </row>
    <row r="221" spans="1:13" s="59" customFormat="1" ht="18" customHeight="1">
      <c r="A221" s="60" t="s">
        <v>12</v>
      </c>
      <c r="B221" s="53" t="s">
        <v>104</v>
      </c>
      <c r="C221" s="62" t="s">
        <v>270</v>
      </c>
      <c r="D221" s="55" t="s">
        <v>580</v>
      </c>
      <c r="E221" s="55" t="s">
        <v>39</v>
      </c>
      <c r="F221" s="61">
        <v>2.8</v>
      </c>
      <c r="G221" s="57">
        <v>24000</v>
      </c>
      <c r="H221" s="57">
        <f t="shared" ref="H221:H223" si="174">F221*G221</f>
        <v>67200</v>
      </c>
      <c r="I221" s="57">
        <v>20000</v>
      </c>
      <c r="J221" s="57">
        <f t="shared" ref="J221:J223" si="175">F221*I221</f>
        <v>56000</v>
      </c>
      <c r="K221" s="57">
        <f t="shared" ref="K221:K223" si="176">G221+I221</f>
        <v>44000</v>
      </c>
      <c r="L221" s="58">
        <f t="shared" ref="L221:L223" si="177">F221*K221</f>
        <v>123199.99999999999</v>
      </c>
      <c r="M221" s="177"/>
    </row>
    <row r="222" spans="1:13" s="59" customFormat="1" ht="18" customHeight="1">
      <c r="A222" s="60" t="s">
        <v>298</v>
      </c>
      <c r="B222" s="53" t="s">
        <v>104</v>
      </c>
      <c r="C222" s="62" t="s">
        <v>271</v>
      </c>
      <c r="D222" s="55" t="s">
        <v>580</v>
      </c>
      <c r="E222" s="55" t="s">
        <v>167</v>
      </c>
      <c r="F222" s="61">
        <v>1</v>
      </c>
      <c r="G222" s="57">
        <v>18000</v>
      </c>
      <c r="H222" s="57">
        <f t="shared" si="174"/>
        <v>18000</v>
      </c>
      <c r="I222" s="57">
        <v>5000</v>
      </c>
      <c r="J222" s="57">
        <f t="shared" si="175"/>
        <v>5000</v>
      </c>
      <c r="K222" s="57">
        <f t="shared" si="176"/>
        <v>23000</v>
      </c>
      <c r="L222" s="58">
        <f t="shared" si="177"/>
        <v>23000</v>
      </c>
      <c r="M222" s="305"/>
    </row>
    <row r="223" spans="1:13" s="59" customFormat="1" ht="18" customHeight="1">
      <c r="A223" s="60" t="s">
        <v>12</v>
      </c>
      <c r="B223" s="53" t="s">
        <v>105</v>
      </c>
      <c r="C223" s="62" t="s">
        <v>194</v>
      </c>
      <c r="D223" s="55" t="s">
        <v>595</v>
      </c>
      <c r="E223" s="55" t="s">
        <v>38</v>
      </c>
      <c r="F223" s="61">
        <v>1</v>
      </c>
      <c r="G223" s="57">
        <v>15000</v>
      </c>
      <c r="H223" s="57">
        <f t="shared" si="174"/>
        <v>15000</v>
      </c>
      <c r="I223" s="57">
        <v>10000</v>
      </c>
      <c r="J223" s="57">
        <f t="shared" si="175"/>
        <v>10000</v>
      </c>
      <c r="K223" s="57">
        <f t="shared" si="176"/>
        <v>25000</v>
      </c>
      <c r="L223" s="58">
        <f t="shared" si="177"/>
        <v>25000</v>
      </c>
      <c r="M223" s="177"/>
    </row>
    <row r="224" spans="1:13" s="59" customFormat="1" ht="18" customHeight="1">
      <c r="A224" s="60"/>
      <c r="B224" s="53"/>
      <c r="C224" s="62"/>
      <c r="D224" s="55"/>
      <c r="E224" s="55"/>
      <c r="F224" s="61"/>
      <c r="G224" s="57"/>
      <c r="H224" s="57"/>
      <c r="I224" s="57"/>
      <c r="J224" s="57"/>
      <c r="K224" s="57"/>
      <c r="L224" s="58"/>
      <c r="M224" s="305"/>
    </row>
    <row r="225" spans="1:13" s="59" customFormat="1" ht="18" customHeight="1">
      <c r="A225" s="60">
        <v>-1</v>
      </c>
      <c r="B225" s="53" t="s">
        <v>592</v>
      </c>
      <c r="C225" s="62"/>
      <c r="D225" s="55"/>
      <c r="E225" s="55"/>
      <c r="F225" s="61"/>
      <c r="G225" s="57"/>
      <c r="H225" s="57"/>
      <c r="I225" s="57"/>
      <c r="J225" s="57"/>
      <c r="K225" s="57"/>
      <c r="L225" s="58"/>
      <c r="M225" s="305"/>
    </row>
    <row r="226" spans="1:13" s="59" customFormat="1" ht="18" customHeight="1">
      <c r="A226" s="60" t="s">
        <v>12</v>
      </c>
      <c r="B226" s="53" t="s">
        <v>273</v>
      </c>
      <c r="C226" s="62"/>
      <c r="D226" s="55" t="s">
        <v>593</v>
      </c>
      <c r="E226" s="55" t="s">
        <v>38</v>
      </c>
      <c r="F226" s="61">
        <v>6</v>
      </c>
      <c r="G226" s="57">
        <v>5000</v>
      </c>
      <c r="H226" s="57">
        <f>F226*G226</f>
        <v>30000</v>
      </c>
      <c r="I226" s="57">
        <v>8000</v>
      </c>
      <c r="J226" s="57">
        <f>F226*I226</f>
        <v>48000</v>
      </c>
      <c r="K226" s="57">
        <f>G226+I226</f>
        <v>13000</v>
      </c>
      <c r="L226" s="58">
        <f>F226*K226</f>
        <v>78000</v>
      </c>
      <c r="M226" s="177"/>
    </row>
    <row r="227" spans="1:13" s="59" customFormat="1" ht="18" hidden="1" customHeight="1">
      <c r="A227" s="60" t="s">
        <v>12</v>
      </c>
      <c r="B227" s="53" t="s">
        <v>550</v>
      </c>
      <c r="C227" s="62" t="s">
        <v>551</v>
      </c>
      <c r="D227" s="55" t="s">
        <v>308</v>
      </c>
      <c r="E227" s="55" t="s">
        <v>38</v>
      </c>
      <c r="F227" s="61">
        <v>0</v>
      </c>
      <c r="G227" s="57">
        <v>70000</v>
      </c>
      <c r="H227" s="57">
        <f>F227*G227</f>
        <v>0</v>
      </c>
      <c r="I227" s="57">
        <v>20000</v>
      </c>
      <c r="J227" s="57">
        <f>F227*I227</f>
        <v>0</v>
      </c>
      <c r="K227" s="57">
        <f>G227+I227</f>
        <v>90000</v>
      </c>
      <c r="L227" s="58">
        <f>F227*K227</f>
        <v>0</v>
      </c>
      <c r="M227" s="177"/>
    </row>
    <row r="228" spans="1:13" s="59" customFormat="1" ht="18" hidden="1" customHeight="1">
      <c r="A228" s="60" t="s">
        <v>44</v>
      </c>
      <c r="B228" s="53" t="s">
        <v>542</v>
      </c>
      <c r="C228" s="62" t="s">
        <v>428</v>
      </c>
      <c r="D228" s="55" t="s">
        <v>520</v>
      </c>
      <c r="E228" s="55" t="s">
        <v>39</v>
      </c>
      <c r="F228" s="173">
        <v>0</v>
      </c>
      <c r="G228" s="28">
        <v>38000</v>
      </c>
      <c r="H228" s="28">
        <f t="shared" ref="H228:H230" si="178">F228*G228</f>
        <v>0</v>
      </c>
      <c r="I228" s="28">
        <v>8000</v>
      </c>
      <c r="J228" s="28">
        <f t="shared" ref="J228:J230" si="179">F228*I228</f>
        <v>0</v>
      </c>
      <c r="K228" s="28">
        <f t="shared" ref="K228" si="180">G228+I228</f>
        <v>46000</v>
      </c>
      <c r="L228" s="29">
        <f t="shared" ref="L228" si="181">F228*K228</f>
        <v>0</v>
      </c>
      <c r="M228" s="177"/>
    </row>
    <row r="229" spans="1:13" s="417" customFormat="1" ht="18" hidden="1" customHeight="1">
      <c r="A229" s="258" t="s">
        <v>44</v>
      </c>
      <c r="B229" s="411" t="s">
        <v>542</v>
      </c>
      <c r="C229" s="412" t="s">
        <v>447</v>
      </c>
      <c r="D229" s="413" t="s">
        <v>520</v>
      </c>
      <c r="E229" s="413" t="s">
        <v>38</v>
      </c>
      <c r="F229" s="414">
        <v>0</v>
      </c>
      <c r="G229" s="415">
        <v>130000</v>
      </c>
      <c r="H229" s="396">
        <f t="shared" si="178"/>
        <v>0</v>
      </c>
      <c r="I229" s="396">
        <v>5000</v>
      </c>
      <c r="J229" s="396">
        <f t="shared" si="179"/>
        <v>0</v>
      </c>
      <c r="K229" s="415">
        <f>G229+I229</f>
        <v>135000</v>
      </c>
      <c r="L229" s="416">
        <f>F229*K229</f>
        <v>0</v>
      </c>
      <c r="M229" s="397"/>
    </row>
    <row r="230" spans="1:13" s="417" customFormat="1" ht="18" hidden="1" customHeight="1">
      <c r="A230" s="410" t="s">
        <v>44</v>
      </c>
      <c r="B230" s="411" t="s">
        <v>542</v>
      </c>
      <c r="C230" s="412" t="s">
        <v>429</v>
      </c>
      <c r="D230" s="413" t="s">
        <v>520</v>
      </c>
      <c r="E230" s="413" t="s">
        <v>38</v>
      </c>
      <c r="F230" s="414">
        <v>0</v>
      </c>
      <c r="G230" s="415">
        <v>0</v>
      </c>
      <c r="H230" s="396">
        <f t="shared" si="178"/>
        <v>0</v>
      </c>
      <c r="I230" s="396">
        <v>0</v>
      </c>
      <c r="J230" s="396">
        <f t="shared" si="179"/>
        <v>0</v>
      </c>
      <c r="K230" s="415">
        <f>G230+I230</f>
        <v>0</v>
      </c>
      <c r="L230" s="416">
        <f>F230*K230</f>
        <v>0</v>
      </c>
      <c r="M230" s="397"/>
    </row>
    <row r="231" spans="1:13" s="59" customFormat="1" ht="18" customHeight="1">
      <c r="A231" s="60" t="s">
        <v>12</v>
      </c>
      <c r="B231" s="53" t="s">
        <v>104</v>
      </c>
      <c r="C231" s="62" t="s">
        <v>270</v>
      </c>
      <c r="D231" s="55" t="s">
        <v>593</v>
      </c>
      <c r="E231" s="55" t="s">
        <v>39</v>
      </c>
      <c r="F231" s="61">
        <f>3.2+3.2+2</f>
        <v>8.4</v>
      </c>
      <c r="G231" s="57">
        <v>24000</v>
      </c>
      <c r="H231" s="57">
        <f t="shared" ref="H231:H232" si="182">F231*G231</f>
        <v>201600</v>
      </c>
      <c r="I231" s="57">
        <v>20000</v>
      </c>
      <c r="J231" s="57">
        <f t="shared" ref="J231:J232" si="183">F231*I231</f>
        <v>168000</v>
      </c>
      <c r="K231" s="57">
        <f t="shared" ref="K231:K232" si="184">G231+I231</f>
        <v>44000</v>
      </c>
      <c r="L231" s="58">
        <f t="shared" ref="L231:L232" si="185">F231*K231</f>
        <v>369600</v>
      </c>
      <c r="M231" s="177"/>
    </row>
    <row r="232" spans="1:13" s="59" customFormat="1" ht="18" customHeight="1">
      <c r="A232" s="60" t="s">
        <v>163</v>
      </c>
      <c r="B232" s="53" t="s">
        <v>104</v>
      </c>
      <c r="C232" s="62" t="s">
        <v>271</v>
      </c>
      <c r="D232" s="55" t="s">
        <v>593</v>
      </c>
      <c r="E232" s="55" t="s">
        <v>38</v>
      </c>
      <c r="F232" s="61">
        <v>2</v>
      </c>
      <c r="G232" s="57">
        <v>18000</v>
      </c>
      <c r="H232" s="57">
        <f t="shared" si="182"/>
        <v>36000</v>
      </c>
      <c r="I232" s="57">
        <v>5000</v>
      </c>
      <c r="J232" s="57">
        <f t="shared" si="183"/>
        <v>10000</v>
      </c>
      <c r="K232" s="57">
        <f t="shared" si="184"/>
        <v>23000</v>
      </c>
      <c r="L232" s="58">
        <f t="shared" si="185"/>
        <v>46000</v>
      </c>
      <c r="M232" s="305"/>
    </row>
    <row r="233" spans="1:13" s="59" customFormat="1" ht="18" customHeight="1">
      <c r="A233" s="60"/>
      <c r="B233" s="53"/>
      <c r="C233" s="62"/>
      <c r="D233" s="55"/>
      <c r="E233" s="55"/>
      <c r="F233" s="61"/>
      <c r="G233" s="57"/>
      <c r="H233" s="57"/>
      <c r="I233" s="57"/>
      <c r="J233" s="57"/>
      <c r="K233" s="57"/>
      <c r="L233" s="58"/>
      <c r="M233" s="305"/>
    </row>
    <row r="234" spans="1:13" s="59" customFormat="1" ht="18" customHeight="1">
      <c r="A234" s="60">
        <v>-1</v>
      </c>
      <c r="B234" s="53" t="s">
        <v>112</v>
      </c>
      <c r="C234" s="62"/>
      <c r="D234" s="55"/>
      <c r="E234" s="55"/>
      <c r="F234" s="61"/>
      <c r="G234" s="57"/>
      <c r="H234" s="57"/>
      <c r="I234" s="57"/>
      <c r="J234" s="57"/>
      <c r="K234" s="57"/>
      <c r="L234" s="58"/>
      <c r="M234" s="305"/>
    </row>
    <row r="235" spans="1:13" s="59" customFormat="1" ht="18" customHeight="1">
      <c r="A235" s="60" t="s">
        <v>12</v>
      </c>
      <c r="B235" s="53" t="s">
        <v>273</v>
      </c>
      <c r="C235" s="62"/>
      <c r="D235" s="55" t="s">
        <v>324</v>
      </c>
      <c r="E235" s="55" t="s">
        <v>38</v>
      </c>
      <c r="F235" s="61">
        <v>4</v>
      </c>
      <c r="G235" s="57">
        <v>5000</v>
      </c>
      <c r="H235" s="57">
        <f>F235*G235</f>
        <v>20000</v>
      </c>
      <c r="I235" s="57">
        <v>8000</v>
      </c>
      <c r="J235" s="57">
        <f>F235*I235</f>
        <v>32000</v>
      </c>
      <c r="K235" s="57">
        <f>G235+I235</f>
        <v>13000</v>
      </c>
      <c r="L235" s="58">
        <f>F235*K235</f>
        <v>52000</v>
      </c>
      <c r="M235" s="177"/>
    </row>
    <row r="236" spans="1:13" s="59" customFormat="1" ht="18" customHeight="1">
      <c r="A236" s="60" t="s">
        <v>12</v>
      </c>
      <c r="B236" s="53" t="s">
        <v>104</v>
      </c>
      <c r="C236" s="62" t="s">
        <v>270</v>
      </c>
      <c r="D236" s="55" t="s">
        <v>324</v>
      </c>
      <c r="E236" s="55" t="s">
        <v>39</v>
      </c>
      <c r="F236" s="61">
        <v>2.9</v>
      </c>
      <c r="G236" s="57">
        <v>24000</v>
      </c>
      <c r="H236" s="57">
        <f t="shared" ref="H236:H237" si="186">F236*G236</f>
        <v>69600</v>
      </c>
      <c r="I236" s="57">
        <v>20000</v>
      </c>
      <c r="J236" s="57">
        <f t="shared" ref="J236:J237" si="187">F236*I236</f>
        <v>58000</v>
      </c>
      <c r="K236" s="57">
        <f t="shared" ref="K236:K237" si="188">G236+I236</f>
        <v>44000</v>
      </c>
      <c r="L236" s="58">
        <f t="shared" ref="L236:L237" si="189">F236*K236</f>
        <v>127600</v>
      </c>
      <c r="M236" s="177"/>
    </row>
    <row r="237" spans="1:13" s="59" customFormat="1" ht="18" customHeight="1">
      <c r="A237" s="60" t="s">
        <v>298</v>
      </c>
      <c r="B237" s="53" t="s">
        <v>104</v>
      </c>
      <c r="C237" s="62" t="s">
        <v>271</v>
      </c>
      <c r="D237" s="55" t="s">
        <v>324</v>
      </c>
      <c r="E237" s="55" t="s">
        <v>167</v>
      </c>
      <c r="F237" s="61">
        <v>2</v>
      </c>
      <c r="G237" s="57">
        <v>18000</v>
      </c>
      <c r="H237" s="57">
        <f t="shared" si="186"/>
        <v>36000</v>
      </c>
      <c r="I237" s="57">
        <v>5000</v>
      </c>
      <c r="J237" s="57">
        <f t="shared" si="187"/>
        <v>10000</v>
      </c>
      <c r="K237" s="57">
        <f t="shared" si="188"/>
        <v>23000</v>
      </c>
      <c r="L237" s="58">
        <f t="shared" si="189"/>
        <v>46000</v>
      </c>
      <c r="M237" s="305"/>
    </row>
    <row r="238" spans="1:13" s="59" customFormat="1" ht="18" customHeight="1">
      <c r="A238" s="60"/>
      <c r="B238" s="53"/>
      <c r="C238" s="62"/>
      <c r="D238" s="55"/>
      <c r="E238" s="55"/>
      <c r="F238" s="61"/>
      <c r="G238" s="57"/>
      <c r="H238" s="57"/>
      <c r="I238" s="57"/>
      <c r="J238" s="57"/>
      <c r="K238" s="57"/>
      <c r="L238" s="58"/>
      <c r="M238" s="305"/>
    </row>
    <row r="239" spans="1:13" s="59" customFormat="1" ht="18" hidden="1" customHeight="1">
      <c r="A239" s="60">
        <v>-1</v>
      </c>
      <c r="B239" s="53" t="s">
        <v>321</v>
      </c>
      <c r="C239" s="62"/>
      <c r="D239" s="55"/>
      <c r="E239" s="55"/>
      <c r="F239" s="61"/>
      <c r="G239" s="57"/>
      <c r="H239" s="57"/>
      <c r="I239" s="57"/>
      <c r="J239" s="57"/>
      <c r="K239" s="57"/>
      <c r="L239" s="58"/>
      <c r="M239" s="305"/>
    </row>
    <row r="240" spans="1:13" ht="18" hidden="1" customHeight="1">
      <c r="A240" s="171" t="s">
        <v>12</v>
      </c>
      <c r="B240" s="11" t="s">
        <v>365</v>
      </c>
      <c r="C240" s="172" t="s">
        <v>371</v>
      </c>
      <c r="D240" s="55" t="s">
        <v>174</v>
      </c>
      <c r="E240" s="55" t="s">
        <v>366</v>
      </c>
      <c r="F240" s="173"/>
      <c r="G240" s="28">
        <v>31000</v>
      </c>
      <c r="H240" s="28">
        <f t="shared" ref="H240" si="190">F240*G240</f>
        <v>0</v>
      </c>
      <c r="I240" s="28">
        <v>10000</v>
      </c>
      <c r="J240" s="28">
        <f t="shared" ref="J240" si="191">F240*I240</f>
        <v>0</v>
      </c>
      <c r="K240" s="28">
        <f t="shared" ref="K240" si="192">G240+I240</f>
        <v>41000</v>
      </c>
      <c r="L240" s="29">
        <f t="shared" ref="L240" si="193">F240*K240</f>
        <v>0</v>
      </c>
      <c r="M240" s="177"/>
    </row>
    <row r="241" spans="1:13" s="59" customFormat="1" ht="18" hidden="1" customHeight="1">
      <c r="A241" s="60" t="s">
        <v>12</v>
      </c>
      <c r="B241" s="53" t="s">
        <v>273</v>
      </c>
      <c r="C241" s="62"/>
      <c r="D241" s="55" t="s">
        <v>174</v>
      </c>
      <c r="E241" s="55" t="s">
        <v>38</v>
      </c>
      <c r="F241" s="61"/>
      <c r="G241" s="57">
        <v>5000</v>
      </c>
      <c r="H241" s="57">
        <f>F241*G241</f>
        <v>0</v>
      </c>
      <c r="I241" s="57">
        <v>8000</v>
      </c>
      <c r="J241" s="57">
        <f>F241*I241</f>
        <v>0</v>
      </c>
      <c r="K241" s="57">
        <f>G241+I241</f>
        <v>13000</v>
      </c>
      <c r="L241" s="58">
        <f>F241*K241</f>
        <v>0</v>
      </c>
      <c r="M241" s="177"/>
    </row>
    <row r="242" spans="1:13" s="59" customFormat="1" ht="18" hidden="1" customHeight="1">
      <c r="A242" s="60" t="s">
        <v>12</v>
      </c>
      <c r="B242" s="53" t="s">
        <v>104</v>
      </c>
      <c r="C242" s="62" t="s">
        <v>270</v>
      </c>
      <c r="D242" s="60" t="s">
        <v>326</v>
      </c>
      <c r="E242" s="55" t="s">
        <v>39</v>
      </c>
      <c r="F242" s="61"/>
      <c r="G242" s="57">
        <v>22000</v>
      </c>
      <c r="H242" s="57">
        <f t="shared" ref="H242:H243" si="194">F242*G242</f>
        <v>0</v>
      </c>
      <c r="I242" s="57">
        <v>20000</v>
      </c>
      <c r="J242" s="57">
        <f t="shared" ref="J242:J243" si="195">F242*I242</f>
        <v>0</v>
      </c>
      <c r="K242" s="57">
        <f t="shared" ref="K242:K243" si="196">G242+I242</f>
        <v>42000</v>
      </c>
      <c r="L242" s="58">
        <f t="shared" ref="L242:L243" si="197">F242*K242</f>
        <v>0</v>
      </c>
      <c r="M242" s="177"/>
    </row>
    <row r="243" spans="1:13" s="59" customFormat="1" ht="18" hidden="1" customHeight="1">
      <c r="A243" s="60" t="s">
        <v>298</v>
      </c>
      <c r="B243" s="53" t="s">
        <v>104</v>
      </c>
      <c r="C243" s="62" t="s">
        <v>271</v>
      </c>
      <c r="D243" s="55" t="s">
        <v>327</v>
      </c>
      <c r="E243" s="55" t="s">
        <v>167</v>
      </c>
      <c r="F243" s="61"/>
      <c r="G243" s="57">
        <v>13500</v>
      </c>
      <c r="H243" s="57">
        <f t="shared" si="194"/>
        <v>0</v>
      </c>
      <c r="I243" s="57">
        <v>5000</v>
      </c>
      <c r="J243" s="57">
        <f t="shared" si="195"/>
        <v>0</v>
      </c>
      <c r="K243" s="57">
        <f t="shared" si="196"/>
        <v>18500</v>
      </c>
      <c r="L243" s="58">
        <f t="shared" si="197"/>
        <v>0</v>
      </c>
      <c r="M243" s="305"/>
    </row>
    <row r="244" spans="1:13" s="372" customFormat="1" ht="18" hidden="1" customHeight="1">
      <c r="A244" s="364" t="s">
        <v>316</v>
      </c>
      <c r="B244" s="365" t="s">
        <v>322</v>
      </c>
      <c r="C244" s="366" t="s">
        <v>323</v>
      </c>
      <c r="D244" s="367" t="s">
        <v>326</v>
      </c>
      <c r="E244" s="367" t="s">
        <v>167</v>
      </c>
      <c r="F244" s="368"/>
      <c r="G244" s="369">
        <v>0</v>
      </c>
      <c r="H244" s="369">
        <f t="shared" ref="H244" si="198">F244*G244</f>
        <v>0</v>
      </c>
      <c r="I244" s="369">
        <v>0</v>
      </c>
      <c r="J244" s="369">
        <f t="shared" ref="J244" si="199">F244*I244</f>
        <v>0</v>
      </c>
      <c r="K244" s="369">
        <f t="shared" ref="K244" si="200">G244+I244</f>
        <v>0</v>
      </c>
      <c r="L244" s="370">
        <f t="shared" ref="L244" si="201">F244*K244</f>
        <v>0</v>
      </c>
      <c r="M244" s="371" t="s">
        <v>376</v>
      </c>
    </row>
    <row r="245" spans="1:13" s="59" customFormat="1" ht="18" hidden="1" customHeight="1">
      <c r="A245" s="60"/>
      <c r="B245" s="53"/>
      <c r="C245" s="62"/>
      <c r="D245" s="55"/>
      <c r="E245" s="55"/>
      <c r="F245" s="61"/>
      <c r="G245" s="57"/>
      <c r="H245" s="57"/>
      <c r="I245" s="57"/>
      <c r="J245" s="57"/>
      <c r="K245" s="57"/>
      <c r="L245" s="58"/>
      <c r="M245" s="305"/>
    </row>
    <row r="246" spans="1:13" s="59" customFormat="1" ht="18" customHeight="1">
      <c r="A246" s="60">
        <v>-1</v>
      </c>
      <c r="B246" s="53" t="s">
        <v>521</v>
      </c>
      <c r="C246" s="62"/>
      <c r="D246" s="55"/>
      <c r="E246" s="55"/>
      <c r="F246" s="61"/>
      <c r="G246" s="57"/>
      <c r="H246" s="57"/>
      <c r="I246" s="57"/>
      <c r="J246" s="57"/>
      <c r="K246" s="57"/>
      <c r="L246" s="58"/>
      <c r="M246" s="305"/>
    </row>
    <row r="247" spans="1:13" s="59" customFormat="1" ht="18" customHeight="1">
      <c r="A247" s="60" t="s">
        <v>12</v>
      </c>
      <c r="B247" s="53" t="s">
        <v>273</v>
      </c>
      <c r="C247" s="62"/>
      <c r="D247" s="55" t="s">
        <v>304</v>
      </c>
      <c r="E247" s="55" t="s">
        <v>38</v>
      </c>
      <c r="F247" s="61">
        <v>10</v>
      </c>
      <c r="G247" s="57">
        <v>5000</v>
      </c>
      <c r="H247" s="57">
        <f>F247*G247</f>
        <v>50000</v>
      </c>
      <c r="I247" s="57">
        <v>8000</v>
      </c>
      <c r="J247" s="57">
        <f>F247*I247</f>
        <v>80000</v>
      </c>
      <c r="K247" s="57">
        <f>G247+I247</f>
        <v>13000</v>
      </c>
      <c r="L247" s="58">
        <f>F247*K247</f>
        <v>130000</v>
      </c>
      <c r="M247" s="177"/>
    </row>
    <row r="248" spans="1:13" s="59" customFormat="1" ht="18" hidden="1" customHeight="1">
      <c r="A248" s="60" t="s">
        <v>163</v>
      </c>
      <c r="B248" s="53" t="s">
        <v>547</v>
      </c>
      <c r="C248" s="62" t="s">
        <v>548</v>
      </c>
      <c r="D248" s="55" t="s">
        <v>238</v>
      </c>
      <c r="E248" s="55" t="s">
        <v>38</v>
      </c>
      <c r="F248" s="61">
        <v>0</v>
      </c>
      <c r="G248" s="57">
        <v>32000</v>
      </c>
      <c r="H248" s="57">
        <f>F248*G248</f>
        <v>0</v>
      </c>
      <c r="I248" s="57">
        <v>5000</v>
      </c>
      <c r="J248" s="57">
        <f>F248*I248</f>
        <v>0</v>
      </c>
      <c r="K248" s="57">
        <f>G248+I248</f>
        <v>37000</v>
      </c>
      <c r="L248" s="58">
        <f>F248*K248</f>
        <v>0</v>
      </c>
      <c r="M248" s="249"/>
    </row>
    <row r="249" spans="1:13" s="323" customFormat="1" ht="18" hidden="1" customHeight="1">
      <c r="A249" s="60" t="s">
        <v>44</v>
      </c>
      <c r="B249" s="53" t="s">
        <v>547</v>
      </c>
      <c r="C249" s="317" t="s">
        <v>245</v>
      </c>
      <c r="D249" s="318" t="s">
        <v>238</v>
      </c>
      <c r="E249" s="318" t="s">
        <v>38</v>
      </c>
      <c r="F249" s="319">
        <v>0</v>
      </c>
      <c r="G249" s="320">
        <v>22600</v>
      </c>
      <c r="H249" s="320">
        <f>F249*G249</f>
        <v>0</v>
      </c>
      <c r="I249" s="320">
        <v>5000</v>
      </c>
      <c r="J249" s="320">
        <f>F249*I249</f>
        <v>0</v>
      </c>
      <c r="K249" s="320">
        <f>G249+I249</f>
        <v>27600</v>
      </c>
      <c r="L249" s="321">
        <f>F249*K249</f>
        <v>0</v>
      </c>
      <c r="M249" s="376"/>
    </row>
    <row r="250" spans="1:13" s="59" customFormat="1" ht="18" hidden="1" customHeight="1">
      <c r="A250" s="60" t="s">
        <v>44</v>
      </c>
      <c r="B250" s="53" t="s">
        <v>547</v>
      </c>
      <c r="C250" s="62" t="s">
        <v>421</v>
      </c>
      <c r="D250" s="55" t="s">
        <v>238</v>
      </c>
      <c r="E250" s="55" t="s">
        <v>38</v>
      </c>
      <c r="F250" s="61">
        <v>0</v>
      </c>
      <c r="G250" s="57">
        <v>28500</v>
      </c>
      <c r="H250" s="57">
        <f t="shared" ref="H250" si="202">F250*G250</f>
        <v>0</v>
      </c>
      <c r="I250" s="57">
        <v>5000</v>
      </c>
      <c r="J250" s="57">
        <f t="shared" ref="J250" si="203">F250*I250</f>
        <v>0</v>
      </c>
      <c r="K250" s="57">
        <f t="shared" ref="K250" si="204">G250+I250</f>
        <v>33500</v>
      </c>
      <c r="L250" s="58">
        <f t="shared" ref="L250" si="205">F250*K250</f>
        <v>0</v>
      </c>
      <c r="M250" s="249"/>
    </row>
    <row r="251" spans="1:13" s="59" customFormat="1" ht="18" customHeight="1">
      <c r="A251" s="60" t="s">
        <v>12</v>
      </c>
      <c r="B251" s="53" t="s">
        <v>104</v>
      </c>
      <c r="C251" s="62" t="s">
        <v>270</v>
      </c>
      <c r="D251" s="55" t="s">
        <v>304</v>
      </c>
      <c r="E251" s="55" t="s">
        <v>39</v>
      </c>
      <c r="F251" s="61">
        <v>4.2</v>
      </c>
      <c r="G251" s="57">
        <v>24000</v>
      </c>
      <c r="H251" s="57">
        <f t="shared" ref="H251:H253" si="206">F251*G251</f>
        <v>100800</v>
      </c>
      <c r="I251" s="57">
        <v>20000</v>
      </c>
      <c r="J251" s="57">
        <f t="shared" ref="J251:J253" si="207">F251*I251</f>
        <v>84000</v>
      </c>
      <c r="K251" s="57">
        <f t="shared" ref="K251:K253" si="208">G251+I251</f>
        <v>44000</v>
      </c>
      <c r="L251" s="58">
        <f t="shared" ref="L251:L253" si="209">F251*K251</f>
        <v>184800</v>
      </c>
      <c r="M251" s="177"/>
    </row>
    <row r="252" spans="1:13" s="59" customFormat="1" ht="18" customHeight="1">
      <c r="A252" s="60" t="s">
        <v>44</v>
      </c>
      <c r="B252" s="53" t="s">
        <v>104</v>
      </c>
      <c r="C252" s="62" t="s">
        <v>271</v>
      </c>
      <c r="D252" s="55" t="s">
        <v>304</v>
      </c>
      <c r="E252" s="55" t="s">
        <v>38</v>
      </c>
      <c r="F252" s="61">
        <v>1</v>
      </c>
      <c r="G252" s="57">
        <v>18000</v>
      </c>
      <c r="H252" s="57">
        <f t="shared" si="206"/>
        <v>18000</v>
      </c>
      <c r="I252" s="57">
        <v>5000</v>
      </c>
      <c r="J252" s="57">
        <f t="shared" si="207"/>
        <v>5000</v>
      </c>
      <c r="K252" s="57">
        <f t="shared" si="208"/>
        <v>23000</v>
      </c>
      <c r="L252" s="58">
        <f t="shared" si="209"/>
        <v>23000</v>
      </c>
      <c r="M252" s="305"/>
    </row>
    <row r="253" spans="1:13" s="59" customFormat="1" ht="18" customHeight="1">
      <c r="A253" s="60" t="s">
        <v>12</v>
      </c>
      <c r="B253" s="53" t="s">
        <v>105</v>
      </c>
      <c r="C253" s="62" t="s">
        <v>194</v>
      </c>
      <c r="D253" s="55" t="s">
        <v>549</v>
      </c>
      <c r="E253" s="55" t="s">
        <v>38</v>
      </c>
      <c r="F253" s="61">
        <v>2</v>
      </c>
      <c r="G253" s="57">
        <v>15000</v>
      </c>
      <c r="H253" s="57">
        <f t="shared" si="206"/>
        <v>30000</v>
      </c>
      <c r="I253" s="57">
        <v>10000</v>
      </c>
      <c r="J253" s="57">
        <f t="shared" si="207"/>
        <v>20000</v>
      </c>
      <c r="K253" s="57">
        <f t="shared" si="208"/>
        <v>25000</v>
      </c>
      <c r="L253" s="58">
        <f t="shared" si="209"/>
        <v>50000</v>
      </c>
      <c r="M253" s="177"/>
    </row>
    <row r="254" spans="1:13" s="59" customFormat="1" ht="18" customHeight="1">
      <c r="A254" s="60"/>
      <c r="B254" s="53"/>
      <c r="C254" s="62"/>
      <c r="D254" s="55"/>
      <c r="E254" s="55"/>
      <c r="F254" s="61"/>
      <c r="G254" s="57"/>
      <c r="H254" s="57"/>
      <c r="I254" s="57"/>
      <c r="J254" s="57"/>
      <c r="K254" s="57"/>
      <c r="L254" s="58"/>
      <c r="M254" s="305"/>
    </row>
    <row r="255" spans="1:13" s="59" customFormat="1" ht="18" hidden="1" customHeight="1">
      <c r="A255" s="60">
        <v>-1</v>
      </c>
      <c r="B255" s="53" t="s">
        <v>329</v>
      </c>
      <c r="C255" s="62"/>
      <c r="D255" s="55"/>
      <c r="E255" s="55"/>
      <c r="F255" s="61"/>
      <c r="G255" s="57"/>
      <c r="H255" s="57"/>
      <c r="I255" s="57"/>
      <c r="J255" s="57"/>
      <c r="K255" s="57"/>
      <c r="L255" s="58"/>
      <c r="M255" s="305"/>
    </row>
    <row r="256" spans="1:13" ht="18" hidden="1" customHeight="1">
      <c r="A256" s="171" t="s">
        <v>12</v>
      </c>
      <c r="B256" s="11" t="s">
        <v>365</v>
      </c>
      <c r="C256" s="172" t="s">
        <v>367</v>
      </c>
      <c r="D256" s="171" t="s">
        <v>368</v>
      </c>
      <c r="E256" s="55" t="s">
        <v>366</v>
      </c>
      <c r="F256" s="173"/>
      <c r="G256" s="28">
        <v>92700</v>
      </c>
      <c r="H256" s="28">
        <f t="shared" ref="H256" si="210">F256*G256</f>
        <v>0</v>
      </c>
      <c r="I256" s="28">
        <v>10000</v>
      </c>
      <c r="J256" s="28">
        <f t="shared" ref="J256" si="211">F256*I256</f>
        <v>0</v>
      </c>
      <c r="K256" s="28">
        <f t="shared" ref="K256" si="212">G256+I256</f>
        <v>102700</v>
      </c>
      <c r="L256" s="29">
        <f t="shared" ref="L256" si="213">F256*K256</f>
        <v>0</v>
      </c>
      <c r="M256" s="177"/>
    </row>
    <row r="257" spans="1:14" s="275" customFormat="1" ht="18" hidden="1" customHeight="1">
      <c r="A257" s="356" t="s">
        <v>12</v>
      </c>
      <c r="B257" s="357" t="s">
        <v>365</v>
      </c>
      <c r="C257" s="358" t="s">
        <v>369</v>
      </c>
      <c r="D257" s="356" t="s">
        <v>370</v>
      </c>
      <c r="E257" s="359" t="s">
        <v>366</v>
      </c>
      <c r="F257" s="360"/>
      <c r="G257" s="361">
        <v>31000</v>
      </c>
      <c r="H257" s="361">
        <f t="shared" ref="H257" si="214">F257*G257</f>
        <v>0</v>
      </c>
      <c r="I257" s="361">
        <v>10000</v>
      </c>
      <c r="J257" s="361">
        <f t="shared" ref="J257" si="215">F257*I257</f>
        <v>0</v>
      </c>
      <c r="K257" s="361">
        <f t="shared" ref="K257" si="216">G257+I257</f>
        <v>41000</v>
      </c>
      <c r="L257" s="362">
        <f t="shared" ref="L257" si="217">F257*K257</f>
        <v>0</v>
      </c>
      <c r="M257" s="363"/>
    </row>
    <row r="258" spans="1:14" s="59" customFormat="1" ht="18" hidden="1" customHeight="1">
      <c r="A258" s="60" t="s">
        <v>12</v>
      </c>
      <c r="B258" s="53" t="s">
        <v>273</v>
      </c>
      <c r="C258" s="62"/>
      <c r="D258" s="55" t="s">
        <v>174</v>
      </c>
      <c r="E258" s="55" t="s">
        <v>38</v>
      </c>
      <c r="F258" s="61"/>
      <c r="G258" s="57">
        <v>5000</v>
      </c>
      <c r="H258" s="57">
        <f>F258*G258</f>
        <v>0</v>
      </c>
      <c r="I258" s="57">
        <v>8000</v>
      </c>
      <c r="J258" s="57">
        <f>F258*I258</f>
        <v>0</v>
      </c>
      <c r="K258" s="57">
        <f>G258+I258</f>
        <v>13000</v>
      </c>
      <c r="L258" s="58">
        <f>F258*K258</f>
        <v>0</v>
      </c>
      <c r="M258" s="177"/>
    </row>
    <row r="259" spans="1:14" s="59" customFormat="1" ht="18" hidden="1" customHeight="1">
      <c r="A259" s="60"/>
      <c r="B259" s="53"/>
      <c r="C259" s="62"/>
      <c r="D259" s="55"/>
      <c r="E259" s="55"/>
      <c r="F259" s="61"/>
      <c r="G259" s="57"/>
      <c r="H259" s="57"/>
      <c r="I259" s="57"/>
      <c r="J259" s="57"/>
      <c r="K259" s="57"/>
      <c r="L259" s="58"/>
      <c r="M259" s="305"/>
    </row>
    <row r="260" spans="1:14" s="59" customFormat="1" ht="18" customHeight="1">
      <c r="A260" s="60">
        <v>-1</v>
      </c>
      <c r="B260" s="53" t="s">
        <v>330</v>
      </c>
      <c r="C260" s="62"/>
      <c r="D260" s="55"/>
      <c r="E260" s="55"/>
      <c r="F260" s="61"/>
      <c r="G260" s="57"/>
      <c r="H260" s="57"/>
      <c r="I260" s="57"/>
      <c r="J260" s="57"/>
      <c r="K260" s="57"/>
      <c r="L260" s="58"/>
      <c r="M260" s="305"/>
    </row>
    <row r="261" spans="1:14" s="59" customFormat="1" ht="18" customHeight="1">
      <c r="A261" s="60" t="s">
        <v>12</v>
      </c>
      <c r="B261" s="53" t="s">
        <v>106</v>
      </c>
      <c r="C261" s="62" t="s">
        <v>498</v>
      </c>
      <c r="D261" s="55" t="s">
        <v>443</v>
      </c>
      <c r="E261" s="55" t="s">
        <v>39</v>
      </c>
      <c r="F261" s="61">
        <v>144</v>
      </c>
      <c r="G261" s="57">
        <v>10000</v>
      </c>
      <c r="H261" s="57">
        <f t="shared" ref="H261:H268" si="218">F261*G261</f>
        <v>1440000</v>
      </c>
      <c r="I261" s="57">
        <v>12000</v>
      </c>
      <c r="J261" s="57">
        <f>F261*I261</f>
        <v>1728000</v>
      </c>
      <c r="K261" s="57">
        <f t="shared" ref="K261:K265" si="219">G261+I261</f>
        <v>22000</v>
      </c>
      <c r="L261" s="58">
        <f t="shared" ref="L261:L265" si="220">F261*K261</f>
        <v>3168000</v>
      </c>
      <c r="M261" s="176"/>
      <c r="N261" s="59" t="s">
        <v>497</v>
      </c>
    </row>
    <row r="262" spans="1:14" s="59" customFormat="1" ht="18" customHeight="1">
      <c r="A262" s="60" t="s">
        <v>12</v>
      </c>
      <c r="B262" s="53" t="s">
        <v>160</v>
      </c>
      <c r="C262" s="62" t="s">
        <v>277</v>
      </c>
      <c r="D262" s="55" t="s">
        <v>444</v>
      </c>
      <c r="E262" s="55" t="s">
        <v>75</v>
      </c>
      <c r="F262" s="61">
        <v>1</v>
      </c>
      <c r="G262" s="57">
        <v>680000</v>
      </c>
      <c r="H262" s="57">
        <f t="shared" si="218"/>
        <v>680000</v>
      </c>
      <c r="I262" s="57">
        <v>350000</v>
      </c>
      <c r="J262" s="57">
        <f t="shared" ref="J262:J263" si="221">F262*I262</f>
        <v>350000</v>
      </c>
      <c r="K262" s="57">
        <f t="shared" si="219"/>
        <v>1030000</v>
      </c>
      <c r="L262" s="58">
        <f t="shared" si="220"/>
        <v>1030000</v>
      </c>
      <c r="M262" s="305"/>
    </row>
    <row r="263" spans="1:14" s="59" customFormat="1" ht="18" customHeight="1">
      <c r="A263" s="60" t="s">
        <v>12</v>
      </c>
      <c r="B263" s="53" t="s">
        <v>195</v>
      </c>
      <c r="C263" s="62" t="s">
        <v>196</v>
      </c>
      <c r="D263" s="55" t="s">
        <v>440</v>
      </c>
      <c r="E263" s="55" t="s">
        <v>75</v>
      </c>
      <c r="F263" s="61">
        <v>1</v>
      </c>
      <c r="G263" s="57">
        <v>100000</v>
      </c>
      <c r="H263" s="57">
        <f t="shared" si="218"/>
        <v>100000</v>
      </c>
      <c r="I263" s="57">
        <v>50000</v>
      </c>
      <c r="J263" s="57">
        <f t="shared" si="221"/>
        <v>50000</v>
      </c>
      <c r="K263" s="57">
        <f t="shared" si="219"/>
        <v>150000</v>
      </c>
      <c r="L263" s="58">
        <f t="shared" si="220"/>
        <v>150000</v>
      </c>
      <c r="M263" s="176"/>
    </row>
    <row r="264" spans="1:14" s="275" customFormat="1" ht="18" hidden="1" customHeight="1">
      <c r="A264" s="356" t="s">
        <v>44</v>
      </c>
      <c r="B264" s="357" t="s">
        <v>255</v>
      </c>
      <c r="C264" s="358" t="s">
        <v>254</v>
      </c>
      <c r="D264" s="359"/>
      <c r="E264" s="359" t="s">
        <v>38</v>
      </c>
      <c r="F264" s="360">
        <v>0</v>
      </c>
      <c r="G264" s="361">
        <v>0</v>
      </c>
      <c r="H264" s="361">
        <f t="shared" ref="H264" si="222">F264*G264</f>
        <v>0</v>
      </c>
      <c r="I264" s="361">
        <v>30000</v>
      </c>
      <c r="J264" s="361">
        <f>F264*I264</f>
        <v>0</v>
      </c>
      <c r="K264" s="361">
        <f t="shared" ref="K264" si="223">G264+I264</f>
        <v>30000</v>
      </c>
      <c r="L264" s="362">
        <f t="shared" ref="L264" si="224">F264*K264</f>
        <v>0</v>
      </c>
      <c r="M264" s="363"/>
    </row>
    <row r="265" spans="1:14" s="337" customFormat="1" ht="18" hidden="1" customHeight="1">
      <c r="A265" s="260" t="s">
        <v>163</v>
      </c>
      <c r="B265" s="330" t="s">
        <v>255</v>
      </c>
      <c r="C265" s="342" t="s">
        <v>254</v>
      </c>
      <c r="D265" s="332"/>
      <c r="E265" s="332" t="s">
        <v>38</v>
      </c>
      <c r="F265" s="341">
        <v>0</v>
      </c>
      <c r="G265" s="334">
        <v>0</v>
      </c>
      <c r="H265" s="334">
        <f t="shared" si="218"/>
        <v>0</v>
      </c>
      <c r="I265" s="334">
        <v>0</v>
      </c>
      <c r="J265" s="334">
        <f>F265*I265</f>
        <v>0</v>
      </c>
      <c r="K265" s="334">
        <f t="shared" si="219"/>
        <v>0</v>
      </c>
      <c r="L265" s="335">
        <f t="shared" si="220"/>
        <v>0</v>
      </c>
      <c r="M265" s="306" t="s">
        <v>207</v>
      </c>
    </row>
    <row r="266" spans="1:14" s="59" customFormat="1" ht="18" customHeight="1">
      <c r="A266" s="60"/>
      <c r="B266" s="53"/>
      <c r="C266" s="62"/>
      <c r="D266" s="55"/>
      <c r="E266" s="55"/>
      <c r="F266" s="61"/>
      <c r="G266" s="57"/>
      <c r="H266" s="57"/>
      <c r="I266" s="57"/>
      <c r="J266" s="57"/>
      <c r="K266" s="57"/>
      <c r="L266" s="58"/>
      <c r="M266" s="305"/>
    </row>
    <row r="267" spans="1:14" s="297" customFormat="1" ht="18" customHeight="1">
      <c r="A267" s="258" t="s">
        <v>316</v>
      </c>
      <c r="B267" s="290" t="s">
        <v>426</v>
      </c>
      <c r="C267" s="291"/>
      <c r="D267" s="292" t="s">
        <v>445</v>
      </c>
      <c r="E267" s="292" t="s">
        <v>338</v>
      </c>
      <c r="F267" s="293">
        <v>1</v>
      </c>
      <c r="G267" s="294">
        <v>250000</v>
      </c>
      <c r="H267" s="262">
        <f t="shared" si="218"/>
        <v>250000</v>
      </c>
      <c r="I267" s="271">
        <v>350000</v>
      </c>
      <c r="J267" s="262">
        <f>F267*I267</f>
        <v>350000</v>
      </c>
      <c r="K267" s="262">
        <f t="shared" ref="K267" si="225">G267+I267</f>
        <v>600000</v>
      </c>
      <c r="L267" s="263">
        <f t="shared" ref="L267" si="226">F267*K267</f>
        <v>600000</v>
      </c>
      <c r="M267" s="326"/>
    </row>
    <row r="268" spans="1:14" s="297" customFormat="1" ht="18" customHeight="1">
      <c r="A268" s="258" t="s">
        <v>306</v>
      </c>
      <c r="B268" s="290" t="s">
        <v>353</v>
      </c>
      <c r="C268" s="291" t="s">
        <v>425</v>
      </c>
      <c r="D268" s="292" t="s">
        <v>422</v>
      </c>
      <c r="E268" s="292" t="s">
        <v>338</v>
      </c>
      <c r="F268" s="293">
        <v>1</v>
      </c>
      <c r="G268" s="294">
        <v>300000</v>
      </c>
      <c r="H268" s="262">
        <f t="shared" si="218"/>
        <v>300000</v>
      </c>
      <c r="I268" s="294">
        <v>0</v>
      </c>
      <c r="J268" s="262">
        <f>F268*I268</f>
        <v>0</v>
      </c>
      <c r="K268" s="262">
        <f t="shared" ref="K268" si="227">G268+I268</f>
        <v>300000</v>
      </c>
      <c r="L268" s="263">
        <f t="shared" ref="L268" si="228">F268*K268</f>
        <v>300000</v>
      </c>
      <c r="M268" s="326"/>
    </row>
    <row r="269" spans="1:14" s="59" customFormat="1" ht="18" customHeight="1">
      <c r="A269" s="236"/>
      <c r="B269" s="255"/>
      <c r="C269" s="54"/>
      <c r="D269" s="55"/>
      <c r="E269" s="55"/>
      <c r="F269" s="56"/>
      <c r="G269" s="57"/>
      <c r="H269" s="57"/>
      <c r="I269" s="57"/>
      <c r="J269" s="57"/>
      <c r="K269" s="57"/>
      <c r="L269" s="58"/>
      <c r="M269" s="176"/>
    </row>
    <row r="270" spans="1:14" s="241" customFormat="1" ht="18" customHeight="1">
      <c r="A270" s="236"/>
      <c r="B270" s="236" t="s">
        <v>13</v>
      </c>
      <c r="C270" s="237"/>
      <c r="D270" s="238"/>
      <c r="E270" s="238"/>
      <c r="F270" s="239"/>
      <c r="G270" s="240"/>
      <c r="H270" s="240">
        <f>SUM(H188:H268)</f>
        <v>5891100</v>
      </c>
      <c r="I270" s="240"/>
      <c r="J270" s="240">
        <f>SUM(J188:J268)</f>
        <v>4069000</v>
      </c>
      <c r="K270" s="240"/>
      <c r="L270" s="240">
        <f>SUM(L188:L268)</f>
        <v>9960100</v>
      </c>
      <c r="M270" s="176"/>
    </row>
    <row r="271" spans="1:14" ht="18" customHeight="1">
      <c r="A271" s="13"/>
      <c r="B271" s="14"/>
      <c r="C271" s="12"/>
      <c r="D271" s="5"/>
      <c r="E271" s="5"/>
      <c r="F271" s="50"/>
      <c r="G271" s="28"/>
      <c r="H271" s="28"/>
      <c r="I271" s="28"/>
      <c r="J271" s="28"/>
      <c r="K271" s="28"/>
      <c r="L271" s="29"/>
      <c r="M271" s="177"/>
    </row>
    <row r="272" spans="1:14" s="20" customFormat="1" ht="18" customHeight="1">
      <c r="A272" s="44" t="s">
        <v>32</v>
      </c>
      <c r="B272" s="45" t="s">
        <v>111</v>
      </c>
      <c r="C272" s="46"/>
      <c r="D272" s="16"/>
      <c r="E272" s="16"/>
      <c r="F272" s="51"/>
      <c r="G272" s="48"/>
      <c r="H272" s="48"/>
      <c r="I272" s="48"/>
      <c r="J272" s="48"/>
      <c r="K272" s="48"/>
      <c r="L272" s="49"/>
      <c r="M272" s="177"/>
    </row>
    <row r="273" spans="1:17" s="59" customFormat="1" ht="18" customHeight="1">
      <c r="A273" s="52">
        <v>-1</v>
      </c>
      <c r="B273" s="53" t="s">
        <v>165</v>
      </c>
      <c r="C273" s="54"/>
      <c r="D273" s="55"/>
      <c r="E273" s="55"/>
      <c r="F273" s="56"/>
      <c r="G273" s="57"/>
      <c r="H273" s="57"/>
      <c r="I273" s="57"/>
      <c r="J273" s="57"/>
      <c r="K273" s="57"/>
      <c r="L273" s="58"/>
      <c r="M273" s="177"/>
    </row>
    <row r="274" spans="1:17" s="59" customFormat="1" ht="18" customHeight="1">
      <c r="A274" s="60" t="s">
        <v>12</v>
      </c>
      <c r="B274" s="53" t="s">
        <v>147</v>
      </c>
      <c r="C274" s="54"/>
      <c r="D274" s="55" t="s">
        <v>468</v>
      </c>
      <c r="E274" s="55" t="s">
        <v>42</v>
      </c>
      <c r="F274" s="61">
        <v>2</v>
      </c>
      <c r="G274" s="57">
        <v>300000</v>
      </c>
      <c r="H274" s="57">
        <f>F274*G274</f>
        <v>600000</v>
      </c>
      <c r="I274" s="57">
        <v>100000</v>
      </c>
      <c r="J274" s="57">
        <f>F274*I274</f>
        <v>200000</v>
      </c>
      <c r="K274" s="57">
        <f>G274+I274</f>
        <v>400000</v>
      </c>
      <c r="L274" s="58">
        <f t="shared" ref="L274:L313" si="229">F274*K274</f>
        <v>800000</v>
      </c>
      <c r="M274" s="300"/>
    </row>
    <row r="275" spans="1:17" s="59" customFormat="1" ht="18" hidden="1" customHeight="1">
      <c r="A275" s="60" t="s">
        <v>319</v>
      </c>
      <c r="B275" s="53" t="s">
        <v>320</v>
      </c>
      <c r="C275" s="54"/>
      <c r="D275" s="298" t="s">
        <v>113</v>
      </c>
      <c r="E275" s="55" t="s">
        <v>41</v>
      </c>
      <c r="F275" s="61"/>
      <c r="G275" s="57">
        <v>40000</v>
      </c>
      <c r="H275" s="57">
        <f>F275*G275</f>
        <v>0</v>
      </c>
      <c r="I275" s="57">
        <v>5000</v>
      </c>
      <c r="J275" s="57">
        <f>F275*I275</f>
        <v>0</v>
      </c>
      <c r="K275" s="57">
        <f>G275+I275</f>
        <v>45000</v>
      </c>
      <c r="L275" s="58">
        <f t="shared" ref="L275" si="230">F275*K275</f>
        <v>0</v>
      </c>
      <c r="M275" s="300"/>
    </row>
    <row r="276" spans="1:17" s="59" customFormat="1" ht="18" hidden="1" customHeight="1">
      <c r="A276" s="60" t="s">
        <v>163</v>
      </c>
      <c r="B276" s="53" t="s">
        <v>320</v>
      </c>
      <c r="C276" s="54"/>
      <c r="D276" s="55" t="s">
        <v>112</v>
      </c>
      <c r="E276" s="55" t="s">
        <v>516</v>
      </c>
      <c r="F276" s="61"/>
      <c r="G276" s="57">
        <v>40000</v>
      </c>
      <c r="H276" s="57">
        <f>F276*G276</f>
        <v>0</v>
      </c>
      <c r="I276" s="57">
        <v>5000</v>
      </c>
      <c r="J276" s="57">
        <f>F276*I276</f>
        <v>0</v>
      </c>
      <c r="K276" s="57">
        <f>G276+I276</f>
        <v>45000</v>
      </c>
      <c r="L276" s="58">
        <f t="shared" ref="L276" si="231">F276*K276</f>
        <v>0</v>
      </c>
      <c r="M276" s="300"/>
      <c r="N276" s="59">
        <v>35000</v>
      </c>
      <c r="O276" s="59">
        <v>6.13</v>
      </c>
      <c r="Q276" s="59">
        <f>O276*N276</f>
        <v>214550</v>
      </c>
    </row>
    <row r="277" spans="1:17" s="482" customFormat="1" ht="18" customHeight="1">
      <c r="A277" s="475" t="s">
        <v>12</v>
      </c>
      <c r="B277" s="476" t="s">
        <v>108</v>
      </c>
      <c r="C277" s="477" t="s">
        <v>605</v>
      </c>
      <c r="D277" s="475" t="s">
        <v>252</v>
      </c>
      <c r="E277" s="478" t="s">
        <v>38</v>
      </c>
      <c r="F277" s="479">
        <v>2</v>
      </c>
      <c r="G277" s="480">
        <v>330000</v>
      </c>
      <c r="H277" s="361">
        <f>F277*G277</f>
        <v>660000</v>
      </c>
      <c r="I277" s="480">
        <v>30000</v>
      </c>
      <c r="J277" s="361">
        <f>F277*I277</f>
        <v>60000</v>
      </c>
      <c r="K277" s="361">
        <f>G277+I277</f>
        <v>360000</v>
      </c>
      <c r="L277" s="362">
        <f t="shared" si="229"/>
        <v>720000</v>
      </c>
      <c r="M277" s="481"/>
    </row>
    <row r="278" spans="1:17" s="59" customFormat="1" ht="18" customHeight="1">
      <c r="A278" s="52"/>
      <c r="B278" s="53"/>
      <c r="C278" s="54"/>
      <c r="D278" s="55"/>
      <c r="E278" s="55"/>
      <c r="F278" s="301"/>
      <c r="G278" s="57"/>
      <c r="H278" s="57"/>
      <c r="I278" s="57"/>
      <c r="J278" s="57"/>
      <c r="K278" s="57"/>
      <c r="L278" s="58"/>
      <c r="M278" s="176"/>
    </row>
    <row r="279" spans="1:17" s="59" customFormat="1" ht="18" customHeight="1">
      <c r="A279" s="52">
        <v>-1</v>
      </c>
      <c r="B279" s="53" t="s">
        <v>107</v>
      </c>
      <c r="C279" s="54"/>
      <c r="D279" s="55"/>
      <c r="E279" s="55"/>
      <c r="F279" s="56"/>
      <c r="G279" s="57"/>
      <c r="H279" s="57"/>
      <c r="I279" s="57"/>
      <c r="J279" s="57"/>
      <c r="K279" s="57"/>
      <c r="L279" s="58"/>
      <c r="M279" s="176"/>
    </row>
    <row r="280" spans="1:17" s="59" customFormat="1" ht="18" customHeight="1">
      <c r="A280" s="60" t="s">
        <v>163</v>
      </c>
      <c r="B280" s="53" t="s">
        <v>341</v>
      </c>
      <c r="C280" s="54" t="s">
        <v>342</v>
      </c>
      <c r="D280" s="55" t="s">
        <v>112</v>
      </c>
      <c r="E280" s="55" t="s">
        <v>38</v>
      </c>
      <c r="F280" s="61">
        <v>2</v>
      </c>
      <c r="G280" s="57">
        <v>150000</v>
      </c>
      <c r="H280" s="57">
        <f t="shared" ref="H280:H285" si="232">F280*G280</f>
        <v>300000</v>
      </c>
      <c r="I280" s="57">
        <v>200000</v>
      </c>
      <c r="J280" s="57">
        <f t="shared" ref="J280:J285" si="233">F280*I280</f>
        <v>400000</v>
      </c>
      <c r="K280" s="57">
        <f t="shared" ref="K280:K283" si="234">G280+I280</f>
        <v>350000</v>
      </c>
      <c r="L280" s="58">
        <f t="shared" ref="L280:L283" si="235">F280*K280</f>
        <v>700000</v>
      </c>
      <c r="M280" s="176"/>
    </row>
    <row r="281" spans="1:17" s="59" customFormat="1" ht="18" hidden="1" customHeight="1">
      <c r="A281" s="60" t="s">
        <v>163</v>
      </c>
      <c r="B281" s="53" t="s">
        <v>341</v>
      </c>
      <c r="C281" s="54" t="s">
        <v>342</v>
      </c>
      <c r="D281" s="55" t="s">
        <v>113</v>
      </c>
      <c r="E281" s="55" t="s">
        <v>38</v>
      </c>
      <c r="F281" s="61"/>
      <c r="G281" s="57">
        <v>250000</v>
      </c>
      <c r="H281" s="57">
        <f t="shared" si="232"/>
        <v>0</v>
      </c>
      <c r="I281" s="57">
        <v>200000</v>
      </c>
      <c r="J281" s="57">
        <f t="shared" si="233"/>
        <v>0</v>
      </c>
      <c r="K281" s="57">
        <f t="shared" si="234"/>
        <v>450000</v>
      </c>
      <c r="L281" s="58">
        <f t="shared" si="235"/>
        <v>0</v>
      </c>
      <c r="M281" s="176"/>
    </row>
    <row r="282" spans="1:17" s="323" customFormat="1" ht="18" hidden="1" customHeight="1">
      <c r="A282" s="60" t="s">
        <v>163</v>
      </c>
      <c r="B282" s="316" t="s">
        <v>331</v>
      </c>
      <c r="C282" s="377" t="s">
        <v>469</v>
      </c>
      <c r="D282" s="318" t="s">
        <v>430</v>
      </c>
      <c r="E282" s="318" t="s">
        <v>38</v>
      </c>
      <c r="F282" s="319"/>
      <c r="G282" s="320">
        <v>250000</v>
      </c>
      <c r="H282" s="320">
        <f t="shared" ref="H282:H283" si="236">F282*G282</f>
        <v>0</v>
      </c>
      <c r="I282" s="320">
        <v>50000</v>
      </c>
      <c r="J282" s="320">
        <f t="shared" ref="J282:J283" si="237">F282*I282</f>
        <v>0</v>
      </c>
      <c r="K282" s="320">
        <f t="shared" si="234"/>
        <v>300000</v>
      </c>
      <c r="L282" s="321">
        <f t="shared" si="235"/>
        <v>0</v>
      </c>
      <c r="M282" s="322"/>
    </row>
    <row r="283" spans="1:17" s="323" customFormat="1" ht="18" customHeight="1">
      <c r="A283" s="60" t="s">
        <v>163</v>
      </c>
      <c r="B283" s="316" t="s">
        <v>604</v>
      </c>
      <c r="C283" s="377"/>
      <c r="D283" s="318" t="s">
        <v>432</v>
      </c>
      <c r="E283" s="318" t="s">
        <v>38</v>
      </c>
      <c r="F283" s="319">
        <v>2</v>
      </c>
      <c r="G283" s="320">
        <v>230000</v>
      </c>
      <c r="H283" s="320">
        <f t="shared" si="236"/>
        <v>460000</v>
      </c>
      <c r="I283" s="320">
        <v>80000</v>
      </c>
      <c r="J283" s="320">
        <f t="shared" si="237"/>
        <v>160000</v>
      </c>
      <c r="K283" s="320">
        <f t="shared" si="234"/>
        <v>310000</v>
      </c>
      <c r="L283" s="321">
        <f t="shared" si="235"/>
        <v>620000</v>
      </c>
      <c r="M283" s="322"/>
    </row>
    <row r="284" spans="1:17" s="297" customFormat="1" ht="18" hidden="1" customHeight="1">
      <c r="A284" s="258" t="s">
        <v>306</v>
      </c>
      <c r="B284" s="290" t="s">
        <v>331</v>
      </c>
      <c r="C284" s="328" t="s">
        <v>364</v>
      </c>
      <c r="D284" s="292" t="s">
        <v>112</v>
      </c>
      <c r="E284" s="292" t="s">
        <v>38</v>
      </c>
      <c r="F284" s="293"/>
      <c r="G284" s="294">
        <v>180000</v>
      </c>
      <c r="H284" s="294">
        <f t="shared" si="232"/>
        <v>0</v>
      </c>
      <c r="I284" s="294">
        <v>50000</v>
      </c>
      <c r="J284" s="294">
        <f t="shared" si="233"/>
        <v>0</v>
      </c>
      <c r="K284" s="294">
        <f t="shared" ref="K284:K289" si="238">G284+I284</f>
        <v>230000</v>
      </c>
      <c r="L284" s="295">
        <f t="shared" ref="L284:L287" si="239">F284*K284</f>
        <v>0</v>
      </c>
      <c r="M284" s="296"/>
    </row>
    <row r="285" spans="1:17" s="297" customFormat="1" ht="18" hidden="1" customHeight="1">
      <c r="A285" s="258" t="s">
        <v>298</v>
      </c>
      <c r="B285" s="290" t="s">
        <v>110</v>
      </c>
      <c r="C285" s="328" t="s">
        <v>363</v>
      </c>
      <c r="D285" s="292" t="s">
        <v>332</v>
      </c>
      <c r="E285" s="292" t="s">
        <v>38</v>
      </c>
      <c r="F285" s="293"/>
      <c r="G285" s="294">
        <v>150000</v>
      </c>
      <c r="H285" s="294">
        <f t="shared" si="232"/>
        <v>0</v>
      </c>
      <c r="I285" s="294">
        <v>50000</v>
      </c>
      <c r="J285" s="294">
        <f t="shared" si="233"/>
        <v>0</v>
      </c>
      <c r="K285" s="294">
        <f t="shared" si="238"/>
        <v>200000</v>
      </c>
      <c r="L285" s="295">
        <f t="shared" ref="L285" si="240">F285*K285</f>
        <v>0</v>
      </c>
      <c r="M285" s="296"/>
    </row>
    <row r="286" spans="1:17" s="59" customFormat="1" ht="18" hidden="1" customHeight="1">
      <c r="A286" s="60" t="s">
        <v>12</v>
      </c>
      <c r="B286" s="53" t="s">
        <v>109</v>
      </c>
      <c r="C286" s="54" t="s">
        <v>219</v>
      </c>
      <c r="D286" s="55" t="s">
        <v>218</v>
      </c>
      <c r="E286" s="55" t="s">
        <v>38</v>
      </c>
      <c r="F286" s="61"/>
      <c r="G286" s="57">
        <v>450000</v>
      </c>
      <c r="H286" s="57">
        <f t="shared" ref="H286:H287" si="241">F286*G286</f>
        <v>0</v>
      </c>
      <c r="I286" s="57">
        <v>50000</v>
      </c>
      <c r="J286" s="57">
        <f t="shared" ref="J286:J287" si="242">F286*I286</f>
        <v>0</v>
      </c>
      <c r="K286" s="57">
        <f t="shared" si="238"/>
        <v>500000</v>
      </c>
      <c r="L286" s="58">
        <f t="shared" si="239"/>
        <v>0</v>
      </c>
      <c r="M286" s="176"/>
    </row>
    <row r="287" spans="1:17" s="59" customFormat="1" ht="18" customHeight="1">
      <c r="A287" s="60" t="s">
        <v>12</v>
      </c>
      <c r="B287" s="53" t="s">
        <v>109</v>
      </c>
      <c r="C287" s="54" t="s">
        <v>603</v>
      </c>
      <c r="D287" s="55" t="s">
        <v>431</v>
      </c>
      <c r="E287" s="55" t="s">
        <v>38</v>
      </c>
      <c r="F287" s="61">
        <v>2</v>
      </c>
      <c r="G287" s="57">
        <v>1350000</v>
      </c>
      <c r="H287" s="57">
        <f t="shared" si="241"/>
        <v>2700000</v>
      </c>
      <c r="I287" s="57">
        <v>50000</v>
      </c>
      <c r="J287" s="57">
        <f t="shared" si="242"/>
        <v>100000</v>
      </c>
      <c r="K287" s="57">
        <f t="shared" ref="K287" si="243">G287+I287</f>
        <v>1400000</v>
      </c>
      <c r="L287" s="58">
        <f t="shared" si="239"/>
        <v>2800000</v>
      </c>
      <c r="M287" s="176"/>
    </row>
    <row r="288" spans="1:17" s="59" customFormat="1" ht="18" hidden="1" customHeight="1">
      <c r="A288" s="60" t="s">
        <v>12</v>
      </c>
      <c r="B288" s="53" t="s">
        <v>109</v>
      </c>
      <c r="C288" s="54" t="s">
        <v>178</v>
      </c>
      <c r="D288" s="55" t="s">
        <v>431</v>
      </c>
      <c r="E288" s="55" t="s">
        <v>38</v>
      </c>
      <c r="F288" s="61"/>
      <c r="G288" s="57">
        <v>272000</v>
      </c>
      <c r="H288" s="57">
        <f t="shared" ref="H288:H313" si="244">F288*G288</f>
        <v>0</v>
      </c>
      <c r="I288" s="57">
        <v>50000</v>
      </c>
      <c r="J288" s="57">
        <f t="shared" ref="J288:J313" si="245">F288*I288</f>
        <v>0</v>
      </c>
      <c r="K288" s="57">
        <f t="shared" si="238"/>
        <v>322000</v>
      </c>
      <c r="L288" s="58">
        <f t="shared" si="229"/>
        <v>0</v>
      </c>
      <c r="M288" s="176"/>
    </row>
    <row r="289" spans="1:13" s="59" customFormat="1" ht="18" customHeight="1">
      <c r="A289" s="60" t="s">
        <v>262</v>
      </c>
      <c r="B289" s="53" t="s">
        <v>285</v>
      </c>
      <c r="C289" s="54" t="s">
        <v>606</v>
      </c>
      <c r="D289" s="55" t="s">
        <v>478</v>
      </c>
      <c r="E289" s="55" t="s">
        <v>38</v>
      </c>
      <c r="F289" s="61">
        <v>1</v>
      </c>
      <c r="G289" s="57">
        <v>798000</v>
      </c>
      <c r="H289" s="57">
        <f t="shared" si="244"/>
        <v>798000</v>
      </c>
      <c r="I289" s="57">
        <v>50000</v>
      </c>
      <c r="J289" s="57">
        <f t="shared" si="245"/>
        <v>50000</v>
      </c>
      <c r="K289" s="57">
        <f t="shared" si="238"/>
        <v>848000</v>
      </c>
      <c r="L289" s="58">
        <f t="shared" si="229"/>
        <v>848000</v>
      </c>
      <c r="M289" s="176"/>
    </row>
    <row r="290" spans="1:13" s="59" customFormat="1" ht="18" hidden="1" customHeight="1">
      <c r="A290" s="60" t="s">
        <v>44</v>
      </c>
      <c r="B290" s="53" t="s">
        <v>285</v>
      </c>
      <c r="C290" s="54" t="s">
        <v>515</v>
      </c>
      <c r="D290" s="55" t="s">
        <v>113</v>
      </c>
      <c r="E290" s="55" t="s">
        <v>38</v>
      </c>
      <c r="F290" s="61"/>
      <c r="G290" s="57">
        <v>530000</v>
      </c>
      <c r="H290" s="57">
        <f t="shared" ref="H290" si="246">F290*G290</f>
        <v>0</v>
      </c>
      <c r="I290" s="57">
        <v>50000</v>
      </c>
      <c r="J290" s="57">
        <f t="shared" ref="J290" si="247">F290*I290</f>
        <v>0</v>
      </c>
      <c r="K290" s="57">
        <f t="shared" ref="K290" si="248">G290+I290</f>
        <v>580000</v>
      </c>
      <c r="L290" s="58">
        <f t="shared" ref="L290" si="249">F290*K290</f>
        <v>0</v>
      </c>
      <c r="M290" s="176"/>
    </row>
    <row r="291" spans="1:13" s="59" customFormat="1" ht="18" customHeight="1">
      <c r="A291" s="60"/>
      <c r="B291" s="53"/>
      <c r="C291" s="62"/>
      <c r="D291" s="55"/>
      <c r="E291" s="55"/>
      <c r="F291" s="61"/>
      <c r="G291" s="57"/>
      <c r="H291" s="57"/>
      <c r="I291" s="57"/>
      <c r="J291" s="57"/>
      <c r="K291" s="57"/>
      <c r="L291" s="58"/>
      <c r="M291" s="176"/>
    </row>
    <row r="292" spans="1:13" s="59" customFormat="1" ht="18" customHeight="1">
      <c r="A292" s="52">
        <v>-1</v>
      </c>
      <c r="B292" s="53" t="s">
        <v>100</v>
      </c>
      <c r="C292" s="54"/>
      <c r="D292" s="55"/>
      <c r="E292" s="55"/>
      <c r="F292" s="56"/>
      <c r="G292" s="57"/>
      <c r="H292" s="57"/>
      <c r="I292" s="57"/>
      <c r="J292" s="57"/>
      <c r="K292" s="57"/>
      <c r="L292" s="58"/>
      <c r="M292" s="176"/>
    </row>
    <row r="293" spans="1:13" s="323" customFormat="1" ht="18" customHeight="1">
      <c r="A293" s="52" t="s">
        <v>220</v>
      </c>
      <c r="B293" s="316" t="s">
        <v>115</v>
      </c>
      <c r="C293" s="377" t="s">
        <v>607</v>
      </c>
      <c r="D293" s="318" t="s">
        <v>113</v>
      </c>
      <c r="E293" s="318" t="s">
        <v>42</v>
      </c>
      <c r="F293" s="338">
        <v>1</v>
      </c>
      <c r="G293" s="320">
        <v>163000</v>
      </c>
      <c r="H293" s="320">
        <f t="shared" si="244"/>
        <v>163000</v>
      </c>
      <c r="I293" s="320">
        <v>150000</v>
      </c>
      <c r="J293" s="320">
        <f t="shared" ref="J293" si="250">F293*I293</f>
        <v>150000</v>
      </c>
      <c r="K293" s="320">
        <f t="shared" ref="K293:K300" si="251">G293+I293</f>
        <v>313000</v>
      </c>
      <c r="L293" s="321">
        <f t="shared" ref="L293" si="252">F293*K293</f>
        <v>313000</v>
      </c>
      <c r="M293" s="322"/>
    </row>
    <row r="294" spans="1:13" s="323" customFormat="1" ht="18" hidden="1" customHeight="1">
      <c r="A294" s="52" t="s">
        <v>44</v>
      </c>
      <c r="B294" s="316" t="s">
        <v>359</v>
      </c>
      <c r="C294" s="377" t="s">
        <v>358</v>
      </c>
      <c r="D294" s="318" t="s">
        <v>113</v>
      </c>
      <c r="E294" s="318" t="s">
        <v>42</v>
      </c>
      <c r="F294" s="338"/>
      <c r="G294" s="320">
        <v>11000</v>
      </c>
      <c r="H294" s="320">
        <f t="shared" ref="H294" si="253">F294*G294</f>
        <v>0</v>
      </c>
      <c r="I294" s="320">
        <v>30000</v>
      </c>
      <c r="J294" s="320">
        <f t="shared" ref="J294" si="254">F294*I294</f>
        <v>0</v>
      </c>
      <c r="K294" s="320">
        <f t="shared" ref="K294" si="255">G294+I294</f>
        <v>41000</v>
      </c>
      <c r="L294" s="321">
        <f t="shared" ref="L294" si="256">F294*K294</f>
        <v>0</v>
      </c>
      <c r="M294" s="322"/>
    </row>
    <row r="295" spans="1:13" s="323" customFormat="1" ht="18" customHeight="1">
      <c r="A295" s="52" t="s">
        <v>220</v>
      </c>
      <c r="B295" s="316" t="s">
        <v>116</v>
      </c>
      <c r="C295" s="377" t="s">
        <v>435</v>
      </c>
      <c r="D295" s="318" t="s">
        <v>113</v>
      </c>
      <c r="E295" s="318" t="s">
        <v>42</v>
      </c>
      <c r="F295" s="338">
        <v>1</v>
      </c>
      <c r="G295" s="320">
        <v>250000</v>
      </c>
      <c r="H295" s="320">
        <f t="shared" ref="H295" si="257">F295*G295</f>
        <v>250000</v>
      </c>
      <c r="I295" s="320">
        <v>50000</v>
      </c>
      <c r="J295" s="320">
        <f t="shared" ref="J295" si="258">F295*I295</f>
        <v>50000</v>
      </c>
      <c r="K295" s="320">
        <f>G295+I295</f>
        <v>300000</v>
      </c>
      <c r="L295" s="321">
        <f t="shared" ref="L295" si="259">F295*K295</f>
        <v>300000</v>
      </c>
      <c r="M295" s="322"/>
    </row>
    <row r="296" spans="1:13" s="323" customFormat="1" ht="18" hidden="1" customHeight="1">
      <c r="A296" s="52" t="s">
        <v>44</v>
      </c>
      <c r="B296" s="316" t="s">
        <v>512</v>
      </c>
      <c r="C296" s="377" t="s">
        <v>534</v>
      </c>
      <c r="D296" s="318" t="s">
        <v>113</v>
      </c>
      <c r="E296" s="318" t="s">
        <v>42</v>
      </c>
      <c r="F296" s="338"/>
      <c r="G296" s="320">
        <v>237000</v>
      </c>
      <c r="H296" s="320">
        <f t="shared" ref="H296" si="260">F296*G296</f>
        <v>0</v>
      </c>
      <c r="I296" s="320">
        <v>50000</v>
      </c>
      <c r="J296" s="320">
        <f t="shared" ref="J296" si="261">F296*I296</f>
        <v>0</v>
      </c>
      <c r="K296" s="320">
        <f>G296+I296</f>
        <v>287000</v>
      </c>
      <c r="L296" s="321">
        <f t="shared" ref="L296" si="262">F296*K296</f>
        <v>0</v>
      </c>
      <c r="M296" s="322"/>
    </row>
    <row r="297" spans="1:13" s="59" customFormat="1" ht="18" customHeight="1">
      <c r="A297" s="60" t="s">
        <v>12</v>
      </c>
      <c r="B297" s="53" t="s">
        <v>115</v>
      </c>
      <c r="C297" s="62" t="s">
        <v>514</v>
      </c>
      <c r="D297" s="55" t="s">
        <v>112</v>
      </c>
      <c r="E297" s="55" t="s">
        <v>42</v>
      </c>
      <c r="F297" s="56">
        <v>1</v>
      </c>
      <c r="G297" s="57">
        <v>170000</v>
      </c>
      <c r="H297" s="57">
        <f>F297*G297</f>
        <v>170000</v>
      </c>
      <c r="I297" s="57">
        <v>150000</v>
      </c>
      <c r="J297" s="57">
        <f>F297*I297</f>
        <v>150000</v>
      </c>
      <c r="K297" s="57">
        <f t="shared" si="251"/>
        <v>320000</v>
      </c>
      <c r="L297" s="58">
        <f>F297*K297</f>
        <v>320000</v>
      </c>
      <c r="M297" s="176"/>
    </row>
    <row r="298" spans="1:13" s="297" customFormat="1" ht="18" hidden="1" customHeight="1">
      <c r="A298" s="327" t="s">
        <v>221</v>
      </c>
      <c r="B298" s="290" t="s">
        <v>359</v>
      </c>
      <c r="C298" s="328" t="s">
        <v>358</v>
      </c>
      <c r="D298" s="292" t="s">
        <v>112</v>
      </c>
      <c r="E298" s="292" t="s">
        <v>42</v>
      </c>
      <c r="F298" s="329"/>
      <c r="G298" s="294">
        <v>0</v>
      </c>
      <c r="H298" s="294">
        <f t="shared" ref="H298" si="263">F298*G298</f>
        <v>0</v>
      </c>
      <c r="I298" s="294">
        <v>0</v>
      </c>
      <c r="J298" s="294">
        <f t="shared" ref="J298" si="264">F298*I298</f>
        <v>0</v>
      </c>
      <c r="K298" s="294">
        <f t="shared" si="251"/>
        <v>0</v>
      </c>
      <c r="L298" s="295">
        <f t="shared" ref="L298" si="265">F298*K298</f>
        <v>0</v>
      </c>
      <c r="M298" s="343"/>
    </row>
    <row r="299" spans="1:13" s="323" customFormat="1" ht="18" hidden="1" customHeight="1">
      <c r="A299" s="52" t="s">
        <v>44</v>
      </c>
      <c r="B299" s="316" t="s">
        <v>116</v>
      </c>
      <c r="C299" s="377" t="s">
        <v>435</v>
      </c>
      <c r="D299" s="318" t="s">
        <v>112</v>
      </c>
      <c r="E299" s="318" t="s">
        <v>42</v>
      </c>
      <c r="F299" s="338"/>
      <c r="G299" s="320">
        <v>250000</v>
      </c>
      <c r="H299" s="320">
        <f t="shared" ref="H299" si="266">F299*G299</f>
        <v>0</v>
      </c>
      <c r="I299" s="320">
        <v>50000</v>
      </c>
      <c r="J299" s="320">
        <f t="shared" ref="J299" si="267">F299*I299</f>
        <v>0</v>
      </c>
      <c r="K299" s="320">
        <f t="shared" ref="K299" si="268">G299+I299</f>
        <v>300000</v>
      </c>
      <c r="L299" s="321">
        <f t="shared" ref="L299" si="269">F299*K299</f>
        <v>0</v>
      </c>
      <c r="M299" s="376"/>
    </row>
    <row r="300" spans="1:13" s="59" customFormat="1" ht="18" hidden="1" customHeight="1">
      <c r="A300" s="60" t="s">
        <v>12</v>
      </c>
      <c r="B300" s="53" t="s">
        <v>230</v>
      </c>
      <c r="C300" s="62" t="s">
        <v>232</v>
      </c>
      <c r="D300" s="55" t="s">
        <v>231</v>
      </c>
      <c r="E300" s="55" t="s">
        <v>42</v>
      </c>
      <c r="F300" s="338"/>
      <c r="G300" s="57">
        <v>0</v>
      </c>
      <c r="H300" s="57">
        <f t="shared" ref="H300:H301" si="270">F300*G300</f>
        <v>0</v>
      </c>
      <c r="I300" s="57">
        <v>0</v>
      </c>
      <c r="J300" s="57">
        <f t="shared" ref="J300:J301" si="271">F300*I300</f>
        <v>0</v>
      </c>
      <c r="K300" s="57">
        <f t="shared" si="251"/>
        <v>0</v>
      </c>
      <c r="L300" s="58">
        <f t="shared" ref="L300:L301" si="272">F300*K300</f>
        <v>0</v>
      </c>
      <c r="M300" s="306"/>
    </row>
    <row r="301" spans="1:13" s="323" customFormat="1" ht="18" customHeight="1">
      <c r="A301" s="52" t="s">
        <v>44</v>
      </c>
      <c r="B301" s="316" t="s">
        <v>513</v>
      </c>
      <c r="C301" s="377" t="s">
        <v>534</v>
      </c>
      <c r="D301" s="318" t="s">
        <v>112</v>
      </c>
      <c r="E301" s="318" t="s">
        <v>42</v>
      </c>
      <c r="F301" s="338">
        <v>1</v>
      </c>
      <c r="G301" s="320">
        <v>237000</v>
      </c>
      <c r="H301" s="320">
        <f t="shared" si="270"/>
        <v>237000</v>
      </c>
      <c r="I301" s="320">
        <v>50000</v>
      </c>
      <c r="J301" s="320">
        <f t="shared" si="271"/>
        <v>50000</v>
      </c>
      <c r="K301" s="320">
        <f>G301+I301</f>
        <v>287000</v>
      </c>
      <c r="L301" s="321">
        <f t="shared" si="272"/>
        <v>287000</v>
      </c>
      <c r="M301" s="322"/>
    </row>
    <row r="302" spans="1:13" s="59" customFormat="1" ht="18" customHeight="1">
      <c r="A302" s="60"/>
      <c r="B302" s="53"/>
      <c r="C302" s="62"/>
      <c r="D302" s="55"/>
      <c r="E302" s="55"/>
      <c r="F302" s="61"/>
      <c r="G302" s="57"/>
      <c r="H302" s="57"/>
      <c r="I302" s="57"/>
      <c r="J302" s="57"/>
      <c r="K302" s="57"/>
      <c r="L302" s="58"/>
      <c r="M302" s="177"/>
    </row>
    <row r="303" spans="1:13" s="59" customFormat="1" ht="18" customHeight="1">
      <c r="A303" s="52">
        <v>-1</v>
      </c>
      <c r="B303" s="53" t="s">
        <v>120</v>
      </c>
      <c r="C303" s="54"/>
      <c r="D303" s="55"/>
      <c r="E303" s="55"/>
      <c r="F303" s="56"/>
      <c r="G303" s="57"/>
      <c r="H303" s="57"/>
      <c r="I303" s="57"/>
      <c r="J303" s="57"/>
      <c r="K303" s="57"/>
      <c r="L303" s="58"/>
      <c r="M303" s="177"/>
    </row>
    <row r="304" spans="1:13" s="59" customFormat="1" ht="18" customHeight="1">
      <c r="A304" s="60" t="s">
        <v>12</v>
      </c>
      <c r="B304" s="53" t="s">
        <v>210</v>
      </c>
      <c r="C304" s="54" t="s">
        <v>523</v>
      </c>
      <c r="D304" s="55" t="s">
        <v>113</v>
      </c>
      <c r="E304" s="55" t="s">
        <v>42</v>
      </c>
      <c r="F304" s="61">
        <v>1</v>
      </c>
      <c r="G304" s="57">
        <v>150000</v>
      </c>
      <c r="H304" s="57">
        <f t="shared" si="244"/>
        <v>150000</v>
      </c>
      <c r="I304" s="57">
        <v>250000</v>
      </c>
      <c r="J304" s="57">
        <f t="shared" si="245"/>
        <v>250000</v>
      </c>
      <c r="K304" s="57">
        <f t="shared" ref="K304" si="273">G304+I304</f>
        <v>400000</v>
      </c>
      <c r="L304" s="58">
        <f t="shared" si="229"/>
        <v>400000</v>
      </c>
      <c r="M304" s="177"/>
    </row>
    <row r="305" spans="1:13" s="59" customFormat="1" ht="18" hidden="1" customHeight="1">
      <c r="A305" s="60" t="s">
        <v>44</v>
      </c>
      <c r="B305" s="53" t="s">
        <v>433</v>
      </c>
      <c r="C305" s="54" t="s">
        <v>434</v>
      </c>
      <c r="D305" s="55" t="s">
        <v>113</v>
      </c>
      <c r="E305" s="55" t="s">
        <v>42</v>
      </c>
      <c r="F305" s="61"/>
      <c r="G305" s="57">
        <v>270000</v>
      </c>
      <c r="H305" s="57">
        <f>F305*G305</f>
        <v>0</v>
      </c>
      <c r="I305" s="57">
        <v>50000</v>
      </c>
      <c r="J305" s="320">
        <f t="shared" ref="J305:J307" si="274">F305*I305</f>
        <v>0</v>
      </c>
      <c r="K305" s="57">
        <f>G305+I305</f>
        <v>320000</v>
      </c>
      <c r="L305" s="58">
        <f>F305*K305</f>
        <v>0</v>
      </c>
      <c r="M305" s="176"/>
    </row>
    <row r="306" spans="1:13" s="59" customFormat="1" ht="18" hidden="1" customHeight="1">
      <c r="A306" s="60" t="s">
        <v>44</v>
      </c>
      <c r="B306" s="53" t="s">
        <v>335</v>
      </c>
      <c r="C306" s="54" t="s">
        <v>336</v>
      </c>
      <c r="D306" s="55" t="s">
        <v>112</v>
      </c>
      <c r="E306" s="55" t="s">
        <v>42</v>
      </c>
      <c r="F306" s="61"/>
      <c r="G306" s="57">
        <v>70000</v>
      </c>
      <c r="H306" s="57">
        <f>F306*G306</f>
        <v>0</v>
      </c>
      <c r="I306" s="57">
        <v>30000</v>
      </c>
      <c r="J306" s="320">
        <f t="shared" si="274"/>
        <v>0</v>
      </c>
      <c r="K306" s="57">
        <f>G306+I306</f>
        <v>100000</v>
      </c>
      <c r="L306" s="58">
        <f>F306*K306</f>
        <v>0</v>
      </c>
      <c r="M306" s="176"/>
    </row>
    <row r="307" spans="1:13" s="323" customFormat="1" ht="18" customHeight="1">
      <c r="A307" s="60" t="s">
        <v>12</v>
      </c>
      <c r="B307" s="316" t="s">
        <v>117</v>
      </c>
      <c r="C307" s="291" t="s">
        <v>436</v>
      </c>
      <c r="D307" s="318" t="s">
        <v>113</v>
      </c>
      <c r="E307" s="318" t="s">
        <v>42</v>
      </c>
      <c r="F307" s="319">
        <v>1</v>
      </c>
      <c r="G307" s="320">
        <v>54000</v>
      </c>
      <c r="H307" s="320">
        <f t="shared" ref="H307" si="275">F307*G307</f>
        <v>54000</v>
      </c>
      <c r="I307" s="320">
        <v>50000</v>
      </c>
      <c r="J307" s="320">
        <f t="shared" si="274"/>
        <v>50000</v>
      </c>
      <c r="K307" s="320">
        <f t="shared" ref="K307" si="276">G307+I307</f>
        <v>104000</v>
      </c>
      <c r="L307" s="321">
        <f t="shared" ref="L307" si="277">F307*K307</f>
        <v>104000</v>
      </c>
      <c r="M307" s="313"/>
    </row>
    <row r="308" spans="1:13" s="323" customFormat="1" ht="18" customHeight="1">
      <c r="A308" s="60" t="s">
        <v>12</v>
      </c>
      <c r="B308" s="316" t="s">
        <v>118</v>
      </c>
      <c r="C308" s="437" t="s">
        <v>437</v>
      </c>
      <c r="D308" s="318" t="s">
        <v>113</v>
      </c>
      <c r="E308" s="318" t="s">
        <v>42</v>
      </c>
      <c r="F308" s="319">
        <v>1</v>
      </c>
      <c r="G308" s="320">
        <v>54000</v>
      </c>
      <c r="H308" s="320">
        <f t="shared" ref="H308" si="278">F308*G308</f>
        <v>54000</v>
      </c>
      <c r="I308" s="320">
        <v>50000</v>
      </c>
      <c r="J308" s="320">
        <f t="shared" ref="J308" si="279">F308*I308</f>
        <v>50000</v>
      </c>
      <c r="K308" s="320">
        <f t="shared" ref="K308" si="280">G308+I308</f>
        <v>104000</v>
      </c>
      <c r="L308" s="321">
        <f t="shared" ref="L308" si="281">F308*K308</f>
        <v>104000</v>
      </c>
      <c r="M308" s="313"/>
    </row>
    <row r="309" spans="1:13" s="59" customFormat="1" ht="18" customHeight="1">
      <c r="A309" s="60" t="s">
        <v>12</v>
      </c>
      <c r="B309" s="53" t="s">
        <v>148</v>
      </c>
      <c r="C309" s="54" t="s">
        <v>151</v>
      </c>
      <c r="D309" s="55" t="s">
        <v>113</v>
      </c>
      <c r="E309" s="55" t="s">
        <v>75</v>
      </c>
      <c r="F309" s="61">
        <v>1</v>
      </c>
      <c r="G309" s="57">
        <v>32000</v>
      </c>
      <c r="H309" s="57">
        <f t="shared" si="244"/>
        <v>32000</v>
      </c>
      <c r="I309" s="57">
        <v>10000</v>
      </c>
      <c r="J309" s="57">
        <f t="shared" si="245"/>
        <v>10000</v>
      </c>
      <c r="K309" s="57">
        <f>G309+I309</f>
        <v>42000</v>
      </c>
      <c r="L309" s="58">
        <f t="shared" si="229"/>
        <v>42000</v>
      </c>
      <c r="M309" s="177"/>
    </row>
    <row r="310" spans="1:13" s="59" customFormat="1" ht="18" customHeight="1">
      <c r="A310" s="60" t="s">
        <v>182</v>
      </c>
      <c r="B310" s="53" t="s">
        <v>183</v>
      </c>
      <c r="C310" s="54" t="s">
        <v>222</v>
      </c>
      <c r="D310" s="55" t="s">
        <v>113</v>
      </c>
      <c r="E310" s="55" t="s">
        <v>184</v>
      </c>
      <c r="F310" s="61">
        <v>1</v>
      </c>
      <c r="G310" s="57">
        <v>250000</v>
      </c>
      <c r="H310" s="57">
        <f>F310*G310</f>
        <v>250000</v>
      </c>
      <c r="I310" s="57">
        <v>100000</v>
      </c>
      <c r="J310" s="57">
        <f>F310*I310</f>
        <v>100000</v>
      </c>
      <c r="K310" s="57">
        <f>G310+I310</f>
        <v>350000</v>
      </c>
      <c r="L310" s="58">
        <f>F310*K310</f>
        <v>350000</v>
      </c>
      <c r="M310" s="177"/>
    </row>
    <row r="311" spans="1:13" s="59" customFormat="1" ht="18" customHeight="1">
      <c r="A311" s="60"/>
      <c r="B311" s="53"/>
      <c r="C311" s="62"/>
      <c r="D311" s="55"/>
      <c r="E311" s="55"/>
      <c r="F311" s="61"/>
      <c r="G311" s="57"/>
      <c r="H311" s="57"/>
      <c r="I311" s="57"/>
      <c r="J311" s="57"/>
      <c r="K311" s="57"/>
      <c r="L311" s="58"/>
      <c r="M311" s="177"/>
    </row>
    <row r="312" spans="1:13" s="59" customFormat="1" ht="18" customHeight="1">
      <c r="A312" s="52">
        <v>-1</v>
      </c>
      <c r="B312" s="53" t="s">
        <v>119</v>
      </c>
      <c r="C312" s="54"/>
      <c r="D312" s="55"/>
      <c r="E312" s="55"/>
      <c r="F312" s="56"/>
      <c r="G312" s="57"/>
      <c r="H312" s="57"/>
      <c r="I312" s="57"/>
      <c r="J312" s="57"/>
      <c r="K312" s="57"/>
      <c r="L312" s="58"/>
      <c r="M312" s="177"/>
    </row>
    <row r="313" spans="1:13" s="323" customFormat="1" ht="18" customHeight="1">
      <c r="A313" s="60" t="s">
        <v>12</v>
      </c>
      <c r="B313" s="316" t="s">
        <v>210</v>
      </c>
      <c r="C313" s="377" t="s">
        <v>522</v>
      </c>
      <c r="D313" s="318" t="s">
        <v>112</v>
      </c>
      <c r="E313" s="318" t="s">
        <v>42</v>
      </c>
      <c r="F313" s="319">
        <v>1</v>
      </c>
      <c r="G313" s="320">
        <v>150000</v>
      </c>
      <c r="H313" s="320">
        <f t="shared" si="244"/>
        <v>150000</v>
      </c>
      <c r="I313" s="320">
        <v>250000</v>
      </c>
      <c r="J313" s="320">
        <f t="shared" si="245"/>
        <v>250000</v>
      </c>
      <c r="K313" s="320">
        <f t="shared" ref="K313" si="282">G313+I313</f>
        <v>400000</v>
      </c>
      <c r="L313" s="321">
        <f t="shared" si="229"/>
        <v>400000</v>
      </c>
      <c r="M313" s="313"/>
    </row>
    <row r="314" spans="1:13" s="59" customFormat="1" ht="18" customHeight="1">
      <c r="A314" s="60" t="s">
        <v>44</v>
      </c>
      <c r="B314" s="53" t="s">
        <v>433</v>
      </c>
      <c r="C314" s="54" t="s">
        <v>434</v>
      </c>
      <c r="D314" s="55" t="s">
        <v>112</v>
      </c>
      <c r="E314" s="55" t="s">
        <v>42</v>
      </c>
      <c r="F314" s="61">
        <v>1</v>
      </c>
      <c r="G314" s="57">
        <v>280000</v>
      </c>
      <c r="H314" s="57">
        <f>F314*G314</f>
        <v>280000</v>
      </c>
      <c r="I314" s="57">
        <v>50000</v>
      </c>
      <c r="J314" s="320">
        <f t="shared" ref="J314:J317" si="283">F314*I314</f>
        <v>50000</v>
      </c>
      <c r="K314" s="57">
        <f>G314+I314</f>
        <v>330000</v>
      </c>
      <c r="L314" s="58">
        <f>F314*K314</f>
        <v>330000</v>
      </c>
      <c r="M314" s="176"/>
    </row>
    <row r="315" spans="1:13" s="314" customFormat="1" ht="18" customHeight="1">
      <c r="A315" s="171" t="s">
        <v>12</v>
      </c>
      <c r="B315" s="307" t="s">
        <v>117</v>
      </c>
      <c r="C315" s="291" t="s">
        <v>436</v>
      </c>
      <c r="D315" s="309" t="s">
        <v>251</v>
      </c>
      <c r="E315" s="309" t="s">
        <v>42</v>
      </c>
      <c r="F315" s="378">
        <v>1</v>
      </c>
      <c r="G315" s="320">
        <v>54000</v>
      </c>
      <c r="H315" s="311">
        <f t="shared" ref="H315:H317" si="284">F315*G315</f>
        <v>54000</v>
      </c>
      <c r="I315" s="311">
        <v>50000</v>
      </c>
      <c r="J315" s="311">
        <f t="shared" si="283"/>
        <v>50000</v>
      </c>
      <c r="K315" s="311">
        <f t="shared" ref="K315:K317" si="285">G315+I315</f>
        <v>104000</v>
      </c>
      <c r="L315" s="312">
        <f t="shared" ref="L315:L317" si="286">F315*K315</f>
        <v>104000</v>
      </c>
      <c r="M315" s="313"/>
    </row>
    <row r="316" spans="1:13" s="314" customFormat="1" ht="18" hidden="1" customHeight="1">
      <c r="A316" s="171" t="s">
        <v>360</v>
      </c>
      <c r="B316" s="307" t="s">
        <v>361</v>
      </c>
      <c r="C316" s="437" t="s">
        <v>362</v>
      </c>
      <c r="D316" s="309" t="s">
        <v>112</v>
      </c>
      <c r="E316" s="309" t="s">
        <v>42</v>
      </c>
      <c r="F316" s="378"/>
      <c r="G316" s="311">
        <v>33000</v>
      </c>
      <c r="H316" s="311">
        <f t="shared" si="284"/>
        <v>0</v>
      </c>
      <c r="I316" s="311">
        <v>10000</v>
      </c>
      <c r="J316" s="311">
        <f t="shared" si="283"/>
        <v>0</v>
      </c>
      <c r="K316" s="311">
        <f t="shared" ref="K316" si="287">G316+I316</f>
        <v>43000</v>
      </c>
      <c r="L316" s="312">
        <f t="shared" ref="L316" si="288">F316*K316</f>
        <v>0</v>
      </c>
      <c r="M316" s="313"/>
    </row>
    <row r="317" spans="1:13" s="314" customFormat="1" ht="18" customHeight="1">
      <c r="A317" s="171" t="s">
        <v>12</v>
      </c>
      <c r="B317" s="307" t="s">
        <v>118</v>
      </c>
      <c r="C317" s="437" t="s">
        <v>437</v>
      </c>
      <c r="D317" s="309" t="s">
        <v>251</v>
      </c>
      <c r="E317" s="309" t="s">
        <v>42</v>
      </c>
      <c r="F317" s="378">
        <v>1</v>
      </c>
      <c r="G317" s="311">
        <v>54000</v>
      </c>
      <c r="H317" s="311">
        <f t="shared" si="284"/>
        <v>54000</v>
      </c>
      <c r="I317" s="311">
        <v>50000</v>
      </c>
      <c r="J317" s="311">
        <f t="shared" si="283"/>
        <v>50000</v>
      </c>
      <c r="K317" s="311">
        <f t="shared" si="285"/>
        <v>104000</v>
      </c>
      <c r="L317" s="312">
        <f t="shared" si="286"/>
        <v>104000</v>
      </c>
      <c r="M317" s="313"/>
    </row>
    <row r="318" spans="1:13" s="59" customFormat="1" ht="18" customHeight="1">
      <c r="A318" s="60" t="s">
        <v>12</v>
      </c>
      <c r="B318" s="53" t="s">
        <v>148</v>
      </c>
      <c r="C318" s="54" t="s">
        <v>151</v>
      </c>
      <c r="D318" s="55" t="s">
        <v>112</v>
      </c>
      <c r="E318" s="55" t="s">
        <v>75</v>
      </c>
      <c r="F318" s="61">
        <v>1</v>
      </c>
      <c r="G318" s="57">
        <v>32000</v>
      </c>
      <c r="H318" s="57">
        <f>F318*G318</f>
        <v>32000</v>
      </c>
      <c r="I318" s="57">
        <v>10000</v>
      </c>
      <c r="J318" s="57">
        <f>F318*I318</f>
        <v>10000</v>
      </c>
      <c r="K318" s="57">
        <f>G318+I318</f>
        <v>42000</v>
      </c>
      <c r="L318" s="58">
        <f>F318*K318</f>
        <v>42000</v>
      </c>
      <c r="M318" s="177"/>
    </row>
    <row r="319" spans="1:13" s="59" customFormat="1" ht="18" customHeight="1">
      <c r="A319" s="60" t="s">
        <v>44</v>
      </c>
      <c r="B319" s="53" t="s">
        <v>183</v>
      </c>
      <c r="C319" s="54" t="s">
        <v>222</v>
      </c>
      <c r="D319" s="55" t="s">
        <v>112</v>
      </c>
      <c r="E319" s="55" t="s">
        <v>75</v>
      </c>
      <c r="F319" s="61">
        <v>1</v>
      </c>
      <c r="G319" s="57">
        <v>250000</v>
      </c>
      <c r="H319" s="57">
        <f>F319*G319</f>
        <v>250000</v>
      </c>
      <c r="I319" s="57">
        <v>100000</v>
      </c>
      <c r="J319" s="57">
        <f>F319*I319</f>
        <v>100000</v>
      </c>
      <c r="K319" s="57">
        <f>G319+I319</f>
        <v>350000</v>
      </c>
      <c r="L319" s="58">
        <f>F319*K319</f>
        <v>350000</v>
      </c>
      <c r="M319" s="177"/>
    </row>
    <row r="320" spans="1:13" s="59" customFormat="1" ht="18" hidden="1" customHeight="1">
      <c r="A320" s="60" t="s">
        <v>12</v>
      </c>
      <c r="B320" s="53" t="s">
        <v>343</v>
      </c>
      <c r="C320" s="54" t="s">
        <v>344</v>
      </c>
      <c r="D320" s="55" t="s">
        <v>112</v>
      </c>
      <c r="E320" s="55" t="s">
        <v>42</v>
      </c>
      <c r="F320" s="61"/>
      <c r="G320" s="57">
        <v>170000</v>
      </c>
      <c r="H320" s="57">
        <f t="shared" ref="H320" si="289">F320*G320</f>
        <v>0</v>
      </c>
      <c r="I320" s="57">
        <v>50000</v>
      </c>
      <c r="J320" s="57">
        <f t="shared" ref="J320" si="290">F320*I320</f>
        <v>0</v>
      </c>
      <c r="K320" s="57">
        <f t="shared" ref="K320" si="291">G320+I320</f>
        <v>220000</v>
      </c>
      <c r="L320" s="58">
        <f t="shared" ref="L320" si="292">F320*K320</f>
        <v>0</v>
      </c>
      <c r="M320" s="177"/>
    </row>
    <row r="321" spans="1:13" ht="18" customHeight="1">
      <c r="A321" s="10"/>
      <c r="B321" s="11"/>
      <c r="C321" s="12"/>
      <c r="D321" s="5"/>
      <c r="E321" s="5"/>
      <c r="F321" s="50"/>
      <c r="G321" s="28"/>
      <c r="H321" s="28"/>
      <c r="I321" s="28"/>
      <c r="J321" s="28"/>
      <c r="K321" s="28"/>
      <c r="L321" s="29"/>
      <c r="M321" s="177"/>
    </row>
    <row r="322" spans="1:13" s="20" customFormat="1" ht="18" customHeight="1">
      <c r="A322" s="13"/>
      <c r="B322" s="13" t="s">
        <v>13</v>
      </c>
      <c r="C322" s="15"/>
      <c r="D322" s="16"/>
      <c r="E322" s="16"/>
      <c r="F322" s="51"/>
      <c r="G322" s="48"/>
      <c r="H322" s="48">
        <f>SUM(H274:H320)</f>
        <v>7698000</v>
      </c>
      <c r="I322" s="48"/>
      <c r="J322" s="48">
        <f>SUM(J274:J320)</f>
        <v>2340000</v>
      </c>
      <c r="K322" s="48"/>
      <c r="L322" s="48">
        <f>SUM(L274:L320)</f>
        <v>10038000</v>
      </c>
      <c r="M322" s="177"/>
    </row>
    <row r="323" spans="1:13" ht="18" customHeight="1">
      <c r="A323" s="10"/>
      <c r="B323" s="11"/>
      <c r="C323" s="12"/>
      <c r="D323" s="5"/>
      <c r="E323" s="5"/>
      <c r="F323" s="50"/>
      <c r="G323" s="28"/>
      <c r="H323" s="28"/>
      <c r="I323" s="28"/>
      <c r="J323" s="28"/>
      <c r="K323" s="28"/>
      <c r="L323" s="29"/>
      <c r="M323" s="177"/>
    </row>
    <row r="324" spans="1:13" s="20" customFormat="1" ht="18" customHeight="1">
      <c r="A324" s="44" t="s">
        <v>33</v>
      </c>
      <c r="B324" s="45" t="s">
        <v>67</v>
      </c>
      <c r="C324" s="46"/>
      <c r="D324" s="16"/>
      <c r="E324" s="16"/>
      <c r="F324" s="51"/>
      <c r="G324" s="48"/>
      <c r="H324" s="48"/>
      <c r="I324" s="48"/>
      <c r="J324" s="48"/>
      <c r="K324" s="48"/>
      <c r="L324" s="49"/>
      <c r="M324" s="177"/>
    </row>
    <row r="325" spans="1:13" s="59" customFormat="1" ht="18" customHeight="1">
      <c r="A325" s="52">
        <v>-1</v>
      </c>
      <c r="B325" s="53" t="s">
        <v>121</v>
      </c>
      <c r="C325" s="54"/>
      <c r="D325" s="55"/>
      <c r="E325" s="55"/>
      <c r="F325" s="56"/>
      <c r="G325" s="57"/>
      <c r="H325" s="57"/>
      <c r="I325" s="57"/>
      <c r="J325" s="57"/>
      <c r="K325" s="57"/>
      <c r="L325" s="58"/>
      <c r="M325" s="177"/>
    </row>
    <row r="326" spans="1:13" s="59" customFormat="1" ht="18" customHeight="1">
      <c r="A326" s="60" t="s">
        <v>163</v>
      </c>
      <c r="B326" s="53" t="s">
        <v>294</v>
      </c>
      <c r="C326" s="54" t="s">
        <v>126</v>
      </c>
      <c r="D326" s="55"/>
      <c r="E326" s="55" t="s">
        <v>159</v>
      </c>
      <c r="F326" s="61">
        <f>17*1.44</f>
        <v>24.48</v>
      </c>
      <c r="G326" s="57">
        <v>31000</v>
      </c>
      <c r="H326" s="57">
        <f t="shared" ref="H326:H330" si="293">F326*G326</f>
        <v>758880</v>
      </c>
      <c r="I326" s="57">
        <v>70000</v>
      </c>
      <c r="J326" s="57">
        <f t="shared" ref="J326:J330" si="294">F326*I326</f>
        <v>1713600</v>
      </c>
      <c r="K326" s="57">
        <f>G326+I326</f>
        <v>101000</v>
      </c>
      <c r="L326" s="58">
        <f>F326*K326</f>
        <v>2472480</v>
      </c>
      <c r="M326" s="264"/>
    </row>
    <row r="327" spans="1:13" s="59" customFormat="1" ht="18" customHeight="1">
      <c r="A327" s="60" t="s">
        <v>163</v>
      </c>
      <c r="B327" s="53" t="s">
        <v>295</v>
      </c>
      <c r="C327" s="54" t="s">
        <v>126</v>
      </c>
      <c r="D327" s="55"/>
      <c r="E327" s="55" t="s">
        <v>159</v>
      </c>
      <c r="F327" s="61">
        <f>4*1.44</f>
        <v>5.76</v>
      </c>
      <c r="G327" s="57">
        <v>31000</v>
      </c>
      <c r="H327" s="57">
        <f t="shared" ref="H327:H328" si="295">F327*G327</f>
        <v>178560</v>
      </c>
      <c r="I327" s="57">
        <v>70000</v>
      </c>
      <c r="J327" s="57">
        <f t="shared" si="294"/>
        <v>403200</v>
      </c>
      <c r="K327" s="57">
        <f>G327+I327</f>
        <v>101000</v>
      </c>
      <c r="L327" s="58">
        <f>F327*K327</f>
        <v>581760</v>
      </c>
      <c r="M327" s="264"/>
    </row>
    <row r="328" spans="1:13" s="59" customFormat="1" ht="18" customHeight="1">
      <c r="A328" s="60" t="s">
        <v>163</v>
      </c>
      <c r="B328" s="53" t="s">
        <v>296</v>
      </c>
      <c r="C328" s="54" t="s">
        <v>126</v>
      </c>
      <c r="D328" s="55"/>
      <c r="E328" s="55" t="s">
        <v>159</v>
      </c>
      <c r="F328" s="61">
        <f>22*1.44</f>
        <v>31.68</v>
      </c>
      <c r="G328" s="57">
        <v>31000</v>
      </c>
      <c r="H328" s="57">
        <f t="shared" si="295"/>
        <v>982080</v>
      </c>
      <c r="I328" s="57">
        <v>70000</v>
      </c>
      <c r="J328" s="57">
        <f t="shared" si="294"/>
        <v>2217600</v>
      </c>
      <c r="K328" s="57">
        <f>G328+I328</f>
        <v>101000</v>
      </c>
      <c r="L328" s="58">
        <f t="shared" ref="L328" si="296">F328*K328</f>
        <v>3199680</v>
      </c>
      <c r="M328" s="264"/>
    </row>
    <row r="329" spans="1:13" s="59" customFormat="1" ht="18" customHeight="1">
      <c r="A329" s="60" t="s">
        <v>163</v>
      </c>
      <c r="B329" s="53" t="s">
        <v>297</v>
      </c>
      <c r="C329" s="54" t="s">
        <v>126</v>
      </c>
      <c r="D329" s="55"/>
      <c r="E329" s="55" t="s">
        <v>159</v>
      </c>
      <c r="F329" s="61">
        <f>4*1.44</f>
        <v>5.76</v>
      </c>
      <c r="G329" s="57">
        <v>31000</v>
      </c>
      <c r="H329" s="57">
        <f t="shared" si="293"/>
        <v>178560</v>
      </c>
      <c r="I329" s="57">
        <v>70000</v>
      </c>
      <c r="J329" s="57">
        <f t="shared" si="294"/>
        <v>403200</v>
      </c>
      <c r="K329" s="57">
        <f>G329+I329</f>
        <v>101000</v>
      </c>
      <c r="L329" s="58">
        <f t="shared" ref="L329:L330" si="297">F329*K329</f>
        <v>581760</v>
      </c>
      <c r="M329" s="264"/>
    </row>
    <row r="330" spans="1:13" s="59" customFormat="1" ht="18" customHeight="1">
      <c r="A330" s="60" t="s">
        <v>163</v>
      </c>
      <c r="B330" s="53" t="s">
        <v>122</v>
      </c>
      <c r="C330" s="62" t="s">
        <v>123</v>
      </c>
      <c r="D330" s="55"/>
      <c r="E330" s="55" t="s">
        <v>75</v>
      </c>
      <c r="F330" s="61">
        <v>3</v>
      </c>
      <c r="G330" s="57">
        <v>350000</v>
      </c>
      <c r="H330" s="57">
        <f t="shared" si="293"/>
        <v>1050000</v>
      </c>
      <c r="I330" s="57">
        <v>0</v>
      </c>
      <c r="J330" s="57">
        <f t="shared" si="294"/>
        <v>0</v>
      </c>
      <c r="K330" s="57">
        <f>G330+I330</f>
        <v>350000</v>
      </c>
      <c r="L330" s="58">
        <f t="shared" si="297"/>
        <v>1050000</v>
      </c>
      <c r="M330" s="264"/>
    </row>
    <row r="331" spans="1:13" s="59" customFormat="1" ht="18" customHeight="1">
      <c r="A331" s="52"/>
      <c r="B331" s="53"/>
      <c r="C331" s="54"/>
      <c r="D331" s="55"/>
      <c r="E331" s="55"/>
      <c r="F331" s="56"/>
      <c r="G331" s="57"/>
      <c r="H331" s="57"/>
      <c r="I331" s="57"/>
      <c r="J331" s="57"/>
      <c r="K331" s="57"/>
      <c r="L331" s="58"/>
      <c r="M331" s="264"/>
    </row>
    <row r="332" spans="1:13" s="59" customFormat="1" ht="18" hidden="1" customHeight="1">
      <c r="A332" s="52">
        <v>-1</v>
      </c>
      <c r="B332" s="53" t="s">
        <v>213</v>
      </c>
      <c r="C332" s="54"/>
      <c r="D332" s="55"/>
      <c r="E332" s="55"/>
      <c r="F332" s="56"/>
      <c r="G332" s="57"/>
      <c r="H332" s="57"/>
      <c r="I332" s="57"/>
      <c r="J332" s="57"/>
      <c r="K332" s="57"/>
      <c r="L332" s="58"/>
      <c r="M332" s="264"/>
    </row>
    <row r="333" spans="1:13" s="59" customFormat="1" ht="18" hidden="1" customHeight="1">
      <c r="A333" s="52" t="s">
        <v>298</v>
      </c>
      <c r="B333" s="53" t="s">
        <v>299</v>
      </c>
      <c r="C333" s="54" t="s">
        <v>126</v>
      </c>
      <c r="D333" s="55"/>
      <c r="E333" s="55" t="s">
        <v>11</v>
      </c>
      <c r="F333" s="56"/>
      <c r="G333" s="57">
        <v>31000</v>
      </c>
      <c r="H333" s="57">
        <f t="shared" ref="H333" si="298">F333*G333</f>
        <v>0</v>
      </c>
      <c r="I333" s="57">
        <v>70000</v>
      </c>
      <c r="J333" s="57">
        <f t="shared" ref="J333:J337" si="299">F333*I333</f>
        <v>0</v>
      </c>
      <c r="K333" s="57">
        <f>G333+I333</f>
        <v>101000</v>
      </c>
      <c r="L333" s="58">
        <f t="shared" ref="L333" si="300">F333*K333</f>
        <v>0</v>
      </c>
      <c r="M333" s="264"/>
    </row>
    <row r="334" spans="1:13" s="59" customFormat="1" ht="18" hidden="1" customHeight="1">
      <c r="A334" s="52"/>
      <c r="B334" s="53"/>
      <c r="C334" s="54"/>
      <c r="D334" s="55"/>
      <c r="E334" s="55"/>
      <c r="F334" s="56"/>
      <c r="G334" s="57"/>
      <c r="H334" s="57"/>
      <c r="I334" s="57"/>
      <c r="J334" s="57"/>
      <c r="K334" s="57"/>
      <c r="L334" s="58"/>
      <c r="M334" s="264"/>
    </row>
    <row r="335" spans="1:13" s="59" customFormat="1" ht="18" hidden="1" customHeight="1">
      <c r="A335" s="52"/>
      <c r="B335" s="53"/>
      <c r="C335" s="54"/>
      <c r="D335" s="55"/>
      <c r="E335" s="55"/>
      <c r="F335" s="56"/>
      <c r="G335" s="57"/>
      <c r="H335" s="57"/>
      <c r="I335" s="57"/>
      <c r="J335" s="57"/>
      <c r="K335" s="57"/>
      <c r="L335" s="58"/>
      <c r="M335" s="264"/>
    </row>
    <row r="336" spans="1:13" s="59" customFormat="1" ht="18" customHeight="1">
      <c r="A336" s="60" t="s">
        <v>12</v>
      </c>
      <c r="B336" s="53" t="s">
        <v>224</v>
      </c>
      <c r="C336" s="54" t="s">
        <v>269</v>
      </c>
      <c r="D336" s="55"/>
      <c r="E336" s="55" t="s">
        <v>11</v>
      </c>
      <c r="F336" s="61">
        <f>8*1.44</f>
        <v>11.52</v>
      </c>
      <c r="G336" s="57">
        <v>15000</v>
      </c>
      <c r="H336" s="57">
        <f>F336*G336</f>
        <v>172800</v>
      </c>
      <c r="I336" s="57">
        <v>40000</v>
      </c>
      <c r="J336" s="57">
        <f t="shared" si="299"/>
        <v>460800</v>
      </c>
      <c r="K336" s="57">
        <f>G336+I336</f>
        <v>55000</v>
      </c>
      <c r="L336" s="58">
        <f>F336*K336</f>
        <v>633600</v>
      </c>
      <c r="M336" s="264"/>
    </row>
    <row r="337" spans="1:13" ht="18" customHeight="1">
      <c r="A337" s="171" t="s">
        <v>163</v>
      </c>
      <c r="B337" s="11" t="s">
        <v>122</v>
      </c>
      <c r="C337" s="172" t="s">
        <v>123</v>
      </c>
      <c r="D337" s="5"/>
      <c r="E337" s="5" t="s">
        <v>75</v>
      </c>
      <c r="F337" s="173">
        <v>1</v>
      </c>
      <c r="G337" s="28">
        <v>350000</v>
      </c>
      <c r="H337" s="57">
        <f>F337*G337</f>
        <v>350000</v>
      </c>
      <c r="I337" s="28">
        <v>0</v>
      </c>
      <c r="J337" s="57">
        <f t="shared" si="299"/>
        <v>0</v>
      </c>
      <c r="K337" s="28">
        <f>G337+I337</f>
        <v>350000</v>
      </c>
      <c r="L337" s="58">
        <f>F337*K337</f>
        <v>350000</v>
      </c>
      <c r="M337" s="264"/>
    </row>
    <row r="338" spans="1:13" s="59" customFormat="1" ht="18" customHeight="1">
      <c r="A338" s="60"/>
      <c r="B338" s="53"/>
      <c r="C338" s="62"/>
      <c r="D338" s="55"/>
      <c r="E338" s="55"/>
      <c r="F338" s="61"/>
      <c r="G338" s="57"/>
      <c r="H338" s="57"/>
      <c r="I338" s="57"/>
      <c r="J338" s="57"/>
      <c r="K338" s="57"/>
      <c r="L338" s="58"/>
      <c r="M338" s="264"/>
    </row>
    <row r="339" spans="1:13" s="59" customFormat="1" ht="18" customHeight="1">
      <c r="A339" s="52">
        <v>-1</v>
      </c>
      <c r="B339" s="53" t="s">
        <v>124</v>
      </c>
      <c r="C339" s="54"/>
      <c r="D339" s="55"/>
      <c r="E339" s="55"/>
      <c r="F339" s="56"/>
      <c r="G339" s="57"/>
      <c r="H339" s="57"/>
      <c r="I339" s="57"/>
      <c r="J339" s="57"/>
      <c r="K339" s="57"/>
      <c r="L339" s="58"/>
      <c r="M339" s="264"/>
    </row>
    <row r="340" spans="1:13" s="59" customFormat="1" ht="18" hidden="1" customHeight="1">
      <c r="A340" s="60" t="s">
        <v>12</v>
      </c>
      <c r="B340" s="53" t="s">
        <v>292</v>
      </c>
      <c r="C340" s="54" t="s">
        <v>126</v>
      </c>
      <c r="D340" s="55" t="s">
        <v>293</v>
      </c>
      <c r="E340" s="55" t="s">
        <v>11</v>
      </c>
      <c r="F340" s="61"/>
      <c r="G340" s="57">
        <v>35000</v>
      </c>
      <c r="H340" s="57">
        <f>F340*G340</f>
        <v>0</v>
      </c>
      <c r="I340" s="57">
        <v>70000</v>
      </c>
      <c r="J340" s="57">
        <f t="shared" ref="J340:J341" si="301">F340*I340</f>
        <v>0</v>
      </c>
      <c r="K340" s="57">
        <f>G340+I340</f>
        <v>105000</v>
      </c>
      <c r="L340" s="58">
        <f>F340*K340</f>
        <v>0</v>
      </c>
      <c r="M340" s="264"/>
    </row>
    <row r="341" spans="1:13" s="59" customFormat="1" ht="18" customHeight="1">
      <c r="A341" s="60" t="s">
        <v>12</v>
      </c>
      <c r="B341" s="53" t="s">
        <v>125</v>
      </c>
      <c r="C341" s="54" t="s">
        <v>126</v>
      </c>
      <c r="D341" s="55"/>
      <c r="E341" s="55" t="s">
        <v>11</v>
      </c>
      <c r="F341" s="61">
        <f>7*1.44</f>
        <v>10.08</v>
      </c>
      <c r="G341" s="57">
        <v>31000</v>
      </c>
      <c r="H341" s="57">
        <f>F341*G341</f>
        <v>312480</v>
      </c>
      <c r="I341" s="57">
        <v>70000</v>
      </c>
      <c r="J341" s="57">
        <f t="shared" si="301"/>
        <v>705600</v>
      </c>
      <c r="K341" s="57">
        <f>G341+I341</f>
        <v>101000</v>
      </c>
      <c r="L341" s="58">
        <f>F341*K341</f>
        <v>1018080</v>
      </c>
      <c r="M341" s="264"/>
    </row>
    <row r="342" spans="1:13" ht="18" customHeight="1">
      <c r="A342" s="10"/>
      <c r="B342" s="11"/>
      <c r="C342" s="12"/>
      <c r="D342" s="5"/>
      <c r="E342" s="5"/>
      <c r="F342" s="50"/>
      <c r="G342" s="28"/>
      <c r="H342" s="28"/>
      <c r="I342" s="28"/>
      <c r="J342" s="28"/>
      <c r="K342" s="28"/>
      <c r="L342" s="29"/>
      <c r="M342" s="177"/>
    </row>
    <row r="343" spans="1:13" s="20" customFormat="1" ht="18" customHeight="1">
      <c r="A343" s="13"/>
      <c r="B343" s="13" t="s">
        <v>13</v>
      </c>
      <c r="C343" s="15"/>
      <c r="D343" s="16"/>
      <c r="E343" s="16"/>
      <c r="F343" s="51"/>
      <c r="G343" s="177"/>
      <c r="H343" s="48">
        <f>SUM(H326:H341)</f>
        <v>3983360</v>
      </c>
      <c r="I343" s="48"/>
      <c r="J343" s="48">
        <f>SUM(J326:J341)</f>
        <v>5904000</v>
      </c>
      <c r="K343" s="48"/>
      <c r="L343" s="48">
        <f>SUM(L326:L341)</f>
        <v>9887360</v>
      </c>
      <c r="M343" s="177"/>
    </row>
    <row r="344" spans="1:13" ht="18" customHeight="1">
      <c r="A344" s="10"/>
      <c r="B344" s="11"/>
      <c r="C344" s="12"/>
      <c r="D344" s="5"/>
      <c r="E344" s="5"/>
      <c r="F344" s="50"/>
      <c r="G344" s="28"/>
      <c r="H344" s="28"/>
      <c r="I344" s="28"/>
      <c r="J344" s="28"/>
      <c r="K344" s="28"/>
      <c r="L344" s="29"/>
    </row>
    <row r="345" spans="1:13" s="20" customFormat="1" ht="18" customHeight="1">
      <c r="A345" s="44" t="s">
        <v>34</v>
      </c>
      <c r="B345" s="45" t="s">
        <v>68</v>
      </c>
      <c r="C345" s="46"/>
      <c r="D345" s="16"/>
      <c r="E345" s="16"/>
      <c r="F345" s="51"/>
      <c r="G345" s="48"/>
      <c r="H345" s="48"/>
      <c r="I345" s="48"/>
      <c r="J345" s="48"/>
      <c r="K345" s="48"/>
      <c r="L345" s="49"/>
      <c r="M345" s="177"/>
    </row>
    <row r="346" spans="1:13" ht="18" customHeight="1">
      <c r="A346" s="10">
        <v>-1</v>
      </c>
      <c r="B346" s="11" t="s">
        <v>128</v>
      </c>
      <c r="C346" s="12"/>
      <c r="D346" s="5"/>
      <c r="E346" s="5"/>
      <c r="F346" s="50"/>
      <c r="G346" s="28"/>
      <c r="H346" s="28"/>
      <c r="I346" s="28"/>
      <c r="J346" s="28"/>
      <c r="K346" s="28"/>
      <c r="L346" s="29"/>
      <c r="M346" s="177"/>
    </row>
    <row r="347" spans="1:13" s="275" customFormat="1" ht="18" customHeight="1">
      <c r="A347" s="438" t="s">
        <v>163</v>
      </c>
      <c r="B347" s="357" t="s">
        <v>153</v>
      </c>
      <c r="C347" s="440" t="s">
        <v>618</v>
      </c>
      <c r="D347" s="359" t="s">
        <v>268</v>
      </c>
      <c r="E347" s="359" t="s">
        <v>41</v>
      </c>
      <c r="F347" s="445">
        <f>148-57</f>
        <v>91</v>
      </c>
      <c r="G347" s="361">
        <v>13800</v>
      </c>
      <c r="H347" s="361">
        <f t="shared" ref="H347:H353" si="302">F347*G347</f>
        <v>1255800</v>
      </c>
      <c r="I347" s="361">
        <v>12000</v>
      </c>
      <c r="J347" s="361">
        <f t="shared" ref="J347:J353" si="303">F347*I347</f>
        <v>1092000</v>
      </c>
      <c r="K347" s="361">
        <f t="shared" ref="K347:K353" si="304">G347+I347</f>
        <v>25800</v>
      </c>
      <c r="L347" s="362">
        <f t="shared" ref="L347:L353" si="305">F347*K347</f>
        <v>2347800</v>
      </c>
      <c r="M347" s="354"/>
    </row>
    <row r="348" spans="1:13" s="443" customFormat="1" ht="18" hidden="1" customHeight="1">
      <c r="A348" s="438" t="s">
        <v>44</v>
      </c>
      <c r="B348" s="439" t="s">
        <v>152</v>
      </c>
      <c r="C348" s="440" t="s">
        <v>198</v>
      </c>
      <c r="D348" s="441" t="s">
        <v>477</v>
      </c>
      <c r="E348" s="441" t="s">
        <v>41</v>
      </c>
      <c r="F348" s="470"/>
      <c r="G348" s="442">
        <v>8800</v>
      </c>
      <c r="H348" s="361">
        <f t="shared" si="302"/>
        <v>0</v>
      </c>
      <c r="I348" s="361">
        <v>12000</v>
      </c>
      <c r="J348" s="361">
        <f t="shared" si="303"/>
        <v>0</v>
      </c>
      <c r="K348" s="361">
        <f t="shared" si="304"/>
        <v>20800</v>
      </c>
      <c r="L348" s="362">
        <f t="shared" si="305"/>
        <v>0</v>
      </c>
      <c r="M348" s="354"/>
    </row>
    <row r="349" spans="1:13" s="275" customFormat="1" ht="18" customHeight="1">
      <c r="A349" s="438" t="s">
        <v>44</v>
      </c>
      <c r="B349" s="357" t="s">
        <v>153</v>
      </c>
      <c r="C349" s="440" t="s">
        <v>617</v>
      </c>
      <c r="D349" s="359" t="s">
        <v>268</v>
      </c>
      <c r="E349" s="359" t="s">
        <v>41</v>
      </c>
      <c r="F349" s="445">
        <v>57</v>
      </c>
      <c r="G349" s="361">
        <v>8800</v>
      </c>
      <c r="H349" s="361">
        <f t="shared" ref="H349" si="306">F349*G349</f>
        <v>501600</v>
      </c>
      <c r="I349" s="361">
        <v>12000</v>
      </c>
      <c r="J349" s="361">
        <f t="shared" ref="J349" si="307">F349*I349</f>
        <v>684000</v>
      </c>
      <c r="K349" s="361">
        <f t="shared" ref="K349" si="308">G349+I349</f>
        <v>20800</v>
      </c>
      <c r="L349" s="362">
        <f t="shared" ref="L349" si="309">F349*K349</f>
        <v>1185600</v>
      </c>
      <c r="M349" s="354"/>
    </row>
    <row r="350" spans="1:13" s="443" customFormat="1" ht="18" customHeight="1">
      <c r="A350" s="438" t="s">
        <v>44</v>
      </c>
      <c r="B350" s="439" t="s">
        <v>152</v>
      </c>
      <c r="C350" s="440" t="s">
        <v>618</v>
      </c>
      <c r="D350" s="359" t="s">
        <v>268</v>
      </c>
      <c r="E350" s="441" t="s">
        <v>41</v>
      </c>
      <c r="F350" s="470">
        <f>109*2.4-144</f>
        <v>117.59999999999997</v>
      </c>
      <c r="G350" s="442">
        <v>13800</v>
      </c>
      <c r="H350" s="361">
        <f t="shared" si="302"/>
        <v>1622879.9999999995</v>
      </c>
      <c r="I350" s="361">
        <v>12000</v>
      </c>
      <c r="J350" s="361">
        <f t="shared" si="303"/>
        <v>1411199.9999999995</v>
      </c>
      <c r="K350" s="361">
        <f t="shared" si="304"/>
        <v>25800</v>
      </c>
      <c r="L350" s="362">
        <f t="shared" si="305"/>
        <v>3034079.9999999991</v>
      </c>
      <c r="M350" s="354"/>
    </row>
    <row r="351" spans="1:13" s="443" customFormat="1" ht="18" hidden="1" customHeight="1">
      <c r="A351" s="438" t="s">
        <v>44</v>
      </c>
      <c r="B351" s="439" t="s">
        <v>152</v>
      </c>
      <c r="C351" s="440" t="s">
        <v>198</v>
      </c>
      <c r="D351" s="441" t="s">
        <v>278</v>
      </c>
      <c r="E351" s="441" t="s">
        <v>41</v>
      </c>
      <c r="F351" s="470"/>
      <c r="G351" s="442">
        <v>8800</v>
      </c>
      <c r="H351" s="361">
        <f t="shared" si="302"/>
        <v>0</v>
      </c>
      <c r="I351" s="361">
        <v>12000</v>
      </c>
      <c r="J351" s="361">
        <f t="shared" si="303"/>
        <v>0</v>
      </c>
      <c r="K351" s="361">
        <f t="shared" si="304"/>
        <v>20800</v>
      </c>
      <c r="L351" s="362">
        <f t="shared" si="305"/>
        <v>0</v>
      </c>
      <c r="M351" s="354"/>
    </row>
    <row r="352" spans="1:13" s="443" customFormat="1" ht="18" hidden="1" customHeight="1">
      <c r="A352" s="438" t="s">
        <v>44</v>
      </c>
      <c r="B352" s="439" t="s">
        <v>152</v>
      </c>
      <c r="C352" s="440" t="s">
        <v>532</v>
      </c>
      <c r="D352" s="441" t="s">
        <v>313</v>
      </c>
      <c r="E352" s="441" t="s">
        <v>41</v>
      </c>
      <c r="F352" s="470"/>
      <c r="G352" s="442">
        <v>13800</v>
      </c>
      <c r="H352" s="361">
        <f t="shared" si="302"/>
        <v>0</v>
      </c>
      <c r="I352" s="361">
        <v>12000</v>
      </c>
      <c r="J352" s="361">
        <f t="shared" si="303"/>
        <v>0</v>
      </c>
      <c r="K352" s="361">
        <f t="shared" si="304"/>
        <v>25800</v>
      </c>
      <c r="L352" s="362">
        <f t="shared" si="305"/>
        <v>0</v>
      </c>
      <c r="M352" s="354"/>
    </row>
    <row r="353" spans="1:13" s="443" customFormat="1" ht="18" hidden="1" customHeight="1">
      <c r="A353" s="438" t="s">
        <v>44</v>
      </c>
      <c r="B353" s="439" t="s">
        <v>152</v>
      </c>
      <c r="C353" s="440" t="s">
        <v>532</v>
      </c>
      <c r="D353" s="441" t="s">
        <v>507</v>
      </c>
      <c r="E353" s="441" t="s">
        <v>41</v>
      </c>
      <c r="F353" s="470"/>
      <c r="G353" s="442">
        <v>13800</v>
      </c>
      <c r="H353" s="361">
        <f t="shared" si="302"/>
        <v>0</v>
      </c>
      <c r="I353" s="361">
        <v>12000</v>
      </c>
      <c r="J353" s="361">
        <f t="shared" si="303"/>
        <v>0</v>
      </c>
      <c r="K353" s="361">
        <f t="shared" si="304"/>
        <v>25800</v>
      </c>
      <c r="L353" s="362">
        <f t="shared" si="305"/>
        <v>0</v>
      </c>
      <c r="M353" s="354"/>
    </row>
    <row r="354" spans="1:13" s="275" customFormat="1" ht="18" customHeight="1">
      <c r="A354" s="438" t="s">
        <v>44</v>
      </c>
      <c r="B354" s="357" t="s">
        <v>152</v>
      </c>
      <c r="C354" s="440" t="s">
        <v>617</v>
      </c>
      <c r="D354" s="359" t="s">
        <v>268</v>
      </c>
      <c r="E354" s="359" t="s">
        <v>41</v>
      </c>
      <c r="F354" s="445">
        <f>60*2.4</f>
        <v>144</v>
      </c>
      <c r="G354" s="361">
        <v>8800</v>
      </c>
      <c r="H354" s="361">
        <f t="shared" ref="H354" si="310">F354*G354</f>
        <v>1267200</v>
      </c>
      <c r="I354" s="361">
        <v>12000</v>
      </c>
      <c r="J354" s="361">
        <f t="shared" ref="J354" si="311">F354*I354</f>
        <v>1728000</v>
      </c>
      <c r="K354" s="361">
        <f t="shared" ref="K354" si="312">G354+I354</f>
        <v>20800</v>
      </c>
      <c r="L354" s="362">
        <f t="shared" ref="L354" si="313">F354*K354</f>
        <v>2995200</v>
      </c>
      <c r="M354" s="354"/>
    </row>
    <row r="355" spans="1:13" s="314" customFormat="1" ht="18" customHeight="1">
      <c r="A355" s="10"/>
      <c r="B355" s="307"/>
      <c r="C355" s="308"/>
      <c r="D355" s="5"/>
      <c r="E355" s="309"/>
      <c r="F355" s="310"/>
      <c r="G355" s="311"/>
      <c r="H355" s="28"/>
      <c r="I355" s="28"/>
      <c r="J355" s="28"/>
      <c r="K355" s="28"/>
      <c r="L355" s="29"/>
      <c r="M355" s="264"/>
    </row>
    <row r="356" spans="1:13" s="20" customFormat="1" ht="18" customHeight="1">
      <c r="A356" s="13"/>
      <c r="B356" s="13" t="s">
        <v>13</v>
      </c>
      <c r="C356" s="15"/>
      <c r="D356" s="16"/>
      <c r="E356" s="16"/>
      <c r="F356" s="51"/>
      <c r="G356" s="48"/>
      <c r="H356" s="48">
        <f>SUM(H346:H353)</f>
        <v>3380279.9999999995</v>
      </c>
      <c r="I356" s="48"/>
      <c r="J356" s="48">
        <f>SUM(J346:J353)</f>
        <v>3187199.9999999995</v>
      </c>
      <c r="K356" s="48"/>
      <c r="L356" s="48">
        <f>SUM(L346:L353)</f>
        <v>6567479.9999999991</v>
      </c>
      <c r="M356" s="177"/>
    </row>
    <row r="357" spans="1:13" ht="18" customHeight="1">
      <c r="A357" s="10"/>
      <c r="B357" s="11"/>
      <c r="C357" s="12"/>
      <c r="D357" s="5"/>
      <c r="E357" s="5"/>
      <c r="F357" s="50"/>
      <c r="G357" s="28"/>
      <c r="H357" s="28"/>
      <c r="I357" s="28"/>
      <c r="J357" s="28"/>
      <c r="K357" s="28"/>
      <c r="L357" s="29"/>
      <c r="M357" s="177"/>
    </row>
    <row r="358" spans="1:13" s="20" customFormat="1" ht="18" customHeight="1">
      <c r="A358" s="44" t="s">
        <v>43</v>
      </c>
      <c r="B358" s="45" t="s">
        <v>69</v>
      </c>
      <c r="C358" s="46"/>
      <c r="D358" s="16"/>
      <c r="E358" s="16"/>
      <c r="F358" s="51"/>
      <c r="G358" s="48"/>
      <c r="H358" s="48"/>
      <c r="I358" s="48"/>
      <c r="J358" s="48"/>
      <c r="K358" s="48"/>
      <c r="L358" s="49"/>
      <c r="M358" s="177"/>
    </row>
    <row r="359" spans="1:13" ht="18" customHeight="1">
      <c r="A359" s="10">
        <v>-1</v>
      </c>
      <c r="B359" s="11" t="s">
        <v>130</v>
      </c>
      <c r="C359" s="12" t="s">
        <v>215</v>
      </c>
      <c r="D359" s="5"/>
      <c r="E359" s="5" t="s">
        <v>191</v>
      </c>
      <c r="F359" s="50">
        <v>2</v>
      </c>
      <c r="G359" s="28">
        <v>250000</v>
      </c>
      <c r="H359" s="28">
        <f>F359*G359</f>
        <v>500000</v>
      </c>
      <c r="I359" s="28">
        <v>150000</v>
      </c>
      <c r="J359" s="28">
        <f>F359*I359</f>
        <v>300000</v>
      </c>
      <c r="K359" s="28">
        <f>G359+I359</f>
        <v>400000</v>
      </c>
      <c r="L359" s="29">
        <f>F359*K359</f>
        <v>800000</v>
      </c>
      <c r="M359" s="177"/>
    </row>
    <row r="360" spans="1:13" ht="18" customHeight="1">
      <c r="A360" s="10">
        <v>-1</v>
      </c>
      <c r="B360" s="11" t="s">
        <v>129</v>
      </c>
      <c r="C360" s="12" t="s">
        <v>197</v>
      </c>
      <c r="D360" s="5"/>
      <c r="E360" s="5" t="s">
        <v>145</v>
      </c>
      <c r="F360" s="50">
        <v>1</v>
      </c>
      <c r="G360" s="28">
        <v>55000</v>
      </c>
      <c r="H360" s="28">
        <f>F360*G360</f>
        <v>55000</v>
      </c>
      <c r="I360" s="28">
        <v>270000</v>
      </c>
      <c r="J360" s="28">
        <f>F360*I360</f>
        <v>270000</v>
      </c>
      <c r="K360" s="28">
        <f>G360+I360</f>
        <v>325000</v>
      </c>
      <c r="L360" s="29">
        <f>F360*K360</f>
        <v>325000</v>
      </c>
      <c r="M360" s="177"/>
    </row>
    <row r="361" spans="1:13" ht="18" customHeight="1">
      <c r="A361" s="10">
        <v>-1</v>
      </c>
      <c r="B361" s="11" t="s">
        <v>225</v>
      </c>
      <c r="C361" s="12" t="s">
        <v>226</v>
      </c>
      <c r="D361" s="5"/>
      <c r="E361" s="5" t="s">
        <v>75</v>
      </c>
      <c r="F361" s="50">
        <v>1</v>
      </c>
      <c r="G361" s="28">
        <v>200000</v>
      </c>
      <c r="H361" s="28">
        <f>F361*G361</f>
        <v>200000</v>
      </c>
      <c r="I361" s="28">
        <v>350000</v>
      </c>
      <c r="J361" s="28">
        <f>F361*I361</f>
        <v>350000</v>
      </c>
      <c r="K361" s="28">
        <f>G361+I361</f>
        <v>550000</v>
      </c>
      <c r="L361" s="29">
        <f>F361*K361</f>
        <v>550000</v>
      </c>
      <c r="M361" s="177"/>
    </row>
    <row r="362" spans="1:13" ht="18" customHeight="1">
      <c r="A362" s="10"/>
      <c r="B362" s="11"/>
      <c r="C362" s="12"/>
      <c r="D362" s="5"/>
      <c r="E362" s="5"/>
      <c r="F362" s="50"/>
      <c r="G362" s="28"/>
      <c r="H362" s="28"/>
      <c r="I362" s="28"/>
      <c r="J362" s="28"/>
      <c r="K362" s="28"/>
      <c r="L362" s="29"/>
      <c r="M362" s="177"/>
    </row>
    <row r="363" spans="1:13" s="20" customFormat="1" ht="18" customHeight="1">
      <c r="A363" s="13"/>
      <c r="B363" s="13" t="s">
        <v>13</v>
      </c>
      <c r="C363" s="15"/>
      <c r="D363" s="16"/>
      <c r="E363" s="16"/>
      <c r="F363" s="51"/>
      <c r="G363" s="48"/>
      <c r="H363" s="48">
        <f>SUM(H359:H361)</f>
        <v>755000</v>
      </c>
      <c r="I363" s="48"/>
      <c r="J363" s="48">
        <f>SUM(J359:J361)</f>
        <v>920000</v>
      </c>
      <c r="K363" s="48"/>
      <c r="L363" s="49">
        <f>SUM(L358:L361)</f>
        <v>1675000</v>
      </c>
      <c r="M363" s="177"/>
    </row>
    <row r="364" spans="1:13" ht="18" customHeight="1">
      <c r="A364" s="10"/>
      <c r="B364" s="11"/>
      <c r="C364" s="12"/>
      <c r="D364" s="5"/>
      <c r="E364" s="5"/>
      <c r="F364" s="50"/>
      <c r="G364" s="28"/>
      <c r="H364" s="28"/>
      <c r="I364" s="28"/>
      <c r="J364" s="28"/>
      <c r="K364" s="28"/>
      <c r="L364" s="29"/>
      <c r="M364" s="177"/>
    </row>
    <row r="365" spans="1:13" s="20" customFormat="1" ht="18" customHeight="1">
      <c r="A365" s="44" t="s">
        <v>46</v>
      </c>
      <c r="B365" s="45" t="s">
        <v>127</v>
      </c>
      <c r="C365" s="46"/>
      <c r="D365" s="16"/>
      <c r="E365" s="16"/>
      <c r="F365" s="51"/>
      <c r="G365" s="48"/>
      <c r="H365" s="48"/>
      <c r="I365" s="48"/>
      <c r="J365" s="48"/>
      <c r="K365" s="48"/>
      <c r="L365" s="49"/>
      <c r="M365" s="177"/>
    </row>
    <row r="366" spans="1:13" s="59" customFormat="1" ht="18" customHeight="1">
      <c r="A366" s="52">
        <v>-1</v>
      </c>
      <c r="B366" s="53" t="s">
        <v>535</v>
      </c>
      <c r="C366" s="54" t="s">
        <v>602</v>
      </c>
      <c r="D366" s="55" t="s">
        <v>349</v>
      </c>
      <c r="E366" s="55" t="s">
        <v>162</v>
      </c>
      <c r="F366" s="56">
        <f>138/3.3</f>
        <v>41.81818181818182</v>
      </c>
      <c r="G366" s="57">
        <v>320000</v>
      </c>
      <c r="H366" s="57">
        <f>F366*G366</f>
        <v>13381818.181818182</v>
      </c>
      <c r="I366" s="57">
        <v>0</v>
      </c>
      <c r="J366" s="57">
        <f>F366*I366</f>
        <v>0</v>
      </c>
      <c r="K366" s="57">
        <f>G366+I366</f>
        <v>320000</v>
      </c>
      <c r="L366" s="58">
        <f>F366*K366</f>
        <v>13381818.181818182</v>
      </c>
      <c r="M366" s="176"/>
    </row>
    <row r="367" spans="1:13" s="59" customFormat="1" ht="18" hidden="1" customHeight="1">
      <c r="A367" s="52">
        <v>-1</v>
      </c>
      <c r="B367" s="53" t="s">
        <v>186</v>
      </c>
      <c r="C367" s="54" t="s">
        <v>552</v>
      </c>
      <c r="D367" s="55"/>
      <c r="E367" s="55" t="s">
        <v>70</v>
      </c>
      <c r="F367" s="56"/>
      <c r="G367" s="57">
        <v>149000</v>
      </c>
      <c r="H367" s="57">
        <f>F367*G367</f>
        <v>0</v>
      </c>
      <c r="I367" s="57">
        <v>0</v>
      </c>
      <c r="J367" s="57">
        <f>F367*I367</f>
        <v>0</v>
      </c>
      <c r="K367" s="57">
        <f>G367+I367</f>
        <v>149000</v>
      </c>
      <c r="L367" s="58">
        <f>F367*K367</f>
        <v>0</v>
      </c>
      <c r="M367" s="176"/>
    </row>
    <row r="368" spans="1:13" s="59" customFormat="1" ht="18" hidden="1" customHeight="1">
      <c r="A368" s="52">
        <v>-1</v>
      </c>
      <c r="B368" s="53" t="s">
        <v>186</v>
      </c>
      <c r="C368" s="54" t="s">
        <v>536</v>
      </c>
      <c r="D368" s="55"/>
      <c r="E368" s="55" t="s">
        <v>70</v>
      </c>
      <c r="F368" s="56"/>
      <c r="G368" s="57">
        <f>164000</f>
        <v>164000</v>
      </c>
      <c r="H368" s="57">
        <f>F368*G368</f>
        <v>0</v>
      </c>
      <c r="I368" s="57">
        <v>0</v>
      </c>
      <c r="J368" s="57">
        <f>F368*I368</f>
        <v>0</v>
      </c>
      <c r="K368" s="57">
        <f>G368+I368</f>
        <v>164000</v>
      </c>
      <c r="L368" s="58">
        <f>F368*K368</f>
        <v>0</v>
      </c>
      <c r="M368" s="176"/>
    </row>
    <row r="369" spans="1:13" ht="18" customHeight="1">
      <c r="A369" s="10"/>
      <c r="B369" s="11"/>
      <c r="C369" s="12"/>
      <c r="D369" s="5"/>
      <c r="E369" s="5"/>
      <c r="F369" s="50"/>
      <c r="G369" s="48"/>
      <c r="H369" s="57"/>
      <c r="I369" s="28"/>
      <c r="J369" s="57"/>
      <c r="K369" s="28"/>
      <c r="L369" s="29"/>
      <c r="M369" s="177"/>
    </row>
    <row r="370" spans="1:13" s="20" customFormat="1" ht="18" customHeight="1">
      <c r="A370" s="13"/>
      <c r="B370" s="13" t="s">
        <v>13</v>
      </c>
      <c r="C370" s="15"/>
      <c r="D370" s="16"/>
      <c r="E370" s="16"/>
      <c r="F370" s="51"/>
      <c r="H370" s="48">
        <f>SUM(H366:H368)</f>
        <v>13381818.181818182</v>
      </c>
      <c r="I370" s="48"/>
      <c r="J370" s="48">
        <f>SUM(J366:J366)</f>
        <v>0</v>
      </c>
      <c r="K370" s="48"/>
      <c r="L370" s="48">
        <f>SUM(L366:L368)</f>
        <v>13381818.181818182</v>
      </c>
      <c r="M370" s="177"/>
    </row>
    <row r="371" spans="1:13" ht="18" customHeight="1">
      <c r="A371" s="10"/>
      <c r="B371" s="11"/>
      <c r="C371" s="12"/>
      <c r="D371" s="5"/>
      <c r="E371" s="5"/>
      <c r="F371" s="50"/>
      <c r="G371" s="28"/>
      <c r="H371" s="28"/>
      <c r="I371" s="28"/>
      <c r="J371" s="28"/>
      <c r="K371" s="28"/>
      <c r="L371" s="29"/>
      <c r="M371" s="177"/>
    </row>
    <row r="372" spans="1:13" ht="18" customHeight="1">
      <c r="A372" s="44" t="s">
        <v>48</v>
      </c>
      <c r="B372" s="45" t="s">
        <v>131</v>
      </c>
      <c r="C372" s="46"/>
      <c r="D372" s="5"/>
      <c r="E372" s="5"/>
      <c r="F372" s="50"/>
      <c r="G372" s="28"/>
      <c r="H372" s="28"/>
      <c r="I372" s="28"/>
      <c r="J372" s="28"/>
      <c r="K372" s="28"/>
      <c r="L372" s="29"/>
      <c r="M372" s="177"/>
    </row>
    <row r="373" spans="1:13" s="59" customFormat="1" ht="18" customHeight="1">
      <c r="A373" s="60">
        <v>-1</v>
      </c>
      <c r="B373" s="53" t="s">
        <v>132</v>
      </c>
      <c r="C373" s="54" t="s">
        <v>133</v>
      </c>
      <c r="D373" s="55"/>
      <c r="E373" s="55" t="s">
        <v>75</v>
      </c>
      <c r="F373" s="61">
        <v>1</v>
      </c>
      <c r="G373" s="57"/>
      <c r="H373" s="57">
        <f>F373*G373</f>
        <v>0</v>
      </c>
      <c r="I373" s="174">
        <v>550000</v>
      </c>
      <c r="J373" s="57">
        <f>F373*I373</f>
        <v>550000</v>
      </c>
      <c r="K373" s="57">
        <f>G373+I373</f>
        <v>550000</v>
      </c>
      <c r="L373" s="58">
        <f>F373*K373</f>
        <v>550000</v>
      </c>
      <c r="M373" s="344"/>
    </row>
    <row r="374" spans="1:13" s="59" customFormat="1" ht="18" customHeight="1">
      <c r="A374" s="60"/>
      <c r="B374" s="53"/>
      <c r="C374" s="54"/>
      <c r="D374" s="55"/>
      <c r="E374" s="55"/>
      <c r="F374" s="61"/>
      <c r="G374" s="57"/>
      <c r="H374" s="57"/>
      <c r="I374" s="57"/>
      <c r="J374" s="57"/>
      <c r="K374" s="57"/>
      <c r="L374" s="58"/>
      <c r="M374" s="177"/>
    </row>
    <row r="375" spans="1:13" s="59" customFormat="1" ht="18" customHeight="1">
      <c r="A375" s="52">
        <v>-1</v>
      </c>
      <c r="B375" s="53" t="s">
        <v>164</v>
      </c>
      <c r="C375" s="54"/>
      <c r="D375" s="55"/>
      <c r="E375" s="55"/>
      <c r="F375" s="56"/>
      <c r="G375" s="57"/>
      <c r="H375" s="57"/>
      <c r="I375" s="28"/>
      <c r="J375" s="57"/>
      <c r="K375" s="57"/>
      <c r="L375" s="58"/>
      <c r="M375" s="177"/>
    </row>
    <row r="376" spans="1:13" ht="18" customHeight="1">
      <c r="A376" s="171" t="s">
        <v>12</v>
      </c>
      <c r="B376" s="339" t="s">
        <v>530</v>
      </c>
      <c r="C376" s="12"/>
      <c r="D376" s="5" t="s">
        <v>439</v>
      </c>
      <c r="E376" s="5" t="s">
        <v>41</v>
      </c>
      <c r="F376" s="173">
        <v>147</v>
      </c>
      <c r="G376" s="28">
        <v>12000</v>
      </c>
      <c r="H376" s="28">
        <f t="shared" ref="H376" si="314">F376*G376</f>
        <v>1764000</v>
      </c>
      <c r="I376" s="28">
        <v>18000</v>
      </c>
      <c r="J376" s="28">
        <f t="shared" ref="J376" si="315">F376*I376</f>
        <v>2646000</v>
      </c>
      <c r="K376" s="28">
        <f t="shared" ref="K376" si="316">G376+I376</f>
        <v>30000</v>
      </c>
      <c r="L376" s="29">
        <f t="shared" ref="L376" si="317">F376*K376</f>
        <v>4410000</v>
      </c>
      <c r="M376" s="344"/>
    </row>
    <row r="377" spans="1:13" ht="18" hidden="1" customHeight="1">
      <c r="A377" s="171" t="s">
        <v>44</v>
      </c>
      <c r="B377" s="11" t="s">
        <v>256</v>
      </c>
      <c r="C377" s="12" t="s">
        <v>166</v>
      </c>
      <c r="D377" s="5" t="s">
        <v>440</v>
      </c>
      <c r="E377" s="5" t="s">
        <v>41</v>
      </c>
      <c r="F377" s="173"/>
      <c r="G377" s="28">
        <v>12000</v>
      </c>
      <c r="H377" s="28">
        <f t="shared" ref="H377:H379" si="318">F377*G377</f>
        <v>0</v>
      </c>
      <c r="I377" s="28">
        <v>8500</v>
      </c>
      <c r="J377" s="28">
        <f t="shared" ref="J377:J379" si="319">F377*I377</f>
        <v>0</v>
      </c>
      <c r="K377" s="28">
        <f t="shared" ref="K377:K379" si="320">G377+I377</f>
        <v>20500</v>
      </c>
      <c r="L377" s="29">
        <f t="shared" ref="L377:L379" si="321">F377*K377</f>
        <v>0</v>
      </c>
      <c r="M377" s="344"/>
    </row>
    <row r="378" spans="1:13" ht="18" customHeight="1">
      <c r="A378" s="171" t="s">
        <v>44</v>
      </c>
      <c r="B378" s="11" t="s">
        <v>511</v>
      </c>
      <c r="C378" s="12" t="s">
        <v>434</v>
      </c>
      <c r="D378" s="5" t="s">
        <v>308</v>
      </c>
      <c r="E378" s="5" t="s">
        <v>75</v>
      </c>
      <c r="F378" s="173">
        <v>6</v>
      </c>
      <c r="G378" s="28">
        <v>65000</v>
      </c>
      <c r="H378" s="28">
        <f t="shared" ref="H378" si="322">F378*G378</f>
        <v>390000</v>
      </c>
      <c r="I378" s="28">
        <v>150000</v>
      </c>
      <c r="J378" s="28">
        <f t="shared" ref="J378" si="323">F378*I378</f>
        <v>900000</v>
      </c>
      <c r="K378" s="28">
        <f t="shared" ref="K378" si="324">G378+I378</f>
        <v>215000</v>
      </c>
      <c r="L378" s="29">
        <f t="shared" ref="L378" si="325">F378*K378</f>
        <v>1290000</v>
      </c>
      <c r="M378" s="344"/>
    </row>
    <row r="379" spans="1:13" ht="18" hidden="1" customHeight="1">
      <c r="A379" s="171" t="s">
        <v>306</v>
      </c>
      <c r="B379" s="11" t="s">
        <v>339</v>
      </c>
      <c r="C379" s="12" t="s">
        <v>239</v>
      </c>
      <c r="D379" s="5" t="s">
        <v>438</v>
      </c>
      <c r="E379" s="5" t="s">
        <v>41</v>
      </c>
      <c r="F379" s="173"/>
      <c r="G379" s="28">
        <v>12000</v>
      </c>
      <c r="H379" s="28">
        <f t="shared" si="318"/>
        <v>0</v>
      </c>
      <c r="I379" s="28">
        <v>18000</v>
      </c>
      <c r="J379" s="28">
        <f t="shared" si="319"/>
        <v>0</v>
      </c>
      <c r="K379" s="28">
        <f t="shared" si="320"/>
        <v>30000</v>
      </c>
      <c r="L379" s="29">
        <f t="shared" si="321"/>
        <v>0</v>
      </c>
      <c r="M379" s="344"/>
    </row>
    <row r="380" spans="1:13" ht="18" hidden="1" customHeight="1">
      <c r="A380" s="171" t="s">
        <v>44</v>
      </c>
      <c r="B380" s="11" t="s">
        <v>340</v>
      </c>
      <c r="C380" s="12" t="s">
        <v>333</v>
      </c>
      <c r="D380" s="5" t="s">
        <v>438</v>
      </c>
      <c r="E380" s="5" t="s">
        <v>41</v>
      </c>
      <c r="F380" s="173"/>
      <c r="G380" s="28">
        <v>11000</v>
      </c>
      <c r="H380" s="28">
        <f t="shared" ref="H380" si="326">F380*G380</f>
        <v>0</v>
      </c>
      <c r="I380" s="28">
        <v>8500</v>
      </c>
      <c r="J380" s="28">
        <f t="shared" ref="J380" si="327">F380*I380</f>
        <v>0</v>
      </c>
      <c r="K380" s="28">
        <f t="shared" ref="K380" si="328">G380+I380</f>
        <v>19500</v>
      </c>
      <c r="L380" s="29">
        <f t="shared" ref="L380" si="329">F380*K380</f>
        <v>0</v>
      </c>
      <c r="M380" s="344"/>
    </row>
    <row r="381" spans="1:13" ht="18" hidden="1" customHeight="1">
      <c r="A381" s="171" t="s">
        <v>44</v>
      </c>
      <c r="B381" s="11" t="s">
        <v>256</v>
      </c>
      <c r="C381" s="12" t="s">
        <v>134</v>
      </c>
      <c r="D381" s="5" t="s">
        <v>274</v>
      </c>
      <c r="E381" s="5" t="s">
        <v>41</v>
      </c>
      <c r="F381" s="173"/>
      <c r="G381" s="28">
        <v>5000</v>
      </c>
      <c r="H381" s="28">
        <f t="shared" ref="H381" si="330">F381*G381</f>
        <v>0</v>
      </c>
      <c r="I381" s="28">
        <v>8500</v>
      </c>
      <c r="J381" s="28">
        <f t="shared" ref="J381" si="331">F381*I381</f>
        <v>0</v>
      </c>
      <c r="K381" s="28">
        <f t="shared" ref="K381" si="332">G381+I381</f>
        <v>13500</v>
      </c>
      <c r="L381" s="29">
        <f t="shared" ref="L381" si="333">F381*K381</f>
        <v>0</v>
      </c>
      <c r="M381" s="344"/>
    </row>
    <row r="382" spans="1:13" s="59" customFormat="1" ht="18" hidden="1" customHeight="1">
      <c r="A382" s="60" t="s">
        <v>188</v>
      </c>
      <c r="B382" s="53" t="s">
        <v>189</v>
      </c>
      <c r="C382" s="62" t="s">
        <v>275</v>
      </c>
      <c r="D382" s="55" t="s">
        <v>190</v>
      </c>
      <c r="E382" s="55" t="s">
        <v>187</v>
      </c>
      <c r="F382" s="61"/>
      <c r="G382" s="57">
        <v>2200</v>
      </c>
      <c r="H382" s="57">
        <f t="shared" ref="H382" si="334">F382*G382</f>
        <v>0</v>
      </c>
      <c r="I382" s="57">
        <v>5000</v>
      </c>
      <c r="J382" s="57">
        <f t="shared" ref="J382" si="335">F382*I382</f>
        <v>0</v>
      </c>
      <c r="K382" s="57">
        <f t="shared" ref="K382" si="336">G382+I382</f>
        <v>7200</v>
      </c>
      <c r="L382" s="58">
        <f t="shared" ref="L382" si="337">F382*K382</f>
        <v>0</v>
      </c>
      <c r="M382" s="344"/>
    </row>
    <row r="383" spans="1:13" s="323" customFormat="1" ht="18" hidden="1" customHeight="1">
      <c r="A383" s="60" t="s">
        <v>163</v>
      </c>
      <c r="B383" s="316" t="s">
        <v>189</v>
      </c>
      <c r="C383" s="317" t="s">
        <v>276</v>
      </c>
      <c r="D383" s="318" t="s">
        <v>190</v>
      </c>
      <c r="E383" s="318" t="s">
        <v>168</v>
      </c>
      <c r="F383" s="319"/>
      <c r="G383" s="320">
        <v>5500</v>
      </c>
      <c r="H383" s="320">
        <f t="shared" ref="H383" si="338">F383*G383</f>
        <v>0</v>
      </c>
      <c r="I383" s="320">
        <v>5000</v>
      </c>
      <c r="J383" s="320">
        <f t="shared" ref="J383" si="339">F383*I383</f>
        <v>0</v>
      </c>
      <c r="K383" s="320">
        <f t="shared" ref="K383" si="340">G383+I383</f>
        <v>10500</v>
      </c>
      <c r="L383" s="321">
        <f t="shared" ref="L383" si="341">F383*K383</f>
        <v>0</v>
      </c>
      <c r="M383" s="344"/>
    </row>
    <row r="384" spans="1:13" s="59" customFormat="1" ht="18" customHeight="1">
      <c r="A384" s="60"/>
      <c r="B384" s="53"/>
      <c r="C384" s="62"/>
      <c r="D384" s="55"/>
      <c r="E384" s="55"/>
      <c r="F384" s="61"/>
      <c r="G384" s="57"/>
      <c r="H384" s="57"/>
      <c r="I384" s="57"/>
      <c r="J384" s="57"/>
      <c r="K384" s="57"/>
      <c r="L384" s="58"/>
      <c r="M384" s="176"/>
    </row>
    <row r="385" spans="1:16" s="59" customFormat="1" ht="18" customHeight="1">
      <c r="A385" s="52">
        <v>-1</v>
      </c>
      <c r="B385" s="53" t="s">
        <v>135</v>
      </c>
      <c r="C385" s="54"/>
      <c r="D385" s="55"/>
      <c r="E385" s="55"/>
      <c r="F385" s="56"/>
      <c r="G385" s="57"/>
      <c r="H385" s="57"/>
      <c r="I385" s="57"/>
      <c r="J385" s="57"/>
      <c r="K385" s="57"/>
      <c r="L385" s="58"/>
      <c r="M385" s="176"/>
    </row>
    <row r="386" spans="1:16" s="59" customFormat="1" ht="18" hidden="1" customHeight="1">
      <c r="A386" s="52" t="s">
        <v>415</v>
      </c>
      <c r="B386" s="53" t="s">
        <v>441</v>
      </c>
      <c r="C386" s="54" t="s">
        <v>442</v>
      </c>
      <c r="D386" s="55" t="s">
        <v>422</v>
      </c>
      <c r="E386" s="55" t="s">
        <v>403</v>
      </c>
      <c r="F386" s="56"/>
      <c r="G386" s="57">
        <v>650000</v>
      </c>
      <c r="H386" s="57">
        <f t="shared" ref="H386:H392" si="342">F386*G386</f>
        <v>0</v>
      </c>
      <c r="I386" s="57">
        <v>700000</v>
      </c>
      <c r="J386" s="57">
        <f t="shared" ref="J386" si="343">F386*I386</f>
        <v>0</v>
      </c>
      <c r="K386" s="57">
        <f t="shared" ref="K386" si="344">G386+I386</f>
        <v>1350000</v>
      </c>
      <c r="L386" s="58">
        <f t="shared" ref="L386" si="345">F386*K386</f>
        <v>0</v>
      </c>
      <c r="M386" s="382"/>
    </row>
    <row r="387" spans="1:16" s="59" customFormat="1" ht="18" customHeight="1">
      <c r="A387" s="60" t="s">
        <v>12</v>
      </c>
      <c r="B387" s="53" t="s">
        <v>136</v>
      </c>
      <c r="C387" s="54" t="s">
        <v>240</v>
      </c>
      <c r="D387" s="55" t="s">
        <v>509</v>
      </c>
      <c r="E387" s="55" t="s">
        <v>41</v>
      </c>
      <c r="F387" s="61">
        <f>(3.7+3.7+0.66+0.2+3.6+4.1+0.6+3.6+5.8+0.1+0.2+5.8+3.6+0.2+0.6+0.85+0.5+0.7+1.2+1.2+0.6+0.8+4.1+4.5+1.2+0.9+0.3+0.7+0.8+2.3+4.2+4.2+0.5+1.6+0.9+9.2)*2.4</f>
        <v>186.50400000000005</v>
      </c>
      <c r="G387" s="57">
        <v>12000</v>
      </c>
      <c r="H387" s="57">
        <f t="shared" si="342"/>
        <v>2238048.0000000005</v>
      </c>
      <c r="I387" s="57">
        <v>28000</v>
      </c>
      <c r="J387" s="57">
        <f t="shared" ref="J387:J392" si="346">F387*I387</f>
        <v>5222112.0000000009</v>
      </c>
      <c r="K387" s="57">
        <f t="shared" ref="K387:K392" si="347">G387+I387</f>
        <v>40000</v>
      </c>
      <c r="L387" s="58">
        <f t="shared" ref="L387:L392" si="348">F387*K387</f>
        <v>7460160.0000000019</v>
      </c>
      <c r="M387" s="344"/>
    </row>
    <row r="388" spans="1:16" ht="18" customHeight="1">
      <c r="A388" s="171" t="s">
        <v>44</v>
      </c>
      <c r="B388" s="11" t="s">
        <v>337</v>
      </c>
      <c r="C388" s="12" t="s">
        <v>166</v>
      </c>
      <c r="D388" s="5" t="s">
        <v>508</v>
      </c>
      <c r="E388" s="5" t="s">
        <v>41</v>
      </c>
      <c r="F388" s="61">
        <f>186.5-63.5</f>
        <v>123</v>
      </c>
      <c r="G388" s="28">
        <v>12000</v>
      </c>
      <c r="H388" s="28">
        <f t="shared" si="342"/>
        <v>1476000</v>
      </c>
      <c r="I388" s="28">
        <v>8500</v>
      </c>
      <c r="J388" s="28">
        <f t="shared" si="346"/>
        <v>1045500</v>
      </c>
      <c r="K388" s="28">
        <f t="shared" si="347"/>
        <v>20500</v>
      </c>
      <c r="L388" s="29">
        <f t="shared" si="348"/>
        <v>2521500</v>
      </c>
      <c r="M388" s="344"/>
    </row>
    <row r="389" spans="1:16" s="59" customFormat="1" ht="18" hidden="1" customHeight="1">
      <c r="A389" s="60" t="s">
        <v>44</v>
      </c>
      <c r="B389" s="53" t="s">
        <v>200</v>
      </c>
      <c r="C389" s="62" t="s">
        <v>201</v>
      </c>
      <c r="D389" s="55" t="s">
        <v>334</v>
      </c>
      <c r="E389" s="55" t="s">
        <v>41</v>
      </c>
      <c r="F389" s="61"/>
      <c r="G389" s="57">
        <v>5500</v>
      </c>
      <c r="H389" s="57" t="s">
        <v>351</v>
      </c>
      <c r="I389" s="57">
        <v>15000</v>
      </c>
      <c r="J389" s="57">
        <f>F389*I389</f>
        <v>0</v>
      </c>
      <c r="K389" s="57">
        <f>G389+I389</f>
        <v>20500</v>
      </c>
      <c r="L389" s="58">
        <f t="shared" si="348"/>
        <v>0</v>
      </c>
      <c r="M389" s="344"/>
    </row>
    <row r="390" spans="1:16" s="59" customFormat="1" ht="18" customHeight="1">
      <c r="A390" s="60" t="s">
        <v>44</v>
      </c>
      <c r="B390" s="53" t="s">
        <v>185</v>
      </c>
      <c r="C390" s="62" t="s">
        <v>241</v>
      </c>
      <c r="D390" s="55" t="s">
        <v>599</v>
      </c>
      <c r="E390" s="55" t="s">
        <v>41</v>
      </c>
      <c r="F390" s="61">
        <v>63.5</v>
      </c>
      <c r="G390" s="57">
        <v>25000</v>
      </c>
      <c r="H390" s="57">
        <f t="shared" si="342"/>
        <v>1587500</v>
      </c>
      <c r="I390" s="57">
        <v>27000</v>
      </c>
      <c r="J390" s="57">
        <f t="shared" si="346"/>
        <v>1714500</v>
      </c>
      <c r="K390" s="57">
        <f t="shared" si="347"/>
        <v>52000</v>
      </c>
      <c r="L390" s="58">
        <f t="shared" si="348"/>
        <v>3302000</v>
      </c>
      <c r="M390" s="344"/>
      <c r="P390" s="59">
        <v>140</v>
      </c>
    </row>
    <row r="391" spans="1:16" s="275" customFormat="1" ht="18" hidden="1" customHeight="1">
      <c r="A391" s="60" t="s">
        <v>44</v>
      </c>
      <c r="B391" s="299" t="s">
        <v>169</v>
      </c>
      <c r="C391" s="62" t="s">
        <v>601</v>
      </c>
      <c r="D391" s="55" t="s">
        <v>137</v>
      </c>
      <c r="E391" s="55" t="s">
        <v>39</v>
      </c>
      <c r="F391" s="61">
        <v>0</v>
      </c>
      <c r="G391" s="57">
        <v>12000</v>
      </c>
      <c r="H391" s="57">
        <f t="shared" ref="H391" si="349">F391*G391</f>
        <v>0</v>
      </c>
      <c r="I391" s="57">
        <v>15000</v>
      </c>
      <c r="J391" s="57">
        <f t="shared" ref="J391" si="350">F391*I391</f>
        <v>0</v>
      </c>
      <c r="K391" s="57">
        <f t="shared" ref="K391" si="351">G391+I391</f>
        <v>27000</v>
      </c>
      <c r="L391" s="58">
        <f t="shared" ref="L391" si="352">F391*K391</f>
        <v>0</v>
      </c>
      <c r="M391" s="344"/>
    </row>
    <row r="392" spans="1:16" s="275" customFormat="1" ht="18" customHeight="1">
      <c r="A392" s="60" t="s">
        <v>44</v>
      </c>
      <c r="B392" s="299" t="s">
        <v>169</v>
      </c>
      <c r="C392" s="62" t="s">
        <v>206</v>
      </c>
      <c r="D392" s="55" t="s">
        <v>137</v>
      </c>
      <c r="E392" s="55" t="s">
        <v>39</v>
      </c>
      <c r="F392" s="61">
        <v>60</v>
      </c>
      <c r="G392" s="57">
        <v>1000</v>
      </c>
      <c r="H392" s="57">
        <f t="shared" si="342"/>
        <v>60000</v>
      </c>
      <c r="I392" s="57">
        <v>5000</v>
      </c>
      <c r="J392" s="57">
        <f t="shared" si="346"/>
        <v>300000</v>
      </c>
      <c r="K392" s="57">
        <f t="shared" si="347"/>
        <v>6000</v>
      </c>
      <c r="L392" s="58">
        <f t="shared" si="348"/>
        <v>360000</v>
      </c>
      <c r="M392" s="344"/>
    </row>
    <row r="393" spans="1:16" s="59" customFormat="1" ht="18" customHeight="1">
      <c r="A393" s="60"/>
      <c r="B393" s="53"/>
      <c r="C393" s="62"/>
      <c r="D393" s="55"/>
      <c r="E393" s="55"/>
      <c r="F393" s="61"/>
      <c r="G393" s="57"/>
      <c r="H393" s="57"/>
      <c r="I393" s="57"/>
      <c r="J393" s="57"/>
      <c r="K393" s="57"/>
      <c r="L393" s="58"/>
      <c r="M393" s="176"/>
    </row>
    <row r="394" spans="1:16" s="59" customFormat="1" ht="18" customHeight="1">
      <c r="A394" s="52">
        <v>-1</v>
      </c>
      <c r="B394" s="53" t="s">
        <v>138</v>
      </c>
      <c r="C394" s="54"/>
      <c r="D394" s="55"/>
      <c r="E394" s="55" t="s">
        <v>194</v>
      </c>
      <c r="F394" s="56"/>
      <c r="G394" s="57"/>
      <c r="H394" s="57"/>
      <c r="I394" s="57"/>
      <c r="J394" s="57"/>
      <c r="K394" s="57"/>
      <c r="L394" s="58"/>
      <c r="M394" s="176"/>
    </row>
    <row r="395" spans="1:16" s="274" customFormat="1" ht="18" hidden="1" customHeight="1">
      <c r="A395" s="258" t="s">
        <v>356</v>
      </c>
      <c r="B395" s="267" t="s">
        <v>357</v>
      </c>
      <c r="C395" s="268" t="s">
        <v>355</v>
      </c>
      <c r="D395" s="269"/>
      <c r="E395" s="269" t="s">
        <v>75</v>
      </c>
      <c r="F395" s="270"/>
      <c r="G395" s="271">
        <v>0</v>
      </c>
      <c r="H395" s="271">
        <f t="shared" ref="H395" si="353">F395*G395</f>
        <v>0</v>
      </c>
      <c r="I395" s="271"/>
      <c r="J395" s="271">
        <f t="shared" ref="J395" si="354">F395*I395</f>
        <v>0</v>
      </c>
      <c r="K395" s="271">
        <f t="shared" ref="K395" si="355">G395+I395</f>
        <v>0</v>
      </c>
      <c r="L395" s="272">
        <f t="shared" ref="L395" si="356">F395*K395</f>
        <v>0</v>
      </c>
      <c r="M395" s="273"/>
    </row>
    <row r="396" spans="1:16" s="59" customFormat="1" ht="18" customHeight="1">
      <c r="A396" s="60" t="s">
        <v>12</v>
      </c>
      <c r="B396" s="53" t="s">
        <v>529</v>
      </c>
      <c r="C396" s="62" t="s">
        <v>506</v>
      </c>
      <c r="D396" s="55" t="s">
        <v>137</v>
      </c>
      <c r="E396" s="55" t="s">
        <v>75</v>
      </c>
      <c r="F396" s="61">
        <v>5</v>
      </c>
      <c r="G396" s="57">
        <v>700000</v>
      </c>
      <c r="H396" s="57">
        <f t="shared" ref="H396:H398" si="357">F396*G396</f>
        <v>3500000</v>
      </c>
      <c r="I396" s="57">
        <v>200000</v>
      </c>
      <c r="J396" s="57">
        <f t="shared" ref="J396:J398" si="358">F396*I396</f>
        <v>1000000</v>
      </c>
      <c r="K396" s="57">
        <f t="shared" ref="K396:K398" si="359">G396+I396</f>
        <v>900000</v>
      </c>
      <c r="L396" s="58">
        <f t="shared" ref="L396" si="360">F396*K396</f>
        <v>4500000</v>
      </c>
      <c r="M396" s="344"/>
    </row>
    <row r="397" spans="1:16" s="59" customFormat="1" ht="18" customHeight="1">
      <c r="A397" s="60" t="s">
        <v>12</v>
      </c>
      <c r="B397" s="53" t="s">
        <v>529</v>
      </c>
      <c r="C397" s="62" t="s">
        <v>598</v>
      </c>
      <c r="D397" s="55" t="s">
        <v>137</v>
      </c>
      <c r="E397" s="55" t="s">
        <v>75</v>
      </c>
      <c r="F397" s="61">
        <v>1</v>
      </c>
      <c r="G397" s="57">
        <v>550000</v>
      </c>
      <c r="H397" s="57">
        <f t="shared" ref="H397" si="361">F397*G397</f>
        <v>550000</v>
      </c>
      <c r="I397" s="57">
        <v>200000</v>
      </c>
      <c r="J397" s="57">
        <f t="shared" ref="J397" si="362">F397*I397</f>
        <v>200000</v>
      </c>
      <c r="K397" s="57">
        <f t="shared" ref="K397" si="363">G397+I397</f>
        <v>750000</v>
      </c>
      <c r="L397" s="58">
        <f t="shared" ref="L397" si="364">F397*K397</f>
        <v>750000</v>
      </c>
      <c r="M397" s="344"/>
    </row>
    <row r="398" spans="1:16" s="323" customFormat="1" ht="18" customHeight="1">
      <c r="A398" s="60" t="s">
        <v>44</v>
      </c>
      <c r="B398" s="316" t="s">
        <v>199</v>
      </c>
      <c r="C398" s="317" t="s">
        <v>510</v>
      </c>
      <c r="D398" s="318" t="s">
        <v>597</v>
      </c>
      <c r="E398" s="318" t="s">
        <v>75</v>
      </c>
      <c r="F398" s="319">
        <v>1</v>
      </c>
      <c r="G398" s="320">
        <v>550000</v>
      </c>
      <c r="H398" s="320">
        <f t="shared" si="357"/>
        <v>550000</v>
      </c>
      <c r="I398" s="320">
        <v>450000</v>
      </c>
      <c r="J398" s="320">
        <f t="shared" si="358"/>
        <v>450000</v>
      </c>
      <c r="K398" s="320">
        <f t="shared" si="359"/>
        <v>1000000</v>
      </c>
      <c r="L398" s="321">
        <f>F398*K398</f>
        <v>1000000</v>
      </c>
      <c r="M398" s="345"/>
    </row>
    <row r="399" spans="1:16" s="323" customFormat="1" ht="18" customHeight="1">
      <c r="A399" s="60" t="s">
        <v>44</v>
      </c>
      <c r="B399" s="316" t="s">
        <v>199</v>
      </c>
      <c r="C399" s="317" t="s">
        <v>510</v>
      </c>
      <c r="D399" s="318" t="s">
        <v>596</v>
      </c>
      <c r="E399" s="318" t="s">
        <v>75</v>
      </c>
      <c r="F399" s="319">
        <v>3</v>
      </c>
      <c r="G399" s="320">
        <v>350000</v>
      </c>
      <c r="H399" s="320">
        <f t="shared" ref="H399" si="365">F399*G399</f>
        <v>1050000</v>
      </c>
      <c r="I399" s="320">
        <v>320000</v>
      </c>
      <c r="J399" s="320">
        <f t="shared" ref="J399" si="366">F399*I399</f>
        <v>960000</v>
      </c>
      <c r="K399" s="320">
        <f t="shared" ref="K399" si="367">G399+I399</f>
        <v>670000</v>
      </c>
      <c r="L399" s="321">
        <f>F399*K399</f>
        <v>2010000</v>
      </c>
      <c r="M399" s="345"/>
    </row>
    <row r="400" spans="1:16" ht="18" hidden="1" customHeight="1">
      <c r="A400" s="171" t="s">
        <v>280</v>
      </c>
      <c r="B400" s="11" t="s">
        <v>281</v>
      </c>
      <c r="C400" s="172"/>
      <c r="D400" s="315" t="s">
        <v>348</v>
      </c>
      <c r="E400" s="5" t="s">
        <v>279</v>
      </c>
      <c r="F400" s="173"/>
      <c r="G400" s="28">
        <v>120000</v>
      </c>
      <c r="H400" s="57">
        <f t="shared" ref="H400:H401" si="368">F400*G400</f>
        <v>0</v>
      </c>
      <c r="I400" s="28">
        <v>150000</v>
      </c>
      <c r="J400" s="57">
        <f t="shared" ref="J400:J401" si="369">F400*I400</f>
        <v>0</v>
      </c>
      <c r="K400" s="57">
        <f t="shared" ref="K400:K401" si="370">G400+I400</f>
        <v>270000</v>
      </c>
      <c r="L400" s="58">
        <f t="shared" ref="L400:L403" si="371">F400*K400</f>
        <v>0</v>
      </c>
      <c r="M400" s="345"/>
    </row>
    <row r="401" spans="1:13" ht="18" hidden="1" customHeight="1">
      <c r="A401" s="171" t="s">
        <v>272</v>
      </c>
      <c r="B401" s="11" t="s">
        <v>350</v>
      </c>
      <c r="C401" s="172"/>
      <c r="D401" s="315" t="s">
        <v>278</v>
      </c>
      <c r="E401" s="5" t="s">
        <v>279</v>
      </c>
      <c r="F401" s="173"/>
      <c r="G401" s="28">
        <v>300000</v>
      </c>
      <c r="H401" s="57">
        <f t="shared" si="368"/>
        <v>0</v>
      </c>
      <c r="I401" s="28">
        <v>600000</v>
      </c>
      <c r="J401" s="57">
        <f t="shared" si="369"/>
        <v>0</v>
      </c>
      <c r="K401" s="57">
        <f t="shared" si="370"/>
        <v>900000</v>
      </c>
      <c r="L401" s="58">
        <f t="shared" si="371"/>
        <v>0</v>
      </c>
      <c r="M401" s="345"/>
    </row>
    <row r="402" spans="1:13" s="265" customFormat="1" ht="18" customHeight="1">
      <c r="A402" s="260" t="s">
        <v>288</v>
      </c>
      <c r="B402" s="168" t="s">
        <v>290</v>
      </c>
      <c r="C402" s="379" t="s">
        <v>505</v>
      </c>
      <c r="D402" s="380" t="s">
        <v>238</v>
      </c>
      <c r="E402" s="261" t="s">
        <v>75</v>
      </c>
      <c r="F402" s="381">
        <v>1</v>
      </c>
      <c r="G402" s="262">
        <v>1200000</v>
      </c>
      <c r="H402" s="262">
        <f>F402*G402</f>
        <v>1200000</v>
      </c>
      <c r="I402" s="262">
        <v>200000</v>
      </c>
      <c r="J402" s="262">
        <f>F402*I402</f>
        <v>200000</v>
      </c>
      <c r="K402" s="262">
        <f>G402+I402</f>
        <v>1400000</v>
      </c>
      <c r="L402" s="263">
        <f t="shared" si="371"/>
        <v>1400000</v>
      </c>
      <c r="M402" s="263"/>
    </row>
    <row r="403" spans="1:13" ht="18" hidden="1" customHeight="1">
      <c r="A403" s="171" t="s">
        <v>288</v>
      </c>
      <c r="B403" s="11" t="s">
        <v>289</v>
      </c>
      <c r="C403" s="172" t="s">
        <v>352</v>
      </c>
      <c r="D403" s="315" t="s">
        <v>346</v>
      </c>
      <c r="E403" s="5" t="s">
        <v>75</v>
      </c>
      <c r="F403" s="173"/>
      <c r="G403" s="28">
        <v>1200000</v>
      </c>
      <c r="H403" s="28">
        <f>F403*G403</f>
        <v>0</v>
      </c>
      <c r="I403" s="28">
        <v>200000</v>
      </c>
      <c r="J403" s="28">
        <f>F403*I403</f>
        <v>0</v>
      </c>
      <c r="K403" s="28">
        <f>G403+I403</f>
        <v>1400000</v>
      </c>
      <c r="L403" s="29">
        <f t="shared" si="371"/>
        <v>0</v>
      </c>
      <c r="M403" s="335"/>
    </row>
    <row r="404" spans="1:13" ht="18" hidden="1" customHeight="1">
      <c r="A404" s="171" t="s">
        <v>44</v>
      </c>
      <c r="B404" s="11" t="s">
        <v>289</v>
      </c>
      <c r="C404" s="172" t="s">
        <v>291</v>
      </c>
      <c r="D404" s="315" t="s">
        <v>347</v>
      </c>
      <c r="E404" s="5" t="s">
        <v>75</v>
      </c>
      <c r="F404" s="173"/>
      <c r="G404" s="28">
        <v>2300000</v>
      </c>
      <c r="H404" s="28">
        <f>F404*G404</f>
        <v>0</v>
      </c>
      <c r="I404" s="28">
        <v>200000</v>
      </c>
      <c r="J404" s="28">
        <f>F404*I404</f>
        <v>0</v>
      </c>
      <c r="K404" s="28">
        <f>G404+I404</f>
        <v>2500000</v>
      </c>
      <c r="L404" s="29">
        <f t="shared" ref="L404" si="372">F404*K404</f>
        <v>0</v>
      </c>
      <c r="M404" s="335"/>
    </row>
    <row r="405" spans="1:13" ht="18" customHeight="1">
      <c r="A405" s="171"/>
      <c r="B405" s="11"/>
      <c r="C405" s="172"/>
      <c r="D405" s="315"/>
      <c r="E405" s="5"/>
      <c r="F405" s="173"/>
      <c r="G405" s="28"/>
      <c r="H405" s="28"/>
      <c r="I405" s="28"/>
      <c r="J405" s="28"/>
      <c r="K405" s="28"/>
      <c r="L405" s="29"/>
      <c r="M405" s="335"/>
    </row>
    <row r="406" spans="1:13" ht="18" customHeight="1">
      <c r="A406" s="10"/>
      <c r="B406" s="13" t="s">
        <v>13</v>
      </c>
      <c r="C406" s="12"/>
      <c r="D406" s="5"/>
      <c r="E406" s="5"/>
      <c r="F406" s="50"/>
      <c r="G406" s="48"/>
      <c r="H406" s="48">
        <f>SUM(H373:H404)</f>
        <v>14365548</v>
      </c>
      <c r="I406" s="48"/>
      <c r="J406" s="48">
        <f>SUM(J373:J404)</f>
        <v>15188112</v>
      </c>
      <c r="K406" s="48"/>
      <c r="L406" s="48">
        <f>SUM(L373:L404)</f>
        <v>29553660</v>
      </c>
      <c r="M406" s="177"/>
    </row>
    <row r="407" spans="1:13" ht="18" customHeight="1">
      <c r="A407" s="10"/>
      <c r="B407" s="11"/>
      <c r="C407" s="12"/>
      <c r="D407" s="5"/>
      <c r="E407" s="5"/>
      <c r="F407" s="50"/>
      <c r="G407" s="28"/>
      <c r="H407" s="28"/>
      <c r="I407" s="28"/>
      <c r="J407" s="28"/>
      <c r="K407" s="28"/>
      <c r="L407" s="29"/>
      <c r="M407" s="177"/>
    </row>
    <row r="408" spans="1:13" ht="18" customHeight="1">
      <c r="A408" s="10"/>
      <c r="B408" s="11"/>
      <c r="C408" s="12"/>
      <c r="D408" s="5"/>
      <c r="E408" s="5"/>
      <c r="F408" s="50"/>
      <c r="G408" s="28"/>
      <c r="H408" s="28"/>
      <c r="I408" s="28"/>
      <c r="J408" s="39"/>
      <c r="K408" s="28"/>
      <c r="L408" s="29"/>
      <c r="M408" s="177"/>
    </row>
    <row r="409" spans="1:13" ht="18" customHeight="1">
      <c r="A409" s="242"/>
      <c r="B409" s="242" t="s">
        <v>71</v>
      </c>
      <c r="C409" s="243"/>
      <c r="D409" s="244"/>
      <c r="E409" s="244"/>
      <c r="F409" s="245"/>
      <c r="G409" s="246"/>
      <c r="H409" s="257">
        <f>H406+H370+H363+H356+H343+H322+H270+H183+H89+H74</f>
        <v>81231610.727272734</v>
      </c>
      <c r="I409" s="257"/>
      <c r="J409" s="257">
        <f>J406+J370+J363+J356+J343+J322+J270+J183+J89+J74</f>
        <v>54066216.545454547</v>
      </c>
      <c r="K409" s="257"/>
      <c r="L409" s="257">
        <f>L406+L370+L363+L356+L343+L322+L270+L183+L89+L74</f>
        <v>135297827.27272728</v>
      </c>
      <c r="M409" s="247"/>
    </row>
  </sheetData>
  <autoFilter ref="A4:M409" xr:uid="{00000000-0009-0000-0000-000002000000}"/>
  <mergeCells count="13">
    <mergeCell ref="B73:L73"/>
    <mergeCell ref="B182:L182"/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22" type="noConversion"/>
  <pageMargins left="0.7" right="0.7" top="0.75" bottom="0.75" header="0.3" footer="0.3"/>
  <pageSetup paperSize="9" scale="65" fitToHeight="0" orientation="landscape" r:id="rId1"/>
  <rowBreaks count="7" manualBreakCount="7">
    <brk id="41" max="12" man="1"/>
    <brk id="90" max="12" man="1"/>
    <brk id="128" max="12" man="1"/>
    <brk id="184" max="12" man="1"/>
    <brk id="271" max="12" man="1"/>
    <brk id="323" max="12" man="1"/>
    <brk id="364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갑지</vt:lpstr>
      <vt:lpstr> 갑지-1</vt:lpstr>
      <vt:lpstr>상세</vt:lpstr>
      <vt:lpstr>' 갑지-1'!Print_Area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이희원</cp:lastModifiedBy>
  <cp:lastPrinted>2025-09-11T13:06:42Z</cp:lastPrinted>
  <dcterms:created xsi:type="dcterms:W3CDTF">1997-06-17T05:19:13Z</dcterms:created>
  <dcterms:modified xsi:type="dcterms:W3CDTF">2025-11-12T11:06:37Z</dcterms:modified>
</cp:coreProperties>
</file>