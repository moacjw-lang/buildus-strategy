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모해디자인\프로젝트\2025\2025.12_푸르지오 월드마크 리모델링 공사\01. 본사\05. 견적서\"/>
    </mc:Choice>
  </mc:AlternateContent>
  <bookViews>
    <workbookView xWindow="25575" yWindow="615" windowWidth="25620" windowHeight="26385" tabRatio="680"/>
  </bookViews>
  <sheets>
    <sheet name="갑지" sheetId="23312" r:id="rId1"/>
    <sheet name=" 갑지-1" sheetId="23309" r:id="rId2"/>
    <sheet name="상세" sheetId="23313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_" localSheetId="1" hidden="1">[1]공문!#REF!</definedName>
    <definedName name="_" localSheetId="0" hidden="1">[1]공문!#REF!</definedName>
    <definedName name="_" localSheetId="2" hidden="1">[1]공문!#REF!</definedName>
    <definedName name="_" hidden="1">[1]공문!#REF!</definedName>
    <definedName name="____WRM1" localSheetId="0" hidden="1">{#N/A,#N/A,TRUE,"TITLE"}</definedName>
    <definedName name="____WRM1" hidden="1">{#N/A,#N/A,TRUE,"TITLE"}</definedName>
    <definedName name="___key2" localSheetId="1" hidden="1">#REF!</definedName>
    <definedName name="___key2" localSheetId="0" hidden="1">#REF!</definedName>
    <definedName name="___key2" localSheetId="2" hidden="1">#REF!</definedName>
    <definedName name="___key2" hidden="1">#REF!</definedName>
    <definedName name="__123Graph_A" localSheetId="1" hidden="1">[2]금융!#REF!</definedName>
    <definedName name="__123Graph_A" localSheetId="0" hidden="1">[2]금융!#REF!</definedName>
    <definedName name="__123Graph_A" localSheetId="2" hidden="1">[2]금융!#REF!</definedName>
    <definedName name="__123Graph_A" hidden="1">[2]금융!#REF!</definedName>
    <definedName name="__123Graph_ACHART1" localSheetId="1" hidden="1">'[3]입찰내역 발주처 양식'!#REF!</definedName>
    <definedName name="__123Graph_ACHART1" localSheetId="0" hidden="1">'[3]입찰내역 발주처 양식'!#REF!</definedName>
    <definedName name="__123Graph_ACHART1" localSheetId="2" hidden="1">'[3]입찰내역 발주처 양식'!#REF!</definedName>
    <definedName name="__123Graph_ACHART1" hidden="1">'[3]입찰내역 발주처 양식'!#REF!</definedName>
    <definedName name="__123Graph_ACURRENT" localSheetId="1" hidden="1">'[3]입찰내역 발주처 양식'!#REF!</definedName>
    <definedName name="__123Graph_ACURRENT" localSheetId="0" hidden="1">'[3]입찰내역 발주처 양식'!#REF!</definedName>
    <definedName name="__123Graph_ACURRENT" localSheetId="2" hidden="1">'[3]입찰내역 발주처 양식'!#REF!</definedName>
    <definedName name="__123Graph_ACURRENT" hidden="1">'[3]입찰내역 발주처 양식'!#REF!</definedName>
    <definedName name="__123Graph_APOWERSAV" hidden="1">[4]CAL1!$G$10:$G$38</definedName>
    <definedName name="__123Graph_B" localSheetId="1" hidden="1">[5]목표세부명세!#REF!</definedName>
    <definedName name="__123Graph_B" localSheetId="0" hidden="1">[5]목표세부명세!#REF!</definedName>
    <definedName name="__123Graph_B" localSheetId="2" hidden="1">[5]목표세부명세!#REF!</definedName>
    <definedName name="__123Graph_B" hidden="1">[5]목표세부명세!#REF!</definedName>
    <definedName name="__123Graph_BPOWERSAV" hidden="1">[4]CAL1!$F$10:$F$38</definedName>
    <definedName name="__123Graph_C" hidden="1">[4]CAL1!$I$36:$I$37</definedName>
    <definedName name="__123Graph_CPOWERSAV" localSheetId="1" hidden="1">'[6]VS P-Q'!#REF!</definedName>
    <definedName name="__123Graph_CPOWERSAV" localSheetId="0" hidden="1">'[6]VS P-Q'!#REF!</definedName>
    <definedName name="__123Graph_CPOWERSAV" localSheetId="2" hidden="1">'[6]VS P-Q'!#REF!</definedName>
    <definedName name="__123Graph_CPOWERSAV" hidden="1">'[6]VS P-Q'!#REF!</definedName>
    <definedName name="__123Graph_D" localSheetId="1" hidden="1">'[7]0226'!#REF!</definedName>
    <definedName name="__123Graph_D" localSheetId="0" hidden="1">'[7]0226'!#REF!</definedName>
    <definedName name="__123Graph_D" localSheetId="2" hidden="1">'[7]0226'!#REF!</definedName>
    <definedName name="__123Graph_D" hidden="1">'[7]0226'!#REF!</definedName>
    <definedName name="__123Graph_DPOWERSAV" localSheetId="1" hidden="1">'[6]VS P-Q'!#REF!</definedName>
    <definedName name="__123Graph_DPOWERSAV" localSheetId="0" hidden="1">'[6]VS P-Q'!#REF!</definedName>
    <definedName name="__123Graph_DPOWERSAV" localSheetId="2" hidden="1">'[6]VS P-Q'!#REF!</definedName>
    <definedName name="__123Graph_DPOWERSAV" hidden="1">'[6]VS P-Q'!#REF!</definedName>
    <definedName name="__123Graph_E" hidden="1">[4]CAL1!$U$10:$U$37</definedName>
    <definedName name="__123Graph_LBL_APOWERSAV" localSheetId="1" hidden="1">'[6]VS P-Q'!#REF!</definedName>
    <definedName name="__123Graph_LBL_APOWERSAV" localSheetId="0" hidden="1">'[6]VS P-Q'!#REF!</definedName>
    <definedName name="__123Graph_LBL_APOWERSAV" localSheetId="2" hidden="1">'[6]VS P-Q'!#REF!</definedName>
    <definedName name="__123Graph_LBL_APOWERSAV" hidden="1">'[6]VS P-Q'!#REF!</definedName>
    <definedName name="__123Graph_LBL_B" localSheetId="1" hidden="1">'[6]VS P-Q'!#REF!</definedName>
    <definedName name="__123Graph_LBL_B" localSheetId="0" hidden="1">'[6]VS P-Q'!#REF!</definedName>
    <definedName name="__123Graph_LBL_B" localSheetId="2" hidden="1">'[6]VS P-Q'!#REF!</definedName>
    <definedName name="__123Graph_LBL_B" hidden="1">'[6]VS P-Q'!#REF!</definedName>
    <definedName name="__123Graph_LBL_BPOWERSAV" localSheetId="1" hidden="1">'[6]VS P-Q'!#REF!</definedName>
    <definedName name="__123Graph_LBL_BPOWERSAV" localSheetId="0" hidden="1">'[6]VS P-Q'!#REF!</definedName>
    <definedName name="__123Graph_LBL_BPOWERSAV" localSheetId="2" hidden="1">'[6]VS P-Q'!#REF!</definedName>
    <definedName name="__123Graph_LBL_BPOWERSAV" hidden="1">'[6]VS P-Q'!#REF!</definedName>
    <definedName name="__123Graph_LBL_C" localSheetId="1" hidden="1">'[6]VS P-Q'!#REF!</definedName>
    <definedName name="__123Graph_LBL_C" localSheetId="0" hidden="1">'[6]VS P-Q'!#REF!</definedName>
    <definedName name="__123Graph_LBL_C" localSheetId="2" hidden="1">'[6]VS P-Q'!#REF!</definedName>
    <definedName name="__123Graph_LBL_C" hidden="1">'[6]VS P-Q'!#REF!</definedName>
    <definedName name="__123Graph_LBL_CPOWERSAV" localSheetId="1" hidden="1">'[6]VS P-Q'!#REF!</definedName>
    <definedName name="__123Graph_LBL_CPOWERSAV" localSheetId="0" hidden="1">'[6]VS P-Q'!#REF!</definedName>
    <definedName name="__123Graph_LBL_CPOWERSAV" localSheetId="2" hidden="1">'[6]VS P-Q'!#REF!</definedName>
    <definedName name="__123Graph_LBL_CPOWERSAV" hidden="1">'[6]VS P-Q'!#REF!</definedName>
    <definedName name="__123Graph_LBL_D" localSheetId="1" hidden="1">'[6]VS P-Q'!#REF!</definedName>
    <definedName name="__123Graph_LBL_D" localSheetId="0" hidden="1">'[6]VS P-Q'!#REF!</definedName>
    <definedName name="__123Graph_LBL_D" localSheetId="2" hidden="1">'[6]VS P-Q'!#REF!</definedName>
    <definedName name="__123Graph_LBL_D" hidden="1">'[6]VS P-Q'!#REF!</definedName>
    <definedName name="__123Graph_LBL_DPOWERSAV" localSheetId="1" hidden="1">'[6]VS P-Q'!#REF!</definedName>
    <definedName name="__123Graph_LBL_DPOWERSAV" localSheetId="0" hidden="1">'[6]VS P-Q'!#REF!</definedName>
    <definedName name="__123Graph_LBL_DPOWERSAV" localSheetId="2" hidden="1">'[6]VS P-Q'!#REF!</definedName>
    <definedName name="__123Graph_LBL_DPOWERSAV" hidden="1">'[6]VS P-Q'!#REF!</definedName>
    <definedName name="__123Graph_LBL_E" hidden="1">[4]CAL1!$V$10:$V$37</definedName>
    <definedName name="__123Graph_X" localSheetId="1" hidden="1">[2]금융!#REF!</definedName>
    <definedName name="__123Graph_X" localSheetId="0" hidden="1">[2]금융!#REF!</definedName>
    <definedName name="__123Graph_X" localSheetId="2" hidden="1">[2]금융!#REF!</definedName>
    <definedName name="__123Graph_X" hidden="1">[2]금융!#REF!</definedName>
    <definedName name="__123Graph_XCHART1" localSheetId="1" hidden="1">'[3]입찰내역 발주처 양식'!#REF!</definedName>
    <definedName name="__123Graph_XCHART1" localSheetId="0" hidden="1">'[3]입찰내역 발주처 양식'!#REF!</definedName>
    <definedName name="__123Graph_XCHART1" localSheetId="2" hidden="1">'[3]입찰내역 발주처 양식'!#REF!</definedName>
    <definedName name="__123Graph_XCHART1" hidden="1">'[3]입찰내역 발주처 양식'!#REF!</definedName>
    <definedName name="__123Graph_XCURRENT" localSheetId="1" hidden="1">'[3]입찰내역 발주처 양식'!#REF!</definedName>
    <definedName name="__123Graph_XCURRENT" localSheetId="0" hidden="1">'[3]입찰내역 발주처 양식'!#REF!</definedName>
    <definedName name="__123Graph_XCURRENT" localSheetId="2" hidden="1">'[3]입찰내역 발주처 양식'!#REF!</definedName>
    <definedName name="__123Graph_XCURRENT" hidden="1">'[3]입찰내역 발주처 양식'!#REF!</definedName>
    <definedName name="__123Graph_XPOWERSAV" hidden="1">[4]CAL1!$B$10:$B$39</definedName>
    <definedName name="__IntlFixup" hidden="1">TRUE</definedName>
    <definedName name="__key2" localSheetId="1" hidden="1">#REF!</definedName>
    <definedName name="__key2" localSheetId="0" hidden="1">#REF!</definedName>
    <definedName name="__key2" localSheetId="2" hidden="1">#REF!</definedName>
    <definedName name="__key2" hidden="1">#REF!</definedName>
    <definedName name="__WRM1" localSheetId="0" hidden="1">{#N/A,#N/A,TRUE,"TITLE"}</definedName>
    <definedName name="__WRM1" hidden="1">{#N/A,#N/A,TRUE,"TITLE"}</definedName>
    <definedName name="_10000" localSheetId="1" hidden="1">#REF!</definedName>
    <definedName name="_10000" localSheetId="0" hidden="1">#REF!</definedName>
    <definedName name="_10000" localSheetId="2" hidden="1">#REF!</definedName>
    <definedName name="_10000" hidden="1">#REF!</definedName>
    <definedName name="_3_0__123Grap" localSheetId="1" hidden="1">[2]금융!#REF!</definedName>
    <definedName name="_3_0__123Grap" localSheetId="0" hidden="1">[2]금융!#REF!</definedName>
    <definedName name="_3_0__123Grap" localSheetId="2" hidden="1">[2]금융!#REF!</definedName>
    <definedName name="_3_0__123Grap" hidden="1">[2]금융!#REF!</definedName>
    <definedName name="_7_0__123Grap" localSheetId="1" hidden="1">#REF!</definedName>
    <definedName name="_7_0__123Grap" localSheetId="0" hidden="1">#REF!</definedName>
    <definedName name="_7_0__123Grap" localSheetId="2" hidden="1">#REF!</definedName>
    <definedName name="_7_0__123Grap" hidden="1">#REF!</definedName>
    <definedName name="_Dist_Bin" localSheetId="1" hidden="1">#REF!</definedName>
    <definedName name="_Dist_Bin" localSheetId="0" hidden="1">#REF!</definedName>
    <definedName name="_Dist_Bin" localSheetId="2" hidden="1">#REF!</definedName>
    <definedName name="_Dist_Bin" hidden="1">#REF!</definedName>
    <definedName name="_Dist_Values" localSheetId="1" hidden="1">#REF!</definedName>
    <definedName name="_Dist_Values" localSheetId="0" hidden="1">#REF!</definedName>
    <definedName name="_Dist_Values" localSheetId="2" hidden="1">#REF!</definedName>
    <definedName name="_Dist_Values" hidden="1">#REF!</definedName>
    <definedName name="_Fill" localSheetId="1" hidden="1">#REF!</definedName>
    <definedName name="_Fill" localSheetId="0" hidden="1">#REF!</definedName>
    <definedName name="_Fill" localSheetId="2" hidden="1">#REF!</definedName>
    <definedName name="_Fill" hidden="1">#REF!</definedName>
    <definedName name="_fill2" localSheetId="1" hidden="1">[8]음료실행!#REF!</definedName>
    <definedName name="_fill2" localSheetId="0" hidden="1">[8]음료실행!#REF!</definedName>
    <definedName name="_fill2" localSheetId="2" hidden="1">[8]음료실행!#REF!</definedName>
    <definedName name="_fill2" hidden="1">[8]음료실행!#REF!</definedName>
    <definedName name="_xlnm._FilterDatabase" localSheetId="1" hidden="1">' 갑지-1'!$A$6:$M$36</definedName>
    <definedName name="_xlnm._FilterDatabase" localSheetId="0" hidden="1">[9]인사자료총집계!#REF!</definedName>
    <definedName name="_xlnm._FilterDatabase" localSheetId="2" hidden="1">상세!$A$4:$M$410</definedName>
    <definedName name="_xlnm._FilterDatabase" hidden="1">[9]인사자료총집계!#REF!</definedName>
    <definedName name="_Key1" localSheetId="1" hidden="1">#REF!</definedName>
    <definedName name="_Key1" localSheetId="0" hidden="1">#REF!</definedName>
    <definedName name="_Key1" localSheetId="2" hidden="1">#REF!</definedName>
    <definedName name="_Key1" hidden="1">#REF!</definedName>
    <definedName name="_Key2" localSheetId="1" hidden="1">#REF!</definedName>
    <definedName name="_Key2" localSheetId="0" hidden="1">#REF!</definedName>
    <definedName name="_Key2" localSheetId="2" hidden="1">#REF!</definedName>
    <definedName name="_Key2" hidden="1">#REF!</definedName>
    <definedName name="_kfkf" localSheetId="1" hidden="1">#REF!</definedName>
    <definedName name="_kfkf" localSheetId="0" hidden="1">#REF!</definedName>
    <definedName name="_kfkf" localSheetId="2" hidden="1">#REF!</definedName>
    <definedName name="_kfkf" hidden="1">#REF!</definedName>
    <definedName name="_MatInverse_In" localSheetId="1" hidden="1">#REF!</definedName>
    <definedName name="_MatInverse_In" localSheetId="0" hidden="1">#REF!</definedName>
    <definedName name="_MatInverse_In" localSheetId="2" hidden="1">#REF!</definedName>
    <definedName name="_MatInverse_In" hidden="1">#REF!</definedName>
    <definedName name="_MatMult_A" localSheetId="1" hidden="1">#REF!</definedName>
    <definedName name="_MatMult_A" localSheetId="0" hidden="1">#REF!</definedName>
    <definedName name="_MatMult_A" localSheetId="2" hidden="1">#REF!</definedName>
    <definedName name="_MatMult_A" hidden="1">#REF!</definedName>
    <definedName name="_MatMult_AxB" localSheetId="1" hidden="1">#REF!</definedName>
    <definedName name="_MatMult_AxB" localSheetId="0" hidden="1">#REF!</definedName>
    <definedName name="_MatMult_AxB" localSheetId="2" hidden="1">#REF!</definedName>
    <definedName name="_MatMult_AxB" hidden="1">#REF!</definedName>
    <definedName name="_MatMult_B" localSheetId="1" hidden="1">#REF!</definedName>
    <definedName name="_MatMult_B" localSheetId="0" hidden="1">#REF!</definedName>
    <definedName name="_MatMult_B" localSheetId="2" hidden="1">#REF!</definedName>
    <definedName name="_MatMult_B" hidden="1">#REF!</definedName>
    <definedName name="_Order1" hidden="1">0</definedName>
    <definedName name="_Order2" hidden="1">255</definedName>
    <definedName name="_Parse_Out" localSheetId="1" hidden="1">#REF!</definedName>
    <definedName name="_Parse_Out" localSheetId="0" hidden="1">#REF!</definedName>
    <definedName name="_Parse_Out" localSheetId="2" hidden="1">#REF!</definedName>
    <definedName name="_Parse_Out" hidden="1">#REF!</definedName>
    <definedName name="_Regression_Int" hidden="1">1</definedName>
    <definedName name="_Sort" localSheetId="1" hidden="1">#REF!</definedName>
    <definedName name="_Sort" localSheetId="0" hidden="1">#REF!</definedName>
    <definedName name="_Sort" localSheetId="2" hidden="1">#REF!</definedName>
    <definedName name="_Sort" hidden="1">#REF!</definedName>
    <definedName name="_Table1_In1" localSheetId="1" hidden="1">#REF!</definedName>
    <definedName name="_Table1_In1" localSheetId="0" hidden="1">#REF!</definedName>
    <definedName name="_Table1_In1" localSheetId="2" hidden="1">#REF!</definedName>
    <definedName name="_Table1_In1" hidden="1">#REF!</definedName>
    <definedName name="_Table1_Out" localSheetId="1" hidden="1">#REF!</definedName>
    <definedName name="_Table1_Out" localSheetId="0" hidden="1">#REF!</definedName>
    <definedName name="_Table1_Out" localSheetId="2" hidden="1">#REF!</definedName>
    <definedName name="_Table1_Out" hidden="1">#REF!</definedName>
    <definedName name="_woogi" localSheetId="1" hidden="1">#REF!</definedName>
    <definedName name="_woogi" localSheetId="0" hidden="1">#REF!</definedName>
    <definedName name="_woogi" localSheetId="2" hidden="1">#REF!</definedName>
    <definedName name="_woogi" hidden="1">#REF!</definedName>
    <definedName name="_woogi2" localSheetId="1" hidden="1">#REF!</definedName>
    <definedName name="_woogi2" localSheetId="0" hidden="1">#REF!</definedName>
    <definedName name="_woogi2" localSheetId="2" hidden="1">#REF!</definedName>
    <definedName name="_woogi2" hidden="1">#REF!</definedName>
    <definedName name="_woogi24" localSheetId="1" hidden="1">#REF!</definedName>
    <definedName name="_woogi24" localSheetId="0" hidden="1">#REF!</definedName>
    <definedName name="_woogi24" localSheetId="2" hidden="1">#REF!</definedName>
    <definedName name="_woogi24" hidden="1">#REF!</definedName>
    <definedName name="_woogi3" localSheetId="1" hidden="1">#REF!</definedName>
    <definedName name="_woogi3" localSheetId="0" hidden="1">#REF!</definedName>
    <definedName name="_woogi3" localSheetId="2" hidden="1">#REF!</definedName>
    <definedName name="_woogi3" hidden="1">#REF!</definedName>
    <definedName name="_재ㅐ햐" localSheetId="1" hidden="1">#REF!</definedName>
    <definedName name="_재ㅐ햐" localSheetId="0" hidden="1">#REF!</definedName>
    <definedName name="_재ㅐ햐" localSheetId="2" hidden="1">#REF!</definedName>
    <definedName name="_재ㅐ햐" hidden="1">#REF!</definedName>
    <definedName name="ab" hidden="1">1</definedName>
    <definedName name="abcd" localSheetId="1" hidden="1">[10]노임이!#REF!</definedName>
    <definedName name="abcd" localSheetId="0" hidden="1">[10]노임이!#REF!</definedName>
    <definedName name="abcd" localSheetId="2" hidden="1">[10]노임이!#REF!</definedName>
    <definedName name="abcd" hidden="1">[10]노임이!#REF!</definedName>
    <definedName name="Access_Button" hidden="1">"민족문화관내역_건축__KDF_List"</definedName>
    <definedName name="AccessDatabase" hidden="1">"D:\공무jaje\98년품의-수불\98146.mdb"</definedName>
    <definedName name="ACDA" localSheetId="1" hidden="1">[11]GAEYO!#REF!</definedName>
    <definedName name="ACDA" localSheetId="0" hidden="1">[11]GAEYO!#REF!</definedName>
    <definedName name="ACDA" localSheetId="2" hidden="1">[11]GAEYO!#REF!</definedName>
    <definedName name="ACDA" hidden="1">[11]GAEYO!#REF!</definedName>
    <definedName name="ADC" localSheetId="1" hidden="1">#REF!</definedName>
    <definedName name="ADC" localSheetId="0" hidden="1">#REF!</definedName>
    <definedName name="ADC" localSheetId="2" hidden="1">#REF!</definedName>
    <definedName name="ADC" hidden="1">#REF!</definedName>
    <definedName name="A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DFHSA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GA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JH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nscount" hidden="1">1</definedName>
    <definedName name="aq" localSheetId="0" hidden="1">{#N/A,#N/A,FALSE,"CCTV"}</definedName>
    <definedName name="aq" hidden="1">{#N/A,#N/A,FALSE,"CCTV"}</definedName>
    <definedName name="ASDA" localSheetId="1" hidden="1">#REF!</definedName>
    <definedName name="ASDA" localSheetId="0" hidden="1">#REF!</definedName>
    <definedName name="ASDA" localSheetId="2" hidden="1">#REF!</definedName>
    <definedName name="ASDA" hidden="1">#REF!</definedName>
    <definedName name="asdc" localSheetId="0" hidden="1">{#N/A,#N/A,FALSE,"변경관리예산";#N/A,#N/A,FALSE,"변경장비예산";#N/A,#N/A,FALSE,"변경준설예산";#N/A,#N/A,FALSE,"변경철구예산"}</definedName>
    <definedName name="asdc" hidden="1">{#N/A,#N/A,FALSE,"변경관리예산";#N/A,#N/A,FALSE,"변경장비예산";#N/A,#N/A,FALSE,"변경준설예산";#N/A,#N/A,FALSE,"변경철구예산"}</definedName>
    <definedName name="asdf" localSheetId="0" hidden="1">{#N/A,#N/A,FALSE,"Sheet1"}</definedName>
    <definedName name="asdf" hidden="1">{#N/A,#N/A,FALSE,"Sheet1"}</definedName>
    <definedName name="AS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FD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ASRTHRT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HJ" localSheetId="0" hidden="1">{#N/A,#N/A,FALSE,"Sheet6"}</definedName>
    <definedName name="BHJ" hidden="1">{#N/A,#N/A,FALSE,"Sheet6"}</definedName>
    <definedName name="BI" localSheetId="0" hidden="1">{#N/A,#N/A,FALSE,"이태원철근"}</definedName>
    <definedName name="BI" hidden="1">{#N/A,#N/A,FALSE,"이태원철근"}</definedName>
    <definedName name="BM" localSheetId="1" hidden="1">#REF!</definedName>
    <definedName name="BM" localSheetId="0" hidden="1">#REF!</definedName>
    <definedName name="BM" localSheetId="2" hidden="1">#REF!</definedName>
    <definedName name="BM" hidden="1">#REF!</definedName>
    <definedName name="BTHRT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THRT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bvx" localSheetId="0" hidden="1">{#N/A,#N/A,FALSE,"토공2"}</definedName>
    <definedName name="bvx" hidden="1">{#N/A,#N/A,FALSE,"토공2"}</definedName>
    <definedName name="CC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C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F요인" localSheetId="1" hidden="1">#REF!</definedName>
    <definedName name="CF요인" localSheetId="0" hidden="1">#REF!</definedName>
    <definedName name="CF요인" localSheetId="2" hidden="1">#REF!</definedName>
    <definedName name="CF요인" hidden="1">#REF!</definedName>
    <definedName name="CH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.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J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ho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I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cvc" localSheetId="1" hidden="1">#REF!</definedName>
    <definedName name="cvc" localSheetId="0" hidden="1">#REF!</definedName>
    <definedName name="cvc" localSheetId="2" hidden="1">#REF!</definedName>
    <definedName name="cvc" hidden="1">#REF!</definedName>
    <definedName name="d" localSheetId="0" hidden="1">{#N/A,#N/A,FALSE,"지침";#N/A,#N/A,FALSE,"환경분석";#N/A,#N/A,FALSE,"Sheet16"}</definedName>
    <definedName name="d" hidden="1">{#N/A,#N/A,FALSE,"지침";#N/A,#N/A,FALSE,"환경분석";#N/A,#N/A,FALSE,"Sheet16"}</definedName>
    <definedName name="D021161명지남양주" localSheetId="1" hidden="1">#REF!</definedName>
    <definedName name="D021161명지남양주" localSheetId="0" hidden="1">#REF!</definedName>
    <definedName name="D021161명지남양주" localSheetId="2" hidden="1">#REF!</definedName>
    <definedName name="D021161명지남양주" hidden="1">#REF!</definedName>
    <definedName name="DAS" localSheetId="0" hidden="1">{#N/A,#N/A,FALSE,"지침";#N/A,#N/A,FALSE,"환경분석";#N/A,#N/A,FALSE,"Sheet16"}</definedName>
    <definedName name="DAS" hidden="1">{#N/A,#N/A,FALSE,"지침";#N/A,#N/A,FALSE,"환경분석";#N/A,#N/A,FALSE,"Sheet16"}</definedName>
    <definedName name="dataww" localSheetId="1" hidden="1">#REF!</definedName>
    <definedName name="dataww" localSheetId="0" hidden="1">#REF!</definedName>
    <definedName name="dataww" localSheetId="2" hidden="1">#REF!</definedName>
    <definedName name="dataww" hidden="1">#REF!</definedName>
    <definedName name="dc" localSheetId="0" hidden="1">{#N/A,#N/A,FALSE,"사업총괄";#N/A,#N/A,FALSE,"장비사업";#N/A,#N/A,FALSE,"철구사업";#N/A,#N/A,FALSE,"준설사업"}</definedName>
    <definedName name="dc" hidden="1">{#N/A,#N/A,FALSE,"사업총괄";#N/A,#N/A,FALSE,"장비사업";#N/A,#N/A,FALSE,"철구사업";#N/A,#N/A,FALSE,"준설사업"}</definedName>
    <definedName name="DD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dd" localSheetId="0" hidden="1">{#N/A,#N/A,FALSE,"CCTV"}</definedName>
    <definedName name="dddd" hidden="1">{#N/A,#N/A,FALSE,"CCTV"}</definedName>
    <definedName name="ddddd" localSheetId="1" hidden="1">#REF!</definedName>
    <definedName name="ddddd" localSheetId="0" hidden="1">#REF!</definedName>
    <definedName name="ddddd" localSheetId="2" hidden="1">#REF!</definedName>
    <definedName name="ddddd" hidden="1">#REF!</definedName>
    <definedName name="dddddddd" localSheetId="1" hidden="1">#REF!</definedName>
    <definedName name="dddddddd" localSheetId="0" hidden="1">#REF!</definedName>
    <definedName name="dddddddd" localSheetId="2" hidden="1">#REF!</definedName>
    <definedName name="dddddddd" hidden="1">#REF!</definedName>
    <definedName name="DDFR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DFR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" localSheetId="1" hidden="1">#REF!</definedName>
    <definedName name="DF" localSheetId="0" hidden="1">#REF!</definedName>
    <definedName name="DF" localSheetId="2" hidden="1">#REF!</definedName>
    <definedName name="DF" hidden="1">#REF!</definedName>
    <definedName name="DFEE" localSheetId="1" hidden="1">#REF!</definedName>
    <definedName name="DFEE" localSheetId="0" hidden="1">#REF!</definedName>
    <definedName name="DFEE" localSheetId="2" hidden="1">#REF!</definedName>
    <definedName name="DFEE" hidden="1">#REF!</definedName>
    <definedName name="DFG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G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S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FT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jdlof" localSheetId="0" hidden="1">{#N/A,#N/A,FALSE,"지침";#N/A,#N/A,FALSE,"환경분석";#N/A,#N/A,FALSE,"Sheet16"}</definedName>
    <definedName name="djdlof" hidden="1">{#N/A,#N/A,FALSE,"지침";#N/A,#N/A,FALSE,"환경분석";#N/A,#N/A,FALSE,"Sheet16"}</definedName>
    <definedName name="djnf" localSheetId="0" hidden="1">{#N/A,#N/A,FALSE,"지침";#N/A,#N/A,FALSE,"환경분석";#N/A,#N/A,FALSE,"Sheet16"}</definedName>
    <definedName name="djnf" hidden="1">{#N/A,#N/A,FALSE,"지침";#N/A,#N/A,FALSE,"환경분석";#N/A,#N/A,FALSE,"Sheet16"}</definedName>
    <definedName name="DK" localSheetId="0" hidden="1">{#N/A,#N/A,FALSE,"주간공정";#N/A,#N/A,FALSE,"주간보고";#N/A,#N/A,FALSE,"주간공정표"}</definedName>
    <definedName name="DK" hidden="1">{#N/A,#N/A,FALSE,"주간공정";#N/A,#N/A,FALSE,"주간보고";#N/A,#N/A,FALSE,"주간공정표"}</definedName>
    <definedName name="DKD" localSheetId="0" hidden="1">{#N/A,#N/A,FALSE,"주간공정";#N/A,#N/A,FALSE,"주간보고";#N/A,#N/A,FALSE,"주간공정표"}</definedName>
    <definedName name="DKD" hidden="1">{#N/A,#N/A,FALSE,"주간공정";#N/A,#N/A,FALSE,"주간보고";#N/A,#N/A,FALSE,"주간공정표"}</definedName>
    <definedName name="dkdkjf" localSheetId="1" hidden="1">[12]노임이!#REF!</definedName>
    <definedName name="dkdkjf" localSheetId="0" hidden="1">[12]노임이!#REF!</definedName>
    <definedName name="dkdkjf" localSheetId="2" hidden="1">[12]노임이!#REF!</definedName>
    <definedName name="dkdkjf" hidden="1">[12]노임이!#REF!</definedName>
    <definedName name="DKSG" localSheetId="1" hidden="1">#REF!</definedName>
    <definedName name="DKSG" localSheetId="0" hidden="1">#REF!</definedName>
    <definedName name="DKSG" localSheetId="2" hidden="1">#REF!</definedName>
    <definedName name="DKSG" hidden="1">#REF!</definedName>
    <definedName name="DKSGMLWJD" localSheetId="1" hidden="1">#REF!</definedName>
    <definedName name="DKSGMLWJD" localSheetId="0" hidden="1">#REF!</definedName>
    <definedName name="DKSGMLWJD" localSheetId="2" hidden="1">#REF!</definedName>
    <definedName name="DKSGMLWJD" hidden="1">#REF!</definedName>
    <definedName name="dks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KSR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" localSheetId="0" hidden="1">{#N/A,#N/A,FALSE,"예상손익";#N/A,#N/A,FALSE,"관리분석";#N/A,#N/A,FALSE,"장비분석";#N/A,#N/A,FALSE,"준설분석";#N/A,#N/A,FALSE,"철구분석"}</definedName>
    <definedName name="DL" hidden="1">{#N/A,#N/A,FALSE,"예상손익";#N/A,#N/A,FALSE,"관리분석";#N/A,#N/A,FALSE,"장비분석";#N/A,#N/A,FALSE,"준설분석";#N/A,#N/A,FALSE,"철구분석"}</definedName>
    <definedName name="DLD" localSheetId="0" hidden="1">{#N/A,#N/A,FALSE,"주간공정";#N/A,#N/A,FALSE,"주간보고";#N/A,#N/A,FALSE,"주간공정표"}</definedName>
    <definedName name="DLD" hidden="1">{#N/A,#N/A,FALSE,"주간공정";#N/A,#N/A,FALSE,"주간보고";#N/A,#N/A,FALSE,"주간공정표"}</definedName>
    <definedName name="dldld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ld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ldyddn" localSheetId="0" hidden="1">{"'별표'!$N$220"}</definedName>
    <definedName name="dldyddn" hidden="1">{"'별표'!$N$220"}</definedName>
    <definedName name="dlff" localSheetId="0" hidden="1">{#N/A,#N/A,FALSE,"운반시간"}</definedName>
    <definedName name="dlff" hidden="1">{#N/A,#N/A,FALSE,"운반시간"}</definedName>
    <definedName name="dn" localSheetId="0" hidden="1">{#N/A,#N/A,FALSE,"혼합골재"}</definedName>
    <definedName name="dn" hidden="1">{#N/A,#N/A,FALSE,"혼합골재"}</definedName>
    <definedName name="Dp" localSheetId="1" hidden="1">#REF!</definedName>
    <definedName name="Dp" localSheetId="0" hidden="1">#REF!</definedName>
    <definedName name="Dp" localSheetId="2" hidden="1">#REF!</definedName>
    <definedName name="Dp" hidden="1">#REF!</definedName>
    <definedName name="dsdsd" localSheetId="0" hidden="1">{#N/A,#N/A,FALSE,"운반시간"}</definedName>
    <definedName name="dsdsd" hidden="1">{#N/A,#N/A,FALSE,"운반시간"}</definedName>
    <definedName name="DSFG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FG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sgfggg" localSheetId="1" hidden="1">#REF!</definedName>
    <definedName name="dsgfggg" localSheetId="0" hidden="1">#REF!</definedName>
    <definedName name="dsgfggg" localSheetId="2" hidden="1">#REF!</definedName>
    <definedName name="dsgfggg" hidden="1">#REF!</definedName>
    <definedName name="dtㅕㅏㅡㅕㅛ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tㅕㅏㅡㅕㅛ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dudwhd" localSheetId="0" hidden="1">{#N/A,#N/A,FALSE,"CCTV"}</definedName>
    <definedName name="dudwhd" hidden="1">{#N/A,#N/A,FALSE,"CCTV"}</definedName>
    <definedName name="ED" localSheetId="1" hidden="1">#REF!</definedName>
    <definedName name="ED" localSheetId="0" hidden="1">#REF!</definedName>
    <definedName name="ED" localSheetId="2" hidden="1">#REF!</definedName>
    <definedName name="ED" hidden="1">#REF!</definedName>
    <definedName name="edssqq" localSheetId="0" hidden="1">{#N/A,#N/A,FALSE,"혼합골재"}</definedName>
    <definedName name="edssqq" hidden="1">{#N/A,#N/A,FALSE,"혼합골재"}</definedName>
    <definedName name="ee" localSheetId="0" hidden="1">{#N/A,#N/A,FALSE,"단가표지"}</definedName>
    <definedName name="ee" hidden="1">{#N/A,#N/A,FALSE,"단가표지"}</definedName>
    <definedName name="ee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ee.송운" localSheetId="0" hidden="1">{#N/A,#N/A,FALSE,"운반시간"}</definedName>
    <definedName name="eee.송운" hidden="1">{#N/A,#N/A,FALSE,"운반시간"}</definedName>
    <definedName name="eeee" localSheetId="0" hidden="1">{#N/A,#N/A,FALSE,"사업총괄";#N/A,#N/A,FALSE,"장비사업";#N/A,#N/A,FALSE,"철구사업";#N/A,#N/A,FALSE,"준설사업"}</definedName>
    <definedName name="eeee" hidden="1">{#N/A,#N/A,FALSE,"사업총괄";#N/A,#N/A,FALSE,"장비사업";#N/A,#N/A,FALSE,"철구사업";#N/A,#N/A,FALSE,"준설사업"}</definedName>
    <definedName name="EII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II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K" localSheetId="1" hidden="1">#REF!</definedName>
    <definedName name="EK" localSheetId="0" hidden="1">#REF!</definedName>
    <definedName name="EK" localSheetId="2" hidden="1">#REF!</definedName>
    <definedName name="EK" hidden="1">#REF!</definedName>
    <definedName name="ELELLELEELE" localSheetId="0" hidden="1">{#N/A,#N/A,FALSE,"주간공정";#N/A,#N/A,FALSE,"주간보고";#N/A,#N/A,FALSE,"주간공정표"}</definedName>
    <definedName name="ELELLELEELE" hidden="1">{#N/A,#N/A,FALSE,"주간공정";#N/A,#N/A,FALSE,"주간보고";#N/A,#N/A,FALSE,"주간공정표"}</definedName>
    <definedName name="en" localSheetId="0" hidden="1">{#N/A,#N/A,FALSE,"변경관리예산";#N/A,#N/A,FALSE,"변경장비예산";#N/A,#N/A,FALSE,"변경준설예산";#N/A,#N/A,FALSE,"변경철구예산"}</definedName>
    <definedName name="en" hidden="1">{#N/A,#N/A,FALSE,"변경관리예산";#N/A,#N/A,FALSE,"변경장비예산";#N/A,#N/A,FALSE,"변경준설예산";#N/A,#N/A,FALSE,"변경철구예산"}</definedName>
    <definedName name="ENJ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NJ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otkd" localSheetId="1" hidden="1">#REF!</definedName>
    <definedName name="eotkd" localSheetId="0" hidden="1">#REF!</definedName>
    <definedName name="eotkd" localSheetId="2" hidden="1">#REF!</definedName>
    <definedName name="eotkd" hidden="1">#REF!</definedName>
    <definedName name="ERQ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Q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T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TWE" localSheetId="0" hidden="1">{#N/A,#N/A,FALSE,"Sheet6"}</definedName>
    <definedName name="ETWE" hidden="1">{#N/A,#N/A,FALSE,"Sheet6"}</definedName>
    <definedName name="ETWEGF" localSheetId="0" hidden="1">{#N/A,#N/A,FALSE,"Sheet6"}</definedName>
    <definedName name="ETWEGF" hidden="1">{#N/A,#N/A,FALSE,"Sheet6"}</definedName>
    <definedName name="EW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WTWV" localSheetId="0" hidden="1">{#N/A,#N/A,FALSE,"Sheet6"}</definedName>
    <definedName name="EWTWV" hidden="1">{#N/A,#N/A,FALSE,"Sheet6"}</definedName>
    <definedName name="EYITT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EYITT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afs" localSheetId="0" hidden="1">{#N/A,#N/A,FALSE,"교리2"}</definedName>
    <definedName name="fafs" hidden="1">{#N/A,#N/A,FALSE,"교리2"}</definedName>
    <definedName name="ff" hidden="1">0</definedName>
    <definedName name="FFF" localSheetId="0" hidden="1">{#N/A,#N/A,FALSE,"교리2"}</definedName>
    <definedName name="FFF" hidden="1">{#N/A,#N/A,FALSE,"교리2"}</definedName>
    <definedName name="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" localSheetId="1" hidden="1">#REF!</definedName>
    <definedName name="fg" localSheetId="0" hidden="1">#REF!</definedName>
    <definedName name="fg" localSheetId="2" hidden="1">#REF!</definedName>
    <definedName name="fg" hidden="1">#REF!</definedName>
    <definedName name="FGASDR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ASDR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ds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ds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FG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GH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gjft" localSheetId="0" hidden="1">{#N/A,#N/A,FALSE,"Sheet6"}</definedName>
    <definedName name="fgjft" hidden="1">{#N/A,#N/A,FALSE,"Sheet6"}</definedName>
    <definedName name="fgㅗ" localSheetId="0" hidden="1">{#N/A,#N/A,FALSE,"집계표"}</definedName>
    <definedName name="fgㅗ" hidden="1">{#N/A,#N/A,FALSE,"집계표"}</definedName>
    <definedName name="FKFKFKFKF" localSheetId="0" hidden="1">{#N/A,#N/A,FALSE,"주간공정";#N/A,#N/A,FALSE,"주간보고";#N/A,#N/A,FALSE,"주간공정표"}</definedName>
    <definedName name="FKFKFKFKF" hidden="1">{#N/A,#N/A,FALSE,"주간공정";#N/A,#N/A,FALSE,"주간보고";#N/A,#N/A,FALSE,"주간공정표"}</definedName>
    <definedName name="FKGJASDL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KGJASDL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Fㅗㅎ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DBBND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EMCO" localSheetId="1" hidden="1">#REF!</definedName>
    <definedName name="GEMCO" localSheetId="0" hidden="1">#REF!</definedName>
    <definedName name="GEMCO" localSheetId="2" hidden="1">#REF!</definedName>
    <definedName name="GEMCO" hidden="1">#REF!</definedName>
    <definedName name="GEMCO1" localSheetId="1" hidden="1">#REF!</definedName>
    <definedName name="GEMCO1" localSheetId="0" hidden="1">#REF!</definedName>
    <definedName name="GEMCO1" localSheetId="2" hidden="1">#REF!</definedName>
    <definedName name="GEMCO1" hidden="1">#REF!</definedName>
    <definedName name="gfgdfg" localSheetId="1" hidden="1">[13]차액보증!#REF!</definedName>
    <definedName name="gfgdfg" localSheetId="0" hidden="1">[13]차액보증!#REF!</definedName>
    <definedName name="gfgdfg" localSheetId="2" hidden="1">[13]차액보증!#REF!</definedName>
    <definedName name="gfgdfg" hidden="1">[13]차액보증!#REF!</definedName>
    <definedName name="G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jf" localSheetId="0" hidden="1">{#N/A,#N/A,FALSE,"Sheet6"}</definedName>
    <definedName name="gfjf" hidden="1">{#N/A,#N/A,FALSE,"Sheet6"}</definedName>
    <definedName name="GFㄹ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Fㄹ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er" localSheetId="0" hidden="1">{#N/A,#N/A,FALSE,"지침";#N/A,#N/A,FALSE,"환경분석";#N/A,#N/A,FALSE,"Sheet16"}</definedName>
    <definedName name="ggger" hidden="1">{#N/A,#N/A,FALSE,"지침";#N/A,#N/A,FALSE,"환경분석";#N/A,#N/A,FALSE,"Sheet16"}</definedName>
    <definedName name="gggg" localSheetId="0" hidden="1">{#N/A,#N/A,FALSE,"지침";#N/A,#N/A,FALSE,"환경분석";#N/A,#N/A,FALSE,"Sheet16"}</definedName>
    <definedName name="gggg" hidden="1">{#N/A,#N/A,FALSE,"지침";#N/A,#N/A,FALSE,"환경분석";#N/A,#N/A,FALSE,"Sheet16"}</definedName>
    <definedName name="ggggggg" localSheetId="0" hidden="1">{#N/A,#N/A,FALSE,"전력간선"}</definedName>
    <definedName name="ggggggg" hidden="1">{#N/A,#N/A,FALSE,"전력간선"}</definedName>
    <definedName name="GGGT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GT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GTRE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j" localSheetId="0" hidden="1">{#N/A,#N/A,FALSE,"Sheet6"}</definedName>
    <definedName name="ghfj" hidden="1">{#N/A,#N/A,FALSE,"Sheet6"}</definedName>
    <definedName name="GHFSD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FSD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GF" localSheetId="0" hidden="1">{#N/A,#N/A,FALSE,"Sheet6"}</definedName>
    <definedName name="GHGF" hidden="1">{#N/A,#N/A,FALSE,"Sheet6"}</definedName>
    <definedName name="GHK" localSheetId="0" hidden="1">{"'용역비'!$A$4:$C$8"}</definedName>
    <definedName name="GHK" hidden="1">{"'용역비'!$A$4:$C$8"}</definedName>
    <definedName name="GHTRH" localSheetId="0" hidden="1">{#N/A,#N/A,FALSE,"Sheet6"}</definedName>
    <definedName name="GHTRH" hidden="1">{#N/A,#N/A,FALSE,"Sheet6"}</definedName>
    <definedName name="GHㅓㅇ허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Hㅓㅇ허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GMLWD" localSheetId="1" hidden="1">#REF!</definedName>
    <definedName name="GMLWD" localSheetId="0" hidden="1">#REF!</definedName>
    <definedName name="GMLWD" localSheetId="2" hidden="1">#REF!</definedName>
    <definedName name="GMLWD" hidden="1">#REF!</definedName>
    <definedName name="grew" localSheetId="1" hidden="1">#REF!</definedName>
    <definedName name="grew" localSheetId="0" hidden="1">#REF!</definedName>
    <definedName name="grew" localSheetId="2" hidden="1">#REF!</definedName>
    <definedName name="grew" hidden="1">#REF!</definedName>
    <definedName name="gsda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da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GSETGS" localSheetId="0" hidden="1">{#N/A,#N/A,FALSE,"Sheet6"}</definedName>
    <definedName name="GSETGS" hidden="1">{#N/A,#N/A,FALSE,"Sheet6"}</definedName>
    <definedName name="gshsdgf" localSheetId="0" hidden="1">{#N/A,#N/A,FALSE,"부대2"}</definedName>
    <definedName name="gshsdgf" hidden="1">{#N/A,#N/A,FALSE,"부대2"}</definedName>
    <definedName name="guo" localSheetId="0" hidden="1">{#N/A,#N/A,FALSE,"Sheet6"}</definedName>
    <definedName name="guo" hidden="1">{#N/A,#N/A,FALSE,"Sheet6"}</definedName>
    <definedName name="GUSTLS" localSheetId="1" hidden="1">#REF!</definedName>
    <definedName name="GUSTLS" localSheetId="0" hidden="1">#REF!</definedName>
    <definedName name="GUSTLS" localSheetId="2" hidden="1">#REF!</definedName>
    <definedName name="GUSTLS" hidden="1">#REF!</definedName>
    <definedName name="ha" localSheetId="0" hidden="1">{#N/A,#N/A,FALSE,"지침";#N/A,#N/A,FALSE,"환경분석";#N/A,#N/A,FALSE,"Sheet16"}</definedName>
    <definedName name="ha" hidden="1">{#N/A,#N/A,FALSE,"지침";#N/A,#N/A,FALSE,"환경분석";#N/A,#N/A,FALSE,"Sheet16"}</definedName>
    <definedName name="han" localSheetId="1" hidden="1">#REF!</definedName>
    <definedName name="han" localSheetId="0" hidden="1">#REF!</definedName>
    <definedName name="han" localSheetId="2" hidden="1">#REF!</definedName>
    <definedName name="han" hidden="1">#REF!</definedName>
    <definedName name="hardwar" localSheetId="1" hidden="1">#REF!</definedName>
    <definedName name="hardwar" localSheetId="0" hidden="1">#REF!</definedName>
    <definedName name="hardwar" localSheetId="2" hidden="1">#REF!</definedName>
    <definedName name="hardwar" hidden="1">#REF!</definedName>
    <definedName name="HARDWAR1" localSheetId="1" hidden="1">#REF!</definedName>
    <definedName name="HARDWAR1" localSheetId="0" hidden="1">#REF!</definedName>
    <definedName name="HARDWAR1" localSheetId="2" hidden="1">#REF!</definedName>
    <definedName name="HARDWAR1" hidden="1">#REF!</definedName>
    <definedName name="hardwar2" localSheetId="1" hidden="1">#REF!</definedName>
    <definedName name="hardwar2" localSheetId="0" hidden="1">#REF!</definedName>
    <definedName name="hardwar2" localSheetId="2" hidden="1">#REF!</definedName>
    <definedName name="hardwar2" hidden="1">#REF!</definedName>
    <definedName name="hdghndgnhg" localSheetId="1" hidden="1">#REF!</definedName>
    <definedName name="hdghndgnhg" localSheetId="0" hidden="1">#REF!</definedName>
    <definedName name="hdghndgnhg" localSheetId="2" hidden="1">#REF!</definedName>
    <definedName name="hdghndgnhg" hidden="1">#REF!</definedName>
    <definedName name="HF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F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gj" localSheetId="0" hidden="1">{#N/A,#N/A,FALSE,"Sheet6"}</definedName>
    <definedName name="hgj" hidden="1">{#N/A,#N/A,FALSE,"Sheet6"}</definedName>
    <definedName name="hj" localSheetId="0" hidden="1">{#N/A,#N/A,FALSE,"Sheet6"}</definedName>
    <definedName name="hj" hidden="1">{#N/A,#N/A,FALSE,"Sheet6"}</definedName>
    <definedName name="HTML_CodePage" hidden="1">949</definedName>
    <definedName name="HTML_Control" localSheetId="0" hidden="1">{"'별표'!$N$220"}</definedName>
    <definedName name="HTML_Control" hidden="1">{"'별표'!$N$220"}</definedName>
    <definedName name="HTML_Description" hidden="1">""</definedName>
    <definedName name="HTML_Email" hidden="1">""</definedName>
    <definedName name="HTML_Header" hidden="1">"별표"</definedName>
    <definedName name="HTML_LastUpdate" hidden="1">"98-03-12"</definedName>
    <definedName name="HTML_LineAfter" hidden="1">FALSE</definedName>
    <definedName name="HTML_LineBefore" hidden="1">FALSE</definedName>
    <definedName name="HTML_Name" hidden="1">"나승온"</definedName>
    <definedName name="HTML_OBDlg2" hidden="1">TRUE</definedName>
    <definedName name="HTML_OBDlg4" hidden="1">TRUE</definedName>
    <definedName name="HTML_OS" hidden="1">0</definedName>
    <definedName name="HTML_PathFile" hidden="1">"C:\WINDOWS\Favorites\MyHTML.htm"</definedName>
    <definedName name="HTML_Title" hidden="1">"한전감포"</definedName>
    <definedName name="HTR" localSheetId="0" hidden="1">{#N/A,#N/A,FALSE,"이태원철근"}</definedName>
    <definedName name="HTR" hidden="1">{#N/A,#N/A,FALSE,"이태원철근"}</definedName>
    <definedName name="Hㅜㄳㄹ허ㅗ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Hㅜㄳㄹ허ㅗ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" localSheetId="0" hidden="1">{#N/A,#N/A,FALSE,"지침";#N/A,#N/A,FALSE,"환경분석";#N/A,#N/A,FALSE,"Sheet16"}</definedName>
    <definedName name="ii" hidden="1">{#N/A,#N/A,FALSE,"지침";#N/A,#N/A,FALSE,"환경분석";#N/A,#N/A,FALSE,"Sheet16"}</definedName>
    <definedName name="iiiiiiiii" localSheetId="0" hidden="1">{#N/A,#N/A,FALSE,"지침";#N/A,#N/A,FALSE,"환경분석";#N/A,#N/A,FALSE,"Sheet16"}</definedName>
    <definedName name="iiiiiiiii" hidden="1">{#N/A,#N/A,FALSE,"지침";#N/A,#N/A,FALSE,"환경분석";#N/A,#N/A,FALSE,"Sheet16"}</definedName>
    <definedName name="IIJELL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IJELL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ITIO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FGJDF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G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HDSF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FOR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HSHH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jj" localSheetId="0" hidden="1">{#N/A,#N/A,FALSE,"단가표지"}</definedName>
    <definedName name="jjjj" hidden="1">{#N/A,#N/A,FALSE,"단가표지"}</definedName>
    <definedName name="JJSU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JSU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L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SH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JTG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A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DUE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ISJ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DJ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EEP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J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KSS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IIE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JWUJ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KSJWE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ktf" localSheetId="1" hidden="1">#REF!</definedName>
    <definedName name="ktf" localSheetId="0" hidden="1">#REF!</definedName>
    <definedName name="ktf" localSheetId="2" hidden="1">#REF!</definedName>
    <definedName name="ktf" hidden="1">#REF!</definedName>
    <definedName name="kty" localSheetId="1" hidden="1">#REF!</definedName>
    <definedName name="kty" localSheetId="0" hidden="1">#REF!</definedName>
    <definedName name="kty" localSheetId="2" hidden="1">#REF!</definedName>
    <definedName name="kty" hidden="1">#REF!</definedName>
    <definedName name="l.w일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.w일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AK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C산출" localSheetId="0" hidden="1">{#N/A,#N/A,FALSE,"사업총괄";#N/A,#N/A,FALSE,"장비사업";#N/A,#N/A,FALSE,"철구사업";#N/A,#N/A,FALSE,"준설사업"}</definedName>
    <definedName name="LC산출" hidden="1">{#N/A,#N/A,FALSE,"사업총괄";#N/A,#N/A,FALSE,"장비사업";#N/A,#N/A,FALSE,"철구사업";#N/A,#N/A,FALSE,"준설사업"}</definedName>
    <definedName name="LIUJHG" localSheetId="1" hidden="1">#REF!</definedName>
    <definedName name="LIUJHG" localSheetId="0" hidden="1">#REF!</definedName>
    <definedName name="LIUJHG" localSheetId="2" hidden="1">#REF!</definedName>
    <definedName name="LIUJHG" hidden="1">#REF!</definedName>
    <definedName name="LJH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JH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DIEKK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LS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IEKDK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LLSKEI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j" localSheetId="0" hidden="1">{#N/A,#N/A,FALSE,"표지"}</definedName>
    <definedName name="mj" hidden="1">{#N/A,#N/A,FALSE,"표지"}</definedName>
    <definedName name="MMM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mmmm" localSheetId="0" hidden="1">{#N/A,#N/A,FALSE,"포장단가"}</definedName>
    <definedName name="mmmm" hidden="1">{#N/A,#N/A,FALSE,"포장단가"}</definedName>
    <definedName name="nego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go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NEWNAME" localSheetId="0" hidden="1">{#N/A,#N/A,FALSE,"CCTV"}</definedName>
    <definedName name="NEWNAME" hidden="1">{#N/A,#N/A,FALSE,"CCTV"}</definedName>
    <definedName name="ocf" localSheetId="1" hidden="1">#REF!</definedName>
    <definedName name="ocf" localSheetId="0" hidden="1">#REF!</definedName>
    <definedName name="ocf" localSheetId="2" hidden="1">#REF!</definedName>
    <definedName name="ocf" hidden="1">#REF!</definedName>
    <definedName name="oiy" localSheetId="0" hidden="1">{#N/A,#N/A,FALSE,"포장2"}</definedName>
    <definedName name="oiy" hidden="1">{#N/A,#N/A,FALSE,"포장2"}</definedName>
    <definedName name="ONP" localSheetId="1" hidden="1">#REF!</definedName>
    <definedName name="ONP" localSheetId="0" hidden="1">#REF!</definedName>
    <definedName name="ONP" localSheetId="2" hidden="1">#REF!</definedName>
    <definedName name="ONP" hidden="1">#REF!</definedName>
    <definedName name="OP" localSheetId="1" hidden="1">#REF!</definedName>
    <definedName name="OP" localSheetId="0" hidden="1">#REF!</definedName>
    <definedName name="OP" localSheetId="2" hidden="1">#REF!</definedName>
    <definedName name="OP" hidden="1">#REF!</definedName>
    <definedName name="opo" localSheetId="0" hidden="1">{#N/A,#N/A,FALSE,"지침";#N/A,#N/A,FALSE,"환경분석";#N/A,#N/A,FALSE,"Sheet16"}</definedName>
    <definedName name="opo" hidden="1">{#N/A,#N/A,FALSE,"지침";#N/A,#N/A,FALSE,"환경분석";#N/A,#N/A,FALSE,"Sheet16"}</definedName>
    <definedName name="order2" hidden="1">0</definedName>
    <definedName name="P.R.D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.R.D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ppppp" localSheetId="0" hidden="1">{#N/A,#N/A,FALSE,"지침";#N/A,#N/A,FALSE,"환경분석";#N/A,#N/A,FALSE,"Sheet16"}</definedName>
    <definedName name="ppppp" hidden="1">{#N/A,#N/A,FALSE,"지침";#N/A,#N/A,FALSE,"환경분석";#N/A,#N/A,FALSE,"Sheet16"}</definedName>
    <definedName name="_xlnm.Print_Area" localSheetId="1">' 갑지-1'!$A$1:$M$36</definedName>
    <definedName name="_xlnm.Print_Area" localSheetId="0">갑지!$A$1:$H$23</definedName>
    <definedName name="_xlnm.Print_Area" localSheetId="2">상세!$A$1:$M$410</definedName>
    <definedName name="_xlnm.Print_Titles" localSheetId="1">' 갑지-1'!$4:$5</definedName>
    <definedName name="_xlnm.Print_Titles" localSheetId="2">상세!$2:$3</definedName>
    <definedName name="QA" localSheetId="1" hidden="1">#REF!</definedName>
    <definedName name="QA" localSheetId="0" hidden="1">#REF!</definedName>
    <definedName name="QA" localSheetId="2" hidden="1">#REF!</definedName>
    <definedName name="QA" hidden="1">#REF!</definedName>
    <definedName name="QFFGGB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FFGGB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ncjstkdehdwhrud" localSheetId="0" hidden="1">{#N/A,#N/A,TRUE,"1";#N/A,#N/A,TRUE,"2";#N/A,#N/A,TRUE,"3";#N/A,#N/A,TRUE,"4";#N/A,#N/A,TRUE,"5";#N/A,#N/A,TRUE,"6";#N/A,#N/A,TRUE,"7"}</definedName>
    <definedName name="qncjstkdehdwhrud" hidden="1">{#N/A,#N/A,TRUE,"1";#N/A,#N/A,TRUE,"2";#N/A,#N/A,TRUE,"3";#N/A,#N/A,TRUE,"4";#N/A,#N/A,TRUE,"5";#N/A,#N/A,TRUE,"6";#N/A,#N/A,TRUE,"7"}</definedName>
    <definedName name="qor" hidden="1">[14]실행철강하도!$A$1:$A$4</definedName>
    <definedName name="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QQQQQQ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" localSheetId="0" hidden="1">{#N/A,#N/A,FALSE,"단가표지"}</definedName>
    <definedName name="qw" hidden="1">{#N/A,#N/A,FALSE,"단가표지"}</definedName>
    <definedName name="QW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QW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수량산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aker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T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EU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H" localSheetId="0" hidden="1">{#N/A,#N/A,FALSE,"주간공정";#N/A,#N/A,FALSE,"주간보고";#N/A,#N/A,FALSE,"주간공정표"}</definedName>
    <definedName name="RH" hidden="1">{#N/A,#N/A,FALSE,"주간공정";#N/A,#N/A,FALSE,"주간보고";#N/A,#N/A,FALSE,"주간공정표"}</definedName>
    <definedName name="RJJRJR" localSheetId="0" hidden="1">{#N/A,#N/A,FALSE,"주간공정";#N/A,#N/A,FALSE,"주간보고";#N/A,#N/A,FALSE,"주간공정표"}</definedName>
    <definedName name="RJJRJR" hidden="1">{#N/A,#N/A,FALSE,"주간공정";#N/A,#N/A,FALSE,"주간보고";#N/A,#N/A,FALSE,"주간공정표"}</definedName>
    <definedName name="rkdkd" localSheetId="0" hidden="1">{#N/A,#N/A,FALSE,"2~8번"}</definedName>
    <definedName name="rkdkd" hidden="1">{#N/A,#N/A,FALSE,"2~8번"}</definedName>
    <definedName name="RKRKRKRK" localSheetId="0" hidden="1">{#N/A,#N/A,FALSE,"주간공정";#N/A,#N/A,FALSE,"주간보고";#N/A,#N/A,FALSE,"주간공정표"}</definedName>
    <definedName name="RKRKRKRK" hidden="1">{#N/A,#N/A,FALSE,"주간공정";#N/A,#N/A,FALSE,"주간보고";#N/A,#N/A,FALSE,"주간공정표"}</definedName>
    <definedName name="Royalty" localSheetId="0" hidden="1">{#N/A,#N/A,FALSE,"Sheet1"}</definedName>
    <definedName name="Royalty" hidden="1">{#N/A,#N/A,FALSE,"Sheet1"}</definedName>
    <definedName name="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rr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U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TY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YU" localSheetId="0" hidden="1">{#N/A,#N/A,FALSE,"현장 NCR 분석";#N/A,#N/A,FALSE,"현장품질감사";#N/A,#N/A,FALSE,"현장품질감사"}</definedName>
    <definedName name="RYU" hidden="1">{#N/A,#N/A,FALSE,"현장 NCR 분석";#N/A,#N/A,FALSE,"현장품질감사";#N/A,#N/A,FALSE,"현장품질감사"}</definedName>
    <definedName name="R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R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" localSheetId="0" hidden="1">{#N/A,#N/A,FALSE,"사업총괄";#N/A,#N/A,FALSE,"장비사업";#N/A,#N/A,FALSE,"철구사업";#N/A,#N/A,FALSE,"준설사업"}</definedName>
    <definedName name="s" hidden="1">{#N/A,#N/A,FALSE,"사업총괄";#N/A,#N/A,FALSE,"장비사업";#N/A,#N/A,FALSE,"철구사업";#N/A,#N/A,FALSE,"준설사업"}</definedName>
    <definedName name="sae" localSheetId="0" hidden="1">{#N/A,#N/A,TRUE,"TITLE"}</definedName>
    <definedName name="sae" hidden="1">{#N/A,#N/A,TRUE,"TITLE"}</definedName>
    <definedName name="SAF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AF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DFFDDDFFGD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as" localSheetId="0" hidden="1">{#N/A,#N/A,FALSE,"Sheet1"}</definedName>
    <definedName name="sdas" hidden="1">{#N/A,#N/A,FALSE,"Sheet1"}</definedName>
    <definedName name="SDF" localSheetId="1" hidden="1">#REF!</definedName>
    <definedName name="SDF" localSheetId="0" hidden="1">#REF!</definedName>
    <definedName name="SDF" localSheetId="2" hidden="1">#REF!</definedName>
    <definedName name="SDF" hidden="1">#REF!</definedName>
    <definedName name="SD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FHAEHTQ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dg" localSheetId="1" hidden="1">#REF!</definedName>
    <definedName name="sdg" localSheetId="0" hidden="1">#REF!</definedName>
    <definedName name="sdg" localSheetId="2" hidden="1">#REF!</definedName>
    <definedName name="sdg" hidden="1">#REF!</definedName>
    <definedName name="S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ERVICE" localSheetId="0" hidden="1">{#N/A,#N/A,FALSE,"이태원철근"}</definedName>
    <definedName name="SERVICE" hidden="1">{#N/A,#N/A,FALSE,"이태원철근"}</definedName>
    <definedName name="sfdgnl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dgnl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F어ㅜㅈ저ㅗㄱ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gda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HEET100" localSheetId="1" hidden="1">#REF!</definedName>
    <definedName name="SHEET100" localSheetId="0" hidden="1">#REF!</definedName>
    <definedName name="SHEET100" localSheetId="2" hidden="1">#REF!</definedName>
    <definedName name="SHEET100" hidden="1">#REF!</definedName>
    <definedName name="sj" localSheetId="1" hidden="1">#REF!</definedName>
    <definedName name="sj" localSheetId="0" hidden="1">#REF!</definedName>
    <definedName name="sj" localSheetId="2" hidden="1">#REF!</definedName>
    <definedName name="sj" hidden="1">#REF!</definedName>
    <definedName name="skskksksks" localSheetId="0" hidden="1">{#N/A,#N/A,FALSE,"주간공정";#N/A,#N/A,FALSE,"주간보고";#N/A,#N/A,FALSE,"주간공정표"}</definedName>
    <definedName name="skskksksks" hidden="1">{#N/A,#N/A,FALSE,"주간공정";#N/A,#N/A,FALSE,"주간보고";#N/A,#N/A,FALSE,"주간공정표"}</definedName>
    <definedName name="SL" localSheetId="0" hidden="1">{#N/A,#N/A,FALSE,"주간공정";#N/A,#N/A,FALSE,"주간보고";#N/A,#N/A,FALSE,"주간공정표"}</definedName>
    <definedName name="SL" hidden="1">{#N/A,#N/A,FALSE,"주간공정";#N/A,#N/A,FALSE,"주간보고";#N/A,#N/A,FALSE,"주간공정표"}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1</definedName>
    <definedName name="solver_nwt" hidden="1">1</definedName>
    <definedName name="solver_opt" localSheetId="1" hidden="1">#REF!</definedName>
    <definedName name="solver_opt" localSheetId="0" hidden="1">#REF!</definedName>
    <definedName name="solver_opt" localSheetId="2" hidden="1">#REF!</definedName>
    <definedName name="solver_opt" hidden="1">#REF!</definedName>
    <definedName name="solver_pre" hidden="1">0.000001</definedName>
    <definedName name="solver_rel1" hidden="1">1</definedName>
    <definedName name="solver_rhs1" hidden="1">500000000</definedName>
    <definedName name="solver_scl" hidden="1">2</definedName>
    <definedName name="solver_sho" hidden="1">2</definedName>
    <definedName name="solver_tim" hidden="1">100</definedName>
    <definedName name="solver_tmp" hidden="1">500000000</definedName>
    <definedName name="solver_tol" hidden="1">0.05</definedName>
    <definedName name="solver_typ" hidden="1">1</definedName>
    <definedName name="solver_val" hidden="1">0</definedName>
    <definedName name="srtjuryujr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rtjuryujr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asa" localSheetId="0" hidden="1">{#N/A,#N/A,FALSE,"교리2"}</definedName>
    <definedName name="ssasa" hidden="1">{#N/A,#N/A,FALSE,"교리2"}</definedName>
    <definedName name="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SSSS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SWS" localSheetId="1" hidden="1">#REF!</definedName>
    <definedName name="SWS" localSheetId="0" hidden="1">#REF!</definedName>
    <definedName name="SWS" localSheetId="2" hidden="1">#REF!</definedName>
    <definedName name="SWS" hidden="1">#REF!</definedName>
    <definedName name="swㅗ" localSheetId="0" hidden="1">{#N/A,#N/A,FALSE,"집계표"}</definedName>
    <definedName name="swㅗ" hidden="1">{#N/A,#N/A,FALSE,"집계표"}</definedName>
    <definedName name="TANK" localSheetId="0" hidden="1">{#N/A,#N/A,FALSE,"CCTV"}</definedName>
    <definedName name="TANK" hidden="1">{#N/A,#N/A,FALSE,"CCTV"}</definedName>
    <definedName name="tdrutru" localSheetId="0" hidden="1">{#N/A,#N/A,FALSE,"Sheet6"}</definedName>
    <definedName name="tdrutru" hidden="1">{#N/A,#N/A,FALSE,"Sheet6"}</definedName>
    <definedName name="temporary" localSheetId="0" hidden="1">{#N/A,#N/A,FALSE,"CCTV"}</definedName>
    <definedName name="temporary" hidden="1">{#N/A,#N/A,FALSE,"CCTV"}</definedName>
    <definedName name="tg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g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N" localSheetId="1" hidden="1">#REF!</definedName>
    <definedName name="TN" localSheetId="0" hidden="1">#REF!</definedName>
    <definedName name="TN" localSheetId="2" hidden="1">#REF!</definedName>
    <definedName name="TN" hidden="1">#REF!</definedName>
    <definedName name="tree수정" localSheetId="0" hidden="1">{#N/A,#N/A,FALSE,"지침";#N/A,#N/A,FALSE,"환경분석";#N/A,#N/A,FALSE,"Sheet16"}</definedName>
    <definedName name="tree수정" hidden="1">{#N/A,#N/A,FALSE,"지침";#N/A,#N/A,FALSE,"환경분석";#N/A,#N/A,FALSE,"Sheet16"}</definedName>
    <definedName name="TRHEE" localSheetId="0" hidden="1">{#N/A,#N/A,FALSE,"Sheet6"}</definedName>
    <definedName name="TRHEE" hidden="1">{#N/A,#N/A,FALSE,"Sheet6"}</definedName>
    <definedName name="TR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R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t" localSheetId="0" hidden="1">{#N/A,#N/A,FALSE,"단가표지"}</definedName>
    <definedName name="tt" hidden="1">{#N/A,#N/A,FALSE,"단가표지"}</definedName>
    <definedName name="ttr" localSheetId="0" hidden="1">{#N/A,#N/A,FALSE,"Sheet6"}</definedName>
    <definedName name="ttr" hidden="1">{#N/A,#N/A,FALSE,"Sheet6"}</definedName>
    <definedName name="ttttt" localSheetId="0" hidden="1">{#N/A,#N/A,FALSE,"지침";#N/A,#N/A,FALSE,"환경분석";#N/A,#N/A,FALSE,"Sheet16"}</definedName>
    <definedName name="ttttt" hidden="1">{#N/A,#N/A,FALSE,"지침";#N/A,#N/A,FALSE,"환경분석";#N/A,#N/A,FALSE,"Sheet16"}</definedName>
    <definedName name="TWAHTR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WAHTR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I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yiutyui" localSheetId="0" hidden="1">{#N/A,#N/A,FALSE,"Sheet6"}</definedName>
    <definedName name="tyiutyui" hidden="1">{#N/A,#N/A,FALSE,"Sheet6"}</definedName>
    <definedName name="t뎌ㅓㅜㅅㄷ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t뎌ㅓㅜㅅㄷ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jdffdf" localSheetId="0" hidden="1">{#N/A,#N/A,FALSE,"단가표지"}</definedName>
    <definedName name="ujdffdf" hidden="1">{#N/A,#N/A,FALSE,"단가표지"}</definedName>
    <definedName name="ukj" localSheetId="0" hidden="1">{#N/A,#N/A,FALSE,"전력간선"}</definedName>
    <definedName name="ukj" hidden="1">{#N/A,#N/A,FALSE,"전력간선"}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p" localSheetId="0" hidden="1">{#N/A,#N/A,FALSE,"지침";#N/A,#N/A,FALSE,"환경분석";#N/A,#N/A,FALSE,"Sheet16"}</definedName>
    <definedName name="up" hidden="1">{#N/A,#N/A,FALSE,"지침";#N/A,#N/A,FALSE,"환경분석";#N/A,#N/A,FALSE,"Sheet16"}</definedName>
    <definedName name="uuuu" localSheetId="0" hidden="1">{#N/A,#N/A,FALSE,"단가표지"}</definedName>
    <definedName name="uuuu" hidden="1">{#N/A,#N/A,FALSE,"단가표지"}</definedName>
    <definedName name="UY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uyteyj" localSheetId="1" hidden="1">#REF!</definedName>
    <definedName name="uyteyj" localSheetId="0" hidden="1">#REF!</definedName>
    <definedName name="uyteyj" localSheetId="2" hidden="1">#REF!</definedName>
    <definedName name="uyteyj" hidden="1">#REF!</definedName>
    <definedName name="VB" localSheetId="0" hidden="1">{#N/A,#N/A,FALSE,"이태원철근"}</definedName>
    <definedName name="VB" hidden="1">{#N/A,#N/A,FALSE,"이태원철근"}</definedName>
    <definedName name="vbnhj" localSheetId="0" hidden="1">{#N/A,#N/A,FALSE,"Sheet6"}</definedName>
    <definedName name="vbnhj" hidden="1">{#N/A,#N/A,FALSE,"Sheet6"}</definedName>
    <definedName name="vcc" localSheetId="0" hidden="1">{#N/A,#N/A,FALSE,"구조1"}</definedName>
    <definedName name="vcc" hidden="1">{#N/A,#N/A,FALSE,"구조1"}</definedName>
    <definedName name="weqwe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qwe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err" localSheetId="0" hidden="1">{#N/A,#N/A,FALSE,"운반시간"}</definedName>
    <definedName name="wererr" hidden="1">{#N/A,#N/A,FALSE,"운반시간"}</definedName>
    <definedName name="werewr" localSheetId="0" hidden="1">{#N/A,#N/A,FALSE,"골재소요량";#N/A,#N/A,FALSE,"골재소요량"}</definedName>
    <definedName name="werewr" hidden="1">{#N/A,#N/A,FALSE,"골재소요량";#N/A,#N/A,FALSE,"골재소요량"}</definedName>
    <definedName name="werq" localSheetId="0" hidden="1">{"'별표'!$N$220"}</definedName>
    <definedName name="werq" hidden="1">{"'별표'!$N$220"}</definedName>
    <definedName name="WER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R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EYT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lqrp" hidden="1">0</definedName>
    <definedName name="wm.조골재1" localSheetId="0" hidden="1">{#N/A,#N/A,FALSE,"조골재"}</definedName>
    <definedName name="wm.조골재1" hidden="1">{#N/A,#N/A,FALSE,"조골재"}</definedName>
    <definedName name="WPWPPW" localSheetId="0" hidden="1">{#N/A,#N/A,FALSE,"주간공정";#N/A,#N/A,FALSE,"주간보고";#N/A,#N/A,FALSE,"주간공정표"}</definedName>
    <definedName name="WPWPPW" hidden="1">{#N/A,#N/A,FALSE,"주간공정";#N/A,#N/A,FALSE,"주간보고";#N/A,#N/A,FALSE,"주간공정표"}</definedName>
    <definedName name="WQER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ER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QR" localSheetId="0" hidden="1">{#N/A,#N/A,FALSE,"Sheet1"}</definedName>
    <definedName name="WQR" hidden="1">{#N/A,#N/A,FALSE,"Sheet1"}</definedName>
    <definedName name="WRITE" localSheetId="0" hidden="1">{#N/A,#N/A,FALSE,"CCTV"}</definedName>
    <definedName name="WRITE" hidden="1">{#N/A,#N/A,FALSE,"CCTV"}</definedName>
    <definedName name="WRM" localSheetId="0" hidden="1">{#N/A,#N/A,FALSE,"전력간선"}</definedName>
    <definedName name="WRM" hidden="1">{#N/A,#N/A,FALSE,"전력간선"}</definedName>
    <definedName name="wrn.0812ESC.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0812ESC.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wrn.2번." localSheetId="0" hidden="1">{#N/A,#N/A,FALSE,"2~8번"}</definedName>
    <definedName name="wrn.2번." hidden="1">{#N/A,#N/A,FALSE,"2~8번"}</definedName>
    <definedName name="wrn.34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34건물기초.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wrn.97." localSheetId="0" hidden="1">{#N/A,#N/A,FALSE,"지침";#N/A,#N/A,FALSE,"환경분석";#N/A,#N/A,FALSE,"Sheet16"}</definedName>
    <definedName name="wrn.97." hidden="1">{#N/A,#N/A,FALSE,"지침";#N/A,#N/A,FALSE,"환경분석";#N/A,#N/A,FALSE,"Sheet16"}</definedName>
    <definedName name="wrn.97년._.사업계획._.및._.예산지침." localSheetId="0" hidden="1">{#N/A,#N/A,TRUE,"1";#N/A,#N/A,TRUE,"2";#N/A,#N/A,TRUE,"3";#N/A,#N/A,TRUE,"4";#N/A,#N/A,TRUE,"5";#N/A,#N/A,TRUE,"6";#N/A,#N/A,TRUE,"7"}</definedName>
    <definedName name="wrn.97년._.사업계획._.및._.예산지침." hidden="1">{#N/A,#N/A,TRUE,"1";#N/A,#N/A,TRUE,"2";#N/A,#N/A,TRUE,"3";#N/A,#N/A,TRUE,"4";#N/A,#N/A,TRUE,"5";#N/A,#N/A,TRUE,"6";#N/A,#N/A,TRUE,"7"}</definedName>
    <definedName name="WRN.98." localSheetId="0" hidden="1">{#N/A,#N/A,FALSE,"지침";#N/A,#N/A,FALSE,"환경분석";#N/A,#N/A,FALSE,"Sheet16"}</definedName>
    <definedName name="WRN.98." hidden="1">{#N/A,#N/A,FALSE,"지침";#N/A,#N/A,FALSE,"환경분석";#N/A,#N/A,FALSE,"Sheet16"}</definedName>
    <definedName name="wrn.ac30prn." localSheetId="0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ac30prn." hidden="1">{#N/A,#N/A,FALSE,"별표20 ";#N/A,#N/A,FALSE,"부표";#N/A,#N/A,FALSE,"품셈내역";#N/A,#N/A,FALSE,"품셈집계";#N/A,#N/A,FALSE,"내역서";#N/A,#N/A,FALSE,"집계표";#N/A,#N/A,FALSE,"표지";#N/A,#N/A,FALSE,"별표총괄표"}</definedName>
    <definedName name="wrn.BM." localSheetId="0" hidden="1">{#N/A,#N/A,FALSE,"CCTV"}</definedName>
    <definedName name="wrn.BM." hidden="1">{#N/A,#N/A,FALSE,"CCTV"}</definedName>
    <definedName name="wrn.FIII._.HOOK._.UP._.견적서." localSheetId="0" hidden="1">{#N/A,#N/A,TRUE,"960318-1";#N/A,#N/A,TRUE,"960318-2";#N/A,#N/A,TRUE,"960318-3"}</definedName>
    <definedName name="wrn.FIII._.HOOK._.UP._.견적서." hidden="1">{#N/A,#N/A,TRUE,"960318-1";#N/A,#N/A,TRUE,"960318-2";#N/A,#N/A,TRUE,"960318-3"}</definedName>
    <definedName name="wrn.test1." localSheetId="0" hidden="1">{#N/A,#N/A,FALSE,"명세표"}</definedName>
    <definedName name="wrn.test1." hidden="1">{#N/A,#N/A,FALSE,"명세표"}</definedName>
    <definedName name="wrn.건물기초.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물기초.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wrn.건설기계사업소._.상반기보고." localSheetId="0" hidden="1">{#N/A,#N/A,FALSE,"사업총괄";#N/A,#N/A,FALSE,"장비사업";#N/A,#N/A,FALSE,"철구사업";#N/A,#N/A,FALSE,"준설사업"}</definedName>
    <definedName name="wrn.건설기계사업소._.상반기보고." hidden="1">{#N/A,#N/A,FALSE,"사업총괄";#N/A,#N/A,FALSE,"장비사업";#N/A,#N/A,FALSE,"철구사업";#N/A,#N/A,FALSE,"준설사업"}</definedName>
    <definedName name="wrn.고희석." localSheetId="0" hidden="1">{#N/A,#N/A,FALSE,"교리2"}</definedName>
    <definedName name="wrn.고희석." hidden="1">{#N/A,#N/A,FALSE,"교리2"}</definedName>
    <definedName name="wrn.골재소요량." localSheetId="0" hidden="1">{#N/A,#N/A,FALSE,"골재소요량";#N/A,#N/A,FALSE,"골재소요량"}</definedName>
    <definedName name="wrn.골재소요량." hidden="1">{#N/A,#N/A,FALSE,"골재소요량";#N/A,#N/A,FALSE,"골재소요량"}</definedName>
    <definedName name="wrn.교육청." localSheetId="0" hidden="1">{#N/A,#N/A,FALSE,"전력간선"}</definedName>
    <definedName name="wrn.교육청." hidden="1">{#N/A,#N/A,FALSE,"전력간선"}</definedName>
    <definedName name="wrn.구조2." localSheetId="0" hidden="1">{#N/A,#N/A,FALSE,"구조2"}</definedName>
    <definedName name="wrn.구조2." hidden="1">{#N/A,#N/A,FALSE,"구조2"}</definedName>
    <definedName name="wrn.기성." localSheetId="0" hidden="1">{#N/A,#N/A,FALSE,"신청통보";#N/A,#N/A,FALSE,"기성확인서";#N/A,#N/A,FALSE,"기성내역서"}</definedName>
    <definedName name="wrn.기성." hidden="1">{#N/A,#N/A,FALSE,"신청통보";#N/A,#N/A,FALSE,"기성확인서";#N/A,#N/A,FALSE,"기성내역서"}</definedName>
    <definedName name="wrn.기초." localSheetId="0" hidden="1">{#N/A,#N/A,FALSE,"터빈집계";#N/A,#N/A,FALSE,"터빈내역";#N/A,#N/A,FALSE,"보일러집계";#N/A,#N/A,FALSE,"보일러내역"}</definedName>
    <definedName name="wrn.기초." hidden="1">{#N/A,#N/A,FALSE,"터빈집계";#N/A,#N/A,FALSE,"터빈내역";#N/A,#N/A,FALSE,"보일러집계";#N/A,#N/A,FALSE,"보일러내역"}</definedName>
    <definedName name="wrn.단가표지." localSheetId="0" hidden="1">{#N/A,#N/A,FALSE,"단가표지"}</definedName>
    <definedName name="wrn.단가표지." hidden="1">{#N/A,#N/A,FALSE,"단가표지"}</definedName>
    <definedName name="wrn.담배인삼공사._.실행품의." localSheetId="0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담배인삼공사._.실행품의." hidden="1">{#N/A,#N/A,FALSE,"품의서";#N/A,#N/A,FALSE,"견적실행대비분석표";#N/A,#N/A,FALSE,"공종별도급대비견적실행";#N/A,#N/A,FALSE,"외주공사 추정금액";#N/A,#N/A,FALSE,"공종별도급대비계약현황";#N/A,#N/A,FALSE,"공종별도급대비견적현황"}</definedName>
    <definedName name="wrn.리스현황." localSheetId="0" hidden="1">{#N/A,#N/A,FALSE,"집계표"}</definedName>
    <definedName name="wrn.리스현황." hidden="1">{#N/A,#N/A,FALSE,"집계표"}</definedName>
    <definedName name="wrn.배수1." localSheetId="0" hidden="1">{#N/A,#N/A,FALSE,"배수1"}</definedName>
    <definedName name="wrn.배수1." hidden="1">{#N/A,#N/A,FALSE,"배수1"}</definedName>
    <definedName name="wrn.배수2." localSheetId="0" hidden="1">{#N/A,#N/A,FALSE,"배수2"}</definedName>
    <definedName name="wrn.배수2." hidden="1">{#N/A,#N/A,FALSE,"배수2"}</definedName>
    <definedName name="wrn.변경예산." localSheetId="0" hidden="1">{#N/A,#N/A,FALSE,"변경관리예산";#N/A,#N/A,FALSE,"변경장비예산";#N/A,#N/A,FALSE,"변경준설예산";#N/A,#N/A,FALSE,"변경철구예산"}</definedName>
    <definedName name="wrn.변경예산." hidden="1">{#N/A,#N/A,FALSE,"변경관리예산";#N/A,#N/A,FALSE,"변경장비예산";#N/A,#N/A,FALSE,"변경준설예산";#N/A,#N/A,FALSE,"변경철구예산"}</definedName>
    <definedName name="wrn.보일러마감." localSheetId="0" hidden="1">{#N/A,#N/A,FALSE,"물가변동 (2)";#N/A,#N/A,FALSE,"공사비";#N/A,#N/A,FALSE,"사급";#N/A,#N/A,FALSE,"도급집계";#N/A,#N/A,FALSE,"재료비";#N/A,#N/A,FALSE,"노무비";#N/A,#N/A,FALSE,"경비"}</definedName>
    <definedName name="wrn.보일러마감." hidden="1">{#N/A,#N/A,FALSE,"물가변동 (2)";#N/A,#N/A,FALSE,"공사비";#N/A,#N/A,FALSE,"사급";#N/A,#N/A,FALSE,"도급집계";#N/A,#N/A,FALSE,"재료비";#N/A,#N/A,FALSE,"노무비";#N/A,#N/A,FALSE,"경비"}</definedName>
    <definedName name="wrn.부대1." localSheetId="0" hidden="1">{#N/A,#N/A,FALSE,"부대1"}</definedName>
    <definedName name="wrn.부대1." hidden="1">{#N/A,#N/A,FALSE,"부대1"}</definedName>
    <definedName name="wrn.부대2." localSheetId="0" hidden="1">{#N/A,#N/A,FALSE,"부대2"}</definedName>
    <definedName name="wrn.부대2." hidden="1">{#N/A,#N/A,FALSE,"부대2"}</definedName>
    <definedName name="wrn.부산주경기장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사업현황.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사업현황.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wrn.속도." localSheetId="0" hidden="1">{#N/A,#N/A,FALSE,"속도"}</definedName>
    <definedName name="wrn.속도." hidden="1">{#N/A,#N/A,FALSE,"속도"}</definedName>
    <definedName name="wrn.손익보고.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시행결의." localSheetId="0" hidden="1">{#N/A,#N/A,FALSE,"도급대비시행율";#N/A,#N/A,FALSE,"결의서";#N/A,#N/A,FALSE,"내역서";#N/A,#N/A,FALSE,"도급예상"}</definedName>
    <definedName name="wrn.시행결의." hidden="1">{#N/A,#N/A,FALSE,"도급대비시행율";#N/A,#N/A,FALSE,"결의서";#N/A,#N/A,FALSE,"내역서";#N/A,#N/A,FALSE,"도급예상"}</definedName>
    <definedName name="wrn.신용찬." localSheetId="0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실행품의." localSheetId="0" hidden="1">{#N/A,#N/A,FALSE,"갑지";#N/A,#N/A,FALSE,"개요";#N/A,#N/A,FALSE,"비목별";#N/A,#N/A,FALSE,"건물별";#N/A,#N/A,FALSE,"기구표";#N/A,#N/A,FALSE,"직원투입"}</definedName>
    <definedName name="wrn.실행품의." hidden="1">{#N/A,#N/A,FALSE,"갑지";#N/A,#N/A,FALSE,"개요";#N/A,#N/A,FALSE,"비목별";#N/A,#N/A,FALSE,"건물별";#N/A,#N/A,FALSE,"기구표";#N/A,#N/A,FALSE,"직원투입"}</definedName>
    <definedName name="wrn.예상손익." localSheetId="0" hidden="1">{#N/A,#N/A,FALSE,"예상손익";#N/A,#N/A,FALSE,"관리분석";#N/A,#N/A,FALSE,"장비분석";#N/A,#N/A,FALSE,"준설분석";#N/A,#N/A,FALSE,"철구분석"}</definedName>
    <definedName name="wrn.예상손익." hidden="1">{#N/A,#N/A,FALSE,"예상손익";#N/A,#N/A,FALSE,"관리분석";#N/A,#N/A,FALSE,"장비분석";#N/A,#N/A,FALSE,"준설분석";#N/A,#N/A,FALSE,"철구분석"}</definedName>
    <definedName name="wrn.외주기성." localSheetId="0" hidden="1">{#N/A,#N/A,FALSE,"신청통보";#N/A,#N/A,FALSE,"기성확인서";#N/A,#N/A,FALSE,"기성내역서"}</definedName>
    <definedName name="wrn.외주기성." hidden="1">{#N/A,#N/A,FALSE,"신청통보";#N/A,#N/A,FALSE,"기성확인서";#N/A,#N/A,FALSE,"기성내역서"}</definedName>
    <definedName name="wrn.운반시간." localSheetId="0" hidden="1">{#N/A,#N/A,FALSE,"운반시간"}</definedName>
    <definedName name="wrn.운반시간." hidden="1">{#N/A,#N/A,FALSE,"운반시간"}</definedName>
    <definedName name="wrn.이정표." localSheetId="0" hidden="1">{#N/A,#N/A,FALSE,"이정표"}</definedName>
    <definedName name="wrn.이정표." hidden="1">{#N/A,#N/A,FALSE,"이정표"}</definedName>
    <definedName name="wrn.이태원._.철근." localSheetId="0" hidden="1">{#N/A,#N/A,FALSE,"이태원철근"}</definedName>
    <definedName name="wrn.이태원._.철근." hidden="1">{#N/A,#N/A,FALSE,"이태원철근"}</definedName>
    <definedName name="wrn.조골재." localSheetId="0" hidden="1">{#N/A,#N/A,FALSE,"조골재"}</definedName>
    <definedName name="wrn.조골재." hidden="1">{#N/A,#N/A,FALSE,"조골재"}</definedName>
    <definedName name="wrn.종점1" localSheetId="0" hidden="1">{#N/A,#N/A,FALSE,"이정표"}</definedName>
    <definedName name="wrn.종점1" hidden="1">{#N/A,#N/A,FALSE,"이정표"}</definedName>
    <definedName name="wrn.주간보고." localSheetId="0" hidden="1">{#N/A,#N/A,FALSE,"주간공정";#N/A,#N/A,FALSE,"주간보고";#N/A,#N/A,FALSE,"주간공정표"}</definedName>
    <definedName name="wrn.주간보고." hidden="1">{#N/A,#N/A,FALSE,"주간공정";#N/A,#N/A,FALSE,"주간보고";#N/A,#N/A,FALSE,"주간공정표"}</definedName>
    <definedName name="wrn.주보." localSheetId="0" hidden="1">{#N/A,#N/A,TRUE,"TITLE"}</definedName>
    <definedName name="wrn.주보." hidden="1">{#N/A,#N/A,TRUE,"TITLE"}</definedName>
    <definedName name="wrn.진각빌딩." localSheetId="0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진각빌딩." hidden="1">{#N/A,#N/A,FALSE,"품의서";#N/A,#N/A,FALSE,"견적실행대비분석표";#N/A,#N/A,FALSE,"공종별도급대비견적실행";#N/A,#N/A,FALSE,"외주공사 추정금액";#N/A,#N/A,FALSE,"공종별도급대비계약현황"}</definedName>
    <definedName name="wrn.집기비품보고서._.품목별._.및._.현장별._.집계표." localSheetId="0" hidden="1">{#N/A,#N/A,FALSE,"Sheet6"}</definedName>
    <definedName name="wrn.집기비품보고서._.품목별._.및._.현장별._.집계표." hidden="1">{#N/A,#N/A,FALSE,"Sheet6"}</definedName>
    <definedName name="wrn.철골집계표._.5칸." localSheetId="0" hidden="1">{#N/A,#N/A,FALSE,"Sheet1"}</definedName>
    <definedName name="wrn.철골집계표._.5칸." hidden="1">{#N/A,#N/A,FALSE,"Sheet1"}</definedName>
    <definedName name="wrn.토공1." localSheetId="0" hidden="1">{#N/A,#N/A,FALSE,"구조1"}</definedName>
    <definedName name="wrn.토공1." hidden="1">{#N/A,#N/A,FALSE,"구조1"}</definedName>
    <definedName name="wrn.토공2." localSheetId="0" hidden="1">{#N/A,#N/A,FALSE,"토공2"}</definedName>
    <definedName name="wrn.토공2." hidden="1">{#N/A,#N/A,FALSE,"토공2"}</definedName>
    <definedName name="wrn.통신지." localSheetId="0" hidden="1">{#N/A,#N/A,FALSE,"기안지";#N/A,#N/A,FALSE,"통신지"}</definedName>
    <definedName name="wrn.통신지." hidden="1">{#N/A,#N/A,FALSE,"기안지";#N/A,#N/A,FALSE,"통신지"}</definedName>
    <definedName name="wrn.포장1." localSheetId="0" hidden="1">{#N/A,#N/A,FALSE,"포장1";#N/A,#N/A,FALSE,"포장1"}</definedName>
    <definedName name="wrn.포장1." hidden="1">{#N/A,#N/A,FALSE,"포장1";#N/A,#N/A,FALSE,"포장1"}</definedName>
    <definedName name="wrn.포장2." localSheetId="0" hidden="1">{#N/A,#N/A,FALSE,"포장2"}</definedName>
    <definedName name="wrn.포장2." hidden="1">{#N/A,#N/A,FALSE,"포장2"}</definedName>
    <definedName name="wrn.포장단가." localSheetId="0" hidden="1">{#N/A,#N/A,FALSE,"포장단가"}</definedName>
    <definedName name="wrn.포장단가." hidden="1">{#N/A,#N/A,FALSE,"포장단가"}</definedName>
    <definedName name="wrn.표준공종단가." localSheetId="0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준공종단가." hidden="1">{"stand",#N/A,TRUE,"공종단가";"mtrvl",#N/A,TRUE,"단가산출";"gis170vl",#N/A,TRUE,"단가산출";"gis23vl",#N/A,TRUE,"단가산출";"cpdlavl",#N/A,TRUE,"단가산출";"BUSVL",#N/A,TRUE,"단가산출";"CABLE",#N/A,TRUE,"단가산출";"MTRST",#N/A,TRUE,"MTR품";"GIS170ST",#N/A,TRUE,"170GIS품";"GIS23ST",#N/A,TRUE,"25.8GIS품";"GITAST",#N/A,TRUE,"잡설비품";"STST",#N/A,TRUE,"표준공종"}</definedName>
    <definedName name="wrn.표지." localSheetId="0" hidden="1">{#N/A,#N/A,FALSE,"표지"}</definedName>
    <definedName name="wrn.표지." hidden="1">{#N/A,#N/A,FALSE,"표지"}</definedName>
    <definedName name="wrn.표지목차." localSheetId="0" hidden="1">{#N/A,#N/A,FALSE,"표지목차"}</definedName>
    <definedName name="wrn.표지목차." hidden="1">{#N/A,#N/A,FALSE,"표지목차"}</definedName>
    <definedName name="wrn.현장._.NCR._.분석." localSheetId="0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0" hidden="1">{#N/A,#N/A,FALSE,"혼합골재"}</definedName>
    <definedName name="wrn.혼합골재." hidden="1">{#N/A,#N/A,FALSE,"혼합골재"}</definedName>
    <definedName name="wrn1.주보1." localSheetId="0" hidden="1">{#N/A,#N/A,TRUE,"TITLE"}</definedName>
    <definedName name="wrn1.주보1." hidden="1">{#N/A,#N/A,TRUE,"TITLE"}</definedName>
    <definedName name="wrn2.주보2." localSheetId="0" hidden="1">{#N/A,#N/A,TRUE,"TITLE"}</definedName>
    <definedName name="wrn2.주보2." hidden="1">{#N/A,#N/A,TRUE,"TITLE"}</definedName>
    <definedName name="wrn2.주보3." localSheetId="0" hidden="1">{#N/A,#N/A,TRUE,"TITLE"}</definedName>
    <definedName name="wrn2.주보3." hidden="1">{#N/A,#N/A,TRUE,"TITLE"}</definedName>
    <definedName name="WR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HJT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TYWTU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YHWRYH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www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www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x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XCB" localSheetId="0" hidden="1">{#N/A,#N/A,FALSE,"Sheet6"}</definedName>
    <definedName name="XCB" hidden="1">{#N/A,#N/A,FALSE,"Sheet6"}</definedName>
    <definedName name="xcvc" localSheetId="1" hidden="1">#REF!</definedName>
    <definedName name="xcvc" localSheetId="0" hidden="1">#REF!</definedName>
    <definedName name="xcvc" localSheetId="2" hidden="1">#REF!</definedName>
    <definedName name="xcvc" hidden="1">#REF!</definedName>
    <definedName name="xf" localSheetId="0" hidden="1">{#N/A,#N/A,FALSE,"Sheet6"}</definedName>
    <definedName name="xf" hidden="1">{#N/A,#N/A,FALSE,"Sheet6"}</definedName>
    <definedName name="xmrrlwhrjs" localSheetId="0" hidden="1">{#N/A,#N/A,FALSE,"현장 NCR 분석";#N/A,#N/A,FALSE,"현장품질감사";#N/A,#N/A,FALSE,"현장품질감사"}</definedName>
    <definedName name="xmrrlwhrjs" hidden="1">{#N/A,#N/A,FALSE,"현장 NCR 분석";#N/A,#N/A,FALSE,"현장품질감사";#N/A,#N/A,FALSE,"현장품질감사"}</definedName>
    <definedName name="xx" localSheetId="1" hidden="1">#REF!</definedName>
    <definedName name="xx" localSheetId="0" hidden="1">#REF!</definedName>
    <definedName name="xx" localSheetId="2" hidden="1">#REF!</definedName>
    <definedName name="xx" hidden="1">#REF!</definedName>
    <definedName name="YERUJ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ERUJ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TRY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u" localSheetId="0" hidden="1">{#N/A,#N/A,FALSE,"Sheet6"}</definedName>
    <definedName name="yu" hidden="1">{#N/A,#N/A,FALSE,"Sheet6"}</definedName>
    <definedName name="yuj" localSheetId="0" hidden="1">{#N/A,#N/A,TRUE,"1";#N/A,#N/A,TRUE,"2";#N/A,#N/A,TRUE,"3";#N/A,#N/A,TRUE,"4";#N/A,#N/A,TRUE,"5";#N/A,#N/A,TRUE,"6";#N/A,#N/A,TRUE,"7"}</definedName>
    <definedName name="yuj" hidden="1">{#N/A,#N/A,TRUE,"1";#N/A,#N/A,TRUE,"2";#N/A,#N/A,TRUE,"3";#N/A,#N/A,TRUE,"4";#N/A,#N/A,TRUE,"5";#N/A,#N/A,TRUE,"6";#N/A,#N/A,TRUE,"7"}</definedName>
    <definedName name="YUTY" localSheetId="0" hidden="1">{#N/A,#N/A,FALSE,"Sheet6"}</definedName>
    <definedName name="YUTY" hidden="1">{#N/A,#N/A,FALSE,"Sheet6"}</definedName>
    <definedName name="yyy" localSheetId="0" hidden="1">{#N/A,#N/A,FALSE,"지침";#N/A,#N/A,FALSE,"환경분석";#N/A,#N/A,FALSE,"Sheet16"}</definedName>
    <definedName name="yyy" hidden="1">{#N/A,#N/A,FALSE,"지침";#N/A,#N/A,FALSE,"환경분석";#N/A,#N/A,FALSE,"Sheet16"}</definedName>
    <definedName name="yyyyy" localSheetId="0" hidden="1">{#N/A,#N/A,FALSE,"이정표"}</definedName>
    <definedName name="yyyyy" hidden="1">{#N/A,#N/A,FALSE,"이정표"}</definedName>
    <definedName name="y거ㅛ거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y거ㅛ거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_1F713D72_E6F4_11D3_8E1E_00A0244E179B_.wvu.Cols" localSheetId="1" hidden="1">#REF!</definedName>
    <definedName name="Z_1F713D72_E6F4_11D3_8E1E_00A0244E179B_.wvu.Cols" localSheetId="0" hidden="1">#REF!</definedName>
    <definedName name="Z_1F713D72_E6F4_11D3_8E1E_00A0244E179B_.wvu.Cols" localSheetId="2" hidden="1">#REF!</definedName>
    <definedName name="Z_1F713D72_E6F4_11D3_8E1E_00A0244E179B_.wvu.Cols" hidden="1">#REF!</definedName>
    <definedName name="Z_1F713D72_E6F4_11D3_8E1E_00A0244E179B_.wvu.PrintArea" localSheetId="1" hidden="1">#REF!</definedName>
    <definedName name="Z_1F713D72_E6F4_11D3_8E1E_00A0244E179B_.wvu.PrintArea" localSheetId="0" hidden="1">#REF!</definedName>
    <definedName name="Z_1F713D72_E6F4_11D3_8E1E_00A0244E179B_.wvu.PrintArea" localSheetId="2" hidden="1">#REF!</definedName>
    <definedName name="Z_1F713D72_E6F4_11D3_8E1E_00A0244E179B_.wvu.PrintArea" hidden="1">#REF!</definedName>
    <definedName name="Z_BFEEB821_E6AD_11D3_88E4_00E09870C276_.wvu.PrintArea" localSheetId="1" hidden="1">#REF!</definedName>
    <definedName name="Z_BFEEB821_E6AD_11D3_88E4_00E09870C276_.wvu.PrintArea" localSheetId="0" hidden="1">#REF!</definedName>
    <definedName name="Z_BFEEB821_E6AD_11D3_88E4_00E09870C276_.wvu.PrintArea" localSheetId="2" hidden="1">#REF!</definedName>
    <definedName name="Z_BFEEB821_E6AD_11D3_88E4_00E09870C276_.wvu.PrintArea" hidden="1">#REF!</definedName>
    <definedName name="Z_F6AB6A24_E5D5_11D3_B573_00104BA1686B_.wvu.Cols" localSheetId="1" hidden="1">#REF!,#REF!,#REF!</definedName>
    <definedName name="Z_F6AB6A24_E5D5_11D3_B573_00104BA1686B_.wvu.Cols" localSheetId="0" hidden="1">#REF!,#REF!,#REF!</definedName>
    <definedName name="Z_F6AB6A24_E5D5_11D3_B573_00104BA1686B_.wvu.Cols" localSheetId="2" hidden="1">#REF!,#REF!,#REF!</definedName>
    <definedName name="Z_F6AB6A24_E5D5_11D3_B573_00104BA1686B_.wvu.Cols" hidden="1">#REF!,#REF!,#REF!</definedName>
    <definedName name="za" hidden="1">[15]실행철강하도!$A$1:$A$4</definedName>
    <definedName name="ZGCAGADFFG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GCAGADFFG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XC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ZZZ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ㄱㄱ" localSheetId="0" hidden="1">{#N/A,#N/A,FALSE,"지침";#N/A,#N/A,FALSE,"환경분석";#N/A,#N/A,FALSE,"Sheet16"}</definedName>
    <definedName name="ㄱㄱㄱㄱ" hidden="1">{#N/A,#N/A,FALSE,"지침";#N/A,#N/A,FALSE,"환경분석";#N/A,#N/A,FALSE,"Sheet16"}</definedName>
    <definedName name="ㄱㄱㄱㄱㄱ" localSheetId="0" hidden="1">{#N/A,#N/A,FALSE,"교리2"}</definedName>
    <definedName name="ㄱㄱㄱㄱㄱ" hidden="1">{#N/A,#N/A,FALSE,"교리2"}</definedName>
    <definedName name="ㄱㄱㄱㅎ" localSheetId="0" hidden="1">{#N/A,#N/A,FALSE,"Sheet6"}</definedName>
    <definedName name="ㄱㄱㄱㅎ" hidden="1">{#N/A,#N/A,FALSE,"Sheet6"}</definedName>
    <definedName name="ㄱㄱ숃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ㄱ숃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ㄴㄷ송학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" localSheetId="0" hidden="1">{#N/A,#N/A,FALSE,"Sheet6"}</definedName>
    <definedName name="ㄱㄷㄱ" hidden="1">{#N/A,#N/A,FALSE,"Sheet6"}</definedName>
    <definedName name="ㄱㄷㄱㄷㄱ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ㄱㄷㄱ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ㄷㅅ" localSheetId="0" hidden="1">{#N/A,#N/A,FALSE,"Sheet6"}</definedName>
    <definedName name="ㄱㄷㅅ" hidden="1">{#N/A,#N/A,FALSE,"Sheet6"}</definedName>
    <definedName name="ㄱㄷㅅ히ㅏ" localSheetId="0" hidden="1">{#N/A,#N/A,FALSE,"지침";#N/A,#N/A,FALSE,"환경분석";#N/A,#N/A,FALSE,"Sheet16"}</definedName>
    <definedName name="ㄱㄷㅅ히ㅏ" hidden="1">{#N/A,#N/A,FALSE,"지침";#N/A,#N/A,FALSE,"환경분석";#N/A,#N/A,FALSE,"Sheet16"}</definedName>
    <definedName name="ㄱㄷㅈㄱㄷㅈㄱㅈㄷ" localSheetId="0" hidden="1">{#N/A,#N/A,FALSE,"혼합골재"}</definedName>
    <definedName name="ㄱㄷㅈㄱㄷㅈㄱㅈㄷ" hidden="1">{#N/A,#N/A,FALSE,"혼합골재"}</definedName>
    <definedName name="ㄱ둊셔교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둊셔교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ㄹ홍ㄱ호" localSheetId="0" hidden="1">{#N/A,#N/A,FALSE,"Sheet6"}</definedName>
    <definedName name="ㄱㄹ홍ㄱ호" hidden="1">{#N/A,#N/A,FALSE,"Sheet6"}</definedName>
    <definedName name="ㄱ려ㅓㅛ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려ㅓㅛ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ㅇ" localSheetId="0" hidden="1">{#N/A,#N/A,FALSE,"집계표"}</definedName>
    <definedName name="ㄱ서ㅗㅇ" hidden="1">{#N/A,#N/A,FALSE,"집계표"}</definedName>
    <definedName name="ㄱ서ㅗ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서ㅗ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소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솧" localSheetId="0" hidden="1">{#N/A,#N/A,FALSE,"집계표"}</definedName>
    <definedName name="ㄱ솧" hidden="1">{#N/A,#N/A,FALSE,"집계표"}</definedName>
    <definedName name="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쇽" localSheetId="0" hidden="1">{#N/A,#N/A,FALSE,"Sheet6"}</definedName>
    <definedName name="ㄱ쇽" hidden="1">{#N/A,#N/A,FALSE,"Sheet6"}</definedName>
    <definedName name="ㄱㅈ셪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셪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ㅈㅎ" localSheetId="1" hidden="1">#REF!</definedName>
    <definedName name="ㄱㅈㅎ" localSheetId="0" hidden="1">#REF!</definedName>
    <definedName name="ㄱㅈㅎ" localSheetId="2" hidden="1">#REF!</definedName>
    <definedName name="ㄱㅈㅎ" hidden="1">#REF!</definedName>
    <definedName name="ㄱ젖굑고고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젖굑고고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홍" localSheetId="0" hidden="1">{#N/A,#N/A,FALSE,"현장 NCR 분석";#N/A,#N/A,FALSE,"현장품질감사";#N/A,#N/A,FALSE,"현장품질감사"}</definedName>
    <definedName name="ㄱ홍" hidden="1">{#N/A,#N/A,FALSE,"현장 NCR 분석";#N/A,#N/A,FALSE,"현장품질감사";#N/A,#N/A,FALSE,"현장품질감사"}</definedName>
    <definedName name="ㄱ효ㅕ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ㄱ효ㅕ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가로등" localSheetId="0" hidden="1">{#N/A,#N/A,FALSE,"전력간선"}</definedName>
    <definedName name="가로등" hidden="1">{#N/A,#N/A,FALSE,"전력간선"}</definedName>
    <definedName name="가리" localSheetId="1" hidden="1">[12]노임이!#REF!</definedName>
    <definedName name="가리" localSheetId="0" hidden="1">[12]노임이!#REF!</definedName>
    <definedName name="가리" localSheetId="2" hidden="1">[12]노임이!#REF!</definedName>
    <definedName name="가리" hidden="1">[12]노임이!#REF!</definedName>
    <definedName name="가설건물면적산정" localSheetId="0" hidden="1">{#N/A,#N/A,FALSE,"사업총괄";#N/A,#N/A,FALSE,"장비사업";#N/A,#N/A,FALSE,"철구사업";#N/A,#N/A,FALSE,"준설사업"}</definedName>
    <definedName name="가설건물면적산정" hidden="1">{#N/A,#N/A,FALSE,"사업총괄";#N/A,#N/A,FALSE,"장비사업";#N/A,#N/A,FALSE,"철구사업";#N/A,#N/A,FALSE,"준설사업"}</definedName>
    <definedName name="가실행1" localSheetId="0" hidden="1">{#N/A,#N/A,FALSE,"배수1"}</definedName>
    <definedName name="가실행1" hidden="1">{#N/A,#N/A,FALSE,"배수1"}</definedName>
    <definedName name="가재가시설" localSheetId="0" hidden="1">{#N/A,#N/A,FALSE,"Sheet6"}</definedName>
    <definedName name="가재가시설" hidden="1">{#N/A,#N/A,FALSE,"Sheet6"}</definedName>
    <definedName name="간접비" localSheetId="0" hidden="1">{#N/A,#N/A,FALSE,"갑지";#N/A,#N/A,FALSE,"개요";#N/A,#N/A,FALSE,"비목별";#N/A,#N/A,FALSE,"건물별";#N/A,#N/A,FALSE,"기구표";#N/A,#N/A,FALSE,"직원투입"}</definedName>
    <definedName name="간접비" hidden="1">{#N/A,#N/A,FALSE,"갑지";#N/A,#N/A,FALSE,"개요";#N/A,#N/A,FALSE,"비목별";#N/A,#N/A,FALSE,"건물별";#N/A,#N/A,FALSE,"기구표";#N/A,#N/A,FALSE,"직원투입"}</definedName>
    <definedName name="간접비1" localSheetId="0" hidden="1">{#N/A,#N/A,FALSE,"갑지";#N/A,#N/A,FALSE,"개요";#N/A,#N/A,FALSE,"비목별";#N/A,#N/A,FALSE,"건물별";#N/A,#N/A,FALSE,"기구표";#N/A,#N/A,FALSE,"직원투입"}</definedName>
    <definedName name="간접비1" hidden="1">{#N/A,#N/A,FALSE,"갑지";#N/A,#N/A,FALSE,"개요";#N/A,#N/A,FALSE,"비목별";#N/A,#N/A,FALSE,"건물별";#N/A,#N/A,FALSE,"기구표";#N/A,#N/A,FALSE,"직원투입"}</definedName>
    <definedName name="감리상주" localSheetId="0" hidden="1">{#N/A,#N/A,FALSE,"지침";#N/A,#N/A,FALSE,"환경분석";#N/A,#N/A,FALSE,"Sheet16"}</definedName>
    <definedName name="감리상주" hidden="1">{#N/A,#N/A,FALSE,"지침";#N/A,#N/A,FALSE,"환경분석";#N/A,#N/A,FALSE,"Sheet16"}</definedName>
    <definedName name="감복만" localSheetId="0" hidden="1">{#N/A,#N/A,FALSE,"교리2"}</definedName>
    <definedName name="감복만" hidden="1">{#N/A,#N/A,FALSE,"교리2"}</definedName>
    <definedName name="감승주" localSheetId="0" hidden="1">{#N/A,#N/A,FALSE,"교리2"}</definedName>
    <definedName name="감승주" hidden="1">{#N/A,#N/A,FALSE,"교리2"}</definedName>
    <definedName name="강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교" localSheetId="0" hidden="1">{#N/A,#N/A,FALSE,"포장2"}</definedName>
    <definedName name="강교" hidden="1">{#N/A,#N/A,FALSE,"포장2"}</definedName>
    <definedName name="강구조물" localSheetId="0" hidden="1">{#N/A,#N/A,FALSE,"포장1";#N/A,#N/A,FALSE,"포장1"}</definedName>
    <definedName name="강구조물" hidden="1">{#N/A,#N/A,FALSE,"포장1";#N/A,#N/A,FALSE,"포장1"}</definedName>
    <definedName name="강릉교동" localSheetId="1" hidden="1">#REF!</definedName>
    <definedName name="강릉교동" localSheetId="0" hidden="1">#REF!</definedName>
    <definedName name="강릉교동" localSheetId="2" hidden="1">#REF!</definedName>
    <definedName name="강릉교동" hidden="1">#REF!</definedName>
    <definedName name="강릉교동터파기" localSheetId="1" hidden="1">#REF!</definedName>
    <definedName name="강릉교동터파기" localSheetId="0" hidden="1">#REF!</definedName>
    <definedName name="강릉교동터파기" localSheetId="2" hidden="1">#REF!</definedName>
    <definedName name="강릉교동터파기" hidden="1">#REF!</definedName>
    <definedName name="강릉교동토목" localSheetId="1" hidden="1">#REF!</definedName>
    <definedName name="강릉교동토목" localSheetId="0" hidden="1">#REF!</definedName>
    <definedName name="강릉교동토목" localSheetId="2" hidden="1">#REF!</definedName>
    <definedName name="강릉교동토목" hidden="1">#REF!</definedName>
    <definedName name="강릉교동흙막이" localSheetId="1" hidden="1">#REF!</definedName>
    <definedName name="강릉교동흙막이" localSheetId="0" hidden="1">#REF!</definedName>
    <definedName name="강릉교동흙막이" localSheetId="2" hidden="1">#REF!</definedName>
    <definedName name="강릉교동흙막이" hidden="1">#REF!</definedName>
    <definedName name="강릉토공사" localSheetId="1" hidden="1">#REF!</definedName>
    <definedName name="강릉토공사" localSheetId="0" hidden="1">#REF!</definedName>
    <definedName name="강릉토공사" localSheetId="2" hidden="1">#REF!</definedName>
    <definedName name="강릉토공사" hidden="1">#REF!</definedName>
    <definedName name="강릉토목공사" localSheetId="1" hidden="1">#REF!</definedName>
    <definedName name="강릉토목공사" localSheetId="0" hidden="1">#REF!</definedName>
    <definedName name="강릉토목공사" localSheetId="2" hidden="1">#REF!</definedName>
    <definedName name="강릉토목공사" hidden="1">#REF!</definedName>
    <definedName name="강릉토목임" localSheetId="1" hidden="1">#REF!</definedName>
    <definedName name="강릉토목임" localSheetId="0" hidden="1">#REF!</definedName>
    <definedName name="강릉토목임" localSheetId="2" hidden="1">#REF!</definedName>
    <definedName name="강릉토목임" hidden="1">#REF!</definedName>
    <definedName name="강봉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강봉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개산견적" localSheetId="0" hidden="1">{#N/A,#N/A,FALSE,"갑지";#N/A,#N/A,FALSE,"개요";#N/A,#N/A,FALSE,"비목별";#N/A,#N/A,FALSE,"건물별";#N/A,#N/A,FALSE,"기구표";#N/A,#N/A,FALSE,"직원투입"}</definedName>
    <definedName name="개산견적" hidden="1">{#N/A,#N/A,FALSE,"갑지";#N/A,#N/A,FALSE,"개요";#N/A,#N/A,FALSE,"비목별";#N/A,#N/A,FALSE,"건물별";#N/A,#N/A,FALSE,"기구표";#N/A,#N/A,FALSE,"직원투입"}</definedName>
    <definedName name="갸" localSheetId="0" hidden="1">{#N/A,#N/A,FALSE,"예상손익";#N/A,#N/A,FALSE,"관리분석";#N/A,#N/A,FALSE,"장비분석";#N/A,#N/A,FALSE,"준설분석";#N/A,#N/A,FALSE,"철구분석"}</definedName>
    <definedName name="갸" hidden="1">{#N/A,#N/A,FALSE,"예상손익";#N/A,#N/A,FALSE,"관리분석";#N/A,#N/A,FALSE,"장비분석";#N/A,#N/A,FALSE,"준설분석";#N/A,#N/A,FALSE,"철구분석"}</definedName>
    <definedName name="거소" localSheetId="0" hidden="1">{#N/A,#N/A,FALSE,"집계표"}</definedName>
    <definedName name="거소" hidden="1">{#N/A,#N/A,FALSE,"집계표"}</definedName>
    <definedName name="건" localSheetId="0" hidden="1">{#N/A,#N/A,FALSE,"기안지";#N/A,#N/A,FALSE,"통신지"}</definedName>
    <definedName name="건" hidden="1">{#N/A,#N/A,FALSE,"기안지";#N/A,#N/A,FALSE,"통신지"}</definedName>
    <definedName name="건축가실" localSheetId="1" hidden="1">#REF!</definedName>
    <definedName name="건축가실" localSheetId="0" hidden="1">#REF!</definedName>
    <definedName name="건축가실" localSheetId="2" hidden="1">#REF!</definedName>
    <definedName name="건축가실" hidden="1">#REF!</definedName>
    <definedName name="건축내역2" localSheetId="0" hidden="1">{#N/A,#N/A,FALSE,"기안지";#N/A,#N/A,FALSE,"통신지"}</definedName>
    <definedName name="건축내역2" hidden="1">{#N/A,#N/A,FALSE,"기안지";#N/A,#N/A,FALSE,"통신지"}</definedName>
    <definedName name="건축비목집계" localSheetId="0" hidden="1">{#N/A,#N/A,FALSE,"표지"}</definedName>
    <definedName name="건축비목집계" hidden="1">{#N/A,#N/A,FALSE,"표지"}</definedName>
    <definedName name="건축원가" hidden="1">[16]전기!$B$4:$B$163</definedName>
    <definedName name="건축토공" localSheetId="0" hidden="1">{#N/A,#N/A,FALSE,"기안지";#N/A,#N/A,FALSE,"통신지"}</definedName>
    <definedName name="건축토공" hidden="1">{#N/A,#N/A,FALSE,"기안지";#N/A,#N/A,FALSE,"통신지"}</definedName>
    <definedName name="건축토공2" localSheetId="0" hidden="1">{#N/A,#N/A,FALSE,"기안지";#N/A,#N/A,FALSE,"통신지"}</definedName>
    <definedName name="건축토공2" hidden="1">{#N/A,#N/A,FALSE,"기안지";#N/A,#N/A,FALSE,"통신지"}</definedName>
    <definedName name="건축팀별" localSheetId="0" hidden="1">{#N/A,#N/A,FALSE,"지침";#N/A,#N/A,FALSE,"환경분석";#N/A,#N/A,FALSE,"Sheet16"}</definedName>
    <definedName name="건축팀별" hidden="1">{#N/A,#N/A,FALSE,"지침";#N/A,#N/A,FALSE,"환경분석";#N/A,#N/A,FALSE,"Sheet16"}</definedName>
    <definedName name="검ㄴ" localSheetId="0" hidden="1">{#N/A,#N/A,FALSE,"이정표"}</definedName>
    <definedName name="검ㄴ" hidden="1">{#N/A,#N/A,FALSE,"이정표"}</definedName>
    <definedName name="견본갑을" localSheetId="0" hidden="1">{#N/A,#N/A,FALSE,"Sheet1"}</definedName>
    <definedName name="견본갑을" hidden="1">{#N/A,#N/A,FALSE,"Sheet1"}</definedName>
    <definedName name="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SHEET" localSheetId="0" hidden="1">{#N/A,#N/A,FALSE,"CCTV"}</definedName>
    <definedName name="견적SHEET" hidden="1">{#N/A,#N/A,FALSE,"CCTV"}</definedName>
    <definedName name="견적검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검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내역" localSheetId="0" hidden="1">{#N/A,#N/A,FALSE,"CCTV"}</definedName>
    <definedName name="견적내역" hidden="1">{#N/A,#N/A,FALSE,"CCTV"}</definedName>
    <definedName name="견적대비" localSheetId="0" hidden="1">{#N/A,#N/A,FALSE,"포장2"}</definedName>
    <definedName name="견적대비" hidden="1">{#N/A,#N/A,FALSE,"포장2"}</definedName>
    <definedName name="견적대비표" localSheetId="1" hidden="1">#REF!</definedName>
    <definedName name="견적대비표" localSheetId="0" hidden="1">#REF!</definedName>
    <definedName name="견적대비표" localSheetId="2" hidden="1">#REF!</definedName>
    <definedName name="견적대비표" hidden="1">#REF!</definedName>
    <definedName name="견적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localSheetId="0" hidden="1">{#N/A,#N/A,FALSE,"CCTV"}</definedName>
    <definedName name="견적조건" hidden="1">{#N/A,#N/A,FALSE,"CCTV"}</definedName>
    <definedName name="견적조건8" localSheetId="0" hidden="1">{#N/A,#N/A,FALSE,"CCTV"}</definedName>
    <definedName name="견적조건8" hidden="1">{#N/A,#N/A,FALSE,"CCTV"}</definedName>
    <definedName name="결" localSheetId="0" hidden="1">{#N/A,#N/A,FALSE,"포장2"}</definedName>
    <definedName name="결" hidden="1">{#N/A,#N/A,FALSE,"포장2"}</definedName>
    <definedName name="결과" localSheetId="0" hidden="1">{#N/A,#N/A,FALSE,"포장2"}</definedName>
    <definedName name="결과" hidden="1">{#N/A,#N/A,FALSE,"포장2"}</definedName>
    <definedName name="경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경비1" localSheetId="1" hidden="1">#REF!</definedName>
    <definedName name="경비1" localSheetId="0" hidden="1">#REF!</definedName>
    <definedName name="경비1" localSheetId="2" hidden="1">#REF!</definedName>
    <definedName name="경비1" hidden="1">#REF!</definedName>
    <definedName name="경수" localSheetId="0" hidden="1">{#N/A,#N/A,FALSE,"도급대비시행율";#N/A,#N/A,FALSE,"결의서";#N/A,#N/A,FALSE,"내역서";#N/A,#N/A,FALSE,"도급예상"}</definedName>
    <definedName name="경수" hidden="1">{#N/A,#N/A,FALSE,"도급대비시행율";#N/A,#N/A,FALSE,"결의서";#N/A,#N/A,FALSE,"내역서";#N/A,#N/A,FALSE,"도급예상"}</definedName>
    <definedName name="경수을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경수을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계수" localSheetId="0" hidden="1">{#N/A,#N/A,FALSE,"지침";#N/A,#N/A,FALSE,"환경분석";#N/A,#N/A,FALSE,"Sheet16"}</definedName>
    <definedName name="계수" hidden="1">{#N/A,#N/A,FALSE,"지침";#N/A,#N/A,FALSE,"환경분석";#N/A,#N/A,FALSE,"Sheet16"}</definedName>
    <definedName name="계약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약의뢰" localSheetId="1" hidden="1">[17]프랜트면허!#REF!</definedName>
    <definedName name="계약의뢰" localSheetId="0" hidden="1">[17]프랜트면허!#REF!</definedName>
    <definedName name="계약의뢰" localSheetId="2" hidden="1">[17]프랜트면허!#REF!</definedName>
    <definedName name="계약의뢰" hidden="1">[17]프랜트면허!#REF!</definedName>
    <definedName name="계전2" localSheetId="1" hidden="1">#REF!</definedName>
    <definedName name="계전2" localSheetId="0" hidden="1">#REF!</definedName>
    <definedName name="계전2" localSheetId="2" hidden="1">#REF!</definedName>
    <definedName name="계전2" hidden="1">#REF!</definedName>
    <definedName name="계측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계측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고" localSheetId="0" hidden="1">{#N/A,#N/A,FALSE,"조골재"}</definedName>
    <definedName name="고" hidden="1">{#N/A,#N/A,FALSE,"조골재"}</definedName>
    <definedName name="곤ㅇ" localSheetId="0" hidden="1">{#N/A,#N/A,FALSE,"전력간선"}</definedName>
    <definedName name="곤ㅇ" hidden="1">{#N/A,#N/A,FALSE,"전력간선"}</definedName>
    <definedName name="곧ㄱ" localSheetId="0" hidden="1">{#N/A,#N/A,FALSE,"Sheet6"}</definedName>
    <definedName name="곧ㄱ" hidden="1">{#N/A,#N/A,FALSE,"Sheet6"}</definedName>
    <definedName name="골조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골조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곰" localSheetId="0" hidden="1">{#N/A,#N/A,FALSE,"구조1"}</definedName>
    <definedName name="곰" hidden="1">{#N/A,#N/A,FALSE,"구조1"}</definedName>
    <definedName name="공공도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공도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공기1" localSheetId="1" hidden="1">[18]설계내역서!#REF!</definedName>
    <definedName name="공기1" localSheetId="0" hidden="1">[18]설계내역서!#REF!</definedName>
    <definedName name="공기1" localSheetId="2" hidden="1">[18]설계내역서!#REF!</definedName>
    <definedName name="공기1" hidden="1">[18]설계내역서!#REF!</definedName>
    <definedName name="공내역ㅇ" localSheetId="0" hidden="1">{#N/A,#N/A,FALSE,"Sheet6"}</definedName>
    <definedName name="공내역ㅇ" hidden="1">{#N/A,#N/A,FALSE,"Sheet6"}</definedName>
    <definedName name="공동구토공" localSheetId="0" hidden="1">{#N/A,#N/A,FALSE,"기안지";#N/A,#N/A,FALSE,"통신지"}</definedName>
    <definedName name="공동구토공" hidden="1">{#N/A,#N/A,FALSE,"기안지";#N/A,#N/A,FALSE,"통신지"}</definedName>
    <definedName name="공동구토공2" localSheetId="0" hidden="1">{#N/A,#N/A,FALSE,"기안지";#N/A,#N/A,FALSE,"통신지"}</definedName>
    <definedName name="공동구토공2" hidden="1">{#N/A,#N/A,FALSE,"기안지";#N/A,#N/A,FALSE,"통신지"}</definedName>
    <definedName name="공사원가계산서" localSheetId="0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공양식" localSheetId="0" hidden="1">{#N/A,#N/A,FALSE,"교리2"}</definedName>
    <definedName name="공양식" hidden="1">{#N/A,#N/A,FALSE,"교리2"}</definedName>
    <definedName name="공원등기초" localSheetId="0" hidden="1">{#N/A,#N/A,FALSE,"골재소요량";#N/A,#N/A,FALSE,"골재소요량"}</definedName>
    <definedName name="공원등기초" hidden="1">{#N/A,#N/A,FALSE,"골재소요량";#N/A,#N/A,FALSE,"골재소요량"}</definedName>
    <definedName name="공통가설현장" localSheetId="1" hidden="1">#REF!</definedName>
    <definedName name="공통가설현장" localSheetId="0" hidden="1">#REF!</definedName>
    <definedName name="공통가설현장" localSheetId="2" hidden="1">#REF!</definedName>
    <definedName name="공통가설현장" hidden="1">#REF!</definedName>
    <definedName name="공통비" localSheetId="1" hidden="1">[19]유림골조!#REF!</definedName>
    <definedName name="공통비" localSheetId="0" hidden="1">[19]유림골조!#REF!</definedName>
    <definedName name="공통비" localSheetId="2" hidden="1">[19]유림골조!#REF!</definedName>
    <definedName name="공통비" hidden="1">[19]유림골조!#REF!</definedName>
    <definedName name="관리" localSheetId="0" hidden="1">{#N/A,#N/A,FALSE,"포장2"}</definedName>
    <definedName name="관리" hidden="1">{#N/A,#N/A,FALSE,"포장2"}</definedName>
    <definedName name="관리비2" localSheetId="0" hidden="1">{#N/A,#N/A,FALSE,"갑지";#N/A,#N/A,FALSE,"개요";#N/A,#N/A,FALSE,"비목별";#N/A,#N/A,FALSE,"건물별";#N/A,#N/A,FALSE,"기구표";#N/A,#N/A,FALSE,"직원투입"}</definedName>
    <definedName name="관리비2" hidden="1">{#N/A,#N/A,FALSE,"갑지";#N/A,#N/A,FALSE,"개요";#N/A,#N/A,FALSE,"비목별";#N/A,#N/A,FALSE,"건물별";#N/A,#N/A,FALSE,"기구표";#N/A,#N/A,FALSE,"직원투입"}</definedName>
    <definedName name="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동토" localSheetId="1" hidden="1">#REF!</definedName>
    <definedName name="교동토" localSheetId="0" hidden="1">#REF!</definedName>
    <definedName name="교동토" localSheetId="2" hidden="1">#REF!</definedName>
    <definedName name="교동토" hidden="1">#REF!</definedName>
    <definedName name="교동토목공사" localSheetId="0" hidden="1">{#N/A,#N/A,FALSE,"이태원철근"}</definedName>
    <definedName name="교동토목공사" hidden="1">{#N/A,#N/A,FALSE,"이태원철근"}</definedName>
    <definedName name="교저ㅕㅛㅈㄷㅈ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저ㅕㅛㅈㄷㅈ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좌" localSheetId="0" hidden="1">{#N/A,#N/A,FALSE,"포장2"}</definedName>
    <definedName name="교좌" hidden="1">{#N/A,#N/A,FALSE,"포장2"}</definedName>
    <definedName name="교ㅑㅐㅐㅑ겨ㅔ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ㅑㅐㅐㅑ겨ㅔ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ㅓ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ㅓㅕㅕㅕ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굗ㄱ" localSheetId="0" hidden="1">{#N/A,#N/A,FALSE,"Sheet6"}</definedName>
    <definedName name="굗ㄱ" hidden="1">{#N/A,#N/A,FALSE,"Sheet6"}</definedName>
    <definedName name="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" localSheetId="0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" hidden="1">{#N/A,#N/A,FALSE,"집계";#N/A,#N/A,FALSE,"표지";#N/A,#N/A,FALSE,"터빈집계";#N/A,#N/A,FALSE,"터빈내역";#N/A,#N/A,FALSE,"주제어집계";#N/A,#N/A,FALSE,"주제어내역";#N/A,#N/A,FALSE,"보일러집계";#N/A,#N/A,FALSE,"보일러내역";#N/A,#N/A,FALSE,"별표19";#N/A,#N/A,FALSE,"정산신규품";#N/A,#N/A,FALSE,"신규별표";#N/A,#N/A,FALSE,"골재 ";#N/A,#N/A,FALSE,"운반비"}</definedName>
    <definedName name="구본" localSheetId="0" hidden="1">{#N/A,#N/A,FALSE,"Sheet6"}</definedName>
    <definedName name="구본" hidden="1">{#N/A,#N/A,FALSE,"Sheet6"}</definedName>
    <definedName name="구산갑지" localSheetId="1" hidden="1">#REF!</definedName>
    <definedName name="구산갑지" localSheetId="0" hidden="1">#REF!</definedName>
    <definedName name="구산갑지" localSheetId="2" hidden="1">#REF!</definedName>
    <definedName name="구산갑지" hidden="1">#REF!</definedName>
    <definedName name="구자관" localSheetId="0" hidden="1">{#N/A,#N/A,FALSE,"신청통보";#N/A,#N/A,FALSE,"기성확인서";#N/A,#N/A,FALSE,"기성내역서"}</definedName>
    <definedName name="구자관" hidden="1">{#N/A,#N/A,FALSE,"신청통보";#N/A,#N/A,FALSE,"기성확인서";#N/A,#N/A,FALSE,"기성내역서"}</definedName>
    <definedName name="권대협" localSheetId="0" hidden="1">{#N/A,#N/A,FALSE,"CCTV"}</definedName>
    <definedName name="권대협" hidden="1">{#N/A,#N/A,FALSE,"CCTV"}</definedName>
    <definedName name="균" localSheetId="0" hidden="1">{#N/A,#N/A,FALSE,"현장 NCR 분석";#N/A,#N/A,FALSE,"현장품질감사";#N/A,#N/A,FALSE,"현장품질감사"}</definedName>
    <definedName name="균" hidden="1">{#N/A,#N/A,FALSE,"현장 NCR 분석";#N/A,#N/A,FALSE,"현장품질감사";#N/A,#N/A,FALSE,"현장품질감사"}</definedName>
    <definedName name="귱" localSheetId="0" hidden="1">{#N/A,#N/A,FALSE,"현장 NCR 분석";#N/A,#N/A,FALSE,"현장품질감사";#N/A,#N/A,FALSE,"현장품질감사"}</definedName>
    <definedName name="귱" hidden="1">{#N/A,#N/A,FALSE,"현장 NCR 분석";#N/A,#N/A,FALSE,"현장품질감사";#N/A,#N/A,FALSE,"현장품질감사"}</definedName>
    <definedName name="근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근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강타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광추정" localSheetId="0" hidden="1">{#N/A,#N/A,FALSE,"포장2"}</definedName>
    <definedName name="금광추정" hidden="1">{#N/A,#N/A,FALSE,"포장2"}</definedName>
    <definedName name="금속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속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액대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금오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기게실" localSheetId="0" hidden="1">{#N/A,#N/A,FALSE,"지침";#N/A,#N/A,FALSE,"환경분석";#N/A,#N/A,FALSE,"Sheet16"}</definedName>
    <definedName name="기게실" hidden="1">{#N/A,#N/A,FALSE,"지침";#N/A,#N/A,FALSE,"환경분석";#N/A,#N/A,FALSE,"Sheet16"}</definedName>
    <definedName name="기공" localSheetId="1" hidden="1">[20]노임이!#REF!</definedName>
    <definedName name="기공" localSheetId="0" hidden="1">[20]노임이!#REF!</definedName>
    <definedName name="기공" localSheetId="2" hidden="1">[20]노임이!#REF!</definedName>
    <definedName name="기공" hidden="1">[20]노임이!#REF!</definedName>
    <definedName name="기구본사" localSheetId="0" hidden="1">{#N/A,#N/A,FALSE,"갑지";#N/A,#N/A,FALSE,"개요";#N/A,#N/A,FALSE,"비목별";#N/A,#N/A,FALSE,"건물별";#N/A,#N/A,FALSE,"기구표";#N/A,#N/A,FALSE,"직원투입"}</definedName>
    <definedName name="기구본사" hidden="1">{#N/A,#N/A,FALSE,"갑지";#N/A,#N/A,FALSE,"개요";#N/A,#N/A,FALSE,"비목별";#N/A,#N/A,FALSE,"건물별";#N/A,#N/A,FALSE,"기구표";#N/A,#N/A,FALSE,"직원투입"}</definedName>
    <definedName name="기구조직표" localSheetId="0" hidden="1">{#N/A,#N/A,FALSE,"갑지";#N/A,#N/A,FALSE,"개요";#N/A,#N/A,FALSE,"비목별";#N/A,#N/A,FALSE,"건물별";#N/A,#N/A,FALSE,"기구표";#N/A,#N/A,FALSE,"직원투입"}</definedName>
    <definedName name="기구조직표" hidden="1">{#N/A,#N/A,FALSE,"갑지";#N/A,#N/A,FALSE,"개요";#N/A,#N/A,FALSE,"비목별";#N/A,#N/A,FALSE,"건물별";#N/A,#N/A,FALSE,"기구표";#N/A,#N/A,FALSE,"직원투입"}</definedName>
    <definedName name="기구표2" localSheetId="0" hidden="1">{#N/A,#N/A,FALSE,"갑지";#N/A,#N/A,FALSE,"개요";#N/A,#N/A,FALSE,"비목별";#N/A,#N/A,FALSE,"건물별";#N/A,#N/A,FALSE,"기구표";#N/A,#N/A,FALSE,"직원투입"}</definedName>
    <definedName name="기구표2" hidden="1">{#N/A,#N/A,FALSE,"갑지";#N/A,#N/A,FALSE,"개요";#N/A,#N/A,FALSE,"비목별";#N/A,#N/A,FALSE,"건물별";#N/A,#N/A,FALSE,"기구표";#N/A,#N/A,FALSE,"직원투입"}</definedName>
    <definedName name="기기기" localSheetId="1" hidden="1">#REF!</definedName>
    <definedName name="기기기" localSheetId="0" hidden="1">#REF!</definedName>
    <definedName name="기기기" localSheetId="2" hidden="1">#REF!</definedName>
    <definedName name="기기기" hidden="1">#REF!</definedName>
    <definedName name="기성3" localSheetId="0" hidden="1">{#N/A,#N/A,FALSE,"CCTV"}</definedName>
    <definedName name="기성3" hidden="1">{#N/A,#N/A,FALSE,"CCTV"}</definedName>
    <definedName name="기성갑" localSheetId="1" hidden="1">#REF!</definedName>
    <definedName name="기성갑" localSheetId="0" hidden="1">#REF!</definedName>
    <definedName name="기성갑" localSheetId="2" hidden="1">#REF!</definedName>
    <definedName name="기성갑" hidden="1">#REF!</definedName>
    <definedName name="기술" localSheetId="0" hidden="1">{#N/A,#N/A,FALSE,"부대1"}</definedName>
    <definedName name="기술" hidden="1">{#N/A,#N/A,FALSE,"부대1"}</definedName>
    <definedName name="기준일" localSheetId="0" hidden="1">{#N/A,#N/A,FALSE,"지침";#N/A,#N/A,FALSE,"환경분석";#N/A,#N/A,FALSE,"Sheet16"}</definedName>
    <definedName name="기준일" hidden="1">{#N/A,#N/A,FALSE,"지침";#N/A,#N/A,FALSE,"환경분석";#N/A,#N/A,FALSE,"Sheet16"}</definedName>
    <definedName name="길화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길화건" localSheetId="0" hidden="1">{#N/A,#N/A,FALSE,"도급대비시행율";#N/A,#N/A,FALSE,"결의서";#N/A,#N/A,FALSE,"내역서";#N/A,#N/A,FALSE,"도급예상"}</definedName>
    <definedName name="길화건" hidden="1">{#N/A,#N/A,FALSE,"도급대비시행율";#N/A,#N/A,FALSE,"결의서";#N/A,#N/A,FALSE,"내역서";#N/A,#N/A,FALSE,"도급예상"}</definedName>
    <definedName name="길화건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길화건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김" localSheetId="1" hidden="1">#REF!</definedName>
    <definedName name="김" localSheetId="0" hidden="1">#REF!</definedName>
    <definedName name="김" localSheetId="2" hidden="1">#REF!</definedName>
    <definedName name="김" hidden="1">#REF!</definedName>
    <definedName name="김1" localSheetId="0" hidden="1">{"'Firr(선)'!$AS$1:$AY$62","'Firr(사)'!$AS$1:$AY$62","'Firr(회)'!$AS$1:$AY$62","'Firr(선)'!$L$1:$V$62","'Firr(사)'!$L$1:$V$62","'Firr(회)'!$L$1:$V$62"}</definedName>
    <definedName name="김1" hidden="1">{"'Firr(선)'!$AS$1:$AY$62","'Firr(사)'!$AS$1:$AY$62","'Firr(회)'!$AS$1:$AY$62","'Firr(선)'!$L$1:$V$62","'Firr(사)'!$L$1:$V$62","'Firr(회)'!$L$1:$V$62"}</definedName>
    <definedName name="김병국임" localSheetId="0" hidden="1">{#N/A,#N/A,FALSE,"단가표지"}</definedName>
    <definedName name="김병국임" hidden="1">{#N/A,#N/A,FALSE,"단가표지"}</definedName>
    <definedName name="김봉만" localSheetId="0" hidden="1">{#N/A,#N/A,FALSE,"교리2"}</definedName>
    <definedName name="김봉만" hidden="1">{#N/A,#N/A,FALSE,"교리2"}</definedName>
    <definedName name="김승주" localSheetId="0" hidden="1">{#N/A,#N/A,FALSE,"교리2"}</definedName>
    <definedName name="김승주" hidden="1">{#N/A,#N/A,FALSE,"교리2"}</definedName>
    <definedName name="김영훈" localSheetId="0" hidden="1">{#N/A,#N/A,FALSE,"변경관리예산";#N/A,#N/A,FALSE,"변경장비예산";#N/A,#N/A,FALSE,"변경준설예산";#N/A,#N/A,FALSE,"변경철구예산"}</definedName>
    <definedName name="김영훈" hidden="1">{#N/A,#N/A,FALSE,"변경관리예산";#N/A,#N/A,FALSE,"변경장비예산";#N/A,#N/A,FALSE,"변경준설예산";#N/A,#N/A,FALSE,"변경철구예산"}</definedName>
    <definedName name="껍데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껍데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꽥" localSheetId="0" hidden="1">{#N/A,#N/A,TRUE,"960318-1";#N/A,#N/A,TRUE,"960318-2";#N/A,#N/A,TRUE,"960318-3"}</definedName>
    <definedName name="꽥" hidden="1">{#N/A,#N/A,TRUE,"960318-1";#N/A,#N/A,TRUE,"960318-2";#N/A,#N/A,TRUE,"960318-3"}</definedName>
    <definedName name="ㄳㄳㄳㄳ" localSheetId="0" hidden="1">{"'용역비'!$A$4:$C$8"}</definedName>
    <definedName name="ㄳㄳㄳㄳ" hidden="1">{"'용역비'!$A$4:$C$8"}</definedName>
    <definedName name="ㄳㄷ" localSheetId="0" hidden="1">{#N/A,#N/A,FALSE,"Sheet6"}</definedName>
    <definedName name="ㄳㄷ" hidden="1">{#N/A,#N/A,FALSE,"Sheet6"}</definedName>
    <definedName name="ㄳ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ㅎㅂ4ㅁ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ㄴㄱㄹ" localSheetId="1" hidden="1">#REF!</definedName>
    <definedName name="ㄴㄱㄹ" localSheetId="0" hidden="1">#REF!</definedName>
    <definedName name="ㄴㄱㄹ" localSheetId="2" hidden="1">#REF!</definedName>
    <definedName name="ㄴㄱㄹ" hidden="1">#REF!</definedName>
    <definedName name="ㄴㄱ솥ㅀ" localSheetId="0" hidden="1">{#N/A,#N/A,FALSE,"집계표"}</definedName>
    <definedName name="ㄴㄱ솥ㅀ" hidden="1">{#N/A,#N/A,FALSE,"집계표"}</definedName>
    <definedName name="ㄴ거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거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교ㅓㄴ교ㅓ굔거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ㄴㄴ" localSheetId="0" hidden="1">{#N/A,#N/A,FALSE,"부대2"}</definedName>
    <definedName name="ㄴㄴㄴ" hidden="1">{#N/A,#N/A,FALSE,"부대2"}</definedName>
    <definedName name="ㄴㄴㄴㄴㄴㄴ" localSheetId="0" hidden="1">{#N/A,#N/A,FALSE,"포장2"}</definedName>
    <definedName name="ㄴㄴㄴㄴㄴㄴ" hidden="1">{#N/A,#N/A,FALSE,"포장2"}</definedName>
    <definedName name="ㄴㄴㅎ" localSheetId="0" hidden="1">{#N/A,#N/A,FALSE,"집계표"}</definedName>
    <definedName name="ㄴㄴㅎ" hidden="1">{#N/A,#N/A,FALSE,"집계표"}</definedName>
    <definedName name="ㄴ너넌ㄱㅎ" localSheetId="0" hidden="1">{#N/A,#N/A,FALSE,"집계표"}</definedName>
    <definedName name="ㄴ너넌ㄱㅎ" hidden="1">{#N/A,#N/A,FALSE,"집계표"}</definedName>
    <definedName name="ㄴ눀너노" localSheetId="0" hidden="1">{#N/A,#N/A,FALSE,"집계표"}</definedName>
    <definedName name="ㄴ눀너노" hidden="1">{#N/A,#N/A,FALSE,"집계표"}</definedName>
    <definedName name="ㄴㄶ" localSheetId="0" hidden="1">{#N/A,#N/A,FALSE,"집계표"}</definedName>
    <definedName name="ㄴㄶ" hidden="1">{#N/A,#N/A,FALSE,"집계표"}</definedName>
    <definedName name="ㄴㄷㄱㅈ" localSheetId="0" hidden="1">{#N/A,#N/A,FALSE,"Sheet6"}</definedName>
    <definedName name="ㄴㄷㄱㅈ" hidden="1">{#N/A,#N/A,FALSE,"Sheet6"}</definedName>
    <definedName name="ㄴㄹ" localSheetId="0" hidden="1">{#N/A,#N/A,FALSE,"집계표"}</definedName>
    <definedName name="ㄴㄹ" hidden="1">{#N/A,#N/A,FALSE,"집계표"}</definedName>
    <definedName name="ㄴㄹㄴ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ㄴ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셔ㅓㅗㅛㄴ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ㅇ호" localSheetId="0" hidden="1">{#N/A,#N/A,FALSE,"집계표"}</definedName>
    <definedName name="ㄴㄹㅇ호" hidden="1">{#N/A,#N/A,FALSE,"집계표"}</definedName>
    <definedName name="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로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ㅓㄴ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허ㅜㅛㅗㅈㄴ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겆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헌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호소ㅗㅅ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ㄹ후ㅗ너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라ㅓㅗ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ㅏ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ㅓㅗ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ㄴ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ㅕㅅ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ㅗㅗ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ㅛㅅ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ㄷ소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ㄴㅇㅋ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러ㅜㅗ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런ㄹ료녀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럴놔ㅓ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렇ㅈ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ㄷㅅㅅ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ㅓㅡㅜㅗ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로ㅛ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료ㅕㅓㅛ나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ㄺㄷ" localSheetId="0" hidden="1">{#N/A,#N/A,FALSE,"현장 NCR 분석";#N/A,#N/A,FALSE,"현장품질감사";#N/A,#N/A,FALSE,"현장품질감사"}</definedName>
    <definedName name="ㄴㄺㄷ" hidden="1">{#N/A,#N/A,FALSE,"현장 NCR 분석";#N/A,#N/A,FALSE,"현장품질감사";#N/A,#N/A,FALSE,"현장품질감사"}</definedName>
    <definedName name="ㄴㅀ" localSheetId="1" hidden="1">#REF!</definedName>
    <definedName name="ㄴㅀ" localSheetId="0" hidden="1">#REF!</definedName>
    <definedName name="ㄴㅀ" localSheetId="2" hidden="1">#REF!</definedName>
    <definedName name="ㄴㅀ" hidden="1">#REF!</definedName>
    <definedName name="ㄴㅁ" localSheetId="1" hidden="1">#REF!</definedName>
    <definedName name="ㄴㅁ" localSheetId="0" hidden="1">#REF!</definedName>
    <definedName name="ㄴㅁ" localSheetId="2" hidden="1">#REF!</definedName>
    <definedName name="ㄴㅁ" hidden="1">#REF!</definedName>
    <definedName name="ㄴㅁㄴㅇㄹ" localSheetId="0" hidden="1">{#N/A,#N/A,FALSE,"집계표"}</definedName>
    <definedName name="ㄴㅁㄴㅇㄹ" hidden="1">{#N/A,#N/A,FALSE,"집계표"}</definedName>
    <definedName name="ㄴㅁㄹ아ㅣㅏ" localSheetId="0" hidden="1">{#N/A,#N/A,FALSE,"집계표"}</definedName>
    <definedName name="ㄴㅁㄹ아ㅣㅏ" hidden="1">{#N/A,#N/A,FALSE,"집계표"}</definedName>
    <definedName name="ㄴㅁㅇㄹ" localSheetId="0" hidden="1">{#N/A,#N/A,FALSE,"집계표"}</definedName>
    <definedName name="ㄴㅁㅇㄹ" hidden="1">{#N/A,#N/A,FALSE,"집계표"}</definedName>
    <definedName name="ㄴㅁㅇ라ㅓ" localSheetId="0" hidden="1">{#N/A,#N/A,FALSE,"집계표"}</definedName>
    <definedName name="ㄴㅁㅇ라ㅓ" hidden="1">{#N/A,#N/A,FALSE,"집계표"}</definedName>
    <definedName name="ㄴㅁ아겈" localSheetId="0" hidden="1">{#N/A,#N/A,FALSE,"집계표"}</definedName>
    <definedName name="ㄴㅁ아겈" hidden="1">{#N/A,#N/A,FALSE,"집계표"}</definedName>
    <definedName name="ㄴㅁ아ㅓ린ㅁ" localSheetId="0" hidden="1">{#N/A,#N/A,FALSE,"집계표"}</definedName>
    <definedName name="ㄴㅁ아ㅓ린ㅁ" hidden="1">{#N/A,#N/A,FALSE,"집계표"}</definedName>
    <definedName name="ㄴㅁ허ㅗ러ㅏ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ㅁ허ㅗ러ㅏ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마ㅓㅇㅎ리ㅏㅇㄴ" localSheetId="0" hidden="1">{#N/A,#N/A,FALSE,"집계표"}</definedName>
    <definedName name="ㄴ마ㅓㅇㅎ리ㅏㅇㄴ" hidden="1">{#N/A,#N/A,FALSE,"집계표"}</definedName>
    <definedName name="ㄴ뫃ㄴ오" localSheetId="0" hidden="1">{#N/A,#N/A,FALSE,"집계표"}</definedName>
    <definedName name="ㄴ뫃ㄴ오" hidden="1">{#N/A,#N/A,FALSE,"집계표"}</definedName>
    <definedName name="ㄴㅅ교ㅑㅕ쇼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ㅅ교ㅑㅕ쇼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쇼ㅏ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" localSheetId="1" hidden="1">#REF!</definedName>
    <definedName name="ㄴㅇ" localSheetId="0" hidden="1">#REF!</definedName>
    <definedName name="ㄴㅇ" localSheetId="2" hidden="1">#REF!</definedName>
    <definedName name="ㄴㅇ" hidden="1">#REF!</definedName>
    <definedName name="ㄴㅇ다ㅓㅀㅌ" localSheetId="0" hidden="1">{#N/A,#N/A,FALSE,"집계표"}</definedName>
    <definedName name="ㄴㅇ다ㅓㅀㅌ" hidden="1">{#N/A,#N/A,FALSE,"집계표"}</definedName>
    <definedName name="ㄴㅇ닳ㅌ처" localSheetId="0" hidden="1">{#N/A,#N/A,FALSE,"집계표"}</definedName>
    <definedName name="ㄴㅇ닳ㅌ처" hidden="1">{#N/A,#N/A,FALSE,"집계표"}</definedName>
    <definedName name="ㄴㅇㄹ" localSheetId="1" hidden="1">#REF!</definedName>
    <definedName name="ㄴㅇㄹ" localSheetId="0" hidden="1">#REF!</definedName>
    <definedName name="ㄴㅇㄹ" localSheetId="2" hidden="1">#REF!</definedName>
    <definedName name="ㄴㅇㄹ" hidden="1">#REF!</definedName>
    <definedName name="ㄴㅇㄹㄴ" localSheetId="0" hidden="1">{#N/A,#N/A,FALSE,"사업총괄";#N/A,#N/A,FALSE,"장비사업";#N/A,#N/A,FALSE,"철구사업";#N/A,#N/A,FALSE,"준설사업"}</definedName>
    <definedName name="ㄴㅇㄹㄴ" hidden="1">{#N/A,#N/A,FALSE,"사업총괄";#N/A,#N/A,FALSE,"장비사업";#N/A,#N/A,FALSE,"철구사업";#N/A,#N/A,FALSE,"준설사업"}</definedName>
    <definedName name="ㄴㅇㄹㅇㄴ" localSheetId="1" hidden="1">#REF!</definedName>
    <definedName name="ㄴㅇㄹㅇㄴ" localSheetId="0" hidden="1">#REF!</definedName>
    <definedName name="ㄴㅇㄹㅇㄴ" localSheetId="2" hidden="1">#REF!</definedName>
    <definedName name="ㄴㅇㄹㅇㄴ" hidden="1">#REF!</definedName>
    <definedName name="ㄴㅇㄹ하ㅓ" localSheetId="0" hidden="1">{#N/A,#N/A,FALSE,"집계표"}</definedName>
    <definedName name="ㄴㅇㄹ하ㅓ" hidden="1">{#N/A,#N/A,FALSE,"집계표"}</definedName>
    <definedName name="ㄴㅇㄹ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ㄹ헤ㅐㅇㅅㄱㄷ" localSheetId="0" hidden="1">{#N/A,#N/A,FALSE,"집계표"}</definedName>
    <definedName name="ㄴㅇㄹ헤ㅐㅇㅅㄱㄷ" hidden="1">{#N/A,#N/A,FALSE,"집계표"}</definedName>
    <definedName name="ㄴㅇㄹ호" localSheetId="0" hidden="1">{#N/A,#N/A,FALSE,"집계표"}</definedName>
    <definedName name="ㄴㅇㄹ호" hidden="1">{#N/A,#N/A,FALSE,"집계표"}</definedName>
    <definedName name="ㄴㅇㄹ히ㅏㅓ" localSheetId="0" hidden="1">{#N/A,#N/A,FALSE,"집계표"}</definedName>
    <definedName name="ㄴㅇㄹ히ㅏㅓ" hidden="1">{#N/A,#N/A,FALSE,"집계표"}</definedName>
    <definedName name="ㄴㅇㄹ히ㅏㅓㄴㅇㄹ하ㅓ" localSheetId="0" hidden="1">{#N/A,#N/A,FALSE,"집계표"}</definedName>
    <definedName name="ㄴㅇㄹ히ㅏㅓㄴㅇㄹ하ㅓ" hidden="1">{#N/A,#N/A,FALSE,"집계표"}</definedName>
    <definedName name="ㄴㅇ레ㅔㅔ" localSheetId="0" hidden="1">{#N/A,#N/A,FALSE,"집계표"}</definedName>
    <definedName name="ㄴㅇ레ㅔㅔ" hidden="1">{#N/A,#N/A,FALSE,"집계표"}</definedName>
    <definedName name="ㄴㅇ로" localSheetId="0" hidden="1">{#N/A,#N/A,FALSE,"집계표"}</definedName>
    <definedName name="ㄴㅇ로" hidden="1">{#N/A,#N/A,FALSE,"집계표"}</definedName>
    <definedName name="ㄴㅇㄻㅇㄴ" localSheetId="0" hidden="1">{#N/A,#N/A,FALSE,"집계표"}</definedName>
    <definedName name="ㄴㅇㄻㅇㄴ" hidden="1">{#N/A,#N/A,FALSE,"집계표"}</definedName>
    <definedName name="ㄴㅇㅀㄴ" localSheetId="0" hidden="1">{#N/A,#N/A,FALSE,"집계표"}</definedName>
    <definedName name="ㄴㅇㅀㄴ" hidden="1">{#N/A,#N/A,FALSE,"집계표"}</definedName>
    <definedName name="ㄴㅇㅀㄴㅇㅀ" localSheetId="1" hidden="1">#REF!</definedName>
    <definedName name="ㄴㅇㅀㄴㅇㅀ" localSheetId="0" hidden="1">#REF!</definedName>
    <definedName name="ㄴㅇㅀㄴㅇㅀ" localSheetId="2" hidden="1">#REF!</definedName>
    <definedName name="ㄴㅇㅀㄴㅇㅀ" hidden="1">#REF!</definedName>
    <definedName name="ㄴㅇㅀㄹ" localSheetId="0" hidden="1">{#N/A,#N/A,FALSE,"집계표"}</definedName>
    <definedName name="ㄴㅇㅀㄹ" hidden="1">{#N/A,#N/A,FALSE,"집계표"}</definedName>
    <definedName name="ㄴㅇㅀㅇ" localSheetId="0" hidden="1">{#N/A,#N/A,FALSE,"집계표"}</definedName>
    <definedName name="ㄴㅇㅀㅇ" hidden="1">{#N/A,#N/A,FALSE,"집계표"}</definedName>
    <definedName name="ㄴㅇㅀㅇㄶ" localSheetId="0" hidden="1">{#N/A,#N/A,FALSE,"집계표"}</definedName>
    <definedName name="ㄴㅇㅀㅇㄶ" hidden="1">{#N/A,#N/A,FALSE,"집계표"}</definedName>
    <definedName name="ㄴㅇㅁㅎ리ㅏㅓㅣ" localSheetId="0" hidden="1">{#N/A,#N/A,FALSE,"집계표"}</definedName>
    <definedName name="ㄴㅇㅁㅎ리ㅏㅓㅣ" hidden="1">{#N/A,#N/A,FALSE,"집계표"}</definedName>
    <definedName name="ㄴㅇㅅ" localSheetId="0" hidden="1">{#N/A,#N/A,FALSE,"집계표"}</definedName>
    <definedName name="ㄴㅇㅅ" hidden="1">{#N/A,#N/A,FALSE,"집계표"}</definedName>
    <definedName name="ㄴㅇㅇㄴ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ㅇㄴ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ㅎ" localSheetId="0" hidden="1">{#N/A,#N/A,FALSE,"현장 NCR 분석";#N/A,#N/A,FALSE,"현장품질감사";#N/A,#N/A,FALSE,"현장품질감사"}</definedName>
    <definedName name="ㄴㅇㅎ" hidden="1">{#N/A,#N/A,FALSE,"현장 NCR 분석";#N/A,#N/A,FALSE,"현장품질감사";#N/A,#N/A,FALSE,"현장품질감사"}</definedName>
    <definedName name="ㄴㅇㅎㄴㄹㅇ" localSheetId="1" hidden="1">#REF!</definedName>
    <definedName name="ㄴㅇㅎㄴㄹㅇ" localSheetId="0" hidden="1">#REF!</definedName>
    <definedName name="ㄴㅇㅎㄴㄹㅇ" localSheetId="2" hidden="1">#REF!</definedName>
    <definedName name="ㄴㅇㅎㄴㄹㅇ" hidden="1">#REF!</definedName>
    <definedName name="ㄴㅇㅎㄹ" localSheetId="0" hidden="1">{#N/A,#N/A,FALSE,"집계표"}</definedName>
    <definedName name="ㄴㅇㅎㄹ" hidden="1">{#N/A,#N/A,FALSE,"집계표"}</definedName>
    <definedName name="ㄴㅇㅎ리ㅏ" localSheetId="0" hidden="1">{#N/A,#N/A,FALSE,"집계표"}</definedName>
    <definedName name="ㄴㅇㅎ리ㅏ" hidden="1">{#N/A,#N/A,FALSE,"집계표"}</definedName>
    <definedName name="ㄴㅇㅎ리ㅏㅓㅊㅌ" localSheetId="0" hidden="1">{#N/A,#N/A,FALSE,"집계표"}</definedName>
    <definedName name="ㄴㅇㅎ리ㅏㅓㅊㅌ" hidden="1">{#N/A,#N/A,FALSE,"집계표"}</definedName>
    <definedName name="ㄴㅇ홎ㅁㄱ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ㅇ홎ㅁㄱ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어" localSheetId="0" hidden="1">{#N/A,#N/A,FALSE,"집계표"}</definedName>
    <definedName name="ㄴ어" hidden="1">{#N/A,#N/A,FALSE,"집계표"}</definedName>
    <definedName name="ㄴ어ㅏ엉ㄹ" localSheetId="0" hidden="1">{#N/A,#N/A,FALSE,"집계표"}</definedName>
    <definedName name="ㄴ어ㅏ엉ㄹ" hidden="1">{#N/A,#N/A,FALSE,"집계표"}</definedName>
    <definedName name="ㄴ온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온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옿ㅅㄴㅇ" localSheetId="0" hidden="1">{#N/A,#N/A,FALSE,"집계표"}</definedName>
    <definedName name="ㄴ옿ㅅㄴㅇ" hidden="1">{#N/A,#N/A,FALSE,"집계표"}</definedName>
    <definedName name="ㄴ이라ㅓㅎ" localSheetId="0" hidden="1">{#N/A,#N/A,FALSE,"집계표"}</definedName>
    <definedName name="ㄴ이라ㅓㅎ" hidden="1">{#N/A,#N/A,FALSE,"집계표"}</definedName>
    <definedName name="ㄴ이ㅏ렇" localSheetId="0" hidden="1">{#N/A,#N/A,FALSE,"집계표"}</definedName>
    <definedName name="ㄴ이ㅏ렇" hidden="1">{#N/A,#N/A,FALSE,"집계표"}</definedName>
    <definedName name="ㄴ이ㅏㅎ러" localSheetId="0" hidden="1">{#N/A,#N/A,FALSE,"집계표"}</definedName>
    <definedName name="ㄴ이ㅏㅎ러" hidden="1">{#N/A,#N/A,FALSE,"집계표"}</definedName>
    <definedName name="ㄴ이ㅏㅎ러ㅗ" localSheetId="0" hidden="1">{#N/A,#N/A,FALSE,"집계표"}</definedName>
    <definedName name="ㄴ이ㅏㅎ러ㅗ" hidden="1">{#N/A,#N/A,FALSE,"집계표"}</definedName>
    <definedName name="ㄴ잏라ㅓ" localSheetId="0" hidden="1">{#N/A,#N/A,FALSE,"집계표"}</definedName>
    <definedName name="ㄴ잏라ㅓ" hidden="1">{#N/A,#N/A,FALSE,"집계표"}</definedName>
    <definedName name="ㄴ잏라ㅓㅣㅏㅇㄴㅀ" localSheetId="0" hidden="1">{#N/A,#N/A,FALSE,"집계표"}</definedName>
    <definedName name="ㄴ잏라ㅓㅣㅏㅇㄴㅀ" hidden="1">{#N/A,#N/A,FALSE,"집계표"}</definedName>
    <definedName name="ㄴ젖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젖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ㅊㅌㅇㅍ" localSheetId="0" hidden="1">{#N/A,#N/A,FALSE,"집계표"}</definedName>
    <definedName name="ㄴㅊㅌㅇㅍ" hidden="1">{#N/A,#N/A,FALSE,"집계표"}</definedName>
    <definedName name="ㄴ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홎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ㄴㅗㅎ" localSheetId="0" hidden="1">{#N/A,#N/A,FALSE,"집계표"}</definedName>
    <definedName name="ㄴㅗㅎ" hidden="1">{#N/A,#N/A,FALSE,"집계표"}</definedName>
    <definedName name="나" localSheetId="0" hidden="1">{#N/A,#N/A,FALSE,"교리2"}</definedName>
    <definedName name="나" hidden="1">{#N/A,#N/A,FALSE,"교리2"}</definedName>
    <definedName name="나나너넌너" localSheetId="0" hidden="1">{#N/A,#N/A,FALSE,"집계표"}</definedName>
    <definedName name="나나너넌너" hidden="1">{#N/A,#N/A,FALSE,"집계표"}</definedName>
    <definedName name="나난" localSheetId="0" hidden="1">{#N/A,#N/A,FALSE,"주간공정";#N/A,#N/A,FALSE,"주간보고";#N/A,#N/A,FALSE,"주간공정표"}</definedName>
    <definedName name="나난" hidden="1">{#N/A,#N/A,FALSE,"주간공정";#N/A,#N/A,FALSE,"주간보고";#N/A,#N/A,FALSE,"주간공정표"}</definedName>
    <definedName name="나는" localSheetId="0" hidden="1">{#N/A,#N/A,FALSE,"집계표"}</definedName>
    <definedName name="나는" hidden="1">{#N/A,#N/A,FALSE,"집계표"}</definedName>
    <definedName name="나ㅏㅓ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나ㅏㅓ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난ㄴ난나ㅏ난" localSheetId="0" hidden="1">{#N/A,#N/A,FALSE,"집계표"}</definedName>
    <definedName name="난ㄴ난나ㅏ난" hidden="1">{#N/A,#N/A,FALSE,"집계표"}</definedName>
    <definedName name="난나ㅏㄴ" localSheetId="0" hidden="1">{#N/A,#N/A,FALSE,"집계표"}</definedName>
    <definedName name="난나ㅏㄴ" hidden="1">{#N/A,#N/A,FALSE,"집계표"}</definedName>
    <definedName name="난느오늘" localSheetId="0" hidden="1">{#N/A,#N/A,FALSE,"집계표"}</definedName>
    <definedName name="난느오늘" hidden="1">{#N/A,#N/A,FALSE,"집계표"}</definedName>
    <definedName name="남남" localSheetId="1" hidden="1">#REF!</definedName>
    <definedName name="남남" localSheetId="0" hidden="1">#REF!</definedName>
    <definedName name="남남" localSheetId="2" hidden="1">#REF!</definedName>
    <definedName name="남남" hidden="1">#REF!</definedName>
    <definedName name="내역" localSheetId="1" hidden="1">[2]금융!#REF!</definedName>
    <definedName name="내역" localSheetId="0" hidden="1">[2]금융!#REF!</definedName>
    <definedName name="내역" localSheetId="2" hidden="1">[2]금융!#REF!</definedName>
    <definedName name="내역" hidden="1">[2]금융!#REF!</definedName>
    <definedName name="내역산출근거" localSheetId="0" hidden="1">{#N/A,#N/A,TRUE,"1";#N/A,#N/A,TRUE,"2";#N/A,#N/A,TRUE,"3";#N/A,#N/A,TRUE,"4";#N/A,#N/A,TRUE,"5";#N/A,#N/A,TRUE,"6";#N/A,#N/A,TRUE,"7"}</definedName>
    <definedName name="내역산출근거" hidden="1">{#N/A,#N/A,TRUE,"1";#N/A,#N/A,TRUE,"2";#N/A,#N/A,TRUE,"3";#N/A,#N/A,TRUE,"4";#N/A,#N/A,TRUE,"5";#N/A,#N/A,TRUE,"6";#N/A,#N/A,TRUE,"7"}</definedName>
    <definedName name="내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내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를" localSheetId="0" hidden="1">{#N/A,#N/A,FALSE,"집계표"}</definedName>
    <definedName name="너를" hidden="1">{#N/A,#N/A,FALSE,"집계표"}</definedName>
    <definedName name="너호라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호라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뇨ㅜ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너ㅗㅗ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ㄴ호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노허나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논현동외" localSheetId="0" hidden="1">{#N/A,#N/A,FALSE,"Sheet6"}</definedName>
    <definedName name="논현동외" hidden="1">{#N/A,#N/A,FALSE,"Sheet6"}</definedName>
    <definedName name="놓ㄹㅇ" localSheetId="0" hidden="1">{#N/A,#N/A,FALSE,"집계표"}</definedName>
    <definedName name="놓ㄹㅇ" hidden="1">{#N/A,#N/A,FALSE,"집계표"}</definedName>
    <definedName name="뇫" localSheetId="0" hidden="1">{#N/A,#N/A,FALSE,"집계표"}</definedName>
    <definedName name="뇫" hidden="1">{#N/A,#N/A,FALSE,"집계표"}</definedName>
    <definedName name="니기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기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니니ㅣㄴ" localSheetId="0" hidden="1">{#N/A,#N/A,FALSE,"주간공정";#N/A,#N/A,FALSE,"주간보고";#N/A,#N/A,FALSE,"주간공정표"}</definedName>
    <definedName name="니니ㅣㄴ" hidden="1">{#N/A,#N/A,FALSE,"주간공정";#N/A,#N/A,FALSE,"주간보고";#N/A,#N/A,FALSE,"주간공정표"}</definedName>
    <definedName name="ㄶ" localSheetId="0" hidden="1">{#N/A,#N/A,FALSE,"집계표"}</definedName>
    <definedName name="ㄶ" hidden="1">{#N/A,#N/A,FALSE,"집계표"}</definedName>
    <definedName name="ㄷㄱ" localSheetId="0" hidden="1">{#N/A,#N/A,FALSE,"포장2"}</definedName>
    <definedName name="ㄷㄱ" hidden="1">{#N/A,#N/A,FALSE,"포장2"}</definedName>
    <definedName name="ㄷ교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교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ㄳㅎ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ㄹ햐" localSheetId="0" hidden="1">{#N/A,#N/A,FALSE,"지침";#N/A,#N/A,FALSE,"환경분석";#N/A,#N/A,FALSE,"Sheet16"}</definedName>
    <definedName name="ㄷㄹ햐" hidden="1">{#N/A,#N/A,FALSE,"지침";#N/A,#N/A,FALSE,"환경분석";#N/A,#N/A,FALSE,"Sheet16"}</definedName>
    <definedName name="ㄷㅁㄱ혿호ㄷㅂㄱ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ㅁㄱ혿호ㄷㅂㄱ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ㄱㄷㅂ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ㅂㄳ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ㅅ여ㅏ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삳ㄷㄷㄷㄷㄷ셔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ㅏㅛ됴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ㅑㅛ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ㅏㅕㄷㅅ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셔ㅑ쇼ㅕㅐㅛㅕ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셧됻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ㅏㅓㅕㄷㅅ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ㅏㄷ셔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ㅑㅕ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ㄷ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ㅅ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ㅏ겨ㅕ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ㅓㅕㄷ사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ㄷ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쇼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셔ㅑㅕ대뎟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ㅇㅊ" localSheetId="0" hidden="1">{#N/A,#N/A,FALSE,"집계표"}</definedName>
    <definedName name="ㄷㅇㅊ" hidden="1">{#N/A,#N/A,FALSE,"집계표"}</definedName>
    <definedName name="ㄷㅈ" localSheetId="0" hidden="1">{#N/A,#N/A,FALSE,"전력간선"}</definedName>
    <definedName name="ㄷㅈ" hidden="1">{#N/A,#N/A,FALSE,"전력간선"}</definedName>
    <definedName name="ㄷㅈㄱ" localSheetId="0" hidden="1">{#N/A,#N/A,FALSE,"포장1";#N/A,#N/A,FALSE,"포장1"}</definedName>
    <definedName name="ㄷㅈㄱ" hidden="1">{#N/A,#N/A,FALSE,"포장1";#N/A,#N/A,FALSE,"포장1"}</definedName>
    <definedName name="ㄷㅈ거" localSheetId="0" hidden="1">{#N/A,#N/A,FALSE,"집계표"}</definedName>
    <definedName name="ㄷㅈ거" hidden="1">{#N/A,#N/A,FALSE,"집계표"}</definedName>
    <definedName name="ㄷㅈ쇼ㅗㄱ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ㅈ쇼ㅗㄱ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죠ㅕㅓㄷ쇼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ㄷㅎㄹㅇ" localSheetId="1" hidden="1">#REF!</definedName>
    <definedName name="ㄷㅎㄹㅇ" localSheetId="0" hidden="1">#REF!</definedName>
    <definedName name="ㄷㅎㄹㅇ" localSheetId="2" hidden="1">#REF!</definedName>
    <definedName name="ㄷㅎㄹㅇ" hidden="1">#REF!</definedName>
    <definedName name="다라" localSheetId="0" hidden="1">{#N/A,#N/A,FALSE,"표지목차"}</definedName>
    <definedName name="다라" hidden="1">{#N/A,#N/A,FALSE,"표지목차"}</definedName>
    <definedName name="단가대" localSheetId="1" hidden="1">#REF!</definedName>
    <definedName name="단가대" localSheetId="0" hidden="1">#REF!</definedName>
    <definedName name="단가대" localSheetId="2" hidden="1">#REF!</definedName>
    <definedName name="단가대" hidden="1">#REF!</definedName>
    <definedName name="단가조사자료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단가조사자료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구공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대대대대대" localSheetId="0" hidden="1">{#N/A,#N/A,FALSE,"주간공정";#N/A,#N/A,FALSE,"주간보고";#N/A,#N/A,FALSE,"주간공정표"}</definedName>
    <definedName name="대대대대대" hidden="1">{#N/A,#N/A,FALSE,"주간공정";#N/A,#N/A,FALSE,"주간보고";#N/A,#N/A,FALSE,"주간공정표"}</definedName>
    <definedName name="대덕" localSheetId="0" hidden="1">{#N/A,#N/A,FALSE,"CCTV"}</definedName>
    <definedName name="대덕" hidden="1">{#N/A,#N/A,FALSE,"CCTV"}</definedName>
    <definedName name="대비" localSheetId="0" hidden="1">{#N/A,#N/A,FALSE,"CCTV"}</definedName>
    <definedName name="대비" hidden="1">{#N/A,#N/A,FALSE,"CCTV"}</definedName>
    <definedName name="대상" localSheetId="0" hidden="1">{"'용역비'!$A$4:$C$8"}</definedName>
    <definedName name="대상" hidden="1">{"'용역비'!$A$4:$C$8"}</definedName>
    <definedName name="대표회의" localSheetId="0" hidden="1">{#N/A,#N/A,FALSE,"현장 NCR 분석";#N/A,#N/A,FALSE,"현장품질감사";#N/A,#N/A,FALSE,"현장품질감사"}</definedName>
    <definedName name="대표회의" hidden="1">{#N/A,#N/A,FALSE,"현장 NCR 분석";#N/A,#N/A,FALSE,"현장품질감사";#N/A,#N/A,FALSE,"현장품질감사"}</definedName>
    <definedName name="댜ㅕㅑㅕ셪ㄷ둇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댜ㅕㅑㅕ셪ㄷ둇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더ㅕㅛㅕ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덕" localSheetId="0" hidden="1">{#N/A,#N/A,FALSE,"포장2"}</definedName>
    <definedName name="덕" hidden="1">{#N/A,#N/A,FALSE,"포장2"}</definedName>
    <definedName name="덕진" localSheetId="0" hidden="1">{#N/A,#N/A,FALSE,"포장2"}</definedName>
    <definedName name="덕진" hidden="1">{#N/A,#N/A,FALSE,"포장2"}</definedName>
    <definedName name="덕호" localSheetId="0" hidden="1">{#N/A,#N/A,FALSE,"포장2"}</definedName>
    <definedName name="덕호" hidden="1">{#N/A,#N/A,FALSE,"포장2"}</definedName>
    <definedName name="뎌ㅐㄷ쇼ㅕㅐ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뎌ㅐㄷ쇼ㅕㅐ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44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액분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총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급확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도용" localSheetId="1" hidden="1">#REF!</definedName>
    <definedName name="도용" localSheetId="0" hidden="1">#REF!</definedName>
    <definedName name="도용" localSheetId="2" hidden="1">#REF!</definedName>
    <definedName name="도용" hidden="1">#REF!</definedName>
    <definedName name="도장" localSheetId="0" hidden="1">{#N/A,#N/A,FALSE,"Sheet1"}</definedName>
    <definedName name="도장" hidden="1">{#N/A,#N/A,FALSE,"Sheet1"}</definedName>
    <definedName name="독립기초" localSheetId="0" hidden="1">{#N/A,#N/A,FALSE,"기안지";#N/A,#N/A,FALSE,"통신지"}</definedName>
    <definedName name="독립기초" hidden="1">{#N/A,#N/A,FALSE,"기안지";#N/A,#N/A,FALSE,"통신지"}</definedName>
    <definedName name="독립기초토공수량산출" localSheetId="0" hidden="1">{#N/A,#N/A,FALSE,"기안지";#N/A,#N/A,FALSE,"통신지"}</definedName>
    <definedName name="독립기초토공수량산출" hidden="1">{#N/A,#N/A,FALSE,"기안지";#N/A,#N/A,FALSE,"통신지"}</definedName>
    <definedName name="동력및간선" localSheetId="0" hidden="1">{#N/A,#N/A,FALSE,"전력간선"}</definedName>
    <definedName name="동력및간선" hidden="1">{#N/A,#N/A,FALSE,"전력간선"}</definedName>
    <definedName name="동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됴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머ㅣㅏ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ㅇㄹㄴㅇㄹㄴㄱㄴㅇ" localSheetId="0" hidden="1">{#N/A,#N/A,FALSE,"지침";#N/A,#N/A,FALSE,"환경분석";#N/A,#N/A,FALSE,"Sheet16"}</definedName>
    <definedName name="ㄹㄴㅇㄹㄴㅇㄹㄴㄱㄴㅇ" hidden="1">{#N/A,#N/A,FALSE,"지침";#N/A,#N/A,FALSE,"환경분석";#N/A,#N/A,FALSE,"Sheet16"}</definedName>
    <definedName name="ㄹㄴ헛혀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헛혀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ㄴ호ㅛㅈㄱ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넌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놔ㅏㅗ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ㄶㅗ" localSheetId="0" hidden="1">{#N/A,#N/A,FALSE,"집계표"}</definedName>
    <definedName name="ㄹㄶㅗ" hidden="1">{#N/A,#N/A,FALSE,"집계표"}</definedName>
    <definedName name="ㄹㄷㅅ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ㄷㅅ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0" hidden="1">{#N/A,#N/A,FALSE,"Sheet1"}</definedName>
    <definedName name="ㄹㄹ" hidden="1">{#N/A,#N/A,FALSE,"Sheet1"}</definedName>
    <definedName name="ㄹㄹㄹ" localSheetId="1" hidden="1">#REF!</definedName>
    <definedName name="ㄹㄹㄹ" localSheetId="0" hidden="1">#REF!</definedName>
    <definedName name="ㄹㄹㄹ" localSheetId="2" hidden="1">#REF!</definedName>
    <definedName name="ㄹㄹㄹ" hidden="1">#REF!</definedName>
    <definedName name="ㄹㄹㅇㄴ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ㅇㄴㄹㄹㅇㄴㄹㅇㄶㅀ" localSheetId="0" hidden="1">{#N/A,#N/A,FALSE,"집계표"}</definedName>
    <definedName name="ㄹㄹㅇㄴㄹㄹㅇㄴㄹㅇㄶㅀ" hidden="1">{#N/A,#N/A,FALSE,"집계표"}</definedName>
    <definedName name="ㄹㅇ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ㄴㅁ" localSheetId="0" hidden="1">{#N/A,#N/A,TRUE,"1";#N/A,#N/A,TRUE,"2";#N/A,#N/A,TRUE,"3";#N/A,#N/A,TRUE,"4";#N/A,#N/A,TRUE,"5";#N/A,#N/A,TRUE,"6";#N/A,#N/A,TRUE,"7"}</definedName>
    <definedName name="ㄹㅇㄴㅁ" hidden="1">{#N/A,#N/A,TRUE,"1";#N/A,#N/A,TRUE,"2";#N/A,#N/A,TRUE,"3";#N/A,#N/A,TRUE,"4";#N/A,#N/A,TRUE,"5";#N/A,#N/A,TRUE,"6";#N/A,#N/A,TRUE,"7"}</definedName>
    <definedName name="ㄹㅇㄴㅇㄴㅇㄹㅇ" localSheetId="0" hidden="1">{#N/A,#N/A,FALSE,"집계표"}</definedName>
    <definedName name="ㄹㅇㄴㅇㄴㅇㄹㅇ" hidden="1">{#N/A,#N/A,FALSE,"집계표"}</definedName>
    <definedName name="ㄹㅇ넛교ㅗ" localSheetId="0" hidden="1">{#N/A,#N/A,FALSE,"집계표"}</definedName>
    <definedName name="ㄹㅇ넛교ㅗ" hidden="1">{#N/A,#N/A,FALSE,"집계표"}</definedName>
    <definedName name="ㄹㅇ노ㅎ" localSheetId="0" hidden="1">{#N/A,#N/A,FALSE,"집계표"}</definedName>
    <definedName name="ㄹㅇ노ㅎ" hidden="1">{#N/A,#N/A,FALSE,"집계표"}</definedName>
    <definedName name="ㄹㅇㄶㄴㅅ" localSheetId="0" hidden="1">{#N/A,#N/A,FALSE,"집계표"}</definedName>
    <definedName name="ㄹㅇㄶㄴㅅ" hidden="1">{#N/A,#N/A,FALSE,"집계표"}</definedName>
    <definedName name="ㄹㅇㄶㅎㅇㄶㅇㅎㄹㅇ" localSheetId="0" hidden="1">{#N/A,#N/A,FALSE,"집계표"}</definedName>
    <definedName name="ㄹㅇㄶㅎㅇㄶㅇㅎㄹㅇ" hidden="1">{#N/A,#N/A,FALSE,"집계표"}</definedName>
    <definedName name="ㄹㅇ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ㅇ서ㅗ" localSheetId="0" hidden="1">{#N/A,#N/A,FALSE,"집계표"}</definedName>
    <definedName name="ㄹㅇ서ㅗ" hidden="1">{#N/A,#N/A,FALSE,"집계표"}</definedName>
    <definedName name="ㄹㅇ소ㅛ" localSheetId="0" hidden="1">{#N/A,#N/A,FALSE,"집계표"}</definedName>
    <definedName name="ㄹㅇ소ㅛ" hidden="1">{#N/A,#N/A,FALSE,"집계표"}</definedName>
    <definedName name="ㄹㅇㅇㅇㅇㅇㅇ" localSheetId="0" hidden="1">{#N/A,#N/A,FALSE,"집계표"}</definedName>
    <definedName name="ㄹㅇㅇㅇㅇㅇㅇ" hidden="1">{#N/A,#N/A,FALSE,"집계표"}</definedName>
    <definedName name="ㄹㅇㅇㅇㅇㅇㅇㅇㅇㅇㅇ" localSheetId="0" hidden="1">{#N/A,#N/A,FALSE,"집계표"}</definedName>
    <definedName name="ㄹㅇㅇㅇㅇㅇㅇㅇㅇㅇㅇ" hidden="1">{#N/A,#N/A,FALSE,"집계표"}</definedName>
    <definedName name="ㄹㅇ옷" localSheetId="0" hidden="1">{#N/A,#N/A,FALSE,"집계표"}</definedName>
    <definedName name="ㄹㅇ옷" hidden="1">{#N/A,#N/A,FALSE,"집계표"}</definedName>
    <definedName name="ㄹㅇㅌㅇㄴㄱㄷ" localSheetId="0" hidden="1">{#N/A,#N/A,FALSE,"포장2"}</definedName>
    <definedName name="ㄹㅇㅌㅇㄴㄱㄷ" hidden="1">{#N/A,#N/A,FALSE,"포장2"}</definedName>
    <definedName name="ㄹㅇㅌㅎㅎㅎㅎㅎ" localSheetId="0" hidden="1">{#N/A,#N/A,FALSE,"집계표"}</definedName>
    <definedName name="ㄹㅇㅌㅎㅎㅎㅎㅎ" hidden="1">{#N/A,#N/A,FALSE,"집계표"}</definedName>
    <definedName name="ㄹㅇㅎ" localSheetId="0" hidden="1">{#N/A,#N/A,FALSE,"집계표"}</definedName>
    <definedName name="ㄹㅇㅎ" hidden="1">{#N/A,#N/A,FALSE,"집계표"}</definedName>
    <definedName name="ㄹㅇㅎㅊㅌㅍㅍ" localSheetId="0" hidden="1">{#N/A,#N/A,FALSE,"집계표"}</definedName>
    <definedName name="ㄹㅇㅎㅊㅌㅍㅍ" hidden="1">{#N/A,#N/A,FALSE,"집계표"}</definedName>
    <definedName name="ㄹㅇㅎㅎㅎㅎㅎㅎㅎㅎㅎ" localSheetId="0" hidden="1">{#N/A,#N/A,FALSE,"집계표"}</definedName>
    <definedName name="ㄹㅇㅎㅎㅎㅎㅎㅎㅎㅎㅎ" hidden="1">{#N/A,#N/A,FALSE,"집계표"}</definedName>
    <definedName name="ㄹㅇ허ㅗ" localSheetId="0" hidden="1">{#N/A,#N/A,FALSE,"집계표"}</definedName>
    <definedName name="ㄹㅇ허ㅗ" hidden="1">{#N/A,#N/A,FALSE,"집계표"}</definedName>
    <definedName name="ㄹㅇ효" localSheetId="0" hidden="1">{#N/A,#N/A,FALSE,"집계표"}</definedName>
    <definedName name="ㄹㅇ효" hidden="1">{#N/A,#N/A,FALSE,"집계표"}</definedName>
    <definedName name="ㄹ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호" localSheetId="0" hidden="1">{#N/A,#N/A,FALSE,"집계표"}</definedName>
    <definedName name="ㄹ어호" hidden="1">{#N/A,#N/A,FALSE,"집계표"}</definedName>
    <definedName name="ㄹ어ㅏ요ㅕ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어ㅏ요ㅕ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여하ㅛ여ㅐㅏ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" localSheetId="0" hidden="1">{#N/A,#N/A,FALSE,"집계표"}</definedName>
    <definedName name="ㄹ오" hidden="1">{#N/A,#N/A,FALSE,"집계표"}</definedName>
    <definedName name="ㄹ오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오ㅛ" localSheetId="0" hidden="1">{#N/A,#N/A,FALSE,"집계표"}</definedName>
    <definedName name="ㄹ오ㅛ" hidden="1">{#N/A,#N/A,FALSE,"집계표"}</definedName>
    <definedName name="ㄹ옿" localSheetId="0" hidden="1">{#N/A,#N/A,FALSE,"집계표"}</definedName>
    <definedName name="ㄹ옿" hidden="1">{#N/A,#N/A,FALSE,"집계표"}</definedName>
    <definedName name="ㄹ옿ㄴㄴㄴ노" localSheetId="0" hidden="1">{#N/A,#N/A,FALSE,"집계표"}</definedName>
    <definedName name="ㄹ옿ㄴㄴㄴ노" hidden="1">{#N/A,#N/A,FALSE,"집계표"}</definedName>
    <definedName name="ㄹ옿ㅇㄹ" localSheetId="0" hidden="1">{#N/A,#N/A,FALSE,"집계표"}</definedName>
    <definedName name="ㄹ옿ㅇㄹ" hidden="1">{#N/A,#N/A,FALSE,"집계표"}</definedName>
    <definedName name="ㄹ옿ㅎㅎㅎㅎㅎㅎㅎ" localSheetId="0" hidden="1">{#N/A,#N/A,FALSE,"집계표"}</definedName>
    <definedName name="ㄹ옿ㅎㅎㅎㅎㅎㅎㅎ" hidden="1">{#N/A,#N/A,FALSE,"집계표"}</definedName>
    <definedName name="ㄹㅎㄹㅎㅀ" localSheetId="1" hidden="1">#REF!</definedName>
    <definedName name="ㄹㅎㄹㅎㅀ" localSheetId="0" hidden="1">#REF!</definedName>
    <definedName name="ㄹㅎㄹㅎㅀ" localSheetId="2" hidden="1">#REF!</definedName>
    <definedName name="ㄹㅎㄹㅎㅀ" hidden="1">#REF!</definedName>
    <definedName name="ㄹ하ㅏㅏㅏㅏㅏ" localSheetId="0" hidden="1">{#N/A,#N/A,FALSE,"집계표"}</definedName>
    <definedName name="ㄹ하ㅏㅏㅏㅏㅏ" hidden="1">{#N/A,#N/A,FALSE,"집계표"}</definedName>
    <definedName name="ㄹ허ㅓ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ㅓ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허ㅗ" localSheetId="0" hidden="1">{#N/A,#N/A,FALSE,"집계표"}</definedName>
    <definedName name="ㄹ허ㅗ" hidden="1">{#N/A,#N/A,FALSE,"집계표"}</definedName>
    <definedName name="ㄹ허ㅛㅛㅛㅛㅛㅛ" localSheetId="0" hidden="1">{#N/A,#N/A,FALSE,"집계표"}</definedName>
    <definedName name="ㄹ허ㅛㅛㅛㅛㅛㅛ" hidden="1">{#N/A,#N/A,FALSE,"집계표"}</definedName>
    <definedName name="ㄹ헐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헐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혀퍼ㅜㅠ" localSheetId="0" hidden="1">{#N/A,#N/A,FALSE,"집계표"}</definedName>
    <definedName name="ㄹ혀퍼ㅜㅠ" hidden="1">{#N/A,#N/A,FALSE,"집계표"}</definedName>
    <definedName name="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호ㅓㅛ" localSheetId="0" hidden="1">{#N/A,#N/A,FALSE,"집계표"}</definedName>
    <definedName name="ㄹ호ㅓㅛ" hidden="1">{#N/A,#N/A,FALSE,"집계표"}</definedName>
    <definedName name="ㄹ호ㅗㅎ" localSheetId="0" hidden="1">{#N/A,#N/A,FALSE,"집계표"}</definedName>
    <definedName name="ㄹ호ㅗㅎ" hidden="1">{#N/A,#N/A,FALSE,"집계표"}</definedName>
    <definedName name="ㄹ혼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혼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홀ㅅ" localSheetId="0" hidden="1">{#N/A,#N/A,FALSE,"집계표"}</definedName>
    <definedName name="ㄹ홀ㅅ" hidden="1">{#N/A,#N/A,FALSE,"집계표"}</definedName>
    <definedName name="ㄹ홓ㄹ로ㅗㅗㅗㅗㅗㅗㅗ" localSheetId="0" hidden="1">{#N/A,#N/A,FALSE,"집계표"}</definedName>
    <definedName name="ㄹ홓ㄹ로ㅗㅗㅗㅗㅗㅗㅗ" hidden="1">{#N/A,#N/A,FALSE,"집계표"}</definedName>
    <definedName name="ㄹ효ㅓㅕ" localSheetId="0" hidden="1">{#N/A,#N/A,FALSE,"집계표"}</definedName>
    <definedName name="ㄹ효ㅓㅕ" hidden="1">{#N/A,#N/A,FALSE,"집계표"}</definedName>
    <definedName name="ㄹ후ㅗㄴ러ㅡ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ㄴ러ㅡ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후ㅗㅡㅏㅏㄹ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라라ㅏㄹ" localSheetId="0" hidden="1">{#N/A,#N/A,FALSE,"집계표"}</definedName>
    <definedName name="라라라ㅏㄹ" hidden="1">{#N/A,#N/A,FALSE,"집계표"}</definedName>
    <definedName name="라아라라ㅏ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아라라ㅏ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ㅏㅏ" localSheetId="0" hidden="1">{#N/A,#N/A,FALSE,"집계표"}</definedName>
    <definedName name="라ㅏㅏ" hidden="1">{#N/A,#N/A,FALSE,"집계표"}</definedName>
    <definedName name="라ㅓ셔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셔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라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랏구" localSheetId="0" hidden="1">{#N/A,#N/A,FALSE,"집계표"}</definedName>
    <definedName name="랏구" hidden="1">{#N/A,#N/A,FALSE,"집계표"}</definedName>
    <definedName name="랑" localSheetId="0" hidden="1">{#N/A,#N/A,FALSE,"지침";#N/A,#N/A,FALSE,"환경분석";#N/A,#N/A,FALSE,"Sheet16"}</definedName>
    <definedName name="랑" hidden="1">{#N/A,#N/A,FALSE,"지침";#N/A,#N/A,FALSE,"환경분석";#N/A,#N/A,FALSE,"Sheet16"}</definedName>
    <definedName name="래" localSheetId="0" hidden="1">{#N/A,#N/A,FALSE,"변경관리예산";#N/A,#N/A,FALSE,"변경장비예산";#N/A,#N/A,FALSE,"변경준설예산";#N/A,#N/A,FALSE,"변경철구예산"}</definedName>
    <definedName name="래" hidden="1">{#N/A,#N/A,FALSE,"변경관리예산";#N/A,#N/A,FALSE,"변경장비예산";#N/A,#N/A,FALSE,"변경준설예산";#N/A,#N/A,FALSE,"변경철구예산"}</definedName>
    <definedName name="랴" localSheetId="0" hidden="1">{#N/A,#N/A,FALSE,"예상손익";#N/A,#N/A,FALSE,"관리분석";#N/A,#N/A,FALSE,"장비분석";#N/A,#N/A,FALSE,"준설분석";#N/A,#N/A,FALSE,"철구분석"}</definedName>
    <definedName name="랴" hidden="1">{#N/A,#N/A,FALSE,"예상손익";#N/A,#N/A,FALSE,"관리분석";#N/A,#N/A,FALSE,"장비분석";#N/A,#N/A,FALSE,"준설분석";#N/A,#N/A,FALSE,"철구분석"}</definedName>
    <definedName name="러러럴" localSheetId="0" hidden="1">{#N/A,#N/A,FALSE,"주간공정";#N/A,#N/A,FALSE,"주간보고";#N/A,#N/A,FALSE,"주간공정표"}</definedName>
    <definedName name="러러럴" hidden="1">{#N/A,#N/A,FALSE,"주간공정";#N/A,#N/A,FALSE,"주간보고";#N/A,#N/A,FALSE,"주간공정표"}</definedName>
    <definedName name="러헐" localSheetId="0" hidden="1">{#N/A,#N/A,FALSE,"도급대비시행율";#N/A,#N/A,FALSE,"결의서";#N/A,#N/A,FALSE,"내역서";#N/A,#N/A,FALSE,"도급예상"}</definedName>
    <definedName name="러헐" hidden="1">{#N/A,#N/A,FALSE,"도급대비시행율";#N/A,#N/A,FALSE,"결의서";#N/A,#N/A,FALSE,"내역서";#N/A,#N/A,FALSE,"도급예상"}</definedName>
    <definedName name="러ㅏㄹ" localSheetId="0" hidden="1">{#N/A,#N/A,FALSE,"주간공정";#N/A,#N/A,FALSE,"주간보고";#N/A,#N/A,FALSE,"주간공정표"}</definedName>
    <definedName name="러ㅏㄹ" hidden="1">{#N/A,#N/A,FALSE,"주간공정";#N/A,#N/A,FALSE,"주간보고";#N/A,#N/A,FALSE,"주간공정표"}</definedName>
    <definedName name="러ㅛㄷ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ㅛㄷ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러ㅣ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렂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렃퍼ㅗ" localSheetId="0" hidden="1">{#N/A,#N/A,FALSE,"집계표"}</definedName>
    <definedName name="렃퍼ㅗ" hidden="1">{#N/A,#N/A,FALSE,"집계표"}</definedName>
    <definedName name="련" localSheetId="0" hidden="1">{#N/A,#N/A,FALSE,"변경관리예산";#N/A,#N/A,FALSE,"변경장비예산";#N/A,#N/A,FALSE,"변경준설예산";#N/A,#N/A,FALSE,"변경철구예산"}</definedName>
    <definedName name="련" hidden="1">{#N/A,#N/A,FALSE,"변경관리예산";#N/A,#N/A,FALSE,"변경장비예산";#N/A,#N/A,FALSE,"변경준설예산";#N/A,#N/A,FALSE,"변경철구예산"}</definedName>
    <definedName name="로헝ㄱ" localSheetId="0" hidden="1">{#N/A,#N/A,FALSE,"집계표"}</definedName>
    <definedName name="로헝ㄱ" hidden="1">{#N/A,#N/A,FALSE,"집계표"}</definedName>
    <definedName name="로ㅓㄷ쇼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ㄷ쇼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로ㅓㅡㄴ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롤" localSheetId="0" hidden="1">{#N/A,#N/A,TRUE,"960318-1";#N/A,#N/A,TRUE,"960318-2";#N/A,#N/A,TRUE,"960318-3"}</definedName>
    <definedName name="롤" hidden="1">{#N/A,#N/A,TRUE,"960318-1";#N/A,#N/A,TRUE,"960318-2";#N/A,#N/A,TRUE,"960318-3"}</definedName>
    <definedName name="롱" localSheetId="0" hidden="1">{#N/A,#N/A,TRUE,"960318-1";#N/A,#N/A,TRUE,"960318-2";#N/A,#N/A,TRUE,"960318-3"}</definedName>
    <definedName name="롱" hidden="1">{#N/A,#N/A,TRUE,"960318-1";#N/A,#N/A,TRUE,"960318-2";#N/A,#N/A,TRUE,"960318-3"}</definedName>
    <definedName name="롷ㅎㅎㅎㅎ" localSheetId="0" hidden="1">{#N/A,#N/A,FALSE,"집계표"}</definedName>
    <definedName name="롷ㅎㅎㅎㅎ" hidden="1">{#N/A,#N/A,FALSE,"집계표"}</definedName>
    <definedName name="료ㅏㅓ사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ㅏㅓ사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료ㅕㅗ뮤ㅗ5곰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루훓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룰" localSheetId="0" hidden="1">{#N/A,#N/A,TRUE,"960318-1";#N/A,#N/A,TRUE,"960318-2";#N/A,#N/A,TRUE,"960318-3"}</definedName>
    <definedName name="룰" hidden="1">{#N/A,#N/A,TRUE,"960318-1";#N/A,#N/A,TRUE,"960318-2";#N/A,#N/A,TRUE,"960318-3"}</definedName>
    <definedName name="룸" localSheetId="0" hidden="1">{#N/A,#N/A,FALSE,"사업총괄";#N/A,#N/A,FALSE,"장비사업";#N/A,#N/A,FALSE,"철구사업";#N/A,#N/A,FALSE,"준설사업"}</definedName>
    <definedName name="룸" hidden="1">{#N/A,#N/A,FALSE,"사업총괄";#N/A,#N/A,FALSE,"장비사업";#N/A,#N/A,FALSE,"철구사업";#N/A,#N/A,FALSE,"준설사업"}</definedName>
    <definedName name="류ㅣㅏ" localSheetId="0" hidden="1">{#N/A,#N/A,FALSE,"집계표"}</definedName>
    <definedName name="류ㅣㅏ" hidden="1">{#N/A,#N/A,FALSE,"집계표"}</definedName>
    <definedName name="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르ㅓㅡㅡ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ㄻ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ㄿ호ㅗㅗ" localSheetId="0" hidden="1">{#N/A,#N/A,FALSE,"집계표"}</definedName>
    <definedName name="ㄿ호ㅗㅗ" hidden="1">{#N/A,#N/A,FALSE,"집계표"}</definedName>
    <definedName name="ㅀㅅㄱ" localSheetId="0" hidden="1">{#N/A,#N/A,FALSE,"Sheet6"}</definedName>
    <definedName name="ㅀㅅㄱ" hidden="1">{#N/A,#N/A,FALSE,"Sheet6"}</definedName>
    <definedName name="ㅀㅇ" localSheetId="0" hidden="1">{#N/A,#N/A,FALSE,"집계표"}</definedName>
    <definedName name="ㅀㅇ" hidden="1">{#N/A,#N/A,FALSE,"집계표"}</definedName>
    <definedName name="ㅀ오ㅓㅎ롱ㄶㄹㄴ" localSheetId="0" hidden="1">{#N/A,#N/A,FALSE,"2~8번"}</definedName>
    <definedName name="ㅀ오ㅓㅎ롱ㄶㄹㄴ" hidden="1">{#N/A,#N/A,FALSE,"2~8번"}</definedName>
    <definedName name="ㅀㅎㅎㅇㅁㅎㄻ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ㅎㅎㅇㅁㅎㄻ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허" localSheetId="0" hidden="1">{#N/A,#N/A,FALSE,"CCTV"}</definedName>
    <definedName name="ㅀ허" hidden="1">{#N/A,#N/A,FALSE,"CCTV"}</definedName>
    <definedName name="ㅁㄱㄷㅋㄴㅇ" localSheetId="0" hidden="1">{#N/A,#N/A,FALSE,"집계표"}</definedName>
    <definedName name="ㅁㄱㄷㅋㄴㅇ" hidden="1">{#N/A,#N/A,FALSE,"집계표"}</definedName>
    <definedName name="ㅁㄱ솢ㅁ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ㄱ솢ㅁ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ㄳ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ㄹ" localSheetId="0" hidden="1">{#N/A,#N/A,FALSE,"집계표"}</definedName>
    <definedName name="ㅁㄴㄹ" hidden="1">{#N/A,#N/A,FALSE,"집계표"}</definedName>
    <definedName name="ㅁㄴㅁㅇ" localSheetId="1" hidden="1">[21]유림골조!#REF!</definedName>
    <definedName name="ㅁㄴㅁㅇ" localSheetId="0" hidden="1">[21]유림골조!#REF!</definedName>
    <definedName name="ㅁㄴㅁㅇ" localSheetId="2" hidden="1">[21]유림골조!#REF!</definedName>
    <definedName name="ㅁㄴㅁㅇ" hidden="1">[21]유림골조!#REF!</definedName>
    <definedName name="ㅁ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ㄹ" localSheetId="0" hidden="1">{#N/A,#N/A,FALSE,"집계표"}</definedName>
    <definedName name="ㅁㄴㅇㄹ" hidden="1">{#N/A,#N/A,FALSE,"집계표"}</definedName>
    <definedName name="ㅁㄴㅇㄻㄴㅇㄻㄴㄹ" localSheetId="0" hidden="1">{#N/A,#N/A,FALSE,"명세표"}</definedName>
    <definedName name="ㅁㄴㅇㄻㄴㅇㄻㄴㄹ" hidden="1">{#N/A,#N/A,FALSE,"명세표"}</definedName>
    <definedName name="ㅁㄴㅇㅀㅁ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ㅀㅁ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ㄴㅇㅁㄴㅇ" localSheetId="1" hidden="1">#REF!</definedName>
    <definedName name="ㅁㄴㅇㅁㄴㅇ" localSheetId="0" hidden="1">#REF!</definedName>
    <definedName name="ㅁㄴㅇㅁㄴㅇ" localSheetId="2" hidden="1">#REF!</definedName>
    <definedName name="ㅁㄴㅇㅁㄴㅇ" hidden="1">#REF!</definedName>
    <definedName name="ㅁㄴㅇㅁㅌㅋ" localSheetId="0" hidden="1">{#N/A,#N/A,FALSE,"집계표"}</definedName>
    <definedName name="ㅁㄴㅇㅁㅌㅋ" hidden="1">{#N/A,#N/A,FALSE,"집계표"}</definedName>
    <definedName name="ㅁㄴ아랴" localSheetId="0" hidden="1">{#N/A,#N/A,FALSE,"집계표"}</definedName>
    <definedName name="ㅁㄴ아랴" hidden="1">{#N/A,#N/A,FALSE,"집계표"}</definedName>
    <definedName name="ㅁㄴ아ㅓㄹ킽" localSheetId="0" hidden="1">{#N/A,#N/A,FALSE,"집계표"}</definedName>
    <definedName name="ㅁㄴ아ㅓㄹ킽" hidden="1">{#N/A,#N/A,FALSE,"집계표"}</definedName>
    <definedName name="ㅁㄴ아ㅓㅎ" localSheetId="0" hidden="1">{#N/A,#N/A,FALSE,"집계표"}</definedName>
    <definedName name="ㅁㄴ아ㅓㅎ" hidden="1">{#N/A,#N/A,FALSE,"집계표"}</definedName>
    <definedName name="ㅁㄴ얼" localSheetId="0" hidden="1">{#N/A,#N/A,FALSE,"집계표"}</definedName>
    <definedName name="ㅁㄴ얼" hidden="1">{#N/A,#N/A,FALSE,"집계표"}</definedName>
    <definedName name="ㅁ날어" localSheetId="0" hidden="1">{#N/A,#N/A,FALSE,"집계표"}</definedName>
    <definedName name="ㅁ날어" hidden="1">{#N/A,#N/A,FALSE,"집계표"}</definedName>
    <definedName name="ㅁ널머밀ㅇㄴ" localSheetId="0" hidden="1">{#N/A,#N/A,FALSE,"집계표"}</definedName>
    <definedName name="ㅁ널머밀ㅇㄴ" hidden="1">{#N/A,#N/A,FALSE,"집계표"}</definedName>
    <definedName name="ㅁ널이ㅏㅓㄴ" localSheetId="0" hidden="1">{#N/A,#N/A,FALSE,"집계표"}</definedName>
    <definedName name="ㅁ널이ㅏㅓㄴ" hidden="1">{#N/A,#N/A,FALSE,"집계표"}</definedName>
    <definedName name="ㅁ니ㅏㅎㅋㅇ" localSheetId="0" hidden="1">{#N/A,#N/A,FALSE,"집계표"}</definedName>
    <definedName name="ㅁ니ㅏㅎㅋㅇ" hidden="1">{#N/A,#N/A,FALSE,"집계표"}</definedName>
    <definedName name="ㅁㄶ리ㅏㅓ" localSheetId="0" hidden="1">{#N/A,#N/A,FALSE,"집계표"}</definedName>
    <definedName name="ㅁㄶ리ㅏㅓ" hidden="1">{#N/A,#N/A,FALSE,"집계표"}</definedName>
    <definedName name="ㅁㄶㅇ" localSheetId="0" hidden="1">{#N/A,#N/A,FALSE,"집계표"}</definedName>
    <definedName name="ㅁㄶㅇ" hidden="1">{#N/A,#N/A,FALSE,"집계표"}</definedName>
    <definedName name="ㅁㄷ고ㅠ모륟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고ㅠ모륟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ㄷ나ㅓㅇㅇㅌ" localSheetId="0" hidden="1">{#N/A,#N/A,FALSE,"집계표"}</definedName>
    <definedName name="ㅁㄷ나ㅓㅇㅇㅌ" hidden="1">{#N/A,#N/A,FALSE,"집계표"}</definedName>
    <definedName name="ㅁㅁ" localSheetId="1" hidden="1">#REF!</definedName>
    <definedName name="ㅁㅁ" localSheetId="0" hidden="1">#REF!</definedName>
    <definedName name="ㅁㅁ" localSheetId="2" hidden="1">#REF!</definedName>
    <definedName name="ㅁㅁ" hidden="1">#REF!</definedName>
    <definedName name="ㅁㅁㅁ" localSheetId="0" hidden="1">{#N/A,#N/A,FALSE,"지침";#N/A,#N/A,FALSE,"환경분석";#N/A,#N/A,FALSE,"Sheet16"}</definedName>
    <definedName name="ㅁㅁㅁ" hidden="1">{#N/A,#N/A,FALSE,"지침";#N/A,#N/A,FALSE,"환경분석";#N/A,#N/A,FALSE,"Sheet16"}</definedName>
    <definedName name="ㅁㅁㅁㅁ" localSheetId="0" hidden="1">{#N/A,#N/A,FALSE,"지침";#N/A,#N/A,FALSE,"환경분석";#N/A,#N/A,FALSE,"Sheet16"}</definedName>
    <definedName name="ㅁㅁㅁㅁ" hidden="1">{#N/A,#N/A,FALSE,"지침";#N/A,#N/A,FALSE,"환경분석";#N/A,#N/A,FALSE,"Sheet16"}</definedName>
    <definedName name="ㅁㅁㅁㅁㅁ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ㅁㅁㅁㅁㅁㅁ" localSheetId="1" hidden="1">#REF!</definedName>
    <definedName name="ㅁㅁㅁㅁㅁㅁ" localSheetId="0" hidden="1">#REF!</definedName>
    <definedName name="ㅁㅁㅁㅁㅁㅁ" localSheetId="2" hidden="1">#REF!</definedName>
    <definedName name="ㅁㅁㅁㅁㅁㅁ" hidden="1">#REF!</definedName>
    <definedName name="ㅁㅅㅅㅁㄱ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ㅅㅅㅁㄱ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ㄴ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나ㅓ키ㅏㄴ" localSheetId="0" hidden="1">{#N/A,#N/A,FALSE,"집계표"}</definedName>
    <definedName name="ㅁㅇ나ㅓ키ㅏㄴ" hidden="1">{#N/A,#N/A,FALSE,"집계표"}</definedName>
    <definedName name="ㅁㅇㄹㅇㅎㄻㅍ" localSheetId="0" hidden="1">{#N/A,#N/A,FALSE,"집계표"}</definedName>
    <definedName name="ㅁㅇㄹㅇㅎㄻㅍ" hidden="1">{#N/A,#N/A,FALSE,"집계표"}</definedName>
    <definedName name="ㅁㅇㅀㅂ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ㅀㅂ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ㅁㅇㅇ" localSheetId="0" hidden="1">{#N/A,#N/A,FALSE,"Sheet1"}</definedName>
    <definedName name="ㅁㅇㅇ" hidden="1">{#N/A,#N/A,FALSE,"Sheet1"}</definedName>
    <definedName name="ㅁㅈㄷ" localSheetId="0" hidden="1">{#N/A,#N/A,FALSE,"배수1"}</definedName>
    <definedName name="ㅁㅈㄷ" hidden="1">{#N/A,#N/A,FALSE,"배수1"}</definedName>
    <definedName name="ㅁㅈㅂㄷㄺㅂ" localSheetId="0" hidden="1">{#N/A,#N/A,FALSE,"집계표"}</definedName>
    <definedName name="ㅁㅈㅂㄷㄺㅂ" hidden="1">{#N/A,#N/A,FALSE,"집계표"}</definedName>
    <definedName name="ㅁㅈ뱔ㅇ" localSheetId="0" hidden="1">{#N/A,#N/A,FALSE,"집계표"}</definedName>
    <definedName name="ㅁㅈ뱔ㅇ" hidden="1">{#N/A,#N/A,FALSE,"집계표"}</definedName>
    <definedName name="ㅁㅋㄴ이ㅏㄹ" localSheetId="0" hidden="1">{#N/A,#N/A,FALSE,"집계표"}</definedName>
    <definedName name="ㅁㅋㄴ이ㅏㄹ" hidden="1">{#N/A,#N/A,FALSE,"집계표"}</definedName>
    <definedName name="ㅁㅎ이ㅏ" localSheetId="0" hidden="1">{#N/A,#N/A,FALSE,"집계표"}</definedName>
    <definedName name="ㅁㅎ이ㅏ" hidden="1">{#N/A,#N/A,FALSE,"집계표"}</definedName>
    <definedName name="ㅁㅎㅎ" localSheetId="1" hidden="1">#REF!</definedName>
    <definedName name="ㅁㅎㅎ" localSheetId="0" hidden="1">#REF!</definedName>
    <definedName name="ㅁㅎㅎ" localSheetId="2" hidden="1">#REF!</definedName>
    <definedName name="ㅁㅎㅎ" hidden="1">#REF!</definedName>
    <definedName name="마널이ㅏ" localSheetId="0" hidden="1">{#N/A,#N/A,FALSE,"집계표"}</definedName>
    <definedName name="마널이ㅏ" hidden="1">{#N/A,#N/A,FALSE,"집계표"}</definedName>
    <definedName name="마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마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만득이" localSheetId="0" hidden="1">{#N/A,#N/A,FALSE,"2~8번"}</definedName>
    <definedName name="만득이" hidden="1">{#N/A,#N/A,FALSE,"2~8번"}</definedName>
    <definedName name="매입세액" localSheetId="0" hidden="1">{#N/A,#N/A,FALSE,"예상손익";#N/A,#N/A,FALSE,"관리분석";#N/A,#N/A,FALSE,"장비분석";#N/A,#N/A,FALSE,"준설분석";#N/A,#N/A,FALSE,"철구분석"}</definedName>
    <definedName name="매입세액" hidden="1">{#N/A,#N/A,FALSE,"예상손익";#N/A,#N/A,FALSE,"관리분석";#N/A,#N/A,FALSE,"장비분석";#N/A,#N/A,FALSE,"준설분석";#N/A,#N/A,FALSE,"철구분석"}</definedName>
    <definedName name="매출3" localSheetId="0" hidden="1">{#N/A,#N/A,FALSE,"지침";#N/A,#N/A,FALSE,"환경분석";#N/A,#N/A,FALSE,"Sheet16"}</definedName>
    <definedName name="매출3" hidden="1">{#N/A,#N/A,FALSE,"지침";#N/A,#N/A,FALSE,"환경분석";#N/A,#N/A,FALSE,"Sheet16"}</definedName>
    <definedName name="맨홀집계표" localSheetId="0" hidden="1">{#N/A,#N/A,FALSE,"포장단가"}</definedName>
    <definedName name="맨홀집계표" hidden="1">{#N/A,#N/A,FALSE,"포장단가"}</definedName>
    <definedName name="며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며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명일" localSheetId="0" hidden="1">{#N/A,#N/A,FALSE,"속도"}</definedName>
    <definedName name="명일" hidden="1">{#N/A,#N/A,FALSE,"속도"}</definedName>
    <definedName name="모" localSheetId="0" hidden="1">{#N/A,#N/A,FALSE,"변경관리예산";#N/A,#N/A,FALSE,"변경장비예산";#N/A,#N/A,FALSE,"변경준설예산";#N/A,#N/A,FALSE,"변경철구예산"}</definedName>
    <definedName name="모" hidden="1">{#N/A,#N/A,FALSE,"변경관리예산";#N/A,#N/A,FALSE,"변경장비예산";#N/A,#N/A,FALSE,"변경준설예산";#N/A,#N/A,FALSE,"변경철구예산"}</definedName>
    <definedName name="몬난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몬난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몰라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문서" localSheetId="0" hidden="1">{#N/A,#N/A,FALSE,"현장 NCR 분석";#N/A,#N/A,FALSE,"현장품질감사";#N/A,#N/A,FALSE,"현장품질감사"}</definedName>
    <definedName name="문서" hidden="1">{#N/A,#N/A,FALSE,"현장 NCR 분석";#N/A,#N/A,FALSE,"현장품질감사";#N/A,#N/A,FALSE,"현장품질감사"}</definedName>
    <definedName name="물" localSheetId="0" hidden="1">{#N/A,#N/A,FALSE,"이태원철근"}</definedName>
    <definedName name="물" hidden="1">{#N/A,#N/A,FALSE,"이태원철근"}</definedName>
    <definedName name="물가변동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가변동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물량산출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물량산출근거" localSheetId="0" hidden="1">{#N/A,#N/A,FALSE,"도급대비시행율";#N/A,#N/A,FALSE,"결의서";#N/A,#N/A,FALSE,"내역서";#N/A,#N/A,FALSE,"도급예상"}</definedName>
    <definedName name="물량산출근거" hidden="1">{#N/A,#N/A,FALSE,"도급대비시행율";#N/A,#N/A,FALSE,"결의서";#N/A,#N/A,FALSE,"내역서";#N/A,#N/A,FALSE,"도급예상"}</definedName>
    <definedName name="물량산출랍" localSheetId="0" hidden="1">{#N/A,#N/A,FALSE,"Sheet1"}</definedName>
    <definedName name="물량산출랍" hidden="1">{#N/A,#N/A,FALSE,"Sheet1"}</definedName>
    <definedName name="뭐가이태원이야" localSheetId="0" hidden="1">{#N/A,#N/A,FALSE,"이태원철근"}</definedName>
    <definedName name="뭐가이태원이야" hidden="1">{#N/A,#N/A,FALSE,"이태원철근"}</definedName>
    <definedName name="므ㅓ" localSheetId="0" hidden="1">{#N/A,#N/A,FALSE,"집계표"}</definedName>
    <definedName name="므ㅓ" hidden="1">{#N/A,#N/A,FALSE,"집계표"}</definedName>
    <definedName name="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미장물량" localSheetId="0" hidden="1">{#N/A,#N/A,FALSE,"Sheet1"}</definedName>
    <definedName name="미장물량" hidden="1">{#N/A,#N/A,FALSE,"Sheet1"}</definedName>
    <definedName name="미ㅣㅁ" localSheetId="0" hidden="1">{#N/A,#N/A,FALSE,"집계표"}</definedName>
    <definedName name="미ㅣㅁ" hidden="1">{#N/A,#N/A,FALSE,"집계표"}</definedName>
    <definedName name="민원관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관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민원품의" localSheetId="0" hidden="1">{#N/A,#N/A,FALSE,"변경관리예산";#N/A,#N/A,FALSE,"변경장비예산";#N/A,#N/A,FALSE,"변경준설예산";#N/A,#N/A,FALSE,"변경철구예산"}</definedName>
    <definedName name="민원품의" hidden="1">{#N/A,#N/A,FALSE,"변경관리예산";#N/A,#N/A,FALSE,"변경장비예산";#N/A,#N/A,FALSE,"변경준설예산";#N/A,#N/A,FALSE,"변경철구예산"}</definedName>
    <definedName name="민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민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2ㅂ2" localSheetId="0" hidden="1">{#N/A,#N/A,FALSE,"배수1"}</definedName>
    <definedName name="ㅂ2ㅂ2" hidden="1">{#N/A,#N/A,FALSE,"배수1"}</definedName>
    <definedName name="ㅂㄳ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ㄳ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ㄱ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ㄷㄳㄷㅂㄱ" localSheetId="1" hidden="1">#REF!</definedName>
    <definedName name="ㅂㄷㄳㄷㅂㄱ" localSheetId="0" hidden="1">#REF!</definedName>
    <definedName name="ㅂㄷㄳㄷㅂㄱ" localSheetId="2" hidden="1">#REF!</definedName>
    <definedName name="ㅂㄷㄳㄷㅂㄱ" hidden="1">#REF!</definedName>
    <definedName name="ㅂㄷㅅㅄ" localSheetId="1" hidden="1">#REF!</definedName>
    <definedName name="ㅂㄷㅅㅄ" localSheetId="0" hidden="1">#REF!</definedName>
    <definedName name="ㅂㄷㅅㅄ" localSheetId="2" hidden="1">#REF!</definedName>
    <definedName name="ㅂㄷㅅㅄ" hidden="1">#REF!</definedName>
    <definedName name="ㅂㅂ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ㅂㅂㅂ" localSheetId="0" hidden="1">{"'용역비'!$A$4:$C$8"}</definedName>
    <definedName name="ㅂㅂㅂ" hidden="1">{"'용역비'!$A$4:$C$8"}</definedName>
    <definedName name="ㅂㅂㅂㅂㅂ" localSheetId="0" hidden="1">{"'별표'!$N$220"}</definedName>
    <definedName name="ㅂㅂㅂㅂㅂ" hidden="1">{"'별표'!$N$220"}</definedName>
    <definedName name="ㅂㅂㅂㅂㅂㅂ" localSheetId="0" hidden="1">{#N/A,#N/A,FALSE,"지침";#N/A,#N/A,FALSE,"환경분석";#N/A,#N/A,FALSE,"Sheet16"}</definedName>
    <definedName name="ㅂㅂㅂㅂㅂㅂ" hidden="1">{#N/A,#N/A,FALSE,"지침";#N/A,#N/A,FALSE,"환경분석";#N/A,#N/A,FALSE,"Sheet16"}</definedName>
    <definedName name="ㅂㅈ" localSheetId="0" hidden="1">{#N/A,#N/A,TRUE,"1";#N/A,#N/A,TRUE,"2";#N/A,#N/A,TRUE,"3";#N/A,#N/A,TRUE,"4";#N/A,#N/A,TRUE,"5";#N/A,#N/A,TRUE,"6";#N/A,#N/A,TRUE,"7"}</definedName>
    <definedName name="ㅂㅈ" hidden="1">{#N/A,#N/A,TRUE,"1";#N/A,#N/A,TRUE,"2";#N/A,#N/A,TRUE,"3";#N/A,#N/A,TRUE,"4";#N/A,#N/A,TRUE,"5";#N/A,#N/A,TRUE,"6";#N/A,#N/A,TRUE,"7"}</definedName>
    <definedName name="ㅂㅈㄷㄱ" localSheetId="0" hidden="1">{#N/A,#N/A,FALSE,"지침";#N/A,#N/A,FALSE,"환경분석";#N/A,#N/A,FALSE,"Sheet16"}</definedName>
    <definedName name="ㅂㅈㄷㄱ" hidden="1">{#N/A,#N/A,FALSE,"지침";#N/A,#N/A,FALSE,"환경분석";#N/A,#N/A,FALSE,"Sheet16"}</definedName>
    <definedName name="ㅂㅈㄷ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ㄷ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ㅈㅈ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ㅂ쟈ㅕㅑㅂ1" localSheetId="0" hidden="1">{#N/A,#N/A,FALSE,"배수1"}</definedName>
    <definedName name="ㅂ쟈ㅕㅑㅂ1" hidden="1">{#N/A,#N/A,FALSE,"배수1"}</definedName>
    <definedName name="바부" localSheetId="0" hidden="1">{"'용역비'!$A$4:$C$8"}</definedName>
    <definedName name="바부" hidden="1">{"'용역비'!$A$4:$C$8"}</definedName>
    <definedName name="박" localSheetId="0" hidden="1">{#N/A,#N/A,FALSE,"구조1"}</definedName>
    <definedName name="박" hidden="1">{#N/A,#N/A,FALSE,"구조1"}</definedName>
    <definedName name="박상열" localSheetId="0" hidden="1">{#N/A,#N/A,FALSE,"현장 NCR 분석";#N/A,#N/A,FALSE,"현장품질감사";#N/A,#N/A,FALSE,"현장품질감사"}</definedName>
    <definedName name="박상열" hidden="1">{#N/A,#N/A,FALSE,"현장 NCR 분석";#N/A,#N/A,FALSE,"현장품질감사";#N/A,#N/A,FALSE,"현장품질감사"}</definedName>
    <definedName name="방" localSheetId="0" hidden="1">{#N/A,#N/A,TRUE,"960318-1";#N/A,#N/A,TRUE,"960318-2";#N/A,#N/A,TRUE,"960318-3"}</definedName>
    <definedName name="방" hidden="1">{#N/A,#N/A,TRUE,"960318-1";#N/A,#N/A,TRUE,"960318-2";#N/A,#N/A,TRUE,"960318-3"}</definedName>
    <definedName name="방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방수시방1" localSheetId="0" hidden="1">{#N/A,#N/A,FALSE,"현장 NCR 분석";#N/A,#N/A,FALSE,"현장품질감사";#N/A,#N/A,FALSE,"현장품질감사"}</definedName>
    <definedName name="방수시방1" hidden="1">{#N/A,#N/A,FALSE,"현장 NCR 분석";#N/A,#N/A,FALSE,"현장품질감사";#N/A,#N/A,FALSE,"현장품질감사"}</definedName>
    <definedName name="배수공집계_주요자재" localSheetId="0" hidden="1">{#N/A,#N/A,FALSE,"포장단가"}</definedName>
    <definedName name="배수공집계_주요자재" hidden="1">{#N/A,#N/A,FALSE,"포장단가"}</definedName>
    <definedName name="벙" localSheetId="0" hidden="1">{#N/A,#N/A,FALSE,"Sheet6"}</definedName>
    <definedName name="벙" hidden="1">{#N/A,#N/A,FALSE,"Sheet6"}</definedName>
    <definedName name="벽체" localSheetId="0" hidden="1">{#N/A,#N/A,FALSE,"혼합골재"}</definedName>
    <definedName name="벽체" hidden="1">{#N/A,#N/A,FALSE,"혼합골재"}</definedName>
    <definedName name="변경2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변경2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보고자료" localSheetId="0" hidden="1">{#N/A,#N/A,FALSE,"집계표"}</definedName>
    <definedName name="보고자료" hidden="1">{#N/A,#N/A,FALSE,"집계표"}</definedName>
    <definedName name="보링" localSheetId="0" hidden="1">{#N/A,#N/A,FALSE,"포장2"}</definedName>
    <definedName name="보링" hidden="1">{#N/A,#N/A,FALSE,"포장2"}</definedName>
    <definedName name="보오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오링그라우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보평" localSheetId="0" hidden="1">{#N/A,#N/A,FALSE,"전력간선"}</definedName>
    <definedName name="보평" hidden="1">{#N/A,#N/A,FALSE,"전력간선"}</definedName>
    <definedName name="보평1" localSheetId="0" hidden="1">{#N/A,#N/A,FALSE,"전력간선"}</definedName>
    <definedName name="보평1" hidden="1">{#N/A,#N/A,FALSE,"전력간선"}</definedName>
    <definedName name="복사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사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복ㅇ" localSheetId="0" hidden="1">{#N/A,#N/A,FALSE,"부대2"}</definedName>
    <definedName name="복ㅇ" hidden="1">{#N/A,#N/A,FALSE,"부대2"}</definedName>
    <definedName name="복지" localSheetId="1" hidden="1">#REF!</definedName>
    <definedName name="복지" localSheetId="0" hidden="1">#REF!</definedName>
    <definedName name="복지" localSheetId="2" hidden="1">#REF!</definedName>
    <definedName name="복지" hidden="1">#REF!</definedName>
    <definedName name="봉" localSheetId="0" hidden="1">{#N/A,#N/A,TRUE,"960318-1";#N/A,#N/A,TRUE,"960318-2";#N/A,#N/A,TRUE,"960318-3"}</definedName>
    <definedName name="봉" hidden="1">{#N/A,#N/A,TRUE,"960318-1";#N/A,#N/A,TRUE,"960318-2";#N/A,#N/A,TRUE,"960318-3"}</definedName>
    <definedName name="뵤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뵤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" localSheetId="0" hidden="1">{#N/A,#N/A,FALSE,"현장 NCR 분석";#N/A,#N/A,FALSE,"현장품질감사";#N/A,#N/A,FALSE,"현장품질감사"}</definedName>
    <definedName name="부" hidden="1">{#N/A,#N/A,FALSE,"현장 NCR 분석";#N/A,#N/A,FALSE,"현장품질감사";#N/A,#N/A,FALSE,"현장품질감사"}</definedName>
    <definedName name="부대a" localSheetId="0" hidden="1">{#N/A,#N/A,FALSE,"골재소요량";#N/A,#N/A,FALSE,"골재소요량"}</definedName>
    <definedName name="부대a" hidden="1">{#N/A,#N/A,FALSE,"골재소요량";#N/A,#N/A,FALSE,"골재소요량"}</definedName>
    <definedName name="부대건축2" localSheetId="1" hidden="1">[22]유림골조!#REF!</definedName>
    <definedName name="부대건축2" localSheetId="0" hidden="1">[22]유림골조!#REF!</definedName>
    <definedName name="부대건축2" localSheetId="2" hidden="1">[22]유림골조!#REF!</definedName>
    <definedName name="부대건축2" hidden="1">[22]유림골조!#REF!</definedName>
    <definedName name="부대구조" localSheetId="0" hidden="1">{#N/A,#N/A,FALSE,"골재소요량";#N/A,#N/A,FALSE,"골재소요량"}</definedName>
    <definedName name="부대구조" hidden="1">{#N/A,#N/A,FALSE,"골재소요량";#N/A,#N/A,FALSE,"골재소요량"}</definedName>
    <definedName name="부대방안" localSheetId="0" hidden="1">{#N/A,#N/A,FALSE,"단가표지"}</definedName>
    <definedName name="부대방안" hidden="1">{#N/A,#N/A,FALSE,"단가표지"}</definedName>
    <definedName name="부대실행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실행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대원가" localSheetId="0" hidden="1">{#N/A,#N/A,FALSE,"배수2"}</definedName>
    <definedName name="부대원가" hidden="1">{#N/A,#N/A,FALSE,"배수2"}</definedName>
    <definedName name="부대원본" localSheetId="0" hidden="1">{#N/A,#N/A,FALSE,"토공2"}</definedName>
    <definedName name="부대원본" hidden="1">{#N/A,#N/A,FALSE,"토공2"}</definedName>
    <definedName name="부대철콘" localSheetId="0" hidden="1">{#N/A,#N/A,FALSE,"배수1"}</definedName>
    <definedName name="부대철콘" hidden="1">{#N/A,#N/A,FALSE,"배수1"}</definedName>
    <definedName name="부대토공" localSheetId="0" hidden="1">{#N/A,#N/A,FALSE,"구조2"}</definedName>
    <definedName name="부대토공" hidden="1">{#N/A,#N/A,FALSE,"구조2"}</definedName>
    <definedName name="부대토공2" localSheetId="0" hidden="1">{#N/A,#N/A,FALSE,"구조2"}</definedName>
    <definedName name="부대토공2" hidden="1">{#N/A,#N/A,FALSE,"구조2"}</definedName>
    <definedName name="부산주경기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산주경기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부손익" localSheetId="0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부천상동조경" localSheetId="0" hidden="1">{#N/A,#N/A,FALSE,"표지"}</definedName>
    <definedName name="부천상동조경" hidden="1">{#N/A,#N/A,FALSE,"표지"}</definedName>
    <definedName name="분" localSheetId="0" hidden="1">{#N/A,#N/A,FALSE,"이태원철근"}</definedName>
    <definedName name="분" hidden="1">{#N/A,#N/A,FALSE,"이태원철근"}</definedName>
    <definedName name="분당공" localSheetId="1" hidden="1">#REF!</definedName>
    <definedName name="분당공" localSheetId="0" hidden="1">#REF!</definedName>
    <definedName name="분당공" localSheetId="2" hidden="1">#REF!</definedName>
    <definedName name="분당공" hidden="1">#REF!</definedName>
    <definedName name="분당물가" localSheetId="1" hidden="1">#REF!</definedName>
    <definedName name="분당물가" localSheetId="0" hidden="1">#REF!</definedName>
    <definedName name="분당물가" localSheetId="2" hidden="1">#REF!</definedName>
    <definedName name="분당물가" hidden="1">#REF!</definedName>
    <definedName name="분당코아" localSheetId="1" hidden="1">#REF!</definedName>
    <definedName name="분당코아" localSheetId="0" hidden="1">#REF!</definedName>
    <definedName name="분당코아" localSheetId="2" hidden="1">#REF!</definedName>
    <definedName name="분당코아" hidden="1">#REF!</definedName>
    <definedName name="분당협조" localSheetId="0" hidden="1">{#N/A,#N/A,FALSE,"이태원철근"}</definedName>
    <definedName name="분당협조" hidden="1">{#N/A,#N/A,FALSE,"이태원철근"}</definedName>
    <definedName name="분석" localSheetId="0" hidden="1">{#N/A,#N/A,FALSE,"예상손익";#N/A,#N/A,FALSE,"관리분석";#N/A,#N/A,FALSE,"장비분석";#N/A,#N/A,FALSE,"준설분석";#N/A,#N/A,FALSE,"철구분석"}</definedName>
    <definedName name="분석" hidden="1">{#N/A,#N/A,FALSE,"예상손익";#N/A,#N/A,FALSE,"관리분석";#N/A,#N/A,FALSE,"장비분석";#N/A,#N/A,FALSE,"준설분석";#N/A,#N/A,FALSE,"철구분석"}</definedName>
    <definedName name="분석변경" localSheetId="0" hidden="1">{#N/A,#N/A,FALSE,"변경관리예산";#N/A,#N/A,FALSE,"변경장비예산";#N/A,#N/A,FALSE,"변경준설예산";#N/A,#N/A,FALSE,"변경철구예산"}</definedName>
    <definedName name="분석변경" hidden="1">{#N/A,#N/A,FALSE,"변경관리예산";#N/A,#N/A,FALSE,"변경장비예산";#N/A,#N/A,FALSE,"변경준설예산";#N/A,#N/A,FALSE,"변경철구예산"}</definedName>
    <definedName name="분석표" localSheetId="0" hidden="1">{#N/A,#N/A,FALSE,"사업총괄";#N/A,#N/A,FALSE,"장비사업";#N/A,#N/A,FALSE,"철구사업";#N/A,#N/A,FALSE,"준설사업"}</definedName>
    <definedName name="분석표" hidden="1">{#N/A,#N/A,FALSE,"사업총괄";#N/A,#N/A,FALSE,"장비사업";#N/A,#N/A,FALSE,"철구사업";#N/A,#N/A,FALSE,"준설사업"}</definedName>
    <definedName name="분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야별공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분양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비과세" localSheetId="1" hidden="1">#REF!</definedName>
    <definedName name="비과세" localSheetId="0" hidden="1">#REF!</definedName>
    <definedName name="비과세" localSheetId="2" hidden="1">#REF!</definedName>
    <definedName name="비과세" hidden="1">#REF!</definedName>
    <definedName name="뽕" localSheetId="0" hidden="1">{#N/A,#N/A,TRUE,"960318-1";#N/A,#N/A,TRUE,"960318-2";#N/A,#N/A,TRUE,"960318-3"}</definedName>
    <definedName name="뽕" hidden="1">{#N/A,#N/A,TRUE,"960318-1";#N/A,#N/A,TRUE,"960318-2";#N/A,#N/A,TRUE,"960318-3"}</definedName>
    <definedName name="ㅄ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ㅄ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54ㅛㄳ" localSheetId="1" hidden="1">#REF!</definedName>
    <definedName name="ㅅ54ㅛㄳ" localSheetId="0" hidden="1">#REF!</definedName>
    <definedName name="ㅅ54ㅛㄳ" localSheetId="2" hidden="1">#REF!</definedName>
    <definedName name="ㅅ54ㅛㄳ" hidden="1">#REF!</definedName>
    <definedName name="ㅅㄱ" localSheetId="1" hidden="1">[23]내역서!#REF!</definedName>
    <definedName name="ㅅㄱ" localSheetId="0" hidden="1">[23]내역서!#REF!</definedName>
    <definedName name="ㅅㄱ" localSheetId="2" hidden="1">[23]내역서!#REF!</definedName>
    <definedName name="ㅅㄱ" hidden="1">[23]내역서!#REF!</definedName>
    <definedName name="ㅅㄱㄱㄷ" localSheetId="0" hidden="1">{#N/A,#N/A,FALSE,"집계표"}</definedName>
    <definedName name="ㅅㄱㄱㄷ" hidden="1">{#N/A,#N/A,FALSE,"집계표"}</definedName>
    <definedName name="ㅅㄱㄷㅅㄱㄷ" localSheetId="0" hidden="1">{#N/A,#N/A,FALSE,"구조2"}</definedName>
    <definedName name="ㅅㄱㄷㅅㄱㄷ" hidden="1">{#N/A,#N/A,FALSE,"구조2"}</definedName>
    <definedName name="ㅅㄱㄷㅅㄷㄱ" localSheetId="0" hidden="1">{#N/A,#N/A,FALSE,"단가표지"}</definedName>
    <definedName name="ㅅㄱㄷㅅㄷㄱ" hidden="1">{#N/A,#N/A,FALSE,"단가표지"}</definedName>
    <definedName name="ㅅㄱㄷㅅㄷㄳ" localSheetId="0" hidden="1">{#N/A,#N/A,FALSE,"골재소요량";#N/A,#N/A,FALSE,"골재소요량"}</definedName>
    <definedName name="ㅅㄱㄷㅅㄷㄳ" hidden="1">{#N/A,#N/A,FALSE,"골재소요량";#N/A,#N/A,FALSE,"골재소요량"}</definedName>
    <definedName name="ㅅㄱ혿ㄱㅎ" localSheetId="0" hidden="1">{#N/A,#N/A,FALSE,"Sheet6"}</definedName>
    <definedName name="ㅅㄱ혿ㄱㅎ" hidden="1">{#N/A,#N/A,FALSE,"Sheet6"}</definedName>
    <definedName name="ㅅ걱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걱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ㅗ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고죶거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곣ㅈ궈ㅕ" localSheetId="1" hidden="1">#REF!</definedName>
    <definedName name="ㅅ곣ㅈ궈ㅕ" localSheetId="0" hidden="1">#REF!</definedName>
    <definedName name="ㅅ곣ㅈ궈ㅕ" localSheetId="2" hidden="1">#REF!</definedName>
    <definedName name="ㅅ곣ㅈ궈ㅕ" hidden="1">#REF!</definedName>
    <definedName name="ㅅ굔ㄱㄷ" localSheetId="0" hidden="1">{#N/A,#N/A,FALSE,"Sheet6"}</definedName>
    <definedName name="ㅅ굔ㄱㄷ" hidden="1">{#N/A,#N/A,FALSE,"Sheet6"}</definedName>
    <definedName name="ㅅ굦ㄷㄱ" localSheetId="0" hidden="1">{#N/A,#N/A,FALSE,"집계표"}</definedName>
    <definedName name="ㅅ굦ㄷㄱ" hidden="1">{#N/A,#N/A,FALSE,"집계표"}</definedName>
    <definedName name="ㅅ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ㄷ여ㅓㅜㅛㅡㅛㄷ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다다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뎌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ㅏㅏ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ㅑ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ㅓ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ㅏㅡ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뎌ㅐㅑㅅ뎌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ㅑ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됴ㅓㅜ드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ㅅ" localSheetId="1" hidden="1">#REF!</definedName>
    <definedName name="ㅅㅅ" localSheetId="0" hidden="1">#REF!</definedName>
    <definedName name="ㅅㅅ" localSheetId="2" hidden="1">#REF!</definedName>
    <definedName name="ㅅㅅ" hidden="1">#REF!</definedName>
    <definedName name="ㅅㅅㅅㅅㅅ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ㅅㅅㅅ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ㅅ숃쇼됻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숃쇼됻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죠ㅓㅓㄷ교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ㅅㅎㅌㅇ료" localSheetId="0" hidden="1">{#N/A,#N/A,FALSE,"집계표"}</definedName>
    <definedName name="ㅅㅎㅌㅇ료" hidden="1">{#N/A,#N/A,FALSE,"집계표"}</definedName>
    <definedName name="ㅅㅓ" localSheetId="1" hidden="1">#REF!</definedName>
    <definedName name="ㅅㅓ" localSheetId="0" hidden="1">#REF!</definedName>
    <definedName name="ㅅㅓ" localSheetId="2" hidden="1">#REF!</definedName>
    <definedName name="ㅅㅓ" hidden="1">#REF!</definedName>
    <definedName name="사" localSheetId="1" hidden="1">#REF!</definedName>
    <definedName name="사" localSheetId="0" hidden="1">#REF!</definedName>
    <definedName name="사" localSheetId="2" hidden="1">#REF!</definedName>
    <definedName name="사" hidden="1">#REF!</definedName>
    <definedName name="사1" localSheetId="0" hidden="1">{#N/A,#N/A,FALSE,"지침";#N/A,#N/A,FALSE,"환경분석";#N/A,#N/A,FALSE,"Sheet16"}</definedName>
    <definedName name="사1" hidden="1">{#N/A,#N/A,FALSE,"지침";#N/A,#N/A,FALSE,"환경분석";#N/A,#N/A,FALSE,"Sheet16"}</definedName>
    <definedName name="사급" localSheetId="0" hidden="1">{#N/A,#N/A,FALSE,"배수2"}</definedName>
    <definedName name="사급" hidden="1">{#N/A,#N/A,FALSE,"배수2"}</definedName>
    <definedName name="사면녹화공" localSheetId="0" hidden="1">{#N/A,#N/A,FALSE,"CCTV"}</definedName>
    <definedName name="사면녹화공" hidden="1">{#N/A,#N/A,FALSE,"CCTV"}</definedName>
    <definedName name="사ㅓ다ㅓ더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ㅓ다ㅓ더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사ㅛ셔ㅓ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갑" localSheetId="0" hidden="1">{#N/A,#N/A,FALSE,"구조2"}</definedName>
    <definedName name="산출갑" hidden="1">{#N/A,#N/A,FALSE,"구조2"}</definedName>
    <definedName name="산출근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산출근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성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삼호" localSheetId="0" hidden="1">{#N/A,#N/A,FALSE,"배수2"}</definedName>
    <definedName name="삼호" hidden="1">{#N/A,#N/A,FALSE,"배수2"}</definedName>
    <definedName name="삽" localSheetId="0" hidden="1">{#N/A,#N/A,FALSE,"Sheet6"}</definedName>
    <definedName name="삽" hidden="1">{#N/A,#N/A,FALSE,"Sheet6"}</definedName>
    <definedName name="상봉" localSheetId="0" hidden="1">{#N/A,#N/A,TRUE,"960318-1";#N/A,#N/A,TRUE,"960318-2";#N/A,#N/A,TRUE,"960318-3"}</definedName>
    <definedName name="상봉" hidden="1">{#N/A,#N/A,TRUE,"960318-1";#N/A,#N/A,TRUE,"960318-2";#N/A,#N/A,TRUE,"960318-3"}</definedName>
    <definedName name="상주" localSheetId="0" hidden="1">{#N/A,#N/A,FALSE,"지침";#N/A,#N/A,FALSE,"환경분석";#N/A,#N/A,FALSE,"Sheet16"}</definedName>
    <definedName name="상주" hidden="1">{#N/A,#N/A,FALSE,"지침";#N/A,#N/A,FALSE,"환경분석";#N/A,#N/A,FALSE,"Sheet16"}</definedName>
    <definedName name="상주감리" localSheetId="0" hidden="1">{#N/A,#N/A,FALSE,"지침";#N/A,#N/A,FALSE,"환경분석";#N/A,#N/A,FALSE,"Sheet16"}</definedName>
    <definedName name="상주감리" hidden="1">{#N/A,#N/A,FALSE,"지침";#N/A,#N/A,FALSE,"환경분석";#N/A,#N/A,FALSE,"Sheet16"}</definedName>
    <definedName name="새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새공통" localSheetId="0" hidden="1">{#N/A,#N/A,FALSE,"이태원철근"}</definedName>
    <definedName name="새공통" hidden="1">{#N/A,#N/A,FALSE,"이태원철근"}</definedName>
    <definedName name="새내역서" localSheetId="0" hidden="1">{#N/A,#N/A,FALSE,"Sheet1"}</definedName>
    <definedName name="새내역서" hidden="1">{#N/A,#N/A,FALSE,"Sheet1"}</definedName>
    <definedName name="서거ㅜㅛㅛ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거ㅜㅛㅛ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아" localSheetId="0" hidden="1">{#N/A,#N/A,FALSE,"집계표"}</definedName>
    <definedName name="서아" hidden="1">{#N/A,#N/A,FALSE,"집계표"}</definedName>
    <definedName name="서ㅛ거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서ㅛ거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석" localSheetId="0" hidden="1">{#N/A,#N/A,FALSE,"지침";#N/A,#N/A,FALSE,"환경분석";#N/A,#N/A,FALSE,"Sheet16"}</definedName>
    <definedName name="석" hidden="1">{#N/A,#N/A,FALSE,"지침";#N/A,#N/A,FALSE,"환경분석";#N/A,#N/A,FALSE,"Sheet16"}</definedName>
    <definedName name="석재받은의뢰업체" hidden="1">255</definedName>
    <definedName name="선택" localSheetId="0" hidden="1">{#N/A,#N/A,FALSE,"지침";#N/A,#N/A,FALSE,"환경분석";#N/A,#N/A,FALSE,"Sheet16"}</definedName>
    <definedName name="선택" hidden="1">{#N/A,#N/A,FALSE,"지침";#N/A,#N/A,FALSE,"환경분석";#N/A,#N/A,FALSE,"Sheet16"}</definedName>
    <definedName name="설계서" localSheetId="0" hidden="1">{#N/A,#N/A,FALSE,"전력간선"}</definedName>
    <definedName name="설계서" hidden="1">{#N/A,#N/A,FALSE,"전력간선"}</definedName>
    <definedName name="설명" localSheetId="0" hidden="1">{#N/A,#N/A,FALSE,"부대1"}</definedName>
    <definedName name="설명" hidden="1">{#N/A,#N/A,FALSE,"부대1"}</definedName>
    <definedName name="설명서" localSheetId="0" hidden="1">{#N/A,#N/A,FALSE,"포장1";#N/A,#N/A,FALSE,"포장1"}</definedName>
    <definedName name="설명서" hidden="1">{#N/A,#N/A,FALSE,"포장1";#N/A,#N/A,FALSE,"포장1"}</definedName>
    <definedName name="성도" localSheetId="0" hidden="1">{#N/A,#N/A,TRUE,"960318-1";#N/A,#N/A,TRUE,"960318-2";#N/A,#N/A,TRUE,"960318-3"}</definedName>
    <definedName name="성도" hidden="1">{#N/A,#N/A,TRUE,"960318-1";#N/A,#N/A,TRUE,"960318-2";#N/A,#N/A,TRUE,"960318-3"}</definedName>
    <definedName name="세전익익" localSheetId="0" hidden="1">{#N/A,#N/A,FALSE,"지침";#N/A,#N/A,FALSE,"환경분석";#N/A,#N/A,FALSE,"Sheet16"}</definedName>
    <definedName name="세전익익" hidden="1">{#N/A,#N/A,FALSE,"지침";#N/A,#N/A,FALSE,"환경분석";#N/A,#N/A,FALSE,"Sheet16"}</definedName>
    <definedName name="셔다뎌ㅕㅕ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뎌ㅕㅕ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다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ㅏㅓ가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셔ㅑㅣㅏ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요계획2" localSheetId="0" hidden="1">{#N/A,#N/A,FALSE,"예상손익";#N/A,#N/A,FALSE,"관리분석";#N/A,#N/A,FALSE,"장비분석";#N/A,#N/A,FALSE,"준설분석";#N/A,#N/A,FALSE,"철구분석"}</definedName>
    <definedName name="소요계획2" hidden="1">{#N/A,#N/A,FALSE,"예상손익";#N/A,#N/A,FALSE,"관리분석";#N/A,#N/A,FALSE,"장비분석";#N/A,#N/A,FALSE,"준설분석";#N/A,#N/A,FALSE,"철구분석"}</definedName>
    <definedName name="소화갑지" localSheetId="0" hidden="1">{#N/A,#N/A,FALSE,"CCTV"}</definedName>
    <definedName name="소화갑지" hidden="1">{#N/A,#N/A,FALSE,"CCTV"}</definedName>
    <definedName name="소ㅓㅏㅈㄴ서ㅡㅜㅊ크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소ㅓㅏㅈㄴ서ㅡㅜㅊ크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손익변경" localSheetId="0" hidden="1">{#N/A,#N/A,FALSE,"지침";#N/A,#N/A,FALSE,"환경분석";#N/A,#N/A,FALSE,"Sheet16"}</definedName>
    <definedName name="손익변경" hidden="1">{#N/A,#N/A,FALSE,"지침";#N/A,#N/A,FALSE,"환경분석";#N/A,#N/A,FALSE,"Sheet16"}</definedName>
    <definedName name="솓소돋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솓소돋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솞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악1번가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송용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" localSheetId="0" hidden="1">{#N/A,#N/A,FALSE,"포장1";#N/A,#N/A,FALSE,"포장1"}</definedName>
    <definedName name="쇼" hidden="1">{#N/A,#N/A,FALSE,"포장1";#N/A,#N/A,FALSE,"포장1"}</definedName>
    <definedName name="쇼더ㅕ뎌ㅛ더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뎌ㅛ더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ㅕ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더ㅛ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젓ㅅㅅㅅㅅㄷ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ㅅ" localSheetId="0" hidden="1">{#N/A,#N/A,FALSE,"Sheet6"}</definedName>
    <definedName name="쇼ㅏㅅ" hidden="1">{#N/A,#N/A,FALSE,"Sheet6"}</definedName>
    <definedName name="쇼ㅏㅕ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ㅕ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ㅡㅕ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ㅏㅣㅏ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ㄷㄷ더ㅓ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ㄹ" localSheetId="0" hidden="1">{#N/A,#N/A,FALSE,"현장 NCR 분석";#N/A,#N/A,FALSE,"현장품질감사";#N/A,#N/A,FALSE,"현장품질감사"}</definedName>
    <definedName name="쇼ㅓㄹ" hidden="1">{#N/A,#N/A,FALSE,"현장 NCR 분석";#N/A,#N/A,FALSE,"현장품질감사";#N/A,#N/A,FALSE,"현장품질감사"}</definedName>
    <definedName name="쇼ㅓㅅ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ㅅ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ㅎㄹ" localSheetId="0" hidden="1">{#N/A,#N/A,FALSE,"집계표"}</definedName>
    <definedName name="쇼ㅓㅎㄹ" hidden="1">{#N/A,#N/A,FALSE,"집계표"}</definedName>
    <definedName name="쇼ㅓㅏ뎌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뎌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ㅏㅣ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쇼ㅓㅛㅕ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숏교" localSheetId="0" hidden="1">{#N/A,#N/A,FALSE,"Sheet6"}</definedName>
    <definedName name="숏교" hidden="1">{#N/A,#N/A,FALSE,"Sheet6"}</definedName>
    <definedName name="수" localSheetId="1" hidden="1">#REF!</definedName>
    <definedName name="수" localSheetId="0" hidden="1">#REF!</definedName>
    <definedName name="수" localSheetId="2" hidden="1">#REF!</definedName>
    <definedName name="수" hidden="1">#REF!</definedName>
    <definedName name="수량산출근거" localSheetId="0" hidden="1">{#N/A,#N/A,FALSE,"표지"}</definedName>
    <definedName name="수량산출근거" hidden="1">{#N/A,#N/A,FALSE,"표지"}</definedName>
    <definedName name="수량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량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정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정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수ㅗ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ㅗ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수ㅠㅁ" localSheetId="0" hidden="1">{#N/A,#N/A,FALSE,"현장 NCR 분석";#N/A,#N/A,FALSE,"현장품질감사";#N/A,#N/A,FALSE,"현장품질감사"}</definedName>
    <definedName name="수ㅠㅁ" hidden="1">{#N/A,#N/A,FALSE,"현장 NCR 분석";#N/A,#N/A,FALSE,"현장품질감사";#N/A,#N/A,FALSE,"현장품질감사"}</definedName>
    <definedName name="순공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순공사비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숱" localSheetId="0" hidden="1">{#N/A,#N/A,FALSE,"현장 NCR 분석";#N/A,#N/A,FALSE,"현장품질감사";#N/A,#N/A,FALSE,"현장품질감사"}</definedName>
    <definedName name="숱" hidden="1">{#N/A,#N/A,FALSE,"현장 NCR 분석";#N/A,#N/A,FALSE,"현장품질감사";#N/A,#N/A,FALSE,"현장품질감사"}</definedName>
    <definedName name="승" localSheetId="0" hidden="1">{#N/A,#N/A,FALSE,"지침";#N/A,#N/A,FALSE,"환경분석";#N/A,#N/A,FALSE,"Sheet16"}</definedName>
    <definedName name="승" hidden="1">{#N/A,#N/A,FALSE,"지침";#N/A,#N/A,FALSE,"환경분석";#N/A,#N/A,FALSE,"Sheet16"}</definedName>
    <definedName name="시행" localSheetId="0" hidden="1">{#N/A,#N/A,FALSE,"이태원철근"}</definedName>
    <definedName name="시행" hidden="1">{#N/A,#N/A,FALSE,"이태원철근"}</definedName>
    <definedName name="시험실과식당" localSheetId="0" hidden="1">{#N/A,#N/A,FALSE,"사업총괄";#N/A,#N/A,FALSE,"장비사업";#N/A,#N/A,FALSE,"철구사업";#N/A,#N/A,FALSE,"준설사업"}</definedName>
    <definedName name="시험실과식당" hidden="1">{#N/A,#N/A,FALSE,"사업총괄";#N/A,#N/A,FALSE,"장비사업";#N/A,#N/A,FALSE,"철구사업";#N/A,#N/A,FALSE,"준설사업"}</definedName>
    <definedName name="신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세계IC사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신안" localSheetId="0" hidden="1">{#N/A,#N/A,FALSE,"현장 NCR 분석";#N/A,#N/A,FALSE,"현장품질감사";#N/A,#N/A,FALSE,"현장품질감사"}</definedName>
    <definedName name="신안" hidden="1">{#N/A,#N/A,FALSE,"현장 NCR 분석";#N/A,#N/A,FALSE,"현장품질감사";#N/A,#N/A,FALSE,"현장품질감사"}</definedName>
    <definedName name="신화" localSheetId="0" hidden="1">{#N/A,#N/A,TRUE,"960318-1";#N/A,#N/A,TRUE,"960318-2";#N/A,#N/A,TRUE,"960318-3"}</definedName>
    <definedName name="신화" hidden="1">{#N/A,#N/A,TRUE,"960318-1";#N/A,#N/A,TRUE,"960318-2";#N/A,#N/A,TRUE,"960318-3"}</definedName>
    <definedName name="실행금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실행금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ㄱ로ㅕㅛ" localSheetId="0" hidden="1">{#N/A,#N/A,FALSE,"집계표"}</definedName>
    <definedName name="ㅇㄱ로ㅕㅛ" hidden="1">{#N/A,#N/A,FALSE,"집계표"}</definedName>
    <definedName name="ㅇ거" localSheetId="0" hidden="1">{#N/A,#N/A,FALSE,"집계표"}</definedName>
    <definedName name="ㅇ거" hidden="1">{#N/A,#N/A,FALSE,"집계표"}</definedName>
    <definedName name="ㅇㄳㄹ호" localSheetId="0" hidden="1">{#N/A,#N/A,FALSE,"집계표"}</definedName>
    <definedName name="ㅇㄳㄹ호" hidden="1">{#N/A,#N/A,FALSE,"집계표"}</definedName>
    <definedName name="ㅇㄴㄱ숖ㅊ" localSheetId="0" hidden="1">{#N/A,#N/A,FALSE,"집계표"}</definedName>
    <definedName name="ㅇㄴㄱ숖ㅊ" hidden="1">{#N/A,#N/A,FALSE,"집계표"}</definedName>
    <definedName name="ㅇㄴ굫ㅅ" localSheetId="0" hidden="1">{#N/A,#N/A,FALSE,"집계표"}</definedName>
    <definedName name="ㅇㄴ굫ㅅ" hidden="1">{#N/A,#N/A,FALSE,"집계표"}</definedName>
    <definedName name="ㅇㄴㄴㄴㄴㄴㄴㄴㄴ" localSheetId="0" hidden="1">{#N/A,#N/A,FALSE,"집계표"}</definedName>
    <definedName name="ㅇㄴㄴㄴㄴㄴㄴㄴㄴ" hidden="1">{#N/A,#N/A,FALSE,"집계표"}</definedName>
    <definedName name="ㅇㄴㄹㅎ" localSheetId="0" hidden="1">{#N/A,#N/A,FALSE,"집계표"}</definedName>
    <definedName name="ㅇㄴㄹㅎ" hidden="1">{#N/A,#N/A,FALSE,"집계표"}</definedName>
    <definedName name="ㅇㄴㄹ해" localSheetId="0" hidden="1">{#N/A,#N/A,FALSE,"집계표"}</definedName>
    <definedName name="ㅇㄴㄹ해" hidden="1">{#N/A,#N/A,FALSE,"집계표"}</definedName>
    <definedName name="ㅇㄴㄹ혼" localSheetId="0" hidden="1">{#N/A,#N/A,FALSE,"집계표"}</definedName>
    <definedName name="ㅇㄴㄹ혼" hidden="1">{#N/A,#N/A,FALSE,"집계표"}</definedName>
    <definedName name="ㅇㄴㄹ히ㅑㅓ" localSheetId="0" hidden="1">{#N/A,#N/A,FALSE,"집계표"}</definedName>
    <definedName name="ㅇㄴㄹ히ㅑㅓ" hidden="1">{#N/A,#N/A,FALSE,"집계표"}</definedName>
    <definedName name="ㅇㄴ라ㅔㅐ" localSheetId="0" hidden="1">{#N/A,#N/A,FALSE,"집계표"}</definedName>
    <definedName name="ㅇㄴ라ㅔㅐ" hidden="1">{#N/A,#N/A,FALSE,"집계표"}</definedName>
    <definedName name="ㅇㄴ로" localSheetId="0" hidden="1">{#N/A,#N/A,FALSE,"집계표"}</definedName>
    <definedName name="ㅇㄴ로" hidden="1">{#N/A,#N/A,FALSE,"집계표"}</definedName>
    <definedName name="ㅇㄴ로ㅗㅗㅗㅗㅗㅗㅗㅗ" localSheetId="0" hidden="1">{#N/A,#N/A,FALSE,"집계표"}</definedName>
    <definedName name="ㅇㄴ로ㅗㅗㅗㅗㅗㅗㅗㅗ" hidden="1">{#N/A,#N/A,FALSE,"집계표"}</definedName>
    <definedName name="ㅇㄴ롷" localSheetId="0" hidden="1">{#N/A,#N/A,FALSE,"집계표"}</definedName>
    <definedName name="ㅇㄴ롷" hidden="1">{#N/A,#N/A,FALSE,"집계표"}</definedName>
    <definedName name="ㅇㄴ롷ㄴ" localSheetId="0" hidden="1">{#N/A,#N/A,FALSE,"집계표"}</definedName>
    <definedName name="ㅇㄴ롷ㄴ" hidden="1">{#N/A,#N/A,FALSE,"집계표"}</definedName>
    <definedName name="ㅇㄴ롷ㅇㄴ롷ㄴ" localSheetId="0" hidden="1">{#N/A,#N/A,FALSE,"집계표"}</definedName>
    <definedName name="ㅇㄴ롷ㅇㄴ롷ㄴ" hidden="1">{#N/A,#N/A,FALSE,"집계표"}</definedName>
    <definedName name="ㅇㄴ리ㅏ허ㅣ" localSheetId="0" hidden="1">{#N/A,#N/A,FALSE,"집계표"}</definedName>
    <definedName name="ㅇㄴ리ㅏ허ㅣ" hidden="1">{#N/A,#N/A,FALSE,"집계표"}</definedName>
    <definedName name="ㅇㄴㅀㄴㄿㅊ" localSheetId="0" hidden="1">{#N/A,#N/A,FALSE,"집계표"}</definedName>
    <definedName name="ㅇㄴㅀㄴㄿㅊ" hidden="1">{#N/A,#N/A,FALSE,"집계표"}</definedName>
    <definedName name="ㅇㄴㅀㄴㅇㄱ" localSheetId="0" hidden="1">{#N/A,#N/A,FALSE,"집계표"}</definedName>
    <definedName name="ㅇㄴㅀㄴㅇㄱ" hidden="1">{#N/A,#N/A,FALSE,"집계표"}</definedName>
    <definedName name="ㅇㄴㅀㅁㄱㄷㅎ" localSheetId="0" hidden="1">{#N/A,#N/A,FALSE,"집계표"}</definedName>
    <definedName name="ㅇㄴㅀㅁㄱㄷㅎ" hidden="1">{#N/A,#N/A,FALSE,"집계표"}</definedName>
    <definedName name="ㅇㄴㅀ쇼ㅗㅗㅗㅗㅗ" localSheetId="0" hidden="1">{#N/A,#N/A,FALSE,"집계표"}</definedName>
    <definedName name="ㅇㄴㅀ쇼ㅗㅗㅗㅗㅗ" hidden="1">{#N/A,#N/A,FALSE,"집계표"}</definedName>
    <definedName name="ㅇㄴㅀㅇㄴ" localSheetId="0" hidden="1">{#N/A,#N/A,FALSE,"집계표"}</definedName>
    <definedName name="ㅇㄴㅀㅇㄴ" hidden="1">{#N/A,#N/A,FALSE,"집계표"}</definedName>
    <definedName name="ㅇㄴㅁ" hidden="1">[24]실행철강하도!$A$1:$A$4</definedName>
    <definedName name="ㅇㄴㅁ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ㄴㅁㅎㄹ" localSheetId="0" hidden="1">{#N/A,#N/A,FALSE,"집계표"}</definedName>
    <definedName name="ㅇㄴㅁㅎㄹ" hidden="1">{#N/A,#N/A,FALSE,"집계표"}</definedName>
    <definedName name="ㅇ낳리ㅓ" localSheetId="0" hidden="1">{#N/A,#N/A,FALSE,"집계표"}</definedName>
    <definedName name="ㅇ낳리ㅓ" hidden="1">{#N/A,#N/A,FALSE,"집계표"}</definedName>
    <definedName name="ㅇ낸에네ㅔ" localSheetId="0" hidden="1">{#N/A,#N/A,FALSE,"집계표"}</definedName>
    <definedName name="ㅇ낸에네ㅔ" hidden="1">{#N/A,#N/A,FALSE,"집계표"}</definedName>
    <definedName name="ㅇ놓ㄹㄹㄹㄹㄹ" localSheetId="0" hidden="1">{#N/A,#N/A,FALSE,"집계표"}</definedName>
    <definedName name="ㅇ놓ㄹㄹㄹㄹㄹ" hidden="1">{#N/A,#N/A,FALSE,"집계표"}</definedName>
    <definedName name="ㅇ놓로횻ㅅ" localSheetId="0" hidden="1">{#N/A,#N/A,FALSE,"집계표"}</definedName>
    <definedName name="ㅇ놓로횻ㅅ" hidden="1">{#N/A,#N/A,FALSE,"집계표"}</definedName>
    <definedName name="ㅇ니ㅏㅎ러" localSheetId="0" hidden="1">{#N/A,#N/A,FALSE,"집계표"}</definedName>
    <definedName name="ㅇ니ㅏㅎ러" hidden="1">{#N/A,#N/A,FALSE,"집계표"}</definedName>
    <definedName name="ㅇ니ㅏㅓㄹ힝니ㅏㅎㄹ" localSheetId="0" hidden="1">{#N/A,#N/A,FALSE,"집계표"}</definedName>
    <definedName name="ㅇ니ㅏㅓㄹ힝니ㅏㅎㄹ" hidden="1">{#N/A,#N/A,FALSE,"집계표"}</definedName>
    <definedName name="ㅇ니ㅏㅓ로히ㅏ" localSheetId="0" hidden="1">{#N/A,#N/A,FALSE,"집계표"}</definedName>
    <definedName name="ㅇ니ㅏㅓ로히ㅏ" hidden="1">{#N/A,#N/A,FALSE,"집계표"}</definedName>
    <definedName name="ㅇ니ㅓㅎ로" localSheetId="0" hidden="1">{#N/A,#N/A,FALSE,"집계표"}</definedName>
    <definedName name="ㅇ니ㅓㅎ로" hidden="1">{#N/A,#N/A,FALSE,"집계표"}</definedName>
    <definedName name="ㅇㄶ" localSheetId="0" hidden="1">{#N/A,#N/A,FALSE,"표지"}</definedName>
    <definedName name="ㅇㄶ" hidden="1">{#N/A,#N/A,FALSE,"표지"}</definedName>
    <definedName name="ㅇㄷㄱㅎㄴㅇ" localSheetId="0" hidden="1">{#N/A,#N/A,FALSE,"집계표"}</definedName>
    <definedName name="ㅇㄷㄱㅎㄴㅇ" hidden="1">{#N/A,#N/A,FALSE,"집계표"}</definedName>
    <definedName name="ㅇ댜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댜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더퍼" localSheetId="0" hidden="1">{#N/A,#N/A,FALSE,"집계표"}</definedName>
    <definedName name="ㅇ더퍼" hidden="1">{#N/A,#N/A,FALSE,"집계표"}</definedName>
    <definedName name="ㅇㄹ" localSheetId="1" hidden="1">#REF!</definedName>
    <definedName name="ㅇㄹ" localSheetId="0" hidden="1">#REF!</definedName>
    <definedName name="ㅇㄹ" localSheetId="2" hidden="1">#REF!</definedName>
    <definedName name="ㅇㄹ" hidden="1">#REF!</definedName>
    <definedName name="ㅇㄹ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ㄹㄴ호" localSheetId="0" hidden="1">{#N/A,#N/A,FALSE,"집계표"}</definedName>
    <definedName name="ㅇㄹㄴ호" hidden="1">{#N/A,#N/A,FALSE,"집계표"}</definedName>
    <definedName name="ㅇㄹㄹ" localSheetId="1" hidden="1">#REF!</definedName>
    <definedName name="ㅇㄹㄹ" localSheetId="0" hidden="1">#REF!</definedName>
    <definedName name="ㅇㄹㄹ" localSheetId="2" hidden="1">#REF!</definedName>
    <definedName name="ㅇㄹㄹ" hidden="1">#REF!</definedName>
    <definedName name="ㅇㄹㄹㄹㄹ" localSheetId="0" hidden="1">{#N/A,#N/A,FALSE,"전력간선"}</definedName>
    <definedName name="ㅇㄹㄹㄹㄹ" hidden="1">{#N/A,#N/A,FALSE,"전력간선"}</definedName>
    <definedName name="ㅇㄹㄹㅀㅎㅎㅎㅎㅎㅎㅎㅎㅎㅎ" localSheetId="0" hidden="1">{#N/A,#N/A,FALSE,"집계표"}</definedName>
    <definedName name="ㅇㄹㄹㅀㅎㅎㅎㅎㅎㅎㅎㅎㅎㅎ" hidden="1">{#N/A,#N/A,FALSE,"집계표"}</definedName>
    <definedName name="ㅇㄹㅀ" localSheetId="1" hidden="1">#REF!</definedName>
    <definedName name="ㅇㄹㅀ" localSheetId="0" hidden="1">#REF!</definedName>
    <definedName name="ㅇㄹㅀ" localSheetId="2" hidden="1">#REF!</definedName>
    <definedName name="ㅇㄹㅀ" hidden="1">#REF!</definedName>
    <definedName name="ㅇㄹㅇㄹ" localSheetId="1" hidden="1">#REF!</definedName>
    <definedName name="ㅇㄹㅇㄹ" localSheetId="0" hidden="1">#REF!</definedName>
    <definedName name="ㅇㄹㅇㄹ" localSheetId="2" hidden="1">#REF!</definedName>
    <definedName name="ㅇㄹㅇㄹ" hidden="1">#REF!</definedName>
    <definedName name="ㅇㄹㅎ" localSheetId="0" hidden="1">{#N/A,#N/A,FALSE,"집계표"}</definedName>
    <definedName name="ㅇㄹㅎ" hidden="1">{#N/A,#N/A,FALSE,"집계표"}</definedName>
    <definedName name="ㅇㄹ허ㅗ" localSheetId="0" hidden="1">{#N/A,#N/A,FALSE,"집계표"}</definedName>
    <definedName name="ㅇㄹ허ㅗ" hidden="1">{#N/A,#N/A,FALSE,"집계표"}</definedName>
    <definedName name="ㅇㄹ호" localSheetId="0" hidden="1">{#N/A,#N/A,FALSE,"집계표"}</definedName>
    <definedName name="ㅇㄹ호" hidden="1">{#N/A,#N/A,FALSE,"집계표"}</definedName>
    <definedName name="ㅇㄹ호ㄹ옿" localSheetId="0" hidden="1">{#N/A,#N/A,FALSE,"집계표"}</definedName>
    <definedName name="ㅇㄹ호ㄹ옿" hidden="1">{#N/A,#N/A,FALSE,"집계표"}</definedName>
    <definedName name="ㅇㄹ호옿ㅎㄹ오" localSheetId="0" hidden="1">{#N/A,#N/A,FALSE,"집계표"}</definedName>
    <definedName name="ㅇㄹ호옿ㅎㄹ오" hidden="1">{#N/A,#N/A,FALSE,"집계표"}</definedName>
    <definedName name="ㅇㄹ호허ㅗㅓㅓ" localSheetId="0" hidden="1">{#N/A,#N/A,FALSE,"집계표"}</definedName>
    <definedName name="ㅇㄹ호허ㅗㅓㅓ" hidden="1">{#N/A,#N/A,FALSE,"집계표"}</definedName>
    <definedName name="ㅇㄹ호ㅗㅗㅗ" localSheetId="0" hidden="1">{#N/A,#N/A,FALSE,"집계표"}</definedName>
    <definedName name="ㅇㄹ호ㅗㅗㅗ" hidden="1">{#N/A,#N/A,FALSE,"집계표"}</definedName>
    <definedName name="ㅇㄹㅗㅎ" localSheetId="0" hidden="1">{#N/A,#N/A,FALSE,"집계표"}</definedName>
    <definedName name="ㅇㄹㅗㅎ" hidden="1">{#N/A,#N/A,FALSE,"집계표"}</definedName>
    <definedName name="ㅇ라ㅓㅎ킥" localSheetId="0" hidden="1">{#N/A,#N/A,FALSE,"집계표"}</definedName>
    <definedName name="ㅇ라ㅓㅎ킥" hidden="1">{#N/A,#N/A,FALSE,"집계표"}</definedName>
    <definedName name="ㅇ라ㅓㅏ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라ㅓㅏ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러" localSheetId="0" hidden="1">{#N/A,#N/A,FALSE,"집계표"}</definedName>
    <definedName name="ㅇ러" hidden="1">{#N/A,#N/A,FALSE,"집계표"}</definedName>
    <definedName name="ㅇ러ㅗㅎ" localSheetId="0" hidden="1">{#N/A,#N/A,FALSE,"집계표"}</definedName>
    <definedName name="ㅇ러ㅗㅎ" hidden="1">{#N/A,#N/A,FALSE,"집계표"}</definedName>
    <definedName name="ㅇ렇ㅇ" localSheetId="0" hidden="1">{#N/A,#N/A,FALSE,"집계표"}</definedName>
    <definedName name="ㅇ렇ㅇ" hidden="1">{#N/A,#N/A,FALSE,"집계표"}</definedName>
    <definedName name="ㅇ로ㅓ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로ㅓ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롷" localSheetId="0" hidden="1">{#N/A,#N/A,FALSE,"집계표"}</definedName>
    <definedName name="ㅇ롷" hidden="1">{#N/A,#N/A,FALSE,"집계표"}</definedName>
    <definedName name="ㅇㅀㅁ" localSheetId="0" hidden="1">{#N/A,#N/A,FALSE,"집계표"}</definedName>
    <definedName name="ㅇㅀㅁ" hidden="1">{#N/A,#N/A,FALSE,"집계표"}</definedName>
    <definedName name="ㅇㅀㅇㄱ" localSheetId="0" hidden="1">{#N/A,#N/A,FALSE,"집계표"}</definedName>
    <definedName name="ㅇㅀㅇㄱ" hidden="1">{#N/A,#N/A,FALSE,"집계표"}</definedName>
    <definedName name="ㅇㅀㅈㅅㄷ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ㅀㅈㅅㄷ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ㅁ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ㅐㅕㅛㅐ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ㅏㅑ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셔ㅐㅏㅛㅕㅣㅔㅑ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ㅑ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쇼ㅣㅐㅕㅛ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ㄱ" localSheetId="0" hidden="1">{#N/A,#N/A,FALSE,"집계표"}</definedName>
    <definedName name="ㅇㅇㄱ" hidden="1">{#N/A,#N/A,FALSE,"집계표"}</definedName>
    <definedName name="ㅇㅇㄹ" localSheetId="1" hidden="1">#REF!</definedName>
    <definedName name="ㅇㅇㄹ" localSheetId="0" hidden="1">#REF!</definedName>
    <definedName name="ㅇㅇㄹ" localSheetId="2" hidden="1">#REF!</definedName>
    <definedName name="ㅇㅇㄹ" hidden="1">#REF!</definedName>
    <definedName name="ㅇㅇㄹㅇㄹ" localSheetId="0" hidden="1">{#N/A,#N/A,FALSE,"집계표"}</definedName>
    <definedName name="ㅇㅇㄹㅇㄹ" hidden="1">{#N/A,#N/A,FALSE,"집계표"}</definedName>
    <definedName name="ㅇㅇㅇ" localSheetId="0" hidden="1">{#N/A,#N/A,FALSE,"주간공정";#N/A,#N/A,FALSE,"주간보고";#N/A,#N/A,FALSE,"주간공정표"}</definedName>
    <definedName name="ㅇㅇㅇ" hidden="1">{#N/A,#N/A,FALSE,"주간공정";#N/A,#N/A,FALSE,"주간보고";#N/A,#N/A,FALSE,"주간공정표"}</definedName>
    <definedName name="ㅇㅇㅇㅇ" localSheetId="0" hidden="1">{#N/A,#N/A,FALSE,"지침";#N/A,#N/A,FALSE,"환경분석";#N/A,#N/A,FALSE,"Sheet16"}</definedName>
    <definedName name="ㅇㅇㅇㅇ" hidden="1">{#N/A,#N/A,FALSE,"지침";#N/A,#N/A,FALSE,"환경분석";#N/A,#N/A,FALSE,"Sheet16"}</definedName>
    <definedName name="ㅇㅇㅇㅇㅇ" localSheetId="0" hidden="1">{#N/A,#N/A,FALSE,"주간공정";#N/A,#N/A,FALSE,"주간보고";#N/A,#N/A,FALSE,"주간공정표"}</definedName>
    <definedName name="ㅇㅇㅇㅇㅇ" hidden="1">{#N/A,#N/A,FALSE,"주간공정";#N/A,#N/A,FALSE,"주간보고";#N/A,#N/A,FALSE,"주간공정표"}</definedName>
    <definedName name="ㅇㅇㅇㅇㅇㅇ" localSheetId="0" hidden="1">{#N/A,#N/A,FALSE,"지침";#N/A,#N/A,FALSE,"환경분석";#N/A,#N/A,FALSE,"Sheet16"}</definedName>
    <definedName name="ㅇㅇㅇㅇㅇㅇ" hidden="1">{#N/A,#N/A,FALSE,"지침";#N/A,#N/A,FALSE,"환경분석";#N/A,#N/A,FALSE,"Sheet16"}</definedName>
    <definedName name="ㅇㅇㅎ" localSheetId="0" hidden="1">{#N/A,#N/A,FALSE,"집계표"}</definedName>
    <definedName name="ㅇㅇㅎ" hidden="1">{#N/A,#N/A,FALSE,"집계표"}</definedName>
    <definedName name="ㅇ아ㅏㄹ" localSheetId="0" hidden="1">{#N/A,#N/A,FALSE,"지침";#N/A,#N/A,FALSE,"환경분석";#N/A,#N/A,FALSE,"Sheet16"}</definedName>
    <definedName name="ㅇ아ㅏㄹ" hidden="1">{#N/A,#N/A,FALSE,"지침";#N/A,#N/A,FALSE,"환경분석";#N/A,#N/A,FALSE,"Sheet16"}</definedName>
    <definedName name="ㅇ이리" localSheetId="0" hidden="1">{#N/A,#N/A,FALSE,"지침";#N/A,#N/A,FALSE,"환경분석";#N/A,#N/A,FALSE,"Sheet16"}</definedName>
    <definedName name="ㅇ이리" hidden="1">{#N/A,#N/A,FALSE,"지침";#N/A,#N/A,FALSE,"환경분석";#N/A,#N/A,FALSE,"Sheet16"}</definedName>
    <definedName name="ㅇㅎ" localSheetId="0" hidden="1">{#N/A,#N/A,FALSE,"부대1"}</definedName>
    <definedName name="ㅇㅎ" hidden="1">{#N/A,#N/A,FALSE,"부대1"}</definedName>
    <definedName name="ㅇㅎㄷ" localSheetId="0" hidden="1">{#N/A,#N/A,FALSE,"집계표"}</definedName>
    <definedName name="ㅇㅎㄷ" hidden="1">{#N/A,#N/A,FALSE,"집계표"}</definedName>
    <definedName name="ㅇㅎ러ㅗㅇ" localSheetId="0" hidden="1">{#N/A,#N/A,FALSE,"집계표"}</definedName>
    <definedName name="ㅇㅎ러ㅗㅇ" hidden="1">{#N/A,#N/A,FALSE,"집계표"}</definedName>
    <definedName name="ㅇㅎㄻㄴㅇㅀㅁ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ㅀㅁ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ㅎㄻㄴㅇㅁㅎㄴㅀㅁㄴㅇㅎㄴ" localSheetId="0" hidden="1">{#N/A,#N/A,FALSE,"Sheet6"}</definedName>
    <definedName name="ㅇㅎㄻㄴㅇㅁㅎㄴㅀㅁㄴㅇㅎㄴ" hidden="1">{#N/A,#N/A,FALSE,"Sheet6"}</definedName>
    <definedName name="ㅇ하어ㅣ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하어ㅣ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여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ㅏㅕㅛㅐ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혀ㅣㅏㅛㅕㅣㅛ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ㅅ뎌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호ㅓㅏ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혼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요ㅕㅏㅐㅕ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ㄷ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화ㅓ랑러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황히ㅗ이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" localSheetId="0" hidden="1">{#N/A,#N/A,FALSE,"주간공정";#N/A,#N/A,FALSE,"주간보고";#N/A,#N/A,FALSE,"주간공정표"}</definedName>
    <definedName name="아" hidden="1">{#N/A,#N/A,FALSE,"주간공정";#N/A,#N/A,FALSE,"주간보고";#N/A,#N/A,FALSE,"주간공정표"}</definedName>
    <definedName name="아름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름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무" localSheetId="0" hidden="1">{#N/A,#N/A,FALSE,"배수2"}</definedName>
    <definedName name="아무" hidden="1">{#N/A,#N/A,FALSE,"배수2"}</definedName>
    <definedName name="아무거나" localSheetId="1" hidden="1">#REF!</definedName>
    <definedName name="아무거나" localSheetId="0" hidden="1">#REF!</definedName>
    <definedName name="아무거나" localSheetId="2" hidden="1">#REF!</definedName>
    <definedName name="아무거나" hidden="1">#REF!</definedName>
    <definedName name="아아아앙" localSheetId="0" hidden="1">{#N/A,#N/A,FALSE,"주간공정";#N/A,#N/A,FALSE,"주간보고";#N/A,#N/A,FALSE,"주간공정표"}</definedName>
    <definedName name="아아아앙" hidden="1">{#N/A,#N/A,FALSE,"주간공정";#N/A,#N/A,FALSE,"주간보고";#N/A,#N/A,FALSE,"주간공정표"}</definedName>
    <definedName name="아아ㅏ앙" localSheetId="0" hidden="1">{#N/A,#N/A,FALSE,"주간공정";#N/A,#N/A,FALSE,"주간보고";#N/A,#N/A,FALSE,"주간공정표"}</definedName>
    <definedName name="아아ㅏ앙" hidden="1">{#N/A,#N/A,FALSE,"주간공정";#N/A,#N/A,FALSE,"주간보고";#N/A,#N/A,FALSE,"주간공정표"}</definedName>
    <definedName name="아파트내역2" localSheetId="0" hidden="1">{"'Sheet1'!$A$4:$M$21","'Sheet1'!$J$17:$K$19"}</definedName>
    <definedName name="아파트내역2" hidden="1">{"'Sheet1'!$A$4:$M$21","'Sheet1'!$J$17:$K$19"}</definedName>
    <definedName name="아ㅏㅓ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ㅏㅓㅗ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아ㅓ림" localSheetId="0" hidden="1">{#N/A,#N/A,FALSE,"포장1";#N/A,#N/A,FALSE,"포장1"}</definedName>
    <definedName name="아ㅓ림" hidden="1">{#N/A,#N/A,FALSE,"포장1";#N/A,#N/A,FALSE,"포장1"}</definedName>
    <definedName name="악" localSheetId="0" hidden="1">{#N/A,#N/A,TRUE,"960318-1";#N/A,#N/A,TRUE,"960318-2";#N/A,#N/A,TRUE,"960318-3"}</definedName>
    <definedName name="악" hidden="1">{#N/A,#N/A,TRUE,"960318-1";#N/A,#N/A,TRUE,"960318-2";#N/A,#N/A,TRUE,"960318-3"}</definedName>
    <definedName name="안강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강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안전관리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알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브븝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앙아아ㅏ아아아ㅏㅇ아ㅏ아아ㅏ아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야간" localSheetId="0" hidden="1">{#N/A,#N/A,FALSE,"지침";#N/A,#N/A,FALSE,"환경분석";#N/A,#N/A,FALSE,"Sheet16"}</definedName>
    <definedName name="야간" hidden="1">{#N/A,#N/A,FALSE,"지침";#N/A,#N/A,FALSE,"환경분석";#N/A,#N/A,FALSE,"Sheet16"}</definedName>
    <definedName name="어러리" localSheetId="0" hidden="1">{#N/A,#N/A,FALSE,"지침";#N/A,#N/A,FALSE,"환경분석";#N/A,#N/A,FALSE,"Sheet16"}</definedName>
    <definedName name="어러리" hidden="1">{#N/A,#N/A,FALSE,"지침";#N/A,#N/A,FALSE,"환경분석";#N/A,#N/A,FALSE,"Sheet16"}</definedName>
    <definedName name="어어엉" localSheetId="0" hidden="1">{#N/A,#N/A,FALSE,"주간공정";#N/A,#N/A,FALSE,"주간보고";#N/A,#N/A,FALSE,"주간공정표"}</definedName>
    <definedName name="어어엉" hidden="1">{#N/A,#N/A,FALSE,"주간공정";#N/A,#N/A,FALSE,"주간보고";#N/A,#N/A,FALSE,"주간공정표"}</definedName>
    <definedName name="어쭈구리" localSheetId="0" hidden="1">{#N/A,#N/A,FALSE,"교리2"}</definedName>
    <definedName name="어쭈구리" hidden="1">{#N/A,#N/A,FALSE,"교리2"}</definedName>
    <definedName name="어ㅏㄴ강ㄹ혼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ㅏㄴ강ㄹ혼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ㄹ" localSheetId="0" hidden="1">{#N/A,#N/A,FALSE,"지침";#N/A,#N/A,FALSE,"환경분석";#N/A,#N/A,FALSE,"Sheet16"}</definedName>
    <definedName name="어ㅓㄹ" hidden="1">{#N/A,#N/A,FALSE,"지침";#N/A,#N/A,FALSE,"환경분석";#N/A,#N/A,FALSE,"Sheet16"}</definedName>
    <definedName name="어ㅓㅓ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ㅓㅓ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ㅘ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어ㅣ.로ㅓㅣㅓㅛㅚ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억이상" localSheetId="0" hidden="1">{#N/A,#N/A,FALSE,"2~8번"}</definedName>
    <definedName name="억이상" hidden="1">{#N/A,#N/A,FALSE,"2~8번"}</definedName>
    <definedName name="언" localSheetId="1" hidden="1">#REF!</definedName>
    <definedName name="언" localSheetId="0" hidden="1">#REF!</definedName>
    <definedName name="언" localSheetId="2" hidden="1">#REF!</definedName>
    <definedName name="언" hidden="1">#REF!</definedName>
    <definedName name="얻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얻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얼낭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" localSheetId="0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" hidden="1">{#N/A,#N/A,FALSE,"집계";#N/A,#N/A,FALSE,"표지";#N/A,#N/A,FALSE,"터빈집계";#N/A,#N/A,FALSE,"터빈내역";#N/A,#N/A,FALSE,"주제어집계";#N/A,#N/A,FALSE,"주제어내역";#N/A,#N/A,FALSE,"보일러집계";#N/A,#N/A,FALSE,"보일러내역"}</definedName>
    <definedName name="업종" localSheetId="0" hidden="1">{#N/A,#N/A,FALSE,"포장2"}</definedName>
    <definedName name="업종" hidden="1">{#N/A,#N/A,FALSE,"포장2"}</definedName>
    <definedName name="업체" localSheetId="1" hidden="1">#REF!</definedName>
    <definedName name="업체" localSheetId="0" hidden="1">#REF!</definedName>
    <definedName name="업체" localSheetId="2" hidden="1">#REF!</definedName>
    <definedName name="업체" hidden="1">#REF!</definedName>
    <definedName name="업체벼래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벼래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별내역대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업체순위" localSheetId="0" hidden="1">{#N/A,#N/A,FALSE,"배수2"}</definedName>
    <definedName name="업체순위" hidden="1">{#N/A,#N/A,FALSE,"배수2"}</definedName>
    <definedName name="여의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의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교ㅣㅕ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ㅏㅕㅛ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여ㅣㅛㅑㅓ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습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연합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영상" localSheetId="0" hidden="1">{#N/A,#N/A,TRUE,"960318-1";#N/A,#N/A,TRUE,"960318-2";#N/A,#N/A,TRUE,"960318-3"}</definedName>
    <definedName name="영상" hidden="1">{#N/A,#N/A,TRUE,"960318-1";#N/A,#N/A,TRUE,"960318-2";#N/A,#N/A,TRUE,"960318-3"}</definedName>
    <definedName name="영상1" localSheetId="0" hidden="1">{#N/A,#N/A,TRUE,"960318-1";#N/A,#N/A,TRUE,"960318-2";#N/A,#N/A,TRUE,"960318-3"}</definedName>
    <definedName name="영상1" hidden="1">{#N/A,#N/A,TRUE,"960318-1";#N/A,#N/A,TRUE,"960318-2";#N/A,#N/A,TRUE,"960318-3"}</definedName>
    <definedName name="영상hw집계" localSheetId="0" hidden="1">{"'용역비'!$A$4:$C$8"}</definedName>
    <definedName name="영상hw집계" hidden="1">{"'용역비'!$A$4:$C$8"}</definedName>
    <definedName name="영암실행" localSheetId="0" hidden="1">{#N/A,#N/A,FALSE,"전력간선"}</definedName>
    <definedName name="영암실행" hidden="1">{#N/A,#N/A,FALSE,"전력간선"}</definedName>
    <definedName name="영업" localSheetId="0" hidden="1">{#N/A,#N/A,FALSE,"지침";#N/A,#N/A,FALSE,"환경분석";#N/A,#N/A,FALSE,"Sheet16"}</definedName>
    <definedName name="영업" hidden="1">{#N/A,#N/A,FALSE,"지침";#N/A,#N/A,FALSE,"환경분석";#N/A,#N/A,FALSE,"Sheet16"}</definedName>
    <definedName name="영업외" localSheetId="1" hidden="1">[25]추가예산!#REF!</definedName>
    <definedName name="영업외" localSheetId="0" hidden="1">[25]추가예산!#REF!</definedName>
    <definedName name="영업외" localSheetId="2" hidden="1">[25]추가예산!#REF!</definedName>
    <definedName name="영업외" hidden="1">[25]추가예산!#REF!</definedName>
    <definedName name="영업외수" localSheetId="1" hidden="1">[25]추가예산!#REF!</definedName>
    <definedName name="영업외수" localSheetId="0" hidden="1">[25]추가예산!#REF!</definedName>
    <definedName name="영업외수" localSheetId="2" hidden="1">[25]추가예산!#REF!</definedName>
    <definedName name="영업외수" hidden="1">[25]추가예산!#REF!</definedName>
    <definedName name="영업이익" localSheetId="0" hidden="1">{#N/A,#N/A,FALSE,"지침";#N/A,#N/A,FALSE,"환경분석";#N/A,#N/A,FALSE,"Sheet16"}</definedName>
    <definedName name="영업이익" hidden="1">{#N/A,#N/A,FALSE,"지침";#N/A,#N/A,FALSE,"환경분석";#N/A,#N/A,FALSE,"Sheet16"}</definedName>
    <definedName name="영업현금" localSheetId="0" hidden="1">{#N/A,#N/A,FALSE,"지침";#N/A,#N/A,FALSE,"환경분석";#N/A,#N/A,FALSE,"Sheet16"}</definedName>
    <definedName name="영업현금" hidden="1">{#N/A,#N/A,FALSE,"지침";#N/A,#N/A,FALSE,"환경분석";#N/A,#N/A,FALSE,"Sheet16"}</definedName>
    <definedName name="영종" localSheetId="0" hidden="1">{#N/A,#N/A,FALSE,"CCTV"}</definedName>
    <definedName name="영종" hidden="1">{#N/A,#N/A,FALSE,"CCTV"}</definedName>
    <definedName name="예상견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견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예상계획" localSheetId="0" hidden="1">{#N/A,#N/A,FALSE,"집계표"}</definedName>
    <definedName name="예상계획" hidden="1">{#N/A,#N/A,FALSE,"집계표"}</definedName>
    <definedName name="예정가" localSheetId="0" hidden="1">{#N/A,#N/A,FALSE,"포장2"}</definedName>
    <definedName name="예정가" hidden="1">{#N/A,#N/A,FALSE,"포장2"}</definedName>
    <definedName name="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됴" localSheetId="0" hidden="1">{#N/A,#N/A,FALSE,"집계표"}</definedName>
    <definedName name="오됴" hidden="1">{#N/A,#N/A,FALSE,"집계표"}</definedName>
    <definedName name="오수토공" localSheetId="0" hidden="1">{#N/A,#N/A,FALSE,"기안지";#N/A,#N/A,FALSE,"통신지"}</definedName>
    <definedName name="오수토공" hidden="1">{#N/A,#N/A,FALSE,"기안지";#N/A,#N/A,FALSE,"통신지"}</definedName>
    <definedName name="오ㅗㅓㅗ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ㅗㅓㅗ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옥외공사" localSheetId="0" hidden="1">{#N/A,#N/A,FALSE,"이태원철근"}</definedName>
    <definedName name="옥외공사" hidden="1">{#N/A,#N/A,FALSE,"이태원철근"}</definedName>
    <definedName name="옥외대비" localSheetId="0" hidden="1">{#N/A,#N/A,FALSE,"이태원철근"}</definedName>
    <definedName name="옥외대비" hidden="1">{#N/A,#N/A,FALSE,"이태원철근"}</definedName>
    <definedName name="옥탑층" localSheetId="0" hidden="1">{#N/A,#N/A,FALSE,"Sheet1"}</definedName>
    <definedName name="옥탑층" hidden="1">{#N/A,#N/A,FALSE,"Sheet1"}</definedName>
    <definedName name="온ㄳ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온ㄳ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옹" localSheetId="0" hidden="1">{#N/A,#N/A,FALSE,"골재소요량";#N/A,#N/A,FALSE,"골재소요량"}</definedName>
    <definedName name="옹" hidden="1">{#N/A,#N/A,FALSE,"골재소요량";#N/A,#N/A,FALSE,"골재소요량"}</definedName>
    <definedName name="옹벽수량집계표" localSheetId="0" hidden="1">{#N/A,#N/A,FALSE,"2~8번"}</definedName>
    <definedName name="옹벽수량집계표" hidden="1">{#N/A,#N/A,FALSE,"2~8번"}</definedName>
    <definedName name="옹벽수량집계표총괄" localSheetId="0" hidden="1">{#N/A,#N/A,FALSE,"혼합골재"}</definedName>
    <definedName name="옹벽수량집계표총괄" hidden="1">{#N/A,#N/A,FALSE,"혼합골재"}</definedName>
    <definedName name="옿" localSheetId="0" hidden="1">{#N/A,#N/A,FALSE,"집계표"}</definedName>
    <definedName name="옿" hidden="1">{#N/A,#N/A,FALSE,"집계표"}</definedName>
    <definedName name="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완공3" localSheetId="1" hidden="1">#REF!</definedName>
    <definedName name="완공3" localSheetId="0" hidden="1">#REF!</definedName>
    <definedName name="완공3" localSheetId="2" hidden="1">#REF!</definedName>
    <definedName name="완공3" hidden="1">#REF!</definedName>
    <definedName name="완도" localSheetId="0" hidden="1">{#N/A,#N/A,FALSE,"포장2"}</definedName>
    <definedName name="완도" hidden="1">{#N/A,#N/A,FALSE,"포장2"}</definedName>
    <definedName name="요샤ㅏ아히ㅏㅐㅛ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요샤ㅏ아히ㅏㅐㅛ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용용" localSheetId="0" hidden="1">{#N/A,#N/A,FALSE,"포장2"}</definedName>
    <definedName name="용용" hidden="1">{#N/A,#N/A,FALSE,"포장2"}</definedName>
    <definedName name="우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2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5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7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8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라나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우리" localSheetId="0" hidden="1">{#N/A,#N/A,FALSE,"사업총괄";#N/A,#N/A,FALSE,"장비사업";#N/A,#N/A,FALSE,"철구사업";#N/A,#N/A,FALSE,"준설사업"}</definedName>
    <definedName name="우리" hidden="1">{#N/A,#N/A,FALSE,"사업총괄";#N/A,#N/A,FALSE,"장비사업";#N/A,#N/A,FALSE,"철구사업";#N/A,#N/A,FALSE,"준설사업"}</definedName>
    <definedName name="우후" localSheetId="0" hidden="1">{"'별표'!$N$220"}</definedName>
    <definedName name="우후" hidden="1">{"'별표'!$N$220"}</definedName>
    <definedName name="원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12" localSheetId="0" hidden="1">{#N/A,#N/A,FALSE,"운반시간"}</definedName>
    <definedName name="원가12" hidden="1">{#N/A,#N/A,FALSE,"운반시간"}</definedName>
    <definedName name="원가계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가계산19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계획대비" localSheetId="0" hidden="1">{#N/A,#N/A,FALSE,"지침";#N/A,#N/A,FALSE,"환경분석";#N/A,#N/A,FALSE,"Sheet16"}</definedName>
    <definedName name="원계획대비" hidden="1">{#N/A,#N/A,FALSE,"지침";#N/A,#N/A,FALSE,"환경분석";#N/A,#N/A,FALSE,"Sheet16"}</definedName>
    <definedName name="원기기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기기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원남내역" hidden="1">[26]실행철강하도!$A$1:$A$4</definedName>
    <definedName name="월별투입" localSheetId="0" hidden="1">{#N/A,#N/A,FALSE,"지침";#N/A,#N/A,FALSE,"환경분석";#N/A,#N/A,FALSE,"Sheet16"}</definedName>
    <definedName name="월별투입" hidden="1">{#N/A,#N/A,FALSE,"지침";#N/A,#N/A,FALSE,"환경분석";#N/A,#N/A,FALSE,"Sheet16"}</definedName>
    <definedName name="유지관리비" localSheetId="1" hidden="1">#REF!</definedName>
    <definedName name="유지관리비" localSheetId="0" hidden="1">#REF!</definedName>
    <definedName name="유지관리비" localSheetId="2" hidden="1">#REF!</definedName>
    <definedName name="유지관리비" hidden="1">#REF!</definedName>
    <definedName name="으악" localSheetId="0" hidden="1">{#N/A,#N/A,TRUE,"960318-1";#N/A,#N/A,TRUE,"960318-2";#N/A,#N/A,TRUE,"960318-3"}</definedName>
    <definedName name="으악" hidden="1">{#N/A,#N/A,TRUE,"960318-1";#N/A,#N/A,TRUE,"960318-2";#N/A,#N/A,TRUE,"960318-3"}</definedName>
    <definedName name="을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을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응" localSheetId="0" hidden="1">{#N/A,#N/A,TRUE,"960318-1";#N/A,#N/A,TRUE,"960318-2";#N/A,#N/A,TRUE,"960318-3"}</definedName>
    <definedName name="응" hidden="1">{#N/A,#N/A,TRUE,"960318-1";#N/A,#N/A,TRUE,"960318-2";#N/A,#N/A,TRUE,"960318-3"}</definedName>
    <definedName name="의" localSheetId="0" hidden="1">{#N/A,#N/A,FALSE,"운반시간"}</definedName>
    <definedName name="의" hidden="1">{#N/A,#N/A,FALSE,"운반시간"}</definedName>
    <definedName name="이름표" localSheetId="0" hidden="1">{#N/A,#N/A,FALSE,"단가표지"}</definedName>
    <definedName name="이름표" hidden="1">{#N/A,#N/A,FALSE,"단가표지"}</definedName>
    <definedName name="이릉" localSheetId="1" hidden="1">#REF!</definedName>
    <definedName name="이릉" localSheetId="0" hidden="1">#REF!</definedName>
    <definedName name="이릉" localSheetId="2" hidden="1">#REF!</definedName>
    <definedName name="이릉" hidden="1">#REF!</definedName>
    <definedName name="이릴" localSheetId="0" hidden="1">{#N/A,#N/A,FALSE,"지침";#N/A,#N/A,FALSE,"환경분석";#N/A,#N/A,FALSE,"Sheet16"}</definedName>
    <definedName name="이릴" hidden="1">{#N/A,#N/A,FALSE,"지침";#N/A,#N/A,FALSE,"환경분석";#N/A,#N/A,FALSE,"Sheet16"}</definedName>
    <definedName name="이수건설여의도예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수건설여의도예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슈" localSheetId="0" hidden="1">{#N/A,#N/A,FALSE,"지침";#N/A,#N/A,FALSE,"환경분석";#N/A,#N/A,FALSE,"Sheet16"}</definedName>
    <definedName name="이슈" hidden="1">{#N/A,#N/A,FALSE,"지침";#N/A,#N/A,FALSE,"환경분석";#N/A,#N/A,FALSE,"Sheet16"}</definedName>
    <definedName name="이일" localSheetId="1" hidden="1">#REF!</definedName>
    <definedName name="이일" localSheetId="0" hidden="1">#REF!</definedName>
    <definedName name="이일" localSheetId="2" hidden="1">#REF!</definedName>
    <definedName name="이일" hidden="1">#REF!</definedName>
    <definedName name="이종훈" hidden="1">[16]전기!$A$4:$A$163</definedName>
    <definedName name="이효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이효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인천지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일" localSheetId="0" hidden="1">{#N/A,#N/A,FALSE,"도급대비시행율";#N/A,#N/A,FALSE,"결의서";#N/A,#N/A,FALSE,"내역서";#N/A,#N/A,FALSE,"도급예상"}</definedName>
    <definedName name="일" hidden="1">{#N/A,#N/A,FALSE,"도급대비시행율";#N/A,#N/A,FALSE,"결의서";#N/A,#N/A,FALSE,"내역서";#N/A,#N/A,FALSE,"도급예상"}</definedName>
    <definedName name="일위대가" localSheetId="1" hidden="1">#REF!</definedName>
    <definedName name="일위대가" localSheetId="0" hidden="1">#REF!</definedName>
    <definedName name="일위대가" localSheetId="2" hidden="1">#REF!</definedName>
    <definedName name="일위대가" hidden="1">#REF!</definedName>
    <definedName name="임시" localSheetId="0" hidden="1">{#N/A,#N/A,FALSE,"현장 NCR 분석";#N/A,#N/A,FALSE,"현장품질감사";#N/A,#N/A,FALSE,"현장품질감사"}</definedName>
    <definedName name="임시" hidden="1">{#N/A,#N/A,FALSE,"현장 NCR 분석";#N/A,#N/A,FALSE,"현장품질감사";#N/A,#N/A,FALSE,"현장품질감사"}</definedName>
    <definedName name="임직" localSheetId="1" hidden="1">#REF!</definedName>
    <definedName name="임직" localSheetId="0" hidden="1">#REF!</definedName>
    <definedName name="임직" localSheetId="2" hidden="1">#REF!</definedName>
    <definedName name="임직" hidden="1">#REF!</definedName>
    <definedName name="임형" localSheetId="0" hidden="1">{#N/A,#N/A,FALSE,"포장2"}</definedName>
    <definedName name="임형" hidden="1">{#N/A,#N/A,FALSE,"포장2"}</definedName>
    <definedName name="입찰" localSheetId="0" hidden="1">{#N/A,#N/A,FALSE,"구조2"}</definedName>
    <definedName name="입찰" hidden="1">{#N/A,#N/A,FALSE,"구조2"}</definedName>
    <definedName name="입찰금액안" localSheetId="1" hidden="1">[27]집계표!#REF!</definedName>
    <definedName name="입찰금액안" localSheetId="0" hidden="1">[27]집계표!#REF!</definedName>
    <definedName name="입찰금액안" localSheetId="2" hidden="1">[27]집계표!#REF!</definedName>
    <definedName name="입찰금액안" hidden="1">[27]집계표!#REF!</definedName>
    <definedName name="ㅈㄱ셔ㅛㅈ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셔ㅛㅈ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ㄱ셪교ㅑㅕㅈ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ㄴ저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거ㅛㅕㅛㄱ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ㅓ쟞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겨ㅕㅕ5죠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겾교ㅑ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곶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ㅅㅅㅅ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곳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죠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ㅗㅕㅛㅅ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교ㅓㅛ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ㄳㅎㅍㅊㅊ" localSheetId="0" hidden="1">{#N/A,#N/A,FALSE,"집계표"}</definedName>
    <definedName name="ㅈㄳㅎㅍㅊㅊ" hidden="1">{#N/A,#N/A,FALSE,"집계표"}</definedName>
    <definedName name="ㅈ너ㅗ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ㅗ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너ㅛ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뇨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ㄱㄷㄱㄷ" localSheetId="0" hidden="1">{"'용역비'!$A$4:$C$8"}</definedName>
    <definedName name="ㅈㄷㄱㄷㄱㄷ" hidden="1">{"'용역비'!$A$4:$C$8"}</definedName>
    <definedName name="ㅈㄷㄱㅈ" localSheetId="0" hidden="1">{#N/A,#N/A,FALSE,"Sheet6"}</definedName>
    <definedName name="ㅈㄷㄱㅈ" hidden="1">{#N/A,#N/A,FALSE,"Sheet6"}</definedName>
    <definedName name="ㅈㄷ겨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겨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ㄷㄳㅈㄷ" localSheetId="0" hidden="1">{#N/A,#N/A,FALSE,"Sheet6"}</definedName>
    <definedName name="ㅈㄷㄳㅈㄷ" hidden="1">{#N/A,#N/A,FALSE,"Sheet6"}</definedName>
    <definedName name="ㅈㄷㅅ교" localSheetId="0" hidden="1">{#N/A,#N/A,FALSE,"집계표"}</definedName>
    <definedName name="ㅈㄷㅅ교" hidden="1">{#N/A,#N/A,FALSE,"집계표"}</definedName>
    <definedName name="ㅈㄷㅅㅁㅇㄴㄹ" localSheetId="0" hidden="1">{#N/A,#N/A,FALSE,"집계표"}</definedName>
    <definedName name="ㅈㄷㅅㅁㅇㄴㄹ" hidden="1">{#N/A,#N/A,FALSE,"집계표"}</definedName>
    <definedName name="ㅈㅂㄹㅇㅁㄴㅇㅍㅌㅋㅁㄴㅇㄻㅎㅁ" localSheetId="0" hidden="1">{#N/A,#N/A,FALSE,"집계표"}</definedName>
    <definedName name="ㅈㅂㄹㅇㅁㄴㅇㅍㅌㅋㅁㄴㅇㄻㅎㅁ" hidden="1">{#N/A,#N/A,FALSE,"집계표"}</definedName>
    <definedName name="ㅈ셪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셪겾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ㄷㅈㅇ" localSheetId="0" hidden="1">{#N/A,#N/A,FALSE,"집계표"}</definedName>
    <definedName name="ㅈㅈㄷㅈㅇ" hidden="1">{#N/A,#N/A,FALSE,"집계표"}</definedName>
    <definedName name="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ㅈㅈㅈ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자야" localSheetId="0" hidden="1">{#N/A,#N/A,FALSE,"집계표"}</definedName>
    <definedName name="자야" hidden="1">{#N/A,#N/A,FALSE,"집계표"}</definedName>
    <definedName name="자재1" localSheetId="0" hidden="1">{#N/A,#N/A,FALSE,"포장2"}</definedName>
    <definedName name="자재1" hidden="1">{#N/A,#N/A,FALSE,"포장2"}</definedName>
    <definedName name="자재2" localSheetId="0" hidden="1">{#N/A,#N/A,FALSE,"구조2"}</definedName>
    <definedName name="자재2" hidden="1">{#N/A,#N/A,FALSE,"구조2"}</definedName>
    <definedName name="자ㅓㅏ" localSheetId="0" hidden="1">{#N/A,#N/A,FALSE,"집계표"}</definedName>
    <definedName name="자ㅓㅏ" hidden="1">{#N/A,#N/A,FALSE,"집계표"}</definedName>
    <definedName name="장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구" localSheetId="0" hidden="1">{#N/A,#N/A,FALSE,"Sheet6"}</definedName>
    <definedName name="장구" hidden="1">{#N/A,#N/A,FALSE,"Sheet6"}</definedName>
    <definedName name="장위" localSheetId="1" hidden="1">#REF!</definedName>
    <definedName name="장위" localSheetId="0" hidden="1">#REF!</definedName>
    <definedName name="장위" localSheetId="2" hidden="1">#REF!</definedName>
    <definedName name="장위" hidden="1">#REF!</definedName>
    <definedName name="장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장종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전기내역" localSheetId="0" hidden="1">{#N/A,#N/A,FALSE,"CCTV"}</definedName>
    <definedName name="전기내역" hidden="1">{#N/A,#N/A,FALSE,"CCTV"}</definedName>
    <definedName name="전기설계" localSheetId="0" hidden="1">{#N/A,#N/A,FALSE,"Sheet1"}</definedName>
    <definedName name="전기설계" hidden="1">{#N/A,#N/A,FALSE,"Sheet1"}</definedName>
    <definedName name="전기설비표지" localSheetId="0" hidden="1">{#N/A,#N/A,FALSE,"전력간선"}</definedName>
    <definedName name="전기설비표지" hidden="1">{#N/A,#N/A,FALSE,"전력간선"}</definedName>
    <definedName name="전기특기조건" localSheetId="0" hidden="1">{#N/A,#N/A,FALSE,"현장 NCR 분석";#N/A,#N/A,FALSE,"현장품질감사";#N/A,#N/A,FALSE,"현장품질감사"}</definedName>
    <definedName name="전기특기조건" hidden="1">{#N/A,#N/A,FALSE,"현장 NCR 분석";#N/A,#N/A,FALSE,"현장품질감사";#N/A,#N/A,FALSE,"현장품질감사"}</definedName>
    <definedName name="전기표지" localSheetId="0" hidden="1">{#N/A,#N/A,FALSE,"전력간선"}</definedName>
    <definedName name="전기표지" hidden="1">{#N/A,#N/A,FALSE,"전력간선"}</definedName>
    <definedName name="전등1" localSheetId="0" hidden="1">{#N/A,#N/A,FALSE,"전력간선"}</definedName>
    <definedName name="전등1" hidden="1">{#N/A,#N/A,FALSE,"전력간선"}</definedName>
    <definedName name="전열" localSheetId="0" hidden="1">{#N/A,#N/A,FALSE,"전력간선"}</definedName>
    <definedName name="전열" hidden="1">{#N/A,#N/A,FALSE,"전력간선"}</definedName>
    <definedName name="전열1" localSheetId="0" hidden="1">{#N/A,#N/A,FALSE,"전력간선"}</definedName>
    <definedName name="전열1" hidden="1">{#N/A,#N/A,FALSE,"전력간선"}</definedName>
    <definedName name="전자CF" localSheetId="0" hidden="1">{#N/A,#N/A,FALSE,"지침";#N/A,#N/A,FALSE,"환경분석";#N/A,#N/A,FALSE,"Sheet16"}</definedName>
    <definedName name="전자CF" hidden="1">{#N/A,#N/A,FALSE,"지침";#N/A,#N/A,FALSE,"환경분석";#N/A,#N/A,FALSE,"Sheet16"}</definedName>
    <definedName name="젇주ㅠㅜㅇㄴ" localSheetId="0" hidden="1">{#N/A,#N/A,FALSE,"집계표"}</definedName>
    <definedName name="젇주ㅠㅜㅇㄴ" hidden="1">{#N/A,#N/A,FALSE,"집계표"}</definedName>
    <definedName name="접지" localSheetId="0" hidden="1">{#N/A,#N/A,FALSE,"전력간선"}</definedName>
    <definedName name="접지" hidden="1">{#N/A,#N/A,FALSE,"전력간선"}</definedName>
    <definedName name="정보통신" localSheetId="0" hidden="1">{#N/A,#N/A,FALSE,"전력간선"}</definedName>
    <definedName name="정보통신" hidden="1">{#N/A,#N/A,FALSE,"전력간선"}</definedName>
    <definedName name="정산표" localSheetId="0" hidden="1">{#N/A,#N/A,FALSE,"현장 NCR 분석";#N/A,#N/A,FALSE,"현장품질감사";#N/A,#N/A,FALSE,"현장품질감사"}</definedName>
    <definedName name="정산표" hidden="1">{#N/A,#N/A,FALSE,"현장 NCR 분석";#N/A,#N/A,FALSE,"현장품질감사";#N/A,#N/A,FALSE,"현장품질감사"}</definedName>
    <definedName name="제2짱" localSheetId="0" hidden="1">{#N/A,#N/A,FALSE,"운반시간"}</definedName>
    <definedName name="제2짱" hidden="1">{#N/A,#N/A,FALSE,"운반시간"}</definedName>
    <definedName name="제외공사" localSheetId="0" hidden="1">{#N/A,#N/A,FALSE,"지침";#N/A,#N/A,FALSE,"환경분석";#N/A,#N/A,FALSE,"Sheet16"}</definedName>
    <definedName name="제외공사" hidden="1">{#N/A,#N/A,FALSE,"지침";#N/A,#N/A,FALSE,"환경분석";#N/A,#N/A,FALSE,"Sheet16"}</definedName>
    <definedName name="제조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조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경공사" localSheetId="0" hidden="1">{#N/A,#N/A,FALSE,"표지"}</definedName>
    <definedName name="조경공사" hidden="1">{#N/A,#N/A,FALSE,"표지"}</definedName>
    <definedName name="조경사본" localSheetId="0" hidden="1">{#N/A,#N/A,FALSE,"표지"}</definedName>
    <definedName name="조경사본" hidden="1">{#N/A,#N/A,FALSE,"표지"}</definedName>
    <definedName name="조사가" localSheetId="1" hidden="1">[28]입찰안!#REF!</definedName>
    <definedName name="조사가" localSheetId="0" hidden="1">[28]입찰안!#REF!</definedName>
    <definedName name="조사가" localSheetId="2" hidden="1">[28]입찰안!#REF!</definedName>
    <definedName name="조사가" hidden="1">[28]입찰안!#REF!</definedName>
    <definedName name="조정1" localSheetId="1" hidden="1">#REF!</definedName>
    <definedName name="조정1" localSheetId="0" hidden="1">#REF!</definedName>
    <definedName name="조정1" localSheetId="2" hidden="1">#REF!</definedName>
    <definedName name="조정1" hidden="1">#REF!</definedName>
    <definedName name="조직" localSheetId="0" hidden="1">{#N/A,#N/A,FALSE,"변경관리예산";#N/A,#N/A,FALSE,"변경장비예산";#N/A,#N/A,FALSE,"변경준설예산";#N/A,#N/A,FALSE,"변경철구예산"}</definedName>
    <definedName name="조직" hidden="1">{#N/A,#N/A,FALSE,"변경관리예산";#N/A,#N/A,FALSE,"변경장비예산";#N/A,#N/A,FALSE,"변경준설예산";#N/A,#N/A,FALSE,"변경철구예산"}</definedName>
    <definedName name="조직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조직4" localSheetId="0" hidden="1">{#N/A,#N/A,FALSE,"사업총괄";#N/A,#N/A,FALSE,"장비사업";#N/A,#N/A,FALSE,"철구사업";#N/A,#N/A,FALSE,"준설사업"}</definedName>
    <definedName name="조직4" hidden="1">{#N/A,#N/A,FALSE,"사업총괄";#N/A,#N/A,FALSE,"장비사업";#N/A,#N/A,FALSE,"철구사업";#N/A,#N/A,FALSE,"준설사업"}</definedName>
    <definedName name="조직4.2" localSheetId="0" hidden="1">{#N/A,#N/A,FALSE,"예상손익";#N/A,#N/A,FALSE,"관리분석";#N/A,#N/A,FALSE,"장비분석";#N/A,#N/A,FALSE,"준설분석";#N/A,#N/A,FALSE,"철구분석"}</definedName>
    <definedName name="조직4.2" hidden="1">{#N/A,#N/A,FALSE,"예상손익";#N/A,#N/A,FALSE,"관리분석";#N/A,#N/A,FALSE,"장비분석";#N/A,#N/A,FALSE,"준설분석";#N/A,#N/A,FALSE,"철구분석"}</definedName>
    <definedName name="조차장" localSheetId="0" hidden="1">{#N/A,#N/A,FALSE,"명세표"}</definedName>
    <definedName name="조차장" hidden="1">{#N/A,#N/A,FALSE,"명세표"}</definedName>
    <definedName name="조창현" localSheetId="0" hidden="1">{#N/A,#N/A,FALSE,"교리2"}</definedName>
    <definedName name="조창현" hidden="1">{#N/A,#N/A,FALSE,"교리2"}</definedName>
    <definedName name="조후" localSheetId="0" hidden="1">{#N/A,#N/A,FALSE,"예상손익";#N/A,#N/A,FALSE,"관리분석";#N/A,#N/A,FALSE,"장비분석";#N/A,#N/A,FALSE,"준설분석";#N/A,#N/A,FALSE,"철구분석"}</definedName>
    <definedName name="조후" hidden="1">{#N/A,#N/A,FALSE,"예상손익";#N/A,#N/A,FALSE,"관리분석";#N/A,#N/A,FALSE,"장비분석";#N/A,#N/A,FALSE,"준설분석";#N/A,#N/A,FALSE,"철구분석"}</definedName>
    <definedName name="졷ㅂ숃ㄱㅂ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졷ㅂ숃ㄱㅂ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종합청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ㅈ겨ㅗ굦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저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ㅓ죡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죠ㅗㅈ거ㅕ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주" localSheetId="0" hidden="1">{#N/A,#N/A,FALSE,"지침";#N/A,#N/A,FALSE,"환경분석";#N/A,#N/A,FALSE,"Sheet16"}</definedName>
    <definedName name="주" hidden="1">{#N/A,#N/A,FALSE,"지침";#N/A,#N/A,FALSE,"환경분석";#N/A,#N/A,FALSE,"Sheet16"}</definedName>
    <definedName name="주차장" localSheetId="0" hidden="1">{#N/A,#N/A,FALSE,"표지"}</definedName>
    <definedName name="주차장" hidden="1">{#N/A,#N/A,FALSE,"표지"}</definedName>
    <definedName name="중공업인원인건비" localSheetId="0" hidden="1">{#N/A,#N/A,FALSE,"지침";#N/A,#N/A,FALSE,"환경분석";#N/A,#N/A,FALSE,"Sheet16"}</definedName>
    <definedName name="중공업인원인건비" hidden="1">{#N/A,#N/A,FALSE,"지침";#N/A,#N/A,FALSE,"환경분석";#N/A,#N/A,FALSE,"Sheet16"}</definedName>
    <definedName name="증감내역" localSheetId="1" hidden="1">#REF!</definedName>
    <definedName name="증감내역" localSheetId="0" hidden="1">#REF!</definedName>
    <definedName name="증감내역" localSheetId="2" hidden="1">#REF!</definedName>
    <definedName name="증감내역" hidden="1">#REF!</definedName>
    <definedName name="지" localSheetId="0" hidden="1">{#N/A,#N/A,FALSE,"배수2"}</definedName>
    <definedName name="지" hidden="1">{#N/A,#N/A,FALSE,"배수2"}</definedName>
    <definedName name="지역" localSheetId="0" hidden="1">{#N/A,#N/A,FALSE,"포장2"}</definedName>
    <definedName name="지역" hidden="1">{#N/A,#N/A,FALSE,"포장2"}</definedName>
    <definedName name="지역업체" localSheetId="0" hidden="1">{#N/A,#N/A,FALSE,"배수2"}</definedName>
    <definedName name="지역업체" hidden="1">{#N/A,#N/A,FALSE,"배수2"}</definedName>
    <definedName name="지철" localSheetId="0" hidden="1">{#N/A,#N/A,FALSE,"포장2"}</definedName>
    <definedName name="지철" hidden="1">{#N/A,#N/A,FALSE,"포장2"}</definedName>
    <definedName name="지철자재" localSheetId="0" hidden="1">{#N/A,#N/A,FALSE,"포장2"}</definedName>
    <definedName name="지철자재" hidden="1">{#N/A,#N/A,FALSE,"포장2"}</definedName>
    <definedName name="지토" localSheetId="0" hidden="1">{#N/A,#N/A,FALSE,"포장1";#N/A,#N/A,FALSE,"포장1"}</definedName>
    <definedName name="지토" hidden="1">{#N/A,#N/A,FALSE,"포장1";#N/A,#N/A,FALSE,"포장1"}</definedName>
    <definedName name="지토자재" localSheetId="0" hidden="1">{#N/A,#N/A,FALSE,"포장2"}</definedName>
    <definedName name="지토자재" hidden="1">{#N/A,#N/A,FALSE,"포장2"}</definedName>
    <definedName name="직매54P" localSheetId="0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진짜원가" localSheetId="0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진짜원가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집계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집계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짠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짠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쩝.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쩝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쩨" localSheetId="0" hidden="1">{#N/A,#N/A,FALSE,"변경관리예산";#N/A,#N/A,FALSE,"변경장비예산";#N/A,#N/A,FALSE,"변경준설예산";#N/A,#N/A,FALSE,"변경철구예산"}</definedName>
    <definedName name="쩨" hidden="1">{#N/A,#N/A,FALSE,"변경관리예산";#N/A,#N/A,FALSE,"변경장비예산";#N/A,#N/A,FALSE,"변경준설예산";#N/A,#N/A,FALSE,"변경철구예산"}</definedName>
    <definedName name="ㅊ노ㅜ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노ㅜ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ㄹㅎ" localSheetId="0" hidden="1">{#N/A,#N/A,FALSE,"집계표"}</definedName>
    <definedName name="ㅊㄹㅎ" hidden="1">{#N/A,#N/A,FALSE,"집계표"}</definedName>
    <definedName name="ㅊㄹ헝ㅇ" localSheetId="0" hidden="1">{#N/A,#N/A,FALSE,"집계표"}</definedName>
    <definedName name="ㅊㄹ헝ㅇ" hidden="1">{#N/A,#N/A,FALSE,"집계표"}</definedName>
    <definedName name="ㅊㄹ호" localSheetId="0" hidden="1">{#N/A,#N/A,FALSE,"집계표"}</definedName>
    <definedName name="ㅊㄹ호" hidden="1">{#N/A,#N/A,FALSE,"집계표"}</definedName>
    <definedName name="ㅊㅀㅎㅎㅎㅎㅎㅎㅎㅎ" localSheetId="0" hidden="1">{#N/A,#N/A,FALSE,"집계표"}</definedName>
    <definedName name="ㅊㅀㅎㅎㅎㅎㅎㅎㅎㅎ" hidden="1">{#N/A,#N/A,FALSE,"집계표"}</definedName>
    <definedName name="ㅊㅇ" localSheetId="0" hidden="1">{#N/A,#N/A,FALSE,"현장 NCR 분석";#N/A,#N/A,FALSE,"현장품질감사";#N/A,#N/A,FALSE,"현장품질감사"}</definedName>
    <definedName name="ㅊㅇ" hidden="1">{#N/A,#N/A,FALSE,"현장 NCR 분석";#N/A,#N/A,FALSE,"현장품질감사";#N/A,#N/A,FALSE,"현장품질감사"}</definedName>
    <definedName name="ㅊㅊㅊㅊ" localSheetId="0" hidden="1">{#N/A,#N/A,FALSE,"단가표지"}</definedName>
    <definedName name="ㅊㅊㅊㅊ" hidden="1">{#N/A,#N/A,FALSE,"단가표지"}</definedName>
    <definedName name="ㅊㅌㅅ" localSheetId="0" hidden="1">{#N/A,#N/A,FALSE,"집계표"}</definedName>
    <definedName name="ㅊㅌㅅ" hidden="1">{#N/A,#N/A,FALSE,"집계표"}</definedName>
    <definedName name="ㅊㅌ포촣" localSheetId="0" hidden="1">{#N/A,#N/A,FALSE,"집계표"}</definedName>
    <definedName name="ㅊㅌ포촣" hidden="1">{#N/A,#N/A,FALSE,"집계표"}</definedName>
    <definedName name="ㅊㅌㅎㄹ쇼" localSheetId="0" hidden="1">{#N/A,#N/A,FALSE,"집계표"}</definedName>
    <definedName name="ㅊㅌㅎㄹ쇼" hidden="1">{#N/A,#N/A,FALSE,"집계표"}</definedName>
    <definedName name="ㅊ튶" localSheetId="0" hidden="1">{#N/A,#N/A,FALSE,"집계표"}</definedName>
    <definedName name="ㅊ튶" hidden="1">{#N/A,#N/A,FALSE,"집계표"}</definedName>
    <definedName name="ㅊㅍ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ㅊㅍ허ㅓㅗ효" localSheetId="0" hidden="1">{#N/A,#N/A,FALSE,"집계표"}</definedName>
    <definedName name="ㅊㅍ허ㅓㅗ효" hidden="1">{#N/A,#N/A,FALSE,"집계표"}</definedName>
    <definedName name="ㅊ퍼ㅗㅗㅗㅗㅗ" localSheetId="0" hidden="1">{#N/A,#N/A,FALSE,"집계표"}</definedName>
    <definedName name="ㅊ퍼ㅗㅗㅗㅗㅗ" hidden="1">{#N/A,#N/A,FALSE,"집계표"}</definedName>
    <definedName name="ㅊ포ㅓㅊㅊㅊㅊㅊㅊㅊㅊㅊㅊ" localSheetId="0" hidden="1">{#N/A,#N/A,FALSE,"집계표"}</definedName>
    <definedName name="ㅊ포ㅓㅊㅊㅊㅊㅊㅊㅊㅊㅊㅊ" hidden="1">{#N/A,#N/A,FALSE,"집계표"}</definedName>
    <definedName name="ㅊ포ㅓㅓㅓㅓㅓㅓㅓㅓㅓㅓ" localSheetId="0" hidden="1">{#N/A,#N/A,FALSE,"집계표"}</definedName>
    <definedName name="ㅊ포ㅓㅓㅓㅓㅓㅓㅓㅓㅓㅓ" hidden="1">{#N/A,#N/A,FALSE,"집계표"}</definedName>
    <definedName name="ㅊ폴" localSheetId="0" hidden="1">{#N/A,#N/A,FALSE,"Sheet6"}</definedName>
    <definedName name="ㅊ폴" hidden="1">{#N/A,#N/A,FALSE,"Sheet6"}</definedName>
    <definedName name="ㅊ푸ㅡ" localSheetId="0" hidden="1">{#N/A,#N/A,FALSE,"집계표"}</definedName>
    <definedName name="ㅊ푸ㅡ" hidden="1">{#N/A,#N/A,FALSE,"집계표"}</definedName>
    <definedName name="ㅊ퓨ㅗ" localSheetId="0" hidden="1">{#N/A,#N/A,FALSE,"집계표"}</definedName>
    <definedName name="ㅊ퓨ㅗ" hidden="1">{#N/A,#N/A,FALSE,"집계표"}</definedName>
    <definedName name="ㅊㅎㄹㄹ" localSheetId="0" hidden="1">{#N/A,#N/A,FALSE,"집계표"}</definedName>
    <definedName name="ㅊㅎㄹㄹ" hidden="1">{#N/A,#N/A,FALSE,"집계표"}</definedName>
    <definedName name="ㅊ허ㅗㅗㅗㅗㅗ" localSheetId="0" hidden="1">{#N/A,#N/A,FALSE,"집계표"}</definedName>
    <definedName name="ㅊ허ㅗㅗㅗㅗㅗ" hidden="1">{#N/A,#N/A,FALSE,"집계표"}</definedName>
    <definedName name="ㅊ호ㅓㅗ" localSheetId="0" hidden="1">{#N/A,#N/A,FALSE,"집계표"}</definedName>
    <definedName name="ㅊ호ㅓㅗ" hidden="1">{#N/A,#N/A,FALSE,"집계표"}</definedName>
    <definedName name="차ㅑ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차ㅑ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고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참석자" localSheetId="0" hidden="1">{#N/A,#N/A,FALSE,"현장 NCR 분석";#N/A,#N/A,FALSE,"현장품질감사";#N/A,#N/A,FALSE,"현장품질감사"}</definedName>
    <definedName name="참석자" hidden="1">{#N/A,#N/A,FALSE,"현장 NCR 분석";#N/A,#N/A,FALSE,"현장품질감사";#N/A,#N/A,FALSE,"현장품질감사"}</definedName>
    <definedName name="참조" localSheetId="0" hidden="1">{"'Sheet1'!$A$1:$E$59"}</definedName>
    <definedName name="참조" hidden="1">{"'Sheet1'!$A$1:$E$59"}</definedName>
    <definedName name="처ㅗㅗㅗㅗㅗㅗㅗㅗㅗ" localSheetId="0" hidden="1">{#N/A,#N/A,FALSE,"집계표"}</definedName>
    <definedName name="처ㅗㅗㅗㅗㅗㅗㅗㅗㅗ" hidden="1">{#N/A,#N/A,FALSE,"집계표"}</definedName>
    <definedName name="철2" localSheetId="0" hidden="1">{#N/A,#N/A,FALSE,"혼합골재"}</definedName>
    <definedName name="철2" hidden="1">{#N/A,#N/A,FALSE,"혼합골재"}</definedName>
    <definedName name="철거단가" localSheetId="0" hidden="1">{#N/A,#N/A,FALSE,"조골재"}</definedName>
    <definedName name="철거단가" hidden="1">{#N/A,#N/A,FALSE,"조골재"}</definedName>
    <definedName name="철골협의" localSheetId="0" hidden="1">{#N/A,#N/A,FALSE,"현장 NCR 분석";#N/A,#N/A,FALSE,"현장품질감사";#N/A,#N/A,FALSE,"현장품질감사"}</definedName>
    <definedName name="철골협의" hidden="1">{#N/A,#N/A,FALSE,"현장 NCR 분석";#N/A,#N/A,FALSE,"현장품질감사";#N/A,#N/A,FALSE,"현장품질감사"}</definedName>
    <definedName name="철콘부대외" localSheetId="0" hidden="1">{#N/A,#N/A,FALSE,"Sheet1"}</definedName>
    <definedName name="철콘부대외" hidden="1">{#N/A,#N/A,FALSE,"Sheet1"}</definedName>
    <definedName name="첨부" hidden="1">0</definedName>
    <definedName name="초" localSheetId="0" hidden="1">{#N/A,#N/A,TRUE,"960318-1";#N/A,#N/A,TRUE,"960318-2";#N/A,#N/A,TRUE,"960318-3"}</definedName>
    <definedName name="초" hidden="1">{#N/A,#N/A,TRUE,"960318-1";#N/A,#N/A,TRUE,"960318-2";#N/A,#N/A,TRUE,"960318-3"}</definedName>
    <definedName name="총공" localSheetId="0" hidden="1">{#N/A,#N/A,FALSE,"운반시간"}</definedName>
    <definedName name="총공" hidden="1">{#N/A,#N/A,FALSE,"운반시간"}</definedName>
    <definedName name="총괄내역" localSheetId="1" hidden="1">#REF!</definedName>
    <definedName name="총괄내역" localSheetId="0" hidden="1">#REF!</definedName>
    <definedName name="총괄내역" localSheetId="2" hidden="1">#REF!</definedName>
    <definedName name="총괄내역" hidden="1">#REF!</definedName>
    <definedName name="총설계서" localSheetId="0" hidden="1">{#N/A,#N/A,FALSE,"전력간선"}</definedName>
    <definedName name="총설계서" hidden="1">{#N/A,#N/A,FALSE,"전력간선"}</definedName>
    <definedName name="최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최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추가기성" localSheetId="0" hidden="1">{#N/A,#N/A,FALSE,"집계표"}</definedName>
    <definedName name="추가기성" hidden="1">{#N/A,#N/A,FALSE,"집계표"}</definedName>
    <definedName name="추정" localSheetId="0" hidden="1">{#N/A,#N/A,FALSE,"포장2"}</definedName>
    <definedName name="추정" hidden="1">{#N/A,#N/A,FALSE,"포장2"}</definedName>
    <definedName name="출판" localSheetId="0" hidden="1">{#N/A,#N/A,FALSE,"지침";#N/A,#N/A,FALSE,"환경분석";#N/A,#N/A,FALSE,"Sheet16"}</definedName>
    <definedName name="출판" hidden="1">{#N/A,#N/A,FALSE,"지침";#N/A,#N/A,FALSE,"환경분석";#N/A,#N/A,FALSE,"Sheet16"}</definedName>
    <definedName name="충무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무로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충주" localSheetId="1" hidden="1">[29]설계내역서!#REF!</definedName>
    <definedName name="충주" localSheetId="0" hidden="1">[29]설계내역서!#REF!</definedName>
    <definedName name="충주" localSheetId="2" hidden="1">[29]설계내역서!#REF!</definedName>
    <definedName name="충주" hidden="1">[29]설계내역서!#REF!</definedName>
    <definedName name="츄" localSheetId="0" hidden="1">{#N/A,#N/A,FALSE,"집계표"}</definedName>
    <definedName name="츄" hidden="1">{#N/A,#N/A,FALSE,"집계표"}</definedName>
    <definedName name="츄ㅗㄹㅊㄹ초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ㅗㄹㅊㄹ초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츄ㅜ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ㅜ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츄ㅡ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ㅊ퓽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" localSheetId="0" hidden="1">{#N/A,#N/A,FALSE,"전력간선"}</definedName>
    <definedName name="ㅋㅋㅋ" hidden="1">{#N/A,#N/A,FALSE,"전력간선"}</definedName>
    <definedName name="ㅋㅋㅋㅋㅋ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ㅋㅋㅋㅋ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ㅋㅌ" localSheetId="0" hidden="1">{#N/A,#N/A,FALSE,"구조1"}</definedName>
    <definedName name="ㅋㅌ" hidden="1">{#N/A,#N/A,FALSE,"구조1"}</definedName>
    <definedName name="ㅋㅌ애ㅑㅓㅎㄹ" localSheetId="0" hidden="1">{#N/A,#N/A,FALSE,"집계표"}</definedName>
    <definedName name="ㅋㅌ애ㅑㅓㅎㄹ" hidden="1">{#N/A,#N/A,FALSE,"집계표"}</definedName>
    <definedName name="ㅋ타ㅓㄹㅇ" localSheetId="0" hidden="1">{#N/A,#N/A,FALSE,"집계표"}</definedName>
    <definedName name="ㅋ타ㅓㄹㅇ" hidden="1">{#N/A,#N/A,FALSE,"집계표"}</definedName>
    <definedName name="ㅋ텋리ㅏㄴㅁㄱ" localSheetId="0" hidden="1">{#N/A,#N/A,FALSE,"집계표"}</definedName>
    <definedName name="ㅋ텋리ㅏㄴㅁㄱ" hidden="1">{#N/A,#N/A,FALSE,"집계표"}</definedName>
    <definedName name="ㅋ하ㅓㅈㄴㄷㄱㅎ" localSheetId="0" hidden="1">{#N/A,#N/A,FALSE,"집계표"}</definedName>
    <definedName name="ㅋ하ㅓㅈㄴㄷㄱㅎ" hidden="1">{#N/A,#N/A,FALSE,"집계표"}</definedName>
    <definedName name="캐쉬" localSheetId="0" hidden="1">{#N/A,#N/A,FALSE,"지침";#N/A,#N/A,FALSE,"환경분석";#N/A,#N/A,FALSE,"Sheet16"}</definedName>
    <definedName name="캐쉬" hidden="1">{#N/A,#N/A,FALSE,"지침";#N/A,#N/A,FALSE,"환경분석";#N/A,#N/A,FALSE,"Sheet16"}</definedName>
    <definedName name="캬ㅓ래ㅑㅣㅏ" localSheetId="0" hidden="1">{#N/A,#N/A,FALSE,"집계표"}</definedName>
    <definedName name="캬ㅓ래ㅑㅣㅏ" hidden="1">{#N/A,#N/A,FALSE,"집계표"}</definedName>
    <definedName name="케이블간지" localSheetId="0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콩" localSheetId="0" hidden="1">{#N/A,#N/A,FALSE,"구조1"}</definedName>
    <definedName name="콩" hidden="1">{#N/A,#N/A,FALSE,"구조1"}</definedName>
    <definedName name="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키ㅏㄴ어리ㅑㅁㅈㄷ" localSheetId="0" hidden="1">{#N/A,#N/A,FALSE,"집계표"}</definedName>
    <definedName name="키ㅏㄴ어리ㅑㅁㅈㄷ" hidden="1">{#N/A,#N/A,FALSE,"집계표"}</definedName>
    <definedName name="ㅌㄹ요" localSheetId="0" hidden="1">{#N/A,#N/A,FALSE,"집계표"}</definedName>
    <definedName name="ㅌㄹ요" hidden="1">{#N/A,#N/A,FALSE,"집계표"}</definedName>
    <definedName name="ㅌㄹ호" localSheetId="0" hidden="1">{#N/A,#N/A,FALSE,"집계표"}</definedName>
    <definedName name="ㅌㄹ호" hidden="1">{#N/A,#N/A,FALSE,"집계표"}</definedName>
    <definedName name="ㅌ롷" localSheetId="0" hidden="1">{#N/A,#N/A,FALSE,"집계표"}</definedName>
    <definedName name="ㅌ롷" hidden="1">{#N/A,#N/A,FALSE,"집계표"}</definedName>
    <definedName name="ㅌㄾㅎ" localSheetId="0" hidden="1">{#N/A,#N/A,FALSE,"집계표"}</definedName>
    <definedName name="ㅌㄾㅎ" hidden="1">{#N/A,#N/A,FALSE,"집계표"}</definedName>
    <definedName name="ㅌㅅㅊㅌ" localSheetId="0" hidden="1">{#N/A,#N/A,FALSE,"집계표"}</definedName>
    <definedName name="ㅌㅅㅊㅌ" hidden="1">{#N/A,#N/A,FALSE,"집계표"}</definedName>
    <definedName name="ㅌ쇼ㅏ" localSheetId="0" hidden="1">{#N/A,#N/A,FALSE,"집계표"}</definedName>
    <definedName name="ㅌ쇼ㅏ" hidden="1">{#N/A,#N/A,FALSE,"집계표"}</definedName>
    <definedName name="ㅌㅇㄱㄱ" localSheetId="0" hidden="1">{#N/A,#N/A,FALSE,"집계표"}</definedName>
    <definedName name="ㅌㅇㄱㄱ" hidden="1">{#N/A,#N/A,FALSE,"집계표"}</definedName>
    <definedName name="ㅌㅇ려ㅛㄴㅇㅀ" localSheetId="0" hidden="1">{#N/A,#N/A,FALSE,"집계표"}</definedName>
    <definedName name="ㅌㅇ려ㅛㄴㅇㅀ" hidden="1">{#N/A,#N/A,FALSE,"집계표"}</definedName>
    <definedName name="ㅌㅇ롷ㄴㄱㄷ" localSheetId="0" hidden="1">{#N/A,#N/A,FALSE,"집계표"}</definedName>
    <definedName name="ㅌㅇ롷ㄴㄱㄷ" hidden="1">{#N/A,#N/A,FALSE,"집계표"}</definedName>
    <definedName name="ㅌㅇ료" localSheetId="0" hidden="1">{#N/A,#N/A,FALSE,"집계표"}</definedName>
    <definedName name="ㅌㅇ료" hidden="1">{#N/A,#N/A,FALSE,"집계표"}</definedName>
    <definedName name="ㅌㅊㄹ오" localSheetId="0" hidden="1">{#N/A,#N/A,FALSE,"집계표"}</definedName>
    <definedName name="ㅌㅊㄹ오" hidden="1">{#N/A,#N/A,FALSE,"집계표"}</definedName>
    <definedName name="ㅌㅊㄹ호" localSheetId="0" hidden="1">{#N/A,#N/A,FALSE,"집계표"}</definedName>
    <definedName name="ㅌㅊㄹ호" hidden="1">{#N/A,#N/A,FALSE,"집계표"}</definedName>
    <definedName name="ㅌㅊ룟" localSheetId="0" hidden="1">{#N/A,#N/A,FALSE,"집계표"}</definedName>
    <definedName name="ㅌㅊ룟" hidden="1">{#N/A,#N/A,FALSE,"집계표"}</definedName>
    <definedName name="ㅌ처히ㅏㅓㄹㅇ하" localSheetId="0" hidden="1">{#N/A,#N/A,FALSE,"집계표"}</definedName>
    <definedName name="ㅌ처히ㅏㅓㄹㅇ하" hidden="1">{#N/A,#N/A,FALSE,"집계표"}</definedName>
    <definedName name="ㅌㅋㅀ" localSheetId="0" hidden="1">{#N/A,#N/A,FALSE,"집계표"}</definedName>
    <definedName name="ㅌㅋㅀ" hidden="1">{#N/A,#N/A,FALSE,"집계표"}</definedName>
    <definedName name="ㅌㅋ퍼ㅣㅏㄴㅇ" localSheetId="0" hidden="1">{#N/A,#N/A,FALSE,"집계표"}</definedName>
    <definedName name="ㅌㅋ퍼ㅣㅏㄴㅇ" hidden="1">{#N/A,#N/A,FALSE,"집계표"}</definedName>
    <definedName name="ㅌ카ㅓ낭렇" localSheetId="0" hidden="1">{#N/A,#N/A,FALSE,"집계표"}</definedName>
    <definedName name="ㅌ카ㅓ낭렇" hidden="1">{#N/A,#N/A,FALSE,"집계표"}</definedName>
    <definedName name="ㅌㅌ" localSheetId="0" hidden="1">{#N/A,#N/A,FALSE,"표지"}</definedName>
    <definedName name="ㅌㅌ" hidden="1">{#N/A,#N/A,FALSE,"표지"}</definedName>
    <definedName name="ㅌㅍ" localSheetId="0" hidden="1">{#N/A,#N/A,FALSE,"부대2"}</definedName>
    <definedName name="ㅌㅍ" hidden="1">{#N/A,#N/A,FALSE,"부대2"}</definedName>
    <definedName name="ㅌㅍㅊㅇㅌㅎ" localSheetId="0" hidden="1">{#N/A,#N/A,FALSE,"도급대비시행율";#N/A,#N/A,FALSE,"결의서";#N/A,#N/A,FALSE,"내역서";#N/A,#N/A,FALSE,"도급예상"}</definedName>
    <definedName name="ㅌㅍㅊㅇㅌㅎ" hidden="1">{#N/A,#N/A,FALSE,"도급대비시행율";#N/A,#N/A,FALSE,"결의서";#N/A,#N/A,FALSE,"내역서";#N/A,#N/A,FALSE,"도급예상"}</definedName>
    <definedName name="타히ㅓㅇ" localSheetId="0" hidden="1">{#N/A,#N/A,FALSE,"집계표"}</definedName>
    <definedName name="타히ㅓㅇ" hidden="1">{#N/A,#N/A,FALSE,"집계표"}</definedName>
    <definedName name="태영지급" localSheetId="0" hidden="1">{#N/A,#N/A,FALSE,"부대1"}</definedName>
    <definedName name="태영지급" hidden="1">{#N/A,#N/A,FALSE,"부대1"}</definedName>
    <definedName name="택배" localSheetId="0" hidden="1">{#N/A,#N/A,TRUE,"TITLE"}</definedName>
    <definedName name="택배" hidden="1">{#N/A,#N/A,TRUE,"TITLE"}</definedName>
    <definedName name="텨러" localSheetId="0" hidden="1">{#N/A,#N/A,FALSE,"집계표"}</definedName>
    <definedName name="텨러" hidden="1">{#N/A,#N/A,FALSE,"집계표"}</definedName>
    <definedName name="토" localSheetId="1" hidden="1">#REF!</definedName>
    <definedName name="토" localSheetId="0" hidden="1">#REF!</definedName>
    <definedName name="토" localSheetId="2" hidden="1">#REF!</definedName>
    <definedName name="토" hidden="1">#REF!</definedName>
    <definedName name="토\40" localSheetId="0" hidden="1">{#N/A,#N/A,FALSE,"토공2"}</definedName>
    <definedName name="토\40" hidden="1">{#N/A,#N/A,FALSE,"토공2"}</definedName>
    <definedName name="토1" localSheetId="0" hidden="1">{#N/A,#N/A,FALSE,"이정표"}</definedName>
    <definedName name="토1" hidden="1">{#N/A,#N/A,FALSE,"이정표"}</definedName>
    <definedName name="토2" localSheetId="0" hidden="1">{#N/A,#N/A,FALSE,"조골재"}</definedName>
    <definedName name="토2" hidden="1">{#N/A,#N/A,FALSE,"조골재"}</definedName>
    <definedName name="토3" localSheetId="0" hidden="1">{#N/A,#N/A,FALSE,"구조1"}</definedName>
    <definedName name="토3" hidden="1">{#N/A,#N/A,FALSE,"구조1"}</definedName>
    <definedName name="토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11" localSheetId="0" hidden="1">{#N/A,#N/A,FALSE,"포장2"}</definedName>
    <definedName name="토공11" hidden="1">{#N/A,#N/A,FALSE,"포장2"}</definedName>
    <definedName name="토공2" localSheetId="0" hidden="1">{#N/A,#N/A,FALSE,"2~8번"}</definedName>
    <definedName name="토공2" hidden="1">{#N/A,#N/A,FALSE,"2~8번"}</definedName>
    <definedName name="토공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내역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공전체" localSheetId="0" hidden="1">{#N/A,#N/A,FALSE,"운반시간"}</definedName>
    <definedName name="토공전체" hidden="1">{#N/A,#N/A,FALSE,"운반시간"}</definedName>
    <definedName name="토목공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토목공사" localSheetId="0" hidden="1">{#N/A,#N/A,FALSE,"이태원철근"}</definedName>
    <definedName name="토목공사" hidden="1">{#N/A,#N/A,FALSE,"이태원철근"}</definedName>
    <definedName name="토목공사강릉" localSheetId="1" hidden="1">#REF!</definedName>
    <definedName name="토목공사강릉" localSheetId="0" hidden="1">#REF!</definedName>
    <definedName name="토목공사강릉" localSheetId="2" hidden="1">#REF!</definedName>
    <definedName name="토목공사강릉" hidden="1">#REF!</definedName>
    <definedName name="토목설계" localSheetId="0" hidden="1">{#N/A,#N/A,FALSE,"골재소요량";#N/A,#N/A,FALSE,"골재소요량"}</definedName>
    <definedName name="토목설계" hidden="1">{#N/A,#N/A,FALSE,"골재소요량";#N/A,#N/A,FALSE,"골재소요량"}</definedName>
    <definedName name="토목실견적" localSheetId="0" hidden="1">{#N/A,#N/A,FALSE,"이태원철근"}</definedName>
    <definedName name="토목실견적" hidden="1">{#N/A,#N/A,FALSE,"이태원철근"}</definedName>
    <definedName name="투3" localSheetId="0" hidden="1">{#N/A,#N/A,FALSE,"배수2"}</definedName>
    <definedName name="투3" hidden="1">{#N/A,#N/A,FALSE,"배수2"}</definedName>
    <definedName name="투입대비표갑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투입대비표갑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툿" localSheetId="0" hidden="1">{#N/A,#N/A,FALSE,"사업총괄";#N/A,#N/A,FALSE,"장비사업";#N/A,#N/A,FALSE,"철구사업";#N/A,#N/A,FALSE,"준설사업"}</definedName>
    <definedName name="툿" hidden="1">{#N/A,#N/A,FALSE,"사업총괄";#N/A,#N/A,FALSE,"장비사업";#N/A,#N/A,FALSE,"철구사업";#N/A,#N/A,FALSE,"준설사업"}</definedName>
    <definedName name="특수조건1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특수조건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티" localSheetId="0" hidden="1">{#N/A,#N/A,FALSE,"예상손익";#N/A,#N/A,FALSE,"관리분석";#N/A,#N/A,FALSE,"장비분석";#N/A,#N/A,FALSE,"준설분석";#N/A,#N/A,FALSE,"철구분석"}</definedName>
    <definedName name="티" hidden="1">{#N/A,#N/A,FALSE,"예상손익";#N/A,#N/A,FALSE,"관리분석";#N/A,#N/A,FALSE,"장비분석";#N/A,#N/A,FALSE,"준설분석";#N/A,#N/A,FALSE,"철구분석"}</definedName>
    <definedName name="ㅍㄴㅇㄷ" localSheetId="0" hidden="1">{#N/A,#N/A,FALSE,"집계표"}</definedName>
    <definedName name="ㅍㄴㅇㄷ" hidden="1">{#N/A,#N/A,FALSE,"집계표"}</definedName>
    <definedName name="ㅍㅊㅇㅍㅊ" localSheetId="0" hidden="1">{#N/A,#N/A,FALSE,"집계표"}</definedName>
    <definedName name="ㅍㅊㅇㅍㅊ" hidden="1">{#N/A,#N/A,FALSE,"집계표"}</definedName>
    <definedName name="ㅍ초ㅓㅓㅓㅓㅓㅓㅓ" localSheetId="0" hidden="1">{#N/A,#N/A,FALSE,"집계표"}</definedName>
    <definedName name="ㅍ초ㅓㅓㅓㅓㅓㅓㅓ" hidden="1">{#N/A,#N/A,FALSE,"집계표"}</definedName>
    <definedName name="ㅍ츄ㅗ" localSheetId="0" hidden="1">{#N/A,#N/A,FALSE,"집계표"}</definedName>
    <definedName name="ㅍ츄ㅗ" hidden="1">{#N/A,#N/A,FALSE,"집계표"}</definedName>
    <definedName name="ㅍㅌㅋ이ㅏ" localSheetId="0" hidden="1">{#N/A,#N/A,FALSE,"집계표"}</definedName>
    <definedName name="ㅍㅌㅋ이ㅏ" hidden="1">{#N/A,#N/A,FALSE,"집계표"}</definedName>
    <definedName name="ㅍㅍ" localSheetId="0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ㅍ햐ㅐㅣㅏ" localSheetId="0" hidden="1">{#N/A,#N/A,FALSE,"집계표"}</definedName>
    <definedName name="ㅍ햐ㅐㅣㅏ" hidden="1">{#N/A,#N/A,FALSE,"집계표"}</definedName>
    <definedName name="ㅍ화ㅓ" localSheetId="0" hidden="1">{#N/A,#N/A,FALSE,"집계표"}</definedName>
    <definedName name="ㅍ화ㅓ" hidden="1">{#N/A,#N/A,FALSE,"집계표"}</definedName>
    <definedName name="파일산출3" localSheetId="1" hidden="1">#REF!</definedName>
    <definedName name="파일산출3" localSheetId="0" hidden="1">#REF!</definedName>
    <definedName name="파일산출3" localSheetId="2" hidden="1">#REF!</definedName>
    <definedName name="파일산출3" hidden="1">#REF!</definedName>
    <definedName name="팔" localSheetId="1" hidden="1">#REF!</definedName>
    <definedName name="팔" localSheetId="0" hidden="1">#REF!</definedName>
    <definedName name="팔" localSheetId="2" hidden="1">#REF!</definedName>
    <definedName name="팔" hidden="1">#REF!</definedName>
    <definedName name="페기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페기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폐기물처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장2월ocf" localSheetId="0" hidden="1">{#N/A,#N/A,FALSE,"지침";#N/A,#N/A,FALSE,"환경분석";#N/A,#N/A,FALSE,"Sheet16"}</definedName>
    <definedName name="포장2월ocf" hidden="1">{#N/A,#N/A,FALSE,"지침";#N/A,#N/A,FALSE,"환경분석";#N/A,#N/A,FALSE,"Sheet16"}</definedName>
    <definedName name="포장ocf" localSheetId="0" hidden="1">{#N/A,#N/A,FALSE,"지침";#N/A,#N/A,FALSE,"환경분석";#N/A,#N/A,FALSE,"Sheet16"}</definedName>
    <definedName name="포장ocf" hidden="1">{#N/A,#N/A,FALSE,"지침";#N/A,#N/A,FALSE,"환경분석";#N/A,#N/A,FALSE,"Sheet16"}</definedName>
    <definedName name="포지머ㅗㄱㄷㅌ킹1" localSheetId="0" hidden="1">{#N/A,#N/A,FALSE,"표지목차"}</definedName>
    <definedName name="포지머ㅗㄱㄷㅌ킹1" hidden="1">{#N/A,#N/A,FALSE,"표지목차"}</definedName>
    <definedName name="포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포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폽장2" localSheetId="0" hidden="1">{#N/A,#N/A,FALSE,"포장1";#N/A,#N/A,FALSE,"포장1"}</definedName>
    <definedName name="폽장2" hidden="1">{#N/A,#N/A,FALSE,"포장1";#N/A,#N/A,FALSE,"포장1"}</definedName>
    <definedName name="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지" localSheetId="1" hidden="1">#REF!</definedName>
    <definedName name="표지" localSheetId="0" hidden="1">#REF!</definedName>
    <definedName name="표지" localSheetId="2" hidden="1">#REF!</definedName>
    <definedName name="표지" hidden="1">#REF!</definedName>
    <definedName name="표지1" localSheetId="0" hidden="1">{"'용역비'!$A$4:$C$8"}</definedName>
    <definedName name="표지1" hidden="1">{"'용역비'!$A$4:$C$8"}</definedName>
    <definedName name="표지2" localSheetId="1" hidden="1">#REF!</definedName>
    <definedName name="표지2" localSheetId="0" hidden="1">#REF!</definedName>
    <definedName name="표지2" localSheetId="2" hidden="1">#REF!</definedName>
    <definedName name="표지2" hidden="1">#REF!</definedName>
    <definedName name="표지3" localSheetId="0" hidden="1">{#N/A,#N/A,FALSE,"이정표"}</definedName>
    <definedName name="표지3" hidden="1">{#N/A,#N/A,FALSE,"이정표"}</definedName>
    <definedName name="품의민원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민원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품의서1" localSheetId="1" hidden="1">#REF!</definedName>
    <definedName name="품의서1" localSheetId="0" hidden="1">#REF!</definedName>
    <definedName name="품의서1" localSheetId="2" hidden="1">#REF!</definedName>
    <definedName name="품의서1" hidden="1">#REF!</definedName>
    <definedName name="풍납동" localSheetId="1" hidden="1">#REF!</definedName>
    <definedName name="풍납동" localSheetId="0" hidden="1">#REF!</definedName>
    <definedName name="풍납동" localSheetId="2" hidden="1">#REF!</definedName>
    <definedName name="풍납동" hidden="1">#REF!</definedName>
    <definedName name="풍납동아파트" localSheetId="1" hidden="1">#REF!</definedName>
    <definedName name="풍납동아파트" localSheetId="0" hidden="1">#REF!</definedName>
    <definedName name="풍납동아파트" localSheetId="2" hidden="1">#REF!</definedName>
    <definedName name="풍납동아파트" hidden="1">#REF!</definedName>
    <definedName name="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퓨ㅗ허" localSheetId="0" hidden="1">{#N/A,#N/A,FALSE,"집계표"}</definedName>
    <definedName name="퓨ㅗ허" hidden="1">{#N/A,#N/A,FALSE,"집계표"}</definedName>
    <definedName name="퓸" localSheetId="0" hidden="1">{#N/A,#N/A,FALSE,"사업총괄";#N/A,#N/A,FALSE,"장비사업";#N/A,#N/A,FALSE,"철구사업";#N/A,#N/A,FALSE,"준설사업"}</definedName>
    <definedName name="퓸" hidden="1">{#N/A,#N/A,FALSE,"사업총괄";#N/A,#N/A,FALSE,"장비사업";#N/A,#N/A,FALSE,"철구사업";#N/A,#N/A,FALSE,"준설사업"}</definedName>
    <definedName name="피로티" localSheetId="0" hidden="1">{#N/A,#N/A,FALSE,"이태원철근"}</definedName>
    <definedName name="피로티" hidden="1">{#N/A,#N/A,FALSE,"이태원철근"}</definedName>
    <definedName name="피로티1" localSheetId="0" hidden="1">{#N/A,#N/A,FALSE,"이태원철근"}</definedName>
    <definedName name="피로티1" hidden="1">{#N/A,#N/A,FALSE,"이태원철근"}</definedName>
    <definedName name="ㅎㄴㅇㅀㄴ" localSheetId="0" hidden="1">{#N/A,#N/A,FALSE,"집계표"}</definedName>
    <definedName name="ㅎㄴㅇㅀㄴ" hidden="1">{#N/A,#N/A,FALSE,"집계표"}</definedName>
    <definedName name="ㅎㄹ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ㄹㅇㄴㅇ" localSheetId="0" hidden="1">{#N/A,#N/A,FALSE,"집계표"}</definedName>
    <definedName name="ㅎㄹㅇㄴㅇ" hidden="1">{#N/A,#N/A,FALSE,"집계표"}</definedName>
    <definedName name="ㅎㄹㅇ솔요" localSheetId="0" hidden="1">{#N/A,#N/A,FALSE,"집계표"}</definedName>
    <definedName name="ㅎㄹㅇ솔요" hidden="1">{#N/A,#N/A,FALSE,"집계표"}</definedName>
    <definedName name="ㅎㄹ어" localSheetId="0" hidden="1">{#N/A,#N/A,FALSE,"집계표"}</definedName>
    <definedName name="ㅎㄹ어" hidden="1">{#N/A,#N/A,FALSE,"집계표"}</definedName>
    <definedName name="ㅎㄹ오" localSheetId="0" hidden="1">{#N/A,#N/A,FALSE,"집계표"}</definedName>
    <definedName name="ㅎㄹ오" hidden="1">{#N/A,#N/A,FALSE,"집계표"}</definedName>
    <definedName name="ㅎㄹ요서ㅗㅎㄹㅇ" localSheetId="0" hidden="1">{#N/A,#N/A,FALSE,"집계표"}</definedName>
    <definedName name="ㅎㄹ요서ㅗㅎㄹㅇ" hidden="1">{#N/A,#N/A,FALSE,"집계표"}</definedName>
    <definedName name="ㅎ러ㅏ료ㅕ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ㅏ료ㅕ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ㅗㅇ러" localSheetId="0" hidden="1">{#N/A,#N/A,FALSE,"집계표"}</definedName>
    <definedName name="ㅎ러ㅗㅇ러" hidden="1">{#N/A,#N/A,FALSE,"집계표"}</definedName>
    <definedName name="ㅎ러ㅘㅍㅊ" localSheetId="0" hidden="1">{#N/A,#N/A,FALSE,"집계표"}</definedName>
    <definedName name="ㅎ러ㅘㅍㅊ" hidden="1">{#N/A,#N/A,FALSE,"집계표"}</definedName>
    <definedName name="ㅎ러ㅡㅜ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러ㅡㅜ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려ㅑㅓㅏㄹ셔ㅛ" localSheetId="0" hidden="1">{#N/A,#N/A,FALSE,"집계표"}</definedName>
    <definedName name="ㅎ려ㅑㅓㅏㄹ셔ㅛ" hidden="1">{#N/A,#N/A,FALSE,"집계표"}</definedName>
    <definedName name="ㅎ로" localSheetId="0" hidden="1">{#N/A,#N/A,FALSE,"집계표"}</definedName>
    <definedName name="ㅎ로" hidden="1">{#N/A,#N/A,FALSE,"집계표"}</definedName>
    <definedName name="ㅎ로낟안" localSheetId="0" hidden="1">{#N/A,#N/A,FALSE,"혼합골재"}</definedName>
    <definedName name="ㅎ로낟안" hidden="1">{#N/A,#N/A,FALSE,"혼합골재"}</definedName>
    <definedName name="ㅎ로ㅓㅅㄱㄷ" localSheetId="0" hidden="1">{#N/A,#N/A,FALSE,"집계표"}</definedName>
    <definedName name="ㅎ로ㅓㅅㄱㄷ" hidden="1">{#N/A,#N/A,FALSE,"집계표"}</definedName>
    <definedName name="ㅎ로ㅓㅇ" localSheetId="0" hidden="1">{#N/A,#N/A,FALSE,"집계표"}</definedName>
    <definedName name="ㅎ로ㅓㅇ" hidden="1">{#N/A,#N/A,FALSE,"집계표"}</definedName>
    <definedName name="ㅎ로ㅓㅓㅓㅓㅓㅓㅓㅓㅓㅓ" localSheetId="0" hidden="1">{#N/A,#N/A,FALSE,"집계표"}</definedName>
    <definedName name="ㅎ로ㅓㅓㅓㅓㅓㅓㅓㅓㅓㅓ" hidden="1">{#N/A,#N/A,FALSE,"집계표"}</definedName>
    <definedName name="ㅎ롤ㅇㄴㄳㄱ" localSheetId="0" hidden="1">{#N/A,#N/A,FALSE,"집계표"}</definedName>
    <definedName name="ㅎ롤ㅇㄴㄳㄱ" hidden="1">{#N/A,#N/A,FALSE,"집계표"}</definedName>
    <definedName name="ㅎ롯ㅅ" localSheetId="0" hidden="1">{#N/A,#N/A,FALSE,"집계표"}</definedName>
    <definedName name="ㅎ롯ㅅ" hidden="1">{#N/A,#N/A,FALSE,"집계표"}</definedName>
    <definedName name="ㅎㅀㅀ" localSheetId="1" hidden="1">#REF!</definedName>
    <definedName name="ㅎㅀㅀ" localSheetId="0" hidden="1">#REF!</definedName>
    <definedName name="ㅎㅀㅀ" localSheetId="2" hidden="1">#REF!</definedName>
    <definedName name="ㅎㅀㅀ" hidden="1">#REF!</definedName>
    <definedName name="ㅎㅀㅇ" localSheetId="1" hidden="1">#REF!</definedName>
    <definedName name="ㅎㅀㅇ" localSheetId="0" hidden="1">#REF!</definedName>
    <definedName name="ㅎㅀㅇ" localSheetId="2" hidden="1">#REF!</definedName>
    <definedName name="ㅎㅀㅇ" hidden="1">#REF!</definedName>
    <definedName name="ㅎㅁ" localSheetId="0" hidden="1">{#N/A,#N/A,FALSE,"집계표"}</definedName>
    <definedName name="ㅎㅁ" hidden="1">{#N/A,#N/A,FALSE,"집계표"}</definedName>
    <definedName name="ㅎㅁㄴ" localSheetId="1" hidden="1">#REF!</definedName>
    <definedName name="ㅎㅁㄴ" localSheetId="0" hidden="1">#REF!</definedName>
    <definedName name="ㅎㅁㄴ" localSheetId="2" hidden="1">#REF!</definedName>
    <definedName name="ㅎㅁㄴ" hidden="1">#REF!</definedName>
    <definedName name="ㅎ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아라ㅣ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처ㅗㅅㄹ요" localSheetId="0" hidden="1">{#N/A,#N/A,FALSE,"집계표"}</definedName>
    <definedName name="ㅎ처ㅗㅅㄹ요" hidden="1">{#N/A,#N/A,FALSE,"집계표"}</definedName>
    <definedName name="ㅎㅎ" localSheetId="1" hidden="1">#REF!</definedName>
    <definedName name="ㅎㅎ" localSheetId="0" hidden="1">#REF!</definedName>
    <definedName name="ㅎㅎ" localSheetId="2" hidden="1">#REF!</definedName>
    <definedName name="ㅎㅎ" hidden="1">#REF!</definedName>
    <definedName name="ㅎㅎㅎ" localSheetId="1" hidden="1">#REF!</definedName>
    <definedName name="ㅎㅎㅎ" localSheetId="0" hidden="1">#REF!</definedName>
    <definedName name="ㅎㅎㅎ" localSheetId="2" hidden="1">#REF!</definedName>
    <definedName name="ㅎㅎㅎ" hidden="1">#REF!</definedName>
    <definedName name="ㅎㅎㅎ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ㅎㅎㅎㅎㅎㅎㅎ" localSheetId="0" hidden="1">{#N/A,#N/A,FALSE,"교리2"}</definedName>
    <definedName name="ㅎㅎㅎㅎㅎㅎㅎ" hidden="1">{#N/A,#N/A,FALSE,"교리2"}</definedName>
    <definedName name="ㅎㅕㅓ" localSheetId="0" hidden="1">{#N/A,#N/A,FALSE,"집계표"}</definedName>
    <definedName name="ㅎㅕㅓ" hidden="1">{#N/A,#N/A,FALSE,"집계표"}</definedName>
    <definedName name="하" localSheetId="0" hidden="1">{#N/A,#N/A,TRUE,"960318-1";#N/A,#N/A,TRUE,"960318-2";#N/A,#N/A,TRUE,"960318-3"}</definedName>
    <definedName name="하" hidden="1">{#N/A,#N/A,TRUE,"960318-1";#N/A,#N/A,TRUE,"960318-2";#N/A,#N/A,TRUE,"960318-3"}</definedName>
    <definedName name="하나" localSheetId="0" hidden="1">{#N/A,#N/A,FALSE,"Sheet1"}</definedName>
    <definedName name="하나" hidden="1">{#N/A,#N/A,FALSE,"Sheet1"}</definedName>
    <definedName name="하도급" localSheetId="0" hidden="1">{#N/A,#N/A,FALSE,"사업총괄";#N/A,#N/A,FALSE,"장비사업";#N/A,#N/A,FALSE,"철구사업";#N/A,#N/A,FALSE,"준설사업"}</definedName>
    <definedName name="하도급" hidden="1">{#N/A,#N/A,FALSE,"사업총괄";#N/A,#N/A,FALSE,"장비사업";#N/A,#N/A,FALSE,"철구사업";#N/A,#N/A,FALSE,"준설사업"}</definedName>
    <definedName name="하도급사항" localSheetId="1" hidden="1">#REF!</definedName>
    <definedName name="하도급사항" localSheetId="0" hidden="1">#REF!</definedName>
    <definedName name="하도급사항" localSheetId="2" hidden="1">#REF!</definedName>
    <definedName name="하도급사항" hidden="1">#REF!</definedName>
    <definedName name="하도대상" localSheetId="0" hidden="1">{#N/A,#N/A,FALSE,"골재소요량";#N/A,#N/A,FALSE,"골재소요량"}</definedName>
    <definedName name="하도대상" hidden="1">{#N/A,#N/A,FALSE,"골재소요량";#N/A,#N/A,FALSE,"골재소요량"}</definedName>
    <definedName name="하도발주용공내역서" localSheetId="0" hidden="1">{#N/A,#N/A,FALSE,"사업총괄";#N/A,#N/A,FALSE,"장비사업";#N/A,#N/A,FALSE,"철구사업";#N/A,#N/A,FALSE,"준설사업"}</definedName>
    <definedName name="하도발주용공내역서" hidden="1">{#N/A,#N/A,FALSE,"사업총괄";#N/A,#N/A,FALSE,"장비사업";#N/A,#N/A,FALSE,"철구사업";#N/A,#N/A,FALSE,"준설사업"}</definedName>
    <definedName name="하도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동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하하" localSheetId="0" hidden="1">{#N/A,#N/A,FALSE,"단가표지"}</definedName>
    <definedName name="하하하" hidden="1">{#N/A,#N/A,FALSE,"단가표지"}</definedName>
    <definedName name="하한선" localSheetId="0" hidden="1">{#N/A,#N/A,FALSE,"배수2"}</definedName>
    <definedName name="하한선" hidden="1">{#N/A,#N/A,FALSE,"배수2"}</definedName>
    <definedName name="하ㅓㅎ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ㅓㅎ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ㅡ교ㅣ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학" localSheetId="0" hidden="1">{#N/A,#N/A,TRUE,"960318-1";#N/A,#N/A,TRUE,"960318-2";#N/A,#N/A,TRUE,"960318-3"}</definedName>
    <definedName name="학" hidden="1">{#N/A,#N/A,TRUE,"960318-1";#N/A,#N/A,TRUE,"960318-2";#N/A,#N/A,TRUE,"960318-3"}</definedName>
    <definedName name="한" localSheetId="1" hidden="1">#REF!</definedName>
    <definedName name="한" localSheetId="0" hidden="1">#REF!</definedName>
    <definedName name="한" localSheetId="2" hidden="1">#REF!</definedName>
    <definedName name="한" hidden="1">#REF!</definedName>
    <definedName name="한동" localSheetId="0" hidden="1">{#N/A,#N/A,FALSE,"단가표지"}</definedName>
    <definedName name="한동" hidden="1">{#N/A,#N/A,FALSE,"단가표지"}</definedName>
    <definedName name="한동1" localSheetId="0" hidden="1">{#N/A,#N/A,FALSE,"단가표지"}</definedName>
    <definedName name="한동1" hidden="1">{#N/A,#N/A,FALSE,"단가표지"}</definedName>
    <definedName name="핟" localSheetId="0" hidden="1">{#N/A,#N/A,TRUE,"960318-1";#N/A,#N/A,TRUE,"960318-2";#N/A,#N/A,TRUE,"960318-3"}</definedName>
    <definedName name="핟" hidden="1">{#N/A,#N/A,TRUE,"960318-1";#N/A,#N/A,TRUE,"960318-2";#N/A,#N/A,TRUE,"960318-3"}</definedName>
    <definedName name="할" localSheetId="0" hidden="1">{#N/A,#N/A,TRUE,"960318-1";#N/A,#N/A,TRUE,"960318-2";#N/A,#N/A,TRUE,"960318-3"}</definedName>
    <definedName name="할" hidden="1">{#N/A,#N/A,TRUE,"960318-1";#N/A,#N/A,TRUE,"960318-2";#N/A,#N/A,TRUE,"960318-3"}</definedName>
    <definedName name="할ㅇㅎㅎ랄ㄴㅇ험ㄴ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할ㅇㅎㅎ랄ㄴㅇ험ㄴ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함" localSheetId="0" hidden="1">{#N/A,#N/A,TRUE,"960318-1";#N/A,#N/A,TRUE,"960318-2";#N/A,#N/A,TRUE,"960318-3"}</definedName>
    <definedName name="함" hidden="1">{#N/A,#N/A,TRUE,"960318-1";#N/A,#N/A,TRUE,"960318-2";#N/A,#N/A,TRUE,"960318-3"}</definedName>
    <definedName name="합" localSheetId="0" hidden="1">{#N/A,#N/A,TRUE,"960318-1";#N/A,#N/A,TRUE,"960318-2";#N/A,#N/A,TRUE,"960318-3"}</definedName>
    <definedName name="합" hidden="1">{#N/A,#N/A,TRUE,"960318-1";#N/A,#N/A,TRUE,"960318-2";#N/A,#N/A,TRUE,"960318-3"}</definedName>
    <definedName name="핫" localSheetId="0" hidden="1">{#N/A,#N/A,TRUE,"960318-1";#N/A,#N/A,TRUE,"960318-2";#N/A,#N/A,TRUE,"960318-3"}</definedName>
    <definedName name="핫" hidden="1">{#N/A,#N/A,TRUE,"960318-1";#N/A,#N/A,TRUE,"960318-2";#N/A,#N/A,TRUE,"960318-3"}</definedName>
    <definedName name="항" localSheetId="0" hidden="1">{#N/A,#N/A,TRUE,"960318-1";#N/A,#N/A,TRUE,"960318-2";#N/A,#N/A,TRUE,"960318-3"}</definedName>
    <definedName name="항" hidden="1">{#N/A,#N/A,TRUE,"960318-1";#N/A,#N/A,TRUE,"960318-2";#N/A,#N/A,TRUE,"960318-3"}</definedName>
    <definedName name="핳" localSheetId="0" hidden="1">{#N/A,#N/A,TRUE,"960318-1";#N/A,#N/A,TRUE,"960318-2";#N/A,#N/A,TRUE,"960318-3"}</definedName>
    <definedName name="핳" hidden="1">{#N/A,#N/A,TRUE,"960318-1";#N/A,#N/A,TRUE,"960318-2";#N/A,#N/A,TRUE,"960318-3"}</definedName>
    <definedName name="햐" localSheetId="0" hidden="1">{#N/A,#N/A,FALSE,"사업총괄";#N/A,#N/A,FALSE,"장비사업";#N/A,#N/A,FALSE,"철구사업";#N/A,#N/A,FALSE,"준설사업"}</definedName>
    <definedName name="햐" hidden="1">{#N/A,#N/A,FALSE,"사업총괄";#N/A,#N/A,FALSE,"장비사업";#N/A,#N/A,FALSE,"철구사업";#N/A,#N/A,FALSE,"준설사업"}</definedName>
    <definedName name="햐러" localSheetId="0" hidden="1">{#N/A,#N/A,FALSE,"변경관리예산";#N/A,#N/A,FALSE,"변경장비예산";#N/A,#N/A,FALSE,"변경준설예산";#N/A,#N/A,FALSE,"변경철구예산"}</definedName>
    <definedName name="햐러" hidden="1">{#N/A,#N/A,FALSE,"변경관리예산";#N/A,#N/A,FALSE,"변경장비예산";#N/A,#N/A,FALSE,"변경준설예산";#N/A,#N/A,FALSE,"변경철구예산"}</definedName>
    <definedName name="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아ㅏㅇ" localSheetId="0" hidden="1">{#N/A,#N/A,FALSE,"집계표"}</definedName>
    <definedName name="허아ㅏㅇ" hidden="1">{#N/A,#N/A,FALSE,"집계표"}</definedName>
    <definedName name="허저터" localSheetId="0" hidden="1">{#N/A,#N/A,FALSE,"집계표"}</definedName>
    <definedName name="허저터" hidden="1">{#N/A,#N/A,FALSE,"집계표"}</definedName>
    <definedName name="허허헣ㅎ" localSheetId="0" hidden="1">{#N/A,#N/A,FALSE,"집계표"}</definedName>
    <definedName name="허허헣ㅎ" hidden="1">{#N/A,#N/A,FALSE,"집계표"}</definedName>
    <definedName name="허헣" localSheetId="0" hidden="1">{#N/A,#N/A,FALSE,"집계표"}</definedName>
    <definedName name="허헣" hidden="1">{#N/A,#N/A,FALSE,"집계표"}</definedName>
    <definedName name="허ㅏㅈ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ㅏㅈ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ㅓ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ㅅ됴" localSheetId="0" hidden="1">{#N/A,#N/A,FALSE,"집계표"}</definedName>
    <definedName name="허ㅗㅅ됴" hidden="1">{#N/A,#N/A,FALSE,"집계표"}</definedName>
    <definedName name="허ㅗㅈ거ㅛㅛ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ㅗㅈ거ㅛㅛ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허ㅚㅎ" localSheetId="0" hidden="1">{#N/A,#N/A,FALSE,"집계표"}</definedName>
    <definedName name="허ㅚㅎ" hidden="1">{#N/A,#N/A,FALSE,"집계표"}</definedName>
    <definedName name="헌ㄴ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ㄴ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현대" localSheetId="0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대" hidden="1">{#N/A,#N/A,FALSE,"물가변동";#N/A,#N/A,FALSE,"집계";#N/A,#N/A,FALSE,"도급집계";#N/A,#N/A,FALSE,"예산서";#N/A,#N/A,FALSE,"터빈";#N/A,#N/A,FALSE,"보일러";#N/A,#N/A,FALSE,"품셈";#N/A,#N/A,FALSE,"부표";#N/A,#N/A,FALSE,"적용노임";#N/A,#N/A,FALSE,"장비노임";#N/A,#N/A,FALSE,"정산품질";#N/A,#N/A,FALSE,"신규별표";#N/A,#N/A,FALSE,"정산신규품";#N/A,#N/A,FALSE,"ESC별표"}</definedName>
    <definedName name="현장" localSheetId="1" hidden="1">#REF!</definedName>
    <definedName name="현장" localSheetId="0" hidden="1">#REF!</definedName>
    <definedName name="현장" localSheetId="2" hidden="1">#REF!</definedName>
    <definedName name="현장" hidden="1">#REF!</definedName>
    <definedName name="현장설명" localSheetId="0" hidden="1">{#N/A,#N/A,FALSE,"현장 NCR 분석";#N/A,#N/A,FALSE,"현장품질감사";#N/A,#N/A,FALSE,"현장품질감사"}</definedName>
    <definedName name="현장설명" hidden="1">{#N/A,#N/A,FALSE,"현장 NCR 분석";#N/A,#N/A,FALSE,"현장품질감사";#N/A,#N/A,FALSE,"현장품질감사"}</definedName>
    <definedName name="현장설명2" localSheetId="0" hidden="1">{#N/A,#N/A,FALSE,"현장 NCR 분석";#N/A,#N/A,FALSE,"현장품질감사";#N/A,#N/A,FALSE,"현장품질감사"}</definedName>
    <definedName name="현장설명2" hidden="1">{#N/A,#N/A,FALSE,"현장 NCR 분석";#N/A,#N/A,FALSE,"현장품질감사";#N/A,#N/A,FALSE,"현장품질감사"}</definedName>
    <definedName name="현조" localSheetId="1" hidden="1">#REF!</definedName>
    <definedName name="현조" localSheetId="0" hidden="1">#REF!</definedName>
    <definedName name="현조" localSheetId="2" hidden="1">#REF!</definedName>
    <definedName name="현조" hidden="1">#REF!</definedName>
    <definedName name="협" localSheetId="0" hidden="1">{#N/A,#N/A,FALSE,"배수2"}</definedName>
    <definedName name="협" hidden="1">{#N/A,#N/A,FALSE,"배수2"}</definedName>
    <definedName name="협력" localSheetId="0" hidden="1">{#N/A,#N/A,FALSE,"포장2"}</definedName>
    <definedName name="협력" hidden="1">{#N/A,#N/A,FALSE,"포장2"}</definedName>
    <definedName name="협력업체" localSheetId="0" hidden="1">{#N/A,#N/A,FALSE,"포장2"}</definedName>
    <definedName name="협력업체" hidden="1">{#N/A,#N/A,FALSE,"포장2"}</definedName>
    <definedName name="협조전" localSheetId="1" hidden="1">#REF!</definedName>
    <definedName name="협조전" localSheetId="0" hidden="1">#REF!</definedName>
    <definedName name="협조전" localSheetId="2" hidden="1">#REF!</definedName>
    <definedName name="협조전" hidden="1">#REF!</definedName>
    <definedName name="협철" localSheetId="0" hidden="1">{#N/A,#N/A,FALSE,"포장2"}</definedName>
    <definedName name="협철" hidden="1">{#N/A,#N/A,FALSE,"포장2"}</definedName>
    <definedName name="협토" localSheetId="0" hidden="1">{#N/A,#N/A,FALSE,"포장1";#N/A,#N/A,FALSE,"포장1"}</definedName>
    <definedName name="협토" hidden="1">{#N/A,#N/A,FALSE,"포장1";#N/A,#N/A,FALSE,"포장1"}</definedName>
    <definedName name="협토1" localSheetId="0" hidden="1">{#N/A,#N/A,FALSE,"포장2"}</definedName>
    <definedName name="협토1" hidden="1">{#N/A,#N/A,FALSE,"포장2"}</definedName>
    <definedName name="협토자재" localSheetId="0" hidden="1">{#N/A,#N/A,FALSE,"포장2"}</definedName>
    <definedName name="협토자재" hidden="1">{#N/A,#N/A,FALSE,"포장2"}</definedName>
    <definedName name="형제" localSheetId="0" hidden="1">{#N/A,#N/A,FALSE,"포장2"}</definedName>
    <definedName name="형제" hidden="1">{#N/A,#N/A,FALSE,"포장2"}</definedName>
    <definedName name="호도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도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호러ㅓㅓㅓㅓㅓㅓㅓ" localSheetId="0" hidden="1">{#N/A,#N/A,FALSE,"집계표"}</definedName>
    <definedName name="호러ㅓㅓㅓㅓㅓㅓㅓ" hidden="1">{#N/A,#N/A,FALSE,"집계표"}</definedName>
    <definedName name="호하ㅓ" localSheetId="0" hidden="1">{#N/A,#N/A,FALSE,"집계표"}</definedName>
    <definedName name="호하ㅓ" hidden="1">{#N/A,#N/A,FALSE,"집계표"}</definedName>
    <definedName name="호호" localSheetId="0" hidden="1">{#N/A,#N/A,FALSE,"포장1";#N/A,#N/A,FALSE,"포장1"}</definedName>
    <definedName name="호호" hidden="1">{#N/A,#N/A,FALSE,"포장1";#N/A,#N/A,FALSE,"포장1"}</definedName>
    <definedName name="호ㅓ" localSheetId="0" hidden="1">{#N/A,#N/A,FALSE,"집계표"}</definedName>
    <definedName name="호ㅓ" hidden="1">{#N/A,#N/A,FALSE,"집계표"}</definedName>
    <definedName name="호ㅓㅏ" localSheetId="0" hidden="1">{#N/A,#N/A,FALSE,"집계표"}</definedName>
    <definedName name="호ㅓㅏ" hidden="1">{#N/A,#N/A,FALSE,"집계표"}</definedName>
    <definedName name="호ㅓㅕㅏ6ㅅ서ㅛㅓ" localSheetId="1" hidden="1">[30]입찰안!#REF!</definedName>
    <definedName name="호ㅓㅕㅏ6ㅅ서ㅛㅓ" localSheetId="0" hidden="1">[30]입찰안!#REF!</definedName>
    <definedName name="호ㅓㅕㅏ6ㅅ서ㅛㅓ" localSheetId="2" hidden="1">[30]입찰안!#REF!</definedName>
    <definedName name="호ㅓㅕㅏ6ㅅ서ㅛㅓ" hidden="1">[30]입찰안!#REF!</definedName>
    <definedName name="혼ㄹ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혼ㄹ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혿" localSheetId="0" hidden="1">{#N/A,#N/A,TRUE,"960318-1";#N/A,#N/A,TRUE,"960318-2";#N/A,#N/A,TRUE,"960318-3"}</definedName>
    <definedName name="혿" hidden="1">{#N/A,#N/A,TRUE,"960318-1";#N/A,#N/A,TRUE,"960318-2";#N/A,#N/A,TRUE,"960318-3"}</definedName>
    <definedName name="홀" localSheetId="0" hidden="1">{#N/A,#N/A,TRUE,"960318-1";#N/A,#N/A,TRUE,"960318-2";#N/A,#N/A,TRUE,"960318-3"}</definedName>
    <definedName name="홀" hidden="1">{#N/A,#N/A,TRUE,"960318-1";#N/A,#N/A,TRUE,"960318-2";#N/A,#N/A,TRUE,"960318-3"}</definedName>
    <definedName name="홇" localSheetId="0" hidden="1">{#N/A,#N/A,FALSE,"Sheet6"}</definedName>
    <definedName name="홇" hidden="1">{#N/A,#N/A,FALSE,"Sheet6"}</definedName>
    <definedName name="홈" localSheetId="0" hidden="1">{#N/A,#N/A,TRUE,"960318-1";#N/A,#N/A,TRUE,"960318-2";#N/A,#N/A,TRUE,"960318-3"}</definedName>
    <definedName name="홈" hidden="1">{#N/A,#N/A,TRUE,"960318-1";#N/A,#N/A,TRUE,"960318-2";#N/A,#N/A,TRUE,"960318-3"}</definedName>
    <definedName name="홉" localSheetId="0" hidden="1">{#N/A,#N/A,TRUE,"960318-1";#N/A,#N/A,TRUE,"960318-2";#N/A,#N/A,TRUE,"960318-3"}</definedName>
    <definedName name="홉" hidden="1">{#N/A,#N/A,TRUE,"960318-1";#N/A,#N/A,TRUE,"960318-2";#N/A,#N/A,TRUE,"960318-3"}</definedName>
    <definedName name="홋" localSheetId="0" hidden="1">{#N/A,#N/A,TRUE,"960318-1";#N/A,#N/A,TRUE,"960318-2";#N/A,#N/A,TRUE,"960318-3"}</definedName>
    <definedName name="홋" hidden="1">{#N/A,#N/A,TRUE,"960318-1";#N/A,#N/A,TRUE,"960318-2";#N/A,#N/A,TRUE,"960318-3"}</definedName>
    <definedName name="홋ㄱ" localSheetId="0" hidden="1">{#N/A,#N/A,FALSE,"Sheet6"}</definedName>
    <definedName name="홋ㄱ" hidden="1">{#N/A,#N/A,FALSE,"Sheet6"}</definedName>
    <definedName name="홎" localSheetId="0" hidden="1">{#N/A,#N/A,TRUE,"960318-1";#N/A,#N/A,TRUE,"960318-2";#N/A,#N/A,TRUE,"960318-3"}</definedName>
    <definedName name="홎" hidden="1">{#N/A,#N/A,TRUE,"960318-1";#N/A,#N/A,TRUE,"960318-2";#N/A,#N/A,TRUE,"960318-3"}</definedName>
    <definedName name="홎ㄴ홓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홎ㄴ홓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홏" localSheetId="0" hidden="1">{#N/A,#N/A,TRUE,"960318-1";#N/A,#N/A,TRUE,"960318-2";#N/A,#N/A,TRUE,"960318-3"}</definedName>
    <definedName name="홏" hidden="1">{#N/A,#N/A,TRUE,"960318-1";#N/A,#N/A,TRUE,"960318-2";#N/A,#N/A,TRUE,"960318-3"}</definedName>
    <definedName name="홓" localSheetId="0" hidden="1">{#N/A,#N/A,TRUE,"960318-1";#N/A,#N/A,TRUE,"960318-2";#N/A,#N/A,TRUE,"960318-3"}</definedName>
    <definedName name="홓" hidden="1">{#N/A,#N/A,TRUE,"960318-1";#N/A,#N/A,TRUE,"960318-2";#N/A,#N/A,TRUE,"960318-3"}</definedName>
    <definedName name="화" localSheetId="0" hidden="1">{"'Sheet1'!$A$1:$E$59"}</definedName>
    <definedName name="화" hidden="1">{"'Sheet1'!$A$1:$E$59"}</definedName>
    <definedName name="환경분석청주" localSheetId="0" hidden="1">{#N/A,#N/A,FALSE,"지침";#N/A,#N/A,FALSE,"환경분석";#N/A,#N/A,FALSE,"Sheet16"}</definedName>
    <definedName name="환경분석청주" hidden="1">{#N/A,#N/A,FALSE,"지침";#N/A,#N/A,FALSE,"환경분석";#N/A,#N/A,FALSE,"Sheet16"}</definedName>
    <definedName name="환경소주2" localSheetId="0" hidden="1">{#N/A,#N/A,FALSE,"지침";#N/A,#N/A,FALSE,"환경분석";#N/A,#N/A,FALSE,"Sheet16"}</definedName>
    <definedName name="환경소주2" hidden="1">{#N/A,#N/A,FALSE,"지침";#N/A,#N/A,FALSE,"환경분석";#N/A,#N/A,FALSE,"Sheet16"}</definedName>
    <definedName name="홧" localSheetId="0" hidden="1">{#N/A,#N/A,TRUE,"960318-1";#N/A,#N/A,TRUE,"960318-2";#N/A,#N/A,TRUE,"960318-3"}</definedName>
    <definedName name="홧" hidden="1">{#N/A,#N/A,TRUE,"960318-1";#N/A,#N/A,TRUE,"960318-2";#N/A,#N/A,TRUE,"960318-3"}</definedName>
    <definedName name="회ㅓㅗ허" localSheetId="0" hidden="1">{#N/A,#N/A,FALSE,"집계표"}</definedName>
    <definedName name="회ㅓㅗ허" hidden="1">{#N/A,#N/A,FALSE,"집계표"}</definedName>
    <definedName name="효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효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훃" localSheetId="0" hidden="1">{#N/A,#N/A,FALSE,"예상손익";#N/A,#N/A,FALSE,"관리분석";#N/A,#N/A,FALSE,"장비분석";#N/A,#N/A,FALSE,"준설분석";#N/A,#N/A,FALSE,"철구분석"}</definedName>
    <definedName name="훃" hidden="1">{#N/A,#N/A,FALSE,"예상손익";#N/A,#N/A,FALSE,"관리분석";#N/A,#N/A,FALSE,"장비분석";#N/A,#N/A,FALSE,"준설분석";#N/A,#N/A,FALSE,"철구분석"}</definedName>
    <definedName name="훈" hidden="1">255</definedName>
    <definedName name="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히" localSheetId="0" hidden="1">{#N/A,#N/A,FALSE,"집계표"}</definedName>
    <definedName name="히" hidden="1">{#N/A,#N/A,FALSE,"집계표"}</definedName>
    <definedName name="힙" localSheetId="0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힙" hidden="1">{#N/A,#N/A,FALSE,"표지";#N/A,#N/A,FALSE,"조직표";#N/A,#N/A,FALSE,"정직원인원";#N/A,#N/A,FALSE,"사업계획";#N/A,#N/A,FALSE,"부동산";#N/A,#N/A,FALSE,"장비현황";#N/A,#N/A,FALSE,"장비가동";#N/A,#N/A,FALSE,"매각장비";#N/A,#N/A,FALSE,"철구제작";#N/A,#N/A,FALSE,"철구수주";#N/A,#N/A,FALSE,"철구시설";#N/A,#N/A,FALSE,"준설장비";#N/A,#N/A,FALSE,"준설수량";#N/A,#N/A,FALSE,"골재인원";#N/A,#N/A,FALSE,"골재손익";#N/A,#N/A,FALSE,"노조현황"}</definedName>
    <definedName name="ㅏㄱㄷ" localSheetId="0" hidden="1">{#N/A,#N/A,FALSE,"집계표"}</definedName>
    <definedName name="ㅏㄱㄷ" hidden="1">{#N/A,#N/A,FALSE,"집계표"}</definedName>
    <definedName name="ㅏ셔ㅏ셔ㅏㅕ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셔ㅏ셔ㅏㅕ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이이ㅏ리" localSheetId="0" hidden="1">{#N/A,#N/A,FALSE,"주간공정";#N/A,#N/A,FALSE,"주간보고";#N/A,#N/A,FALSE,"주간공정표"}</definedName>
    <definedName name="ㅏ이이ㅏ리" hidden="1">{#N/A,#N/A,FALSE,"주간공정";#N/A,#N/A,FALSE,"주간보고";#N/A,#N/A,FALSE,"주간공정표"}</definedName>
    <definedName name="ㅏㅏㅏ" localSheetId="0" hidden="1">{#N/A,#N/A,FALSE,"주간공정";#N/A,#N/A,FALSE,"주간보고";#N/A,#N/A,FALSE,"주간공정표"}</definedName>
    <definedName name="ㅏㅏㅏ" hidden="1">{#N/A,#N/A,FALSE,"주간공정";#N/A,#N/A,FALSE,"주간보고";#N/A,#N/A,FALSE,"주간공정표"}</definedName>
    <definedName name="ㅏㅏㅏ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데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ㅏ셔닷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ㅏ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ㅑㅁㄴㅇ랜ㅇㄹ" localSheetId="0" hidden="1">{#N/A,#N/A,FALSE,"지침";#N/A,#N/A,FALSE,"환경분석";#N/A,#N/A,FALSE,"Sheet16"}</definedName>
    <definedName name="ㅏㅑㅁㄴㅇ랜ㅇㄹ" hidden="1">{#N/A,#N/A,FALSE,"지침";#N/A,#N/A,FALSE,"환경분석";#N/A,#N/A,FALSE,"Sheet16"}</definedName>
    <definedName name="ㅏㅓ" localSheetId="0" hidden="1">{#N/A,#N/A,FALSE,"집계표"}</definedName>
    <definedName name="ㅏㅓ" hidden="1">{#N/A,#N/A,FALSE,"집계표"}</definedName>
    <definedName name="ㅏㅓㅏ" localSheetId="0" hidden="1">{#N/A,#N/A,FALSE,"물가변동 (2)";#N/A,#N/A,FALSE,"공사비";#N/A,#N/A,FALSE,"사급";#N/A,#N/A,FALSE,"도급집계";#N/A,#N/A,FALSE,"재료비";#N/A,#N/A,FALSE,"노무비";#N/A,#N/A,FALSE,"경비"}</definedName>
    <definedName name="ㅏㅓㅏ" hidden="1">{#N/A,#N/A,FALSE,"물가변동 (2)";#N/A,#N/A,FALSE,"공사비";#N/A,#N/A,FALSE,"사급";#N/A,#N/A,FALSE,"도급집계";#N/A,#N/A,FALSE,"재료비";#N/A,#N/A,FALSE,"노무비";#N/A,#N/A,FALSE,"경비"}</definedName>
    <definedName name="ㅏㅓㅏㅓㅏㅓ" localSheetId="0" hidden="1">{#N/A,#N/A,FALSE,"집계표"}</definedName>
    <definedName name="ㅏㅓㅏㅓㅏㅓ" hidden="1">{#N/A,#N/A,FALSE,"집계표"}</definedName>
    <definedName name="ㅏㅓㅓㅛㅑ겫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ㅓㅛㅑ겫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ㅓ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ㅏㅗ" localSheetId="0" hidden="1">{#N/A,#N/A,FALSE,"집계표"}</definedName>
    <definedName name="ㅏㅗ" hidden="1">{#N/A,#N/A,FALSE,"집계표"}</definedName>
    <definedName name="ㅐ" localSheetId="0" hidden="1">{#N/A,#N/A,FALSE,"현장 NCR 분석";#N/A,#N/A,FALSE,"현장품질감사";#N/A,#N/A,FALSE,"현장품질감사"}</definedName>
    <definedName name="ㅐ" hidden="1">{#N/A,#N/A,FALSE,"현장 NCR 분석";#N/A,#N/A,FALSE,"현장품질감사";#N/A,#N/A,FALSE,"현장품질감사"}</definedName>
    <definedName name="ㅐㅐ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ㅕㅛㅗㅍㄹ호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ㅐ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ㅑㅑㅑㅑㅑㅑ" localSheetId="0" hidden="1">{#N/A,#N/A,FALSE,"Sheet6"}</definedName>
    <definedName name="ㅑㅑㅑㅑㅑㅑㅑ" hidden="1">{#N/A,#N/A,FALSE,"Sheet6"}</definedName>
    <definedName name="ㅑㅕ" localSheetId="0" hidden="1">{#N/A,#N/A,FALSE,"이정표"}</definedName>
    <definedName name="ㅑㅕ" hidden="1">{#N/A,#N/A,FALSE,"이정표"}</definedName>
    <definedName name="ㅑㅕㅛㅐ" localSheetId="0" hidden="1">{#N/A,#N/A,FALSE,"집계표"}</definedName>
    <definedName name="ㅑㅕㅛㅐ" hidden="1">{#N/A,#N/A,FALSE,"집계표"}</definedName>
    <definedName name="ㅑㅣㅛㅛ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ㅛㅛ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ㅑㅣ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ㄱ" hidden="1">[24]실행철강하도!$A$1:$A$4</definedName>
    <definedName name="ㅓㄴㄹ헌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ㄹ헌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ㄴ라ㅏㅏㅏ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ㅅㄱㄴㄹㅇㄴ" localSheetId="0" hidden="1">{#N/A,#N/A,FALSE,"집계표"}</definedName>
    <definedName name="ㅓㅅㄱㄴㄹㅇㄴ" hidden="1">{#N/A,#N/A,FALSE,"집계표"}</definedName>
    <definedName name="ㅓㅇ" localSheetId="0" hidden="1">{#N/A,#N/A,FALSE,"집계표"}</definedName>
    <definedName name="ㅓㅇ" hidden="1">{#N/A,#N/A,FALSE,"집계표"}</definedName>
    <definedName name="ㅓㅇㄹ" localSheetId="0" hidden="1">{#N/A,#N/A,FALSE,"집계표"}</definedName>
    <definedName name="ㅓㅇㄹ" hidden="1">{#N/A,#N/A,FALSE,"집계표"}</definedName>
    <definedName name="ㅓㅈ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ㅈ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치ㅏ헐ㅇ" localSheetId="0" hidden="1">{#N/A,#N/A,FALSE,"집계표"}</definedName>
    <definedName name="ㅓ치ㅏ헐ㅇ" hidden="1">{#N/A,#N/A,FALSE,"집계표"}</definedName>
    <definedName name="ㅓㅎㄹㅇ" localSheetId="0" hidden="1">{#N/A,#N/A,FALSE,"집계표"}</definedName>
    <definedName name="ㅓㅎㄹㅇ" hidden="1">{#N/A,#N/A,FALSE,"집계표"}</definedName>
    <definedName name="ㅓ호" localSheetId="0" hidden="1">{#N/A,#N/A,FALSE,"집계표"}</definedName>
    <definedName name="ㅓ호" hidden="1">{#N/A,#N/A,FALSE,"집계표"}</definedName>
    <definedName name="ㅓㅏㅅㅈ나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ㅅㅈ나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ㅏㅓ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ㅏ니ㅣ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ㅓㅓㅛㅓㅛㅓ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ㅕㅏ" localSheetId="0" hidden="1">{#N/A,#N/A,FALSE,"Sheet6"}</definedName>
    <definedName name="ㅓㅕㅏ" hidden="1">{#N/A,#N/A,FALSE,"Sheet6"}</definedName>
    <definedName name="ㅓㅗ" localSheetId="0" hidden="1">{#N/A,#N/A,FALSE,"집계표"}</definedName>
    <definedName name="ㅓㅗ" hidden="1">{#N/A,#N/A,FALSE,"집계표"}</definedName>
    <definedName name="ㅓㅗㄹ허" localSheetId="0" hidden="1">{#N/A,#N/A,FALSE,"집계표"}</definedName>
    <definedName name="ㅓㅗㄹ허" hidden="1">{#N/A,#N/A,FALSE,"집계표"}</definedName>
    <definedName name="ㅓㅗㅎㄹㅇㅇ" localSheetId="0" hidden="1">{#N/A,#N/A,FALSE,"집계표"}</definedName>
    <definedName name="ㅓㅗㅎㄹㅇㅇ" hidden="1">{#N/A,#N/A,FALSE,"집계표"}</definedName>
    <definedName name="ㅓㅗㅎㅍ" localSheetId="0" hidden="1">{#N/A,#N/A,FALSE,"집계표"}</definedName>
    <definedName name="ㅓㅗㅎㅍ" hidden="1">{#N/A,#N/A,FALSE,"집계표"}</definedName>
    <definedName name="ㅓㅗ하ㅗㅎ" localSheetId="0" hidden="1">{#N/A,#N/A,FALSE,"집계표"}</definedName>
    <definedName name="ㅓㅗ하ㅗㅎ" hidden="1">{#N/A,#N/A,FALSE,"집계표"}</definedName>
    <definedName name="ㅓㅗㅕ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ㅗㅕ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ㅘㅎ" localSheetId="0" hidden="1">{#N/A,#N/A,FALSE,"집계표"}</definedName>
    <definedName name="ㅓㅘㅎ" hidden="1">{#N/A,#N/A,FALSE,"집계표"}</definedName>
    <definedName name="ㅓㅛㅈㄱ죳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ㄱ죳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ㅈㄷㅈ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ㅛㅛㅓ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ㅓㅣㅏㅗ" localSheetId="0" hidden="1">{#N/A,#N/A,FALSE,"집계표"}</definedName>
    <definedName name="ㅓㅣㅏㅗ" hidden="1">{#N/A,#N/A,FALSE,"집계표"}</definedName>
    <definedName name="ㅔㅐ" localSheetId="1" hidden="1">#REF!</definedName>
    <definedName name="ㅔㅐ" localSheetId="0" hidden="1">#REF!</definedName>
    <definedName name="ㅔㅐ" localSheetId="2" hidden="1">#REF!</definedName>
    <definedName name="ㅔㅐ" hidden="1">#REF!</definedName>
    <definedName name="ㅔㅐㄴ애ㅔㅐ" localSheetId="0" hidden="1">{#N/A,#N/A,FALSE,"집계표"}</definedName>
    <definedName name="ㅔㅐㄴ애ㅔㅐ" hidden="1">{#N/A,#N/A,FALSE,"집계표"}</definedName>
    <definedName name="ㅔㅔ" localSheetId="1" hidden="1">[31]집계표!#REF!</definedName>
    <definedName name="ㅔㅔ" localSheetId="0" hidden="1">[31]집계표!#REF!</definedName>
    <definedName name="ㅔㅔ" localSheetId="2" hidden="1">[31]집계표!#REF!</definedName>
    <definedName name="ㅔㅔ" hidden="1">[31]집계표!#REF!</definedName>
    <definedName name="ㅕ겨겨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다ㅣㅕㅕ다ㅕㅕ닷ㅅ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해" localSheetId="0" hidden="1">{#N/A,#N/A,FALSE,"지침";#N/A,#N/A,FALSE,"환경분석";#N/A,#N/A,FALSE,"Sheet16"}</definedName>
    <definedName name="ㅕ해" hidden="1">{#N/A,#N/A,FALSE,"지침";#N/A,#N/A,FALSE,"환경분석";#N/A,#N/A,FALSE,"Sheet16"}</definedName>
    <definedName name="ㅕㅏㄷ쇼ㅏ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ㄷ쇼ㅏ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쇼" localSheetId="0" hidden="1">{#N/A,#N/A,FALSE,"Sheet6"}</definedName>
    <definedName name="ㅕㅏ쇼" hidden="1">{#N/A,#N/A,FALSE,"Sheet6"}</definedName>
    <definedName name="ㅕㅏㅛㅕㅏ" localSheetId="0" hidden="1">{#N/A,#N/A,FALSE,"Sheet6"}</definedName>
    <definedName name="ㅕㅏㅛㅕㅏ" hidden="1">{#N/A,#N/A,FALSE,"Sheet6"}</definedName>
    <definedName name="ㅕㅏㅛㅕ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ㅏㅛㅕ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" localSheetId="1" hidden="1">#REF!</definedName>
    <definedName name="ㅕㅑ" localSheetId="0" hidden="1">#REF!</definedName>
    <definedName name="ㅕㅑ" localSheetId="2" hidden="1">#REF!</definedName>
    <definedName name="ㅕㅑ" hidden="1">#REF!</definedName>
    <definedName name="ㅕㅑㅐ" localSheetId="0" hidden="1">{#N/A,#N/A,FALSE,"Sheet6"}</definedName>
    <definedName name="ㅕㅑㅐ" hidden="1">{#N/A,#N/A,FALSE,"Sheet6"}</definedName>
    <definedName name="ㅕㅑㅐㅐ댜ㅛㅅㄷ쇼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ㅐ댜ㅛㅅㄷ쇼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ㅐㅔ" localSheetId="1" hidden="1">#REF!</definedName>
    <definedName name="ㅕㅑㅐㅔ" localSheetId="0" hidden="1">#REF!</definedName>
    <definedName name="ㅕㅑㅐㅔ" localSheetId="2" hidden="1">#REF!</definedName>
    <definedName name="ㅕㅑㅐㅔ" hidden="1">#REF!</definedName>
    <definedName name="ㅕㅑㅛㅛㅛ굑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ㅛㅛㅛ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ㅑㅣ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ㅕ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" localSheetId="0" hidden="1">{#N/A,#N/A,FALSE,"지침";#N/A,#N/A,FALSE,"환경분석";#N/A,#N/A,FALSE,"Sheet16"}</definedName>
    <definedName name="ㅕㅛ" hidden="1">{#N/A,#N/A,FALSE,"지침";#N/A,#N/A,FALSE,"환경분석";#N/A,#N/A,FALSE,"Sheet16"}</definedName>
    <definedName name="ㅕ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ㅏㄷ사ㅕ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ㅛㅣㅏ툐다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3ㄷ5ㅗㅗㅁ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ㄴㅇ" localSheetId="0" hidden="1">{#N/A,#N/A,FALSE,"집계표"}</definedName>
    <definedName name="ㅗㄴㅇ" hidden="1">{#N/A,#N/A,FALSE,"집계표"}</definedName>
    <definedName name="ㅗㄹㅇ오" localSheetId="0" hidden="1">{#N/A,#N/A,FALSE,"집계표"}</definedName>
    <definedName name="ㅗㄹㅇ오" hidden="1">{#N/A,#N/A,FALSE,"집계표"}</definedName>
    <definedName name="ㅗㄹㅇㅎ" localSheetId="0" hidden="1">{#N/A,#N/A,FALSE,"집계표"}</definedName>
    <definedName name="ㅗㄹㅇㅎ" hidden="1">{#N/A,#N/A,FALSE,"집계표"}</definedName>
    <definedName name="ㅗㄹㅎ라ㅗ" localSheetId="0" hidden="1">{#N/A,#N/A,FALSE,"집계표"}</definedName>
    <definedName name="ㅗㄹㅎ라ㅗ" hidden="1">{#N/A,#N/A,FALSE,"집계표"}</definedName>
    <definedName name="ㅗ마ㅓ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마ㅓ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ㅅ호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ㅇㄴㄴ" localSheetId="0" hidden="1">{#N/A,#N/A,FALSE,"집계표"}</definedName>
    <definedName name="ㅗㅇㄴㄴ" hidden="1">{#N/A,#N/A,FALSE,"집계표"}</definedName>
    <definedName name="ㅗㅈ좃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ㅈ좃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ㄴ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" localSheetId="0" hidden="1">{#N/A,#N/A,FALSE,"집계표"}</definedName>
    <definedName name="ㅗㅎㄹ" hidden="1">{#N/A,#N/A,FALSE,"집계표"}</definedName>
    <definedName name="ㅗㅎㄹㅇ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ㄹ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ㅎ렇ㄹㅊㅇㅇ" localSheetId="0" hidden="1">{#N/A,#N/A,FALSE,"집계표"}</definedName>
    <definedName name="ㅗㅎ렇ㄹㅊㅇㅇ" hidden="1">{#N/A,#N/A,FALSE,"집계표"}</definedName>
    <definedName name="ㅗㅎㅇㄹ" localSheetId="0" hidden="1">{#N/A,#N/A,FALSE,"집계표"}</definedName>
    <definedName name="ㅗㅎㅇㄹ" hidden="1">{#N/A,#N/A,FALSE,"집계표"}</definedName>
    <definedName name="ㅗㅎㅈ" localSheetId="0" hidden="1">{#N/A,#N/A,FALSE,"집계표"}</definedName>
    <definedName name="ㅗㅎㅈ" hidden="1">{#N/A,#N/A,FALSE,"집계표"}</definedName>
    <definedName name="ㅗㅎㅊㅌㅎ" localSheetId="0" hidden="1">{#N/A,#N/A,FALSE,"집계표"}</definedName>
    <definedName name="ㅗㅎㅊㅌㅎ" hidden="1">{#N/A,#N/A,FALSE,"집계표"}</definedName>
    <definedName name="ㅗ하ㅓ" localSheetId="0" hidden="1">{#N/A,#N/A,FALSE,"집계표"}</definedName>
    <definedName name="ㅗ하ㅓ" hidden="1">{#N/A,#N/A,FALSE,"집계표"}</definedName>
    <definedName name="ㅗ허" localSheetId="0" hidden="1">{#N/A,#N/A,FALSE,"집계표"}</definedName>
    <definedName name="ㅗ허" hidden="1">{#N/A,#N/A,FALSE,"집계표"}</definedName>
    <definedName name="ㅗ허ㅜㅗ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허ㅜㅗ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헏ㄷ셔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혀ㅏㄹ" localSheetId="0" hidden="1">{#N/A,#N/A,FALSE,"집계표"}</definedName>
    <definedName name="ㅗ혀ㅏㄹ" hidden="1">{#N/A,#N/A,FALSE,"집계표"}</definedName>
    <definedName name="ㅗㅓ" localSheetId="0" hidden="1">{#N/A,#N/A,FALSE,"부대2"}</definedName>
    <definedName name="ㅗㅓ" hidden="1">{#N/A,#N/A,FALSE,"부대2"}</definedName>
    <definedName name="ㅗㅓㅀㅅ" localSheetId="0" hidden="1">{#N/A,#N/A,FALSE,"집계표"}</definedName>
    <definedName name="ㅗㅓㅀㅅ" hidden="1">{#N/A,#N/A,FALSE,"집계표"}</definedName>
    <definedName name="ㅗㅓㅅ됴ㅑㅏ쇼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ㅅ됴ㅑㅏ쇼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ㅇ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ㅓㅕㅑㅕ" localSheetId="0" hidden="1">{#N/A,#N/A,FALSE,"Sheet6"}</definedName>
    <definedName name="ㅗㅓㅕㅑㅕ" hidden="1">{#N/A,#N/A,FALSE,"Sheet6"}</definedName>
    <definedName name="ㅗㅓㅛㅎ" localSheetId="0" hidden="1">{#N/A,#N/A,FALSE,"Sheet6"}</definedName>
    <definedName name="ㅗㅓㅛㅎ" hidden="1">{#N/A,#N/A,FALSE,"Sheet6"}</definedName>
    <definedName name="ㅗㅕ" localSheetId="0" hidden="1">{#N/A,#N/A,FALSE,"배수2"}</definedName>
    <definedName name="ㅗㅕ" hidden="1">{#N/A,#N/A,FALSE,"배수2"}</definedName>
    <definedName name="ㅗㅗㅓ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ㅓ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ㅠ" localSheetId="0" hidden="1">{#N/A,#N/A,FALSE,"집계표"}</definedName>
    <definedName name="ㅗㅠ" hidden="1">{#N/A,#N/A,FALSE,"집계표"}</definedName>
    <definedName name="ㅘ여ㅛ타숀ㅡㅜㅊ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여ㅛ타숀ㅡㅜㅊ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ㅘㅏㅏㅓㄴㅇㅁ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ㄱ5ㅗㅁ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겨ㅐ갸ㅛㅐ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덛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뎌ㅐ됴ㅐㅕㄱ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" localSheetId="0" hidden="1">{#N/A,#N/A,FALSE,"속도"}</definedName>
    <definedName name="ㅛㅅ" hidden="1">{#N/A,#N/A,FALSE,"속도"}</definedName>
    <definedName name="ㅛㅅ겨ㅑㅛㅅ" localSheetId="0" hidden="1">{#N/A,#N/A,FALSE,"집계표"}</definedName>
    <definedName name="ㅛㅅ겨ㅑㅛㅅ" hidden="1">{#N/A,#N/A,FALSE,"집계표"}</definedName>
    <definedName name="ㅛㅅㅅ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ㅅㅅ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서쇼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셔쇼ㅕ" localSheetId="0" hidden="1">{#N/A,#N/A,FALSE,"Sheet6"}</definedName>
    <definedName name="ㅛ셔쇼ㅕ" hidden="1">{#N/A,#N/A,FALSE,"Sheet6"}</definedName>
    <definedName name="ㅛㅈ거ㅏ쇼ㅏ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거ㅏ쇼ㅏ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ㅈ섲ㄷㅅ6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ㅏㅑ셔ㅏㅣ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ㅅ샫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" localSheetId="0" hidden="1">{#N/A,#N/A,FALSE,"구조1"}</definedName>
    <definedName name="ㅛㅑㅐ" hidden="1">{#N/A,#N/A,FALSE,"구조1"}</definedName>
    <definedName name="ㅛㅑㅐ교ㅐ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ㅑㅐ교ㅐ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쇼" localSheetId="0" hidden="1">{#N/A,#N/A,FALSE,"Sheet6"}</definedName>
    <definedName name="ㅛㅓ쇼" hidden="1">{#N/A,#N/A,FALSE,"Sheet6"}</definedName>
    <definedName name="ㅛㅓㅓㅛㅛㅓㅛㅓㄷ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ㅓㅛㅛㅓㅛㅓㄷ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ㄷ사ㅓ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ㅈ서ㅏ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ㅛㅗ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ㅓㅡㅕㅛㅛ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ㅏ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ㅕㅑㅏㅛㅕ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소ㅓ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ㅎㄹ" localSheetId="0" hidden="1">{#N/A,#N/A,FALSE,"부대2"}</definedName>
    <definedName name="ㅜㅎㄹ" hidden="1">{#N/A,#N/A,FALSE,"부대2"}</definedName>
    <definedName name="ㅜㅜ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ㅜ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ㅠ" localSheetId="0" hidden="1">{#N/A,#N/A,FALSE,"토공2"}</definedName>
    <definedName name="ㅜㅠ" hidden="1">{#N/A,#N/A,FALSE,"토공2"}</definedName>
    <definedName name="ㅜㅠㅍ" localSheetId="0" hidden="1">{#N/A,#N/A,FALSE,"전력간선"}</definedName>
    <definedName name="ㅜㅠㅍ" hidden="1">{#N/A,#N/A,FALSE,"전력간선"}</definedName>
    <definedName name="ㅜ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ㅜ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ㅝ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뮤ㅐ" localSheetId="1" hidden="1">#REF!</definedName>
    <definedName name="ㅠ뮤ㅐ" localSheetId="0" hidden="1">#REF!</definedName>
    <definedName name="ㅠ뮤ㅐ" localSheetId="2" hidden="1">#REF!</definedName>
    <definedName name="ㅠ뮤ㅐ" hidden="1">#REF!</definedName>
    <definedName name="ㅠㅍㅎ" localSheetId="0" hidden="1">{#N/A,#N/A,FALSE,"집계표"}</definedName>
    <definedName name="ㅠㅍㅎ" hidden="1">{#N/A,#N/A,FALSE,"집계표"}</definedName>
    <definedName name="ㅠ포ㅓㅓㅓㅓㅓㅓ" localSheetId="0" hidden="1">{#N/A,#N/A,FALSE,"집계표"}</definedName>
    <definedName name="ㅠ포ㅓㅓㅓㅓㅓㅓ" hidden="1">{#N/A,#N/A,FALSE,"집계표"}</definedName>
    <definedName name="ㅠㅎㅇㄴ" localSheetId="0" hidden="1">{#N/A,#N/A,FALSE,"지침";#N/A,#N/A,FALSE,"환경분석";#N/A,#N/A,FALSE,"Sheet16"}</definedName>
    <definedName name="ㅠㅎㅇㄴ" hidden="1">{#N/A,#N/A,FALSE,"지침";#N/A,#N/A,FALSE,"환경분석";#N/A,#N/A,FALSE,"Sheet16"}</definedName>
    <definedName name="ㅠㅜ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ㅍ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ㅠㅜㅛ" localSheetId="0" hidden="1">{#N/A,#N/A,FALSE,"Sheet6"}</definedName>
    <definedName name="ㅠㅜㅛ" hidden="1">{#N/A,#N/A,FALSE,"Sheet6"}</definedName>
    <definedName name="ㅠㅠㅠ" localSheetId="0" hidden="1">{#N/A,#N/A,FALSE,"지침";#N/A,#N/A,FALSE,"환경분석";#N/A,#N/A,FALSE,"Sheet16"}</definedName>
    <definedName name="ㅠㅠㅠ" hidden="1">{#N/A,#N/A,FALSE,"지침";#N/A,#N/A,FALSE,"환경분석";#N/A,#N/A,FALSE,"Sheet16"}</definedName>
    <definedName name="ㅡ" localSheetId="1" hidden="1">#REF!</definedName>
    <definedName name="ㅡ" localSheetId="0" hidden="1">#REF!</definedName>
    <definedName name="ㅡ" localSheetId="2" hidden="1">#REF!</definedName>
    <definedName name="ㅡ" hidden="1">#REF!</definedName>
    <definedName name="ㅡ므" localSheetId="0" hidden="1">{#N/A,#N/A,FALSE,"집계표"}</definedName>
    <definedName name="ㅡ므" hidden="1">{#N/A,#N/A,FALSE,"집계표"}</definedName>
    <definedName name="ㅡㅡ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ㅡㅡㅡ" localSheetId="0" hidden="1">{#N/A,#N/A,FALSE,"지침";#N/A,#N/A,FALSE,"환경분석";#N/A,#N/A,FALSE,"Sheet16"}</definedName>
    <definedName name="ㅡㅡㅡ" hidden="1">{#N/A,#N/A,FALSE,"지침";#N/A,#N/A,FALSE,"환경분석";#N/A,#N/A,FALSE,"Sheet16"}</definedName>
    <definedName name="ㅣㄴ아ㅓㄹ" localSheetId="0" hidden="1">{#N/A,#N/A,FALSE,"집계표"}</definedName>
    <definedName name="ㅣㄴ아ㅓㄹ" hidden="1">{#N/A,#N/A,FALSE,"집계표"}</definedName>
    <definedName name="ㅣㅁㄴ" localSheetId="0" hidden="1">{#N/A,#N/A,FALSE,"집계표"}</definedName>
    <definedName name="ㅣㅁㄴ" hidden="1">{#N/A,#N/A,FALSE,"집계표"}</definedName>
    <definedName name="ㅣㅁㄴ러ㅑㄱ" localSheetId="0" hidden="1">{#N/A,#N/A,FALSE,"집계표"}</definedName>
    <definedName name="ㅣㅁㄴ러ㅑㄱ" hidden="1">{#N/A,#N/A,FALSE,"집계표"}</definedName>
    <definedName name="ㅣㅏㄴ아ㅓ리ㅏ허" localSheetId="0" hidden="1">{#N/A,#N/A,FALSE,"집계표"}</definedName>
    <definedName name="ㅣㅏㄴ아ㅓ리ㅏ허" hidden="1">{#N/A,#N/A,FALSE,"집계표"}</definedName>
    <definedName name="ㅣㅏ넝리ㅏㅓㅎ" localSheetId="0" hidden="1">{#N/A,#N/A,FALSE,"집계표"}</definedName>
    <definedName name="ㅣㅏ넝리ㅏㅓㅎ" hidden="1">{#N/A,#N/A,FALSE,"집계표"}</definedName>
    <definedName name="ㅣㅏㅇ널" localSheetId="0" hidden="1">{#N/A,#N/A,FALSE,"집계표"}</definedName>
    <definedName name="ㅣㅏㅇ널" hidden="1">{#N/A,#N/A,FALSE,"집계표"}</definedName>
    <definedName name="ㅣㅏ아ㅓㄴ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아ㅓㄴ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ㅑㅓㄴ이ㅏㅎㄹ" localSheetId="0" hidden="1">{#N/A,#N/A,FALSE,"집계표"}</definedName>
    <definedName name="ㅣㅏㅑㅓㄴ이ㅏㅎㄹ" hidden="1">{#N/A,#N/A,FALSE,"집계표"}</definedName>
    <definedName name="ㅣㅏㅓㅏㅑㅓㅘㅐ허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ㅏㅓㅏㅑㅓㅘㅐ허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ㅑ" localSheetId="0" hidden="1">{#N/A,#N/A,FALSE,"단가표지"}</definedName>
    <definedName name="ㅣㅑㅑ" hidden="1">{#N/A,#N/A,FALSE,"단가표지"}</definedName>
    <definedName name="ㅣㅑㅕㅛㅎ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ㅑㅕㅛㅎ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ㅓㅏ" localSheetId="0" hidden="1">{#N/A,#N/A,FALSE,"전력간선"}</definedName>
    <definedName name="ㅣㅓㅏ" hidden="1">{#N/A,#N/A,FALSE,"전력간선"}</definedName>
    <definedName name="ㅣㅗㄾㅇㅀ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ㅗㄾㅇ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" localSheetId="0" hidden="1">{#N/A,#N/A,FALSE,"주간공정";#N/A,#N/A,FALSE,"주간보고";#N/A,#N/A,FALSE,"주간공정표"}</definedName>
    <definedName name="ㅣㅣㅣ" hidden="1">{#N/A,#N/A,FALSE,"주간공정";#N/A,#N/A,FALSE,"주간보고";#N/A,#N/A,FALSE,"주간공정표"}</definedName>
    <definedName name="ㅣㅣㅣ노원문화" localSheetId="0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ㅣㅣㅣㅣㅣ" localSheetId="0" hidden="1">{#N/A,#N/A,FALSE,"주간공정";#N/A,#N/A,FALSE,"주간보고";#N/A,#N/A,FALSE,"주간공정표"}</definedName>
    <definedName name="ㅣㅣㅣㅣㅣ" hidden="1">{#N/A,#N/A,FALSE,"주간공정";#N/A,#N/A,FALSE,"주간보고";#N/A,#N/A,FALSE,"주간공정표"}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6" i="23313" l="1"/>
  <c r="L106" i="23313" s="1"/>
  <c r="J106" i="23313"/>
  <c r="H106" i="23313"/>
  <c r="F110" i="23313"/>
  <c r="F325" i="23313"/>
  <c r="F324" i="23313"/>
  <c r="K324" i="23313"/>
  <c r="K319" i="23313"/>
  <c r="L319" i="23313" s="1"/>
  <c r="J319" i="23313"/>
  <c r="H319" i="23313"/>
  <c r="K306" i="23313"/>
  <c r="L306" i="23313" s="1"/>
  <c r="J306" i="23313"/>
  <c r="H306" i="23313"/>
  <c r="K370" i="23313"/>
  <c r="L370" i="23313" s="1"/>
  <c r="J370" i="23313"/>
  <c r="H370" i="23313"/>
  <c r="K389" i="23313"/>
  <c r="J389" i="23313"/>
  <c r="G92" i="23313"/>
  <c r="K77" i="23313"/>
  <c r="K55" i="23313"/>
  <c r="L55" i="23313" s="1"/>
  <c r="J55" i="23313"/>
  <c r="H55" i="23313"/>
  <c r="J312" i="23313"/>
  <c r="O48" i="23309"/>
  <c r="K369" i="23313"/>
  <c r="L369" i="23313" s="1"/>
  <c r="J369" i="23313"/>
  <c r="H369" i="23313"/>
  <c r="K368" i="23313"/>
  <c r="F253" i="23313"/>
  <c r="F79" i="23313"/>
  <c r="K82" i="23313"/>
  <c r="L82" i="23313" s="1"/>
  <c r="J82" i="23313"/>
  <c r="H82" i="23313"/>
  <c r="K81" i="23313"/>
  <c r="K399" i="23313"/>
  <c r="L399" i="23313" s="1"/>
  <c r="J399" i="23313"/>
  <c r="H399" i="23313"/>
  <c r="K143" i="23313"/>
  <c r="K207" i="23313"/>
  <c r="L207" i="23313" s="1"/>
  <c r="J207" i="23313"/>
  <c r="H207" i="23313"/>
  <c r="K295" i="23313"/>
  <c r="L295" i="23313" s="1"/>
  <c r="J295" i="23313"/>
  <c r="H295" i="23313"/>
  <c r="K314" i="23313"/>
  <c r="L314" i="23313" s="1"/>
  <c r="J314" i="23313"/>
  <c r="H314" i="23313"/>
  <c r="K303" i="23313"/>
  <c r="L303" i="23313" s="1"/>
  <c r="J303" i="23313"/>
  <c r="H303" i="23313"/>
  <c r="F349" i="23313"/>
  <c r="F347" i="23313"/>
  <c r="F346" i="23313"/>
  <c r="F348" i="23313"/>
  <c r="F327" i="23313"/>
  <c r="F328" i="23313"/>
  <c r="F326" i="23313"/>
  <c r="J366" i="23313"/>
  <c r="K367" i="23313"/>
  <c r="K270" i="23313"/>
  <c r="L270" i="23313" s="1"/>
  <c r="J270" i="23313"/>
  <c r="H270" i="23313"/>
  <c r="K269" i="23313"/>
  <c r="L269" i="23313" s="1"/>
  <c r="J269" i="23313"/>
  <c r="H269" i="23313"/>
  <c r="K278" i="23313"/>
  <c r="L278" i="23313" s="1"/>
  <c r="J278" i="23313"/>
  <c r="H278" i="23313"/>
  <c r="K277" i="23313"/>
  <c r="L277" i="23313" s="1"/>
  <c r="J277" i="23313"/>
  <c r="H277" i="23313"/>
  <c r="K398" i="23313"/>
  <c r="L398" i="23313" s="1"/>
  <c r="J398" i="23313"/>
  <c r="H398" i="23313"/>
  <c r="F198" i="23313"/>
  <c r="K167" i="23313"/>
  <c r="L167" i="23313" s="1"/>
  <c r="J167" i="23313"/>
  <c r="H167" i="23313"/>
  <c r="K164" i="23313"/>
  <c r="L164" i="23313" s="1"/>
  <c r="J164" i="23313"/>
  <c r="H164" i="23313"/>
  <c r="K161" i="23313"/>
  <c r="L161" i="23313" s="1"/>
  <c r="J161" i="23313"/>
  <c r="H161" i="23313"/>
  <c r="K157" i="23313"/>
  <c r="L157" i="23313" s="1"/>
  <c r="J157" i="23313"/>
  <c r="H157" i="23313"/>
  <c r="K156" i="23313"/>
  <c r="L156" i="23313" s="1"/>
  <c r="J156" i="23313"/>
  <c r="H156" i="23313"/>
  <c r="K155" i="23313"/>
  <c r="L155" i="23313" s="1"/>
  <c r="J155" i="23313"/>
  <c r="H155" i="23313"/>
  <c r="K152" i="23313"/>
  <c r="L152" i="23313" s="1"/>
  <c r="J152" i="23313"/>
  <c r="H152" i="23313"/>
  <c r="H115" i="23313"/>
  <c r="J115" i="23313"/>
  <c r="K115" i="23313"/>
  <c r="L115" i="23313" s="1"/>
  <c r="H118" i="23313"/>
  <c r="J118" i="23313"/>
  <c r="K118" i="23313"/>
  <c r="L118" i="23313" s="1"/>
  <c r="H119" i="23313"/>
  <c r="J119" i="23313"/>
  <c r="K119" i="23313"/>
  <c r="L119" i="23313" s="1"/>
  <c r="H120" i="23313"/>
  <c r="J120" i="23313"/>
  <c r="K120" i="23313"/>
  <c r="L120" i="23313"/>
  <c r="H121" i="23313"/>
  <c r="J121" i="23313"/>
  <c r="K121" i="23313"/>
  <c r="L121" i="23313" s="1"/>
  <c r="H122" i="23313"/>
  <c r="J122" i="23313"/>
  <c r="K122" i="23313"/>
  <c r="L122" i="23313" s="1"/>
  <c r="H123" i="23313"/>
  <c r="J123" i="23313"/>
  <c r="K123" i="23313"/>
  <c r="L123" i="23313" s="1"/>
  <c r="H124" i="23313"/>
  <c r="J124" i="23313"/>
  <c r="K124" i="23313"/>
  <c r="L124" i="23313" s="1"/>
  <c r="H125" i="23313"/>
  <c r="J125" i="23313"/>
  <c r="K125" i="23313"/>
  <c r="L125" i="23313" s="1"/>
  <c r="H126" i="23313"/>
  <c r="J126" i="23313"/>
  <c r="K126" i="23313"/>
  <c r="L126" i="23313" s="1"/>
  <c r="H127" i="23313"/>
  <c r="J127" i="23313"/>
  <c r="K127" i="23313"/>
  <c r="L127" i="23313" s="1"/>
  <c r="H130" i="23313"/>
  <c r="J130" i="23313"/>
  <c r="K130" i="23313"/>
  <c r="L130" i="23313" s="1"/>
  <c r="H131" i="23313"/>
  <c r="J131" i="23313"/>
  <c r="K131" i="23313"/>
  <c r="L131" i="23313" s="1"/>
  <c r="H132" i="23313"/>
  <c r="J132" i="23313"/>
  <c r="K132" i="23313"/>
  <c r="L132" i="23313" s="1"/>
  <c r="H133" i="23313"/>
  <c r="J133" i="23313"/>
  <c r="K133" i="23313"/>
  <c r="L133" i="23313" s="1"/>
  <c r="Q133" i="23313"/>
  <c r="H134" i="23313"/>
  <c r="J134" i="23313"/>
  <c r="K134" i="23313"/>
  <c r="L134" i="23313" s="1"/>
  <c r="Q134" i="23313"/>
  <c r="H135" i="23313"/>
  <c r="J135" i="23313"/>
  <c r="K135" i="23313"/>
  <c r="L135" i="23313" s="1"/>
  <c r="H136" i="23313"/>
  <c r="J136" i="23313"/>
  <c r="K136" i="23313"/>
  <c r="L136" i="23313" s="1"/>
  <c r="H137" i="23313"/>
  <c r="J137" i="23313"/>
  <c r="K137" i="23313"/>
  <c r="L137" i="23313" s="1"/>
  <c r="H138" i="23313"/>
  <c r="J138" i="23313"/>
  <c r="K138" i="23313"/>
  <c r="L138" i="23313" s="1"/>
  <c r="H140" i="23313"/>
  <c r="J140" i="23313"/>
  <c r="K140" i="23313"/>
  <c r="L140" i="23313" s="1"/>
  <c r="H141" i="23313"/>
  <c r="J141" i="23313"/>
  <c r="K141" i="23313"/>
  <c r="L141" i="23313" s="1"/>
  <c r="H142" i="23313"/>
  <c r="J142" i="23313"/>
  <c r="K142" i="23313"/>
  <c r="L142" i="23313" s="1"/>
  <c r="K94" i="23313"/>
  <c r="L94" i="23313" s="1"/>
  <c r="J94" i="23313"/>
  <c r="H94" i="23313"/>
  <c r="K103" i="23313"/>
  <c r="L103" i="23313" s="1"/>
  <c r="J103" i="23313"/>
  <c r="H103" i="23313"/>
  <c r="K102" i="23313"/>
  <c r="L102" i="23313" s="1"/>
  <c r="J102" i="23313"/>
  <c r="H102" i="23313"/>
  <c r="K101" i="23313"/>
  <c r="L101" i="23313" s="1"/>
  <c r="J101" i="23313"/>
  <c r="H101" i="23313"/>
  <c r="K97" i="23313"/>
  <c r="L97" i="23313" s="1"/>
  <c r="J97" i="23313"/>
  <c r="H97" i="23313"/>
  <c r="K96" i="23313"/>
  <c r="L96" i="23313" s="1"/>
  <c r="J96" i="23313"/>
  <c r="H96" i="23313"/>
  <c r="K95" i="23313"/>
  <c r="L95" i="23313" s="1"/>
  <c r="J95" i="23313"/>
  <c r="H95" i="23313"/>
  <c r="F83" i="23313"/>
  <c r="F84" i="23313"/>
  <c r="K79" i="23313"/>
  <c r="K83" i="23313"/>
  <c r="F44" i="23313"/>
  <c r="K351" i="23313"/>
  <c r="L351" i="23313" s="1"/>
  <c r="J351" i="23313"/>
  <c r="H351" i="23313"/>
  <c r="K220" i="23313"/>
  <c r="L220" i="23313" s="1"/>
  <c r="J220" i="23313"/>
  <c r="H220" i="23313"/>
  <c r="K195" i="23313"/>
  <c r="L195" i="23313" s="1"/>
  <c r="J195" i="23313"/>
  <c r="H195" i="23313"/>
  <c r="K243" i="23313"/>
  <c r="L243" i="23313" s="1"/>
  <c r="J243" i="23313"/>
  <c r="H243" i="23313"/>
  <c r="K242" i="23313"/>
  <c r="L242" i="23313" s="1"/>
  <c r="J242" i="23313"/>
  <c r="H242" i="23313"/>
  <c r="K193" i="23313"/>
  <c r="L193" i="23313" s="1"/>
  <c r="J193" i="23313"/>
  <c r="H193" i="23313"/>
  <c r="K194" i="23313"/>
  <c r="L194" i="23313" s="1"/>
  <c r="J194" i="23313"/>
  <c r="H194" i="23313"/>
  <c r="K19" i="23313"/>
  <c r="L19" i="23313" s="1"/>
  <c r="J19" i="23313"/>
  <c r="H19" i="23313"/>
  <c r="K20" i="23313"/>
  <c r="L20" i="23313" s="1"/>
  <c r="J20" i="23313"/>
  <c r="H20" i="23313"/>
  <c r="K364" i="23313"/>
  <c r="G365" i="23313"/>
  <c r="K365" i="23313" s="1"/>
  <c r="K349" i="23313"/>
  <c r="K350" i="23313"/>
  <c r="L350" i="23313" s="1"/>
  <c r="J350" i="23313"/>
  <c r="H350" i="23313"/>
  <c r="K348" i="23313"/>
  <c r="K149" i="23313"/>
  <c r="L149" i="23313" s="1"/>
  <c r="J149" i="23313"/>
  <c r="H149" i="23313"/>
  <c r="K114" i="23313"/>
  <c r="L114" i="23313" s="1"/>
  <c r="J114" i="23313"/>
  <c r="H114" i="23313"/>
  <c r="K245" i="23313"/>
  <c r="L245" i="23313" s="1"/>
  <c r="J245" i="23313"/>
  <c r="H245" i="23313"/>
  <c r="K244" i="23313"/>
  <c r="K240" i="23313"/>
  <c r="L240" i="23313" s="1"/>
  <c r="J240" i="23313"/>
  <c r="H240" i="23313"/>
  <c r="K80" i="23313"/>
  <c r="L80" i="23313" s="1"/>
  <c r="J80" i="23313"/>
  <c r="H80" i="23313"/>
  <c r="K380" i="23313"/>
  <c r="L380" i="23313" s="1"/>
  <c r="J380" i="23313"/>
  <c r="H380" i="23313"/>
  <c r="K397" i="23313"/>
  <c r="L397" i="23313" s="1"/>
  <c r="J397" i="23313"/>
  <c r="H397" i="23313"/>
  <c r="K146" i="23313"/>
  <c r="L146" i="23313" s="1"/>
  <c r="J146" i="23313"/>
  <c r="H146" i="23313"/>
  <c r="K99" i="23313"/>
  <c r="L99" i="23313" s="1"/>
  <c r="J99" i="23313"/>
  <c r="H99" i="23313"/>
  <c r="K160" i="23313"/>
  <c r="L160" i="23313" s="1"/>
  <c r="J160" i="23313"/>
  <c r="H160" i="23313"/>
  <c r="K159" i="23313"/>
  <c r="L159" i="23313" s="1"/>
  <c r="J159" i="23313"/>
  <c r="H159" i="23313"/>
  <c r="O268" i="23313"/>
  <c r="K285" i="23313"/>
  <c r="L285" i="23313" s="1"/>
  <c r="J285" i="23313"/>
  <c r="H285" i="23313"/>
  <c r="K300" i="23313"/>
  <c r="L300" i="23313" s="1"/>
  <c r="J300" i="23313"/>
  <c r="H300" i="23313"/>
  <c r="K316" i="23313"/>
  <c r="L316" i="23313" s="1"/>
  <c r="J316" i="23313"/>
  <c r="H316" i="23313"/>
  <c r="L324" i="23313" l="1"/>
  <c r="J324" i="23313"/>
  <c r="H324" i="23313"/>
  <c r="L389" i="23313"/>
  <c r="H389" i="23313"/>
  <c r="J77" i="23313"/>
  <c r="H77" i="23313"/>
  <c r="L77" i="23313"/>
  <c r="L368" i="23313"/>
  <c r="J368" i="23313"/>
  <c r="H368" i="23313"/>
  <c r="L81" i="23313"/>
  <c r="J81" i="23313"/>
  <c r="H81" i="23313"/>
  <c r="L143" i="23313"/>
  <c r="H143" i="23313"/>
  <c r="J143" i="23313"/>
  <c r="L367" i="23313"/>
  <c r="J367" i="23313"/>
  <c r="H367" i="23313"/>
  <c r="K366" i="23313"/>
  <c r="L366" i="23313" s="1"/>
  <c r="H366" i="23313"/>
  <c r="Q135" i="23313"/>
  <c r="J244" i="23313"/>
  <c r="H244" i="23313"/>
  <c r="J83" i="23313"/>
  <c r="H83" i="23313"/>
  <c r="L83" i="23313"/>
  <c r="J79" i="23313"/>
  <c r="H79" i="23313"/>
  <c r="L365" i="23313"/>
  <c r="L244" i="23313"/>
  <c r="L364" i="23313"/>
  <c r="J364" i="23313"/>
  <c r="H364" i="23313"/>
  <c r="J365" i="23313"/>
  <c r="H365" i="23313"/>
  <c r="L349" i="23313"/>
  <c r="J349" i="23313"/>
  <c r="H349" i="23313"/>
  <c r="L348" i="23313"/>
  <c r="J348" i="23313"/>
  <c r="H348" i="23313"/>
  <c r="K53" i="23313"/>
  <c r="L53" i="23313" s="1"/>
  <c r="J53" i="23313"/>
  <c r="H53" i="23313"/>
  <c r="F48" i="23313"/>
  <c r="F25" i="23313"/>
  <c r="K170" i="23313" l="1"/>
  <c r="L170" i="23313" s="1"/>
  <c r="J170" i="23313"/>
  <c r="K171" i="23313"/>
  <c r="L171" i="23313" s="1"/>
  <c r="J171" i="23313"/>
  <c r="H170" i="23313"/>
  <c r="H171" i="23313"/>
  <c r="J62" i="23313" l="1"/>
  <c r="K62" i="23313"/>
  <c r="L62" i="23313" s="1"/>
  <c r="K388" i="23313" l="1"/>
  <c r="L388" i="23313" s="1"/>
  <c r="J388" i="23313"/>
  <c r="H388" i="23313"/>
  <c r="K276" i="23313" l="1"/>
  <c r="L276" i="23313" s="1"/>
  <c r="K279" i="23313"/>
  <c r="L279" i="23313" s="1"/>
  <c r="J279" i="23313"/>
  <c r="H279" i="23313"/>
  <c r="J276" i="23313"/>
  <c r="K268" i="23313"/>
  <c r="L268" i="23313" s="1"/>
  <c r="J268" i="23313"/>
  <c r="H268" i="23313"/>
  <c r="K222" i="23313"/>
  <c r="L222" i="23313" s="1"/>
  <c r="J222" i="23313"/>
  <c r="H222" i="23313"/>
  <c r="K221" i="23313"/>
  <c r="K219" i="23313"/>
  <c r="L219" i="23313" s="1"/>
  <c r="J219" i="23313"/>
  <c r="H219" i="23313"/>
  <c r="K192" i="23313"/>
  <c r="L192" i="23313" s="1"/>
  <c r="J192" i="23313"/>
  <c r="H192" i="23313"/>
  <c r="K188" i="23313"/>
  <c r="L188" i="23313" s="1"/>
  <c r="J188" i="23313"/>
  <c r="H188" i="23313"/>
  <c r="K241" i="23313"/>
  <c r="L241" i="23313" s="1"/>
  <c r="J241" i="23313"/>
  <c r="H241" i="23313"/>
  <c r="K187" i="23313"/>
  <c r="L187" i="23313" s="1"/>
  <c r="J187" i="23313"/>
  <c r="H187" i="23313"/>
  <c r="K166" i="23313"/>
  <c r="L166" i="23313" s="1"/>
  <c r="J166" i="23313"/>
  <c r="H166" i="23313"/>
  <c r="K174" i="23313"/>
  <c r="L174" i="23313" s="1"/>
  <c r="J174" i="23313"/>
  <c r="H174" i="23313"/>
  <c r="K173" i="23313"/>
  <c r="L173" i="23313" s="1"/>
  <c r="J173" i="23313"/>
  <c r="H173" i="23313"/>
  <c r="K172" i="23313"/>
  <c r="L172" i="23313" s="1"/>
  <c r="J172" i="23313"/>
  <c r="H172" i="23313"/>
  <c r="K165" i="23313"/>
  <c r="L165" i="23313" s="1"/>
  <c r="J165" i="23313"/>
  <c r="H165" i="23313"/>
  <c r="K109" i="23313"/>
  <c r="L109" i="23313" s="1"/>
  <c r="J109" i="23313"/>
  <c r="H109" i="23313"/>
  <c r="K108" i="23313"/>
  <c r="L108" i="23313" s="1"/>
  <c r="J108" i="23313"/>
  <c r="H108" i="23313"/>
  <c r="K107" i="23313"/>
  <c r="L107" i="23313" s="1"/>
  <c r="J107" i="23313"/>
  <c r="H107" i="23313"/>
  <c r="K105" i="23313"/>
  <c r="L105" i="23313" s="1"/>
  <c r="J105" i="23313"/>
  <c r="H105" i="23313"/>
  <c r="K100" i="23313"/>
  <c r="L100" i="23313" s="1"/>
  <c r="J100" i="23313"/>
  <c r="H100" i="23313"/>
  <c r="K15" i="23313"/>
  <c r="L15" i="23313" s="1"/>
  <c r="J15" i="23313"/>
  <c r="H15" i="23313"/>
  <c r="L79" i="23313"/>
  <c r="K61" i="23313"/>
  <c r="L61" i="23313" s="1"/>
  <c r="J61" i="23313"/>
  <c r="K63" i="23313"/>
  <c r="L63" i="23313" s="1"/>
  <c r="J63" i="23313"/>
  <c r="H63" i="23313"/>
  <c r="H61" i="23313"/>
  <c r="H62" i="23313"/>
  <c r="H276" i="23313" l="1"/>
  <c r="L221" i="23313"/>
  <c r="J221" i="23313"/>
  <c r="H221" i="23313"/>
  <c r="K184" i="23313" l="1"/>
  <c r="L184" i="23313" s="1"/>
  <c r="J184" i="23313"/>
  <c r="H184" i="23313"/>
  <c r="K347" i="23313" l="1"/>
  <c r="L347" i="23313" s="1"/>
  <c r="K346" i="23313"/>
  <c r="L346" i="23313" s="1"/>
  <c r="J346" i="23313"/>
  <c r="J347" i="23313"/>
  <c r="H346" i="23313"/>
  <c r="H347" i="23313"/>
  <c r="J74" i="23313"/>
  <c r="J75" i="23313"/>
  <c r="J76" i="23313"/>
  <c r="J78" i="23313"/>
  <c r="J85" i="23313"/>
  <c r="J340" i="23313"/>
  <c r="J339" i="23313"/>
  <c r="J336" i="23313"/>
  <c r="J329" i="23313"/>
  <c r="J353" i="23313" l="1"/>
  <c r="L353" i="23313"/>
  <c r="H353" i="23313"/>
  <c r="H312" i="23313"/>
  <c r="J299" i="23313"/>
  <c r="J310" i="23313"/>
  <c r="K315" i="23313"/>
  <c r="K317" i="23313"/>
  <c r="K313" i="23313"/>
  <c r="K230" i="23313"/>
  <c r="L230" i="23313" s="1"/>
  <c r="J230" i="23313"/>
  <c r="H230" i="23313"/>
  <c r="K249" i="23313"/>
  <c r="L249" i="23313" s="1"/>
  <c r="J249" i="23313"/>
  <c r="H249" i="23313"/>
  <c r="K248" i="23313"/>
  <c r="L248" i="23313" s="1"/>
  <c r="J248" i="23313"/>
  <c r="H248" i="23313"/>
  <c r="K302" i="23313" l="1"/>
  <c r="L302" i="23313" s="1"/>
  <c r="J302" i="23313"/>
  <c r="H302" i="23313"/>
  <c r="K301" i="23313"/>
  <c r="L301" i="23313" s="1"/>
  <c r="J301" i="23313"/>
  <c r="H301" i="23313"/>
  <c r="K312" i="23313"/>
  <c r="L312" i="23313" s="1"/>
  <c r="K396" i="23313" l="1"/>
  <c r="L396" i="23313" s="1"/>
  <c r="J396" i="23313"/>
  <c r="H396" i="23313"/>
  <c r="J332" i="23313"/>
  <c r="K289" i="23313"/>
  <c r="L289" i="23313" s="1"/>
  <c r="J289" i="23313"/>
  <c r="H289" i="23313"/>
  <c r="K293" i="23313"/>
  <c r="L293" i="23313" s="1"/>
  <c r="J293" i="23313"/>
  <c r="H293" i="23313"/>
  <c r="K260" i="23313" l="1"/>
  <c r="L260" i="23313" s="1"/>
  <c r="J260" i="23313"/>
  <c r="H260" i="23313"/>
  <c r="J257" i="23313"/>
  <c r="K256" i="23313"/>
  <c r="L256" i="23313" s="1"/>
  <c r="J256" i="23313"/>
  <c r="H256" i="23313"/>
  <c r="K259" i="23313"/>
  <c r="L259" i="23313" s="1"/>
  <c r="J259" i="23313"/>
  <c r="H259" i="23313"/>
  <c r="J375" i="23313" l="1"/>
  <c r="J378" i="23313"/>
  <c r="J379" i="23313"/>
  <c r="J381" i="23313"/>
  <c r="J382" i="23313"/>
  <c r="J383" i="23313"/>
  <c r="J384" i="23313"/>
  <c r="J385" i="23313"/>
  <c r="J391" i="23313"/>
  <c r="J392" i="23313"/>
  <c r="J393" i="23313"/>
  <c r="J400" i="23313"/>
  <c r="J401" i="23313"/>
  <c r="J402" i="23313"/>
  <c r="J403" i="23313"/>
  <c r="J404" i="23313"/>
  <c r="J405" i="23313"/>
  <c r="L317" i="23313" l="1"/>
  <c r="J317" i="23313"/>
  <c r="H317" i="23313"/>
  <c r="J275" i="23313"/>
  <c r="K275" i="23313"/>
  <c r="L275" i="23313" s="1"/>
  <c r="K274" i="23313"/>
  <c r="L274" i="23313" s="1"/>
  <c r="J274" i="23313"/>
  <c r="H274" i="23313"/>
  <c r="K390" i="23313"/>
  <c r="J390" i="23313"/>
  <c r="H275" i="23313" l="1"/>
  <c r="H390" i="23313"/>
  <c r="L390" i="23313"/>
  <c r="K290" i="23313"/>
  <c r="L290" i="23313" s="1"/>
  <c r="J290" i="23313"/>
  <c r="H290" i="23313"/>
  <c r="K382" i="23313"/>
  <c r="L382" i="23313" s="1"/>
  <c r="H382" i="23313"/>
  <c r="K381" i="23313"/>
  <c r="L381" i="23313" s="1"/>
  <c r="H381" i="23313"/>
  <c r="J335" i="23313"/>
  <c r="K332" i="23313"/>
  <c r="J328" i="23313"/>
  <c r="J326" i="23313"/>
  <c r="J325" i="23313"/>
  <c r="K280" i="23313"/>
  <c r="L280" i="23313" s="1"/>
  <c r="J281" i="23313"/>
  <c r="K281" i="23313"/>
  <c r="L281" i="23313" s="1"/>
  <c r="J280" i="23313"/>
  <c r="H280" i="23313"/>
  <c r="K257" i="23313"/>
  <c r="L257" i="23313" s="1"/>
  <c r="H257" i="23313"/>
  <c r="K255" i="23313"/>
  <c r="L255" i="23313" s="1"/>
  <c r="J255" i="23313"/>
  <c r="H255" i="23313"/>
  <c r="K254" i="23313"/>
  <c r="L254" i="23313" s="1"/>
  <c r="J254" i="23313"/>
  <c r="H254" i="23313"/>
  <c r="K253" i="23313"/>
  <c r="L253" i="23313" s="1"/>
  <c r="J253" i="23313"/>
  <c r="H253" i="23313"/>
  <c r="K197" i="23313"/>
  <c r="L197" i="23313" s="1"/>
  <c r="J197" i="23313"/>
  <c r="H197" i="23313"/>
  <c r="K250" i="23313"/>
  <c r="L250" i="23313" s="1"/>
  <c r="J250" i="23313"/>
  <c r="H250" i="23313"/>
  <c r="K237" i="23313"/>
  <c r="L237" i="23313" s="1"/>
  <c r="J237" i="23313"/>
  <c r="H237" i="23313"/>
  <c r="K234" i="23313"/>
  <c r="L234" i="23313" s="1"/>
  <c r="J234" i="23313"/>
  <c r="H234" i="23313"/>
  <c r="K233" i="23313"/>
  <c r="L233" i="23313" s="1"/>
  <c r="J233" i="23313"/>
  <c r="H233" i="23313"/>
  <c r="K232" i="23313"/>
  <c r="H232" i="23313"/>
  <c r="K231" i="23313"/>
  <c r="L231" i="23313" s="1"/>
  <c r="J231" i="23313"/>
  <c r="H231" i="23313"/>
  <c r="K227" i="23313"/>
  <c r="L227" i="23313" s="1"/>
  <c r="J227" i="23313"/>
  <c r="H227" i="23313"/>
  <c r="K226" i="23313"/>
  <c r="K225" i="23313"/>
  <c r="L225" i="23313" s="1"/>
  <c r="J225" i="23313"/>
  <c r="H225" i="23313"/>
  <c r="H215" i="23313"/>
  <c r="K216" i="23313"/>
  <c r="L216" i="23313" s="1"/>
  <c r="J216" i="23313"/>
  <c r="H216" i="23313"/>
  <c r="K215" i="23313"/>
  <c r="K214" i="23313"/>
  <c r="L214" i="23313" s="1"/>
  <c r="J214" i="23313"/>
  <c r="H214" i="23313"/>
  <c r="K211" i="23313"/>
  <c r="L211" i="23313" s="1"/>
  <c r="J211" i="23313"/>
  <c r="H211" i="23313"/>
  <c r="K210" i="23313"/>
  <c r="K208" i="23313"/>
  <c r="L208" i="23313" s="1"/>
  <c r="J208" i="23313"/>
  <c r="H208" i="23313"/>
  <c r="K267" i="23313"/>
  <c r="L267" i="23313" s="1"/>
  <c r="J267" i="23313"/>
  <c r="H267" i="23313"/>
  <c r="H271" i="23313"/>
  <c r="K204" i="23313"/>
  <c r="L204" i="23313" s="1"/>
  <c r="J204" i="23313"/>
  <c r="H204" i="23313"/>
  <c r="K203" i="23313"/>
  <c r="K202" i="23313"/>
  <c r="L202" i="23313" s="1"/>
  <c r="J202" i="23313"/>
  <c r="H202" i="23313"/>
  <c r="K189" i="23313"/>
  <c r="L189" i="23313" s="1"/>
  <c r="J189" i="23313"/>
  <c r="H189" i="23313"/>
  <c r="K186" i="23313"/>
  <c r="L186" i="23313" s="1"/>
  <c r="J186" i="23313"/>
  <c r="H186" i="23313"/>
  <c r="K190" i="23313"/>
  <c r="L190" i="23313" s="1"/>
  <c r="J190" i="23313"/>
  <c r="H190" i="23313"/>
  <c r="K191" i="23313"/>
  <c r="L191" i="23313" s="1"/>
  <c r="J191" i="23313"/>
  <c r="H191" i="23313"/>
  <c r="J198" i="23313"/>
  <c r="K199" i="23313"/>
  <c r="L199" i="23313" s="1"/>
  <c r="J199" i="23313"/>
  <c r="H199" i="23313"/>
  <c r="K198" i="23313"/>
  <c r="K185" i="23313"/>
  <c r="L185" i="23313" s="1"/>
  <c r="J185" i="23313"/>
  <c r="H185" i="23313"/>
  <c r="K177" i="23313"/>
  <c r="L177" i="23313" s="1"/>
  <c r="J177" i="23313"/>
  <c r="H177" i="23313"/>
  <c r="J158" i="23313"/>
  <c r="K158" i="23313"/>
  <c r="L158" i="23313" s="1"/>
  <c r="H158" i="23313"/>
  <c r="K175" i="23313"/>
  <c r="L175" i="23313" s="1"/>
  <c r="J175" i="23313"/>
  <c r="H175" i="23313"/>
  <c r="H111" i="23313"/>
  <c r="K111" i="23313"/>
  <c r="J84" i="23313"/>
  <c r="G85" i="23313"/>
  <c r="K339" i="23313"/>
  <c r="L339" i="23313" s="1"/>
  <c r="K327" i="23313"/>
  <c r="K326" i="23313"/>
  <c r="H327" i="23313" l="1"/>
  <c r="J327" i="23313"/>
  <c r="J342" i="23313" s="1"/>
  <c r="L210" i="23313"/>
  <c r="L203" i="23313"/>
  <c r="H281" i="23313"/>
  <c r="H332" i="23313"/>
  <c r="L332" i="23313"/>
  <c r="L226" i="23313"/>
  <c r="L232" i="23313"/>
  <c r="J232" i="23313"/>
  <c r="H226" i="23313"/>
  <c r="J226" i="23313"/>
  <c r="L215" i="23313"/>
  <c r="J215" i="23313"/>
  <c r="J210" i="23313"/>
  <c r="H210" i="23313"/>
  <c r="H203" i="23313"/>
  <c r="J203" i="23313"/>
  <c r="L198" i="23313"/>
  <c r="H198" i="23313"/>
  <c r="J111" i="23313"/>
  <c r="L111" i="23313"/>
  <c r="H339" i="23313"/>
  <c r="H326" i="23313"/>
  <c r="L326" i="23313"/>
  <c r="L327" i="23313"/>
  <c r="H404" i="23313"/>
  <c r="H403" i="23313"/>
  <c r="K404" i="23313"/>
  <c r="L404" i="23313" s="1"/>
  <c r="K403" i="23313"/>
  <c r="L403" i="23313" s="1"/>
  <c r="K284" i="23313" l="1"/>
  <c r="L284" i="23313" s="1"/>
  <c r="J284" i="23313"/>
  <c r="H284" i="23313"/>
  <c r="K85" i="23313"/>
  <c r="L85" i="23313" s="1"/>
  <c r="K401" i="23313"/>
  <c r="L401" i="23313" s="1"/>
  <c r="H401" i="23313"/>
  <c r="K402" i="23313"/>
  <c r="L402" i="23313" s="1"/>
  <c r="H402" i="23313"/>
  <c r="K385" i="23313"/>
  <c r="L385" i="23313" s="1"/>
  <c r="H385" i="23313"/>
  <c r="K86" i="23313"/>
  <c r="L86" i="23313" s="1"/>
  <c r="H86" i="23313"/>
  <c r="K64" i="23313"/>
  <c r="L64" i="23313" s="1"/>
  <c r="J64" i="23313"/>
  <c r="H64" i="23313"/>
  <c r="H85" i="23313" l="1"/>
  <c r="K379" i="23313"/>
  <c r="H379" i="23313"/>
  <c r="L313" i="23313"/>
  <c r="J313" i="23313"/>
  <c r="H313" i="23313"/>
  <c r="K311" i="23313"/>
  <c r="L311" i="23313" s="1"/>
  <c r="J311" i="23313"/>
  <c r="H311" i="23313"/>
  <c r="L379" i="23313" l="1"/>
  <c r="J59" i="23313"/>
  <c r="K59" i="23313"/>
  <c r="L59" i="23313" s="1"/>
  <c r="H59" i="23313"/>
  <c r="K292" i="23313"/>
  <c r="L292" i="23313" s="1"/>
  <c r="J292" i="23313"/>
  <c r="H292" i="23313"/>
  <c r="K22" i="23313"/>
  <c r="L22" i="23313" s="1"/>
  <c r="J22" i="23313"/>
  <c r="H22" i="23313"/>
  <c r="K75" i="23313" l="1"/>
  <c r="L75" i="23313" s="1"/>
  <c r="H75" i="23313"/>
  <c r="K294" i="23313" l="1"/>
  <c r="L294" i="23313" s="1"/>
  <c r="J294" i="23313"/>
  <c r="H294" i="23313"/>
  <c r="H69" i="23313"/>
  <c r="J69" i="23313"/>
  <c r="K69" i="23313"/>
  <c r="L69" i="23313" s="1"/>
  <c r="K50" i="23313"/>
  <c r="L50" i="23313" s="1"/>
  <c r="J50" i="23313"/>
  <c r="H50" i="23313"/>
  <c r="K378" i="23313"/>
  <c r="L378" i="23313" s="1"/>
  <c r="H378" i="23313"/>
  <c r="K49" i="23313"/>
  <c r="L49" i="23313" s="1"/>
  <c r="J49" i="23313"/>
  <c r="H49" i="23313"/>
  <c r="K288" i="23313"/>
  <c r="L288" i="23313" s="1"/>
  <c r="J288" i="23313"/>
  <c r="H288" i="23313"/>
  <c r="K282" i="23313"/>
  <c r="L282" i="23313" s="1"/>
  <c r="J282" i="23313"/>
  <c r="H282" i="23313"/>
  <c r="K58" i="23313"/>
  <c r="L58" i="23313" s="1"/>
  <c r="J58" i="23313"/>
  <c r="H58" i="23313"/>
  <c r="K56" i="23313" l="1"/>
  <c r="L56" i="23313" s="1"/>
  <c r="J56" i="23313"/>
  <c r="H56" i="23313"/>
  <c r="H57" i="23313"/>
  <c r="J57" i="23313"/>
  <c r="K57" i="23313"/>
  <c r="L57" i="23313" s="1"/>
  <c r="K67" i="23313" l="1"/>
  <c r="L67" i="23313" s="1"/>
  <c r="J67" i="23313"/>
  <c r="H67" i="23313"/>
  <c r="K271" i="23313"/>
  <c r="L271" i="23313" s="1"/>
  <c r="J271" i="23313"/>
  <c r="K76" i="23313"/>
  <c r="L76" i="23313" s="1"/>
  <c r="H76" i="23313"/>
  <c r="K299" i="23313"/>
  <c r="L299" i="23313" s="1"/>
  <c r="H299" i="23313"/>
  <c r="H196" i="23313" l="1"/>
  <c r="H262" i="23313" s="1"/>
  <c r="K24" i="23313"/>
  <c r="L24" i="23313" s="1"/>
  <c r="J24" i="23313"/>
  <c r="H24" i="23313"/>
  <c r="K25" i="23313"/>
  <c r="L25" i="23313" s="1"/>
  <c r="J25" i="23313"/>
  <c r="H25" i="23313"/>
  <c r="K383" i="23313" l="1"/>
  <c r="L383" i="23313" s="1"/>
  <c r="H383" i="23313"/>
  <c r="K393" i="23313"/>
  <c r="L393" i="23313" s="1"/>
  <c r="H393" i="23313"/>
  <c r="K363" i="23313"/>
  <c r="K392" i="23313"/>
  <c r="L392" i="23313" s="1"/>
  <c r="H392" i="23313"/>
  <c r="K98" i="23313"/>
  <c r="L98" i="23313" s="1"/>
  <c r="J98" i="23313"/>
  <c r="H98" i="23313"/>
  <c r="K405" i="23313"/>
  <c r="L405" i="23313" s="1"/>
  <c r="H405" i="23313"/>
  <c r="K391" i="23313"/>
  <c r="L391" i="23313" s="1"/>
  <c r="B7" i="23313"/>
  <c r="K196" i="23313" l="1"/>
  <c r="L196" i="23313" s="1"/>
  <c r="L262" i="23313" s="1"/>
  <c r="J196" i="23313"/>
  <c r="J262" i="23313" s="1"/>
  <c r="H60" i="23313" l="1"/>
  <c r="J60" i="23313"/>
  <c r="K60" i="23313"/>
  <c r="L60" i="23313" s="1"/>
  <c r="K384" i="23313" l="1"/>
  <c r="L384" i="23313" s="1"/>
  <c r="H384" i="23313"/>
  <c r="F3" i="23312" l="1"/>
  <c r="K104" i="23313" l="1"/>
  <c r="L104" i="23313" s="1"/>
  <c r="J104" i="23313"/>
  <c r="H104" i="23313"/>
  <c r="J305" i="23313" l="1"/>
  <c r="K305" i="23313"/>
  <c r="L305" i="23313" s="1"/>
  <c r="H305" i="23313"/>
  <c r="K400" i="23313" l="1"/>
  <c r="L400" i="23313" s="1"/>
  <c r="H400" i="23313"/>
  <c r="K310" i="23313" l="1"/>
  <c r="L310" i="23313" s="1"/>
  <c r="H310" i="23313"/>
  <c r="K51" i="23313"/>
  <c r="L51" i="23313" s="1"/>
  <c r="J51" i="23313"/>
  <c r="H51" i="23313"/>
  <c r="H328" i="23313" l="1"/>
  <c r="H329" i="23313"/>
  <c r="H340" i="23313"/>
  <c r="H336" i="23313"/>
  <c r="H335" i="23313"/>
  <c r="H325" i="23313"/>
  <c r="J283" i="23313"/>
  <c r="J291" i="23313"/>
  <c r="J298" i="23313"/>
  <c r="J304" i="23313"/>
  <c r="J309" i="23313"/>
  <c r="J315" i="23313"/>
  <c r="J266" i="23313"/>
  <c r="H283" i="23313"/>
  <c r="H291" i="23313"/>
  <c r="H298" i="23313"/>
  <c r="H304" i="23313"/>
  <c r="H309" i="23313"/>
  <c r="H315" i="23313"/>
  <c r="H266" i="23313"/>
  <c r="K23" i="23313"/>
  <c r="L23" i="23313" s="1"/>
  <c r="J23" i="23313"/>
  <c r="H23" i="23313"/>
  <c r="K18" i="23313"/>
  <c r="L18" i="23313" s="1"/>
  <c r="J18" i="23313"/>
  <c r="H18" i="23313"/>
  <c r="K47" i="23313"/>
  <c r="L47" i="23313" s="1"/>
  <c r="J47" i="23313"/>
  <c r="H47" i="23313"/>
  <c r="H342" i="23313" l="1"/>
  <c r="H320" i="23313"/>
  <c r="J320" i="23313"/>
  <c r="K325" i="23313" l="1"/>
  <c r="L325" i="23313" s="1"/>
  <c r="K328" i="23313"/>
  <c r="L328" i="23313" s="1"/>
  <c r="L363" i="23313"/>
  <c r="L372" i="23313" s="1"/>
  <c r="J363" i="23313"/>
  <c r="J372" i="23313" s="1"/>
  <c r="H363" i="23313"/>
  <c r="H372" i="23313" s="1"/>
  <c r="K78" i="23313"/>
  <c r="L78" i="23313" s="1"/>
  <c r="H78" i="23313"/>
  <c r="K358" i="23313"/>
  <c r="L358" i="23313" s="1"/>
  <c r="J358" i="23313"/>
  <c r="H358" i="23313"/>
  <c r="K336" i="23313"/>
  <c r="L336" i="23313" s="1"/>
  <c r="K45" i="23313"/>
  <c r="L45" i="23313" s="1"/>
  <c r="J45" i="23313"/>
  <c r="H45" i="23313"/>
  <c r="K304" i="23313" l="1"/>
  <c r="L304" i="23313" s="1"/>
  <c r="L315" i="23313"/>
  <c r="K375" i="23313"/>
  <c r="L375" i="23313" s="1"/>
  <c r="J407" i="23313"/>
  <c r="H375" i="23313"/>
  <c r="H407" i="23313" s="1"/>
  <c r="K335" i="23313"/>
  <c r="L335" i="23313" s="1"/>
  <c r="K298" i="23313"/>
  <c r="L298" i="23313" s="1"/>
  <c r="K309" i="23313"/>
  <c r="L309" i="23313" s="1"/>
  <c r="J112" i="23313"/>
  <c r="K113" i="23313"/>
  <c r="L113" i="23313" s="1"/>
  <c r="J113" i="23313"/>
  <c r="H113" i="23313"/>
  <c r="K112" i="23313"/>
  <c r="L112" i="23313" s="1"/>
  <c r="H112" i="23313"/>
  <c r="H68" i="23313"/>
  <c r="J68" i="23313"/>
  <c r="K68" i="23313"/>
  <c r="L68" i="23313" s="1"/>
  <c r="K16" i="23313"/>
  <c r="L16" i="23313" s="1"/>
  <c r="J16" i="23313"/>
  <c r="H16" i="23313"/>
  <c r="J39" i="23313" l="1"/>
  <c r="L407" i="23313"/>
  <c r="L39" i="23313" s="1"/>
  <c r="H74" i="23313"/>
  <c r="H39" i="23313"/>
  <c r="B39" i="23313"/>
  <c r="B38" i="23313"/>
  <c r="B37" i="23313"/>
  <c r="B36" i="23313"/>
  <c r="B35" i="23313"/>
  <c r="B34" i="23313"/>
  <c r="B33" i="23313"/>
  <c r="B32" i="23313"/>
  <c r="B31" i="23313"/>
  <c r="B30" i="23313"/>
  <c r="K357" i="23313"/>
  <c r="L357" i="23313" s="1"/>
  <c r="J357" i="23313"/>
  <c r="H357" i="23313"/>
  <c r="K356" i="23313"/>
  <c r="L356" i="23313" s="1"/>
  <c r="J356" i="23313"/>
  <c r="H356" i="23313"/>
  <c r="K329" i="23313"/>
  <c r="L329" i="23313" s="1"/>
  <c r="K340" i="23313"/>
  <c r="L340" i="23313" s="1"/>
  <c r="K291" i="23313"/>
  <c r="L291" i="23313" s="1"/>
  <c r="K283" i="23313"/>
  <c r="L283" i="23313" s="1"/>
  <c r="K266" i="23313"/>
  <c r="L266" i="23313" s="1"/>
  <c r="K92" i="23313"/>
  <c r="L92" i="23313" s="1"/>
  <c r="J92" i="23313"/>
  <c r="H92" i="23313"/>
  <c r="K110" i="23313"/>
  <c r="L110" i="23313" s="1"/>
  <c r="J110" i="23313"/>
  <c r="H110" i="23313"/>
  <c r="K54" i="23313"/>
  <c r="L54" i="23313" s="1"/>
  <c r="J54" i="23313"/>
  <c r="H54" i="23313"/>
  <c r="K48" i="23313"/>
  <c r="L48" i="23313" s="1"/>
  <c r="J48" i="23313"/>
  <c r="H48" i="23313"/>
  <c r="K84" i="23313"/>
  <c r="L84" i="23313" s="1"/>
  <c r="H84" i="23313"/>
  <c r="K87" i="23313"/>
  <c r="L87" i="23313" s="1"/>
  <c r="H87" i="23313"/>
  <c r="K74" i="23313"/>
  <c r="L74" i="23313" s="1"/>
  <c r="H44" i="23313"/>
  <c r="J44" i="23313"/>
  <c r="K44" i="23313"/>
  <c r="L44" i="23313" s="1"/>
  <c r="H46" i="23313"/>
  <c r="J46" i="23313"/>
  <c r="K46" i="23313"/>
  <c r="L46" i="23313" s="1"/>
  <c r="L342" i="23313" l="1"/>
  <c r="L35" i="23313" s="1"/>
  <c r="J70" i="23313"/>
  <c r="H70" i="23313"/>
  <c r="L70" i="23313"/>
  <c r="L320" i="23313"/>
  <c r="H179" i="23313"/>
  <c r="H32" i="23313" s="1"/>
  <c r="J179" i="23313"/>
  <c r="J32" i="23313" s="1"/>
  <c r="L179" i="23313"/>
  <c r="L32" i="23313" s="1"/>
  <c r="J88" i="23313"/>
  <c r="H35" i="23313"/>
  <c r="H34" i="23313"/>
  <c r="J34" i="23313"/>
  <c r="J35" i="23313"/>
  <c r="H360" i="23313"/>
  <c r="L360" i="23313"/>
  <c r="J360" i="23313"/>
  <c r="J33" i="23313"/>
  <c r="H33" i="23313"/>
  <c r="H88" i="23313"/>
  <c r="L88" i="23313"/>
  <c r="L34" i="23313" l="1"/>
  <c r="N314" i="23313"/>
  <c r="L31" i="23313"/>
  <c r="L38" i="23313"/>
  <c r="H38" i="23313"/>
  <c r="J38" i="23313"/>
  <c r="K17" i="23313" l="1"/>
  <c r="L17" i="23313" s="1"/>
  <c r="J17" i="23313"/>
  <c r="H17" i="23313"/>
  <c r="K14" i="23313"/>
  <c r="L14" i="23313" s="1"/>
  <c r="J14" i="23313"/>
  <c r="H14" i="23313"/>
  <c r="K13" i="23313"/>
  <c r="L13" i="23313" s="1"/>
  <c r="J13" i="23313"/>
  <c r="H13" i="23313"/>
  <c r="B8" i="23313"/>
  <c r="J27" i="23313" l="1"/>
  <c r="H27" i="23313"/>
  <c r="L27" i="23313"/>
  <c r="J31" i="23313"/>
  <c r="L30" i="23313"/>
  <c r="H31" i="23313"/>
  <c r="L7" i="23313" l="1"/>
  <c r="H7" i="23313"/>
  <c r="J7" i="23313"/>
  <c r="J30" i="23313"/>
  <c r="H30" i="23313"/>
  <c r="J36" i="23313"/>
  <c r="H36" i="23313"/>
  <c r="L36" i="23313"/>
  <c r="L37" i="23313" l="1"/>
  <c r="J37" i="23313" l="1"/>
  <c r="J40" i="23313" s="1"/>
  <c r="J410" i="23313"/>
  <c r="H410" i="23313"/>
  <c r="H37" i="23313"/>
  <c r="H40" i="23313" l="1"/>
  <c r="J8" i="23313"/>
  <c r="J10" i="23313" s="1"/>
  <c r="J10" i="23309" l="1"/>
  <c r="L15" i="23309" s="1"/>
  <c r="J8" i="23309"/>
  <c r="L8" i="23309" s="1"/>
  <c r="H8" i="23313"/>
  <c r="H10" i="23313" s="1"/>
  <c r="L33" i="23313"/>
  <c r="L40" i="23313" s="1"/>
  <c r="L410" i="23313"/>
  <c r="L13" i="23309" l="1"/>
  <c r="L14" i="23309"/>
  <c r="L16" i="23309" s="1"/>
  <c r="L12" i="23309"/>
  <c r="H10" i="23309"/>
  <c r="H7" i="23309"/>
  <c r="L7" i="23309" s="1"/>
  <c r="L10" i="23309" s="1"/>
  <c r="L8" i="23313"/>
  <c r="L10" i="23313" s="1"/>
  <c r="L17" i="23309" l="1"/>
  <c r="L18" i="23309"/>
  <c r="L20" i="23309"/>
  <c r="L19" i="23309"/>
  <c r="L23" i="23309" l="1"/>
  <c r="L26" i="23309" s="1"/>
  <c r="D8" i="23312" l="1"/>
  <c r="D7" i="23312" s="1"/>
</calcChain>
</file>

<file path=xl/sharedStrings.xml><?xml version="1.0" encoding="utf-8"?>
<sst xmlns="http://schemas.openxmlformats.org/spreadsheetml/2006/main" count="1500" uniqueCount="644">
  <si>
    <t>Unit Price</t>
  </si>
  <si>
    <t>Amount</t>
  </si>
  <si>
    <t>Material</t>
    <phoneticPr fontId="2" type="noConversion"/>
  </si>
  <si>
    <t>Total</t>
    <phoneticPr fontId="2" type="noConversion"/>
  </si>
  <si>
    <t>Description</t>
    <phoneticPr fontId="2" type="noConversion"/>
  </si>
  <si>
    <t>Size</t>
    <phoneticPr fontId="2" type="noConversion"/>
  </si>
  <si>
    <t>Unit</t>
    <phoneticPr fontId="2" type="noConversion"/>
  </si>
  <si>
    <t>Q'ty</t>
    <phoneticPr fontId="2" type="noConversion"/>
  </si>
  <si>
    <t>Remark</t>
    <phoneticPr fontId="2" type="noConversion"/>
  </si>
  <si>
    <t>Labour</t>
    <phoneticPr fontId="2" type="noConversion"/>
  </si>
  <si>
    <t>No</t>
    <phoneticPr fontId="2" type="noConversion"/>
  </si>
  <si>
    <t>M2</t>
  </si>
  <si>
    <t>-</t>
    <phoneticPr fontId="2" type="noConversion"/>
  </si>
  <si>
    <t>SUB-TOTAL</t>
  </si>
  <si>
    <t>*</t>
    <phoneticPr fontId="2" type="noConversion"/>
  </si>
  <si>
    <t>1.</t>
    <phoneticPr fontId="2" type="noConversion"/>
  </si>
  <si>
    <t>2.</t>
  </si>
  <si>
    <t>3.</t>
  </si>
  <si>
    <t>4.</t>
  </si>
  <si>
    <t>5.</t>
  </si>
  <si>
    <t>6.</t>
  </si>
  <si>
    <t>9.</t>
  </si>
  <si>
    <t>A.</t>
    <phoneticPr fontId="2" type="noConversion"/>
  </si>
  <si>
    <t>*</t>
  </si>
  <si>
    <t>소운반</t>
    <phoneticPr fontId="21" type="noConversion"/>
  </si>
  <si>
    <t>B.</t>
    <phoneticPr fontId="2" type="noConversion"/>
  </si>
  <si>
    <t>10.</t>
  </si>
  <si>
    <t>11.</t>
  </si>
  <si>
    <t>1.</t>
    <phoneticPr fontId="21" type="noConversion"/>
  </si>
  <si>
    <t>2.</t>
    <phoneticPr fontId="21" type="noConversion"/>
  </si>
  <si>
    <t>3.</t>
    <phoneticPr fontId="21" type="noConversion"/>
  </si>
  <si>
    <t>4.</t>
    <phoneticPr fontId="21" type="noConversion"/>
  </si>
  <si>
    <t>5.</t>
    <phoneticPr fontId="21" type="noConversion"/>
  </si>
  <si>
    <t>6.</t>
    <phoneticPr fontId="21" type="noConversion"/>
  </si>
  <si>
    <t>9.</t>
    <phoneticPr fontId="21" type="noConversion"/>
  </si>
  <si>
    <t>소   계</t>
    <phoneticPr fontId="2" type="noConversion"/>
  </si>
  <si>
    <t>식</t>
    <phoneticPr fontId="2" type="noConversion"/>
  </si>
  <si>
    <t>Spec.</t>
    <phoneticPr fontId="2" type="noConversion"/>
  </si>
  <si>
    <t>EA</t>
    <phoneticPr fontId="21" type="noConversion"/>
  </si>
  <si>
    <t>M</t>
    <phoneticPr fontId="21" type="noConversion"/>
  </si>
  <si>
    <t>*</t>
    <phoneticPr fontId="21" type="noConversion"/>
  </si>
  <si>
    <t>M2</t>
    <phoneticPr fontId="21" type="noConversion"/>
  </si>
  <si>
    <t>SET</t>
    <phoneticPr fontId="21" type="noConversion"/>
  </si>
  <si>
    <t>10.</t>
    <phoneticPr fontId="21" type="noConversion"/>
  </si>
  <si>
    <t>-</t>
    <phoneticPr fontId="21" type="noConversion"/>
  </si>
  <si>
    <t>A.</t>
    <phoneticPr fontId="2" type="noConversion"/>
  </si>
  <si>
    <t>11.</t>
    <phoneticPr fontId="21" type="noConversion"/>
  </si>
  <si>
    <t>12.</t>
  </si>
  <si>
    <t>12.</t>
    <phoneticPr fontId="21" type="noConversion"/>
  </si>
  <si>
    <t>참고사항</t>
  </si>
  <si>
    <t>7.</t>
    <phoneticPr fontId="2" type="noConversion"/>
  </si>
  <si>
    <t xml:space="preserve"> </t>
    <phoneticPr fontId="48" type="noConversion"/>
  </si>
  <si>
    <t>1.</t>
    <phoneticPr fontId="101" type="noConversion"/>
  </si>
  <si>
    <t xml:space="preserve">    ◈ 비  고 (REMARK)</t>
    <phoneticPr fontId="2" type="noConversion"/>
  </si>
  <si>
    <t>)</t>
    <phoneticPr fontId="101" type="noConversion"/>
  </si>
  <si>
    <t>(</t>
    <phoneticPr fontId="101" type="noConversion"/>
  </si>
  <si>
    <t>一일금</t>
    <phoneticPr fontId="2" type="noConversion"/>
  </si>
  <si>
    <t xml:space="preserve">金    額(AMOUNT) : </t>
    <phoneticPr fontId="106" type="noConversion"/>
  </si>
  <si>
    <t xml:space="preserve">工事名(PROJECT) : </t>
    <phoneticPr fontId="106" type="noConversion"/>
  </si>
  <si>
    <t>견  적  서</t>
    <phoneticPr fontId="2" type="noConversion"/>
  </si>
  <si>
    <t>Material</t>
    <phoneticPr fontId="2" type="noConversion"/>
  </si>
  <si>
    <t>Labour</t>
    <phoneticPr fontId="2" type="noConversion"/>
  </si>
  <si>
    <t>Total</t>
    <phoneticPr fontId="2" type="noConversion"/>
  </si>
  <si>
    <t>직영</t>
    <phoneticPr fontId="2" type="noConversion"/>
  </si>
  <si>
    <t>가설</t>
    <phoneticPr fontId="2" type="noConversion"/>
  </si>
  <si>
    <t>철거</t>
    <phoneticPr fontId="2" type="noConversion"/>
  </si>
  <si>
    <t>철거</t>
    <phoneticPr fontId="2" type="noConversion"/>
  </si>
  <si>
    <t>타일 공사</t>
    <phoneticPr fontId="2" type="noConversion"/>
  </si>
  <si>
    <t>도배 공사</t>
    <phoneticPr fontId="2" type="noConversion"/>
  </si>
  <si>
    <t>도장 공사</t>
    <phoneticPr fontId="2" type="noConversion"/>
  </si>
  <si>
    <t>PY</t>
    <phoneticPr fontId="21" type="noConversion"/>
  </si>
  <si>
    <t>TOTAL</t>
    <phoneticPr fontId="21" type="noConversion"/>
  </si>
  <si>
    <t>현장보양 및 현장 정리</t>
    <phoneticPr fontId="21" type="noConversion"/>
  </si>
  <si>
    <t>대</t>
    <phoneticPr fontId="21" type="noConversion"/>
  </si>
  <si>
    <t>가설공사</t>
    <phoneticPr fontId="2" type="noConversion"/>
  </si>
  <si>
    <t>식</t>
    <phoneticPr fontId="21" type="noConversion"/>
  </si>
  <si>
    <t>개소</t>
    <phoneticPr fontId="21" type="noConversion"/>
  </si>
  <si>
    <t>허가</t>
    <phoneticPr fontId="2" type="noConversion"/>
  </si>
  <si>
    <t>인터폰</t>
    <phoneticPr fontId="21" type="noConversion"/>
  </si>
  <si>
    <t>입주청소</t>
    <phoneticPr fontId="2" type="noConversion"/>
  </si>
  <si>
    <t>입주청소</t>
    <phoneticPr fontId="21" type="noConversion"/>
  </si>
  <si>
    <t>폐기물</t>
    <phoneticPr fontId="2" type="noConversion"/>
  </si>
  <si>
    <t>페기물 반출</t>
    <phoneticPr fontId="21" type="noConversion"/>
  </si>
  <si>
    <t>1TON</t>
    <phoneticPr fontId="21" type="noConversion"/>
  </si>
  <si>
    <t>공사동의서 및 행위허가</t>
    <phoneticPr fontId="21" type="noConversion"/>
  </si>
  <si>
    <t>화장실 철거</t>
    <phoneticPr fontId="21" type="noConversion"/>
  </si>
  <si>
    <t>본 철거</t>
    <phoneticPr fontId="2" type="noConversion"/>
  </si>
  <si>
    <t>확장 공사</t>
    <phoneticPr fontId="21" type="noConversion"/>
  </si>
  <si>
    <t>마루 철거</t>
    <phoneticPr fontId="2" type="noConversion"/>
  </si>
  <si>
    <t>배관 이설 공사</t>
    <phoneticPr fontId="2" type="noConversion"/>
  </si>
  <si>
    <t>화장실 방수 공사</t>
    <phoneticPr fontId="21" type="noConversion"/>
  </si>
  <si>
    <t>설비</t>
    <phoneticPr fontId="2" type="noConversion"/>
  </si>
  <si>
    <t>설비</t>
    <phoneticPr fontId="21" type="noConversion"/>
  </si>
  <si>
    <t>철거 / 설비 공사</t>
    <phoneticPr fontId="2" type="noConversion"/>
  </si>
  <si>
    <t>필름 공사</t>
    <phoneticPr fontId="2" type="noConversion"/>
  </si>
  <si>
    <t>필름 공사</t>
    <phoneticPr fontId="21" type="noConversion"/>
  </si>
  <si>
    <t>PL창호</t>
    <phoneticPr fontId="2" type="noConversion"/>
  </si>
  <si>
    <t>직접공사비 계</t>
    <phoneticPr fontId="21" type="noConversion"/>
  </si>
  <si>
    <t>인테리어 공사</t>
    <phoneticPr fontId="2" type="noConversion"/>
  </si>
  <si>
    <t>가구 공사</t>
    <phoneticPr fontId="2" type="noConversion"/>
  </si>
  <si>
    <t>수전</t>
    <phoneticPr fontId="2" type="noConversion"/>
  </si>
  <si>
    <t>자</t>
    <phoneticPr fontId="21" type="noConversion"/>
  </si>
  <si>
    <t>전기 공사</t>
    <phoneticPr fontId="2" type="noConversion"/>
  </si>
  <si>
    <t>조명 및 전열</t>
    <phoneticPr fontId="21" type="noConversion"/>
  </si>
  <si>
    <t>간접 조명</t>
    <phoneticPr fontId="2" type="noConversion"/>
  </si>
  <si>
    <t>발코니 조명</t>
    <phoneticPr fontId="2" type="noConversion"/>
  </si>
  <si>
    <t>전선 입선 라인</t>
    <phoneticPr fontId="2" type="noConversion"/>
  </si>
  <si>
    <t>위생기기</t>
    <phoneticPr fontId="2" type="noConversion"/>
  </si>
  <si>
    <t>환풍기</t>
    <phoneticPr fontId="2" type="noConversion"/>
  </si>
  <si>
    <t>양변기</t>
    <phoneticPr fontId="2" type="noConversion"/>
  </si>
  <si>
    <t>세면대</t>
    <phoneticPr fontId="2" type="noConversion"/>
  </si>
  <si>
    <t>화장실 공사</t>
    <phoneticPr fontId="2" type="noConversion"/>
  </si>
  <si>
    <t>안방 화장실</t>
    <phoneticPr fontId="21" type="noConversion"/>
  </si>
  <si>
    <t>거실 화장실</t>
    <phoneticPr fontId="21" type="noConversion"/>
  </si>
  <si>
    <t>Product &amp; Size</t>
    <phoneticPr fontId="2" type="noConversion"/>
  </si>
  <si>
    <t>세면 수전</t>
    <phoneticPr fontId="2" type="noConversion"/>
  </si>
  <si>
    <t>샤워 수전</t>
    <phoneticPr fontId="2" type="noConversion"/>
  </si>
  <si>
    <t>수건 걸이</t>
    <phoneticPr fontId="2" type="noConversion"/>
  </si>
  <si>
    <t>휴지 걸이</t>
    <phoneticPr fontId="2" type="noConversion"/>
  </si>
  <si>
    <t>기타 (안방 화장실)</t>
    <phoneticPr fontId="2" type="noConversion"/>
  </si>
  <si>
    <t>기타 (거실 화장실)</t>
    <phoneticPr fontId="2" type="noConversion"/>
  </si>
  <si>
    <t>화장실 타일</t>
    <phoneticPr fontId="2" type="noConversion"/>
  </si>
  <si>
    <t>부자재</t>
    <phoneticPr fontId="2" type="noConversion"/>
  </si>
  <si>
    <t>X18, 레미탈</t>
    <phoneticPr fontId="21" type="noConversion"/>
  </si>
  <si>
    <t>현관 타일</t>
    <phoneticPr fontId="2" type="noConversion"/>
  </si>
  <si>
    <t>현관 바닥</t>
    <phoneticPr fontId="2" type="noConversion"/>
  </si>
  <si>
    <t>600*1200</t>
    <phoneticPr fontId="21" type="noConversion"/>
  </si>
  <si>
    <t>마루 공사</t>
    <phoneticPr fontId="2" type="noConversion"/>
  </si>
  <si>
    <t>실크 도배</t>
    <phoneticPr fontId="21" type="noConversion"/>
  </si>
  <si>
    <t>도배 퍼티</t>
    <phoneticPr fontId="21" type="noConversion"/>
  </si>
  <si>
    <t>탄성 코트</t>
    <phoneticPr fontId="21" type="noConversion"/>
  </si>
  <si>
    <t>목공사</t>
    <phoneticPr fontId="21" type="noConversion"/>
  </si>
  <si>
    <t>먹 놓기</t>
    <phoneticPr fontId="2" type="noConversion"/>
  </si>
  <si>
    <t>거실 수직, 수평 및 벽체</t>
    <phoneticPr fontId="21" type="noConversion"/>
  </si>
  <si>
    <t>9.5T 석고보드 1PLY</t>
    <phoneticPr fontId="21" type="noConversion"/>
  </si>
  <si>
    <t>벽체 공사</t>
    <phoneticPr fontId="2" type="noConversion"/>
  </si>
  <si>
    <t>벽체 골조 공사</t>
    <phoneticPr fontId="2" type="noConversion"/>
  </si>
  <si>
    <t>각 방</t>
    <phoneticPr fontId="21" type="noConversion"/>
  </si>
  <si>
    <t>기타 목 공사</t>
    <phoneticPr fontId="2" type="noConversion"/>
  </si>
  <si>
    <t>간접공사비 계</t>
    <phoneticPr fontId="21" type="noConversion"/>
  </si>
  <si>
    <t>공사비 계</t>
    <phoneticPr fontId="2" type="noConversion"/>
  </si>
  <si>
    <t>Location &amp; Spec.</t>
    <phoneticPr fontId="2" type="noConversion"/>
  </si>
  <si>
    <t>인</t>
    <phoneticPr fontId="21" type="noConversion"/>
  </si>
  <si>
    <t>별도</t>
    <phoneticPr fontId="21" type="noConversion"/>
  </si>
  <si>
    <t>S.M.C</t>
    <phoneticPr fontId="2" type="noConversion"/>
  </si>
  <si>
    <t>유가</t>
    <phoneticPr fontId="21" type="noConversion"/>
  </si>
  <si>
    <t>절사</t>
    <phoneticPr fontId="21" type="noConversion"/>
  </si>
  <si>
    <t>타일 철거</t>
    <phoneticPr fontId="21" type="noConversion"/>
  </si>
  <si>
    <t>150*150 S150SS 도무스</t>
    <phoneticPr fontId="21" type="noConversion"/>
  </si>
  <si>
    <t>벽체</t>
    <phoneticPr fontId="21" type="noConversion"/>
  </si>
  <si>
    <t>천장</t>
    <phoneticPr fontId="21" type="noConversion"/>
  </si>
  <si>
    <t>견적 외 별도</t>
    <phoneticPr fontId="21" type="noConversion"/>
  </si>
  <si>
    <t>견적외 별도</t>
    <phoneticPr fontId="21" type="noConversion"/>
  </si>
  <si>
    <t>공과잡비</t>
    <phoneticPr fontId="21" type="noConversion"/>
  </si>
  <si>
    <t>기업이윤</t>
    <phoneticPr fontId="21" type="noConversion"/>
  </si>
  <si>
    <t>도어 / 도어틀</t>
    <phoneticPr fontId="21" type="noConversion"/>
  </si>
  <si>
    <t>M2</t>
    <phoneticPr fontId="21" type="noConversion"/>
  </si>
  <si>
    <t>스위치 콘센트 시공</t>
    <phoneticPr fontId="21" type="noConversion"/>
  </si>
  <si>
    <t>식</t>
    <phoneticPr fontId="21" type="noConversion"/>
  </si>
  <si>
    <t>PY</t>
    <phoneticPr fontId="21" type="noConversion"/>
  </si>
  <si>
    <t>-</t>
    <phoneticPr fontId="21" type="noConversion"/>
  </si>
  <si>
    <t>천장 공사</t>
    <phoneticPr fontId="21" type="noConversion"/>
  </si>
  <si>
    <t>천장</t>
    <phoneticPr fontId="2" type="noConversion"/>
  </si>
  <si>
    <t>9.5T 석고보드 2PLY</t>
    <phoneticPr fontId="21" type="noConversion"/>
  </si>
  <si>
    <t>EA</t>
    <phoneticPr fontId="21" type="noConversion"/>
  </si>
  <si>
    <t>M</t>
    <phoneticPr fontId="21" type="noConversion"/>
  </si>
  <si>
    <t>걸레받이</t>
    <phoneticPr fontId="21" type="noConversion"/>
  </si>
  <si>
    <t>VAT 별도</t>
    <phoneticPr fontId="21" type="noConversion"/>
  </si>
  <si>
    <t>부가세 별도</t>
    <phoneticPr fontId="21" type="noConversion"/>
  </si>
  <si>
    <t>에어컨</t>
    <phoneticPr fontId="21" type="noConversion"/>
  </si>
  <si>
    <t>식</t>
    <phoneticPr fontId="21" type="noConversion"/>
  </si>
  <si>
    <t>현관</t>
    <phoneticPr fontId="21" type="noConversion"/>
  </si>
  <si>
    <t>싱크대 하부장</t>
    <phoneticPr fontId="2" type="noConversion"/>
  </si>
  <si>
    <t>식</t>
    <phoneticPr fontId="21" type="noConversion"/>
  </si>
  <si>
    <t>가스관 철거</t>
    <phoneticPr fontId="2" type="noConversion"/>
  </si>
  <si>
    <t>전열교환기</t>
    <phoneticPr fontId="21" type="noConversion"/>
  </si>
  <si>
    <t>환기</t>
    <phoneticPr fontId="21" type="noConversion"/>
  </si>
  <si>
    <t>-</t>
    <phoneticPr fontId="21" type="noConversion"/>
  </si>
  <si>
    <t>파티션</t>
    <phoneticPr fontId="21" type="noConversion"/>
  </si>
  <si>
    <t>식</t>
    <phoneticPr fontId="21" type="noConversion"/>
  </si>
  <si>
    <t>벽체 고밀도 MDF 시공</t>
    <phoneticPr fontId="21" type="noConversion"/>
  </si>
  <si>
    <t>강마루</t>
    <phoneticPr fontId="21" type="noConversion"/>
  </si>
  <si>
    <t>M</t>
    <phoneticPr fontId="21" type="noConversion"/>
  </si>
  <si>
    <t>-</t>
    <phoneticPr fontId="21" type="noConversion"/>
  </si>
  <si>
    <t>락소 히든몰딩</t>
    <phoneticPr fontId="21" type="noConversion"/>
  </si>
  <si>
    <t>거실 천장</t>
    <phoneticPr fontId="21" type="noConversion"/>
  </si>
  <si>
    <t>EA</t>
    <phoneticPr fontId="21" type="noConversion"/>
  </si>
  <si>
    <t>온도조절기 공사</t>
    <phoneticPr fontId="21" type="noConversion"/>
  </si>
  <si>
    <t>EA</t>
    <phoneticPr fontId="21" type="noConversion"/>
  </si>
  <si>
    <t xml:space="preserve"> </t>
    <phoneticPr fontId="21" type="noConversion"/>
  </si>
  <si>
    <t>감지기</t>
    <phoneticPr fontId="2" type="noConversion"/>
  </si>
  <si>
    <t>기타 감지기류</t>
    <phoneticPr fontId="21" type="noConversion"/>
  </si>
  <si>
    <t>진행</t>
    <phoneticPr fontId="21" type="noConversion"/>
  </si>
  <si>
    <t>디아망 LX하우시스 부자재 포함</t>
    <phoneticPr fontId="21" type="noConversion"/>
  </si>
  <si>
    <t>단열공사</t>
    <phoneticPr fontId="21" type="noConversion"/>
  </si>
  <si>
    <t>방 벽체 석고보드 시공</t>
    <phoneticPr fontId="21" type="noConversion"/>
  </si>
  <si>
    <t>석고보드 덧붙힘 시공</t>
    <phoneticPr fontId="21" type="noConversion"/>
  </si>
  <si>
    <t>화장실 하단 방수</t>
    <phoneticPr fontId="21" type="noConversion"/>
  </si>
  <si>
    <t>붙박이장</t>
    <phoneticPr fontId="2" type="noConversion"/>
  </si>
  <si>
    <t>플랩장</t>
    <phoneticPr fontId="21" type="noConversion"/>
  </si>
  <si>
    <t>모해디자인 진행 사항</t>
    <phoneticPr fontId="21" type="noConversion"/>
  </si>
  <si>
    <t>서비스 품목</t>
    <phoneticPr fontId="21" type="noConversion"/>
  </si>
  <si>
    <r>
      <rPr>
        <sz val="9"/>
        <rFont val="Arial Unicode MS"/>
        <family val="2"/>
        <charset val="129"/>
      </rPr>
      <t xml:space="preserve">고밀도 </t>
    </r>
    <r>
      <rPr>
        <sz val="9"/>
        <rFont val="Calibri"/>
        <family val="2"/>
      </rPr>
      <t xml:space="preserve">MDF </t>
    </r>
    <phoneticPr fontId="21" type="noConversion"/>
  </si>
  <si>
    <t>SERVICE</t>
    <phoneticPr fontId="21" type="noConversion"/>
  </si>
  <si>
    <t>모해 서비스 진행</t>
    <phoneticPr fontId="21" type="noConversion"/>
  </si>
  <si>
    <t>급 / 배수 배관이설</t>
    <phoneticPr fontId="21" type="noConversion"/>
  </si>
  <si>
    <t>조적 벽체 /젠다이</t>
    <phoneticPr fontId="2" type="noConversion"/>
  </si>
  <si>
    <t>현관문</t>
    <phoneticPr fontId="21" type="noConversion"/>
  </si>
  <si>
    <t>걸레받이</t>
    <phoneticPr fontId="2" type="noConversion"/>
  </si>
  <si>
    <t>기타</t>
    <phoneticPr fontId="2" type="noConversion"/>
  </si>
  <si>
    <t>액체방수 공사</t>
    <phoneticPr fontId="21" type="noConversion"/>
  </si>
  <si>
    <t>세라믹 코트</t>
    <phoneticPr fontId="21" type="noConversion"/>
  </si>
  <si>
    <t>확장 공사</t>
    <phoneticPr fontId="2" type="noConversion"/>
  </si>
  <si>
    <t>조적벽체 철거</t>
    <phoneticPr fontId="2" type="noConversion"/>
  </si>
  <si>
    <t>거실 화장실</t>
    <phoneticPr fontId="21" type="noConversion"/>
  </si>
  <si>
    <t>아메리칸 스탠리 탱크리스</t>
    <phoneticPr fontId="21" type="noConversion"/>
  </si>
  <si>
    <t>-</t>
    <phoneticPr fontId="21" type="noConversion"/>
  </si>
  <si>
    <t>-</t>
    <phoneticPr fontId="21" type="noConversion"/>
  </si>
  <si>
    <t>타일 파티션</t>
    <phoneticPr fontId="21" type="noConversion"/>
  </si>
  <si>
    <t>천장철거</t>
    <phoneticPr fontId="2" type="noConversion"/>
  </si>
  <si>
    <t>발코니</t>
    <phoneticPr fontId="2" type="noConversion"/>
  </si>
  <si>
    <t>마감코킹</t>
    <phoneticPr fontId="21" type="noConversion"/>
  </si>
  <si>
    <t>조색 1SET / 아덱스 실리콘</t>
    <phoneticPr fontId="21" type="noConversion"/>
  </si>
  <si>
    <t>공용부</t>
    <phoneticPr fontId="21" type="noConversion"/>
  </si>
  <si>
    <t>소방</t>
    <phoneticPr fontId="21" type="noConversion"/>
  </si>
  <si>
    <t>자동확산소화기</t>
    <phoneticPr fontId="21" type="noConversion"/>
  </si>
  <si>
    <t>스프레이건</t>
    <phoneticPr fontId="2" type="noConversion"/>
  </si>
  <si>
    <t>거실 / 안방</t>
    <phoneticPr fontId="21" type="noConversion"/>
  </si>
  <si>
    <t>니켈</t>
    <phoneticPr fontId="21" type="noConversion"/>
  </si>
  <si>
    <t>-</t>
    <phoneticPr fontId="21" type="noConversion"/>
  </si>
  <si>
    <t>현관</t>
    <phoneticPr fontId="21" type="noConversion"/>
  </si>
  <si>
    <t>벽체</t>
    <phoneticPr fontId="2" type="noConversion"/>
  </si>
  <si>
    <t>설비</t>
    <phoneticPr fontId="21" type="noConversion"/>
  </si>
  <si>
    <t>M</t>
    <phoneticPr fontId="21" type="noConversion"/>
  </si>
  <si>
    <t>안방</t>
    <phoneticPr fontId="21" type="noConversion"/>
  </si>
  <si>
    <t xml:space="preserve">30X30 각재 </t>
    <phoneticPr fontId="21" type="noConversion"/>
  </si>
  <si>
    <t>석고+고밀도 MDF(메지 시공)</t>
    <phoneticPr fontId="21" type="noConversion"/>
  </si>
  <si>
    <t>제품 미정</t>
    <phoneticPr fontId="21" type="noConversion"/>
  </si>
  <si>
    <t>식</t>
    <phoneticPr fontId="21" type="noConversion"/>
  </si>
  <si>
    <t>EA</t>
    <phoneticPr fontId="21" type="noConversion"/>
  </si>
  <si>
    <t>220V 콘센트</t>
    <phoneticPr fontId="21" type="noConversion"/>
  </si>
  <si>
    <t>2구 스위치</t>
    <phoneticPr fontId="21" type="noConversion"/>
  </si>
  <si>
    <t>주방</t>
    <phoneticPr fontId="21" type="noConversion"/>
  </si>
  <si>
    <t>설비</t>
    <phoneticPr fontId="21" type="noConversion"/>
  </si>
  <si>
    <t>우수관 부틸러버</t>
    <phoneticPr fontId="21" type="noConversion"/>
  </si>
  <si>
    <t>식</t>
    <phoneticPr fontId="21" type="noConversion"/>
  </si>
  <si>
    <t>안방 화장실</t>
    <phoneticPr fontId="21" type="noConversion"/>
  </si>
  <si>
    <t>보일러</t>
    <phoneticPr fontId="21" type="noConversion"/>
  </si>
  <si>
    <t>바흐만 콘센트</t>
    <phoneticPr fontId="21" type="noConversion"/>
  </si>
  <si>
    <t xml:space="preserve">콘센트 </t>
    <phoneticPr fontId="21" type="noConversion"/>
  </si>
  <si>
    <t>천장 석고보드</t>
    <phoneticPr fontId="21" type="noConversion"/>
  </si>
  <si>
    <r>
      <rPr>
        <sz val="11"/>
        <rFont val="맑은 고딕"/>
        <family val="3"/>
        <charset val="129"/>
      </rPr>
      <t>貴社</t>
    </r>
    <r>
      <rPr>
        <sz val="11"/>
        <rFont val="에스코어 드림 6 Bold"/>
        <family val="2"/>
        <charset val="129"/>
      </rPr>
      <t xml:space="preserve">의 사양에 </t>
    </r>
    <r>
      <rPr>
        <sz val="11"/>
        <rFont val="맑은 고딕"/>
        <family val="3"/>
        <charset val="129"/>
      </rPr>
      <t>依</t>
    </r>
    <r>
      <rPr>
        <sz val="11"/>
        <rFont val="에스코어 드림 6 Bold"/>
        <family val="2"/>
        <charset val="129"/>
      </rPr>
      <t xml:space="preserve">하여 </t>
    </r>
    <r>
      <rPr>
        <sz val="11"/>
        <rFont val="맑은 고딕"/>
        <family val="3"/>
        <charset val="129"/>
      </rPr>
      <t>下記內容</t>
    </r>
    <r>
      <rPr>
        <sz val="11"/>
        <rFont val="에스코어 드림 6 Bold"/>
        <family val="2"/>
        <charset val="129"/>
      </rPr>
      <t xml:space="preserve">과 같이 </t>
    </r>
    <r>
      <rPr>
        <sz val="11"/>
        <rFont val="맑은 고딕"/>
        <family val="3"/>
        <charset val="129"/>
      </rPr>
      <t>見積</t>
    </r>
    <r>
      <rPr>
        <sz val="11"/>
        <rFont val="에스코어 드림 6 Bold"/>
        <family val="2"/>
        <charset val="129"/>
      </rPr>
      <t>합니다.</t>
    </r>
    <phoneticPr fontId="21" type="noConversion"/>
  </si>
  <si>
    <t>현관</t>
    <phoneticPr fontId="21" type="noConversion"/>
  </si>
  <si>
    <t>거실, 방 전체</t>
    <phoneticPr fontId="21" type="noConversion"/>
  </si>
  <si>
    <t>전체 철거</t>
    <phoneticPr fontId="21" type="noConversion"/>
  </si>
  <si>
    <t>화장실</t>
    <phoneticPr fontId="21" type="noConversion"/>
  </si>
  <si>
    <t>-</t>
    <phoneticPr fontId="21" type="noConversion"/>
  </si>
  <si>
    <t>부자재</t>
    <phoneticPr fontId="21" type="noConversion"/>
  </si>
  <si>
    <t>식</t>
    <phoneticPr fontId="21" type="noConversion"/>
  </si>
  <si>
    <t>PNC47</t>
    <phoneticPr fontId="21" type="noConversion"/>
  </si>
  <si>
    <t>현관</t>
    <phoneticPr fontId="21" type="noConversion"/>
  </si>
  <si>
    <t>현관</t>
    <phoneticPr fontId="21" type="noConversion"/>
  </si>
  <si>
    <t>전체</t>
    <phoneticPr fontId="21" type="noConversion"/>
  </si>
  <si>
    <t>300*300</t>
    <phoneticPr fontId="21" type="noConversion"/>
  </si>
  <si>
    <t>LED BAR</t>
    <phoneticPr fontId="21" type="noConversion"/>
  </si>
  <si>
    <t>SMPS</t>
    <phoneticPr fontId="21" type="noConversion"/>
  </si>
  <si>
    <t>주방</t>
    <phoneticPr fontId="21" type="noConversion"/>
  </si>
  <si>
    <t>-</t>
    <phoneticPr fontId="21" type="noConversion"/>
  </si>
  <si>
    <t>2,3인치 매립등</t>
    <phoneticPr fontId="2" type="noConversion"/>
  </si>
  <si>
    <t>보조 싱크볼</t>
    <phoneticPr fontId="2" type="noConversion"/>
  </si>
  <si>
    <t>안방 전실</t>
    <phoneticPr fontId="21" type="noConversion"/>
  </si>
  <si>
    <t>EA</t>
    <phoneticPr fontId="21" type="noConversion"/>
  </si>
  <si>
    <t>거실, 주방</t>
    <phoneticPr fontId="21" type="noConversion"/>
  </si>
  <si>
    <t>M101 19 10MM 도배용</t>
    <phoneticPr fontId="21" type="noConversion"/>
  </si>
  <si>
    <t>M101 19 10MM 도배용 / 액자레일</t>
    <phoneticPr fontId="21" type="noConversion"/>
  </si>
  <si>
    <t>르그랑</t>
    <phoneticPr fontId="21" type="noConversion"/>
  </si>
  <si>
    <t>안 방</t>
    <phoneticPr fontId="21" type="noConversion"/>
  </si>
  <si>
    <t>식</t>
    <phoneticPr fontId="21" type="noConversion"/>
  </si>
  <si>
    <t>-</t>
    <phoneticPr fontId="21" type="noConversion"/>
  </si>
  <si>
    <t>벤치</t>
    <phoneticPr fontId="21" type="noConversion"/>
  </si>
  <si>
    <t>-</t>
    <phoneticPr fontId="21" type="noConversion"/>
  </si>
  <si>
    <t>침대 헤드 및 프레임</t>
    <phoneticPr fontId="21" type="noConversion"/>
  </si>
  <si>
    <t>식</t>
    <phoneticPr fontId="21" type="noConversion"/>
  </si>
  <si>
    <t>욕조</t>
    <phoneticPr fontId="21" type="noConversion"/>
  </si>
  <si>
    <t>-</t>
    <phoneticPr fontId="21" type="noConversion"/>
  </si>
  <si>
    <t>슬라이딩 도어</t>
    <phoneticPr fontId="21" type="noConversion"/>
  </si>
  <si>
    <t>중문공사</t>
    <phoneticPr fontId="21" type="noConversion"/>
  </si>
  <si>
    <t>원목 간살</t>
    <phoneticPr fontId="21" type="noConversion"/>
  </si>
  <si>
    <t>현관 선반</t>
    <phoneticPr fontId="2" type="noConversion"/>
  </si>
  <si>
    <t>BL-TL-31-CM</t>
    <phoneticPr fontId="21" type="noConversion"/>
  </si>
  <si>
    <t>거실 벽 타일</t>
    <phoneticPr fontId="21" type="noConversion"/>
  </si>
  <si>
    <t>거실 바닥 타일</t>
    <phoneticPr fontId="21" type="noConversion"/>
  </si>
  <si>
    <t>안방 벽 타일</t>
    <phoneticPr fontId="21" type="noConversion"/>
  </si>
  <si>
    <t>안방 바닥 타일</t>
    <phoneticPr fontId="21" type="noConversion"/>
  </si>
  <si>
    <t>-</t>
    <phoneticPr fontId="21" type="noConversion"/>
  </si>
  <si>
    <t>주방 벽 타일</t>
    <phoneticPr fontId="21" type="noConversion"/>
  </si>
  <si>
    <t>한솔 메종 라이트 오크</t>
    <phoneticPr fontId="21" type="noConversion"/>
  </si>
  <si>
    <t>주방</t>
    <phoneticPr fontId="21" type="noConversion"/>
  </si>
  <si>
    <t>주방</t>
    <phoneticPr fontId="21" type="noConversion"/>
  </si>
  <si>
    <t>안방</t>
    <phoneticPr fontId="21" type="noConversion"/>
  </si>
  <si>
    <t>런드리룸</t>
    <phoneticPr fontId="21" type="noConversion"/>
  </si>
  <si>
    <t>거울</t>
    <phoneticPr fontId="21" type="noConversion"/>
  </si>
  <si>
    <t>-</t>
    <phoneticPr fontId="21" type="noConversion"/>
  </si>
  <si>
    <t>거울</t>
    <phoneticPr fontId="21" type="noConversion"/>
  </si>
  <si>
    <t>거실</t>
    <phoneticPr fontId="21" type="noConversion"/>
  </si>
  <si>
    <t>세탁기 하부장</t>
    <phoneticPr fontId="2" type="noConversion"/>
  </si>
  <si>
    <t>붙박이 장</t>
    <phoneticPr fontId="2" type="noConversion"/>
  </si>
  <si>
    <t>입구방</t>
    <phoneticPr fontId="21" type="noConversion"/>
  </si>
  <si>
    <t>하드웨어</t>
    <phoneticPr fontId="21" type="noConversion"/>
  </si>
  <si>
    <t xml:space="preserve">경첩 및 서랍 등 하드웨어 </t>
    <phoneticPr fontId="21" type="noConversion"/>
  </si>
  <si>
    <t>-</t>
    <phoneticPr fontId="21" type="noConversion"/>
  </si>
  <si>
    <t>안방 침대헤드</t>
    <phoneticPr fontId="21" type="noConversion"/>
  </si>
  <si>
    <t>하부장</t>
    <phoneticPr fontId="2" type="noConversion"/>
  </si>
  <si>
    <t>-</t>
    <phoneticPr fontId="21" type="noConversion"/>
  </si>
  <si>
    <t>이노솔</t>
    <phoneticPr fontId="21" type="noConversion"/>
  </si>
  <si>
    <t>현관</t>
    <phoneticPr fontId="21" type="noConversion"/>
  </si>
  <si>
    <t xml:space="preserve">팬던트 </t>
    <phoneticPr fontId="21" type="noConversion"/>
  </si>
  <si>
    <t>미정</t>
    <phoneticPr fontId="21" type="noConversion"/>
  </si>
  <si>
    <t>안방화장실</t>
    <phoneticPr fontId="21" type="noConversion"/>
  </si>
  <si>
    <t>거실화장실</t>
    <phoneticPr fontId="21" type="noConversion"/>
  </si>
  <si>
    <t>현관</t>
    <phoneticPr fontId="21" type="noConversion"/>
  </si>
  <si>
    <t>현관</t>
    <phoneticPr fontId="21" type="noConversion"/>
  </si>
  <si>
    <t>-</t>
    <phoneticPr fontId="21" type="noConversion"/>
  </si>
  <si>
    <t>거실,주방</t>
    <phoneticPr fontId="21" type="noConversion"/>
  </si>
  <si>
    <t>기타 및 공통</t>
    <phoneticPr fontId="21" type="noConversion"/>
  </si>
  <si>
    <t>세면대</t>
    <phoneticPr fontId="21" type="noConversion"/>
  </si>
  <si>
    <t>거실 화장실</t>
    <phoneticPr fontId="21" type="noConversion"/>
  </si>
  <si>
    <t>9.5T 합판 1PLY</t>
    <phoneticPr fontId="21" type="noConversion"/>
  </si>
  <si>
    <t>공용부 및 각 방</t>
    <phoneticPr fontId="21" type="noConversion"/>
  </si>
  <si>
    <t>거울</t>
    <phoneticPr fontId="2" type="noConversion"/>
  </si>
  <si>
    <t>벽체 석고보드</t>
    <phoneticPr fontId="21" type="noConversion"/>
  </si>
  <si>
    <t>EA</t>
    <phoneticPr fontId="21" type="noConversion"/>
  </si>
  <si>
    <t>이노솔 천장 골조 공사</t>
    <phoneticPr fontId="21" type="noConversion"/>
  </si>
  <si>
    <t>이노솔 천장 합판 보강</t>
    <phoneticPr fontId="21" type="noConversion"/>
  </si>
  <si>
    <t>세면대 구조틀</t>
    <phoneticPr fontId="21" type="noConversion"/>
  </si>
  <si>
    <t>ㅁ각파이프</t>
    <phoneticPr fontId="21" type="noConversion"/>
  </si>
  <si>
    <t>파티션 도어</t>
    <phoneticPr fontId="2" type="noConversion"/>
  </si>
  <si>
    <t>샤워부스, 양변기</t>
    <phoneticPr fontId="21" type="noConversion"/>
  </si>
  <si>
    <t>백조 SQSR 380</t>
    <phoneticPr fontId="21" type="noConversion"/>
  </si>
  <si>
    <t>-</t>
    <phoneticPr fontId="21" type="noConversion"/>
  </si>
  <si>
    <t>EA</t>
    <phoneticPr fontId="21" type="noConversion"/>
  </si>
  <si>
    <t>SUS 제작선반</t>
    <phoneticPr fontId="21" type="noConversion"/>
  </si>
  <si>
    <t>안 방</t>
    <phoneticPr fontId="21" type="noConversion"/>
  </si>
  <si>
    <t>주 방</t>
    <phoneticPr fontId="21" type="noConversion"/>
  </si>
  <si>
    <t>현 관</t>
    <phoneticPr fontId="21" type="noConversion"/>
  </si>
  <si>
    <t>전체</t>
    <phoneticPr fontId="21" type="noConversion"/>
  </si>
  <si>
    <t>침대 헤드 및 오픈 가구</t>
    <phoneticPr fontId="21" type="noConversion"/>
  </si>
  <si>
    <t xml:space="preserve"> </t>
    <phoneticPr fontId="21" type="noConversion"/>
  </si>
  <si>
    <t>접합유리,필름 마감</t>
    <phoneticPr fontId="21" type="noConversion"/>
  </si>
  <si>
    <t>비디오폰 이설</t>
    <phoneticPr fontId="21" type="noConversion"/>
  </si>
  <si>
    <t>미정</t>
    <phoneticPr fontId="21" type="noConversion"/>
  </si>
  <si>
    <t>-</t>
    <phoneticPr fontId="21" type="noConversion"/>
  </si>
  <si>
    <t>식탁 다리</t>
    <phoneticPr fontId="21" type="noConversion"/>
  </si>
  <si>
    <t>선진수도 선택9</t>
    <phoneticPr fontId="21" type="noConversion"/>
  </si>
  <si>
    <t>샤워 거치대(슬라이드바)</t>
    <phoneticPr fontId="2" type="noConversion"/>
  </si>
  <si>
    <t>-</t>
    <phoneticPr fontId="21" type="noConversion"/>
  </si>
  <si>
    <t>후크형 옷걸이</t>
    <phoneticPr fontId="21" type="noConversion"/>
  </si>
  <si>
    <t>그레이바스 SP 프랑크 옷걸이</t>
    <phoneticPr fontId="21" type="noConversion"/>
  </si>
  <si>
    <t>아메리칸 언더카운터 씬엣지 F514</t>
    <phoneticPr fontId="21" type="noConversion"/>
  </si>
  <si>
    <t>누오보 유광 화이트 281 5435W</t>
    <phoneticPr fontId="21" type="noConversion"/>
  </si>
  <si>
    <t>스위치</t>
    <phoneticPr fontId="2" type="noConversion"/>
  </si>
  <si>
    <t>EA</t>
    <phoneticPr fontId="21" type="noConversion"/>
  </si>
  <si>
    <t>르그랑 아테오 5구</t>
    <phoneticPr fontId="21" type="noConversion"/>
  </si>
  <si>
    <t>거실</t>
    <phoneticPr fontId="21" type="noConversion"/>
  </si>
  <si>
    <t>르그랑 아테오 2구</t>
    <phoneticPr fontId="21" type="noConversion"/>
  </si>
  <si>
    <t>주방</t>
    <phoneticPr fontId="21" type="noConversion"/>
  </si>
  <si>
    <t>르그랑 아테오 2구</t>
    <phoneticPr fontId="21" type="noConversion"/>
  </si>
  <si>
    <t>침대헤드 조명(스포트라이트)</t>
    <phoneticPr fontId="21" type="noConversion"/>
  </si>
  <si>
    <t>브러쉬드 니켈</t>
    <phoneticPr fontId="21" type="noConversion"/>
  </si>
  <si>
    <t>고객 직접 결제</t>
    <phoneticPr fontId="21" type="noConversion"/>
  </si>
  <si>
    <t>SERVICE</t>
    <phoneticPr fontId="21" type="noConversion"/>
  </si>
  <si>
    <t>엘리베이터 및 공용부 보양</t>
    <phoneticPr fontId="21" type="noConversion"/>
  </si>
  <si>
    <t>M2</t>
    <phoneticPr fontId="21" type="noConversion"/>
  </si>
  <si>
    <t>보일러</t>
    <phoneticPr fontId="21" type="noConversion"/>
  </si>
  <si>
    <t>온도조절기 공사</t>
    <phoneticPr fontId="21" type="noConversion"/>
  </si>
  <si>
    <t>허니웰 제어기</t>
    <phoneticPr fontId="21" type="noConversion"/>
  </si>
  <si>
    <t>분배기</t>
    <phoneticPr fontId="21" type="noConversion"/>
  </si>
  <si>
    <t>분배기</t>
    <phoneticPr fontId="21" type="noConversion"/>
  </si>
  <si>
    <t>허니웰 온도조절기</t>
    <phoneticPr fontId="21" type="noConversion"/>
  </si>
  <si>
    <t>EA</t>
    <phoneticPr fontId="21" type="noConversion"/>
  </si>
  <si>
    <t xml:space="preserve"> 각 방</t>
    <phoneticPr fontId="21" type="noConversion"/>
  </si>
  <si>
    <t>허니웰 구동기</t>
    <phoneticPr fontId="21" type="noConversion"/>
  </si>
  <si>
    <t>분배기 이설 및 교체</t>
    <phoneticPr fontId="21" type="noConversion"/>
  </si>
  <si>
    <t>식</t>
    <phoneticPr fontId="21" type="noConversion"/>
  </si>
  <si>
    <t>융 온도조절기</t>
    <phoneticPr fontId="21" type="noConversion"/>
  </si>
  <si>
    <t>미정</t>
    <phoneticPr fontId="21" type="noConversion"/>
  </si>
  <si>
    <t>대운반</t>
    <phoneticPr fontId="21" type="noConversion"/>
  </si>
  <si>
    <t>싱크대 상부장 선반</t>
    <phoneticPr fontId="2" type="noConversion"/>
  </si>
  <si>
    <t>EA</t>
    <phoneticPr fontId="21" type="noConversion"/>
  </si>
  <si>
    <t>좌,우</t>
    <phoneticPr fontId="21" type="noConversion"/>
  </si>
  <si>
    <t>냉장고 장 EP</t>
    <phoneticPr fontId="2" type="noConversion"/>
  </si>
  <si>
    <t>키큰장</t>
    <phoneticPr fontId="2" type="noConversion"/>
  </si>
  <si>
    <t>키큰장</t>
    <phoneticPr fontId="2" type="noConversion"/>
  </si>
  <si>
    <t>주방가구 B</t>
    <phoneticPr fontId="2" type="noConversion"/>
  </si>
  <si>
    <t>선반 난간대</t>
    <phoneticPr fontId="21" type="noConversion"/>
  </si>
  <si>
    <t>키큰장 EP</t>
    <phoneticPr fontId="2" type="noConversion"/>
  </si>
  <si>
    <t>좌,우</t>
    <phoneticPr fontId="21" type="noConversion"/>
  </si>
  <si>
    <t>EA</t>
    <phoneticPr fontId="21" type="noConversion"/>
  </si>
  <si>
    <t>아일랜드 하부장</t>
    <phoneticPr fontId="2" type="noConversion"/>
  </si>
  <si>
    <t>아일랜드 하부장 EP</t>
    <phoneticPr fontId="2" type="noConversion"/>
  </si>
  <si>
    <t>우측</t>
    <phoneticPr fontId="21" type="noConversion"/>
  </si>
  <si>
    <t>-</t>
    <phoneticPr fontId="21" type="noConversion"/>
  </si>
  <si>
    <t>아일랜드 후드</t>
    <phoneticPr fontId="21" type="noConversion"/>
  </si>
  <si>
    <t>주방</t>
    <phoneticPr fontId="21" type="noConversion"/>
  </si>
  <si>
    <t>EA</t>
    <phoneticPr fontId="21" type="noConversion"/>
  </si>
  <si>
    <t>하츠 SIH-30S</t>
    <phoneticPr fontId="21" type="noConversion"/>
  </si>
  <si>
    <t>-</t>
    <phoneticPr fontId="21" type="noConversion"/>
  </si>
  <si>
    <t>식탁 상판 구조틀 프레임</t>
    <phoneticPr fontId="21" type="noConversion"/>
  </si>
  <si>
    <t>금속 공사</t>
    <phoneticPr fontId="21" type="noConversion"/>
  </si>
  <si>
    <t>주방</t>
    <phoneticPr fontId="21" type="noConversion"/>
  </si>
  <si>
    <t>식</t>
    <phoneticPr fontId="21" type="noConversion"/>
  </si>
  <si>
    <t>키큰장</t>
    <phoneticPr fontId="2" type="noConversion"/>
  </si>
  <si>
    <t>자</t>
    <phoneticPr fontId="21" type="noConversion"/>
  </si>
  <si>
    <t>거실</t>
    <phoneticPr fontId="21" type="noConversion"/>
  </si>
  <si>
    <t>거실</t>
    <phoneticPr fontId="21" type="noConversion"/>
  </si>
  <si>
    <t>상부장</t>
    <phoneticPr fontId="2" type="noConversion"/>
  </si>
  <si>
    <t>SUS 제작 선반</t>
    <phoneticPr fontId="2" type="noConversion"/>
  </si>
  <si>
    <t>거실</t>
    <phoneticPr fontId="21" type="noConversion"/>
  </si>
  <si>
    <t>M2</t>
    <phoneticPr fontId="21" type="noConversion"/>
  </si>
  <si>
    <t>TV 아트월 EP</t>
    <phoneticPr fontId="21" type="noConversion"/>
  </si>
  <si>
    <t>좌,우,측면</t>
    <phoneticPr fontId="21" type="noConversion"/>
  </si>
  <si>
    <t>현관</t>
    <phoneticPr fontId="2" type="noConversion"/>
  </si>
  <si>
    <t>안방</t>
    <phoneticPr fontId="2" type="noConversion"/>
  </si>
  <si>
    <t>붙박이 장 EP</t>
    <phoneticPr fontId="2" type="noConversion"/>
  </si>
  <si>
    <t>-</t>
    <phoneticPr fontId="21" type="noConversion"/>
  </si>
  <si>
    <t>유리벽돌</t>
    <phoneticPr fontId="21" type="noConversion"/>
  </si>
  <si>
    <t>주방</t>
    <phoneticPr fontId="21" type="noConversion"/>
  </si>
  <si>
    <t>EA</t>
    <phoneticPr fontId="21" type="noConversion"/>
  </si>
  <si>
    <t>-</t>
    <phoneticPr fontId="21" type="noConversion"/>
  </si>
  <si>
    <t>은경(거울)</t>
    <phoneticPr fontId="21" type="noConversion"/>
  </si>
  <si>
    <t>복도</t>
    <phoneticPr fontId="21" type="noConversion"/>
  </si>
  <si>
    <t>안방 화장실 맞은편</t>
    <phoneticPr fontId="21" type="noConversion"/>
  </si>
  <si>
    <t>자</t>
    <phoneticPr fontId="21" type="noConversion"/>
  </si>
  <si>
    <t>드레스룸</t>
    <phoneticPr fontId="21" type="noConversion"/>
  </si>
  <si>
    <t>공용부</t>
    <phoneticPr fontId="2" type="noConversion"/>
  </si>
  <si>
    <t>발코니</t>
    <phoneticPr fontId="21" type="noConversion"/>
  </si>
  <si>
    <t>가구도어</t>
    <phoneticPr fontId="2" type="noConversion"/>
  </si>
  <si>
    <t>발코니 A</t>
    <phoneticPr fontId="21" type="noConversion"/>
  </si>
  <si>
    <t>발코니 B</t>
    <phoneticPr fontId="21" type="noConversion"/>
  </si>
  <si>
    <t>세탁실</t>
    <phoneticPr fontId="21" type="noConversion"/>
  </si>
  <si>
    <t>-</t>
    <phoneticPr fontId="21" type="noConversion"/>
  </si>
  <si>
    <t>세면대 하부장</t>
    <phoneticPr fontId="21" type="noConversion"/>
  </si>
  <si>
    <t>안방화장실</t>
    <phoneticPr fontId="21" type="noConversion"/>
  </si>
  <si>
    <t>공용부</t>
    <phoneticPr fontId="21" type="noConversion"/>
  </si>
  <si>
    <t>일괄소등</t>
    <phoneticPr fontId="21" type="noConversion"/>
  </si>
  <si>
    <t>1구 프레임</t>
    <phoneticPr fontId="21" type="noConversion"/>
  </si>
  <si>
    <t>2구 프레임</t>
    <phoneticPr fontId="21" type="noConversion"/>
  </si>
  <si>
    <t>거실</t>
    <phoneticPr fontId="21" type="noConversion"/>
  </si>
  <si>
    <t>공용부</t>
    <phoneticPr fontId="21" type="noConversion"/>
  </si>
  <si>
    <t>거실 화장실</t>
    <phoneticPr fontId="21" type="noConversion"/>
  </si>
  <si>
    <t>비디오폰,도어락 및 별도</t>
    <phoneticPr fontId="21" type="noConversion"/>
  </si>
  <si>
    <t>분전함 교체</t>
    <phoneticPr fontId="21" type="noConversion"/>
  </si>
  <si>
    <t>거실 화장실</t>
    <phoneticPr fontId="21" type="noConversion"/>
  </si>
  <si>
    <t>휴젠트 2.5</t>
    <phoneticPr fontId="21" type="noConversion"/>
  </si>
  <si>
    <t>안방,거실 화장실</t>
    <phoneticPr fontId="21" type="noConversion"/>
  </si>
  <si>
    <t>안방 화장실</t>
    <phoneticPr fontId="21" type="noConversion"/>
  </si>
  <si>
    <t>거울장</t>
    <phoneticPr fontId="2" type="noConversion"/>
  </si>
  <si>
    <t>제작</t>
    <phoneticPr fontId="21" type="noConversion"/>
  </si>
  <si>
    <t>아메리칸 FB2614-0KAKC11BA</t>
    <phoneticPr fontId="21" type="noConversion"/>
  </si>
  <si>
    <t>안방, 거실 화장실</t>
    <phoneticPr fontId="21" type="noConversion"/>
  </si>
  <si>
    <t>전체</t>
    <phoneticPr fontId="21" type="noConversion"/>
  </si>
  <si>
    <t>TV 아트월</t>
    <phoneticPr fontId="21" type="noConversion"/>
  </si>
  <si>
    <t>디자인</t>
    <phoneticPr fontId="21" type="noConversion"/>
  </si>
  <si>
    <t>도배 시공</t>
    <phoneticPr fontId="21" type="noConversion"/>
  </si>
  <si>
    <t>전체</t>
    <phoneticPr fontId="21" type="noConversion"/>
  </si>
  <si>
    <t>융 제외 나머지</t>
    <phoneticPr fontId="21" type="noConversion"/>
  </si>
  <si>
    <t>현관</t>
    <phoneticPr fontId="21" type="noConversion"/>
  </si>
  <si>
    <t>유럽형 제어기(제작)</t>
    <phoneticPr fontId="21" type="noConversion"/>
  </si>
  <si>
    <t>재료비</t>
    <phoneticPr fontId="21" type="noConversion"/>
  </si>
  <si>
    <t>노무비</t>
    <phoneticPr fontId="21" type="noConversion"/>
  </si>
  <si>
    <t>*</t>
    <phoneticPr fontId="21" type="noConversion"/>
  </si>
  <si>
    <t>산재 보험료</t>
    <phoneticPr fontId="21" type="noConversion"/>
  </si>
  <si>
    <t>고용 보험료</t>
    <phoneticPr fontId="21" type="noConversion"/>
  </si>
  <si>
    <t>국민건강 보험료</t>
    <phoneticPr fontId="21" type="noConversion"/>
  </si>
  <si>
    <t>국민연금 보험료</t>
    <phoneticPr fontId="21" type="noConversion"/>
  </si>
  <si>
    <t>노인 장기 요양 보험료</t>
    <phoneticPr fontId="21" type="noConversion"/>
  </si>
  <si>
    <t>안전관리비</t>
    <phoneticPr fontId="21" type="noConversion"/>
  </si>
  <si>
    <t>노무비*3.56%</t>
    <phoneticPr fontId="21" type="noConversion"/>
  </si>
  <si>
    <t>노무비*1.01%</t>
    <phoneticPr fontId="21" type="noConversion"/>
  </si>
  <si>
    <t>노무비*3.545%</t>
    <phoneticPr fontId="21" type="noConversion"/>
  </si>
  <si>
    <t>노무비*4.5%</t>
    <phoneticPr fontId="21" type="noConversion"/>
  </si>
  <si>
    <t>건강보혐료*12.95%</t>
    <phoneticPr fontId="21" type="noConversion"/>
  </si>
  <si>
    <t>직접공사비*3.11%</t>
    <phoneticPr fontId="21" type="noConversion"/>
  </si>
  <si>
    <t>*</t>
    <phoneticPr fontId="21" type="noConversion"/>
  </si>
  <si>
    <t>기타경비</t>
    <phoneticPr fontId="21" type="noConversion"/>
  </si>
  <si>
    <t>-</t>
    <phoneticPr fontId="21" type="noConversion"/>
  </si>
  <si>
    <t>옷봉</t>
    <phoneticPr fontId="21" type="noConversion"/>
  </si>
  <si>
    <t>옷봉</t>
    <phoneticPr fontId="21" type="noConversion"/>
  </si>
  <si>
    <t>거실,안방 화장실</t>
    <phoneticPr fontId="21" type="noConversion"/>
  </si>
  <si>
    <t>-</t>
    <phoneticPr fontId="21" type="noConversion"/>
  </si>
  <si>
    <t>-</t>
    <phoneticPr fontId="21" type="noConversion"/>
  </si>
  <si>
    <t>무타공세면대</t>
    <phoneticPr fontId="21" type="noConversion"/>
  </si>
  <si>
    <t>가구 도어</t>
    <phoneticPr fontId="21" type="noConversion"/>
  </si>
  <si>
    <t>우수관</t>
    <phoneticPr fontId="21" type="noConversion"/>
  </si>
  <si>
    <t>거실</t>
    <phoneticPr fontId="21" type="noConversion"/>
  </si>
  <si>
    <t>TV 간살 도어</t>
    <phoneticPr fontId="21" type="noConversion"/>
  </si>
  <si>
    <t>레일 및 시공비 포함</t>
    <phoneticPr fontId="21" type="noConversion"/>
  </si>
  <si>
    <t>아메리칸 언더카운터 씬엣지 F513</t>
    <phoneticPr fontId="21" type="noConversion"/>
  </si>
  <si>
    <t xml:space="preserve">아덱스 도막방수제 2회 </t>
    <phoneticPr fontId="21" type="noConversion"/>
  </si>
  <si>
    <t>거실</t>
    <phoneticPr fontId="21" type="noConversion"/>
  </si>
  <si>
    <t>주방,방</t>
    <phoneticPr fontId="21" type="noConversion"/>
  </si>
  <si>
    <t>바닥면적 확장,조적 및 미장</t>
    <phoneticPr fontId="21" type="noConversion"/>
  </si>
  <si>
    <t>안방 화장실</t>
    <phoneticPr fontId="21" type="noConversion"/>
  </si>
  <si>
    <t>언더카운터 세면대 W:600</t>
    <phoneticPr fontId="2" type="noConversion"/>
  </si>
  <si>
    <t>-</t>
    <phoneticPr fontId="21" type="noConversion"/>
  </si>
  <si>
    <t>-</t>
    <phoneticPr fontId="21" type="noConversion"/>
  </si>
  <si>
    <t>EA</t>
    <phoneticPr fontId="21" type="noConversion"/>
  </si>
  <si>
    <t>ㄴ 팬트리 및 밥솥 레일, 서랍,선반,블룸 등 스펙에 따라 변동 (견적미포함)</t>
    <phoneticPr fontId="21" type="noConversion"/>
  </si>
  <si>
    <t>기존 배선 제거 후 새로 입선</t>
    <phoneticPr fontId="21" type="noConversion"/>
  </si>
  <si>
    <t>주방</t>
    <phoneticPr fontId="2" type="noConversion"/>
  </si>
  <si>
    <t>화장실</t>
    <phoneticPr fontId="21" type="noConversion"/>
  </si>
  <si>
    <t>-</t>
    <phoneticPr fontId="21" type="noConversion"/>
  </si>
  <si>
    <t>매립장</t>
    <phoneticPr fontId="21" type="noConversion"/>
  </si>
  <si>
    <t>거실,안방</t>
    <phoneticPr fontId="21" type="noConversion"/>
  </si>
  <si>
    <t>식</t>
    <phoneticPr fontId="21" type="noConversion"/>
  </si>
  <si>
    <t>PS합판</t>
    <phoneticPr fontId="21" type="noConversion"/>
  </si>
  <si>
    <t>디자인 및 자재 스펙에 따른 변동</t>
    <phoneticPr fontId="21" type="noConversion"/>
  </si>
  <si>
    <t>작업실,드레스룸</t>
    <phoneticPr fontId="21" type="noConversion"/>
  </si>
  <si>
    <t>신설벽체</t>
    <phoneticPr fontId="21" type="noConversion"/>
  </si>
  <si>
    <t>20T*2 아이소핑크</t>
    <phoneticPr fontId="21" type="noConversion"/>
  </si>
  <si>
    <t>안 방 - 발코니</t>
    <phoneticPr fontId="21" type="noConversion"/>
  </si>
  <si>
    <t>커튼 박스</t>
    <phoneticPr fontId="21" type="noConversion"/>
  </si>
  <si>
    <t>950*850</t>
    <phoneticPr fontId="21" type="noConversion"/>
  </si>
  <si>
    <t>1000*1700</t>
    <phoneticPr fontId="21" type="noConversion"/>
  </si>
  <si>
    <t>M2</t>
    <phoneticPr fontId="21" type="noConversion"/>
  </si>
  <si>
    <t>작업실, 드레스룸</t>
    <phoneticPr fontId="21" type="noConversion"/>
  </si>
  <si>
    <t>영림발렌</t>
    <phoneticPr fontId="21" type="noConversion"/>
  </si>
  <si>
    <t>신설 벽체 포함</t>
    <phoneticPr fontId="21" type="noConversion"/>
  </si>
  <si>
    <t>신설 벽체 포함</t>
    <phoneticPr fontId="21" type="noConversion"/>
  </si>
  <si>
    <t>행위허가</t>
    <phoneticPr fontId="21" type="noConversion"/>
  </si>
  <si>
    <t>자재 양중</t>
    <phoneticPr fontId="21" type="noConversion"/>
  </si>
  <si>
    <t>싱크 수전(메인)</t>
    <phoneticPr fontId="2" type="noConversion"/>
  </si>
  <si>
    <t>싱크볼(메인)</t>
    <phoneticPr fontId="2" type="noConversion"/>
  </si>
  <si>
    <t>싱크볼(보조)</t>
    <phoneticPr fontId="2" type="noConversion"/>
  </si>
  <si>
    <t>SQSR380</t>
    <phoneticPr fontId="21" type="noConversion"/>
  </si>
  <si>
    <t>천장 골조 및 석고보드</t>
    <phoneticPr fontId="21" type="noConversion"/>
  </si>
  <si>
    <t>가구 도어</t>
    <phoneticPr fontId="21" type="noConversion"/>
  </si>
  <si>
    <t>디아망 포티스 부자재 포함</t>
    <phoneticPr fontId="21" type="noConversion"/>
  </si>
  <si>
    <t>PNC44</t>
    <phoneticPr fontId="21" type="noConversion"/>
  </si>
  <si>
    <t>원목마루</t>
    <phoneticPr fontId="21" type="noConversion"/>
  </si>
  <si>
    <t>지복득 바람12T 1507</t>
    <phoneticPr fontId="21" type="noConversion"/>
  </si>
  <si>
    <t>디엔메종 믹싱불</t>
    <phoneticPr fontId="21" type="noConversion"/>
  </si>
  <si>
    <t>인터폰 및 도어락</t>
    <phoneticPr fontId="21" type="noConversion"/>
  </si>
  <si>
    <t>샷시</t>
    <phoneticPr fontId="21" type="noConversion"/>
  </si>
  <si>
    <t>난방배관 교체</t>
    <phoneticPr fontId="21" type="noConversion"/>
  </si>
  <si>
    <t>홈파기 / 분배기 교체 포함</t>
    <phoneticPr fontId="21" type="noConversion"/>
  </si>
  <si>
    <t>난방</t>
    <phoneticPr fontId="21" type="noConversion"/>
  </si>
  <si>
    <t>개별 보일러</t>
    <phoneticPr fontId="21" type="noConversion"/>
  </si>
  <si>
    <t>팬던트</t>
    <phoneticPr fontId="21" type="noConversion"/>
  </si>
  <si>
    <t>고객 지급 자재</t>
    <phoneticPr fontId="21" type="noConversion"/>
  </si>
  <si>
    <t>3구 프레임</t>
    <phoneticPr fontId="21" type="noConversion"/>
  </si>
  <si>
    <t>UTP</t>
    <phoneticPr fontId="21" type="noConversion"/>
  </si>
  <si>
    <t>융(매트화이트)</t>
    <phoneticPr fontId="21" type="noConversion"/>
  </si>
  <si>
    <t>3로 스위치</t>
    <phoneticPr fontId="21" type="noConversion"/>
  </si>
  <si>
    <t>플로어 콘센트</t>
    <phoneticPr fontId="2" type="noConversion"/>
  </si>
  <si>
    <t>바닥 매립</t>
    <phoneticPr fontId="21" type="noConversion"/>
  </si>
  <si>
    <t>이건 그린 230</t>
    <phoneticPr fontId="21" type="noConversion"/>
  </si>
  <si>
    <r>
      <rPr>
        <sz val="9"/>
        <color rgb="FFFF0000"/>
        <rFont val="에스코어 드림 5 Medium"/>
        <family val="2"/>
        <charset val="129"/>
      </rPr>
      <t>에어컨</t>
    </r>
    <phoneticPr fontId="21" type="noConversion"/>
  </si>
  <si>
    <r>
      <rPr>
        <sz val="9"/>
        <color rgb="FFFF0000"/>
        <rFont val="에스코어 드림 5 Medium"/>
        <family val="2"/>
        <charset val="129"/>
      </rPr>
      <t>창호</t>
    </r>
    <phoneticPr fontId="21" type="noConversion"/>
  </si>
  <si>
    <t>경동보일러 / 별도</t>
    <phoneticPr fontId="21" type="noConversion"/>
  </si>
  <si>
    <t>TO : 이응석, 상희정 고객님</t>
    <rPh sb="0" eb="5">
      <t>ｷｶ</t>
    </rPh>
    <phoneticPr fontId="106" type="noConversion"/>
  </si>
  <si>
    <t>푸르지오 월드마크 아파트 인테리어 공사</t>
    <phoneticPr fontId="21" type="noConversion"/>
  </si>
  <si>
    <t>경기 수원시 영통구 이의동 1221, 3층</t>
    <phoneticPr fontId="2" type="noConversion"/>
  </si>
  <si>
    <t>M.O.A.C</t>
    <phoneticPr fontId="2" type="noConversion"/>
  </si>
  <si>
    <t>PROJECT: 푸르지오 월드마크 아파트 인테리어 공사</t>
    <phoneticPr fontId="2" type="noConversion"/>
  </si>
  <si>
    <t>이응석, 상희정 고객님</t>
    <phoneticPr fontId="21" type="noConversion"/>
  </si>
  <si>
    <t>로봇청소기</t>
    <phoneticPr fontId="21" type="noConversion"/>
  </si>
  <si>
    <t>한솔</t>
    <phoneticPr fontId="21" type="noConversion"/>
  </si>
  <si>
    <t>냉장고 장</t>
    <phoneticPr fontId="2" type="noConversion"/>
  </si>
  <si>
    <t>좌측</t>
    <phoneticPr fontId="21" type="noConversion"/>
  </si>
  <si>
    <t>키큰 장 EP</t>
    <phoneticPr fontId="2" type="noConversion"/>
  </si>
  <si>
    <t>오픈 장</t>
    <phoneticPr fontId="2" type="noConversion"/>
  </si>
  <si>
    <t>홈바 상부장</t>
    <phoneticPr fontId="2" type="noConversion"/>
  </si>
  <si>
    <t>홈바 하부장</t>
    <phoneticPr fontId="2" type="noConversion"/>
  </si>
  <si>
    <t>홈바 상부장 LED 조명</t>
    <phoneticPr fontId="2" type="noConversion"/>
  </si>
  <si>
    <t>홈바  상부장 조명 프로파일</t>
    <phoneticPr fontId="2" type="noConversion"/>
  </si>
  <si>
    <t>깜뽀르테 960</t>
    <phoneticPr fontId="21" type="noConversion"/>
  </si>
  <si>
    <t>제시 60413</t>
    <phoneticPr fontId="21" type="noConversion"/>
  </si>
  <si>
    <t>방1</t>
    <phoneticPr fontId="21" type="noConversion"/>
  </si>
  <si>
    <t>방2</t>
    <phoneticPr fontId="21" type="noConversion"/>
  </si>
  <si>
    <t>신발 상부장</t>
    <phoneticPr fontId="2" type="noConversion"/>
  </si>
  <si>
    <t>신발 하부장</t>
    <phoneticPr fontId="2" type="noConversion"/>
  </si>
  <si>
    <t>오픈 장</t>
    <phoneticPr fontId="21" type="noConversion"/>
  </si>
  <si>
    <t>신발 장 가구도어</t>
    <phoneticPr fontId="21" type="noConversion"/>
  </si>
  <si>
    <t>신발 장</t>
    <phoneticPr fontId="21" type="noConversion"/>
  </si>
  <si>
    <t>팬트리</t>
    <phoneticPr fontId="21" type="noConversion"/>
  </si>
  <si>
    <t>가구도어</t>
    <phoneticPr fontId="21" type="noConversion"/>
  </si>
  <si>
    <t>미정 / 현장 체크</t>
    <phoneticPr fontId="21" type="noConversion"/>
  </si>
  <si>
    <t>방3</t>
    <phoneticPr fontId="21" type="noConversion"/>
  </si>
  <si>
    <t>발코니 및 세탁실 등</t>
    <phoneticPr fontId="21" type="noConversion"/>
  </si>
  <si>
    <t>직부 슬림 엣지</t>
    <phoneticPr fontId="21" type="noConversion"/>
  </si>
  <si>
    <t>도어 손잡이</t>
    <phoneticPr fontId="21" type="noConversion"/>
  </si>
  <si>
    <t>가와준 JT-N4</t>
    <phoneticPr fontId="21" type="noConversion"/>
  </si>
  <si>
    <t>아메리칸 웨이브S 원피스</t>
    <phoneticPr fontId="21" type="noConversion"/>
  </si>
  <si>
    <t>탑볼 세면대</t>
    <phoneticPr fontId="2" type="noConversion"/>
  </si>
  <si>
    <t>그로헤 유로스타일 500</t>
    <phoneticPr fontId="21" type="noConversion"/>
  </si>
  <si>
    <t>필로토 그라몽 0057 D1 콘크리트</t>
    <phoneticPr fontId="21" type="noConversion"/>
  </si>
  <si>
    <t>힘펠 제로크</t>
    <phoneticPr fontId="21" type="noConversion"/>
  </si>
  <si>
    <t>휴젠트 노바</t>
    <phoneticPr fontId="21" type="noConversion"/>
  </si>
  <si>
    <t>마뷸러스 듀스</t>
    <phoneticPr fontId="21" type="noConversion"/>
  </si>
  <si>
    <t>ABS 도어</t>
    <phoneticPr fontId="21" type="noConversion"/>
  </si>
  <si>
    <t>지급자재</t>
    <phoneticPr fontId="21" type="noConversion"/>
  </si>
  <si>
    <t>옷 선반</t>
    <phoneticPr fontId="21" type="noConversion"/>
  </si>
  <si>
    <t>그로헤 에센스 브러쉬드 그라파이트</t>
    <phoneticPr fontId="21" type="noConversion"/>
  </si>
  <si>
    <t>그로헤 에센스M 브러쉬드 그라파이트</t>
    <phoneticPr fontId="21" type="noConversion"/>
  </si>
  <si>
    <t>1구 스위치</t>
    <phoneticPr fontId="21" type="noConversion"/>
  </si>
  <si>
    <t>4구 프레임</t>
    <phoneticPr fontId="21" type="noConversion"/>
  </si>
  <si>
    <t>직부등</t>
    <phoneticPr fontId="21" type="noConversion"/>
  </si>
  <si>
    <t>클릭 컬러 스위치 2구</t>
    <phoneticPr fontId="21" type="noConversion"/>
  </si>
  <si>
    <t>색상 미정</t>
    <phoneticPr fontId="21" type="noConversion"/>
  </si>
  <si>
    <t>다용도실</t>
    <phoneticPr fontId="21" type="noConversion"/>
  </si>
  <si>
    <t>TV하부장</t>
    <phoneticPr fontId="21" type="noConversion"/>
  </si>
  <si>
    <t>필름 마감</t>
    <phoneticPr fontId="21" type="noConversion"/>
  </si>
  <si>
    <t>공틀 가구 도어틀</t>
    <phoneticPr fontId="21" type="noConversion"/>
  </si>
  <si>
    <t>기존 가구틀</t>
    <phoneticPr fontId="21" type="noConversion"/>
  </si>
  <si>
    <t>욕실 장</t>
    <phoneticPr fontId="21" type="noConversion"/>
  </si>
  <si>
    <t>TV 하부장</t>
    <phoneticPr fontId="21" type="noConversion"/>
  </si>
  <si>
    <t>마뷸러스 젠</t>
    <phoneticPr fontId="21" type="noConversion"/>
  </si>
  <si>
    <t>마뷸러스 엘</t>
    <phoneticPr fontId="21" type="noConversion"/>
  </si>
  <si>
    <t>현장 체크</t>
    <phoneticPr fontId="21" type="noConversion"/>
  </si>
  <si>
    <t>주방,각방</t>
    <phoneticPr fontId="21" type="noConversion"/>
  </si>
  <si>
    <t>대 / 인</t>
    <phoneticPr fontId="21" type="noConversion"/>
  </si>
  <si>
    <t>기존 샷시</t>
    <phoneticPr fontId="2" type="noConversion"/>
  </si>
  <si>
    <t>영림</t>
    <phoneticPr fontId="21" type="noConversion"/>
  </si>
  <si>
    <t>한솔 -&gt; 영림</t>
    <phoneticPr fontId="21" type="noConversion"/>
  </si>
  <si>
    <t>중국산 세라믹</t>
    <phoneticPr fontId="21" type="noConversion"/>
  </si>
  <si>
    <t>상판 자재(인가공,운임 포함)</t>
    <phoneticPr fontId="2" type="noConversion"/>
  </si>
  <si>
    <t>X</t>
    <phoneticPr fontId="21" type="noConversion"/>
  </si>
  <si>
    <t>공용부 면적 :73*2</t>
    <phoneticPr fontId="21" type="noConversion"/>
  </si>
  <si>
    <t>한솔 에비스스톤</t>
    <phoneticPr fontId="21" type="noConversion"/>
  </si>
  <si>
    <t>인피니티 -&gt; 중국산</t>
    <phoneticPr fontId="21" type="noConversion"/>
  </si>
  <si>
    <t>스프레이건</t>
    <phoneticPr fontId="21" type="noConversion"/>
  </si>
  <si>
    <t>서비스</t>
    <phoneticPr fontId="21" type="noConversion"/>
  </si>
  <si>
    <t>포인트 타일</t>
    <phoneticPr fontId="21" type="noConversion"/>
  </si>
  <si>
    <t>타일 스펙 미정</t>
    <phoneticPr fontId="21" type="noConversion"/>
  </si>
  <si>
    <t>덧방시공예정</t>
    <phoneticPr fontId="21" type="noConversion"/>
  </si>
  <si>
    <t>발코니 시공 X</t>
    <phoneticPr fontId="21" type="noConversion"/>
  </si>
  <si>
    <t>은경</t>
    <phoneticPr fontId="21" type="noConversion"/>
  </si>
  <si>
    <t>세면볼</t>
    <phoneticPr fontId="21" type="noConversion"/>
  </si>
  <si>
    <t>악세사리</t>
    <phoneticPr fontId="21" type="noConversion"/>
  </si>
  <si>
    <t>듀스</t>
    <phoneticPr fontId="21" type="noConversion"/>
  </si>
  <si>
    <t>제작 거울(운임비포함)</t>
    <phoneticPr fontId="21" type="noConversion"/>
  </si>
  <si>
    <t>상단</t>
    <phoneticPr fontId="21" type="noConversion"/>
  </si>
  <si>
    <t>하단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</si>
</sst>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3">
    <numFmt numFmtId="5" formatCode="&quot;₩&quot;#,##0;\-&quot;₩&quot;#,##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&quot;$&quot;#,##0.00_);\(&quot;$&quot;#,##0.00\)"/>
    <numFmt numFmtId="177" formatCode="_(&quot;$&quot;* #,##0.00_);_(&quot;$&quot;* \(#,##0.00\);_(&quot;$&quot;* &quot;-&quot;??_);_(@_)"/>
    <numFmt numFmtId="178" formatCode="_ &quot;₩&quot;* #,##0_ ;_ &quot;₩&quot;* \-#,##0_ ;_ &quot;₩&quot;* &quot;-&quot;_ ;_ @_ "/>
    <numFmt numFmtId="179" formatCode="_ * #,##0_ ;_ * \-#,##0_ ;_ * &quot;-&quot;_ ;_ @_ "/>
    <numFmt numFmtId="180" formatCode="_ * #,##0.00_ ;_ * \-#,##0.00_ ;_ * &quot;-&quot;??_ ;_ @_ "/>
    <numFmt numFmtId="181" formatCode="&quot;₩&quot;#,##0.00;[Red]&quot;₩&quot;\-#,##0.00"/>
    <numFmt numFmtId="182" formatCode="\$#,##0\ ;\(\$#,##0\)"/>
    <numFmt numFmtId="183" formatCode="0.0%"/>
    <numFmt numFmtId="184" formatCode="&quot;(&quot;###.00&quot;)&quot;"/>
    <numFmt numFmtId="185" formatCode="_ &quot;₩&quot;* #,##0.00_ ;_ &quot;₩&quot;* \-#,##0.00_ ;_ &quot;₩&quot;* &quot;-&quot;??_ ;_ @_ "/>
    <numFmt numFmtId="186" formatCode="[Red]\+#;[Red]\-#;[Red]0"/>
    <numFmt numFmtId="187" formatCode="#,##0;[Red]&quot;△&quot;#,##0"/>
    <numFmt numFmtId="188" formatCode="#,##0_ ;[Red]&quot;△&quot;#,##0\ "/>
    <numFmt numFmtId="189" formatCode="#,##0.0;[Red]#,##0.0;&quot; &quot;"/>
    <numFmt numFmtId="190" formatCode="yyyy&quot;年&quot;m&quot;月&quot;d&quot;日&quot;"/>
    <numFmt numFmtId="191" formatCode="0.0000%"/>
    <numFmt numFmtId="192" formatCode="0.0%;[Red]\(0.0%\)"/>
    <numFmt numFmtId="193" formatCode="#,##0&quot; 원&quot;"/>
    <numFmt numFmtId="194" formatCode="#,##0.00;[Red]#,##0.00;&quot; &quot;"/>
    <numFmt numFmtId="195" formatCode="#."/>
    <numFmt numFmtId="196" formatCode="&quot;₩&quot;#,##0;&quot;₩&quot;&quot;₩&quot;&quot;₩&quot;&quot;₩&quot;\-#,##0"/>
    <numFmt numFmtId="197" formatCode="0.0%;[Red]&quot;△&quot;0.0%"/>
    <numFmt numFmtId="198" formatCode="0.00%;[Red]&quot;△&quot;0.00%"/>
    <numFmt numFmtId="199" formatCode="#,##0_ ;[Red]\-#,##0\ "/>
    <numFmt numFmtId="200" formatCode="General_)"/>
    <numFmt numFmtId="201" formatCode="_-* #,##0;\-* #,##0;_-* &quot;-&quot;;_-@"/>
    <numFmt numFmtId="202" formatCode="#,##0;[Red]&quot;-&quot;#,##0"/>
    <numFmt numFmtId="203" formatCode="&quot;  &quot;@"/>
    <numFmt numFmtId="204" formatCode="#,##0.0#####\ ;[Red]\-#,##0.0#####\ "/>
    <numFmt numFmtId="205" formatCode="#,##0_ "/>
    <numFmt numFmtId="206" formatCode="#,##0\ ;[Red]&quot;-&quot;#,##0\ "/>
    <numFmt numFmtId="207" formatCode="* #,##0\ ;[Red]* &quot;-&quot;#,##0\ "/>
    <numFmt numFmtId="208" formatCode="_-* #,##0.000_-;\-* #,##0.000_-;_-* &quot;-&quot;_-;_-@_-"/>
    <numFmt numFmtId="209" formatCode="#,##0.####;[Red]&quot;-&quot;#,##0.####"/>
    <numFmt numFmtId="210" formatCode="_-* #,##0.00_-;&quot;₩&quot;&quot;₩&quot;\-* #,##0.00_-;_-* &quot;-&quot;??_-;_-@_-"/>
    <numFmt numFmtId="211" formatCode="_-&quot;₩&quot;* #,##0.00_-;&quot;₩&quot;&quot;₩&quot;\-&quot;₩&quot;* #,##0.00_-;_-&quot;₩&quot;* &quot;-&quot;??_-;_-@_-"/>
    <numFmt numFmtId="212" formatCode="&quot;₩&quot;#,##0.00;&quot;₩&quot;&quot;₩&quot;&quot;₩&quot;&quot;₩&quot;\-#,##0.00"/>
    <numFmt numFmtId="213" formatCode="_ &quot;₩&quot;\ * #,##0_ ;_ &quot;₩&quot;\ * \-#,##0_ ;_ &quot;₩&quot;\ * &quot;-&quot;_ ;_ @_ "/>
    <numFmt numFmtId="214" formatCode="yy\.mm\.dd"/>
    <numFmt numFmtId="215" formatCode="General&quot;·&quot;"/>
    <numFmt numFmtId="216" formatCode="\$#.00"/>
    <numFmt numFmtId="217" formatCode="_-[$€-2]* #,##0.00_-;\-[$€-2]* #,##0.00_-;_-[$€-2]* &quot;-&quot;??_-"/>
    <numFmt numFmtId="218" formatCode="&quot;Fr.&quot;\ #,##0;[Red]&quot;Fr.&quot;\ \-#,##0"/>
    <numFmt numFmtId="219" formatCode="&quot;Fr.&quot;\ #,##0.00;[Red]&quot;Fr.&quot;\ \-#,##0.00"/>
    <numFmt numFmtId="220" formatCode="%#.00"/>
    <numFmt numFmtId="221" formatCode="0.00_);[Red]\(0.00\)"/>
    <numFmt numFmtId="222" formatCode="_-* #,##0_-;\-* #,##0_-;_-* &quot;-&quot;??_-;_-@_-"/>
    <numFmt numFmtId="223" formatCode="&quot;₩&quot;#,##0"/>
  </numFmts>
  <fonts count="161">
    <font>
      <sz val="10"/>
      <name val="돋움체"/>
      <family val="3"/>
      <charset val="129"/>
    </font>
    <font>
      <sz val="10"/>
      <name val="돋움체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9"/>
      <name val="굴림체"/>
      <family val="3"/>
      <charset val="129"/>
    </font>
    <font>
      <sz val="10"/>
      <name val="Arial"/>
      <family val="2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u/>
      <sz val="11"/>
      <color indexed="36"/>
      <name val="굴림체"/>
      <family val="3"/>
      <charset val="129"/>
    </font>
    <font>
      <sz val="12"/>
      <color indexed="24"/>
      <name val="바탕체"/>
      <family val="1"/>
      <charset val="129"/>
    </font>
    <font>
      <sz val="12"/>
      <name val="돋움체"/>
      <family val="3"/>
      <charset val="129"/>
    </font>
    <font>
      <sz val="12"/>
      <name val="¹UAAA¼"/>
      <family val="3"/>
      <charset val="129"/>
    </font>
    <font>
      <b/>
      <sz val="10"/>
      <name val="Helv"/>
      <family val="2"/>
    </font>
    <font>
      <sz val="10"/>
      <color indexed="24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name val="Helv"/>
      <family val="2"/>
    </font>
    <font>
      <sz val="10"/>
      <name val="돋움"/>
      <family val="3"/>
      <charset val="129"/>
    </font>
    <font>
      <sz val="8"/>
      <name val="돋움체"/>
      <family val="3"/>
      <charset val="129"/>
    </font>
    <font>
      <sz val="10"/>
      <name val="MS Sans Serif"/>
      <family val="2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0"/>
      <name val="명조"/>
      <family val="3"/>
      <charset val="129"/>
    </font>
    <font>
      <sz val="12"/>
      <name val="¹????¼"/>
      <family val="3"/>
      <charset val="129"/>
    </font>
    <font>
      <sz val="12"/>
      <name val="±¼¸²?¼"/>
      <family val="3"/>
      <charset val="129"/>
    </font>
    <font>
      <sz val="14"/>
      <name val="AngsanaUPC"/>
      <family val="1"/>
    </font>
    <font>
      <sz val="12"/>
      <name val="COUR"/>
      <family val="3"/>
    </font>
    <font>
      <sz val="11"/>
      <name val="ⓒoUAAA¨u"/>
      <family val="1"/>
      <charset val="129"/>
    </font>
    <font>
      <sz val="10"/>
      <name val="Helv"/>
      <family val="2"/>
    </font>
    <font>
      <sz val="10"/>
      <name val="Times New Roman"/>
      <family val="1"/>
    </font>
    <font>
      <sz val="10"/>
      <color indexed="8"/>
      <name val="ARIAL"/>
      <family val="2"/>
    </font>
    <font>
      <sz val="11"/>
      <name val="￥i￠￢￠?o"/>
      <family val="3"/>
      <charset val="129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1"/>
      <name val="바탕체"/>
      <family val="1"/>
      <charset val="129"/>
    </font>
    <font>
      <sz val="9"/>
      <name val="돋움체"/>
      <family val="3"/>
      <charset val="129"/>
    </font>
    <font>
      <sz val="12"/>
      <name val="돋움"/>
      <family val="3"/>
      <charset val="129"/>
    </font>
    <font>
      <sz val="10"/>
      <name val="Courier New"/>
      <family val="3"/>
    </font>
    <font>
      <sz val="10"/>
      <name val="옛체"/>
      <family val="1"/>
      <charset val="129"/>
    </font>
    <font>
      <sz val="1"/>
      <color indexed="0"/>
      <name val="Courier"/>
      <family val="3"/>
    </font>
    <font>
      <sz val="12"/>
      <name val="Arial"/>
      <family val="2"/>
    </font>
    <font>
      <sz val="9"/>
      <name val="바탕체"/>
      <family val="1"/>
      <charset val="129"/>
    </font>
    <font>
      <b/>
      <sz val="1"/>
      <color indexed="8"/>
      <name val="Courier"/>
      <family val="3"/>
    </font>
    <font>
      <sz val="12"/>
      <name val="명조"/>
      <family val="3"/>
      <charset val="129"/>
    </font>
    <font>
      <sz val="11"/>
      <name val="굴림체"/>
      <family val="3"/>
      <charset val="129"/>
    </font>
    <font>
      <sz val="10"/>
      <name val="바탕체"/>
      <family val="1"/>
      <charset val="129"/>
    </font>
    <font>
      <sz val="1"/>
      <color indexed="8"/>
      <name val="Courier"/>
      <family val="3"/>
    </font>
    <font>
      <sz val="10"/>
      <color indexed="10"/>
      <name val="돋움체"/>
      <family val="3"/>
      <charset val="129"/>
    </font>
    <font>
      <sz val="12"/>
      <name val="HP-TIMES"/>
      <family val="1"/>
    </font>
    <font>
      <sz val="10"/>
      <name val="바탕"/>
      <family val="1"/>
      <charset val="129"/>
    </font>
    <font>
      <b/>
      <sz val="12"/>
      <color indexed="16"/>
      <name val="굴림체"/>
      <family val="3"/>
      <charset val="129"/>
    </font>
    <font>
      <sz val="11"/>
      <name val="HY울릉도L"/>
      <family val="1"/>
      <charset val="129"/>
    </font>
    <font>
      <sz val="18"/>
      <name val="돋움체"/>
      <family val="3"/>
      <charset val="129"/>
    </font>
    <font>
      <b/>
      <sz val="16"/>
      <name val="돋움체"/>
      <family val="3"/>
      <charset val="129"/>
    </font>
    <font>
      <sz val="10"/>
      <name val="굴림"/>
      <family val="3"/>
      <charset val="129"/>
    </font>
    <font>
      <sz val="18"/>
      <name val="바탕체"/>
      <family val="1"/>
      <charset val="129"/>
    </font>
    <font>
      <sz val="11"/>
      <name val="돋움체"/>
      <family val="3"/>
      <charset val="129"/>
    </font>
    <font>
      <b/>
      <sz val="14"/>
      <name val="Arial"/>
      <family val="2"/>
    </font>
    <font>
      <sz val="12"/>
      <name val="ⓒoUAAA¨u"/>
      <family val="1"/>
      <charset val="129"/>
    </font>
    <font>
      <sz val="12"/>
      <name val="©öUAAA¨ù"/>
      <family val="3"/>
      <charset val="129"/>
    </font>
    <font>
      <sz val="10"/>
      <name val="¹ÙÅÁÃ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±¼¸²A¼"/>
      <family val="3"/>
      <charset val="129"/>
    </font>
    <font>
      <sz val="11"/>
      <name val="μ¸¿oA¼"/>
      <family val="3"/>
      <charset val="129"/>
    </font>
    <font>
      <sz val="14"/>
      <name val="¾©"/>
      <family val="3"/>
      <charset val="129"/>
    </font>
    <font>
      <sz val="8"/>
      <name val="Times New Roman"/>
      <family val="1"/>
    </font>
    <font>
      <sz val="10"/>
      <name val="μ¸¿oA¼"/>
      <family val="3"/>
      <charset val="129"/>
    </font>
    <font>
      <b/>
      <sz val="12"/>
      <name val="Arial MT"/>
      <family val="2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System"/>
      <family val="2"/>
      <charset val="129"/>
    </font>
    <font>
      <sz val="8"/>
      <name val="¹UAAA¼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sz val="10"/>
      <name val="¹UAAA¼"/>
      <family val="3"/>
      <charset val="129"/>
    </font>
    <font>
      <sz val="11"/>
      <name val="±¼¸²A¼"/>
      <family val="3"/>
      <charset val="129"/>
    </font>
    <font>
      <sz val="14"/>
      <name val="¹UAAA¼"/>
      <family val="3"/>
      <charset val="129"/>
    </font>
    <font>
      <sz val="9"/>
      <name val="Times New Roman"/>
      <family val="1"/>
    </font>
    <font>
      <u/>
      <sz val="10"/>
      <color indexed="12"/>
      <name val="Arial"/>
      <family val="2"/>
    </font>
    <font>
      <sz val="12"/>
      <name val="Arial MT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i/>
      <sz val="1"/>
      <color indexed="8"/>
      <name val="Courier"/>
      <family val="3"/>
    </font>
    <font>
      <u/>
      <sz val="10"/>
      <color indexed="14"/>
      <name val="MS Sans Serif"/>
      <family val="2"/>
    </font>
    <font>
      <sz val="10"/>
      <name val="Geneva"/>
      <family val="2"/>
    </font>
    <font>
      <b/>
      <sz val="8"/>
      <name val="MS Sans Serif"/>
      <family val="2"/>
    </font>
    <font>
      <sz val="10"/>
      <name val="Univers (WN)"/>
      <family val="2"/>
    </font>
    <font>
      <u/>
      <sz val="10"/>
      <color indexed="12"/>
      <name val="MS Sans Serif"/>
      <family val="2"/>
    </font>
    <font>
      <sz val="7"/>
      <name val="Small Fonts"/>
      <family val="2"/>
    </font>
    <font>
      <sz val="8"/>
      <name val="Wingdings"/>
      <charset val="2"/>
    </font>
    <font>
      <sz val="8"/>
      <name val="Helv"/>
      <family val="2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sz val="8"/>
      <name val="MS Sans Serif"/>
      <family val="2"/>
    </font>
    <font>
      <b/>
      <sz val="8"/>
      <color indexed="8"/>
      <name val="Helv"/>
      <family val="2"/>
    </font>
    <font>
      <b/>
      <i/>
      <sz val="18"/>
      <color indexed="39"/>
      <name val="돋움체"/>
      <family val="3"/>
      <charset val="129"/>
    </font>
    <font>
      <b/>
      <u/>
      <sz val="13"/>
      <name val="굴림체"/>
      <family val="3"/>
      <charset val="129"/>
    </font>
    <font>
      <sz val="8"/>
      <name val="바탕체"/>
      <family val="1"/>
      <charset val="129"/>
    </font>
    <font>
      <sz val="12"/>
      <name val="¾©"/>
      <family val="3"/>
      <charset val="129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8"/>
      <name val="바탕"/>
      <family val="1"/>
      <charset val="129"/>
    </font>
    <font>
      <b/>
      <sz val="14"/>
      <name val="에스코어 드림 5 Medium"/>
      <family val="2"/>
      <charset val="129"/>
    </font>
    <font>
      <sz val="10"/>
      <name val="에스코어 드림 5 Medium"/>
      <family val="2"/>
      <charset val="129"/>
    </font>
    <font>
      <b/>
      <sz val="10"/>
      <color theme="0"/>
      <name val="에스코어 드림 5 Medium"/>
      <family val="2"/>
      <charset val="129"/>
    </font>
    <font>
      <b/>
      <sz val="10"/>
      <name val="에스코어 드림 5 Medium"/>
      <family val="2"/>
      <charset val="129"/>
    </font>
    <font>
      <sz val="9"/>
      <name val="에스코어 드림 5 Medium"/>
      <family val="2"/>
      <charset val="129"/>
    </font>
    <font>
      <b/>
      <sz val="9"/>
      <name val="에스코어 드림 5 Medium"/>
      <family val="2"/>
      <charset val="129"/>
    </font>
    <font>
      <sz val="9"/>
      <color rgb="FFFF0000"/>
      <name val="에스코어 드림 5 Medium"/>
      <family val="2"/>
      <charset val="129"/>
    </font>
    <font>
      <b/>
      <sz val="18"/>
      <name val="에스코어 드림 6 Bold"/>
      <family val="2"/>
      <charset val="129"/>
    </font>
    <font>
      <sz val="12"/>
      <name val="에스코어 드림 6 Bold"/>
      <family val="2"/>
      <charset val="129"/>
    </font>
    <font>
      <sz val="10"/>
      <name val="에스코어 드림 6 Bold"/>
      <family val="2"/>
      <charset val="129"/>
    </font>
    <font>
      <b/>
      <sz val="12"/>
      <name val="에스코어 드림 6 Bold"/>
      <family val="2"/>
      <charset val="129"/>
    </font>
    <font>
      <sz val="11"/>
      <name val="에스코어 드림 6 Bold"/>
      <family val="2"/>
      <charset val="129"/>
    </font>
    <font>
      <sz val="9"/>
      <name val="에스코어 드림 6 Bold"/>
      <family val="2"/>
      <charset val="129"/>
    </font>
    <font>
      <b/>
      <sz val="9"/>
      <name val="에스코어 드림 6 Bold"/>
      <family val="2"/>
      <charset val="129"/>
    </font>
    <font>
      <sz val="18"/>
      <name val="에스코어 드림 6 Bold"/>
      <family val="2"/>
      <charset val="129"/>
    </font>
    <font>
      <b/>
      <sz val="14"/>
      <name val="에스코어 드림 4 Regular"/>
      <family val="2"/>
      <charset val="129"/>
    </font>
    <font>
      <sz val="10"/>
      <name val="에스코어 드림 4 Regular"/>
      <family val="2"/>
      <charset val="129"/>
    </font>
    <font>
      <sz val="14"/>
      <name val="에스코어 드림 4 Regular"/>
      <family val="2"/>
      <charset val="129"/>
    </font>
    <font>
      <b/>
      <sz val="10"/>
      <color theme="0"/>
      <name val="에스코어 드림 4 Regular"/>
      <family val="2"/>
      <charset val="129"/>
    </font>
    <font>
      <b/>
      <sz val="10"/>
      <name val="에스코어 드림 4 Regular"/>
      <family val="2"/>
      <charset val="129"/>
    </font>
    <font>
      <b/>
      <sz val="9"/>
      <name val="에스코어 드림 4 Regular"/>
      <family val="2"/>
      <charset val="129"/>
    </font>
    <font>
      <sz val="9"/>
      <name val="에스코어 드림 4 Regular"/>
      <family val="2"/>
      <charset val="129"/>
    </font>
    <font>
      <b/>
      <sz val="9"/>
      <color theme="0"/>
      <name val="에스코어 드림 4 Regular"/>
      <family val="2"/>
      <charset val="129"/>
    </font>
    <font>
      <sz val="9"/>
      <color theme="0"/>
      <name val="에스코어 드림 4 Regular"/>
      <family val="2"/>
      <charset val="129"/>
    </font>
    <font>
      <b/>
      <sz val="9"/>
      <color theme="0"/>
      <name val="에스코어 드림 5 Medium"/>
      <family val="2"/>
      <charset val="129"/>
    </font>
    <font>
      <sz val="9"/>
      <name val="에스코어 드림 5 Medium"/>
      <family val="3"/>
      <charset val="129"/>
    </font>
    <font>
      <sz val="9"/>
      <color rgb="FFFF0000"/>
      <name val="에스코어 드림 5 Medium"/>
      <family val="3"/>
      <charset val="129"/>
    </font>
    <font>
      <sz val="9"/>
      <name val="맑은 고딕"/>
      <family val="2"/>
      <charset val="129"/>
    </font>
    <font>
      <sz val="9"/>
      <name val="Arial Unicode MS"/>
      <family val="2"/>
      <charset val="129"/>
    </font>
    <font>
      <sz val="9"/>
      <name val="굴림"/>
      <family val="2"/>
      <charset val="129"/>
    </font>
    <font>
      <sz val="9"/>
      <name val="Calibri"/>
      <family val="2"/>
    </font>
    <font>
      <b/>
      <sz val="9"/>
      <name val="굴림"/>
      <family val="2"/>
      <charset val="129"/>
    </font>
    <font>
      <b/>
      <sz val="9"/>
      <color rgb="FFFFFF00"/>
      <name val="에스코어 드림 5 Medium"/>
      <family val="3"/>
      <charset val="129"/>
    </font>
    <font>
      <strike/>
      <sz val="9"/>
      <color rgb="FFFF0000"/>
      <name val="에스코어 드림 5 Medium"/>
      <family val="2"/>
      <charset val="129"/>
    </font>
    <font>
      <sz val="9"/>
      <color theme="1"/>
      <name val="에스코어 드림 5 Medium"/>
      <family val="2"/>
      <charset val="129"/>
    </font>
    <font>
      <sz val="9"/>
      <color rgb="FFFF0000"/>
      <name val="맑은 고딕"/>
      <family val="2"/>
      <charset val="129"/>
    </font>
    <font>
      <b/>
      <sz val="9"/>
      <color rgb="FFFF0000"/>
      <name val="맑은 고딕"/>
      <family val="3"/>
      <charset val="129"/>
    </font>
    <font>
      <b/>
      <sz val="9"/>
      <color rgb="FFFF0000"/>
      <name val="에스코어 드림 5 Medium"/>
      <family val="2"/>
      <charset val="129"/>
    </font>
    <font>
      <b/>
      <sz val="9"/>
      <color rgb="FFFF0000"/>
      <name val="에스코어 드림 5 Medium"/>
      <family val="3"/>
      <charset val="129"/>
    </font>
    <font>
      <sz val="11"/>
      <name val="맑은 고딕"/>
      <family val="3"/>
      <charset val="129"/>
    </font>
    <font>
      <sz val="11"/>
      <name val="에스코어 드림 6 Bold"/>
      <family val="3"/>
      <charset val="129"/>
    </font>
    <font>
      <b/>
      <sz val="9"/>
      <name val="에스코어 드림 5 Medium"/>
      <family val="3"/>
      <charset val="129"/>
    </font>
    <font>
      <sz val="9"/>
      <color rgb="FFFF0000"/>
      <name val="Arial Unicode MS"/>
      <family val="2"/>
      <charset val="129"/>
    </font>
    <font>
      <sz val="9"/>
      <color rgb="FFFF0000"/>
      <name val="에스코어 드림 5 Medium"/>
      <family val="2"/>
      <charset val="129"/>
    </font>
    <font>
      <sz val="9"/>
      <color theme="1"/>
      <name val="에스코어 드림 5 Medium"/>
      <family val="2"/>
      <charset val="129"/>
    </font>
    <font>
      <b/>
      <sz val="9"/>
      <color rgb="FFFF0000"/>
      <name val="에스코어 드림 5 Medium"/>
      <family val="2"/>
      <charset val="129"/>
    </font>
    <font>
      <sz val="9"/>
      <color rgb="FFFF0000"/>
      <name val="에스코어 드림 6 Bold"/>
      <family val="2"/>
      <charset val="129"/>
    </font>
    <font>
      <sz val="9"/>
      <color rgb="FFFF0000"/>
      <name val="에스코어 드림 4 Regular"/>
      <family val="2"/>
      <charset val="129"/>
    </font>
    <font>
      <sz val="8"/>
      <name val="에스코어 드림 5 Medium"/>
      <family val="2"/>
      <charset val="129"/>
    </font>
    <font>
      <sz val="9"/>
      <color rgb="FFFF0000"/>
      <name val="굴림"/>
      <family val="2"/>
      <charset val="129"/>
    </font>
    <font>
      <sz val="9"/>
      <name val="에스코어 드림 5 Medium"/>
      <family val="2"/>
      <charset val="129"/>
    </font>
    <font>
      <b/>
      <sz val="9"/>
      <name val="에스코어 드림 5 Medium"/>
      <family val="2"/>
      <charset val="129"/>
    </font>
    <font>
      <sz val="10"/>
      <color rgb="FFFF0000"/>
      <name val="에스코어 드림 6 Bold"/>
      <family val="2"/>
      <charset val="129"/>
    </font>
    <font>
      <sz val="9"/>
      <color rgb="FFFF0000"/>
      <name val="에스코어 드림 5 Medium"/>
      <family val="2"/>
      <charset val="129"/>
    </font>
  </fonts>
  <fills count="1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darkVertical"/>
    </fill>
    <fill>
      <patternFill patternType="solid">
        <fgColor indexed="10"/>
      </patternFill>
    </fill>
    <fill>
      <patternFill patternType="solid">
        <fgColor indexed="15"/>
      </patternFill>
    </fill>
    <fill>
      <patternFill patternType="solid">
        <fgColor rgb="FF1E44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2868">
    <xf numFmtId="0" fontId="0" fillId="0" borderId="0"/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8" fillId="0" borderId="0">
      <protection locked="0"/>
    </xf>
    <xf numFmtId="0" fontId="22" fillId="0" borderId="1">
      <alignment horizontal="center"/>
    </xf>
    <xf numFmtId="3" fontId="11" fillId="0" borderId="2"/>
    <xf numFmtId="24" fontId="22" fillId="0" borderId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184" fontId="1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5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 applyFont="0" applyFill="0" applyBorder="0" applyAlignment="0" applyProtection="0"/>
    <xf numFmtId="0" fontId="6" fillId="0" borderId="0" applyFont="0" applyFill="0" applyBorder="0" applyAlignment="0" applyProtection="0"/>
    <xf numFmtId="178" fontId="26" fillId="0" borderId="0" applyFont="0" applyFill="0" applyBorder="0" applyAlignment="0" applyProtection="0"/>
    <xf numFmtId="185" fontId="26" fillId="0" borderId="0" applyFont="0" applyFill="0" applyBorder="0" applyAlignment="0" applyProtection="0"/>
    <xf numFmtId="0" fontId="27" fillId="0" borderId="0"/>
    <xf numFmtId="0" fontId="28" fillId="0" borderId="0"/>
    <xf numFmtId="0" fontId="6" fillId="0" borderId="0" applyNumberFormat="0" applyFill="0" applyBorder="0" applyAlignment="0" applyProtection="0"/>
    <xf numFmtId="179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6" fillId="0" borderId="0"/>
    <xf numFmtId="0" fontId="6" fillId="0" borderId="0" applyNumberFormat="0" applyFill="0" applyBorder="0" applyAlignment="0" applyProtection="0"/>
    <xf numFmtId="0" fontId="29" fillId="2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7" fillId="0" borderId="0"/>
    <xf numFmtId="0" fontId="7" fillId="0" borderId="0"/>
    <xf numFmtId="0" fontId="30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3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6" fillId="0" borderId="0"/>
    <xf numFmtId="0" fontId="6" fillId="0" borderId="0"/>
    <xf numFmtId="0" fontId="31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7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32" fillId="0" borderId="0"/>
    <xf numFmtId="0" fontId="22" fillId="0" borderId="0"/>
    <xf numFmtId="0" fontId="22" fillId="0" borderId="0"/>
    <xf numFmtId="0" fontId="3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22" fillId="0" borderId="0"/>
    <xf numFmtId="0" fontId="3" fillId="0" borderId="0" applyFont="0" applyFill="0" applyBorder="0" applyAlignment="0" applyProtection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3" fillId="0" borderId="0" applyFont="0" applyFill="0" applyBorder="0" applyAlignment="0" applyProtection="0"/>
    <xf numFmtId="0" fontId="3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22" fillId="0" borderId="0"/>
    <xf numFmtId="0" fontId="6" fillId="0" borderId="0"/>
    <xf numFmtId="0" fontId="22" fillId="0" borderId="0"/>
    <xf numFmtId="0" fontId="8" fillId="0" borderId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22" fillId="0" borderId="0"/>
    <xf numFmtId="0" fontId="6" fillId="0" borderId="0"/>
    <xf numFmtId="0" fontId="3" fillId="0" borderId="0"/>
    <xf numFmtId="0" fontId="6" fillId="0" borderId="0"/>
    <xf numFmtId="0" fontId="3" fillId="0" borderId="0"/>
    <xf numFmtId="0" fontId="22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3" fillId="0" borderId="0" applyFont="0" applyFill="0" applyBorder="0" applyAlignment="0" applyProtection="0"/>
    <xf numFmtId="0" fontId="22" fillId="0" borderId="0"/>
    <xf numFmtId="0" fontId="3" fillId="0" borderId="0"/>
    <xf numFmtId="0" fontId="7" fillId="0" borderId="0"/>
    <xf numFmtId="0" fontId="22" fillId="0" borderId="0"/>
    <xf numFmtId="0" fontId="6" fillId="0" borderId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6" fillId="0" borderId="0"/>
    <xf numFmtId="0" fontId="6" fillId="0" borderId="0"/>
    <xf numFmtId="0" fontId="8" fillId="0" borderId="0" applyFont="0" applyFill="0" applyBorder="0" applyAlignment="0" applyProtection="0"/>
    <xf numFmtId="0" fontId="22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6" fillId="0" borderId="0"/>
    <xf numFmtId="0" fontId="22" fillId="0" borderId="0"/>
    <xf numFmtId="0" fontId="7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6" fillId="0" borderId="0"/>
    <xf numFmtId="0" fontId="31" fillId="0" borderId="0"/>
    <xf numFmtId="0" fontId="7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6" fillId="0" borderId="0"/>
    <xf numFmtId="0" fontId="6" fillId="0" borderId="0"/>
    <xf numFmtId="0" fontId="22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22" fillId="0" borderId="0"/>
    <xf numFmtId="0" fontId="6" fillId="0" borderId="0"/>
    <xf numFmtId="0" fontId="7" fillId="0" borderId="0"/>
    <xf numFmtId="0" fontId="6" fillId="0" borderId="0"/>
    <xf numFmtId="0" fontId="22" fillId="0" borderId="0"/>
    <xf numFmtId="0" fontId="6" fillId="0" borderId="0"/>
    <xf numFmtId="0" fontId="22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1" fillId="0" borderId="0"/>
    <xf numFmtId="0" fontId="31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6" fillId="0" borderId="0"/>
    <xf numFmtId="0" fontId="22" fillId="0" borderId="0"/>
    <xf numFmtId="0" fontId="22" fillId="0" borderId="0"/>
    <xf numFmtId="0" fontId="3" fillId="0" borderId="0"/>
    <xf numFmtId="0" fontId="2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 applyFont="0" applyFill="0" applyBorder="0" applyAlignment="0" applyProtection="0"/>
    <xf numFmtId="0" fontId="7" fillId="0" borderId="0"/>
    <xf numFmtId="0" fontId="8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7" fillId="0" borderId="0"/>
    <xf numFmtId="0" fontId="22" fillId="0" borderId="0"/>
    <xf numFmtId="0" fontId="3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2" fillId="0" borderId="0"/>
    <xf numFmtId="0" fontId="3" fillId="0" borderId="0"/>
    <xf numFmtId="0" fontId="6" fillId="0" borderId="0"/>
    <xf numFmtId="0" fontId="22" fillId="0" borderId="0"/>
    <xf numFmtId="0" fontId="22" fillId="0" borderId="0"/>
    <xf numFmtId="0" fontId="22" fillId="0" borderId="0"/>
    <xf numFmtId="0" fontId="7" fillId="0" borderId="0"/>
    <xf numFmtId="0" fontId="3" fillId="0" borderId="0"/>
    <xf numFmtId="0" fontId="6" fillId="0" borderId="0"/>
    <xf numFmtId="0" fontId="7" fillId="0" borderId="0"/>
    <xf numFmtId="0" fontId="22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7" fillId="0" borderId="0"/>
    <xf numFmtId="0" fontId="22" fillId="0" borderId="0"/>
    <xf numFmtId="0" fontId="7" fillId="0" borderId="0" applyFont="0" applyFill="0" applyBorder="0" applyAlignment="0" applyProtection="0"/>
    <xf numFmtId="0" fontId="22" fillId="0" borderId="0"/>
    <xf numFmtId="0" fontId="8" fillId="0" borderId="0" applyFont="0" applyFill="0" applyBorder="0" applyAlignment="0" applyProtection="0"/>
    <xf numFmtId="0" fontId="6" fillId="0" borderId="0"/>
    <xf numFmtId="0" fontId="34" fillId="0" borderId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5" fillId="0" borderId="0"/>
    <xf numFmtId="0" fontId="8" fillId="0" borderId="0" applyFont="0" applyFill="0" applyBorder="0" applyAlignment="0" applyProtection="0"/>
    <xf numFmtId="186" fontId="1" fillId="0" borderId="0" applyFont="0" applyFill="0" applyBorder="0" applyProtection="0">
      <alignment vertical="center"/>
    </xf>
    <xf numFmtId="0" fontId="12" fillId="0" borderId="0"/>
    <xf numFmtId="187" fontId="1" fillId="0" borderId="0">
      <alignment vertical="center"/>
    </xf>
    <xf numFmtId="188" fontId="1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12" fillId="0" borderId="0"/>
    <xf numFmtId="0" fontId="36" fillId="0" borderId="0" applyNumberFormat="0" applyFill="0" applyBorder="0" applyAlignment="0" applyProtection="0">
      <alignment vertical="top"/>
      <protection locked="0"/>
    </xf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102" fillId="0" borderId="0"/>
    <xf numFmtId="179" fontId="37" fillId="0" borderId="2">
      <alignment vertical="center"/>
    </xf>
    <xf numFmtId="0" fontId="7" fillId="0" borderId="0"/>
    <xf numFmtId="3" fontId="11" fillId="0" borderId="2"/>
    <xf numFmtId="3" fontId="11" fillId="0" borderId="2"/>
    <xf numFmtId="179" fontId="38" fillId="0" borderId="3" applyBorder="0">
      <alignment vertical="center"/>
    </xf>
    <xf numFmtId="189" fontId="39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1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3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92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3" fontId="40" fillId="0" borderId="4">
      <alignment horizontal="right" vertical="center"/>
    </xf>
    <xf numFmtId="189" fontId="39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76" fontId="3" fillId="0" borderId="0">
      <alignment vertical="center"/>
    </xf>
    <xf numFmtId="189" fontId="39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190" fontId="3" fillId="0" borderId="0">
      <alignment vertical="center"/>
    </xf>
    <xf numFmtId="0" fontId="41" fillId="0" borderId="0"/>
    <xf numFmtId="194" fontId="1" fillId="0" borderId="0">
      <alignment vertical="center"/>
    </xf>
    <xf numFmtId="0" fontId="3" fillId="0" borderId="0"/>
    <xf numFmtId="0" fontId="3" fillId="0" borderId="0">
      <protection locked="0"/>
    </xf>
    <xf numFmtId="195" fontId="42" fillId="0" borderId="0">
      <protection locked="0"/>
    </xf>
    <xf numFmtId="10" fontId="6" fillId="0" borderId="0" applyFont="0" applyFill="0" applyBorder="0" applyAlignment="0" applyProtection="0"/>
    <xf numFmtId="0" fontId="8" fillId="0" borderId="0"/>
    <xf numFmtId="0" fontId="8" fillId="0" borderId="5">
      <alignment horizontal="center"/>
    </xf>
    <xf numFmtId="2" fontId="40" fillId="0" borderId="4">
      <alignment horizontal="right" vertical="center"/>
    </xf>
    <xf numFmtId="194" fontId="1" fillId="0" borderId="6">
      <alignment vertical="center"/>
    </xf>
    <xf numFmtId="0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9" fontId="8" fillId="0" borderId="0">
      <protection locked="0"/>
    </xf>
    <xf numFmtId="0" fontId="8" fillId="0" borderId="0"/>
    <xf numFmtId="0" fontId="43" fillId="0" borderId="0"/>
    <xf numFmtId="0" fontId="44" fillId="0" borderId="7">
      <alignment horizontal="center" vertical="center"/>
    </xf>
    <xf numFmtId="0" fontId="3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0" fontId="60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0" fontId="60" fillId="0" borderId="0" applyBorder="0" applyProtection="0">
      <alignment horizontal="centerContinuous"/>
    </xf>
    <xf numFmtId="0" fontId="60" fillId="0" borderId="0" applyBorder="0" applyProtection="0">
      <alignment horizontal="centerContinuous"/>
    </xf>
    <xf numFmtId="0" fontId="60" fillId="0" borderId="0" applyBorder="0" applyProtection="0">
      <alignment horizontal="centerContinuous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60" fillId="0" borderId="0" applyBorder="0" applyProtection="0">
      <alignment horizontal="centerContinuous"/>
    </xf>
    <xf numFmtId="179" fontId="6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61" fillId="0" borderId="0" applyFont="0" applyFill="0" applyBorder="0" applyAlignment="0" applyProtection="0"/>
    <xf numFmtId="0" fontId="62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195" fontId="42" fillId="0" borderId="0">
      <protection locked="0"/>
    </xf>
    <xf numFmtId="0" fontId="5" fillId="0" borderId="0">
      <protection locked="0"/>
    </xf>
    <xf numFmtId="195" fontId="42" fillId="0" borderId="0">
      <protection locked="0"/>
    </xf>
    <xf numFmtId="0" fontId="1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 applyFont="0" applyFill="0" applyBorder="0" applyAlignment="0" applyProtection="0"/>
    <xf numFmtId="213" fontId="65" fillId="0" borderId="0" applyFont="0" applyFill="0" applyBorder="0" applyAlignment="0" applyProtection="0"/>
    <xf numFmtId="0" fontId="66" fillId="0" borderId="0" applyFont="0" applyFill="0" applyBorder="0" applyAlignment="0" applyProtection="0"/>
    <xf numFmtId="178" fontId="64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5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42" fontId="67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 applyFont="0" applyFill="0" applyBorder="0" applyAlignment="0" applyProtection="0"/>
    <xf numFmtId="185" fontId="64" fillId="0" borderId="0" applyFont="0" applyFill="0" applyBorder="0" applyAlignment="0" applyProtection="0"/>
    <xf numFmtId="0" fontId="12" fillId="0" borderId="0" applyFont="0" applyFill="0" applyBorder="0" applyAlignment="0" applyProtection="0"/>
    <xf numFmtId="214" fontId="37" fillId="0" borderId="0" applyFont="0" applyFill="0" applyBorder="0" applyAlignment="0" applyProtection="0"/>
    <xf numFmtId="37" fontId="1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3" fillId="0" borderId="0">
      <protection locked="0"/>
    </xf>
    <xf numFmtId="0" fontId="62" fillId="0" borderId="0" applyFont="0" applyFill="0" applyBorder="0" applyAlignment="0" applyProtection="0"/>
    <xf numFmtId="0" fontId="62" fillId="0" borderId="0" applyFont="0" applyFill="0" applyBorder="0" applyAlignment="0" applyProtection="0"/>
    <xf numFmtId="178" fontId="61" fillId="0" borderId="0" applyFont="0" applyFill="0" applyBorder="0" applyAlignment="0" applyProtection="0"/>
    <xf numFmtId="185" fontId="61" fillId="0" borderId="0" applyFont="0" applyFill="0" applyBorder="0" applyAlignment="0" applyProtection="0"/>
    <xf numFmtId="0" fontId="22" fillId="0" borderId="0"/>
    <xf numFmtId="0" fontId="69" fillId="0" borderId="0">
      <alignment horizontal="center" wrapText="1"/>
      <protection locked="0"/>
    </xf>
    <xf numFmtId="195" fontId="42" fillId="0" borderId="0">
      <protection locked="0"/>
    </xf>
    <xf numFmtId="0" fontId="3" fillId="0" borderId="0">
      <protection locked="0"/>
    </xf>
    <xf numFmtId="195" fontId="42" fillId="0" borderId="0">
      <protection locked="0"/>
    </xf>
    <xf numFmtId="0" fontId="70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12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" fillId="0" borderId="0" applyFont="0" applyFill="0" applyBorder="0" applyAlignment="0" applyProtection="0"/>
    <xf numFmtId="180" fontId="65" fillId="0" borderId="0" applyFont="0" applyFill="0" applyBorder="0" applyAlignment="0" applyProtection="0"/>
    <xf numFmtId="14" fontId="3" fillId="0" borderId="0" applyFont="0" applyFill="0" applyBorder="0" applyAlignment="0" applyProtection="0"/>
    <xf numFmtId="0" fontId="57" fillId="0" borderId="0" applyFont="0" applyFill="0" applyBorder="0" applyAlignment="0" applyProtection="0">
      <alignment horizontal="right"/>
    </xf>
    <xf numFmtId="0" fontId="71" fillId="0" borderId="0"/>
    <xf numFmtId="0" fontId="72" fillId="0" borderId="0" applyNumberForma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73" fillId="0" borderId="0"/>
    <xf numFmtId="0" fontId="74" fillId="0" borderId="0"/>
    <xf numFmtId="0" fontId="61" fillId="0" borderId="0">
      <alignment vertical="center"/>
    </xf>
    <xf numFmtId="195" fontId="42" fillId="0" borderId="0">
      <protection locked="0"/>
    </xf>
    <xf numFmtId="0" fontId="75" fillId="0" borderId="0"/>
    <xf numFmtId="0" fontId="76" fillId="0" borderId="0"/>
    <xf numFmtId="0" fontId="77" fillId="0" borderId="0"/>
    <xf numFmtId="0" fontId="63" fillId="0" borderId="0"/>
    <xf numFmtId="0" fontId="77" fillId="0" borderId="0"/>
    <xf numFmtId="0" fontId="76" fillId="0" borderId="0"/>
    <xf numFmtId="0" fontId="78" fillId="0" borderId="0"/>
    <xf numFmtId="0" fontId="63" fillId="0" borderId="0"/>
    <xf numFmtId="0" fontId="74" fillId="0" borderId="0"/>
    <xf numFmtId="49" fontId="64" fillId="0" borderId="0" applyBorder="0"/>
    <xf numFmtId="0" fontId="79" fillId="0" borderId="0"/>
    <xf numFmtId="0" fontId="64" fillId="0" borderId="0"/>
    <xf numFmtId="0" fontId="66" fillId="0" borderId="0"/>
    <xf numFmtId="0" fontId="64" fillId="0" borderId="0"/>
    <xf numFmtId="0" fontId="12" fillId="0" borderId="0"/>
    <xf numFmtId="0" fontId="64" fillId="0" borderId="0"/>
    <xf numFmtId="0" fontId="80" fillId="0" borderId="0"/>
    <xf numFmtId="0" fontId="65" fillId="0" borderId="0"/>
    <xf numFmtId="37" fontId="12" fillId="0" borderId="0"/>
    <xf numFmtId="0" fontId="6" fillId="0" borderId="0"/>
    <xf numFmtId="0" fontId="70" fillId="0" borderId="0"/>
    <xf numFmtId="0" fontId="64" fillId="0" borderId="0"/>
    <xf numFmtId="0" fontId="6" fillId="0" borderId="0"/>
    <xf numFmtId="0" fontId="6" fillId="0" borderId="0"/>
    <xf numFmtId="215" fontId="8" fillId="0" borderId="0" applyFill="0" applyBorder="0" applyAlignment="0"/>
    <xf numFmtId="0" fontId="8" fillId="0" borderId="0" applyFill="0" applyBorder="0" applyAlignment="0"/>
    <xf numFmtId="0" fontId="81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8" fillId="0" borderId="0" applyFill="0" applyBorder="0" applyAlignment="0"/>
    <xf numFmtId="0" fontId="13" fillId="0" borderId="0"/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3" fillId="0" borderId="0">
      <protection locked="0"/>
    </xf>
    <xf numFmtId="4" fontId="49" fillId="0" borderId="0">
      <protection locked="0"/>
    </xf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57" fillId="0" borderId="0" applyFont="0" applyFill="0" applyBorder="0" applyAlignment="0" applyProtection="0"/>
    <xf numFmtId="0" fontId="8" fillId="0" borderId="0"/>
    <xf numFmtId="43" fontId="6" fillId="0" borderId="0" applyFont="0" applyFill="0" applyBorder="0" applyAlignment="0" applyProtection="0"/>
    <xf numFmtId="3" fontId="14" fillId="0" borderId="0" applyFont="0" applyFill="0" applyBorder="0" applyAlignment="0" applyProtection="0"/>
    <xf numFmtId="0" fontId="84" fillId="0" borderId="0" applyNumberFormat="0" applyAlignment="0">
      <alignment horizontal="left"/>
    </xf>
    <xf numFmtId="0" fontId="7" fillId="0" borderId="0" applyFont="0" applyFill="0" applyBorder="0" applyAlignment="0" applyProtection="0"/>
    <xf numFmtId="216" fontId="49" fillId="0" borderId="0">
      <protection locked="0"/>
    </xf>
    <xf numFmtId="0" fontId="22" fillId="0" borderId="0" applyFont="0" applyFill="0" applyBorder="0" applyAlignment="0" applyProtection="0"/>
    <xf numFmtId="0" fontId="8" fillId="0" borderId="0" applyFont="0" applyFill="0" applyBorder="0" applyAlignment="0" applyProtection="0"/>
    <xf numFmtId="177" fontId="6" fillId="0" borderId="0" applyFont="0" applyFill="0" applyBorder="0" applyAlignment="0" applyProtection="0"/>
    <xf numFmtId="182" fontId="14" fillId="0" borderId="0" applyFont="0" applyFill="0" applyBorder="0" applyAlignment="0" applyProtection="0"/>
    <xf numFmtId="0" fontId="6" fillId="0" borderId="0"/>
    <xf numFmtId="0" fontId="14" fillId="0" borderId="0" applyFont="0" applyFill="0" applyBorder="0" applyAlignment="0" applyProtection="0"/>
    <xf numFmtId="14" fontId="33" fillId="0" borderId="0" applyFill="0" applyBorder="0" applyAlignment="0"/>
    <xf numFmtId="0" fontId="6" fillId="0" borderId="0" applyFont="0" applyFill="0" applyBorder="0" applyAlignment="0" applyProtection="0"/>
    <xf numFmtId="0" fontId="6" fillId="0" borderId="8">
      <alignment vertical="center"/>
    </xf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8" fillId="0" borderId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57" fillId="0" borderId="0" applyFill="0" applyBorder="0" applyAlignment="0"/>
    <xf numFmtId="0" fontId="8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8" fillId="0" borderId="0" applyFill="0" applyBorder="0" applyAlignment="0"/>
    <xf numFmtId="0" fontId="85" fillId="0" borderId="0" applyNumberFormat="0" applyAlignment="0">
      <alignment horizontal="left"/>
    </xf>
    <xf numFmtId="217" fontId="3" fillId="0" borderId="0" applyFont="0" applyFill="0" applyBorder="0" applyAlignment="0" applyProtection="0"/>
    <xf numFmtId="0" fontId="49" fillId="0" borderId="0">
      <protection locked="0"/>
    </xf>
    <xf numFmtId="0" fontId="49" fillId="0" borderId="0">
      <protection locked="0"/>
    </xf>
    <xf numFmtId="0" fontId="86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86" fillId="0" borderId="0">
      <protection locked="0"/>
    </xf>
    <xf numFmtId="3" fontId="14" fillId="0" borderId="0" applyFont="0" applyFill="0" applyBorder="0" applyAlignment="0" applyProtection="0"/>
    <xf numFmtId="2" fontId="14" fillId="0" borderId="0" applyFont="0" applyFill="0" applyBorder="0" applyAlignment="0" applyProtection="0"/>
    <xf numFmtId="0" fontId="87" fillId="0" borderId="0" applyNumberFormat="0" applyFill="0" applyBorder="0" applyAlignment="0" applyProtection="0"/>
    <xf numFmtId="2" fontId="88" fillId="0" borderId="0">
      <alignment horizontal="left"/>
    </xf>
    <xf numFmtId="38" fontId="15" fillId="3" borderId="0" applyNumberFormat="0" applyBorder="0" applyAlignment="0" applyProtection="0"/>
    <xf numFmtId="3" fontId="48" fillId="0" borderId="9">
      <alignment horizontal="right" vertical="center"/>
    </xf>
    <xf numFmtId="4" fontId="48" fillId="0" borderId="9">
      <alignment horizontal="right" vertical="center"/>
    </xf>
    <xf numFmtId="0" fontId="16" fillId="0" borderId="0">
      <alignment horizontal="left"/>
    </xf>
    <xf numFmtId="0" fontId="4" fillId="0" borderId="10" applyNumberFormat="0" applyAlignment="0" applyProtection="0">
      <alignment horizontal="left" vertical="center"/>
    </xf>
    <xf numFmtId="0" fontId="4" fillId="0" borderId="11">
      <alignment horizontal="left" vertical="center"/>
    </xf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195" fontId="45" fillId="0" borderId="0">
      <protection locked="0"/>
    </xf>
    <xf numFmtId="195" fontId="45" fillId="0" borderId="0">
      <protection locked="0"/>
    </xf>
    <xf numFmtId="0" fontId="89" fillId="0" borderId="12">
      <alignment horizontal="center"/>
    </xf>
    <xf numFmtId="0" fontId="89" fillId="0" borderId="0">
      <alignment horizontal="center"/>
    </xf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0" fontId="15" fillId="3" borderId="2" applyNumberFormat="0" applyBorder="0" applyAlignment="0" applyProtection="0"/>
    <xf numFmtId="0" fontId="3" fillId="0" borderId="12">
      <protection locked="0"/>
    </xf>
    <xf numFmtId="0" fontId="57" fillId="0" borderId="0" applyFill="0" applyBorder="0" applyAlignment="0"/>
    <xf numFmtId="0" fontId="8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8" fillId="0" borderId="0" applyFill="0" applyBorder="0" applyAlignment="0"/>
    <xf numFmtId="38" fontId="22" fillId="0" borderId="0" applyFont="0" applyFill="0" applyBorder="0" applyAlignment="0" applyProtection="0"/>
    <xf numFmtId="40" fontId="22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9" fillId="0" borderId="12"/>
    <xf numFmtId="218" fontId="22" fillId="0" borderId="0" applyFont="0" applyFill="0" applyBorder="0" applyAlignment="0" applyProtection="0"/>
    <xf numFmtId="219" fontId="22" fillId="0" borderId="0" applyFont="0" applyFill="0" applyBorder="0" applyAlignment="0" applyProtection="0"/>
    <xf numFmtId="5" fontId="14" fillId="0" borderId="0" applyFont="0" applyFill="0" applyBorder="0" applyAlignment="0" applyProtection="0"/>
    <xf numFmtId="37" fontId="92" fillId="0" borderId="0"/>
    <xf numFmtId="0" fontId="8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8" fillId="0" borderId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80" fontId="1" fillId="0" borderId="0">
      <alignment vertical="center"/>
    </xf>
    <xf numFmtId="14" fontId="69" fillId="0" borderId="0">
      <alignment horizontal="center" wrapText="1"/>
      <protection locked="0"/>
    </xf>
    <xf numFmtId="220" fontId="49" fillId="0" borderId="0">
      <protection locked="0"/>
    </xf>
    <xf numFmtId="0" fontId="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10" fontId="6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ill="0" applyBorder="0" applyAlignment="0"/>
    <xf numFmtId="0" fontId="8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0" fontId="8" fillId="0" borderId="0" applyFill="0" applyBorder="0" applyAlignment="0"/>
    <xf numFmtId="0" fontId="93" fillId="4" borderId="0" applyNumberFormat="0" applyFont="0" applyBorder="0" applyAlignment="0">
      <alignment horizontal="center"/>
    </xf>
    <xf numFmtId="14" fontId="94" fillId="0" borderId="0" applyNumberFormat="0" applyFill="0" applyBorder="0" applyAlignment="0" applyProtection="0">
      <alignment horizontal="left"/>
    </xf>
    <xf numFmtId="0" fontId="48" fillId="0" borderId="2" applyNumberFormat="0" applyFont="0" applyFill="0" applyAlignment="0" applyProtection="0"/>
    <xf numFmtId="0" fontId="8" fillId="0" borderId="0"/>
    <xf numFmtId="4" fontId="95" fillId="5" borderId="13" applyNumberFormat="0" applyProtection="0">
      <alignment vertical="center"/>
    </xf>
    <xf numFmtId="4" fontId="96" fillId="6" borderId="13" applyNumberFormat="0" applyProtection="0">
      <alignment horizontal="right" vertical="center"/>
    </xf>
    <xf numFmtId="221" fontId="1" fillId="0" borderId="0">
      <alignment horizontal="right" vertical="center"/>
    </xf>
    <xf numFmtId="0" fontId="93" fillId="1" borderId="11" applyNumberFormat="0" applyFont="0" applyAlignment="0">
      <alignment horizontal="center"/>
    </xf>
    <xf numFmtId="0" fontId="97" fillId="0" borderId="0" applyNumberFormat="0" applyFill="0" applyBorder="0" applyAlignment="0">
      <alignment horizontal="center"/>
    </xf>
    <xf numFmtId="221" fontId="1" fillId="0" borderId="0">
      <alignment vertical="distributed"/>
    </xf>
    <xf numFmtId="0" fontId="3" fillId="0" borderId="0">
      <alignment horizontal="center"/>
    </xf>
    <xf numFmtId="0" fontId="19" fillId="0" borderId="0"/>
    <xf numFmtId="40" fontId="98" fillId="0" borderId="0" applyBorder="0">
      <alignment horizontal="right"/>
    </xf>
    <xf numFmtId="49" fontId="33" fillId="0" borderId="0" applyFill="0" applyBorder="0" applyAlignment="0"/>
    <xf numFmtId="0" fontId="57" fillId="0" borderId="0" applyFill="0" applyBorder="0" applyAlignment="0"/>
    <xf numFmtId="0" fontId="57" fillId="0" borderId="0" applyFill="0" applyBorder="0" applyAlignment="0"/>
    <xf numFmtId="49" fontId="99" fillId="0" borderId="0" applyFill="0" applyBorder="0" applyProtection="0">
      <alignment horizontal="centerContinuous" vertical="center"/>
    </xf>
    <xf numFmtId="0" fontId="100" fillId="0" borderId="0" applyFill="0" applyBorder="0" applyProtection="0">
      <alignment horizontal="centerContinuous" vertical="center"/>
    </xf>
    <xf numFmtId="0" fontId="23" fillId="3" borderId="0" applyFill="0" applyBorder="0" applyProtection="0">
      <alignment horizontal="center" vertical="center"/>
    </xf>
    <xf numFmtId="49" fontId="99" fillId="0" borderId="0" applyFill="0" applyBorder="0" applyProtection="0">
      <alignment horizontal="centerContinuous" vertical="center"/>
    </xf>
    <xf numFmtId="0" fontId="14" fillId="0" borderId="14" applyNumberFormat="0" applyFont="0" applyFill="0" applyAlignment="0" applyProtection="0"/>
    <xf numFmtId="0" fontId="101" fillId="0" borderId="5">
      <alignment horizontal="left"/>
    </xf>
    <xf numFmtId="2" fontId="14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36" fillId="0" borderId="0" applyNumberFormat="0" applyFill="0" applyBorder="0" applyAlignment="0" applyProtection="0">
      <alignment vertical="top"/>
      <protection locked="0"/>
    </xf>
    <xf numFmtId="0" fontId="8" fillId="0" borderId="0">
      <protection locked="0"/>
    </xf>
    <xf numFmtId="38" fontId="23" fillId="0" borderId="0"/>
    <xf numFmtId="196" fontId="8" fillId="0" borderId="0">
      <protection locked="0"/>
    </xf>
    <xf numFmtId="0" fontId="45" fillId="0" borderId="0">
      <protection locked="0"/>
    </xf>
    <xf numFmtId="0" fontId="45" fillId="0" borderId="0">
      <protection locked="0"/>
    </xf>
    <xf numFmtId="0" fontId="46" fillId="0" borderId="0"/>
    <xf numFmtId="38" fontId="47" fillId="0" borderId="0"/>
    <xf numFmtId="187" fontId="7" fillId="0" borderId="15" applyFont="0" applyFill="0" applyBorder="0" applyAlignment="0">
      <alignment horizontal="left" vertical="center"/>
    </xf>
    <xf numFmtId="0" fontId="48" fillId="0" borderId="16" applyNumberFormat="0" applyFont="0" applyFill="0" applyAlignment="0" applyProtection="0"/>
    <xf numFmtId="0" fontId="48" fillId="0" borderId="17" applyNumberFormat="0" applyFont="0" applyFill="0" applyAlignment="0" applyProtection="0"/>
    <xf numFmtId="0" fontId="3" fillId="0" borderId="0">
      <protection locked="0"/>
    </xf>
    <xf numFmtId="0" fontId="49" fillId="0" borderId="0">
      <protection locked="0"/>
    </xf>
    <xf numFmtId="3" fontId="22" fillId="0" borderId="18">
      <alignment horizontal="center"/>
    </xf>
    <xf numFmtId="37" fontId="11" fillId="0" borderId="0"/>
    <xf numFmtId="0" fontId="49" fillId="0" borderId="0">
      <protection locked="0"/>
    </xf>
    <xf numFmtId="0" fontId="37" fillId="0" borderId="0" applyFont="0"/>
    <xf numFmtId="0" fontId="9" fillId="0" borderId="0" applyNumberFormat="0" applyFill="0" applyBorder="0" applyAlignment="0" applyProtection="0">
      <alignment vertical="top"/>
      <protection locked="0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9" fontId="7" fillId="0" borderId="9">
      <alignment vertical="center"/>
    </xf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48" fillId="0" borderId="0" applyBorder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1" fillId="0" borderId="0" applyNumberFormat="0" applyFont="0" applyFill="0" applyBorder="0" applyProtection="0">
      <alignment horizontal="distributed" vertical="center" justifyLastLine="1"/>
    </xf>
    <xf numFmtId="10" fontId="38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8" fillId="0" borderId="0">
      <alignment vertical="center"/>
    </xf>
    <xf numFmtId="10" fontId="38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0" fontId="38" fillId="0" borderId="0">
      <alignment vertical="center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197" fontId="1" fillId="0" borderId="0" applyFont="0" applyFill="0" applyBorder="0" applyProtection="0">
      <alignment horizontal="center" vertical="center"/>
    </xf>
    <xf numFmtId="198" fontId="1" fillId="0" borderId="0" applyFont="0" applyFill="0" applyBorder="0" applyProtection="0">
      <alignment horizontal="center" vertical="center"/>
    </xf>
    <xf numFmtId="9" fontId="47" fillId="3" borderId="0" applyFill="0" applyBorder="0" applyProtection="0">
      <alignment horizontal="right"/>
    </xf>
    <xf numFmtId="10" fontId="47" fillId="0" borderId="0" applyFill="0" applyBorder="0" applyProtection="0">
      <alignment horizontal="right"/>
    </xf>
    <xf numFmtId="9" fontId="3" fillId="0" borderId="0" applyFont="0" applyFill="0" applyBorder="0" applyAlignment="0" applyProtection="0">
      <alignment vertical="center"/>
    </xf>
    <xf numFmtId="199" fontId="1" fillId="0" borderId="0" applyFont="0" applyFill="0" applyBorder="0" applyAlignment="0" applyProtection="0"/>
    <xf numFmtId="183" fontId="1" fillId="0" borderId="0" applyFont="0" applyFill="0" applyBorder="0" applyAlignment="0" applyProtection="0"/>
    <xf numFmtId="181" fontId="3" fillId="0" borderId="19" applyFont="0" applyFill="0" applyAlignment="0" applyProtection="0">
      <alignment horizontal="center" vertical="center"/>
    </xf>
    <xf numFmtId="0" fontId="8" fillId="0" borderId="0"/>
    <xf numFmtId="179" fontId="50" fillId="0" borderId="15">
      <alignment vertical="center"/>
    </xf>
    <xf numFmtId="200" fontId="51" fillId="0" borderId="0"/>
    <xf numFmtId="0" fontId="1" fillId="0" borderId="0" applyNumberFormat="0" applyFont="0" applyFill="0" applyBorder="0" applyProtection="0">
      <alignment horizontal="centerContinuous" vertical="center"/>
    </xf>
    <xf numFmtId="0" fontId="52" fillId="0" borderId="20">
      <alignment vertical="center"/>
    </xf>
    <xf numFmtId="0" fontId="21" fillId="0" borderId="0">
      <alignment vertical="center"/>
    </xf>
    <xf numFmtId="201" fontId="38" fillId="0" borderId="0">
      <alignment vertical="center"/>
    </xf>
    <xf numFmtId="179" fontId="20" fillId="0" borderId="15">
      <alignment vertical="center"/>
    </xf>
    <xf numFmtId="202" fontId="53" fillId="0" borderId="0">
      <alignment vertical="center"/>
    </xf>
    <xf numFmtId="179" fontId="1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54" fillId="0" borderId="0" applyFont="0" applyFill="0" applyBorder="0" applyAlignment="0" applyProtection="0"/>
    <xf numFmtId="41" fontId="103" fillId="0" borderId="0" applyFont="0" applyFill="0" applyBorder="0" applyAlignment="0" applyProtection="0">
      <alignment vertical="center"/>
    </xf>
    <xf numFmtId="0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5" fillId="0" borderId="21"/>
    <xf numFmtId="0" fontId="36" fillId="0" borderId="0" applyNumberFormat="0" applyFill="0" applyBorder="0" applyAlignment="0" applyProtection="0">
      <alignment vertical="top"/>
      <protection locked="0"/>
    </xf>
    <xf numFmtId="0" fontId="48" fillId="0" borderId="0"/>
    <xf numFmtId="203" fontId="48" fillId="0" borderId="2" applyBorder="0">
      <alignment vertical="center"/>
    </xf>
    <xf numFmtId="0" fontId="8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0" fontId="7" fillId="0" borderId="0" applyNumberFormat="0" applyAlignment="0">
      <alignment horizontal="left" vertical="center"/>
    </xf>
    <xf numFmtId="4" fontId="49" fillId="0" borderId="0">
      <protection locked="0"/>
    </xf>
    <xf numFmtId="0" fontId="46" fillId="0" borderId="0"/>
    <xf numFmtId="4" fontId="49" fillId="0" borderId="0">
      <protection locked="0"/>
    </xf>
    <xf numFmtId="3" fontId="10" fillId="0" borderId="0" applyFont="0" applyFill="0" applyBorder="0" applyAlignment="0" applyProtection="0"/>
    <xf numFmtId="0" fontId="8" fillId="0" borderId="0">
      <alignment vertical="center"/>
    </xf>
    <xf numFmtId="0" fontId="55" fillId="0" borderId="0">
      <alignment horizontal="centerContinuous" vertical="center"/>
    </xf>
    <xf numFmtId="0" fontId="8" fillId="0" borderId="2">
      <alignment horizontal="distributed" vertical="center"/>
    </xf>
    <xf numFmtId="0" fontId="8" fillId="0" borderId="22">
      <alignment horizontal="distributed" vertical="top"/>
    </xf>
    <xf numFmtId="0" fontId="8" fillId="0" borderId="23">
      <alignment horizontal="distributed"/>
    </xf>
    <xf numFmtId="179" fontId="56" fillId="0" borderId="0">
      <alignment vertical="center"/>
    </xf>
    <xf numFmtId="0" fontId="8" fillId="0" borderId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8" fillId="0" borderId="0" applyFont="0" applyFill="0" applyBorder="0" applyAlignment="0" applyProtection="0"/>
    <xf numFmtId="202" fontId="57" fillId="0" borderId="0" applyFont="0" applyFill="0" applyBorder="0" applyAlignment="0" applyProtection="0">
      <alignment vertical="center"/>
    </xf>
    <xf numFmtId="0" fontId="3" fillId="0" borderId="0">
      <protection locked="0"/>
    </xf>
    <xf numFmtId="204" fontId="1" fillId="0" borderId="0" applyFont="0" applyFill="0" applyBorder="0" applyProtection="0">
      <alignment vertical="center"/>
    </xf>
    <xf numFmtId="38" fontId="1" fillId="0" borderId="0" applyFont="0" applyFill="0" applyBorder="0" applyProtection="0">
      <alignment vertical="center"/>
    </xf>
    <xf numFmtId="202" fontId="8" fillId="0" borderId="0" applyFont="0" applyFill="0" applyBorder="0" applyAlignment="0" applyProtection="0"/>
    <xf numFmtId="0" fontId="58" fillId="3" borderId="0" applyFill="0" applyBorder="0" applyProtection="0">
      <alignment horizontal="right"/>
    </xf>
    <xf numFmtId="38" fontId="1" fillId="0" borderId="0" applyFont="0" applyFill="0" applyBorder="0" applyAlignment="0" applyProtection="0">
      <alignment vertical="center"/>
    </xf>
    <xf numFmtId="205" fontId="1" fillId="0" borderId="0" applyFont="0" applyFill="0" applyBorder="0" applyAlignment="0" applyProtection="0">
      <alignment vertical="center"/>
    </xf>
    <xf numFmtId="38" fontId="1" fillId="0" borderId="0" applyFill="0" applyBorder="0" applyAlignment="0" applyProtection="0">
      <alignment vertical="center"/>
    </xf>
    <xf numFmtId="201" fontId="59" fillId="0" borderId="0" applyFont="0" applyFill="0" applyBorder="0" applyAlignment="0" applyProtection="0"/>
    <xf numFmtId="206" fontId="7" fillId="0" borderId="0" applyFont="0" applyFill="0" applyBorder="0" applyAlignment="0" applyProtection="0">
      <alignment textRotation="255"/>
    </xf>
    <xf numFmtId="207" fontId="7" fillId="0" borderId="0" applyFont="0" applyFill="0" applyBorder="0" applyAlignment="0" applyProtection="0">
      <alignment textRotation="255"/>
    </xf>
    <xf numFmtId="208" fontId="59" fillId="0" borderId="2">
      <alignment vertical="center"/>
    </xf>
    <xf numFmtId="209" fontId="7" fillId="0" borderId="0" applyFont="0" applyFill="0" applyBorder="0" applyAlignment="0" applyProtection="0">
      <alignment textRotation="255"/>
    </xf>
    <xf numFmtId="0" fontId="23" fillId="0" borderId="0"/>
    <xf numFmtId="0" fontId="8" fillId="0" borderId="0" applyFont="0" applyFill="0" applyBorder="0" applyAlignment="0" applyProtection="0"/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210" fontId="8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3" fillId="0" borderId="0">
      <protection locked="0"/>
    </xf>
    <xf numFmtId="0" fontId="11" fillId="0" borderId="23">
      <alignment horizontal="distributed"/>
    </xf>
    <xf numFmtId="0" fontId="11" fillId="0" borderId="24">
      <alignment horizontal="distributed" vertical="center"/>
    </xf>
    <xf numFmtId="0" fontId="11" fillId="0" borderId="25">
      <alignment horizontal="distributed" vertical="top"/>
    </xf>
    <xf numFmtId="0" fontId="3" fillId="0" borderId="0">
      <alignment vertical="center"/>
    </xf>
    <xf numFmtId="0" fontId="54" fillId="0" borderId="0"/>
    <xf numFmtId="0" fontId="3" fillId="0" borderId="0"/>
    <xf numFmtId="0" fontId="103" fillId="0" borderId="0">
      <alignment vertical="center"/>
    </xf>
    <xf numFmtId="0" fontId="3" fillId="0" borderId="0"/>
    <xf numFmtId="0" fontId="8" fillId="0" borderId="20">
      <alignment vertical="center" wrapText="1"/>
    </xf>
    <xf numFmtId="0" fontId="44" fillId="0" borderId="7">
      <alignment horizontal="center" vertical="center"/>
    </xf>
    <xf numFmtId="0" fontId="49" fillId="0" borderId="14">
      <protection locked="0"/>
    </xf>
    <xf numFmtId="211" fontId="8" fillId="0" borderId="0">
      <protection locked="0"/>
    </xf>
    <xf numFmtId="212" fontId="8" fillId="0" borderId="0">
      <protection locked="0"/>
    </xf>
    <xf numFmtId="0" fontId="104" fillId="0" borderId="0">
      <alignment vertical="center"/>
    </xf>
    <xf numFmtId="0" fontId="8" fillId="0" borderId="0"/>
    <xf numFmtId="0" fontId="104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105" fillId="0" borderId="0">
      <alignment vertical="center"/>
    </xf>
    <xf numFmtId="41" fontId="104" fillId="0" borderId="0" applyFont="0" applyFill="0" applyBorder="0" applyAlignment="0" applyProtection="0">
      <alignment vertical="center"/>
    </xf>
    <xf numFmtId="0" fontId="8" fillId="0" borderId="0"/>
    <xf numFmtId="41" fontId="1" fillId="0" borderId="0" applyFont="0" applyFill="0" applyBorder="0" applyAlignment="0" applyProtection="0">
      <alignment vertical="center"/>
    </xf>
    <xf numFmtId="0" fontId="25" fillId="0" borderId="0"/>
    <xf numFmtId="41" fontId="1" fillId="0" borderId="0" applyFont="0" applyFill="0" applyBorder="0" applyAlignment="0" applyProtection="0">
      <alignment vertical="center"/>
    </xf>
  </cellStyleXfs>
  <cellXfs count="511">
    <xf numFmtId="0" fontId="0" fillId="0" borderId="0" xfId="0"/>
    <xf numFmtId="0" fontId="108" fillId="0" borderId="0" xfId="2584" applyNumberFormat="1" applyFont="1" applyFill="1" applyBorder="1" applyAlignment="1">
      <alignment horizontal="center" vertical="center"/>
    </xf>
    <xf numFmtId="0" fontId="111" fillId="0" borderId="4" xfId="2584" applyNumberFormat="1" applyFont="1" applyFill="1" applyBorder="1" applyAlignment="1">
      <alignment horizontal="center" vertical="center" wrapText="1"/>
    </xf>
    <xf numFmtId="0" fontId="110" fillId="0" borderId="4" xfId="2584" applyNumberFormat="1" applyFont="1" applyFill="1" applyBorder="1" applyAlignment="1">
      <alignment vertical="center"/>
    </xf>
    <xf numFmtId="0" fontId="111" fillId="0" borderId="4" xfId="2584" applyNumberFormat="1" applyFont="1" applyFill="1" applyBorder="1" applyAlignment="1">
      <alignment horizontal="left" vertical="center"/>
    </xf>
    <xf numFmtId="0" fontId="111" fillId="0" borderId="4" xfId="0" applyFont="1" applyBorder="1" applyAlignment="1">
      <alignment horizontal="center" vertical="center"/>
    </xf>
    <xf numFmtId="43" fontId="111" fillId="0" borderId="4" xfId="2584" applyNumberFormat="1" applyFont="1" applyFill="1" applyBorder="1" applyAlignment="1">
      <alignment horizontal="center" vertical="center"/>
    </xf>
    <xf numFmtId="179" fontId="111" fillId="0" borderId="4" xfId="2584" applyFont="1" applyFill="1" applyBorder="1" applyAlignment="1">
      <alignment vertical="center"/>
    </xf>
    <xf numFmtId="179" fontId="111" fillId="0" borderId="6" xfId="2584" applyFont="1" applyFill="1" applyBorder="1" applyAlignment="1">
      <alignment vertical="center"/>
    </xf>
    <xf numFmtId="0" fontId="111" fillId="0" borderId="0" xfId="0" applyFont="1" applyAlignment="1">
      <alignment vertical="center"/>
    </xf>
    <xf numFmtId="0" fontId="111" fillId="0" borderId="20" xfId="2584" applyNumberFormat="1" applyFont="1" applyFill="1" applyBorder="1" applyAlignment="1">
      <alignment horizontal="center" vertical="center"/>
    </xf>
    <xf numFmtId="0" fontId="111" fillId="0" borderId="20" xfId="2584" applyNumberFormat="1" applyFont="1" applyFill="1" applyBorder="1" applyAlignment="1">
      <alignment vertical="center"/>
    </xf>
    <xf numFmtId="0" fontId="111" fillId="0" borderId="20" xfId="2584" applyNumberFormat="1" applyFont="1" applyFill="1" applyBorder="1" applyAlignment="1">
      <alignment horizontal="left" vertical="center"/>
    </xf>
    <xf numFmtId="0" fontId="112" fillId="0" borderId="20" xfId="2584" applyNumberFormat="1" applyFont="1" applyFill="1" applyBorder="1" applyAlignment="1">
      <alignment horizontal="center" vertical="center"/>
    </xf>
    <xf numFmtId="0" fontId="112" fillId="0" borderId="20" xfId="2584" applyNumberFormat="1" applyFont="1" applyFill="1" applyBorder="1" applyAlignment="1">
      <alignment vertical="center"/>
    </xf>
    <xf numFmtId="0" fontId="112" fillId="0" borderId="20" xfId="2584" applyNumberFormat="1" applyFont="1" applyFill="1" applyBorder="1" applyAlignment="1">
      <alignment horizontal="left" vertical="center"/>
    </xf>
    <xf numFmtId="0" fontId="112" fillId="0" borderId="4" xfId="0" applyFont="1" applyBorder="1" applyAlignment="1">
      <alignment horizontal="center" vertical="center"/>
    </xf>
    <xf numFmtId="43" fontId="112" fillId="0" borderId="4" xfId="2584" applyNumberFormat="1" applyFont="1" applyFill="1" applyBorder="1" applyAlignment="1">
      <alignment horizontal="center" vertical="center"/>
    </xf>
    <xf numFmtId="179" fontId="112" fillId="0" borderId="4" xfId="2584" applyFont="1" applyFill="1" applyBorder="1" applyAlignment="1">
      <alignment vertical="center"/>
    </xf>
    <xf numFmtId="179" fontId="112" fillId="0" borderId="6" xfId="2584" applyFont="1" applyFill="1" applyBorder="1" applyAlignment="1">
      <alignment vertical="center"/>
    </xf>
    <xf numFmtId="0" fontId="112" fillId="0" borderId="0" xfId="0" applyFont="1" applyAlignment="1">
      <alignment vertical="center"/>
    </xf>
    <xf numFmtId="0" fontId="112" fillId="11" borderId="0" xfId="0" applyFont="1" applyFill="1" applyAlignment="1">
      <alignment vertical="center"/>
    </xf>
    <xf numFmtId="0" fontId="112" fillId="9" borderId="20" xfId="2584" applyNumberFormat="1" applyFont="1" applyFill="1" applyBorder="1" applyAlignment="1">
      <alignment horizontal="center" vertical="center"/>
    </xf>
    <xf numFmtId="0" fontId="112" fillId="9" borderId="20" xfId="2584" applyNumberFormat="1" applyFont="1" applyFill="1" applyBorder="1" applyAlignment="1">
      <alignment vertical="center"/>
    </xf>
    <xf numFmtId="0" fontId="112" fillId="9" borderId="20" xfId="2584" applyNumberFormat="1" applyFont="1" applyFill="1" applyBorder="1" applyAlignment="1">
      <alignment horizontal="left" vertical="center"/>
    </xf>
    <xf numFmtId="0" fontId="112" fillId="9" borderId="4" xfId="0" applyFont="1" applyFill="1" applyBorder="1" applyAlignment="1">
      <alignment horizontal="center" vertical="center"/>
    </xf>
    <xf numFmtId="0" fontId="112" fillId="9" borderId="0" xfId="0" applyFont="1" applyFill="1" applyAlignment="1">
      <alignment vertical="center"/>
    </xf>
    <xf numFmtId="43" fontId="111" fillId="0" borderId="9" xfId="2584" applyNumberFormat="1" applyFont="1" applyFill="1" applyBorder="1" applyAlignment="1">
      <alignment horizontal="center" vertical="center"/>
    </xf>
    <xf numFmtId="41" fontId="111" fillId="0" borderId="4" xfId="2865" applyFont="1" applyFill="1" applyBorder="1" applyAlignment="1">
      <alignment vertical="center"/>
    </xf>
    <xf numFmtId="41" fontId="111" fillId="0" borderId="6" xfId="2865" applyFont="1" applyFill="1" applyBorder="1" applyAlignment="1">
      <alignment vertical="center"/>
    </xf>
    <xf numFmtId="0" fontId="111" fillId="0" borderId="9" xfId="0" applyFont="1" applyBorder="1" applyAlignment="1">
      <alignment horizontal="center" vertical="center"/>
    </xf>
    <xf numFmtId="0" fontId="111" fillId="10" borderId="20" xfId="2584" applyNumberFormat="1" applyFont="1" applyFill="1" applyBorder="1" applyAlignment="1">
      <alignment horizontal="center" vertical="center"/>
    </xf>
    <xf numFmtId="0" fontId="112" fillId="10" borderId="20" xfId="2584" applyNumberFormat="1" applyFont="1" applyFill="1" applyBorder="1" applyAlignment="1">
      <alignment vertical="center"/>
    </xf>
    <xf numFmtId="0" fontId="111" fillId="10" borderId="20" xfId="2584" applyNumberFormat="1" applyFont="1" applyFill="1" applyBorder="1" applyAlignment="1">
      <alignment horizontal="left" vertical="center"/>
    </xf>
    <xf numFmtId="0" fontId="111" fillId="10" borderId="4" xfId="0" applyFont="1" applyFill="1" applyBorder="1" applyAlignment="1">
      <alignment horizontal="center" vertical="center"/>
    </xf>
    <xf numFmtId="0" fontId="111" fillId="10" borderId="9" xfId="0" applyFont="1" applyFill="1" applyBorder="1" applyAlignment="1">
      <alignment horizontal="center" vertical="center"/>
    </xf>
    <xf numFmtId="41" fontId="111" fillId="10" borderId="4" xfId="2865" applyFont="1" applyFill="1" applyBorder="1" applyAlignment="1">
      <alignment vertical="center"/>
    </xf>
    <xf numFmtId="41" fontId="111" fillId="10" borderId="6" xfId="2865" applyFont="1" applyFill="1" applyBorder="1" applyAlignment="1">
      <alignment vertical="center"/>
    </xf>
    <xf numFmtId="0" fontId="111" fillId="10" borderId="0" xfId="0" applyFont="1" applyFill="1" applyAlignment="1">
      <alignment vertical="center"/>
    </xf>
    <xf numFmtId="43" fontId="111" fillId="0" borderId="4" xfId="2865" applyNumberFormat="1" applyFont="1" applyFill="1" applyBorder="1" applyAlignment="1">
      <alignment vertical="center"/>
    </xf>
    <xf numFmtId="0" fontId="112" fillId="9" borderId="9" xfId="0" applyFont="1" applyFill="1" applyBorder="1" applyAlignment="1">
      <alignment horizontal="center" vertical="center"/>
    </xf>
    <xf numFmtId="41" fontId="112" fillId="9" borderId="4" xfId="2865" applyFont="1" applyFill="1" applyBorder="1" applyAlignment="1">
      <alignment vertical="center"/>
    </xf>
    <xf numFmtId="41" fontId="112" fillId="9" borderId="6" xfId="2865" applyFont="1" applyFill="1" applyBorder="1" applyAlignment="1">
      <alignment vertical="center"/>
    </xf>
    <xf numFmtId="0" fontId="111" fillId="0" borderId="20" xfId="2584" quotePrefix="1" applyNumberFormat="1" applyFont="1" applyFill="1" applyBorder="1" applyAlignment="1">
      <alignment horizontal="center" vertical="center"/>
    </xf>
    <xf numFmtId="0" fontId="112" fillId="8" borderId="20" xfId="2584" quotePrefix="1" applyNumberFormat="1" applyFont="1" applyFill="1" applyBorder="1" applyAlignment="1">
      <alignment horizontal="center" vertical="center"/>
    </xf>
    <xf numFmtId="0" fontId="112" fillId="8" borderId="20" xfId="2584" applyNumberFormat="1" applyFont="1" applyFill="1" applyBorder="1" applyAlignment="1">
      <alignment vertical="center"/>
    </xf>
    <xf numFmtId="0" fontId="112" fillId="8" borderId="20" xfId="2584" applyNumberFormat="1" applyFont="1" applyFill="1" applyBorder="1" applyAlignment="1">
      <alignment horizontal="left" vertical="center"/>
    </xf>
    <xf numFmtId="0" fontId="112" fillId="0" borderId="9" xfId="0" applyFont="1" applyBorder="1" applyAlignment="1">
      <alignment horizontal="center" vertical="center"/>
    </xf>
    <xf numFmtId="41" fontId="112" fillId="0" borderId="4" xfId="2865" applyFont="1" applyFill="1" applyBorder="1" applyAlignment="1">
      <alignment vertical="center"/>
    </xf>
    <xf numFmtId="41" fontId="112" fillId="0" borderId="6" xfId="2865" applyFont="1" applyFill="1" applyBorder="1" applyAlignment="1">
      <alignment vertical="center"/>
    </xf>
    <xf numFmtId="2" fontId="111" fillId="0" borderId="9" xfId="0" applyNumberFormat="1" applyFont="1" applyBorder="1" applyAlignment="1">
      <alignment vertical="center"/>
    </xf>
    <xf numFmtId="2" fontId="112" fillId="0" borderId="9" xfId="0" applyNumberFormat="1" applyFont="1" applyBorder="1" applyAlignment="1">
      <alignment vertical="center"/>
    </xf>
    <xf numFmtId="0" fontId="111" fillId="13" borderId="20" xfId="2584" applyNumberFormat="1" applyFont="1" applyFill="1" applyBorder="1" applyAlignment="1">
      <alignment horizontal="center" vertical="center"/>
    </xf>
    <xf numFmtId="0" fontId="111" fillId="13" borderId="20" xfId="2584" applyNumberFormat="1" applyFont="1" applyFill="1" applyBorder="1" applyAlignment="1">
      <alignment vertical="center"/>
    </xf>
    <xf numFmtId="0" fontId="111" fillId="13" borderId="20" xfId="2584" applyNumberFormat="1" applyFont="1" applyFill="1" applyBorder="1" applyAlignment="1">
      <alignment horizontal="left" vertical="center"/>
    </xf>
    <xf numFmtId="0" fontId="111" fillId="13" borderId="4" xfId="0" applyFont="1" applyFill="1" applyBorder="1" applyAlignment="1">
      <alignment horizontal="center" vertical="center"/>
    </xf>
    <xf numFmtId="2" fontId="111" fillId="13" borderId="9" xfId="0" applyNumberFormat="1" applyFont="1" applyFill="1" applyBorder="1" applyAlignment="1">
      <alignment vertical="center"/>
    </xf>
    <xf numFmtId="41" fontId="111" fillId="13" borderId="4" xfId="2865" applyFont="1" applyFill="1" applyBorder="1" applyAlignment="1">
      <alignment vertical="center"/>
    </xf>
    <xf numFmtId="41" fontId="111" fillId="13" borderId="6" xfId="2865" applyFont="1" applyFill="1" applyBorder="1" applyAlignment="1">
      <alignment vertical="center"/>
    </xf>
    <xf numFmtId="0" fontId="111" fillId="13" borderId="0" xfId="0" applyFont="1" applyFill="1" applyAlignment="1">
      <alignment vertical="center"/>
    </xf>
    <xf numFmtId="0" fontId="111" fillId="13" borderId="20" xfId="2865" applyNumberFormat="1" applyFont="1" applyFill="1" applyBorder="1" applyAlignment="1">
      <alignment horizontal="center" vertical="center"/>
    </xf>
    <xf numFmtId="43" fontId="111" fillId="13" borderId="9" xfId="0" applyNumberFormat="1" applyFont="1" applyFill="1" applyBorder="1" applyAlignment="1">
      <alignment vertical="center"/>
    </xf>
    <xf numFmtId="0" fontId="111" fillId="13" borderId="20" xfId="2865" applyNumberFormat="1" applyFont="1" applyFill="1" applyBorder="1" applyAlignment="1">
      <alignment horizontal="left" vertical="center"/>
    </xf>
    <xf numFmtId="0" fontId="111" fillId="0" borderId="0" xfId="2584" applyNumberFormat="1" applyFont="1" applyFill="1" applyBorder="1" applyAlignment="1">
      <alignment horizontal="center" vertical="center"/>
    </xf>
    <xf numFmtId="0" fontId="111" fillId="0" borderId="0" xfId="2584" applyNumberFormat="1" applyFont="1" applyFill="1" applyBorder="1" applyAlignment="1">
      <alignment vertical="center"/>
    </xf>
    <xf numFmtId="0" fontId="111" fillId="0" borderId="0" xfId="2584" applyNumberFormat="1" applyFont="1" applyFill="1" applyBorder="1" applyAlignment="1">
      <alignment horizontal="left" vertical="center"/>
    </xf>
    <xf numFmtId="0" fontId="111" fillId="0" borderId="0" xfId="0" applyFont="1" applyAlignment="1">
      <alignment horizontal="center" vertical="center"/>
    </xf>
    <xf numFmtId="43" fontId="111" fillId="0" borderId="0" xfId="2584" applyNumberFormat="1" applyFont="1" applyFill="1" applyBorder="1" applyAlignment="1">
      <alignment vertical="center"/>
    </xf>
    <xf numFmtId="179" fontId="111" fillId="0" borderId="0" xfId="2584" applyFont="1" applyFill="1" applyBorder="1" applyAlignment="1">
      <alignment vertical="center"/>
    </xf>
    <xf numFmtId="0" fontId="116" fillId="0" borderId="0" xfId="0" applyFont="1" applyAlignment="1">
      <alignment vertical="center"/>
    </xf>
    <xf numFmtId="0" fontId="114" fillId="0" borderId="0" xfId="2866" applyFont="1"/>
    <xf numFmtId="0" fontId="116" fillId="0" borderId="0" xfId="2866" applyFont="1"/>
    <xf numFmtId="0" fontId="117" fillId="0" borderId="21" xfId="2866" applyFont="1" applyBorder="1"/>
    <xf numFmtId="0" fontId="117" fillId="0" borderId="0" xfId="2866" applyFont="1"/>
    <xf numFmtId="0" fontId="118" fillId="0" borderId="0" xfId="2866" applyFont="1"/>
    <xf numFmtId="0" fontId="118" fillId="0" borderId="21" xfId="2866" applyFont="1" applyBorder="1"/>
    <xf numFmtId="0" fontId="118" fillId="0" borderId="21" xfId="2866" applyFont="1" applyBorder="1" applyAlignment="1">
      <alignment horizontal="left"/>
    </xf>
    <xf numFmtId="0" fontId="118" fillId="0" borderId="0" xfId="2866" applyFont="1" applyAlignment="1">
      <alignment horizontal="right"/>
    </xf>
    <xf numFmtId="223" fontId="118" fillId="0" borderId="0" xfId="2866" applyNumberFormat="1" applyFont="1" applyAlignment="1">
      <alignment horizontal="center"/>
    </xf>
    <xf numFmtId="0" fontId="119" fillId="0" borderId="0" xfId="2866" applyFont="1"/>
    <xf numFmtId="0" fontId="118" fillId="0" borderId="0" xfId="2866" applyFont="1" applyAlignment="1">
      <alignment horizontal="left"/>
    </xf>
    <xf numFmtId="0" fontId="121" fillId="0" borderId="0" xfId="2866" applyFont="1"/>
    <xf numFmtId="0" fontId="119" fillId="0" borderId="0" xfId="2866" applyFont="1" applyAlignment="1">
      <alignment horizontal="left"/>
    </xf>
    <xf numFmtId="0" fontId="115" fillId="0" borderId="0" xfId="2866" applyFont="1"/>
    <xf numFmtId="0" fontId="123" fillId="0" borderId="0" xfId="2584" applyNumberFormat="1" applyFont="1" applyFill="1" applyBorder="1" applyAlignment="1">
      <alignment horizontal="center" vertical="center"/>
    </xf>
    <xf numFmtId="0" fontId="124" fillId="13" borderId="0" xfId="2584" applyNumberFormat="1" applyFont="1" applyFill="1" applyBorder="1" applyAlignment="1">
      <alignment vertical="center"/>
    </xf>
    <xf numFmtId="0" fontId="122" fillId="13" borderId="0" xfId="2584" applyNumberFormat="1" applyFont="1" applyFill="1" applyBorder="1" applyAlignment="1">
      <alignment vertical="center"/>
    </xf>
    <xf numFmtId="0" fontId="126" fillId="0" borderId="0" xfId="2584" applyNumberFormat="1" applyFont="1" applyFill="1" applyBorder="1" applyAlignment="1">
      <alignment horizontal="center" vertical="center"/>
    </xf>
    <xf numFmtId="179" fontId="125" fillId="7" borderId="27" xfId="2584" applyFont="1" applyFill="1" applyBorder="1" applyAlignment="1">
      <alignment horizontal="center" vertical="center"/>
    </xf>
    <xf numFmtId="0" fontId="127" fillId="0" borderId="20" xfId="2584" applyNumberFormat="1" applyFont="1" applyFill="1" applyBorder="1" applyAlignment="1">
      <alignment horizontal="center" vertical="center"/>
    </xf>
    <xf numFmtId="0" fontId="127" fillId="0" borderId="20" xfId="2584" applyNumberFormat="1" applyFont="1" applyFill="1" applyBorder="1" applyAlignment="1">
      <alignment vertical="center"/>
    </xf>
    <xf numFmtId="0" fontId="127" fillId="0" borderId="20" xfId="2584" applyNumberFormat="1" applyFont="1" applyFill="1" applyBorder="1" applyAlignment="1">
      <alignment horizontal="left" vertical="center"/>
    </xf>
    <xf numFmtId="0" fontId="127" fillId="0" borderId="4" xfId="0" applyFont="1" applyBorder="1" applyAlignment="1">
      <alignment horizontal="center" vertical="center"/>
    </xf>
    <xf numFmtId="0" fontId="127" fillId="0" borderId="6" xfId="0" applyFont="1" applyBorder="1" applyAlignment="1">
      <alignment horizontal="center" vertical="center"/>
    </xf>
    <xf numFmtId="43" fontId="127" fillId="0" borderId="4" xfId="2584" applyNumberFormat="1" applyFont="1" applyFill="1" applyBorder="1" applyAlignment="1">
      <alignment horizontal="center" vertical="center"/>
    </xf>
    <xf numFmtId="179" fontId="127" fillId="0" borderId="4" xfId="2584" applyFont="1" applyFill="1" applyBorder="1" applyAlignment="1">
      <alignment vertical="center"/>
    </xf>
    <xf numFmtId="0" fontId="127" fillId="0" borderId="9" xfId="0" applyFont="1" applyBorder="1" applyAlignment="1">
      <alignment horizontal="center" vertical="center" shrinkToFit="1"/>
    </xf>
    <xf numFmtId="0" fontId="127" fillId="0" borderId="0" xfId="0" applyFont="1" applyAlignment="1">
      <alignment vertical="center"/>
    </xf>
    <xf numFmtId="0" fontId="128" fillId="0" borderId="20" xfId="2584" applyNumberFormat="1" applyFont="1" applyFill="1" applyBorder="1" applyAlignment="1">
      <alignment horizontal="center" vertical="center"/>
    </xf>
    <xf numFmtId="0" fontId="128" fillId="0" borderId="20" xfId="2584" applyNumberFormat="1" applyFont="1" applyFill="1" applyBorder="1" applyAlignment="1">
      <alignment vertical="center"/>
    </xf>
    <xf numFmtId="0" fontId="128" fillId="0" borderId="20" xfId="2584" applyNumberFormat="1" applyFont="1" applyFill="1" applyBorder="1" applyAlignment="1">
      <alignment horizontal="left" vertical="center"/>
    </xf>
    <xf numFmtId="0" fontId="128" fillId="0" borderId="4" xfId="0" applyFont="1" applyBorder="1" applyAlignment="1">
      <alignment horizontal="center" vertical="center"/>
    </xf>
    <xf numFmtId="0" fontId="128" fillId="0" borderId="6" xfId="0" applyFont="1" applyBorder="1" applyAlignment="1">
      <alignment horizontal="center" vertical="center"/>
    </xf>
    <xf numFmtId="43" fontId="128" fillId="0" borderId="4" xfId="2584" applyNumberFormat="1" applyFont="1" applyFill="1" applyBorder="1" applyAlignment="1">
      <alignment horizontal="center" vertical="center"/>
    </xf>
    <xf numFmtId="179" fontId="128" fillId="0" borderId="4" xfId="2584" applyFont="1" applyFill="1" applyBorder="1" applyAlignment="1">
      <alignment vertical="center"/>
    </xf>
    <xf numFmtId="0" fontId="128" fillId="0" borderId="9" xfId="0" applyFont="1" applyBorder="1" applyAlignment="1">
      <alignment horizontal="center" vertical="center" shrinkToFit="1"/>
    </xf>
    <xf numFmtId="0" fontId="128" fillId="0" borderId="0" xfId="0" applyFont="1" applyAlignment="1">
      <alignment vertical="center"/>
    </xf>
    <xf numFmtId="0" fontId="127" fillId="11" borderId="20" xfId="2584" applyNumberFormat="1" applyFont="1" applyFill="1" applyBorder="1" applyAlignment="1">
      <alignment horizontal="center" vertical="center"/>
    </xf>
    <xf numFmtId="0" fontId="127" fillId="11" borderId="20" xfId="2584" applyNumberFormat="1" applyFont="1" applyFill="1" applyBorder="1" applyAlignment="1">
      <alignment horizontal="left" vertical="center"/>
    </xf>
    <xf numFmtId="0" fontId="127" fillId="11" borderId="4" xfId="0" applyFont="1" applyFill="1" applyBorder="1" applyAlignment="1">
      <alignment horizontal="center" vertical="center"/>
    </xf>
    <xf numFmtId="0" fontId="127" fillId="11" borderId="6" xfId="0" applyFont="1" applyFill="1" applyBorder="1" applyAlignment="1">
      <alignment horizontal="center" vertical="center"/>
    </xf>
    <xf numFmtId="43" fontId="127" fillId="11" borderId="4" xfId="2584" applyNumberFormat="1" applyFont="1" applyFill="1" applyBorder="1" applyAlignment="1">
      <alignment horizontal="center" vertical="center"/>
    </xf>
    <xf numFmtId="179" fontId="127" fillId="11" borderId="4" xfId="2584" applyFont="1" applyFill="1" applyBorder="1" applyAlignment="1">
      <alignment vertical="center"/>
    </xf>
    <xf numFmtId="179" fontId="127" fillId="11" borderId="9" xfId="0" applyNumberFormat="1" applyFont="1" applyFill="1" applyBorder="1" applyAlignment="1">
      <alignment horizontal="center" vertical="center" shrinkToFit="1"/>
    </xf>
    <xf numFmtId="0" fontId="127" fillId="11" borderId="0" xfId="0" applyFont="1" applyFill="1" applyAlignment="1">
      <alignment vertical="center"/>
    </xf>
    <xf numFmtId="0" fontId="128" fillId="0" borderId="0" xfId="2584" applyNumberFormat="1" applyFont="1" applyFill="1" applyBorder="1" applyAlignment="1">
      <alignment horizontal="left" vertical="center"/>
    </xf>
    <xf numFmtId="43" fontId="128" fillId="0" borderId="20" xfId="0" applyNumberFormat="1" applyFont="1" applyBorder="1" applyAlignment="1">
      <alignment horizontal="center" vertical="center"/>
    </xf>
    <xf numFmtId="179" fontId="128" fillId="0" borderId="20" xfId="2584" applyFont="1" applyFill="1" applyBorder="1" applyAlignment="1">
      <alignment horizontal="center" vertical="center"/>
    </xf>
    <xf numFmtId="179" fontId="128" fillId="0" borderId="20" xfId="2584" applyFont="1" applyFill="1" applyBorder="1" applyAlignment="1">
      <alignment vertical="center"/>
    </xf>
    <xf numFmtId="222" fontId="128" fillId="0" borderId="20" xfId="2584" applyNumberFormat="1" applyFont="1" applyFill="1" applyBorder="1" applyAlignment="1">
      <alignment vertical="center"/>
    </xf>
    <xf numFmtId="0" fontId="128" fillId="0" borderId="20" xfId="2584" quotePrefix="1" applyNumberFormat="1" applyFont="1" applyFill="1" applyBorder="1" applyAlignment="1">
      <alignment horizontal="left" vertical="center"/>
    </xf>
    <xf numFmtId="0" fontId="128" fillId="0" borderId="20" xfId="0" applyFont="1" applyBorder="1" applyAlignment="1">
      <alignment horizontal="center" vertical="center"/>
    </xf>
    <xf numFmtId="0" fontId="128" fillId="0" borderId="31" xfId="0" applyFont="1" applyBorder="1" applyAlignment="1">
      <alignment horizontal="center" vertical="center"/>
    </xf>
    <xf numFmtId="0" fontId="127" fillId="11" borderId="20" xfId="2584" quotePrefix="1" applyNumberFormat="1" applyFont="1" applyFill="1" applyBorder="1" applyAlignment="1">
      <alignment horizontal="center" vertical="center"/>
    </xf>
    <xf numFmtId="0" fontId="127" fillId="11" borderId="20" xfId="0" applyFont="1" applyFill="1" applyBorder="1" applyAlignment="1">
      <alignment horizontal="center" vertical="center"/>
    </xf>
    <xf numFmtId="0" fontId="127" fillId="11" borderId="31" xfId="0" applyFont="1" applyFill="1" applyBorder="1" applyAlignment="1">
      <alignment horizontal="center" vertical="center"/>
    </xf>
    <xf numFmtId="43" fontId="127" fillId="11" borderId="20" xfId="0" applyNumberFormat="1" applyFont="1" applyFill="1" applyBorder="1" applyAlignment="1">
      <alignment horizontal="center" vertical="center"/>
    </xf>
    <xf numFmtId="179" fontId="127" fillId="11" borderId="20" xfId="2584" applyFont="1" applyFill="1" applyBorder="1" applyAlignment="1">
      <alignment horizontal="center" vertical="center"/>
    </xf>
    <xf numFmtId="179" fontId="127" fillId="11" borderId="20" xfId="2584" applyFont="1" applyFill="1" applyBorder="1" applyAlignment="1">
      <alignment vertical="center"/>
    </xf>
    <xf numFmtId="0" fontId="128" fillId="11" borderId="9" xfId="0" applyFont="1" applyFill="1" applyBorder="1" applyAlignment="1">
      <alignment horizontal="center" vertical="center" shrinkToFit="1"/>
    </xf>
    <xf numFmtId="0" fontId="128" fillId="11" borderId="0" xfId="0" applyFont="1" applyFill="1" applyAlignment="1">
      <alignment vertical="center"/>
    </xf>
    <xf numFmtId="0" fontId="129" fillId="12" borderId="20" xfId="2584" applyNumberFormat="1" applyFont="1" applyFill="1" applyBorder="1" applyAlignment="1">
      <alignment horizontal="center" vertical="center"/>
    </xf>
    <xf numFmtId="0" fontId="129" fillId="12" borderId="20" xfId="2584" applyNumberFormat="1" applyFont="1" applyFill="1" applyBorder="1" applyAlignment="1">
      <alignment horizontal="left" vertical="center"/>
    </xf>
    <xf numFmtId="0" fontId="129" fillId="12" borderId="4" xfId="0" applyFont="1" applyFill="1" applyBorder="1" applyAlignment="1">
      <alignment horizontal="center" vertical="center"/>
    </xf>
    <xf numFmtId="0" fontId="129" fillId="12" borderId="6" xfId="0" applyFont="1" applyFill="1" applyBorder="1" applyAlignment="1">
      <alignment horizontal="center" vertical="center"/>
    </xf>
    <xf numFmtId="43" fontId="129" fillId="12" borderId="4" xfId="2584" applyNumberFormat="1" applyFont="1" applyFill="1" applyBorder="1" applyAlignment="1">
      <alignment horizontal="center" vertical="center"/>
    </xf>
    <xf numFmtId="179" fontId="129" fillId="12" borderId="4" xfId="2584" applyFont="1" applyFill="1" applyBorder="1" applyAlignment="1">
      <alignment vertical="center"/>
    </xf>
    <xf numFmtId="0" fontId="130" fillId="12" borderId="9" xfId="0" applyFont="1" applyFill="1" applyBorder="1" applyAlignment="1">
      <alignment horizontal="center" vertical="center" shrinkToFit="1"/>
    </xf>
    <xf numFmtId="0" fontId="130" fillId="12" borderId="0" xfId="0" applyFont="1" applyFill="1" applyAlignment="1">
      <alignment vertical="center"/>
    </xf>
    <xf numFmtId="0" fontId="128" fillId="13" borderId="34" xfId="2584" applyNumberFormat="1" applyFont="1" applyFill="1" applyBorder="1" applyAlignment="1">
      <alignment horizontal="center" vertical="center"/>
    </xf>
    <xf numFmtId="0" fontId="128" fillId="13" borderId="36" xfId="2584" applyNumberFormat="1" applyFont="1" applyFill="1" applyBorder="1" applyAlignment="1">
      <alignment vertical="center"/>
    </xf>
    <xf numFmtId="0" fontId="128" fillId="13" borderId="36" xfId="2584" applyNumberFormat="1" applyFont="1" applyFill="1" applyBorder="1" applyAlignment="1">
      <alignment horizontal="left" vertical="center"/>
    </xf>
    <xf numFmtId="0" fontId="128" fillId="13" borderId="36" xfId="0" applyFont="1" applyFill="1" applyBorder="1" applyAlignment="1">
      <alignment horizontal="center" vertical="center"/>
    </xf>
    <xf numFmtId="43" fontId="128" fillId="13" borderId="36" xfId="2584" applyNumberFormat="1" applyFont="1" applyFill="1" applyBorder="1" applyAlignment="1">
      <alignment horizontal="center" vertical="center"/>
    </xf>
    <xf numFmtId="179" fontId="128" fillId="13" borderId="36" xfId="2584" applyFont="1" applyFill="1" applyBorder="1" applyAlignment="1">
      <alignment vertical="center"/>
    </xf>
    <xf numFmtId="0" fontId="128" fillId="13" borderId="35" xfId="0" applyFont="1" applyFill="1" applyBorder="1" applyAlignment="1">
      <alignment horizontal="center" vertical="center" shrinkToFit="1"/>
    </xf>
    <xf numFmtId="0" fontId="128" fillId="13" borderId="32" xfId="2584" applyNumberFormat="1" applyFont="1" applyFill="1" applyBorder="1" applyAlignment="1">
      <alignment horizontal="center" vertical="center"/>
    </xf>
    <xf numFmtId="0" fontId="128" fillId="13" borderId="0" xfId="2584" applyNumberFormat="1" applyFont="1" applyFill="1" applyBorder="1" applyAlignment="1">
      <alignment vertical="center"/>
    </xf>
    <xf numFmtId="0" fontId="128" fillId="13" borderId="0" xfId="2584" applyNumberFormat="1" applyFont="1" applyFill="1" applyBorder="1" applyAlignment="1">
      <alignment horizontal="left" vertical="center"/>
    </xf>
    <xf numFmtId="0" fontId="128" fillId="13" borderId="0" xfId="0" applyFont="1" applyFill="1" applyAlignment="1">
      <alignment horizontal="center" vertical="center"/>
    </xf>
    <xf numFmtId="43" fontId="128" fillId="13" borderId="0" xfId="2584" applyNumberFormat="1" applyFont="1" applyFill="1" applyBorder="1" applyAlignment="1">
      <alignment horizontal="center" vertical="center"/>
    </xf>
    <xf numFmtId="179" fontId="128" fillId="13" borderId="0" xfId="2584" applyFont="1" applyFill="1" applyBorder="1" applyAlignment="1">
      <alignment vertical="center"/>
    </xf>
    <xf numFmtId="0" fontId="128" fillId="13" borderId="33" xfId="0" applyFont="1" applyFill="1" applyBorder="1" applyAlignment="1">
      <alignment horizontal="center" vertical="center" shrinkToFit="1"/>
    </xf>
    <xf numFmtId="0" fontId="128" fillId="13" borderId="6" xfId="2584" applyNumberFormat="1" applyFont="1" applyFill="1" applyBorder="1" applyAlignment="1">
      <alignment horizontal="center" vertical="center"/>
    </xf>
    <xf numFmtId="0" fontId="128" fillId="13" borderId="21" xfId="2584" applyNumberFormat="1" applyFont="1" applyFill="1" applyBorder="1" applyAlignment="1">
      <alignment vertical="center"/>
    </xf>
    <xf numFmtId="0" fontId="128" fillId="13" borderId="21" xfId="2584" applyNumberFormat="1" applyFont="1" applyFill="1" applyBorder="1" applyAlignment="1">
      <alignment horizontal="left" vertical="center"/>
    </xf>
    <xf numFmtId="0" fontId="128" fillId="13" borderId="21" xfId="0" applyFont="1" applyFill="1" applyBorder="1" applyAlignment="1">
      <alignment horizontal="center" vertical="center"/>
    </xf>
    <xf numFmtId="43" fontId="128" fillId="13" borderId="21" xfId="2584" applyNumberFormat="1" applyFont="1" applyFill="1" applyBorder="1" applyAlignment="1">
      <alignment horizontal="center" vertical="center"/>
    </xf>
    <xf numFmtId="179" fontId="128" fillId="13" borderId="21" xfId="2584" applyFont="1" applyFill="1" applyBorder="1" applyAlignment="1">
      <alignment vertical="center"/>
    </xf>
    <xf numFmtId="0" fontId="128" fillId="13" borderId="9" xfId="0" applyFont="1" applyFill="1" applyBorder="1" applyAlignment="1">
      <alignment horizontal="center" vertical="center" shrinkToFit="1"/>
    </xf>
    <xf numFmtId="0" fontId="128" fillId="0" borderId="0" xfId="2584" applyNumberFormat="1" applyFont="1" applyFill="1" applyBorder="1" applyAlignment="1">
      <alignment horizontal="center" vertical="center"/>
    </xf>
    <xf numFmtId="0" fontId="128" fillId="0" borderId="0" xfId="2584" applyNumberFormat="1" applyFont="1" applyFill="1" applyBorder="1" applyAlignment="1">
      <alignment vertical="center"/>
    </xf>
    <xf numFmtId="0" fontId="128" fillId="0" borderId="0" xfId="0" applyFont="1" applyAlignment="1">
      <alignment horizontal="center" vertical="center"/>
    </xf>
    <xf numFmtId="43" fontId="128" fillId="0" borderId="0" xfId="2584" applyNumberFormat="1" applyFont="1" applyFill="1" applyBorder="1" applyAlignment="1">
      <alignment vertical="center"/>
    </xf>
    <xf numFmtId="179" fontId="128" fillId="0" borderId="0" xfId="2584" applyFont="1" applyFill="1" applyBorder="1" applyAlignment="1">
      <alignment vertical="center"/>
    </xf>
    <xf numFmtId="0" fontId="128" fillId="0" borderId="0" xfId="0" applyFont="1" applyAlignment="1">
      <alignment vertical="center" shrinkToFit="1"/>
    </xf>
    <xf numFmtId="9" fontId="128" fillId="0" borderId="20" xfId="2584" applyNumberFormat="1" applyFont="1" applyFill="1" applyBorder="1" applyAlignment="1">
      <alignment vertical="center" wrapText="1"/>
    </xf>
    <xf numFmtId="0" fontId="113" fillId="0" borderId="20" xfId="2584" applyNumberFormat="1" applyFont="1" applyFill="1" applyBorder="1" applyAlignment="1">
      <alignment horizontal="center" vertical="center"/>
    </xf>
    <xf numFmtId="0" fontId="113" fillId="0" borderId="20" xfId="2584" applyNumberFormat="1" applyFont="1" applyFill="1" applyBorder="1" applyAlignment="1">
      <alignment vertical="center"/>
    </xf>
    <xf numFmtId="0" fontId="113" fillId="0" borderId="20" xfId="2584" applyNumberFormat="1" applyFont="1" applyFill="1" applyBorder="1" applyAlignment="1">
      <alignment horizontal="left" vertical="center"/>
    </xf>
    <xf numFmtId="0" fontId="128" fillId="13" borderId="32" xfId="2584" quotePrefix="1" applyNumberFormat="1" applyFont="1" applyFill="1" applyBorder="1" applyAlignment="1">
      <alignment horizontal="center" vertical="center"/>
    </xf>
    <xf numFmtId="0" fontId="111" fillId="0" borderId="20" xfId="2865" applyNumberFormat="1" applyFont="1" applyFill="1" applyBorder="1" applyAlignment="1">
      <alignment horizontal="center" vertical="center"/>
    </xf>
    <xf numFmtId="0" fontId="111" fillId="0" borderId="20" xfId="2865" applyNumberFormat="1" applyFont="1" applyFill="1" applyBorder="1" applyAlignment="1">
      <alignment horizontal="left" vertical="center"/>
    </xf>
    <xf numFmtId="43" fontId="111" fillId="0" borderId="9" xfId="0" applyNumberFormat="1" applyFont="1" applyBorder="1" applyAlignment="1">
      <alignment vertical="center"/>
    </xf>
    <xf numFmtId="41" fontId="111" fillId="13" borderId="20" xfId="2865" applyFont="1" applyFill="1" applyBorder="1" applyAlignment="1">
      <alignment vertical="center"/>
    </xf>
    <xf numFmtId="14" fontId="124" fillId="13" borderId="0" xfId="2584" applyNumberFormat="1" applyFont="1" applyFill="1" applyBorder="1" applyAlignment="1">
      <alignment vertical="center"/>
    </xf>
    <xf numFmtId="0" fontId="111" fillId="13" borderId="4" xfId="0" applyFont="1" applyFill="1" applyBorder="1" applyAlignment="1">
      <alignment horizontal="center" vertical="center" shrinkToFit="1"/>
    </xf>
    <xf numFmtId="0" fontId="111" fillId="0" borderId="4" xfId="0" applyFont="1" applyBorder="1" applyAlignment="1">
      <alignment horizontal="center" vertical="center" shrinkToFit="1"/>
    </xf>
    <xf numFmtId="14" fontId="122" fillId="13" borderId="0" xfId="2584" applyNumberFormat="1" applyFont="1" applyFill="1" applyBorder="1" applyAlignment="1">
      <alignment vertical="center"/>
    </xf>
    <xf numFmtId="179" fontId="128" fillId="0" borderId="26" xfId="2584" applyFont="1" applyFill="1" applyBorder="1" applyAlignment="1">
      <alignment vertical="center"/>
    </xf>
    <xf numFmtId="179" fontId="127" fillId="11" borderId="26" xfId="2584" applyFont="1" applyFill="1" applyBorder="1" applyAlignment="1">
      <alignment vertical="center"/>
    </xf>
    <xf numFmtId="0" fontId="128" fillId="0" borderId="29" xfId="2584" applyNumberFormat="1" applyFont="1" applyFill="1" applyBorder="1" applyAlignment="1">
      <alignment horizontal="center" vertical="center"/>
    </xf>
    <xf numFmtId="0" fontId="128" fillId="0" borderId="29" xfId="2584" applyNumberFormat="1" applyFont="1" applyFill="1" applyBorder="1" applyAlignment="1">
      <alignment vertical="center"/>
    </xf>
    <xf numFmtId="0" fontId="128" fillId="0" borderId="29" xfId="2584" applyNumberFormat="1" applyFont="1" applyFill="1" applyBorder="1" applyAlignment="1">
      <alignment horizontal="left" vertical="center"/>
    </xf>
    <xf numFmtId="0" fontId="128" fillId="0" borderId="30" xfId="0" applyFont="1" applyBorder="1" applyAlignment="1">
      <alignment horizontal="center" vertical="center"/>
    </xf>
    <xf numFmtId="0" fontId="128" fillId="0" borderId="32" xfId="0" applyFont="1" applyBorder="1" applyAlignment="1">
      <alignment horizontal="center" vertical="center"/>
    </xf>
    <xf numFmtId="43" fontId="128" fillId="0" borderId="30" xfId="2584" applyNumberFormat="1" applyFont="1" applyFill="1" applyBorder="1" applyAlignment="1">
      <alignment horizontal="center" vertical="center"/>
    </xf>
    <xf numFmtId="179" fontId="128" fillId="0" borderId="30" xfId="2584" applyFont="1" applyFill="1" applyBorder="1" applyAlignment="1">
      <alignment vertical="center"/>
    </xf>
    <xf numFmtId="0" fontId="128" fillId="0" borderId="4" xfId="2584" applyNumberFormat="1" applyFont="1" applyFill="1" applyBorder="1" applyAlignment="1">
      <alignment horizontal="center" vertical="center"/>
    </xf>
    <xf numFmtId="0" fontId="128" fillId="0" borderId="4" xfId="2584" applyNumberFormat="1" applyFont="1" applyFill="1" applyBorder="1" applyAlignment="1">
      <alignment vertical="center"/>
    </xf>
    <xf numFmtId="0" fontId="128" fillId="0" borderId="4" xfId="2584" applyNumberFormat="1" applyFont="1" applyFill="1" applyBorder="1" applyAlignment="1">
      <alignment horizontal="left" vertical="center"/>
    </xf>
    <xf numFmtId="0" fontId="116" fillId="0" borderId="39" xfId="2866" applyFont="1" applyBorder="1"/>
    <xf numFmtId="0" fontId="116" fillId="0" borderId="40" xfId="2866" applyFont="1" applyBorder="1"/>
    <xf numFmtId="0" fontId="118" fillId="0" borderId="40" xfId="2866" applyFont="1" applyBorder="1"/>
    <xf numFmtId="0" fontId="118" fillId="0" borderId="41" xfId="2866" applyFont="1" applyBorder="1"/>
    <xf numFmtId="0" fontId="118" fillId="0" borderId="42" xfId="2866" applyFont="1" applyBorder="1" applyAlignment="1">
      <alignment horizontal="left"/>
    </xf>
    <xf numFmtId="0" fontId="118" fillId="0" borderId="0" xfId="2864" applyFont="1"/>
    <xf numFmtId="0" fontId="120" fillId="0" borderId="0" xfId="2866" applyFont="1"/>
    <xf numFmtId="0" fontId="120" fillId="0" borderId="43" xfId="2866" applyFont="1" applyBorder="1"/>
    <xf numFmtId="0" fontId="119" fillId="0" borderId="42" xfId="2866" quotePrefix="1" applyFont="1" applyBorder="1" applyAlignment="1">
      <alignment horizontal="right"/>
    </xf>
    <xf numFmtId="0" fontId="119" fillId="0" borderId="0" xfId="2864" applyFont="1"/>
    <xf numFmtId="0" fontId="118" fillId="0" borderId="43" xfId="2866" applyFont="1" applyBorder="1"/>
    <xf numFmtId="0" fontId="119" fillId="0" borderId="43" xfId="2866" applyFont="1" applyBorder="1"/>
    <xf numFmtId="0" fontId="119" fillId="0" borderId="44" xfId="2866" quotePrefix="1" applyFont="1" applyBorder="1" applyAlignment="1">
      <alignment horizontal="right"/>
    </xf>
    <xf numFmtId="0" fontId="119" fillId="0" borderId="45" xfId="2864" applyFont="1" applyBorder="1"/>
    <xf numFmtId="0" fontId="119" fillId="0" borderId="45" xfId="2866" applyFont="1" applyBorder="1"/>
    <xf numFmtId="0" fontId="120" fillId="0" borderId="45" xfId="2866" applyFont="1" applyBorder="1"/>
    <xf numFmtId="0" fontId="120" fillId="0" borderId="19" xfId="2866" applyFont="1" applyBorder="1"/>
    <xf numFmtId="0" fontId="111" fillId="0" borderId="20" xfId="0" applyFont="1" applyBorder="1" applyAlignment="1">
      <alignment horizontal="center" vertical="center"/>
    </xf>
    <xf numFmtId="43" fontId="111" fillId="0" borderId="20" xfId="2584" applyNumberFormat="1" applyFont="1" applyFill="1" applyBorder="1" applyAlignment="1">
      <alignment horizontal="center" vertical="center"/>
    </xf>
    <xf numFmtId="41" fontId="111" fillId="0" borderId="20" xfId="2865" applyFont="1" applyFill="1" applyBorder="1" applyAlignment="1">
      <alignment vertical="center"/>
    </xf>
    <xf numFmtId="0" fontId="113" fillId="0" borderId="20" xfId="0" applyFont="1" applyBorder="1" applyAlignment="1">
      <alignment horizontal="center" vertical="center"/>
    </xf>
    <xf numFmtId="43" fontId="113" fillId="0" borderId="20" xfId="2584" applyNumberFormat="1" applyFont="1" applyFill="1" applyBorder="1" applyAlignment="1">
      <alignment horizontal="center" vertical="center"/>
    </xf>
    <xf numFmtId="41" fontId="113" fillId="0" borderId="20" xfId="2865" applyFont="1" applyFill="1" applyBorder="1" applyAlignment="1">
      <alignment vertical="center"/>
    </xf>
    <xf numFmtId="0" fontId="112" fillId="11" borderId="29" xfId="2584" applyNumberFormat="1" applyFont="1" applyFill="1" applyBorder="1" applyAlignment="1">
      <alignment horizontal="center" vertical="center"/>
    </xf>
    <xf numFmtId="0" fontId="112" fillId="11" borderId="29" xfId="2584" applyNumberFormat="1" applyFont="1" applyFill="1" applyBorder="1" applyAlignment="1">
      <alignment horizontal="left" vertical="center"/>
    </xf>
    <xf numFmtId="0" fontId="112" fillId="11" borderId="30" xfId="0" applyFont="1" applyFill="1" applyBorder="1" applyAlignment="1">
      <alignment horizontal="center" vertical="center"/>
    </xf>
    <xf numFmtId="43" fontId="112" fillId="11" borderId="30" xfId="2584" applyNumberFormat="1" applyFont="1" applyFill="1" applyBorder="1" applyAlignment="1">
      <alignment horizontal="center" vertical="center"/>
    </xf>
    <xf numFmtId="179" fontId="112" fillId="11" borderId="30" xfId="2584" applyFont="1" applyFill="1" applyBorder="1" applyAlignment="1">
      <alignment vertical="center"/>
    </xf>
    <xf numFmtId="179" fontId="112" fillId="11" borderId="32" xfId="2584" applyFont="1" applyFill="1" applyBorder="1" applyAlignment="1">
      <alignment vertical="center"/>
    </xf>
    <xf numFmtId="0" fontId="112" fillId="9" borderId="4" xfId="2584" applyNumberFormat="1" applyFont="1" applyFill="1" applyBorder="1" applyAlignment="1">
      <alignment horizontal="center" vertical="center"/>
    </xf>
    <xf numFmtId="0" fontId="112" fillId="9" borderId="4" xfId="2584" applyNumberFormat="1" applyFont="1" applyFill="1" applyBorder="1" applyAlignment="1">
      <alignment vertical="center"/>
    </xf>
    <xf numFmtId="0" fontId="112" fillId="9" borderId="4" xfId="2584" applyNumberFormat="1" applyFont="1" applyFill="1" applyBorder="1" applyAlignment="1">
      <alignment horizontal="left" vertical="center"/>
    </xf>
    <xf numFmtId="179" fontId="111" fillId="0" borderId="20" xfId="2584" applyFont="1" applyFill="1" applyBorder="1" applyAlignment="1">
      <alignment vertical="center"/>
    </xf>
    <xf numFmtId="0" fontId="111" fillId="0" borderId="20" xfId="0" applyFont="1" applyBorder="1" applyAlignment="1">
      <alignment vertical="center"/>
    </xf>
    <xf numFmtId="0" fontId="112" fillId="9" borderId="20" xfId="0" applyFont="1" applyFill="1" applyBorder="1" applyAlignment="1">
      <alignment horizontal="center" vertical="center"/>
    </xf>
    <xf numFmtId="43" fontId="112" fillId="9" borderId="20" xfId="2584" applyNumberFormat="1" applyFont="1" applyFill="1" applyBorder="1" applyAlignment="1">
      <alignment horizontal="center" vertical="center"/>
    </xf>
    <xf numFmtId="179" fontId="112" fillId="9" borderId="20" xfId="2584" applyFont="1" applyFill="1" applyBorder="1" applyAlignment="1">
      <alignment vertical="center"/>
    </xf>
    <xf numFmtId="0" fontId="112" fillId="9" borderId="20" xfId="0" applyFont="1" applyFill="1" applyBorder="1" applyAlignment="1">
      <alignment vertical="center"/>
    </xf>
    <xf numFmtId="0" fontId="113" fillId="0" borderId="20" xfId="0" applyFont="1" applyBorder="1" applyAlignment="1">
      <alignment vertical="center"/>
    </xf>
    <xf numFmtId="0" fontId="111" fillId="10" borderId="20" xfId="0" applyFont="1" applyFill="1" applyBorder="1" applyAlignment="1">
      <alignment horizontal="center" vertical="center"/>
    </xf>
    <xf numFmtId="41" fontId="111" fillId="10" borderId="20" xfId="2865" applyFont="1" applyFill="1" applyBorder="1" applyAlignment="1">
      <alignment vertical="center"/>
    </xf>
    <xf numFmtId="0" fontId="111" fillId="10" borderId="20" xfId="0" applyFont="1" applyFill="1" applyBorder="1" applyAlignment="1">
      <alignment vertical="center"/>
    </xf>
    <xf numFmtId="43" fontId="111" fillId="0" borderId="20" xfId="2865" applyNumberFormat="1" applyFont="1" applyFill="1" applyBorder="1" applyAlignment="1">
      <alignment vertical="center"/>
    </xf>
    <xf numFmtId="0" fontId="111" fillId="13" borderId="20" xfId="2584" quotePrefix="1" applyNumberFormat="1" applyFont="1" applyFill="1" applyBorder="1" applyAlignment="1">
      <alignment horizontal="center" vertical="center"/>
    </xf>
    <xf numFmtId="43" fontId="111" fillId="13" borderId="9" xfId="2584" applyNumberFormat="1" applyFont="1" applyFill="1" applyBorder="1" applyAlignment="1">
      <alignment horizontal="center" vertical="center"/>
    </xf>
    <xf numFmtId="0" fontId="112" fillId="13" borderId="20" xfId="2584" applyNumberFormat="1" applyFont="1" applyFill="1" applyBorder="1" applyAlignment="1">
      <alignment horizontal="center" vertical="center"/>
    </xf>
    <xf numFmtId="0" fontId="112" fillId="13" borderId="20" xfId="2584" applyNumberFormat="1" applyFont="1" applyFill="1" applyBorder="1" applyAlignment="1">
      <alignment horizontal="left" vertical="center"/>
    </xf>
    <xf numFmtId="0" fontId="112" fillId="13" borderId="4" xfId="0" applyFont="1" applyFill="1" applyBorder="1" applyAlignment="1">
      <alignment horizontal="center" vertical="center"/>
    </xf>
    <xf numFmtId="2" fontId="112" fillId="13" borderId="9" xfId="0" applyNumberFormat="1" applyFont="1" applyFill="1" applyBorder="1" applyAlignment="1">
      <alignment vertical="center"/>
    </xf>
    <xf numFmtId="41" fontId="112" fillId="13" borderId="4" xfId="2865" applyFont="1" applyFill="1" applyBorder="1" applyAlignment="1">
      <alignment vertical="center"/>
    </xf>
    <xf numFmtId="0" fontId="112" fillId="13" borderId="0" xfId="0" applyFont="1" applyFill="1" applyAlignment="1">
      <alignment vertical="center"/>
    </xf>
    <xf numFmtId="0" fontId="112" fillId="14" borderId="20" xfId="2584" applyNumberFormat="1" applyFont="1" applyFill="1" applyBorder="1" applyAlignment="1">
      <alignment horizontal="center" vertical="center"/>
    </xf>
    <xf numFmtId="0" fontId="112" fillId="14" borderId="20" xfId="2584" applyNumberFormat="1" applyFont="1" applyFill="1" applyBorder="1" applyAlignment="1">
      <alignment horizontal="left" vertical="center"/>
    </xf>
    <xf numFmtId="0" fontId="112" fillId="14" borderId="4" xfId="0" applyFont="1" applyFill="1" applyBorder="1" applyAlignment="1">
      <alignment horizontal="center" vertical="center"/>
    </xf>
    <xf numFmtId="43" fontId="112" fillId="14" borderId="4" xfId="2584" applyNumberFormat="1" applyFont="1" applyFill="1" applyBorder="1" applyAlignment="1">
      <alignment horizontal="center" vertical="center"/>
    </xf>
    <xf numFmtId="41" fontId="112" fillId="14" borderId="4" xfId="2865" applyFont="1" applyFill="1" applyBorder="1" applyAlignment="1">
      <alignment vertical="center"/>
    </xf>
    <xf numFmtId="0" fontId="112" fillId="14" borderId="4" xfId="0" applyFont="1" applyFill="1" applyBorder="1" applyAlignment="1">
      <alignment horizontal="center" vertical="center" shrinkToFit="1"/>
    </xf>
    <xf numFmtId="0" fontId="111" fillId="0" borderId="0" xfId="0" applyFont="1" applyAlignment="1">
      <alignment horizontal="center" vertical="center" shrinkToFit="1"/>
    </xf>
    <xf numFmtId="0" fontId="112" fillId="0" borderId="4" xfId="0" applyFont="1" applyBorder="1" applyAlignment="1">
      <alignment horizontal="center" vertical="center" shrinkToFit="1"/>
    </xf>
    <xf numFmtId="179" fontId="112" fillId="11" borderId="30" xfId="0" applyNumberFormat="1" applyFont="1" applyFill="1" applyBorder="1" applyAlignment="1">
      <alignment horizontal="center" vertical="center" shrinkToFit="1"/>
    </xf>
    <xf numFmtId="0" fontId="111" fillId="0" borderId="20" xfId="0" applyFont="1" applyBorder="1" applyAlignment="1">
      <alignment horizontal="center" vertical="center" shrinkToFit="1"/>
    </xf>
    <xf numFmtId="0" fontId="112" fillId="9" borderId="20" xfId="0" applyFont="1" applyFill="1" applyBorder="1" applyAlignment="1">
      <alignment horizontal="center" vertical="center" shrinkToFit="1"/>
    </xf>
    <xf numFmtId="0" fontId="112" fillId="9" borderId="4" xfId="0" applyFont="1" applyFill="1" applyBorder="1" applyAlignment="1">
      <alignment horizontal="center" vertical="center" shrinkToFit="1"/>
    </xf>
    <xf numFmtId="0" fontId="111" fillId="10" borderId="4" xfId="0" applyFont="1" applyFill="1" applyBorder="1" applyAlignment="1">
      <alignment horizontal="center" vertical="center" shrinkToFit="1"/>
    </xf>
    <xf numFmtId="0" fontId="112" fillId="13" borderId="20" xfId="2584" applyNumberFormat="1" applyFont="1" applyFill="1" applyBorder="1" applyAlignment="1">
      <alignment vertical="center"/>
    </xf>
    <xf numFmtId="0" fontId="109" fillId="0" borderId="0" xfId="2584" applyNumberFormat="1" applyFont="1" applyFill="1" applyBorder="1" applyAlignment="1">
      <alignment horizontal="center" vertical="center"/>
    </xf>
    <xf numFmtId="41" fontId="131" fillId="14" borderId="4" xfId="2865" applyFont="1" applyFill="1" applyBorder="1" applyAlignment="1">
      <alignment vertical="center"/>
    </xf>
    <xf numFmtId="0" fontId="113" fillId="13" borderId="20" xfId="2865" applyNumberFormat="1" applyFont="1" applyFill="1" applyBorder="1" applyAlignment="1">
      <alignment horizontal="center" vertical="center"/>
    </xf>
    <xf numFmtId="179" fontId="109" fillId="16" borderId="27" xfId="2584" applyFont="1" applyFill="1" applyBorder="1" applyAlignment="1">
      <alignment horizontal="center" vertical="center"/>
    </xf>
    <xf numFmtId="0" fontId="113" fillId="0" borderId="20" xfId="2865" applyNumberFormat="1" applyFont="1" applyFill="1" applyBorder="1" applyAlignment="1">
      <alignment horizontal="center" vertical="center"/>
    </xf>
    <xf numFmtId="0" fontId="113" fillId="0" borderId="4" xfId="0" applyFont="1" applyBorder="1" applyAlignment="1">
      <alignment horizontal="center" vertical="center"/>
    </xf>
    <xf numFmtId="41" fontId="113" fillId="0" borderId="4" xfId="2865" applyFont="1" applyFill="1" applyBorder="1" applyAlignment="1">
      <alignment vertical="center"/>
    </xf>
    <xf numFmtId="41" fontId="113" fillId="0" borderId="6" xfId="2865" applyFont="1" applyFill="1" applyBorder="1" applyAlignment="1">
      <alignment vertical="center"/>
    </xf>
    <xf numFmtId="0" fontId="113" fillId="0" borderId="4" xfId="0" applyFont="1" applyBorder="1" applyAlignment="1">
      <alignment horizontal="center" vertical="center" shrinkToFit="1"/>
    </xf>
    <xf numFmtId="0" fontId="113" fillId="0" borderId="0" xfId="0" applyFont="1" applyAlignment="1">
      <alignment vertical="center"/>
    </xf>
    <xf numFmtId="2" fontId="113" fillId="0" borderId="9" xfId="0" applyNumberFormat="1" applyFont="1" applyBorder="1" applyAlignment="1">
      <alignment vertical="center"/>
    </xf>
    <xf numFmtId="0" fontId="113" fillId="13" borderId="20" xfId="2584" applyNumberFormat="1" applyFont="1" applyFill="1" applyBorder="1" applyAlignment="1">
      <alignment vertical="center"/>
    </xf>
    <xf numFmtId="0" fontId="113" fillId="13" borderId="20" xfId="2865" applyNumberFormat="1" applyFont="1" applyFill="1" applyBorder="1" applyAlignment="1">
      <alignment horizontal="left" vertical="center"/>
    </xf>
    <xf numFmtId="0" fontId="113" fillId="13" borderId="4" xfId="0" applyFont="1" applyFill="1" applyBorder="1" applyAlignment="1">
      <alignment horizontal="center" vertical="center"/>
    </xf>
    <xf numFmtId="43" fontId="113" fillId="13" borderId="9" xfId="0" applyNumberFormat="1" applyFont="1" applyFill="1" applyBorder="1" applyAlignment="1">
      <alignment vertical="center"/>
    </xf>
    <xf numFmtId="41" fontId="113" fillId="13" borderId="4" xfId="2865" applyFont="1" applyFill="1" applyBorder="1" applyAlignment="1">
      <alignment vertical="center"/>
    </xf>
    <xf numFmtId="41" fontId="113" fillId="13" borderId="6" xfId="2865" applyFont="1" applyFill="1" applyBorder="1" applyAlignment="1">
      <alignment vertical="center"/>
    </xf>
    <xf numFmtId="0" fontId="113" fillId="13" borderId="4" xfId="0" applyFont="1" applyFill="1" applyBorder="1" applyAlignment="1">
      <alignment horizontal="center" vertical="center" shrinkToFit="1"/>
    </xf>
    <xf numFmtId="0" fontId="113" fillId="13" borderId="0" xfId="0" applyFont="1" applyFill="1" applyAlignment="1">
      <alignment vertical="center"/>
    </xf>
    <xf numFmtId="0" fontId="111" fillId="15" borderId="0" xfId="0" applyFont="1" applyFill="1" applyAlignment="1">
      <alignment vertical="center"/>
    </xf>
    <xf numFmtId="0" fontId="138" fillId="8" borderId="20" xfId="2584" applyNumberFormat="1" applyFont="1" applyFill="1" applyBorder="1" applyAlignment="1">
      <alignment horizontal="left" vertical="center"/>
    </xf>
    <xf numFmtId="0" fontId="136" fillId="13" borderId="0" xfId="2584" applyNumberFormat="1" applyFont="1" applyFill="1" applyBorder="1" applyAlignment="1">
      <alignment vertical="center"/>
    </xf>
    <xf numFmtId="41" fontId="139" fillId="15" borderId="0" xfId="2865" applyFont="1" applyFill="1" applyAlignment="1">
      <alignment vertical="center"/>
    </xf>
    <xf numFmtId="41" fontId="140" fillId="0" borderId="20" xfId="2865" applyFont="1" applyFill="1" applyBorder="1" applyAlignment="1">
      <alignment vertical="center"/>
    </xf>
    <xf numFmtId="0" fontId="128" fillId="13" borderId="20" xfId="0" applyFont="1" applyFill="1" applyBorder="1" applyAlignment="1">
      <alignment horizontal="center" vertical="center"/>
    </xf>
    <xf numFmtId="0" fontId="128" fillId="13" borderId="20" xfId="2584" applyNumberFormat="1" applyFont="1" applyFill="1" applyBorder="1" applyAlignment="1">
      <alignment horizontal="left" vertical="center"/>
    </xf>
    <xf numFmtId="0" fontId="128" fillId="13" borderId="20" xfId="2584" applyNumberFormat="1" applyFont="1" applyFill="1" applyBorder="1" applyAlignment="1">
      <alignment vertical="center"/>
    </xf>
    <xf numFmtId="43" fontId="128" fillId="13" borderId="20" xfId="0" applyNumberFormat="1" applyFont="1" applyFill="1" applyBorder="1" applyAlignment="1">
      <alignment horizontal="center" vertical="center"/>
    </xf>
    <xf numFmtId="179" fontId="128" fillId="13" borderId="20" xfId="2584" applyFont="1" applyFill="1" applyBorder="1" applyAlignment="1">
      <alignment horizontal="center" vertical="center"/>
    </xf>
    <xf numFmtId="179" fontId="128" fillId="13" borderId="20" xfId="2584" applyFont="1" applyFill="1" applyBorder="1" applyAlignment="1">
      <alignment vertical="center"/>
    </xf>
    <xf numFmtId="179" fontId="128" fillId="13" borderId="26" xfId="2584" applyFont="1" applyFill="1" applyBorder="1" applyAlignment="1">
      <alignment vertical="center"/>
    </xf>
    <xf numFmtId="0" fontId="128" fillId="13" borderId="0" xfId="0" applyFont="1" applyFill="1" applyAlignment="1">
      <alignment vertical="center"/>
    </xf>
    <xf numFmtId="43" fontId="136" fillId="13" borderId="9" xfId="0" applyNumberFormat="1" applyFont="1" applyFill="1" applyBorder="1" applyAlignment="1">
      <alignment vertical="center"/>
    </xf>
    <xf numFmtId="0" fontId="133" fillId="13" borderId="20" xfId="2584" applyNumberFormat="1" applyFont="1" applyFill="1" applyBorder="1" applyAlignment="1">
      <alignment vertical="center"/>
    </xf>
    <xf numFmtId="0" fontId="133" fillId="13" borderId="20" xfId="2865" applyNumberFormat="1" applyFont="1" applyFill="1" applyBorder="1" applyAlignment="1">
      <alignment horizontal="left" vertical="center"/>
    </xf>
    <xf numFmtId="0" fontId="133" fillId="13" borderId="4" xfId="0" applyFont="1" applyFill="1" applyBorder="1" applyAlignment="1">
      <alignment horizontal="center" vertical="center"/>
    </xf>
    <xf numFmtId="43" fontId="133" fillId="13" borderId="9" xfId="0" applyNumberFormat="1" applyFont="1" applyFill="1" applyBorder="1" applyAlignment="1">
      <alignment vertical="center"/>
    </xf>
    <xf numFmtId="41" fontId="133" fillId="13" borderId="4" xfId="2865" applyFont="1" applyFill="1" applyBorder="1" applyAlignment="1">
      <alignment vertical="center"/>
    </xf>
    <xf numFmtId="41" fontId="133" fillId="13" borderId="6" xfId="2865" applyFont="1" applyFill="1" applyBorder="1" applyAlignment="1">
      <alignment vertical="center"/>
    </xf>
    <xf numFmtId="0" fontId="133" fillId="13" borderId="4" xfId="0" applyFont="1" applyFill="1" applyBorder="1" applyAlignment="1">
      <alignment horizontal="center" vertical="center" shrinkToFit="1"/>
    </xf>
    <xf numFmtId="0" fontId="133" fillId="13" borderId="0" xfId="0" applyFont="1" applyFill="1" applyAlignment="1">
      <alignment vertical="center"/>
    </xf>
    <xf numFmtId="0" fontId="141" fillId="13" borderId="20" xfId="2865" applyNumberFormat="1" applyFont="1" applyFill="1" applyBorder="1" applyAlignment="1">
      <alignment horizontal="center" vertical="center"/>
    </xf>
    <xf numFmtId="0" fontId="141" fillId="13" borderId="20" xfId="2584" applyNumberFormat="1" applyFont="1" applyFill="1" applyBorder="1" applyAlignment="1">
      <alignment vertical="center"/>
    </xf>
    <xf numFmtId="0" fontId="141" fillId="13" borderId="20" xfId="2865" applyNumberFormat="1" applyFont="1" applyFill="1" applyBorder="1" applyAlignment="1">
      <alignment horizontal="left" vertical="center"/>
    </xf>
    <xf numFmtId="0" fontId="141" fillId="13" borderId="4" xfId="0" applyFont="1" applyFill="1" applyBorder="1" applyAlignment="1">
      <alignment horizontal="center" vertical="center"/>
    </xf>
    <xf numFmtId="43" fontId="141" fillId="13" borderId="9" xfId="0" applyNumberFormat="1" applyFont="1" applyFill="1" applyBorder="1" applyAlignment="1">
      <alignment vertical="center"/>
    </xf>
    <xf numFmtId="41" fontId="141" fillId="13" borderId="4" xfId="2865" applyFont="1" applyFill="1" applyBorder="1" applyAlignment="1">
      <alignment vertical="center"/>
    </xf>
    <xf numFmtId="0" fontId="141" fillId="13" borderId="4" xfId="0" applyFont="1" applyFill="1" applyBorder="1" applyAlignment="1">
      <alignment horizontal="center" vertical="center" shrinkToFit="1"/>
    </xf>
    <xf numFmtId="0" fontId="141" fillId="13" borderId="0" xfId="0" applyFont="1" applyFill="1" applyAlignment="1">
      <alignment vertical="center"/>
    </xf>
    <xf numFmtId="0" fontId="135" fillId="13" borderId="20" xfId="2584" applyNumberFormat="1" applyFont="1" applyFill="1" applyBorder="1" applyAlignment="1">
      <alignment vertical="center"/>
    </xf>
    <xf numFmtId="0" fontId="143" fillId="13" borderId="4" xfId="0" applyFont="1" applyFill="1" applyBorder="1" applyAlignment="1">
      <alignment horizontal="center" vertical="center" shrinkToFit="1"/>
    </xf>
    <xf numFmtId="2" fontId="134" fillId="13" borderId="9" xfId="0" applyNumberFormat="1" applyFont="1" applyFill="1" applyBorder="1" applyAlignment="1">
      <alignment vertical="center"/>
    </xf>
    <xf numFmtId="0" fontId="134" fillId="13" borderId="20" xfId="2865" applyNumberFormat="1" applyFont="1" applyFill="1" applyBorder="1" applyAlignment="1">
      <alignment horizontal="left" vertical="center"/>
    </xf>
    <xf numFmtId="0" fontId="134" fillId="13" borderId="4" xfId="0" applyFont="1" applyFill="1" applyBorder="1" applyAlignment="1">
      <alignment horizontal="center" vertical="center"/>
    </xf>
    <xf numFmtId="0" fontId="134" fillId="13" borderId="20" xfId="2584" applyNumberFormat="1" applyFont="1" applyFill="1" applyBorder="1" applyAlignment="1">
      <alignment vertical="center"/>
    </xf>
    <xf numFmtId="0" fontId="144" fillId="0" borderId="4" xfId="0" applyFont="1" applyBorder="1" applyAlignment="1">
      <alignment horizontal="center" vertical="center" shrinkToFit="1"/>
    </xf>
    <xf numFmtId="0" fontId="144" fillId="13" borderId="4" xfId="0" applyFont="1" applyFill="1" applyBorder="1" applyAlignment="1">
      <alignment horizontal="center" vertical="center" shrinkToFit="1"/>
    </xf>
    <xf numFmtId="0" fontId="132" fillId="0" borderId="20" xfId="2584" applyNumberFormat="1" applyFont="1" applyFill="1" applyBorder="1" applyAlignment="1">
      <alignment vertical="center"/>
    </xf>
    <xf numFmtId="0" fontId="132" fillId="0" borderId="20" xfId="2584" applyNumberFormat="1" applyFont="1" applyFill="1" applyBorder="1" applyAlignment="1">
      <alignment horizontal="left" vertical="center"/>
    </xf>
    <xf numFmtId="0" fontId="132" fillId="0" borderId="4" xfId="0" applyFont="1" applyBorder="1" applyAlignment="1">
      <alignment horizontal="center" vertical="center"/>
    </xf>
    <xf numFmtId="2" fontId="132" fillId="0" borderId="9" xfId="0" applyNumberFormat="1" applyFont="1" applyBorder="1" applyAlignment="1">
      <alignment vertical="center"/>
    </xf>
    <xf numFmtId="41" fontId="132" fillId="0" borderId="4" xfId="2865" applyFont="1" applyFill="1" applyBorder="1" applyAlignment="1">
      <alignment vertical="center"/>
    </xf>
    <xf numFmtId="41" fontId="132" fillId="0" borderId="6" xfId="2865" applyFont="1" applyFill="1" applyBorder="1" applyAlignment="1">
      <alignment vertical="center"/>
    </xf>
    <xf numFmtId="0" fontId="132" fillId="0" borderId="4" xfId="0" applyFont="1" applyBorder="1" applyAlignment="1">
      <alignment horizontal="center" vertical="center" shrinkToFit="1"/>
    </xf>
    <xf numFmtId="0" fontId="132" fillId="0" borderId="0" xfId="0" applyFont="1" applyAlignment="1">
      <alignment vertical="center"/>
    </xf>
    <xf numFmtId="0" fontId="135" fillId="0" borderId="4" xfId="0" applyFont="1" applyBorder="1" applyAlignment="1">
      <alignment horizontal="center" vertical="center"/>
    </xf>
    <xf numFmtId="0" fontId="132" fillId="13" borderId="20" xfId="2584" applyNumberFormat="1" applyFont="1" applyFill="1" applyBorder="1" applyAlignment="1">
      <alignment vertical="center"/>
    </xf>
    <xf numFmtId="0" fontId="132" fillId="13" borderId="20" xfId="2865" applyNumberFormat="1" applyFont="1" applyFill="1" applyBorder="1" applyAlignment="1">
      <alignment horizontal="left" vertical="center"/>
    </xf>
    <xf numFmtId="0" fontId="132" fillId="13" borderId="4" xfId="0" applyFont="1" applyFill="1" applyBorder="1" applyAlignment="1">
      <alignment horizontal="center" vertical="center"/>
    </xf>
    <xf numFmtId="43" fontId="132" fillId="13" borderId="9" xfId="0" applyNumberFormat="1" applyFont="1" applyFill="1" applyBorder="1" applyAlignment="1">
      <alignment vertical="center"/>
    </xf>
    <xf numFmtId="41" fontId="132" fillId="13" borderId="4" xfId="2865" applyFont="1" applyFill="1" applyBorder="1" applyAlignment="1">
      <alignment vertical="center"/>
    </xf>
    <xf numFmtId="41" fontId="132" fillId="13" borderId="6" xfId="2865" applyFont="1" applyFill="1" applyBorder="1" applyAlignment="1">
      <alignment vertical="center"/>
    </xf>
    <xf numFmtId="0" fontId="132" fillId="13" borderId="4" xfId="0" applyFont="1" applyFill="1" applyBorder="1" applyAlignment="1">
      <alignment horizontal="center" vertical="center" shrinkToFit="1"/>
    </xf>
    <xf numFmtId="0" fontId="132" fillId="13" borderId="0" xfId="0" applyFont="1" applyFill="1" applyAlignment="1">
      <alignment vertical="center"/>
    </xf>
    <xf numFmtId="0" fontId="142" fillId="0" borderId="4" xfId="0" applyFont="1" applyBorder="1" applyAlignment="1">
      <alignment horizontal="center" vertical="center"/>
    </xf>
    <xf numFmtId="0" fontId="145" fillId="0" borderId="4" xfId="0" applyFont="1" applyBorder="1" applyAlignment="1">
      <alignment horizontal="center" vertical="center" shrinkToFit="1"/>
    </xf>
    <xf numFmtId="0" fontId="113" fillId="13" borderId="20" xfId="2584" applyNumberFormat="1" applyFont="1" applyFill="1" applyBorder="1" applyAlignment="1">
      <alignment horizontal="center" vertical="center"/>
    </xf>
    <xf numFmtId="0" fontId="133" fillId="13" borderId="20" xfId="2584" applyNumberFormat="1" applyFont="1" applyFill="1" applyBorder="1" applyAlignment="1">
      <alignment horizontal="left" vertical="center"/>
    </xf>
    <xf numFmtId="2" fontId="133" fillId="13" borderId="9" xfId="0" applyNumberFormat="1" applyFont="1" applyFill="1" applyBorder="1" applyAlignment="1">
      <alignment vertical="center"/>
    </xf>
    <xf numFmtId="0" fontId="133" fillId="0" borderId="20" xfId="2584" applyNumberFormat="1" applyFont="1" applyFill="1" applyBorder="1" applyAlignment="1">
      <alignment vertical="center"/>
    </xf>
    <xf numFmtId="0" fontId="133" fillId="0" borderId="20" xfId="2584" applyNumberFormat="1" applyFont="1" applyFill="1" applyBorder="1" applyAlignment="1">
      <alignment horizontal="left" vertical="center"/>
    </xf>
    <xf numFmtId="0" fontId="133" fillId="0" borderId="4" xfId="0" applyFont="1" applyBorder="1" applyAlignment="1">
      <alignment horizontal="center" vertical="center"/>
    </xf>
    <xf numFmtId="2" fontId="133" fillId="0" borderId="9" xfId="0" applyNumberFormat="1" applyFont="1" applyBorder="1" applyAlignment="1">
      <alignment vertical="center"/>
    </xf>
    <xf numFmtId="41" fontId="133" fillId="0" borderId="4" xfId="2865" applyFont="1" applyFill="1" applyBorder="1" applyAlignment="1">
      <alignment vertical="center"/>
    </xf>
    <xf numFmtId="41" fontId="133" fillId="0" borderId="6" xfId="2865" applyFont="1" applyFill="1" applyBorder="1" applyAlignment="1">
      <alignment vertical="center"/>
    </xf>
    <xf numFmtId="0" fontId="133" fillId="0" borderId="0" xfId="0" applyFont="1" applyAlignment="1">
      <alignment vertical="center"/>
    </xf>
    <xf numFmtId="2" fontId="132" fillId="13" borderId="9" xfId="0" applyNumberFormat="1" applyFont="1" applyFill="1" applyBorder="1" applyAlignment="1">
      <alignment vertical="center"/>
    </xf>
    <xf numFmtId="0" fontId="135" fillId="0" borderId="20" xfId="2584" applyNumberFormat="1" applyFont="1" applyFill="1" applyBorder="1" applyAlignment="1">
      <alignment vertical="center"/>
    </xf>
    <xf numFmtId="0" fontId="147" fillId="0" borderId="0" xfId="2866" applyFont="1"/>
    <xf numFmtId="43" fontId="133" fillId="0" borderId="9" xfId="0" applyNumberFormat="1" applyFont="1" applyBorder="1" applyAlignment="1">
      <alignment vertical="center"/>
    </xf>
    <xf numFmtId="0" fontId="133" fillId="0" borderId="20" xfId="2865" applyNumberFormat="1" applyFont="1" applyFill="1" applyBorder="1" applyAlignment="1">
      <alignment horizontal="left" vertical="center"/>
    </xf>
    <xf numFmtId="0" fontId="145" fillId="13" borderId="4" xfId="0" applyFont="1" applyFill="1" applyBorder="1" applyAlignment="1">
      <alignment horizontal="center" vertical="center" shrinkToFit="1"/>
    </xf>
    <xf numFmtId="41" fontId="128" fillId="0" borderId="20" xfId="2584" applyNumberFormat="1" applyFont="1" applyFill="1" applyBorder="1" applyAlignment="1">
      <alignment vertical="center"/>
    </xf>
    <xf numFmtId="0" fontId="113" fillId="15" borderId="20" xfId="2584" applyNumberFormat="1" applyFont="1" applyFill="1" applyBorder="1" applyAlignment="1">
      <alignment horizontal="center" vertical="center"/>
    </xf>
    <xf numFmtId="0" fontId="113" fillId="15" borderId="20" xfId="2584" applyNumberFormat="1" applyFont="1" applyFill="1" applyBorder="1" applyAlignment="1">
      <alignment vertical="center"/>
    </xf>
    <xf numFmtId="0" fontId="113" fillId="15" borderId="20" xfId="2584" applyNumberFormat="1" applyFont="1" applyFill="1" applyBorder="1" applyAlignment="1">
      <alignment horizontal="left" vertical="center"/>
    </xf>
    <xf numFmtId="0" fontId="113" fillId="15" borderId="4" xfId="0" applyFont="1" applyFill="1" applyBorder="1" applyAlignment="1">
      <alignment horizontal="center" vertical="center"/>
    </xf>
    <xf numFmtId="43" fontId="113" fillId="15" borderId="9" xfId="0" applyNumberFormat="1" applyFont="1" applyFill="1" applyBorder="1" applyAlignment="1">
      <alignment vertical="center"/>
    </xf>
    <xf numFmtId="41" fontId="113" fillId="15" borderId="4" xfId="2865" applyFont="1" applyFill="1" applyBorder="1" applyAlignment="1">
      <alignment vertical="center"/>
    </xf>
    <xf numFmtId="41" fontId="113" fillId="15" borderId="6" xfId="2865" applyFont="1" applyFill="1" applyBorder="1" applyAlignment="1">
      <alignment vertical="center"/>
    </xf>
    <xf numFmtId="0" fontId="113" fillId="15" borderId="4" xfId="0" applyFont="1" applyFill="1" applyBorder="1" applyAlignment="1">
      <alignment horizontal="center" vertical="center" shrinkToFit="1"/>
    </xf>
    <xf numFmtId="0" fontId="113" fillId="15" borderId="0" xfId="0" applyFont="1" applyFill="1" applyAlignment="1">
      <alignment vertical="center"/>
    </xf>
    <xf numFmtId="0" fontId="111" fillId="15" borderId="20" xfId="2865" applyNumberFormat="1" applyFont="1" applyFill="1" applyBorder="1" applyAlignment="1">
      <alignment horizontal="center" vertical="center"/>
    </xf>
    <xf numFmtId="0" fontId="111" fillId="15" borderId="20" xfId="2584" applyNumberFormat="1" applyFont="1" applyFill="1" applyBorder="1" applyAlignment="1">
      <alignment vertical="center"/>
    </xf>
    <xf numFmtId="0" fontId="111" fillId="15" borderId="20" xfId="2865" applyNumberFormat="1" applyFont="1" applyFill="1" applyBorder="1" applyAlignment="1">
      <alignment horizontal="left" vertical="center"/>
    </xf>
    <xf numFmtId="0" fontId="111" fillId="15" borderId="4" xfId="0" applyFont="1" applyFill="1" applyBorder="1" applyAlignment="1">
      <alignment horizontal="center" vertical="center"/>
    </xf>
    <xf numFmtId="43" fontId="111" fillId="15" borderId="9" xfId="0" applyNumberFormat="1" applyFont="1" applyFill="1" applyBorder="1" applyAlignment="1">
      <alignment vertical="center"/>
    </xf>
    <xf numFmtId="41" fontId="111" fillId="15" borderId="4" xfId="2865" applyFont="1" applyFill="1" applyBorder="1" applyAlignment="1">
      <alignment vertical="center"/>
    </xf>
    <xf numFmtId="41" fontId="111" fillId="15" borderId="6" xfId="2865" applyFont="1" applyFill="1" applyBorder="1" applyAlignment="1">
      <alignment vertical="center"/>
    </xf>
    <xf numFmtId="0" fontId="111" fillId="15" borderId="4" xfId="0" applyFont="1" applyFill="1" applyBorder="1" applyAlignment="1">
      <alignment horizontal="center" vertical="center" shrinkToFit="1"/>
    </xf>
    <xf numFmtId="0" fontId="113" fillId="15" borderId="20" xfId="2865" applyNumberFormat="1" applyFont="1" applyFill="1" applyBorder="1" applyAlignment="1">
      <alignment horizontal="center" vertical="center"/>
    </xf>
    <xf numFmtId="0" fontId="133" fillId="15" borderId="20" xfId="2584" applyNumberFormat="1" applyFont="1" applyFill="1" applyBorder="1" applyAlignment="1">
      <alignment vertical="center"/>
    </xf>
    <xf numFmtId="0" fontId="133" fillId="15" borderId="20" xfId="2865" applyNumberFormat="1" applyFont="1" applyFill="1" applyBorder="1" applyAlignment="1">
      <alignment horizontal="left" vertical="center"/>
    </xf>
    <xf numFmtId="0" fontId="133" fillId="15" borderId="4" xfId="0" applyFont="1" applyFill="1" applyBorder="1" applyAlignment="1">
      <alignment horizontal="center" vertical="center"/>
    </xf>
    <xf numFmtId="43" fontId="133" fillId="15" borderId="9" xfId="0" applyNumberFormat="1" applyFont="1" applyFill="1" applyBorder="1" applyAlignment="1">
      <alignment vertical="center"/>
    </xf>
    <xf numFmtId="41" fontId="133" fillId="15" borderId="4" xfId="2865" applyFont="1" applyFill="1" applyBorder="1" applyAlignment="1">
      <alignment vertical="center"/>
    </xf>
    <xf numFmtId="41" fontId="133" fillId="15" borderId="6" xfId="2865" applyFont="1" applyFill="1" applyBorder="1" applyAlignment="1">
      <alignment vertical="center"/>
    </xf>
    <xf numFmtId="0" fontId="145" fillId="15" borderId="4" xfId="0" applyFont="1" applyFill="1" applyBorder="1" applyAlignment="1">
      <alignment horizontal="center" vertical="center" shrinkToFit="1"/>
    </xf>
    <xf numFmtId="0" fontId="133" fillId="15" borderId="0" xfId="0" applyFont="1" applyFill="1" applyAlignment="1">
      <alignment vertical="center"/>
    </xf>
    <xf numFmtId="0" fontId="134" fillId="0" borderId="4" xfId="0" applyFont="1" applyBorder="1" applyAlignment="1">
      <alignment horizontal="center" vertical="center"/>
    </xf>
    <xf numFmtId="0" fontId="132" fillId="0" borderId="20" xfId="2584" applyNumberFormat="1" applyFont="1" applyFill="1" applyBorder="1" applyAlignment="1">
      <alignment horizontal="center" vertical="center"/>
    </xf>
    <xf numFmtId="0" fontId="111" fillId="13" borderId="4" xfId="2865" applyNumberFormat="1" applyFont="1" applyFill="1" applyBorder="1" applyAlignment="1">
      <alignment horizontal="center" vertical="center"/>
    </xf>
    <xf numFmtId="0" fontId="148" fillId="13" borderId="4" xfId="0" applyFont="1" applyFill="1" applyBorder="1" applyAlignment="1">
      <alignment horizontal="center" vertical="center" shrinkToFit="1"/>
    </xf>
    <xf numFmtId="0" fontId="132" fillId="13" borderId="20" xfId="2584" applyNumberFormat="1" applyFont="1" applyFill="1" applyBorder="1" applyAlignment="1">
      <alignment horizontal="left" vertical="center"/>
    </xf>
    <xf numFmtId="0" fontId="113" fillId="0" borderId="20" xfId="2865" applyNumberFormat="1" applyFont="1" applyFill="1" applyBorder="1" applyAlignment="1">
      <alignment horizontal="left" vertical="center"/>
    </xf>
    <xf numFmtId="0" fontId="149" fillId="0" borderId="4" xfId="0" applyFont="1" applyBorder="1" applyAlignment="1">
      <alignment horizontal="center" vertical="center"/>
    </xf>
    <xf numFmtId="43" fontId="113" fillId="0" borderId="9" xfId="0" applyNumberFormat="1" applyFont="1" applyBorder="1" applyAlignment="1">
      <alignment vertical="center"/>
    </xf>
    <xf numFmtId="179" fontId="128" fillId="0" borderId="9" xfId="2584" applyFont="1" applyFill="1" applyBorder="1" applyAlignment="1">
      <alignment vertical="center"/>
    </xf>
    <xf numFmtId="10" fontId="128" fillId="0" borderId="32" xfId="0" applyNumberFormat="1" applyFont="1" applyBorder="1" applyAlignment="1">
      <alignment horizontal="right" vertical="center"/>
    </xf>
    <xf numFmtId="43" fontId="128" fillId="0" borderId="4" xfId="0" applyNumberFormat="1" applyFont="1" applyBorder="1" applyAlignment="1">
      <alignment horizontal="center" vertical="center"/>
    </xf>
    <xf numFmtId="10" fontId="128" fillId="0" borderId="34" xfId="0" applyNumberFormat="1" applyFont="1" applyBorder="1" applyAlignment="1">
      <alignment horizontal="right" vertical="center"/>
    </xf>
    <xf numFmtId="43" fontId="128" fillId="0" borderId="29" xfId="2584" applyNumberFormat="1" applyFont="1" applyFill="1" applyBorder="1" applyAlignment="1">
      <alignment horizontal="center" vertical="center"/>
    </xf>
    <xf numFmtId="10" fontId="128" fillId="0" borderId="29" xfId="0" applyNumberFormat="1" applyFont="1" applyBorder="1" applyAlignment="1">
      <alignment horizontal="right" vertical="center"/>
    </xf>
    <xf numFmtId="10" fontId="128" fillId="0" borderId="20" xfId="0" applyNumberFormat="1" applyFont="1" applyBorder="1" applyAlignment="1">
      <alignment horizontal="right" vertical="center"/>
    </xf>
    <xf numFmtId="43" fontId="128" fillId="0" borderId="20" xfId="2584" applyNumberFormat="1" applyFont="1" applyFill="1" applyBorder="1" applyAlignment="1">
      <alignment horizontal="center" vertical="center"/>
    </xf>
    <xf numFmtId="179" fontId="128" fillId="0" borderId="29" xfId="2584" applyFont="1" applyFill="1" applyBorder="1" applyAlignment="1">
      <alignment vertical="center"/>
    </xf>
    <xf numFmtId="43" fontId="128" fillId="0" borderId="0" xfId="0" applyNumberFormat="1" applyFont="1" applyAlignment="1">
      <alignment vertical="center"/>
    </xf>
    <xf numFmtId="0" fontId="150" fillId="0" borderId="20" xfId="2584" applyNumberFormat="1" applyFont="1" applyFill="1" applyBorder="1" applyAlignment="1">
      <alignment horizontal="center" vertical="center"/>
    </xf>
    <xf numFmtId="0" fontId="150" fillId="0" borderId="20" xfId="2584" applyNumberFormat="1" applyFont="1" applyFill="1" applyBorder="1" applyAlignment="1">
      <alignment vertical="center"/>
    </xf>
    <xf numFmtId="0" fontId="150" fillId="0" borderId="20" xfId="2584" applyNumberFormat="1" applyFont="1" applyFill="1" applyBorder="1" applyAlignment="1">
      <alignment horizontal="left" vertical="center"/>
    </xf>
    <xf numFmtId="41" fontId="150" fillId="0" borderId="4" xfId="2865" applyFont="1" applyFill="1" applyBorder="1" applyAlignment="1">
      <alignment vertical="center"/>
    </xf>
    <xf numFmtId="0" fontId="150" fillId="0" borderId="4" xfId="0" applyFont="1" applyBorder="1" applyAlignment="1">
      <alignment horizontal="center" vertical="center" shrinkToFit="1"/>
    </xf>
    <xf numFmtId="0" fontId="141" fillId="0" borderId="20" xfId="2584" applyNumberFormat="1" applyFont="1" applyFill="1" applyBorder="1" applyAlignment="1">
      <alignment horizontal="center" vertical="center"/>
    </xf>
    <xf numFmtId="0" fontId="151" fillId="0" borderId="20" xfId="2584" applyNumberFormat="1" applyFont="1" applyFill="1" applyBorder="1" applyAlignment="1">
      <alignment vertical="center"/>
    </xf>
    <xf numFmtId="0" fontId="151" fillId="0" borderId="20" xfId="2584" applyNumberFormat="1" applyFont="1" applyFill="1" applyBorder="1" applyAlignment="1">
      <alignment horizontal="left" vertical="center"/>
    </xf>
    <xf numFmtId="0" fontId="151" fillId="0" borderId="20" xfId="0" applyFont="1" applyBorder="1" applyAlignment="1">
      <alignment horizontal="center" vertical="center"/>
    </xf>
    <xf numFmtId="43" fontId="151" fillId="0" borderId="20" xfId="2584" applyNumberFormat="1" applyFont="1" applyFill="1" applyBorder="1" applyAlignment="1">
      <alignment horizontal="center" vertical="center"/>
    </xf>
    <xf numFmtId="41" fontId="151" fillId="0" borderId="20" xfId="2865" applyFont="1" applyFill="1" applyBorder="1" applyAlignment="1">
      <alignment vertical="center"/>
    </xf>
    <xf numFmtId="0" fontId="151" fillId="0" borderId="4" xfId="0" applyFont="1" applyBorder="1" applyAlignment="1">
      <alignment horizontal="center" vertical="center" shrinkToFit="1"/>
    </xf>
    <xf numFmtId="0" fontId="151" fillId="0" borderId="20" xfId="0" applyFont="1" applyBorder="1" applyAlignment="1">
      <alignment vertical="center"/>
    </xf>
    <xf numFmtId="0" fontId="150" fillId="0" borderId="20" xfId="0" applyFont="1" applyBorder="1" applyAlignment="1">
      <alignment horizontal="center" vertical="center"/>
    </xf>
    <xf numFmtId="43" fontId="150" fillId="0" borderId="20" xfId="2584" applyNumberFormat="1" applyFont="1" applyFill="1" applyBorder="1" applyAlignment="1">
      <alignment horizontal="center" vertical="center"/>
    </xf>
    <xf numFmtId="41" fontId="150" fillId="0" borderId="20" xfId="2865" applyFont="1" applyFill="1" applyBorder="1" applyAlignment="1">
      <alignment vertical="center"/>
    </xf>
    <xf numFmtId="0" fontId="150" fillId="0" borderId="20" xfId="0" applyFont="1" applyBorder="1" applyAlignment="1">
      <alignment vertical="center"/>
    </xf>
    <xf numFmtId="0" fontId="150" fillId="13" borderId="20" xfId="2865" applyNumberFormat="1" applyFont="1" applyFill="1" applyBorder="1" applyAlignment="1">
      <alignment horizontal="center" vertical="center"/>
    </xf>
    <xf numFmtId="0" fontId="150" fillId="13" borderId="20" xfId="2584" applyNumberFormat="1" applyFont="1" applyFill="1" applyBorder="1" applyAlignment="1">
      <alignment vertical="center"/>
    </xf>
    <xf numFmtId="0" fontId="150" fillId="13" borderId="20" xfId="2865" applyNumberFormat="1" applyFont="1" applyFill="1" applyBorder="1" applyAlignment="1">
      <alignment horizontal="left" vertical="center"/>
    </xf>
    <xf numFmtId="0" fontId="150" fillId="13" borderId="4" xfId="0" applyFont="1" applyFill="1" applyBorder="1" applyAlignment="1">
      <alignment horizontal="center" vertical="center"/>
    </xf>
    <xf numFmtId="43" fontId="150" fillId="13" borderId="9" xfId="0" applyNumberFormat="1" applyFont="1" applyFill="1" applyBorder="1" applyAlignment="1">
      <alignment vertical="center"/>
    </xf>
    <xf numFmtId="41" fontId="150" fillId="13" borderId="4" xfId="2865" applyFont="1" applyFill="1" applyBorder="1" applyAlignment="1">
      <alignment vertical="center"/>
    </xf>
    <xf numFmtId="41" fontId="150" fillId="13" borderId="6" xfId="2865" applyFont="1" applyFill="1" applyBorder="1" applyAlignment="1">
      <alignment vertical="center"/>
    </xf>
    <xf numFmtId="0" fontId="150" fillId="13" borderId="0" xfId="0" applyFont="1" applyFill="1" applyAlignment="1">
      <alignment vertical="center"/>
    </xf>
    <xf numFmtId="0" fontId="152" fillId="0" borderId="4" xfId="0" applyFont="1" applyBorder="1" applyAlignment="1">
      <alignment horizontal="center" vertical="center" shrinkToFit="1"/>
    </xf>
    <xf numFmtId="0" fontId="153" fillId="0" borderId="0" xfId="2864" applyFont="1"/>
    <xf numFmtId="0" fontId="151" fillId="13" borderId="4" xfId="0" applyFont="1" applyFill="1" applyBorder="1" applyAlignment="1">
      <alignment horizontal="center" vertical="center" shrinkToFit="1"/>
    </xf>
    <xf numFmtId="0" fontId="154" fillId="13" borderId="0" xfId="2584" applyNumberFormat="1" applyFont="1" applyFill="1" applyBorder="1" applyAlignment="1">
      <alignment vertical="center"/>
    </xf>
    <xf numFmtId="0" fontId="150" fillId="0" borderId="4" xfId="0" applyFont="1" applyBorder="1" applyAlignment="1">
      <alignment horizontal="center" vertical="center"/>
    </xf>
    <xf numFmtId="2" fontId="150" fillId="0" borderId="9" xfId="0" applyNumberFormat="1" applyFont="1" applyBorder="1" applyAlignment="1">
      <alignment vertical="center"/>
    </xf>
    <xf numFmtId="41" fontId="150" fillId="0" borderId="6" xfId="2865" applyFont="1" applyFill="1" applyBorder="1" applyAlignment="1">
      <alignment vertical="center"/>
    </xf>
    <xf numFmtId="0" fontId="150" fillId="0" borderId="0" xfId="0" applyFont="1" applyAlignment="1">
      <alignment vertical="center"/>
    </xf>
    <xf numFmtId="0" fontId="155" fillId="13" borderId="4" xfId="0" applyFont="1" applyFill="1" applyBorder="1" applyAlignment="1">
      <alignment horizontal="center" vertical="center"/>
    </xf>
    <xf numFmtId="0" fontId="150" fillId="13" borderId="20" xfId="2584" applyNumberFormat="1" applyFont="1" applyFill="1" applyBorder="1" applyAlignment="1">
      <alignment horizontal="left" vertical="center"/>
    </xf>
    <xf numFmtId="0" fontId="150" fillId="13" borderId="4" xfId="0" applyFont="1" applyFill="1" applyBorder="1" applyAlignment="1">
      <alignment horizontal="center" vertical="center" shrinkToFit="1"/>
    </xf>
    <xf numFmtId="43" fontId="150" fillId="0" borderId="9" xfId="0" applyNumberFormat="1" applyFont="1" applyBorder="1" applyAlignment="1">
      <alignment vertical="center"/>
    </xf>
    <xf numFmtId="0" fontId="150" fillId="15" borderId="20" xfId="2584" applyNumberFormat="1" applyFont="1" applyFill="1" applyBorder="1" applyAlignment="1">
      <alignment vertical="center"/>
    </xf>
    <xf numFmtId="0" fontId="150" fillId="15" borderId="20" xfId="2865" applyNumberFormat="1" applyFont="1" applyFill="1" applyBorder="1" applyAlignment="1">
      <alignment horizontal="left" vertical="center"/>
    </xf>
    <xf numFmtId="0" fontId="150" fillId="15" borderId="4" xfId="0" applyFont="1" applyFill="1" applyBorder="1" applyAlignment="1">
      <alignment horizontal="center" vertical="center"/>
    </xf>
    <xf numFmtId="43" fontId="150" fillId="15" borderId="9" xfId="0" applyNumberFormat="1" applyFont="1" applyFill="1" applyBorder="1" applyAlignment="1">
      <alignment vertical="center"/>
    </xf>
    <xf numFmtId="41" fontId="150" fillId="15" borderId="4" xfId="2865" applyFont="1" applyFill="1" applyBorder="1" applyAlignment="1">
      <alignment vertical="center"/>
    </xf>
    <xf numFmtId="41" fontId="150" fillId="15" borderId="6" xfId="2865" applyFont="1" applyFill="1" applyBorder="1" applyAlignment="1">
      <alignment vertical="center"/>
    </xf>
    <xf numFmtId="0" fontId="150" fillId="15" borderId="4" xfId="0" applyFont="1" applyFill="1" applyBorder="1" applyAlignment="1">
      <alignment horizontal="center" vertical="center" shrinkToFit="1"/>
    </xf>
    <xf numFmtId="0" fontId="150" fillId="15" borderId="0" xfId="0" applyFont="1" applyFill="1" applyAlignment="1">
      <alignment vertical="center"/>
    </xf>
    <xf numFmtId="0" fontId="113" fillId="15" borderId="20" xfId="2865" applyNumberFormat="1" applyFont="1" applyFill="1" applyBorder="1" applyAlignment="1">
      <alignment horizontal="left" vertical="center"/>
    </xf>
    <xf numFmtId="43" fontId="156" fillId="15" borderId="9" xfId="0" applyNumberFormat="1" applyFont="1" applyFill="1" applyBorder="1" applyAlignment="1">
      <alignment vertical="center"/>
    </xf>
    <xf numFmtId="0" fontId="142" fillId="15" borderId="20" xfId="2865" applyNumberFormat="1" applyFont="1" applyFill="1" applyBorder="1" applyAlignment="1">
      <alignment horizontal="left" vertical="center"/>
    </xf>
    <xf numFmtId="0" fontId="142" fillId="15" borderId="4" xfId="0" applyFont="1" applyFill="1" applyBorder="1" applyAlignment="1">
      <alignment horizontal="center" vertical="center"/>
    </xf>
    <xf numFmtId="0" fontId="150" fillId="15" borderId="20" xfId="2865" applyNumberFormat="1" applyFont="1" applyFill="1" applyBorder="1" applyAlignment="1">
      <alignment horizontal="center" vertical="center"/>
    </xf>
    <xf numFmtId="0" fontId="152" fillId="15" borderId="4" xfId="0" applyFont="1" applyFill="1" applyBorder="1" applyAlignment="1">
      <alignment horizontal="center" vertical="center" shrinkToFit="1"/>
    </xf>
    <xf numFmtId="0" fontId="150" fillId="15" borderId="20" xfId="2584" applyNumberFormat="1" applyFont="1" applyFill="1" applyBorder="1" applyAlignment="1">
      <alignment horizontal="left" vertical="center"/>
    </xf>
    <xf numFmtId="2" fontId="150" fillId="15" borderId="9" xfId="0" applyNumberFormat="1" applyFont="1" applyFill="1" applyBorder="1" applyAlignment="1">
      <alignment vertical="center"/>
    </xf>
    <xf numFmtId="0" fontId="157" fillId="0" borderId="20" xfId="2865" applyNumberFormat="1" applyFont="1" applyFill="1" applyBorder="1" applyAlignment="1">
      <alignment horizontal="center" vertical="center"/>
    </xf>
    <xf numFmtId="0" fontId="157" fillId="0" borderId="20" xfId="2584" applyNumberFormat="1" applyFont="1" applyFill="1" applyBorder="1" applyAlignment="1">
      <alignment vertical="center"/>
    </xf>
    <xf numFmtId="0" fontId="157" fillId="0" borderId="20" xfId="2865" applyNumberFormat="1" applyFont="1" applyFill="1" applyBorder="1" applyAlignment="1">
      <alignment horizontal="left" vertical="center"/>
    </xf>
    <xf numFmtId="0" fontId="157" fillId="0" borderId="4" xfId="0" applyFont="1" applyBorder="1" applyAlignment="1">
      <alignment horizontal="center" vertical="center"/>
    </xf>
    <xf numFmtId="43" fontId="157" fillId="0" borderId="9" xfId="0" applyNumberFormat="1" applyFont="1" applyBorder="1" applyAlignment="1">
      <alignment vertical="center"/>
    </xf>
    <xf numFmtId="41" fontId="157" fillId="0" borderId="4" xfId="2865" applyFont="1" applyFill="1" applyBorder="1" applyAlignment="1">
      <alignment vertical="center"/>
    </xf>
    <xf numFmtId="41" fontId="157" fillId="0" borderId="6" xfId="2865" applyFont="1" applyFill="1" applyBorder="1" applyAlignment="1">
      <alignment vertical="center"/>
    </xf>
    <xf numFmtId="0" fontId="158" fillId="0" borderId="4" xfId="0" applyFont="1" applyBorder="1" applyAlignment="1">
      <alignment horizontal="center" vertical="center" shrinkToFit="1"/>
    </xf>
    <xf numFmtId="0" fontId="157" fillId="0" borderId="0" xfId="0" applyFont="1" applyAlignment="1">
      <alignment vertical="center"/>
    </xf>
    <xf numFmtId="41" fontId="112" fillId="0" borderId="0" xfId="0" applyNumberFormat="1" applyFont="1" applyAlignment="1">
      <alignment vertical="center"/>
    </xf>
    <xf numFmtId="41" fontId="111" fillId="13" borderId="0" xfId="0" applyNumberFormat="1" applyFont="1" applyFill="1" applyAlignment="1">
      <alignment vertical="center"/>
    </xf>
    <xf numFmtId="0" fontId="111" fillId="15" borderId="20" xfId="2584" applyNumberFormat="1" applyFont="1" applyFill="1" applyBorder="1" applyAlignment="1">
      <alignment horizontal="center" vertical="center"/>
    </xf>
    <xf numFmtId="0" fontId="111" fillId="15" borderId="20" xfId="2584" applyNumberFormat="1" applyFont="1" applyFill="1" applyBorder="1" applyAlignment="1">
      <alignment horizontal="left" vertical="center"/>
    </xf>
    <xf numFmtId="2" fontId="111" fillId="15" borderId="9" xfId="0" applyNumberFormat="1" applyFont="1" applyFill="1" applyBorder="1" applyAlignment="1">
      <alignment vertical="center"/>
    </xf>
    <xf numFmtId="0" fontId="154" fillId="0" borderId="0" xfId="2584" applyNumberFormat="1" applyFont="1" applyFill="1" applyBorder="1" applyAlignment="1">
      <alignment horizontal="center" vertical="center"/>
    </xf>
    <xf numFmtId="0" fontId="154" fillId="0" borderId="0" xfId="2584" applyNumberFormat="1" applyFont="1" applyFill="1" applyBorder="1" applyAlignment="1">
      <alignment vertical="center"/>
    </xf>
    <xf numFmtId="0" fontId="154" fillId="0" borderId="0" xfId="2584" applyNumberFormat="1" applyFont="1" applyFill="1" applyBorder="1" applyAlignment="1">
      <alignment horizontal="left" vertical="center"/>
    </xf>
    <xf numFmtId="0" fontId="154" fillId="0" borderId="0" xfId="0" applyFont="1" applyAlignment="1">
      <alignment horizontal="center" vertical="center"/>
    </xf>
    <xf numFmtId="43" fontId="154" fillId="0" borderId="0" xfId="2584" applyNumberFormat="1" applyFont="1" applyFill="1" applyBorder="1" applyAlignment="1">
      <alignment vertical="center"/>
    </xf>
    <xf numFmtId="179" fontId="154" fillId="0" borderId="0" xfId="2584" applyFont="1" applyFill="1" applyBorder="1" applyAlignment="1">
      <alignment vertical="center"/>
    </xf>
    <xf numFmtId="0" fontId="154" fillId="0" borderId="0" xfId="0" applyFont="1" applyAlignment="1">
      <alignment vertical="center" shrinkToFit="1"/>
    </xf>
    <xf numFmtId="0" fontId="154" fillId="0" borderId="0" xfId="0" applyFont="1" applyAlignment="1">
      <alignment vertical="center"/>
    </xf>
    <xf numFmtId="0" fontId="159" fillId="0" borderId="0" xfId="0" applyFont="1" applyAlignment="1">
      <alignment vertical="center"/>
    </xf>
    <xf numFmtId="0" fontId="160" fillId="15" borderId="20" xfId="2584" applyNumberFormat="1" applyFont="1" applyFill="1" applyBorder="1" applyAlignment="1">
      <alignment horizontal="left" vertical="center"/>
    </xf>
    <xf numFmtId="0" fontId="160" fillId="15" borderId="4" xfId="0" applyFont="1" applyFill="1" applyBorder="1" applyAlignment="1">
      <alignment horizontal="center" vertical="center"/>
    </xf>
    <xf numFmtId="2" fontId="160" fillId="15" borderId="9" xfId="0" applyNumberFormat="1" applyFont="1" applyFill="1" applyBorder="1" applyAlignment="1">
      <alignment vertical="center"/>
    </xf>
    <xf numFmtId="41" fontId="160" fillId="15" borderId="4" xfId="2865" applyFont="1" applyFill="1" applyBorder="1" applyAlignment="1">
      <alignment vertical="center"/>
    </xf>
    <xf numFmtId="41" fontId="160" fillId="15" borderId="6" xfId="2865" applyFont="1" applyFill="1" applyBorder="1" applyAlignment="1">
      <alignment vertical="center"/>
    </xf>
    <xf numFmtId="0" fontId="160" fillId="15" borderId="4" xfId="0" applyFont="1" applyFill="1" applyBorder="1" applyAlignment="1">
      <alignment horizontal="center" vertical="center" shrinkToFit="1"/>
    </xf>
    <xf numFmtId="0" fontId="160" fillId="15" borderId="0" xfId="0" applyFont="1" applyFill="1" applyAlignment="1">
      <alignment vertical="center"/>
    </xf>
    <xf numFmtId="0" fontId="160" fillId="15" borderId="20" xfId="2584" applyNumberFormat="1" applyFont="1" applyFill="1" applyBorder="1" applyAlignment="1">
      <alignment vertical="center"/>
    </xf>
    <xf numFmtId="43" fontId="160" fillId="15" borderId="9" xfId="0" applyNumberFormat="1" applyFont="1" applyFill="1" applyBorder="1" applyAlignment="1">
      <alignment vertical="center"/>
    </xf>
    <xf numFmtId="0" fontId="160" fillId="15" borderId="20" xfId="2865" applyNumberFormat="1" applyFont="1" applyFill="1" applyBorder="1" applyAlignment="1">
      <alignment horizontal="left" vertical="center"/>
    </xf>
    <xf numFmtId="41" fontId="160" fillId="15" borderId="0" xfId="0" applyNumberFormat="1" applyFont="1" applyFill="1" applyAlignment="1">
      <alignment vertical="center"/>
    </xf>
    <xf numFmtId="0" fontId="133" fillId="15" borderId="20" xfId="2584" applyNumberFormat="1" applyFont="1" applyFill="1" applyBorder="1" applyAlignment="1">
      <alignment horizontal="left" vertical="center"/>
    </xf>
    <xf numFmtId="0" fontId="133" fillId="15" borderId="4" xfId="0" applyFont="1" applyFill="1" applyBorder="1" applyAlignment="1">
      <alignment horizontal="center" vertical="center" shrinkToFit="1"/>
    </xf>
    <xf numFmtId="0" fontId="114" fillId="0" borderId="0" xfId="2866" applyFont="1" applyAlignment="1">
      <alignment horizontal="center"/>
    </xf>
    <xf numFmtId="0" fontId="115" fillId="0" borderId="0" xfId="2864" applyFont="1" applyAlignment="1">
      <alignment horizontal="center"/>
    </xf>
    <xf numFmtId="57" fontId="116" fillId="0" borderId="0" xfId="2866" applyNumberFormat="1" applyFont="1" applyAlignment="1">
      <alignment horizontal="right"/>
    </xf>
    <xf numFmtId="0" fontId="118" fillId="0" borderId="21" xfId="2866" applyFont="1" applyBorder="1"/>
    <xf numFmtId="0" fontId="118" fillId="0" borderId="0" xfId="2866" applyFont="1" applyAlignment="1">
      <alignment horizontal="left"/>
    </xf>
    <xf numFmtId="0" fontId="125" fillId="7" borderId="38" xfId="0" applyFont="1" applyFill="1" applyBorder="1" applyAlignment="1">
      <alignment horizontal="center" vertical="center"/>
    </xf>
    <xf numFmtId="0" fontId="125" fillId="7" borderId="27" xfId="0" applyFont="1" applyFill="1" applyBorder="1" applyAlignment="1">
      <alignment horizontal="center" vertical="center"/>
    </xf>
    <xf numFmtId="0" fontId="122" fillId="0" borderId="0" xfId="2584" applyNumberFormat="1" applyFont="1" applyFill="1" applyBorder="1" applyAlignment="1">
      <alignment vertical="center"/>
    </xf>
    <xf numFmtId="0" fontId="125" fillId="7" borderId="38" xfId="2584" applyNumberFormat="1" applyFont="1" applyFill="1" applyBorder="1" applyAlignment="1">
      <alignment horizontal="center" vertical="center"/>
    </xf>
    <xf numFmtId="0" fontId="125" fillId="7" borderId="27" xfId="2584" applyNumberFormat="1" applyFont="1" applyFill="1" applyBorder="1" applyAlignment="1">
      <alignment horizontal="center" vertical="center"/>
    </xf>
    <xf numFmtId="43" fontId="125" fillId="7" borderId="38" xfId="0" applyNumberFormat="1" applyFont="1" applyFill="1" applyBorder="1" applyAlignment="1">
      <alignment horizontal="center" vertical="center"/>
    </xf>
    <xf numFmtId="43" fontId="125" fillId="7" borderId="27" xfId="0" applyNumberFormat="1" applyFont="1" applyFill="1" applyBorder="1" applyAlignment="1">
      <alignment horizontal="center" vertical="center"/>
    </xf>
    <xf numFmtId="179" fontId="125" fillId="7" borderId="38" xfId="2584" applyFont="1" applyFill="1" applyBorder="1" applyAlignment="1">
      <alignment horizontal="center" vertical="center"/>
    </xf>
    <xf numFmtId="0" fontId="113" fillId="15" borderId="29" xfId="0" applyFont="1" applyFill="1" applyBorder="1" applyAlignment="1">
      <alignment horizontal="center" vertical="center" shrinkToFit="1"/>
    </xf>
    <xf numFmtId="0" fontId="113" fillId="15" borderId="4" xfId="0" applyFont="1" applyFill="1" applyBorder="1" applyAlignment="1">
      <alignment horizontal="center" vertical="center" shrinkToFit="1"/>
    </xf>
    <xf numFmtId="0" fontId="113" fillId="0" borderId="31" xfId="2584" applyNumberFormat="1" applyFont="1" applyFill="1" applyBorder="1" applyAlignment="1">
      <alignment vertical="center"/>
    </xf>
    <xf numFmtId="0" fontId="113" fillId="0" borderId="46" xfId="2584" applyNumberFormat="1" applyFont="1" applyFill="1" applyBorder="1" applyAlignment="1">
      <alignment vertical="center"/>
    </xf>
    <xf numFmtId="0" fontId="113" fillId="0" borderId="26" xfId="2584" applyNumberFormat="1" applyFont="1" applyFill="1" applyBorder="1" applyAlignment="1">
      <alignment vertical="center"/>
    </xf>
    <xf numFmtId="0" fontId="131" fillId="16" borderId="37" xfId="0" applyFont="1" applyFill="1" applyBorder="1" applyAlignment="1">
      <alignment horizontal="center" vertical="center"/>
    </xf>
    <xf numFmtId="0" fontId="131" fillId="16" borderId="38" xfId="0" applyFont="1" applyFill="1" applyBorder="1" applyAlignment="1">
      <alignment horizontal="center" vertical="center"/>
    </xf>
    <xf numFmtId="0" fontId="107" fillId="0" borderId="28" xfId="2584" applyNumberFormat="1" applyFont="1" applyFill="1" applyBorder="1" applyAlignment="1">
      <alignment vertical="center"/>
    </xf>
    <xf numFmtId="0" fontId="109" fillId="7" borderId="27" xfId="0" applyFont="1" applyFill="1" applyBorder="1" applyAlignment="1">
      <alignment horizontal="center" vertical="center"/>
    </xf>
    <xf numFmtId="0" fontId="109" fillId="16" borderId="27" xfId="2584" applyNumberFormat="1" applyFont="1" applyFill="1" applyBorder="1" applyAlignment="1">
      <alignment horizontal="center" vertical="center"/>
    </xf>
    <xf numFmtId="0" fontId="109" fillId="16" borderId="27" xfId="0" applyFont="1" applyFill="1" applyBorder="1" applyAlignment="1">
      <alignment horizontal="center" vertical="center"/>
    </xf>
    <xf numFmtId="43" fontId="109" fillId="16" borderId="27" xfId="0" applyNumberFormat="1" applyFont="1" applyFill="1" applyBorder="1" applyAlignment="1">
      <alignment horizontal="center" vertical="center"/>
    </xf>
    <xf numFmtId="179" fontId="109" fillId="16" borderId="27" xfId="2584" applyFont="1" applyFill="1" applyBorder="1" applyAlignment="1">
      <alignment horizontal="center" vertical="center"/>
    </xf>
    <xf numFmtId="0" fontId="150" fillId="0" borderId="29" xfId="0" applyFont="1" applyBorder="1" applyAlignment="1">
      <alignment horizontal="center" vertical="center" shrinkToFit="1"/>
    </xf>
    <xf numFmtId="0" fontId="150" fillId="0" borderId="30" xfId="0" applyFont="1" applyBorder="1" applyAlignment="1">
      <alignment horizontal="center" vertical="center" shrinkToFit="1"/>
    </xf>
    <xf numFmtId="0" fontId="150" fillId="0" borderId="4" xfId="0" applyFont="1" applyBorder="1" applyAlignment="1">
      <alignment horizontal="center" vertical="center" shrinkToFit="1"/>
    </xf>
  </cellXfs>
  <cellStyles count="2868">
    <cellStyle name=" " xfId="1"/>
    <cellStyle name=" _97연말" xfId="2"/>
    <cellStyle name=" _97연말_방수-대맥" xfId="3"/>
    <cellStyle name=" _97연말1" xfId="4"/>
    <cellStyle name=" _97연말1_방수-대맥" xfId="5"/>
    <cellStyle name=" _Book1" xfId="6"/>
    <cellStyle name=" _Book1_방수-대맥" xfId="7"/>
    <cellStyle name=" _방수-대맥" xfId="8"/>
    <cellStyle name="&quot;" xfId="9"/>
    <cellStyle name="#,##0" xfId="10"/>
    <cellStyle name="$" xfId="11"/>
    <cellStyle name="$_db진흥" xfId="12"/>
    <cellStyle name="$_견적2" xfId="13"/>
    <cellStyle name="$_기아" xfId="14"/>
    <cellStyle name="(##.00)" xfId="15"/>
    <cellStyle name="(△콤마)" xfId="16"/>
    <cellStyle name="(백분율)" xfId="17"/>
    <cellStyle name="(콤마)" xfId="18"/>
    <cellStyle name="??_x000c_둄_x001b__x000d_|?_x0001_?_x0003__x0014__x0007__x0001__x0001_" xfId="19"/>
    <cellStyle name="??&amp;5_x0007_?._x0007_9_x0008_??_x0007__x0001__x0001_" xfId="20"/>
    <cellStyle name="??&amp;6_x0007_?/_x0007_9_x0008_??_x0007__x0001__x0001_" xfId="21"/>
    <cellStyle name="??&amp;O?&amp;H?_x0008__x000f__x0007_?_x0007__x0001__x0001_" xfId="22"/>
    <cellStyle name="??&amp;O?&amp;H?_x0008_??_x0007__x0001__x0001_" xfId="23"/>
    <cellStyle name="??&amp;멅?둃9_x0008_??_x0007__x0001__x0001_" xfId="24"/>
    <cellStyle name="??&amp;쏗?뷐9_x0008__x0011__x0007_?_x0007__x0001__x0001_" xfId="25"/>
    <cellStyle name="???­ [0]_±??¸" xfId="26"/>
    <cellStyle name="???­_±??¸" xfId="27"/>
    <cellStyle name="???Ø_¿?°?¿?¾?º¸°?" xfId="28"/>
    <cellStyle name="??_pldt" xfId="29"/>
    <cellStyle name="?ðC%U?&amp;H?_x0008_?s_x000a__x0007__x0001__x0001_" xfId="30"/>
    <cellStyle name="?Þ¸¶ [0]_±??¸" xfId="31"/>
    <cellStyle name="?Þ¸¶_±??¸" xfId="32"/>
    <cellStyle name="?W?_laroux" xfId="33"/>
    <cellStyle name="?曹%U?&amp;H?_x0008_?s_x000a__x0007__x0001__x0001_" xfId="34"/>
    <cellStyle name="?珠??? " xfId="35"/>
    <cellStyle name="_(02.03.05) 묵동 현장관리비 실행" xfId="36"/>
    <cellStyle name="_(02.03.08) 묵동 현장관리비 실행" xfId="37"/>
    <cellStyle name="_(02.09.17)인천 삼산1지구 2블럭 주공아파트" xfId="38"/>
    <cellStyle name="_(02.09.23  64,000평)인천 삼산1지구 2블럭 " xfId="39"/>
    <cellStyle name="_(07.31 최종확정)묵동 실행예산" xfId="40"/>
    <cellStyle name="_(09.05)인천원당 공통가설공사" xfId="41"/>
    <cellStyle name="_00" xfId="42"/>
    <cellStyle name="_00012002년 업체평가 결과 현장전파공문(030310)" xfId="43"/>
    <cellStyle name="_001-인원및일반관리비" xfId="44"/>
    <cellStyle name="_01.본실행" xfId="45"/>
    <cellStyle name="_0106-06-007 금속 및 수장공사 단가견적- 대림" xfId="46"/>
    <cellStyle name="_01-1.본실행.간접비" xfId="47"/>
    <cellStyle name="_01-건축공사" xfId="48"/>
    <cellStyle name="_02.본실행(건축)" xfId="49"/>
    <cellStyle name="_02.본실행(건축1)" xfId="50"/>
    <cellStyle name="_0210 암센타 내역 A ZONE" xfId="51"/>
    <cellStyle name="_02-도급공사비내역" xfId="52"/>
    <cellStyle name="_03 실행내역(대전MBC)-건축토목" xfId="53"/>
    <cellStyle name="_03_정보통신R.C공사(051031)" xfId="54"/>
    <cellStyle name="_04 건축-인테리어(주거)공내역" xfId="55"/>
    <cellStyle name="_0426 제주 봉개 견적서(제출)" xfId="56"/>
    <cellStyle name="_05 건축-인테리어(상업)공내역" xfId="57"/>
    <cellStyle name="_05_방수공사" xfId="58"/>
    <cellStyle name="_05_방수공사(6.21)" xfId="59"/>
    <cellStyle name="_050728 IBM Lounge Renovation Work" xfId="60"/>
    <cellStyle name="_050805 스파피스-입찰내역서" xfId="61"/>
    <cellStyle name="_050829 Schedule of Rate for Intel R&amp;D Center" xfId="62"/>
    <cellStyle name="_0510 CGV 수원인계8" xfId="63"/>
    <cellStyle name="_0512제출(1공구)" xfId="64"/>
    <cellStyle name="_0513 견적서양식및3개평형별내역" xfId="65"/>
    <cellStyle name="_0514회의확정자료" xfId="66"/>
    <cellStyle name="_0524 특기시방" xfId="67"/>
    <cellStyle name="_060621 뉴 금오산 호텔 본관" xfId="68"/>
    <cellStyle name="_061114 GS MART A,B,C복층 내역(제출)" xfId="69"/>
    <cellStyle name="_07_미장공사" xfId="70"/>
    <cellStyle name="_07_진장점-미장공사 발주-진장점-RDR-051031" xfId="71"/>
    <cellStyle name="_070111 한우리리조트(취합)-공종분류" xfId="72"/>
    <cellStyle name="_070119 서초동쇼룸(최종)" xfId="73"/>
    <cellStyle name="_08-가실행내역" xfId="74"/>
    <cellStyle name="_09_흡음단열공사" xfId="75"/>
    <cellStyle name="_0901작업1-금액분리" xfId="76"/>
    <cellStyle name="_1 총괄-건축집행(평창콘도)" xfId="77"/>
    <cellStyle name="_1. 삼성동 실행 030225(조적추가)" xfId="78"/>
    <cellStyle name="_1. 삼성동 실행(030329)" xfId="79"/>
    <cellStyle name="_1. 송도신도시현장관리비전순일검토" xfId="80"/>
    <cellStyle name="_12_스텐스틸창호" xfId="81"/>
    <cellStyle name="_16_진장점수장공사(051209)" xfId="82"/>
    <cellStyle name="_2001전북도청 실행예산" xfId="83"/>
    <cellStyle name="_2002년 업체평가 결과 현장전파공문(030310)" xfId="84"/>
    <cellStyle name="_2003년전망(현장발송본) " xfId="85"/>
    <cellStyle name="_3. 인천간석동현장관리비전순일 분석" xfId="86"/>
    <cellStyle name="_4. 파주 변경 현장안20030128" xfId="87"/>
    <cellStyle name="_A" xfId="88"/>
    <cellStyle name="_A0509-가실행(파주)" xfId="89"/>
    <cellStyle name="_A-0902건축공사확정(대안포함)" xfId="90"/>
    <cellStyle name="_A-0902조경공사확정(대안포함)" xfId="91"/>
    <cellStyle name="_AA" xfId="92"/>
    <cellStyle name="_A발주자참고내역003-전기공사" xfId="93"/>
    <cellStyle name="_BAT현장(본실행1)" xfId="94"/>
    <cellStyle name="_Book1" xfId="95"/>
    <cellStyle name="_Book2" xfId="96"/>
    <cellStyle name="_BOQ(Hang Lung)" xfId="97"/>
    <cellStyle name="_BOQ(Hang Lung-rev1)" xfId="98"/>
    <cellStyle name="_FCST (2)" xfId="99"/>
    <cellStyle name="_KIL11107비교xls" xfId="100"/>
    <cellStyle name="_KT견적요청" xfId="101"/>
    <cellStyle name="_LG2,3,4,6층(0313)" xfId="102"/>
    <cellStyle name="_N-A023정보통신수장(바닥-060425)-최종" xfId="103"/>
    <cellStyle name="_N-A023정보통신수장(바닥-060425)-최종_1차 기성 내역서 0612023" xfId="104"/>
    <cellStyle name="_N-A023정보통신수장(바닥-060425)-최종_3차네고견적(061017-1)" xfId="105"/>
    <cellStyle name="_N-A023정보통신수장(바닥-060425)-최종_문화센타" xfId="106"/>
    <cellStyle name="_NA-A012정보통신알미늄커튼월공사(060119)" xfId="107"/>
    <cellStyle name="_NC12E1F75" xfId="108"/>
    <cellStyle name="_NC22E43F4" xfId="109"/>
    <cellStyle name="_NC2308EFD" xfId="110"/>
    <cellStyle name="_NC85018F" xfId="111"/>
    <cellStyle name="_NCA07108" xfId="112"/>
    <cellStyle name="_NCF3A0B2" xfId="113"/>
    <cellStyle name="_port" xfId="114"/>
    <cellStyle name="_RESULTS" xfId="115"/>
    <cellStyle name="_SK건설추정견적" xfId="116"/>
    <cellStyle name="_SK-역삼동 Leaders View EST 050711" xfId="117"/>
    <cellStyle name="_summary for MTRC P3" xfId="118"/>
    <cellStyle name="_Unit rate &amp; Quantity" xfId="119"/>
    <cellStyle name="_X" xfId="120"/>
    <cellStyle name="_가로양식(2005)" xfId="121"/>
    <cellStyle name="_가실행" xfId="122"/>
    <cellStyle name="_가실행 최종본사분" xfId="123"/>
    <cellStyle name="_가실행(3th)" xfId="124"/>
    <cellStyle name="_가실행(대전아울렛)" xfId="125"/>
    <cellStyle name="_가실행(대혜건축)" xfId="126"/>
    <cellStyle name="_가실행(분리발주)" xfId="127"/>
    <cellStyle name="_가실행(조선대)-최종" xfId="128"/>
    <cellStyle name="_가실행내역(김해공항)" xfId="129"/>
    <cellStyle name="_가실행-화물터미널B(수정)" xfId="130"/>
    <cellStyle name="_가실행-화물터미널B(재수정)" xfId="131"/>
    <cellStyle name="_간석동실행" xfId="132"/>
    <cellStyle name="_간석동실행(확정)" xfId="133"/>
    <cellStyle name="_간석동현장관리비(alt3-2)1021" xfId="134"/>
    <cellStyle name="_간접비(01.09.28-변경내용포함)" xfId="135"/>
    <cellStyle name="_강제창호 및 잡철공사" xfId="136"/>
    <cellStyle name="_개산견적" xfId="137"/>
    <cellStyle name="_건축_공내역" xfId="138"/>
    <cellStyle name="_건축내역" xfId="139"/>
    <cellStyle name="_건축내역2" xfId="140"/>
    <cellStyle name="_건축내역서(단가입력)" xfId="141"/>
    <cellStyle name="_건축사업팀검토008-철골공사Ⅲ" xfId="142"/>
    <cellStyle name="_검단 실행 작성(0515)" xfId="143"/>
    <cellStyle name="_검단 최종(변경0623 최종)" xfId="144"/>
    <cellStyle name="_검암2차사전공사(본사검토) " xfId="145"/>
    <cellStyle name="_검암2차사전공사(본사검토) _1차 기성 내역서 0612023" xfId="146"/>
    <cellStyle name="_검암2차사전공사(본사검토) _3차네고견적(061017-1)" xfId="147"/>
    <cellStyle name="_검암2차사전공사(본사검토) _문화센타" xfId="148"/>
    <cellStyle name="_검암2차사전공사(본사검토) _총괄내역표" xfId="149"/>
    <cellStyle name="_견적 질의서" xfId="150"/>
    <cellStyle name="_견적기준(운송대리점)" xfId="151"/>
    <cellStyle name="_견적서(서초포스코)" xfId="152"/>
    <cellStyle name="_견적서표지" xfId="153"/>
    <cellStyle name="_견적양식-가로" xfId="154"/>
    <cellStyle name="_견적의뢰양식" xfId="155"/>
    <cellStyle name="_견적조건" xfId="156"/>
    <cellStyle name="_결정01-총괄가실행(0820)" xfId="157"/>
    <cellStyle name="_경쟁사" xfId="158"/>
    <cellStyle name="_공내역서(송파트리플)" xfId="159"/>
    <cellStyle name="_공내역서_토목" xfId="160"/>
    <cellStyle name="_공사개요(건축사업팀03.09.02)" xfId="161"/>
    <cellStyle name="_공정표" xfId="162"/>
    <cellStyle name="_공종분개작업" xfId="163"/>
    <cellStyle name="_관리비" xfId="164"/>
    <cellStyle name="_광주+속초내역(듀엘견적)" xfId="165"/>
    <cellStyle name="_교원그룹 낙산 숙박시설 신축공사" xfId="166"/>
    <cellStyle name="_구월동오피스텔(이토협의)의 백업" xfId="167"/>
    <cellStyle name="_그랜드호텔(본실행)" xfId="168"/>
    <cellStyle name="_내역003-추정내역" xfId="169"/>
    <cellStyle name="_내역서_토목" xfId="170"/>
    <cellStyle name="_단가표" xfId="171"/>
    <cellStyle name="_단위세대물량산출서" xfId="172"/>
    <cellStyle name="_당팀-가실행작업" xfId="173"/>
    <cellStyle name="_대림-온양온천역사 EST 050427-제출" xfId="174"/>
    <cellStyle name="_대림-전주가톨릭센터 EST 050516-제출" xfId="175"/>
    <cellStyle name="_대림-전주카톨릭센터 EST 051005" xfId="176"/>
    <cellStyle name="_대림-한국토지공사 광주사옥 EST 050502-제출" xfId="177"/>
    <cellStyle name="_대비표양식" xfId="178"/>
    <cellStyle name="_도곡동실행1차" xfId="179"/>
    <cellStyle name="_도곡동토공사사발주계획" xfId="180"/>
    <cellStyle name="_도급공사변경Ⅰ(0626)" xfId="181"/>
    <cellStyle name="_도봉동 빌라실행보고서" xfId="182"/>
    <cellStyle name="_라이나 대구 (8차)" xfId="183"/>
    <cellStyle name="_마가레트 호텔" xfId="184"/>
    <cellStyle name="_매입세근거" xfId="185"/>
    <cellStyle name="_매입세근거_습식공사현설" xfId="186"/>
    <cellStyle name="_문래동 방적 방림" xfId="187"/>
    <cellStyle name="_문래동가실행" xfId="188"/>
    <cellStyle name="_문래동쇼핑몰" xfId="189"/>
    <cellStyle name="_변경내역5" xfId="190"/>
    <cellStyle name="_변경내역7(보고)" xfId="191"/>
    <cellStyle name="_변경내역서(건축외)" xfId="192"/>
    <cellStyle name="_보고02-건축공사감액보고서(0714)" xfId="193"/>
    <cellStyle name="_보고서 cover" xfId="194"/>
    <cellStyle name="_부에나비스타 빌라 설계견적" xfId="195"/>
    <cellStyle name="_분당파크뷰시공계획서(송산)" xfId="196"/>
    <cellStyle name="_분석001-구조체투입관련" xfId="197"/>
    <cellStyle name="_빌라평당비교표" xfId="198"/>
    <cellStyle name="_사본 - 인테리어실행내역" xfId="199"/>
    <cellStyle name="_사본 - 조경실행내역" xfId="200"/>
    <cellStyle name="_사전공사(토목본사검토) " xfId="201"/>
    <cellStyle name="_사전공사(토목본사검토) _1차 기성 내역서 0612023" xfId="202"/>
    <cellStyle name="_사전공사(토목본사검토) _3차네고견적(061017-1)" xfId="203"/>
    <cellStyle name="_사전공사(토목본사검토) _문화센타" xfId="204"/>
    <cellStyle name="_사전공사(토목본사검토) _총괄내역표" xfId="205"/>
    <cellStyle name="_산출001-공동구공사" xfId="206"/>
    <cellStyle name="_삼성 실행 내역 수정" xfId="207"/>
    <cellStyle name="_서울 중앙우체국 인테리어공사(03.10.08)" xfId="208"/>
    <cellStyle name="_서울 중앙우체국 인테리어공사(04.03.29)철희실행(0417)" xfId="209"/>
    <cellStyle name="_성원오피스텔휘트니스센터" xfId="210"/>
    <cellStyle name="_세로양식(2005)" xfId="211"/>
    <cellStyle name="_센터블 스파신축공사(토목공사-정주공영)" xfId="212"/>
    <cellStyle name="_수정-공항운송도급내역(0917)" xfId="213"/>
    <cellStyle name="_수정이여2003.05.19xls" xfId="214"/>
    <cellStyle name="_스틸커튼월 사전공사 승인요청(평창콘도)" xfId="215"/>
    <cellStyle name="_신규(철골공사)집행예산 승인요청" xfId="216"/>
    <cellStyle name="_신촌(2차)트리플지점(원본)" xfId="217"/>
    <cellStyle name="_실행" xfId="218"/>
    <cellStyle name="_실행(갑지)" xfId="219"/>
    <cellStyle name="_실행01-총괄가실행(0828)" xfId="220"/>
    <cellStyle name="_실행갑지" xfId="221"/>
    <cellStyle name="_실행갑지(변경)" xfId="222"/>
    <cellStyle name="_실행내역" xfId="223"/>
    <cellStyle name="_실행내역(아+부)" xfId="224"/>
    <cellStyle name="_實行內譯書(평내)" xfId="225"/>
    <cellStyle name="_실행예산(사장님)" xfId="226"/>
    <cellStyle name="_실행예산(최종사장님승인)" xfId="227"/>
    <cellStyle name="_실행최종(12.18)" xfId="228"/>
    <cellStyle name="_아미고터워 리모델링공사(계약,실행내역)9월.3일 " xfId="229"/>
    <cellStyle name="_아크로리버기준-개산견적기준(건축)" xfId="230"/>
    <cellStyle name="_안동최종정산" xfId="231"/>
    <cellStyle name="_양재동 도매센타(수정1006)" xfId="232"/>
    <cellStyle name="_여의도(실행)" xfId="233"/>
    <cellStyle name="_오공본드" xfId="234"/>
    <cellStyle name="_용인동백C2-3" xfId="235"/>
    <cellStyle name="_우면동주택계약내역서초안(1110)" xfId="236"/>
    <cellStyle name="_원당 1차 실행001(030329)" xfId="237"/>
    <cellStyle name="_원당실행내역" xfId="238"/>
    <cellStyle name="_이건창호-풍림 평창콘도 제안서(071228)" xfId="239"/>
    <cellStyle name="_이행각서" xfId="240"/>
    <cellStyle name="_인원계획표 " xfId="241"/>
    <cellStyle name="_인원계획표 _04028적산수량집계" xfId="242"/>
    <cellStyle name="_인원계획표 _04-가실행(작업중)" xfId="243"/>
    <cellStyle name="_인원계획표 _04-가실행(작업중1)" xfId="244"/>
    <cellStyle name="_인원계획표 _1차 기성 내역서 0612023" xfId="245"/>
    <cellStyle name="_인원계획표 _3차네고견적(061017-1)" xfId="246"/>
    <cellStyle name="_인원계획표 _KT견적요청" xfId="247"/>
    <cellStyle name="_인원계획표 _가실행" xfId="248"/>
    <cellStyle name="_인원계획표 _건축내역서(가경)" xfId="249"/>
    <cellStyle name="_인원계획표 _검암2차사전공사(본사검토) " xfId="250"/>
    <cellStyle name="_인원계획표 _검암2차사전공사(본사검토) _1차 기성 내역서 0612023" xfId="251"/>
    <cellStyle name="_인원계획표 _검암2차사전공사(본사검토) _3차네고견적(061017-1)" xfId="252"/>
    <cellStyle name="_인원계획표 _검암2차사전공사(본사검토) _문화센타" xfId="253"/>
    <cellStyle name="_인원계획표 _검암2차사전공사(본사검토) _총괄내역표" xfId="254"/>
    <cellStyle name="_인원계획표 _문화센타" xfId="255"/>
    <cellStyle name="_인원계획표 _부천소사점내역서" xfId="256"/>
    <cellStyle name="_인원계획표 _비교표(시화,청주)" xfId="257"/>
    <cellStyle name="_인원계획표 _비교표(청주가경점)" xfId="258"/>
    <cellStyle name="_인원계획표 _사전공사(토목본사검토) " xfId="259"/>
    <cellStyle name="_인원계획표 _사전공사(토목본사검토) _1차 기성 내역서 0612023" xfId="260"/>
    <cellStyle name="_인원계획표 _사전공사(토목본사검토) _3차네고견적(061017-1)" xfId="261"/>
    <cellStyle name="_인원계획표 _사전공사(토목본사검토) _문화센타" xfId="262"/>
    <cellStyle name="_인원계획표 _사전공사(토목본사검토) _총괄내역표" xfId="263"/>
    <cellStyle name="_인원계획표 _수원-가실행" xfId="264"/>
    <cellStyle name="_인원계획표 _순천점내역서" xfId="265"/>
    <cellStyle name="_인원계획표 _이행각서" xfId="266"/>
    <cellStyle name="_인원계획표 _적격 " xfId="267"/>
    <cellStyle name="_인원계획표 _적격 _04028적산수량집계" xfId="268"/>
    <cellStyle name="_인원계획표 _적격 _04-가실행(작업중)" xfId="269"/>
    <cellStyle name="_인원계획표 _적격 _04-가실행(작업중1)" xfId="270"/>
    <cellStyle name="_인원계획표 _적격 _1차 기성 내역서 0612023" xfId="271"/>
    <cellStyle name="_인원계획표 _적격 _3차네고견적(061017-1)" xfId="272"/>
    <cellStyle name="_인원계획표 _적격 _KT견적요청" xfId="273"/>
    <cellStyle name="_인원계획표 _적격 _가실행" xfId="274"/>
    <cellStyle name="_인원계획표 _적격 _건축내역서(가경)" xfId="275"/>
    <cellStyle name="_인원계획표 _적격 _문화센타" xfId="276"/>
    <cellStyle name="_인원계획표 _적격 _부천소사점내역서" xfId="277"/>
    <cellStyle name="_인원계획표 _적격 _비교표(시화,청주)" xfId="278"/>
    <cellStyle name="_인원계획표 _적격 _비교표(청주가경점)" xfId="279"/>
    <cellStyle name="_인원계획표 _적격 _수원-가실행" xfId="280"/>
    <cellStyle name="_인원계획표 _적격 _순천점내역서" xfId="281"/>
    <cellStyle name="_인원계획표 _적격 _총괄내역표" xfId="282"/>
    <cellStyle name="_인원계획표 _총괄내역표" xfId="283"/>
    <cellStyle name="_인원계획표 _포기각서" xfId="284"/>
    <cellStyle name="_인원계획표 _현설양식" xfId="285"/>
    <cellStyle name="_인원계획표 _현장설명" xfId="286"/>
    <cellStyle name="_인테리어공사 발주계획서" xfId="287"/>
    <cellStyle name="_인테리어발주 건축공사" xfId="288"/>
    <cellStyle name="_일위(김천)" xfId="289"/>
    <cellStyle name="_일위(포천)" xfId="290"/>
    <cellStyle name="_입찰갑지" xfId="291"/>
    <cellStyle name="_입찰표지 " xfId="292"/>
    <cellStyle name="_입찰표지 _04028적산수량집계" xfId="293"/>
    <cellStyle name="_입찰표지 _04-가실행(작업중)" xfId="294"/>
    <cellStyle name="_입찰표지 _04-가실행(작업중1)" xfId="295"/>
    <cellStyle name="_입찰표지 _1차 기성 내역서 0612023" xfId="296"/>
    <cellStyle name="_입찰표지 _3차네고견적(061017-1)" xfId="297"/>
    <cellStyle name="_입찰표지 _KT견적요청" xfId="298"/>
    <cellStyle name="_입찰표지 _가실행" xfId="299"/>
    <cellStyle name="_입찰표지 _건축내역서(가경)" xfId="300"/>
    <cellStyle name="_입찰표지 _검암2차사전공사(본사검토) " xfId="301"/>
    <cellStyle name="_입찰표지 _검암2차사전공사(본사검토) _1차 기성 내역서 0612023" xfId="302"/>
    <cellStyle name="_입찰표지 _검암2차사전공사(본사검토) _3차네고견적(061017-1)" xfId="303"/>
    <cellStyle name="_입찰표지 _검암2차사전공사(본사검토) _문화센타" xfId="304"/>
    <cellStyle name="_입찰표지 _검암2차사전공사(본사검토) _총괄내역표" xfId="305"/>
    <cellStyle name="_입찰표지 _문화센타" xfId="306"/>
    <cellStyle name="_입찰표지 _부천소사점내역서" xfId="307"/>
    <cellStyle name="_입찰표지 _비교표(시화,청주)" xfId="308"/>
    <cellStyle name="_입찰표지 _비교표(청주가경점)" xfId="309"/>
    <cellStyle name="_입찰표지 _사전공사(토목본사검토) " xfId="310"/>
    <cellStyle name="_입찰표지 _사전공사(토목본사검토) _1차 기성 내역서 0612023" xfId="311"/>
    <cellStyle name="_입찰표지 _사전공사(토목본사검토) _3차네고견적(061017-1)" xfId="312"/>
    <cellStyle name="_입찰표지 _사전공사(토목본사검토) _문화센타" xfId="313"/>
    <cellStyle name="_입찰표지 _수원-가실행" xfId="314"/>
    <cellStyle name="_입찰표지 _순천점내역서" xfId="315"/>
    <cellStyle name="_입찰표지 _이행각서" xfId="316"/>
    <cellStyle name="_입찰표지 _총괄내역표" xfId="317"/>
    <cellStyle name="_입찰표지 _포기각서" xfId="318"/>
    <cellStyle name="_입찰표지 _현설양식" xfId="319"/>
    <cellStyle name="_입찰표지 _현장설명" xfId="320"/>
    <cellStyle name="_입찰품의" xfId="321"/>
    <cellStyle name="_입찰품의(HANG LUNG)" xfId="322"/>
    <cellStyle name="_입찰품의(HANG LUNG-Rev1)" xfId="323"/>
    <cellStyle name="_입찰품의(KIL)" xfId="324"/>
    <cellStyle name="_자료01-공통가설" xfId="325"/>
    <cellStyle name="_자료03-대안수량조정실행대비표" xfId="326"/>
    <cellStyle name="_자료06-토목공사" xfId="327"/>
    <cellStyle name="_자재단가의뢰" xfId="328"/>
    <cellStyle name="_작업01-조경공사0709" xfId="329"/>
    <cellStyle name="_장지도급(공종분개)-결재용" xfId="330"/>
    <cellStyle name="_적격 " xfId="331"/>
    <cellStyle name="_적격 _04028적산수량집계" xfId="332"/>
    <cellStyle name="_적격 _04-가실행(작업중)" xfId="333"/>
    <cellStyle name="_적격 _04-가실행(작업중1)" xfId="334"/>
    <cellStyle name="_적격 _1차 기성 내역서 0612023" xfId="335"/>
    <cellStyle name="_적격 _3차네고견적(061017-1)" xfId="336"/>
    <cellStyle name="_적격 _KT견적요청" xfId="337"/>
    <cellStyle name="_적격 _가실행" xfId="338"/>
    <cellStyle name="_적격 _건축내역서(가경)" xfId="339"/>
    <cellStyle name="_적격 _문화센타" xfId="340"/>
    <cellStyle name="_적격 _부천소사점내역서" xfId="341"/>
    <cellStyle name="_적격 _비교표(시화,청주)" xfId="342"/>
    <cellStyle name="_적격 _비교표(청주가경점)" xfId="343"/>
    <cellStyle name="_적격 _수원-가실행" xfId="344"/>
    <cellStyle name="_적격 _순천점내역서" xfId="345"/>
    <cellStyle name="_적격 _집행갑지 " xfId="346"/>
    <cellStyle name="_적격 _집행갑지 _1차 기성 내역서 0612023" xfId="347"/>
    <cellStyle name="_적격 _집행갑지 _3차네고견적(061017-1)" xfId="348"/>
    <cellStyle name="_적격 _집행갑지 _건축내역서(가경)" xfId="349"/>
    <cellStyle name="_적격 _집행갑지 _문화센타" xfId="350"/>
    <cellStyle name="_적격 _집행갑지 _부천소사점내역서" xfId="351"/>
    <cellStyle name="_적격 _집행갑지 _비교표(시화,청주)" xfId="352"/>
    <cellStyle name="_적격 _집행갑지 _비교표(청주가경점)" xfId="353"/>
    <cellStyle name="_적격 _집행갑지 _순천점내역서" xfId="354"/>
    <cellStyle name="_적격(화산) " xfId="355"/>
    <cellStyle name="_적격(화산) _04028적산수량집계" xfId="356"/>
    <cellStyle name="_적격(화산) _04-가실행(작업중)" xfId="357"/>
    <cellStyle name="_적격(화산) _04-가실행(작업중1)" xfId="358"/>
    <cellStyle name="_적격(화산) _1차 기성 내역서 0612023" xfId="359"/>
    <cellStyle name="_적격(화산) _3차네고견적(061017-1)" xfId="360"/>
    <cellStyle name="_적격(화산) _KT견적요청" xfId="361"/>
    <cellStyle name="_적격(화산) _가실행" xfId="362"/>
    <cellStyle name="_적격(화산) _건축내역서(가경)" xfId="363"/>
    <cellStyle name="_적격(화산) _검암2차사전공사(본사검토) " xfId="364"/>
    <cellStyle name="_적격(화산) _검암2차사전공사(본사검토) _1차 기성 내역서 0612023" xfId="365"/>
    <cellStyle name="_적격(화산) _검암2차사전공사(본사검토) _3차네고견적(061017-1)" xfId="366"/>
    <cellStyle name="_적격(화산) _검암2차사전공사(본사검토) _문화센타" xfId="367"/>
    <cellStyle name="_적격(화산) _문화센타" xfId="368"/>
    <cellStyle name="_적격(화산) _부천소사점내역서" xfId="369"/>
    <cellStyle name="_적격(화산) _비교표(시화,청주)" xfId="370"/>
    <cellStyle name="_적격(화산) _비교표(청주가경점)" xfId="371"/>
    <cellStyle name="_적격(화산) _사전공사(토목본사검토) " xfId="372"/>
    <cellStyle name="_적격(화산) _사전공사(토목본사검토) _1차 기성 내역서 0612023" xfId="373"/>
    <cellStyle name="_적격(화산) _사전공사(토목본사검토) _3차네고견적(061017-1)" xfId="374"/>
    <cellStyle name="_적격(화산) _사전공사(토목본사검토) _문화센타" xfId="375"/>
    <cellStyle name="_적격(화산) _수원-가실행" xfId="376"/>
    <cellStyle name="_적격(화산) _순천점내역서" xfId="377"/>
    <cellStyle name="_적격(화산) _이행각서" xfId="378"/>
    <cellStyle name="_적격(화산) _포기각서" xfId="379"/>
    <cellStyle name="_적격(화산) _현설양식" xfId="380"/>
    <cellStyle name="_적격(화산) _현장설명" xfId="381"/>
    <cellStyle name="_점수산정총괄(조달청)" xfId="382"/>
    <cellStyle name="_정보통신미장(051115)" xfId="383"/>
    <cellStyle name="_정보통신수장(바닥-051115)" xfId="384"/>
    <cellStyle name="_정보통신수장(바닥-051115)_1차 기성 내역서 0612023" xfId="385"/>
    <cellStyle name="_정보통신수장(바닥-051115)_3차네고견적(061017-1)" xfId="386"/>
    <cellStyle name="_정보통신수장(바닥-051115)_문화센타" xfId="387"/>
    <cellStyle name="_정보통신수장(바닥-051122)" xfId="388"/>
    <cellStyle name="_정보통신수장(바닥-051122)_1차 기성 내역서 0612023" xfId="389"/>
    <cellStyle name="_정보통신수장(바닥-051122)_3차네고견적(061017-1)" xfId="390"/>
    <cellStyle name="_정보통신수장(바닥-051122)_문화센타" xfId="391"/>
    <cellStyle name="_정보통신수장(벽,천정-051122)" xfId="392"/>
    <cellStyle name="_정보통신수장(벽,천정-051122)_1차 기성 내역서 0612023" xfId="393"/>
    <cellStyle name="_정보통신수장(벽,천정-051122)_3차네고견적(061017-1)" xfId="394"/>
    <cellStyle name="_정보통신수장(벽,천정-051122)_문화센타" xfId="395"/>
    <cellStyle name="_제출(2.25)" xfId="396"/>
    <cellStyle name="_제출완료-공항운송가실행(0919)" xfId="397"/>
    <cellStyle name="_조직표및인원투입" xfId="398"/>
    <cellStyle name="_중동TC현설" xfId="399"/>
    <cellStyle name="_중동골조현설" xfId="400"/>
    <cellStyle name="_집계" xfId="401"/>
    <cellStyle name="_집행갑지 " xfId="402"/>
    <cellStyle name="_집행갑지 _1차 기성 내역서 0612023" xfId="403"/>
    <cellStyle name="_집행갑지 _3차네고견적(061017-1)" xfId="404"/>
    <cellStyle name="_집행갑지 _건축내역서(가경)" xfId="405"/>
    <cellStyle name="_집행갑지 _문화센타" xfId="406"/>
    <cellStyle name="_집행갑지 _부천소사점내역서" xfId="407"/>
    <cellStyle name="_집행갑지 _비교표(시화,청주)" xfId="408"/>
    <cellStyle name="_집행갑지 _비교표(청주가경점)" xfId="409"/>
    <cellStyle name="_집행갑지 _순천점내역서" xfId="410"/>
    <cellStyle name="_집행-유성" xfId="411"/>
    <cellStyle name="_집행-유성_건축내역서(가경)" xfId="412"/>
    <cellStyle name="_집행-유성_부천소사점내역서" xfId="413"/>
    <cellStyle name="_집행-유성_비교표(시화,청주)" xfId="414"/>
    <cellStyle name="_집행-유성_비교표(청주가경점)" xfId="415"/>
    <cellStyle name="_집행-유성_순천점내역서" xfId="416"/>
    <cellStyle name="_참고" xfId="417"/>
    <cellStyle name="_참고01-50억대안제시" xfId="418"/>
    <cellStyle name="_참고02-당초가실행" xfId="419"/>
    <cellStyle name="_철콘견적대비수정2(2002.12.10)" xfId="420"/>
    <cellStyle name="_철콘공내역서5" xfId="421"/>
    <cellStyle name="_최종보고-파주완료030401" xfId="422"/>
    <cellStyle name="_코레노2차-공내역-인테리어공사" xfId="423"/>
    <cellStyle name="_타일공사" xfId="424"/>
    <cellStyle name="_타일공사_강제창호 및 잡철공사" xfId="425"/>
    <cellStyle name="_타일공사_도곡동토공사사발주계획" xfId="426"/>
    <cellStyle name="_타일공사_인테리어공사 발주계획서" xfId="427"/>
    <cellStyle name="_타일공사_테라조공사" xfId="428"/>
    <cellStyle name="_타일공사_테라조공사_강제창호 및 잡철공사" xfId="429"/>
    <cellStyle name="_타일공사_테라조공사_도곡동토공사사발주계획" xfId="430"/>
    <cellStyle name="_타일공사_테라조공사_인테리어공사 발주계획서" xfId="431"/>
    <cellStyle name="_타일공사_테라조공사_토공사발주" xfId="432"/>
    <cellStyle name="_타일공사_토공사발주" xfId="433"/>
    <cellStyle name="_토공및흙막이공사" xfId="434"/>
    <cellStyle name="_토공사발주" xfId="435"/>
    <cellStyle name="_투팔양식" xfId="436"/>
    <cellStyle name="_파주출판물개략완료" xfId="437"/>
    <cellStyle name="_파주출판물개략완료Ⅲ" xfId="438"/>
    <cellStyle name="_평당공사비(05.26)" xfId="439"/>
    <cellStyle name="_평택화학중대(본실행)" xfId="440"/>
    <cellStyle name="_포기각서" xfId="441"/>
    <cellStyle name="_하나로정보센터 견적(각층별 최종)" xfId="442"/>
    <cellStyle name="_하도급승인요청(금속기와공사)" xfId="443"/>
    <cellStyle name="_한남정산" xfId="444"/>
    <cellStyle name="_현설양식" xfId="445"/>
    <cellStyle name="_현장설명" xfId="446"/>
    <cellStyle name="_현장설명서" xfId="447"/>
    <cellStyle name="_현장설명서-지하수개발" xfId="448"/>
    <cellStyle name="_현장완료" xfId="449"/>
    <cellStyle name="_호수건설내역서20040403" xfId="450"/>
    <cellStyle name="_홈플러스 대구칠성점 내역서 " xfId="451"/>
    <cellStyle name="_화성태안아파트" xfId="452"/>
    <cellStyle name="_황제의 실행0623최종결재용" xfId="453"/>
    <cellStyle name="¡¾¨u￠￢ⓒ÷A¨u," xfId="454"/>
    <cellStyle name="’E‰Y [0.00]_laroux" xfId="455"/>
    <cellStyle name="’E‰Y_laroux" xfId="456"/>
    <cellStyle name="¤@?e_TEST-1 " xfId="457"/>
    <cellStyle name="\MNPREF32.DLL&amp;" xfId="458"/>
    <cellStyle name="+,-,0" xfId="459"/>
    <cellStyle name="±a°e" xfId="460"/>
    <cellStyle name="△ []" xfId="461"/>
    <cellStyle name="△ [0]" xfId="462"/>
    <cellStyle name="△백분율" xfId="463"/>
    <cellStyle name="△콤마" xfId="464"/>
    <cellStyle name="°ßAu" xfId="465"/>
    <cellStyle name="µÚ¿¡ ¿À´Â ÇÏÀÌÆÛ¸µÅ©" xfId="466"/>
    <cellStyle name="ÊÝ [0.00]_PRODUCT DETAIL Q1" xfId="467"/>
    <cellStyle name="ÊÝ_PRODUCT DETAIL Q1" xfId="468"/>
    <cellStyle name="W?_BOOKSHIP" xfId="469"/>
    <cellStyle name="0" xfId="470"/>
    <cellStyle name="0,0_x000d__x000a_NA_x000d__x000a_" xfId="471"/>
    <cellStyle name="0.0" xfId="472"/>
    <cellStyle name="0.00" xfId="473"/>
    <cellStyle name="00" xfId="474"/>
    <cellStyle name="1" xfId="475"/>
    <cellStyle name="1_total" xfId="476"/>
    <cellStyle name="1_total_1차 기성 내역서 0612023" xfId="477"/>
    <cellStyle name="1_total_3차네고견적(061017-1)" xfId="478"/>
    <cellStyle name="1_total_Sheet1" xfId="479"/>
    <cellStyle name="1_total_Sheet1_1차 기성 내역서 0612023" xfId="480"/>
    <cellStyle name="1_total_Sheet1_3차네고견적(061017-1)" xfId="481"/>
    <cellStyle name="1_total_갑지0601" xfId="482"/>
    <cellStyle name="1_total_갑지0601_00갑지" xfId="483"/>
    <cellStyle name="1_total_갑지0601_00갑지_1차 기성 내역서 0612023" xfId="484"/>
    <cellStyle name="1_total_갑지0601_00갑지_3차네고견적(061017-1)" xfId="485"/>
    <cellStyle name="1_total_갑지0601_00갑지_백화점화장실인테리어" xfId="486"/>
    <cellStyle name="1_total_갑지0601_00갑지_백화점화장실인테리어_1차 기성 내역서 0612023" xfId="487"/>
    <cellStyle name="1_total_갑지0601_00갑지_백화점화장실인테리어_3차네고견적(061017-1)" xfId="488"/>
    <cellStyle name="1_total_갑지0601_00갑지_설계내역서" xfId="489"/>
    <cellStyle name="1_total_갑지0601_00갑지_설계내역서_1차 기성 내역서 0612023" xfId="490"/>
    <cellStyle name="1_total_갑지0601_00갑지_설계내역서_3차네고견적(061017-1)" xfId="491"/>
    <cellStyle name="1_total_갑지0601_00갑지_설계내역서_백화점화장실인테리어" xfId="492"/>
    <cellStyle name="1_total_갑지0601_00갑지_설계내역서_백화점화장실인테리어_1차 기성 내역서 0612023" xfId="493"/>
    <cellStyle name="1_total_갑지0601_00갑지_설계내역서_백화점화장실인테리어_3차네고견적(061017-1)" xfId="494"/>
    <cellStyle name="1_total_갑지0601_00갑지_설계내역서_화명조경" xfId="495"/>
    <cellStyle name="1_total_갑지0601_00갑지_설계내역서_화명조경_1차 기성 내역서 0612023" xfId="496"/>
    <cellStyle name="1_total_갑지0601_00갑지_설계내역서_화명조경_3차네고견적(061017-1)" xfId="497"/>
    <cellStyle name="1_total_갑지0601_00갑지_설계내역서_화명조경_백화점화장실인테리어" xfId="498"/>
    <cellStyle name="1_total_갑지0601_00갑지_설계내역서_화명조경_백화점화장실인테리어_1차 기성 내역서 0612023" xfId="499"/>
    <cellStyle name="1_total_갑지0601_00갑지_설계내역서_화명조경_백화점화장실인테리어_3차네고견적(061017-1)" xfId="500"/>
    <cellStyle name="1_total_갑지0601_00갑지_설계내역서1월7일" xfId="501"/>
    <cellStyle name="1_total_갑지0601_00갑지_설계내역서1월7일_1차 기성 내역서 0612023" xfId="502"/>
    <cellStyle name="1_total_갑지0601_00갑지_설계내역서1월7일_3차네고견적(061017-1)" xfId="503"/>
    <cellStyle name="1_total_갑지0601_00갑지_설계내역서1월7일_백화점화장실인테리어" xfId="504"/>
    <cellStyle name="1_total_갑지0601_00갑지_설계내역서1월7일_백화점화장실인테리어_1차 기성 내역서 0612023" xfId="505"/>
    <cellStyle name="1_total_갑지0601_00갑지_설계내역서1월7일_백화점화장실인테리어_3차네고견적(061017-1)" xfId="506"/>
    <cellStyle name="1_total_갑지0601_00갑지_설계내역서1월7일_화명조경" xfId="507"/>
    <cellStyle name="1_total_갑지0601_00갑지_설계내역서1월7일_화명조경_1차 기성 내역서 0612023" xfId="508"/>
    <cellStyle name="1_total_갑지0601_00갑지_설계내역서1월7일_화명조경_3차네고견적(061017-1)" xfId="509"/>
    <cellStyle name="1_total_갑지0601_00갑지_설계내역서1월7일_화명조경_백화점화장실인테리어" xfId="510"/>
    <cellStyle name="1_total_갑지0601_00갑지_설계내역서1월7일_화명조경_백화점화장실인테리어_1차 기성 내역서 0612023" xfId="511"/>
    <cellStyle name="1_total_갑지0601_00갑지_설계내역서1월7일_화명조경_백화점화장실인테리어_3차네고견적(061017-1)" xfId="512"/>
    <cellStyle name="1_total_갑지0601_00갑지_화명조경" xfId="513"/>
    <cellStyle name="1_total_갑지0601_00갑지_화명조경_1차 기성 내역서 0612023" xfId="514"/>
    <cellStyle name="1_total_갑지0601_00갑지_화명조경_3차네고견적(061017-1)" xfId="515"/>
    <cellStyle name="1_total_갑지0601_00갑지_화명조경_백화점화장실인테리어" xfId="516"/>
    <cellStyle name="1_total_갑지0601_00갑지_화명조경_백화점화장실인테리어_1차 기성 내역서 0612023" xfId="517"/>
    <cellStyle name="1_total_갑지0601_00갑지_화명조경_백화점화장실인테리어_3차네고견적(061017-1)" xfId="518"/>
    <cellStyle name="1_total_갑지0601_1차 기성 내역서 0612023" xfId="519"/>
    <cellStyle name="1_total_갑지0601_3차네고견적(061017-1)" xfId="520"/>
    <cellStyle name="1_total_갑지0601_과천놀이터설계서" xfId="521"/>
    <cellStyle name="1_total_갑지0601_과천놀이터설계서_1차 기성 내역서 0612023" xfId="522"/>
    <cellStyle name="1_total_갑지0601_과천놀이터설계서_3차네고견적(061017-1)" xfId="523"/>
    <cellStyle name="1_total_갑지0601_과천놀이터설계서_백화점화장실인테리어" xfId="524"/>
    <cellStyle name="1_total_갑지0601_과천놀이터설계서_백화점화장실인테리어_1차 기성 내역서 0612023" xfId="525"/>
    <cellStyle name="1_total_갑지0601_과천놀이터설계서_백화점화장실인테리어_3차네고견적(061017-1)" xfId="526"/>
    <cellStyle name="1_total_갑지0601_과천놀이터설계서_설계내역서" xfId="527"/>
    <cellStyle name="1_total_갑지0601_과천놀이터설계서_설계내역서_1차 기성 내역서 0612023" xfId="528"/>
    <cellStyle name="1_total_갑지0601_과천놀이터설계서_설계내역서_3차네고견적(061017-1)" xfId="529"/>
    <cellStyle name="1_total_갑지0601_과천놀이터설계서_설계내역서_백화점화장실인테리어" xfId="530"/>
    <cellStyle name="1_total_갑지0601_과천놀이터설계서_설계내역서_백화점화장실인테리어_1차 기성 내역서 0612023" xfId="531"/>
    <cellStyle name="1_total_갑지0601_과천놀이터설계서_설계내역서_백화점화장실인테리어_3차네고견적(061017-1)" xfId="532"/>
    <cellStyle name="1_total_갑지0601_과천놀이터설계서_설계내역서_화명조경" xfId="533"/>
    <cellStyle name="1_total_갑지0601_과천놀이터설계서_설계내역서_화명조경_1차 기성 내역서 0612023" xfId="534"/>
    <cellStyle name="1_total_갑지0601_과천놀이터설계서_설계내역서_화명조경_3차네고견적(061017-1)" xfId="535"/>
    <cellStyle name="1_total_갑지0601_과천놀이터설계서_설계내역서_화명조경_백화점화장실인테리어" xfId="536"/>
    <cellStyle name="1_total_갑지0601_과천놀이터설계서_설계내역서_화명조경_백화점화장실인테리어_1차 기성 내역서 0612023" xfId="537"/>
    <cellStyle name="1_total_갑지0601_과천놀이터설계서_설계내역서_화명조경_백화점화장실인테리어_3차네고견적(061017-1)" xfId="538"/>
    <cellStyle name="1_total_갑지0601_과천놀이터설계서_설계내역서1월7일" xfId="539"/>
    <cellStyle name="1_total_갑지0601_과천놀이터설계서_설계내역서1월7일_1차 기성 내역서 0612023" xfId="540"/>
    <cellStyle name="1_total_갑지0601_과천놀이터설계서_설계내역서1월7일_3차네고견적(061017-1)" xfId="541"/>
    <cellStyle name="1_total_갑지0601_과천놀이터설계서_설계내역서1월7일_백화점화장실인테리어" xfId="542"/>
    <cellStyle name="1_total_갑지0601_과천놀이터설계서_설계내역서1월7일_백화점화장실인테리어_1차 기성 내역서 0612023" xfId="543"/>
    <cellStyle name="1_total_갑지0601_과천놀이터설계서_설계내역서1월7일_백화점화장실인테리어_3차네고견적(061017-1)" xfId="544"/>
    <cellStyle name="1_total_갑지0601_과천놀이터설계서_설계내역서1월7일_화명조경" xfId="545"/>
    <cellStyle name="1_total_갑지0601_과천놀이터설계서_설계내역서1월7일_화명조경_1차 기성 내역서 0612023" xfId="546"/>
    <cellStyle name="1_total_갑지0601_과천놀이터설계서_설계내역서1월7일_화명조경_3차네고견적(061017-1)" xfId="547"/>
    <cellStyle name="1_total_갑지0601_과천놀이터설계서_설계내역서1월7일_화명조경_백화점화장실인테리어" xfId="548"/>
    <cellStyle name="1_total_갑지0601_과천놀이터설계서_설계내역서1월7일_화명조경_백화점화장실인테리어_1차 기성 내역서 0612023" xfId="549"/>
    <cellStyle name="1_total_갑지0601_과천놀이터설계서_설계내역서1월7일_화명조경_백화점화장실인테리어_3차네고견적(061017-1)" xfId="550"/>
    <cellStyle name="1_total_갑지0601_과천놀이터설계서_화명조경" xfId="551"/>
    <cellStyle name="1_total_갑지0601_과천놀이터설계서_화명조경_1차 기성 내역서 0612023" xfId="552"/>
    <cellStyle name="1_total_갑지0601_과천놀이터설계서_화명조경_3차네고견적(061017-1)" xfId="553"/>
    <cellStyle name="1_total_갑지0601_과천놀이터설계서_화명조경_백화점화장실인테리어" xfId="554"/>
    <cellStyle name="1_total_갑지0601_과천놀이터설계서_화명조경_백화점화장실인테리어_1차 기성 내역서 0612023" xfId="555"/>
    <cellStyle name="1_total_갑지0601_과천놀이터설계서_화명조경_백화점화장실인테리어_3차네고견적(061017-1)" xfId="556"/>
    <cellStyle name="1_total_갑지0601_백화점화장실인테리어" xfId="557"/>
    <cellStyle name="1_total_갑지0601_백화점화장실인테리어_1차 기성 내역서 0612023" xfId="558"/>
    <cellStyle name="1_total_갑지0601_백화점화장실인테리어_3차네고견적(061017-1)" xfId="559"/>
    <cellStyle name="1_total_갑지0601_총괄갑지" xfId="560"/>
    <cellStyle name="1_total_갑지0601_총괄갑지_1차 기성 내역서 0612023" xfId="561"/>
    <cellStyle name="1_total_갑지0601_총괄갑지_3차네고견적(061017-1)" xfId="562"/>
    <cellStyle name="1_total_갑지0601_총괄갑지_백화점화장실인테리어" xfId="563"/>
    <cellStyle name="1_total_갑지0601_총괄갑지_백화점화장실인테리어_1차 기성 내역서 0612023" xfId="564"/>
    <cellStyle name="1_total_갑지0601_총괄갑지_백화점화장실인테리어_3차네고견적(061017-1)" xfId="565"/>
    <cellStyle name="1_total_갑지0601_총괄갑지_설계내역서" xfId="566"/>
    <cellStyle name="1_total_갑지0601_총괄갑지_설계내역서_1차 기성 내역서 0612023" xfId="567"/>
    <cellStyle name="1_total_갑지0601_총괄갑지_설계내역서_3차네고견적(061017-1)" xfId="568"/>
    <cellStyle name="1_total_갑지0601_총괄갑지_설계내역서_백화점화장실인테리어" xfId="569"/>
    <cellStyle name="1_total_갑지0601_총괄갑지_설계내역서_백화점화장실인테리어_1차 기성 내역서 0612023" xfId="570"/>
    <cellStyle name="1_total_갑지0601_총괄갑지_설계내역서_백화점화장실인테리어_3차네고견적(061017-1)" xfId="571"/>
    <cellStyle name="1_total_갑지0601_총괄갑지_설계내역서_화명조경" xfId="572"/>
    <cellStyle name="1_total_갑지0601_총괄갑지_설계내역서_화명조경_1차 기성 내역서 0612023" xfId="573"/>
    <cellStyle name="1_total_갑지0601_총괄갑지_설계내역서_화명조경_3차네고견적(061017-1)" xfId="574"/>
    <cellStyle name="1_total_갑지0601_총괄갑지_설계내역서_화명조경_백화점화장실인테리어" xfId="575"/>
    <cellStyle name="1_total_갑지0601_총괄갑지_설계내역서_화명조경_백화점화장실인테리어_1차 기성 내역서 0612023" xfId="576"/>
    <cellStyle name="1_total_갑지0601_총괄갑지_설계내역서_화명조경_백화점화장실인테리어_3차네고견적(061017-1)" xfId="577"/>
    <cellStyle name="1_total_갑지0601_총괄갑지_설계내역서1월7일" xfId="578"/>
    <cellStyle name="1_total_갑지0601_총괄갑지_설계내역서1월7일_1차 기성 내역서 0612023" xfId="579"/>
    <cellStyle name="1_total_갑지0601_총괄갑지_설계내역서1월7일_3차네고견적(061017-1)" xfId="580"/>
    <cellStyle name="1_total_갑지0601_총괄갑지_설계내역서1월7일_백화점화장실인테리어" xfId="581"/>
    <cellStyle name="1_total_갑지0601_총괄갑지_설계내역서1월7일_백화점화장실인테리어_1차 기성 내역서 0612023" xfId="582"/>
    <cellStyle name="1_total_갑지0601_총괄갑지_설계내역서1월7일_백화점화장실인테리어_3차네고견적(061017-1)" xfId="583"/>
    <cellStyle name="1_total_갑지0601_총괄갑지_설계내역서1월7일_화명조경" xfId="584"/>
    <cellStyle name="1_total_갑지0601_총괄갑지_설계내역서1월7일_화명조경_1차 기성 내역서 0612023" xfId="585"/>
    <cellStyle name="1_total_갑지0601_총괄갑지_설계내역서1월7일_화명조경_3차네고견적(061017-1)" xfId="586"/>
    <cellStyle name="1_total_갑지0601_총괄갑지_설계내역서1월7일_화명조경_백화점화장실인테리어" xfId="587"/>
    <cellStyle name="1_total_갑지0601_총괄갑지_설계내역서1월7일_화명조경_백화점화장실인테리어_1차 기성 내역서 0612023" xfId="588"/>
    <cellStyle name="1_total_갑지0601_총괄갑지_설계내역서1월7일_화명조경_백화점화장실인테리어_3차네고견적(061017-1)" xfId="589"/>
    <cellStyle name="1_total_갑지0601_총괄갑지_화명조경" xfId="590"/>
    <cellStyle name="1_total_갑지0601_총괄갑지_화명조경_1차 기성 내역서 0612023" xfId="591"/>
    <cellStyle name="1_total_갑지0601_총괄갑지_화명조경_3차네고견적(061017-1)" xfId="592"/>
    <cellStyle name="1_total_갑지0601_총괄갑지_화명조경_백화점화장실인테리어" xfId="593"/>
    <cellStyle name="1_total_갑지0601_총괄갑지_화명조경_백화점화장실인테리어_1차 기성 내역서 0612023" xfId="594"/>
    <cellStyle name="1_total_갑지0601_총괄갑지_화명조경_백화점화장실인테리어_3차네고견적(061017-1)" xfId="595"/>
    <cellStyle name="1_total_갑지0601_총괄내역서" xfId="596"/>
    <cellStyle name="1_total_갑지0601_총괄내역서_1차 기성 내역서 0612023" xfId="597"/>
    <cellStyle name="1_total_갑지0601_총괄내역서_3차네고견적(061017-1)" xfId="598"/>
    <cellStyle name="1_total_갑지0601_총괄내역서_백화점화장실인테리어" xfId="599"/>
    <cellStyle name="1_total_갑지0601_총괄내역서_백화점화장실인테리어_1차 기성 내역서 0612023" xfId="600"/>
    <cellStyle name="1_total_갑지0601_총괄내역서_백화점화장실인테리어_3차네고견적(061017-1)" xfId="601"/>
    <cellStyle name="1_total_갑지0601_총괄내역서_설계내역서" xfId="602"/>
    <cellStyle name="1_total_갑지0601_총괄내역서_설계내역서_1차 기성 내역서 0612023" xfId="603"/>
    <cellStyle name="1_total_갑지0601_총괄내역서_설계내역서_3차네고견적(061017-1)" xfId="604"/>
    <cellStyle name="1_total_갑지0601_총괄내역서_설계내역서_백화점화장실인테리어" xfId="605"/>
    <cellStyle name="1_total_갑지0601_총괄내역서_설계내역서_백화점화장실인테리어_1차 기성 내역서 0612023" xfId="606"/>
    <cellStyle name="1_total_갑지0601_총괄내역서_설계내역서_백화점화장실인테리어_3차네고견적(061017-1)" xfId="607"/>
    <cellStyle name="1_total_갑지0601_총괄내역서_설계내역서_화명조경" xfId="608"/>
    <cellStyle name="1_total_갑지0601_총괄내역서_설계내역서_화명조경_1차 기성 내역서 0612023" xfId="609"/>
    <cellStyle name="1_total_갑지0601_총괄내역서_설계내역서_화명조경_3차네고견적(061017-1)" xfId="610"/>
    <cellStyle name="1_total_갑지0601_총괄내역서_설계내역서_화명조경_백화점화장실인테리어" xfId="611"/>
    <cellStyle name="1_total_갑지0601_총괄내역서_설계내역서_화명조경_백화점화장실인테리어_1차 기성 내역서 0612023" xfId="612"/>
    <cellStyle name="1_total_갑지0601_총괄내역서_설계내역서_화명조경_백화점화장실인테리어_3차네고견적(061017-1)" xfId="613"/>
    <cellStyle name="1_total_갑지0601_총괄내역서_설계내역서1월7일" xfId="614"/>
    <cellStyle name="1_total_갑지0601_총괄내역서_설계내역서1월7일_1차 기성 내역서 0612023" xfId="615"/>
    <cellStyle name="1_total_갑지0601_총괄내역서_설계내역서1월7일_3차네고견적(061017-1)" xfId="616"/>
    <cellStyle name="1_total_갑지0601_총괄내역서_설계내역서1월7일_백화점화장실인테리어" xfId="617"/>
    <cellStyle name="1_total_갑지0601_총괄내역서_설계내역서1월7일_백화점화장실인테리어_1차 기성 내역서 0612023" xfId="618"/>
    <cellStyle name="1_total_갑지0601_총괄내역서_설계내역서1월7일_백화점화장실인테리어_3차네고견적(061017-1)" xfId="619"/>
    <cellStyle name="1_total_갑지0601_총괄내역서_설계내역서1월7일_화명조경" xfId="620"/>
    <cellStyle name="1_total_갑지0601_총괄내역서_설계내역서1월7일_화명조경_1차 기성 내역서 0612023" xfId="621"/>
    <cellStyle name="1_total_갑지0601_총괄내역서_설계내역서1월7일_화명조경_3차네고견적(061017-1)" xfId="622"/>
    <cellStyle name="1_total_갑지0601_총괄내역서_설계내역서1월7일_화명조경_백화점화장실인테리어" xfId="623"/>
    <cellStyle name="1_total_갑지0601_총괄내역서_설계내역서1월7일_화명조경_백화점화장실인테리어_1차 기성 내역서 0612023" xfId="624"/>
    <cellStyle name="1_total_갑지0601_총괄내역서_설계내역서1월7일_화명조경_백화점화장실인테리어_3차네고견적(061017-1)" xfId="625"/>
    <cellStyle name="1_total_갑지0601_총괄내역서_화명조경" xfId="626"/>
    <cellStyle name="1_total_갑지0601_총괄내역서_화명조경_1차 기성 내역서 0612023" xfId="627"/>
    <cellStyle name="1_total_갑지0601_총괄내역서_화명조경_3차네고견적(061017-1)" xfId="628"/>
    <cellStyle name="1_total_갑지0601_총괄내역서_화명조경_백화점화장실인테리어" xfId="629"/>
    <cellStyle name="1_total_갑지0601_총괄내역서_화명조경_백화점화장실인테리어_1차 기성 내역서 0612023" xfId="630"/>
    <cellStyle name="1_total_갑지0601_총괄내역서_화명조경_백화점화장실인테리어_3차네고견적(061017-1)" xfId="631"/>
    <cellStyle name="1_total_갑지0601_화명조경" xfId="632"/>
    <cellStyle name="1_total_갑지0601_화명조경_1차 기성 내역서 0612023" xfId="633"/>
    <cellStyle name="1_total_갑지0601_화명조경_3차네고견적(061017-1)" xfId="634"/>
    <cellStyle name="1_total_갑지0601_화명조경_백화점화장실인테리어" xfId="635"/>
    <cellStyle name="1_total_갑지0601_화명조경_백화점화장실인테리어_1차 기성 내역서 0612023" xfId="636"/>
    <cellStyle name="1_total_갑지0601_화명조경_백화점화장실인테리어_3차네고견적(061017-1)" xfId="637"/>
    <cellStyle name="1_total_백화점화장실인테리어" xfId="638"/>
    <cellStyle name="1_total_백화점화장실인테리어_1차 기성 내역서 0612023" xfId="639"/>
    <cellStyle name="1_total_백화점화장실인테리어_3차네고견적(061017-1)" xfId="640"/>
    <cellStyle name="1_total_설계내역서" xfId="641"/>
    <cellStyle name="1_total_설계내역서_1차 기성 내역서 0612023" xfId="642"/>
    <cellStyle name="1_total_설계내역서_3차네고견적(061017-1)" xfId="643"/>
    <cellStyle name="1_total_설계내역서_백화점화장실인테리어" xfId="644"/>
    <cellStyle name="1_total_설계내역서_백화점화장실인테리어_1차 기성 내역서 0612023" xfId="645"/>
    <cellStyle name="1_total_설계내역서_백화점화장실인테리어_3차네고견적(061017-1)" xfId="646"/>
    <cellStyle name="1_total_설계내역서_화명조경" xfId="647"/>
    <cellStyle name="1_total_설계내역서_화명조경_1차 기성 내역서 0612023" xfId="648"/>
    <cellStyle name="1_total_설계내역서_화명조경_3차네고견적(061017-1)" xfId="649"/>
    <cellStyle name="1_total_설계내역서_화명조경_백화점화장실인테리어" xfId="650"/>
    <cellStyle name="1_total_설계내역서_화명조경_백화점화장실인테리어_1차 기성 내역서 0612023" xfId="651"/>
    <cellStyle name="1_total_설계내역서_화명조경_백화점화장실인테리어_3차네고견적(061017-1)" xfId="652"/>
    <cellStyle name="1_total_설계내역서1월7일" xfId="653"/>
    <cellStyle name="1_total_설계내역서1월7일_1차 기성 내역서 0612023" xfId="654"/>
    <cellStyle name="1_total_설계내역서1월7일_3차네고견적(061017-1)" xfId="655"/>
    <cellStyle name="1_total_설계내역서1월7일_백화점화장실인테리어" xfId="656"/>
    <cellStyle name="1_total_설계내역서1월7일_백화점화장실인테리어_1차 기성 내역서 0612023" xfId="657"/>
    <cellStyle name="1_total_설계내역서1월7일_백화점화장실인테리어_3차네고견적(061017-1)" xfId="658"/>
    <cellStyle name="1_total_설계내역서1월7일_화명조경" xfId="659"/>
    <cellStyle name="1_total_설계내역서1월7일_화명조경_1차 기성 내역서 0612023" xfId="660"/>
    <cellStyle name="1_total_설계내역서1월7일_화명조경_3차네고견적(061017-1)" xfId="661"/>
    <cellStyle name="1_total_설계내역서1월7일_화명조경_백화점화장실인테리어" xfId="662"/>
    <cellStyle name="1_total_설계내역서1월7일_화명조경_백화점화장실인테리어_1차 기성 내역서 0612023" xfId="663"/>
    <cellStyle name="1_total_설계내역서1월7일_화명조경_백화점화장실인테리어_3차네고견적(061017-1)" xfId="664"/>
    <cellStyle name="1_total_수원변경수량산출" xfId="665"/>
    <cellStyle name="1_total_수원변경수량산출_1차 기성 내역서 0612023" xfId="666"/>
    <cellStyle name="1_total_수원변경수량산출_3차네고견적(061017-1)" xfId="667"/>
    <cellStyle name="1_total_수원변경수량산출_백화점화장실인테리어" xfId="668"/>
    <cellStyle name="1_total_수원변경수량산출_백화점화장실인테리어_1차 기성 내역서 0612023" xfId="669"/>
    <cellStyle name="1_total_수원변경수량산출_백화점화장실인테리어_3차네고견적(061017-1)" xfId="670"/>
    <cellStyle name="1_total_수원변경수량산출_설계내역서" xfId="671"/>
    <cellStyle name="1_total_수원변경수량산출_설계내역서_1차 기성 내역서 0612023" xfId="672"/>
    <cellStyle name="1_total_수원변경수량산출_설계내역서_3차네고견적(061017-1)" xfId="673"/>
    <cellStyle name="1_total_수원변경수량산출_설계내역서_백화점화장실인테리어" xfId="674"/>
    <cellStyle name="1_total_수원변경수량산출_설계내역서_백화점화장실인테리어_1차 기성 내역서 0612023" xfId="675"/>
    <cellStyle name="1_total_수원변경수량산출_설계내역서_백화점화장실인테리어_3차네고견적(061017-1)" xfId="676"/>
    <cellStyle name="1_total_수원변경수량산출_설계내역서_화명조경" xfId="677"/>
    <cellStyle name="1_total_수원변경수량산출_설계내역서_화명조경_1차 기성 내역서 0612023" xfId="678"/>
    <cellStyle name="1_total_수원변경수량산출_설계내역서_화명조경_3차네고견적(061017-1)" xfId="679"/>
    <cellStyle name="1_total_수원변경수량산출_설계내역서_화명조경_백화점화장실인테리어" xfId="680"/>
    <cellStyle name="1_total_수원변경수량산출_설계내역서_화명조경_백화점화장실인테리어_1차 기성 내역서 0612023" xfId="681"/>
    <cellStyle name="1_total_수원변경수량산출_설계내역서_화명조경_백화점화장실인테리어_3차네고견적(061017-1)" xfId="682"/>
    <cellStyle name="1_total_수원변경수량산출_설계내역서1월7일" xfId="683"/>
    <cellStyle name="1_total_수원변경수량산출_설계내역서1월7일_1차 기성 내역서 0612023" xfId="684"/>
    <cellStyle name="1_total_수원변경수량산출_설계내역서1월7일_3차네고견적(061017-1)" xfId="685"/>
    <cellStyle name="1_total_수원변경수량산출_설계내역서1월7일_백화점화장실인테리어" xfId="686"/>
    <cellStyle name="1_total_수원변경수량산출_설계내역서1월7일_백화점화장실인테리어_1차 기성 내역서 0612023" xfId="687"/>
    <cellStyle name="1_total_수원변경수량산출_설계내역서1월7일_백화점화장실인테리어_3차네고견적(061017-1)" xfId="688"/>
    <cellStyle name="1_total_수원변경수량산출_설계내역서1월7일_화명조경" xfId="689"/>
    <cellStyle name="1_total_수원변경수량산출_설계내역서1월7일_화명조경_1차 기성 내역서 0612023" xfId="690"/>
    <cellStyle name="1_total_수원변경수량산출_설계내역서1월7일_화명조경_3차네고견적(061017-1)" xfId="691"/>
    <cellStyle name="1_total_수원변경수량산출_설계내역서1월7일_화명조경_백화점화장실인테리어" xfId="692"/>
    <cellStyle name="1_total_수원변경수량산출_설계내역서1월7일_화명조경_백화점화장실인테리어_1차 기성 내역서 0612023" xfId="693"/>
    <cellStyle name="1_total_수원변경수량산출_설계내역서1월7일_화명조경_백화점화장실인테리어_3차네고견적(061017-1)" xfId="694"/>
    <cellStyle name="1_total_수원변경수량산출_화명조경" xfId="695"/>
    <cellStyle name="1_total_수원변경수량산출_화명조경_1차 기성 내역서 0612023" xfId="696"/>
    <cellStyle name="1_total_수원변경수량산출_화명조경_3차네고견적(061017-1)" xfId="697"/>
    <cellStyle name="1_total_수원변경수량산출_화명조경_백화점화장실인테리어" xfId="698"/>
    <cellStyle name="1_total_수원변경수량산출_화명조경_백화점화장실인테리어_1차 기성 내역서 0612023" xfId="699"/>
    <cellStyle name="1_total_수원변경수량산출_화명조경_백화점화장실인테리어_3차네고견적(061017-1)" xfId="700"/>
    <cellStyle name="1_total_쌍용수량0905" xfId="701"/>
    <cellStyle name="1_total_쌍용수량0905_1차 기성 내역서 0612023" xfId="702"/>
    <cellStyle name="1_total_쌍용수량0905_3차네고견적(061017-1)" xfId="703"/>
    <cellStyle name="1_total_쌍용수량0905_백화점화장실인테리어" xfId="704"/>
    <cellStyle name="1_total_쌍용수량0905_백화점화장실인테리어_1차 기성 내역서 0612023" xfId="705"/>
    <cellStyle name="1_total_쌍용수량0905_백화점화장실인테리어_3차네고견적(061017-1)" xfId="706"/>
    <cellStyle name="1_total_쌍용수량0905_설계내역서" xfId="707"/>
    <cellStyle name="1_total_쌍용수량0905_설계내역서_1차 기성 내역서 0612023" xfId="708"/>
    <cellStyle name="1_total_쌍용수량0905_설계내역서_3차네고견적(061017-1)" xfId="709"/>
    <cellStyle name="1_total_쌍용수량0905_설계내역서_백화점화장실인테리어" xfId="710"/>
    <cellStyle name="1_total_쌍용수량0905_설계내역서_백화점화장실인테리어_1차 기성 내역서 0612023" xfId="711"/>
    <cellStyle name="1_total_쌍용수량0905_설계내역서_백화점화장실인테리어_3차네고견적(061017-1)" xfId="712"/>
    <cellStyle name="1_total_쌍용수량0905_설계내역서_화명조경" xfId="713"/>
    <cellStyle name="1_total_쌍용수량0905_설계내역서_화명조경_1차 기성 내역서 0612023" xfId="714"/>
    <cellStyle name="1_total_쌍용수량0905_설계내역서_화명조경_3차네고견적(061017-1)" xfId="715"/>
    <cellStyle name="1_total_쌍용수량0905_설계내역서_화명조경_백화점화장실인테리어" xfId="716"/>
    <cellStyle name="1_total_쌍용수량0905_설계내역서_화명조경_백화점화장실인테리어_1차 기성 내역서 0612023" xfId="717"/>
    <cellStyle name="1_total_쌍용수량0905_설계내역서_화명조경_백화점화장실인테리어_3차네고견적(061017-1)" xfId="718"/>
    <cellStyle name="1_total_쌍용수량0905_설계내역서1월7일" xfId="719"/>
    <cellStyle name="1_total_쌍용수량0905_설계내역서1월7일_1차 기성 내역서 0612023" xfId="720"/>
    <cellStyle name="1_total_쌍용수량0905_설계내역서1월7일_3차네고견적(061017-1)" xfId="721"/>
    <cellStyle name="1_total_쌍용수량0905_설계내역서1월7일_백화점화장실인테리어" xfId="722"/>
    <cellStyle name="1_total_쌍용수량0905_설계내역서1월7일_백화점화장실인테리어_1차 기성 내역서 0612023" xfId="723"/>
    <cellStyle name="1_total_쌍용수량0905_설계내역서1월7일_백화점화장실인테리어_3차네고견적(061017-1)" xfId="724"/>
    <cellStyle name="1_total_쌍용수량0905_설계내역서1월7일_화명조경" xfId="725"/>
    <cellStyle name="1_total_쌍용수량0905_설계내역서1월7일_화명조경_1차 기성 내역서 0612023" xfId="726"/>
    <cellStyle name="1_total_쌍용수량0905_설계내역서1월7일_화명조경_3차네고견적(061017-1)" xfId="727"/>
    <cellStyle name="1_total_쌍용수량0905_설계내역서1월7일_화명조경_백화점화장실인테리어" xfId="728"/>
    <cellStyle name="1_total_쌍용수량0905_설계내역서1월7일_화명조경_백화점화장실인테리어_1차 기성 내역서 0612023" xfId="729"/>
    <cellStyle name="1_total_쌍용수량0905_설계내역서1월7일_화명조경_백화점화장실인테리어_3차네고견적(061017-1)" xfId="730"/>
    <cellStyle name="1_total_쌍용수량0905_화명조경" xfId="731"/>
    <cellStyle name="1_total_쌍용수량0905_화명조경_1차 기성 내역서 0612023" xfId="732"/>
    <cellStyle name="1_total_쌍용수량0905_화명조경_3차네고견적(061017-1)" xfId="733"/>
    <cellStyle name="1_total_쌍용수량0905_화명조경_백화점화장실인테리어" xfId="734"/>
    <cellStyle name="1_total_쌍용수량0905_화명조경_백화점화장실인테리어_1차 기성 내역서 0612023" xfId="735"/>
    <cellStyle name="1_total_쌍용수량0905_화명조경_백화점화장실인테리어_3차네고견적(061017-1)" xfId="736"/>
    <cellStyle name="1_total_은파수량집계" xfId="737"/>
    <cellStyle name="1_total_은파수량집계_1차 기성 내역서 0612023" xfId="738"/>
    <cellStyle name="1_total_은파수량집계_3차네고견적(061017-1)" xfId="739"/>
    <cellStyle name="1_total_은파수량집계_백화점화장실인테리어" xfId="740"/>
    <cellStyle name="1_total_은파수량집계_백화점화장실인테리어_1차 기성 내역서 0612023" xfId="741"/>
    <cellStyle name="1_total_은파수량집계_백화점화장실인테리어_3차네고견적(061017-1)" xfId="742"/>
    <cellStyle name="1_total_은파수량집계_설계내역서" xfId="743"/>
    <cellStyle name="1_total_은파수량집계_설계내역서_1차 기성 내역서 0612023" xfId="744"/>
    <cellStyle name="1_total_은파수량집계_설계내역서_3차네고견적(061017-1)" xfId="745"/>
    <cellStyle name="1_total_은파수량집계_설계내역서_백화점화장실인테리어" xfId="746"/>
    <cellStyle name="1_total_은파수량집계_설계내역서_백화점화장실인테리어_1차 기성 내역서 0612023" xfId="747"/>
    <cellStyle name="1_total_은파수량집계_설계내역서_백화점화장실인테리어_3차네고견적(061017-1)" xfId="748"/>
    <cellStyle name="1_total_은파수량집계_설계내역서_화명조경" xfId="749"/>
    <cellStyle name="1_total_은파수량집계_설계내역서_화명조경_1차 기성 내역서 0612023" xfId="750"/>
    <cellStyle name="1_total_은파수량집계_설계내역서_화명조경_3차네고견적(061017-1)" xfId="751"/>
    <cellStyle name="1_total_은파수량집계_설계내역서_화명조경_백화점화장실인테리어" xfId="752"/>
    <cellStyle name="1_total_은파수량집계_설계내역서_화명조경_백화점화장실인테리어_1차 기성 내역서 0612023" xfId="753"/>
    <cellStyle name="1_total_은파수량집계_설계내역서_화명조경_백화점화장실인테리어_3차네고견적(061017-1)" xfId="754"/>
    <cellStyle name="1_total_은파수량집계_설계내역서1월7일" xfId="755"/>
    <cellStyle name="1_total_은파수량집계_설계내역서1월7일_1차 기성 내역서 0612023" xfId="756"/>
    <cellStyle name="1_total_은파수량집계_설계내역서1월7일_3차네고견적(061017-1)" xfId="757"/>
    <cellStyle name="1_total_은파수량집계_설계내역서1월7일_백화점화장실인테리어" xfId="758"/>
    <cellStyle name="1_total_은파수량집계_설계내역서1월7일_백화점화장실인테리어_1차 기성 내역서 0612023" xfId="759"/>
    <cellStyle name="1_total_은파수량집계_설계내역서1월7일_백화점화장실인테리어_3차네고견적(061017-1)" xfId="760"/>
    <cellStyle name="1_total_은파수량집계_설계내역서1월7일_화명조경" xfId="761"/>
    <cellStyle name="1_total_은파수량집계_설계내역서1월7일_화명조경_1차 기성 내역서 0612023" xfId="762"/>
    <cellStyle name="1_total_은파수량집계_설계내역서1월7일_화명조경_3차네고견적(061017-1)" xfId="763"/>
    <cellStyle name="1_total_은파수량집계_설계내역서1월7일_화명조경_백화점화장실인테리어" xfId="764"/>
    <cellStyle name="1_total_은파수량집계_설계내역서1월7일_화명조경_백화점화장실인테리어_1차 기성 내역서 0612023" xfId="765"/>
    <cellStyle name="1_total_은파수량집계_설계내역서1월7일_화명조경_백화점화장실인테리어_3차네고견적(061017-1)" xfId="766"/>
    <cellStyle name="1_total_은파수량집계_화명조경" xfId="767"/>
    <cellStyle name="1_total_은파수량집계_화명조경_1차 기성 내역서 0612023" xfId="768"/>
    <cellStyle name="1_total_은파수량집계_화명조경_3차네고견적(061017-1)" xfId="769"/>
    <cellStyle name="1_total_은파수량집계_화명조경_백화점화장실인테리어" xfId="770"/>
    <cellStyle name="1_total_은파수량집계_화명조경_백화점화장실인테리어_1차 기성 내역서 0612023" xfId="771"/>
    <cellStyle name="1_total_은파수량집계_화명조경_백화점화장실인테리어_3차네고견적(061017-1)" xfId="772"/>
    <cellStyle name="1_total_터미널1-0" xfId="773"/>
    <cellStyle name="1_total_터미널1-0_1차 기성 내역서 0612023" xfId="774"/>
    <cellStyle name="1_total_터미널1-0_3차네고견적(061017-1)" xfId="775"/>
    <cellStyle name="1_total_터미널1-0_백화점화장실인테리어" xfId="776"/>
    <cellStyle name="1_total_터미널1-0_백화점화장실인테리어_1차 기성 내역서 0612023" xfId="777"/>
    <cellStyle name="1_total_터미널1-0_백화점화장실인테리어_3차네고견적(061017-1)" xfId="778"/>
    <cellStyle name="1_total_터미널1-0_화명조경" xfId="779"/>
    <cellStyle name="1_total_터미널1-0_화명조경_1차 기성 내역서 0612023" xfId="780"/>
    <cellStyle name="1_total_터미널1-0_화명조경_3차네고견적(061017-1)" xfId="781"/>
    <cellStyle name="1_total_터미널1-0_화명조경_백화점화장실인테리어" xfId="782"/>
    <cellStyle name="1_total_터미널1-0_화명조경_백화점화장실인테리어_1차 기성 내역서 0612023" xfId="783"/>
    <cellStyle name="1_total_터미널1-0_화명조경_백화점화장실인테리어_3차네고견적(061017-1)" xfId="784"/>
    <cellStyle name="1_total_화명조경" xfId="785"/>
    <cellStyle name="1_total_화명조경_1차 기성 내역서 0612023" xfId="786"/>
    <cellStyle name="1_total_화명조경_3차네고견적(061017-1)" xfId="787"/>
    <cellStyle name="1_total_화명조경_백화점화장실인테리어" xfId="788"/>
    <cellStyle name="1_total_화명조경_백화점화장실인테리어_1차 기성 내역서 0612023" xfId="789"/>
    <cellStyle name="1_total_화명조경_백화점화장실인테리어_3차네고견적(061017-1)" xfId="790"/>
    <cellStyle name="1_tree" xfId="791"/>
    <cellStyle name="1_tree_1차 기성 내역서 0612023" xfId="792"/>
    <cellStyle name="1_tree_3차네고견적(061017-1)" xfId="793"/>
    <cellStyle name="1_tree_Sheet1" xfId="794"/>
    <cellStyle name="1_tree_Sheet1_1차 기성 내역서 0612023" xfId="795"/>
    <cellStyle name="1_tree_Sheet1_3차네고견적(061017-1)" xfId="796"/>
    <cellStyle name="1_tree_갑지0601" xfId="797"/>
    <cellStyle name="1_tree_갑지0601_00갑지" xfId="798"/>
    <cellStyle name="1_tree_갑지0601_00갑지_1차 기성 내역서 0612023" xfId="799"/>
    <cellStyle name="1_tree_갑지0601_00갑지_3차네고견적(061017-1)" xfId="800"/>
    <cellStyle name="1_tree_갑지0601_00갑지_백화점화장실인테리어" xfId="801"/>
    <cellStyle name="1_tree_갑지0601_00갑지_백화점화장실인테리어_1차 기성 내역서 0612023" xfId="802"/>
    <cellStyle name="1_tree_갑지0601_00갑지_백화점화장실인테리어_3차네고견적(061017-1)" xfId="803"/>
    <cellStyle name="1_tree_갑지0601_00갑지_설계내역서" xfId="804"/>
    <cellStyle name="1_tree_갑지0601_00갑지_설계내역서_1차 기성 내역서 0612023" xfId="805"/>
    <cellStyle name="1_tree_갑지0601_00갑지_설계내역서_3차네고견적(061017-1)" xfId="806"/>
    <cellStyle name="1_tree_갑지0601_00갑지_설계내역서_백화점화장실인테리어" xfId="807"/>
    <cellStyle name="1_tree_갑지0601_00갑지_설계내역서_백화점화장실인테리어_1차 기성 내역서 0612023" xfId="808"/>
    <cellStyle name="1_tree_갑지0601_00갑지_설계내역서_백화점화장실인테리어_3차네고견적(061017-1)" xfId="809"/>
    <cellStyle name="1_tree_갑지0601_00갑지_설계내역서_화명조경" xfId="810"/>
    <cellStyle name="1_tree_갑지0601_00갑지_설계내역서_화명조경_1차 기성 내역서 0612023" xfId="811"/>
    <cellStyle name="1_tree_갑지0601_00갑지_설계내역서_화명조경_3차네고견적(061017-1)" xfId="812"/>
    <cellStyle name="1_tree_갑지0601_00갑지_설계내역서_화명조경_백화점화장실인테리어" xfId="813"/>
    <cellStyle name="1_tree_갑지0601_00갑지_설계내역서_화명조경_백화점화장실인테리어_1차 기성 내역서 0612023" xfId="814"/>
    <cellStyle name="1_tree_갑지0601_00갑지_설계내역서_화명조경_백화점화장실인테리어_3차네고견적(061017-1)" xfId="815"/>
    <cellStyle name="1_tree_갑지0601_00갑지_설계내역서1월7일" xfId="816"/>
    <cellStyle name="1_tree_갑지0601_00갑지_설계내역서1월7일_1차 기성 내역서 0612023" xfId="817"/>
    <cellStyle name="1_tree_갑지0601_00갑지_설계내역서1월7일_3차네고견적(061017-1)" xfId="818"/>
    <cellStyle name="1_tree_갑지0601_00갑지_설계내역서1월7일_백화점화장실인테리어" xfId="819"/>
    <cellStyle name="1_tree_갑지0601_00갑지_설계내역서1월7일_백화점화장실인테리어_1차 기성 내역서 0612023" xfId="820"/>
    <cellStyle name="1_tree_갑지0601_00갑지_설계내역서1월7일_백화점화장실인테리어_3차네고견적(061017-1)" xfId="821"/>
    <cellStyle name="1_tree_갑지0601_00갑지_설계내역서1월7일_화명조경" xfId="822"/>
    <cellStyle name="1_tree_갑지0601_00갑지_설계내역서1월7일_화명조경_1차 기성 내역서 0612023" xfId="823"/>
    <cellStyle name="1_tree_갑지0601_00갑지_설계내역서1월7일_화명조경_3차네고견적(061017-1)" xfId="824"/>
    <cellStyle name="1_tree_갑지0601_00갑지_설계내역서1월7일_화명조경_백화점화장실인테리어" xfId="825"/>
    <cellStyle name="1_tree_갑지0601_00갑지_설계내역서1월7일_화명조경_백화점화장실인테리어_1차 기성 내역서 0612023" xfId="826"/>
    <cellStyle name="1_tree_갑지0601_00갑지_설계내역서1월7일_화명조경_백화점화장실인테리어_3차네고견적(061017-1)" xfId="827"/>
    <cellStyle name="1_tree_갑지0601_00갑지_화명조경" xfId="828"/>
    <cellStyle name="1_tree_갑지0601_00갑지_화명조경_1차 기성 내역서 0612023" xfId="829"/>
    <cellStyle name="1_tree_갑지0601_00갑지_화명조경_3차네고견적(061017-1)" xfId="830"/>
    <cellStyle name="1_tree_갑지0601_00갑지_화명조경_백화점화장실인테리어" xfId="831"/>
    <cellStyle name="1_tree_갑지0601_00갑지_화명조경_백화점화장실인테리어_1차 기성 내역서 0612023" xfId="832"/>
    <cellStyle name="1_tree_갑지0601_00갑지_화명조경_백화점화장실인테리어_3차네고견적(061017-1)" xfId="833"/>
    <cellStyle name="1_tree_갑지0601_1차 기성 내역서 0612023" xfId="834"/>
    <cellStyle name="1_tree_갑지0601_3차네고견적(061017-1)" xfId="835"/>
    <cellStyle name="1_tree_갑지0601_과천놀이터설계서" xfId="836"/>
    <cellStyle name="1_tree_갑지0601_과천놀이터설계서_1차 기성 내역서 0612023" xfId="837"/>
    <cellStyle name="1_tree_갑지0601_과천놀이터설계서_3차네고견적(061017-1)" xfId="838"/>
    <cellStyle name="1_tree_갑지0601_과천놀이터설계서_백화점화장실인테리어" xfId="839"/>
    <cellStyle name="1_tree_갑지0601_과천놀이터설계서_백화점화장실인테리어_1차 기성 내역서 0612023" xfId="840"/>
    <cellStyle name="1_tree_갑지0601_과천놀이터설계서_백화점화장실인테리어_3차네고견적(061017-1)" xfId="841"/>
    <cellStyle name="1_tree_갑지0601_과천놀이터설계서_설계내역서" xfId="842"/>
    <cellStyle name="1_tree_갑지0601_과천놀이터설계서_설계내역서_1차 기성 내역서 0612023" xfId="843"/>
    <cellStyle name="1_tree_갑지0601_과천놀이터설계서_설계내역서_3차네고견적(061017-1)" xfId="844"/>
    <cellStyle name="1_tree_갑지0601_과천놀이터설계서_설계내역서_백화점화장실인테리어" xfId="845"/>
    <cellStyle name="1_tree_갑지0601_과천놀이터설계서_설계내역서_백화점화장실인테리어_1차 기성 내역서 0612023" xfId="846"/>
    <cellStyle name="1_tree_갑지0601_과천놀이터설계서_설계내역서_백화점화장실인테리어_3차네고견적(061017-1)" xfId="847"/>
    <cellStyle name="1_tree_갑지0601_과천놀이터설계서_설계내역서_화명조경" xfId="848"/>
    <cellStyle name="1_tree_갑지0601_과천놀이터설계서_설계내역서_화명조경_1차 기성 내역서 0612023" xfId="849"/>
    <cellStyle name="1_tree_갑지0601_과천놀이터설계서_설계내역서_화명조경_3차네고견적(061017-1)" xfId="850"/>
    <cellStyle name="1_tree_갑지0601_과천놀이터설계서_설계내역서_화명조경_백화점화장실인테리어" xfId="851"/>
    <cellStyle name="1_tree_갑지0601_과천놀이터설계서_설계내역서_화명조경_백화점화장실인테리어_1차 기성 내역서 0612023" xfId="852"/>
    <cellStyle name="1_tree_갑지0601_과천놀이터설계서_설계내역서_화명조경_백화점화장실인테리어_3차네고견적(061017-1)" xfId="853"/>
    <cellStyle name="1_tree_갑지0601_과천놀이터설계서_설계내역서1월7일" xfId="854"/>
    <cellStyle name="1_tree_갑지0601_과천놀이터설계서_설계내역서1월7일_1차 기성 내역서 0612023" xfId="855"/>
    <cellStyle name="1_tree_갑지0601_과천놀이터설계서_설계내역서1월7일_3차네고견적(061017-1)" xfId="856"/>
    <cellStyle name="1_tree_갑지0601_과천놀이터설계서_설계내역서1월7일_백화점화장실인테리어" xfId="857"/>
    <cellStyle name="1_tree_갑지0601_과천놀이터설계서_설계내역서1월7일_백화점화장실인테리어_1차 기성 내역서 0612023" xfId="858"/>
    <cellStyle name="1_tree_갑지0601_과천놀이터설계서_설계내역서1월7일_백화점화장실인테리어_3차네고견적(061017-1)" xfId="859"/>
    <cellStyle name="1_tree_갑지0601_과천놀이터설계서_설계내역서1월7일_화명조경" xfId="860"/>
    <cellStyle name="1_tree_갑지0601_과천놀이터설계서_설계내역서1월7일_화명조경_1차 기성 내역서 0612023" xfId="861"/>
    <cellStyle name="1_tree_갑지0601_과천놀이터설계서_설계내역서1월7일_화명조경_3차네고견적(061017-1)" xfId="862"/>
    <cellStyle name="1_tree_갑지0601_과천놀이터설계서_설계내역서1월7일_화명조경_백화점화장실인테리어" xfId="863"/>
    <cellStyle name="1_tree_갑지0601_과천놀이터설계서_설계내역서1월7일_화명조경_백화점화장실인테리어_1차 기성 내역서 0612023" xfId="864"/>
    <cellStyle name="1_tree_갑지0601_과천놀이터설계서_설계내역서1월7일_화명조경_백화점화장실인테리어_3차네고견적(061017-1)" xfId="865"/>
    <cellStyle name="1_tree_갑지0601_과천놀이터설계서_화명조경" xfId="866"/>
    <cellStyle name="1_tree_갑지0601_과천놀이터설계서_화명조경_1차 기성 내역서 0612023" xfId="867"/>
    <cellStyle name="1_tree_갑지0601_과천놀이터설계서_화명조경_3차네고견적(061017-1)" xfId="868"/>
    <cellStyle name="1_tree_갑지0601_과천놀이터설계서_화명조경_백화점화장실인테리어" xfId="869"/>
    <cellStyle name="1_tree_갑지0601_과천놀이터설계서_화명조경_백화점화장실인테리어_1차 기성 내역서 0612023" xfId="870"/>
    <cellStyle name="1_tree_갑지0601_과천놀이터설계서_화명조경_백화점화장실인테리어_3차네고견적(061017-1)" xfId="871"/>
    <cellStyle name="1_tree_갑지0601_백화점화장실인테리어" xfId="872"/>
    <cellStyle name="1_tree_갑지0601_백화점화장실인테리어_1차 기성 내역서 0612023" xfId="873"/>
    <cellStyle name="1_tree_갑지0601_백화점화장실인테리어_3차네고견적(061017-1)" xfId="874"/>
    <cellStyle name="1_tree_갑지0601_총괄갑지" xfId="875"/>
    <cellStyle name="1_tree_갑지0601_총괄갑지_1차 기성 내역서 0612023" xfId="876"/>
    <cellStyle name="1_tree_갑지0601_총괄갑지_3차네고견적(061017-1)" xfId="877"/>
    <cellStyle name="1_tree_갑지0601_총괄갑지_백화점화장실인테리어" xfId="878"/>
    <cellStyle name="1_tree_갑지0601_총괄갑지_백화점화장실인테리어_1차 기성 내역서 0612023" xfId="879"/>
    <cellStyle name="1_tree_갑지0601_총괄갑지_백화점화장실인테리어_3차네고견적(061017-1)" xfId="880"/>
    <cellStyle name="1_tree_갑지0601_총괄갑지_설계내역서" xfId="881"/>
    <cellStyle name="1_tree_갑지0601_총괄갑지_설계내역서_1차 기성 내역서 0612023" xfId="882"/>
    <cellStyle name="1_tree_갑지0601_총괄갑지_설계내역서_3차네고견적(061017-1)" xfId="883"/>
    <cellStyle name="1_tree_갑지0601_총괄갑지_설계내역서_백화점화장실인테리어" xfId="884"/>
    <cellStyle name="1_tree_갑지0601_총괄갑지_설계내역서_백화점화장실인테리어_1차 기성 내역서 0612023" xfId="885"/>
    <cellStyle name="1_tree_갑지0601_총괄갑지_설계내역서_백화점화장실인테리어_3차네고견적(061017-1)" xfId="886"/>
    <cellStyle name="1_tree_갑지0601_총괄갑지_설계내역서_화명조경" xfId="887"/>
    <cellStyle name="1_tree_갑지0601_총괄갑지_설계내역서_화명조경_1차 기성 내역서 0612023" xfId="888"/>
    <cellStyle name="1_tree_갑지0601_총괄갑지_설계내역서_화명조경_3차네고견적(061017-1)" xfId="889"/>
    <cellStyle name="1_tree_갑지0601_총괄갑지_설계내역서_화명조경_백화점화장실인테리어" xfId="890"/>
    <cellStyle name="1_tree_갑지0601_총괄갑지_설계내역서_화명조경_백화점화장실인테리어_1차 기성 내역서 0612023" xfId="891"/>
    <cellStyle name="1_tree_갑지0601_총괄갑지_설계내역서_화명조경_백화점화장실인테리어_3차네고견적(061017-1)" xfId="892"/>
    <cellStyle name="1_tree_갑지0601_총괄갑지_설계내역서1월7일" xfId="893"/>
    <cellStyle name="1_tree_갑지0601_총괄갑지_설계내역서1월7일_1차 기성 내역서 0612023" xfId="894"/>
    <cellStyle name="1_tree_갑지0601_총괄갑지_설계내역서1월7일_3차네고견적(061017-1)" xfId="895"/>
    <cellStyle name="1_tree_갑지0601_총괄갑지_설계내역서1월7일_백화점화장실인테리어" xfId="896"/>
    <cellStyle name="1_tree_갑지0601_총괄갑지_설계내역서1월7일_백화점화장실인테리어_1차 기성 내역서 0612023" xfId="897"/>
    <cellStyle name="1_tree_갑지0601_총괄갑지_설계내역서1월7일_백화점화장실인테리어_3차네고견적(061017-1)" xfId="898"/>
    <cellStyle name="1_tree_갑지0601_총괄갑지_설계내역서1월7일_화명조경" xfId="899"/>
    <cellStyle name="1_tree_갑지0601_총괄갑지_설계내역서1월7일_화명조경_1차 기성 내역서 0612023" xfId="900"/>
    <cellStyle name="1_tree_갑지0601_총괄갑지_설계내역서1월7일_화명조경_3차네고견적(061017-1)" xfId="901"/>
    <cellStyle name="1_tree_갑지0601_총괄갑지_설계내역서1월7일_화명조경_백화점화장실인테리어" xfId="902"/>
    <cellStyle name="1_tree_갑지0601_총괄갑지_설계내역서1월7일_화명조경_백화점화장실인테리어_1차 기성 내역서 0612023" xfId="903"/>
    <cellStyle name="1_tree_갑지0601_총괄갑지_설계내역서1월7일_화명조경_백화점화장실인테리어_3차네고견적(061017-1)" xfId="904"/>
    <cellStyle name="1_tree_갑지0601_총괄갑지_화명조경" xfId="905"/>
    <cellStyle name="1_tree_갑지0601_총괄갑지_화명조경_1차 기성 내역서 0612023" xfId="906"/>
    <cellStyle name="1_tree_갑지0601_총괄갑지_화명조경_3차네고견적(061017-1)" xfId="907"/>
    <cellStyle name="1_tree_갑지0601_총괄갑지_화명조경_백화점화장실인테리어" xfId="908"/>
    <cellStyle name="1_tree_갑지0601_총괄갑지_화명조경_백화점화장실인테리어_1차 기성 내역서 0612023" xfId="909"/>
    <cellStyle name="1_tree_갑지0601_총괄갑지_화명조경_백화점화장실인테리어_3차네고견적(061017-1)" xfId="910"/>
    <cellStyle name="1_tree_갑지0601_총괄내역서" xfId="911"/>
    <cellStyle name="1_tree_갑지0601_총괄내역서_1차 기성 내역서 0612023" xfId="912"/>
    <cellStyle name="1_tree_갑지0601_총괄내역서_3차네고견적(061017-1)" xfId="913"/>
    <cellStyle name="1_tree_갑지0601_총괄내역서_백화점화장실인테리어" xfId="914"/>
    <cellStyle name="1_tree_갑지0601_총괄내역서_백화점화장실인테리어_1차 기성 내역서 0612023" xfId="915"/>
    <cellStyle name="1_tree_갑지0601_총괄내역서_백화점화장실인테리어_3차네고견적(061017-1)" xfId="916"/>
    <cellStyle name="1_tree_갑지0601_총괄내역서_설계내역서" xfId="917"/>
    <cellStyle name="1_tree_갑지0601_총괄내역서_설계내역서_1차 기성 내역서 0612023" xfId="918"/>
    <cellStyle name="1_tree_갑지0601_총괄내역서_설계내역서_3차네고견적(061017-1)" xfId="919"/>
    <cellStyle name="1_tree_갑지0601_총괄내역서_설계내역서_백화점화장실인테리어" xfId="920"/>
    <cellStyle name="1_tree_갑지0601_총괄내역서_설계내역서_백화점화장실인테리어_1차 기성 내역서 0612023" xfId="921"/>
    <cellStyle name="1_tree_갑지0601_총괄내역서_설계내역서_백화점화장실인테리어_3차네고견적(061017-1)" xfId="922"/>
    <cellStyle name="1_tree_갑지0601_총괄내역서_설계내역서_화명조경" xfId="923"/>
    <cellStyle name="1_tree_갑지0601_총괄내역서_설계내역서_화명조경_1차 기성 내역서 0612023" xfId="924"/>
    <cellStyle name="1_tree_갑지0601_총괄내역서_설계내역서_화명조경_3차네고견적(061017-1)" xfId="925"/>
    <cellStyle name="1_tree_갑지0601_총괄내역서_설계내역서_화명조경_백화점화장실인테리어" xfId="926"/>
    <cellStyle name="1_tree_갑지0601_총괄내역서_설계내역서_화명조경_백화점화장실인테리어_1차 기성 내역서 0612023" xfId="927"/>
    <cellStyle name="1_tree_갑지0601_총괄내역서_설계내역서_화명조경_백화점화장실인테리어_3차네고견적(061017-1)" xfId="928"/>
    <cellStyle name="1_tree_갑지0601_총괄내역서_설계내역서1월7일" xfId="929"/>
    <cellStyle name="1_tree_갑지0601_총괄내역서_설계내역서1월7일_1차 기성 내역서 0612023" xfId="930"/>
    <cellStyle name="1_tree_갑지0601_총괄내역서_설계내역서1월7일_3차네고견적(061017-1)" xfId="931"/>
    <cellStyle name="1_tree_갑지0601_총괄내역서_설계내역서1월7일_백화점화장실인테리어" xfId="932"/>
    <cellStyle name="1_tree_갑지0601_총괄내역서_설계내역서1월7일_백화점화장실인테리어_1차 기성 내역서 0612023" xfId="933"/>
    <cellStyle name="1_tree_갑지0601_총괄내역서_설계내역서1월7일_백화점화장실인테리어_3차네고견적(061017-1)" xfId="934"/>
    <cellStyle name="1_tree_갑지0601_총괄내역서_설계내역서1월7일_화명조경" xfId="935"/>
    <cellStyle name="1_tree_갑지0601_총괄내역서_설계내역서1월7일_화명조경_1차 기성 내역서 0612023" xfId="936"/>
    <cellStyle name="1_tree_갑지0601_총괄내역서_설계내역서1월7일_화명조경_3차네고견적(061017-1)" xfId="937"/>
    <cellStyle name="1_tree_갑지0601_총괄내역서_설계내역서1월7일_화명조경_백화점화장실인테리어" xfId="938"/>
    <cellStyle name="1_tree_갑지0601_총괄내역서_설계내역서1월7일_화명조경_백화점화장실인테리어_1차 기성 내역서 0612023" xfId="939"/>
    <cellStyle name="1_tree_갑지0601_총괄내역서_설계내역서1월7일_화명조경_백화점화장실인테리어_3차네고견적(061017-1)" xfId="940"/>
    <cellStyle name="1_tree_갑지0601_총괄내역서_화명조경" xfId="941"/>
    <cellStyle name="1_tree_갑지0601_총괄내역서_화명조경_1차 기성 내역서 0612023" xfId="942"/>
    <cellStyle name="1_tree_갑지0601_총괄내역서_화명조경_3차네고견적(061017-1)" xfId="943"/>
    <cellStyle name="1_tree_갑지0601_총괄내역서_화명조경_백화점화장실인테리어" xfId="944"/>
    <cellStyle name="1_tree_갑지0601_총괄내역서_화명조경_백화점화장실인테리어_1차 기성 내역서 0612023" xfId="945"/>
    <cellStyle name="1_tree_갑지0601_총괄내역서_화명조경_백화점화장실인테리어_3차네고견적(061017-1)" xfId="946"/>
    <cellStyle name="1_tree_갑지0601_화명조경" xfId="947"/>
    <cellStyle name="1_tree_갑지0601_화명조경_1차 기성 내역서 0612023" xfId="948"/>
    <cellStyle name="1_tree_갑지0601_화명조경_3차네고견적(061017-1)" xfId="949"/>
    <cellStyle name="1_tree_갑지0601_화명조경_백화점화장실인테리어" xfId="950"/>
    <cellStyle name="1_tree_갑지0601_화명조경_백화점화장실인테리어_1차 기성 내역서 0612023" xfId="951"/>
    <cellStyle name="1_tree_갑지0601_화명조경_백화점화장실인테리어_3차네고견적(061017-1)" xfId="952"/>
    <cellStyle name="1_tree_남해총괄표" xfId="953"/>
    <cellStyle name="1_tree_남해총괄표_1차 기성 내역서 0612023" xfId="954"/>
    <cellStyle name="1_tree_남해총괄표_3차네고견적(061017-1)" xfId="955"/>
    <cellStyle name="1_tree_남해총괄표_백화점화장실인테리어" xfId="956"/>
    <cellStyle name="1_tree_남해총괄표_백화점화장실인테리어_1차 기성 내역서 0612023" xfId="957"/>
    <cellStyle name="1_tree_남해총괄표_백화점화장실인테리어_3차네고견적(061017-1)" xfId="958"/>
    <cellStyle name="1_tree_남해총괄표_설계내역서" xfId="959"/>
    <cellStyle name="1_tree_남해총괄표_설계내역서_1차 기성 내역서 0612023" xfId="960"/>
    <cellStyle name="1_tree_남해총괄표_설계내역서_3차네고견적(061017-1)" xfId="961"/>
    <cellStyle name="1_tree_남해총괄표_설계내역서_백화점화장실인테리어" xfId="962"/>
    <cellStyle name="1_tree_남해총괄표_설계내역서_백화점화장실인테리어_1차 기성 내역서 0612023" xfId="963"/>
    <cellStyle name="1_tree_남해총괄표_설계내역서_백화점화장실인테리어_3차네고견적(061017-1)" xfId="964"/>
    <cellStyle name="1_tree_남해총괄표_설계내역서_화명조경" xfId="965"/>
    <cellStyle name="1_tree_남해총괄표_설계내역서_화명조경_1차 기성 내역서 0612023" xfId="966"/>
    <cellStyle name="1_tree_남해총괄표_설계내역서_화명조경_3차네고견적(061017-1)" xfId="967"/>
    <cellStyle name="1_tree_남해총괄표_설계내역서_화명조경_백화점화장실인테리어" xfId="968"/>
    <cellStyle name="1_tree_남해총괄표_설계내역서_화명조경_백화점화장실인테리어_1차 기성 내역서 0612023" xfId="969"/>
    <cellStyle name="1_tree_남해총괄표_설계내역서_화명조경_백화점화장실인테리어_3차네고견적(061017-1)" xfId="970"/>
    <cellStyle name="1_tree_남해총괄표_설계내역서1월7일" xfId="971"/>
    <cellStyle name="1_tree_남해총괄표_설계내역서1월7일_1차 기성 내역서 0612023" xfId="972"/>
    <cellStyle name="1_tree_남해총괄표_설계내역서1월7일_3차네고견적(061017-1)" xfId="973"/>
    <cellStyle name="1_tree_남해총괄표_설계내역서1월7일_백화점화장실인테리어" xfId="974"/>
    <cellStyle name="1_tree_남해총괄표_설계내역서1월7일_백화점화장실인테리어_1차 기성 내역서 0612023" xfId="975"/>
    <cellStyle name="1_tree_남해총괄표_설계내역서1월7일_백화점화장실인테리어_3차네고견적(061017-1)" xfId="976"/>
    <cellStyle name="1_tree_남해총괄표_설계내역서1월7일_화명조경" xfId="977"/>
    <cellStyle name="1_tree_남해총괄표_설계내역서1월7일_화명조경_1차 기성 내역서 0612023" xfId="978"/>
    <cellStyle name="1_tree_남해총괄표_설계내역서1월7일_화명조경_3차네고견적(061017-1)" xfId="979"/>
    <cellStyle name="1_tree_남해총괄표_설계내역서1월7일_화명조경_백화점화장실인테리어" xfId="980"/>
    <cellStyle name="1_tree_남해총괄표_설계내역서1월7일_화명조경_백화점화장실인테리어_1차 기성 내역서 0612023" xfId="981"/>
    <cellStyle name="1_tree_남해총괄표_설계내역서1월7일_화명조경_백화점화장실인테리어_3차네고견적(061017-1)" xfId="982"/>
    <cellStyle name="1_tree_남해총괄표_화명조경" xfId="983"/>
    <cellStyle name="1_tree_남해총괄표_화명조경_1차 기성 내역서 0612023" xfId="984"/>
    <cellStyle name="1_tree_남해총괄표_화명조경_3차네고견적(061017-1)" xfId="985"/>
    <cellStyle name="1_tree_남해총괄표_화명조경_백화점화장실인테리어" xfId="986"/>
    <cellStyle name="1_tree_남해총괄표_화명조경_백화점화장실인테리어_1차 기성 내역서 0612023" xfId="987"/>
    <cellStyle name="1_tree_남해총괄표_화명조경_백화점화장실인테리어_3차네고견적(061017-1)" xfId="988"/>
    <cellStyle name="1_tree_마운딩수량" xfId="989"/>
    <cellStyle name="1_tree_마운딩수량_1차 기성 내역서 0612023" xfId="990"/>
    <cellStyle name="1_tree_마운딩수량_3차네고견적(061017-1)" xfId="991"/>
    <cellStyle name="1_tree_마운딩수량_갑지0601" xfId="992"/>
    <cellStyle name="1_tree_마운딩수량_갑지0601_00갑지" xfId="993"/>
    <cellStyle name="1_tree_마운딩수량_갑지0601_00갑지_1차 기성 내역서 0612023" xfId="994"/>
    <cellStyle name="1_tree_마운딩수량_갑지0601_00갑지_3차네고견적(061017-1)" xfId="995"/>
    <cellStyle name="1_tree_마운딩수량_갑지0601_00갑지_백화점화장실인테리어" xfId="996"/>
    <cellStyle name="1_tree_마운딩수량_갑지0601_00갑지_백화점화장실인테리어_1차 기성 내역서 0612023" xfId="997"/>
    <cellStyle name="1_tree_마운딩수량_갑지0601_00갑지_백화점화장실인테리어_3차네고견적(061017-1)" xfId="998"/>
    <cellStyle name="1_tree_마운딩수량_갑지0601_00갑지_설계내역서" xfId="999"/>
    <cellStyle name="1_tree_마운딩수량_갑지0601_00갑지_설계내역서_1차 기성 내역서 0612023" xfId="1000"/>
    <cellStyle name="1_tree_마운딩수량_갑지0601_00갑지_설계내역서_3차네고견적(061017-1)" xfId="1001"/>
    <cellStyle name="1_tree_마운딩수량_갑지0601_00갑지_설계내역서_백화점화장실인테리어" xfId="1002"/>
    <cellStyle name="1_tree_마운딩수량_갑지0601_00갑지_설계내역서_백화점화장실인테리어_1차 기성 내역서 0612023" xfId="1003"/>
    <cellStyle name="1_tree_마운딩수량_갑지0601_00갑지_설계내역서_백화점화장실인테리어_3차네고견적(061017-1)" xfId="1004"/>
    <cellStyle name="1_tree_마운딩수량_갑지0601_00갑지_설계내역서_화명조경" xfId="1005"/>
    <cellStyle name="1_tree_마운딩수량_갑지0601_00갑지_설계내역서_화명조경_1차 기성 내역서 0612023" xfId="1006"/>
    <cellStyle name="1_tree_마운딩수량_갑지0601_00갑지_설계내역서_화명조경_3차네고견적(061017-1)" xfId="1007"/>
    <cellStyle name="1_tree_마운딩수량_갑지0601_00갑지_설계내역서_화명조경_백화점화장실인테리어" xfId="1008"/>
    <cellStyle name="1_tree_마운딩수량_갑지0601_00갑지_설계내역서_화명조경_백화점화장실인테리어_1차 기성 내역서 0612023" xfId="1009"/>
    <cellStyle name="1_tree_마운딩수량_갑지0601_00갑지_설계내역서_화명조경_백화점화장실인테리어_3차네고견적(061017-1)" xfId="1010"/>
    <cellStyle name="1_tree_마운딩수량_갑지0601_00갑지_설계내역서1월7일" xfId="1011"/>
    <cellStyle name="1_tree_마운딩수량_갑지0601_00갑지_설계내역서1월7일_1차 기성 내역서 0612023" xfId="1012"/>
    <cellStyle name="1_tree_마운딩수량_갑지0601_00갑지_설계내역서1월7일_3차네고견적(061017-1)" xfId="1013"/>
    <cellStyle name="1_tree_마운딩수량_갑지0601_00갑지_설계내역서1월7일_백화점화장실인테리어" xfId="1014"/>
    <cellStyle name="1_tree_마운딩수량_갑지0601_00갑지_설계내역서1월7일_백화점화장실인테리어_1차 기성 내역서 0612023" xfId="1015"/>
    <cellStyle name="1_tree_마운딩수량_갑지0601_00갑지_설계내역서1월7일_백화점화장실인테리어_3차네고견적(061017-1)" xfId="1016"/>
    <cellStyle name="1_tree_마운딩수량_갑지0601_00갑지_설계내역서1월7일_화명조경" xfId="1017"/>
    <cellStyle name="1_tree_마운딩수량_갑지0601_00갑지_설계내역서1월7일_화명조경_1차 기성 내역서 0612023" xfId="1018"/>
    <cellStyle name="1_tree_마운딩수량_갑지0601_00갑지_설계내역서1월7일_화명조경_3차네고견적(061017-1)" xfId="1019"/>
    <cellStyle name="1_tree_마운딩수량_갑지0601_00갑지_설계내역서1월7일_화명조경_백화점화장실인테리어" xfId="1020"/>
    <cellStyle name="1_tree_마운딩수량_갑지0601_00갑지_설계내역서1월7일_화명조경_백화점화장실인테리어_1차 기성 내역서 0612023" xfId="1021"/>
    <cellStyle name="1_tree_마운딩수량_갑지0601_00갑지_설계내역서1월7일_화명조경_백화점화장실인테리어_3차네고견적(061017-1)" xfId="1022"/>
    <cellStyle name="1_tree_마운딩수량_갑지0601_00갑지_화명조경" xfId="1023"/>
    <cellStyle name="1_tree_마운딩수량_갑지0601_00갑지_화명조경_1차 기성 내역서 0612023" xfId="1024"/>
    <cellStyle name="1_tree_마운딩수량_갑지0601_00갑지_화명조경_3차네고견적(061017-1)" xfId="1025"/>
    <cellStyle name="1_tree_마운딩수량_갑지0601_00갑지_화명조경_백화점화장실인테리어" xfId="1026"/>
    <cellStyle name="1_tree_마운딩수량_갑지0601_00갑지_화명조경_백화점화장실인테리어_1차 기성 내역서 0612023" xfId="1027"/>
    <cellStyle name="1_tree_마운딩수량_갑지0601_00갑지_화명조경_백화점화장실인테리어_3차네고견적(061017-1)" xfId="1028"/>
    <cellStyle name="1_tree_마운딩수량_갑지0601_1차 기성 내역서 0612023" xfId="1029"/>
    <cellStyle name="1_tree_마운딩수량_갑지0601_3차네고견적(061017-1)" xfId="1030"/>
    <cellStyle name="1_tree_마운딩수량_갑지0601_과천놀이터설계서" xfId="1031"/>
    <cellStyle name="1_tree_마운딩수량_갑지0601_과천놀이터설계서_1차 기성 내역서 0612023" xfId="1032"/>
    <cellStyle name="1_tree_마운딩수량_갑지0601_과천놀이터설계서_3차네고견적(061017-1)" xfId="1033"/>
    <cellStyle name="1_tree_마운딩수량_갑지0601_과천놀이터설계서_백화점화장실인테리어" xfId="1034"/>
    <cellStyle name="1_tree_마운딩수량_갑지0601_과천놀이터설계서_백화점화장실인테리어_1차 기성 내역서 0612023" xfId="1035"/>
    <cellStyle name="1_tree_마운딩수량_갑지0601_과천놀이터설계서_백화점화장실인테리어_3차네고견적(061017-1)" xfId="1036"/>
    <cellStyle name="1_tree_마운딩수량_갑지0601_과천놀이터설계서_설계내역서" xfId="1037"/>
    <cellStyle name="1_tree_마운딩수량_갑지0601_과천놀이터설계서_설계내역서_1차 기성 내역서 0612023" xfId="1038"/>
    <cellStyle name="1_tree_마운딩수량_갑지0601_과천놀이터설계서_설계내역서_3차네고견적(061017-1)" xfId="1039"/>
    <cellStyle name="1_tree_마운딩수량_갑지0601_과천놀이터설계서_설계내역서_백화점화장실인테리어" xfId="1040"/>
    <cellStyle name="1_tree_마운딩수량_갑지0601_과천놀이터설계서_설계내역서_백화점화장실인테리어_1차 기성 내역서 0612023" xfId="1041"/>
    <cellStyle name="1_tree_마운딩수량_갑지0601_과천놀이터설계서_설계내역서_백화점화장실인테리어_3차네고견적(061017-1)" xfId="1042"/>
    <cellStyle name="1_tree_마운딩수량_갑지0601_과천놀이터설계서_설계내역서_화명조경" xfId="1043"/>
    <cellStyle name="1_tree_마운딩수량_갑지0601_과천놀이터설계서_설계내역서_화명조경_1차 기성 내역서 0612023" xfId="1044"/>
    <cellStyle name="1_tree_마운딩수량_갑지0601_과천놀이터설계서_설계내역서_화명조경_3차네고견적(061017-1)" xfId="1045"/>
    <cellStyle name="1_tree_마운딩수량_갑지0601_과천놀이터설계서_설계내역서_화명조경_백화점화장실인테리어" xfId="1046"/>
    <cellStyle name="1_tree_마운딩수량_갑지0601_과천놀이터설계서_설계내역서_화명조경_백화점화장실인테리어_1차 기성 내역서 0612023" xfId="1047"/>
    <cellStyle name="1_tree_마운딩수량_갑지0601_과천놀이터설계서_설계내역서_화명조경_백화점화장실인테리어_3차네고견적(061017-1)" xfId="1048"/>
    <cellStyle name="1_tree_마운딩수량_갑지0601_과천놀이터설계서_설계내역서1월7일" xfId="1049"/>
    <cellStyle name="1_tree_마운딩수량_갑지0601_과천놀이터설계서_설계내역서1월7일_1차 기성 내역서 0612023" xfId="1050"/>
    <cellStyle name="1_tree_마운딩수량_갑지0601_과천놀이터설계서_설계내역서1월7일_3차네고견적(061017-1)" xfId="1051"/>
    <cellStyle name="1_tree_마운딩수량_갑지0601_과천놀이터설계서_설계내역서1월7일_백화점화장실인테리어" xfId="1052"/>
    <cellStyle name="1_tree_마운딩수량_갑지0601_과천놀이터설계서_설계내역서1월7일_백화점화장실인테리어_1차 기성 내역서 0612023" xfId="1053"/>
    <cellStyle name="1_tree_마운딩수량_갑지0601_과천놀이터설계서_설계내역서1월7일_백화점화장실인테리어_3차네고견적(061017-1)" xfId="1054"/>
    <cellStyle name="1_tree_마운딩수량_갑지0601_과천놀이터설계서_설계내역서1월7일_화명조경" xfId="1055"/>
    <cellStyle name="1_tree_마운딩수량_갑지0601_과천놀이터설계서_설계내역서1월7일_화명조경_1차 기성 내역서 0612023" xfId="1056"/>
    <cellStyle name="1_tree_마운딩수량_갑지0601_과천놀이터설계서_설계내역서1월7일_화명조경_3차네고견적(061017-1)" xfId="1057"/>
    <cellStyle name="1_tree_마운딩수량_갑지0601_과천놀이터설계서_설계내역서1월7일_화명조경_백화점화장실인테리어" xfId="1058"/>
    <cellStyle name="1_tree_마운딩수량_갑지0601_과천놀이터설계서_설계내역서1월7일_화명조경_백화점화장실인테리어_1차 기성 내역서 0612023" xfId="1059"/>
    <cellStyle name="1_tree_마운딩수량_갑지0601_과천놀이터설계서_설계내역서1월7일_화명조경_백화점화장실인테리어_3차네고견적(061017-1)" xfId="1060"/>
    <cellStyle name="1_tree_마운딩수량_갑지0601_과천놀이터설계서_화명조경" xfId="1061"/>
    <cellStyle name="1_tree_마운딩수량_갑지0601_과천놀이터설계서_화명조경_1차 기성 내역서 0612023" xfId="1062"/>
    <cellStyle name="1_tree_마운딩수량_갑지0601_과천놀이터설계서_화명조경_3차네고견적(061017-1)" xfId="1063"/>
    <cellStyle name="1_tree_마운딩수량_갑지0601_과천놀이터설계서_화명조경_백화점화장실인테리어" xfId="1064"/>
    <cellStyle name="1_tree_마운딩수량_갑지0601_과천놀이터설계서_화명조경_백화점화장실인테리어_1차 기성 내역서 0612023" xfId="1065"/>
    <cellStyle name="1_tree_마운딩수량_갑지0601_과천놀이터설계서_화명조경_백화점화장실인테리어_3차네고견적(061017-1)" xfId="1066"/>
    <cellStyle name="1_tree_마운딩수량_갑지0601_백화점화장실인테리어" xfId="1067"/>
    <cellStyle name="1_tree_마운딩수량_갑지0601_백화점화장실인테리어_1차 기성 내역서 0612023" xfId="1068"/>
    <cellStyle name="1_tree_마운딩수량_갑지0601_백화점화장실인테리어_3차네고견적(061017-1)" xfId="1069"/>
    <cellStyle name="1_tree_마운딩수량_갑지0601_총괄갑지" xfId="1070"/>
    <cellStyle name="1_tree_마운딩수량_갑지0601_총괄갑지_1차 기성 내역서 0612023" xfId="1071"/>
    <cellStyle name="1_tree_마운딩수량_갑지0601_총괄갑지_3차네고견적(061017-1)" xfId="1072"/>
    <cellStyle name="1_tree_마운딩수량_갑지0601_총괄갑지_백화점화장실인테리어" xfId="1073"/>
    <cellStyle name="1_tree_마운딩수량_갑지0601_총괄갑지_백화점화장실인테리어_1차 기성 내역서 0612023" xfId="1074"/>
    <cellStyle name="1_tree_마운딩수량_갑지0601_총괄갑지_백화점화장실인테리어_3차네고견적(061017-1)" xfId="1075"/>
    <cellStyle name="1_tree_마운딩수량_갑지0601_총괄갑지_설계내역서" xfId="1076"/>
    <cellStyle name="1_tree_마운딩수량_갑지0601_총괄갑지_설계내역서_1차 기성 내역서 0612023" xfId="1077"/>
    <cellStyle name="1_tree_마운딩수량_갑지0601_총괄갑지_설계내역서_3차네고견적(061017-1)" xfId="1078"/>
    <cellStyle name="1_tree_마운딩수량_갑지0601_총괄갑지_설계내역서_백화점화장실인테리어" xfId="1079"/>
    <cellStyle name="1_tree_마운딩수량_갑지0601_총괄갑지_설계내역서_백화점화장실인테리어_1차 기성 내역서 0612023" xfId="1080"/>
    <cellStyle name="1_tree_마운딩수량_갑지0601_총괄갑지_설계내역서_백화점화장실인테리어_3차네고견적(061017-1)" xfId="1081"/>
    <cellStyle name="1_tree_마운딩수량_갑지0601_총괄갑지_설계내역서_화명조경" xfId="1082"/>
    <cellStyle name="1_tree_마운딩수량_갑지0601_총괄갑지_설계내역서_화명조경_1차 기성 내역서 0612023" xfId="1083"/>
    <cellStyle name="1_tree_마운딩수량_갑지0601_총괄갑지_설계내역서_화명조경_3차네고견적(061017-1)" xfId="1084"/>
    <cellStyle name="1_tree_마운딩수량_갑지0601_총괄갑지_설계내역서_화명조경_백화점화장실인테리어" xfId="1085"/>
    <cellStyle name="1_tree_마운딩수량_갑지0601_총괄갑지_설계내역서_화명조경_백화점화장실인테리어_1차 기성 내역서 0612023" xfId="1086"/>
    <cellStyle name="1_tree_마운딩수량_갑지0601_총괄갑지_설계내역서_화명조경_백화점화장실인테리어_3차네고견적(061017-1)" xfId="1087"/>
    <cellStyle name="1_tree_마운딩수량_갑지0601_총괄갑지_설계내역서1월7일" xfId="1088"/>
    <cellStyle name="1_tree_마운딩수량_갑지0601_총괄갑지_설계내역서1월7일_1차 기성 내역서 0612023" xfId="1089"/>
    <cellStyle name="1_tree_마운딩수량_갑지0601_총괄갑지_설계내역서1월7일_3차네고견적(061017-1)" xfId="1090"/>
    <cellStyle name="1_tree_마운딩수량_갑지0601_총괄갑지_설계내역서1월7일_백화점화장실인테리어" xfId="1091"/>
    <cellStyle name="1_tree_마운딩수량_갑지0601_총괄갑지_설계내역서1월7일_백화점화장실인테리어_1차 기성 내역서 0612023" xfId="1092"/>
    <cellStyle name="1_tree_마운딩수량_갑지0601_총괄갑지_설계내역서1월7일_백화점화장실인테리어_3차네고견적(061017-1)" xfId="1093"/>
    <cellStyle name="1_tree_마운딩수량_갑지0601_총괄갑지_설계내역서1월7일_화명조경" xfId="1094"/>
    <cellStyle name="1_tree_마운딩수량_갑지0601_총괄갑지_설계내역서1월7일_화명조경_1차 기성 내역서 0612023" xfId="1095"/>
    <cellStyle name="1_tree_마운딩수량_갑지0601_총괄갑지_설계내역서1월7일_화명조경_3차네고견적(061017-1)" xfId="1096"/>
    <cellStyle name="1_tree_마운딩수량_갑지0601_총괄갑지_설계내역서1월7일_화명조경_백화점화장실인테리어" xfId="1097"/>
    <cellStyle name="1_tree_마운딩수량_갑지0601_총괄갑지_설계내역서1월7일_화명조경_백화점화장실인테리어_1차 기성 내역서 0612023" xfId="1098"/>
    <cellStyle name="1_tree_마운딩수량_갑지0601_총괄갑지_설계내역서1월7일_화명조경_백화점화장실인테리어_3차네고견적(061017-1)" xfId="1099"/>
    <cellStyle name="1_tree_마운딩수량_갑지0601_총괄갑지_화명조경" xfId="1100"/>
    <cellStyle name="1_tree_마운딩수량_갑지0601_총괄갑지_화명조경_1차 기성 내역서 0612023" xfId="1101"/>
    <cellStyle name="1_tree_마운딩수량_갑지0601_총괄갑지_화명조경_3차네고견적(061017-1)" xfId="1102"/>
    <cellStyle name="1_tree_마운딩수량_갑지0601_총괄갑지_화명조경_백화점화장실인테리어" xfId="1103"/>
    <cellStyle name="1_tree_마운딩수량_갑지0601_총괄갑지_화명조경_백화점화장실인테리어_1차 기성 내역서 0612023" xfId="1104"/>
    <cellStyle name="1_tree_마운딩수량_갑지0601_총괄갑지_화명조경_백화점화장실인테리어_3차네고견적(061017-1)" xfId="1105"/>
    <cellStyle name="1_tree_마운딩수량_갑지0601_총괄내역서" xfId="1106"/>
    <cellStyle name="1_tree_마운딩수량_갑지0601_총괄내역서_1차 기성 내역서 0612023" xfId="1107"/>
    <cellStyle name="1_tree_마운딩수량_갑지0601_총괄내역서_3차네고견적(061017-1)" xfId="1108"/>
    <cellStyle name="1_tree_마운딩수량_갑지0601_총괄내역서_백화점화장실인테리어" xfId="1109"/>
    <cellStyle name="1_tree_마운딩수량_갑지0601_총괄내역서_백화점화장실인테리어_1차 기성 내역서 0612023" xfId="1110"/>
    <cellStyle name="1_tree_마운딩수량_갑지0601_총괄내역서_백화점화장실인테리어_3차네고견적(061017-1)" xfId="1111"/>
    <cellStyle name="1_tree_마운딩수량_갑지0601_총괄내역서_설계내역서" xfId="1112"/>
    <cellStyle name="1_tree_마운딩수량_갑지0601_총괄내역서_설계내역서_1차 기성 내역서 0612023" xfId="1113"/>
    <cellStyle name="1_tree_마운딩수량_갑지0601_총괄내역서_설계내역서_3차네고견적(061017-1)" xfId="1114"/>
    <cellStyle name="1_tree_마운딩수량_갑지0601_총괄내역서_설계내역서_백화점화장실인테리어" xfId="1115"/>
    <cellStyle name="1_tree_마운딩수량_갑지0601_총괄내역서_설계내역서_백화점화장실인테리어_1차 기성 내역서 0612023" xfId="1116"/>
    <cellStyle name="1_tree_마운딩수량_갑지0601_총괄내역서_설계내역서_백화점화장실인테리어_3차네고견적(061017-1)" xfId="1117"/>
    <cellStyle name="1_tree_마운딩수량_갑지0601_총괄내역서_설계내역서_화명조경" xfId="1118"/>
    <cellStyle name="1_tree_마운딩수량_갑지0601_총괄내역서_설계내역서_화명조경_1차 기성 내역서 0612023" xfId="1119"/>
    <cellStyle name="1_tree_마운딩수량_갑지0601_총괄내역서_설계내역서_화명조경_3차네고견적(061017-1)" xfId="1120"/>
    <cellStyle name="1_tree_마운딩수량_갑지0601_총괄내역서_설계내역서_화명조경_백화점화장실인테리어" xfId="1121"/>
    <cellStyle name="1_tree_마운딩수량_갑지0601_총괄내역서_설계내역서_화명조경_백화점화장실인테리어_1차 기성 내역서 0612023" xfId="1122"/>
    <cellStyle name="1_tree_마운딩수량_갑지0601_총괄내역서_설계내역서_화명조경_백화점화장실인테리어_3차네고견적(061017-1)" xfId="1123"/>
    <cellStyle name="1_tree_마운딩수량_갑지0601_총괄내역서_설계내역서1월7일" xfId="1124"/>
    <cellStyle name="1_tree_마운딩수량_갑지0601_총괄내역서_설계내역서1월7일_1차 기성 내역서 0612023" xfId="1125"/>
    <cellStyle name="1_tree_마운딩수량_갑지0601_총괄내역서_설계내역서1월7일_3차네고견적(061017-1)" xfId="1126"/>
    <cellStyle name="1_tree_마운딩수량_갑지0601_총괄내역서_설계내역서1월7일_백화점화장실인테리어" xfId="1127"/>
    <cellStyle name="1_tree_마운딩수량_갑지0601_총괄내역서_설계내역서1월7일_백화점화장실인테리어_1차 기성 내역서 0612023" xfId="1128"/>
    <cellStyle name="1_tree_마운딩수량_갑지0601_총괄내역서_설계내역서1월7일_백화점화장실인테리어_3차네고견적(061017-1)" xfId="1129"/>
    <cellStyle name="1_tree_마운딩수량_갑지0601_총괄내역서_설계내역서1월7일_화명조경" xfId="1130"/>
    <cellStyle name="1_tree_마운딩수량_갑지0601_총괄내역서_설계내역서1월7일_화명조경_1차 기성 내역서 0612023" xfId="1131"/>
    <cellStyle name="1_tree_마운딩수량_갑지0601_총괄내역서_설계내역서1월7일_화명조경_3차네고견적(061017-1)" xfId="1132"/>
    <cellStyle name="1_tree_마운딩수량_갑지0601_총괄내역서_설계내역서1월7일_화명조경_백화점화장실인테리어" xfId="1133"/>
    <cellStyle name="1_tree_마운딩수량_갑지0601_총괄내역서_설계내역서1월7일_화명조경_백화점화장실인테리어_1차 기성 내역서 0612023" xfId="1134"/>
    <cellStyle name="1_tree_마운딩수량_갑지0601_총괄내역서_설계내역서1월7일_화명조경_백화점화장실인테리어_3차네고견적(061017-1)" xfId="1135"/>
    <cellStyle name="1_tree_마운딩수량_갑지0601_총괄내역서_화명조경" xfId="1136"/>
    <cellStyle name="1_tree_마운딩수량_갑지0601_총괄내역서_화명조경_1차 기성 내역서 0612023" xfId="1137"/>
    <cellStyle name="1_tree_마운딩수량_갑지0601_총괄내역서_화명조경_3차네고견적(061017-1)" xfId="1138"/>
    <cellStyle name="1_tree_마운딩수량_갑지0601_총괄내역서_화명조경_백화점화장실인테리어" xfId="1139"/>
    <cellStyle name="1_tree_마운딩수량_갑지0601_총괄내역서_화명조경_백화점화장실인테리어_1차 기성 내역서 0612023" xfId="1140"/>
    <cellStyle name="1_tree_마운딩수량_갑지0601_총괄내역서_화명조경_백화점화장실인테리어_3차네고견적(061017-1)" xfId="1141"/>
    <cellStyle name="1_tree_마운딩수량_갑지0601_화명조경" xfId="1142"/>
    <cellStyle name="1_tree_마운딩수량_갑지0601_화명조경_1차 기성 내역서 0612023" xfId="1143"/>
    <cellStyle name="1_tree_마운딩수량_갑지0601_화명조경_3차네고견적(061017-1)" xfId="1144"/>
    <cellStyle name="1_tree_마운딩수량_갑지0601_화명조경_백화점화장실인테리어" xfId="1145"/>
    <cellStyle name="1_tree_마운딩수량_갑지0601_화명조경_백화점화장실인테리어_1차 기성 내역서 0612023" xfId="1146"/>
    <cellStyle name="1_tree_마운딩수량_갑지0601_화명조경_백화점화장실인테리어_3차네고견적(061017-1)" xfId="1147"/>
    <cellStyle name="1_tree_마운딩수량_백화점화장실인테리어" xfId="1148"/>
    <cellStyle name="1_tree_마운딩수량_백화점화장실인테리어_1차 기성 내역서 0612023" xfId="1149"/>
    <cellStyle name="1_tree_마운딩수량_백화점화장실인테리어_3차네고견적(061017-1)" xfId="1150"/>
    <cellStyle name="1_tree_마운딩수량_설계내역서" xfId="1151"/>
    <cellStyle name="1_tree_마운딩수량_설계내역서_1차 기성 내역서 0612023" xfId="1152"/>
    <cellStyle name="1_tree_마운딩수량_설계내역서_3차네고견적(061017-1)" xfId="1153"/>
    <cellStyle name="1_tree_마운딩수량_설계내역서_백화점화장실인테리어" xfId="1154"/>
    <cellStyle name="1_tree_마운딩수량_설계내역서_백화점화장실인테리어_1차 기성 내역서 0612023" xfId="1155"/>
    <cellStyle name="1_tree_마운딩수량_설계내역서_백화점화장실인테리어_3차네고견적(061017-1)" xfId="1156"/>
    <cellStyle name="1_tree_마운딩수량_설계내역서_화명조경" xfId="1157"/>
    <cellStyle name="1_tree_마운딩수량_설계내역서_화명조경_1차 기성 내역서 0612023" xfId="1158"/>
    <cellStyle name="1_tree_마운딩수량_설계내역서_화명조경_3차네고견적(061017-1)" xfId="1159"/>
    <cellStyle name="1_tree_마운딩수량_설계내역서_화명조경_백화점화장실인테리어" xfId="1160"/>
    <cellStyle name="1_tree_마운딩수량_설계내역서_화명조경_백화점화장실인테리어_1차 기성 내역서 0612023" xfId="1161"/>
    <cellStyle name="1_tree_마운딩수량_설계내역서_화명조경_백화점화장실인테리어_3차네고견적(061017-1)" xfId="1162"/>
    <cellStyle name="1_tree_마운딩수량_설계내역서1월7일" xfId="1163"/>
    <cellStyle name="1_tree_마운딩수량_설계내역서1월7일_1차 기성 내역서 0612023" xfId="1164"/>
    <cellStyle name="1_tree_마운딩수량_설계내역서1월7일_3차네고견적(061017-1)" xfId="1165"/>
    <cellStyle name="1_tree_마운딩수량_설계내역서1월7일_백화점화장실인테리어" xfId="1166"/>
    <cellStyle name="1_tree_마운딩수량_설계내역서1월7일_백화점화장실인테리어_1차 기성 내역서 0612023" xfId="1167"/>
    <cellStyle name="1_tree_마운딩수량_설계내역서1월7일_백화점화장실인테리어_3차네고견적(061017-1)" xfId="1168"/>
    <cellStyle name="1_tree_마운딩수량_설계내역서1월7일_화명조경" xfId="1169"/>
    <cellStyle name="1_tree_마운딩수량_설계내역서1월7일_화명조경_1차 기성 내역서 0612023" xfId="1170"/>
    <cellStyle name="1_tree_마운딩수량_설계내역서1월7일_화명조경_3차네고견적(061017-1)" xfId="1171"/>
    <cellStyle name="1_tree_마운딩수량_설계내역서1월7일_화명조경_백화점화장실인테리어" xfId="1172"/>
    <cellStyle name="1_tree_마운딩수량_설계내역서1월7일_화명조경_백화점화장실인테리어_1차 기성 내역서 0612023" xfId="1173"/>
    <cellStyle name="1_tree_마운딩수량_설계내역서1월7일_화명조경_백화점화장실인테리어_3차네고견적(061017-1)" xfId="1174"/>
    <cellStyle name="1_tree_마운딩수량_화명조경" xfId="1175"/>
    <cellStyle name="1_tree_마운딩수량_화명조경_1차 기성 내역서 0612023" xfId="1176"/>
    <cellStyle name="1_tree_마운딩수량_화명조경_3차네고견적(061017-1)" xfId="1177"/>
    <cellStyle name="1_tree_마운딩수량_화명조경_백화점화장실인테리어" xfId="1178"/>
    <cellStyle name="1_tree_마운딩수량_화명조경_백화점화장실인테리어_1차 기성 내역서 0612023" xfId="1179"/>
    <cellStyle name="1_tree_마운딩수량_화명조경_백화점화장실인테리어_3차네고견적(061017-1)" xfId="1180"/>
    <cellStyle name="1_tree_백화점화장실인테리어" xfId="1181"/>
    <cellStyle name="1_tree_백화점화장실인테리어_1차 기성 내역서 0612023" xfId="1182"/>
    <cellStyle name="1_tree_백화점화장실인테리어_3차네고견적(061017-1)" xfId="1183"/>
    <cellStyle name="1_tree_설계내역서" xfId="1184"/>
    <cellStyle name="1_tree_설계내역서_1차 기성 내역서 0612023" xfId="1185"/>
    <cellStyle name="1_tree_설계내역서_3차네고견적(061017-1)" xfId="1186"/>
    <cellStyle name="1_tree_설계내역서_백화점화장실인테리어" xfId="1187"/>
    <cellStyle name="1_tree_설계내역서_백화점화장실인테리어_1차 기성 내역서 0612023" xfId="1188"/>
    <cellStyle name="1_tree_설계내역서_백화점화장실인테리어_3차네고견적(061017-1)" xfId="1189"/>
    <cellStyle name="1_tree_설계내역서_화명조경" xfId="1190"/>
    <cellStyle name="1_tree_설계내역서_화명조경_1차 기성 내역서 0612023" xfId="1191"/>
    <cellStyle name="1_tree_설계내역서_화명조경_3차네고견적(061017-1)" xfId="1192"/>
    <cellStyle name="1_tree_설계내역서_화명조경_백화점화장실인테리어" xfId="1193"/>
    <cellStyle name="1_tree_설계내역서_화명조경_백화점화장실인테리어_1차 기성 내역서 0612023" xfId="1194"/>
    <cellStyle name="1_tree_설계내역서_화명조경_백화점화장실인테리어_3차네고견적(061017-1)" xfId="1195"/>
    <cellStyle name="1_tree_설계내역서1월7일" xfId="1196"/>
    <cellStyle name="1_tree_설계내역서1월7일_1차 기성 내역서 0612023" xfId="1197"/>
    <cellStyle name="1_tree_설계내역서1월7일_3차네고견적(061017-1)" xfId="1198"/>
    <cellStyle name="1_tree_설계내역서1월7일_백화점화장실인테리어" xfId="1199"/>
    <cellStyle name="1_tree_설계내역서1월7일_백화점화장실인테리어_1차 기성 내역서 0612023" xfId="1200"/>
    <cellStyle name="1_tree_설계내역서1월7일_백화점화장실인테리어_3차네고견적(061017-1)" xfId="1201"/>
    <cellStyle name="1_tree_설계내역서1월7일_화명조경" xfId="1202"/>
    <cellStyle name="1_tree_설계내역서1월7일_화명조경_1차 기성 내역서 0612023" xfId="1203"/>
    <cellStyle name="1_tree_설계내역서1월7일_화명조경_3차네고견적(061017-1)" xfId="1204"/>
    <cellStyle name="1_tree_설계내역서1월7일_화명조경_백화점화장실인테리어" xfId="1205"/>
    <cellStyle name="1_tree_설계내역서1월7일_화명조경_백화점화장실인테리어_1차 기성 내역서 0612023" xfId="1206"/>
    <cellStyle name="1_tree_설계내역서1월7일_화명조경_백화점화장실인테리어_3차네고견적(061017-1)" xfId="1207"/>
    <cellStyle name="1_tree_수원변경수량산출" xfId="1208"/>
    <cellStyle name="1_tree_수원변경수량산출_1차 기성 내역서 0612023" xfId="1209"/>
    <cellStyle name="1_tree_수원변경수량산출_3차네고견적(061017-1)" xfId="1210"/>
    <cellStyle name="1_tree_수원변경수량산출_백화점화장실인테리어" xfId="1211"/>
    <cellStyle name="1_tree_수원변경수량산출_백화점화장실인테리어_1차 기성 내역서 0612023" xfId="1212"/>
    <cellStyle name="1_tree_수원변경수량산출_백화점화장실인테리어_3차네고견적(061017-1)" xfId="1213"/>
    <cellStyle name="1_tree_수원변경수량산출_설계내역서" xfId="1214"/>
    <cellStyle name="1_tree_수원변경수량산출_설계내역서_1차 기성 내역서 0612023" xfId="1215"/>
    <cellStyle name="1_tree_수원변경수량산출_설계내역서_3차네고견적(061017-1)" xfId="1216"/>
    <cellStyle name="1_tree_수원변경수량산출_설계내역서_백화점화장실인테리어" xfId="1217"/>
    <cellStyle name="1_tree_수원변경수량산출_설계내역서_백화점화장실인테리어_1차 기성 내역서 0612023" xfId="1218"/>
    <cellStyle name="1_tree_수원변경수량산출_설계내역서_백화점화장실인테리어_3차네고견적(061017-1)" xfId="1219"/>
    <cellStyle name="1_tree_수원변경수량산출_설계내역서_화명조경" xfId="1220"/>
    <cellStyle name="1_tree_수원변경수량산출_설계내역서_화명조경_1차 기성 내역서 0612023" xfId="1221"/>
    <cellStyle name="1_tree_수원변경수량산출_설계내역서_화명조경_3차네고견적(061017-1)" xfId="1222"/>
    <cellStyle name="1_tree_수원변경수량산출_설계내역서_화명조경_백화점화장실인테리어" xfId="1223"/>
    <cellStyle name="1_tree_수원변경수량산출_설계내역서_화명조경_백화점화장실인테리어_1차 기성 내역서 0612023" xfId="1224"/>
    <cellStyle name="1_tree_수원변경수량산출_설계내역서_화명조경_백화점화장실인테리어_3차네고견적(061017-1)" xfId="1225"/>
    <cellStyle name="1_tree_수원변경수량산출_설계내역서1월7일" xfId="1226"/>
    <cellStyle name="1_tree_수원변경수량산출_설계내역서1월7일_1차 기성 내역서 0612023" xfId="1227"/>
    <cellStyle name="1_tree_수원변경수량산출_설계내역서1월7일_3차네고견적(061017-1)" xfId="1228"/>
    <cellStyle name="1_tree_수원변경수량산출_설계내역서1월7일_백화점화장실인테리어" xfId="1229"/>
    <cellStyle name="1_tree_수원변경수량산출_설계내역서1월7일_백화점화장실인테리어_1차 기성 내역서 0612023" xfId="1230"/>
    <cellStyle name="1_tree_수원변경수량산출_설계내역서1월7일_백화점화장실인테리어_3차네고견적(061017-1)" xfId="1231"/>
    <cellStyle name="1_tree_수원변경수량산출_설계내역서1월7일_화명조경" xfId="1232"/>
    <cellStyle name="1_tree_수원변경수량산출_설계내역서1월7일_화명조경_1차 기성 내역서 0612023" xfId="1233"/>
    <cellStyle name="1_tree_수원변경수량산출_설계내역서1월7일_화명조경_3차네고견적(061017-1)" xfId="1234"/>
    <cellStyle name="1_tree_수원변경수량산출_설계내역서1월7일_화명조경_백화점화장실인테리어" xfId="1235"/>
    <cellStyle name="1_tree_수원변경수량산출_설계내역서1월7일_화명조경_백화점화장실인테리어_1차 기성 내역서 0612023" xfId="1236"/>
    <cellStyle name="1_tree_수원변경수량산출_설계내역서1월7일_화명조경_백화점화장실인테리어_3차네고견적(061017-1)" xfId="1237"/>
    <cellStyle name="1_tree_수원변경수량산출_화명조경" xfId="1238"/>
    <cellStyle name="1_tree_수원변경수량산출_화명조경_1차 기성 내역서 0612023" xfId="1239"/>
    <cellStyle name="1_tree_수원변경수량산출_화명조경_3차네고견적(061017-1)" xfId="1240"/>
    <cellStyle name="1_tree_수원변경수량산출_화명조경_백화점화장실인테리어" xfId="1241"/>
    <cellStyle name="1_tree_수원변경수량산출_화명조경_백화점화장실인테리어_1차 기성 내역서 0612023" xfId="1242"/>
    <cellStyle name="1_tree_수원변경수량산출_화명조경_백화점화장실인테리어_3차네고견적(061017-1)" xfId="1243"/>
    <cellStyle name="1_tree_쌍용수량0905" xfId="1244"/>
    <cellStyle name="1_tree_쌍용수량0905_1차 기성 내역서 0612023" xfId="1245"/>
    <cellStyle name="1_tree_쌍용수량0905_3차네고견적(061017-1)" xfId="1246"/>
    <cellStyle name="1_tree_쌍용수량0905_백화점화장실인테리어" xfId="1247"/>
    <cellStyle name="1_tree_쌍용수량0905_백화점화장실인테리어_1차 기성 내역서 0612023" xfId="1248"/>
    <cellStyle name="1_tree_쌍용수량0905_백화점화장실인테리어_3차네고견적(061017-1)" xfId="1249"/>
    <cellStyle name="1_tree_쌍용수량0905_설계내역서" xfId="1250"/>
    <cellStyle name="1_tree_쌍용수량0905_설계내역서_1차 기성 내역서 0612023" xfId="1251"/>
    <cellStyle name="1_tree_쌍용수량0905_설계내역서_3차네고견적(061017-1)" xfId="1252"/>
    <cellStyle name="1_tree_쌍용수량0905_설계내역서_백화점화장실인테리어" xfId="1253"/>
    <cellStyle name="1_tree_쌍용수량0905_설계내역서_백화점화장실인테리어_1차 기성 내역서 0612023" xfId="1254"/>
    <cellStyle name="1_tree_쌍용수량0905_설계내역서_백화점화장실인테리어_3차네고견적(061017-1)" xfId="1255"/>
    <cellStyle name="1_tree_쌍용수량0905_설계내역서_화명조경" xfId="1256"/>
    <cellStyle name="1_tree_쌍용수량0905_설계내역서_화명조경_1차 기성 내역서 0612023" xfId="1257"/>
    <cellStyle name="1_tree_쌍용수량0905_설계내역서_화명조경_3차네고견적(061017-1)" xfId="1258"/>
    <cellStyle name="1_tree_쌍용수량0905_설계내역서_화명조경_백화점화장실인테리어" xfId="1259"/>
    <cellStyle name="1_tree_쌍용수량0905_설계내역서_화명조경_백화점화장실인테리어_1차 기성 내역서 0612023" xfId="1260"/>
    <cellStyle name="1_tree_쌍용수량0905_설계내역서_화명조경_백화점화장실인테리어_3차네고견적(061017-1)" xfId="1261"/>
    <cellStyle name="1_tree_쌍용수량0905_설계내역서1월7일" xfId="1262"/>
    <cellStyle name="1_tree_쌍용수량0905_설계내역서1월7일_1차 기성 내역서 0612023" xfId="1263"/>
    <cellStyle name="1_tree_쌍용수량0905_설계내역서1월7일_3차네고견적(061017-1)" xfId="1264"/>
    <cellStyle name="1_tree_쌍용수량0905_설계내역서1월7일_백화점화장실인테리어" xfId="1265"/>
    <cellStyle name="1_tree_쌍용수량0905_설계내역서1월7일_백화점화장실인테리어_1차 기성 내역서 0612023" xfId="1266"/>
    <cellStyle name="1_tree_쌍용수량0905_설계내역서1월7일_백화점화장실인테리어_3차네고견적(061017-1)" xfId="1267"/>
    <cellStyle name="1_tree_쌍용수량0905_설계내역서1월7일_화명조경" xfId="1268"/>
    <cellStyle name="1_tree_쌍용수량0905_설계내역서1월7일_화명조경_1차 기성 내역서 0612023" xfId="1269"/>
    <cellStyle name="1_tree_쌍용수량0905_설계내역서1월7일_화명조경_3차네고견적(061017-1)" xfId="1270"/>
    <cellStyle name="1_tree_쌍용수량0905_설계내역서1월7일_화명조경_백화점화장실인테리어" xfId="1271"/>
    <cellStyle name="1_tree_쌍용수량0905_설계내역서1월7일_화명조경_백화점화장실인테리어_1차 기성 내역서 0612023" xfId="1272"/>
    <cellStyle name="1_tree_쌍용수량0905_설계내역서1월7일_화명조경_백화점화장실인테리어_3차네고견적(061017-1)" xfId="1273"/>
    <cellStyle name="1_tree_쌍용수량0905_화명조경" xfId="1274"/>
    <cellStyle name="1_tree_쌍용수량0905_화명조경_1차 기성 내역서 0612023" xfId="1275"/>
    <cellStyle name="1_tree_쌍용수량0905_화명조경_3차네고견적(061017-1)" xfId="1276"/>
    <cellStyle name="1_tree_쌍용수량0905_화명조경_백화점화장실인테리어" xfId="1277"/>
    <cellStyle name="1_tree_쌍용수량0905_화명조경_백화점화장실인테리어_1차 기성 내역서 0612023" xfId="1278"/>
    <cellStyle name="1_tree_쌍용수량0905_화명조경_백화점화장실인테리어_3차네고견적(061017-1)" xfId="1279"/>
    <cellStyle name="1_tree_원가계산서" xfId="1280"/>
    <cellStyle name="1_tree_원가계산서_00갑지" xfId="1281"/>
    <cellStyle name="1_tree_원가계산서_00갑지_1차 기성 내역서 0612023" xfId="1282"/>
    <cellStyle name="1_tree_원가계산서_00갑지_3차네고견적(061017-1)" xfId="1283"/>
    <cellStyle name="1_tree_원가계산서_00갑지_백화점화장실인테리어" xfId="1284"/>
    <cellStyle name="1_tree_원가계산서_00갑지_백화점화장실인테리어_1차 기성 내역서 0612023" xfId="1285"/>
    <cellStyle name="1_tree_원가계산서_00갑지_백화점화장실인테리어_3차네고견적(061017-1)" xfId="1286"/>
    <cellStyle name="1_tree_원가계산서_00갑지_설계내역서" xfId="1287"/>
    <cellStyle name="1_tree_원가계산서_00갑지_설계내역서_1차 기성 내역서 0612023" xfId="1288"/>
    <cellStyle name="1_tree_원가계산서_00갑지_설계내역서_3차네고견적(061017-1)" xfId="1289"/>
    <cellStyle name="1_tree_원가계산서_00갑지_설계내역서_백화점화장실인테리어" xfId="1290"/>
    <cellStyle name="1_tree_원가계산서_00갑지_설계내역서_백화점화장실인테리어_1차 기성 내역서 0612023" xfId="1291"/>
    <cellStyle name="1_tree_원가계산서_00갑지_설계내역서_백화점화장실인테리어_3차네고견적(061017-1)" xfId="1292"/>
    <cellStyle name="1_tree_원가계산서_00갑지_설계내역서_화명조경" xfId="1293"/>
    <cellStyle name="1_tree_원가계산서_00갑지_설계내역서_화명조경_1차 기성 내역서 0612023" xfId="1294"/>
    <cellStyle name="1_tree_원가계산서_00갑지_설계내역서_화명조경_3차네고견적(061017-1)" xfId="1295"/>
    <cellStyle name="1_tree_원가계산서_00갑지_설계내역서_화명조경_백화점화장실인테리어" xfId="1296"/>
    <cellStyle name="1_tree_원가계산서_00갑지_설계내역서_화명조경_백화점화장실인테리어_1차 기성 내역서 0612023" xfId="1297"/>
    <cellStyle name="1_tree_원가계산서_00갑지_설계내역서_화명조경_백화점화장실인테리어_3차네고견적(061017-1)" xfId="1298"/>
    <cellStyle name="1_tree_원가계산서_00갑지_설계내역서1월7일" xfId="1299"/>
    <cellStyle name="1_tree_원가계산서_00갑지_설계내역서1월7일_1차 기성 내역서 0612023" xfId="1300"/>
    <cellStyle name="1_tree_원가계산서_00갑지_설계내역서1월7일_3차네고견적(061017-1)" xfId="1301"/>
    <cellStyle name="1_tree_원가계산서_00갑지_설계내역서1월7일_백화점화장실인테리어" xfId="1302"/>
    <cellStyle name="1_tree_원가계산서_00갑지_설계내역서1월7일_백화점화장실인테리어_1차 기성 내역서 0612023" xfId="1303"/>
    <cellStyle name="1_tree_원가계산서_00갑지_설계내역서1월7일_백화점화장실인테리어_3차네고견적(061017-1)" xfId="1304"/>
    <cellStyle name="1_tree_원가계산서_00갑지_설계내역서1월7일_화명조경" xfId="1305"/>
    <cellStyle name="1_tree_원가계산서_00갑지_설계내역서1월7일_화명조경_1차 기성 내역서 0612023" xfId="1306"/>
    <cellStyle name="1_tree_원가계산서_00갑지_설계내역서1월7일_화명조경_3차네고견적(061017-1)" xfId="1307"/>
    <cellStyle name="1_tree_원가계산서_00갑지_설계내역서1월7일_화명조경_백화점화장실인테리어" xfId="1308"/>
    <cellStyle name="1_tree_원가계산서_00갑지_설계내역서1월7일_화명조경_백화점화장실인테리어_1차 기성 내역서 0612023" xfId="1309"/>
    <cellStyle name="1_tree_원가계산서_00갑지_설계내역서1월7일_화명조경_백화점화장실인테리어_3차네고견적(061017-1)" xfId="1310"/>
    <cellStyle name="1_tree_원가계산서_00갑지_화명조경" xfId="1311"/>
    <cellStyle name="1_tree_원가계산서_00갑지_화명조경_1차 기성 내역서 0612023" xfId="1312"/>
    <cellStyle name="1_tree_원가계산서_00갑지_화명조경_3차네고견적(061017-1)" xfId="1313"/>
    <cellStyle name="1_tree_원가계산서_00갑지_화명조경_백화점화장실인테리어" xfId="1314"/>
    <cellStyle name="1_tree_원가계산서_00갑지_화명조경_백화점화장실인테리어_1차 기성 내역서 0612023" xfId="1315"/>
    <cellStyle name="1_tree_원가계산서_00갑지_화명조경_백화점화장실인테리어_3차네고견적(061017-1)" xfId="1316"/>
    <cellStyle name="1_tree_원가계산서_1차 기성 내역서 0612023" xfId="1317"/>
    <cellStyle name="1_tree_원가계산서_3차네고견적(061017-1)" xfId="1318"/>
    <cellStyle name="1_tree_원가계산서_과천놀이터설계서" xfId="1319"/>
    <cellStyle name="1_tree_원가계산서_과천놀이터설계서_1차 기성 내역서 0612023" xfId="1320"/>
    <cellStyle name="1_tree_원가계산서_과천놀이터설계서_3차네고견적(061017-1)" xfId="1321"/>
    <cellStyle name="1_tree_원가계산서_과천놀이터설계서_백화점화장실인테리어" xfId="1322"/>
    <cellStyle name="1_tree_원가계산서_과천놀이터설계서_백화점화장실인테리어_1차 기성 내역서 0612023" xfId="1323"/>
    <cellStyle name="1_tree_원가계산서_과천놀이터설계서_백화점화장실인테리어_3차네고견적(061017-1)" xfId="1324"/>
    <cellStyle name="1_tree_원가계산서_과천놀이터설계서_설계내역서" xfId="1325"/>
    <cellStyle name="1_tree_원가계산서_과천놀이터설계서_설계내역서_1차 기성 내역서 0612023" xfId="1326"/>
    <cellStyle name="1_tree_원가계산서_과천놀이터설계서_설계내역서_3차네고견적(061017-1)" xfId="1327"/>
    <cellStyle name="1_tree_원가계산서_과천놀이터설계서_설계내역서_백화점화장실인테리어" xfId="1328"/>
    <cellStyle name="1_tree_원가계산서_과천놀이터설계서_설계내역서_백화점화장실인테리어_1차 기성 내역서 0612023" xfId="1329"/>
    <cellStyle name="1_tree_원가계산서_과천놀이터설계서_설계내역서_백화점화장실인테리어_3차네고견적(061017-1)" xfId="1330"/>
    <cellStyle name="1_tree_원가계산서_과천놀이터설계서_설계내역서_화명조경" xfId="1331"/>
    <cellStyle name="1_tree_원가계산서_과천놀이터설계서_설계내역서_화명조경_1차 기성 내역서 0612023" xfId="1332"/>
    <cellStyle name="1_tree_원가계산서_과천놀이터설계서_설계내역서_화명조경_3차네고견적(061017-1)" xfId="1333"/>
    <cellStyle name="1_tree_원가계산서_과천놀이터설계서_설계내역서_화명조경_백화점화장실인테리어" xfId="1334"/>
    <cellStyle name="1_tree_원가계산서_과천놀이터설계서_설계내역서_화명조경_백화점화장실인테리어_1차 기성 내역서 0612023" xfId="1335"/>
    <cellStyle name="1_tree_원가계산서_과천놀이터설계서_설계내역서_화명조경_백화점화장실인테리어_3차네고견적(061017-1)" xfId="1336"/>
    <cellStyle name="1_tree_원가계산서_과천놀이터설계서_설계내역서1월7일" xfId="1337"/>
    <cellStyle name="1_tree_원가계산서_과천놀이터설계서_설계내역서1월7일_1차 기성 내역서 0612023" xfId="1338"/>
    <cellStyle name="1_tree_원가계산서_과천놀이터설계서_설계내역서1월7일_3차네고견적(061017-1)" xfId="1339"/>
    <cellStyle name="1_tree_원가계산서_과천놀이터설계서_설계내역서1월7일_백화점화장실인테리어" xfId="1340"/>
    <cellStyle name="1_tree_원가계산서_과천놀이터설계서_설계내역서1월7일_백화점화장실인테리어_1차 기성 내역서 0612023" xfId="1341"/>
    <cellStyle name="1_tree_원가계산서_과천놀이터설계서_설계내역서1월7일_백화점화장실인테리어_3차네고견적(061017-1)" xfId="1342"/>
    <cellStyle name="1_tree_원가계산서_과천놀이터설계서_설계내역서1월7일_화명조경" xfId="1343"/>
    <cellStyle name="1_tree_원가계산서_과천놀이터설계서_설계내역서1월7일_화명조경_1차 기성 내역서 0612023" xfId="1344"/>
    <cellStyle name="1_tree_원가계산서_과천놀이터설계서_설계내역서1월7일_화명조경_3차네고견적(061017-1)" xfId="1345"/>
    <cellStyle name="1_tree_원가계산서_과천놀이터설계서_설계내역서1월7일_화명조경_백화점화장실인테리어" xfId="1346"/>
    <cellStyle name="1_tree_원가계산서_과천놀이터설계서_설계내역서1월7일_화명조경_백화점화장실인테리어_1차 기성 내역서 0612023" xfId="1347"/>
    <cellStyle name="1_tree_원가계산서_과천놀이터설계서_설계내역서1월7일_화명조경_백화점화장실인테리어_3차네고견적(061017-1)" xfId="1348"/>
    <cellStyle name="1_tree_원가계산서_과천놀이터설계서_화명조경" xfId="1349"/>
    <cellStyle name="1_tree_원가계산서_과천놀이터설계서_화명조경_1차 기성 내역서 0612023" xfId="1350"/>
    <cellStyle name="1_tree_원가계산서_과천놀이터설계서_화명조경_3차네고견적(061017-1)" xfId="1351"/>
    <cellStyle name="1_tree_원가계산서_과천놀이터설계서_화명조경_백화점화장실인테리어" xfId="1352"/>
    <cellStyle name="1_tree_원가계산서_과천놀이터설계서_화명조경_백화점화장실인테리어_1차 기성 내역서 0612023" xfId="1353"/>
    <cellStyle name="1_tree_원가계산서_과천놀이터설계서_화명조경_백화점화장실인테리어_3차네고견적(061017-1)" xfId="1354"/>
    <cellStyle name="1_tree_원가계산서_백화점화장실인테리어" xfId="1355"/>
    <cellStyle name="1_tree_원가계산서_백화점화장실인테리어_1차 기성 내역서 0612023" xfId="1356"/>
    <cellStyle name="1_tree_원가계산서_백화점화장실인테리어_3차네고견적(061017-1)" xfId="1357"/>
    <cellStyle name="1_tree_원가계산서_총괄갑지" xfId="1358"/>
    <cellStyle name="1_tree_원가계산서_총괄갑지_1차 기성 내역서 0612023" xfId="1359"/>
    <cellStyle name="1_tree_원가계산서_총괄갑지_3차네고견적(061017-1)" xfId="1360"/>
    <cellStyle name="1_tree_원가계산서_총괄갑지_백화점화장실인테리어" xfId="1361"/>
    <cellStyle name="1_tree_원가계산서_총괄갑지_백화점화장실인테리어_1차 기성 내역서 0612023" xfId="1362"/>
    <cellStyle name="1_tree_원가계산서_총괄갑지_백화점화장실인테리어_3차네고견적(061017-1)" xfId="1363"/>
    <cellStyle name="1_tree_원가계산서_총괄갑지_설계내역서" xfId="1364"/>
    <cellStyle name="1_tree_원가계산서_총괄갑지_설계내역서_1차 기성 내역서 0612023" xfId="1365"/>
    <cellStyle name="1_tree_원가계산서_총괄갑지_설계내역서_3차네고견적(061017-1)" xfId="1366"/>
    <cellStyle name="1_tree_원가계산서_총괄갑지_설계내역서_백화점화장실인테리어" xfId="1367"/>
    <cellStyle name="1_tree_원가계산서_총괄갑지_설계내역서_백화점화장실인테리어_1차 기성 내역서 0612023" xfId="1368"/>
    <cellStyle name="1_tree_원가계산서_총괄갑지_설계내역서_백화점화장실인테리어_3차네고견적(061017-1)" xfId="1369"/>
    <cellStyle name="1_tree_원가계산서_총괄갑지_설계내역서_화명조경" xfId="1370"/>
    <cellStyle name="1_tree_원가계산서_총괄갑지_설계내역서_화명조경_1차 기성 내역서 0612023" xfId="1371"/>
    <cellStyle name="1_tree_원가계산서_총괄갑지_설계내역서_화명조경_3차네고견적(061017-1)" xfId="1372"/>
    <cellStyle name="1_tree_원가계산서_총괄갑지_설계내역서_화명조경_백화점화장실인테리어" xfId="1373"/>
    <cellStyle name="1_tree_원가계산서_총괄갑지_설계내역서_화명조경_백화점화장실인테리어_1차 기성 내역서 0612023" xfId="1374"/>
    <cellStyle name="1_tree_원가계산서_총괄갑지_설계내역서_화명조경_백화점화장실인테리어_3차네고견적(061017-1)" xfId="1375"/>
    <cellStyle name="1_tree_원가계산서_총괄갑지_설계내역서1월7일" xfId="1376"/>
    <cellStyle name="1_tree_원가계산서_총괄갑지_설계내역서1월7일_1차 기성 내역서 0612023" xfId="1377"/>
    <cellStyle name="1_tree_원가계산서_총괄갑지_설계내역서1월7일_3차네고견적(061017-1)" xfId="1378"/>
    <cellStyle name="1_tree_원가계산서_총괄갑지_설계내역서1월7일_백화점화장실인테리어" xfId="1379"/>
    <cellStyle name="1_tree_원가계산서_총괄갑지_설계내역서1월7일_백화점화장실인테리어_1차 기성 내역서 0612023" xfId="1380"/>
    <cellStyle name="1_tree_원가계산서_총괄갑지_설계내역서1월7일_백화점화장실인테리어_3차네고견적(061017-1)" xfId="1381"/>
    <cellStyle name="1_tree_원가계산서_총괄갑지_설계내역서1월7일_화명조경" xfId="1382"/>
    <cellStyle name="1_tree_원가계산서_총괄갑지_설계내역서1월7일_화명조경_1차 기성 내역서 0612023" xfId="1383"/>
    <cellStyle name="1_tree_원가계산서_총괄갑지_설계내역서1월7일_화명조경_3차네고견적(061017-1)" xfId="1384"/>
    <cellStyle name="1_tree_원가계산서_총괄갑지_설계내역서1월7일_화명조경_백화점화장실인테리어" xfId="1385"/>
    <cellStyle name="1_tree_원가계산서_총괄갑지_설계내역서1월7일_화명조경_백화점화장실인테리어_1차 기성 내역서 0612023" xfId="1386"/>
    <cellStyle name="1_tree_원가계산서_총괄갑지_설계내역서1월7일_화명조경_백화점화장실인테리어_3차네고견적(061017-1)" xfId="1387"/>
    <cellStyle name="1_tree_원가계산서_총괄갑지_화명조경" xfId="1388"/>
    <cellStyle name="1_tree_원가계산서_총괄갑지_화명조경_1차 기성 내역서 0612023" xfId="1389"/>
    <cellStyle name="1_tree_원가계산서_총괄갑지_화명조경_3차네고견적(061017-1)" xfId="1390"/>
    <cellStyle name="1_tree_원가계산서_총괄갑지_화명조경_백화점화장실인테리어" xfId="1391"/>
    <cellStyle name="1_tree_원가계산서_총괄갑지_화명조경_백화점화장실인테리어_1차 기성 내역서 0612023" xfId="1392"/>
    <cellStyle name="1_tree_원가계산서_총괄갑지_화명조경_백화점화장실인테리어_3차네고견적(061017-1)" xfId="1393"/>
    <cellStyle name="1_tree_원가계산서_총괄내역서" xfId="1394"/>
    <cellStyle name="1_tree_원가계산서_총괄내역서_1차 기성 내역서 0612023" xfId="1395"/>
    <cellStyle name="1_tree_원가계산서_총괄내역서_3차네고견적(061017-1)" xfId="1396"/>
    <cellStyle name="1_tree_원가계산서_총괄내역서_백화점화장실인테리어" xfId="1397"/>
    <cellStyle name="1_tree_원가계산서_총괄내역서_백화점화장실인테리어_1차 기성 내역서 0612023" xfId="1398"/>
    <cellStyle name="1_tree_원가계산서_총괄내역서_백화점화장실인테리어_3차네고견적(061017-1)" xfId="1399"/>
    <cellStyle name="1_tree_원가계산서_총괄내역서_설계내역서" xfId="1400"/>
    <cellStyle name="1_tree_원가계산서_총괄내역서_설계내역서_1차 기성 내역서 0612023" xfId="1401"/>
    <cellStyle name="1_tree_원가계산서_총괄내역서_설계내역서_3차네고견적(061017-1)" xfId="1402"/>
    <cellStyle name="1_tree_원가계산서_총괄내역서_설계내역서_백화점화장실인테리어" xfId="1403"/>
    <cellStyle name="1_tree_원가계산서_총괄내역서_설계내역서_백화점화장실인테리어_1차 기성 내역서 0612023" xfId="1404"/>
    <cellStyle name="1_tree_원가계산서_총괄내역서_설계내역서_백화점화장실인테리어_3차네고견적(061017-1)" xfId="1405"/>
    <cellStyle name="1_tree_원가계산서_총괄내역서_설계내역서_화명조경" xfId="1406"/>
    <cellStyle name="1_tree_원가계산서_총괄내역서_설계내역서_화명조경_1차 기성 내역서 0612023" xfId="1407"/>
    <cellStyle name="1_tree_원가계산서_총괄내역서_설계내역서_화명조경_3차네고견적(061017-1)" xfId="1408"/>
    <cellStyle name="1_tree_원가계산서_총괄내역서_설계내역서_화명조경_백화점화장실인테리어" xfId="1409"/>
    <cellStyle name="1_tree_원가계산서_총괄내역서_설계내역서_화명조경_백화점화장실인테리어_1차 기성 내역서 0612023" xfId="1410"/>
    <cellStyle name="1_tree_원가계산서_총괄내역서_설계내역서_화명조경_백화점화장실인테리어_3차네고견적(061017-1)" xfId="1411"/>
    <cellStyle name="1_tree_원가계산서_총괄내역서_설계내역서1월7일" xfId="1412"/>
    <cellStyle name="1_tree_원가계산서_총괄내역서_설계내역서1월7일_1차 기성 내역서 0612023" xfId="1413"/>
    <cellStyle name="1_tree_원가계산서_총괄내역서_설계내역서1월7일_3차네고견적(061017-1)" xfId="1414"/>
    <cellStyle name="1_tree_원가계산서_총괄내역서_설계내역서1월7일_백화점화장실인테리어" xfId="1415"/>
    <cellStyle name="1_tree_원가계산서_총괄내역서_설계내역서1월7일_백화점화장실인테리어_1차 기성 내역서 0612023" xfId="1416"/>
    <cellStyle name="1_tree_원가계산서_총괄내역서_설계내역서1월7일_백화점화장실인테리어_3차네고견적(061017-1)" xfId="1417"/>
    <cellStyle name="1_tree_원가계산서_총괄내역서_설계내역서1월7일_화명조경" xfId="1418"/>
    <cellStyle name="1_tree_원가계산서_총괄내역서_설계내역서1월7일_화명조경_1차 기성 내역서 0612023" xfId="1419"/>
    <cellStyle name="1_tree_원가계산서_총괄내역서_설계내역서1월7일_화명조경_3차네고견적(061017-1)" xfId="1420"/>
    <cellStyle name="1_tree_원가계산서_총괄내역서_설계내역서1월7일_화명조경_백화점화장실인테리어" xfId="1421"/>
    <cellStyle name="1_tree_원가계산서_총괄내역서_설계내역서1월7일_화명조경_백화점화장실인테리어_1차 기성 내역서 0612023" xfId="1422"/>
    <cellStyle name="1_tree_원가계산서_총괄내역서_설계내역서1월7일_화명조경_백화점화장실인테리어_3차네고견적(061017-1)" xfId="1423"/>
    <cellStyle name="1_tree_원가계산서_총괄내역서_화명조경" xfId="1424"/>
    <cellStyle name="1_tree_원가계산서_총괄내역서_화명조경_1차 기성 내역서 0612023" xfId="1425"/>
    <cellStyle name="1_tree_원가계산서_총괄내역서_화명조경_3차네고견적(061017-1)" xfId="1426"/>
    <cellStyle name="1_tree_원가계산서_총괄내역서_화명조경_백화점화장실인테리어" xfId="1427"/>
    <cellStyle name="1_tree_원가계산서_총괄내역서_화명조경_백화점화장실인테리어_1차 기성 내역서 0612023" xfId="1428"/>
    <cellStyle name="1_tree_원가계산서_총괄내역서_화명조경_백화점화장실인테리어_3차네고견적(061017-1)" xfId="1429"/>
    <cellStyle name="1_tree_원가계산서_화명조경" xfId="1430"/>
    <cellStyle name="1_tree_원가계산서_화명조경_1차 기성 내역서 0612023" xfId="1431"/>
    <cellStyle name="1_tree_원가계산서_화명조경_3차네고견적(061017-1)" xfId="1432"/>
    <cellStyle name="1_tree_원가계산서_화명조경_백화점화장실인테리어" xfId="1433"/>
    <cellStyle name="1_tree_원가계산서_화명조경_백화점화장실인테리어_1차 기성 내역서 0612023" xfId="1434"/>
    <cellStyle name="1_tree_원가계산서_화명조경_백화점화장실인테리어_3차네고견적(061017-1)" xfId="1435"/>
    <cellStyle name="1_tree_은파수량집계" xfId="1436"/>
    <cellStyle name="1_tree_은파수량집계_1차 기성 내역서 0612023" xfId="1437"/>
    <cellStyle name="1_tree_은파수량집계_3차네고견적(061017-1)" xfId="1438"/>
    <cellStyle name="1_tree_은파수량집계_백화점화장실인테리어" xfId="1439"/>
    <cellStyle name="1_tree_은파수량집계_백화점화장실인테리어_1차 기성 내역서 0612023" xfId="1440"/>
    <cellStyle name="1_tree_은파수량집계_백화점화장실인테리어_3차네고견적(061017-1)" xfId="1441"/>
    <cellStyle name="1_tree_은파수량집계_설계내역서" xfId="1442"/>
    <cellStyle name="1_tree_은파수량집계_설계내역서_1차 기성 내역서 0612023" xfId="1443"/>
    <cellStyle name="1_tree_은파수량집계_설계내역서_3차네고견적(061017-1)" xfId="1444"/>
    <cellStyle name="1_tree_은파수량집계_설계내역서_백화점화장실인테리어" xfId="1445"/>
    <cellStyle name="1_tree_은파수량집계_설계내역서_백화점화장실인테리어_1차 기성 내역서 0612023" xfId="1446"/>
    <cellStyle name="1_tree_은파수량집계_설계내역서_백화점화장실인테리어_3차네고견적(061017-1)" xfId="1447"/>
    <cellStyle name="1_tree_은파수량집계_설계내역서_화명조경" xfId="1448"/>
    <cellStyle name="1_tree_은파수량집계_설계내역서_화명조경_1차 기성 내역서 0612023" xfId="1449"/>
    <cellStyle name="1_tree_은파수량집계_설계내역서_화명조경_3차네고견적(061017-1)" xfId="1450"/>
    <cellStyle name="1_tree_은파수량집계_설계내역서_화명조경_백화점화장실인테리어" xfId="1451"/>
    <cellStyle name="1_tree_은파수량집계_설계내역서_화명조경_백화점화장실인테리어_1차 기성 내역서 0612023" xfId="1452"/>
    <cellStyle name="1_tree_은파수량집계_설계내역서_화명조경_백화점화장실인테리어_3차네고견적(061017-1)" xfId="1453"/>
    <cellStyle name="1_tree_은파수량집계_설계내역서1월7일" xfId="1454"/>
    <cellStyle name="1_tree_은파수량집계_설계내역서1월7일_1차 기성 내역서 0612023" xfId="1455"/>
    <cellStyle name="1_tree_은파수량집계_설계내역서1월7일_3차네고견적(061017-1)" xfId="1456"/>
    <cellStyle name="1_tree_은파수량집계_설계내역서1월7일_백화점화장실인테리어" xfId="1457"/>
    <cellStyle name="1_tree_은파수량집계_설계내역서1월7일_백화점화장실인테리어_1차 기성 내역서 0612023" xfId="1458"/>
    <cellStyle name="1_tree_은파수량집계_설계내역서1월7일_백화점화장실인테리어_3차네고견적(061017-1)" xfId="1459"/>
    <cellStyle name="1_tree_은파수량집계_설계내역서1월7일_화명조경" xfId="1460"/>
    <cellStyle name="1_tree_은파수량집계_설계내역서1월7일_화명조경_1차 기성 내역서 0612023" xfId="1461"/>
    <cellStyle name="1_tree_은파수량집계_설계내역서1월7일_화명조경_3차네고견적(061017-1)" xfId="1462"/>
    <cellStyle name="1_tree_은파수량집계_설계내역서1월7일_화명조경_백화점화장실인테리어" xfId="1463"/>
    <cellStyle name="1_tree_은파수량집계_설계내역서1월7일_화명조경_백화점화장실인테리어_1차 기성 내역서 0612023" xfId="1464"/>
    <cellStyle name="1_tree_은파수량집계_설계내역서1월7일_화명조경_백화점화장실인테리어_3차네고견적(061017-1)" xfId="1465"/>
    <cellStyle name="1_tree_은파수량집계_화명조경" xfId="1466"/>
    <cellStyle name="1_tree_은파수량집계_화명조경_1차 기성 내역서 0612023" xfId="1467"/>
    <cellStyle name="1_tree_은파수량집계_화명조경_3차네고견적(061017-1)" xfId="1468"/>
    <cellStyle name="1_tree_은파수량집계_화명조경_백화점화장실인테리어" xfId="1469"/>
    <cellStyle name="1_tree_은파수량집계_화명조경_백화점화장실인테리어_1차 기성 내역서 0612023" xfId="1470"/>
    <cellStyle name="1_tree_은파수량집계_화명조경_백화점화장실인테리어_3차네고견적(061017-1)" xfId="1471"/>
    <cellStyle name="1_tree_터미널1-0" xfId="1472"/>
    <cellStyle name="1_tree_터미널1-0_1" xfId="1473"/>
    <cellStyle name="1_tree_터미널1-0_1_1차 기성 내역서 0612023" xfId="1474"/>
    <cellStyle name="1_tree_터미널1-0_1_3차네고견적(061017-1)" xfId="1475"/>
    <cellStyle name="1_tree_터미널1-0_1_백화점화장실인테리어" xfId="1476"/>
    <cellStyle name="1_tree_터미널1-0_1_백화점화장실인테리어_1차 기성 내역서 0612023" xfId="1477"/>
    <cellStyle name="1_tree_터미널1-0_1_백화점화장실인테리어_3차네고견적(061017-1)" xfId="1478"/>
    <cellStyle name="1_tree_터미널1-0_1_화명조경" xfId="1479"/>
    <cellStyle name="1_tree_터미널1-0_1_화명조경_1차 기성 내역서 0612023" xfId="1480"/>
    <cellStyle name="1_tree_터미널1-0_1_화명조경_3차네고견적(061017-1)" xfId="1481"/>
    <cellStyle name="1_tree_터미널1-0_1_화명조경_백화점화장실인테리어" xfId="1482"/>
    <cellStyle name="1_tree_터미널1-0_1_화명조경_백화점화장실인테리어_1차 기성 내역서 0612023" xfId="1483"/>
    <cellStyle name="1_tree_터미널1-0_1_화명조경_백화점화장실인테리어_3차네고견적(061017-1)" xfId="1484"/>
    <cellStyle name="1_tree_터미널1-0_1차 기성 내역서 0612023" xfId="1485"/>
    <cellStyle name="1_tree_터미널1-0_3차네고견적(061017-1)" xfId="1486"/>
    <cellStyle name="1_tree_터미널1-0_백화점화장실인테리어" xfId="1487"/>
    <cellStyle name="1_tree_터미널1-0_백화점화장실인테리어_1차 기성 내역서 0612023" xfId="1488"/>
    <cellStyle name="1_tree_터미널1-0_백화점화장실인테리어_3차네고견적(061017-1)" xfId="1489"/>
    <cellStyle name="1_tree_터미널1-0_설계내역서" xfId="1490"/>
    <cellStyle name="1_tree_터미널1-0_설계내역서_1차 기성 내역서 0612023" xfId="1491"/>
    <cellStyle name="1_tree_터미널1-0_설계내역서_3차네고견적(061017-1)" xfId="1492"/>
    <cellStyle name="1_tree_터미널1-0_설계내역서_백화점화장실인테리어" xfId="1493"/>
    <cellStyle name="1_tree_터미널1-0_설계내역서_백화점화장실인테리어_1차 기성 내역서 0612023" xfId="1494"/>
    <cellStyle name="1_tree_터미널1-0_설계내역서_백화점화장실인테리어_3차네고견적(061017-1)" xfId="1495"/>
    <cellStyle name="1_tree_터미널1-0_설계내역서_화명조경" xfId="1496"/>
    <cellStyle name="1_tree_터미널1-0_설계내역서_화명조경_1차 기성 내역서 0612023" xfId="1497"/>
    <cellStyle name="1_tree_터미널1-0_설계내역서_화명조경_3차네고견적(061017-1)" xfId="1498"/>
    <cellStyle name="1_tree_터미널1-0_설계내역서_화명조경_백화점화장실인테리어" xfId="1499"/>
    <cellStyle name="1_tree_터미널1-0_설계내역서_화명조경_백화점화장실인테리어_1차 기성 내역서 0612023" xfId="1500"/>
    <cellStyle name="1_tree_터미널1-0_설계내역서_화명조경_백화점화장실인테리어_3차네고견적(061017-1)" xfId="1501"/>
    <cellStyle name="1_tree_터미널1-0_설계내역서1월7일" xfId="1502"/>
    <cellStyle name="1_tree_터미널1-0_설계내역서1월7일_1차 기성 내역서 0612023" xfId="1503"/>
    <cellStyle name="1_tree_터미널1-0_설계내역서1월7일_3차네고견적(061017-1)" xfId="1504"/>
    <cellStyle name="1_tree_터미널1-0_설계내역서1월7일_백화점화장실인테리어" xfId="1505"/>
    <cellStyle name="1_tree_터미널1-0_설계내역서1월7일_백화점화장실인테리어_1차 기성 내역서 0612023" xfId="1506"/>
    <cellStyle name="1_tree_터미널1-0_설계내역서1월7일_백화점화장실인테리어_3차네고견적(061017-1)" xfId="1507"/>
    <cellStyle name="1_tree_터미널1-0_설계내역서1월7일_화명조경" xfId="1508"/>
    <cellStyle name="1_tree_터미널1-0_설계내역서1월7일_화명조경_1차 기성 내역서 0612023" xfId="1509"/>
    <cellStyle name="1_tree_터미널1-0_설계내역서1월7일_화명조경_3차네고견적(061017-1)" xfId="1510"/>
    <cellStyle name="1_tree_터미널1-0_설계내역서1월7일_화명조경_백화점화장실인테리어" xfId="1511"/>
    <cellStyle name="1_tree_터미널1-0_설계내역서1월7일_화명조경_백화점화장실인테리어_1차 기성 내역서 0612023" xfId="1512"/>
    <cellStyle name="1_tree_터미널1-0_설계내역서1월7일_화명조경_백화점화장실인테리어_3차네고견적(061017-1)" xfId="1513"/>
    <cellStyle name="1_tree_터미널1-0_쌍용수량0905" xfId="1514"/>
    <cellStyle name="1_tree_터미널1-0_쌍용수량0905_1차 기성 내역서 0612023" xfId="1515"/>
    <cellStyle name="1_tree_터미널1-0_쌍용수량0905_3차네고견적(061017-1)" xfId="1516"/>
    <cellStyle name="1_tree_터미널1-0_쌍용수량0905_백화점화장실인테리어" xfId="1517"/>
    <cellStyle name="1_tree_터미널1-0_쌍용수량0905_백화점화장실인테리어_1차 기성 내역서 0612023" xfId="1518"/>
    <cellStyle name="1_tree_터미널1-0_쌍용수량0905_백화점화장실인테리어_3차네고견적(061017-1)" xfId="1519"/>
    <cellStyle name="1_tree_터미널1-0_쌍용수량0905_설계내역서" xfId="1520"/>
    <cellStyle name="1_tree_터미널1-0_쌍용수량0905_설계내역서_1차 기성 내역서 0612023" xfId="1521"/>
    <cellStyle name="1_tree_터미널1-0_쌍용수량0905_설계내역서_3차네고견적(061017-1)" xfId="1522"/>
    <cellStyle name="1_tree_터미널1-0_쌍용수량0905_설계내역서_백화점화장실인테리어" xfId="1523"/>
    <cellStyle name="1_tree_터미널1-0_쌍용수량0905_설계내역서_백화점화장실인테리어_1차 기성 내역서 0612023" xfId="1524"/>
    <cellStyle name="1_tree_터미널1-0_쌍용수량0905_설계내역서_백화점화장실인테리어_3차네고견적(061017-1)" xfId="1525"/>
    <cellStyle name="1_tree_터미널1-0_쌍용수량0905_설계내역서_화명조경" xfId="1526"/>
    <cellStyle name="1_tree_터미널1-0_쌍용수량0905_설계내역서_화명조경_1차 기성 내역서 0612023" xfId="1527"/>
    <cellStyle name="1_tree_터미널1-0_쌍용수량0905_설계내역서_화명조경_3차네고견적(061017-1)" xfId="1528"/>
    <cellStyle name="1_tree_터미널1-0_쌍용수량0905_설계내역서_화명조경_백화점화장실인테리어" xfId="1529"/>
    <cellStyle name="1_tree_터미널1-0_쌍용수량0905_설계내역서_화명조경_백화점화장실인테리어_1차 기성 내역서 0612023" xfId="1530"/>
    <cellStyle name="1_tree_터미널1-0_쌍용수량0905_설계내역서_화명조경_백화점화장실인테리어_3차네고견적(061017-1)" xfId="1531"/>
    <cellStyle name="1_tree_터미널1-0_쌍용수량0905_설계내역서1월7일" xfId="1532"/>
    <cellStyle name="1_tree_터미널1-0_쌍용수량0905_설계내역서1월7일_1차 기성 내역서 0612023" xfId="1533"/>
    <cellStyle name="1_tree_터미널1-0_쌍용수량0905_설계내역서1월7일_3차네고견적(061017-1)" xfId="1534"/>
    <cellStyle name="1_tree_터미널1-0_쌍용수량0905_설계내역서1월7일_백화점화장실인테리어" xfId="1535"/>
    <cellStyle name="1_tree_터미널1-0_쌍용수량0905_설계내역서1월7일_백화점화장실인테리어_1차 기성 내역서 0612023" xfId="1536"/>
    <cellStyle name="1_tree_터미널1-0_쌍용수량0905_설계내역서1월7일_백화점화장실인테리어_3차네고견적(061017-1)" xfId="1537"/>
    <cellStyle name="1_tree_터미널1-0_쌍용수량0905_설계내역서1월7일_화명조경" xfId="1538"/>
    <cellStyle name="1_tree_터미널1-0_쌍용수량0905_설계내역서1월7일_화명조경_1차 기성 내역서 0612023" xfId="1539"/>
    <cellStyle name="1_tree_터미널1-0_쌍용수량0905_설계내역서1월7일_화명조경_3차네고견적(061017-1)" xfId="1540"/>
    <cellStyle name="1_tree_터미널1-0_쌍용수량0905_설계내역서1월7일_화명조경_백화점화장실인테리어" xfId="1541"/>
    <cellStyle name="1_tree_터미널1-0_쌍용수량0905_설계내역서1월7일_화명조경_백화점화장실인테리어_1차 기성 내역서 0612023" xfId="1542"/>
    <cellStyle name="1_tree_터미널1-0_쌍용수량0905_설계내역서1월7일_화명조경_백화점화장실인테리어_3차네고견적(061017-1)" xfId="1543"/>
    <cellStyle name="1_tree_터미널1-0_쌍용수량0905_화명조경" xfId="1544"/>
    <cellStyle name="1_tree_터미널1-0_쌍용수량0905_화명조경_1차 기성 내역서 0612023" xfId="1545"/>
    <cellStyle name="1_tree_터미널1-0_쌍용수량0905_화명조경_3차네고견적(061017-1)" xfId="1546"/>
    <cellStyle name="1_tree_터미널1-0_쌍용수량0905_화명조경_백화점화장실인테리어" xfId="1547"/>
    <cellStyle name="1_tree_터미널1-0_쌍용수량0905_화명조경_백화점화장실인테리어_1차 기성 내역서 0612023" xfId="1548"/>
    <cellStyle name="1_tree_터미널1-0_쌍용수량0905_화명조경_백화점화장실인테리어_3차네고견적(061017-1)" xfId="1549"/>
    <cellStyle name="1_tree_터미널1-0_화명조경" xfId="1550"/>
    <cellStyle name="1_tree_터미널1-0_화명조경_1차 기성 내역서 0612023" xfId="1551"/>
    <cellStyle name="1_tree_터미널1-0_화명조경_3차네고견적(061017-1)" xfId="1552"/>
    <cellStyle name="1_tree_터미널1-0_화명조경_백화점화장실인테리어" xfId="1553"/>
    <cellStyle name="1_tree_터미널1-0_화명조경_백화점화장실인테리어_1차 기성 내역서 0612023" xfId="1554"/>
    <cellStyle name="1_tree_터미널1-0_화명조경_백화점화장실인테리어_3차네고견적(061017-1)" xfId="1555"/>
    <cellStyle name="1_tree_한풍집계" xfId="1556"/>
    <cellStyle name="1_tree_한풍집계_1차 기성 내역서 0612023" xfId="1557"/>
    <cellStyle name="1_tree_한풍집계_3차네고견적(061017-1)" xfId="1558"/>
    <cellStyle name="1_tree_한풍집계_갑지0601" xfId="1559"/>
    <cellStyle name="1_tree_한풍집계_갑지0601_00갑지" xfId="1560"/>
    <cellStyle name="1_tree_한풍집계_갑지0601_00갑지_1차 기성 내역서 0612023" xfId="1561"/>
    <cellStyle name="1_tree_한풍집계_갑지0601_00갑지_3차네고견적(061017-1)" xfId="1562"/>
    <cellStyle name="1_tree_한풍집계_갑지0601_00갑지_백화점화장실인테리어" xfId="1563"/>
    <cellStyle name="1_tree_한풍집계_갑지0601_00갑지_백화점화장실인테리어_1차 기성 내역서 0612023" xfId="1564"/>
    <cellStyle name="1_tree_한풍집계_갑지0601_00갑지_백화점화장실인테리어_3차네고견적(061017-1)" xfId="1565"/>
    <cellStyle name="1_tree_한풍집계_갑지0601_00갑지_설계내역서" xfId="1566"/>
    <cellStyle name="1_tree_한풍집계_갑지0601_00갑지_설계내역서_1차 기성 내역서 0612023" xfId="1567"/>
    <cellStyle name="1_tree_한풍집계_갑지0601_00갑지_설계내역서_3차네고견적(061017-1)" xfId="1568"/>
    <cellStyle name="1_tree_한풍집계_갑지0601_00갑지_설계내역서_백화점화장실인테리어" xfId="1569"/>
    <cellStyle name="1_tree_한풍집계_갑지0601_00갑지_설계내역서_백화점화장실인테리어_1차 기성 내역서 0612023" xfId="1570"/>
    <cellStyle name="1_tree_한풍집계_갑지0601_00갑지_설계내역서_백화점화장실인테리어_3차네고견적(061017-1)" xfId="1571"/>
    <cellStyle name="1_tree_한풍집계_갑지0601_00갑지_설계내역서_화명조경" xfId="1572"/>
    <cellStyle name="1_tree_한풍집계_갑지0601_00갑지_설계내역서_화명조경_1차 기성 내역서 0612023" xfId="1573"/>
    <cellStyle name="1_tree_한풍집계_갑지0601_00갑지_설계내역서_화명조경_3차네고견적(061017-1)" xfId="1574"/>
    <cellStyle name="1_tree_한풍집계_갑지0601_00갑지_설계내역서_화명조경_백화점화장실인테리어" xfId="1575"/>
    <cellStyle name="1_tree_한풍집계_갑지0601_00갑지_설계내역서_화명조경_백화점화장실인테리어_1차 기성 내역서 0612023" xfId="1576"/>
    <cellStyle name="1_tree_한풍집계_갑지0601_00갑지_설계내역서_화명조경_백화점화장실인테리어_3차네고견적(061017-1)" xfId="1577"/>
    <cellStyle name="1_tree_한풍집계_갑지0601_00갑지_설계내역서1월7일" xfId="1578"/>
    <cellStyle name="1_tree_한풍집계_갑지0601_00갑지_설계내역서1월7일_1차 기성 내역서 0612023" xfId="1579"/>
    <cellStyle name="1_tree_한풍집계_갑지0601_00갑지_설계내역서1월7일_3차네고견적(061017-1)" xfId="1580"/>
    <cellStyle name="1_tree_한풍집계_갑지0601_00갑지_설계내역서1월7일_백화점화장실인테리어" xfId="1581"/>
    <cellStyle name="1_tree_한풍집계_갑지0601_00갑지_설계내역서1월7일_백화점화장실인테리어_1차 기성 내역서 0612023" xfId="1582"/>
    <cellStyle name="1_tree_한풍집계_갑지0601_00갑지_설계내역서1월7일_백화점화장실인테리어_3차네고견적(061017-1)" xfId="1583"/>
    <cellStyle name="1_tree_한풍집계_갑지0601_00갑지_설계내역서1월7일_화명조경" xfId="1584"/>
    <cellStyle name="1_tree_한풍집계_갑지0601_00갑지_설계내역서1월7일_화명조경_1차 기성 내역서 0612023" xfId="1585"/>
    <cellStyle name="1_tree_한풍집계_갑지0601_00갑지_설계내역서1월7일_화명조경_3차네고견적(061017-1)" xfId="1586"/>
    <cellStyle name="1_tree_한풍집계_갑지0601_00갑지_설계내역서1월7일_화명조경_백화점화장실인테리어" xfId="1587"/>
    <cellStyle name="1_tree_한풍집계_갑지0601_00갑지_설계내역서1월7일_화명조경_백화점화장실인테리어_1차 기성 내역서 0612023" xfId="1588"/>
    <cellStyle name="1_tree_한풍집계_갑지0601_00갑지_설계내역서1월7일_화명조경_백화점화장실인테리어_3차네고견적(061017-1)" xfId="1589"/>
    <cellStyle name="1_tree_한풍집계_갑지0601_00갑지_화명조경" xfId="1590"/>
    <cellStyle name="1_tree_한풍집계_갑지0601_00갑지_화명조경_1차 기성 내역서 0612023" xfId="1591"/>
    <cellStyle name="1_tree_한풍집계_갑지0601_00갑지_화명조경_3차네고견적(061017-1)" xfId="1592"/>
    <cellStyle name="1_tree_한풍집계_갑지0601_00갑지_화명조경_백화점화장실인테리어" xfId="1593"/>
    <cellStyle name="1_tree_한풍집계_갑지0601_00갑지_화명조경_백화점화장실인테리어_1차 기성 내역서 0612023" xfId="1594"/>
    <cellStyle name="1_tree_한풍집계_갑지0601_00갑지_화명조경_백화점화장실인테리어_3차네고견적(061017-1)" xfId="1595"/>
    <cellStyle name="1_tree_한풍집계_갑지0601_1차 기성 내역서 0612023" xfId="1596"/>
    <cellStyle name="1_tree_한풍집계_갑지0601_3차네고견적(061017-1)" xfId="1597"/>
    <cellStyle name="1_tree_한풍집계_갑지0601_과천놀이터설계서" xfId="1598"/>
    <cellStyle name="1_tree_한풍집계_갑지0601_과천놀이터설계서_1차 기성 내역서 0612023" xfId="1599"/>
    <cellStyle name="1_tree_한풍집계_갑지0601_과천놀이터설계서_3차네고견적(061017-1)" xfId="1600"/>
    <cellStyle name="1_tree_한풍집계_갑지0601_과천놀이터설계서_백화점화장실인테리어" xfId="1601"/>
    <cellStyle name="1_tree_한풍집계_갑지0601_과천놀이터설계서_백화점화장실인테리어_1차 기성 내역서 0612023" xfId="1602"/>
    <cellStyle name="1_tree_한풍집계_갑지0601_과천놀이터설계서_백화점화장실인테리어_3차네고견적(061017-1)" xfId="1603"/>
    <cellStyle name="1_tree_한풍집계_갑지0601_과천놀이터설계서_설계내역서" xfId="1604"/>
    <cellStyle name="1_tree_한풍집계_갑지0601_과천놀이터설계서_설계내역서_1차 기성 내역서 0612023" xfId="1605"/>
    <cellStyle name="1_tree_한풍집계_갑지0601_과천놀이터설계서_설계내역서_3차네고견적(061017-1)" xfId="1606"/>
    <cellStyle name="1_tree_한풍집계_갑지0601_과천놀이터설계서_설계내역서_백화점화장실인테리어" xfId="1607"/>
    <cellStyle name="1_tree_한풍집계_갑지0601_과천놀이터설계서_설계내역서_백화점화장실인테리어_1차 기성 내역서 0612023" xfId="1608"/>
    <cellStyle name="1_tree_한풍집계_갑지0601_과천놀이터설계서_설계내역서_백화점화장실인테리어_3차네고견적(061017-1)" xfId="1609"/>
    <cellStyle name="1_tree_한풍집계_갑지0601_과천놀이터설계서_설계내역서_화명조경" xfId="1610"/>
    <cellStyle name="1_tree_한풍집계_갑지0601_과천놀이터설계서_설계내역서_화명조경_1차 기성 내역서 0612023" xfId="1611"/>
    <cellStyle name="1_tree_한풍집계_갑지0601_과천놀이터설계서_설계내역서_화명조경_3차네고견적(061017-1)" xfId="1612"/>
    <cellStyle name="1_tree_한풍집계_갑지0601_과천놀이터설계서_설계내역서_화명조경_백화점화장실인테리어" xfId="1613"/>
    <cellStyle name="1_tree_한풍집계_갑지0601_과천놀이터설계서_설계내역서_화명조경_백화점화장실인테리어_1차 기성 내역서 0612023" xfId="1614"/>
    <cellStyle name="1_tree_한풍집계_갑지0601_과천놀이터설계서_설계내역서_화명조경_백화점화장실인테리어_3차네고견적(061017-1)" xfId="1615"/>
    <cellStyle name="1_tree_한풍집계_갑지0601_과천놀이터설계서_설계내역서1월7일" xfId="1616"/>
    <cellStyle name="1_tree_한풍집계_갑지0601_과천놀이터설계서_설계내역서1월7일_1차 기성 내역서 0612023" xfId="1617"/>
    <cellStyle name="1_tree_한풍집계_갑지0601_과천놀이터설계서_설계내역서1월7일_3차네고견적(061017-1)" xfId="1618"/>
    <cellStyle name="1_tree_한풍집계_갑지0601_과천놀이터설계서_설계내역서1월7일_백화점화장실인테리어" xfId="1619"/>
    <cellStyle name="1_tree_한풍집계_갑지0601_과천놀이터설계서_설계내역서1월7일_백화점화장실인테리어_1차 기성 내역서 0612023" xfId="1620"/>
    <cellStyle name="1_tree_한풍집계_갑지0601_과천놀이터설계서_설계내역서1월7일_백화점화장실인테리어_3차네고견적(061017-1)" xfId="1621"/>
    <cellStyle name="1_tree_한풍집계_갑지0601_과천놀이터설계서_설계내역서1월7일_화명조경" xfId="1622"/>
    <cellStyle name="1_tree_한풍집계_갑지0601_과천놀이터설계서_설계내역서1월7일_화명조경_1차 기성 내역서 0612023" xfId="1623"/>
    <cellStyle name="1_tree_한풍집계_갑지0601_과천놀이터설계서_설계내역서1월7일_화명조경_3차네고견적(061017-1)" xfId="1624"/>
    <cellStyle name="1_tree_한풍집계_갑지0601_과천놀이터설계서_설계내역서1월7일_화명조경_백화점화장실인테리어" xfId="1625"/>
    <cellStyle name="1_tree_한풍집계_갑지0601_과천놀이터설계서_설계내역서1월7일_화명조경_백화점화장실인테리어_1차 기성 내역서 0612023" xfId="1626"/>
    <cellStyle name="1_tree_한풍집계_갑지0601_과천놀이터설계서_설계내역서1월7일_화명조경_백화점화장실인테리어_3차네고견적(061017-1)" xfId="1627"/>
    <cellStyle name="1_tree_한풍집계_갑지0601_과천놀이터설계서_화명조경" xfId="1628"/>
    <cellStyle name="1_tree_한풍집계_갑지0601_과천놀이터설계서_화명조경_1차 기성 내역서 0612023" xfId="1629"/>
    <cellStyle name="1_tree_한풍집계_갑지0601_과천놀이터설계서_화명조경_3차네고견적(061017-1)" xfId="1630"/>
    <cellStyle name="1_tree_한풍집계_갑지0601_과천놀이터설계서_화명조경_백화점화장실인테리어" xfId="1631"/>
    <cellStyle name="1_tree_한풍집계_갑지0601_과천놀이터설계서_화명조경_백화점화장실인테리어_1차 기성 내역서 0612023" xfId="1632"/>
    <cellStyle name="1_tree_한풍집계_갑지0601_과천놀이터설계서_화명조경_백화점화장실인테리어_3차네고견적(061017-1)" xfId="1633"/>
    <cellStyle name="1_tree_한풍집계_갑지0601_백화점화장실인테리어" xfId="1634"/>
    <cellStyle name="1_tree_한풍집계_갑지0601_백화점화장실인테리어_1차 기성 내역서 0612023" xfId="1635"/>
    <cellStyle name="1_tree_한풍집계_갑지0601_백화점화장실인테리어_3차네고견적(061017-1)" xfId="1636"/>
    <cellStyle name="1_tree_한풍집계_갑지0601_총괄갑지" xfId="1637"/>
    <cellStyle name="1_tree_한풍집계_갑지0601_총괄갑지_1차 기성 내역서 0612023" xfId="1638"/>
    <cellStyle name="1_tree_한풍집계_갑지0601_총괄갑지_3차네고견적(061017-1)" xfId="1639"/>
    <cellStyle name="1_tree_한풍집계_갑지0601_총괄갑지_백화점화장실인테리어" xfId="1640"/>
    <cellStyle name="1_tree_한풍집계_갑지0601_총괄갑지_백화점화장실인테리어_1차 기성 내역서 0612023" xfId="1641"/>
    <cellStyle name="1_tree_한풍집계_갑지0601_총괄갑지_백화점화장실인테리어_3차네고견적(061017-1)" xfId="1642"/>
    <cellStyle name="1_tree_한풍집계_갑지0601_총괄갑지_설계내역서" xfId="1643"/>
    <cellStyle name="1_tree_한풍집계_갑지0601_총괄갑지_설계내역서_1차 기성 내역서 0612023" xfId="1644"/>
    <cellStyle name="1_tree_한풍집계_갑지0601_총괄갑지_설계내역서_3차네고견적(061017-1)" xfId="1645"/>
    <cellStyle name="1_tree_한풍집계_갑지0601_총괄갑지_설계내역서_백화점화장실인테리어" xfId="1646"/>
    <cellStyle name="1_tree_한풍집계_갑지0601_총괄갑지_설계내역서_백화점화장실인테리어_1차 기성 내역서 0612023" xfId="1647"/>
    <cellStyle name="1_tree_한풍집계_갑지0601_총괄갑지_설계내역서_백화점화장실인테리어_3차네고견적(061017-1)" xfId="1648"/>
    <cellStyle name="1_tree_한풍집계_갑지0601_총괄갑지_설계내역서_화명조경" xfId="1649"/>
    <cellStyle name="1_tree_한풍집계_갑지0601_총괄갑지_설계내역서_화명조경_1차 기성 내역서 0612023" xfId="1650"/>
    <cellStyle name="1_tree_한풍집계_갑지0601_총괄갑지_설계내역서_화명조경_3차네고견적(061017-1)" xfId="1651"/>
    <cellStyle name="1_tree_한풍집계_갑지0601_총괄갑지_설계내역서_화명조경_백화점화장실인테리어" xfId="1652"/>
    <cellStyle name="1_tree_한풍집계_갑지0601_총괄갑지_설계내역서_화명조경_백화점화장실인테리어_1차 기성 내역서 0612023" xfId="1653"/>
    <cellStyle name="1_tree_한풍집계_갑지0601_총괄갑지_설계내역서_화명조경_백화점화장실인테리어_3차네고견적(061017-1)" xfId="1654"/>
    <cellStyle name="1_tree_한풍집계_갑지0601_총괄갑지_설계내역서1월7일" xfId="1655"/>
    <cellStyle name="1_tree_한풍집계_갑지0601_총괄갑지_설계내역서1월7일_1차 기성 내역서 0612023" xfId="1656"/>
    <cellStyle name="1_tree_한풍집계_갑지0601_총괄갑지_설계내역서1월7일_3차네고견적(061017-1)" xfId="1657"/>
    <cellStyle name="1_tree_한풍집계_갑지0601_총괄갑지_설계내역서1월7일_백화점화장실인테리어" xfId="1658"/>
    <cellStyle name="1_tree_한풍집계_갑지0601_총괄갑지_설계내역서1월7일_백화점화장실인테리어_1차 기성 내역서 0612023" xfId="1659"/>
    <cellStyle name="1_tree_한풍집계_갑지0601_총괄갑지_설계내역서1월7일_백화점화장실인테리어_3차네고견적(061017-1)" xfId="1660"/>
    <cellStyle name="1_tree_한풍집계_갑지0601_총괄갑지_설계내역서1월7일_화명조경" xfId="1661"/>
    <cellStyle name="1_tree_한풍집계_갑지0601_총괄갑지_설계내역서1월7일_화명조경_1차 기성 내역서 0612023" xfId="1662"/>
    <cellStyle name="1_tree_한풍집계_갑지0601_총괄갑지_설계내역서1월7일_화명조경_3차네고견적(061017-1)" xfId="1663"/>
    <cellStyle name="1_tree_한풍집계_갑지0601_총괄갑지_설계내역서1월7일_화명조경_백화점화장실인테리어" xfId="1664"/>
    <cellStyle name="1_tree_한풍집계_갑지0601_총괄갑지_설계내역서1월7일_화명조경_백화점화장실인테리어_1차 기성 내역서 0612023" xfId="1665"/>
    <cellStyle name="1_tree_한풍집계_갑지0601_총괄갑지_설계내역서1월7일_화명조경_백화점화장실인테리어_3차네고견적(061017-1)" xfId="1666"/>
    <cellStyle name="1_tree_한풍집계_갑지0601_총괄갑지_화명조경" xfId="1667"/>
    <cellStyle name="1_tree_한풍집계_갑지0601_총괄갑지_화명조경_1차 기성 내역서 0612023" xfId="1668"/>
    <cellStyle name="1_tree_한풍집계_갑지0601_총괄갑지_화명조경_3차네고견적(061017-1)" xfId="1669"/>
    <cellStyle name="1_tree_한풍집계_갑지0601_총괄갑지_화명조경_백화점화장실인테리어" xfId="1670"/>
    <cellStyle name="1_tree_한풍집계_갑지0601_총괄갑지_화명조경_백화점화장실인테리어_1차 기성 내역서 0612023" xfId="1671"/>
    <cellStyle name="1_tree_한풍집계_갑지0601_총괄갑지_화명조경_백화점화장실인테리어_3차네고견적(061017-1)" xfId="1672"/>
    <cellStyle name="1_tree_한풍집계_갑지0601_총괄내역서" xfId="1673"/>
    <cellStyle name="1_tree_한풍집계_갑지0601_총괄내역서_1차 기성 내역서 0612023" xfId="1674"/>
    <cellStyle name="1_tree_한풍집계_갑지0601_총괄내역서_3차네고견적(061017-1)" xfId="1675"/>
    <cellStyle name="1_tree_한풍집계_갑지0601_총괄내역서_백화점화장실인테리어" xfId="1676"/>
    <cellStyle name="1_tree_한풍집계_갑지0601_총괄내역서_백화점화장실인테리어_1차 기성 내역서 0612023" xfId="1677"/>
    <cellStyle name="1_tree_한풍집계_갑지0601_총괄내역서_백화점화장실인테리어_3차네고견적(061017-1)" xfId="1678"/>
    <cellStyle name="1_tree_한풍집계_갑지0601_총괄내역서_설계내역서" xfId="1679"/>
    <cellStyle name="1_tree_한풍집계_갑지0601_총괄내역서_설계내역서_1차 기성 내역서 0612023" xfId="1680"/>
    <cellStyle name="1_tree_한풍집계_갑지0601_총괄내역서_설계내역서_3차네고견적(061017-1)" xfId="1681"/>
    <cellStyle name="1_tree_한풍집계_갑지0601_총괄내역서_설계내역서_백화점화장실인테리어" xfId="1682"/>
    <cellStyle name="1_tree_한풍집계_갑지0601_총괄내역서_설계내역서_백화점화장실인테리어_1차 기성 내역서 0612023" xfId="1683"/>
    <cellStyle name="1_tree_한풍집계_갑지0601_총괄내역서_설계내역서_백화점화장실인테리어_3차네고견적(061017-1)" xfId="1684"/>
    <cellStyle name="1_tree_한풍집계_갑지0601_총괄내역서_설계내역서_화명조경" xfId="1685"/>
    <cellStyle name="1_tree_한풍집계_갑지0601_총괄내역서_설계내역서_화명조경_1차 기성 내역서 0612023" xfId="1686"/>
    <cellStyle name="1_tree_한풍집계_갑지0601_총괄내역서_설계내역서_화명조경_3차네고견적(061017-1)" xfId="1687"/>
    <cellStyle name="1_tree_한풍집계_갑지0601_총괄내역서_설계내역서_화명조경_백화점화장실인테리어" xfId="1688"/>
    <cellStyle name="1_tree_한풍집계_갑지0601_총괄내역서_설계내역서_화명조경_백화점화장실인테리어_1차 기성 내역서 0612023" xfId="1689"/>
    <cellStyle name="1_tree_한풍집계_갑지0601_총괄내역서_설계내역서_화명조경_백화점화장실인테리어_3차네고견적(061017-1)" xfId="1690"/>
    <cellStyle name="1_tree_한풍집계_갑지0601_총괄내역서_설계내역서1월7일" xfId="1691"/>
    <cellStyle name="1_tree_한풍집계_갑지0601_총괄내역서_설계내역서1월7일_1차 기성 내역서 0612023" xfId="1692"/>
    <cellStyle name="1_tree_한풍집계_갑지0601_총괄내역서_설계내역서1월7일_3차네고견적(061017-1)" xfId="1693"/>
    <cellStyle name="1_tree_한풍집계_갑지0601_총괄내역서_설계내역서1월7일_백화점화장실인테리어" xfId="1694"/>
    <cellStyle name="1_tree_한풍집계_갑지0601_총괄내역서_설계내역서1월7일_백화점화장실인테리어_1차 기성 내역서 0612023" xfId="1695"/>
    <cellStyle name="1_tree_한풍집계_갑지0601_총괄내역서_설계내역서1월7일_백화점화장실인테리어_3차네고견적(061017-1)" xfId="1696"/>
    <cellStyle name="1_tree_한풍집계_갑지0601_총괄내역서_설계내역서1월7일_화명조경" xfId="1697"/>
    <cellStyle name="1_tree_한풍집계_갑지0601_총괄내역서_설계내역서1월7일_화명조경_1차 기성 내역서 0612023" xfId="1698"/>
    <cellStyle name="1_tree_한풍집계_갑지0601_총괄내역서_설계내역서1월7일_화명조경_3차네고견적(061017-1)" xfId="1699"/>
    <cellStyle name="1_tree_한풍집계_갑지0601_총괄내역서_설계내역서1월7일_화명조경_백화점화장실인테리어" xfId="1700"/>
    <cellStyle name="1_tree_한풍집계_갑지0601_총괄내역서_설계내역서1월7일_화명조경_백화점화장실인테리어_1차 기성 내역서 0612023" xfId="1701"/>
    <cellStyle name="1_tree_한풍집계_갑지0601_총괄내역서_설계내역서1월7일_화명조경_백화점화장실인테리어_3차네고견적(061017-1)" xfId="1702"/>
    <cellStyle name="1_tree_한풍집계_갑지0601_총괄내역서_화명조경" xfId="1703"/>
    <cellStyle name="1_tree_한풍집계_갑지0601_총괄내역서_화명조경_1차 기성 내역서 0612023" xfId="1704"/>
    <cellStyle name="1_tree_한풍집계_갑지0601_총괄내역서_화명조경_3차네고견적(061017-1)" xfId="1705"/>
    <cellStyle name="1_tree_한풍집계_갑지0601_총괄내역서_화명조경_백화점화장실인테리어" xfId="1706"/>
    <cellStyle name="1_tree_한풍집계_갑지0601_총괄내역서_화명조경_백화점화장실인테리어_1차 기성 내역서 0612023" xfId="1707"/>
    <cellStyle name="1_tree_한풍집계_갑지0601_총괄내역서_화명조경_백화점화장실인테리어_3차네고견적(061017-1)" xfId="1708"/>
    <cellStyle name="1_tree_한풍집계_갑지0601_화명조경" xfId="1709"/>
    <cellStyle name="1_tree_한풍집계_갑지0601_화명조경_1차 기성 내역서 0612023" xfId="1710"/>
    <cellStyle name="1_tree_한풍집계_갑지0601_화명조경_3차네고견적(061017-1)" xfId="1711"/>
    <cellStyle name="1_tree_한풍집계_갑지0601_화명조경_백화점화장실인테리어" xfId="1712"/>
    <cellStyle name="1_tree_한풍집계_갑지0601_화명조경_백화점화장실인테리어_1차 기성 내역서 0612023" xfId="1713"/>
    <cellStyle name="1_tree_한풍집계_갑지0601_화명조경_백화점화장실인테리어_3차네고견적(061017-1)" xfId="1714"/>
    <cellStyle name="1_tree_한풍집계_백화점화장실인테리어" xfId="1715"/>
    <cellStyle name="1_tree_한풍집계_백화점화장실인테리어_1차 기성 내역서 0612023" xfId="1716"/>
    <cellStyle name="1_tree_한풍집계_백화점화장실인테리어_3차네고견적(061017-1)" xfId="1717"/>
    <cellStyle name="1_tree_한풍집계_설계내역서" xfId="1718"/>
    <cellStyle name="1_tree_한풍집계_설계내역서_1차 기성 내역서 0612023" xfId="1719"/>
    <cellStyle name="1_tree_한풍집계_설계내역서_3차네고견적(061017-1)" xfId="1720"/>
    <cellStyle name="1_tree_한풍집계_설계내역서_백화점화장실인테리어" xfId="1721"/>
    <cellStyle name="1_tree_한풍집계_설계내역서_백화점화장실인테리어_1차 기성 내역서 0612023" xfId="1722"/>
    <cellStyle name="1_tree_한풍집계_설계내역서_백화점화장실인테리어_3차네고견적(061017-1)" xfId="1723"/>
    <cellStyle name="1_tree_한풍집계_설계내역서_화명조경" xfId="1724"/>
    <cellStyle name="1_tree_한풍집계_설계내역서_화명조경_1차 기성 내역서 0612023" xfId="1725"/>
    <cellStyle name="1_tree_한풍집계_설계내역서_화명조경_3차네고견적(061017-1)" xfId="1726"/>
    <cellStyle name="1_tree_한풍집계_설계내역서_화명조경_백화점화장실인테리어" xfId="1727"/>
    <cellStyle name="1_tree_한풍집계_설계내역서_화명조경_백화점화장실인테리어_1차 기성 내역서 0612023" xfId="1728"/>
    <cellStyle name="1_tree_한풍집계_설계내역서_화명조경_백화점화장실인테리어_3차네고견적(061017-1)" xfId="1729"/>
    <cellStyle name="1_tree_한풍집계_설계내역서1월7일" xfId="1730"/>
    <cellStyle name="1_tree_한풍집계_설계내역서1월7일_1차 기성 내역서 0612023" xfId="1731"/>
    <cellStyle name="1_tree_한풍집계_설계내역서1월7일_3차네고견적(061017-1)" xfId="1732"/>
    <cellStyle name="1_tree_한풍집계_설계내역서1월7일_백화점화장실인테리어" xfId="1733"/>
    <cellStyle name="1_tree_한풍집계_설계내역서1월7일_백화점화장실인테리어_1차 기성 내역서 0612023" xfId="1734"/>
    <cellStyle name="1_tree_한풍집계_설계내역서1월7일_백화점화장실인테리어_3차네고견적(061017-1)" xfId="1735"/>
    <cellStyle name="1_tree_한풍집계_설계내역서1월7일_화명조경" xfId="1736"/>
    <cellStyle name="1_tree_한풍집계_설계내역서1월7일_화명조경_1차 기성 내역서 0612023" xfId="1737"/>
    <cellStyle name="1_tree_한풍집계_설계내역서1월7일_화명조경_3차네고견적(061017-1)" xfId="1738"/>
    <cellStyle name="1_tree_한풍집계_설계내역서1월7일_화명조경_백화점화장실인테리어" xfId="1739"/>
    <cellStyle name="1_tree_한풍집계_설계내역서1월7일_화명조경_백화점화장실인테리어_1차 기성 내역서 0612023" xfId="1740"/>
    <cellStyle name="1_tree_한풍집계_설계내역서1월7일_화명조경_백화점화장실인테리어_3차네고견적(061017-1)" xfId="1741"/>
    <cellStyle name="1_tree_한풍집계_쌍용수량0905" xfId="1742"/>
    <cellStyle name="1_tree_한풍집계_쌍용수량0905_1차 기성 내역서 0612023" xfId="1743"/>
    <cellStyle name="1_tree_한풍집계_쌍용수량0905_3차네고견적(061017-1)" xfId="1744"/>
    <cellStyle name="1_tree_한풍집계_쌍용수량0905_백화점화장실인테리어" xfId="1745"/>
    <cellStyle name="1_tree_한풍집계_쌍용수량0905_백화점화장실인테리어_1차 기성 내역서 0612023" xfId="1746"/>
    <cellStyle name="1_tree_한풍집계_쌍용수량0905_백화점화장실인테리어_3차네고견적(061017-1)" xfId="1747"/>
    <cellStyle name="1_tree_한풍집계_쌍용수량0905_설계내역서" xfId="1748"/>
    <cellStyle name="1_tree_한풍집계_쌍용수량0905_설계내역서_1차 기성 내역서 0612023" xfId="1749"/>
    <cellStyle name="1_tree_한풍집계_쌍용수량0905_설계내역서_3차네고견적(061017-1)" xfId="1750"/>
    <cellStyle name="1_tree_한풍집계_쌍용수량0905_설계내역서_백화점화장실인테리어" xfId="1751"/>
    <cellStyle name="1_tree_한풍집계_쌍용수량0905_설계내역서_백화점화장실인테리어_1차 기성 내역서 0612023" xfId="1752"/>
    <cellStyle name="1_tree_한풍집계_쌍용수량0905_설계내역서_백화점화장실인테리어_3차네고견적(061017-1)" xfId="1753"/>
    <cellStyle name="1_tree_한풍집계_쌍용수량0905_설계내역서_화명조경" xfId="1754"/>
    <cellStyle name="1_tree_한풍집계_쌍용수량0905_설계내역서_화명조경_1차 기성 내역서 0612023" xfId="1755"/>
    <cellStyle name="1_tree_한풍집계_쌍용수량0905_설계내역서_화명조경_3차네고견적(061017-1)" xfId="1756"/>
    <cellStyle name="1_tree_한풍집계_쌍용수량0905_설계내역서_화명조경_백화점화장실인테리어" xfId="1757"/>
    <cellStyle name="1_tree_한풍집계_쌍용수량0905_설계내역서_화명조경_백화점화장실인테리어_1차 기성 내역서 0612023" xfId="1758"/>
    <cellStyle name="1_tree_한풍집계_쌍용수량0905_설계내역서_화명조경_백화점화장실인테리어_3차네고견적(061017-1)" xfId="1759"/>
    <cellStyle name="1_tree_한풍집계_쌍용수량0905_설계내역서1월7일" xfId="1760"/>
    <cellStyle name="1_tree_한풍집계_쌍용수량0905_설계내역서1월7일_1차 기성 내역서 0612023" xfId="1761"/>
    <cellStyle name="1_tree_한풍집계_쌍용수량0905_설계내역서1월7일_3차네고견적(061017-1)" xfId="1762"/>
    <cellStyle name="1_tree_한풍집계_쌍용수량0905_설계내역서1월7일_백화점화장실인테리어" xfId="1763"/>
    <cellStyle name="1_tree_한풍집계_쌍용수량0905_설계내역서1월7일_백화점화장실인테리어_1차 기성 내역서 0612023" xfId="1764"/>
    <cellStyle name="1_tree_한풍집계_쌍용수량0905_설계내역서1월7일_백화점화장실인테리어_3차네고견적(061017-1)" xfId="1765"/>
    <cellStyle name="1_tree_한풍집계_쌍용수량0905_설계내역서1월7일_화명조경" xfId="1766"/>
    <cellStyle name="1_tree_한풍집계_쌍용수량0905_설계내역서1월7일_화명조경_1차 기성 내역서 0612023" xfId="1767"/>
    <cellStyle name="1_tree_한풍집계_쌍용수량0905_설계내역서1월7일_화명조경_3차네고견적(061017-1)" xfId="1768"/>
    <cellStyle name="1_tree_한풍집계_쌍용수량0905_설계내역서1월7일_화명조경_백화점화장실인테리어" xfId="1769"/>
    <cellStyle name="1_tree_한풍집계_쌍용수량0905_설계내역서1월7일_화명조경_백화점화장실인테리어_1차 기성 내역서 0612023" xfId="1770"/>
    <cellStyle name="1_tree_한풍집계_쌍용수량0905_설계내역서1월7일_화명조경_백화점화장실인테리어_3차네고견적(061017-1)" xfId="1771"/>
    <cellStyle name="1_tree_한풍집계_쌍용수량0905_화명조경" xfId="1772"/>
    <cellStyle name="1_tree_한풍집계_쌍용수량0905_화명조경_1차 기성 내역서 0612023" xfId="1773"/>
    <cellStyle name="1_tree_한풍집계_쌍용수량0905_화명조경_3차네고견적(061017-1)" xfId="1774"/>
    <cellStyle name="1_tree_한풍집계_쌍용수량0905_화명조경_백화점화장실인테리어" xfId="1775"/>
    <cellStyle name="1_tree_한풍집계_쌍용수량0905_화명조경_백화점화장실인테리어_1차 기성 내역서 0612023" xfId="1776"/>
    <cellStyle name="1_tree_한풍집계_쌍용수량0905_화명조경_백화점화장실인테리어_3차네고견적(061017-1)" xfId="1777"/>
    <cellStyle name="1_tree_한풍집계_터미널1-0" xfId="1778"/>
    <cellStyle name="1_tree_한풍집계_터미널1-0_1차 기성 내역서 0612023" xfId="1779"/>
    <cellStyle name="1_tree_한풍집계_터미널1-0_3차네고견적(061017-1)" xfId="1780"/>
    <cellStyle name="1_tree_한풍집계_터미널1-0_백화점화장실인테리어" xfId="1781"/>
    <cellStyle name="1_tree_한풍집계_터미널1-0_백화점화장실인테리어_1차 기성 내역서 0612023" xfId="1782"/>
    <cellStyle name="1_tree_한풍집계_터미널1-0_백화점화장실인테리어_3차네고견적(061017-1)" xfId="1783"/>
    <cellStyle name="1_tree_한풍집계_터미널1-0_화명조경" xfId="1784"/>
    <cellStyle name="1_tree_한풍집계_터미널1-0_화명조경_1차 기성 내역서 0612023" xfId="1785"/>
    <cellStyle name="1_tree_한풍집계_터미널1-0_화명조경_3차네고견적(061017-1)" xfId="1786"/>
    <cellStyle name="1_tree_한풍집계_터미널1-0_화명조경_백화점화장실인테리어" xfId="1787"/>
    <cellStyle name="1_tree_한풍집계_터미널1-0_화명조경_백화점화장실인테리어_1차 기성 내역서 0612023" xfId="1788"/>
    <cellStyle name="1_tree_한풍집계_터미널1-0_화명조경_백화점화장실인테리어_3차네고견적(061017-1)" xfId="1789"/>
    <cellStyle name="1_tree_한풍집계_화명조경" xfId="1790"/>
    <cellStyle name="1_tree_한풍집계_화명조경_1차 기성 내역서 0612023" xfId="1791"/>
    <cellStyle name="1_tree_한풍집계_화명조경_3차네고견적(061017-1)" xfId="1792"/>
    <cellStyle name="1_tree_한풍집계_화명조경_백화점화장실인테리어" xfId="1793"/>
    <cellStyle name="1_tree_한풍집계_화명조경_백화점화장실인테리어_1차 기성 내역서 0612023" xfId="1794"/>
    <cellStyle name="1_tree_한풍집계_화명조경_백화점화장실인테리어_3차네고견적(061017-1)" xfId="1795"/>
    <cellStyle name="1_tree_화명조경" xfId="1796"/>
    <cellStyle name="1_tree_화명조경_1차 기성 내역서 0612023" xfId="1797"/>
    <cellStyle name="1_tree_화명조경_3차네고견적(061017-1)" xfId="1798"/>
    <cellStyle name="1_tree_화명조경_백화점화장실인테리어" xfId="1799"/>
    <cellStyle name="1_tree_화명조경_백화점화장실인테리어_1차 기성 내역서 0612023" xfId="1800"/>
    <cellStyle name="1_tree_화명조경_백화점화장실인테리어_3차네고견적(061017-1)" xfId="1801"/>
    <cellStyle name="1_남해총괄표" xfId="1802"/>
    <cellStyle name="1_남해총괄표_1차 기성 내역서 0612023" xfId="1803"/>
    <cellStyle name="1_남해총괄표_3차네고견적(061017-1)" xfId="1804"/>
    <cellStyle name="1_남해총괄표_문화센타" xfId="1805"/>
    <cellStyle name="1_남해총괄표_백화점화장실인테리어" xfId="1806"/>
    <cellStyle name="1_남해총괄표_백화점화장실인테리어_1차 기성 내역서 0612023" xfId="1807"/>
    <cellStyle name="1_남해총괄표_백화점화장실인테리어_3차네고견적(061017-1)" xfId="1808"/>
    <cellStyle name="1_남해총괄표_백화점화장실인테리어_문화센타" xfId="1809"/>
    <cellStyle name="1_남해총괄표_설계내역서" xfId="1810"/>
    <cellStyle name="1_남해총괄표_설계내역서_1차 기성 내역서 0612023" xfId="1811"/>
    <cellStyle name="1_남해총괄표_설계내역서_3차네고견적(061017-1)" xfId="1812"/>
    <cellStyle name="1_남해총괄표_설계내역서_문화센타" xfId="1813"/>
    <cellStyle name="1_남해총괄표_설계내역서_백화점화장실인테리어" xfId="1814"/>
    <cellStyle name="1_남해총괄표_설계내역서_백화점화장실인테리어_1차 기성 내역서 0612023" xfId="1815"/>
    <cellStyle name="1_남해총괄표_설계내역서_백화점화장실인테리어_3차네고견적(061017-1)" xfId="1816"/>
    <cellStyle name="1_남해총괄표_설계내역서_백화점화장실인테리어_문화센타" xfId="1817"/>
    <cellStyle name="1_남해총괄표_설계내역서_화명조경" xfId="1818"/>
    <cellStyle name="1_남해총괄표_설계내역서_화명조경_1차 기성 내역서 0612023" xfId="1819"/>
    <cellStyle name="1_남해총괄표_설계내역서_화명조경_3차네고견적(061017-1)" xfId="1820"/>
    <cellStyle name="1_남해총괄표_설계내역서_화명조경_문화센타" xfId="1821"/>
    <cellStyle name="1_남해총괄표_설계내역서_화명조경_백화점화장실인테리어" xfId="1822"/>
    <cellStyle name="1_남해총괄표_설계내역서_화명조경_백화점화장실인테리어_1차 기성 내역서 0612023" xfId="1823"/>
    <cellStyle name="1_남해총괄표_설계내역서_화명조경_백화점화장실인테리어_3차네고견적(061017-1)" xfId="1824"/>
    <cellStyle name="1_남해총괄표_설계내역서_화명조경_백화점화장실인테리어_문화센타" xfId="1825"/>
    <cellStyle name="1_남해총괄표_설계내역서1월7일" xfId="1826"/>
    <cellStyle name="1_남해총괄표_설계내역서1월7일_1차 기성 내역서 0612023" xfId="1827"/>
    <cellStyle name="1_남해총괄표_설계내역서1월7일_3차네고견적(061017-1)" xfId="1828"/>
    <cellStyle name="1_남해총괄표_설계내역서1월7일_문화센타" xfId="1829"/>
    <cellStyle name="1_남해총괄표_설계내역서1월7일_백화점화장실인테리어" xfId="1830"/>
    <cellStyle name="1_남해총괄표_설계내역서1월7일_백화점화장실인테리어_1차 기성 내역서 0612023" xfId="1831"/>
    <cellStyle name="1_남해총괄표_설계내역서1월7일_백화점화장실인테리어_3차네고견적(061017-1)" xfId="1832"/>
    <cellStyle name="1_남해총괄표_설계내역서1월7일_백화점화장실인테리어_문화센타" xfId="1833"/>
    <cellStyle name="1_남해총괄표_설계내역서1월7일_화명조경" xfId="1834"/>
    <cellStyle name="1_남해총괄표_설계내역서1월7일_화명조경_1차 기성 내역서 0612023" xfId="1835"/>
    <cellStyle name="1_남해총괄표_설계내역서1월7일_화명조경_3차네고견적(061017-1)" xfId="1836"/>
    <cellStyle name="1_남해총괄표_설계내역서1월7일_화명조경_문화센타" xfId="1837"/>
    <cellStyle name="1_남해총괄표_설계내역서1월7일_화명조경_백화점화장실인테리어" xfId="1838"/>
    <cellStyle name="1_남해총괄표_설계내역서1월7일_화명조경_백화점화장실인테리어_1차 기성 내역서 0612023" xfId="1839"/>
    <cellStyle name="1_남해총괄표_설계내역서1월7일_화명조경_백화점화장실인테리어_3차네고견적(061017-1)" xfId="1840"/>
    <cellStyle name="1_남해총괄표_설계내역서1월7일_화명조경_백화점화장실인테리어_문화센타" xfId="1841"/>
    <cellStyle name="1_남해총괄표_화명조경" xfId="1842"/>
    <cellStyle name="1_남해총괄표_화명조경_1차 기성 내역서 0612023" xfId="1843"/>
    <cellStyle name="1_남해총괄표_화명조경_3차네고견적(061017-1)" xfId="1844"/>
    <cellStyle name="1_남해총괄표_화명조경_백화점화장실인테리어" xfId="1845"/>
    <cellStyle name="1_남해총괄표_화명조경_백화점화장실인테리어_1차 기성 내역서 0612023" xfId="1846"/>
    <cellStyle name="1_남해총괄표_화명조경_백화점화장실인테리어_3차네고견적(061017-1)" xfId="1847"/>
    <cellStyle name="1_단가조사표" xfId="1848"/>
    <cellStyle name="1_수원변경수량산출" xfId="1849"/>
    <cellStyle name="1_쌍용수량0905" xfId="1850"/>
    <cellStyle name="1_쌍용수량0905_1차 기성 내역서 0612023" xfId="1851"/>
    <cellStyle name="1_쌍용수량0905_3차네고견적(061017-1)" xfId="1852"/>
    <cellStyle name="1_쌍용수량0905_백화점화장실인테리어" xfId="1853"/>
    <cellStyle name="1_쌍용수량0905_백화점화장실인테리어_1차 기성 내역서 0612023" xfId="1854"/>
    <cellStyle name="1_쌍용수량0905_백화점화장실인테리어_3차네고견적(061017-1)" xfId="1855"/>
    <cellStyle name="1_쌍용수량0905_설계내역서" xfId="1856"/>
    <cellStyle name="1_쌍용수량0905_설계내역서_1차 기성 내역서 0612023" xfId="1857"/>
    <cellStyle name="1_쌍용수량0905_설계내역서_3차네고견적(061017-1)" xfId="1858"/>
    <cellStyle name="1_쌍용수량0905_설계내역서_백화점화장실인테리어" xfId="1859"/>
    <cellStyle name="1_쌍용수량0905_설계내역서_백화점화장실인테리어_1차 기성 내역서 0612023" xfId="1860"/>
    <cellStyle name="1_쌍용수량0905_설계내역서_백화점화장실인테리어_3차네고견적(061017-1)" xfId="1861"/>
    <cellStyle name="1_쌍용수량0905_설계내역서_화명조경" xfId="1862"/>
    <cellStyle name="1_쌍용수량0905_설계내역서_화명조경_1차 기성 내역서 0612023" xfId="1863"/>
    <cellStyle name="1_쌍용수량0905_설계내역서_화명조경_3차네고견적(061017-1)" xfId="1864"/>
    <cellStyle name="1_쌍용수량0905_설계내역서_화명조경_백화점화장실인테리어" xfId="1865"/>
    <cellStyle name="1_쌍용수량0905_설계내역서_화명조경_백화점화장실인테리어_1차 기성 내역서 0612023" xfId="1866"/>
    <cellStyle name="1_쌍용수량0905_설계내역서_화명조경_백화점화장실인테리어_3차네고견적(061017-1)" xfId="1867"/>
    <cellStyle name="1_쌍용수량0905_설계내역서1월7일" xfId="1868"/>
    <cellStyle name="1_쌍용수량0905_설계내역서1월7일_1차 기성 내역서 0612023" xfId="1869"/>
    <cellStyle name="1_쌍용수량0905_설계내역서1월7일_3차네고견적(061017-1)" xfId="1870"/>
    <cellStyle name="1_쌍용수량0905_설계내역서1월7일_백화점화장실인테리어" xfId="1871"/>
    <cellStyle name="1_쌍용수량0905_설계내역서1월7일_백화점화장실인테리어_1차 기성 내역서 0612023" xfId="1872"/>
    <cellStyle name="1_쌍용수량0905_설계내역서1월7일_백화점화장실인테리어_3차네고견적(061017-1)" xfId="1873"/>
    <cellStyle name="1_쌍용수량0905_설계내역서1월7일_화명조경" xfId="1874"/>
    <cellStyle name="1_쌍용수량0905_설계내역서1월7일_화명조경_1차 기성 내역서 0612023" xfId="1875"/>
    <cellStyle name="1_쌍용수량0905_설계내역서1월7일_화명조경_3차네고견적(061017-1)" xfId="1876"/>
    <cellStyle name="1_쌍용수량0905_설계내역서1월7일_화명조경_백화점화장실인테리어" xfId="1877"/>
    <cellStyle name="1_쌍용수량0905_설계내역서1월7일_화명조경_백화점화장실인테리어_1차 기성 내역서 0612023" xfId="1878"/>
    <cellStyle name="1_쌍용수량0905_설계내역서1월7일_화명조경_백화점화장실인테리어_3차네고견적(061017-1)" xfId="1879"/>
    <cellStyle name="1_쌍용수량0905_화명조경" xfId="1880"/>
    <cellStyle name="1_쌍용수량0905_화명조경_1차 기성 내역서 0612023" xfId="1881"/>
    <cellStyle name="1_쌍용수량0905_화명조경_3차네고견적(061017-1)" xfId="1882"/>
    <cellStyle name="1_쌍용수량0905_화명조경_백화점화장실인테리어" xfId="1883"/>
    <cellStyle name="1_쌍용수량0905_화명조경_백화점화장실인테리어_1차 기성 내역서 0612023" xfId="1884"/>
    <cellStyle name="1_쌍용수량0905_화명조경_백화점화장실인테리어_3차네고견적(061017-1)" xfId="1885"/>
    <cellStyle name="1_원가계산서" xfId="1886"/>
    <cellStyle name="1_원가계산서_00갑지" xfId="1887"/>
    <cellStyle name="1_원가계산서_00갑지_1차 기성 내역서 0612023" xfId="1888"/>
    <cellStyle name="1_원가계산서_00갑지_3차네고견적(061017-1)" xfId="1889"/>
    <cellStyle name="1_원가계산서_00갑지_백화점화장실인테리어" xfId="1890"/>
    <cellStyle name="1_원가계산서_00갑지_백화점화장실인테리어_1차 기성 내역서 0612023" xfId="1891"/>
    <cellStyle name="1_원가계산서_00갑지_백화점화장실인테리어_3차네고견적(061017-1)" xfId="1892"/>
    <cellStyle name="1_원가계산서_00갑지_설계내역서" xfId="1893"/>
    <cellStyle name="1_원가계산서_00갑지_설계내역서_1차 기성 내역서 0612023" xfId="1894"/>
    <cellStyle name="1_원가계산서_00갑지_설계내역서_3차네고견적(061017-1)" xfId="1895"/>
    <cellStyle name="1_원가계산서_00갑지_설계내역서_백화점화장실인테리어" xfId="1896"/>
    <cellStyle name="1_원가계산서_00갑지_설계내역서_백화점화장실인테리어_1차 기성 내역서 0612023" xfId="1897"/>
    <cellStyle name="1_원가계산서_00갑지_설계내역서_백화점화장실인테리어_3차네고견적(061017-1)" xfId="1898"/>
    <cellStyle name="1_원가계산서_00갑지_설계내역서_화명조경" xfId="1899"/>
    <cellStyle name="1_원가계산서_00갑지_설계내역서_화명조경_1차 기성 내역서 0612023" xfId="1900"/>
    <cellStyle name="1_원가계산서_00갑지_설계내역서_화명조경_3차네고견적(061017-1)" xfId="1901"/>
    <cellStyle name="1_원가계산서_00갑지_설계내역서_화명조경_백화점화장실인테리어" xfId="1902"/>
    <cellStyle name="1_원가계산서_00갑지_설계내역서_화명조경_백화점화장실인테리어_1차 기성 내역서 0612023" xfId="1903"/>
    <cellStyle name="1_원가계산서_00갑지_설계내역서_화명조경_백화점화장실인테리어_3차네고견적(061017-1)" xfId="1904"/>
    <cellStyle name="1_원가계산서_00갑지_설계내역서1월7일" xfId="1905"/>
    <cellStyle name="1_원가계산서_00갑지_설계내역서1월7일_1차 기성 내역서 0612023" xfId="1906"/>
    <cellStyle name="1_원가계산서_00갑지_설계내역서1월7일_3차네고견적(061017-1)" xfId="1907"/>
    <cellStyle name="1_원가계산서_00갑지_설계내역서1월7일_백화점화장실인테리어" xfId="1908"/>
    <cellStyle name="1_원가계산서_00갑지_설계내역서1월7일_백화점화장실인테리어_1차 기성 내역서 0612023" xfId="1909"/>
    <cellStyle name="1_원가계산서_00갑지_설계내역서1월7일_백화점화장실인테리어_3차네고견적(061017-1)" xfId="1910"/>
    <cellStyle name="1_원가계산서_00갑지_설계내역서1월7일_화명조경" xfId="1911"/>
    <cellStyle name="1_원가계산서_00갑지_설계내역서1월7일_화명조경_1차 기성 내역서 0612023" xfId="1912"/>
    <cellStyle name="1_원가계산서_00갑지_설계내역서1월7일_화명조경_3차네고견적(061017-1)" xfId="1913"/>
    <cellStyle name="1_원가계산서_00갑지_설계내역서1월7일_화명조경_백화점화장실인테리어" xfId="1914"/>
    <cellStyle name="1_원가계산서_00갑지_설계내역서1월7일_화명조경_백화점화장실인테리어_1차 기성 내역서 0612023" xfId="1915"/>
    <cellStyle name="1_원가계산서_00갑지_설계내역서1월7일_화명조경_백화점화장실인테리어_3차네고견적(061017-1)" xfId="1916"/>
    <cellStyle name="1_원가계산서_00갑지_화명조경" xfId="1917"/>
    <cellStyle name="1_원가계산서_00갑지_화명조경_1차 기성 내역서 0612023" xfId="1918"/>
    <cellStyle name="1_원가계산서_00갑지_화명조경_3차네고견적(061017-1)" xfId="1919"/>
    <cellStyle name="1_원가계산서_00갑지_화명조경_백화점화장실인테리어" xfId="1920"/>
    <cellStyle name="1_원가계산서_00갑지_화명조경_백화점화장실인테리어_1차 기성 내역서 0612023" xfId="1921"/>
    <cellStyle name="1_원가계산서_00갑지_화명조경_백화점화장실인테리어_3차네고견적(061017-1)" xfId="1922"/>
    <cellStyle name="1_원가계산서_1차 기성 내역서 0612023" xfId="1923"/>
    <cellStyle name="1_원가계산서_3차네고견적(061017-1)" xfId="1924"/>
    <cellStyle name="1_원가계산서_과천놀이터설계서" xfId="1925"/>
    <cellStyle name="1_원가계산서_과천놀이터설계서_1차 기성 내역서 0612023" xfId="1926"/>
    <cellStyle name="1_원가계산서_과천놀이터설계서_3차네고견적(061017-1)" xfId="1927"/>
    <cellStyle name="1_원가계산서_과천놀이터설계서_백화점화장실인테리어" xfId="1928"/>
    <cellStyle name="1_원가계산서_과천놀이터설계서_백화점화장실인테리어_1차 기성 내역서 0612023" xfId="1929"/>
    <cellStyle name="1_원가계산서_과천놀이터설계서_백화점화장실인테리어_3차네고견적(061017-1)" xfId="1930"/>
    <cellStyle name="1_원가계산서_과천놀이터설계서_설계내역서" xfId="1931"/>
    <cellStyle name="1_원가계산서_과천놀이터설계서_설계내역서_1차 기성 내역서 0612023" xfId="1932"/>
    <cellStyle name="1_원가계산서_과천놀이터설계서_설계내역서_3차네고견적(061017-1)" xfId="1933"/>
    <cellStyle name="1_원가계산서_과천놀이터설계서_설계내역서_백화점화장실인테리어" xfId="1934"/>
    <cellStyle name="1_원가계산서_과천놀이터설계서_설계내역서_백화점화장실인테리어_1차 기성 내역서 0612023" xfId="1935"/>
    <cellStyle name="1_원가계산서_과천놀이터설계서_설계내역서_백화점화장실인테리어_3차네고견적(061017-1)" xfId="1936"/>
    <cellStyle name="1_원가계산서_과천놀이터설계서_설계내역서_화명조경" xfId="1937"/>
    <cellStyle name="1_원가계산서_과천놀이터설계서_설계내역서_화명조경_1차 기성 내역서 0612023" xfId="1938"/>
    <cellStyle name="1_원가계산서_과천놀이터설계서_설계내역서_화명조경_3차네고견적(061017-1)" xfId="1939"/>
    <cellStyle name="1_원가계산서_과천놀이터설계서_설계내역서_화명조경_백화점화장실인테리어" xfId="1940"/>
    <cellStyle name="1_원가계산서_과천놀이터설계서_설계내역서_화명조경_백화점화장실인테리어_1차 기성 내역서 0612023" xfId="1941"/>
    <cellStyle name="1_원가계산서_과천놀이터설계서_설계내역서_화명조경_백화점화장실인테리어_3차네고견적(061017-1)" xfId="1942"/>
    <cellStyle name="1_원가계산서_과천놀이터설계서_설계내역서1월7일" xfId="1943"/>
    <cellStyle name="1_원가계산서_과천놀이터설계서_설계내역서1월7일_1차 기성 내역서 0612023" xfId="1944"/>
    <cellStyle name="1_원가계산서_과천놀이터설계서_설계내역서1월7일_3차네고견적(061017-1)" xfId="1945"/>
    <cellStyle name="1_원가계산서_과천놀이터설계서_설계내역서1월7일_백화점화장실인테리어" xfId="1946"/>
    <cellStyle name="1_원가계산서_과천놀이터설계서_설계내역서1월7일_백화점화장실인테리어_1차 기성 내역서 0612023" xfId="1947"/>
    <cellStyle name="1_원가계산서_과천놀이터설계서_설계내역서1월7일_백화점화장실인테리어_3차네고견적(061017-1)" xfId="1948"/>
    <cellStyle name="1_원가계산서_과천놀이터설계서_설계내역서1월7일_화명조경" xfId="1949"/>
    <cellStyle name="1_원가계산서_과천놀이터설계서_설계내역서1월7일_화명조경_1차 기성 내역서 0612023" xfId="1950"/>
    <cellStyle name="1_원가계산서_과천놀이터설계서_설계내역서1월7일_화명조경_3차네고견적(061017-1)" xfId="1951"/>
    <cellStyle name="1_원가계산서_과천놀이터설계서_설계내역서1월7일_화명조경_백화점화장실인테리어" xfId="1952"/>
    <cellStyle name="1_원가계산서_과천놀이터설계서_설계내역서1월7일_화명조경_백화점화장실인테리어_1차 기성 내역서 0612023" xfId="1953"/>
    <cellStyle name="1_원가계산서_과천놀이터설계서_설계내역서1월7일_화명조경_백화점화장실인테리어_3차네고견적(061017-1)" xfId="1954"/>
    <cellStyle name="1_원가계산서_과천놀이터설계서_화명조경" xfId="1955"/>
    <cellStyle name="1_원가계산서_과천놀이터설계서_화명조경_1차 기성 내역서 0612023" xfId="1956"/>
    <cellStyle name="1_원가계산서_과천놀이터설계서_화명조경_3차네고견적(061017-1)" xfId="1957"/>
    <cellStyle name="1_원가계산서_과천놀이터설계서_화명조경_백화점화장실인테리어" xfId="1958"/>
    <cellStyle name="1_원가계산서_과천놀이터설계서_화명조경_백화점화장실인테리어_1차 기성 내역서 0612023" xfId="1959"/>
    <cellStyle name="1_원가계산서_과천놀이터설계서_화명조경_백화점화장실인테리어_3차네고견적(061017-1)" xfId="1960"/>
    <cellStyle name="1_원가계산서_백화점화장실인테리어" xfId="1961"/>
    <cellStyle name="1_원가계산서_백화점화장실인테리어_1차 기성 내역서 0612023" xfId="1962"/>
    <cellStyle name="1_원가계산서_백화점화장실인테리어_3차네고견적(061017-1)" xfId="1963"/>
    <cellStyle name="1_원가계산서_총괄갑지" xfId="1964"/>
    <cellStyle name="1_원가계산서_총괄갑지_1차 기성 내역서 0612023" xfId="1965"/>
    <cellStyle name="1_원가계산서_총괄갑지_3차네고견적(061017-1)" xfId="1966"/>
    <cellStyle name="1_원가계산서_총괄갑지_백화점화장실인테리어" xfId="1967"/>
    <cellStyle name="1_원가계산서_총괄갑지_백화점화장실인테리어_1차 기성 내역서 0612023" xfId="1968"/>
    <cellStyle name="1_원가계산서_총괄갑지_백화점화장실인테리어_3차네고견적(061017-1)" xfId="1969"/>
    <cellStyle name="1_원가계산서_총괄갑지_설계내역서" xfId="1970"/>
    <cellStyle name="1_원가계산서_총괄갑지_설계내역서_1차 기성 내역서 0612023" xfId="1971"/>
    <cellStyle name="1_원가계산서_총괄갑지_설계내역서_3차네고견적(061017-1)" xfId="1972"/>
    <cellStyle name="1_원가계산서_총괄갑지_설계내역서_백화점화장실인테리어" xfId="1973"/>
    <cellStyle name="1_원가계산서_총괄갑지_설계내역서_백화점화장실인테리어_1차 기성 내역서 0612023" xfId="1974"/>
    <cellStyle name="1_원가계산서_총괄갑지_설계내역서_백화점화장실인테리어_3차네고견적(061017-1)" xfId="1975"/>
    <cellStyle name="1_원가계산서_총괄갑지_설계내역서_화명조경" xfId="1976"/>
    <cellStyle name="1_원가계산서_총괄갑지_설계내역서_화명조경_1차 기성 내역서 0612023" xfId="1977"/>
    <cellStyle name="1_원가계산서_총괄갑지_설계내역서_화명조경_3차네고견적(061017-1)" xfId="1978"/>
    <cellStyle name="1_원가계산서_총괄갑지_설계내역서_화명조경_백화점화장실인테리어" xfId="1979"/>
    <cellStyle name="1_원가계산서_총괄갑지_설계내역서_화명조경_백화점화장실인테리어_1차 기성 내역서 0612023" xfId="1980"/>
    <cellStyle name="1_원가계산서_총괄갑지_설계내역서_화명조경_백화점화장실인테리어_3차네고견적(061017-1)" xfId="1981"/>
    <cellStyle name="1_원가계산서_총괄갑지_설계내역서1월7일" xfId="1982"/>
    <cellStyle name="1_원가계산서_총괄갑지_설계내역서1월7일_1차 기성 내역서 0612023" xfId="1983"/>
    <cellStyle name="1_원가계산서_총괄갑지_설계내역서1월7일_3차네고견적(061017-1)" xfId="1984"/>
    <cellStyle name="1_원가계산서_총괄갑지_설계내역서1월7일_백화점화장실인테리어" xfId="1985"/>
    <cellStyle name="1_원가계산서_총괄갑지_설계내역서1월7일_백화점화장실인테리어_1차 기성 내역서 0612023" xfId="1986"/>
    <cellStyle name="1_원가계산서_총괄갑지_설계내역서1월7일_백화점화장실인테리어_3차네고견적(061017-1)" xfId="1987"/>
    <cellStyle name="1_원가계산서_총괄갑지_설계내역서1월7일_화명조경" xfId="1988"/>
    <cellStyle name="1_원가계산서_총괄갑지_설계내역서1월7일_화명조경_1차 기성 내역서 0612023" xfId="1989"/>
    <cellStyle name="1_원가계산서_총괄갑지_설계내역서1월7일_화명조경_3차네고견적(061017-1)" xfId="1990"/>
    <cellStyle name="1_원가계산서_총괄갑지_설계내역서1월7일_화명조경_백화점화장실인테리어" xfId="1991"/>
    <cellStyle name="1_원가계산서_총괄갑지_설계내역서1월7일_화명조경_백화점화장실인테리어_1차 기성 내역서 0612023" xfId="1992"/>
    <cellStyle name="1_원가계산서_총괄갑지_설계내역서1월7일_화명조경_백화점화장실인테리어_3차네고견적(061017-1)" xfId="1993"/>
    <cellStyle name="1_원가계산서_총괄갑지_화명조경" xfId="1994"/>
    <cellStyle name="1_원가계산서_총괄갑지_화명조경_1차 기성 내역서 0612023" xfId="1995"/>
    <cellStyle name="1_원가계산서_총괄갑지_화명조경_3차네고견적(061017-1)" xfId="1996"/>
    <cellStyle name="1_원가계산서_총괄갑지_화명조경_백화점화장실인테리어" xfId="1997"/>
    <cellStyle name="1_원가계산서_총괄갑지_화명조경_백화점화장실인테리어_1차 기성 내역서 0612023" xfId="1998"/>
    <cellStyle name="1_원가계산서_총괄갑지_화명조경_백화점화장실인테리어_3차네고견적(061017-1)" xfId="1999"/>
    <cellStyle name="1_원가계산서_총괄내역서" xfId="2000"/>
    <cellStyle name="1_원가계산서_총괄내역서_1차 기성 내역서 0612023" xfId="2001"/>
    <cellStyle name="1_원가계산서_총괄내역서_3차네고견적(061017-1)" xfId="2002"/>
    <cellStyle name="1_원가계산서_총괄내역서_백화점화장실인테리어" xfId="2003"/>
    <cellStyle name="1_원가계산서_총괄내역서_백화점화장실인테리어_1차 기성 내역서 0612023" xfId="2004"/>
    <cellStyle name="1_원가계산서_총괄내역서_백화점화장실인테리어_3차네고견적(061017-1)" xfId="2005"/>
    <cellStyle name="1_원가계산서_총괄내역서_설계내역서" xfId="2006"/>
    <cellStyle name="1_원가계산서_총괄내역서_설계내역서_1차 기성 내역서 0612023" xfId="2007"/>
    <cellStyle name="1_원가계산서_총괄내역서_설계내역서_3차네고견적(061017-1)" xfId="2008"/>
    <cellStyle name="1_원가계산서_총괄내역서_설계내역서_백화점화장실인테리어" xfId="2009"/>
    <cellStyle name="1_원가계산서_총괄내역서_설계내역서_백화점화장실인테리어_1차 기성 내역서 0612023" xfId="2010"/>
    <cellStyle name="1_원가계산서_총괄내역서_설계내역서_백화점화장실인테리어_3차네고견적(061017-1)" xfId="2011"/>
    <cellStyle name="1_원가계산서_총괄내역서_설계내역서_화명조경" xfId="2012"/>
    <cellStyle name="1_원가계산서_총괄내역서_설계내역서_화명조경_1차 기성 내역서 0612023" xfId="2013"/>
    <cellStyle name="1_원가계산서_총괄내역서_설계내역서_화명조경_3차네고견적(061017-1)" xfId="2014"/>
    <cellStyle name="1_원가계산서_총괄내역서_설계내역서_화명조경_백화점화장실인테리어" xfId="2015"/>
    <cellStyle name="1_원가계산서_총괄내역서_설계내역서_화명조경_백화점화장실인테리어_1차 기성 내역서 0612023" xfId="2016"/>
    <cellStyle name="1_원가계산서_총괄내역서_설계내역서_화명조경_백화점화장실인테리어_3차네고견적(061017-1)" xfId="2017"/>
    <cellStyle name="1_원가계산서_총괄내역서_설계내역서1월7일" xfId="2018"/>
    <cellStyle name="1_원가계산서_총괄내역서_설계내역서1월7일_1차 기성 내역서 0612023" xfId="2019"/>
    <cellStyle name="1_원가계산서_총괄내역서_설계내역서1월7일_3차네고견적(061017-1)" xfId="2020"/>
    <cellStyle name="1_원가계산서_총괄내역서_설계내역서1월7일_백화점화장실인테리어" xfId="2021"/>
    <cellStyle name="1_원가계산서_총괄내역서_설계내역서1월7일_백화점화장실인테리어_1차 기성 내역서 0612023" xfId="2022"/>
    <cellStyle name="1_원가계산서_총괄내역서_설계내역서1월7일_백화점화장실인테리어_3차네고견적(061017-1)" xfId="2023"/>
    <cellStyle name="1_원가계산서_총괄내역서_설계내역서1월7일_화명조경" xfId="2024"/>
    <cellStyle name="1_원가계산서_총괄내역서_설계내역서1월7일_화명조경_1차 기성 내역서 0612023" xfId="2025"/>
    <cellStyle name="1_원가계산서_총괄내역서_설계내역서1월7일_화명조경_3차네고견적(061017-1)" xfId="2026"/>
    <cellStyle name="1_원가계산서_총괄내역서_설계내역서1월7일_화명조경_백화점화장실인테리어" xfId="2027"/>
    <cellStyle name="1_원가계산서_총괄내역서_설계내역서1월7일_화명조경_백화점화장실인테리어_1차 기성 내역서 0612023" xfId="2028"/>
    <cellStyle name="1_원가계산서_총괄내역서_설계내역서1월7일_화명조경_백화점화장실인테리어_3차네고견적(061017-1)" xfId="2029"/>
    <cellStyle name="1_원가계산서_총괄내역서_화명조경" xfId="2030"/>
    <cellStyle name="1_원가계산서_총괄내역서_화명조경_1차 기성 내역서 0612023" xfId="2031"/>
    <cellStyle name="1_원가계산서_총괄내역서_화명조경_3차네고견적(061017-1)" xfId="2032"/>
    <cellStyle name="1_원가계산서_총괄내역서_화명조경_백화점화장실인테리어" xfId="2033"/>
    <cellStyle name="1_원가계산서_총괄내역서_화명조경_백화점화장실인테리어_1차 기성 내역서 0612023" xfId="2034"/>
    <cellStyle name="1_원가계산서_총괄내역서_화명조경_백화점화장실인테리어_3차네고견적(061017-1)" xfId="2035"/>
    <cellStyle name="1_원가계산서_화명조경" xfId="2036"/>
    <cellStyle name="1_원가계산서_화명조경_1차 기성 내역서 0612023" xfId="2037"/>
    <cellStyle name="1_원가계산서_화명조경_3차네고견적(061017-1)" xfId="2038"/>
    <cellStyle name="1_원가계산서_화명조경_백화점화장실인테리어" xfId="2039"/>
    <cellStyle name="1_원가계산서_화명조경_백화점화장실인테리어_1차 기성 내역서 0612023" xfId="2040"/>
    <cellStyle name="1_원가계산서_화명조경_백화점화장실인테리어_3차네고견적(061017-1)" xfId="2041"/>
    <cellStyle name="1_은파수량집계" xfId="2042"/>
    <cellStyle name="1_터미널1-0" xfId="2043"/>
    <cellStyle name="1_터미널1-0_1차 기성 내역서 0612023" xfId="2044"/>
    <cellStyle name="1_터미널1-0_3차네고견적(061017-1)" xfId="2045"/>
    <cellStyle name="1_터미널1-0_백화점화장실인테리어" xfId="2046"/>
    <cellStyle name="1_터미널1-0_백화점화장실인테리어_1차 기성 내역서 0612023" xfId="2047"/>
    <cellStyle name="1_터미널1-0_백화점화장실인테리어_3차네고견적(061017-1)" xfId="2048"/>
    <cellStyle name="1_터미널1-0_설계내역서" xfId="2049"/>
    <cellStyle name="1_터미널1-0_설계내역서_1차 기성 내역서 0612023" xfId="2050"/>
    <cellStyle name="1_터미널1-0_설계내역서_3차네고견적(061017-1)" xfId="2051"/>
    <cellStyle name="1_터미널1-0_설계내역서_백화점화장실인테리어" xfId="2052"/>
    <cellStyle name="1_터미널1-0_설계내역서_백화점화장실인테리어_1차 기성 내역서 0612023" xfId="2053"/>
    <cellStyle name="1_터미널1-0_설계내역서_백화점화장실인테리어_3차네고견적(061017-1)" xfId="2054"/>
    <cellStyle name="1_터미널1-0_설계내역서_화명조경" xfId="2055"/>
    <cellStyle name="1_터미널1-0_설계내역서_화명조경_1차 기성 내역서 0612023" xfId="2056"/>
    <cellStyle name="1_터미널1-0_설계내역서_화명조경_3차네고견적(061017-1)" xfId="2057"/>
    <cellStyle name="1_터미널1-0_설계내역서_화명조경_백화점화장실인테리어" xfId="2058"/>
    <cellStyle name="1_터미널1-0_설계내역서_화명조경_백화점화장실인테리어_1차 기성 내역서 0612023" xfId="2059"/>
    <cellStyle name="1_터미널1-0_설계내역서_화명조경_백화점화장실인테리어_3차네고견적(061017-1)" xfId="2060"/>
    <cellStyle name="1_터미널1-0_설계내역서1월7일" xfId="2061"/>
    <cellStyle name="1_터미널1-0_설계내역서1월7일_1차 기성 내역서 0612023" xfId="2062"/>
    <cellStyle name="1_터미널1-0_설계내역서1월7일_3차네고견적(061017-1)" xfId="2063"/>
    <cellStyle name="1_터미널1-0_설계내역서1월7일_백화점화장실인테리어" xfId="2064"/>
    <cellStyle name="1_터미널1-0_설계내역서1월7일_백화점화장실인테리어_1차 기성 내역서 0612023" xfId="2065"/>
    <cellStyle name="1_터미널1-0_설계내역서1월7일_백화점화장실인테리어_3차네고견적(061017-1)" xfId="2066"/>
    <cellStyle name="1_터미널1-0_설계내역서1월7일_화명조경" xfId="2067"/>
    <cellStyle name="1_터미널1-0_설계내역서1월7일_화명조경_1차 기성 내역서 0612023" xfId="2068"/>
    <cellStyle name="1_터미널1-0_설계내역서1월7일_화명조경_3차네고견적(061017-1)" xfId="2069"/>
    <cellStyle name="1_터미널1-0_설계내역서1월7일_화명조경_백화점화장실인테리어" xfId="2070"/>
    <cellStyle name="1_터미널1-0_설계내역서1월7일_화명조경_백화점화장실인테리어_1차 기성 내역서 0612023" xfId="2071"/>
    <cellStyle name="1_터미널1-0_설계내역서1월7일_화명조경_백화점화장실인테리어_3차네고견적(061017-1)" xfId="2072"/>
    <cellStyle name="1_터미널1-0_쌍용수량0905" xfId="2073"/>
    <cellStyle name="1_터미널1-0_쌍용수량0905_1차 기성 내역서 0612023" xfId="2074"/>
    <cellStyle name="1_터미널1-0_쌍용수량0905_3차네고견적(061017-1)" xfId="2075"/>
    <cellStyle name="1_터미널1-0_쌍용수량0905_백화점화장실인테리어" xfId="2076"/>
    <cellStyle name="1_터미널1-0_쌍용수량0905_백화점화장실인테리어_1차 기성 내역서 0612023" xfId="2077"/>
    <cellStyle name="1_터미널1-0_쌍용수량0905_백화점화장실인테리어_3차네고견적(061017-1)" xfId="2078"/>
    <cellStyle name="1_터미널1-0_쌍용수량0905_설계내역서" xfId="2079"/>
    <cellStyle name="1_터미널1-0_쌍용수량0905_설계내역서_1차 기성 내역서 0612023" xfId="2080"/>
    <cellStyle name="1_터미널1-0_쌍용수량0905_설계내역서_3차네고견적(061017-1)" xfId="2081"/>
    <cellStyle name="1_터미널1-0_쌍용수량0905_설계내역서_백화점화장실인테리어" xfId="2082"/>
    <cellStyle name="1_터미널1-0_쌍용수량0905_설계내역서_백화점화장실인테리어_1차 기성 내역서 0612023" xfId="2083"/>
    <cellStyle name="1_터미널1-0_쌍용수량0905_설계내역서_백화점화장실인테리어_3차네고견적(061017-1)" xfId="2084"/>
    <cellStyle name="1_터미널1-0_쌍용수량0905_설계내역서_화명조경" xfId="2085"/>
    <cellStyle name="1_터미널1-0_쌍용수량0905_설계내역서_화명조경_1차 기성 내역서 0612023" xfId="2086"/>
    <cellStyle name="1_터미널1-0_쌍용수량0905_설계내역서_화명조경_3차네고견적(061017-1)" xfId="2087"/>
    <cellStyle name="1_터미널1-0_쌍용수량0905_설계내역서_화명조경_백화점화장실인테리어" xfId="2088"/>
    <cellStyle name="1_터미널1-0_쌍용수량0905_설계내역서_화명조경_백화점화장실인테리어_1차 기성 내역서 0612023" xfId="2089"/>
    <cellStyle name="1_터미널1-0_쌍용수량0905_설계내역서_화명조경_백화점화장실인테리어_3차네고견적(061017-1)" xfId="2090"/>
    <cellStyle name="1_터미널1-0_쌍용수량0905_설계내역서1월7일" xfId="2091"/>
    <cellStyle name="1_터미널1-0_쌍용수량0905_설계내역서1월7일_1차 기성 내역서 0612023" xfId="2092"/>
    <cellStyle name="1_터미널1-0_쌍용수량0905_설계내역서1월7일_3차네고견적(061017-1)" xfId="2093"/>
    <cellStyle name="1_터미널1-0_쌍용수량0905_설계내역서1월7일_백화점화장실인테리어" xfId="2094"/>
    <cellStyle name="1_터미널1-0_쌍용수량0905_설계내역서1월7일_백화점화장실인테리어_1차 기성 내역서 0612023" xfId="2095"/>
    <cellStyle name="1_터미널1-0_쌍용수량0905_설계내역서1월7일_백화점화장실인테리어_3차네고견적(061017-1)" xfId="2096"/>
    <cellStyle name="1_터미널1-0_쌍용수량0905_설계내역서1월7일_화명조경" xfId="2097"/>
    <cellStyle name="1_터미널1-0_쌍용수량0905_설계내역서1월7일_화명조경_1차 기성 내역서 0612023" xfId="2098"/>
    <cellStyle name="1_터미널1-0_쌍용수량0905_설계내역서1월7일_화명조경_3차네고견적(061017-1)" xfId="2099"/>
    <cellStyle name="1_터미널1-0_쌍용수량0905_설계내역서1월7일_화명조경_백화점화장실인테리어" xfId="2100"/>
    <cellStyle name="1_터미널1-0_쌍용수량0905_설계내역서1월7일_화명조경_백화점화장실인테리어_1차 기성 내역서 0612023" xfId="2101"/>
    <cellStyle name="1_터미널1-0_쌍용수량0905_설계내역서1월7일_화명조경_백화점화장실인테리어_3차네고견적(061017-1)" xfId="2102"/>
    <cellStyle name="1_터미널1-0_쌍용수량0905_화명조경" xfId="2103"/>
    <cellStyle name="1_터미널1-0_쌍용수량0905_화명조경_1차 기성 내역서 0612023" xfId="2104"/>
    <cellStyle name="1_터미널1-0_쌍용수량0905_화명조경_3차네고견적(061017-1)" xfId="2105"/>
    <cellStyle name="1_터미널1-0_쌍용수량0905_화명조경_백화점화장실인테리어" xfId="2106"/>
    <cellStyle name="1_터미널1-0_쌍용수량0905_화명조경_백화점화장실인테리어_1차 기성 내역서 0612023" xfId="2107"/>
    <cellStyle name="1_터미널1-0_쌍용수량0905_화명조경_백화점화장실인테리어_3차네고견적(061017-1)" xfId="2108"/>
    <cellStyle name="1_터미널1-0_화명조경" xfId="2109"/>
    <cellStyle name="1_터미널1-0_화명조경_1차 기성 내역서 0612023" xfId="2110"/>
    <cellStyle name="1_터미널1-0_화명조경_3차네고견적(061017-1)" xfId="2111"/>
    <cellStyle name="1_터미널1-0_화명조경_백화점화장실인테리어" xfId="2112"/>
    <cellStyle name="1_터미널1-0_화명조경_백화점화장실인테리어_1차 기성 내역서 0612023" xfId="2113"/>
    <cellStyle name="1_터미널1-0_화명조경_백화점화장실인테리어_3차네고견적(061017-1)" xfId="2114"/>
    <cellStyle name="10" xfId="2115"/>
    <cellStyle name="11" xfId="2116"/>
    <cellStyle name="111" xfId="2117"/>
    <cellStyle name="¹e" xfId="2118"/>
    <cellStyle name="¹éº" xfId="2119"/>
    <cellStyle name="¹éºÐÀ²_±¸¸Å³³±â" xfId="2120"/>
    <cellStyle name="2" xfId="2121"/>
    <cellStyle name="2)" xfId="2122"/>
    <cellStyle name="2_단가조사표" xfId="2123"/>
    <cellStyle name="2자리" xfId="2124"/>
    <cellStyle name="³f¹ô[0]_pldt" xfId="2125"/>
    <cellStyle name="³f¹ô_pldt" xfId="2126"/>
    <cellStyle name="60" xfId="2127"/>
    <cellStyle name="_x0014_7." xfId="2128"/>
    <cellStyle name="82" xfId="2129"/>
    <cellStyle name="90" xfId="2130"/>
    <cellStyle name="A" xfId="2131"/>
    <cellStyle name="A_02-도급공사비내역" xfId="2132"/>
    <cellStyle name="A_04028적산수량집계" xfId="2133"/>
    <cellStyle name="a_0514회의확정자료" xfId="2134"/>
    <cellStyle name="A_0901작업1-금액분리" xfId="2135"/>
    <cellStyle name="A_A0509-가실행(파주)" xfId="2136"/>
    <cellStyle name="a_A-0902건축공사확정(대안포함)" xfId="2137"/>
    <cellStyle name="a_A-0902조경공사확정(대안포함)" xfId="2138"/>
    <cellStyle name="A_BOOKCITY(전기)" xfId="2139"/>
    <cellStyle name="A_BOOKCITY(전기)_04028적산수량집계" xfId="2140"/>
    <cellStyle name="A_Z01-본작업" xfId="2141"/>
    <cellStyle name="A_가실행(3th)" xfId="2142"/>
    <cellStyle name="A_결정01-총괄가실행(0820)" xfId="2143"/>
    <cellStyle name="A_공설운동진입(가실행)" xfId="2144"/>
    <cellStyle name="A_공설운동진입(가실행)_04028적산수량집계" xfId="2145"/>
    <cellStyle name="A_공설운동진입(가실행)_BOOKCITY(전기)" xfId="2146"/>
    <cellStyle name="A_공설운동진입(가실행)_BOOKCITY(전기)_04028적산수량집계" xfId="2147"/>
    <cellStyle name="A_공설운동진입(가실행)_사본 - 파주 북시티(이채)" xfId="2148"/>
    <cellStyle name="A_공설운동진입(가실행)_사본 - 파주 북시티(이채)_04028적산수량집계" xfId="2149"/>
    <cellStyle name="A_공설운동진입(가실행)_파주 BOOK CITY(통보용)" xfId="2150"/>
    <cellStyle name="A_공설운동진입(가실행)_파주 BOOK CITY(통보용)_04028적산수량집계" xfId="2151"/>
    <cellStyle name="A_공설운동진입(가실행)_파주 BOOK CITY가실행내역" xfId="2152"/>
    <cellStyle name="A_공설운동진입(가실행)_파주 BOOK CITY가실행내역_04028적산수량집계" xfId="2153"/>
    <cellStyle name="A_공설운동진입(가실행)_파주 북시티(이채)제출" xfId="2154"/>
    <cellStyle name="A_공설운동진입(가실행)_파주 북시티(이채)제출_04028적산수량집계" xfId="2155"/>
    <cellStyle name="A_공설운동진입(가실행)_파주 북시티(전체)제출(변경전)" xfId="2156"/>
    <cellStyle name="A_공설운동진입(가실행)_파주 북시티(전체)제출(변경전)_04028적산수량집계" xfId="2157"/>
    <cellStyle name="a_공항관련공사비 비교" xfId="2158"/>
    <cellStyle name="A_당팀-가실행작업" xfId="2159"/>
    <cellStyle name="A_도급공사변경Ⅰ(0626)" xfId="2160"/>
    <cellStyle name="A_보고02-건축공사감액보고서(0714)" xfId="2161"/>
    <cellStyle name="A_분석001-구조체투입관련" xfId="2162"/>
    <cellStyle name="A_사본 - 0429파본사" xfId="2163"/>
    <cellStyle name="A_사본 - 파주 북시티(이채)" xfId="2164"/>
    <cellStyle name="A_사본 - 파주 북시티(이채)_04028적산수량집계" xfId="2165"/>
    <cellStyle name="A_실행01-총괄가실행(0828)" xfId="2166"/>
    <cellStyle name="a_자료03-대안수량조정실행대비표" xfId="2167"/>
    <cellStyle name="a_자료06-토목공사" xfId="2168"/>
    <cellStyle name="a_작업01-조경공사0709" xfId="2169"/>
    <cellStyle name="a_참고02-당초가실행" xfId="2170"/>
    <cellStyle name="A_토목내역서" xfId="2171"/>
    <cellStyle name="A_토목내역서_04028적산수량집계" xfId="2172"/>
    <cellStyle name="A_토목내역서_BOOKCITY(전기)" xfId="2173"/>
    <cellStyle name="A_토목내역서_BOOKCITY(전기)_04028적산수량집계" xfId="2174"/>
    <cellStyle name="A_토목내역서_공설운동진입(가실행)" xfId="2175"/>
    <cellStyle name="A_토목내역서_공설운동진입(가실행)_04028적산수량집계" xfId="2176"/>
    <cellStyle name="A_토목내역서_공설운동진입(가실행)_BOOKCITY(전기)" xfId="2177"/>
    <cellStyle name="A_토목내역서_공설운동진입(가실행)_BOOKCITY(전기)_04028적산수량집계" xfId="2178"/>
    <cellStyle name="A_토목내역서_공설운동진입(가실행)_사본 - 파주 북시티(이채)" xfId="2179"/>
    <cellStyle name="A_토목내역서_공설운동진입(가실행)_사본 - 파주 북시티(이채)_04028적산수량집계" xfId="2180"/>
    <cellStyle name="A_토목내역서_공설운동진입(가실행)_파주 BOOK CITY(통보용)" xfId="2181"/>
    <cellStyle name="A_토목내역서_공설운동진입(가실행)_파주 BOOK CITY(통보용)_04028적산수량집계" xfId="2182"/>
    <cellStyle name="A_토목내역서_공설운동진입(가실행)_파주 BOOK CITY가실행내역" xfId="2183"/>
    <cellStyle name="A_토목내역서_공설운동진입(가실행)_파주 BOOK CITY가실행내역_04028적산수량집계" xfId="2184"/>
    <cellStyle name="A_토목내역서_공설운동진입(가실행)_파주 북시티(이채)제출" xfId="2185"/>
    <cellStyle name="A_토목내역서_공설운동진입(가실행)_파주 북시티(이채)제출_04028적산수량집계" xfId="2186"/>
    <cellStyle name="A_토목내역서_공설운동진입(가실행)_파주 북시티(전체)제출(변경전)" xfId="2187"/>
    <cellStyle name="A_토목내역서_공설운동진입(가실행)_파주 북시티(전체)제출(변경전)_04028적산수량집계" xfId="2188"/>
    <cellStyle name="A_토목내역서_사본 - 파주 북시티(이채)" xfId="2189"/>
    <cellStyle name="A_토목내역서_사본 - 파주 북시티(이채)_04028적산수량집계" xfId="2190"/>
    <cellStyle name="A_토목내역서_파주 BOOK CITY(통보용)" xfId="2191"/>
    <cellStyle name="A_토목내역서_파주 BOOK CITY(통보용)_04028적산수량집계" xfId="2192"/>
    <cellStyle name="A_토목내역서_파주 BOOK CITY가실행내역" xfId="2193"/>
    <cellStyle name="A_토목내역서_파주 BOOK CITY가실행내역_04028적산수량집계" xfId="2194"/>
    <cellStyle name="A_토목내역서_파주 북시티(이채)제출" xfId="2195"/>
    <cellStyle name="A_토목내역서_파주 북시티(이채)제출_04028적산수량집계" xfId="2196"/>
    <cellStyle name="A_토목내역서_파주 북시티(전체)제출(변경전)" xfId="2197"/>
    <cellStyle name="A_토목내역서_파주 북시티(전체)제출(변경전)_04028적산수량집계" xfId="2198"/>
    <cellStyle name="A_파주 BOOK CITY(통보용)" xfId="2199"/>
    <cellStyle name="A_파주 BOOK CITY(통보용)_04028적산수량집계" xfId="2200"/>
    <cellStyle name="A_파주 BOOK CITY가실행내역" xfId="2201"/>
    <cellStyle name="A_파주 BOOK CITY가실행내역_04028적산수량집계" xfId="2202"/>
    <cellStyle name="A_파주 북시티(이채)제출" xfId="2203"/>
    <cellStyle name="A_파주 북시티(이채)제출_04028적산수량집계" xfId="2204"/>
    <cellStyle name="A_파주 북시티(전체)제출(변경전)" xfId="2205"/>
    <cellStyle name="A_파주 북시티(전체)제출(변경전)_04028적산수량집계" xfId="2206"/>
    <cellStyle name="a_파주1차가실행(통합)-대안1-현장분" xfId="2207"/>
    <cellStyle name="A¨­￠￢￠O [0]_¨uc¨oA " xfId="2208"/>
    <cellStyle name="A¨­¢¬¢Ò [0]_INQUIRY ¢¯¥ì¨ú¡ÀA©¬A©ª " xfId="2209"/>
    <cellStyle name="A¨­￠￢￠O_¨uc¨oA " xfId="2210"/>
    <cellStyle name="A¨­¢¬¢Ò_INQUIRY ¢¯¥ì¨ú¡ÀA©¬A©ª " xfId="2211"/>
    <cellStyle name="Aⓒ­" xfId="2212"/>
    <cellStyle name="Ae" xfId="2213"/>
    <cellStyle name="Åë" xfId="2214"/>
    <cellStyle name="Aee­ " xfId="2215"/>
    <cellStyle name="Åëè­ [" xfId="2216"/>
    <cellStyle name="AeE­ [0]_ 2ÆAAþº° " xfId="2217"/>
    <cellStyle name="ÅëÈ­ [0]_´ëºñÇ¥" xfId="2218"/>
    <cellStyle name="AeE­ [0]_°ø A¤ C￥  BAR (sample) " xfId="2219"/>
    <cellStyle name="ÅëÈ­ [0]_2000¼ÕÈ® " xfId="2220"/>
    <cellStyle name="AeE­ [0]_95³aAN°y¼o·R " xfId="2221"/>
    <cellStyle name="ÅëÈ­ [0]_Á¤»ê¼­°©Áö" xfId="2222"/>
    <cellStyle name="AeE­ [0]_INQUIRY ¿μ¾÷AßAø " xfId="2223"/>
    <cellStyle name="ÅëÈ­ [0]_kc-elec system check list" xfId="2224"/>
    <cellStyle name="AeE­ [0]_º≫¼± ±æ¾i±uºI ¼o·R Ay°eC￥ " xfId="2225"/>
    <cellStyle name="ÅëÈ­ [0]_RESULTS" xfId="2226"/>
    <cellStyle name="AeE­ [0]_μμ±Þ°ø≫cºn " xfId="2227"/>
    <cellStyle name="AeE­_ 2ÆAAþº° " xfId="2228"/>
    <cellStyle name="ÅëÈ­_´ëºñÇ¥" xfId="2229"/>
    <cellStyle name="AeE­_°ø A¤ C￥  BAR (sample) " xfId="2230"/>
    <cellStyle name="ÅëÈ­_Á¤»ê¼­°©Áö" xfId="2231"/>
    <cellStyle name="AeE­_INQUIRY ¿μ¾÷AßAø " xfId="2232"/>
    <cellStyle name="ÅëÈ­_kc-elec system check list" xfId="2233"/>
    <cellStyle name="AeE­_º≫¼± ±æ¾i±uºI ¼o·R Ay°eC￥ " xfId="2234"/>
    <cellStyle name="ÅëÈ­_RESULTS" xfId="2235"/>
    <cellStyle name="Aee¡" xfId="2236"/>
    <cellStyle name="AeE¡© [0]_INQUIRY ¢¯¥ì¨ú¡ÀA©¬A©ª " xfId="2237"/>
    <cellStyle name="AeE¡©_INQUIRY ¢¯¥ì¨ú¡ÀA©¬A©ª " xfId="2238"/>
    <cellStyle name="AeE¡ⓒ [0]_¨uc¨oA " xfId="2239"/>
    <cellStyle name="AeE¡ⓒ_¨uc¨oA " xfId="2240"/>
    <cellStyle name="ALIGNMENT" xfId="2241"/>
    <cellStyle name="args.style" xfId="2242"/>
    <cellStyle name="Äþ" xfId="2243"/>
    <cellStyle name="Aþ¸" xfId="2244"/>
    <cellStyle name="Äþ¸¶ [" xfId="2245"/>
    <cellStyle name="AÞ¸¶ [0]_ 2ÆAAþº° " xfId="2246"/>
    <cellStyle name="ÄÞ¸¶ [0]_´ëºñÇ¥" xfId="2247"/>
    <cellStyle name="AÞ¸¶ [0]_°¡³ª´U " xfId="2248"/>
    <cellStyle name="AÞ¸¶_ 2ÆAAþº° " xfId="2249"/>
    <cellStyle name="ÄÞ¸¶_´ëºñÇ¥" xfId="2250"/>
    <cellStyle name="AÞ¸¶_°ø A¤ C￥  BAR (sample) " xfId="2251"/>
    <cellStyle name="ÄÞ¸¶_2000¼ÕÈ® " xfId="2252"/>
    <cellStyle name="_x0001_b" xfId="2253"/>
    <cellStyle name="blank" xfId="2254"/>
    <cellStyle name="blank - Style1" xfId="2255"/>
    <cellStyle name="Body" xfId="2256"/>
    <cellStyle name="C" xfId="2257"/>
    <cellStyle name="C_04028적산수량집계" xfId="2258"/>
    <cellStyle name="C_BOOKCITY(전기)" xfId="2259"/>
    <cellStyle name="C_BOOKCITY(전기)_04028적산수량집계" xfId="2260"/>
    <cellStyle name="C_공설운동진입(가실행)" xfId="2261"/>
    <cellStyle name="C_공설운동진입(가실행)_04028적산수량집계" xfId="2262"/>
    <cellStyle name="C_공설운동진입(가실행)_BOOKCITY(전기)" xfId="2263"/>
    <cellStyle name="C_공설운동진입(가실행)_BOOKCITY(전기)_04028적산수량집계" xfId="2264"/>
    <cellStyle name="C_공설운동진입(가실행)_사본 - 파주 북시티(이채)" xfId="2265"/>
    <cellStyle name="C_공설운동진입(가실행)_사본 - 파주 북시티(이채)_04028적산수량집계" xfId="2266"/>
    <cellStyle name="C_공설운동진입(가실행)_파주 BOOK CITY(통보용)" xfId="2267"/>
    <cellStyle name="C_공설운동진입(가실행)_파주 BOOK CITY(통보용)_04028적산수량집계" xfId="2268"/>
    <cellStyle name="C_공설운동진입(가실행)_파주 BOOK CITY가실행내역" xfId="2269"/>
    <cellStyle name="C_공설운동진입(가실행)_파주 BOOK CITY가실행내역_04028적산수량집계" xfId="2270"/>
    <cellStyle name="C_공설운동진입(가실행)_파주 북시티(이채)제출" xfId="2271"/>
    <cellStyle name="C_공설운동진입(가실행)_파주 북시티(이채)제출_04028적산수량집계" xfId="2272"/>
    <cellStyle name="C_공설운동진입(가실행)_파주 북시티(전체)제출(변경전)" xfId="2273"/>
    <cellStyle name="C_공설운동진입(가실행)_파주 북시티(전체)제출(변경전)_04028적산수량집계" xfId="2274"/>
    <cellStyle name="C_사본 - 파주 북시티(이채)" xfId="2275"/>
    <cellStyle name="C_사본 - 파주 북시티(이채)_04028적산수량집계" xfId="2276"/>
    <cellStyle name="C_토목내역서" xfId="2277"/>
    <cellStyle name="C_토목내역서_04028적산수량집계" xfId="2278"/>
    <cellStyle name="C_토목내역서_BOOKCITY(전기)" xfId="2279"/>
    <cellStyle name="C_토목내역서_BOOKCITY(전기)_04028적산수량집계" xfId="2280"/>
    <cellStyle name="C_토목내역서_공설운동진입(가실행)" xfId="2281"/>
    <cellStyle name="C_토목내역서_공설운동진입(가실행)_04028적산수량집계" xfId="2282"/>
    <cellStyle name="C_토목내역서_공설운동진입(가실행)_BOOKCITY(전기)" xfId="2283"/>
    <cellStyle name="C_토목내역서_공설운동진입(가실행)_BOOKCITY(전기)_04028적산수량집계" xfId="2284"/>
    <cellStyle name="C_토목내역서_공설운동진입(가실행)_사본 - 파주 북시티(이채)" xfId="2285"/>
    <cellStyle name="C_토목내역서_공설운동진입(가실행)_사본 - 파주 북시티(이채)_04028적산수량집계" xfId="2286"/>
    <cellStyle name="C_토목내역서_공설운동진입(가실행)_파주 BOOK CITY(통보용)" xfId="2287"/>
    <cellStyle name="C_토목내역서_공설운동진입(가실행)_파주 BOOK CITY(통보용)_04028적산수량집계" xfId="2288"/>
    <cellStyle name="C_토목내역서_공설운동진입(가실행)_파주 BOOK CITY가실행내역" xfId="2289"/>
    <cellStyle name="C_토목내역서_공설운동진입(가실행)_파주 BOOK CITY가실행내역_04028적산수량집계" xfId="2290"/>
    <cellStyle name="C_토목내역서_공설운동진입(가실행)_파주 북시티(이채)제출" xfId="2291"/>
    <cellStyle name="C_토목내역서_공설운동진입(가실행)_파주 북시티(이채)제출_04028적산수량집계" xfId="2292"/>
    <cellStyle name="C_토목내역서_공설운동진입(가실행)_파주 북시티(전체)제출(변경전)" xfId="2293"/>
    <cellStyle name="C_토목내역서_공설운동진입(가실행)_파주 북시티(전체)제출(변경전)_04028적산수량집계" xfId="2294"/>
    <cellStyle name="C_토목내역서_사본 - 파주 북시티(이채)" xfId="2295"/>
    <cellStyle name="C_토목내역서_사본 - 파주 북시티(이채)_04028적산수량집계" xfId="2296"/>
    <cellStyle name="C_토목내역서_파주 BOOK CITY(통보용)" xfId="2297"/>
    <cellStyle name="C_토목내역서_파주 BOOK CITY(통보용)_04028적산수량집계" xfId="2298"/>
    <cellStyle name="C_토목내역서_파주 BOOK CITY가실행내역" xfId="2299"/>
    <cellStyle name="C_토목내역서_파주 BOOK CITY가실행내역_04028적산수량집계" xfId="2300"/>
    <cellStyle name="C_토목내역서_파주 북시티(이채)제출" xfId="2301"/>
    <cellStyle name="C_토목내역서_파주 북시티(이채)제출_04028적산수량집계" xfId="2302"/>
    <cellStyle name="C_토목내역서_파주 북시티(전체)제출(변경전)" xfId="2303"/>
    <cellStyle name="C_토목내역서_파주 북시티(전체)제출(변경전)_04028적산수량집계" xfId="2304"/>
    <cellStyle name="C_파주 BOOK CITY(통보용)" xfId="2305"/>
    <cellStyle name="C_파주 BOOK CITY(통보용)_04028적산수량집계" xfId="2306"/>
    <cellStyle name="C_파주 BOOK CITY가실행내역" xfId="2307"/>
    <cellStyle name="C_파주 BOOK CITY가실행내역_04028적산수량집계" xfId="2308"/>
    <cellStyle name="C_파주 북시티(이채)제출" xfId="2309"/>
    <cellStyle name="C_파주 북시티(이채)제출_04028적산수량집계" xfId="2310"/>
    <cellStyle name="C_파주 북시티(전체)제출(변경전)" xfId="2311"/>
    <cellStyle name="C_파주 북시티(전체)제출(변경전)_04028적산수량집계" xfId="2312"/>
    <cellStyle name="C¡IA¨ª_  FAB AIA￠´  " xfId="2313"/>
    <cellStyle name="C¡ÍA¨ª_¡íc¨ú¡À¨¬I¨¬¡Æ AN¡Æe " xfId="2314"/>
    <cellStyle name="C¡IA¨ª_AO¨uRCN¡¾U " xfId="2315"/>
    <cellStyle name="Ç¥" xfId="2316"/>
    <cellStyle name="C￥AØ_  FAB AIA¤  " xfId="2317"/>
    <cellStyle name="Ç¥ÁØ_(Á¤º¸ºÎ¹®)¿ùº°ÀÎ¿ø°èÈ¹" xfId="2318"/>
    <cellStyle name="C￥AØ_´eAN°yC￥ " xfId="2319"/>
    <cellStyle name="Ç¥ÁØ_´ëºñÇ¥" xfId="2320"/>
    <cellStyle name="C￥AØ_´eºnC￥ (2)_1_ºI´eAa°ø " xfId="2321"/>
    <cellStyle name="Ç¥ÁØ_´ëºñÇ¥ (2)_1_ºÎ´ëÅä°ø " xfId="2322"/>
    <cellStyle name="C￥AØ_´eºnC￥ (2)_ºI´eAa°ø " xfId="2323"/>
    <cellStyle name="Ç¥ÁØ_´ëºñÇ¥ (2)_ºÎ´ëÅä°ø " xfId="2324"/>
    <cellStyle name="C￥AØ_≫c¾÷ºIº° AN°e " xfId="2325"/>
    <cellStyle name="Ç¥ÁØ_¼öÀÍ¼º " xfId="2326"/>
    <cellStyle name="C￥AØ_¹y¸eº¸E￡ " xfId="2327"/>
    <cellStyle name="Ç¥ÁØ_5-1±¤°í " xfId="2328"/>
    <cellStyle name="C￥AØ_95³aAN°y¼o·R " xfId="2329"/>
    <cellStyle name="Ç¥ÁØ_Áý°èÇ¥(2¿ù) " xfId="2330"/>
    <cellStyle name="C￥AØ_CoAo¹yAI °A¾×¿ⓒ½A " xfId="2331"/>
    <cellStyle name="Ç¥ÁØ_ÇöÈ²_¹®Á¦Á¡ " xfId="2332"/>
    <cellStyle name="C￥AØ_E¸AaAO½A " xfId="2333"/>
    <cellStyle name="Ç¥ÁØ_ÈÞÀÏ±Ù·Î" xfId="2334"/>
    <cellStyle name="C￥AØ_FIRE " xfId="2335"/>
    <cellStyle name="Ç¥ÁØ_HATCO HQ" xfId="2336"/>
    <cellStyle name="C￥AØ_LIGHTNING " xfId="2337"/>
    <cellStyle name="Ç¥ÁØ_º¯°æ(ÃÖÁ¾)" xfId="2338"/>
    <cellStyle name="C￥AØ_PERSONAL" xfId="2339"/>
    <cellStyle name="Ç¥ÁØ_RESULTS" xfId="2340"/>
    <cellStyle name="Calc Currency (0)" xfId="2341"/>
    <cellStyle name="Calc Currency (2)" xfId="2342"/>
    <cellStyle name="Calc Percent (0)" xfId="2343"/>
    <cellStyle name="Calc Percent (1)" xfId="2344"/>
    <cellStyle name="Calc Percent (2)" xfId="2345"/>
    <cellStyle name="Calc Units (0)" xfId="2346"/>
    <cellStyle name="Calc Units (1)" xfId="2347"/>
    <cellStyle name="Calc Units (2)" xfId="2348"/>
    <cellStyle name="category" xfId="2349"/>
    <cellStyle name="ÇÏÀÌÆÛ¸µÅ©" xfId="2350"/>
    <cellStyle name="CIAIÆU¸μAⓒ" xfId="2351"/>
    <cellStyle name="ⓒo" xfId="2352"/>
    <cellStyle name="Comma" xfId="2353"/>
    <cellStyle name="Comma  - Style2" xfId="2354"/>
    <cellStyle name="Comma  - Style3" xfId="2355"/>
    <cellStyle name="Comma  - Style4" xfId="2356"/>
    <cellStyle name="Comma  - Style5" xfId="2357"/>
    <cellStyle name="Comma  - Style6" xfId="2358"/>
    <cellStyle name="Comma  - Style7" xfId="2359"/>
    <cellStyle name="Comma  - Style8" xfId="2360"/>
    <cellStyle name="Comma [0]" xfId="2584"/>
    <cellStyle name="Comma [00]" xfId="2361"/>
    <cellStyle name="comma zerodec" xfId="2362"/>
    <cellStyle name="Comma_ SG&amp;A Bridge" xfId="2363"/>
    <cellStyle name="Comma0" xfId="2364"/>
    <cellStyle name="Copied" xfId="2365"/>
    <cellStyle name="Curren?_x0012_퐀_x0017_?" xfId="2366"/>
    <cellStyle name="Currency" xfId="2367"/>
    <cellStyle name="Currency [0]" xfId="2368"/>
    <cellStyle name="Currency [00]" xfId="2369"/>
    <cellStyle name="Currency_ SG&amp;A Bridge " xfId="2370"/>
    <cellStyle name="Currency0" xfId="2371"/>
    <cellStyle name="Currency1" xfId="2372"/>
    <cellStyle name="Date" xfId="2373"/>
    <cellStyle name="Date Short" xfId="2374"/>
    <cellStyle name="Date_견적양식(가로)" xfId="2375"/>
    <cellStyle name="DELTA" xfId="2376"/>
    <cellStyle name="Dezimal [0]_Compiling Utility Macros" xfId="2377"/>
    <cellStyle name="Dezimal_Compiling Utility Macros" xfId="2378"/>
    <cellStyle name="Dollar (zero dec)" xfId="2379"/>
    <cellStyle name="En-t?e 1" xfId="2380"/>
    <cellStyle name="En-t?e 2" xfId="2381"/>
    <cellStyle name="Enter Currency (0)" xfId="2382"/>
    <cellStyle name="Enter Currency (2)" xfId="2383"/>
    <cellStyle name="Enter Units (0)" xfId="2384"/>
    <cellStyle name="Enter Units (1)" xfId="2385"/>
    <cellStyle name="Enter Units (2)" xfId="2386"/>
    <cellStyle name="Entered" xfId="2387"/>
    <cellStyle name="Euro" xfId="2388"/>
    <cellStyle name="F2" xfId="2389"/>
    <cellStyle name="F3" xfId="2390"/>
    <cellStyle name="F4" xfId="2391"/>
    <cellStyle name="F5" xfId="2392"/>
    <cellStyle name="F6" xfId="2393"/>
    <cellStyle name="F7" xfId="2394"/>
    <cellStyle name="F8" xfId="2395"/>
    <cellStyle name="Financier0" xfId="2396"/>
    <cellStyle name="Fixed" xfId="2397"/>
    <cellStyle name="Followed Hyperlink" xfId="2398"/>
    <cellStyle name="G10" xfId="2399"/>
    <cellStyle name="Grey" xfId="2400"/>
    <cellStyle name="H1" xfId="2401"/>
    <cellStyle name="H2" xfId="2402"/>
    <cellStyle name="HEADER" xfId="2403"/>
    <cellStyle name="Header1" xfId="2404"/>
    <cellStyle name="Header2" xfId="2405"/>
    <cellStyle name="Heading 1" xfId="2406"/>
    <cellStyle name="Heading 2" xfId="2407"/>
    <cellStyle name="Heading1" xfId="2408"/>
    <cellStyle name="Heading2" xfId="2409"/>
    <cellStyle name="HEADINGS" xfId="2410"/>
    <cellStyle name="HEADINGSTOP" xfId="2411"/>
    <cellStyle name="Helv8_PFD4.XLS" xfId="2412"/>
    <cellStyle name="Hyperlink" xfId="2413"/>
    <cellStyle name="Input [yellow]" xfId="2414"/>
    <cellStyle name="L`" xfId="2415"/>
    <cellStyle name="Link Currency (0)" xfId="2416"/>
    <cellStyle name="Link Currency (2)" xfId="2417"/>
    <cellStyle name="Link Units (0)" xfId="2418"/>
    <cellStyle name="Link Units (1)" xfId="2419"/>
    <cellStyle name="Link Units (2)" xfId="2420"/>
    <cellStyle name="Milliers [0]_399GC10" xfId="2421"/>
    <cellStyle name="Milliers_399GC10" xfId="2422"/>
    <cellStyle name="mma_CASH &amp; DSO" xfId="2423"/>
    <cellStyle name="Model" xfId="2424"/>
    <cellStyle name="Mon?aire [0]_399GC10" xfId="2425"/>
    <cellStyle name="Mon?aire_399GC10" xfId="2426"/>
    <cellStyle name="Mon?aire0" xfId="2427"/>
    <cellStyle name="no dec" xfId="2428"/>
    <cellStyle name="Normal - Style1" xfId="2429"/>
    <cellStyle name="Normal - Style2" xfId="2430"/>
    <cellStyle name="Normal - Style3" xfId="2431"/>
    <cellStyle name="Normal - Style4" xfId="2432"/>
    <cellStyle name="Normal - Style5" xfId="2433"/>
    <cellStyle name="Normal - Style6" xfId="2434"/>
    <cellStyle name="Normal - Style7" xfId="2435"/>
    <cellStyle name="Normal - Style8" xfId="2436"/>
    <cellStyle name="Normal - 유형1" xfId="2437"/>
    <cellStyle name="Œ…?æ맖?e [0.00]_guyan" xfId="2438"/>
    <cellStyle name="Œ…?æ맖?e_guyan" xfId="2439"/>
    <cellStyle name="oh" xfId="2440"/>
    <cellStyle name="per.style" xfId="2441"/>
    <cellStyle name="Percent" xfId="2442"/>
    <cellStyle name="Percent (0)" xfId="2443"/>
    <cellStyle name="Percent [0]" xfId="2444"/>
    <cellStyle name="Percent [00]" xfId="2445"/>
    <cellStyle name="Percent [2]" xfId="2446"/>
    <cellStyle name="Percent_#6 Temps &amp; Contractors" xfId="2447"/>
    <cellStyle name="PrePop Currency (0)" xfId="2448"/>
    <cellStyle name="PrePop Currency (2)" xfId="2449"/>
    <cellStyle name="PrePop Units (0)" xfId="2450"/>
    <cellStyle name="PrePop Units (1)" xfId="2451"/>
    <cellStyle name="PrePop Units (2)" xfId="2452"/>
    <cellStyle name="regstoresfromspecstores" xfId="2453"/>
    <cellStyle name="RevList" xfId="2454"/>
    <cellStyle name="RLTJD(S" xfId="2455"/>
    <cellStyle name="s]_x000d__x000a_run=c:\Hedgehog\app31.exe_x000d__x000a_spooler=yes_x000d__x000a_load=_x000d__x000a_run=_x000d__x000a_Beep=yes_x000d__x000a_NullPort=None_x000d__x000a_BorderWidth=3_x000d__x000a_CursorBlinkRate=530_x000d__x000a_D" xfId="2456"/>
    <cellStyle name="SAPBEXaggData" xfId="2457"/>
    <cellStyle name="SAPBEXstdData" xfId="2458"/>
    <cellStyle name="sh" xfId="2459"/>
    <cellStyle name="SHADEDSTORES" xfId="2460"/>
    <cellStyle name="specstores" xfId="2461"/>
    <cellStyle name="ssh" xfId="2462"/>
    <cellStyle name="STANDARD" xfId="2463"/>
    <cellStyle name="subhead" xfId="2464"/>
    <cellStyle name="Subtotal" xfId="2465"/>
    <cellStyle name="Text Indent A" xfId="2466"/>
    <cellStyle name="Text Indent B" xfId="2467"/>
    <cellStyle name="Text Indent C" xfId="2468"/>
    <cellStyle name="Title" xfId="2469"/>
    <cellStyle name="title [1]" xfId="2470"/>
    <cellStyle name="title [2]" xfId="2471"/>
    <cellStyle name="Title_견적양식(가로)" xfId="2472"/>
    <cellStyle name="Total" xfId="2473"/>
    <cellStyle name="UM" xfId="2474"/>
    <cellStyle name="Virgule fixe" xfId="2475"/>
    <cellStyle name="W?rung [0]_Compiling Utility Macros" xfId="2476"/>
    <cellStyle name="W?rung_Compiling Utility Macros" xfId="2477"/>
    <cellStyle name="_x0008_z" xfId="2478"/>
    <cellStyle name="μU¿¡ ¿A´A CIAIÆU¸μAⓒ" xfId="2479"/>
    <cellStyle name="|?ドE" xfId="2480"/>
    <cellStyle name="견적" xfId="2481"/>
    <cellStyle name="고정소숫점" xfId="2482"/>
    <cellStyle name="고정출력1" xfId="2483"/>
    <cellStyle name="고정출력2" xfId="2484"/>
    <cellStyle name="공사원가계산서(조경)" xfId="2485"/>
    <cellStyle name="기계" xfId="2486"/>
    <cellStyle name="기본숫자" xfId="2487"/>
    <cellStyle name="기성(내용)" xfId="2488"/>
    <cellStyle name="기성(내용2)" xfId="2489"/>
    <cellStyle name="끼_x0001_?" xfId="2490"/>
    <cellStyle name="날짜" xfId="2491"/>
    <cellStyle name="내역서" xfId="2492"/>
    <cellStyle name="단가" xfId="2493"/>
    <cellStyle name="달러" xfId="2494"/>
    <cellStyle name="돋움채" xfId="2495"/>
    <cellStyle name="뒤에 오는 하이퍼링크" xfId="2496"/>
    <cellStyle name="똿떓죶Ø괻 [0.00]_NT Server " xfId="2497"/>
    <cellStyle name="똿떓죶Ø괻_NT Server " xfId="2498"/>
    <cellStyle name="똿뗦먛귟 [0.00]_laroux" xfId="2499"/>
    <cellStyle name="똿뗦먛귟_laroux" xfId="2500"/>
    <cellStyle name="마이너스키" xfId="2501"/>
    <cellStyle name="묮뎋 [0.00]_NT Server " xfId="2502"/>
    <cellStyle name="묮뎋_NT Server " xfId="2503"/>
    <cellStyle name="물량집계(갑)" xfId="2504"/>
    <cellStyle name="믅됞 [0.00]_laroux" xfId="2505"/>
    <cellStyle name="믅됞_laroux" xfId="2506"/>
    <cellStyle name="배분" xfId="2507"/>
    <cellStyle name="백" xfId="2508"/>
    <cellStyle name="백_04028적산수량집계" xfId="2509"/>
    <cellStyle name="백_BOOKCITY(전기)" xfId="2510"/>
    <cellStyle name="백_BOOKCITY(전기)_04028적산수량집계" xfId="2511"/>
    <cellStyle name="백_TRU내역서" xfId="2512"/>
    <cellStyle name="백_견적양식(가로)" xfId="2513"/>
    <cellStyle name="백_공설운동진입(가실행)" xfId="2514"/>
    <cellStyle name="백_공설운동진입(가실행)_04028적산수량집계" xfId="2515"/>
    <cellStyle name="백_공설운동진입(가실행)_BOOKCITY(전기)" xfId="2516"/>
    <cellStyle name="백_공설운동진입(가실행)_BOOKCITY(전기)_04028적산수량집계" xfId="2517"/>
    <cellStyle name="백_공설운동진입(가실행)_사본 - 파주 북시티(이채)" xfId="2518"/>
    <cellStyle name="백_공설운동진입(가실행)_사본 - 파주 북시티(이채)_04028적산수량집계" xfId="2519"/>
    <cellStyle name="백_공설운동진입(가실행)_파주 BOOK CITY(통보용)" xfId="2520"/>
    <cellStyle name="백_공설운동진입(가실행)_파주 BOOK CITY(통보용)_04028적산수량집계" xfId="2521"/>
    <cellStyle name="백_공설운동진입(가실행)_파주 BOOK CITY가실행내역" xfId="2522"/>
    <cellStyle name="백_공설운동진입(가실행)_파주 BOOK CITY가실행내역_04028적산수량집계" xfId="2523"/>
    <cellStyle name="백_공설운동진입(가실행)_파주 북시티(이채)제출" xfId="2524"/>
    <cellStyle name="백_공설운동진입(가실행)_파주 북시티(이채)제출_04028적산수량집계" xfId="2525"/>
    <cellStyle name="백_공설운동진입(가실행)_파주 북시티(전체)제출(변경전)" xfId="2526"/>
    <cellStyle name="백_공설운동진입(가실행)_파주 북시티(전체)제출(변경전)_04028적산수량집계" xfId="2527"/>
    <cellStyle name="백_사본 - 파주 북시티(이채)" xfId="2528"/>
    <cellStyle name="백_사본 - 파주 북시티(이채)_04028적산수량집계" xfId="2529"/>
    <cellStyle name="백_정산내역(0515)-검토" xfId="2530"/>
    <cellStyle name="백_토목내역서" xfId="2531"/>
    <cellStyle name="백_토목내역서_04028적산수량집계" xfId="2532"/>
    <cellStyle name="백_토목내역서_BOOKCITY(전기)" xfId="2533"/>
    <cellStyle name="백_토목내역서_BOOKCITY(전기)_04028적산수량집계" xfId="2534"/>
    <cellStyle name="백_토목내역서_공설운동진입(가실행)" xfId="2535"/>
    <cellStyle name="백_토목내역서_공설운동진입(가실행)_04028적산수량집계" xfId="2536"/>
    <cellStyle name="백_토목내역서_공설운동진입(가실행)_BOOKCITY(전기)" xfId="2537"/>
    <cellStyle name="백_토목내역서_공설운동진입(가실행)_BOOKCITY(전기)_04028적산수량집계" xfId="2538"/>
    <cellStyle name="백_토목내역서_공설운동진입(가실행)_사본 - 파주 북시티(이채)" xfId="2539"/>
    <cellStyle name="백_토목내역서_공설운동진입(가실행)_사본 - 파주 북시티(이채)_04028적산수량집계" xfId="2540"/>
    <cellStyle name="백_토목내역서_공설운동진입(가실행)_파주 BOOK CITY(통보용)" xfId="2541"/>
    <cellStyle name="백_토목내역서_공설운동진입(가실행)_파주 BOOK CITY(통보용)_04028적산수량집계" xfId="2542"/>
    <cellStyle name="백_토목내역서_공설운동진입(가실행)_파주 BOOK CITY가실행내역" xfId="2543"/>
    <cellStyle name="백_토목내역서_공설운동진입(가실행)_파주 BOOK CITY가실행내역_04028적산수량집계" xfId="2544"/>
    <cellStyle name="백_토목내역서_공설운동진입(가실행)_파주 북시티(이채)제출" xfId="2545"/>
    <cellStyle name="백_토목내역서_공설운동진입(가실행)_파주 북시티(이채)제출_04028적산수량집계" xfId="2546"/>
    <cellStyle name="백_토목내역서_공설운동진입(가실행)_파주 북시티(전체)제출(변경전)" xfId="2547"/>
    <cellStyle name="백_토목내역서_공설운동진입(가실행)_파주 북시티(전체)제출(변경전)_04028적산수량집계" xfId="2548"/>
    <cellStyle name="백_토목내역서_사본 - 파주 북시티(이채)" xfId="2549"/>
    <cellStyle name="백_토목내역서_사본 - 파주 북시티(이채)_04028적산수량집계" xfId="2550"/>
    <cellStyle name="백_토목내역서_파주 BOOK CITY(통보용)" xfId="2551"/>
    <cellStyle name="백_토목내역서_파주 BOOK CITY(통보용)_04028적산수량집계" xfId="2552"/>
    <cellStyle name="백_토목내역서_파주 BOOK CITY가실행내역" xfId="2553"/>
    <cellStyle name="백_토목내역서_파주 BOOK CITY가실행내역_04028적산수량집계" xfId="2554"/>
    <cellStyle name="백_토목내역서_파주 북시티(이채)제출" xfId="2555"/>
    <cellStyle name="백_토목내역서_파주 북시티(이채)제출_04028적산수량집계" xfId="2556"/>
    <cellStyle name="백_토목내역서_파주 북시티(전체)제출(변경전)" xfId="2557"/>
    <cellStyle name="백_토목내역서_파주 북시티(전체)제출(변경전)_04028적산수량집계" xfId="2558"/>
    <cellStyle name="백_파주 BOOK CITY(통보용)" xfId="2559"/>
    <cellStyle name="백_파주 BOOK CITY(통보용)_04028적산수량집계" xfId="2560"/>
    <cellStyle name="백_파주 BOOK CITY가실행내역" xfId="2561"/>
    <cellStyle name="백_파주 BOOK CITY가실행내역_04028적산수량집계" xfId="2562"/>
    <cellStyle name="백_파주 북시티(이채)제출" xfId="2563"/>
    <cellStyle name="백_파주 북시티(이채)제출_04028적산수량집계" xfId="2564"/>
    <cellStyle name="백_파주 북시티(전체)제출(변경전)" xfId="2565"/>
    <cellStyle name="백_파주 북시티(전체)제출(변경전)_04028적산수량집계" xfId="2566"/>
    <cellStyle name="백분율 [△1]" xfId="2567"/>
    <cellStyle name="백분율 [△2]" xfId="2568"/>
    <cellStyle name="백분율 [0]" xfId="2569"/>
    <cellStyle name="백분율 [2]" xfId="2570"/>
    <cellStyle name="백분율 2" xfId="2571"/>
    <cellStyle name="백분율［△1］" xfId="2572"/>
    <cellStyle name="백분율［△2］" xfId="2573"/>
    <cellStyle name="분수" xfId="2574"/>
    <cellStyle name="뷭?" xfId="2575"/>
    <cellStyle name="빨간색" xfId="2576"/>
    <cellStyle name="常规_PhaseⅡ Detail" xfId="2577"/>
    <cellStyle name="선택영역의 가운데로" xfId="2578"/>
    <cellStyle name="설계서" xfId="2579"/>
    <cellStyle name="수량" xfId="2580"/>
    <cellStyle name="수량1" xfId="2581"/>
    <cellStyle name="수목명" xfId="2582"/>
    <cellStyle name="숫자(R)" xfId="2583"/>
    <cellStyle name="쉼표 [0]" xfId="2865" builtinId="6"/>
    <cellStyle name="쉼표 [0] 2" xfId="2585"/>
    <cellStyle name="쉼표 [0] 2 2" xfId="2586"/>
    <cellStyle name="쉼표 [0] 2 2 2" xfId="2860"/>
    <cellStyle name="쉼표 [0] 2 2 2 2" xfId="2861"/>
    <cellStyle name="쉼표 [0] 3" xfId="2587"/>
    <cellStyle name="쉼표 [0] 3 2" xfId="2863"/>
    <cellStyle name="쉼표 [0] 4" xfId="2588"/>
    <cellStyle name="쉼표 [0] 5" xfId="2867"/>
    <cellStyle name="스타일 1" xfId="2589"/>
    <cellStyle name="스타일 10" xfId="2590"/>
    <cellStyle name="스타일 11" xfId="2591"/>
    <cellStyle name="스타일 12" xfId="2592"/>
    <cellStyle name="스타일 13" xfId="2593"/>
    <cellStyle name="스타일 14" xfId="2594"/>
    <cellStyle name="스타일 15" xfId="2595"/>
    <cellStyle name="스타일 16" xfId="2596"/>
    <cellStyle name="스타일 17" xfId="2597"/>
    <cellStyle name="스타일 18" xfId="2598"/>
    <cellStyle name="스타일 19" xfId="2599"/>
    <cellStyle name="스타일 2" xfId="2600"/>
    <cellStyle name="스타일 20" xfId="2601"/>
    <cellStyle name="스타일 21" xfId="2602"/>
    <cellStyle name="스타일 22" xfId="2603"/>
    <cellStyle name="스타일 23" xfId="2604"/>
    <cellStyle name="스타일 24" xfId="2605"/>
    <cellStyle name="스타일 25" xfId="2606"/>
    <cellStyle name="스타일 26" xfId="2607"/>
    <cellStyle name="스타일 27" xfId="2608"/>
    <cellStyle name="스타일 28" xfId="2609"/>
    <cellStyle name="스타일 29" xfId="2610"/>
    <cellStyle name="스타일 3" xfId="2611"/>
    <cellStyle name="스타일 30" xfId="2612"/>
    <cellStyle name="스타일 31" xfId="2613"/>
    <cellStyle name="스타일 32" xfId="2614"/>
    <cellStyle name="스타일 33" xfId="2615"/>
    <cellStyle name="스타일 34" xfId="2616"/>
    <cellStyle name="스타일 35" xfId="2617"/>
    <cellStyle name="스타일 36" xfId="2618"/>
    <cellStyle name="스타일 37" xfId="2619"/>
    <cellStyle name="스타일 38" xfId="2620"/>
    <cellStyle name="스타일 39" xfId="2621"/>
    <cellStyle name="스타일 4" xfId="2622"/>
    <cellStyle name="스타일 40" xfId="2623"/>
    <cellStyle name="스타일 41" xfId="2624"/>
    <cellStyle name="스타일 42" xfId="2625"/>
    <cellStyle name="스타일 43" xfId="2626"/>
    <cellStyle name="스타일 44" xfId="2627"/>
    <cellStyle name="스타일 45" xfId="2628"/>
    <cellStyle name="스타일 5" xfId="2629"/>
    <cellStyle name="스타일 6" xfId="2630"/>
    <cellStyle name="스타일 7" xfId="2631"/>
    <cellStyle name="스타일 8" xfId="2632"/>
    <cellStyle name="스타일 9" xfId="2633"/>
    <cellStyle name="안건회계법인" xfId="2634"/>
    <cellStyle name="열어본 하이퍼링크" xfId="2635"/>
    <cellStyle name="옛체" xfId="2636"/>
    <cellStyle name="왼쪽2" xfId="2637"/>
    <cellStyle name="원" xfId="2638"/>
    <cellStyle name="원_02대여금" xfId="2639"/>
    <cellStyle name="원_02투자" xfId="2640"/>
    <cellStyle name="원_02투자및대여금종합" xfId="2641"/>
    <cellStyle name="원_NCF6BB2F" xfId="2642"/>
    <cellStyle name="원_남양주무궁화공정표(03.08.22)" xfId="2643"/>
    <cellStyle name="원_환경1팀수주최종본" xfId="2644"/>
    <cellStyle name="일위대가" xfId="2645"/>
    <cellStyle name="자리수" xfId="2646"/>
    <cellStyle name="자리수 - 유형1" xfId="2647"/>
    <cellStyle name="자리수_견적양식(가로)" xfId="2648"/>
    <cellStyle name="자리수0" xfId="2649"/>
    <cellStyle name="제목 1(左)" xfId="2650"/>
    <cellStyle name="제목 1(中)" xfId="2651"/>
    <cellStyle name="제목[1 줄]" xfId="2652"/>
    <cellStyle name="제목[2줄 아래]" xfId="2653"/>
    <cellStyle name="제목[2줄 위]" xfId="2654"/>
    <cellStyle name="제목1" xfId="2655"/>
    <cellStyle name="지정되지 않음" xfId="2656"/>
    <cellStyle name="콤" xfId="2657"/>
    <cellStyle name="콤_04028적산수량집계" xfId="2658"/>
    <cellStyle name="콤_BOOKCITY(전기)" xfId="2659"/>
    <cellStyle name="콤_BOOKCITY(전기)_04028적산수량집계" xfId="2660"/>
    <cellStyle name="콤_공설운동진입(가실행)" xfId="2661"/>
    <cellStyle name="콤_공설운동진입(가실행)_04028적산수량집계" xfId="2662"/>
    <cellStyle name="콤_공설운동진입(가실행)_BOOKCITY(전기)" xfId="2663"/>
    <cellStyle name="콤_공설운동진입(가실행)_BOOKCITY(전기)_04028적산수량집계" xfId="2664"/>
    <cellStyle name="콤_공설운동진입(가실행)_사본 - 파주 북시티(이채)" xfId="2665"/>
    <cellStyle name="콤_공설운동진입(가실행)_사본 - 파주 북시티(이채)_04028적산수량집계" xfId="2666"/>
    <cellStyle name="콤_공설운동진입(가실행)_파주 BOOK CITY(통보용)" xfId="2667"/>
    <cellStyle name="콤_공설운동진입(가실행)_파주 BOOK CITY(통보용)_04028적산수량집계" xfId="2668"/>
    <cellStyle name="콤_공설운동진입(가실행)_파주 BOOK CITY가실행내역" xfId="2669"/>
    <cellStyle name="콤_공설운동진입(가실행)_파주 BOOK CITY가실행내역_04028적산수량집계" xfId="2670"/>
    <cellStyle name="콤_공설운동진입(가실행)_파주 북시티(이채)제출" xfId="2671"/>
    <cellStyle name="콤_공설운동진입(가실행)_파주 북시티(이채)제출_04028적산수량집계" xfId="2672"/>
    <cellStyle name="콤_공설운동진입(가실행)_파주 북시티(전체)제출(변경전)" xfId="2673"/>
    <cellStyle name="콤_공설운동진입(가실행)_파주 북시티(전체)제출(변경전)_04028적산수량집계" xfId="2674"/>
    <cellStyle name="콤_사본 - 파주 북시티(이채)" xfId="2675"/>
    <cellStyle name="콤_사본 - 파주 북시티(이채)_04028적산수량집계" xfId="2676"/>
    <cellStyle name="콤_토목내역서" xfId="2677"/>
    <cellStyle name="콤_토목내역서_04028적산수량집계" xfId="2678"/>
    <cellStyle name="콤_토목내역서_BOOKCITY(전기)" xfId="2679"/>
    <cellStyle name="콤_토목내역서_BOOKCITY(전기)_04028적산수량집계" xfId="2680"/>
    <cellStyle name="콤_토목내역서_공설운동진입(가실행)" xfId="2681"/>
    <cellStyle name="콤_토목내역서_공설운동진입(가실행)_04028적산수량집계" xfId="2682"/>
    <cellStyle name="콤_토목내역서_공설운동진입(가실행)_BOOKCITY(전기)" xfId="2683"/>
    <cellStyle name="콤_토목내역서_공설운동진입(가실행)_BOOKCITY(전기)_04028적산수량집계" xfId="2684"/>
    <cellStyle name="콤_토목내역서_공설운동진입(가실행)_사본 - 파주 북시티(이채)" xfId="2685"/>
    <cellStyle name="콤_토목내역서_공설운동진입(가실행)_사본 - 파주 북시티(이채)_04028적산수량집계" xfId="2686"/>
    <cellStyle name="콤_토목내역서_공설운동진입(가실행)_파주 BOOK CITY(통보용)" xfId="2687"/>
    <cellStyle name="콤_토목내역서_공설운동진입(가실행)_파주 BOOK CITY(통보용)_04028적산수량집계" xfId="2688"/>
    <cellStyle name="콤_토목내역서_공설운동진입(가실행)_파주 BOOK CITY가실행내역" xfId="2689"/>
    <cellStyle name="콤_토목내역서_공설운동진입(가실행)_파주 BOOK CITY가실행내역_04028적산수량집계" xfId="2690"/>
    <cellStyle name="콤_토목내역서_공설운동진입(가실행)_파주 북시티(이채)제출" xfId="2691"/>
    <cellStyle name="콤_토목내역서_공설운동진입(가실행)_파주 북시티(이채)제출_04028적산수량집계" xfId="2692"/>
    <cellStyle name="콤_토목내역서_공설운동진입(가실행)_파주 북시티(전체)제출(변경전)" xfId="2693"/>
    <cellStyle name="콤_토목내역서_공설운동진입(가실행)_파주 북시티(전체)제출(변경전)_04028적산수량집계" xfId="2694"/>
    <cellStyle name="콤_토목내역서_사본 - 파주 북시티(이채)" xfId="2695"/>
    <cellStyle name="콤_토목내역서_사본 - 파주 북시티(이채)_04028적산수량집계" xfId="2696"/>
    <cellStyle name="콤_토목내역서_파주 BOOK CITY(통보용)" xfId="2697"/>
    <cellStyle name="콤_토목내역서_파주 BOOK CITY(통보용)_04028적산수량집계" xfId="2698"/>
    <cellStyle name="콤_토목내역서_파주 BOOK CITY가실행내역" xfId="2699"/>
    <cellStyle name="콤_토목내역서_파주 BOOK CITY가실행내역_04028적산수량집계" xfId="2700"/>
    <cellStyle name="콤_토목내역서_파주 북시티(이채)제출" xfId="2701"/>
    <cellStyle name="콤_토목내역서_파주 북시티(이채)제출_04028적산수량집계" xfId="2702"/>
    <cellStyle name="콤_토목내역서_파주 북시티(전체)제출(변경전)" xfId="2703"/>
    <cellStyle name="콤_토목내역서_파주 북시티(전체)제출(변경전)_04028적산수량집계" xfId="2704"/>
    <cellStyle name="콤_파주 BOOK CITY(통보용)" xfId="2705"/>
    <cellStyle name="콤_파주 BOOK CITY(통보용)_04028적산수량집계" xfId="2706"/>
    <cellStyle name="콤_파주 BOOK CITY가실행내역" xfId="2707"/>
    <cellStyle name="콤_파주 BOOK CITY가실행내역_04028적산수량집계" xfId="2708"/>
    <cellStyle name="콤_파주 북시티(이채)제출" xfId="2709"/>
    <cellStyle name="콤_파주 북시티(이채)제출_04028적산수량집계" xfId="2710"/>
    <cellStyle name="콤_파주 북시티(전체)제출(변경전)" xfId="2711"/>
    <cellStyle name="콤_파주 북시티(전체)제출(변경전)_04028적산수량집계" xfId="2712"/>
    <cellStyle name="콤냡?&lt;_x000f_$??: `1_1 " xfId="2713"/>
    <cellStyle name="콤마" xfId="2714"/>
    <cellStyle name="콤마 [" xfId="2715"/>
    <cellStyle name="콤마 [#]" xfId="2716"/>
    <cellStyle name="콤마 []" xfId="2717"/>
    <cellStyle name="콤마 [0]" xfId="2718"/>
    <cellStyle name="콤마 [2]" xfId="2719"/>
    <cellStyle name="콤마 [금액]" xfId="2720"/>
    <cellStyle name="콤마 [소수]" xfId="2721"/>
    <cellStyle name="콤마 [수량]" xfId="2722"/>
    <cellStyle name="콤마 1" xfId="2723"/>
    <cellStyle name="콤마[ ]" xfId="2724"/>
    <cellStyle name="콤마[*]" xfId="2725"/>
    <cellStyle name="콤마[,]" xfId="2726"/>
    <cellStyle name="콤마[.]" xfId="2727"/>
    <cellStyle name="콤마[0]" xfId="2728"/>
    <cellStyle name="콤마_  종  합  " xfId="2729"/>
    <cellStyle name="통" xfId="2730"/>
    <cellStyle name="통_04028적산수량집계" xfId="2731"/>
    <cellStyle name="통_BOOKCITY(전기)" xfId="2732"/>
    <cellStyle name="통_BOOKCITY(전기)_04028적산수량집계" xfId="2733"/>
    <cellStyle name="통_공설운동진입(가실행)" xfId="2734"/>
    <cellStyle name="통_공설운동진입(가실행)_04028적산수량집계" xfId="2735"/>
    <cellStyle name="통_공설운동진입(가실행)_BOOKCITY(전기)" xfId="2736"/>
    <cellStyle name="통_공설운동진입(가실행)_BOOKCITY(전기)_04028적산수량집계" xfId="2737"/>
    <cellStyle name="통_공설운동진입(가실행)_사본 - 파주 북시티(이채)" xfId="2738"/>
    <cellStyle name="통_공설운동진입(가실행)_사본 - 파주 북시티(이채)_04028적산수량집계" xfId="2739"/>
    <cellStyle name="통_공설운동진입(가실행)_파주 BOOK CITY(통보용)" xfId="2740"/>
    <cellStyle name="통_공설운동진입(가실행)_파주 BOOK CITY(통보용)_04028적산수량집계" xfId="2741"/>
    <cellStyle name="통_공설운동진입(가실행)_파주 BOOK CITY가실행내역" xfId="2742"/>
    <cellStyle name="통_공설운동진입(가실행)_파주 BOOK CITY가실행내역_04028적산수량집계" xfId="2743"/>
    <cellStyle name="통_공설운동진입(가실행)_파주 북시티(이채)제출" xfId="2744"/>
    <cellStyle name="통_공설운동진입(가실행)_파주 북시티(이채)제출_04028적산수량집계" xfId="2745"/>
    <cellStyle name="통_공설운동진입(가실행)_파주 북시티(전체)제출(변경전)" xfId="2746"/>
    <cellStyle name="통_공설운동진입(가실행)_파주 북시티(전체)제출(변경전)_04028적산수량집계" xfId="2747"/>
    <cellStyle name="통_사본 - 파주 북시티(이채)" xfId="2748"/>
    <cellStyle name="통_사본 - 파주 북시티(이채)_04028적산수량집계" xfId="2749"/>
    <cellStyle name="통_토목내역서" xfId="2750"/>
    <cellStyle name="통_토목내역서_04028적산수량집계" xfId="2751"/>
    <cellStyle name="통_토목내역서_BOOKCITY(전기)" xfId="2752"/>
    <cellStyle name="통_토목내역서_BOOKCITY(전기)_04028적산수량집계" xfId="2753"/>
    <cellStyle name="통_토목내역서_공설운동진입(가실행)" xfId="2754"/>
    <cellStyle name="통_토목내역서_공설운동진입(가실행)_04028적산수량집계" xfId="2755"/>
    <cellStyle name="통_토목내역서_공설운동진입(가실행)_BOOKCITY(전기)" xfId="2756"/>
    <cellStyle name="통_토목내역서_공설운동진입(가실행)_BOOKCITY(전기)_04028적산수량집계" xfId="2757"/>
    <cellStyle name="통_토목내역서_공설운동진입(가실행)_사본 - 파주 북시티(이채)" xfId="2758"/>
    <cellStyle name="통_토목내역서_공설운동진입(가실행)_사본 - 파주 북시티(이채)_04028적산수량집계" xfId="2759"/>
    <cellStyle name="통_토목내역서_공설운동진입(가실행)_파주 BOOK CITY(통보용)" xfId="2760"/>
    <cellStyle name="통_토목내역서_공설운동진입(가실행)_파주 BOOK CITY(통보용)_04028적산수량집계" xfId="2761"/>
    <cellStyle name="통_토목내역서_공설운동진입(가실행)_파주 BOOK CITY가실행내역" xfId="2762"/>
    <cellStyle name="통_토목내역서_공설운동진입(가실행)_파주 BOOK CITY가실행내역_04028적산수량집계" xfId="2763"/>
    <cellStyle name="통_토목내역서_공설운동진입(가실행)_파주 북시티(이채)제출" xfId="2764"/>
    <cellStyle name="통_토목내역서_공설운동진입(가실행)_파주 북시티(이채)제출_04028적산수량집계" xfId="2765"/>
    <cellStyle name="통_토목내역서_공설운동진입(가실행)_파주 북시티(전체)제출(변경전)" xfId="2766"/>
    <cellStyle name="통_토목내역서_공설운동진입(가실행)_파주 북시티(전체)제출(변경전)_04028적산수량집계" xfId="2767"/>
    <cellStyle name="통_토목내역서_사본 - 파주 북시티(이채)" xfId="2768"/>
    <cellStyle name="통_토목내역서_사본 - 파주 북시티(이채)_04028적산수량집계" xfId="2769"/>
    <cellStyle name="통_토목내역서_파주 BOOK CITY(통보용)" xfId="2770"/>
    <cellStyle name="통_토목내역서_파주 BOOK CITY(통보용)_04028적산수량집계" xfId="2771"/>
    <cellStyle name="통_토목내역서_파주 BOOK CITY가실행내역" xfId="2772"/>
    <cellStyle name="통_토목내역서_파주 BOOK CITY가실행내역_04028적산수량집계" xfId="2773"/>
    <cellStyle name="통_토목내역서_파주 북시티(이채)제출" xfId="2774"/>
    <cellStyle name="통_토목내역서_파주 북시티(이채)제출_04028적산수량집계" xfId="2775"/>
    <cellStyle name="통_토목내역서_파주 북시티(전체)제출(변경전)" xfId="2776"/>
    <cellStyle name="통_토목내역서_파주 북시티(전체)제출(변경전)_04028적산수량집계" xfId="2777"/>
    <cellStyle name="통_파주 BOOK CITY(통보용)" xfId="2778"/>
    <cellStyle name="통_파주 BOOK CITY(통보용)_04028적산수량집계" xfId="2779"/>
    <cellStyle name="통_파주 BOOK CITY가실행내역" xfId="2780"/>
    <cellStyle name="통_파주 BOOK CITY가실행내역_04028적산수량집계" xfId="2781"/>
    <cellStyle name="통_파주 북시티(이채)제출" xfId="2782"/>
    <cellStyle name="통_파주 북시티(이채)제출_04028적산수량집계" xfId="2783"/>
    <cellStyle name="통_파주 북시티(전체)제출(변경전)" xfId="2784"/>
    <cellStyle name="통_파주 북시티(전체)제출(변경전)_04028적산수량집계" xfId="2785"/>
    <cellStyle name="통화 [" xfId="2786"/>
    <cellStyle name="퍼센트" xfId="2787"/>
    <cellStyle name="표" xfId="2788"/>
    <cellStyle name="표_04028적산수량집계" xfId="2789"/>
    <cellStyle name="표_BOOKCITY(전기)" xfId="2790"/>
    <cellStyle name="표_BOOKCITY(전기)_04028적산수량집계" xfId="2791"/>
    <cellStyle name="표_공설운동진입(가실행)" xfId="2792"/>
    <cellStyle name="표_공설운동진입(가실행)_04028적산수량집계" xfId="2793"/>
    <cellStyle name="표_공설운동진입(가실행)_BOOKCITY(전기)" xfId="2794"/>
    <cellStyle name="표_공설운동진입(가실행)_BOOKCITY(전기)_04028적산수량집계" xfId="2795"/>
    <cellStyle name="표_공설운동진입(가실행)_사본 - 파주 북시티(이채)" xfId="2796"/>
    <cellStyle name="표_공설운동진입(가실행)_사본 - 파주 북시티(이채)_04028적산수량집계" xfId="2797"/>
    <cellStyle name="표_공설운동진입(가실행)_파주 BOOK CITY(통보용)" xfId="2798"/>
    <cellStyle name="표_공설운동진입(가실행)_파주 BOOK CITY(통보용)_04028적산수량집계" xfId="2799"/>
    <cellStyle name="표_공설운동진입(가실행)_파주 BOOK CITY가실행내역" xfId="2800"/>
    <cellStyle name="표_공설운동진입(가실행)_파주 BOOK CITY가실행내역_04028적산수량집계" xfId="2801"/>
    <cellStyle name="표_공설운동진입(가실행)_파주 북시티(이채)제출" xfId="2802"/>
    <cellStyle name="표_공설운동진입(가실행)_파주 북시티(이채)제출_04028적산수량집계" xfId="2803"/>
    <cellStyle name="표_공설운동진입(가실행)_파주 북시티(전체)제출(변경전)" xfId="2804"/>
    <cellStyle name="표_공설운동진입(가실행)_파주 북시티(전체)제출(변경전)_04028적산수량집계" xfId="2805"/>
    <cellStyle name="표_사본 - 파주 북시티(이채)" xfId="2806"/>
    <cellStyle name="표_사본 - 파주 북시티(이채)_04028적산수량집계" xfId="2807"/>
    <cellStyle name="표_토목내역서" xfId="2808"/>
    <cellStyle name="표_토목내역서_04028적산수량집계" xfId="2809"/>
    <cellStyle name="표_토목내역서_BOOKCITY(전기)" xfId="2810"/>
    <cellStyle name="표_토목내역서_BOOKCITY(전기)_04028적산수량집계" xfId="2811"/>
    <cellStyle name="표_토목내역서_공설운동진입(가실행)" xfId="2812"/>
    <cellStyle name="표_토목내역서_공설운동진입(가실행)_04028적산수량집계" xfId="2813"/>
    <cellStyle name="표_토목내역서_공설운동진입(가실행)_BOOKCITY(전기)" xfId="2814"/>
    <cellStyle name="표_토목내역서_공설운동진입(가실행)_BOOKCITY(전기)_04028적산수량집계" xfId="2815"/>
    <cellStyle name="표_토목내역서_공설운동진입(가실행)_사본 - 파주 북시티(이채)" xfId="2816"/>
    <cellStyle name="표_토목내역서_공설운동진입(가실행)_사본 - 파주 북시티(이채)_04028적산수량집계" xfId="2817"/>
    <cellStyle name="표_토목내역서_공설운동진입(가실행)_파주 BOOK CITY(통보용)" xfId="2818"/>
    <cellStyle name="표_토목내역서_공설운동진입(가실행)_파주 BOOK CITY(통보용)_04028적산수량집계" xfId="2819"/>
    <cellStyle name="표_토목내역서_공설운동진입(가실행)_파주 BOOK CITY가실행내역" xfId="2820"/>
    <cellStyle name="표_토목내역서_공설운동진입(가실행)_파주 BOOK CITY가실행내역_04028적산수량집계" xfId="2821"/>
    <cellStyle name="표_토목내역서_공설운동진입(가실행)_파주 북시티(이채)제출" xfId="2822"/>
    <cellStyle name="표_토목내역서_공설운동진입(가실행)_파주 북시티(이채)제출_04028적산수량집계" xfId="2823"/>
    <cellStyle name="표_토목내역서_공설운동진입(가실행)_파주 북시티(전체)제출(변경전)" xfId="2824"/>
    <cellStyle name="표_토목내역서_공설운동진입(가실행)_파주 북시티(전체)제출(변경전)_04028적산수량집계" xfId="2825"/>
    <cellStyle name="표_토목내역서_사본 - 파주 북시티(이채)" xfId="2826"/>
    <cellStyle name="표_토목내역서_사본 - 파주 북시티(이채)_04028적산수량집계" xfId="2827"/>
    <cellStyle name="표_토목내역서_파주 BOOK CITY(통보용)" xfId="2828"/>
    <cellStyle name="표_토목내역서_파주 BOOK CITY(통보용)_04028적산수량집계" xfId="2829"/>
    <cellStyle name="표_토목내역서_파주 BOOK CITY가실행내역" xfId="2830"/>
    <cellStyle name="표_토목내역서_파주 BOOK CITY가실행내역_04028적산수량집계" xfId="2831"/>
    <cellStyle name="표_토목내역서_파주 북시티(이채)제출" xfId="2832"/>
    <cellStyle name="표_토목내역서_파주 북시티(이채)제출_04028적산수량집계" xfId="2833"/>
    <cellStyle name="표_토목내역서_파주 북시티(전체)제출(변경전)" xfId="2834"/>
    <cellStyle name="표_토목내역서_파주 북시티(전체)제출(변경전)_04028적산수량집계" xfId="2835"/>
    <cellStyle name="표_파주 BOOK CITY(통보용)" xfId="2836"/>
    <cellStyle name="표_파주 BOOK CITY(통보용)_04028적산수량집계" xfId="2837"/>
    <cellStyle name="표_파주 BOOK CITY가실행내역" xfId="2838"/>
    <cellStyle name="표_파주 BOOK CITY가실행내역_04028적산수량집계" xfId="2839"/>
    <cellStyle name="표_파주 북시티(이채)제출" xfId="2840"/>
    <cellStyle name="표_파주 북시티(이채)제출_04028적산수량집계" xfId="2841"/>
    <cellStyle name="표_파주 북시티(전체)제출(변경전)" xfId="2842"/>
    <cellStyle name="표_파주 북시티(전체)제출(변경전)_04028적산수량집계" xfId="2843"/>
    <cellStyle name="표머릿글(上)" xfId="2844"/>
    <cellStyle name="표머릿글(中)" xfId="2845"/>
    <cellStyle name="표머릿글(下)" xfId="2846"/>
    <cellStyle name="표준" xfId="0" builtinId="0"/>
    <cellStyle name="표준 2" xfId="2847"/>
    <cellStyle name="표준 2 2" xfId="2864"/>
    <cellStyle name="표준 2 32" xfId="2857"/>
    <cellStyle name="표준 28" xfId="2862"/>
    <cellStyle name="표준 3" xfId="2848"/>
    <cellStyle name="표준 3 2" xfId="2859"/>
    <cellStyle name="표준 3 2 2" xfId="2858"/>
    <cellStyle name="표준 4" xfId="2849"/>
    <cellStyle name="표준 5" xfId="2850"/>
    <cellStyle name="標準_Akia(F）-8" xfId="2851"/>
    <cellStyle name="표준_NY-FORM 2 2" xfId="2866"/>
    <cellStyle name="표준1" xfId="2852"/>
    <cellStyle name="표쥰" xfId="2853"/>
    <cellStyle name="합산" xfId="2854"/>
    <cellStyle name="화폐기호" xfId="2855"/>
    <cellStyle name="화폐기호0" xfId="285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DDDDD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1E44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29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theme" Target="theme/theme1.xml"/><Relationship Id="rId8" Type="http://schemas.openxmlformats.org/officeDocument/2006/relationships/externalLink" Target="externalLinks/externalLink5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2800350</xdr:colOff>
      <xdr:row>20</xdr:row>
      <xdr:rowOff>0</xdr:rowOff>
    </xdr:from>
    <xdr:ext cx="1262684" cy="0"/>
    <xdr:pic>
      <xdr:nvPicPr>
        <xdr:cNvPr id="2" name="Picture 1" descr="IDNC copy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2800350</xdr:colOff>
      <xdr:row>20</xdr:row>
      <xdr:rowOff>0</xdr:rowOff>
    </xdr:from>
    <xdr:ext cx="1262684" cy="0"/>
    <xdr:pic>
      <xdr:nvPicPr>
        <xdr:cNvPr id="3" name="Picture 1" descr="IDNC copy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09950"/>
          <a:ext cx="1262684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51032;&#51221;\C\&#44277;&#47924;&#50629;&#47924;\&#45824;&#48376;&#49324;\&#44148;&#52629;&#49884;&#44277;&#54016;%20&#44277;&#49324;&#54788;&#54889;&#48372;&#44256;\4&#50900;&#49892;&#51201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49;&#50857;&#48177;&#44284;&#51109;\EDATA\SINGLE\OFFICE40\temp\&#50689;&#51333;&#46020;IBC&#49892;&#54665;&#44208;&#51116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eed1\need1%20F\&#48317;&#49328;%20&#50668;&#51032;&#46020;M.H\3&#52789;%20&#49888;&#47548;&#46041;\&#45768;&#46300;&#51068;&#51648;\Mine\&#47084;&#49884;&#50500;\&#54620;&#44397;&#45824;&#49324;&#44288;\AEc&#51077;&#52272;&#44204;&#51201;01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608;&#44221;&#51652;-pc\f\&#54532;&#47196;&#51229;&#53944;\00.&#54060;&#50500;&#49884;&#50500;&#54168;&#51060;&#54140;.&#50976;&#52404;,&#51064;&#48260;&#53552;%20&#51204;&#52404;&#51652;&#45800;\2001&#45380;%20&#51064;&#48260;&#53552;&#50752;%20&#50976;&#52404;\FDFAN2-3,&#49884;&#50900;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scljh\c\EXCEL\&#49688;&#51452;\&#49324;&#50629;&#49457;~1\96\&#49552;&#51061;&#44592;01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608;&#44221;&#51652;-pc\f\WINDOWS\&#48148;&#53461;%20&#54868;&#47732;\Everland\Halla\HALIDFA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Excel&#44204;&#51201;\G\Good%20Morning%20&#51613;&#44428;-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44148;&#52629;&#49892;&#5466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dedms\Mepss\&#51648;&#54840;Docu\4.&#44592;&#53440;\2.&#50577;&#49885;\&#51473;&#50836;&#54620;%20&#50577;&#49885;\@&#54364;&#51456;&#50577;&#49885;\&#50577;&#49885;001-@&#54364;&#51456;&#50577;&#49885;.xl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5;&#49849;&#54872;\C\MSOFFICE\EXCEL\YOON\&#51473;&#51216;&#49324;&#50629;\&#50629;&#52404;FIX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KEC_EB1\EB_1\1KON\YANGSIK\GAEYOXL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rk\&#47784;&#54644;&#46356;&#51088;&#51064;\MSOFFICE\EXCEL\YOON\&#51473;&#51216;&#49324;&#50629;\&#50629;&#52404;FIX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97040\C&#46300;&#46972;&#51060;&#48652;\&#44608;&#50857;&#44592;\&#50641;&#49472;\GUMI4B2\&#44396;&#48120;4&#45800;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97040\C&#46300;&#46972;&#51060;&#48652;\My%20Documents\Khdata99\&#44288;&#47532;&#52397;\&#49436;&#50872;\&#44053;&#48320;&#48513;&#47196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97040\C&#46300;&#46972;&#51060;&#48652;\My%20Documents\Khdata99\&#44288;&#47532;&#52397;\&#50896;&#45224;-&#50872;&#51652;\&#50896;&#45224;&#50872;&#51652;&#45209;&#52272;&#45236;&#50669;(99.4.13%20&#48512;&#49328;&#52397;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608;&#44221;&#47564;\D\pjt-2002\&#54217;&#54868;&#51032;&#45840;\&#50696;&#49328;&#49436;(&#51068;&#50948;&#45824;&#44032;,&#45840;)\&#49444;&#44228;&#48320;&#44221;(&#44397;&#51088;)\&#44397;&#51088;&#48320;&#44221;&#53685;&#49888;\13&#52264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109;&#49457;&#49340;\&#44277;&#50976;\JABO\O12060\INFORM\MYENGBU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IVIL_EST\EST\My%20Documents\&#51077;&#52272;\&#48264;&#50689;&#47196;\&#47924;&#50504;&#54616;&#49688;\&#49892;&#54665;(1)\&#45236;&#50669;&#49436;(1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\APT&#51088;&#47308;\&#50976;&#47548;&#53080;&#46020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60;&#46041;&#54788;\MY%20DOCUMENTS\MSOFFICE\EXCEL\YOON\&#51473;&#51216;&#49324;&#50629;\&#50629;&#52404;FIX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608;&#52632;&#44600;\E\KBLEE\&#44592;&#53440;\&#54364;&#51456;\1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DEDMS\Mepss\&#44204;&#51201;&#49892;\&#44592;&#51456;\&#44060;&#47029;&#44204;&#51201;\APT\FORM\970715&#50577;&#49885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900;&#54805;&#49453;\C\My%20Documents\My%20Documents\&#44368;&#48372;&#51613;&#44428;\LOTUS\&#44144;&#51228;&#46020;\&#44144;&#51228;&#46020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97040\C&#46300;&#46972;&#51060;&#48652;\My%20Documents\KHDATA\&#44288;&#47532;&#52397;\&#50896;&#45224;-&#50872;&#51652;\&#50896;&#45224;&#50872;&#51652;&#45209;&#52272;&#45236;&#50669;(99.4.13%20&#48512;&#49328;&#52397;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rk\&#47784;&#54644;&#46356;&#51088;&#51064;\&#51473;&#50669;&#54924;&#51032;\96&#45380;10&#50900;\&#44288;&#47532;&#48376;&#48512;10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97040\C&#46300;&#46972;&#51060;&#48652;\My%20Documents\Khdata99\&#44288;&#47532;&#52397;\&#49436;&#50872;\&#44053;&#48320;&#48513;&#47196;\My%20Documents\KHDATA\&#54620;&#44397;&#51204;&#47141;\&#49888;&#49457;&#45224;-&#44552;&#44257;\&#49888;&#49457;&#45224;&#53804;&#52272;&#45236;&#50669;(1&#48264;&#45236;&#50669;)(2)\KHDATA\&#44288;&#47532;&#52397;\&#50896;&#45224;-&#50872;&#51652;\&#50896;&#45224;&#50872;&#51652;&#45209;&#52272;&#45236;&#50669;(99.4.13%20&#48512;&#49328;&#52397;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4018\c\ESTI96\&#44053;&#51652;&#51109;&#55141;\&#54980;&#45796;&#45236;&#50669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:\&#51077;&#52272;&#50504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ark\&#47784;&#54644;&#46356;&#51088;&#51064;\My%20Documents\&#51077;&#52272;\&#48264;&#50689;&#47196;\&#47924;&#50504;&#54616;&#49688;\&#49892;&#54665;(1)\&#45236;&#50669;&#49436;(1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1997040\C&#46300;&#46972;&#51060;&#48652;\&#51077;&#52272;&#45236;&#50669;\&#44592;&#50500;&#45824;&#44368;\&#44592;&#50500;&#45824;&#44368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1775\c\ESTI96\&#44053;&#51652;&#51109;&#55141;\&#54980;&#45796;&#45236;&#5066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공문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금융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내역 발주처 양식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1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목표세부명세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S P-Q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26"/>
      <sheetName val="0412"/>
      <sheetName val="0416"/>
      <sheetName val="0421"/>
      <sheetName val="0422"/>
      <sheetName val="0422 (2)"/>
      <sheetName val="Sign"/>
      <sheetName val="0531(투자지원실)"/>
      <sheetName val="01"/>
      <sheetName val="갑지"/>
      <sheetName val="Good Morning 증권-01"/>
      <sheetName val="금융비용"/>
      <sheetName val="실행내역"/>
      <sheetName val="금융"/>
      <sheetName val="입찰내역 발주처 양식"/>
      <sheetName val="유림콘도"/>
      <sheetName val="유림골조"/>
      <sheetName val="#REF"/>
      <sheetName val="Sheet4"/>
      <sheetName val="예가표"/>
      <sheetName val="0422_(2)"/>
      <sheetName val="Good_Morning_증권-01"/>
      <sheetName val="B"/>
      <sheetName val="Sheet1"/>
      <sheetName val="부하(성남)"/>
      <sheetName val="목표세부명세"/>
      <sheetName val="일반부표"/>
      <sheetName val="소비자가"/>
      <sheetName val="내역서"/>
      <sheetName val="EQT-ESTN"/>
      <sheetName val="0422_(2)1"/>
      <sheetName val="Good_Morning_증권-011"/>
      <sheetName val="입찰내역_발주처_양식"/>
      <sheetName val="차액보증"/>
      <sheetName val="입찰안"/>
      <sheetName val="갑지(추정)"/>
      <sheetName val="개요"/>
      <sheetName val="공사개요"/>
      <sheetName val="합천내역"/>
      <sheetName val="Option"/>
      <sheetName val="공통비(전체)"/>
      <sheetName val="토목공사"/>
      <sheetName val="새공통(96임금인상기준)"/>
      <sheetName val="비교1"/>
      <sheetName val="유림총괄"/>
      <sheetName val="단가표"/>
      <sheetName val="집계표"/>
      <sheetName val="Sheet2"/>
      <sheetName val="0422_(2)2"/>
      <sheetName val="Good_Morning_증권-012"/>
      <sheetName val="입찰내역_발주처_양식1"/>
      <sheetName val="내역"/>
      <sheetName val="기별(종합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음료실행"/>
      <sheetName val="금액비교"/>
      <sheetName val="입찰안"/>
      <sheetName val="시멘트"/>
      <sheetName val="설계내역서"/>
      <sheetName val="GAEYO"/>
      <sheetName val="EQUIPMENT -2"/>
      <sheetName val="45,46"/>
      <sheetName val="전체"/>
      <sheetName val="문학터널-9255(관보고-실)"/>
      <sheetName val="경비"/>
      <sheetName val="공통가설"/>
      <sheetName val="일위대가"/>
      <sheetName val="공사원가계산서"/>
      <sheetName val="DATA"/>
      <sheetName val="인사자료총집계"/>
      <sheetName val="갑지(추정)"/>
      <sheetName val="노임이"/>
      <sheetName val="배수내역 (2)"/>
      <sheetName val="G2설비도급"/>
      <sheetName val="공문"/>
      <sheetName val="금액내역서"/>
      <sheetName val="포장복구집계"/>
      <sheetName val="영동(D)"/>
      <sheetName val="EQUIPMENT_-2"/>
      <sheetName val="갑지1"/>
      <sheetName val="ETC"/>
      <sheetName val="공사내역"/>
      <sheetName val="자재단가비교표"/>
      <sheetName val="설계가"/>
      <sheetName val="Sheet1"/>
      <sheetName val="EJ"/>
      <sheetName val="총괄-1"/>
      <sheetName val="입출재고현황 (2)"/>
      <sheetName val="계산서"/>
      <sheetName val="금융"/>
      <sheetName val="플랜트 설치"/>
      <sheetName val="A-4"/>
      <sheetName val="내역"/>
      <sheetName val="점수계산1-2"/>
      <sheetName val="본부소개"/>
      <sheetName val="건축실행"/>
      <sheetName val="주요항목별"/>
      <sheetName val="을"/>
      <sheetName val="Sheet5"/>
      <sheetName val="목표세부명세"/>
      <sheetName val="ITEM"/>
      <sheetName val="골조시행"/>
      <sheetName val="내역서"/>
      <sheetName val="토목주소"/>
      <sheetName val="프랜트면허"/>
      <sheetName val="품셈TABLE"/>
      <sheetName val="Sheet4"/>
      <sheetName val="98지급계획"/>
      <sheetName val="BID"/>
      <sheetName val="설직재-1"/>
      <sheetName val="토목-물가"/>
      <sheetName val="참조"/>
      <sheetName val="XL4Poppy"/>
      <sheetName val="CTEMCOST"/>
      <sheetName val="252K444"/>
      <sheetName val="연돌일위집계"/>
      <sheetName val="NYS"/>
      <sheetName val="분양금할인"/>
      <sheetName val="C &amp; G RHS"/>
      <sheetName val="CONCRETE"/>
      <sheetName val="9GNG운반"/>
      <sheetName val="갑지"/>
      <sheetName val="INPUT"/>
      <sheetName val="01"/>
      <sheetName val="공통비총괄표"/>
      <sheetName val="Sheet2"/>
      <sheetName val="Sheet1 (2)"/>
      <sheetName val="전신환매도율"/>
      <sheetName val="하수급견적대비"/>
      <sheetName val="인제내역"/>
      <sheetName val="조명시설"/>
      <sheetName val="도급"/>
      <sheetName val="수량3"/>
      <sheetName val="sum1 (2)"/>
      <sheetName val="결과조달"/>
      <sheetName val="전계가"/>
      <sheetName val="F4-F7"/>
      <sheetName val="조건표"/>
      <sheetName val="기술부대조건"/>
      <sheetName val="총괄"/>
      <sheetName val="기초단가"/>
      <sheetName val="견적"/>
      <sheetName val="대비"/>
      <sheetName val="CON포장수량"/>
      <sheetName val="ACUNIT"/>
      <sheetName val="CONUNIT"/>
      <sheetName val="포장공"/>
      <sheetName val=" Work Order 양식_엑셀_121212.xlsx"/>
      <sheetName val="VENT"/>
      <sheetName val="단면 (2)"/>
      <sheetName val="코드"/>
      <sheetName val="공사내역서"/>
      <sheetName val="IMPEADENCE MAP 취수장"/>
      <sheetName val="MTL(AG)"/>
      <sheetName val="차액보증"/>
      <sheetName val="CAT_5"/>
      <sheetName val="발생토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인사자료총집계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이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EYO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이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차액보증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기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랜트면허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내역서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림골조"/>
      <sheetName val="유림총괄"/>
      <sheetName val="비교1"/>
      <sheetName val="공기"/>
      <sheetName val="새공통(97년3월)"/>
      <sheetName val="협력업체"/>
      <sheetName val="외주업체list (3)"/>
      <sheetName val="FAX양식"/>
      <sheetName val="FAX양식 (2)"/>
      <sheetName val="Sheet1"/>
      <sheetName val="Sheet2"/>
      <sheetName val="Sheet21"/>
      <sheetName val="Sheet20"/>
      <sheetName val="Sheet19"/>
      <sheetName val="Sheet18"/>
      <sheetName val="Sheet17"/>
      <sheetName val="Sheet16"/>
      <sheetName val="Sheet15"/>
      <sheetName val="Sheet14"/>
      <sheetName val="Sheet13"/>
      <sheetName val="Sheet12"/>
      <sheetName val="Sheet11"/>
      <sheetName val="Sheet10"/>
      <sheetName val="Sheet9"/>
      <sheetName val="Sheet8"/>
      <sheetName val="Sheet7"/>
      <sheetName val="Sheet6"/>
      <sheetName val="Sheet5"/>
      <sheetName val="Sheet4"/>
      <sheetName val="Sheet3"/>
      <sheetName val="새공통(96임금인상기준)"/>
      <sheetName val="공사개요"/>
      <sheetName val="분당코아"/>
      <sheetName val="물가"/>
      <sheetName val="물가 (2)"/>
      <sheetName val="옥외공사"/>
      <sheetName val="내역표지"/>
      <sheetName val="견적조건"/>
      <sheetName val="공사총괄-2"/>
      <sheetName val="변경연면적"/>
      <sheetName val="품의서"/>
      <sheetName val="건축대비"/>
      <sheetName val="부대골조"/>
      <sheetName val="아파트파일공사"/>
      <sheetName val="부대파일공사"/>
      <sheetName val="공제분"/>
      <sheetName val="상승요인분석"/>
      <sheetName val="토목공사"/>
      <sheetName val="옥외"/>
      <sheetName val="물가상승변경(960827)"/>
      <sheetName val="건축부대공사대비"/>
      <sheetName val="제출표지"/>
      <sheetName val="특수조건"/>
      <sheetName val="분책"/>
      <sheetName val="실행대비"/>
      <sheetName val="평단가비교"/>
      <sheetName val="OPTION비교"/>
      <sheetName val="실행원안對현장통보실행안"/>
      <sheetName val="의뢰"/>
      <sheetName val="의뢰서"/>
      <sheetName val="품의서(A3-3장)"/>
      <sheetName val="NEW비교"/>
      <sheetName val="계단실,로비"/>
      <sheetName val="주방가구外"/>
      <sheetName val="빌라트대비"/>
      <sheetName val="공통비대비"/>
      <sheetName val="공통비대비분석"/>
      <sheetName val="새공통(97년1월)"/>
      <sheetName val="직원투입계획"/>
      <sheetName val="현채투입계획"/>
      <sheetName val="전체총괄표"/>
      <sheetName val="산출내역서"/>
      <sheetName val="항목별총괄표"/>
      <sheetName val="공사현황"/>
      <sheetName val="건축실행대비"/>
      <sheetName val="가설공사"/>
      <sheetName val="철근콘크리트공사"/>
      <sheetName val="타일공사"/>
      <sheetName val="창호공사"/>
      <sheetName val="AL창호"/>
      <sheetName val="수장공사"/>
      <sheetName val="철골공사"/>
      <sheetName val="증가요인"/>
      <sheetName val="감사실"/>
      <sheetName val="물량증가"/>
      <sheetName val="9604000"/>
      <sheetName val="960503"/>
      <sheetName val="새공통(96년12월) "/>
      <sheetName val="협조문"/>
      <sheetName val="안양코아"/>
      <sheetName val="COLUMN"/>
      <sheetName val="공통비비교"/>
      <sheetName val="부지조성"/>
      <sheetName val="투입인원대비"/>
      <sheetName val="형틀분개"/>
      <sheetName val="시행대비"/>
      <sheetName val="마감범위"/>
      <sheetName val="추가예산"/>
      <sheetName val="TEMP철골"/>
      <sheetName val="기계기초"/>
      <sheetName val="안양코아최종대비"/>
      <sheetName val="최종건축대비"/>
      <sheetName val="A급현장"/>
      <sheetName val="A급현장 (2)"/>
      <sheetName val="B급현장"/>
      <sheetName val="B급현장 (2)"/>
      <sheetName val="C급현장"/>
      <sheetName val="C급현장 (2)"/>
      <sheetName val="D급현장"/>
      <sheetName val="D급현장 (2)"/>
      <sheetName val="공통비산출근거"/>
      <sheetName val="견적의뢰서"/>
      <sheetName val="새공통97.4"/>
      <sheetName val="품의서(97.4)"/>
      <sheetName val="현.종.목"/>
      <sheetName val="창호,가구"/>
      <sheetName val="system"/>
      <sheetName val="목재창호"/>
      <sheetName val="물가상승"/>
      <sheetName val="옥외 (적용)"/>
      <sheetName val="토목"/>
      <sheetName val="재료마감표"/>
      <sheetName val="비교(기존)"/>
      <sheetName val="비교(변경)"/>
      <sheetName val="금액대비표"/>
      <sheetName val="건축-옥외"/>
      <sheetName val="공사집계(기존)"/>
      <sheetName val="공사집계(변경)"/>
      <sheetName val="건축집계"/>
      <sheetName val="분당협조"/>
      <sheetName val="파일의이용"/>
      <sheetName val="DATE"/>
      <sheetName val="Customer Databas"/>
      <sheetName val="유림공통"/>
      <sheetName val="0831"/>
      <sheetName val="0915"/>
      <sheetName val="0915 (2)"/>
      <sheetName val="집계2"/>
      <sheetName val="2001년"/>
      <sheetName val="2001년변형"/>
      <sheetName val="2002년"/>
      <sheetName val="2003년"/>
      <sheetName val="3안신촉진안실적반영"/>
      <sheetName val="11월"/>
      <sheetName val="12월"/>
      <sheetName val="1월"/>
      <sheetName val="2월"/>
      <sheetName val="3월"/>
      <sheetName val="4월"/>
      <sheetName val="5월"/>
      <sheetName val="6월"/>
      <sheetName val="7월"/>
      <sheetName val="8월"/>
      <sheetName val="실행율"/>
      <sheetName val="분양수입금일정"/>
      <sheetName val="표지"/>
      <sheetName val="표지(수정)"/>
      <sheetName val="표지(적용)"/>
      <sheetName val="1공사개요"/>
      <sheetName val="2공정계획"/>
      <sheetName val="2공정계획 (2)"/>
      <sheetName val="2공정계획(미표기_미적용)"/>
      <sheetName val="3자금운용(최종)"/>
      <sheetName val="3손익분석"/>
      <sheetName val="3자금운용(수정)"/>
      <sheetName val="3자금운용(당초)"/>
      <sheetName val="4직원투입(적용)"/>
      <sheetName val="4_1직원투입(미적용)"/>
      <sheetName val="5안전환경"/>
      <sheetName val="6인허가"/>
      <sheetName val="7본사관련부서"/>
      <sheetName val="초기예산표지"/>
      <sheetName val="결재인"/>
      <sheetName val="계약고대비"/>
      <sheetName val="예산집계"/>
      <sheetName val="산재매입세"/>
      <sheetName val="변경대비(적용)"/>
      <sheetName val="변경대비(미적용)"/>
      <sheetName val="플랜트 설치"/>
      <sheetName val="D급현장 (2)_x0000__x0000__x0000__x0000__x0000__x0000__x0000__x0000__x0000__x0009__x0000_飰ঊ_x0000__x0004__x0000__x0000__x0000__x0000__x0000__x0000_ϸঈ"/>
      <sheetName val="D급현장 (2)_x0000__x0009_飰ঊ_x0004__x0000_ϸঈ餘ঊn_x0000__x0011_[유림콘도.XLS]"/>
      <sheetName val="새공통"/>
      <sheetName val="도곡동빌라트보관"/>
      <sheetName val="공사비대비"/>
      <sheetName val="골조물량"/>
      <sheetName val="동바리外"/>
      <sheetName val="공사비총괄표"/>
      <sheetName val="내역총괄표 "/>
      <sheetName val="여과지동"/>
      <sheetName val="기초자료"/>
      <sheetName val="구의33고"/>
      <sheetName val="기본일위"/>
      <sheetName val="일위대가"/>
      <sheetName val="guard(mac)"/>
      <sheetName val="차액보증"/>
      <sheetName val="내역"/>
      <sheetName val="D급현장 (2)_x0000__x0000__x0000__x0000__x0000__x0000__x0000__x0000__x0000_ _x0000_飰ঊ_x0000__x0004__x0000__x0000__x0000__x0000__x0000__x0000_ϸঈ"/>
      <sheetName val="D급현장 (2)_x0000_ 飰ঊ_x0004__x0000_ϸঈ餘ঊn_x0000__x0011_[유림콘도.XLS]"/>
      <sheetName val="유림콘도"/>
      <sheetName val="투입비"/>
      <sheetName val="공통비(전체)"/>
      <sheetName val="01"/>
      <sheetName val="자재단가"/>
      <sheetName val="경산"/>
      <sheetName val="입찰안"/>
      <sheetName val="산출금액내역"/>
      <sheetName val="데이타"/>
      <sheetName val="설계내역서"/>
      <sheetName val="전기"/>
      <sheetName val="현장관리비"/>
      <sheetName val="공통비총괄표"/>
      <sheetName val="조건"/>
      <sheetName val="Total"/>
      <sheetName val="48신설단가"/>
      <sheetName val="일위대가(1)"/>
      <sheetName val="일산실행내역"/>
      <sheetName val="본사공가현황"/>
      <sheetName val="미드수량"/>
      <sheetName val="선정요령"/>
      <sheetName val="실행철강하도"/>
      <sheetName val="교통대책내역"/>
      <sheetName val="2002하반기노임기준"/>
      <sheetName val="기초코드"/>
      <sheetName val="품목납기"/>
      <sheetName val="갑지(추정)"/>
      <sheetName val="일위대가표"/>
      <sheetName val="집계표"/>
      <sheetName val="신대방33(적용)"/>
      <sheetName val="APT"/>
      <sheetName val="견적정보"/>
      <sheetName val="변경비교-을"/>
      <sheetName val="터파기및재료"/>
      <sheetName val="공종단가"/>
      <sheetName val="요율"/>
      <sheetName val="자재대"/>
      <sheetName val="기계경비(시간당)"/>
      <sheetName val="램머"/>
      <sheetName val="소비자가"/>
      <sheetName val="조직"/>
      <sheetName val="원가서"/>
      <sheetName val="입력"/>
      <sheetName val="대전(세창동)"/>
      <sheetName val="내역서"/>
      <sheetName val="1차 내역서"/>
      <sheetName val="데이타입력"/>
      <sheetName val="수량산출"/>
      <sheetName val="공사단가"/>
      <sheetName val="#REF"/>
      <sheetName val="노임"/>
      <sheetName val="평가데이터"/>
      <sheetName val="개요"/>
      <sheetName val="실행기초"/>
      <sheetName val="pier(각형)"/>
      <sheetName val="울산자동제어"/>
      <sheetName val="EQT-ESTN"/>
      <sheetName val="3.공통공사대비"/>
      <sheetName val="bid"/>
      <sheetName val="실행간접비"/>
      <sheetName val="변경명신물량 (2)"/>
      <sheetName val="목록"/>
      <sheetName val="중기"/>
      <sheetName val="ELECTRIC"/>
    </sheetNames>
    <sheetDataSet>
      <sheetData sheetId="0">
        <row r="36">
          <cell r="X36" t="str">
            <v>연  면  적</v>
          </cell>
        </row>
      </sheetData>
      <sheetData sheetId="1" refreshError="1"/>
      <sheetData sheetId="2" refreshError="1"/>
      <sheetData sheetId="3">
        <row r="36">
          <cell r="X36" t="str">
            <v>연  면  적</v>
          </cell>
        </row>
      </sheetData>
      <sheetData sheetId="4"/>
      <sheetData sheetId="5">
        <row r="36">
          <cell r="X36" t="str">
            <v>연  면  적</v>
          </cell>
        </row>
      </sheetData>
      <sheetData sheetId="6">
        <row r="36">
          <cell r="X36" t="str">
            <v>연  면  적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>
        <row r="36">
          <cell r="X36" t="str">
            <v>연  면  적</v>
          </cell>
        </row>
      </sheetData>
      <sheetData sheetId="37">
        <row r="36">
          <cell r="X36" t="str">
            <v>연  면  적</v>
          </cell>
        </row>
      </sheetData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/>
      <sheetData sheetId="208" refreshError="1"/>
      <sheetData sheetId="209"/>
      <sheetData sheetId="210" refreshError="1"/>
      <sheetData sheetId="211"/>
      <sheetData sheetId="212" refreshError="1"/>
      <sheetData sheetId="213" refreshError="1"/>
      <sheetData sheetId="214" refreshError="1"/>
      <sheetData sheetId="215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노임이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림골조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유림골조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내역서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추가예산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실행철강하도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  <sheetName val="적격"/>
      <sheetName val="평가"/>
      <sheetName val="적정"/>
      <sheetName val="관리"/>
      <sheetName val="표지"/>
      <sheetName val="총괄"/>
      <sheetName val="내역"/>
      <sheetName val="하도"/>
      <sheetName val="별지"/>
      <sheetName val="견적"/>
      <sheetName val="조사"/>
      <sheetName val="합의서"/>
      <sheetName val="5호광장(낙찰)"/>
      <sheetName val="5호광장"/>
      <sheetName val="5호광장 (만점)"/>
      <sheetName val="인천국제 (만점) (2)"/>
      <sheetName val="선거교가설공사"/>
      <sheetName val="선거교가설공사(만점)"/>
      <sheetName val="낙동강하구둑"/>
      <sheetName val="낙동강하구둑(만점)"/>
      <sheetName val="공원로-우남로"/>
      <sheetName val="공원로-우남로(만점)"/>
      <sheetName val="보림사우회도로"/>
      <sheetName val="보림사우회도로(만점)"/>
      <sheetName val="조명율표"/>
      <sheetName val="투찰내역"/>
      <sheetName val="2000년1차"/>
      <sheetName val="2000전체분"/>
      <sheetName val="교통대책내역"/>
      <sheetName val="집계표"/>
      <sheetName val="조경일람"/>
      <sheetName val="단가일람"/>
      <sheetName val="내역서"/>
      <sheetName val="조명일위"/>
      <sheetName val="#REF"/>
      <sheetName val="부대공사비"/>
      <sheetName val="간접1"/>
      <sheetName val="99총공사내역서"/>
      <sheetName val="퍼스트"/>
      <sheetName val="차액보증"/>
      <sheetName val="전체제잡비"/>
      <sheetName val="BID"/>
      <sheetName val="SLAB데이터"/>
      <sheetName val="정부노임단가"/>
      <sheetName val="노임"/>
      <sheetName val="접지수량"/>
      <sheetName val="sheet1"/>
      <sheetName val="지질조사"/>
      <sheetName val="Total 단위경유량집계"/>
      <sheetName val="MOTOR"/>
      <sheetName val="CALCULATION"/>
      <sheetName val="약품공급2"/>
      <sheetName val="C1ㅇ"/>
      <sheetName val="실행철강하도"/>
      <sheetName val="실행내역"/>
      <sheetName val="RE9604"/>
      <sheetName val="원가계산서"/>
      <sheetName val="준검 내역서"/>
      <sheetName val="산근"/>
      <sheetName val="기계경비(시간당)"/>
      <sheetName val="단가"/>
      <sheetName val="마산월령동골조물량변경"/>
      <sheetName val="1,2공구원가계산서"/>
      <sheetName val="2공구산출내역"/>
      <sheetName val="1공구산출내역서"/>
      <sheetName val="설계조건"/>
      <sheetName val="DANGA"/>
      <sheetName val="일위대가"/>
      <sheetName val="기본단가표"/>
      <sheetName val="재료집계표"/>
      <sheetName val="교각1"/>
      <sheetName val="DB"/>
      <sheetName val="제경비"/>
      <sheetName val="내역(원안-대안)"/>
      <sheetName val="조명시설"/>
      <sheetName val="SIL98"/>
      <sheetName val="구조물공"/>
      <sheetName val="부대공"/>
      <sheetName val="배수공"/>
      <sheetName val="토공"/>
      <sheetName val="포장공"/>
      <sheetName val="토공유동표(전체.당초)"/>
      <sheetName val="품셈TABLE"/>
      <sheetName val="노임단가"/>
      <sheetName val="원가계산서구조조정"/>
      <sheetName val="건축내역"/>
      <sheetName val="내역서(전기)"/>
      <sheetName val="총공사내역서"/>
      <sheetName val="항목(1)"/>
      <sheetName val="총괄표"/>
      <sheetName val="금액내역서"/>
      <sheetName val="1.수인터널"/>
      <sheetName val="asd"/>
      <sheetName val="직재"/>
      <sheetName val="N賃率-職"/>
      <sheetName val="잡철물"/>
      <sheetName val="BH-1 (2)"/>
      <sheetName val="표  지"/>
      <sheetName val="직노"/>
      <sheetName val="ITEM"/>
      <sheetName val="관급"/>
      <sheetName val="일위목록"/>
      <sheetName val="요율"/>
      <sheetName val="공문"/>
      <sheetName val="설비2차"/>
      <sheetName val="6호기"/>
      <sheetName val="결재갑지"/>
      <sheetName val="산출근거"/>
      <sheetName val="기계경비일람"/>
      <sheetName val="5회토적"/>
      <sheetName val="당진1,2호기전선관설치및접지4차공사내역서-을지"/>
      <sheetName val="기계내역서"/>
      <sheetName val="1001"/>
      <sheetName val="공사개요"/>
      <sheetName val="매입세율"/>
      <sheetName val="적점"/>
      <sheetName val="NYS"/>
      <sheetName val="대포2교접속"/>
      <sheetName val="천방교접속"/>
      <sheetName val="하남내역"/>
      <sheetName val="앉음벽 (2)"/>
      <sheetName val="자재일람"/>
      <sheetName val="수량산출서"/>
      <sheetName val="금융비용"/>
      <sheetName val="일반공사"/>
      <sheetName val="내역(중앙)"/>
      <sheetName val="참조-(1)"/>
      <sheetName val="단위단가"/>
      <sheetName val="예산서"/>
      <sheetName val="_HIT__HMC 견적_3900_"/>
      <sheetName val="ABUT수량-A1"/>
      <sheetName val="제안서"/>
      <sheetName val="행정표준(1)"/>
      <sheetName val="행정표준(2)"/>
      <sheetName val="I.설계조건"/>
      <sheetName val="hvac(제어동)"/>
      <sheetName val="4.전기"/>
      <sheetName val="조경"/>
      <sheetName val="공사비예산서(토목분)"/>
      <sheetName val="관리비비계상"/>
      <sheetName val="직공비"/>
      <sheetName val="총괄내역서"/>
      <sheetName val="일위대가표"/>
      <sheetName val="현장지지물물량"/>
      <sheetName val="98지급계획"/>
      <sheetName val="현장설명"/>
      <sheetName val="예가내역서"/>
      <sheetName val="경비2내역"/>
      <sheetName val="자료"/>
      <sheetName val="간접(90)"/>
      <sheetName val="참조"/>
      <sheetName val="산출내역서"/>
      <sheetName val="일반부표"/>
      <sheetName val="구조물견적서"/>
      <sheetName val="예산변경원인분석"/>
      <sheetName val="7. 현장관리비 "/>
      <sheetName val="6. 안전관리비"/>
      <sheetName val="분뇨"/>
      <sheetName val="단가산출"/>
      <sheetName val="원가"/>
      <sheetName val="설계예산서"/>
      <sheetName val="ilch"/>
      <sheetName val="1.설계조건"/>
      <sheetName val="견적조건"/>
      <sheetName val="세부내역"/>
      <sheetName val="운반"/>
      <sheetName val="도급"/>
      <sheetName val="DATA"/>
      <sheetName val="데이타"/>
      <sheetName val="소포내역 (2)"/>
      <sheetName val="터파기및재료"/>
      <sheetName val="초기화면"/>
      <sheetName val="폐기물"/>
      <sheetName val="인원계획"/>
      <sheetName val="타공종이기"/>
      <sheetName val="INPUT"/>
      <sheetName val="전기내역서(총계)"/>
      <sheetName val="ancillary"/>
      <sheetName val="실행(1)"/>
      <sheetName val="접지1종"/>
      <sheetName val="오저간내역서"/>
      <sheetName val="전기"/>
      <sheetName val="토공A"/>
      <sheetName val="입력데이타"/>
      <sheetName val="이형관"/>
      <sheetName val="작성방법"/>
      <sheetName val="노원열병합  건축공사기성내역서"/>
      <sheetName val="도급-집계"/>
      <sheetName val="증감내역서"/>
      <sheetName val="금호"/>
      <sheetName val="001"/>
      <sheetName val="대전21토목내역서"/>
      <sheetName val="말뚝지지력산정"/>
      <sheetName val="간접비계산"/>
      <sheetName val="적용단가"/>
      <sheetName val="품셈"/>
      <sheetName val="신호등일위대가"/>
      <sheetName val="보증수수료산출"/>
      <sheetName val="소야공정계획표"/>
      <sheetName val="경비"/>
      <sheetName val="토목내역"/>
      <sheetName val="사급자재"/>
      <sheetName val="기계공사"/>
      <sheetName val="bearing"/>
      <sheetName val="가격조사서"/>
      <sheetName val="검암내역"/>
      <sheetName val="일위대가목록"/>
      <sheetName val="설계내역서"/>
      <sheetName val="여과지동"/>
      <sheetName val="기초자료"/>
      <sheetName val="시멘트"/>
      <sheetName val="COVER"/>
      <sheetName val="문학간접"/>
      <sheetName val="자재단가"/>
      <sheetName val="분전반"/>
      <sheetName val="공사원가계산서"/>
      <sheetName val="99월별경비계획"/>
      <sheetName val="사업전망"/>
      <sheetName val="현장업무"/>
      <sheetName val="PIPING"/>
      <sheetName val="조도계산서 (도서)"/>
      <sheetName val="대비"/>
      <sheetName val="을-ATYPE"/>
      <sheetName val="제1호단위수량"/>
      <sheetName val="설계서(7)"/>
      <sheetName val="예산서(6)"/>
      <sheetName val="3련 BOX"/>
      <sheetName val="토목주소"/>
      <sheetName val="11.산출(전열)"/>
      <sheetName val="6.산출(동력)"/>
      <sheetName val="7.산출(TRAY)"/>
      <sheetName val="Total"/>
      <sheetName val="노임단가표"/>
      <sheetName val="5.산출(전력)"/>
      <sheetName val="수량산출서(전력간선_지하1)"/>
      <sheetName val="수량산출서(전력간선_지하발전)"/>
      <sheetName val="수량산출서(전력간선_지하D.C)"/>
      <sheetName val="수량산출서(전력간선_동관)"/>
      <sheetName val="수량산출서(전력간선_서관)"/>
      <sheetName val="수량산출서(전력간선_TRAY)"/>
      <sheetName val="수량산출서(특고압케이블)"/>
      <sheetName val="수량산출서(전열)"/>
      <sheetName val="단가조사표"/>
      <sheetName val="을"/>
      <sheetName val="MSS 2"/>
      <sheetName val="전주2本1"/>
      <sheetName val="여수토토적"/>
      <sheetName val="구조물수량집계표"/>
      <sheetName val="우수관매설및 우수받이"/>
      <sheetName val="횡배위치"/>
      <sheetName val="기초일위"/>
      <sheetName val="시설일위"/>
      <sheetName val="신림자금"/>
      <sheetName val="운반비"/>
      <sheetName val="2000양배"/>
      <sheetName val="11.우각부 보강"/>
      <sheetName val="제출내역 (2)"/>
      <sheetName val="갑지"/>
      <sheetName val="추가예산"/>
      <sheetName val="단가조사-2"/>
      <sheetName val="플랜트 설치"/>
      <sheetName val="Resource2"/>
      <sheetName val="명세서"/>
      <sheetName val="일위집계(기존)"/>
      <sheetName val="단가대비표"/>
      <sheetName val="할증"/>
      <sheetName val="보고서 기기리스트"/>
      <sheetName val="배수내역"/>
      <sheetName val="현장관리비"/>
      <sheetName val="상-교대(A1-A2)"/>
      <sheetName val="부재예실1월"/>
      <sheetName val="Sheet3"/>
      <sheetName val="제품원재"/>
      <sheetName val="자재단가비교표"/>
      <sheetName val="건설성적"/>
      <sheetName val="내역(창신)"/>
      <sheetName val="13LPMCC"/>
      <sheetName val="코드표"/>
      <sheetName val="프로젝트"/>
      <sheetName val="2.1  노무비 평균단가산출"/>
      <sheetName val="A-4"/>
      <sheetName val="인부노임"/>
      <sheetName val="전체"/>
      <sheetName val="I一般比"/>
      <sheetName val="내역_ver1.0"/>
      <sheetName val="적용표"/>
      <sheetName val="재료비"/>
      <sheetName val="역T형옹벽단위수량"/>
      <sheetName val="연결임시"/>
      <sheetName val="01AC"/>
      <sheetName val="정화조내역"/>
      <sheetName val="입력"/>
      <sheetName val="예산총괄"/>
      <sheetName val="70%"/>
      <sheetName val="전기실-1"/>
      <sheetName val="백암비스타내역"/>
      <sheetName val="설계서(본관)"/>
      <sheetName val="내   역"/>
      <sheetName val="소비자가"/>
      <sheetName val="lee"/>
      <sheetName val="집계표소트"/>
      <sheetName val="중기일위대가"/>
      <sheetName val="plan&amp;section of foundation"/>
      <sheetName val="pile bearing capa &amp; arrenge"/>
      <sheetName val="working load at the btm ft."/>
      <sheetName val="stability check"/>
      <sheetName val="design criteria"/>
      <sheetName val="마산방향"/>
      <sheetName val="진주방향"/>
      <sheetName val="기초수량집"/>
      <sheetName val="type-F"/>
      <sheetName val="설계"/>
      <sheetName val="일위대가(1)"/>
      <sheetName val="Macro1"/>
      <sheetName val="봉양~조차장간고하개명(신설)"/>
      <sheetName val="측구터파기공수량집계"/>
      <sheetName val="배수공 시멘트 및 골재량 산출"/>
      <sheetName val="99-0002"/>
      <sheetName val="A 견적"/>
      <sheetName val="전기일위목록"/>
      <sheetName val="용소리교"/>
      <sheetName val="토목"/>
      <sheetName val="물량표S"/>
      <sheetName val="Macro(차단기)"/>
      <sheetName val="원가+내역"/>
      <sheetName val="JUCKEYK"/>
      <sheetName val="교량"/>
      <sheetName val="광산내역"/>
      <sheetName val="내역원본"/>
      <sheetName val="결과조달"/>
      <sheetName val="8설7발"/>
      <sheetName val="배수내역 (2)"/>
      <sheetName val="간이영수증"/>
      <sheetName val="원계약고시공및준비구분"/>
      <sheetName val="TYPE-A"/>
      <sheetName val="날개벽수량표"/>
      <sheetName val="조건표"/>
      <sheetName val="단가집"/>
      <sheetName val="일위대가(가설)"/>
      <sheetName val="EUPDAT2"/>
      <sheetName val="5호광장_(만점)"/>
      <sheetName val="인천국제_(만점)_(2)"/>
      <sheetName val="Total_단위경유량집계"/>
      <sheetName val="준검_내역서"/>
      <sheetName val="토공유동표(전체_당초)"/>
      <sheetName val="1_수인터널"/>
      <sheetName val="WORK"/>
      <sheetName val="기성내역"/>
      <sheetName val="EBSDATA"/>
      <sheetName val="산출내역서집계표"/>
      <sheetName val="소방사항"/>
      <sheetName val="목차 "/>
      <sheetName val="부대내역"/>
      <sheetName val="6PILE  (돌출)"/>
      <sheetName val=" HIT-&gt;HMC 견적(3900)"/>
      <sheetName val="200"/>
      <sheetName val="자재단가표"/>
      <sheetName val="SLAB"/>
      <sheetName val="퇴직금(울산천상)"/>
      <sheetName val="CORE#2"/>
      <sheetName val="내역(가지)"/>
      <sheetName val="전기일위대가"/>
      <sheetName val="전 기"/>
      <sheetName val="단가조건(02년)"/>
      <sheetName val="일용노임단가"/>
      <sheetName val="spc 배관견적"/>
      <sheetName val="C97상"/>
      <sheetName val="#2_일위대가목록"/>
      <sheetName val="관급자재"/>
      <sheetName val="내역표지"/>
      <sheetName val="SHEET PILE단가"/>
      <sheetName val="수정2"/>
      <sheetName val="unit 4"/>
      <sheetName val="견적서"/>
      <sheetName val="현금흐름"/>
      <sheetName val="별첨1-임식"/>
      <sheetName val="기본자료"/>
      <sheetName val="부속동"/>
      <sheetName val="APT"/>
      <sheetName val="구간별관경"/>
      <sheetName val="인사자료총집계"/>
      <sheetName val="일위"/>
      <sheetName val="장비단가표"/>
      <sheetName val="Customer Databas"/>
      <sheetName val="현장관리비참조"/>
      <sheetName val="건축공사"/>
      <sheetName val="접속도로1"/>
      <sheetName val="공사비총괄"/>
      <sheetName val="BH_1 _2_"/>
      <sheetName val="공통가설"/>
      <sheetName val="d118"/>
      <sheetName val="FM"/>
      <sheetName val="세골재  T2 변경 현황"/>
      <sheetName val="기기리스트"/>
      <sheetName val="전라자금"/>
      <sheetName val="투찰추정"/>
      <sheetName val="검토"/>
      <sheetName val="INPUT-DATA"/>
      <sheetName val="총괄-1"/>
      <sheetName val="8.현장관리비"/>
      <sheetName val="7.안전관리비"/>
      <sheetName val="EQT-ESTN"/>
      <sheetName val="전체_1설계"/>
      <sheetName val="갑지(추정)"/>
      <sheetName val="중기"/>
      <sheetName val="데리네이타현황"/>
      <sheetName val="바닥판"/>
      <sheetName val="입력DATA"/>
      <sheetName val="b_balju"/>
      <sheetName val="장비"/>
      <sheetName val="노무"/>
      <sheetName val="계수시트"/>
      <sheetName val="화재 탐지 설비"/>
      <sheetName val="1.설계기준"/>
      <sheetName val="기초코드"/>
      <sheetName val="물량표"/>
      <sheetName val="기본일위"/>
      <sheetName val="모델명"/>
      <sheetName val="원가총괄"/>
      <sheetName val="수량산출"/>
      <sheetName val="시설물일위"/>
      <sheetName val="귀래 설계 공내역서"/>
      <sheetName val="재집"/>
      <sheetName val="총"/>
      <sheetName val="오산갈곳"/>
      <sheetName val="설치"/>
      <sheetName val="편입토지조서"/>
      <sheetName val="배수통관(좌)"/>
      <sheetName val="1안"/>
      <sheetName val="BQ"/>
      <sheetName val="집계및폼"/>
      <sheetName val="04_10_11"/>
      <sheetName val="WING3"/>
      <sheetName val="파일구성"/>
      <sheetName val="동방설계서"/>
      <sheetName val="유입량"/>
      <sheetName val="1.취수장"/>
      <sheetName val="PAINT"/>
      <sheetName val="SUMMARY(S)"/>
      <sheetName val="Y-WORK"/>
      <sheetName val="내역서1"/>
      <sheetName val="전입"/>
      <sheetName val="입찰"/>
      <sheetName val="현경"/>
      <sheetName val="중기사용료산출근거"/>
      <sheetName val="단가산출1"/>
      <sheetName val="1"/>
      <sheetName val="계약전체내역서"/>
      <sheetName val="예정공정(2차분)"/>
      <sheetName val="총괄간지"/>
      <sheetName val="발주간지"/>
      <sheetName val="1차전체변경"/>
      <sheetName val="2차전체변경예정"/>
      <sheetName val="2차전체변경예정 (2)"/>
      <sheetName val="전체변경p"/>
      <sheetName val="04계약"/>
      <sheetName val="사용계획서"/>
      <sheetName val="04착공계약내역서"/>
      <sheetName val="04변경-상하p"/>
      <sheetName val="전체증감"/>
      <sheetName val="1차분증감"/>
      <sheetName val="잔여분증감"/>
      <sheetName val="1차사용계획서"/>
      <sheetName val="1차간지"/>
      <sheetName val="1차분계약내역서"/>
      <sheetName val="이정표토공"/>
      <sheetName val="투입내역"/>
      <sheetName val="SG"/>
      <sheetName val="공정증감대ㅈ표"/>
      <sheetName val="시설물기초"/>
      <sheetName val="예가표"/>
      <sheetName val="주관사업"/>
      <sheetName val="원가서"/>
      <sheetName val="인건비"/>
      <sheetName val="Sheet5"/>
      <sheetName val="분전반일위대가"/>
      <sheetName val="101동"/>
      <sheetName val="노임이"/>
      <sheetName val="실행(ALT1)"/>
      <sheetName val="개인별 순위표"/>
      <sheetName val="INDEX"/>
      <sheetName val="프랜트면허"/>
      <sheetName val="냉천부속동"/>
      <sheetName val="네고율"/>
      <sheetName val="DATE"/>
      <sheetName val="BH-1_(2)"/>
      <sheetName val="표__지"/>
      <sheetName val="4_전기"/>
      <sheetName val="I_설계조건"/>
      <sheetName val="앉음벽_(2)"/>
      <sheetName val="1_설계조건"/>
      <sheetName val="조도계산서_(도서)"/>
      <sheetName val="노원열병합__건축공사기성내역서"/>
      <sheetName val="내역_ver1_0"/>
      <sheetName val="11_우각부_보강"/>
      <sheetName val="제출내역_(2)"/>
      <sheetName val="우수관매설및_우수받이"/>
      <sheetName val="11_산출(전열)"/>
      <sheetName val="6_산출(동력)"/>
      <sheetName val="7_산출(TRAY)"/>
      <sheetName val="plan&amp;section_of_foundation"/>
      <sheetName val="pile_bearing_capa_&amp;_arrenge"/>
      <sheetName val="working_load_at_the_btm_ft_"/>
      <sheetName val="stability_check"/>
      <sheetName val="design_criteria"/>
      <sheetName val="7__현장관리비_"/>
      <sheetName val="6__안전관리비"/>
      <sheetName val="_HIT__HMC_견적_3900_"/>
      <sheetName val="소포내역_(2)"/>
      <sheetName val="3련_BOX"/>
      <sheetName val="기별(종합)"/>
      <sheetName val="환율change"/>
      <sheetName val="당초"/>
      <sheetName val="단가표"/>
      <sheetName val="시화점실행"/>
      <sheetName val="손익차9월2"/>
      <sheetName val="득점현황"/>
      <sheetName val="협력업체"/>
      <sheetName val="코드1"/>
      <sheetName val="코드2"/>
      <sheetName val="도담구내 개소별 명세"/>
      <sheetName val="공기압축기실"/>
      <sheetName val="POL6차-PIPING"/>
      <sheetName val="정산내역"/>
      <sheetName val="품목납기"/>
      <sheetName val="손익분석"/>
      <sheetName val="대림경상68억"/>
      <sheetName val="지불내역(자재외)"/>
      <sheetName val="일위대가목차"/>
      <sheetName val="3.1공사현황 공정표"/>
      <sheetName val="조경수목"/>
      <sheetName val="퇴직공제부금"/>
      <sheetName val="평균노임"/>
      <sheetName val="ELEC"/>
      <sheetName val="덕전리"/>
      <sheetName val="공사비산출내역"/>
      <sheetName val="부서코드표"/>
      <sheetName val="전동기"/>
      <sheetName val="일위대가(집계)"/>
      <sheetName val="TCDB"/>
      <sheetName val="직접비"/>
      <sheetName val="Sheet2"/>
      <sheetName val="정리계획CF평가"/>
      <sheetName val="설 계"/>
      <sheetName val="원도급"/>
      <sheetName val="하도급"/>
      <sheetName val="증감분석"/>
      <sheetName val="한전일위"/>
      <sheetName val="중기비"/>
      <sheetName val="신천3호용수로"/>
      <sheetName val="Cash Flow-1"/>
      <sheetName val="단가(적용)"/>
      <sheetName val="PAY"/>
      <sheetName val="정렬"/>
      <sheetName val="안정계산"/>
      <sheetName val="단면검토"/>
      <sheetName val="2000년하반기"/>
      <sheetName val="노임 단가"/>
      <sheetName val="1유리"/>
      <sheetName val="공통단가"/>
      <sheetName val="수량산출서집계(1-4차)"/>
      <sheetName val="수지예산"/>
      <sheetName val="저장소"/>
      <sheetName val="내역집계"/>
      <sheetName val="재료"/>
      <sheetName val="직접경비호표"/>
      <sheetName val="TOT"/>
      <sheetName val="BJJIN"/>
      <sheetName val="건축"/>
      <sheetName val="단중표"/>
      <sheetName val="7"/>
      <sheetName val="投标材料清单 "/>
      <sheetName val="결재란"/>
      <sheetName val="대공종"/>
      <sheetName val="집 계 표"/>
      <sheetName val="유림골조"/>
      <sheetName val="전기공사"/>
      <sheetName val="청천내"/>
      <sheetName val="재료값"/>
      <sheetName val="합계"/>
      <sheetName val="내역서 "/>
      <sheetName val="실행"/>
      <sheetName val="재개발"/>
      <sheetName val="분석"/>
      <sheetName val="시운전연료비"/>
      <sheetName val="골조시행"/>
      <sheetName val="시운전연료"/>
      <sheetName val="입찰보고"/>
      <sheetName val="몰탈"/>
      <sheetName val="98수문일위"/>
      <sheetName val="소화실적"/>
      <sheetName val="10공구일위"/>
      <sheetName val="인천제철"/>
      <sheetName val="6공구(당초)"/>
      <sheetName val="1월"/>
      <sheetName val="중사"/>
      <sheetName val="자재co"/>
      <sheetName val="별표 "/>
      <sheetName val="1,2,3,4,5단위수량"/>
      <sheetName val="계산표지"/>
      <sheetName val="노임변동률"/>
      <sheetName val="1공구(입찰내역)"/>
      <sheetName val="연습"/>
      <sheetName val="장비단가"/>
      <sheetName val="재료비단가"/>
      <sheetName val="자료입력"/>
      <sheetName val="적용단위길이"/>
      <sheetName val="전기혼잡제경비(45)"/>
      <sheetName val="공사비집계"/>
      <sheetName val="가설건물"/>
      <sheetName val="MSS_2"/>
      <sheetName val="공사비총괄표"/>
      <sheetName val="일위대가표48"/>
      <sheetName val="토공계산서(부체도로)"/>
      <sheetName val="원형1호맨홀토공수량"/>
      <sheetName val="하중계산"/>
      <sheetName val="중기사용료"/>
      <sheetName val="미드수량"/>
      <sheetName val="(1)본선수량집계"/>
      <sheetName val="Macro(전선)"/>
      <sheetName val="개산공사비"/>
      <sheetName val="집계장(대목_실행)"/>
      <sheetName val="단가산출서"/>
      <sheetName val="단가적용"/>
      <sheetName val="수량집계"/>
      <sheetName val="코드"/>
      <sheetName val="철거산출근거"/>
      <sheetName val="지구단위계획"/>
      <sheetName val="CC16-내역서"/>
      <sheetName val="남양내역"/>
      <sheetName val="MAIN_TABLE"/>
      <sheetName val="노임단가 (2)"/>
      <sheetName val="MILL"/>
      <sheetName val="AS복구"/>
      <sheetName val="중기터파기"/>
      <sheetName val="변수값"/>
      <sheetName val="중기상차"/>
      <sheetName val="평3"/>
      <sheetName val="옥내소화전계산서"/>
      <sheetName val="관리,공감"/>
      <sheetName val="3.공통공사대비"/>
      <sheetName val="Sheet6"/>
      <sheetName val="인력터파기"/>
      <sheetName val="자금청구"/>
      <sheetName val="관공일위대가"/>
      <sheetName val="관자재"/>
      <sheetName val="단가 및 재료비"/>
      <sheetName val="관접합및자재집계표"/>
      <sheetName val="부대공(BOQ)"/>
      <sheetName val="자동제어"/>
      <sheetName val="코드일람표2001년10월"/>
      <sheetName val="공량산출서"/>
      <sheetName val="9GNG운반"/>
      <sheetName val="단면가정"/>
      <sheetName val="대치판정"/>
      <sheetName val="교각계산"/>
      <sheetName val="현장별"/>
      <sheetName val="사유서제출현황-2"/>
      <sheetName val="sub"/>
      <sheetName val="검색방"/>
      <sheetName val="CODE"/>
      <sheetName val="제노임"/>
      <sheetName val="업체자료"/>
      <sheetName val="입찰견적보고서"/>
      <sheetName val="제품목록"/>
      <sheetName val="암거"/>
      <sheetName val="현금예금"/>
      <sheetName val="내역서비교"/>
      <sheetName val="준공정산"/>
      <sheetName val="건축내역서"/>
      <sheetName val="단가조사서"/>
      <sheetName val="상수도토공집계표"/>
      <sheetName val="목차"/>
      <sheetName val="INSTR"/>
      <sheetName val="#3_일위대가목록"/>
      <sheetName val="시중노임단가"/>
      <sheetName val="7.공정표"/>
      <sheetName val="단면 (2)"/>
      <sheetName val="간접비(1)"/>
      <sheetName val="DHEQSUPT"/>
      <sheetName val="토사(PE)"/>
      <sheetName val="장비비 명세서1"/>
      <sheetName val="Sheet4"/>
      <sheetName val="표준건축비"/>
      <sheetName val="구의33고"/>
      <sheetName val="유림총괄"/>
      <sheetName val="-배수구조총재료"/>
      <sheetName val="심사물량"/>
      <sheetName val="비주거용"/>
      <sheetName val="인원"/>
      <sheetName val="RETAIL (ABOVE)"/>
      <sheetName val="5. 현장관리비(new) "/>
      <sheetName val="원본"/>
      <sheetName val="HVAC"/>
      <sheetName val="CODE1"/>
      <sheetName val="장비 (2)"/>
      <sheetName val="VE절감"/>
      <sheetName val="청주(철골발주의뢰서)"/>
      <sheetName val="분전함신설"/>
      <sheetName val="차수"/>
      <sheetName val="식재인부"/>
      <sheetName val="횡배수관토공수량"/>
      <sheetName val="세부추진"/>
      <sheetName val="상용보강"/>
      <sheetName val="단가(반정1교-원주)"/>
      <sheetName val="효율표"/>
      <sheetName val="SHEET"/>
      <sheetName val="2000노임기준"/>
      <sheetName val="확정분요약"/>
      <sheetName val="확정분세부"/>
      <sheetName val="제잡비"/>
      <sheetName val="개요"/>
      <sheetName val="울산자금"/>
      <sheetName val="제수변 수량집계표(보통)"/>
      <sheetName val="현관"/>
      <sheetName val="투찰가"/>
      <sheetName val="동해title"/>
      <sheetName val="실행(표지,갑,을)"/>
      <sheetName val="인부신상자료"/>
      <sheetName val="단   산"/>
      <sheetName val="실    단"/>
      <sheetName val="기본단가"/>
      <sheetName val="1단계"/>
      <sheetName val="일위대_x0000__x0000_Ԁ_x0000_䀀"/>
      <sheetName val="정산을지"/>
      <sheetName val="6. 수량산출서"/>
      <sheetName val="점수계산1-2"/>
      <sheetName val="2.대외공문"/>
      <sheetName val="건축2"/>
      <sheetName val="본사인상전"/>
      <sheetName val="B"/>
      <sheetName val="일위대㐀븁_x0000__x0000_退"/>
      <sheetName val="조작대(1연)"/>
      <sheetName val="일위(시설)"/>
      <sheetName val="노무비 근거"/>
      <sheetName val="96수출"/>
      <sheetName val="내역서을지"/>
      <sheetName val="wall"/>
      <sheetName val="위치조서"/>
      <sheetName val="48평단가"/>
      <sheetName val="57단가"/>
      <sheetName val="54평단가"/>
      <sheetName val="66평단가"/>
      <sheetName val="61단가"/>
      <sheetName val="89평단가"/>
      <sheetName val="84평단가"/>
      <sheetName val="현장관리비데이타"/>
      <sheetName val="비교1"/>
      <sheetName val="신고조서"/>
      <sheetName val="EJ"/>
      <sheetName val="일정"/>
      <sheetName val="일위단가"/>
      <sheetName val="SHL"/>
      <sheetName val="적용환율"/>
      <sheetName val="김해토지조서"/>
      <sheetName val="공정코드"/>
      <sheetName val="통신물량"/>
      <sheetName val="기본"/>
      <sheetName val="Eq. Mobilization"/>
      <sheetName val="가시설단위수량"/>
      <sheetName val="월별수입"/>
      <sheetName val="건축기술부대조건"/>
      <sheetName val="입력정보"/>
      <sheetName val="일위총괄"/>
      <sheetName val="이월"/>
      <sheetName val="위치"/>
      <sheetName val="단가비교"/>
      <sheetName val="5호광장_(만점)1"/>
      <sheetName val="인천국제_(만점)_(2)1"/>
      <sheetName val="Total_단위경유량집계1"/>
      <sheetName val="준검_내역서1"/>
      <sheetName val="토공유동표(전체_당초)1"/>
      <sheetName val="BH-1_(2)1"/>
      <sheetName val="1_수인터널1"/>
      <sheetName val="4_전기1"/>
      <sheetName val="표__지1"/>
      <sheetName val="앉음벽_(2)1"/>
      <sheetName val="1_설계조건1"/>
      <sheetName val="조도계산서_(도서)1"/>
      <sheetName val="노원열병합__건축공사기성내역서1"/>
      <sheetName val="I_설계조건1"/>
      <sheetName val="MSS_21"/>
      <sheetName val="2_1__노무비_평균단가산출"/>
      <sheetName val="우수관매설및_우수받이1"/>
      <sheetName val="제출내역_(2)1"/>
      <sheetName val="내역_ver1_01"/>
      <sheetName val="plan&amp;section_of_foundation1"/>
      <sheetName val="pile_bearing_capa_&amp;_arrenge1"/>
      <sheetName val="working_load_at_the_btm_ft_1"/>
      <sheetName val="stability_check1"/>
      <sheetName val="design_criteria1"/>
      <sheetName val="11_우각부_보강1"/>
      <sheetName val="보고서_기기리스트"/>
      <sheetName val="3련_BOX1"/>
      <sheetName val="소포내역_(2)1"/>
      <sheetName val="11_산출(전열)1"/>
      <sheetName val="6_산출(동력)1"/>
      <sheetName val="7_산출(TRAY)1"/>
      <sheetName val="7__현장관리비_1"/>
      <sheetName val="6__안전관리비1"/>
      <sheetName val="배수내역_(2)"/>
      <sheetName val="배수공_시멘트_및_골재량_산출"/>
      <sheetName val="_HIT-&gt;HMC_견적(3900)"/>
      <sheetName val="_HIT__HMC_견적_3900_1"/>
      <sheetName val="A_견적"/>
      <sheetName val="내___역"/>
      <sheetName val="플랜트_설치"/>
      <sheetName val="5_산출(전력)"/>
      <sheetName val="전_기"/>
      <sheetName val="수량산출서(전력간선_지하D_C)"/>
      <sheetName val="SHEET_PILE단가"/>
      <sheetName val="1_설계기준"/>
      <sheetName val="목차_"/>
      <sheetName val="Customer_Databas"/>
      <sheetName val="집_계_표"/>
      <sheetName val="6PILE__(돌출)"/>
      <sheetName val="spc_배관견적"/>
      <sheetName val="1_취수장"/>
      <sheetName val="unit_4"/>
      <sheetName val="화재_탐지_설비"/>
      <sheetName val="2차전체변경예정_(2)"/>
      <sheetName val="Cash_Flow-1"/>
      <sheetName val="3_1공사현황_공정표"/>
      <sheetName val="세골재__T2_변경_현황"/>
      <sheetName val="BH_1__2_"/>
      <sheetName val="귀래_설계_공내역서"/>
      <sheetName val="설_계"/>
      <sheetName val="노임_단가"/>
      <sheetName val="8_현장관리비"/>
      <sheetName val="7_안전관리비"/>
      <sheetName val="별표_"/>
      <sheetName val="개인별_순위표"/>
      <sheetName val="Eq__Mobilization"/>
      <sheetName val="내역서_"/>
      <sheetName val="도담구내_개소별_명세"/>
      <sheetName val="投标材料清单_"/>
      <sheetName val="3_공통공사대비"/>
      <sheetName val="단가_및_재료비"/>
      <sheetName val="장비비_명세서1"/>
      <sheetName val="7_공정표"/>
      <sheetName val="단면_(2)"/>
      <sheetName val="5__현장관리비(new)_"/>
      <sheetName val="2_대외공문"/>
      <sheetName val="노임단가_(2)"/>
      <sheetName val="RETAIL_(ABOVE)"/>
      <sheetName val="A1"/>
      <sheetName val="단가조사"/>
      <sheetName val="재료비노무비"/>
      <sheetName val="2련간지"/>
      <sheetName val="범례표"/>
      <sheetName val="실지수기호표"/>
      <sheetName val="Baby일위대가"/>
      <sheetName val="주beam"/>
      <sheetName val="일위_파일"/>
      <sheetName val="이토변실(A3-LINE)"/>
      <sheetName val="guard(mac)"/>
      <sheetName val="COST"/>
      <sheetName val="공통(20-91)"/>
      <sheetName val="가설식당"/>
      <sheetName val="학생내역"/>
      <sheetName val=" 갑지"/>
      <sheetName val="기계실냉난방"/>
      <sheetName val="옥외외등집계표"/>
      <sheetName val="금리계산"/>
      <sheetName val="대운반(철재)"/>
      <sheetName val="산출"/>
      <sheetName val="소방"/>
      <sheetName val="예산코드"/>
      <sheetName val="원가입력"/>
      <sheetName val="기준"/>
      <sheetName val="철근량"/>
      <sheetName val="실행대비"/>
      <sheetName val="용수간선"/>
      <sheetName val=""/>
      <sheetName val="공사수행방안"/>
      <sheetName val="현장경비"/>
      <sheetName val="N賃率_職"/>
      <sheetName val="양식_자재단가조사표"/>
      <sheetName val="3BL공동구 수량"/>
      <sheetName val="전선 및 전선관"/>
      <sheetName val="공조기"/>
      <sheetName val="CM 1"/>
      <sheetName val="5.동별횡주관경"/>
      <sheetName val="도실건시"/>
      <sheetName val="제경비산출서"/>
      <sheetName val="전산망"/>
      <sheetName val="콘크리트타설집계표"/>
      <sheetName val="골조"/>
      <sheetName val="일위산출근거"/>
      <sheetName val="자동세륜기"/>
      <sheetName val="입력데이타(비인쇄용)"/>
      <sheetName val="기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/>
      <sheetData sheetId="858"/>
      <sheetData sheetId="859"/>
      <sheetData sheetId="860"/>
      <sheetData sheetId="861"/>
      <sheetData sheetId="862"/>
      <sheetData sheetId="863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설계내역서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입찰안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표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U336"/>
  <sheetViews>
    <sheetView tabSelected="1" view="pageBreakPreview" zoomScale="145" zoomScaleNormal="100" zoomScaleSheetLayoutView="145" workbookViewId="0">
      <selection activeCell="D7" sqref="D7"/>
    </sheetView>
  </sheetViews>
  <sheetFormatPr defaultColWidth="9" defaultRowHeight="18" customHeight="1"/>
  <cols>
    <col min="1" max="1" width="13.5703125" style="69" customWidth="1"/>
    <col min="2" max="2" width="8.140625" style="69" customWidth="1"/>
    <col min="3" max="3" width="8.85546875" style="69" customWidth="1"/>
    <col min="4" max="4" width="23.140625" style="69" customWidth="1"/>
    <col min="5" max="5" width="16.85546875" style="69" customWidth="1"/>
    <col min="6" max="6" width="30.85546875" style="69" customWidth="1"/>
    <col min="7" max="7" width="17.85546875" style="69" customWidth="1"/>
    <col min="8" max="8" width="22.140625" style="69" customWidth="1"/>
    <col min="9" max="9" width="5.5703125" style="69" customWidth="1"/>
    <col min="10" max="256" width="9.140625" style="69"/>
    <col min="257" max="257" width="13.5703125" style="69" customWidth="1"/>
    <col min="258" max="258" width="8.140625" style="69" customWidth="1"/>
    <col min="259" max="259" width="8.85546875" style="69" customWidth="1"/>
    <col min="260" max="260" width="23.140625" style="69" customWidth="1"/>
    <col min="261" max="261" width="16.85546875" style="69" customWidth="1"/>
    <col min="262" max="262" width="18.85546875" style="69" customWidth="1"/>
    <col min="263" max="263" width="17.85546875" style="69" customWidth="1"/>
    <col min="264" max="264" width="22.140625" style="69" customWidth="1"/>
    <col min="265" max="265" width="5.5703125" style="69" customWidth="1"/>
    <col min="266" max="512" width="9.140625" style="69"/>
    <col min="513" max="513" width="13.5703125" style="69" customWidth="1"/>
    <col min="514" max="514" width="8.140625" style="69" customWidth="1"/>
    <col min="515" max="515" width="8.85546875" style="69" customWidth="1"/>
    <col min="516" max="516" width="23.140625" style="69" customWidth="1"/>
    <col min="517" max="517" width="16.85546875" style="69" customWidth="1"/>
    <col min="518" max="518" width="18.85546875" style="69" customWidth="1"/>
    <col min="519" max="519" width="17.85546875" style="69" customWidth="1"/>
    <col min="520" max="520" width="22.140625" style="69" customWidth="1"/>
    <col min="521" max="521" width="5.5703125" style="69" customWidth="1"/>
    <col min="522" max="768" width="9.140625" style="69"/>
    <col min="769" max="769" width="13.5703125" style="69" customWidth="1"/>
    <col min="770" max="770" width="8.140625" style="69" customWidth="1"/>
    <col min="771" max="771" width="8.85546875" style="69" customWidth="1"/>
    <col min="772" max="772" width="23.140625" style="69" customWidth="1"/>
    <col min="773" max="773" width="16.85546875" style="69" customWidth="1"/>
    <col min="774" max="774" width="18.85546875" style="69" customWidth="1"/>
    <col min="775" max="775" width="17.85546875" style="69" customWidth="1"/>
    <col min="776" max="776" width="22.140625" style="69" customWidth="1"/>
    <col min="777" max="777" width="5.5703125" style="69" customWidth="1"/>
    <col min="778" max="1024" width="9.140625" style="69"/>
    <col min="1025" max="1025" width="13.5703125" style="69" customWidth="1"/>
    <col min="1026" max="1026" width="8.140625" style="69" customWidth="1"/>
    <col min="1027" max="1027" width="8.85546875" style="69" customWidth="1"/>
    <col min="1028" max="1028" width="23.140625" style="69" customWidth="1"/>
    <col min="1029" max="1029" width="16.85546875" style="69" customWidth="1"/>
    <col min="1030" max="1030" width="18.85546875" style="69" customWidth="1"/>
    <col min="1031" max="1031" width="17.85546875" style="69" customWidth="1"/>
    <col min="1032" max="1032" width="22.140625" style="69" customWidth="1"/>
    <col min="1033" max="1033" width="5.5703125" style="69" customWidth="1"/>
    <col min="1034" max="1280" width="9.140625" style="69"/>
    <col min="1281" max="1281" width="13.5703125" style="69" customWidth="1"/>
    <col min="1282" max="1282" width="8.140625" style="69" customWidth="1"/>
    <col min="1283" max="1283" width="8.85546875" style="69" customWidth="1"/>
    <col min="1284" max="1284" width="23.140625" style="69" customWidth="1"/>
    <col min="1285" max="1285" width="16.85546875" style="69" customWidth="1"/>
    <col min="1286" max="1286" width="18.85546875" style="69" customWidth="1"/>
    <col min="1287" max="1287" width="17.85546875" style="69" customWidth="1"/>
    <col min="1288" max="1288" width="22.140625" style="69" customWidth="1"/>
    <col min="1289" max="1289" width="5.5703125" style="69" customWidth="1"/>
    <col min="1290" max="1536" width="9.140625" style="69"/>
    <col min="1537" max="1537" width="13.5703125" style="69" customWidth="1"/>
    <col min="1538" max="1538" width="8.140625" style="69" customWidth="1"/>
    <col min="1539" max="1539" width="8.85546875" style="69" customWidth="1"/>
    <col min="1540" max="1540" width="23.140625" style="69" customWidth="1"/>
    <col min="1541" max="1541" width="16.85546875" style="69" customWidth="1"/>
    <col min="1542" max="1542" width="18.85546875" style="69" customWidth="1"/>
    <col min="1543" max="1543" width="17.85546875" style="69" customWidth="1"/>
    <col min="1544" max="1544" width="22.140625" style="69" customWidth="1"/>
    <col min="1545" max="1545" width="5.5703125" style="69" customWidth="1"/>
    <col min="1546" max="1792" width="9.140625" style="69"/>
    <col min="1793" max="1793" width="13.5703125" style="69" customWidth="1"/>
    <col min="1794" max="1794" width="8.140625" style="69" customWidth="1"/>
    <col min="1795" max="1795" width="8.85546875" style="69" customWidth="1"/>
    <col min="1796" max="1796" width="23.140625" style="69" customWidth="1"/>
    <col min="1797" max="1797" width="16.85546875" style="69" customWidth="1"/>
    <col min="1798" max="1798" width="18.85546875" style="69" customWidth="1"/>
    <col min="1799" max="1799" width="17.85546875" style="69" customWidth="1"/>
    <col min="1800" max="1800" width="22.140625" style="69" customWidth="1"/>
    <col min="1801" max="1801" width="5.5703125" style="69" customWidth="1"/>
    <col min="1802" max="2048" width="9.140625" style="69"/>
    <col min="2049" max="2049" width="13.5703125" style="69" customWidth="1"/>
    <col min="2050" max="2050" width="8.140625" style="69" customWidth="1"/>
    <col min="2051" max="2051" width="8.85546875" style="69" customWidth="1"/>
    <col min="2052" max="2052" width="23.140625" style="69" customWidth="1"/>
    <col min="2053" max="2053" width="16.85546875" style="69" customWidth="1"/>
    <col min="2054" max="2054" width="18.85546875" style="69" customWidth="1"/>
    <col min="2055" max="2055" width="17.85546875" style="69" customWidth="1"/>
    <col min="2056" max="2056" width="22.140625" style="69" customWidth="1"/>
    <col min="2057" max="2057" width="5.5703125" style="69" customWidth="1"/>
    <col min="2058" max="2304" width="9.140625" style="69"/>
    <col min="2305" max="2305" width="13.5703125" style="69" customWidth="1"/>
    <col min="2306" max="2306" width="8.140625" style="69" customWidth="1"/>
    <col min="2307" max="2307" width="8.85546875" style="69" customWidth="1"/>
    <col min="2308" max="2308" width="23.140625" style="69" customWidth="1"/>
    <col min="2309" max="2309" width="16.85546875" style="69" customWidth="1"/>
    <col min="2310" max="2310" width="18.85546875" style="69" customWidth="1"/>
    <col min="2311" max="2311" width="17.85546875" style="69" customWidth="1"/>
    <col min="2312" max="2312" width="22.140625" style="69" customWidth="1"/>
    <col min="2313" max="2313" width="5.5703125" style="69" customWidth="1"/>
    <col min="2314" max="2560" width="9.140625" style="69"/>
    <col min="2561" max="2561" width="13.5703125" style="69" customWidth="1"/>
    <col min="2562" max="2562" width="8.140625" style="69" customWidth="1"/>
    <col min="2563" max="2563" width="8.85546875" style="69" customWidth="1"/>
    <col min="2564" max="2564" width="23.140625" style="69" customWidth="1"/>
    <col min="2565" max="2565" width="16.85546875" style="69" customWidth="1"/>
    <col min="2566" max="2566" width="18.85546875" style="69" customWidth="1"/>
    <col min="2567" max="2567" width="17.85546875" style="69" customWidth="1"/>
    <col min="2568" max="2568" width="22.140625" style="69" customWidth="1"/>
    <col min="2569" max="2569" width="5.5703125" style="69" customWidth="1"/>
    <col min="2570" max="2816" width="9.140625" style="69"/>
    <col min="2817" max="2817" width="13.5703125" style="69" customWidth="1"/>
    <col min="2818" max="2818" width="8.140625" style="69" customWidth="1"/>
    <col min="2819" max="2819" width="8.85546875" style="69" customWidth="1"/>
    <col min="2820" max="2820" width="23.140625" style="69" customWidth="1"/>
    <col min="2821" max="2821" width="16.85546875" style="69" customWidth="1"/>
    <col min="2822" max="2822" width="18.85546875" style="69" customWidth="1"/>
    <col min="2823" max="2823" width="17.85546875" style="69" customWidth="1"/>
    <col min="2824" max="2824" width="22.140625" style="69" customWidth="1"/>
    <col min="2825" max="2825" width="5.5703125" style="69" customWidth="1"/>
    <col min="2826" max="3072" width="9.140625" style="69"/>
    <col min="3073" max="3073" width="13.5703125" style="69" customWidth="1"/>
    <col min="3074" max="3074" width="8.140625" style="69" customWidth="1"/>
    <col min="3075" max="3075" width="8.85546875" style="69" customWidth="1"/>
    <col min="3076" max="3076" width="23.140625" style="69" customWidth="1"/>
    <col min="3077" max="3077" width="16.85546875" style="69" customWidth="1"/>
    <col min="3078" max="3078" width="18.85546875" style="69" customWidth="1"/>
    <col min="3079" max="3079" width="17.85546875" style="69" customWidth="1"/>
    <col min="3080" max="3080" width="22.140625" style="69" customWidth="1"/>
    <col min="3081" max="3081" width="5.5703125" style="69" customWidth="1"/>
    <col min="3082" max="3328" width="9.140625" style="69"/>
    <col min="3329" max="3329" width="13.5703125" style="69" customWidth="1"/>
    <col min="3330" max="3330" width="8.140625" style="69" customWidth="1"/>
    <col min="3331" max="3331" width="8.85546875" style="69" customWidth="1"/>
    <col min="3332" max="3332" width="23.140625" style="69" customWidth="1"/>
    <col min="3333" max="3333" width="16.85546875" style="69" customWidth="1"/>
    <col min="3334" max="3334" width="18.85546875" style="69" customWidth="1"/>
    <col min="3335" max="3335" width="17.85546875" style="69" customWidth="1"/>
    <col min="3336" max="3336" width="22.140625" style="69" customWidth="1"/>
    <col min="3337" max="3337" width="5.5703125" style="69" customWidth="1"/>
    <col min="3338" max="3584" width="9.140625" style="69"/>
    <col min="3585" max="3585" width="13.5703125" style="69" customWidth="1"/>
    <col min="3586" max="3586" width="8.140625" style="69" customWidth="1"/>
    <col min="3587" max="3587" width="8.85546875" style="69" customWidth="1"/>
    <col min="3588" max="3588" width="23.140625" style="69" customWidth="1"/>
    <col min="3589" max="3589" width="16.85546875" style="69" customWidth="1"/>
    <col min="3590" max="3590" width="18.85546875" style="69" customWidth="1"/>
    <col min="3591" max="3591" width="17.85546875" style="69" customWidth="1"/>
    <col min="3592" max="3592" width="22.140625" style="69" customWidth="1"/>
    <col min="3593" max="3593" width="5.5703125" style="69" customWidth="1"/>
    <col min="3594" max="3840" width="9.140625" style="69"/>
    <col min="3841" max="3841" width="13.5703125" style="69" customWidth="1"/>
    <col min="3842" max="3842" width="8.140625" style="69" customWidth="1"/>
    <col min="3843" max="3843" width="8.85546875" style="69" customWidth="1"/>
    <col min="3844" max="3844" width="23.140625" style="69" customWidth="1"/>
    <col min="3845" max="3845" width="16.85546875" style="69" customWidth="1"/>
    <col min="3846" max="3846" width="18.85546875" style="69" customWidth="1"/>
    <col min="3847" max="3847" width="17.85546875" style="69" customWidth="1"/>
    <col min="3848" max="3848" width="22.140625" style="69" customWidth="1"/>
    <col min="3849" max="3849" width="5.5703125" style="69" customWidth="1"/>
    <col min="3850" max="4096" width="9.140625" style="69"/>
    <col min="4097" max="4097" width="13.5703125" style="69" customWidth="1"/>
    <col min="4098" max="4098" width="8.140625" style="69" customWidth="1"/>
    <col min="4099" max="4099" width="8.85546875" style="69" customWidth="1"/>
    <col min="4100" max="4100" width="23.140625" style="69" customWidth="1"/>
    <col min="4101" max="4101" width="16.85546875" style="69" customWidth="1"/>
    <col min="4102" max="4102" width="18.85546875" style="69" customWidth="1"/>
    <col min="4103" max="4103" width="17.85546875" style="69" customWidth="1"/>
    <col min="4104" max="4104" width="22.140625" style="69" customWidth="1"/>
    <col min="4105" max="4105" width="5.5703125" style="69" customWidth="1"/>
    <col min="4106" max="4352" width="9.140625" style="69"/>
    <col min="4353" max="4353" width="13.5703125" style="69" customWidth="1"/>
    <col min="4354" max="4354" width="8.140625" style="69" customWidth="1"/>
    <col min="4355" max="4355" width="8.85546875" style="69" customWidth="1"/>
    <col min="4356" max="4356" width="23.140625" style="69" customWidth="1"/>
    <col min="4357" max="4357" width="16.85546875" style="69" customWidth="1"/>
    <col min="4358" max="4358" width="18.85546875" style="69" customWidth="1"/>
    <col min="4359" max="4359" width="17.85546875" style="69" customWidth="1"/>
    <col min="4360" max="4360" width="22.140625" style="69" customWidth="1"/>
    <col min="4361" max="4361" width="5.5703125" style="69" customWidth="1"/>
    <col min="4362" max="4608" width="9.140625" style="69"/>
    <col min="4609" max="4609" width="13.5703125" style="69" customWidth="1"/>
    <col min="4610" max="4610" width="8.140625" style="69" customWidth="1"/>
    <col min="4611" max="4611" width="8.85546875" style="69" customWidth="1"/>
    <col min="4612" max="4612" width="23.140625" style="69" customWidth="1"/>
    <col min="4613" max="4613" width="16.85546875" style="69" customWidth="1"/>
    <col min="4614" max="4614" width="18.85546875" style="69" customWidth="1"/>
    <col min="4615" max="4615" width="17.85546875" style="69" customWidth="1"/>
    <col min="4616" max="4616" width="22.140625" style="69" customWidth="1"/>
    <col min="4617" max="4617" width="5.5703125" style="69" customWidth="1"/>
    <col min="4618" max="4864" width="9.140625" style="69"/>
    <col min="4865" max="4865" width="13.5703125" style="69" customWidth="1"/>
    <col min="4866" max="4866" width="8.140625" style="69" customWidth="1"/>
    <col min="4867" max="4867" width="8.85546875" style="69" customWidth="1"/>
    <col min="4868" max="4868" width="23.140625" style="69" customWidth="1"/>
    <col min="4869" max="4869" width="16.85546875" style="69" customWidth="1"/>
    <col min="4870" max="4870" width="18.85546875" style="69" customWidth="1"/>
    <col min="4871" max="4871" width="17.85546875" style="69" customWidth="1"/>
    <col min="4872" max="4872" width="22.140625" style="69" customWidth="1"/>
    <col min="4873" max="4873" width="5.5703125" style="69" customWidth="1"/>
    <col min="4874" max="5120" width="9.140625" style="69"/>
    <col min="5121" max="5121" width="13.5703125" style="69" customWidth="1"/>
    <col min="5122" max="5122" width="8.140625" style="69" customWidth="1"/>
    <col min="5123" max="5123" width="8.85546875" style="69" customWidth="1"/>
    <col min="5124" max="5124" width="23.140625" style="69" customWidth="1"/>
    <col min="5125" max="5125" width="16.85546875" style="69" customWidth="1"/>
    <col min="5126" max="5126" width="18.85546875" style="69" customWidth="1"/>
    <col min="5127" max="5127" width="17.85546875" style="69" customWidth="1"/>
    <col min="5128" max="5128" width="22.140625" style="69" customWidth="1"/>
    <col min="5129" max="5129" width="5.5703125" style="69" customWidth="1"/>
    <col min="5130" max="5376" width="9.140625" style="69"/>
    <col min="5377" max="5377" width="13.5703125" style="69" customWidth="1"/>
    <col min="5378" max="5378" width="8.140625" style="69" customWidth="1"/>
    <col min="5379" max="5379" width="8.85546875" style="69" customWidth="1"/>
    <col min="5380" max="5380" width="23.140625" style="69" customWidth="1"/>
    <col min="5381" max="5381" width="16.85546875" style="69" customWidth="1"/>
    <col min="5382" max="5382" width="18.85546875" style="69" customWidth="1"/>
    <col min="5383" max="5383" width="17.85546875" style="69" customWidth="1"/>
    <col min="5384" max="5384" width="22.140625" style="69" customWidth="1"/>
    <col min="5385" max="5385" width="5.5703125" style="69" customWidth="1"/>
    <col min="5386" max="5632" width="9.140625" style="69"/>
    <col min="5633" max="5633" width="13.5703125" style="69" customWidth="1"/>
    <col min="5634" max="5634" width="8.140625" style="69" customWidth="1"/>
    <col min="5635" max="5635" width="8.85546875" style="69" customWidth="1"/>
    <col min="5636" max="5636" width="23.140625" style="69" customWidth="1"/>
    <col min="5637" max="5637" width="16.85546875" style="69" customWidth="1"/>
    <col min="5638" max="5638" width="18.85546875" style="69" customWidth="1"/>
    <col min="5639" max="5639" width="17.85546875" style="69" customWidth="1"/>
    <col min="5640" max="5640" width="22.140625" style="69" customWidth="1"/>
    <col min="5641" max="5641" width="5.5703125" style="69" customWidth="1"/>
    <col min="5642" max="5888" width="9.140625" style="69"/>
    <col min="5889" max="5889" width="13.5703125" style="69" customWidth="1"/>
    <col min="5890" max="5890" width="8.140625" style="69" customWidth="1"/>
    <col min="5891" max="5891" width="8.85546875" style="69" customWidth="1"/>
    <col min="5892" max="5892" width="23.140625" style="69" customWidth="1"/>
    <col min="5893" max="5893" width="16.85546875" style="69" customWidth="1"/>
    <col min="5894" max="5894" width="18.85546875" style="69" customWidth="1"/>
    <col min="5895" max="5895" width="17.85546875" style="69" customWidth="1"/>
    <col min="5896" max="5896" width="22.140625" style="69" customWidth="1"/>
    <col min="5897" max="5897" width="5.5703125" style="69" customWidth="1"/>
    <col min="5898" max="6144" width="9.140625" style="69"/>
    <col min="6145" max="6145" width="13.5703125" style="69" customWidth="1"/>
    <col min="6146" max="6146" width="8.140625" style="69" customWidth="1"/>
    <col min="6147" max="6147" width="8.85546875" style="69" customWidth="1"/>
    <col min="6148" max="6148" width="23.140625" style="69" customWidth="1"/>
    <col min="6149" max="6149" width="16.85546875" style="69" customWidth="1"/>
    <col min="6150" max="6150" width="18.85546875" style="69" customWidth="1"/>
    <col min="6151" max="6151" width="17.85546875" style="69" customWidth="1"/>
    <col min="6152" max="6152" width="22.140625" style="69" customWidth="1"/>
    <col min="6153" max="6153" width="5.5703125" style="69" customWidth="1"/>
    <col min="6154" max="6400" width="9.140625" style="69"/>
    <col min="6401" max="6401" width="13.5703125" style="69" customWidth="1"/>
    <col min="6402" max="6402" width="8.140625" style="69" customWidth="1"/>
    <col min="6403" max="6403" width="8.85546875" style="69" customWidth="1"/>
    <col min="6404" max="6404" width="23.140625" style="69" customWidth="1"/>
    <col min="6405" max="6405" width="16.85546875" style="69" customWidth="1"/>
    <col min="6406" max="6406" width="18.85546875" style="69" customWidth="1"/>
    <col min="6407" max="6407" width="17.85546875" style="69" customWidth="1"/>
    <col min="6408" max="6408" width="22.140625" style="69" customWidth="1"/>
    <col min="6409" max="6409" width="5.5703125" style="69" customWidth="1"/>
    <col min="6410" max="6656" width="9.140625" style="69"/>
    <col min="6657" max="6657" width="13.5703125" style="69" customWidth="1"/>
    <col min="6658" max="6658" width="8.140625" style="69" customWidth="1"/>
    <col min="6659" max="6659" width="8.85546875" style="69" customWidth="1"/>
    <col min="6660" max="6660" width="23.140625" style="69" customWidth="1"/>
    <col min="6661" max="6661" width="16.85546875" style="69" customWidth="1"/>
    <col min="6662" max="6662" width="18.85546875" style="69" customWidth="1"/>
    <col min="6663" max="6663" width="17.85546875" style="69" customWidth="1"/>
    <col min="6664" max="6664" width="22.140625" style="69" customWidth="1"/>
    <col min="6665" max="6665" width="5.5703125" style="69" customWidth="1"/>
    <col min="6666" max="6912" width="9.140625" style="69"/>
    <col min="6913" max="6913" width="13.5703125" style="69" customWidth="1"/>
    <col min="6914" max="6914" width="8.140625" style="69" customWidth="1"/>
    <col min="6915" max="6915" width="8.85546875" style="69" customWidth="1"/>
    <col min="6916" max="6916" width="23.140625" style="69" customWidth="1"/>
    <col min="6917" max="6917" width="16.85546875" style="69" customWidth="1"/>
    <col min="6918" max="6918" width="18.85546875" style="69" customWidth="1"/>
    <col min="6919" max="6919" width="17.85546875" style="69" customWidth="1"/>
    <col min="6920" max="6920" width="22.140625" style="69" customWidth="1"/>
    <col min="6921" max="6921" width="5.5703125" style="69" customWidth="1"/>
    <col min="6922" max="7168" width="9.140625" style="69"/>
    <col min="7169" max="7169" width="13.5703125" style="69" customWidth="1"/>
    <col min="7170" max="7170" width="8.140625" style="69" customWidth="1"/>
    <col min="7171" max="7171" width="8.85546875" style="69" customWidth="1"/>
    <col min="7172" max="7172" width="23.140625" style="69" customWidth="1"/>
    <col min="7173" max="7173" width="16.85546875" style="69" customWidth="1"/>
    <col min="7174" max="7174" width="18.85546875" style="69" customWidth="1"/>
    <col min="7175" max="7175" width="17.85546875" style="69" customWidth="1"/>
    <col min="7176" max="7176" width="22.140625" style="69" customWidth="1"/>
    <col min="7177" max="7177" width="5.5703125" style="69" customWidth="1"/>
    <col min="7178" max="7424" width="9.140625" style="69"/>
    <col min="7425" max="7425" width="13.5703125" style="69" customWidth="1"/>
    <col min="7426" max="7426" width="8.140625" style="69" customWidth="1"/>
    <col min="7427" max="7427" width="8.85546875" style="69" customWidth="1"/>
    <col min="7428" max="7428" width="23.140625" style="69" customWidth="1"/>
    <col min="7429" max="7429" width="16.85546875" style="69" customWidth="1"/>
    <col min="7430" max="7430" width="18.85546875" style="69" customWidth="1"/>
    <col min="7431" max="7431" width="17.85546875" style="69" customWidth="1"/>
    <col min="7432" max="7432" width="22.140625" style="69" customWidth="1"/>
    <col min="7433" max="7433" width="5.5703125" style="69" customWidth="1"/>
    <col min="7434" max="7680" width="9.140625" style="69"/>
    <col min="7681" max="7681" width="13.5703125" style="69" customWidth="1"/>
    <col min="7682" max="7682" width="8.140625" style="69" customWidth="1"/>
    <col min="7683" max="7683" width="8.85546875" style="69" customWidth="1"/>
    <col min="7684" max="7684" width="23.140625" style="69" customWidth="1"/>
    <col min="7685" max="7685" width="16.85546875" style="69" customWidth="1"/>
    <col min="7686" max="7686" width="18.85546875" style="69" customWidth="1"/>
    <col min="7687" max="7687" width="17.85546875" style="69" customWidth="1"/>
    <col min="7688" max="7688" width="22.140625" style="69" customWidth="1"/>
    <col min="7689" max="7689" width="5.5703125" style="69" customWidth="1"/>
    <col min="7690" max="7936" width="9.140625" style="69"/>
    <col min="7937" max="7937" width="13.5703125" style="69" customWidth="1"/>
    <col min="7938" max="7938" width="8.140625" style="69" customWidth="1"/>
    <col min="7939" max="7939" width="8.85546875" style="69" customWidth="1"/>
    <col min="7940" max="7940" width="23.140625" style="69" customWidth="1"/>
    <col min="7941" max="7941" width="16.85546875" style="69" customWidth="1"/>
    <col min="7942" max="7942" width="18.85546875" style="69" customWidth="1"/>
    <col min="7943" max="7943" width="17.85546875" style="69" customWidth="1"/>
    <col min="7944" max="7944" width="22.140625" style="69" customWidth="1"/>
    <col min="7945" max="7945" width="5.5703125" style="69" customWidth="1"/>
    <col min="7946" max="8192" width="9.140625" style="69"/>
    <col min="8193" max="8193" width="13.5703125" style="69" customWidth="1"/>
    <col min="8194" max="8194" width="8.140625" style="69" customWidth="1"/>
    <col min="8195" max="8195" width="8.85546875" style="69" customWidth="1"/>
    <col min="8196" max="8196" width="23.140625" style="69" customWidth="1"/>
    <col min="8197" max="8197" width="16.85546875" style="69" customWidth="1"/>
    <col min="8198" max="8198" width="18.85546875" style="69" customWidth="1"/>
    <col min="8199" max="8199" width="17.85546875" style="69" customWidth="1"/>
    <col min="8200" max="8200" width="22.140625" style="69" customWidth="1"/>
    <col min="8201" max="8201" width="5.5703125" style="69" customWidth="1"/>
    <col min="8202" max="8448" width="9.140625" style="69"/>
    <col min="8449" max="8449" width="13.5703125" style="69" customWidth="1"/>
    <col min="8450" max="8450" width="8.140625" style="69" customWidth="1"/>
    <col min="8451" max="8451" width="8.85546875" style="69" customWidth="1"/>
    <col min="8452" max="8452" width="23.140625" style="69" customWidth="1"/>
    <col min="8453" max="8453" width="16.85546875" style="69" customWidth="1"/>
    <col min="8454" max="8454" width="18.85546875" style="69" customWidth="1"/>
    <col min="8455" max="8455" width="17.85546875" style="69" customWidth="1"/>
    <col min="8456" max="8456" width="22.140625" style="69" customWidth="1"/>
    <col min="8457" max="8457" width="5.5703125" style="69" customWidth="1"/>
    <col min="8458" max="8704" width="9.140625" style="69"/>
    <col min="8705" max="8705" width="13.5703125" style="69" customWidth="1"/>
    <col min="8706" max="8706" width="8.140625" style="69" customWidth="1"/>
    <col min="8707" max="8707" width="8.85546875" style="69" customWidth="1"/>
    <col min="8708" max="8708" width="23.140625" style="69" customWidth="1"/>
    <col min="8709" max="8709" width="16.85546875" style="69" customWidth="1"/>
    <col min="8710" max="8710" width="18.85546875" style="69" customWidth="1"/>
    <col min="8711" max="8711" width="17.85546875" style="69" customWidth="1"/>
    <col min="8712" max="8712" width="22.140625" style="69" customWidth="1"/>
    <col min="8713" max="8713" width="5.5703125" style="69" customWidth="1"/>
    <col min="8714" max="8960" width="9.140625" style="69"/>
    <col min="8961" max="8961" width="13.5703125" style="69" customWidth="1"/>
    <col min="8962" max="8962" width="8.140625" style="69" customWidth="1"/>
    <col min="8963" max="8963" width="8.85546875" style="69" customWidth="1"/>
    <col min="8964" max="8964" width="23.140625" style="69" customWidth="1"/>
    <col min="8965" max="8965" width="16.85546875" style="69" customWidth="1"/>
    <col min="8966" max="8966" width="18.85546875" style="69" customWidth="1"/>
    <col min="8967" max="8967" width="17.85546875" style="69" customWidth="1"/>
    <col min="8968" max="8968" width="22.140625" style="69" customWidth="1"/>
    <col min="8969" max="8969" width="5.5703125" style="69" customWidth="1"/>
    <col min="8970" max="9216" width="9.140625" style="69"/>
    <col min="9217" max="9217" width="13.5703125" style="69" customWidth="1"/>
    <col min="9218" max="9218" width="8.140625" style="69" customWidth="1"/>
    <col min="9219" max="9219" width="8.85546875" style="69" customWidth="1"/>
    <col min="9220" max="9220" width="23.140625" style="69" customWidth="1"/>
    <col min="9221" max="9221" width="16.85546875" style="69" customWidth="1"/>
    <col min="9222" max="9222" width="18.85546875" style="69" customWidth="1"/>
    <col min="9223" max="9223" width="17.85546875" style="69" customWidth="1"/>
    <col min="9224" max="9224" width="22.140625" style="69" customWidth="1"/>
    <col min="9225" max="9225" width="5.5703125" style="69" customWidth="1"/>
    <col min="9226" max="9472" width="9.140625" style="69"/>
    <col min="9473" max="9473" width="13.5703125" style="69" customWidth="1"/>
    <col min="9474" max="9474" width="8.140625" style="69" customWidth="1"/>
    <col min="9475" max="9475" width="8.85546875" style="69" customWidth="1"/>
    <col min="9476" max="9476" width="23.140625" style="69" customWidth="1"/>
    <col min="9477" max="9477" width="16.85546875" style="69" customWidth="1"/>
    <col min="9478" max="9478" width="18.85546875" style="69" customWidth="1"/>
    <col min="9479" max="9479" width="17.85546875" style="69" customWidth="1"/>
    <col min="9480" max="9480" width="22.140625" style="69" customWidth="1"/>
    <col min="9481" max="9481" width="5.5703125" style="69" customWidth="1"/>
    <col min="9482" max="9728" width="9.140625" style="69"/>
    <col min="9729" max="9729" width="13.5703125" style="69" customWidth="1"/>
    <col min="9730" max="9730" width="8.140625" style="69" customWidth="1"/>
    <col min="9731" max="9731" width="8.85546875" style="69" customWidth="1"/>
    <col min="9732" max="9732" width="23.140625" style="69" customWidth="1"/>
    <col min="9733" max="9733" width="16.85546875" style="69" customWidth="1"/>
    <col min="9734" max="9734" width="18.85546875" style="69" customWidth="1"/>
    <col min="9735" max="9735" width="17.85546875" style="69" customWidth="1"/>
    <col min="9736" max="9736" width="22.140625" style="69" customWidth="1"/>
    <col min="9737" max="9737" width="5.5703125" style="69" customWidth="1"/>
    <col min="9738" max="9984" width="9.140625" style="69"/>
    <col min="9985" max="9985" width="13.5703125" style="69" customWidth="1"/>
    <col min="9986" max="9986" width="8.140625" style="69" customWidth="1"/>
    <col min="9987" max="9987" width="8.85546875" style="69" customWidth="1"/>
    <col min="9988" max="9988" width="23.140625" style="69" customWidth="1"/>
    <col min="9989" max="9989" width="16.85546875" style="69" customWidth="1"/>
    <col min="9990" max="9990" width="18.85546875" style="69" customWidth="1"/>
    <col min="9991" max="9991" width="17.85546875" style="69" customWidth="1"/>
    <col min="9992" max="9992" width="22.140625" style="69" customWidth="1"/>
    <col min="9993" max="9993" width="5.5703125" style="69" customWidth="1"/>
    <col min="9994" max="10240" width="9.140625" style="69"/>
    <col min="10241" max="10241" width="13.5703125" style="69" customWidth="1"/>
    <col min="10242" max="10242" width="8.140625" style="69" customWidth="1"/>
    <col min="10243" max="10243" width="8.85546875" style="69" customWidth="1"/>
    <col min="10244" max="10244" width="23.140625" style="69" customWidth="1"/>
    <col min="10245" max="10245" width="16.85546875" style="69" customWidth="1"/>
    <col min="10246" max="10246" width="18.85546875" style="69" customWidth="1"/>
    <col min="10247" max="10247" width="17.85546875" style="69" customWidth="1"/>
    <col min="10248" max="10248" width="22.140625" style="69" customWidth="1"/>
    <col min="10249" max="10249" width="5.5703125" style="69" customWidth="1"/>
    <col min="10250" max="10496" width="9.140625" style="69"/>
    <col min="10497" max="10497" width="13.5703125" style="69" customWidth="1"/>
    <col min="10498" max="10498" width="8.140625" style="69" customWidth="1"/>
    <col min="10499" max="10499" width="8.85546875" style="69" customWidth="1"/>
    <col min="10500" max="10500" width="23.140625" style="69" customWidth="1"/>
    <col min="10501" max="10501" width="16.85546875" style="69" customWidth="1"/>
    <col min="10502" max="10502" width="18.85546875" style="69" customWidth="1"/>
    <col min="10503" max="10503" width="17.85546875" style="69" customWidth="1"/>
    <col min="10504" max="10504" width="22.140625" style="69" customWidth="1"/>
    <col min="10505" max="10505" width="5.5703125" style="69" customWidth="1"/>
    <col min="10506" max="10752" width="9.140625" style="69"/>
    <col min="10753" max="10753" width="13.5703125" style="69" customWidth="1"/>
    <col min="10754" max="10754" width="8.140625" style="69" customWidth="1"/>
    <col min="10755" max="10755" width="8.85546875" style="69" customWidth="1"/>
    <col min="10756" max="10756" width="23.140625" style="69" customWidth="1"/>
    <col min="10757" max="10757" width="16.85546875" style="69" customWidth="1"/>
    <col min="10758" max="10758" width="18.85546875" style="69" customWidth="1"/>
    <col min="10759" max="10759" width="17.85546875" style="69" customWidth="1"/>
    <col min="10760" max="10760" width="22.140625" style="69" customWidth="1"/>
    <col min="10761" max="10761" width="5.5703125" style="69" customWidth="1"/>
    <col min="10762" max="11008" width="9.140625" style="69"/>
    <col min="11009" max="11009" width="13.5703125" style="69" customWidth="1"/>
    <col min="11010" max="11010" width="8.140625" style="69" customWidth="1"/>
    <col min="11011" max="11011" width="8.85546875" style="69" customWidth="1"/>
    <col min="11012" max="11012" width="23.140625" style="69" customWidth="1"/>
    <col min="11013" max="11013" width="16.85546875" style="69" customWidth="1"/>
    <col min="11014" max="11014" width="18.85546875" style="69" customWidth="1"/>
    <col min="11015" max="11015" width="17.85546875" style="69" customWidth="1"/>
    <col min="11016" max="11016" width="22.140625" style="69" customWidth="1"/>
    <col min="11017" max="11017" width="5.5703125" style="69" customWidth="1"/>
    <col min="11018" max="11264" width="9.140625" style="69"/>
    <col min="11265" max="11265" width="13.5703125" style="69" customWidth="1"/>
    <col min="11266" max="11266" width="8.140625" style="69" customWidth="1"/>
    <col min="11267" max="11267" width="8.85546875" style="69" customWidth="1"/>
    <col min="11268" max="11268" width="23.140625" style="69" customWidth="1"/>
    <col min="11269" max="11269" width="16.85546875" style="69" customWidth="1"/>
    <col min="11270" max="11270" width="18.85546875" style="69" customWidth="1"/>
    <col min="11271" max="11271" width="17.85546875" style="69" customWidth="1"/>
    <col min="11272" max="11272" width="22.140625" style="69" customWidth="1"/>
    <col min="11273" max="11273" width="5.5703125" style="69" customWidth="1"/>
    <col min="11274" max="11520" width="9.140625" style="69"/>
    <col min="11521" max="11521" width="13.5703125" style="69" customWidth="1"/>
    <col min="11522" max="11522" width="8.140625" style="69" customWidth="1"/>
    <col min="11523" max="11523" width="8.85546875" style="69" customWidth="1"/>
    <col min="11524" max="11524" width="23.140625" style="69" customWidth="1"/>
    <col min="11525" max="11525" width="16.85546875" style="69" customWidth="1"/>
    <col min="11526" max="11526" width="18.85546875" style="69" customWidth="1"/>
    <col min="11527" max="11527" width="17.85546875" style="69" customWidth="1"/>
    <col min="11528" max="11528" width="22.140625" style="69" customWidth="1"/>
    <col min="11529" max="11529" width="5.5703125" style="69" customWidth="1"/>
    <col min="11530" max="11776" width="9.140625" style="69"/>
    <col min="11777" max="11777" width="13.5703125" style="69" customWidth="1"/>
    <col min="11778" max="11778" width="8.140625" style="69" customWidth="1"/>
    <col min="11779" max="11779" width="8.85546875" style="69" customWidth="1"/>
    <col min="11780" max="11780" width="23.140625" style="69" customWidth="1"/>
    <col min="11781" max="11781" width="16.85546875" style="69" customWidth="1"/>
    <col min="11782" max="11782" width="18.85546875" style="69" customWidth="1"/>
    <col min="11783" max="11783" width="17.85546875" style="69" customWidth="1"/>
    <col min="11784" max="11784" width="22.140625" style="69" customWidth="1"/>
    <col min="11785" max="11785" width="5.5703125" style="69" customWidth="1"/>
    <col min="11786" max="12032" width="9.140625" style="69"/>
    <col min="12033" max="12033" width="13.5703125" style="69" customWidth="1"/>
    <col min="12034" max="12034" width="8.140625" style="69" customWidth="1"/>
    <col min="12035" max="12035" width="8.85546875" style="69" customWidth="1"/>
    <col min="12036" max="12036" width="23.140625" style="69" customWidth="1"/>
    <col min="12037" max="12037" width="16.85546875" style="69" customWidth="1"/>
    <col min="12038" max="12038" width="18.85546875" style="69" customWidth="1"/>
    <col min="12039" max="12039" width="17.85546875" style="69" customWidth="1"/>
    <col min="12040" max="12040" width="22.140625" style="69" customWidth="1"/>
    <col min="12041" max="12041" width="5.5703125" style="69" customWidth="1"/>
    <col min="12042" max="12288" width="9.140625" style="69"/>
    <col min="12289" max="12289" width="13.5703125" style="69" customWidth="1"/>
    <col min="12290" max="12290" width="8.140625" style="69" customWidth="1"/>
    <col min="12291" max="12291" width="8.85546875" style="69" customWidth="1"/>
    <col min="12292" max="12292" width="23.140625" style="69" customWidth="1"/>
    <col min="12293" max="12293" width="16.85546875" style="69" customWidth="1"/>
    <col min="12294" max="12294" width="18.85546875" style="69" customWidth="1"/>
    <col min="12295" max="12295" width="17.85546875" style="69" customWidth="1"/>
    <col min="12296" max="12296" width="22.140625" style="69" customWidth="1"/>
    <col min="12297" max="12297" width="5.5703125" style="69" customWidth="1"/>
    <col min="12298" max="12544" width="9.140625" style="69"/>
    <col min="12545" max="12545" width="13.5703125" style="69" customWidth="1"/>
    <col min="12546" max="12546" width="8.140625" style="69" customWidth="1"/>
    <col min="12547" max="12547" width="8.85546875" style="69" customWidth="1"/>
    <col min="12548" max="12548" width="23.140625" style="69" customWidth="1"/>
    <col min="12549" max="12549" width="16.85546875" style="69" customWidth="1"/>
    <col min="12550" max="12550" width="18.85546875" style="69" customWidth="1"/>
    <col min="12551" max="12551" width="17.85546875" style="69" customWidth="1"/>
    <col min="12552" max="12552" width="22.140625" style="69" customWidth="1"/>
    <col min="12553" max="12553" width="5.5703125" style="69" customWidth="1"/>
    <col min="12554" max="12800" width="9.140625" style="69"/>
    <col min="12801" max="12801" width="13.5703125" style="69" customWidth="1"/>
    <col min="12802" max="12802" width="8.140625" style="69" customWidth="1"/>
    <col min="12803" max="12803" width="8.85546875" style="69" customWidth="1"/>
    <col min="12804" max="12804" width="23.140625" style="69" customWidth="1"/>
    <col min="12805" max="12805" width="16.85546875" style="69" customWidth="1"/>
    <col min="12806" max="12806" width="18.85546875" style="69" customWidth="1"/>
    <col min="12807" max="12807" width="17.85546875" style="69" customWidth="1"/>
    <col min="12808" max="12808" width="22.140625" style="69" customWidth="1"/>
    <col min="12809" max="12809" width="5.5703125" style="69" customWidth="1"/>
    <col min="12810" max="13056" width="9.140625" style="69"/>
    <col min="13057" max="13057" width="13.5703125" style="69" customWidth="1"/>
    <col min="13058" max="13058" width="8.140625" style="69" customWidth="1"/>
    <col min="13059" max="13059" width="8.85546875" style="69" customWidth="1"/>
    <col min="13060" max="13060" width="23.140625" style="69" customWidth="1"/>
    <col min="13061" max="13061" width="16.85546875" style="69" customWidth="1"/>
    <col min="13062" max="13062" width="18.85546875" style="69" customWidth="1"/>
    <col min="13063" max="13063" width="17.85546875" style="69" customWidth="1"/>
    <col min="13064" max="13064" width="22.140625" style="69" customWidth="1"/>
    <col min="13065" max="13065" width="5.5703125" style="69" customWidth="1"/>
    <col min="13066" max="13312" width="9.140625" style="69"/>
    <col min="13313" max="13313" width="13.5703125" style="69" customWidth="1"/>
    <col min="13314" max="13314" width="8.140625" style="69" customWidth="1"/>
    <col min="13315" max="13315" width="8.85546875" style="69" customWidth="1"/>
    <col min="13316" max="13316" width="23.140625" style="69" customWidth="1"/>
    <col min="13317" max="13317" width="16.85546875" style="69" customWidth="1"/>
    <col min="13318" max="13318" width="18.85546875" style="69" customWidth="1"/>
    <col min="13319" max="13319" width="17.85546875" style="69" customWidth="1"/>
    <col min="13320" max="13320" width="22.140625" style="69" customWidth="1"/>
    <col min="13321" max="13321" width="5.5703125" style="69" customWidth="1"/>
    <col min="13322" max="13568" width="9.140625" style="69"/>
    <col min="13569" max="13569" width="13.5703125" style="69" customWidth="1"/>
    <col min="13570" max="13570" width="8.140625" style="69" customWidth="1"/>
    <col min="13571" max="13571" width="8.85546875" style="69" customWidth="1"/>
    <col min="13572" max="13572" width="23.140625" style="69" customWidth="1"/>
    <col min="13573" max="13573" width="16.85546875" style="69" customWidth="1"/>
    <col min="13574" max="13574" width="18.85546875" style="69" customWidth="1"/>
    <col min="13575" max="13575" width="17.85546875" style="69" customWidth="1"/>
    <col min="13576" max="13576" width="22.140625" style="69" customWidth="1"/>
    <col min="13577" max="13577" width="5.5703125" style="69" customWidth="1"/>
    <col min="13578" max="13824" width="9.140625" style="69"/>
    <col min="13825" max="13825" width="13.5703125" style="69" customWidth="1"/>
    <col min="13826" max="13826" width="8.140625" style="69" customWidth="1"/>
    <col min="13827" max="13827" width="8.85546875" style="69" customWidth="1"/>
    <col min="13828" max="13828" width="23.140625" style="69" customWidth="1"/>
    <col min="13829" max="13829" width="16.85546875" style="69" customWidth="1"/>
    <col min="13830" max="13830" width="18.85546875" style="69" customWidth="1"/>
    <col min="13831" max="13831" width="17.85546875" style="69" customWidth="1"/>
    <col min="13832" max="13832" width="22.140625" style="69" customWidth="1"/>
    <col min="13833" max="13833" width="5.5703125" style="69" customWidth="1"/>
    <col min="13834" max="14080" width="9.140625" style="69"/>
    <col min="14081" max="14081" width="13.5703125" style="69" customWidth="1"/>
    <col min="14082" max="14082" width="8.140625" style="69" customWidth="1"/>
    <col min="14083" max="14083" width="8.85546875" style="69" customWidth="1"/>
    <col min="14084" max="14084" width="23.140625" style="69" customWidth="1"/>
    <col min="14085" max="14085" width="16.85546875" style="69" customWidth="1"/>
    <col min="14086" max="14086" width="18.85546875" style="69" customWidth="1"/>
    <col min="14087" max="14087" width="17.85546875" style="69" customWidth="1"/>
    <col min="14088" max="14088" width="22.140625" style="69" customWidth="1"/>
    <col min="14089" max="14089" width="5.5703125" style="69" customWidth="1"/>
    <col min="14090" max="14336" width="9.140625" style="69"/>
    <col min="14337" max="14337" width="13.5703125" style="69" customWidth="1"/>
    <col min="14338" max="14338" width="8.140625" style="69" customWidth="1"/>
    <col min="14339" max="14339" width="8.85546875" style="69" customWidth="1"/>
    <col min="14340" max="14340" width="23.140625" style="69" customWidth="1"/>
    <col min="14341" max="14341" width="16.85546875" style="69" customWidth="1"/>
    <col min="14342" max="14342" width="18.85546875" style="69" customWidth="1"/>
    <col min="14343" max="14343" width="17.85546875" style="69" customWidth="1"/>
    <col min="14344" max="14344" width="22.140625" style="69" customWidth="1"/>
    <col min="14345" max="14345" width="5.5703125" style="69" customWidth="1"/>
    <col min="14346" max="14592" width="9.140625" style="69"/>
    <col min="14593" max="14593" width="13.5703125" style="69" customWidth="1"/>
    <col min="14594" max="14594" width="8.140625" style="69" customWidth="1"/>
    <col min="14595" max="14595" width="8.85546875" style="69" customWidth="1"/>
    <col min="14596" max="14596" width="23.140625" style="69" customWidth="1"/>
    <col min="14597" max="14597" width="16.85546875" style="69" customWidth="1"/>
    <col min="14598" max="14598" width="18.85546875" style="69" customWidth="1"/>
    <col min="14599" max="14599" width="17.85546875" style="69" customWidth="1"/>
    <col min="14600" max="14600" width="22.140625" style="69" customWidth="1"/>
    <col min="14601" max="14601" width="5.5703125" style="69" customWidth="1"/>
    <col min="14602" max="14848" width="9.140625" style="69"/>
    <col min="14849" max="14849" width="13.5703125" style="69" customWidth="1"/>
    <col min="14850" max="14850" width="8.140625" style="69" customWidth="1"/>
    <col min="14851" max="14851" width="8.85546875" style="69" customWidth="1"/>
    <col min="14852" max="14852" width="23.140625" style="69" customWidth="1"/>
    <col min="14853" max="14853" width="16.85546875" style="69" customWidth="1"/>
    <col min="14854" max="14854" width="18.85546875" style="69" customWidth="1"/>
    <col min="14855" max="14855" width="17.85546875" style="69" customWidth="1"/>
    <col min="14856" max="14856" width="22.140625" style="69" customWidth="1"/>
    <col min="14857" max="14857" width="5.5703125" style="69" customWidth="1"/>
    <col min="14858" max="15104" width="9.140625" style="69"/>
    <col min="15105" max="15105" width="13.5703125" style="69" customWidth="1"/>
    <col min="15106" max="15106" width="8.140625" style="69" customWidth="1"/>
    <col min="15107" max="15107" width="8.85546875" style="69" customWidth="1"/>
    <col min="15108" max="15108" width="23.140625" style="69" customWidth="1"/>
    <col min="15109" max="15109" width="16.85546875" style="69" customWidth="1"/>
    <col min="15110" max="15110" width="18.85546875" style="69" customWidth="1"/>
    <col min="15111" max="15111" width="17.85546875" style="69" customWidth="1"/>
    <col min="15112" max="15112" width="22.140625" style="69" customWidth="1"/>
    <col min="15113" max="15113" width="5.5703125" style="69" customWidth="1"/>
    <col min="15114" max="15360" width="9.140625" style="69"/>
    <col min="15361" max="15361" width="13.5703125" style="69" customWidth="1"/>
    <col min="15362" max="15362" width="8.140625" style="69" customWidth="1"/>
    <col min="15363" max="15363" width="8.85546875" style="69" customWidth="1"/>
    <col min="15364" max="15364" width="23.140625" style="69" customWidth="1"/>
    <col min="15365" max="15365" width="16.85546875" style="69" customWidth="1"/>
    <col min="15366" max="15366" width="18.85546875" style="69" customWidth="1"/>
    <col min="15367" max="15367" width="17.85546875" style="69" customWidth="1"/>
    <col min="15368" max="15368" width="22.140625" style="69" customWidth="1"/>
    <col min="15369" max="15369" width="5.5703125" style="69" customWidth="1"/>
    <col min="15370" max="15616" width="9.140625" style="69"/>
    <col min="15617" max="15617" width="13.5703125" style="69" customWidth="1"/>
    <col min="15618" max="15618" width="8.140625" style="69" customWidth="1"/>
    <col min="15619" max="15619" width="8.85546875" style="69" customWidth="1"/>
    <col min="15620" max="15620" width="23.140625" style="69" customWidth="1"/>
    <col min="15621" max="15621" width="16.85546875" style="69" customWidth="1"/>
    <col min="15622" max="15622" width="18.85546875" style="69" customWidth="1"/>
    <col min="15623" max="15623" width="17.85546875" style="69" customWidth="1"/>
    <col min="15624" max="15624" width="22.140625" style="69" customWidth="1"/>
    <col min="15625" max="15625" width="5.5703125" style="69" customWidth="1"/>
    <col min="15626" max="15872" width="9.140625" style="69"/>
    <col min="15873" max="15873" width="13.5703125" style="69" customWidth="1"/>
    <col min="15874" max="15874" width="8.140625" style="69" customWidth="1"/>
    <col min="15875" max="15875" width="8.85546875" style="69" customWidth="1"/>
    <col min="15876" max="15876" width="23.140625" style="69" customWidth="1"/>
    <col min="15877" max="15877" width="16.85546875" style="69" customWidth="1"/>
    <col min="15878" max="15878" width="18.85546875" style="69" customWidth="1"/>
    <col min="15879" max="15879" width="17.85546875" style="69" customWidth="1"/>
    <col min="15880" max="15880" width="22.140625" style="69" customWidth="1"/>
    <col min="15881" max="15881" width="5.5703125" style="69" customWidth="1"/>
    <col min="15882" max="16128" width="9.140625" style="69"/>
    <col min="16129" max="16129" width="13.5703125" style="69" customWidth="1"/>
    <col min="16130" max="16130" width="8.140625" style="69" customWidth="1"/>
    <col min="16131" max="16131" width="8.85546875" style="69" customWidth="1"/>
    <col min="16132" max="16132" width="23.140625" style="69" customWidth="1"/>
    <col min="16133" max="16133" width="16.85546875" style="69" customWidth="1"/>
    <col min="16134" max="16134" width="18.85546875" style="69" customWidth="1"/>
    <col min="16135" max="16135" width="17.85546875" style="69" customWidth="1"/>
    <col min="16136" max="16136" width="22.140625" style="69" customWidth="1"/>
    <col min="16137" max="16137" width="5.5703125" style="69" customWidth="1"/>
    <col min="16138" max="16384" width="9.140625" style="69"/>
  </cols>
  <sheetData>
    <row r="1" spans="1:8" ht="27">
      <c r="A1" s="482" t="s">
        <v>59</v>
      </c>
      <c r="B1" s="483"/>
      <c r="C1" s="483"/>
      <c r="D1" s="483"/>
      <c r="E1" s="483"/>
      <c r="F1" s="483"/>
      <c r="G1" s="483"/>
      <c r="H1" s="483"/>
    </row>
    <row r="2" spans="1:8" ht="27">
      <c r="A2" s="70"/>
      <c r="B2" s="71"/>
      <c r="C2" s="71"/>
      <c r="D2" s="71"/>
      <c r="E2" s="71"/>
      <c r="F2" s="71"/>
      <c r="G2" s="71"/>
      <c r="H2" s="71"/>
    </row>
    <row r="3" spans="1:8">
      <c r="A3" s="72" t="s">
        <v>560</v>
      </c>
      <c r="B3" s="72"/>
      <c r="C3" s="72"/>
      <c r="D3" s="72"/>
      <c r="E3" s="73"/>
      <c r="F3" s="484">
        <f ca="1">TODAY()</f>
        <v>46024</v>
      </c>
      <c r="G3" s="484"/>
      <c r="H3" s="484"/>
    </row>
    <row r="4" spans="1:8">
      <c r="A4" s="71"/>
      <c r="B4" s="74"/>
      <c r="C4" s="74"/>
      <c r="D4" s="74"/>
      <c r="E4" s="74"/>
      <c r="F4" s="74"/>
      <c r="G4" s="74"/>
      <c r="H4" s="74"/>
    </row>
    <row r="5" spans="1:8">
      <c r="A5" s="485" t="s">
        <v>58</v>
      </c>
      <c r="B5" s="485"/>
      <c r="C5" s="75" t="s">
        <v>561</v>
      </c>
      <c r="D5" s="75"/>
      <c r="E5" s="75"/>
      <c r="F5" s="75"/>
      <c r="G5" s="75"/>
      <c r="H5" s="74"/>
    </row>
    <row r="6" spans="1:8">
      <c r="A6" s="71"/>
      <c r="B6" s="74"/>
      <c r="C6" s="74"/>
      <c r="D6" s="74"/>
      <c r="E6" s="74"/>
      <c r="F6" s="74"/>
      <c r="G6" s="74"/>
      <c r="H6" s="74"/>
    </row>
    <row r="7" spans="1:8">
      <c r="A7" s="485" t="s">
        <v>57</v>
      </c>
      <c r="B7" s="485"/>
      <c r="C7" s="76" t="s">
        <v>56</v>
      </c>
      <c r="D7" s="76" t="str">
        <f>NUMBERSTRING(D8,1)&amp;"원정-부가세 별도"</f>
        <v>일억삼천삼백칠십만원정-부가세 별도</v>
      </c>
      <c r="E7" s="75"/>
      <c r="F7" s="75"/>
      <c r="G7" s="75"/>
      <c r="H7" s="74"/>
    </row>
    <row r="8" spans="1:8">
      <c r="A8" s="71"/>
      <c r="B8" s="74"/>
      <c r="C8" s="77" t="s">
        <v>55</v>
      </c>
      <c r="D8" s="78">
        <f>' 갑지-1'!L26</f>
        <v>133699999.71333276</v>
      </c>
      <c r="E8" s="74" t="s">
        <v>54</v>
      </c>
      <c r="F8" s="74"/>
      <c r="G8" s="74"/>
      <c r="H8" s="74"/>
    </row>
    <row r="9" spans="1:8">
      <c r="A9" s="71"/>
      <c r="B9" s="74"/>
      <c r="C9" s="74"/>
      <c r="D9" s="74"/>
      <c r="E9" s="74"/>
      <c r="F9" s="74"/>
      <c r="G9" s="74"/>
      <c r="H9" s="74"/>
    </row>
    <row r="10" spans="1:8">
      <c r="A10" s="344" t="s">
        <v>251</v>
      </c>
      <c r="B10" s="74"/>
      <c r="C10" s="74"/>
      <c r="D10" s="74"/>
      <c r="E10" s="74"/>
      <c r="F10" s="74"/>
      <c r="G10" s="74"/>
      <c r="H10" s="74"/>
    </row>
    <row r="11" spans="1:8">
      <c r="A11" s="71"/>
      <c r="B11" s="71"/>
      <c r="C11" s="71"/>
      <c r="D11" s="71"/>
      <c r="E11" s="74"/>
      <c r="F11" s="74"/>
      <c r="G11" s="74"/>
      <c r="H11" s="74"/>
    </row>
    <row r="12" spans="1:8" ht="15.75" customHeight="1">
      <c r="A12" s="191"/>
      <c r="B12" s="192"/>
      <c r="C12" s="192"/>
      <c r="D12" s="192"/>
      <c r="E12" s="193"/>
      <c r="F12" s="193"/>
      <c r="G12" s="193"/>
      <c r="H12" s="194"/>
    </row>
    <row r="13" spans="1:8" ht="15.75" customHeight="1">
      <c r="A13" s="195" t="s">
        <v>53</v>
      </c>
      <c r="B13" s="196"/>
      <c r="C13" s="79"/>
      <c r="D13" s="79"/>
      <c r="E13" s="79"/>
      <c r="F13" s="197"/>
      <c r="G13" s="197"/>
      <c r="H13" s="198"/>
    </row>
    <row r="14" spans="1:8" ht="15.75" customHeight="1">
      <c r="A14" s="199" t="s">
        <v>52</v>
      </c>
      <c r="B14" s="200" t="s">
        <v>168</v>
      </c>
      <c r="C14" s="196"/>
      <c r="D14" s="74"/>
      <c r="E14" s="80"/>
      <c r="F14" s="74"/>
      <c r="G14" s="74"/>
      <c r="H14" s="201"/>
    </row>
    <row r="15" spans="1:8" ht="15.75" customHeight="1">
      <c r="A15" s="199" t="s">
        <v>16</v>
      </c>
      <c r="B15" s="419" t="s">
        <v>152</v>
      </c>
      <c r="C15" s="79"/>
      <c r="D15" s="79"/>
      <c r="E15" s="79"/>
      <c r="F15" s="79"/>
      <c r="G15" s="79"/>
      <c r="H15" s="202" t="s">
        <v>51</v>
      </c>
    </row>
    <row r="16" spans="1:8" ht="15.75" customHeight="1">
      <c r="A16" s="199" t="s">
        <v>17</v>
      </c>
      <c r="B16" s="200"/>
      <c r="C16" s="79"/>
      <c r="D16" s="79"/>
      <c r="E16" s="79"/>
      <c r="F16" s="79"/>
      <c r="G16" s="79"/>
      <c r="H16" s="202"/>
    </row>
    <row r="17" spans="1:8" ht="15.75" customHeight="1">
      <c r="A17" s="199" t="s">
        <v>18</v>
      </c>
      <c r="B17" s="200"/>
      <c r="C17" s="79"/>
      <c r="D17" s="79"/>
      <c r="E17" s="79"/>
      <c r="F17" s="79"/>
      <c r="G17" s="79"/>
      <c r="H17" s="202"/>
    </row>
    <row r="18" spans="1:8" ht="15.75" customHeight="1">
      <c r="A18" s="199" t="s">
        <v>19</v>
      </c>
      <c r="B18" s="200"/>
      <c r="C18" s="79"/>
      <c r="D18" s="79"/>
      <c r="E18" s="79"/>
      <c r="F18" s="79"/>
      <c r="G18" s="79"/>
      <c r="H18" s="202"/>
    </row>
    <row r="19" spans="1:8" ht="15.75" customHeight="1">
      <c r="A19" s="199" t="s">
        <v>20</v>
      </c>
      <c r="B19" s="200"/>
      <c r="C19" s="79"/>
      <c r="D19" s="79"/>
      <c r="E19" s="79"/>
      <c r="F19" s="79"/>
      <c r="G19" s="79"/>
      <c r="H19" s="202"/>
    </row>
    <row r="20" spans="1:8" ht="15.75" customHeight="1">
      <c r="A20" s="203" t="s">
        <v>50</v>
      </c>
      <c r="B20" s="204"/>
      <c r="C20" s="205"/>
      <c r="D20" s="205"/>
      <c r="E20" s="205"/>
      <c r="F20" s="206"/>
      <c r="G20" s="206"/>
      <c r="H20" s="207"/>
    </row>
    <row r="21" spans="1:8" ht="27">
      <c r="A21" s="79"/>
      <c r="B21" s="81"/>
      <c r="C21" s="81"/>
      <c r="D21" s="81"/>
      <c r="E21" s="82"/>
      <c r="F21" s="82"/>
      <c r="G21" s="486" t="s">
        <v>563</v>
      </c>
      <c r="H21" s="486"/>
    </row>
    <row r="22" spans="1:8" ht="27">
      <c r="A22" s="79"/>
      <c r="B22" s="83"/>
      <c r="C22" s="83"/>
      <c r="D22" s="81"/>
      <c r="E22" s="82"/>
      <c r="F22" s="82"/>
      <c r="G22" s="80" t="s">
        <v>562</v>
      </c>
      <c r="H22" s="81"/>
    </row>
    <row r="23" spans="1:8" ht="27">
      <c r="A23" s="79"/>
      <c r="B23" s="81"/>
      <c r="C23" s="81"/>
      <c r="D23" s="81"/>
      <c r="E23" s="82"/>
      <c r="F23" s="82"/>
      <c r="G23" s="80"/>
      <c r="H23" s="81"/>
    </row>
    <row r="277" spans="7:13" s="468" customFormat="1" ht="18" customHeight="1">
      <c r="G277" s="468">
        <v>0</v>
      </c>
      <c r="M277" s="468" t="s">
        <v>601</v>
      </c>
    </row>
    <row r="329" spans="21:21" ht="18" customHeight="1">
      <c r="U329" s="69" t="s">
        <v>637</v>
      </c>
    </row>
    <row r="334" spans="21:21" ht="18" customHeight="1">
      <c r="U334" s="69" t="s">
        <v>638</v>
      </c>
    </row>
    <row r="335" spans="21:21" ht="18" customHeight="1">
      <c r="U335" s="69" t="s">
        <v>639</v>
      </c>
    </row>
    <row r="336" spans="21:21" ht="18" customHeight="1">
      <c r="U336" s="69" t="s">
        <v>640</v>
      </c>
    </row>
  </sheetData>
  <mergeCells count="5">
    <mergeCell ref="A1:H1"/>
    <mergeCell ref="F3:H3"/>
    <mergeCell ref="A5:B5"/>
    <mergeCell ref="A7:B7"/>
    <mergeCell ref="G21:H21"/>
  </mergeCells>
  <phoneticPr fontId="21" type="noConversion"/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U336"/>
  <sheetViews>
    <sheetView tabSelected="1" view="pageBreakPreview" zoomScaleSheetLayoutView="100" workbookViewId="0">
      <selection activeCell="D7" sqref="D7"/>
    </sheetView>
  </sheetViews>
  <sheetFormatPr defaultColWidth="9.140625" defaultRowHeight="19.5" customHeight="1" outlineLevelCol="1"/>
  <cols>
    <col min="1" max="1" width="19.140625" style="160" bestFit="1" customWidth="1"/>
    <col min="2" max="2" width="32.85546875" style="161" customWidth="1"/>
    <col min="3" max="3" width="24.5703125" style="115" customWidth="1"/>
    <col min="4" max="5" width="8.85546875" style="162" customWidth="1"/>
    <col min="6" max="6" width="21.5703125" style="163" customWidth="1"/>
    <col min="7" max="7" width="14.85546875" style="164" customWidth="1" outlineLevel="1"/>
    <col min="8" max="8" width="17.85546875" style="164" customWidth="1" outlineLevel="1"/>
    <col min="9" max="9" width="14.85546875" style="164" customWidth="1" outlineLevel="1"/>
    <col min="10" max="10" width="17.85546875" style="164" customWidth="1" outlineLevel="1"/>
    <col min="11" max="11" width="14.85546875" style="164" customWidth="1"/>
    <col min="12" max="12" width="17.85546875" style="164" customWidth="1"/>
    <col min="13" max="13" width="23.140625" style="165" customWidth="1"/>
    <col min="14" max="14" width="9.140625" style="106"/>
    <col min="15" max="15" width="12.42578125" style="106" bestFit="1" customWidth="1"/>
    <col min="16" max="16" width="9.140625" style="106"/>
    <col min="17" max="17" width="15.140625" style="106" bestFit="1" customWidth="1"/>
    <col min="18" max="16384" width="9.140625" style="106"/>
  </cols>
  <sheetData>
    <row r="1" spans="1:13" s="84" customFormat="1" ht="35.1" customHeight="1">
      <c r="A1" s="489" t="s">
        <v>564</v>
      </c>
      <c r="B1" s="489"/>
      <c r="C1" s="489"/>
      <c r="D1" s="489"/>
      <c r="E1" s="489"/>
      <c r="F1" s="489"/>
      <c r="G1" s="489"/>
      <c r="H1" s="489"/>
      <c r="I1" s="489"/>
      <c r="J1" s="489"/>
      <c r="K1" s="489"/>
      <c r="L1" s="489"/>
      <c r="M1" s="489"/>
    </row>
    <row r="2" spans="1:13" s="84" customFormat="1" ht="24" customHeight="1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</row>
    <row r="3" spans="1:13" s="84" customFormat="1" ht="24" customHeight="1">
      <c r="A3" s="175" t="s">
        <v>560</v>
      </c>
      <c r="B3" s="86"/>
      <c r="C3" s="86"/>
      <c r="D3" s="86"/>
      <c r="E3" s="86"/>
      <c r="F3" s="178"/>
      <c r="G3" s="86"/>
      <c r="H3" s="86"/>
      <c r="I3" s="86"/>
      <c r="J3" s="86"/>
      <c r="K3" s="86"/>
      <c r="L3" s="86"/>
      <c r="M3" s="86"/>
    </row>
    <row r="4" spans="1:13" s="87" customFormat="1" ht="18" customHeight="1">
      <c r="A4" s="487" t="s">
        <v>10</v>
      </c>
      <c r="B4" s="490" t="s">
        <v>4</v>
      </c>
      <c r="C4" s="487" t="s">
        <v>5</v>
      </c>
      <c r="D4" s="487" t="s">
        <v>37</v>
      </c>
      <c r="E4" s="487" t="s">
        <v>6</v>
      </c>
      <c r="F4" s="492" t="s">
        <v>7</v>
      </c>
      <c r="G4" s="494" t="s">
        <v>60</v>
      </c>
      <c r="H4" s="494"/>
      <c r="I4" s="494" t="s">
        <v>61</v>
      </c>
      <c r="J4" s="494"/>
      <c r="K4" s="494" t="s">
        <v>62</v>
      </c>
      <c r="L4" s="494"/>
      <c r="M4" s="487" t="s">
        <v>8</v>
      </c>
    </row>
    <row r="5" spans="1:13" s="87" customFormat="1" ht="18" customHeight="1">
      <c r="A5" s="488"/>
      <c r="B5" s="491"/>
      <c r="C5" s="488"/>
      <c r="D5" s="488"/>
      <c r="E5" s="488"/>
      <c r="F5" s="493"/>
      <c r="G5" s="88" t="s">
        <v>0</v>
      </c>
      <c r="H5" s="88" t="s">
        <v>1</v>
      </c>
      <c r="I5" s="88" t="s">
        <v>0</v>
      </c>
      <c r="J5" s="88" t="s">
        <v>1</v>
      </c>
      <c r="K5" s="88" t="s">
        <v>0</v>
      </c>
      <c r="L5" s="88" t="s">
        <v>1</v>
      </c>
      <c r="M5" s="488"/>
    </row>
    <row r="6" spans="1:13" s="97" customFormat="1" ht="18" customHeight="1">
      <c r="A6" s="89" t="s">
        <v>14</v>
      </c>
      <c r="B6" s="90" t="s">
        <v>565</v>
      </c>
      <c r="C6" s="91"/>
      <c r="D6" s="92"/>
      <c r="E6" s="93"/>
      <c r="F6" s="94"/>
      <c r="G6" s="95"/>
      <c r="H6" s="95"/>
      <c r="I6" s="95"/>
      <c r="J6" s="95"/>
      <c r="K6" s="95"/>
      <c r="L6" s="95"/>
      <c r="M6" s="96"/>
    </row>
    <row r="7" spans="1:13" ht="18" customHeight="1">
      <c r="A7" s="98" t="s">
        <v>45</v>
      </c>
      <c r="B7" s="99" t="s">
        <v>468</v>
      </c>
      <c r="C7" s="100"/>
      <c r="D7" s="101"/>
      <c r="E7" s="102" t="s">
        <v>36</v>
      </c>
      <c r="F7" s="103">
        <v>1</v>
      </c>
      <c r="G7" s="104"/>
      <c r="H7" s="104">
        <f>상세!H10</f>
        <v>60510452.727272727</v>
      </c>
      <c r="I7" s="104"/>
      <c r="J7" s="104">
        <v>0</v>
      </c>
      <c r="K7" s="104"/>
      <c r="L7" s="104">
        <f>H7</f>
        <v>60510452.727272727</v>
      </c>
      <c r="M7" s="105"/>
    </row>
    <row r="8" spans="1:13" ht="18" customHeight="1">
      <c r="A8" s="98" t="s">
        <v>25</v>
      </c>
      <c r="B8" s="99" t="s">
        <v>469</v>
      </c>
      <c r="C8" s="100"/>
      <c r="D8" s="101"/>
      <c r="E8" s="102" t="s">
        <v>36</v>
      </c>
      <c r="F8" s="103">
        <v>1</v>
      </c>
      <c r="G8" s="104"/>
      <c r="H8" s="104">
        <v>0</v>
      </c>
      <c r="I8" s="104"/>
      <c r="J8" s="104">
        <f>상세!J10</f>
        <v>46626486.060606062</v>
      </c>
      <c r="K8" s="104"/>
      <c r="L8" s="104">
        <f>J8</f>
        <v>46626486.060606062</v>
      </c>
      <c r="M8" s="105"/>
    </row>
    <row r="9" spans="1:13" ht="18" customHeight="1">
      <c r="A9" s="98"/>
      <c r="B9" s="99"/>
      <c r="C9" s="100"/>
      <c r="D9" s="101"/>
      <c r="E9" s="102"/>
      <c r="F9" s="103"/>
      <c r="G9" s="104"/>
      <c r="H9" s="104"/>
      <c r="I9" s="104"/>
      <c r="J9" s="104"/>
      <c r="K9" s="104"/>
      <c r="L9" s="104"/>
      <c r="M9" s="105"/>
    </row>
    <row r="10" spans="1:13" s="114" customFormat="1" ht="18" customHeight="1">
      <c r="A10" s="107"/>
      <c r="B10" s="107" t="s">
        <v>97</v>
      </c>
      <c r="C10" s="108"/>
      <c r="D10" s="109"/>
      <c r="E10" s="110"/>
      <c r="F10" s="111"/>
      <c r="G10" s="112"/>
      <c r="H10" s="112">
        <f>상세!H10</f>
        <v>60510452.727272727</v>
      </c>
      <c r="I10" s="112"/>
      <c r="J10" s="112">
        <f>상세!J10</f>
        <v>46626486.060606062</v>
      </c>
      <c r="K10" s="112"/>
      <c r="L10" s="112">
        <f>L8+L7</f>
        <v>107136938.78787878</v>
      </c>
      <c r="M10" s="113"/>
    </row>
    <row r="11" spans="1:13" ht="18" customHeight="1">
      <c r="A11" s="181"/>
      <c r="B11" s="182"/>
      <c r="C11" s="183"/>
      <c r="D11" s="184"/>
      <c r="E11" s="185"/>
      <c r="F11" s="390"/>
      <c r="G11" s="187"/>
      <c r="H11" s="187"/>
      <c r="I11" s="104"/>
      <c r="J11" s="104"/>
      <c r="K11" s="104"/>
      <c r="L11" s="104"/>
      <c r="M11" s="105"/>
    </row>
    <row r="12" spans="1:13" ht="18" customHeight="1">
      <c r="A12" s="181" t="s">
        <v>470</v>
      </c>
      <c r="B12" s="99" t="s">
        <v>471</v>
      </c>
      <c r="C12" s="183" t="s">
        <v>477</v>
      </c>
      <c r="D12" s="121"/>
      <c r="E12" s="389">
        <v>3.56E-2</v>
      </c>
      <c r="F12" s="186">
        <v>1</v>
      </c>
      <c r="G12" s="118"/>
      <c r="H12" s="118"/>
      <c r="I12" s="383"/>
      <c r="J12" s="104"/>
      <c r="K12" s="104"/>
      <c r="L12" s="104">
        <f>J10*E12</f>
        <v>1659902.9037575759</v>
      </c>
      <c r="M12" s="105"/>
    </row>
    <row r="13" spans="1:13" ht="18" customHeight="1">
      <c r="A13" s="181" t="s">
        <v>483</v>
      </c>
      <c r="B13" s="182" t="s">
        <v>472</v>
      </c>
      <c r="C13" s="183" t="s">
        <v>478</v>
      </c>
      <c r="D13" s="121"/>
      <c r="E13" s="386">
        <v>1.01E-2</v>
      </c>
      <c r="F13" s="387">
        <v>1</v>
      </c>
      <c r="G13" s="118"/>
      <c r="H13" s="118"/>
      <c r="I13" s="383"/>
      <c r="J13" s="104"/>
      <c r="K13" s="104"/>
      <c r="L13" s="104">
        <f>J10*E13</f>
        <v>470927.50921212119</v>
      </c>
      <c r="M13" s="105"/>
    </row>
    <row r="14" spans="1:13" ht="18" customHeight="1">
      <c r="A14" s="181" t="s">
        <v>470</v>
      </c>
      <c r="B14" s="182" t="s">
        <v>473</v>
      </c>
      <c r="C14" s="183" t="s">
        <v>479</v>
      </c>
      <c r="D14" s="184"/>
      <c r="E14" s="389">
        <v>3.5450000000000002E-2</v>
      </c>
      <c r="F14" s="390">
        <v>1</v>
      </c>
      <c r="G14" s="391"/>
      <c r="H14" s="118"/>
      <c r="I14" s="383"/>
      <c r="J14" s="104"/>
      <c r="K14" s="104"/>
      <c r="L14" s="104">
        <f>J10*E14</f>
        <v>1652908.9308484851</v>
      </c>
      <c r="M14" s="105"/>
    </row>
    <row r="15" spans="1:13" ht="18" customHeight="1">
      <c r="A15" s="181" t="s">
        <v>483</v>
      </c>
      <c r="B15" s="182" t="s">
        <v>474</v>
      </c>
      <c r="C15" s="183" t="s">
        <v>480</v>
      </c>
      <c r="D15" s="121"/>
      <c r="E15" s="389">
        <v>4.4999999999999998E-2</v>
      </c>
      <c r="F15" s="390">
        <v>1</v>
      </c>
      <c r="G15" s="391"/>
      <c r="H15" s="118"/>
      <c r="I15" s="383"/>
      <c r="J15" s="104"/>
      <c r="K15" s="104"/>
      <c r="L15" s="104">
        <f>J10*E15</f>
        <v>2098191.8727272726</v>
      </c>
      <c r="M15" s="105"/>
    </row>
    <row r="16" spans="1:13" ht="18" customHeight="1">
      <c r="A16" s="181" t="s">
        <v>483</v>
      </c>
      <c r="B16" s="182" t="s">
        <v>475</v>
      </c>
      <c r="C16" s="183" t="s">
        <v>481</v>
      </c>
      <c r="D16" s="184"/>
      <c r="E16" s="384">
        <v>0.1295</v>
      </c>
      <c r="F16" s="387">
        <v>1</v>
      </c>
      <c r="G16" s="118"/>
      <c r="H16" s="118"/>
      <c r="I16" s="383"/>
      <c r="J16" s="104"/>
      <c r="K16" s="104"/>
      <c r="L16" s="104">
        <f>L14*E16</f>
        <v>214051.70654487883</v>
      </c>
      <c r="M16" s="105"/>
    </row>
    <row r="17" spans="1:17" ht="18" customHeight="1">
      <c r="A17" s="181" t="s">
        <v>470</v>
      </c>
      <c r="B17" s="182" t="s">
        <v>476</v>
      </c>
      <c r="C17" s="183" t="s">
        <v>482</v>
      </c>
      <c r="D17" s="121"/>
      <c r="E17" s="388">
        <v>3.1099999999999999E-2</v>
      </c>
      <c r="F17" s="387">
        <v>1</v>
      </c>
      <c r="G17" s="187"/>
      <c r="H17" s="118"/>
      <c r="I17" s="383"/>
      <c r="J17" s="104"/>
      <c r="K17" s="104"/>
      <c r="L17" s="104">
        <f>L10*E17</f>
        <v>3331958.7963030301</v>
      </c>
      <c r="M17" s="105"/>
    </row>
    <row r="18" spans="1:17" ht="18" customHeight="1">
      <c r="A18" s="181" t="s">
        <v>470</v>
      </c>
      <c r="B18" s="182" t="s">
        <v>484</v>
      </c>
      <c r="C18" s="183"/>
      <c r="D18" s="121"/>
      <c r="E18" s="389">
        <v>0.02</v>
      </c>
      <c r="F18" s="390">
        <v>1</v>
      </c>
      <c r="G18" s="118"/>
      <c r="H18" s="118"/>
      <c r="I18" s="383"/>
      <c r="J18" s="104"/>
      <c r="K18" s="104"/>
      <c r="L18" s="104">
        <f>L10*E18</f>
        <v>2142738.7757575759</v>
      </c>
      <c r="M18" s="105"/>
      <c r="Q18" s="392"/>
    </row>
    <row r="19" spans="1:17" ht="18" customHeight="1">
      <c r="A19" s="121" t="s">
        <v>23</v>
      </c>
      <c r="B19" s="100" t="s">
        <v>153</v>
      </c>
      <c r="C19" s="100"/>
      <c r="D19" s="166"/>
      <c r="E19" s="384">
        <v>0.04</v>
      </c>
      <c r="F19" s="116">
        <v>1</v>
      </c>
      <c r="G19" s="117"/>
      <c r="H19" s="118"/>
      <c r="I19" s="179"/>
      <c r="J19" s="118"/>
      <c r="K19" s="118"/>
      <c r="L19" s="348">
        <f>L10*E19</f>
        <v>4285477.5515151517</v>
      </c>
      <c r="M19" s="105"/>
      <c r="Q19" s="392"/>
    </row>
    <row r="20" spans="1:17" s="287" customFormat="1" ht="18" customHeight="1">
      <c r="A20" s="280" t="s">
        <v>23</v>
      </c>
      <c r="B20" s="281" t="s">
        <v>154</v>
      </c>
      <c r="C20" s="281"/>
      <c r="D20" s="282"/>
      <c r="E20" s="389">
        <v>0.1</v>
      </c>
      <c r="F20" s="283">
        <v>1</v>
      </c>
      <c r="G20" s="284"/>
      <c r="H20" s="285"/>
      <c r="I20" s="286"/>
      <c r="J20" s="285"/>
      <c r="K20" s="285"/>
      <c r="L20" s="348">
        <f>L10*E20</f>
        <v>10713693.878787879</v>
      </c>
      <c r="M20" s="159"/>
    </row>
    <row r="21" spans="1:17" ht="18" customHeight="1">
      <c r="A21" s="121"/>
      <c r="B21" s="100"/>
      <c r="C21" s="190"/>
      <c r="D21" s="189"/>
      <c r="E21" s="102"/>
      <c r="F21" s="385"/>
      <c r="G21" s="117"/>
      <c r="H21" s="118"/>
      <c r="I21" s="179"/>
      <c r="J21" s="118"/>
      <c r="K21" s="118"/>
      <c r="L21" s="119"/>
      <c r="M21" s="105"/>
      <c r="Q21" s="392"/>
    </row>
    <row r="22" spans="1:17" ht="18" customHeight="1">
      <c r="A22" s="121"/>
      <c r="B22" s="100"/>
      <c r="C22" s="120"/>
      <c r="D22" s="121"/>
      <c r="E22" s="122"/>
      <c r="F22" s="116"/>
      <c r="G22" s="117"/>
      <c r="H22" s="118"/>
      <c r="I22" s="179"/>
      <c r="J22" s="118"/>
      <c r="K22" s="118"/>
      <c r="L22" s="118"/>
      <c r="M22" s="105"/>
    </row>
    <row r="23" spans="1:17" s="130" customFormat="1" ht="18" customHeight="1">
      <c r="A23" s="124"/>
      <c r="B23" s="107" t="s">
        <v>139</v>
      </c>
      <c r="C23" s="123"/>
      <c r="D23" s="124"/>
      <c r="E23" s="125"/>
      <c r="F23" s="126"/>
      <c r="G23" s="127"/>
      <c r="H23" s="128"/>
      <c r="I23" s="180"/>
      <c r="J23" s="128"/>
      <c r="K23" s="128"/>
      <c r="L23" s="128">
        <f>SUM(L12:L22)</f>
        <v>26569851.925453972</v>
      </c>
      <c r="M23" s="129"/>
    </row>
    <row r="24" spans="1:17" s="130" customFormat="1" ht="18" customHeight="1">
      <c r="A24" s="124"/>
      <c r="B24" s="107"/>
      <c r="C24" s="123"/>
      <c r="D24" s="124"/>
      <c r="E24" s="125"/>
      <c r="F24" s="126" t="s">
        <v>189</v>
      </c>
      <c r="G24" s="127"/>
      <c r="H24" s="128"/>
      <c r="I24" s="180"/>
      <c r="J24" s="128"/>
      <c r="K24" s="128"/>
      <c r="L24" s="128"/>
      <c r="M24" s="129"/>
    </row>
    <row r="25" spans="1:17" ht="18" customHeight="1">
      <c r="A25" s="188"/>
      <c r="B25" s="189"/>
      <c r="C25" s="190"/>
      <c r="D25" s="101"/>
      <c r="E25" s="102"/>
      <c r="F25" s="103"/>
      <c r="G25" s="104"/>
      <c r="H25" s="104"/>
      <c r="I25" s="104"/>
      <c r="J25" s="104"/>
      <c r="K25" s="104" t="s">
        <v>146</v>
      </c>
      <c r="L25" s="104">
        <v>6791</v>
      </c>
      <c r="M25" s="105"/>
    </row>
    <row r="26" spans="1:17" s="138" customFormat="1" ht="18" customHeight="1">
      <c r="A26" s="131"/>
      <c r="B26" s="131" t="s">
        <v>140</v>
      </c>
      <c r="C26" s="132"/>
      <c r="D26" s="133"/>
      <c r="E26" s="134"/>
      <c r="F26" s="135"/>
      <c r="G26" s="136"/>
      <c r="H26" s="136"/>
      <c r="I26" s="136"/>
      <c r="J26" s="136"/>
      <c r="K26" s="136"/>
      <c r="L26" s="136">
        <f>L10+L23+L24-L25</f>
        <v>133699999.71333276</v>
      </c>
      <c r="M26" s="137" t="s">
        <v>167</v>
      </c>
    </row>
    <row r="27" spans="1:17" ht="18" customHeight="1">
      <c r="A27" s="139"/>
      <c r="B27" s="140"/>
      <c r="C27" s="141"/>
      <c r="D27" s="142"/>
      <c r="E27" s="142"/>
      <c r="F27" s="143"/>
      <c r="G27" s="144"/>
      <c r="H27" s="144"/>
      <c r="I27" s="144"/>
      <c r="J27" s="144"/>
      <c r="K27" s="144"/>
      <c r="L27" s="144"/>
      <c r="M27" s="145"/>
    </row>
    <row r="28" spans="1:17" ht="18" customHeight="1">
      <c r="A28" s="146"/>
      <c r="B28" s="147"/>
      <c r="C28" s="148"/>
      <c r="D28" s="149"/>
      <c r="E28" s="149"/>
      <c r="F28" s="150"/>
      <c r="G28" s="151"/>
      <c r="H28" s="151"/>
      <c r="I28" s="151"/>
      <c r="J28" s="151"/>
      <c r="K28" s="151"/>
      <c r="L28" s="151"/>
      <c r="M28" s="152"/>
    </row>
    <row r="29" spans="1:17" ht="18" customHeight="1">
      <c r="A29" s="146"/>
      <c r="B29" s="147"/>
      <c r="C29" s="148"/>
      <c r="D29" s="149"/>
      <c r="E29" s="149"/>
      <c r="F29" s="150"/>
      <c r="G29" s="151"/>
      <c r="H29" s="151"/>
      <c r="I29" s="151"/>
      <c r="J29" s="151"/>
      <c r="K29" s="151"/>
      <c r="L29" s="151"/>
      <c r="M29" s="152"/>
    </row>
    <row r="30" spans="1:17" ht="18" customHeight="1">
      <c r="A30" s="146"/>
      <c r="B30" s="147"/>
      <c r="C30" s="148"/>
      <c r="D30" s="149"/>
      <c r="E30" s="149"/>
      <c r="F30" s="150"/>
      <c r="G30" s="151"/>
      <c r="H30" s="151"/>
      <c r="I30" s="151"/>
      <c r="J30" s="151"/>
      <c r="K30" s="151"/>
      <c r="L30" s="151"/>
      <c r="M30" s="152"/>
    </row>
    <row r="31" spans="1:17" ht="18" customHeight="1">
      <c r="A31" s="146"/>
      <c r="B31" s="277" t="s">
        <v>189</v>
      </c>
      <c r="C31" s="148"/>
      <c r="D31" s="149"/>
      <c r="E31" s="149"/>
      <c r="F31" s="150"/>
      <c r="G31" s="151"/>
      <c r="H31" s="151"/>
      <c r="I31" s="151"/>
      <c r="J31" s="151"/>
      <c r="K31" s="151"/>
      <c r="L31" s="151"/>
      <c r="M31" s="152"/>
    </row>
    <row r="32" spans="1:17" ht="18" customHeight="1">
      <c r="A32" s="146" t="s">
        <v>40</v>
      </c>
      <c r="B32" s="147" t="s">
        <v>49</v>
      </c>
      <c r="C32" s="148"/>
      <c r="D32" s="149"/>
      <c r="E32" s="149"/>
      <c r="F32" s="150"/>
      <c r="G32" s="151"/>
      <c r="H32" s="151"/>
      <c r="I32" s="151"/>
      <c r="J32" s="151"/>
      <c r="K32" s="151"/>
      <c r="L32" s="151"/>
      <c r="M32" s="152"/>
    </row>
    <row r="33" spans="1:15" ht="18" customHeight="1">
      <c r="A33" s="146" t="s">
        <v>44</v>
      </c>
      <c r="B33" s="147" t="s">
        <v>168</v>
      </c>
      <c r="C33" s="148"/>
      <c r="D33" s="149"/>
      <c r="E33" s="149"/>
      <c r="F33" s="150"/>
      <c r="G33" s="151"/>
      <c r="H33" s="151"/>
      <c r="I33" s="151"/>
      <c r="J33" s="151"/>
      <c r="K33" s="151"/>
      <c r="L33" s="151"/>
      <c r="M33" s="152"/>
    </row>
    <row r="34" spans="1:15" ht="18" customHeight="1">
      <c r="A34" s="170" t="s">
        <v>44</v>
      </c>
      <c r="B34" s="421" t="s">
        <v>151</v>
      </c>
      <c r="C34" s="148"/>
      <c r="D34" s="149"/>
      <c r="E34" s="149"/>
      <c r="F34" s="150"/>
      <c r="G34" s="151"/>
      <c r="H34" s="151"/>
      <c r="I34" s="151"/>
      <c r="J34" s="151"/>
      <c r="K34" s="151"/>
      <c r="L34" s="151"/>
      <c r="M34" s="152"/>
    </row>
    <row r="35" spans="1:15" ht="18" customHeight="1">
      <c r="A35" s="146"/>
      <c r="B35" s="147"/>
      <c r="C35" s="148"/>
      <c r="D35" s="149"/>
      <c r="E35" s="149"/>
      <c r="F35" s="150"/>
      <c r="G35" s="151"/>
      <c r="H35" s="151"/>
      <c r="I35" s="151"/>
      <c r="J35" s="151"/>
      <c r="K35" s="151"/>
      <c r="L35" s="151"/>
      <c r="M35" s="152"/>
    </row>
    <row r="36" spans="1:15" ht="18" customHeight="1">
      <c r="A36" s="153"/>
      <c r="B36" s="154"/>
      <c r="C36" s="155"/>
      <c r="D36" s="156"/>
      <c r="E36" s="156"/>
      <c r="F36" s="157"/>
      <c r="G36" s="158"/>
      <c r="H36" s="158"/>
      <c r="I36" s="158"/>
      <c r="J36" s="158"/>
      <c r="K36" s="158"/>
      <c r="L36" s="158"/>
      <c r="M36" s="152"/>
    </row>
    <row r="48" spans="1:15" ht="19.5" customHeight="1">
      <c r="O48" s="106">
        <f>112686983*0.25</f>
        <v>28171745.75</v>
      </c>
    </row>
    <row r="277" spans="1:13" s="467" customFormat="1" ht="19.5" customHeight="1">
      <c r="A277" s="460"/>
      <c r="B277" s="461"/>
      <c r="C277" s="462"/>
      <c r="D277" s="463"/>
      <c r="E277" s="463"/>
      <c r="F277" s="464"/>
      <c r="G277" s="465">
        <v>0</v>
      </c>
      <c r="H277" s="465"/>
      <c r="I277" s="465"/>
      <c r="J277" s="465"/>
      <c r="K277" s="465"/>
      <c r="L277" s="465"/>
      <c r="M277" s="466" t="s">
        <v>601</v>
      </c>
    </row>
    <row r="329" spans="21:21" ht="19.5" customHeight="1">
      <c r="U329" s="106" t="s">
        <v>637</v>
      </c>
    </row>
    <row r="334" spans="21:21" ht="19.5" customHeight="1">
      <c r="U334" s="106" t="s">
        <v>638</v>
      </c>
    </row>
    <row r="335" spans="21:21" ht="19.5" customHeight="1">
      <c r="U335" s="106" t="s">
        <v>639</v>
      </c>
    </row>
    <row r="336" spans="21:21" ht="19.5" customHeight="1">
      <c r="U336" s="106" t="s">
        <v>640</v>
      </c>
    </row>
  </sheetData>
  <mergeCells count="11">
    <mergeCell ref="M4:M5"/>
    <mergeCell ref="A1:M1"/>
    <mergeCell ref="A4:A5"/>
    <mergeCell ref="B4:B5"/>
    <mergeCell ref="C4:C5"/>
    <mergeCell ref="D4:D5"/>
    <mergeCell ref="E4:E5"/>
    <mergeCell ref="F4:F5"/>
    <mergeCell ref="G4:H4"/>
    <mergeCell ref="I4:J4"/>
    <mergeCell ref="K4:L4"/>
  </mergeCells>
  <phoneticPr fontId="21" type="noConversion"/>
  <pageMargins left="0.7" right="0.7" top="0.75" bottom="0.75" header="0.3" footer="0.3"/>
  <pageSetup paperSize="9" scale="6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2060"/>
    <pageSetUpPr fitToPage="1"/>
  </sheetPr>
  <dimension ref="A1:Q410"/>
  <sheetViews>
    <sheetView tabSelected="1" view="pageBreakPreview" zoomScale="130" zoomScaleSheetLayoutView="130" workbookViewId="0">
      <pane ySplit="4" topLeftCell="A252" activePane="bottomLeft" state="frozen"/>
      <selection activeCell="D7" sqref="D7"/>
      <selection pane="bottomLeft" activeCell="D7" sqref="D7"/>
    </sheetView>
  </sheetViews>
  <sheetFormatPr defaultColWidth="9.140625" defaultRowHeight="19.5" customHeight="1"/>
  <cols>
    <col min="1" max="1" width="8.85546875" style="63" bestFit="1" customWidth="1"/>
    <col min="2" max="2" width="32.85546875" style="64" customWidth="1"/>
    <col min="3" max="3" width="27.85546875" style="65" customWidth="1"/>
    <col min="4" max="4" width="17.85546875" style="66" customWidth="1"/>
    <col min="5" max="5" width="8.85546875" style="66" customWidth="1"/>
    <col min="6" max="6" width="9.42578125" style="67" bestFit="1" customWidth="1"/>
    <col min="7" max="7" width="14.85546875" style="68" customWidth="1"/>
    <col min="8" max="8" width="18" style="68" customWidth="1"/>
    <col min="9" max="9" width="14.85546875" style="68" customWidth="1"/>
    <col min="10" max="10" width="18" style="68" customWidth="1"/>
    <col min="11" max="11" width="14.85546875" style="68" customWidth="1"/>
    <col min="12" max="12" width="18" style="68" customWidth="1"/>
    <col min="13" max="13" width="20.5703125" style="248" customWidth="1"/>
    <col min="14" max="14" width="10.42578125" style="9" bestFit="1" customWidth="1"/>
    <col min="15" max="16" width="11.85546875" style="9" bestFit="1" customWidth="1"/>
    <col min="17" max="16384" width="9.140625" style="9"/>
  </cols>
  <sheetData>
    <row r="1" spans="1:13" s="1" customFormat="1" ht="35.1" customHeight="1">
      <c r="A1" s="502" t="s">
        <v>564</v>
      </c>
      <c r="B1" s="502"/>
      <c r="C1" s="502"/>
      <c r="D1" s="502"/>
      <c r="E1" s="502"/>
      <c r="F1" s="502"/>
      <c r="G1" s="502"/>
      <c r="H1" s="502"/>
      <c r="I1" s="502"/>
      <c r="J1" s="502"/>
      <c r="K1" s="502"/>
      <c r="L1" s="502"/>
      <c r="M1" s="502"/>
    </row>
    <row r="2" spans="1:13" s="256" customFormat="1" ht="18" customHeight="1">
      <c r="A2" s="503" t="s">
        <v>10</v>
      </c>
      <c r="B2" s="504" t="s">
        <v>4</v>
      </c>
      <c r="C2" s="505" t="s">
        <v>114</v>
      </c>
      <c r="D2" s="505" t="s">
        <v>141</v>
      </c>
      <c r="E2" s="505" t="s">
        <v>6</v>
      </c>
      <c r="F2" s="506" t="s">
        <v>7</v>
      </c>
      <c r="G2" s="507" t="s">
        <v>2</v>
      </c>
      <c r="H2" s="507"/>
      <c r="I2" s="507" t="s">
        <v>9</v>
      </c>
      <c r="J2" s="507"/>
      <c r="K2" s="507" t="s">
        <v>3</v>
      </c>
      <c r="L2" s="507"/>
      <c r="M2" s="500" t="s">
        <v>8</v>
      </c>
    </row>
    <row r="3" spans="1:13" s="256" customFormat="1" ht="18" customHeight="1">
      <c r="A3" s="503"/>
      <c r="B3" s="504"/>
      <c r="C3" s="505"/>
      <c r="D3" s="505"/>
      <c r="E3" s="505"/>
      <c r="F3" s="506"/>
      <c r="G3" s="259" t="s">
        <v>0</v>
      </c>
      <c r="H3" s="259" t="s">
        <v>1</v>
      </c>
      <c r="I3" s="259" t="s">
        <v>0</v>
      </c>
      <c r="J3" s="259" t="s">
        <v>1</v>
      </c>
      <c r="K3" s="259" t="s">
        <v>0</v>
      </c>
      <c r="L3" s="259" t="s">
        <v>1</v>
      </c>
      <c r="M3" s="501"/>
    </row>
    <row r="4" spans="1:13" ht="18" customHeight="1">
      <c r="A4" s="2"/>
      <c r="B4" s="3"/>
      <c r="C4" s="4"/>
      <c r="D4" s="5"/>
      <c r="E4" s="5"/>
      <c r="F4" s="6"/>
      <c r="G4" s="7"/>
      <c r="H4" s="7"/>
      <c r="I4" s="7"/>
      <c r="J4" s="7"/>
      <c r="K4" s="7"/>
      <c r="L4" s="8"/>
      <c r="M4" s="177"/>
    </row>
    <row r="5" spans="1:13" ht="18" customHeight="1">
      <c r="A5" s="10"/>
      <c r="B5" s="11"/>
      <c r="C5" s="12"/>
      <c r="D5" s="5"/>
      <c r="E5" s="5"/>
      <c r="F5" s="6"/>
      <c r="G5" s="7"/>
      <c r="H5" s="7"/>
      <c r="I5" s="7"/>
      <c r="J5" s="7"/>
      <c r="K5" s="7"/>
      <c r="L5" s="8"/>
      <c r="M5" s="177"/>
    </row>
    <row r="6" spans="1:13" s="20" customFormat="1" ht="18" customHeight="1">
      <c r="A6" s="13" t="s">
        <v>14</v>
      </c>
      <c r="B6" s="14" t="s">
        <v>565</v>
      </c>
      <c r="C6" s="15"/>
      <c r="D6" s="16"/>
      <c r="E6" s="16"/>
      <c r="F6" s="17"/>
      <c r="G6" s="18"/>
      <c r="H6" s="18"/>
      <c r="I6" s="18"/>
      <c r="J6" s="18"/>
      <c r="K6" s="18"/>
      <c r="L6" s="19"/>
      <c r="M6" s="249"/>
    </row>
    <row r="7" spans="1:13" ht="18" customHeight="1">
      <c r="A7" s="10" t="s">
        <v>22</v>
      </c>
      <c r="B7" s="11" t="str">
        <f>B12</f>
        <v>가설공사</v>
      </c>
      <c r="C7" s="12"/>
      <c r="D7" s="5"/>
      <c r="E7" s="5" t="s">
        <v>36</v>
      </c>
      <c r="F7" s="6">
        <v>1</v>
      </c>
      <c r="G7" s="7"/>
      <c r="H7" s="7">
        <f>H27</f>
        <v>3898000</v>
      </c>
      <c r="I7" s="7"/>
      <c r="J7" s="7">
        <f>J27</f>
        <v>3112000</v>
      </c>
      <c r="K7" s="7"/>
      <c r="L7" s="8">
        <f>L27</f>
        <v>7010000</v>
      </c>
      <c r="M7" s="177"/>
    </row>
    <row r="8" spans="1:13" ht="18" customHeight="1">
      <c r="A8" s="10" t="s">
        <v>25</v>
      </c>
      <c r="B8" s="11" t="str">
        <f>B29</f>
        <v>인테리어 공사</v>
      </c>
      <c r="C8" s="12"/>
      <c r="D8" s="5"/>
      <c r="E8" s="5" t="s">
        <v>36</v>
      </c>
      <c r="F8" s="6">
        <v>1</v>
      </c>
      <c r="G8" s="7"/>
      <c r="H8" s="7">
        <f>H40</f>
        <v>56612452.727272727</v>
      </c>
      <c r="I8" s="7"/>
      <c r="J8" s="7">
        <f>J40</f>
        <v>43514486.060606062</v>
      </c>
      <c r="K8" s="7"/>
      <c r="L8" s="8">
        <f>L40</f>
        <v>100126938.78787878</v>
      </c>
      <c r="M8" s="177"/>
    </row>
    <row r="9" spans="1:13" ht="18" customHeight="1">
      <c r="A9" s="10"/>
      <c r="B9" s="11"/>
      <c r="C9" s="12"/>
      <c r="D9" s="5"/>
      <c r="E9" s="5"/>
      <c r="F9" s="6"/>
      <c r="G9" s="7"/>
      <c r="H9" s="7"/>
      <c r="I9" s="7"/>
      <c r="J9" s="7"/>
      <c r="K9" s="7"/>
      <c r="L9" s="8"/>
      <c r="M9" s="177"/>
    </row>
    <row r="10" spans="1:13" s="21" customFormat="1" ht="18" customHeight="1">
      <c r="A10" s="214"/>
      <c r="B10" s="214" t="s">
        <v>97</v>
      </c>
      <c r="C10" s="215"/>
      <c r="D10" s="216"/>
      <c r="E10" s="216"/>
      <c r="F10" s="217"/>
      <c r="G10" s="218"/>
      <c r="H10" s="218">
        <f>SUM(H7:H9)</f>
        <v>60510452.727272727</v>
      </c>
      <c r="I10" s="218"/>
      <c r="J10" s="218">
        <f>SUM(J7:J9)</f>
        <v>46626486.060606062</v>
      </c>
      <c r="K10" s="218"/>
      <c r="L10" s="219">
        <f>SUM(L7:L9)</f>
        <v>107136938.78787878</v>
      </c>
      <c r="M10" s="250"/>
    </row>
    <row r="11" spans="1:13" s="224" customFormat="1" ht="18" customHeight="1">
      <c r="A11" s="10"/>
      <c r="B11" s="11"/>
      <c r="C11" s="12"/>
      <c r="D11" s="208"/>
      <c r="E11" s="208"/>
      <c r="F11" s="209"/>
      <c r="G11" s="223"/>
      <c r="H11" s="223"/>
      <c r="I11" s="223"/>
      <c r="J11" s="223"/>
      <c r="K11" s="223"/>
      <c r="L11" s="223"/>
      <c r="M11" s="251"/>
    </row>
    <row r="12" spans="1:13" s="228" customFormat="1" ht="18" customHeight="1">
      <c r="A12" s="22" t="s">
        <v>22</v>
      </c>
      <c r="B12" s="23" t="s">
        <v>74</v>
      </c>
      <c r="C12" s="24"/>
      <c r="D12" s="225"/>
      <c r="E12" s="225"/>
      <c r="F12" s="226"/>
      <c r="G12" s="227"/>
      <c r="H12" s="227"/>
      <c r="I12" s="227"/>
      <c r="J12" s="227"/>
      <c r="K12" s="227"/>
      <c r="L12" s="227"/>
      <c r="M12" s="252"/>
    </row>
    <row r="13" spans="1:13" s="224" customFormat="1" ht="18" customHeight="1">
      <c r="A13" s="10" t="s">
        <v>63</v>
      </c>
      <c r="B13" s="11" t="s">
        <v>72</v>
      </c>
      <c r="C13" s="12"/>
      <c r="D13" s="208"/>
      <c r="E13" s="208" t="s">
        <v>11</v>
      </c>
      <c r="F13" s="209">
        <v>174</v>
      </c>
      <c r="G13" s="210">
        <v>2000</v>
      </c>
      <c r="H13" s="210">
        <f t="shared" ref="H13:H22" si="0">F13*G13</f>
        <v>348000</v>
      </c>
      <c r="I13" s="210">
        <v>8000</v>
      </c>
      <c r="J13" s="210">
        <f t="shared" ref="J13:J17" si="1">F13*I13</f>
        <v>1392000</v>
      </c>
      <c r="K13" s="210">
        <f t="shared" ref="K13:K17" si="2">G13+I13</f>
        <v>10000</v>
      </c>
      <c r="L13" s="210">
        <f t="shared" ref="L13:L17" si="3">F13*K13</f>
        <v>1740000</v>
      </c>
      <c r="M13" s="177"/>
    </row>
    <row r="14" spans="1:13" s="224" customFormat="1" ht="18" customHeight="1">
      <c r="A14" s="10" t="s">
        <v>63</v>
      </c>
      <c r="B14" s="11" t="s">
        <v>24</v>
      </c>
      <c r="C14" s="12"/>
      <c r="D14" s="208" t="s">
        <v>189</v>
      </c>
      <c r="E14" s="208" t="s">
        <v>142</v>
      </c>
      <c r="F14" s="209">
        <v>6</v>
      </c>
      <c r="G14" s="210">
        <v>0</v>
      </c>
      <c r="H14" s="210">
        <f t="shared" si="0"/>
        <v>0</v>
      </c>
      <c r="I14" s="210">
        <v>170000</v>
      </c>
      <c r="J14" s="210">
        <f t="shared" si="1"/>
        <v>1020000</v>
      </c>
      <c r="K14" s="210">
        <f t="shared" si="2"/>
        <v>170000</v>
      </c>
      <c r="L14" s="210">
        <f t="shared" si="3"/>
        <v>1020000</v>
      </c>
      <c r="M14" s="177"/>
    </row>
    <row r="15" spans="1:13" s="224" customFormat="1" ht="18" customHeight="1">
      <c r="A15" s="10" t="s">
        <v>63</v>
      </c>
      <c r="B15" s="11" t="s">
        <v>386</v>
      </c>
      <c r="C15" s="12" t="s">
        <v>530</v>
      </c>
      <c r="D15" s="208" t="s">
        <v>189</v>
      </c>
      <c r="E15" s="208" t="s">
        <v>621</v>
      </c>
      <c r="F15" s="209">
        <v>2</v>
      </c>
      <c r="G15" s="210">
        <v>0</v>
      </c>
      <c r="H15" s="210">
        <f t="shared" ref="H15" si="4">F15*G15</f>
        <v>0</v>
      </c>
      <c r="I15" s="210">
        <v>350000</v>
      </c>
      <c r="J15" s="210">
        <f t="shared" ref="J15" si="5">F15*I15</f>
        <v>700000</v>
      </c>
      <c r="K15" s="210">
        <f t="shared" ref="K15" si="6">G15+I15</f>
        <v>350000</v>
      </c>
      <c r="L15" s="210">
        <f t="shared" ref="L15" si="7">F15*K15</f>
        <v>700000</v>
      </c>
      <c r="M15" s="177"/>
    </row>
    <row r="16" spans="1:13" s="224" customFormat="1" ht="18" customHeight="1">
      <c r="A16" s="10" t="s">
        <v>77</v>
      </c>
      <c r="B16" s="11" t="s">
        <v>84</v>
      </c>
      <c r="C16" s="12" t="s">
        <v>529</v>
      </c>
      <c r="D16" s="208" t="s">
        <v>189</v>
      </c>
      <c r="E16" s="208" t="s">
        <v>75</v>
      </c>
      <c r="F16" s="209">
        <v>1</v>
      </c>
      <c r="G16" s="210">
        <v>350000</v>
      </c>
      <c r="H16" s="210">
        <f>F16*G16</f>
        <v>350000</v>
      </c>
      <c r="I16" s="210">
        <v>0</v>
      </c>
      <c r="J16" s="210">
        <f>F16*I16</f>
        <v>0</v>
      </c>
      <c r="K16" s="210">
        <f>G16+I16</f>
        <v>350000</v>
      </c>
      <c r="L16" s="210">
        <f>F16*K16</f>
        <v>350000</v>
      </c>
      <c r="M16" s="177"/>
    </row>
    <row r="17" spans="1:13" s="224" customFormat="1" ht="18" customHeight="1">
      <c r="A17" s="10" t="s">
        <v>64</v>
      </c>
      <c r="B17" s="11" t="s">
        <v>371</v>
      </c>
      <c r="C17" s="12"/>
      <c r="D17" s="208"/>
      <c r="E17" s="208" t="s">
        <v>76</v>
      </c>
      <c r="F17" s="209">
        <v>1</v>
      </c>
      <c r="G17" s="210">
        <v>200000</v>
      </c>
      <c r="H17" s="210">
        <f t="shared" si="0"/>
        <v>200000</v>
      </c>
      <c r="I17" s="210">
        <v>0</v>
      </c>
      <c r="J17" s="210">
        <f t="shared" si="1"/>
        <v>0</v>
      </c>
      <c r="K17" s="210">
        <f t="shared" si="2"/>
        <v>200000</v>
      </c>
      <c r="L17" s="210">
        <f t="shared" si="3"/>
        <v>200000</v>
      </c>
      <c r="M17" s="177"/>
    </row>
    <row r="18" spans="1:13" s="409" customFormat="1" ht="18" customHeight="1">
      <c r="A18" s="393" t="s">
        <v>557</v>
      </c>
      <c r="B18" s="394" t="s">
        <v>169</v>
      </c>
      <c r="C18" s="395" t="s">
        <v>143</v>
      </c>
      <c r="D18" s="406" t="s">
        <v>189</v>
      </c>
      <c r="E18" s="406" t="s">
        <v>75</v>
      </c>
      <c r="F18" s="407">
        <v>0</v>
      </c>
      <c r="G18" s="408">
        <v>0</v>
      </c>
      <c r="H18" s="408">
        <f>F18*G18</f>
        <v>0</v>
      </c>
      <c r="I18" s="408">
        <v>0</v>
      </c>
      <c r="J18" s="408">
        <f>F18*I18</f>
        <v>0</v>
      </c>
      <c r="K18" s="408">
        <f>G18+I18</f>
        <v>0</v>
      </c>
      <c r="L18" s="408">
        <f>F18*K18</f>
        <v>0</v>
      </c>
      <c r="M18" s="397"/>
    </row>
    <row r="19" spans="1:13" s="409" customFormat="1" ht="18" customHeight="1">
      <c r="A19" s="393" t="s">
        <v>558</v>
      </c>
      <c r="B19" s="394" t="s">
        <v>543</v>
      </c>
      <c r="C19" s="395" t="s">
        <v>143</v>
      </c>
      <c r="D19" s="406"/>
      <c r="E19" s="406" t="s">
        <v>75</v>
      </c>
      <c r="F19" s="407">
        <v>0</v>
      </c>
      <c r="G19" s="408">
        <v>0</v>
      </c>
      <c r="H19" s="408">
        <f>F19*G19</f>
        <v>0</v>
      </c>
      <c r="I19" s="408">
        <v>0</v>
      </c>
      <c r="J19" s="408">
        <f>F19*I19</f>
        <v>0</v>
      </c>
      <c r="K19" s="408">
        <f>G19+I19</f>
        <v>0</v>
      </c>
      <c r="L19" s="408">
        <f>F19*K19</f>
        <v>0</v>
      </c>
      <c r="M19" s="397"/>
    </row>
    <row r="20" spans="1:13" s="405" customFormat="1" ht="18" hidden="1" customHeight="1">
      <c r="A20" s="398" t="s">
        <v>546</v>
      </c>
      <c r="B20" s="399" t="s">
        <v>544</v>
      </c>
      <c r="C20" s="400" t="s">
        <v>545</v>
      </c>
      <c r="D20" s="401"/>
      <c r="E20" s="401" t="s">
        <v>75</v>
      </c>
      <c r="F20" s="402">
        <v>0</v>
      </c>
      <c r="G20" s="403">
        <v>8110000</v>
      </c>
      <c r="H20" s="403">
        <f>F20*G20</f>
        <v>0</v>
      </c>
      <c r="I20" s="403">
        <v>0</v>
      </c>
      <c r="J20" s="403">
        <f>F20*I20</f>
        <v>0</v>
      </c>
      <c r="K20" s="403">
        <f>G20+I20</f>
        <v>8110000</v>
      </c>
      <c r="L20" s="403">
        <f>F20*K20</f>
        <v>0</v>
      </c>
      <c r="M20" s="404"/>
    </row>
    <row r="21" spans="1:13" s="409" customFormat="1" ht="18" hidden="1" customHeight="1">
      <c r="A21" s="393" t="s">
        <v>247</v>
      </c>
      <c r="B21" s="394" t="s">
        <v>547</v>
      </c>
      <c r="C21" s="395" t="s">
        <v>559</v>
      </c>
      <c r="D21" s="406"/>
      <c r="E21" s="406" t="s">
        <v>75</v>
      </c>
      <c r="F21" s="407">
        <v>0</v>
      </c>
      <c r="G21" s="408"/>
      <c r="H21" s="408"/>
      <c r="I21" s="408"/>
      <c r="J21" s="408"/>
      <c r="K21" s="408"/>
      <c r="L21" s="408"/>
      <c r="M21" s="397"/>
    </row>
    <row r="22" spans="1:13" s="229" customFormat="1" ht="18" customHeight="1">
      <c r="A22" s="167" t="s">
        <v>78</v>
      </c>
      <c r="B22" s="168" t="s">
        <v>542</v>
      </c>
      <c r="C22" s="169" t="s">
        <v>237</v>
      </c>
      <c r="D22" s="211"/>
      <c r="E22" s="211" t="s">
        <v>238</v>
      </c>
      <c r="F22" s="212">
        <v>0</v>
      </c>
      <c r="G22" s="213">
        <v>0</v>
      </c>
      <c r="H22" s="213">
        <f t="shared" si="0"/>
        <v>0</v>
      </c>
      <c r="I22" s="213">
        <v>300000</v>
      </c>
      <c r="J22" s="213">
        <f t="shared" ref="J22" si="8">F22*I22</f>
        <v>0</v>
      </c>
      <c r="K22" s="213">
        <f t="shared" ref="K22" si="9">G22+I22</f>
        <v>300000</v>
      </c>
      <c r="L22" s="213">
        <f t="shared" ref="L22" si="10">F22*K22</f>
        <v>0</v>
      </c>
      <c r="M22" s="177"/>
    </row>
    <row r="23" spans="1:13" s="229" customFormat="1" ht="18" hidden="1" customHeight="1">
      <c r="A23" s="167" t="s">
        <v>176</v>
      </c>
      <c r="B23" s="168" t="s">
        <v>175</v>
      </c>
      <c r="C23" s="169" t="s">
        <v>143</v>
      </c>
      <c r="D23" s="211"/>
      <c r="E23" s="211" t="s">
        <v>170</v>
      </c>
      <c r="F23" s="212">
        <v>0</v>
      </c>
      <c r="G23" s="213">
        <v>0</v>
      </c>
      <c r="H23" s="213">
        <f>F23*G23</f>
        <v>0</v>
      </c>
      <c r="I23" s="213">
        <v>0</v>
      </c>
      <c r="J23" s="213">
        <f>F23*I23</f>
        <v>0</v>
      </c>
      <c r="K23" s="213">
        <f>G23+I23</f>
        <v>0</v>
      </c>
      <c r="L23" s="213">
        <f>F23*K23</f>
        <v>0</v>
      </c>
      <c r="M23" s="176"/>
    </row>
    <row r="24" spans="1:13" s="224" customFormat="1" ht="18" customHeight="1">
      <c r="A24" s="10" t="s">
        <v>81</v>
      </c>
      <c r="B24" s="11" t="s">
        <v>82</v>
      </c>
      <c r="C24" s="12" t="s">
        <v>83</v>
      </c>
      <c r="D24" s="208"/>
      <c r="E24" s="208" t="s">
        <v>73</v>
      </c>
      <c r="F24" s="209">
        <v>6</v>
      </c>
      <c r="G24" s="210">
        <v>500000</v>
      </c>
      <c r="H24" s="210">
        <f>F24*G24</f>
        <v>3000000</v>
      </c>
      <c r="I24" s="210">
        <v>0</v>
      </c>
      <c r="J24" s="210">
        <f>F24*I24</f>
        <v>0</v>
      </c>
      <c r="K24" s="210">
        <f>G24+I24</f>
        <v>500000</v>
      </c>
      <c r="L24" s="210">
        <f>F24*K24</f>
        <v>3000000</v>
      </c>
      <c r="M24" s="177"/>
    </row>
    <row r="25" spans="1:13" s="229" customFormat="1" ht="18" customHeight="1">
      <c r="A25" s="167" t="s">
        <v>79</v>
      </c>
      <c r="B25" s="168" t="s">
        <v>80</v>
      </c>
      <c r="C25" s="169" t="s">
        <v>200</v>
      </c>
      <c r="D25" s="211" t="s">
        <v>201</v>
      </c>
      <c r="E25" s="211" t="s">
        <v>70</v>
      </c>
      <c r="F25" s="212">
        <f>F13/3.3</f>
        <v>52.727272727272727</v>
      </c>
      <c r="G25" s="213">
        <v>5000</v>
      </c>
      <c r="H25" s="213">
        <f>F25*G25</f>
        <v>263636.36363636365</v>
      </c>
      <c r="I25" s="213">
        <v>15000</v>
      </c>
      <c r="J25" s="213">
        <f>F25*I25</f>
        <v>790909.09090909094</v>
      </c>
      <c r="K25" s="213">
        <f>G25+I25</f>
        <v>20000</v>
      </c>
      <c r="L25" s="279">
        <f>F25*K25</f>
        <v>1054545.4545454546</v>
      </c>
      <c r="M25" s="213" t="s">
        <v>204</v>
      </c>
    </row>
    <row r="26" spans="1:13" s="224" customFormat="1" ht="18" customHeight="1">
      <c r="A26" s="10"/>
      <c r="B26" s="11"/>
      <c r="C26" s="12"/>
      <c r="D26" s="208"/>
      <c r="E26" s="208"/>
      <c r="F26" s="208"/>
      <c r="G26" s="210"/>
      <c r="H26" s="210"/>
      <c r="I26" s="210"/>
      <c r="J26" s="210"/>
      <c r="K26" s="210"/>
      <c r="L26" s="210"/>
      <c r="M26" s="177"/>
    </row>
    <row r="27" spans="1:13" s="232" customFormat="1" ht="18" customHeight="1">
      <c r="A27" s="31"/>
      <c r="B27" s="32" t="s">
        <v>35</v>
      </c>
      <c r="C27" s="33"/>
      <c r="D27" s="230"/>
      <c r="E27" s="230"/>
      <c r="F27" s="230"/>
      <c r="G27" s="231"/>
      <c r="H27" s="231">
        <f>SUM(H13:H24)</f>
        <v>3898000</v>
      </c>
      <c r="I27" s="231"/>
      <c r="J27" s="231">
        <f>SUM(J13:J24)</f>
        <v>3112000</v>
      </c>
      <c r="K27" s="231"/>
      <c r="L27" s="231">
        <f>SUM(L13:L24)</f>
        <v>7010000</v>
      </c>
      <c r="M27" s="254"/>
    </row>
    <row r="28" spans="1:13" s="224" customFormat="1" ht="18" customHeight="1">
      <c r="A28" s="10"/>
      <c r="B28" s="11"/>
      <c r="C28" s="12"/>
      <c r="D28" s="208"/>
      <c r="E28" s="208"/>
      <c r="F28" s="208"/>
      <c r="G28" s="210"/>
      <c r="H28" s="210"/>
      <c r="I28" s="210"/>
      <c r="J28" s="233"/>
      <c r="K28" s="210"/>
      <c r="L28" s="210"/>
      <c r="M28" s="177"/>
    </row>
    <row r="29" spans="1:13" s="26" customFormat="1" ht="18" customHeight="1">
      <c r="A29" s="220" t="s">
        <v>25</v>
      </c>
      <c r="B29" s="221" t="s">
        <v>98</v>
      </c>
      <c r="C29" s="222"/>
      <c r="D29" s="25"/>
      <c r="E29" s="25"/>
      <c r="F29" s="40"/>
      <c r="G29" s="41"/>
      <c r="H29" s="41"/>
      <c r="I29" s="41"/>
      <c r="J29" s="41"/>
      <c r="K29" s="41"/>
      <c r="L29" s="42"/>
      <c r="M29" s="253"/>
    </row>
    <row r="30" spans="1:13" ht="18" customHeight="1">
      <c r="A30" s="43" t="s">
        <v>15</v>
      </c>
      <c r="B30" s="11" t="str">
        <f>B43</f>
        <v>철거 / 설비 공사</v>
      </c>
      <c r="C30" s="12"/>
      <c r="D30" s="5"/>
      <c r="E30" s="5" t="s">
        <v>36</v>
      </c>
      <c r="F30" s="27">
        <v>1</v>
      </c>
      <c r="G30" s="28"/>
      <c r="H30" s="28">
        <f>H70</f>
        <v>5227272.7272727275</v>
      </c>
      <c r="I30" s="28"/>
      <c r="J30" s="28">
        <f>J70</f>
        <v>8434606.0606060605</v>
      </c>
      <c r="K30" s="28"/>
      <c r="L30" s="29">
        <f>L70</f>
        <v>13661878.787878789</v>
      </c>
      <c r="M30" s="177"/>
    </row>
    <row r="31" spans="1:13" ht="18" customHeight="1">
      <c r="A31" s="43" t="s">
        <v>16</v>
      </c>
      <c r="B31" s="11" t="str">
        <f>B72</f>
        <v>필름 공사</v>
      </c>
      <c r="C31" s="12"/>
      <c r="D31" s="5"/>
      <c r="E31" s="5" t="s">
        <v>36</v>
      </c>
      <c r="F31" s="27">
        <v>1</v>
      </c>
      <c r="G31" s="28"/>
      <c r="H31" s="28">
        <f>H88</f>
        <v>1672700</v>
      </c>
      <c r="I31" s="28"/>
      <c r="J31" s="28">
        <f>J88</f>
        <v>1746780</v>
      </c>
      <c r="K31" s="28"/>
      <c r="L31" s="29">
        <f>L88</f>
        <v>3419480</v>
      </c>
      <c r="M31" s="177"/>
    </row>
    <row r="32" spans="1:13" ht="18" customHeight="1">
      <c r="A32" s="43" t="s">
        <v>17</v>
      </c>
      <c r="B32" s="11" t="str">
        <f>B90</f>
        <v>가구 공사</v>
      </c>
      <c r="C32" s="12"/>
      <c r="D32" s="5"/>
      <c r="E32" s="5" t="s">
        <v>36</v>
      </c>
      <c r="F32" s="27">
        <v>1</v>
      </c>
      <c r="G32" s="28"/>
      <c r="H32" s="28">
        <f>H179</f>
        <v>15864000</v>
      </c>
      <c r="I32" s="28"/>
      <c r="J32" s="28">
        <f>J179</f>
        <v>4105000</v>
      </c>
      <c r="K32" s="28"/>
      <c r="L32" s="29">
        <f>L179</f>
        <v>19969000</v>
      </c>
      <c r="M32" s="177"/>
    </row>
    <row r="33" spans="1:13" ht="18" customHeight="1">
      <c r="A33" s="43" t="s">
        <v>18</v>
      </c>
      <c r="B33" s="11" t="str">
        <f>B181</f>
        <v>전기 공사</v>
      </c>
      <c r="C33" s="12"/>
      <c r="D33" s="5"/>
      <c r="E33" s="5" t="s">
        <v>36</v>
      </c>
      <c r="F33" s="27">
        <v>1</v>
      </c>
      <c r="G33" s="28"/>
      <c r="H33" s="28">
        <f>H262</f>
        <v>3672200</v>
      </c>
      <c r="I33" s="28"/>
      <c r="J33" s="28">
        <f>J262</f>
        <v>3329000</v>
      </c>
      <c r="K33" s="28"/>
      <c r="L33" s="29">
        <f>L262</f>
        <v>7001200</v>
      </c>
      <c r="M33" s="177"/>
    </row>
    <row r="34" spans="1:13" s="59" customFormat="1" ht="18" customHeight="1">
      <c r="A34" s="234" t="s">
        <v>19</v>
      </c>
      <c r="B34" s="53" t="str">
        <f>B264</f>
        <v>화장실 공사</v>
      </c>
      <c r="C34" s="54"/>
      <c r="D34" s="55"/>
      <c r="E34" s="55" t="s">
        <v>36</v>
      </c>
      <c r="F34" s="235">
        <v>1</v>
      </c>
      <c r="G34" s="57"/>
      <c r="H34" s="57">
        <f>H320</f>
        <v>4820000</v>
      </c>
      <c r="I34" s="57"/>
      <c r="J34" s="57">
        <f>J320</f>
        <v>3440000</v>
      </c>
      <c r="K34" s="57"/>
      <c r="L34" s="58">
        <f>L320</f>
        <v>8260000</v>
      </c>
      <c r="M34" s="176"/>
    </row>
    <row r="35" spans="1:13" s="59" customFormat="1" ht="18" customHeight="1">
      <c r="A35" s="234" t="s">
        <v>20</v>
      </c>
      <c r="B35" s="53" t="str">
        <f>B322</f>
        <v>타일 공사</v>
      </c>
      <c r="C35" s="54"/>
      <c r="D35" s="55"/>
      <c r="E35" s="55" t="s">
        <v>36</v>
      </c>
      <c r="F35" s="235">
        <v>1</v>
      </c>
      <c r="G35" s="57"/>
      <c r="H35" s="57">
        <f>H342</f>
        <v>4141320</v>
      </c>
      <c r="I35" s="57"/>
      <c r="J35" s="57">
        <f>J342</f>
        <v>7232400</v>
      </c>
      <c r="K35" s="57"/>
      <c r="L35" s="58">
        <f>L342</f>
        <v>11373720</v>
      </c>
      <c r="M35" s="176"/>
    </row>
    <row r="36" spans="1:13" ht="18" customHeight="1">
      <c r="A36" s="43" t="s">
        <v>21</v>
      </c>
      <c r="B36" s="11" t="str">
        <f>B344</f>
        <v>도배 공사</v>
      </c>
      <c r="C36" s="12"/>
      <c r="D36" s="5"/>
      <c r="E36" s="5" t="s">
        <v>36</v>
      </c>
      <c r="F36" s="27">
        <v>1</v>
      </c>
      <c r="G36" s="28"/>
      <c r="H36" s="28">
        <f>H353</f>
        <v>4477770</v>
      </c>
      <c r="I36" s="28"/>
      <c r="J36" s="28">
        <f>J353</f>
        <v>4474800</v>
      </c>
      <c r="K36" s="28"/>
      <c r="L36" s="29">
        <f>L353</f>
        <v>8952570</v>
      </c>
      <c r="M36" s="177"/>
    </row>
    <row r="37" spans="1:13" ht="18" customHeight="1">
      <c r="A37" s="43" t="s">
        <v>26</v>
      </c>
      <c r="B37" s="11" t="str">
        <f>B355</f>
        <v>도장 공사</v>
      </c>
      <c r="C37" s="12"/>
      <c r="D37" s="5"/>
      <c r="E37" s="5" t="s">
        <v>36</v>
      </c>
      <c r="F37" s="27">
        <v>1</v>
      </c>
      <c r="G37" s="28"/>
      <c r="H37" s="28">
        <f>H360</f>
        <v>310000</v>
      </c>
      <c r="I37" s="28"/>
      <c r="J37" s="28">
        <f>J360</f>
        <v>890000</v>
      </c>
      <c r="K37" s="28"/>
      <c r="L37" s="29">
        <f>L360</f>
        <v>1200000</v>
      </c>
      <c r="M37" s="177"/>
    </row>
    <row r="38" spans="1:13" ht="18" customHeight="1">
      <c r="A38" s="43" t="s">
        <v>27</v>
      </c>
      <c r="B38" s="11" t="str">
        <f>B362</f>
        <v>마루 공사</v>
      </c>
      <c r="C38" s="12"/>
      <c r="D38" s="5"/>
      <c r="E38" s="5" t="s">
        <v>36</v>
      </c>
      <c r="F38" s="27">
        <v>1</v>
      </c>
      <c r="G38" s="28"/>
      <c r="H38" s="28">
        <f>H372</f>
        <v>7585589.9999999991</v>
      </c>
      <c r="I38" s="28"/>
      <c r="J38" s="28">
        <f>J372</f>
        <v>0</v>
      </c>
      <c r="K38" s="28"/>
      <c r="L38" s="29">
        <f>L372</f>
        <v>7585589.9999999991</v>
      </c>
      <c r="M38" s="177"/>
    </row>
    <row r="39" spans="1:13" ht="18" customHeight="1">
      <c r="A39" s="43" t="s">
        <v>47</v>
      </c>
      <c r="B39" s="11" t="str">
        <f>B374</f>
        <v>목공사</v>
      </c>
      <c r="C39" s="12"/>
      <c r="D39" s="5"/>
      <c r="E39" s="5" t="s">
        <v>36</v>
      </c>
      <c r="F39" s="27">
        <v>1</v>
      </c>
      <c r="G39" s="28"/>
      <c r="H39" s="28">
        <f>H407</f>
        <v>8841600</v>
      </c>
      <c r="I39" s="28"/>
      <c r="J39" s="28">
        <f>J407</f>
        <v>9861900</v>
      </c>
      <c r="K39" s="28"/>
      <c r="L39" s="29">
        <f>L407</f>
        <v>18703500</v>
      </c>
      <c r="M39" s="177"/>
    </row>
    <row r="40" spans="1:13" s="38" customFormat="1" ht="18" customHeight="1">
      <c r="A40" s="31"/>
      <c r="B40" s="32" t="s">
        <v>35</v>
      </c>
      <c r="C40" s="33"/>
      <c r="D40" s="34"/>
      <c r="E40" s="34"/>
      <c r="F40" s="35"/>
      <c r="G40" s="36"/>
      <c r="H40" s="36">
        <f>SUM(H30:H39)</f>
        <v>56612452.727272727</v>
      </c>
      <c r="I40" s="36"/>
      <c r="J40" s="36">
        <f>SUM(J30:J39)</f>
        <v>43514486.060606062</v>
      </c>
      <c r="K40" s="36"/>
      <c r="L40" s="37">
        <f>SUM(L30:L39)</f>
        <v>100126938.78787878</v>
      </c>
      <c r="M40" s="254"/>
    </row>
    <row r="41" spans="1:13" ht="18" customHeight="1">
      <c r="A41" s="10"/>
      <c r="B41" s="11"/>
      <c r="C41" s="12"/>
      <c r="D41" s="5"/>
      <c r="E41" s="5"/>
      <c r="F41" s="30"/>
      <c r="G41" s="28"/>
      <c r="H41" s="28"/>
      <c r="I41" s="28"/>
      <c r="J41" s="28"/>
      <c r="K41" s="28"/>
      <c r="L41" s="29"/>
      <c r="M41" s="177"/>
    </row>
    <row r="42" spans="1:13" ht="18" customHeight="1">
      <c r="A42" s="10"/>
      <c r="B42" s="11"/>
      <c r="C42" s="12"/>
      <c r="D42" s="5"/>
      <c r="E42" s="5"/>
      <c r="F42" s="30"/>
      <c r="G42" s="28"/>
      <c r="H42" s="28"/>
      <c r="I42" s="28"/>
      <c r="J42" s="39"/>
      <c r="K42" s="28"/>
      <c r="L42" s="29"/>
      <c r="M42" s="177"/>
    </row>
    <row r="43" spans="1:13" s="20" customFormat="1" ht="18" customHeight="1">
      <c r="A43" s="44" t="s">
        <v>28</v>
      </c>
      <c r="B43" s="45" t="s">
        <v>93</v>
      </c>
      <c r="C43" s="276"/>
      <c r="D43" s="16"/>
      <c r="E43" s="16"/>
      <c r="F43" s="47"/>
      <c r="G43" s="48"/>
      <c r="H43" s="48"/>
      <c r="I43" s="48"/>
      <c r="J43" s="48"/>
      <c r="K43" s="48"/>
      <c r="L43" s="49"/>
      <c r="M43" s="249"/>
    </row>
    <row r="44" spans="1:13" ht="18" customHeight="1">
      <c r="A44" s="10" t="s">
        <v>65</v>
      </c>
      <c r="B44" s="11" t="s">
        <v>88</v>
      </c>
      <c r="C44" s="12"/>
      <c r="D44" s="5" t="s">
        <v>253</v>
      </c>
      <c r="E44" s="5" t="s">
        <v>70</v>
      </c>
      <c r="F44" s="50">
        <f>140/3.3</f>
        <v>42.424242424242429</v>
      </c>
      <c r="G44" s="28">
        <v>3000</v>
      </c>
      <c r="H44" s="28">
        <f t="shared" ref="H44:H68" si="11">F44*G44</f>
        <v>127272.72727272729</v>
      </c>
      <c r="I44" s="28">
        <v>25000</v>
      </c>
      <c r="J44" s="28">
        <f t="shared" ref="J44:J68" si="12">F44*I44</f>
        <v>1060606.0606060608</v>
      </c>
      <c r="K44" s="28">
        <f t="shared" ref="K44:K68" si="13">G44+I44</f>
        <v>28000</v>
      </c>
      <c r="L44" s="29">
        <f t="shared" ref="L44:L68" si="14">F44*K44</f>
        <v>1187878.7878787881</v>
      </c>
      <c r="M44" s="177"/>
    </row>
    <row r="45" spans="1:13" ht="18" customHeight="1">
      <c r="A45" s="457" t="s">
        <v>65</v>
      </c>
      <c r="B45" s="359" t="s">
        <v>147</v>
      </c>
      <c r="C45" s="458"/>
      <c r="D45" s="361" t="s">
        <v>252</v>
      </c>
      <c r="E45" s="361" t="s">
        <v>372</v>
      </c>
      <c r="F45" s="459">
        <v>0</v>
      </c>
      <c r="G45" s="363">
        <v>15000</v>
      </c>
      <c r="H45" s="363">
        <f t="shared" si="11"/>
        <v>0</v>
      </c>
      <c r="I45" s="363">
        <v>70000</v>
      </c>
      <c r="J45" s="363">
        <f t="shared" si="12"/>
        <v>0</v>
      </c>
      <c r="K45" s="363">
        <f t="shared" si="13"/>
        <v>85000</v>
      </c>
      <c r="L45" s="364">
        <f t="shared" si="14"/>
        <v>0</v>
      </c>
      <c r="M45" s="356" t="s">
        <v>635</v>
      </c>
    </row>
    <row r="46" spans="1:13" ht="18" customHeight="1">
      <c r="A46" s="10" t="s">
        <v>66</v>
      </c>
      <c r="B46" s="11" t="s">
        <v>85</v>
      </c>
      <c r="C46" s="12"/>
      <c r="D46" s="5" t="s">
        <v>254</v>
      </c>
      <c r="E46" s="5" t="s">
        <v>75</v>
      </c>
      <c r="F46" s="50">
        <v>2</v>
      </c>
      <c r="G46" s="28">
        <v>0</v>
      </c>
      <c r="H46" s="28">
        <f t="shared" si="11"/>
        <v>0</v>
      </c>
      <c r="I46" s="28">
        <v>650000</v>
      </c>
      <c r="J46" s="28">
        <f t="shared" si="12"/>
        <v>1300000</v>
      </c>
      <c r="K46" s="28">
        <f t="shared" si="13"/>
        <v>650000</v>
      </c>
      <c r="L46" s="29">
        <f t="shared" si="14"/>
        <v>1300000</v>
      </c>
      <c r="M46" s="177"/>
    </row>
    <row r="47" spans="1:13" s="59" customFormat="1" ht="18" customHeight="1">
      <c r="A47" s="52" t="s">
        <v>65</v>
      </c>
      <c r="B47" s="53" t="s">
        <v>213</v>
      </c>
      <c r="C47" s="54"/>
      <c r="D47" s="55" t="s">
        <v>318</v>
      </c>
      <c r="E47" s="55" t="s">
        <v>75</v>
      </c>
      <c r="F47" s="56">
        <v>1</v>
      </c>
      <c r="G47" s="57">
        <v>20000</v>
      </c>
      <c r="H47" s="57">
        <f t="shared" si="11"/>
        <v>20000</v>
      </c>
      <c r="I47" s="57">
        <v>230000</v>
      </c>
      <c r="J47" s="57">
        <f t="shared" si="12"/>
        <v>230000</v>
      </c>
      <c r="K47" s="57">
        <f t="shared" si="13"/>
        <v>250000</v>
      </c>
      <c r="L47" s="58">
        <f t="shared" si="14"/>
        <v>250000</v>
      </c>
      <c r="M47" s="177"/>
    </row>
    <row r="48" spans="1:13" ht="18" customHeight="1">
      <c r="A48" s="10" t="s">
        <v>65</v>
      </c>
      <c r="B48" s="11" t="s">
        <v>86</v>
      </c>
      <c r="C48" s="12"/>
      <c r="D48" s="5"/>
      <c r="E48" s="5" t="s">
        <v>11</v>
      </c>
      <c r="F48" s="50">
        <f>F13</f>
        <v>174</v>
      </c>
      <c r="G48" s="28">
        <v>8000</v>
      </c>
      <c r="H48" s="28">
        <f t="shared" si="11"/>
        <v>1392000</v>
      </c>
      <c r="I48" s="28">
        <v>18000</v>
      </c>
      <c r="J48" s="28">
        <f t="shared" si="12"/>
        <v>3132000</v>
      </c>
      <c r="K48" s="28">
        <f t="shared" si="13"/>
        <v>26000</v>
      </c>
      <c r="L48" s="29">
        <f t="shared" si="14"/>
        <v>4524000</v>
      </c>
      <c r="M48" s="177"/>
    </row>
    <row r="49" spans="1:13" ht="18" customHeight="1">
      <c r="A49" s="10" t="s">
        <v>65</v>
      </c>
      <c r="B49" s="11" t="s">
        <v>219</v>
      </c>
      <c r="C49" s="12"/>
      <c r="D49" s="375" t="s">
        <v>223</v>
      </c>
      <c r="E49" s="5" t="s">
        <v>11</v>
      </c>
      <c r="F49" s="50">
        <v>76</v>
      </c>
      <c r="G49" s="28">
        <v>8000</v>
      </c>
      <c r="H49" s="28">
        <f t="shared" ref="H49" si="15">F49*G49</f>
        <v>608000</v>
      </c>
      <c r="I49" s="28">
        <v>7000</v>
      </c>
      <c r="J49" s="28">
        <f t="shared" ref="J49" si="16">F49*I49</f>
        <v>532000</v>
      </c>
      <c r="K49" s="28">
        <f t="shared" ref="K49" si="17">G49+I49</f>
        <v>15000</v>
      </c>
      <c r="L49" s="29">
        <f t="shared" ref="L49" si="18">F49*K49</f>
        <v>1140000</v>
      </c>
      <c r="M49" s="177"/>
    </row>
    <row r="50" spans="1:13" s="265" customFormat="1" ht="18" hidden="1" customHeight="1">
      <c r="A50" s="167" t="s">
        <v>65</v>
      </c>
      <c r="B50" s="168" t="s">
        <v>219</v>
      </c>
      <c r="C50" s="169"/>
      <c r="D50" s="330" t="s">
        <v>223</v>
      </c>
      <c r="E50" s="261" t="s">
        <v>11</v>
      </c>
      <c r="F50" s="266">
        <v>0</v>
      </c>
      <c r="G50" s="262">
        <v>8000</v>
      </c>
      <c r="H50" s="262">
        <f t="shared" ref="H50" si="19">F50*G50</f>
        <v>0</v>
      </c>
      <c r="I50" s="262">
        <v>7000</v>
      </c>
      <c r="J50" s="262">
        <f t="shared" ref="J50" si="20">F50*I50</f>
        <v>0</v>
      </c>
      <c r="K50" s="262">
        <f t="shared" ref="K50" si="21">G50+I50</f>
        <v>15000</v>
      </c>
      <c r="L50" s="263">
        <f t="shared" ref="L50" si="22">F50*K50</f>
        <v>0</v>
      </c>
      <c r="M50" s="177"/>
    </row>
    <row r="51" spans="1:13" ht="18" customHeight="1">
      <c r="A51" s="10" t="s">
        <v>65</v>
      </c>
      <c r="B51" s="11" t="s">
        <v>174</v>
      </c>
      <c r="C51" s="12"/>
      <c r="D51" s="5"/>
      <c r="E51" s="5" t="s">
        <v>173</v>
      </c>
      <c r="F51" s="50">
        <v>1</v>
      </c>
      <c r="G51" s="28"/>
      <c r="H51" s="28">
        <f t="shared" si="11"/>
        <v>0</v>
      </c>
      <c r="I51" s="28">
        <v>200000</v>
      </c>
      <c r="J51" s="28">
        <f t="shared" si="12"/>
        <v>200000</v>
      </c>
      <c r="K51" s="28">
        <f t="shared" si="13"/>
        <v>200000</v>
      </c>
      <c r="L51" s="29">
        <f t="shared" si="14"/>
        <v>200000</v>
      </c>
      <c r="M51" s="177"/>
    </row>
    <row r="52" spans="1:13" s="341" customFormat="1" ht="18" hidden="1" customHeight="1">
      <c r="A52" s="167" t="s">
        <v>243</v>
      </c>
      <c r="B52" s="335" t="s">
        <v>244</v>
      </c>
      <c r="C52" s="336"/>
      <c r="D52" s="337"/>
      <c r="E52" s="337" t="s">
        <v>245</v>
      </c>
      <c r="F52" s="338">
        <v>0</v>
      </c>
      <c r="G52" s="339"/>
      <c r="H52" s="339"/>
      <c r="I52" s="339"/>
      <c r="J52" s="339"/>
      <c r="K52" s="339"/>
      <c r="L52" s="340"/>
      <c r="M52" s="177"/>
    </row>
    <row r="53" spans="1:13" s="320" customFormat="1" ht="18" hidden="1" customHeight="1">
      <c r="A53" s="10" t="s">
        <v>91</v>
      </c>
      <c r="B53" s="313" t="s">
        <v>87</v>
      </c>
      <c r="C53" s="314"/>
      <c r="D53" s="315" t="s">
        <v>499</v>
      </c>
      <c r="E53" s="315" t="s">
        <v>186</v>
      </c>
      <c r="F53" s="316">
        <v>0</v>
      </c>
      <c r="G53" s="317">
        <v>500000</v>
      </c>
      <c r="H53" s="317">
        <f t="shared" ref="H53" si="23">F53*G53</f>
        <v>0</v>
      </c>
      <c r="I53" s="317">
        <v>700000</v>
      </c>
      <c r="J53" s="317">
        <f t="shared" ref="J53" si="24">F53*I53</f>
        <v>0</v>
      </c>
      <c r="K53" s="317">
        <f t="shared" ref="K53" si="25">G53+I53</f>
        <v>1200000</v>
      </c>
      <c r="L53" s="318">
        <f t="shared" ref="L53" si="26">F53*K53</f>
        <v>0</v>
      </c>
      <c r="M53" s="177"/>
    </row>
    <row r="54" spans="1:13" s="320" customFormat="1" ht="18" hidden="1" customHeight="1">
      <c r="A54" s="10" t="s">
        <v>91</v>
      </c>
      <c r="B54" s="313" t="s">
        <v>87</v>
      </c>
      <c r="C54" s="314"/>
      <c r="D54" s="315" t="s">
        <v>500</v>
      </c>
      <c r="E54" s="315" t="s">
        <v>186</v>
      </c>
      <c r="F54" s="316">
        <v>0</v>
      </c>
      <c r="G54" s="317">
        <v>300000</v>
      </c>
      <c r="H54" s="317">
        <f t="shared" si="11"/>
        <v>0</v>
      </c>
      <c r="I54" s="317">
        <v>500000</v>
      </c>
      <c r="J54" s="317">
        <f t="shared" si="12"/>
        <v>0</v>
      </c>
      <c r="K54" s="317">
        <f t="shared" si="13"/>
        <v>800000</v>
      </c>
      <c r="L54" s="318">
        <f t="shared" si="14"/>
        <v>0</v>
      </c>
      <c r="M54" s="177"/>
    </row>
    <row r="55" spans="1:13" ht="18" hidden="1" customHeight="1">
      <c r="A55" s="10" t="s">
        <v>91</v>
      </c>
      <c r="B55" s="11" t="s">
        <v>212</v>
      </c>
      <c r="C55" s="12" t="s">
        <v>501</v>
      </c>
      <c r="D55" s="5" t="s">
        <v>318</v>
      </c>
      <c r="E55" s="5" t="s">
        <v>75</v>
      </c>
      <c r="F55" s="50">
        <v>0</v>
      </c>
      <c r="G55" s="28">
        <v>50000</v>
      </c>
      <c r="H55" s="28">
        <f t="shared" ref="H55" si="27">F55*G55</f>
        <v>0</v>
      </c>
      <c r="I55" s="28">
        <v>250000</v>
      </c>
      <c r="J55" s="28">
        <f t="shared" si="12"/>
        <v>0</v>
      </c>
      <c r="K55" s="28">
        <f t="shared" si="13"/>
        <v>300000</v>
      </c>
      <c r="L55" s="29">
        <f t="shared" si="14"/>
        <v>0</v>
      </c>
      <c r="M55" s="177"/>
    </row>
    <row r="56" spans="1:13" ht="18" customHeight="1">
      <c r="A56" s="10" t="s">
        <v>91</v>
      </c>
      <c r="B56" s="11" t="s">
        <v>212</v>
      </c>
      <c r="C56" s="12" t="s">
        <v>501</v>
      </c>
      <c r="D56" s="5" t="s">
        <v>318</v>
      </c>
      <c r="E56" s="5" t="s">
        <v>75</v>
      </c>
      <c r="F56" s="50">
        <v>1</v>
      </c>
      <c r="G56" s="28">
        <v>50000</v>
      </c>
      <c r="H56" s="28">
        <f t="shared" si="11"/>
        <v>50000</v>
      </c>
      <c r="I56" s="28">
        <v>250000</v>
      </c>
      <c r="J56" s="28">
        <f t="shared" ref="J56" si="28">F56*I56</f>
        <v>250000</v>
      </c>
      <c r="K56" s="28">
        <f t="shared" ref="K56" si="29">G56+I56</f>
        <v>300000</v>
      </c>
      <c r="L56" s="29">
        <f t="shared" ref="L56" si="30">F56*K56</f>
        <v>300000</v>
      </c>
      <c r="M56" s="177"/>
    </row>
    <row r="57" spans="1:13" ht="18" customHeight="1">
      <c r="A57" s="10" t="s">
        <v>91</v>
      </c>
      <c r="B57" s="11" t="s">
        <v>89</v>
      </c>
      <c r="C57" s="12" t="s">
        <v>205</v>
      </c>
      <c r="D57" s="5" t="s">
        <v>255</v>
      </c>
      <c r="E57" s="5" t="s">
        <v>75</v>
      </c>
      <c r="F57" s="50">
        <v>2</v>
      </c>
      <c r="G57" s="28">
        <v>100000</v>
      </c>
      <c r="H57" s="28">
        <f t="shared" ref="H57:H67" si="31">F57*G57</f>
        <v>200000</v>
      </c>
      <c r="I57" s="28">
        <v>250000</v>
      </c>
      <c r="J57" s="28">
        <f t="shared" si="12"/>
        <v>500000</v>
      </c>
      <c r="K57" s="28">
        <f t="shared" si="13"/>
        <v>350000</v>
      </c>
      <c r="L57" s="29">
        <f t="shared" si="14"/>
        <v>700000</v>
      </c>
      <c r="M57" s="177"/>
    </row>
    <row r="58" spans="1:13" ht="18" customHeight="1">
      <c r="A58" s="10" t="s">
        <v>91</v>
      </c>
      <c r="B58" s="11" t="s">
        <v>89</v>
      </c>
      <c r="C58" s="12" t="s">
        <v>205</v>
      </c>
      <c r="D58" s="5" t="s">
        <v>566</v>
      </c>
      <c r="E58" s="5" t="s">
        <v>75</v>
      </c>
      <c r="F58" s="50">
        <v>1</v>
      </c>
      <c r="G58" s="28">
        <v>100000</v>
      </c>
      <c r="H58" s="28">
        <f t="shared" ref="H58:H59" si="32">F58*G58</f>
        <v>100000</v>
      </c>
      <c r="I58" s="28">
        <v>250000</v>
      </c>
      <c r="J58" s="28">
        <f t="shared" ref="J58:J59" si="33">F58*I58</f>
        <v>250000</v>
      </c>
      <c r="K58" s="28">
        <f t="shared" ref="K58:K59" si="34">G58+I58</f>
        <v>350000</v>
      </c>
      <c r="L58" s="29">
        <f t="shared" ref="L58:L59" si="35">F58*K58</f>
        <v>350000</v>
      </c>
      <c r="M58" s="177"/>
    </row>
    <row r="59" spans="1:13" s="320" customFormat="1" ht="18" customHeight="1">
      <c r="A59" s="10" t="s">
        <v>232</v>
      </c>
      <c r="B59" s="313" t="s">
        <v>382</v>
      </c>
      <c r="C59" s="314"/>
      <c r="D59" s="315" t="s">
        <v>376</v>
      </c>
      <c r="E59" s="315" t="s">
        <v>383</v>
      </c>
      <c r="F59" s="316">
        <v>1</v>
      </c>
      <c r="G59" s="317">
        <v>1700000</v>
      </c>
      <c r="H59" s="317">
        <f t="shared" si="32"/>
        <v>1700000</v>
      </c>
      <c r="I59" s="317">
        <v>0</v>
      </c>
      <c r="J59" s="317">
        <f t="shared" si="33"/>
        <v>0</v>
      </c>
      <c r="K59" s="317">
        <f t="shared" si="34"/>
        <v>1700000</v>
      </c>
      <c r="L59" s="318">
        <f t="shared" si="35"/>
        <v>1700000</v>
      </c>
      <c r="M59" s="319"/>
    </row>
    <row r="60" spans="1:13" s="425" customFormat="1" ht="18" customHeight="1">
      <c r="A60" s="393" t="s">
        <v>247</v>
      </c>
      <c r="B60" s="394" t="s">
        <v>187</v>
      </c>
      <c r="C60" s="395" t="s">
        <v>467</v>
      </c>
      <c r="D60" s="422" t="s">
        <v>377</v>
      </c>
      <c r="E60" s="422" t="s">
        <v>188</v>
      </c>
      <c r="F60" s="423">
        <v>0</v>
      </c>
      <c r="G60" s="396">
        <v>110000</v>
      </c>
      <c r="H60" s="396">
        <f t="shared" si="31"/>
        <v>0</v>
      </c>
      <c r="I60" s="396">
        <v>50000</v>
      </c>
      <c r="J60" s="396">
        <f t="shared" si="12"/>
        <v>0</v>
      </c>
      <c r="K60" s="396">
        <f t="shared" si="13"/>
        <v>160000</v>
      </c>
      <c r="L60" s="424">
        <f t="shared" si="14"/>
        <v>0</v>
      </c>
      <c r="M60" s="508" t="s">
        <v>587</v>
      </c>
    </row>
    <row r="61" spans="1:13" s="425" customFormat="1" ht="18" customHeight="1">
      <c r="A61" s="393" t="s">
        <v>247</v>
      </c>
      <c r="B61" s="394" t="s">
        <v>187</v>
      </c>
      <c r="C61" s="395" t="s">
        <v>381</v>
      </c>
      <c r="D61" s="422" t="s">
        <v>376</v>
      </c>
      <c r="E61" s="422" t="s">
        <v>379</v>
      </c>
      <c r="F61" s="423">
        <v>0</v>
      </c>
      <c r="G61" s="396">
        <v>35000</v>
      </c>
      <c r="H61" s="396">
        <f>F61*G61</f>
        <v>0</v>
      </c>
      <c r="I61" s="396">
        <v>11000</v>
      </c>
      <c r="J61" s="396">
        <f t="shared" ref="J61:J62" si="36">F61*I61</f>
        <v>0</v>
      </c>
      <c r="K61" s="396">
        <f t="shared" ref="K61:K62" si="37">G61+I61</f>
        <v>46000</v>
      </c>
      <c r="L61" s="424">
        <f t="shared" ref="L61:L62" si="38">F61*K61</f>
        <v>0</v>
      </c>
      <c r="M61" s="509"/>
    </row>
    <row r="62" spans="1:13" s="425" customFormat="1" ht="18" customHeight="1">
      <c r="A62" s="393" t="s">
        <v>247</v>
      </c>
      <c r="B62" s="394" t="s">
        <v>374</v>
      </c>
      <c r="C62" s="395" t="s">
        <v>375</v>
      </c>
      <c r="D62" s="422" t="s">
        <v>376</v>
      </c>
      <c r="E62" s="422" t="s">
        <v>379</v>
      </c>
      <c r="F62" s="423">
        <v>0</v>
      </c>
      <c r="G62" s="396">
        <v>120000</v>
      </c>
      <c r="H62" s="396">
        <f>F62*G62</f>
        <v>0</v>
      </c>
      <c r="I62" s="396">
        <v>30000</v>
      </c>
      <c r="J62" s="396">
        <f t="shared" si="36"/>
        <v>0</v>
      </c>
      <c r="K62" s="396">
        <f t="shared" si="37"/>
        <v>150000</v>
      </c>
      <c r="L62" s="424">
        <f t="shared" si="38"/>
        <v>0</v>
      </c>
      <c r="M62" s="509"/>
    </row>
    <row r="63" spans="1:13" s="425" customFormat="1" ht="18" customHeight="1">
      <c r="A63" s="393" t="s">
        <v>247</v>
      </c>
      <c r="B63" s="394" t="s">
        <v>187</v>
      </c>
      <c r="C63" s="395" t="s">
        <v>384</v>
      </c>
      <c r="D63" s="422" t="s">
        <v>223</v>
      </c>
      <c r="E63" s="422" t="s">
        <v>38</v>
      </c>
      <c r="F63" s="423">
        <v>0</v>
      </c>
      <c r="G63" s="396">
        <v>350000</v>
      </c>
      <c r="H63" s="396">
        <f>F63*G63</f>
        <v>0</v>
      </c>
      <c r="I63" s="396">
        <v>50000</v>
      </c>
      <c r="J63" s="396">
        <f>F63*I63</f>
        <v>0</v>
      </c>
      <c r="K63" s="396">
        <f>G63+I63</f>
        <v>400000</v>
      </c>
      <c r="L63" s="424">
        <f>F63*K63</f>
        <v>0</v>
      </c>
      <c r="M63" s="509"/>
    </row>
    <row r="64" spans="1:13" s="425" customFormat="1" ht="18" customHeight="1">
      <c r="A64" s="393" t="s">
        <v>247</v>
      </c>
      <c r="B64" s="394" t="s">
        <v>187</v>
      </c>
      <c r="C64" s="395" t="s">
        <v>378</v>
      </c>
      <c r="D64" s="422" t="s">
        <v>380</v>
      </c>
      <c r="E64" s="422" t="s">
        <v>188</v>
      </c>
      <c r="F64" s="423">
        <v>0</v>
      </c>
      <c r="G64" s="396">
        <v>70000</v>
      </c>
      <c r="H64" s="396">
        <f t="shared" ref="H64" si="39">F64*G64</f>
        <v>0</v>
      </c>
      <c r="I64" s="396">
        <v>20000</v>
      </c>
      <c r="J64" s="396">
        <f t="shared" ref="J64" si="40">F64*I64</f>
        <v>0</v>
      </c>
      <c r="K64" s="396">
        <f t="shared" ref="K64" si="41">G64+I64</f>
        <v>90000</v>
      </c>
      <c r="L64" s="424">
        <f t="shared" ref="L64" si="42">F64*K64</f>
        <v>0</v>
      </c>
      <c r="M64" s="510"/>
    </row>
    <row r="65" spans="1:15" ht="18" hidden="1" customHeight="1">
      <c r="A65" s="10" t="s">
        <v>373</v>
      </c>
      <c r="B65" s="11" t="s">
        <v>374</v>
      </c>
      <c r="C65" s="12"/>
      <c r="D65" s="5"/>
      <c r="E65" s="5"/>
      <c r="F65" s="50"/>
      <c r="G65" s="28"/>
      <c r="H65" s="28"/>
      <c r="I65" s="28"/>
      <c r="J65" s="28"/>
      <c r="K65" s="28"/>
      <c r="L65" s="29"/>
      <c r="M65" s="264"/>
    </row>
    <row r="66" spans="1:15" ht="18" hidden="1" customHeight="1">
      <c r="A66" s="10"/>
      <c r="B66" s="11"/>
      <c r="C66" s="12"/>
      <c r="D66" s="5"/>
      <c r="E66" s="5"/>
      <c r="F66" s="50"/>
      <c r="G66" s="28"/>
      <c r="H66" s="28"/>
      <c r="I66" s="28"/>
      <c r="J66" s="28"/>
      <c r="K66" s="28"/>
      <c r="L66" s="29"/>
      <c r="M66" s="264"/>
    </row>
    <row r="67" spans="1:15" ht="18" customHeight="1">
      <c r="A67" s="10" t="s">
        <v>92</v>
      </c>
      <c r="B67" s="11" t="s">
        <v>90</v>
      </c>
      <c r="C67" s="12" t="s">
        <v>210</v>
      </c>
      <c r="D67" s="5" t="s">
        <v>197</v>
      </c>
      <c r="E67" s="5" t="s">
        <v>38</v>
      </c>
      <c r="F67" s="50">
        <v>2</v>
      </c>
      <c r="G67" s="28">
        <v>100000</v>
      </c>
      <c r="H67" s="28">
        <f t="shared" si="31"/>
        <v>200000</v>
      </c>
      <c r="I67" s="28">
        <v>250000</v>
      </c>
      <c r="J67" s="28">
        <f t="shared" ref="J67" si="43">F67*I67</f>
        <v>500000</v>
      </c>
      <c r="K67" s="28">
        <f t="shared" ref="K67" si="44">G67+I67</f>
        <v>350000</v>
      </c>
      <c r="L67" s="29">
        <f t="shared" ref="L67" si="45">F67*K67</f>
        <v>700000</v>
      </c>
      <c r="M67" s="177"/>
    </row>
    <row r="68" spans="1:15" ht="18" customHeight="1">
      <c r="A68" s="10" t="s">
        <v>92</v>
      </c>
      <c r="B68" s="11" t="s">
        <v>90</v>
      </c>
      <c r="C68" s="12" t="s">
        <v>498</v>
      </c>
      <c r="D68" s="5" t="s">
        <v>197</v>
      </c>
      <c r="E68" s="5" t="s">
        <v>164</v>
      </c>
      <c r="F68" s="50">
        <v>2</v>
      </c>
      <c r="G68" s="28">
        <v>240000</v>
      </c>
      <c r="H68" s="28">
        <f t="shared" si="11"/>
        <v>480000</v>
      </c>
      <c r="I68" s="28">
        <v>240000</v>
      </c>
      <c r="J68" s="28">
        <f t="shared" si="12"/>
        <v>480000</v>
      </c>
      <c r="K68" s="28">
        <f t="shared" si="13"/>
        <v>480000</v>
      </c>
      <c r="L68" s="29">
        <f t="shared" si="14"/>
        <v>960000</v>
      </c>
      <c r="M68" s="177"/>
    </row>
    <row r="69" spans="1:15" s="320" customFormat="1" ht="18" customHeight="1">
      <c r="A69" s="376" t="s">
        <v>224</v>
      </c>
      <c r="B69" s="313" t="s">
        <v>225</v>
      </c>
      <c r="C69" s="314"/>
      <c r="D69" s="315"/>
      <c r="E69" s="315" t="s">
        <v>38</v>
      </c>
      <c r="F69" s="316">
        <v>1</v>
      </c>
      <c r="G69" s="317">
        <v>350000</v>
      </c>
      <c r="H69" s="317">
        <f t="shared" ref="H69" si="46">F69*G69</f>
        <v>350000</v>
      </c>
      <c r="I69" s="317">
        <v>0</v>
      </c>
      <c r="J69" s="317">
        <f t="shared" ref="J69" si="47">F69*I69</f>
        <v>0</v>
      </c>
      <c r="K69" s="317">
        <f t="shared" ref="K69" si="48">G69+I69</f>
        <v>350000</v>
      </c>
      <c r="L69" s="318">
        <f t="shared" ref="L69" si="49">F69*K69</f>
        <v>350000</v>
      </c>
      <c r="M69" s="319"/>
    </row>
    <row r="70" spans="1:15" s="20" customFormat="1" ht="18" customHeight="1">
      <c r="A70" s="13"/>
      <c r="B70" s="13" t="s">
        <v>13</v>
      </c>
      <c r="C70" s="15"/>
      <c r="D70" s="16"/>
      <c r="E70" s="16"/>
      <c r="F70" s="51"/>
      <c r="G70" s="48" t="s">
        <v>189</v>
      </c>
      <c r="H70" s="49">
        <f>SUM(H44:H69)</f>
        <v>5227272.7272727275</v>
      </c>
      <c r="I70" s="48"/>
      <c r="J70" s="49">
        <f>SUM(J44:J69)</f>
        <v>8434606.0606060605</v>
      </c>
      <c r="K70" s="48"/>
      <c r="L70" s="49">
        <f>SUM(L44:L69)</f>
        <v>13661878.787878789</v>
      </c>
      <c r="M70" s="177"/>
    </row>
    <row r="71" spans="1:15" ht="18" customHeight="1">
      <c r="A71" s="13"/>
      <c r="B71" s="14"/>
      <c r="C71" s="12"/>
      <c r="D71" s="5"/>
      <c r="E71" s="5"/>
      <c r="F71" s="50"/>
      <c r="G71" s="28"/>
      <c r="H71" s="28"/>
      <c r="I71" s="28"/>
      <c r="J71" s="28"/>
      <c r="K71" s="28"/>
      <c r="L71" s="29"/>
      <c r="M71" s="177"/>
    </row>
    <row r="72" spans="1:15" s="20" customFormat="1" ht="18" customHeight="1">
      <c r="A72" s="44" t="s">
        <v>29</v>
      </c>
      <c r="B72" s="45" t="s">
        <v>94</v>
      </c>
      <c r="C72" s="46"/>
      <c r="D72" s="16"/>
      <c r="E72" s="16"/>
      <c r="F72" s="51"/>
      <c r="G72" s="48"/>
      <c r="H72" s="48"/>
      <c r="I72" s="48"/>
      <c r="J72" s="48"/>
      <c r="K72" s="48"/>
      <c r="L72" s="49"/>
      <c r="M72" s="177"/>
      <c r="O72" s="455"/>
    </row>
    <row r="73" spans="1:15" s="59" customFormat="1" ht="18" customHeight="1">
      <c r="A73" s="52">
        <v>-1</v>
      </c>
      <c r="B73" s="53" t="s">
        <v>95</v>
      </c>
      <c r="C73" s="54"/>
      <c r="D73" s="55"/>
      <c r="E73" s="55"/>
      <c r="F73" s="56"/>
      <c r="G73" s="57"/>
      <c r="H73" s="57"/>
      <c r="I73" s="57"/>
      <c r="J73" s="57"/>
      <c r="K73" s="57"/>
      <c r="L73" s="58"/>
      <c r="M73" s="177"/>
    </row>
    <row r="74" spans="1:15" s="59" customFormat="1" ht="18" customHeight="1">
      <c r="A74" s="60" t="s">
        <v>160</v>
      </c>
      <c r="B74" s="53" t="s">
        <v>207</v>
      </c>
      <c r="C74" s="62" t="s">
        <v>259</v>
      </c>
      <c r="D74" s="55" t="s">
        <v>261</v>
      </c>
      <c r="E74" s="55" t="s">
        <v>158</v>
      </c>
      <c r="F74" s="61">
        <v>1</v>
      </c>
      <c r="G74" s="57">
        <v>50000</v>
      </c>
      <c r="H74" s="57">
        <f t="shared" ref="H74:H86" si="50">F74*G74</f>
        <v>50000</v>
      </c>
      <c r="I74" s="57">
        <v>150000</v>
      </c>
      <c r="J74" s="57">
        <f t="shared" ref="J74" si="51">F74*I74</f>
        <v>150000</v>
      </c>
      <c r="K74" s="57">
        <f t="shared" ref="K74:K84" si="52">G74+I74</f>
        <v>200000</v>
      </c>
      <c r="L74" s="58">
        <f t="shared" ref="L74:L84" si="53">F74*K74</f>
        <v>200000</v>
      </c>
      <c r="M74" s="273"/>
    </row>
    <row r="75" spans="1:15" s="59" customFormat="1" ht="18" hidden="1" customHeight="1">
      <c r="A75" s="60" t="s">
        <v>229</v>
      </c>
      <c r="B75" s="53" t="s">
        <v>230</v>
      </c>
      <c r="C75" s="62" t="s">
        <v>526</v>
      </c>
      <c r="D75" s="55" t="s">
        <v>260</v>
      </c>
      <c r="E75" s="55" t="s">
        <v>41</v>
      </c>
      <c r="F75" s="61">
        <v>0</v>
      </c>
      <c r="G75" s="57">
        <v>7800</v>
      </c>
      <c r="H75" s="57">
        <f t="shared" si="50"/>
        <v>0</v>
      </c>
      <c r="I75" s="57">
        <v>12200</v>
      </c>
      <c r="J75" s="57">
        <f t="shared" ref="J75" si="54">F75*I75</f>
        <v>0</v>
      </c>
      <c r="K75" s="57">
        <f t="shared" ref="K75" si="55">G75+I75</f>
        <v>20000</v>
      </c>
      <c r="L75" s="58">
        <f t="shared" ref="L75" si="56">F75*K75</f>
        <v>0</v>
      </c>
      <c r="M75" s="273"/>
    </row>
    <row r="76" spans="1:15" s="59" customFormat="1" ht="18" customHeight="1">
      <c r="A76" s="60" t="s">
        <v>44</v>
      </c>
      <c r="B76" s="53" t="s">
        <v>208</v>
      </c>
      <c r="C76" s="62" t="s">
        <v>259</v>
      </c>
      <c r="D76" s="55" t="s">
        <v>137</v>
      </c>
      <c r="E76" s="55" t="s">
        <v>39</v>
      </c>
      <c r="F76" s="61">
        <v>68</v>
      </c>
      <c r="G76" s="57">
        <v>3300</v>
      </c>
      <c r="H76" s="57">
        <f t="shared" si="50"/>
        <v>224400</v>
      </c>
      <c r="I76" s="57">
        <v>6600</v>
      </c>
      <c r="J76" s="57">
        <f t="shared" ref="J76" si="57">F76*I76</f>
        <v>448800</v>
      </c>
      <c r="K76" s="57">
        <f t="shared" si="52"/>
        <v>9900</v>
      </c>
      <c r="L76" s="58">
        <f t="shared" si="53"/>
        <v>673200</v>
      </c>
      <c r="M76" s="273"/>
    </row>
    <row r="77" spans="1:15" s="437" customFormat="1" ht="18" customHeight="1">
      <c r="A77" s="366" t="s">
        <v>44</v>
      </c>
      <c r="B77" s="430" t="s">
        <v>622</v>
      </c>
      <c r="C77" s="431" t="s">
        <v>259</v>
      </c>
      <c r="D77" s="432" t="s">
        <v>137</v>
      </c>
      <c r="E77" s="432" t="s">
        <v>39</v>
      </c>
      <c r="F77" s="433"/>
      <c r="G77" s="434">
        <v>3300</v>
      </c>
      <c r="H77" s="434">
        <f t="shared" ref="H77" si="58">F77*G77</f>
        <v>0</v>
      </c>
      <c r="I77" s="434">
        <v>12200</v>
      </c>
      <c r="J77" s="434">
        <f t="shared" ref="J77" si="59">F77*I77</f>
        <v>0</v>
      </c>
      <c r="K77" s="434">
        <f t="shared" ref="K77" si="60">G77+I77</f>
        <v>15500</v>
      </c>
      <c r="L77" s="435">
        <f t="shared" ref="L77" si="61">F77*K77</f>
        <v>0</v>
      </c>
      <c r="M77" s="436" t="s">
        <v>627</v>
      </c>
    </row>
    <row r="78" spans="1:15" s="59" customFormat="1" ht="18" customHeight="1">
      <c r="A78" s="60" t="s">
        <v>160</v>
      </c>
      <c r="B78" s="53" t="s">
        <v>155</v>
      </c>
      <c r="C78" s="62" t="s">
        <v>567</v>
      </c>
      <c r="D78" s="55" t="s">
        <v>137</v>
      </c>
      <c r="E78" s="55" t="s">
        <v>41</v>
      </c>
      <c r="F78" s="61">
        <v>42</v>
      </c>
      <c r="G78" s="57">
        <v>14000</v>
      </c>
      <c r="H78" s="57">
        <f t="shared" si="50"/>
        <v>588000</v>
      </c>
      <c r="I78" s="57">
        <v>12200</v>
      </c>
      <c r="J78" s="57">
        <f t="shared" ref="J78" si="62">F78*I78</f>
        <v>512400</v>
      </c>
      <c r="K78" s="57">
        <f t="shared" si="52"/>
        <v>26200</v>
      </c>
      <c r="L78" s="58">
        <f t="shared" si="53"/>
        <v>1100400</v>
      </c>
      <c r="M78" s="273"/>
    </row>
    <row r="79" spans="1:15" s="59" customFormat="1" ht="18" customHeight="1">
      <c r="A79" s="60" t="s">
        <v>160</v>
      </c>
      <c r="B79" s="53" t="s">
        <v>614</v>
      </c>
      <c r="C79" s="62" t="s">
        <v>567</v>
      </c>
      <c r="D79" s="55" t="s">
        <v>137</v>
      </c>
      <c r="E79" s="55" t="s">
        <v>39</v>
      </c>
      <c r="F79" s="61">
        <f>2.4+2.4+2.7+2.7+2.4+2.4+1.3+1.3+2.4+2.4+2.5+2.5+0.85+0.85+2.4+2.4+0.85+0.85+2.4+2.4</f>
        <v>40.4</v>
      </c>
      <c r="G79" s="57">
        <v>7500</v>
      </c>
      <c r="H79" s="57">
        <f t="shared" si="50"/>
        <v>303000</v>
      </c>
      <c r="I79" s="57">
        <v>6600</v>
      </c>
      <c r="J79" s="57">
        <f>F79*I79</f>
        <v>266640</v>
      </c>
      <c r="K79" s="57">
        <f t="shared" si="52"/>
        <v>14100</v>
      </c>
      <c r="L79" s="58">
        <f t="shared" ref="L79:L80" si="63">F79*K79</f>
        <v>569640</v>
      </c>
      <c r="M79" s="273"/>
      <c r="N79" s="456"/>
    </row>
    <row r="80" spans="1:15" s="59" customFormat="1" ht="18" hidden="1" customHeight="1">
      <c r="A80" s="60" t="s">
        <v>44</v>
      </c>
      <c r="B80" s="53" t="s">
        <v>231</v>
      </c>
      <c r="C80" s="62" t="s">
        <v>538</v>
      </c>
      <c r="D80" s="55" t="s">
        <v>525</v>
      </c>
      <c r="E80" s="55" t="s">
        <v>41</v>
      </c>
      <c r="F80" s="61">
        <v>0</v>
      </c>
      <c r="G80" s="57">
        <v>14000</v>
      </c>
      <c r="H80" s="57">
        <f t="shared" ref="H80:H81" si="64">F80*G80</f>
        <v>0</v>
      </c>
      <c r="I80" s="57">
        <v>12200</v>
      </c>
      <c r="J80" s="57">
        <f t="shared" ref="J80" si="65">F80*I80</f>
        <v>0</v>
      </c>
      <c r="K80" s="57">
        <f t="shared" ref="K80:K81" si="66">G80+I80</f>
        <v>26200</v>
      </c>
      <c r="L80" s="58">
        <f t="shared" si="63"/>
        <v>0</v>
      </c>
      <c r="M80" s="273"/>
    </row>
    <row r="81" spans="1:16" s="437" customFormat="1" ht="18" customHeight="1">
      <c r="A81" s="366" t="s">
        <v>44</v>
      </c>
      <c r="B81" s="430" t="s">
        <v>615</v>
      </c>
      <c r="C81" s="431" t="s">
        <v>623</v>
      </c>
      <c r="D81" s="432" t="s">
        <v>255</v>
      </c>
      <c r="E81" s="432" t="s">
        <v>39</v>
      </c>
      <c r="F81" s="433">
        <v>22</v>
      </c>
      <c r="G81" s="434">
        <v>7000</v>
      </c>
      <c r="H81" s="434">
        <f t="shared" si="64"/>
        <v>154000</v>
      </c>
      <c r="I81" s="434">
        <v>6600</v>
      </c>
      <c r="J81" s="434">
        <f>F81*I81</f>
        <v>145200</v>
      </c>
      <c r="K81" s="434">
        <f t="shared" si="66"/>
        <v>13600</v>
      </c>
      <c r="L81" s="435">
        <f t="shared" ref="L81" si="67">F81*K81</f>
        <v>299200</v>
      </c>
      <c r="M81" s="436" t="s">
        <v>624</v>
      </c>
    </row>
    <row r="82" spans="1:16" s="59" customFormat="1" ht="18" customHeight="1">
      <c r="A82" s="60" t="s">
        <v>44</v>
      </c>
      <c r="B82" s="53" t="s">
        <v>616</v>
      </c>
      <c r="C82" s="62" t="s">
        <v>567</v>
      </c>
      <c r="D82" s="55" t="s">
        <v>304</v>
      </c>
      <c r="E82" s="55" t="s">
        <v>39</v>
      </c>
      <c r="F82" s="61">
        <v>10</v>
      </c>
      <c r="G82" s="57">
        <v>7500</v>
      </c>
      <c r="H82" s="57">
        <f t="shared" ref="H82" si="68">F82*G82</f>
        <v>75000</v>
      </c>
      <c r="I82" s="57">
        <v>6600</v>
      </c>
      <c r="J82" s="57">
        <f>F82*I82</f>
        <v>66000</v>
      </c>
      <c r="K82" s="57">
        <f t="shared" ref="K82" si="69">G82+I82</f>
        <v>14100</v>
      </c>
      <c r="L82" s="58">
        <f t="shared" ref="L82" si="70">F82*K82</f>
        <v>141000</v>
      </c>
      <c r="M82" s="273"/>
    </row>
    <row r="83" spans="1:16" s="59" customFormat="1" ht="18" customHeight="1">
      <c r="A83" s="60" t="s">
        <v>44</v>
      </c>
      <c r="B83" s="53" t="s">
        <v>613</v>
      </c>
      <c r="C83" s="62" t="s">
        <v>567</v>
      </c>
      <c r="D83" s="55" t="s">
        <v>620</v>
      </c>
      <c r="E83" s="55" t="s">
        <v>39</v>
      </c>
      <c r="F83" s="61">
        <f>6*2.4</f>
        <v>14.399999999999999</v>
      </c>
      <c r="G83" s="57">
        <v>7500</v>
      </c>
      <c r="H83" s="57">
        <f t="shared" ref="H83" si="71">F83*G83</f>
        <v>107999.99999999999</v>
      </c>
      <c r="I83" s="57">
        <v>6600</v>
      </c>
      <c r="J83" s="57">
        <f>F83*I83</f>
        <v>95039.999999999985</v>
      </c>
      <c r="K83" s="57">
        <f t="shared" ref="K83" si="72">G83+I83</f>
        <v>14100</v>
      </c>
      <c r="L83" s="58">
        <f t="shared" ref="L83" si="73">F83*K83</f>
        <v>203039.99999999997</v>
      </c>
      <c r="M83" s="273"/>
      <c r="P83" s="456"/>
    </row>
    <row r="84" spans="1:16" s="357" customFormat="1" ht="18" customHeight="1">
      <c r="A84" s="366" t="s">
        <v>160</v>
      </c>
      <c r="B84" s="350" t="s">
        <v>231</v>
      </c>
      <c r="C84" s="438" t="s">
        <v>623</v>
      </c>
      <c r="D84" s="352" t="s">
        <v>234</v>
      </c>
      <c r="E84" s="352" t="s">
        <v>11</v>
      </c>
      <c r="F84" s="439">
        <f>2.4+1.4</f>
        <v>3.8</v>
      </c>
      <c r="G84" s="354">
        <v>18500</v>
      </c>
      <c r="H84" s="354">
        <f t="shared" si="50"/>
        <v>70300</v>
      </c>
      <c r="I84" s="354">
        <v>16500</v>
      </c>
      <c r="J84" s="354">
        <f t="shared" ref="J84" si="74">F84*I84</f>
        <v>62700</v>
      </c>
      <c r="K84" s="354">
        <f t="shared" si="52"/>
        <v>35000</v>
      </c>
      <c r="L84" s="355">
        <f t="shared" si="53"/>
        <v>133000</v>
      </c>
      <c r="M84" s="436" t="s">
        <v>624</v>
      </c>
    </row>
    <row r="85" spans="1:16" s="59" customFormat="1" ht="18" hidden="1" customHeight="1">
      <c r="A85" s="60" t="s">
        <v>280</v>
      </c>
      <c r="B85" s="53" t="s">
        <v>281</v>
      </c>
      <c r="C85" s="62" t="s">
        <v>296</v>
      </c>
      <c r="D85" s="55" t="s">
        <v>276</v>
      </c>
      <c r="E85" s="55" t="s">
        <v>282</v>
      </c>
      <c r="F85" s="288"/>
      <c r="G85" s="57">
        <f>18000*15</f>
        <v>270000</v>
      </c>
      <c r="H85" s="57">
        <f t="shared" si="50"/>
        <v>0</v>
      </c>
      <c r="I85" s="57">
        <v>150000</v>
      </c>
      <c r="J85" s="57">
        <f t="shared" ref="J85" si="75">F85*I85</f>
        <v>0</v>
      </c>
      <c r="K85" s="57">
        <f t="shared" ref="K85" si="76">G85+I85</f>
        <v>420000</v>
      </c>
      <c r="L85" s="58">
        <f t="shared" ref="L85" si="77">F85*K85</f>
        <v>0</v>
      </c>
      <c r="M85" s="273"/>
    </row>
    <row r="86" spans="1:16" s="59" customFormat="1" ht="18" customHeight="1">
      <c r="A86" s="60" t="s">
        <v>256</v>
      </c>
      <c r="B86" s="53" t="s">
        <v>257</v>
      </c>
      <c r="C86" s="62"/>
      <c r="D86" s="55" t="s">
        <v>262</v>
      </c>
      <c r="E86" s="55" t="s">
        <v>258</v>
      </c>
      <c r="F86" s="288">
        <v>1</v>
      </c>
      <c r="G86" s="57">
        <v>100000</v>
      </c>
      <c r="H86" s="57">
        <f t="shared" si="50"/>
        <v>100000</v>
      </c>
      <c r="I86" s="57">
        <v>0</v>
      </c>
      <c r="J86" s="57">
        <v>0</v>
      </c>
      <c r="K86" s="57">
        <f t="shared" ref="K86" si="78">G86+I86</f>
        <v>100000</v>
      </c>
      <c r="L86" s="58">
        <f t="shared" ref="L86" si="79">F86*K86</f>
        <v>100000</v>
      </c>
      <c r="M86" s="273"/>
    </row>
    <row r="87" spans="1:16" s="341" customFormat="1" ht="18" hidden="1" customHeight="1">
      <c r="A87" s="260" t="s">
        <v>160</v>
      </c>
      <c r="B87" s="335" t="s">
        <v>96</v>
      </c>
      <c r="C87" s="62"/>
      <c r="D87" s="337"/>
      <c r="E87" s="337" t="s">
        <v>39</v>
      </c>
      <c r="F87" s="345">
        <v>0</v>
      </c>
      <c r="G87" s="339">
        <v>3300</v>
      </c>
      <c r="H87" s="339">
        <f>F87*G87</f>
        <v>0</v>
      </c>
      <c r="I87" s="339"/>
      <c r="J87" s="339"/>
      <c r="K87" s="339">
        <f>G87+I87</f>
        <v>3300</v>
      </c>
      <c r="L87" s="340">
        <f>F87*K87</f>
        <v>0</v>
      </c>
      <c r="M87" s="273" t="s">
        <v>369</v>
      </c>
    </row>
    <row r="88" spans="1:16" s="241" customFormat="1" ht="18" customHeight="1">
      <c r="A88" s="236"/>
      <c r="B88" s="236" t="s">
        <v>13</v>
      </c>
      <c r="C88" s="237"/>
      <c r="D88" s="238"/>
      <c r="E88" s="238"/>
      <c r="F88" s="239"/>
      <c r="G88" s="240"/>
      <c r="H88" s="240">
        <f>SUM(H74:H87)</f>
        <v>1672700</v>
      </c>
      <c r="I88" s="240"/>
      <c r="J88" s="240">
        <f>SUM(J74:J87)</f>
        <v>1746780</v>
      </c>
      <c r="K88" s="240"/>
      <c r="L88" s="240">
        <f>SUM(L74:L87)</f>
        <v>3419480</v>
      </c>
      <c r="M88" s="176"/>
    </row>
    <row r="89" spans="1:16" ht="18" customHeight="1">
      <c r="A89" s="10"/>
      <c r="B89" s="11"/>
      <c r="C89" s="12"/>
      <c r="D89" s="5"/>
      <c r="E89" s="5"/>
      <c r="F89" s="50"/>
      <c r="G89" s="28"/>
      <c r="H89" s="28"/>
      <c r="I89" s="28"/>
      <c r="J89" s="28"/>
      <c r="K89" s="28"/>
      <c r="L89" s="29"/>
      <c r="M89" s="177"/>
    </row>
    <row r="90" spans="1:16" s="20" customFormat="1" ht="18" customHeight="1">
      <c r="A90" s="44" t="s">
        <v>30</v>
      </c>
      <c r="B90" s="45" t="s">
        <v>99</v>
      </c>
      <c r="C90" s="46"/>
      <c r="D90" s="16"/>
      <c r="E90" s="16"/>
      <c r="F90" s="51"/>
      <c r="G90" s="48"/>
      <c r="H90" s="48"/>
      <c r="I90" s="48"/>
      <c r="J90" s="48"/>
      <c r="K90" s="48"/>
      <c r="L90" s="49"/>
      <c r="M90" s="177"/>
    </row>
    <row r="91" spans="1:16" s="59" customFormat="1" ht="18" customHeight="1">
      <c r="A91" s="52">
        <v>-1</v>
      </c>
      <c r="B91" s="53" t="s">
        <v>509</v>
      </c>
      <c r="C91" s="54"/>
      <c r="D91" s="55"/>
      <c r="E91" s="55"/>
      <c r="F91" s="56"/>
      <c r="G91" s="57"/>
      <c r="H91" s="57"/>
      <c r="I91" s="57"/>
      <c r="J91" s="57"/>
      <c r="K91" s="57"/>
      <c r="L91" s="58"/>
      <c r="M91" s="177"/>
    </row>
    <row r="92" spans="1:16" s="357" customFormat="1" ht="18" customHeight="1">
      <c r="A92" s="366" t="s">
        <v>160</v>
      </c>
      <c r="B92" s="350" t="s">
        <v>626</v>
      </c>
      <c r="C92" s="440" t="s">
        <v>625</v>
      </c>
      <c r="D92" s="352" t="s">
        <v>297</v>
      </c>
      <c r="E92" s="441" t="s">
        <v>38</v>
      </c>
      <c r="F92" s="353">
        <v>3</v>
      </c>
      <c r="G92" s="354">
        <f>2100000-500000</f>
        <v>1600000</v>
      </c>
      <c r="H92" s="354">
        <f>F92*G92</f>
        <v>4800000</v>
      </c>
      <c r="I92" s="354">
        <v>500000</v>
      </c>
      <c r="J92" s="354">
        <f>F92*I92</f>
        <v>1500000</v>
      </c>
      <c r="K92" s="354">
        <f>G92+I92</f>
        <v>2100000</v>
      </c>
      <c r="L92" s="355">
        <f>F92*K92</f>
        <v>6300000</v>
      </c>
      <c r="M92" s="356" t="s">
        <v>630</v>
      </c>
    </row>
    <row r="93" spans="1:16" s="59" customFormat="1" ht="18" customHeight="1">
      <c r="A93" s="60"/>
      <c r="B93" s="53"/>
      <c r="C93" s="308"/>
      <c r="D93" s="55"/>
      <c r="E93" s="309"/>
      <c r="F93" s="61"/>
      <c r="G93" s="57"/>
      <c r="H93" s="57"/>
      <c r="I93" s="57"/>
      <c r="J93" s="57"/>
      <c r="K93" s="57"/>
      <c r="L93" s="58"/>
      <c r="M93" s="177"/>
    </row>
    <row r="94" spans="1:16" s="59" customFormat="1" ht="18" customHeight="1">
      <c r="A94" s="60" t="s">
        <v>44</v>
      </c>
      <c r="B94" s="53" t="s">
        <v>492</v>
      </c>
      <c r="C94" s="62"/>
      <c r="D94" s="55" t="s">
        <v>242</v>
      </c>
      <c r="E94" s="55" t="s">
        <v>38</v>
      </c>
      <c r="F94" s="61">
        <v>2</v>
      </c>
      <c r="G94" s="57">
        <v>140000</v>
      </c>
      <c r="H94" s="57">
        <f t="shared" ref="H94:H100" si="80">F94*G94</f>
        <v>280000</v>
      </c>
      <c r="I94" s="57">
        <v>20000</v>
      </c>
      <c r="J94" s="57">
        <f>F94*I94</f>
        <v>40000</v>
      </c>
      <c r="K94" s="57">
        <f t="shared" ref="K94:K100" si="81">G94+I94</f>
        <v>160000</v>
      </c>
      <c r="L94" s="58">
        <f>F94*K94</f>
        <v>320000</v>
      </c>
      <c r="M94" s="177"/>
    </row>
    <row r="95" spans="1:16" s="59" customFormat="1" ht="18" customHeight="1">
      <c r="A95" s="60" t="s">
        <v>44</v>
      </c>
      <c r="B95" s="53" t="s">
        <v>391</v>
      </c>
      <c r="C95" s="62"/>
      <c r="D95" s="55" t="s">
        <v>242</v>
      </c>
      <c r="E95" s="55" t="s">
        <v>101</v>
      </c>
      <c r="F95" s="61">
        <v>2</v>
      </c>
      <c r="G95" s="57">
        <v>130000</v>
      </c>
      <c r="H95" s="57">
        <f t="shared" si="80"/>
        <v>260000</v>
      </c>
      <c r="I95" s="57">
        <v>50000</v>
      </c>
      <c r="J95" s="57">
        <f>F95*I95</f>
        <v>100000</v>
      </c>
      <c r="K95" s="57">
        <f t="shared" si="81"/>
        <v>180000</v>
      </c>
      <c r="L95" s="58">
        <f>F95*K95</f>
        <v>360000</v>
      </c>
      <c r="M95" s="177"/>
      <c r="N95" s="278"/>
    </row>
    <row r="96" spans="1:16" s="59" customFormat="1" ht="18" customHeight="1">
      <c r="A96" s="60" t="s">
        <v>12</v>
      </c>
      <c r="B96" s="53" t="s">
        <v>395</v>
      </c>
      <c r="C96" s="62" t="s">
        <v>400</v>
      </c>
      <c r="D96" s="55" t="s">
        <v>242</v>
      </c>
      <c r="E96" s="55" t="s">
        <v>38</v>
      </c>
      <c r="F96" s="61">
        <v>1</v>
      </c>
      <c r="G96" s="57">
        <v>120000</v>
      </c>
      <c r="H96" s="57">
        <f t="shared" si="80"/>
        <v>120000</v>
      </c>
      <c r="I96" s="57">
        <v>20000</v>
      </c>
      <c r="J96" s="57">
        <f t="shared" ref="J96:J97" si="82">F96*I96</f>
        <v>20000</v>
      </c>
      <c r="K96" s="57">
        <f t="shared" si="81"/>
        <v>140000</v>
      </c>
      <c r="L96" s="58">
        <f t="shared" ref="L96:L97" si="83">F96*K96</f>
        <v>140000</v>
      </c>
      <c r="M96" s="177"/>
    </row>
    <row r="97" spans="1:14" s="59" customFormat="1" ht="18" customHeight="1">
      <c r="A97" s="60" t="s">
        <v>12</v>
      </c>
      <c r="B97" s="53" t="s">
        <v>390</v>
      </c>
      <c r="C97" s="62" t="s">
        <v>569</v>
      </c>
      <c r="D97" s="55" t="s">
        <v>242</v>
      </c>
      <c r="E97" s="55" t="s">
        <v>38</v>
      </c>
      <c r="F97" s="61">
        <v>1</v>
      </c>
      <c r="G97" s="57">
        <v>120000</v>
      </c>
      <c r="H97" s="57">
        <f t="shared" si="80"/>
        <v>120000</v>
      </c>
      <c r="I97" s="57">
        <v>20000</v>
      </c>
      <c r="J97" s="57">
        <f t="shared" si="82"/>
        <v>20000</v>
      </c>
      <c r="K97" s="57">
        <f t="shared" si="81"/>
        <v>140000</v>
      </c>
      <c r="L97" s="58">
        <f t="shared" si="83"/>
        <v>140000</v>
      </c>
      <c r="M97" s="177"/>
    </row>
    <row r="98" spans="1:14" s="59" customFormat="1" ht="18" customHeight="1">
      <c r="A98" s="60" t="s">
        <v>12</v>
      </c>
      <c r="B98" s="53" t="s">
        <v>568</v>
      </c>
      <c r="C98" s="62" t="s">
        <v>199</v>
      </c>
      <c r="D98" s="55" t="s">
        <v>298</v>
      </c>
      <c r="E98" s="55" t="s">
        <v>233</v>
      </c>
      <c r="F98" s="61">
        <v>1.8</v>
      </c>
      <c r="G98" s="57">
        <v>160000</v>
      </c>
      <c r="H98" s="57">
        <f t="shared" si="80"/>
        <v>288000</v>
      </c>
      <c r="I98" s="57">
        <v>50000</v>
      </c>
      <c r="J98" s="57">
        <f t="shared" ref="J98" si="84">F98*I98</f>
        <v>90000</v>
      </c>
      <c r="K98" s="57">
        <f t="shared" si="81"/>
        <v>210000</v>
      </c>
      <c r="L98" s="58">
        <f t="shared" ref="L98" si="85">F98*K98</f>
        <v>378000</v>
      </c>
      <c r="M98" s="177"/>
    </row>
    <row r="99" spans="1:14" s="59" customFormat="1" ht="18" customHeight="1">
      <c r="A99" s="60" t="s">
        <v>44</v>
      </c>
      <c r="B99" s="53" t="s">
        <v>391</v>
      </c>
      <c r="C99" s="62"/>
      <c r="D99" s="55" t="s">
        <v>266</v>
      </c>
      <c r="E99" s="55" t="s">
        <v>101</v>
      </c>
      <c r="F99" s="61">
        <v>2</v>
      </c>
      <c r="G99" s="57">
        <v>130000</v>
      </c>
      <c r="H99" s="57">
        <f t="shared" si="80"/>
        <v>260000</v>
      </c>
      <c r="I99" s="57">
        <v>50000</v>
      </c>
      <c r="J99" s="57">
        <f>F99*I99</f>
        <v>100000</v>
      </c>
      <c r="K99" s="57">
        <f t="shared" si="81"/>
        <v>180000</v>
      </c>
      <c r="L99" s="58">
        <f>F99*K99</f>
        <v>360000</v>
      </c>
      <c r="M99" s="177"/>
      <c r="N99" s="278"/>
    </row>
    <row r="100" spans="1:14" s="59" customFormat="1" ht="18" customHeight="1">
      <c r="A100" s="60" t="s">
        <v>12</v>
      </c>
      <c r="B100" s="53" t="s">
        <v>570</v>
      </c>
      <c r="C100" s="62" t="s">
        <v>400</v>
      </c>
      <c r="D100" s="55" t="s">
        <v>242</v>
      </c>
      <c r="E100" s="55" t="s">
        <v>38</v>
      </c>
      <c r="F100" s="61">
        <v>1</v>
      </c>
      <c r="G100" s="57">
        <v>120000</v>
      </c>
      <c r="H100" s="57">
        <f t="shared" si="80"/>
        <v>120000</v>
      </c>
      <c r="I100" s="57">
        <v>20000</v>
      </c>
      <c r="J100" s="57">
        <f t="shared" ref="J100:J101" si="86">F100*I100</f>
        <v>20000</v>
      </c>
      <c r="K100" s="57">
        <f t="shared" si="81"/>
        <v>140000</v>
      </c>
      <c r="L100" s="58">
        <f t="shared" ref="L100:L101" si="87">F100*K100</f>
        <v>140000</v>
      </c>
      <c r="M100" s="177"/>
    </row>
    <row r="101" spans="1:14" s="59" customFormat="1" ht="18" customHeight="1">
      <c r="A101" s="60" t="s">
        <v>44</v>
      </c>
      <c r="B101" s="53" t="s">
        <v>571</v>
      </c>
      <c r="C101" s="62"/>
      <c r="D101" s="55" t="s">
        <v>242</v>
      </c>
      <c r="E101" s="55" t="s">
        <v>101</v>
      </c>
      <c r="F101" s="61">
        <v>2.5</v>
      </c>
      <c r="G101" s="57">
        <v>160000</v>
      </c>
      <c r="H101" s="57">
        <f t="shared" ref="H101" si="88">F101*G101</f>
        <v>400000</v>
      </c>
      <c r="I101" s="57">
        <v>50000</v>
      </c>
      <c r="J101" s="57">
        <f t="shared" si="86"/>
        <v>125000</v>
      </c>
      <c r="K101" s="57">
        <f t="shared" ref="K101" si="89">G101+I101</f>
        <v>210000</v>
      </c>
      <c r="L101" s="58">
        <f t="shared" si="87"/>
        <v>525000</v>
      </c>
      <c r="M101" s="176"/>
    </row>
    <row r="102" spans="1:14" s="59" customFormat="1" ht="18" customHeight="1">
      <c r="A102" s="60" t="s">
        <v>44</v>
      </c>
      <c r="B102" s="53" t="s">
        <v>391</v>
      </c>
      <c r="C102" s="62"/>
      <c r="D102" s="55" t="s">
        <v>242</v>
      </c>
      <c r="E102" s="55" t="s">
        <v>101</v>
      </c>
      <c r="F102" s="61">
        <v>4</v>
      </c>
      <c r="G102" s="57">
        <v>130000</v>
      </c>
      <c r="H102" s="57">
        <f>F102*G102</f>
        <v>520000</v>
      </c>
      <c r="I102" s="57">
        <v>50000</v>
      </c>
      <c r="J102" s="57">
        <f>F102*I102</f>
        <v>200000</v>
      </c>
      <c r="K102" s="57">
        <f>G102+I102</f>
        <v>180000</v>
      </c>
      <c r="L102" s="58">
        <f>F102*K102</f>
        <v>720000</v>
      </c>
      <c r="M102" s="177"/>
      <c r="N102" s="278"/>
    </row>
    <row r="103" spans="1:14" s="59" customFormat="1" ht="18" customHeight="1">
      <c r="A103" s="60" t="s">
        <v>12</v>
      </c>
      <c r="B103" s="53" t="s">
        <v>570</v>
      </c>
      <c r="C103" s="62" t="s">
        <v>400</v>
      </c>
      <c r="D103" s="55" t="s">
        <v>242</v>
      </c>
      <c r="E103" s="55" t="s">
        <v>38</v>
      </c>
      <c r="F103" s="61">
        <v>1</v>
      </c>
      <c r="G103" s="57">
        <v>120000</v>
      </c>
      <c r="H103" s="57">
        <f>F103*G103</f>
        <v>120000</v>
      </c>
      <c r="I103" s="57">
        <v>20000</v>
      </c>
      <c r="J103" s="57">
        <f t="shared" ref="J103" si="90">F103*I103</f>
        <v>20000</v>
      </c>
      <c r="K103" s="57">
        <f>G103+I103</f>
        <v>140000</v>
      </c>
      <c r="L103" s="58">
        <f t="shared" ref="L103" si="91">F103*K103</f>
        <v>140000</v>
      </c>
      <c r="M103" s="177"/>
    </row>
    <row r="104" spans="1:14" s="59" customFormat="1" ht="18" customHeight="1">
      <c r="A104" s="60" t="s">
        <v>44</v>
      </c>
      <c r="B104" s="53" t="s">
        <v>572</v>
      </c>
      <c r="C104" s="62" t="s">
        <v>642</v>
      </c>
      <c r="D104" s="55" t="s">
        <v>298</v>
      </c>
      <c r="E104" s="55" t="s">
        <v>39</v>
      </c>
      <c r="F104" s="61">
        <v>1.5</v>
      </c>
      <c r="G104" s="57">
        <v>160000</v>
      </c>
      <c r="H104" s="57">
        <f t="shared" ref="H104" si="92">F104*G104</f>
        <v>240000</v>
      </c>
      <c r="I104" s="57">
        <v>50000</v>
      </c>
      <c r="J104" s="57">
        <f t="shared" ref="J104" si="93">F104*I104</f>
        <v>75000</v>
      </c>
      <c r="K104" s="57">
        <f t="shared" ref="K104" si="94">G104+I104</f>
        <v>210000</v>
      </c>
      <c r="L104" s="58">
        <f t="shared" ref="L104" si="95">F104*K104</f>
        <v>315000</v>
      </c>
      <c r="M104" s="176"/>
    </row>
    <row r="105" spans="1:14" s="59" customFormat="1" ht="18" hidden="1" customHeight="1">
      <c r="A105" s="60" t="s">
        <v>44</v>
      </c>
      <c r="B105" s="53" t="s">
        <v>387</v>
      </c>
      <c r="C105" s="62"/>
      <c r="D105" s="55" t="s">
        <v>242</v>
      </c>
      <c r="E105" s="55" t="s">
        <v>388</v>
      </c>
      <c r="F105" s="61"/>
      <c r="G105" s="57">
        <v>10000</v>
      </c>
      <c r="H105" s="57">
        <f t="shared" ref="H105:H106" si="96">F105*G105</f>
        <v>0</v>
      </c>
      <c r="I105" s="57">
        <v>0</v>
      </c>
      <c r="J105" s="57">
        <f t="shared" ref="J105:J106" si="97">F105*I105</f>
        <v>0</v>
      </c>
      <c r="K105" s="57">
        <f t="shared" ref="K105:K106" si="98">G105+I105</f>
        <v>10000</v>
      </c>
      <c r="L105" s="58">
        <f t="shared" ref="L105:L106" si="99">F105*K105</f>
        <v>0</v>
      </c>
      <c r="M105" s="176"/>
    </row>
    <row r="106" spans="1:14" s="475" customFormat="1" ht="18" customHeight="1">
      <c r="A106" s="366" t="s">
        <v>44</v>
      </c>
      <c r="B106" s="476" t="s">
        <v>572</v>
      </c>
      <c r="C106" s="478" t="s">
        <v>643</v>
      </c>
      <c r="D106" s="470" t="s">
        <v>242</v>
      </c>
      <c r="E106" s="470" t="s">
        <v>39</v>
      </c>
      <c r="F106" s="477">
        <v>1.5</v>
      </c>
      <c r="G106" s="472">
        <v>130000</v>
      </c>
      <c r="H106" s="472">
        <f t="shared" si="96"/>
        <v>195000</v>
      </c>
      <c r="I106" s="472">
        <v>50000</v>
      </c>
      <c r="J106" s="472">
        <f t="shared" si="97"/>
        <v>75000</v>
      </c>
      <c r="K106" s="472">
        <f t="shared" si="98"/>
        <v>180000</v>
      </c>
      <c r="L106" s="473">
        <f t="shared" si="99"/>
        <v>270000</v>
      </c>
      <c r="M106" s="474"/>
    </row>
    <row r="107" spans="1:14" s="59" customFormat="1" ht="18" customHeight="1">
      <c r="A107" s="60" t="s">
        <v>44</v>
      </c>
      <c r="B107" s="53" t="s">
        <v>573</v>
      </c>
      <c r="C107" s="62"/>
      <c r="D107" s="55" t="s">
        <v>242</v>
      </c>
      <c r="E107" s="55" t="s">
        <v>388</v>
      </c>
      <c r="F107" s="61">
        <v>1.5</v>
      </c>
      <c r="G107" s="57">
        <v>160000</v>
      </c>
      <c r="H107" s="57">
        <f t="shared" ref="H107:H109" si="100">F107*G107</f>
        <v>240000</v>
      </c>
      <c r="I107" s="57">
        <v>50000</v>
      </c>
      <c r="J107" s="57">
        <f t="shared" ref="J107:J109" si="101">F107*I107</f>
        <v>75000</v>
      </c>
      <c r="K107" s="57">
        <f t="shared" ref="K107:K109" si="102">G107+I107</f>
        <v>210000</v>
      </c>
      <c r="L107" s="58">
        <f t="shared" ref="L107:L109" si="103">F107*K107</f>
        <v>315000</v>
      </c>
      <c r="M107" s="176"/>
    </row>
    <row r="108" spans="1:14" s="59" customFormat="1" ht="18" customHeight="1">
      <c r="A108" s="60" t="s">
        <v>44</v>
      </c>
      <c r="B108" s="53" t="s">
        <v>574</v>
      </c>
      <c r="C108" s="62"/>
      <c r="D108" s="55" t="s">
        <v>242</v>
      </c>
      <c r="E108" s="55" t="s">
        <v>388</v>
      </c>
      <c r="F108" s="61">
        <v>1</v>
      </c>
      <c r="G108" s="57">
        <v>150000</v>
      </c>
      <c r="H108" s="57">
        <f t="shared" si="100"/>
        <v>150000</v>
      </c>
      <c r="I108" s="57">
        <v>50000</v>
      </c>
      <c r="J108" s="57">
        <f t="shared" si="101"/>
        <v>50000</v>
      </c>
      <c r="K108" s="57">
        <f t="shared" si="102"/>
        <v>200000</v>
      </c>
      <c r="L108" s="58">
        <f t="shared" si="103"/>
        <v>200000</v>
      </c>
      <c r="M108" s="176"/>
    </row>
    <row r="109" spans="1:14" s="59" customFormat="1" ht="18" customHeight="1">
      <c r="A109" s="60" t="s">
        <v>44</v>
      </c>
      <c r="B109" s="53" t="s">
        <v>575</v>
      </c>
      <c r="C109" s="62"/>
      <c r="D109" s="55" t="s">
        <v>242</v>
      </c>
      <c r="E109" s="55" t="s">
        <v>388</v>
      </c>
      <c r="F109" s="61">
        <v>1</v>
      </c>
      <c r="G109" s="57">
        <v>20000</v>
      </c>
      <c r="H109" s="57">
        <f t="shared" si="100"/>
        <v>20000</v>
      </c>
      <c r="I109" s="57">
        <v>0</v>
      </c>
      <c r="J109" s="57">
        <f t="shared" si="101"/>
        <v>0</v>
      </c>
      <c r="K109" s="57">
        <f t="shared" si="102"/>
        <v>20000</v>
      </c>
      <c r="L109" s="58">
        <f t="shared" si="103"/>
        <v>20000</v>
      </c>
      <c r="M109" s="176"/>
    </row>
    <row r="110" spans="1:14" s="59" customFormat="1" ht="18" customHeight="1">
      <c r="A110" s="60" t="s">
        <v>160</v>
      </c>
      <c r="B110" s="53" t="s">
        <v>172</v>
      </c>
      <c r="C110" s="62"/>
      <c r="D110" s="55" t="s">
        <v>297</v>
      </c>
      <c r="E110" s="55" t="s">
        <v>39</v>
      </c>
      <c r="F110" s="61">
        <f>3.2*2</f>
        <v>6.4</v>
      </c>
      <c r="G110" s="57">
        <v>160000</v>
      </c>
      <c r="H110" s="57">
        <f>F110*G110</f>
        <v>1024000</v>
      </c>
      <c r="I110" s="57">
        <v>50000</v>
      </c>
      <c r="J110" s="57">
        <f>F110*I110</f>
        <v>320000</v>
      </c>
      <c r="K110" s="57">
        <f>G110+I110</f>
        <v>210000</v>
      </c>
      <c r="L110" s="58">
        <f>F110*K110</f>
        <v>1344000</v>
      </c>
      <c r="M110" s="177"/>
    </row>
    <row r="111" spans="1:14" s="59" customFormat="1" ht="18" hidden="1" customHeight="1">
      <c r="A111" s="60" t="s">
        <v>160</v>
      </c>
      <c r="B111" s="53" t="s">
        <v>172</v>
      </c>
      <c r="C111" s="62"/>
      <c r="D111" s="55" t="s">
        <v>297</v>
      </c>
      <c r="E111" s="55" t="s">
        <v>39</v>
      </c>
      <c r="F111" s="61"/>
      <c r="G111" s="57">
        <v>230000</v>
      </c>
      <c r="H111" s="57">
        <f t="shared" ref="H111" si="104">F111*G111</f>
        <v>0</v>
      </c>
      <c r="I111" s="57">
        <v>50000</v>
      </c>
      <c r="J111" s="57">
        <f t="shared" ref="J111" si="105">F111*I111</f>
        <v>0</v>
      </c>
      <c r="K111" s="57">
        <f t="shared" ref="K111" si="106">G111+I111</f>
        <v>280000</v>
      </c>
      <c r="L111" s="58">
        <f t="shared" ref="L111" si="107">F111*K111</f>
        <v>0</v>
      </c>
      <c r="M111" s="177"/>
    </row>
    <row r="112" spans="1:14" s="417" customFormat="1" ht="18" customHeight="1">
      <c r="A112" s="410" t="s">
        <v>160</v>
      </c>
      <c r="B112" s="411" t="s">
        <v>531</v>
      </c>
      <c r="C112" s="412" t="s">
        <v>577</v>
      </c>
      <c r="D112" s="410" t="s">
        <v>266</v>
      </c>
      <c r="E112" s="413" t="s">
        <v>42</v>
      </c>
      <c r="F112" s="414">
        <v>1</v>
      </c>
      <c r="G112" s="415"/>
      <c r="H112" s="415">
        <f>F112*G112</f>
        <v>0</v>
      </c>
      <c r="I112" s="415">
        <v>50000</v>
      </c>
      <c r="J112" s="415">
        <f>F112*I112</f>
        <v>50000</v>
      </c>
      <c r="K112" s="415">
        <f t="shared" ref="K112" si="108">G112+I112</f>
        <v>50000</v>
      </c>
      <c r="L112" s="416">
        <f>F112*K112</f>
        <v>50000</v>
      </c>
      <c r="M112" s="428" t="s">
        <v>601</v>
      </c>
    </row>
    <row r="113" spans="1:14" s="59" customFormat="1" ht="18" customHeight="1">
      <c r="A113" s="60" t="s">
        <v>160</v>
      </c>
      <c r="B113" s="53" t="s">
        <v>532</v>
      </c>
      <c r="C113" s="308" t="s">
        <v>576</v>
      </c>
      <c r="D113" s="60" t="s">
        <v>266</v>
      </c>
      <c r="E113" s="55" t="s">
        <v>42</v>
      </c>
      <c r="F113" s="61">
        <v>1</v>
      </c>
      <c r="G113" s="57">
        <v>535000</v>
      </c>
      <c r="H113" s="57">
        <f>F113*G113</f>
        <v>535000</v>
      </c>
      <c r="I113" s="57">
        <v>50000</v>
      </c>
      <c r="J113" s="57">
        <f>F113*I113</f>
        <v>50000</v>
      </c>
      <c r="K113" s="57">
        <f>G113+I113</f>
        <v>585000</v>
      </c>
      <c r="L113" s="58">
        <f>F113*K113</f>
        <v>585000</v>
      </c>
      <c r="M113" s="420"/>
    </row>
    <row r="114" spans="1:14" s="59" customFormat="1" ht="18" hidden="1" customHeight="1">
      <c r="A114" s="60" t="s">
        <v>44</v>
      </c>
      <c r="B114" s="53" t="s">
        <v>533</v>
      </c>
      <c r="C114" s="308" t="s">
        <v>534</v>
      </c>
      <c r="D114" s="60" t="s">
        <v>266</v>
      </c>
      <c r="E114" s="55" t="s">
        <v>42</v>
      </c>
      <c r="F114" s="61"/>
      <c r="G114" s="57">
        <v>295000</v>
      </c>
      <c r="H114" s="57">
        <f>F114*G114</f>
        <v>0</v>
      </c>
      <c r="I114" s="57">
        <v>50000</v>
      </c>
      <c r="J114" s="57">
        <f>F114*I114</f>
        <v>0</v>
      </c>
      <c r="K114" s="57">
        <f>G114+I114</f>
        <v>345000</v>
      </c>
      <c r="L114" s="58">
        <f>F114*K114</f>
        <v>0</v>
      </c>
      <c r="M114" s="420"/>
    </row>
    <row r="115" spans="1:14" s="59" customFormat="1" ht="18" hidden="1" customHeight="1">
      <c r="A115" s="60" t="s">
        <v>44</v>
      </c>
      <c r="B115" s="53" t="s">
        <v>391</v>
      </c>
      <c r="C115" s="62"/>
      <c r="D115" s="55" t="s">
        <v>297</v>
      </c>
      <c r="E115" s="55" t="s">
        <v>101</v>
      </c>
      <c r="F115" s="61"/>
      <c r="G115" s="57">
        <v>130000</v>
      </c>
      <c r="H115" s="57">
        <f>F115*G115</f>
        <v>0</v>
      </c>
      <c r="I115" s="57">
        <v>50000</v>
      </c>
      <c r="J115" s="57">
        <f>F115*I115</f>
        <v>0</v>
      </c>
      <c r="K115" s="57">
        <f>G115+I115</f>
        <v>180000</v>
      </c>
      <c r="L115" s="58">
        <f>F115*K115</f>
        <v>0</v>
      </c>
      <c r="M115" s="177"/>
      <c r="N115" s="278"/>
    </row>
    <row r="116" spans="1:14" s="59" customFormat="1" ht="18" hidden="1" customHeight="1">
      <c r="A116" s="60"/>
      <c r="B116" s="53"/>
      <c r="C116" s="62"/>
      <c r="D116" s="55"/>
      <c r="E116" s="55"/>
      <c r="F116" s="61"/>
      <c r="G116" s="57"/>
      <c r="H116" s="57"/>
      <c r="I116" s="57"/>
      <c r="J116" s="57"/>
      <c r="K116" s="57"/>
      <c r="L116" s="58"/>
      <c r="M116" s="177"/>
      <c r="N116" s="278"/>
    </row>
    <row r="117" spans="1:14" s="59" customFormat="1" ht="18" hidden="1" customHeight="1">
      <c r="A117" s="52">
        <v>-1</v>
      </c>
      <c r="B117" s="53" t="s">
        <v>393</v>
      </c>
      <c r="C117" s="54"/>
      <c r="D117" s="55"/>
      <c r="E117" s="55"/>
      <c r="F117" s="56"/>
      <c r="G117" s="57"/>
      <c r="H117" s="57"/>
      <c r="I117" s="57"/>
      <c r="J117" s="57"/>
      <c r="K117" s="57"/>
      <c r="L117" s="58"/>
      <c r="M117" s="177"/>
    </row>
    <row r="118" spans="1:14" s="59" customFormat="1" ht="18" hidden="1" customHeight="1">
      <c r="A118" s="60" t="s">
        <v>44</v>
      </c>
      <c r="B118" s="53" t="s">
        <v>392</v>
      </c>
      <c r="C118" s="62"/>
      <c r="D118" s="55" t="s">
        <v>298</v>
      </c>
      <c r="E118" s="55" t="s">
        <v>101</v>
      </c>
      <c r="F118" s="61"/>
      <c r="G118" s="57">
        <v>130000</v>
      </c>
      <c r="H118" s="57">
        <f>F118*G118</f>
        <v>0</v>
      </c>
      <c r="I118" s="57">
        <v>50000</v>
      </c>
      <c r="J118" s="57">
        <f>F118*I118</f>
        <v>0</v>
      </c>
      <c r="K118" s="57">
        <f>G118+I118</f>
        <v>180000</v>
      </c>
      <c r="L118" s="58">
        <f>F118*K118</f>
        <v>0</v>
      </c>
      <c r="M118" s="177"/>
      <c r="N118" s="278"/>
    </row>
    <row r="119" spans="1:14" s="59" customFormat="1" ht="18" hidden="1" customHeight="1">
      <c r="A119" s="60" t="s">
        <v>44</v>
      </c>
      <c r="B119" s="53" t="s">
        <v>395</v>
      </c>
      <c r="C119" s="62" t="s">
        <v>396</v>
      </c>
      <c r="D119" s="55" t="s">
        <v>242</v>
      </c>
      <c r="E119" s="55" t="s">
        <v>397</v>
      </c>
      <c r="F119" s="61"/>
      <c r="G119" s="57">
        <v>120000</v>
      </c>
      <c r="H119" s="57">
        <f>F119*G119</f>
        <v>0</v>
      </c>
      <c r="I119" s="57">
        <v>20000</v>
      </c>
      <c r="J119" s="57">
        <f>F119*I119</f>
        <v>0</v>
      </c>
      <c r="K119" s="57">
        <f>G119+I119</f>
        <v>140000</v>
      </c>
      <c r="L119" s="58">
        <f>F119*K119</f>
        <v>0</v>
      </c>
      <c r="M119" s="177"/>
      <c r="N119" s="278"/>
    </row>
    <row r="120" spans="1:14" s="59" customFormat="1" ht="18" hidden="1" customHeight="1">
      <c r="A120" s="60" t="s">
        <v>339</v>
      </c>
      <c r="B120" s="53" t="s">
        <v>341</v>
      </c>
      <c r="C120" s="62"/>
      <c r="D120" s="55" t="s">
        <v>242</v>
      </c>
      <c r="E120" s="55" t="s">
        <v>340</v>
      </c>
      <c r="F120" s="61"/>
      <c r="G120" s="57">
        <v>180000</v>
      </c>
      <c r="H120" s="57">
        <f>F120*G120</f>
        <v>0</v>
      </c>
      <c r="I120" s="57">
        <v>50000</v>
      </c>
      <c r="J120" s="57">
        <f t="shared" ref="J120" si="109">F120*I120</f>
        <v>0</v>
      </c>
      <c r="K120" s="57">
        <f>G120+I120</f>
        <v>230000</v>
      </c>
      <c r="L120" s="58">
        <f t="shared" ref="L120" si="110">F120*K120</f>
        <v>0</v>
      </c>
      <c r="M120" s="177"/>
    </row>
    <row r="121" spans="1:14" s="59" customFormat="1" ht="18" hidden="1" customHeight="1">
      <c r="A121" s="60" t="s">
        <v>339</v>
      </c>
      <c r="B121" s="53" t="s">
        <v>394</v>
      </c>
      <c r="C121" s="62"/>
      <c r="D121" s="55" t="s">
        <v>242</v>
      </c>
      <c r="E121" s="55" t="s">
        <v>38</v>
      </c>
      <c r="F121" s="61"/>
      <c r="G121" s="57">
        <v>120000</v>
      </c>
      <c r="H121" s="57">
        <f>F121*G121</f>
        <v>0</v>
      </c>
      <c r="I121" s="57">
        <v>50000</v>
      </c>
      <c r="J121" s="57">
        <f t="shared" ref="J121" si="111">F121*I121</f>
        <v>0</v>
      </c>
      <c r="K121" s="57">
        <f>G121+I121</f>
        <v>170000</v>
      </c>
      <c r="L121" s="58">
        <f t="shared" ref="L121" si="112">F121*K121</f>
        <v>0</v>
      </c>
      <c r="M121" s="177"/>
    </row>
    <row r="122" spans="1:14" s="59" customFormat="1" ht="18" hidden="1" customHeight="1">
      <c r="A122" s="60" t="s">
        <v>160</v>
      </c>
      <c r="B122" s="53" t="s">
        <v>269</v>
      </c>
      <c r="C122" s="308" t="s">
        <v>338</v>
      </c>
      <c r="D122" s="60" t="s">
        <v>266</v>
      </c>
      <c r="E122" s="55" t="s">
        <v>42</v>
      </c>
      <c r="F122" s="61"/>
      <c r="G122" s="57">
        <v>295000</v>
      </c>
      <c r="H122" s="57">
        <f t="shared" ref="H122" si="113">F122*G122</f>
        <v>0</v>
      </c>
      <c r="I122" s="57">
        <v>50000</v>
      </c>
      <c r="J122" s="57">
        <f t="shared" ref="J122" si="114">F122*I122</f>
        <v>0</v>
      </c>
      <c r="K122" s="57">
        <f t="shared" ref="K122" si="115">G122+I122</f>
        <v>345000</v>
      </c>
      <c r="L122" s="58">
        <f t="shared" ref="L122" si="116">F122*K122</f>
        <v>0</v>
      </c>
      <c r="M122" s="176"/>
    </row>
    <row r="123" spans="1:14" s="59" customFormat="1" ht="18" hidden="1" customHeight="1">
      <c r="A123" s="60" t="s">
        <v>160</v>
      </c>
      <c r="B123" s="53" t="s">
        <v>398</v>
      </c>
      <c r="C123" s="62"/>
      <c r="D123" s="55" t="s">
        <v>242</v>
      </c>
      <c r="E123" s="55" t="s">
        <v>39</v>
      </c>
      <c r="F123" s="61"/>
      <c r="G123" s="57">
        <v>160000</v>
      </c>
      <c r="H123" s="57">
        <f>F123*G123</f>
        <v>0</v>
      </c>
      <c r="I123" s="57">
        <v>50000</v>
      </c>
      <c r="J123" s="57">
        <f>F123*I123</f>
        <v>0</v>
      </c>
      <c r="K123" s="57">
        <f>G123+I123</f>
        <v>210000</v>
      </c>
      <c r="L123" s="58">
        <f>F123*K123</f>
        <v>0</v>
      </c>
      <c r="M123" s="177"/>
    </row>
    <row r="124" spans="1:14" s="59" customFormat="1" ht="18" hidden="1" customHeight="1">
      <c r="A124" s="60" t="s">
        <v>160</v>
      </c>
      <c r="B124" s="53" t="s">
        <v>399</v>
      </c>
      <c r="C124" s="62" t="s">
        <v>400</v>
      </c>
      <c r="D124" s="55" t="s">
        <v>242</v>
      </c>
      <c r="E124" s="55" t="s">
        <v>388</v>
      </c>
      <c r="F124" s="61"/>
      <c r="G124" s="57">
        <v>120000</v>
      </c>
      <c r="H124" s="57">
        <f>F124*G124</f>
        <v>0</v>
      </c>
      <c r="I124" s="57">
        <v>20000</v>
      </c>
      <c r="J124" s="57">
        <f>F124*I124</f>
        <v>0</v>
      </c>
      <c r="K124" s="57">
        <f>G124+I124</f>
        <v>140000</v>
      </c>
      <c r="L124" s="58">
        <f>F124*K124</f>
        <v>0</v>
      </c>
      <c r="M124" s="177"/>
    </row>
    <row r="125" spans="1:14" s="59" customFormat="1" ht="18" hidden="1" customHeight="1">
      <c r="A125" s="60" t="s">
        <v>401</v>
      </c>
      <c r="B125" s="53" t="s">
        <v>402</v>
      </c>
      <c r="C125" s="308" t="s">
        <v>405</v>
      </c>
      <c r="D125" s="377" t="s">
        <v>403</v>
      </c>
      <c r="E125" s="55" t="s">
        <v>404</v>
      </c>
      <c r="F125" s="61"/>
      <c r="G125" s="57">
        <v>390000</v>
      </c>
      <c r="H125" s="57">
        <f>F125*G125</f>
        <v>0</v>
      </c>
      <c r="I125" s="57">
        <v>70000</v>
      </c>
      <c r="J125" s="57">
        <f>F125*I125</f>
        <v>0</v>
      </c>
      <c r="K125" s="57">
        <f>G125+I125</f>
        <v>460000</v>
      </c>
      <c r="L125" s="58">
        <f>F125*K125</f>
        <v>0</v>
      </c>
      <c r="M125" s="273" t="s">
        <v>385</v>
      </c>
    </row>
    <row r="126" spans="1:14" s="59" customFormat="1" ht="18" hidden="1" customHeight="1">
      <c r="A126" s="60" t="s">
        <v>406</v>
      </c>
      <c r="B126" s="53" t="s">
        <v>407</v>
      </c>
      <c r="C126" s="308" t="s">
        <v>408</v>
      </c>
      <c r="D126" s="377" t="s">
        <v>409</v>
      </c>
      <c r="E126" s="55" t="s">
        <v>410</v>
      </c>
      <c r="F126" s="61"/>
      <c r="G126" s="57">
        <v>20000</v>
      </c>
      <c r="H126" s="57">
        <f>F126*G126</f>
        <v>0</v>
      </c>
      <c r="I126" s="57">
        <v>450000</v>
      </c>
      <c r="J126" s="57">
        <f>F126*I126</f>
        <v>0</v>
      </c>
      <c r="K126" s="57">
        <f>G126+I126</f>
        <v>470000</v>
      </c>
      <c r="L126" s="58">
        <f>F126*K126</f>
        <v>0</v>
      </c>
      <c r="M126" s="176"/>
    </row>
    <row r="127" spans="1:14" s="59" customFormat="1" ht="18" hidden="1" customHeight="1">
      <c r="A127" s="60" t="s">
        <v>424</v>
      </c>
      <c r="B127" s="53" t="s">
        <v>425</v>
      </c>
      <c r="C127" s="308"/>
      <c r="D127" s="377" t="s">
        <v>426</v>
      </c>
      <c r="E127" s="55" t="s">
        <v>427</v>
      </c>
      <c r="F127" s="61"/>
      <c r="G127" s="57">
        <v>10000</v>
      </c>
      <c r="H127" s="57">
        <f>F127*G127</f>
        <v>0</v>
      </c>
      <c r="I127" s="57">
        <v>20000</v>
      </c>
      <c r="J127" s="57">
        <f>F127*I127</f>
        <v>0</v>
      </c>
      <c r="K127" s="57">
        <f>G127+I127</f>
        <v>30000</v>
      </c>
      <c r="L127" s="58">
        <f>F127*K127</f>
        <v>0</v>
      </c>
      <c r="M127" s="176"/>
    </row>
    <row r="128" spans="1:14" s="59" customFormat="1" ht="18" hidden="1" customHeight="1">
      <c r="A128" s="60"/>
      <c r="B128" s="53"/>
      <c r="C128" s="62"/>
      <c r="D128" s="55"/>
      <c r="E128" s="55"/>
      <c r="F128" s="57"/>
      <c r="G128" s="57"/>
      <c r="H128" s="57"/>
      <c r="I128" s="57"/>
      <c r="J128" s="57"/>
      <c r="K128" s="57"/>
      <c r="L128" s="58"/>
      <c r="M128" s="177"/>
    </row>
    <row r="129" spans="1:17" s="59" customFormat="1" ht="18" hidden="1" customHeight="1">
      <c r="A129" s="52">
        <v>-1</v>
      </c>
      <c r="B129" s="53" t="s">
        <v>434</v>
      </c>
      <c r="C129" s="54"/>
      <c r="D129" s="55"/>
      <c r="E129" s="55"/>
      <c r="F129" s="61"/>
      <c r="G129" s="57"/>
      <c r="H129" s="57"/>
      <c r="I129" s="57"/>
      <c r="J129" s="57"/>
      <c r="K129" s="57"/>
      <c r="L129" s="58"/>
      <c r="M129" s="177"/>
    </row>
    <row r="130" spans="1:17" s="329" customFormat="1" ht="18" hidden="1" customHeight="1">
      <c r="A130" s="60" t="s">
        <v>12</v>
      </c>
      <c r="B130" s="322" t="s">
        <v>411</v>
      </c>
      <c r="C130" s="323"/>
      <c r="D130" s="324" t="s">
        <v>413</v>
      </c>
      <c r="E130" s="324" t="s">
        <v>412</v>
      </c>
      <c r="F130" s="325"/>
      <c r="G130" s="326">
        <v>130000</v>
      </c>
      <c r="H130" s="326">
        <f>F130*G130</f>
        <v>0</v>
      </c>
      <c r="I130" s="326">
        <v>50000</v>
      </c>
      <c r="J130" s="326">
        <f>F130*I130</f>
        <v>0</v>
      </c>
      <c r="K130" s="326">
        <f>G130+I130</f>
        <v>180000</v>
      </c>
      <c r="L130" s="327">
        <f>F130*K130</f>
        <v>0</v>
      </c>
      <c r="M130" s="328"/>
    </row>
    <row r="131" spans="1:17" s="59" customFormat="1" ht="18" hidden="1" customHeight="1">
      <c r="A131" s="60" t="s">
        <v>12</v>
      </c>
      <c r="B131" s="53" t="s">
        <v>198</v>
      </c>
      <c r="C131" s="62"/>
      <c r="D131" s="55" t="s">
        <v>299</v>
      </c>
      <c r="E131" s="55" t="s">
        <v>101</v>
      </c>
      <c r="F131" s="61"/>
      <c r="G131" s="57">
        <v>130000</v>
      </c>
      <c r="H131" s="57">
        <f>F131*G131</f>
        <v>0</v>
      </c>
      <c r="I131" s="57">
        <v>30000</v>
      </c>
      <c r="J131" s="57">
        <f>F131*I131</f>
        <v>0</v>
      </c>
      <c r="K131" s="57">
        <f>G131+I131</f>
        <v>160000</v>
      </c>
      <c r="L131" s="58">
        <f>F131*K131</f>
        <v>0</v>
      </c>
      <c r="M131" s="177"/>
    </row>
    <row r="132" spans="1:17" s="59" customFormat="1" ht="18" hidden="1" customHeight="1">
      <c r="A132" s="60" t="s">
        <v>160</v>
      </c>
      <c r="B132" s="53" t="s">
        <v>312</v>
      </c>
      <c r="C132" s="62"/>
      <c r="D132" s="55" t="s">
        <v>414</v>
      </c>
      <c r="E132" s="55" t="s">
        <v>39</v>
      </c>
      <c r="F132" s="61"/>
      <c r="G132" s="57">
        <v>160000</v>
      </c>
      <c r="H132" s="57">
        <f t="shared" ref="H132" si="117">F132*G132</f>
        <v>0</v>
      </c>
      <c r="I132" s="57">
        <v>50000</v>
      </c>
      <c r="J132" s="57">
        <f t="shared" ref="J132:J133" si="118">F132*I132</f>
        <v>0</v>
      </c>
      <c r="K132" s="57">
        <f t="shared" ref="K132" si="119">G132+I132</f>
        <v>210000</v>
      </c>
      <c r="L132" s="58">
        <f t="shared" ref="L132:L133" si="120">F132*K132</f>
        <v>0</v>
      </c>
      <c r="M132" s="177"/>
    </row>
    <row r="133" spans="1:17" s="59" customFormat="1" ht="18" hidden="1" customHeight="1">
      <c r="A133" s="60" t="s">
        <v>12</v>
      </c>
      <c r="B133" s="53" t="s">
        <v>415</v>
      </c>
      <c r="C133" s="62"/>
      <c r="D133" s="55" t="s">
        <v>304</v>
      </c>
      <c r="E133" s="55" t="s">
        <v>39</v>
      </c>
      <c r="F133" s="61"/>
      <c r="G133" s="57">
        <v>160000</v>
      </c>
      <c r="H133" s="57">
        <f t="shared" ref="H133:H134" si="121">F133*G133</f>
        <v>0</v>
      </c>
      <c r="I133" s="57">
        <v>50000</v>
      </c>
      <c r="J133" s="57">
        <f t="shared" si="118"/>
        <v>0</v>
      </c>
      <c r="K133" s="57">
        <f t="shared" ref="K133:K134" si="122">G133+I133</f>
        <v>210000</v>
      </c>
      <c r="L133" s="58">
        <f t="shared" si="120"/>
        <v>0</v>
      </c>
      <c r="M133" s="177"/>
      <c r="Q133" s="59">
        <f>(0.51*1.372)+(0.51*0.934)</f>
        <v>1.1760600000000001</v>
      </c>
    </row>
    <row r="134" spans="1:17" s="59" customFormat="1" ht="18" hidden="1" customHeight="1">
      <c r="A134" s="60" t="s">
        <v>12</v>
      </c>
      <c r="B134" s="53" t="s">
        <v>416</v>
      </c>
      <c r="C134" s="62"/>
      <c r="D134" s="55" t="s">
        <v>417</v>
      </c>
      <c r="E134" s="55" t="s">
        <v>418</v>
      </c>
      <c r="F134" s="61"/>
      <c r="G134" s="57">
        <v>100000</v>
      </c>
      <c r="H134" s="57">
        <f t="shared" si="121"/>
        <v>0</v>
      </c>
      <c r="I134" s="57">
        <v>55000</v>
      </c>
      <c r="J134" s="57">
        <f>F134*I134</f>
        <v>0</v>
      </c>
      <c r="K134" s="57">
        <f t="shared" si="122"/>
        <v>155000</v>
      </c>
      <c r="L134" s="58">
        <f>F134*K134</f>
        <v>0</v>
      </c>
      <c r="M134" s="177"/>
      <c r="Q134" s="59">
        <f>150000</f>
        <v>150000</v>
      </c>
    </row>
    <row r="135" spans="1:17" s="59" customFormat="1" ht="18" hidden="1" customHeight="1">
      <c r="A135" s="60" t="s">
        <v>302</v>
      </c>
      <c r="B135" s="53" t="s">
        <v>419</v>
      </c>
      <c r="C135" s="62" t="s">
        <v>420</v>
      </c>
      <c r="D135" s="55" t="s">
        <v>417</v>
      </c>
      <c r="E135" s="55" t="s">
        <v>38</v>
      </c>
      <c r="F135" s="61"/>
      <c r="G135" s="57">
        <v>120000</v>
      </c>
      <c r="H135" s="57">
        <f t="shared" ref="H135:H138" si="123">F135*G135</f>
        <v>0</v>
      </c>
      <c r="I135" s="57">
        <v>20000</v>
      </c>
      <c r="J135" s="57">
        <f t="shared" ref="J135" si="124">F135*I135</f>
        <v>0</v>
      </c>
      <c r="K135" s="57">
        <f t="shared" ref="K135" si="125">G135+I135</f>
        <v>140000</v>
      </c>
      <c r="L135" s="58">
        <f t="shared" ref="L135" si="126">F135*K135</f>
        <v>0</v>
      </c>
      <c r="M135" s="177"/>
      <c r="Q135" s="59">
        <f>Q134/Q133</f>
        <v>127544.51303504923</v>
      </c>
    </row>
    <row r="136" spans="1:17" s="59" customFormat="1" ht="18" hidden="1" customHeight="1">
      <c r="A136" s="60" t="s">
        <v>44</v>
      </c>
      <c r="B136" s="53" t="s">
        <v>305</v>
      </c>
      <c r="C136" s="62"/>
      <c r="D136" s="55" t="s">
        <v>300</v>
      </c>
      <c r="E136" s="55" t="s">
        <v>39</v>
      </c>
      <c r="F136" s="61"/>
      <c r="G136" s="57">
        <v>230000</v>
      </c>
      <c r="H136" s="57">
        <f t="shared" si="123"/>
        <v>0</v>
      </c>
      <c r="I136" s="57">
        <v>50000</v>
      </c>
      <c r="J136" s="57">
        <f t="shared" ref="J136" si="127">F136*I136</f>
        <v>0</v>
      </c>
      <c r="K136" s="57">
        <f t="shared" ref="K136" si="128">G136+I136</f>
        <v>280000</v>
      </c>
      <c r="L136" s="58">
        <f t="shared" ref="L136" si="129">F136*K136</f>
        <v>0</v>
      </c>
      <c r="M136" s="176"/>
    </row>
    <row r="137" spans="1:17" s="59" customFormat="1" ht="18" hidden="1" customHeight="1">
      <c r="A137" s="60" t="s">
        <v>302</v>
      </c>
      <c r="B137" s="53" t="s">
        <v>301</v>
      </c>
      <c r="C137" s="62" t="s">
        <v>270</v>
      </c>
      <c r="D137" s="55" t="s">
        <v>300</v>
      </c>
      <c r="E137" s="55" t="s">
        <v>271</v>
      </c>
      <c r="F137" s="61"/>
      <c r="G137" s="57">
        <v>69000</v>
      </c>
      <c r="H137" s="57">
        <f>F137*G137</f>
        <v>0</v>
      </c>
      <c r="I137" s="57">
        <v>30000</v>
      </c>
      <c r="J137" s="57">
        <f>F137*I137</f>
        <v>0</v>
      </c>
      <c r="K137" s="57">
        <f>G137+I137</f>
        <v>99000</v>
      </c>
      <c r="L137" s="58">
        <f>F137*K137</f>
        <v>0</v>
      </c>
      <c r="M137" s="177"/>
    </row>
    <row r="138" spans="1:17" s="59" customFormat="1" ht="18" hidden="1" customHeight="1">
      <c r="A138" s="60" t="s">
        <v>489</v>
      </c>
      <c r="B138" s="53" t="s">
        <v>495</v>
      </c>
      <c r="C138" s="62" t="s">
        <v>496</v>
      </c>
      <c r="D138" s="55" t="s">
        <v>304</v>
      </c>
      <c r="E138" s="55" t="s">
        <v>38</v>
      </c>
      <c r="F138" s="61"/>
      <c r="G138" s="57">
        <v>1550000</v>
      </c>
      <c r="H138" s="57">
        <f t="shared" si="123"/>
        <v>0</v>
      </c>
      <c r="I138" s="57">
        <v>0</v>
      </c>
      <c r="J138" s="57">
        <f t="shared" ref="J138" si="130">F138*I138</f>
        <v>0</v>
      </c>
      <c r="K138" s="57">
        <f>G138+I138</f>
        <v>1550000</v>
      </c>
      <c r="L138" s="58">
        <f t="shared" ref="L138" si="131">F138*K138</f>
        <v>0</v>
      </c>
      <c r="M138" s="177"/>
    </row>
    <row r="139" spans="1:17" s="59" customFormat="1" ht="18" hidden="1" customHeight="1">
      <c r="A139" s="60"/>
      <c r="B139" s="53"/>
      <c r="C139" s="62"/>
      <c r="D139" s="55"/>
      <c r="E139" s="55"/>
      <c r="F139" s="61"/>
      <c r="G139" s="57"/>
      <c r="H139" s="57"/>
      <c r="I139" s="57"/>
      <c r="J139" s="57"/>
      <c r="K139" s="57"/>
      <c r="L139" s="58"/>
      <c r="M139" s="177"/>
    </row>
    <row r="140" spans="1:17" s="59" customFormat="1" ht="18" hidden="1" customHeight="1">
      <c r="A140" s="60" t="s">
        <v>428</v>
      </c>
      <c r="B140" s="53" t="s">
        <v>429</v>
      </c>
      <c r="C140" s="62" t="s">
        <v>431</v>
      </c>
      <c r="D140" s="55" t="s">
        <v>430</v>
      </c>
      <c r="E140" s="55" t="s">
        <v>432</v>
      </c>
      <c r="F140" s="61"/>
      <c r="G140" s="57">
        <v>4500</v>
      </c>
      <c r="H140" s="57">
        <f t="shared" ref="H140" si="132">F140*G140</f>
        <v>0</v>
      </c>
      <c r="I140" s="57">
        <v>2000</v>
      </c>
      <c r="J140" s="57">
        <f t="shared" ref="J140" si="133">F140*I140</f>
        <v>0</v>
      </c>
      <c r="K140" s="57">
        <f t="shared" ref="K140" si="134">G140+I140</f>
        <v>6500</v>
      </c>
      <c r="L140" s="58">
        <f t="shared" ref="L140" si="135">F140*K140</f>
        <v>0</v>
      </c>
      <c r="M140" s="177"/>
    </row>
    <row r="141" spans="1:17" s="59" customFormat="1" ht="18" hidden="1" customHeight="1">
      <c r="A141" s="60" t="s">
        <v>490</v>
      </c>
      <c r="B141" s="53" t="s">
        <v>492</v>
      </c>
      <c r="C141" s="62" t="s">
        <v>493</v>
      </c>
      <c r="D141" s="55" t="s">
        <v>494</v>
      </c>
      <c r="E141" s="55" t="s">
        <v>38</v>
      </c>
      <c r="F141" s="61"/>
      <c r="G141" s="57">
        <v>120000</v>
      </c>
      <c r="H141" s="57">
        <f>F141*G141</f>
        <v>0</v>
      </c>
      <c r="I141" s="57">
        <v>20000</v>
      </c>
      <c r="J141" s="57">
        <f>F141*I141</f>
        <v>0</v>
      </c>
      <c r="K141" s="57">
        <f>G141+I141</f>
        <v>140000</v>
      </c>
      <c r="L141" s="58">
        <f>F141*K141</f>
        <v>0</v>
      </c>
      <c r="M141" s="177"/>
    </row>
    <row r="142" spans="1:17" s="59" customFormat="1" ht="18" hidden="1" customHeight="1">
      <c r="A142" s="60" t="s">
        <v>44</v>
      </c>
      <c r="B142" s="53" t="s">
        <v>391</v>
      </c>
      <c r="C142" s="62"/>
      <c r="D142" s="55" t="s">
        <v>266</v>
      </c>
      <c r="E142" s="55" t="s">
        <v>101</v>
      </c>
      <c r="F142" s="61"/>
      <c r="G142" s="57">
        <v>130000</v>
      </c>
      <c r="H142" s="57">
        <f>F142*G142</f>
        <v>0</v>
      </c>
      <c r="I142" s="57">
        <v>50000</v>
      </c>
      <c r="J142" s="57">
        <f>F142*I142</f>
        <v>0</v>
      </c>
      <c r="K142" s="57">
        <f>G142+I142</f>
        <v>180000</v>
      </c>
      <c r="L142" s="58">
        <f>F142*K142</f>
        <v>0</v>
      </c>
      <c r="M142" s="177"/>
      <c r="N142" s="278"/>
    </row>
    <row r="143" spans="1:17" s="437" customFormat="1" ht="18" customHeight="1">
      <c r="A143" s="366" t="s">
        <v>44</v>
      </c>
      <c r="B143" s="430" t="s">
        <v>312</v>
      </c>
      <c r="C143" s="431"/>
      <c r="D143" s="432" t="s">
        <v>610</v>
      </c>
      <c r="E143" s="432" t="s">
        <v>39</v>
      </c>
      <c r="F143" s="433"/>
      <c r="G143" s="434">
        <v>160000</v>
      </c>
      <c r="H143" s="434">
        <f>F143*G143</f>
        <v>0</v>
      </c>
      <c r="I143" s="434">
        <v>50000</v>
      </c>
      <c r="J143" s="434">
        <f>F143*I143</f>
        <v>0</v>
      </c>
      <c r="K143" s="434">
        <f>G143+I143</f>
        <v>210000</v>
      </c>
      <c r="L143" s="435">
        <f>F143*K143</f>
        <v>0</v>
      </c>
      <c r="M143" s="436" t="s">
        <v>627</v>
      </c>
    </row>
    <row r="144" spans="1:17" s="59" customFormat="1" ht="18" customHeight="1">
      <c r="A144" s="60"/>
      <c r="B144" s="53"/>
      <c r="C144" s="62"/>
      <c r="D144" s="55"/>
      <c r="E144" s="55"/>
      <c r="F144" s="61"/>
      <c r="G144" s="57"/>
      <c r="H144" s="57"/>
      <c r="I144" s="57"/>
      <c r="J144" s="57"/>
      <c r="K144" s="57"/>
      <c r="L144" s="58"/>
      <c r="M144" s="177"/>
    </row>
    <row r="145" spans="1:13" s="59" customFormat="1" ht="18" customHeight="1">
      <c r="A145" s="60">
        <v>-1</v>
      </c>
      <c r="B145" s="53" t="s">
        <v>510</v>
      </c>
      <c r="C145" s="62"/>
      <c r="D145" s="55"/>
      <c r="E145" s="55"/>
      <c r="F145" s="61"/>
      <c r="G145" s="57"/>
      <c r="H145" s="57"/>
      <c r="I145" s="57"/>
      <c r="J145" s="57"/>
      <c r="K145" s="57"/>
      <c r="L145" s="58"/>
      <c r="M145" s="177"/>
    </row>
    <row r="146" spans="1:13" s="59" customFormat="1" ht="18" customHeight="1">
      <c r="A146" s="60" t="s">
        <v>505</v>
      </c>
      <c r="B146" s="53" t="s">
        <v>512</v>
      </c>
      <c r="C146" s="62" t="s">
        <v>515</v>
      </c>
      <c r="D146" s="55" t="s">
        <v>513</v>
      </c>
      <c r="E146" s="55" t="s">
        <v>514</v>
      </c>
      <c r="F146" s="61">
        <v>1</v>
      </c>
      <c r="G146" s="57">
        <v>1800000</v>
      </c>
      <c r="H146" s="57">
        <f>F146*G146</f>
        <v>1800000</v>
      </c>
      <c r="I146" s="57">
        <v>200000</v>
      </c>
      <c r="J146" s="57">
        <f>F146*I146</f>
        <v>200000</v>
      </c>
      <c r="K146" s="57">
        <f>G146+I146</f>
        <v>2000000</v>
      </c>
      <c r="L146" s="58">
        <f>F146*K146</f>
        <v>2000000</v>
      </c>
      <c r="M146" s="177"/>
    </row>
    <row r="147" spans="1:13" s="59" customFormat="1" ht="18" customHeight="1">
      <c r="A147" s="60"/>
      <c r="B147" s="53"/>
      <c r="C147" s="62"/>
      <c r="D147" s="55"/>
      <c r="E147" s="55"/>
      <c r="F147" s="61"/>
      <c r="G147" s="57"/>
      <c r="H147" s="57"/>
      <c r="I147" s="57"/>
      <c r="J147" s="57"/>
      <c r="K147" s="57"/>
      <c r="L147" s="58"/>
      <c r="M147" s="177"/>
    </row>
    <row r="148" spans="1:13" s="59" customFormat="1" ht="18" customHeight="1">
      <c r="A148" s="60">
        <v>-1</v>
      </c>
      <c r="B148" s="53" t="s">
        <v>578</v>
      </c>
      <c r="C148" s="62"/>
      <c r="D148" s="55"/>
      <c r="E148" s="55"/>
      <c r="F148" s="61"/>
      <c r="G148" s="57"/>
      <c r="H148" s="57"/>
      <c r="I148" s="57"/>
      <c r="J148" s="57"/>
      <c r="K148" s="57"/>
      <c r="L148" s="58"/>
      <c r="M148" s="177"/>
    </row>
    <row r="149" spans="1:13" s="59" customFormat="1" ht="18" customHeight="1">
      <c r="A149" s="60" t="s">
        <v>511</v>
      </c>
      <c r="B149" s="53" t="s">
        <v>536</v>
      </c>
      <c r="C149" s="62"/>
      <c r="D149" s="55" t="s">
        <v>578</v>
      </c>
      <c r="E149" s="55" t="s">
        <v>506</v>
      </c>
      <c r="F149" s="61">
        <v>6</v>
      </c>
      <c r="G149" s="57">
        <v>140000</v>
      </c>
      <c r="H149" s="57">
        <f>F149*G149</f>
        <v>840000</v>
      </c>
      <c r="I149" s="57">
        <v>20000</v>
      </c>
      <c r="J149" s="57">
        <f>F149*I149</f>
        <v>120000</v>
      </c>
      <c r="K149" s="57">
        <f>G149+I149</f>
        <v>160000</v>
      </c>
      <c r="L149" s="58">
        <f>F149*K149</f>
        <v>960000</v>
      </c>
      <c r="M149" s="177"/>
    </row>
    <row r="150" spans="1:13" s="59" customFormat="1" ht="18" customHeight="1">
      <c r="A150" s="60"/>
      <c r="B150" s="53"/>
      <c r="C150" s="62"/>
      <c r="D150" s="55"/>
      <c r="E150" s="55"/>
      <c r="F150" s="61"/>
      <c r="G150" s="57"/>
      <c r="H150" s="57"/>
      <c r="I150" s="57"/>
      <c r="J150" s="57"/>
      <c r="K150" s="57"/>
      <c r="L150" s="58"/>
      <c r="M150" s="177"/>
    </row>
    <row r="151" spans="1:13" s="59" customFormat="1" ht="18" customHeight="1">
      <c r="A151" s="60">
        <v>-1</v>
      </c>
      <c r="B151" s="53" t="s">
        <v>579</v>
      </c>
      <c r="C151" s="62"/>
      <c r="D151" s="55"/>
      <c r="E151" s="55"/>
      <c r="F151" s="61"/>
      <c r="G151" s="57"/>
      <c r="H151" s="57"/>
      <c r="I151" s="57"/>
      <c r="J151" s="57"/>
      <c r="K151" s="57"/>
      <c r="L151" s="58"/>
      <c r="M151" s="177"/>
    </row>
    <row r="152" spans="1:13" s="59" customFormat="1" ht="18" customHeight="1">
      <c r="A152" s="60" t="s">
        <v>44</v>
      </c>
      <c r="B152" s="53" t="s">
        <v>492</v>
      </c>
      <c r="C152" s="62"/>
      <c r="D152" s="55" t="s">
        <v>579</v>
      </c>
      <c r="E152" s="55" t="s">
        <v>38</v>
      </c>
      <c r="F152" s="61">
        <v>3</v>
      </c>
      <c r="G152" s="57">
        <v>140000</v>
      </c>
      <c r="H152" s="57">
        <f>F152*G152</f>
        <v>420000</v>
      </c>
      <c r="I152" s="57">
        <v>20000</v>
      </c>
      <c r="J152" s="57">
        <f>F152*I152</f>
        <v>60000</v>
      </c>
      <c r="K152" s="57">
        <f>G152+I152</f>
        <v>160000</v>
      </c>
      <c r="L152" s="58">
        <f>F152*K152</f>
        <v>480000</v>
      </c>
      <c r="M152" s="177"/>
    </row>
    <row r="153" spans="1:13" s="59" customFormat="1" ht="18" customHeight="1">
      <c r="A153" s="60"/>
      <c r="B153" s="53"/>
      <c r="C153" s="62"/>
      <c r="D153" s="55"/>
      <c r="E153" s="55"/>
      <c r="F153" s="61"/>
      <c r="G153" s="57"/>
      <c r="H153" s="57"/>
      <c r="I153" s="57"/>
      <c r="J153" s="57"/>
      <c r="K153" s="57"/>
      <c r="L153" s="58"/>
      <c r="M153" s="177"/>
    </row>
    <row r="154" spans="1:13" s="59" customFormat="1" ht="18" customHeight="1">
      <c r="A154" s="52">
        <v>-1</v>
      </c>
      <c r="B154" s="53" t="s">
        <v>421</v>
      </c>
      <c r="C154" s="54"/>
      <c r="D154" s="55"/>
      <c r="E154" s="55"/>
      <c r="F154" s="56"/>
      <c r="G154" s="57"/>
      <c r="H154" s="57"/>
      <c r="I154" s="57"/>
      <c r="J154" s="57"/>
      <c r="K154" s="57"/>
      <c r="L154" s="58"/>
      <c r="M154" s="177"/>
    </row>
    <row r="155" spans="1:13" s="59" customFormat="1" ht="18" customHeight="1">
      <c r="A155" s="60" t="s">
        <v>44</v>
      </c>
      <c r="B155" s="53" t="s">
        <v>580</v>
      </c>
      <c r="C155" s="62"/>
      <c r="D155" s="55" t="s">
        <v>171</v>
      </c>
      <c r="E155" s="55" t="s">
        <v>39</v>
      </c>
      <c r="F155" s="61">
        <v>0.85</v>
      </c>
      <c r="G155" s="57">
        <v>160000</v>
      </c>
      <c r="H155" s="57">
        <f t="shared" ref="H155:H157" si="136">F155*G155</f>
        <v>136000</v>
      </c>
      <c r="I155" s="57">
        <v>50000</v>
      </c>
      <c r="J155" s="57">
        <f t="shared" ref="J155:J157" si="137">F155*I155</f>
        <v>42500</v>
      </c>
      <c r="K155" s="57">
        <f t="shared" ref="K155:K157" si="138">G155+I155</f>
        <v>210000</v>
      </c>
      <c r="L155" s="58">
        <f t="shared" ref="L155:L157" si="139">F155*K155</f>
        <v>178500</v>
      </c>
      <c r="M155" s="176"/>
    </row>
    <row r="156" spans="1:13" s="59" customFormat="1" ht="18" hidden="1" customHeight="1">
      <c r="A156" s="60" t="s">
        <v>44</v>
      </c>
      <c r="B156" s="53" t="s">
        <v>387</v>
      </c>
      <c r="C156" s="62"/>
      <c r="D156" s="55" t="s">
        <v>242</v>
      </c>
      <c r="E156" s="55" t="s">
        <v>38</v>
      </c>
      <c r="F156" s="61"/>
      <c r="G156" s="57">
        <v>10000</v>
      </c>
      <c r="H156" s="57">
        <f t="shared" si="136"/>
        <v>0</v>
      </c>
      <c r="I156" s="57">
        <v>0</v>
      </c>
      <c r="J156" s="57">
        <f t="shared" si="137"/>
        <v>0</v>
      </c>
      <c r="K156" s="57">
        <f t="shared" si="138"/>
        <v>10000</v>
      </c>
      <c r="L156" s="58">
        <f t="shared" si="139"/>
        <v>0</v>
      </c>
      <c r="M156" s="176"/>
    </row>
    <row r="157" spans="1:13" s="59" customFormat="1" ht="18" customHeight="1">
      <c r="A157" s="60" t="s">
        <v>44</v>
      </c>
      <c r="B157" s="53" t="s">
        <v>581</v>
      </c>
      <c r="C157" s="62"/>
      <c r="D157" s="55" t="s">
        <v>171</v>
      </c>
      <c r="E157" s="55" t="s">
        <v>39</v>
      </c>
      <c r="F157" s="61">
        <v>0.85</v>
      </c>
      <c r="G157" s="57">
        <v>160000</v>
      </c>
      <c r="H157" s="57">
        <f t="shared" si="136"/>
        <v>136000</v>
      </c>
      <c r="I157" s="57">
        <v>50000</v>
      </c>
      <c r="J157" s="57">
        <f t="shared" si="137"/>
        <v>42500</v>
      </c>
      <c r="K157" s="57">
        <f t="shared" si="138"/>
        <v>210000</v>
      </c>
      <c r="L157" s="58">
        <f t="shared" si="139"/>
        <v>178500</v>
      </c>
      <c r="M157" s="176"/>
    </row>
    <row r="158" spans="1:13" s="59" customFormat="1" ht="18" customHeight="1">
      <c r="A158" s="60" t="s">
        <v>302</v>
      </c>
      <c r="B158" s="53" t="s">
        <v>582</v>
      </c>
      <c r="C158" s="62" t="s">
        <v>584</v>
      </c>
      <c r="D158" s="55" t="s">
        <v>171</v>
      </c>
      <c r="E158" s="55" t="s">
        <v>101</v>
      </c>
      <c r="F158" s="61">
        <v>3</v>
      </c>
      <c r="G158" s="57">
        <v>80000</v>
      </c>
      <c r="H158" s="57">
        <f t="shared" ref="H158:H160" si="140">F158*G158</f>
        <v>240000</v>
      </c>
      <c r="I158" s="57">
        <v>50000</v>
      </c>
      <c r="J158" s="57">
        <f>F158*I158</f>
        <v>150000</v>
      </c>
      <c r="K158" s="57">
        <f>G158+I158</f>
        <v>130000</v>
      </c>
      <c r="L158" s="58">
        <f>F158*K158</f>
        <v>390000</v>
      </c>
      <c r="M158" s="177"/>
    </row>
    <row r="159" spans="1:13" s="59" customFormat="1" ht="18" customHeight="1">
      <c r="A159" s="60" t="s">
        <v>44</v>
      </c>
      <c r="B159" s="53" t="s">
        <v>583</v>
      </c>
      <c r="C159" s="62"/>
      <c r="D159" s="55" t="s">
        <v>171</v>
      </c>
      <c r="E159" s="55" t="s">
        <v>38</v>
      </c>
      <c r="F159" s="61">
        <v>9</v>
      </c>
      <c r="G159" s="57">
        <v>140000</v>
      </c>
      <c r="H159" s="57">
        <f>F159*G159</f>
        <v>1260000</v>
      </c>
      <c r="I159" s="57">
        <v>20000</v>
      </c>
      <c r="J159" s="57">
        <f>F159*I159</f>
        <v>180000</v>
      </c>
      <c r="K159" s="57">
        <f>G159+I159</f>
        <v>160000</v>
      </c>
      <c r="L159" s="58">
        <f>F159*K159</f>
        <v>1440000</v>
      </c>
      <c r="M159" s="177"/>
    </row>
    <row r="160" spans="1:13" s="437" customFormat="1" ht="18" customHeight="1">
      <c r="A160" s="366" t="s">
        <v>504</v>
      </c>
      <c r="B160" s="430" t="s">
        <v>582</v>
      </c>
      <c r="C160" s="431" t="s">
        <v>585</v>
      </c>
      <c r="D160" s="432" t="s">
        <v>171</v>
      </c>
      <c r="E160" s="432" t="s">
        <v>101</v>
      </c>
      <c r="F160" s="433"/>
      <c r="G160" s="434">
        <v>160000</v>
      </c>
      <c r="H160" s="434">
        <f t="shared" si="140"/>
        <v>0</v>
      </c>
      <c r="I160" s="434">
        <v>20000</v>
      </c>
      <c r="J160" s="434">
        <f>F160*I160</f>
        <v>0</v>
      </c>
      <c r="K160" s="434">
        <f>G160+I160</f>
        <v>180000</v>
      </c>
      <c r="L160" s="435">
        <f>F160*K160</f>
        <v>0</v>
      </c>
      <c r="M160" s="436" t="s">
        <v>627</v>
      </c>
    </row>
    <row r="161" spans="1:13" s="59" customFormat="1" ht="18" customHeight="1">
      <c r="A161" s="60" t="s">
        <v>44</v>
      </c>
      <c r="B161" s="53" t="s">
        <v>586</v>
      </c>
      <c r="C161" s="62" t="s">
        <v>585</v>
      </c>
      <c r="D161" s="55" t="s">
        <v>171</v>
      </c>
      <c r="E161" s="55" t="s">
        <v>38</v>
      </c>
      <c r="F161" s="61">
        <v>2</v>
      </c>
      <c r="G161" s="57">
        <v>140000</v>
      </c>
      <c r="H161" s="57">
        <f>F161*G161</f>
        <v>280000</v>
      </c>
      <c r="I161" s="57">
        <v>20000</v>
      </c>
      <c r="J161" s="57">
        <f>F161*I161</f>
        <v>40000</v>
      </c>
      <c r="K161" s="57">
        <f>G161+I161</f>
        <v>160000</v>
      </c>
      <c r="L161" s="58">
        <f>F161*K161</f>
        <v>320000</v>
      </c>
      <c r="M161" s="177"/>
    </row>
    <row r="162" spans="1:13" s="59" customFormat="1" ht="18" customHeight="1">
      <c r="A162" s="60"/>
      <c r="B162" s="53"/>
      <c r="C162" s="62"/>
      <c r="D162" s="55"/>
      <c r="E162" s="55"/>
      <c r="F162" s="61"/>
      <c r="G162" s="57"/>
      <c r="H162" s="57"/>
      <c r="I162" s="57"/>
      <c r="J162" s="57"/>
      <c r="K162" s="57"/>
      <c r="L162" s="58"/>
      <c r="M162" s="177"/>
    </row>
    <row r="163" spans="1:13" s="59" customFormat="1" ht="18" customHeight="1">
      <c r="A163" s="52">
        <v>-1</v>
      </c>
      <c r="B163" s="53" t="s">
        <v>422</v>
      </c>
      <c r="C163" s="54"/>
      <c r="D163" s="55"/>
      <c r="E163" s="55"/>
      <c r="F163" s="56"/>
      <c r="G163" s="57"/>
      <c r="H163" s="57"/>
      <c r="I163" s="57"/>
      <c r="J163" s="57"/>
      <c r="K163" s="57"/>
      <c r="L163" s="58"/>
      <c r="M163" s="177"/>
    </row>
    <row r="164" spans="1:13" s="59" customFormat="1" ht="18" customHeight="1">
      <c r="A164" s="60" t="s">
        <v>44</v>
      </c>
      <c r="B164" s="53" t="s">
        <v>306</v>
      </c>
      <c r="C164" s="62" t="s">
        <v>189</v>
      </c>
      <c r="D164" s="55" t="s">
        <v>234</v>
      </c>
      <c r="E164" s="55" t="s">
        <v>101</v>
      </c>
      <c r="F164" s="61">
        <v>6</v>
      </c>
      <c r="G164" s="57">
        <v>130000</v>
      </c>
      <c r="H164" s="57">
        <f>F164*G164</f>
        <v>780000</v>
      </c>
      <c r="I164" s="57">
        <v>50000</v>
      </c>
      <c r="J164" s="57">
        <f>F164*I164</f>
        <v>300000</v>
      </c>
      <c r="K164" s="57">
        <f>G164+I164</f>
        <v>180000</v>
      </c>
      <c r="L164" s="58">
        <f>F164*K164</f>
        <v>1080000</v>
      </c>
      <c r="M164" s="177"/>
    </row>
    <row r="165" spans="1:13" s="59" customFormat="1" ht="18" hidden="1" customHeight="1">
      <c r="A165" s="60" t="s">
        <v>160</v>
      </c>
      <c r="B165" s="53" t="s">
        <v>423</v>
      </c>
      <c r="C165" s="62" t="s">
        <v>389</v>
      </c>
      <c r="D165" s="55" t="s">
        <v>234</v>
      </c>
      <c r="E165" s="55" t="s">
        <v>38</v>
      </c>
      <c r="F165" s="61"/>
      <c r="G165" s="57">
        <v>120000</v>
      </c>
      <c r="H165" s="57">
        <f>F165*G165</f>
        <v>0</v>
      </c>
      <c r="I165" s="57">
        <v>20000</v>
      </c>
      <c r="J165" s="57">
        <f>F165*I165</f>
        <v>0</v>
      </c>
      <c r="K165" s="57">
        <f>G165+I165</f>
        <v>140000</v>
      </c>
      <c r="L165" s="58">
        <f>F165*K165</f>
        <v>0</v>
      </c>
      <c r="M165" s="177"/>
    </row>
    <row r="166" spans="1:13" s="59" customFormat="1" ht="18" hidden="1" customHeight="1">
      <c r="A166" s="60" t="s">
        <v>440</v>
      </c>
      <c r="B166" s="53" t="s">
        <v>441</v>
      </c>
      <c r="C166" s="62"/>
      <c r="D166" s="55" t="s">
        <v>442</v>
      </c>
      <c r="E166" s="55" t="s">
        <v>39</v>
      </c>
      <c r="F166" s="61"/>
      <c r="G166" s="57">
        <v>160000</v>
      </c>
      <c r="H166" s="57">
        <f t="shared" ref="H166" si="141">F166*G166</f>
        <v>0</v>
      </c>
      <c r="I166" s="57">
        <v>50000</v>
      </c>
      <c r="J166" s="57">
        <f t="shared" ref="J166" si="142">F166*I166</f>
        <v>0</v>
      </c>
      <c r="K166" s="57">
        <f t="shared" ref="K166" si="143">G166+I166</f>
        <v>210000</v>
      </c>
      <c r="L166" s="58">
        <f t="shared" ref="L166" si="144">F166*K166</f>
        <v>0</v>
      </c>
      <c r="M166" s="177"/>
    </row>
    <row r="167" spans="1:13" s="59" customFormat="1" ht="18" customHeight="1">
      <c r="A167" s="60" t="s">
        <v>44</v>
      </c>
      <c r="B167" s="53" t="s">
        <v>586</v>
      </c>
      <c r="C167" s="62" t="s">
        <v>433</v>
      </c>
      <c r="D167" s="55" t="s">
        <v>234</v>
      </c>
      <c r="E167" s="55" t="s">
        <v>38</v>
      </c>
      <c r="F167" s="61">
        <v>2</v>
      </c>
      <c r="G167" s="57">
        <v>140000</v>
      </c>
      <c r="H167" s="57">
        <f>F167*G167</f>
        <v>280000</v>
      </c>
      <c r="I167" s="57">
        <v>20000</v>
      </c>
      <c r="J167" s="57">
        <f>F167*I167</f>
        <v>40000</v>
      </c>
      <c r="K167" s="57">
        <f>G167+I167</f>
        <v>160000</v>
      </c>
      <c r="L167" s="58">
        <f>F167*K167</f>
        <v>320000</v>
      </c>
      <c r="M167" s="177"/>
    </row>
    <row r="168" spans="1:13" s="59" customFormat="1" ht="18" hidden="1" customHeight="1">
      <c r="A168" s="60"/>
      <c r="B168" s="53"/>
      <c r="C168" s="62"/>
      <c r="D168" s="55"/>
      <c r="E168" s="55"/>
      <c r="F168" s="61"/>
      <c r="G168" s="57"/>
      <c r="H168" s="57"/>
      <c r="I168" s="57"/>
      <c r="J168" s="57"/>
      <c r="K168" s="57"/>
      <c r="L168" s="58"/>
      <c r="M168" s="177"/>
    </row>
    <row r="169" spans="1:13" s="59" customFormat="1" ht="18" hidden="1" customHeight="1">
      <c r="A169" s="60">
        <v>-1</v>
      </c>
      <c r="B169" s="53" t="s">
        <v>435</v>
      </c>
      <c r="C169" s="62"/>
      <c r="D169" s="55"/>
      <c r="E169" s="55"/>
      <c r="F169" s="61"/>
      <c r="G169" s="57"/>
      <c r="H169" s="57"/>
      <c r="I169" s="57"/>
      <c r="J169" s="57"/>
      <c r="K169" s="57"/>
      <c r="L169" s="58"/>
      <c r="M169" s="177"/>
    </row>
    <row r="170" spans="1:13" s="59" customFormat="1" ht="18" hidden="1" customHeight="1">
      <c r="A170" s="60" t="s">
        <v>485</v>
      </c>
      <c r="B170" s="53" t="s">
        <v>486</v>
      </c>
      <c r="C170" s="62"/>
      <c r="D170" s="55" t="s">
        <v>437</v>
      </c>
      <c r="E170" s="55" t="s">
        <v>38</v>
      </c>
      <c r="F170" s="61"/>
      <c r="G170" s="57">
        <v>100000</v>
      </c>
      <c r="H170" s="57">
        <f>F170*G170</f>
        <v>0</v>
      </c>
      <c r="I170" s="57">
        <v>30000</v>
      </c>
      <c r="J170" s="57">
        <f>F170*I170</f>
        <v>0</v>
      </c>
      <c r="K170" s="57">
        <f>G170+I170</f>
        <v>130000</v>
      </c>
      <c r="L170" s="58">
        <f>F170*K170</f>
        <v>0</v>
      </c>
      <c r="M170" s="177"/>
    </row>
    <row r="171" spans="1:13" s="59" customFormat="1" ht="18" hidden="1" customHeight="1">
      <c r="A171" s="60" t="s">
        <v>485</v>
      </c>
      <c r="B171" s="53" t="s">
        <v>487</v>
      </c>
      <c r="C171" s="62"/>
      <c r="D171" s="55" t="s">
        <v>438</v>
      </c>
      <c r="E171" s="55" t="s">
        <v>38</v>
      </c>
      <c r="F171" s="61"/>
      <c r="G171" s="57">
        <v>100000</v>
      </c>
      <c r="H171" s="57">
        <f>F171*G171</f>
        <v>0</v>
      </c>
      <c r="I171" s="57">
        <v>30000</v>
      </c>
      <c r="J171" s="57">
        <f>F171*I171</f>
        <v>0</v>
      </c>
      <c r="K171" s="57">
        <f>G171+I171</f>
        <v>130000</v>
      </c>
      <c r="L171" s="58">
        <f>F171*K171</f>
        <v>0</v>
      </c>
      <c r="M171" s="177"/>
    </row>
    <row r="172" spans="1:13" s="59" customFormat="1" ht="18" hidden="1" customHeight="1">
      <c r="A172" s="60" t="s">
        <v>12</v>
      </c>
      <c r="B172" s="53" t="s">
        <v>436</v>
      </c>
      <c r="C172" s="62"/>
      <c r="D172" s="55" t="s">
        <v>437</v>
      </c>
      <c r="E172" s="55" t="s">
        <v>38</v>
      </c>
      <c r="F172" s="61"/>
      <c r="G172" s="57">
        <v>120000</v>
      </c>
      <c r="H172" s="57">
        <f>F172*G172</f>
        <v>0</v>
      </c>
      <c r="I172" s="57">
        <v>20000</v>
      </c>
      <c r="J172" s="57">
        <f>F172*I172</f>
        <v>0</v>
      </c>
      <c r="K172" s="57">
        <f>G172+I172</f>
        <v>140000</v>
      </c>
      <c r="L172" s="58">
        <f>F172*K172</f>
        <v>0</v>
      </c>
      <c r="M172" s="177"/>
    </row>
    <row r="173" spans="1:13" s="59" customFormat="1" ht="18" hidden="1" customHeight="1">
      <c r="A173" s="60" t="s">
        <v>160</v>
      </c>
      <c r="B173" s="53" t="s">
        <v>436</v>
      </c>
      <c r="C173" s="62"/>
      <c r="D173" s="55" t="s">
        <v>438</v>
      </c>
      <c r="E173" s="55" t="s">
        <v>38</v>
      </c>
      <c r="F173" s="61"/>
      <c r="G173" s="57">
        <v>120000</v>
      </c>
      <c r="H173" s="57">
        <f>F173*G173</f>
        <v>0</v>
      </c>
      <c r="I173" s="57">
        <v>20000</v>
      </c>
      <c r="J173" s="57">
        <f>F173*I173</f>
        <v>0</v>
      </c>
      <c r="K173" s="57">
        <f>G173+I173</f>
        <v>140000</v>
      </c>
      <c r="L173" s="58">
        <f>F173*K173</f>
        <v>0</v>
      </c>
      <c r="M173" s="177"/>
    </row>
    <row r="174" spans="1:13" s="59" customFormat="1" ht="18" hidden="1" customHeight="1">
      <c r="A174" s="60" t="s">
        <v>160</v>
      </c>
      <c r="B174" s="53" t="s">
        <v>312</v>
      </c>
      <c r="C174" s="62"/>
      <c r="D174" s="55" t="s">
        <v>439</v>
      </c>
      <c r="E174" s="55" t="s">
        <v>39</v>
      </c>
      <c r="F174" s="61"/>
      <c r="G174" s="57">
        <v>160000</v>
      </c>
      <c r="H174" s="57">
        <f t="shared" ref="H174" si="145">F174*G174</f>
        <v>0</v>
      </c>
      <c r="I174" s="57">
        <v>50000</v>
      </c>
      <c r="J174" s="57">
        <f t="shared" ref="J174" si="146">F174*I174</f>
        <v>0</v>
      </c>
      <c r="K174" s="57">
        <f t="shared" ref="K174" si="147">G174+I174</f>
        <v>210000</v>
      </c>
      <c r="L174" s="58">
        <f t="shared" ref="L174" si="148">F174*K174</f>
        <v>0</v>
      </c>
      <c r="M174" s="177"/>
    </row>
    <row r="175" spans="1:13" s="59" customFormat="1" ht="18" hidden="1" customHeight="1">
      <c r="A175" s="60" t="s">
        <v>302</v>
      </c>
      <c r="B175" s="310" t="s">
        <v>303</v>
      </c>
      <c r="C175" s="62"/>
      <c r="D175" s="55" t="s">
        <v>304</v>
      </c>
      <c r="E175" s="55" t="s">
        <v>164</v>
      </c>
      <c r="F175" s="61"/>
      <c r="G175" s="57">
        <v>150000</v>
      </c>
      <c r="H175" s="57">
        <f>F175*G175</f>
        <v>0</v>
      </c>
      <c r="I175" s="57">
        <v>30000</v>
      </c>
      <c r="J175" s="57">
        <f>F175*I175</f>
        <v>0</v>
      </c>
      <c r="K175" s="57">
        <f>G175+I175</f>
        <v>180000</v>
      </c>
      <c r="L175" s="58">
        <f>F175*K175</f>
        <v>0</v>
      </c>
      <c r="M175" s="177"/>
    </row>
    <row r="176" spans="1:13" s="59" customFormat="1" ht="18" customHeight="1">
      <c r="A176" s="60"/>
      <c r="B176" s="310"/>
      <c r="C176" s="62"/>
      <c r="D176" s="55"/>
      <c r="E176" s="55"/>
      <c r="F176" s="61"/>
      <c r="G176" s="57"/>
      <c r="H176" s="57"/>
      <c r="I176" s="57"/>
      <c r="J176" s="57"/>
      <c r="K176" s="57"/>
      <c r="L176" s="58"/>
      <c r="M176" s="177"/>
    </row>
    <row r="177" spans="1:13" s="59" customFormat="1" ht="18" customHeight="1">
      <c r="A177" s="167" t="s">
        <v>308</v>
      </c>
      <c r="B177" s="168" t="s">
        <v>309</v>
      </c>
      <c r="C177" s="169"/>
      <c r="D177" s="261"/>
      <c r="E177" s="261" t="s">
        <v>38</v>
      </c>
      <c r="F177" s="266">
        <v>1</v>
      </c>
      <c r="G177" s="262">
        <v>0</v>
      </c>
      <c r="H177" s="262">
        <f t="shared" ref="H177" si="149">F177*G177</f>
        <v>0</v>
      </c>
      <c r="I177" s="262">
        <v>0</v>
      </c>
      <c r="J177" s="262">
        <f t="shared" ref="J177" si="150">F177*I177</f>
        <v>0</v>
      </c>
      <c r="K177" s="262">
        <f t="shared" ref="K177" si="151">G177+I177</f>
        <v>0</v>
      </c>
      <c r="L177" s="263">
        <f t="shared" ref="L177" si="152">F177*K177</f>
        <v>0</v>
      </c>
      <c r="M177" s="177"/>
    </row>
    <row r="178" spans="1:13" ht="18" customHeight="1">
      <c r="A178" s="167"/>
      <c r="B178" s="497" t="s">
        <v>507</v>
      </c>
      <c r="C178" s="498"/>
      <c r="D178" s="498"/>
      <c r="E178" s="498"/>
      <c r="F178" s="498"/>
      <c r="G178" s="498"/>
      <c r="H178" s="498"/>
      <c r="I178" s="498"/>
      <c r="J178" s="498"/>
      <c r="K178" s="498"/>
      <c r="L178" s="499"/>
      <c r="M178" s="177"/>
    </row>
    <row r="179" spans="1:13" s="20" customFormat="1" ht="18" customHeight="1">
      <c r="A179" s="13"/>
      <c r="B179" s="13" t="s">
        <v>13</v>
      </c>
      <c r="C179" s="15"/>
      <c r="D179" s="16"/>
      <c r="E179" s="16"/>
      <c r="F179" s="173"/>
      <c r="G179" s="48"/>
      <c r="H179" s="48">
        <f>SUM(H92:H178)</f>
        <v>15864000</v>
      </c>
      <c r="I179" s="48"/>
      <c r="J179" s="48">
        <f>SUM(J92:J178)</f>
        <v>4105000</v>
      </c>
      <c r="K179" s="48"/>
      <c r="L179" s="48">
        <f>SUM(L92:L178)</f>
        <v>19969000</v>
      </c>
      <c r="M179" s="177"/>
    </row>
    <row r="180" spans="1:13" ht="18" customHeight="1">
      <c r="A180" s="13"/>
      <c r="B180" s="14"/>
      <c r="C180" s="12"/>
      <c r="D180" s="5"/>
      <c r="E180" s="5"/>
      <c r="F180" s="173"/>
      <c r="G180" s="28"/>
      <c r="H180" s="28"/>
      <c r="I180" s="28"/>
      <c r="J180" s="28"/>
      <c r="K180" s="28"/>
      <c r="L180" s="29"/>
      <c r="M180" s="177"/>
    </row>
    <row r="181" spans="1:13" s="20" customFormat="1" ht="18" customHeight="1">
      <c r="A181" s="44" t="s">
        <v>31</v>
      </c>
      <c r="B181" s="45" t="s">
        <v>102</v>
      </c>
      <c r="C181" s="46"/>
      <c r="D181" s="16"/>
      <c r="E181" s="16"/>
      <c r="F181" s="173"/>
      <c r="G181" s="48"/>
      <c r="H181" s="48"/>
      <c r="I181" s="48"/>
      <c r="J181" s="48"/>
      <c r="K181" s="48"/>
      <c r="L181" s="49"/>
      <c r="M181" s="177"/>
    </row>
    <row r="182" spans="1:13" s="59" customFormat="1" ht="18" customHeight="1">
      <c r="A182" s="52">
        <v>-1</v>
      </c>
      <c r="B182" s="53" t="s">
        <v>103</v>
      </c>
      <c r="C182" s="54"/>
      <c r="D182" s="55"/>
      <c r="E182" s="55"/>
      <c r="F182" s="56"/>
      <c r="G182" s="57"/>
      <c r="H182" s="57"/>
      <c r="I182" s="57"/>
      <c r="J182" s="57"/>
      <c r="K182" s="57"/>
      <c r="L182" s="58"/>
      <c r="M182" s="177"/>
    </row>
    <row r="183" spans="1:13" s="59" customFormat="1" ht="18" customHeight="1">
      <c r="A183" s="52">
        <v>-1</v>
      </c>
      <c r="B183" s="53" t="s">
        <v>443</v>
      </c>
      <c r="C183" s="54"/>
      <c r="D183" s="55"/>
      <c r="E183" s="55"/>
      <c r="F183" s="56"/>
      <c r="G183" s="57"/>
      <c r="H183" s="57"/>
      <c r="I183" s="57"/>
      <c r="J183" s="57"/>
      <c r="K183" s="57"/>
      <c r="L183" s="58"/>
      <c r="M183" s="177"/>
    </row>
    <row r="184" spans="1:13" s="275" customFormat="1" ht="18" hidden="1" customHeight="1">
      <c r="A184" s="358" t="s">
        <v>12</v>
      </c>
      <c r="B184" s="359" t="s">
        <v>360</v>
      </c>
      <c r="C184" s="360" t="s">
        <v>364</v>
      </c>
      <c r="D184" s="358" t="s">
        <v>234</v>
      </c>
      <c r="E184" s="361" t="s">
        <v>164</v>
      </c>
      <c r="F184" s="362">
        <v>0</v>
      </c>
      <c r="G184" s="363">
        <v>31000</v>
      </c>
      <c r="H184" s="363">
        <f t="shared" ref="H184" si="153">F184*G184</f>
        <v>0</v>
      </c>
      <c r="I184" s="363">
        <v>10000</v>
      </c>
      <c r="J184" s="363">
        <f t="shared" ref="J184" si="154">F184*I184</f>
        <v>0</v>
      </c>
      <c r="K184" s="363">
        <f t="shared" ref="K184" si="155">G184+I184</f>
        <v>41000</v>
      </c>
      <c r="L184" s="364">
        <f t="shared" ref="L184" si="156">F184*K184</f>
        <v>0</v>
      </c>
      <c r="M184" s="365"/>
    </row>
    <row r="185" spans="1:13" s="357" customFormat="1" ht="18" hidden="1" customHeight="1">
      <c r="A185" s="349" t="s">
        <v>310</v>
      </c>
      <c r="B185" s="350" t="s">
        <v>367</v>
      </c>
      <c r="C185" s="351" t="s">
        <v>368</v>
      </c>
      <c r="D185" s="352" t="s">
        <v>311</v>
      </c>
      <c r="E185" s="352" t="s">
        <v>38</v>
      </c>
      <c r="F185" s="353">
        <v>0</v>
      </c>
      <c r="G185" s="354">
        <v>58100</v>
      </c>
      <c r="H185" s="354">
        <f>F185*G185</f>
        <v>0</v>
      </c>
      <c r="I185" s="354">
        <v>20000</v>
      </c>
      <c r="J185" s="354">
        <f t="shared" ref="J185:J190" si="157">F185*I185</f>
        <v>0</v>
      </c>
      <c r="K185" s="354">
        <f t="shared" ref="K185:K190" si="158">G185+I185</f>
        <v>78100</v>
      </c>
      <c r="L185" s="355">
        <f t="shared" ref="L185:L190" si="159">F185*K185</f>
        <v>0</v>
      </c>
      <c r="M185" s="356"/>
    </row>
    <row r="186" spans="1:13" s="437" customFormat="1" ht="18" customHeight="1">
      <c r="A186" s="442" t="s">
        <v>160</v>
      </c>
      <c r="B186" s="430" t="s">
        <v>552</v>
      </c>
      <c r="C186" s="431" t="s">
        <v>605</v>
      </c>
      <c r="D186" s="432" t="s">
        <v>444</v>
      </c>
      <c r="E186" s="432" t="s">
        <v>164</v>
      </c>
      <c r="F186" s="433"/>
      <c r="G186" s="434">
        <v>38000</v>
      </c>
      <c r="H186" s="434">
        <f>F186*G186</f>
        <v>0</v>
      </c>
      <c r="I186" s="434">
        <v>5000</v>
      </c>
      <c r="J186" s="434">
        <f>F186*I186</f>
        <v>0</v>
      </c>
      <c r="K186" s="434">
        <f>G186+I186</f>
        <v>43000</v>
      </c>
      <c r="L186" s="435">
        <f>F186*K186</f>
        <v>0</v>
      </c>
      <c r="M186" s="443" t="s">
        <v>627</v>
      </c>
    </row>
    <row r="187" spans="1:13" s="437" customFormat="1" ht="18" customHeight="1">
      <c r="A187" s="442" t="s">
        <v>160</v>
      </c>
      <c r="B187" s="430" t="s">
        <v>552</v>
      </c>
      <c r="C187" s="431" t="s">
        <v>445</v>
      </c>
      <c r="D187" s="432" t="s">
        <v>444</v>
      </c>
      <c r="E187" s="432" t="s">
        <v>38</v>
      </c>
      <c r="F187" s="433"/>
      <c r="G187" s="434">
        <v>22000</v>
      </c>
      <c r="H187" s="434">
        <f>F187*G187</f>
        <v>0</v>
      </c>
      <c r="I187" s="434">
        <v>5000</v>
      </c>
      <c r="J187" s="434">
        <f>F187*I187</f>
        <v>0</v>
      </c>
      <c r="K187" s="434">
        <f>G187+I187</f>
        <v>27000</v>
      </c>
      <c r="L187" s="435">
        <f>F187*K187</f>
        <v>0</v>
      </c>
      <c r="M187" s="443" t="s">
        <v>627</v>
      </c>
    </row>
    <row r="188" spans="1:13" s="417" customFormat="1" ht="18" hidden="1" customHeight="1">
      <c r="A188" s="410" t="s">
        <v>160</v>
      </c>
      <c r="B188" s="411" t="s">
        <v>552</v>
      </c>
      <c r="C188" s="412" t="s">
        <v>445</v>
      </c>
      <c r="D188" s="413" t="s">
        <v>223</v>
      </c>
      <c r="E188" s="413" t="s">
        <v>38</v>
      </c>
      <c r="F188" s="414"/>
      <c r="G188" s="415">
        <v>22000</v>
      </c>
      <c r="H188" s="415">
        <f>F188*G188</f>
        <v>0</v>
      </c>
      <c r="I188" s="415">
        <v>5000</v>
      </c>
      <c r="J188" s="415">
        <f>F188*I188</f>
        <v>0</v>
      </c>
      <c r="K188" s="415">
        <f>G188+I188</f>
        <v>27000</v>
      </c>
      <c r="L188" s="416">
        <f>F188*K188</f>
        <v>0</v>
      </c>
      <c r="M188" s="418"/>
    </row>
    <row r="189" spans="1:13" s="417" customFormat="1" ht="18" customHeight="1">
      <c r="A189" s="410" t="s">
        <v>216</v>
      </c>
      <c r="B189" s="411" t="s">
        <v>552</v>
      </c>
      <c r="C189" s="412" t="s">
        <v>241</v>
      </c>
      <c r="D189" s="413" t="s">
        <v>223</v>
      </c>
      <c r="E189" s="413" t="s">
        <v>239</v>
      </c>
      <c r="F189" s="414">
        <v>4</v>
      </c>
      <c r="G189" s="415">
        <v>32500</v>
      </c>
      <c r="H189" s="415">
        <f t="shared" ref="H189:H190" si="160">F189*G189</f>
        <v>130000</v>
      </c>
      <c r="I189" s="415">
        <v>5000</v>
      </c>
      <c r="J189" s="415">
        <f t="shared" si="157"/>
        <v>20000</v>
      </c>
      <c r="K189" s="415">
        <f t="shared" si="158"/>
        <v>37500</v>
      </c>
      <c r="L189" s="416">
        <f t="shared" si="159"/>
        <v>150000</v>
      </c>
      <c r="M189" s="418"/>
    </row>
    <row r="190" spans="1:13" s="417" customFormat="1" ht="18" customHeight="1">
      <c r="A190" s="410" t="s">
        <v>216</v>
      </c>
      <c r="B190" s="411" t="s">
        <v>552</v>
      </c>
      <c r="C190" s="412" t="s">
        <v>606</v>
      </c>
      <c r="D190" s="413" t="s">
        <v>223</v>
      </c>
      <c r="E190" s="413" t="s">
        <v>239</v>
      </c>
      <c r="F190" s="414">
        <v>1</v>
      </c>
      <c r="G190" s="415">
        <v>49000</v>
      </c>
      <c r="H190" s="415">
        <f t="shared" si="160"/>
        <v>49000</v>
      </c>
      <c r="I190" s="415">
        <v>5000</v>
      </c>
      <c r="J190" s="415">
        <f t="shared" si="157"/>
        <v>5000</v>
      </c>
      <c r="K190" s="415">
        <f t="shared" si="158"/>
        <v>54000</v>
      </c>
      <c r="L190" s="416">
        <f t="shared" si="159"/>
        <v>54000</v>
      </c>
      <c r="M190" s="418"/>
    </row>
    <row r="191" spans="1:13" s="417" customFormat="1" ht="18" hidden="1" customHeight="1">
      <c r="A191" s="410" t="s">
        <v>216</v>
      </c>
      <c r="B191" s="411" t="s">
        <v>552</v>
      </c>
      <c r="C191" s="412" t="s">
        <v>240</v>
      </c>
      <c r="D191" s="413" t="s">
        <v>223</v>
      </c>
      <c r="E191" s="413" t="s">
        <v>239</v>
      </c>
      <c r="F191" s="414"/>
      <c r="G191" s="415">
        <v>22600</v>
      </c>
      <c r="H191" s="415">
        <f>F191*G191</f>
        <v>0</v>
      </c>
      <c r="I191" s="415">
        <v>5000</v>
      </c>
      <c r="J191" s="415">
        <f>F191*I191</f>
        <v>0</v>
      </c>
      <c r="K191" s="415">
        <f>G191+I191</f>
        <v>27600</v>
      </c>
      <c r="L191" s="416">
        <f>F191*K191</f>
        <v>0</v>
      </c>
      <c r="M191" s="418" t="s">
        <v>317</v>
      </c>
    </row>
    <row r="192" spans="1:13" s="417" customFormat="1" ht="18" hidden="1" customHeight="1">
      <c r="A192" s="410" t="s">
        <v>160</v>
      </c>
      <c r="B192" s="411" t="s">
        <v>552</v>
      </c>
      <c r="C192" s="412" t="s">
        <v>551</v>
      </c>
      <c r="D192" s="413" t="s">
        <v>223</v>
      </c>
      <c r="E192" s="413" t="s">
        <v>38</v>
      </c>
      <c r="F192" s="414"/>
      <c r="G192" s="415">
        <v>73300</v>
      </c>
      <c r="H192" s="415">
        <f t="shared" ref="H192" si="161">F192*G192</f>
        <v>0</v>
      </c>
      <c r="I192" s="415">
        <v>5000</v>
      </c>
      <c r="J192" s="415">
        <f t="shared" ref="J192" si="162">F192*I192</f>
        <v>0</v>
      </c>
      <c r="K192" s="415">
        <f t="shared" ref="K192" si="163">G192+I192</f>
        <v>78300</v>
      </c>
      <c r="L192" s="416">
        <f t="shared" ref="L192" si="164">F192*K192</f>
        <v>0</v>
      </c>
      <c r="M192" s="418" t="s">
        <v>317</v>
      </c>
    </row>
    <row r="193" spans="1:13" s="417" customFormat="1" ht="18" hidden="1" customHeight="1">
      <c r="A193" s="410" t="s">
        <v>44</v>
      </c>
      <c r="B193" s="411" t="s">
        <v>552</v>
      </c>
      <c r="C193" s="412" t="s">
        <v>446</v>
      </c>
      <c r="D193" s="413" t="s">
        <v>223</v>
      </c>
      <c r="E193" s="413" t="s">
        <v>38</v>
      </c>
      <c r="F193" s="414"/>
      <c r="G193" s="415">
        <v>28500</v>
      </c>
      <c r="H193" s="415">
        <f t="shared" ref="H193" si="165">F193*G193</f>
        <v>0</v>
      </c>
      <c r="I193" s="415">
        <v>5000</v>
      </c>
      <c r="J193" s="415">
        <f t="shared" ref="J193" si="166">F193*I193</f>
        <v>0</v>
      </c>
      <c r="K193" s="415">
        <f t="shared" ref="K193" si="167">G193+I193</f>
        <v>33500</v>
      </c>
      <c r="L193" s="416">
        <f t="shared" ref="L193" si="168">F193*K193</f>
        <v>0</v>
      </c>
      <c r="M193" s="418" t="s">
        <v>317</v>
      </c>
    </row>
    <row r="194" spans="1:13" s="417" customFormat="1" ht="18" hidden="1" customHeight="1">
      <c r="A194" s="410" t="s">
        <v>44</v>
      </c>
      <c r="B194" s="411" t="s">
        <v>552</v>
      </c>
      <c r="C194" s="412" t="s">
        <v>550</v>
      </c>
      <c r="D194" s="413" t="s">
        <v>223</v>
      </c>
      <c r="E194" s="413" t="s">
        <v>38</v>
      </c>
      <c r="F194" s="414"/>
      <c r="G194" s="415">
        <v>47300</v>
      </c>
      <c r="H194" s="415">
        <f t="shared" ref="H194" si="169">F194*G194</f>
        <v>0</v>
      </c>
      <c r="I194" s="415">
        <v>5000</v>
      </c>
      <c r="J194" s="415">
        <f t="shared" ref="J194" si="170">F194*I194</f>
        <v>0</v>
      </c>
      <c r="K194" s="415">
        <f t="shared" ref="K194" si="171">G194+I194</f>
        <v>52300</v>
      </c>
      <c r="L194" s="416">
        <f t="shared" ref="L194" si="172">F194*K194</f>
        <v>0</v>
      </c>
      <c r="M194" s="418" t="s">
        <v>317</v>
      </c>
    </row>
    <row r="195" spans="1:13" s="59" customFormat="1" ht="18" hidden="1" customHeight="1">
      <c r="A195" s="60" t="s">
        <v>12</v>
      </c>
      <c r="B195" s="53" t="s">
        <v>554</v>
      </c>
      <c r="C195" s="62" t="s">
        <v>555</v>
      </c>
      <c r="D195" s="55" t="s">
        <v>223</v>
      </c>
      <c r="E195" s="55" t="s">
        <v>38</v>
      </c>
      <c r="F195" s="61">
        <v>0</v>
      </c>
      <c r="G195" s="57">
        <v>70000</v>
      </c>
      <c r="H195" s="57">
        <f>F195*G195</f>
        <v>0</v>
      </c>
      <c r="I195" s="57">
        <v>20000</v>
      </c>
      <c r="J195" s="57">
        <f>F195*I195</f>
        <v>0</v>
      </c>
      <c r="K195" s="57">
        <f>G195+I195</f>
        <v>90000</v>
      </c>
      <c r="L195" s="58">
        <f>F195*K195</f>
        <v>0</v>
      </c>
      <c r="M195" s="177"/>
    </row>
    <row r="196" spans="1:13" s="59" customFormat="1" ht="18" customHeight="1">
      <c r="A196" s="60" t="s">
        <v>12</v>
      </c>
      <c r="B196" s="53" t="s">
        <v>268</v>
      </c>
      <c r="C196" s="62"/>
      <c r="D196" s="55" t="s">
        <v>448</v>
      </c>
      <c r="E196" s="55" t="s">
        <v>38</v>
      </c>
      <c r="F196" s="61">
        <v>40</v>
      </c>
      <c r="G196" s="57">
        <v>5000</v>
      </c>
      <c r="H196" s="57">
        <f>F196*G196</f>
        <v>200000</v>
      </c>
      <c r="I196" s="57">
        <v>8000</v>
      </c>
      <c r="J196" s="57">
        <f>F196*I196</f>
        <v>320000</v>
      </c>
      <c r="K196" s="57">
        <f>G196+I196</f>
        <v>13000</v>
      </c>
      <c r="L196" s="58">
        <f>F196*K196</f>
        <v>520000</v>
      </c>
      <c r="M196" s="177"/>
    </row>
    <row r="197" spans="1:13" s="417" customFormat="1" ht="18" hidden="1" customHeight="1">
      <c r="A197" s="258" t="s">
        <v>322</v>
      </c>
      <c r="B197" s="411" t="s">
        <v>548</v>
      </c>
      <c r="C197" s="412" t="s">
        <v>549</v>
      </c>
      <c r="D197" s="413" t="s">
        <v>223</v>
      </c>
      <c r="E197" s="413" t="s">
        <v>38</v>
      </c>
      <c r="F197" s="414">
        <v>0</v>
      </c>
      <c r="G197" s="415">
        <v>0</v>
      </c>
      <c r="H197" s="415">
        <f>F197*G197</f>
        <v>0</v>
      </c>
      <c r="I197" s="415">
        <v>8000</v>
      </c>
      <c r="J197" s="415">
        <f>F197*I197</f>
        <v>0</v>
      </c>
      <c r="K197" s="415">
        <f>G197+I197</f>
        <v>8000</v>
      </c>
      <c r="L197" s="416">
        <f>F197*K197</f>
        <v>0</v>
      </c>
      <c r="M197" s="418"/>
    </row>
    <row r="198" spans="1:13" s="59" customFormat="1" ht="18" customHeight="1">
      <c r="A198" s="60" t="s">
        <v>12</v>
      </c>
      <c r="B198" s="53" t="s">
        <v>104</v>
      </c>
      <c r="C198" s="62" t="s">
        <v>264</v>
      </c>
      <c r="D198" s="60" t="s">
        <v>223</v>
      </c>
      <c r="E198" s="55" t="s">
        <v>39</v>
      </c>
      <c r="F198" s="61">
        <f>2.85+2.85+3.6</f>
        <v>9.3000000000000007</v>
      </c>
      <c r="G198" s="57">
        <v>24000</v>
      </c>
      <c r="H198" s="57">
        <f t="shared" ref="H198:H199" si="173">F198*G198</f>
        <v>223200.00000000003</v>
      </c>
      <c r="I198" s="57">
        <v>20000</v>
      </c>
      <c r="J198" s="57">
        <f t="shared" ref="J198:J199" si="174">F198*I198</f>
        <v>186000</v>
      </c>
      <c r="K198" s="57">
        <f t="shared" ref="K198:K199" si="175">G198+I198</f>
        <v>44000</v>
      </c>
      <c r="L198" s="58">
        <f t="shared" ref="L198:L199" si="176">F198*K198</f>
        <v>409200.00000000006</v>
      </c>
      <c r="M198" s="177"/>
    </row>
    <row r="199" spans="1:13" s="59" customFormat="1" ht="18" customHeight="1">
      <c r="A199" s="60" t="s">
        <v>294</v>
      </c>
      <c r="B199" s="53" t="s">
        <v>104</v>
      </c>
      <c r="C199" s="62" t="s">
        <v>265</v>
      </c>
      <c r="D199" s="55" t="s">
        <v>223</v>
      </c>
      <c r="E199" s="55" t="s">
        <v>164</v>
      </c>
      <c r="F199" s="61">
        <v>3</v>
      </c>
      <c r="G199" s="57">
        <v>18000</v>
      </c>
      <c r="H199" s="57">
        <f t="shared" si="173"/>
        <v>54000</v>
      </c>
      <c r="I199" s="57">
        <v>5000</v>
      </c>
      <c r="J199" s="57">
        <f t="shared" si="174"/>
        <v>15000</v>
      </c>
      <c r="K199" s="57">
        <f t="shared" si="175"/>
        <v>23000</v>
      </c>
      <c r="L199" s="58">
        <f t="shared" si="176"/>
        <v>69000</v>
      </c>
      <c r="M199" s="311"/>
    </row>
    <row r="200" spans="1:13" s="59" customFormat="1" ht="18" customHeight="1">
      <c r="A200" s="60"/>
      <c r="B200" s="53"/>
      <c r="C200" s="62"/>
      <c r="D200" s="55"/>
      <c r="E200" s="55"/>
      <c r="F200" s="61"/>
      <c r="G200" s="57"/>
      <c r="H200" s="57"/>
      <c r="I200" s="57"/>
      <c r="J200" s="57"/>
      <c r="K200" s="57"/>
      <c r="L200" s="58"/>
      <c r="M200" s="311"/>
    </row>
    <row r="201" spans="1:13" s="59" customFormat="1" ht="18" customHeight="1">
      <c r="A201" s="60">
        <v>-1</v>
      </c>
      <c r="B201" s="53" t="s">
        <v>449</v>
      </c>
      <c r="C201" s="62"/>
      <c r="D201" s="55"/>
      <c r="E201" s="55"/>
      <c r="F201" s="61"/>
      <c r="G201" s="57"/>
      <c r="H201" s="57"/>
      <c r="I201" s="57"/>
      <c r="J201" s="57"/>
      <c r="K201" s="57"/>
      <c r="L201" s="58"/>
      <c r="M201" s="311"/>
    </row>
    <row r="202" spans="1:13" s="59" customFormat="1" ht="18" customHeight="1">
      <c r="A202" s="60" t="s">
        <v>12</v>
      </c>
      <c r="B202" s="53" t="s">
        <v>268</v>
      </c>
      <c r="C202" s="62"/>
      <c r="D202" s="55" t="s">
        <v>319</v>
      </c>
      <c r="E202" s="55" t="s">
        <v>38</v>
      </c>
      <c r="F202" s="61">
        <v>4</v>
      </c>
      <c r="G202" s="57">
        <v>5000</v>
      </c>
      <c r="H202" s="57">
        <f>F202*G202</f>
        <v>20000</v>
      </c>
      <c r="I202" s="57">
        <v>8000</v>
      </c>
      <c r="J202" s="57">
        <f>F202*I202</f>
        <v>32000</v>
      </c>
      <c r="K202" s="57">
        <f>G202+I202</f>
        <v>13000</v>
      </c>
      <c r="L202" s="58">
        <f>F202*K202</f>
        <v>52000</v>
      </c>
      <c r="M202" s="177"/>
    </row>
    <row r="203" spans="1:13" s="59" customFormat="1" ht="18" customHeight="1">
      <c r="A203" s="60" t="s">
        <v>12</v>
      </c>
      <c r="B203" s="53" t="s">
        <v>104</v>
      </c>
      <c r="C203" s="62" t="s">
        <v>264</v>
      </c>
      <c r="D203" s="55" t="s">
        <v>319</v>
      </c>
      <c r="E203" s="55" t="s">
        <v>39</v>
      </c>
      <c r="F203" s="61">
        <v>0</v>
      </c>
      <c r="G203" s="57">
        <v>24000</v>
      </c>
      <c r="H203" s="57">
        <f t="shared" ref="H203:H204" si="177">F203*G203</f>
        <v>0</v>
      </c>
      <c r="I203" s="57">
        <v>20000</v>
      </c>
      <c r="J203" s="57">
        <f t="shared" ref="J203:J204" si="178">F203*I203</f>
        <v>0</v>
      </c>
      <c r="K203" s="57">
        <f t="shared" ref="K203:K204" si="179">G203+I203</f>
        <v>44000</v>
      </c>
      <c r="L203" s="58">
        <f t="shared" ref="L203:L204" si="180">F203*K203</f>
        <v>0</v>
      </c>
      <c r="M203" s="177"/>
    </row>
    <row r="204" spans="1:13" s="59" customFormat="1" ht="18" customHeight="1">
      <c r="A204" s="60" t="s">
        <v>294</v>
      </c>
      <c r="B204" s="53" t="s">
        <v>104</v>
      </c>
      <c r="C204" s="62" t="s">
        <v>265</v>
      </c>
      <c r="D204" s="55" t="s">
        <v>319</v>
      </c>
      <c r="E204" s="55" t="s">
        <v>164</v>
      </c>
      <c r="F204" s="61">
        <v>0</v>
      </c>
      <c r="G204" s="57">
        <v>18000</v>
      </c>
      <c r="H204" s="57">
        <f t="shared" si="177"/>
        <v>0</v>
      </c>
      <c r="I204" s="57">
        <v>5000</v>
      </c>
      <c r="J204" s="57">
        <f t="shared" si="178"/>
        <v>0</v>
      </c>
      <c r="K204" s="57">
        <f t="shared" si="179"/>
        <v>23000</v>
      </c>
      <c r="L204" s="58">
        <f t="shared" si="180"/>
        <v>0</v>
      </c>
      <c r="M204" s="311"/>
    </row>
    <row r="205" spans="1:13" s="59" customFormat="1" ht="18" customHeight="1">
      <c r="A205" s="60"/>
      <c r="B205" s="53"/>
      <c r="C205" s="62"/>
      <c r="D205" s="55"/>
      <c r="E205" s="55"/>
      <c r="F205" s="61"/>
      <c r="G205" s="57"/>
      <c r="H205" s="57"/>
      <c r="I205" s="57"/>
      <c r="J205" s="57"/>
      <c r="K205" s="57"/>
      <c r="L205" s="58"/>
      <c r="M205" s="311"/>
    </row>
    <row r="206" spans="1:13" s="59" customFormat="1" ht="18" customHeight="1">
      <c r="A206" s="60">
        <v>-1</v>
      </c>
      <c r="B206" s="53" t="s">
        <v>578</v>
      </c>
      <c r="C206" s="62"/>
      <c r="D206" s="55"/>
      <c r="E206" s="55"/>
      <c r="F206" s="61"/>
      <c r="G206" s="57"/>
      <c r="H206" s="57"/>
      <c r="I206" s="57"/>
      <c r="J206" s="57"/>
      <c r="K206" s="57"/>
      <c r="L206" s="58"/>
      <c r="M206" s="311"/>
    </row>
    <row r="207" spans="1:13" s="59" customFormat="1" ht="18" customHeight="1">
      <c r="A207" s="60" t="s">
        <v>44</v>
      </c>
      <c r="B207" s="411" t="s">
        <v>552</v>
      </c>
      <c r="C207" s="412" t="s">
        <v>608</v>
      </c>
      <c r="D207" s="413" t="s">
        <v>578</v>
      </c>
      <c r="E207" s="413" t="s">
        <v>38</v>
      </c>
      <c r="F207" s="414">
        <v>1</v>
      </c>
      <c r="G207" s="415">
        <v>71000</v>
      </c>
      <c r="H207" s="415">
        <f t="shared" ref="H207" si="181">F207*G207</f>
        <v>71000</v>
      </c>
      <c r="I207" s="415">
        <v>5000</v>
      </c>
      <c r="J207" s="415">
        <f t="shared" ref="J207" si="182">F207*I207</f>
        <v>5000</v>
      </c>
      <c r="K207" s="415">
        <f t="shared" ref="K207" si="183">G207+I207</f>
        <v>76000</v>
      </c>
      <c r="L207" s="416">
        <f t="shared" ref="L207" si="184">F207*K207</f>
        <v>76000</v>
      </c>
      <c r="M207" s="418" t="s">
        <v>609</v>
      </c>
    </row>
    <row r="208" spans="1:13" s="59" customFormat="1" ht="18" customHeight="1">
      <c r="A208" s="60" t="s">
        <v>12</v>
      </c>
      <c r="B208" s="53" t="s">
        <v>268</v>
      </c>
      <c r="C208" s="62"/>
      <c r="D208" s="55" t="s">
        <v>578</v>
      </c>
      <c r="E208" s="55" t="s">
        <v>38</v>
      </c>
      <c r="F208" s="61">
        <v>9</v>
      </c>
      <c r="G208" s="57">
        <v>5000</v>
      </c>
      <c r="H208" s="57">
        <f>F208*G208</f>
        <v>45000</v>
      </c>
      <c r="I208" s="57">
        <v>8000</v>
      </c>
      <c r="J208" s="57">
        <f>F208*I208</f>
        <v>72000</v>
      </c>
      <c r="K208" s="57">
        <f>G208+I208</f>
        <v>13000</v>
      </c>
      <c r="L208" s="58">
        <f>F208*K208</f>
        <v>117000</v>
      </c>
      <c r="M208" s="177"/>
    </row>
    <row r="209" spans="1:13" s="59" customFormat="1" ht="18" hidden="1" customHeight="1">
      <c r="A209" s="60" t="s">
        <v>44</v>
      </c>
      <c r="B209" s="53" t="s">
        <v>607</v>
      </c>
      <c r="C209" s="62"/>
      <c r="D209" s="55" t="s">
        <v>578</v>
      </c>
      <c r="E209" s="55" t="s">
        <v>38</v>
      </c>
      <c r="F209" s="61"/>
      <c r="G209" s="57"/>
      <c r="H209" s="57"/>
      <c r="I209" s="57"/>
      <c r="J209" s="57"/>
      <c r="K209" s="57"/>
      <c r="L209" s="58"/>
      <c r="M209" s="177"/>
    </row>
    <row r="210" spans="1:13" s="437" customFormat="1" ht="18" customHeight="1">
      <c r="A210" s="366" t="s">
        <v>12</v>
      </c>
      <c r="B210" s="430" t="s">
        <v>104</v>
      </c>
      <c r="C210" s="431" t="s">
        <v>264</v>
      </c>
      <c r="D210" s="432" t="s">
        <v>578</v>
      </c>
      <c r="E210" s="432" t="s">
        <v>39</v>
      </c>
      <c r="F210" s="433"/>
      <c r="G210" s="434">
        <v>24000</v>
      </c>
      <c r="H210" s="434">
        <f t="shared" ref="H210:H211" si="185">F210*G210</f>
        <v>0</v>
      </c>
      <c r="I210" s="434">
        <v>20000</v>
      </c>
      <c r="J210" s="434">
        <f t="shared" ref="J210:J211" si="186">F210*I210</f>
        <v>0</v>
      </c>
      <c r="K210" s="434">
        <f t="shared" ref="K210:K211" si="187">G210+I210</f>
        <v>44000</v>
      </c>
      <c r="L210" s="435">
        <f t="shared" ref="L210:L211" si="188">F210*K210</f>
        <v>0</v>
      </c>
      <c r="M210" s="436" t="s">
        <v>627</v>
      </c>
    </row>
    <row r="211" spans="1:13" s="437" customFormat="1" ht="18" customHeight="1">
      <c r="A211" s="366" t="s">
        <v>294</v>
      </c>
      <c r="B211" s="430" t="s">
        <v>104</v>
      </c>
      <c r="C211" s="431" t="s">
        <v>265</v>
      </c>
      <c r="D211" s="432" t="s">
        <v>578</v>
      </c>
      <c r="E211" s="432" t="s">
        <v>164</v>
      </c>
      <c r="F211" s="433"/>
      <c r="G211" s="434">
        <v>18000</v>
      </c>
      <c r="H211" s="434">
        <f t="shared" si="185"/>
        <v>0</v>
      </c>
      <c r="I211" s="434">
        <v>5000</v>
      </c>
      <c r="J211" s="434">
        <f t="shared" si="186"/>
        <v>0</v>
      </c>
      <c r="K211" s="434">
        <f t="shared" si="187"/>
        <v>23000</v>
      </c>
      <c r="L211" s="435">
        <f t="shared" si="188"/>
        <v>0</v>
      </c>
      <c r="M211" s="443" t="s">
        <v>627</v>
      </c>
    </row>
    <row r="212" spans="1:13" s="59" customFormat="1" ht="18" customHeight="1">
      <c r="A212" s="60"/>
      <c r="B212" s="53"/>
      <c r="C212" s="62"/>
      <c r="D212" s="55"/>
      <c r="E212" s="55"/>
      <c r="F212" s="61"/>
      <c r="G212" s="57"/>
      <c r="H212" s="57"/>
      <c r="I212" s="57"/>
      <c r="J212" s="57"/>
      <c r="K212" s="57"/>
      <c r="L212" s="58"/>
      <c r="M212" s="311"/>
    </row>
    <row r="213" spans="1:13" s="59" customFormat="1" ht="18" customHeight="1">
      <c r="A213" s="60">
        <v>-1</v>
      </c>
      <c r="B213" s="53" t="s">
        <v>579</v>
      </c>
      <c r="C213" s="62"/>
      <c r="D213" s="55"/>
      <c r="E213" s="55"/>
      <c r="F213" s="61"/>
      <c r="G213" s="57"/>
      <c r="H213" s="57"/>
      <c r="I213" s="57"/>
      <c r="J213" s="57"/>
      <c r="K213" s="57"/>
      <c r="L213" s="58"/>
      <c r="M213" s="311"/>
    </row>
    <row r="214" spans="1:13" s="59" customFormat="1" ht="18" customHeight="1">
      <c r="A214" s="60" t="s">
        <v>12</v>
      </c>
      <c r="B214" s="53" t="s">
        <v>268</v>
      </c>
      <c r="C214" s="62"/>
      <c r="D214" s="55" t="s">
        <v>579</v>
      </c>
      <c r="E214" s="55" t="s">
        <v>38</v>
      </c>
      <c r="F214" s="61">
        <v>6</v>
      </c>
      <c r="G214" s="57">
        <v>5000</v>
      </c>
      <c r="H214" s="57">
        <f>F214*G214</f>
        <v>30000</v>
      </c>
      <c r="I214" s="57">
        <v>8000</v>
      </c>
      <c r="J214" s="57">
        <f>F214*I214</f>
        <v>48000</v>
      </c>
      <c r="K214" s="57">
        <f>G214+I214</f>
        <v>13000</v>
      </c>
      <c r="L214" s="58">
        <f>F214*K214</f>
        <v>78000</v>
      </c>
      <c r="M214" s="177"/>
    </row>
    <row r="215" spans="1:13" s="437" customFormat="1" ht="18" customHeight="1">
      <c r="A215" s="366" t="s">
        <v>12</v>
      </c>
      <c r="B215" s="430" t="s">
        <v>104</v>
      </c>
      <c r="C215" s="431" t="s">
        <v>264</v>
      </c>
      <c r="D215" s="366" t="s">
        <v>579</v>
      </c>
      <c r="E215" s="432" t="s">
        <v>39</v>
      </c>
      <c r="F215" s="433"/>
      <c r="G215" s="434">
        <v>24000</v>
      </c>
      <c r="H215" s="434">
        <f t="shared" ref="H215:H216" si="189">F215*G215</f>
        <v>0</v>
      </c>
      <c r="I215" s="434">
        <v>20000</v>
      </c>
      <c r="J215" s="434">
        <f t="shared" ref="J215:J216" si="190">F215*I215</f>
        <v>0</v>
      </c>
      <c r="K215" s="434">
        <f t="shared" ref="K215:K216" si="191">G215+I215</f>
        <v>44000</v>
      </c>
      <c r="L215" s="435">
        <f t="shared" ref="L215:L216" si="192">F215*K215</f>
        <v>0</v>
      </c>
      <c r="M215" s="436" t="s">
        <v>627</v>
      </c>
    </row>
    <row r="216" spans="1:13" s="437" customFormat="1" ht="18" customHeight="1">
      <c r="A216" s="366" t="s">
        <v>294</v>
      </c>
      <c r="B216" s="430" t="s">
        <v>104</v>
      </c>
      <c r="C216" s="431" t="s">
        <v>265</v>
      </c>
      <c r="D216" s="432" t="s">
        <v>579</v>
      </c>
      <c r="E216" s="432" t="s">
        <v>164</v>
      </c>
      <c r="F216" s="433"/>
      <c r="G216" s="434">
        <v>18000</v>
      </c>
      <c r="H216" s="434">
        <f t="shared" si="189"/>
        <v>0</v>
      </c>
      <c r="I216" s="434">
        <v>5000</v>
      </c>
      <c r="J216" s="434">
        <f t="shared" si="190"/>
        <v>0</v>
      </c>
      <c r="K216" s="434">
        <f t="shared" si="191"/>
        <v>23000</v>
      </c>
      <c r="L216" s="435">
        <f t="shared" si="192"/>
        <v>0</v>
      </c>
      <c r="M216" s="443" t="s">
        <v>627</v>
      </c>
    </row>
    <row r="217" spans="1:13" s="59" customFormat="1" ht="18" customHeight="1">
      <c r="A217" s="60"/>
      <c r="B217" s="53"/>
      <c r="C217" s="62"/>
      <c r="D217" s="55"/>
      <c r="E217" s="55"/>
      <c r="F217" s="61"/>
      <c r="G217" s="57"/>
      <c r="H217" s="57"/>
      <c r="I217" s="57"/>
      <c r="J217" s="57"/>
      <c r="K217" s="57"/>
      <c r="L217" s="58"/>
      <c r="M217" s="311"/>
    </row>
    <row r="218" spans="1:13" s="59" customFormat="1" ht="18" customHeight="1">
      <c r="A218" s="60">
        <v>-1</v>
      </c>
      <c r="B218" s="53" t="s">
        <v>588</v>
      </c>
      <c r="C218" s="62"/>
      <c r="D218" s="55"/>
      <c r="E218" s="55"/>
      <c r="F218" s="61"/>
      <c r="G218" s="57"/>
      <c r="H218" s="57"/>
      <c r="I218" s="57"/>
      <c r="J218" s="57"/>
      <c r="K218" s="57"/>
      <c r="L218" s="58"/>
      <c r="M218" s="311"/>
    </row>
    <row r="219" spans="1:13" s="59" customFormat="1" ht="18" customHeight="1">
      <c r="A219" s="60" t="s">
        <v>12</v>
      </c>
      <c r="B219" s="53" t="s">
        <v>268</v>
      </c>
      <c r="C219" s="62"/>
      <c r="D219" s="55" t="s">
        <v>588</v>
      </c>
      <c r="E219" s="55" t="s">
        <v>38</v>
      </c>
      <c r="F219" s="61">
        <v>9</v>
      </c>
      <c r="G219" s="57">
        <v>5000</v>
      </c>
      <c r="H219" s="57">
        <f>F219*G219</f>
        <v>45000</v>
      </c>
      <c r="I219" s="57">
        <v>8000</v>
      </c>
      <c r="J219" s="57">
        <f>F219*I219</f>
        <v>72000</v>
      </c>
      <c r="K219" s="57">
        <f>G219+I219</f>
        <v>13000</v>
      </c>
      <c r="L219" s="58">
        <f>F219*K219</f>
        <v>117000</v>
      </c>
      <c r="M219" s="177"/>
    </row>
    <row r="220" spans="1:13" s="59" customFormat="1" ht="18" customHeight="1">
      <c r="A220" s="60" t="s">
        <v>12</v>
      </c>
      <c r="B220" s="53" t="s">
        <v>554</v>
      </c>
      <c r="C220" s="62" t="s">
        <v>555</v>
      </c>
      <c r="D220" s="55" t="s">
        <v>304</v>
      </c>
      <c r="E220" s="55" t="s">
        <v>38</v>
      </c>
      <c r="F220" s="61">
        <v>0</v>
      </c>
      <c r="G220" s="57">
        <v>70000</v>
      </c>
      <c r="H220" s="57">
        <f>F220*G220</f>
        <v>0</v>
      </c>
      <c r="I220" s="57">
        <v>20000</v>
      </c>
      <c r="J220" s="57">
        <f>F220*I220</f>
        <v>0</v>
      </c>
      <c r="K220" s="57">
        <f>G220+I220</f>
        <v>90000</v>
      </c>
      <c r="L220" s="58">
        <f>F220*K220</f>
        <v>0</v>
      </c>
      <c r="M220" s="177"/>
    </row>
    <row r="221" spans="1:13" s="437" customFormat="1" ht="18" customHeight="1">
      <c r="A221" s="366" t="s">
        <v>12</v>
      </c>
      <c r="B221" s="430" t="s">
        <v>104</v>
      </c>
      <c r="C221" s="431" t="s">
        <v>264</v>
      </c>
      <c r="D221" s="432" t="s">
        <v>588</v>
      </c>
      <c r="E221" s="432" t="s">
        <v>39</v>
      </c>
      <c r="F221" s="433"/>
      <c r="G221" s="434">
        <v>24000</v>
      </c>
      <c r="H221" s="434">
        <f t="shared" ref="H221:H222" si="193">F221*G221</f>
        <v>0</v>
      </c>
      <c r="I221" s="434">
        <v>20000</v>
      </c>
      <c r="J221" s="434">
        <f t="shared" ref="J221:J222" si="194">F221*I221</f>
        <v>0</v>
      </c>
      <c r="K221" s="434">
        <f t="shared" ref="K221:K222" si="195">G221+I221</f>
        <v>44000</v>
      </c>
      <c r="L221" s="435">
        <f t="shared" ref="L221:L222" si="196">F221*K221</f>
        <v>0</v>
      </c>
      <c r="M221" s="436" t="s">
        <v>627</v>
      </c>
    </row>
    <row r="222" spans="1:13" s="437" customFormat="1" ht="18" customHeight="1">
      <c r="A222" s="366" t="s">
        <v>160</v>
      </c>
      <c r="B222" s="430" t="s">
        <v>104</v>
      </c>
      <c r="C222" s="431" t="s">
        <v>265</v>
      </c>
      <c r="D222" s="432" t="s">
        <v>588</v>
      </c>
      <c r="E222" s="432" t="s">
        <v>38</v>
      </c>
      <c r="F222" s="433"/>
      <c r="G222" s="434">
        <v>18000</v>
      </c>
      <c r="H222" s="434">
        <f t="shared" si="193"/>
        <v>0</v>
      </c>
      <c r="I222" s="434">
        <v>5000</v>
      </c>
      <c r="J222" s="434">
        <f t="shared" si="194"/>
        <v>0</v>
      </c>
      <c r="K222" s="434">
        <f t="shared" si="195"/>
        <v>23000</v>
      </c>
      <c r="L222" s="435">
        <f t="shared" si="196"/>
        <v>0</v>
      </c>
      <c r="M222" s="443" t="s">
        <v>627</v>
      </c>
    </row>
    <row r="223" spans="1:13" s="59" customFormat="1" ht="18" customHeight="1">
      <c r="A223" s="60"/>
      <c r="B223" s="53"/>
      <c r="C223" s="62"/>
      <c r="D223" s="55"/>
      <c r="E223" s="55"/>
      <c r="F223" s="61"/>
      <c r="G223" s="57"/>
      <c r="H223" s="57"/>
      <c r="I223" s="57"/>
      <c r="J223" s="57"/>
      <c r="K223" s="57"/>
      <c r="L223" s="58"/>
      <c r="M223" s="311"/>
    </row>
    <row r="224" spans="1:13" s="59" customFormat="1" ht="18" customHeight="1">
      <c r="A224" s="60">
        <v>-1</v>
      </c>
      <c r="B224" s="53" t="s">
        <v>234</v>
      </c>
      <c r="C224" s="62"/>
      <c r="D224" s="55"/>
      <c r="E224" s="55"/>
      <c r="F224" s="61"/>
      <c r="G224" s="57"/>
      <c r="H224" s="57"/>
      <c r="I224" s="57"/>
      <c r="J224" s="57"/>
      <c r="K224" s="57"/>
      <c r="L224" s="58"/>
      <c r="M224" s="311"/>
    </row>
    <row r="225" spans="1:13" s="59" customFormat="1" ht="18" customHeight="1">
      <c r="A225" s="60" t="s">
        <v>12</v>
      </c>
      <c r="B225" s="53" t="s">
        <v>268</v>
      </c>
      <c r="C225" s="62"/>
      <c r="D225" s="55" t="s">
        <v>234</v>
      </c>
      <c r="E225" s="55" t="s">
        <v>38</v>
      </c>
      <c r="F225" s="61">
        <v>12</v>
      </c>
      <c r="G225" s="57">
        <v>5000</v>
      </c>
      <c r="H225" s="57">
        <f>F225*G225</f>
        <v>60000</v>
      </c>
      <c r="I225" s="57">
        <v>8000</v>
      </c>
      <c r="J225" s="57">
        <f>F225*I225</f>
        <v>96000</v>
      </c>
      <c r="K225" s="57">
        <f>G225+I225</f>
        <v>13000</v>
      </c>
      <c r="L225" s="58">
        <f>F225*K225</f>
        <v>156000</v>
      </c>
      <c r="M225" s="177"/>
    </row>
    <row r="226" spans="1:13" s="437" customFormat="1" ht="18" customHeight="1">
      <c r="A226" s="366" t="s">
        <v>12</v>
      </c>
      <c r="B226" s="430" t="s">
        <v>104</v>
      </c>
      <c r="C226" s="431" t="s">
        <v>264</v>
      </c>
      <c r="D226" s="352" t="s">
        <v>234</v>
      </c>
      <c r="E226" s="432" t="s">
        <v>39</v>
      </c>
      <c r="F226" s="433"/>
      <c r="G226" s="434">
        <v>24000</v>
      </c>
      <c r="H226" s="434">
        <f t="shared" ref="H226:H227" si="197">F226*G226</f>
        <v>0</v>
      </c>
      <c r="I226" s="434">
        <v>20000</v>
      </c>
      <c r="J226" s="434">
        <f t="shared" ref="J226:J227" si="198">F226*I226</f>
        <v>0</v>
      </c>
      <c r="K226" s="434">
        <f t="shared" ref="K226:K227" si="199">G226+I226</f>
        <v>44000</v>
      </c>
      <c r="L226" s="435">
        <f t="shared" ref="L226:L227" si="200">F226*K226</f>
        <v>0</v>
      </c>
      <c r="M226" s="436" t="s">
        <v>627</v>
      </c>
    </row>
    <row r="227" spans="1:13" s="437" customFormat="1" ht="18" customHeight="1">
      <c r="A227" s="366" t="s">
        <v>294</v>
      </c>
      <c r="B227" s="430" t="s">
        <v>104</v>
      </c>
      <c r="C227" s="431" t="s">
        <v>265</v>
      </c>
      <c r="D227" s="432" t="s">
        <v>234</v>
      </c>
      <c r="E227" s="432" t="s">
        <v>164</v>
      </c>
      <c r="F227" s="433"/>
      <c r="G227" s="434">
        <v>18000</v>
      </c>
      <c r="H227" s="434">
        <f t="shared" si="197"/>
        <v>0</v>
      </c>
      <c r="I227" s="434">
        <v>5000</v>
      </c>
      <c r="J227" s="434">
        <f t="shared" si="198"/>
        <v>0</v>
      </c>
      <c r="K227" s="434">
        <f t="shared" si="199"/>
        <v>23000</v>
      </c>
      <c r="L227" s="435">
        <f t="shared" si="200"/>
        <v>0</v>
      </c>
      <c r="M227" s="443" t="s">
        <v>627</v>
      </c>
    </row>
    <row r="228" spans="1:13" s="59" customFormat="1" ht="18" customHeight="1">
      <c r="A228" s="60"/>
      <c r="B228" s="53"/>
      <c r="C228" s="62"/>
      <c r="D228" s="55"/>
      <c r="E228" s="55"/>
      <c r="F228" s="61"/>
      <c r="G228" s="57"/>
      <c r="H228" s="57"/>
      <c r="I228" s="57"/>
      <c r="J228" s="57"/>
      <c r="K228" s="57"/>
      <c r="L228" s="58"/>
      <c r="M228" s="311"/>
    </row>
    <row r="229" spans="1:13" s="59" customFormat="1" ht="18" hidden="1" customHeight="1">
      <c r="A229" s="60">
        <v>-1</v>
      </c>
      <c r="B229" s="53" t="s">
        <v>315</v>
      </c>
      <c r="C229" s="62"/>
      <c r="D229" s="55"/>
      <c r="E229" s="55"/>
      <c r="F229" s="61"/>
      <c r="G229" s="57"/>
      <c r="H229" s="57"/>
      <c r="I229" s="57"/>
      <c r="J229" s="57"/>
      <c r="K229" s="57"/>
      <c r="L229" s="58"/>
      <c r="M229" s="311"/>
    </row>
    <row r="230" spans="1:13" ht="18" hidden="1" customHeight="1">
      <c r="A230" s="171" t="s">
        <v>12</v>
      </c>
      <c r="B230" s="11" t="s">
        <v>360</v>
      </c>
      <c r="C230" s="172" t="s">
        <v>366</v>
      </c>
      <c r="D230" s="55" t="s">
        <v>171</v>
      </c>
      <c r="E230" s="55" t="s">
        <v>361</v>
      </c>
      <c r="F230" s="173"/>
      <c r="G230" s="28">
        <v>31000</v>
      </c>
      <c r="H230" s="28">
        <f t="shared" ref="H230" si="201">F230*G230</f>
        <v>0</v>
      </c>
      <c r="I230" s="28">
        <v>10000</v>
      </c>
      <c r="J230" s="28">
        <f t="shared" ref="J230" si="202">F230*I230</f>
        <v>0</v>
      </c>
      <c r="K230" s="28">
        <f t="shared" ref="K230" si="203">G230+I230</f>
        <v>41000</v>
      </c>
      <c r="L230" s="29">
        <f t="shared" ref="L230" si="204">F230*K230</f>
        <v>0</v>
      </c>
      <c r="M230" s="177"/>
    </row>
    <row r="231" spans="1:13" s="59" customFormat="1" ht="18" hidden="1" customHeight="1">
      <c r="A231" s="60" t="s">
        <v>12</v>
      </c>
      <c r="B231" s="53" t="s">
        <v>268</v>
      </c>
      <c r="C231" s="62"/>
      <c r="D231" s="55" t="s">
        <v>171</v>
      </c>
      <c r="E231" s="55" t="s">
        <v>38</v>
      </c>
      <c r="F231" s="61"/>
      <c r="G231" s="57">
        <v>5000</v>
      </c>
      <c r="H231" s="57">
        <f>F231*G231</f>
        <v>0</v>
      </c>
      <c r="I231" s="57">
        <v>8000</v>
      </c>
      <c r="J231" s="57">
        <f>F231*I231</f>
        <v>0</v>
      </c>
      <c r="K231" s="57">
        <f>G231+I231</f>
        <v>13000</v>
      </c>
      <c r="L231" s="58">
        <f>F231*K231</f>
        <v>0</v>
      </c>
      <c r="M231" s="177"/>
    </row>
    <row r="232" spans="1:13" s="59" customFormat="1" ht="18" hidden="1" customHeight="1">
      <c r="A232" s="60" t="s">
        <v>12</v>
      </c>
      <c r="B232" s="53" t="s">
        <v>104</v>
      </c>
      <c r="C232" s="62" t="s">
        <v>264</v>
      </c>
      <c r="D232" s="60" t="s">
        <v>320</v>
      </c>
      <c r="E232" s="55" t="s">
        <v>39</v>
      </c>
      <c r="F232" s="61"/>
      <c r="G232" s="57">
        <v>22000</v>
      </c>
      <c r="H232" s="57">
        <f t="shared" ref="H232:H233" si="205">F232*G232</f>
        <v>0</v>
      </c>
      <c r="I232" s="57">
        <v>20000</v>
      </c>
      <c r="J232" s="57">
        <f t="shared" ref="J232:J233" si="206">F232*I232</f>
        <v>0</v>
      </c>
      <c r="K232" s="57">
        <f t="shared" ref="K232:K233" si="207">G232+I232</f>
        <v>42000</v>
      </c>
      <c r="L232" s="58">
        <f t="shared" ref="L232:L233" si="208">F232*K232</f>
        <v>0</v>
      </c>
      <c r="M232" s="177"/>
    </row>
    <row r="233" spans="1:13" s="59" customFormat="1" ht="18" hidden="1" customHeight="1">
      <c r="A233" s="60" t="s">
        <v>294</v>
      </c>
      <c r="B233" s="53" t="s">
        <v>104</v>
      </c>
      <c r="C233" s="62" t="s">
        <v>265</v>
      </c>
      <c r="D233" s="55" t="s">
        <v>321</v>
      </c>
      <c r="E233" s="55" t="s">
        <v>164</v>
      </c>
      <c r="F233" s="61"/>
      <c r="G233" s="57">
        <v>13500</v>
      </c>
      <c r="H233" s="57">
        <f t="shared" si="205"/>
        <v>0</v>
      </c>
      <c r="I233" s="57">
        <v>5000</v>
      </c>
      <c r="J233" s="57">
        <f t="shared" si="206"/>
        <v>0</v>
      </c>
      <c r="K233" s="57">
        <f t="shared" si="207"/>
        <v>18500</v>
      </c>
      <c r="L233" s="58">
        <f t="shared" si="208"/>
        <v>0</v>
      </c>
      <c r="M233" s="311"/>
    </row>
    <row r="234" spans="1:13" s="374" customFormat="1" ht="18" hidden="1" customHeight="1">
      <c r="A234" s="366" t="s">
        <v>310</v>
      </c>
      <c r="B234" s="367" t="s">
        <v>316</v>
      </c>
      <c r="C234" s="368" t="s">
        <v>317</v>
      </c>
      <c r="D234" s="369" t="s">
        <v>320</v>
      </c>
      <c r="E234" s="369" t="s">
        <v>164</v>
      </c>
      <c r="F234" s="370"/>
      <c r="G234" s="371">
        <v>0</v>
      </c>
      <c r="H234" s="371">
        <f t="shared" ref="H234" si="209">F234*G234</f>
        <v>0</v>
      </c>
      <c r="I234" s="371">
        <v>0</v>
      </c>
      <c r="J234" s="371">
        <f t="shared" ref="J234" si="210">F234*I234</f>
        <v>0</v>
      </c>
      <c r="K234" s="371">
        <f t="shared" ref="K234" si="211">G234+I234</f>
        <v>0</v>
      </c>
      <c r="L234" s="372">
        <f t="shared" ref="L234" si="212">F234*K234</f>
        <v>0</v>
      </c>
      <c r="M234" s="373" t="s">
        <v>370</v>
      </c>
    </row>
    <row r="235" spans="1:13" s="59" customFormat="1" ht="18" hidden="1" customHeight="1">
      <c r="A235" s="60"/>
      <c r="B235" s="53"/>
      <c r="C235" s="62"/>
      <c r="D235" s="55"/>
      <c r="E235" s="55"/>
      <c r="F235" s="61"/>
      <c r="G235" s="57"/>
      <c r="H235" s="57"/>
      <c r="I235" s="57"/>
      <c r="J235" s="57"/>
      <c r="K235" s="57"/>
      <c r="L235" s="58"/>
      <c r="M235" s="311"/>
    </row>
    <row r="236" spans="1:13" s="59" customFormat="1" ht="18" customHeight="1">
      <c r="A236" s="60">
        <v>-1</v>
      </c>
      <c r="B236" s="53" t="s">
        <v>589</v>
      </c>
      <c r="C236" s="62"/>
      <c r="D236" s="55"/>
      <c r="E236" s="55"/>
      <c r="F236" s="61"/>
      <c r="G236" s="57"/>
      <c r="H236" s="57"/>
      <c r="I236" s="57"/>
      <c r="J236" s="57"/>
      <c r="K236" s="57"/>
      <c r="L236" s="58"/>
      <c r="M236" s="311"/>
    </row>
    <row r="237" spans="1:13" s="437" customFormat="1" ht="18" customHeight="1">
      <c r="A237" s="366" t="s">
        <v>12</v>
      </c>
      <c r="B237" s="430" t="s">
        <v>105</v>
      </c>
      <c r="C237" s="431" t="s">
        <v>590</v>
      </c>
      <c r="D237" s="432" t="s">
        <v>435</v>
      </c>
      <c r="E237" s="432" t="s">
        <v>38</v>
      </c>
      <c r="F237" s="433"/>
      <c r="G237" s="434">
        <v>15000</v>
      </c>
      <c r="H237" s="434">
        <f t="shared" ref="H237" si="213">F237*G237</f>
        <v>0</v>
      </c>
      <c r="I237" s="434">
        <v>10000</v>
      </c>
      <c r="J237" s="434">
        <f t="shared" ref="J237" si="214">F237*I237</f>
        <v>0</v>
      </c>
      <c r="K237" s="434">
        <f t="shared" ref="K237" si="215">G237+I237</f>
        <v>25000</v>
      </c>
      <c r="L237" s="435">
        <f t="shared" ref="L237" si="216">F237*K237</f>
        <v>0</v>
      </c>
      <c r="M237" s="436" t="s">
        <v>627</v>
      </c>
    </row>
    <row r="238" spans="1:13" s="59" customFormat="1" ht="18" customHeight="1">
      <c r="A238" s="60"/>
      <c r="B238" s="53"/>
      <c r="C238" s="62"/>
      <c r="D238" s="55"/>
      <c r="E238" s="55"/>
      <c r="F238" s="61"/>
      <c r="G238" s="57"/>
      <c r="H238" s="57"/>
      <c r="I238" s="57"/>
      <c r="J238" s="57"/>
      <c r="K238" s="57"/>
      <c r="L238" s="58"/>
      <c r="M238" s="311"/>
    </row>
    <row r="239" spans="1:13" s="59" customFormat="1" ht="18" customHeight="1">
      <c r="A239" s="60">
        <v>-1</v>
      </c>
      <c r="B239" s="53" t="s">
        <v>112</v>
      </c>
      <c r="C239" s="62"/>
      <c r="D239" s="55"/>
      <c r="E239" s="55"/>
      <c r="F239" s="61"/>
      <c r="G239" s="57"/>
      <c r="H239" s="57"/>
      <c r="I239" s="57"/>
      <c r="J239" s="57"/>
      <c r="K239" s="57"/>
      <c r="L239" s="58"/>
      <c r="M239" s="311"/>
    </row>
    <row r="240" spans="1:13" s="59" customFormat="1" ht="18" customHeight="1">
      <c r="A240" s="60" t="s">
        <v>12</v>
      </c>
      <c r="B240" s="53" t="s">
        <v>268</v>
      </c>
      <c r="C240" s="62"/>
      <c r="D240" s="55" t="s">
        <v>112</v>
      </c>
      <c r="E240" s="55" t="s">
        <v>38</v>
      </c>
      <c r="F240" s="61">
        <v>7</v>
      </c>
      <c r="G240" s="57">
        <v>5000</v>
      </c>
      <c r="H240" s="57">
        <f>F240*G240</f>
        <v>35000</v>
      </c>
      <c r="I240" s="57">
        <v>8000</v>
      </c>
      <c r="J240" s="57">
        <f>F240*I240</f>
        <v>56000</v>
      </c>
      <c r="K240" s="57">
        <f>G240+I240</f>
        <v>13000</v>
      </c>
      <c r="L240" s="58">
        <f>F240*K240</f>
        <v>91000</v>
      </c>
      <c r="M240" s="177"/>
    </row>
    <row r="241" spans="1:13" s="59" customFormat="1" ht="18" hidden="1" customHeight="1">
      <c r="A241" s="60" t="s">
        <v>160</v>
      </c>
      <c r="B241" s="53" t="s">
        <v>552</v>
      </c>
      <c r="C241" s="62" t="s">
        <v>553</v>
      </c>
      <c r="D241" s="55" t="s">
        <v>234</v>
      </c>
      <c r="E241" s="55" t="s">
        <v>38</v>
      </c>
      <c r="F241" s="61"/>
      <c r="G241" s="57">
        <v>32000</v>
      </c>
      <c r="H241" s="57">
        <f>F241*G241</f>
        <v>0</v>
      </c>
      <c r="I241" s="57">
        <v>5000</v>
      </c>
      <c r="J241" s="57">
        <f>F241*I241</f>
        <v>0</v>
      </c>
      <c r="K241" s="57">
        <f>G241+I241</f>
        <v>37000</v>
      </c>
      <c r="L241" s="58">
        <f>F241*K241</f>
        <v>0</v>
      </c>
      <c r="M241" s="249"/>
    </row>
    <row r="242" spans="1:13" s="329" customFormat="1" ht="18" hidden="1" customHeight="1">
      <c r="A242" s="60" t="s">
        <v>44</v>
      </c>
      <c r="B242" s="53" t="s">
        <v>552</v>
      </c>
      <c r="C242" s="323" t="s">
        <v>240</v>
      </c>
      <c r="D242" s="324" t="s">
        <v>234</v>
      </c>
      <c r="E242" s="324" t="s">
        <v>38</v>
      </c>
      <c r="F242" s="325"/>
      <c r="G242" s="326">
        <v>22600</v>
      </c>
      <c r="H242" s="326">
        <f>F242*G242</f>
        <v>0</v>
      </c>
      <c r="I242" s="326">
        <v>5000</v>
      </c>
      <c r="J242" s="326">
        <f>F242*I242</f>
        <v>0</v>
      </c>
      <c r="K242" s="326">
        <f>G242+I242</f>
        <v>27600</v>
      </c>
      <c r="L242" s="327">
        <f>F242*K242</f>
        <v>0</v>
      </c>
      <c r="M242" s="378"/>
    </row>
    <row r="243" spans="1:13" s="59" customFormat="1" ht="18" hidden="1" customHeight="1">
      <c r="A243" s="60" t="s">
        <v>44</v>
      </c>
      <c r="B243" s="53" t="s">
        <v>552</v>
      </c>
      <c r="C243" s="62" t="s">
        <v>446</v>
      </c>
      <c r="D243" s="55" t="s">
        <v>234</v>
      </c>
      <c r="E243" s="55" t="s">
        <v>38</v>
      </c>
      <c r="F243" s="61"/>
      <c r="G243" s="57">
        <v>28500</v>
      </c>
      <c r="H243" s="57">
        <f t="shared" ref="H243" si="217">F243*G243</f>
        <v>0</v>
      </c>
      <c r="I243" s="57">
        <v>5000</v>
      </c>
      <c r="J243" s="57">
        <f t="shared" ref="J243" si="218">F243*I243</f>
        <v>0</v>
      </c>
      <c r="K243" s="57">
        <f t="shared" ref="K243" si="219">G243+I243</f>
        <v>33500</v>
      </c>
      <c r="L243" s="58">
        <f t="shared" ref="L243" si="220">F243*K243</f>
        <v>0</v>
      </c>
      <c r="M243" s="249"/>
    </row>
    <row r="244" spans="1:13" s="59" customFormat="1" ht="18" hidden="1" customHeight="1">
      <c r="A244" s="60" t="s">
        <v>12</v>
      </c>
      <c r="B244" s="53" t="s">
        <v>104</v>
      </c>
      <c r="C244" s="62" t="s">
        <v>264</v>
      </c>
      <c r="D244" s="55" t="s">
        <v>299</v>
      </c>
      <c r="E244" s="55" t="s">
        <v>39</v>
      </c>
      <c r="F244" s="61">
        <v>0</v>
      </c>
      <c r="G244" s="57">
        <v>24000</v>
      </c>
      <c r="H244" s="57">
        <f t="shared" ref="H244:H245" si="221">F244*G244</f>
        <v>0</v>
      </c>
      <c r="I244" s="57">
        <v>20000</v>
      </c>
      <c r="J244" s="57">
        <f t="shared" ref="J244:J245" si="222">F244*I244</f>
        <v>0</v>
      </c>
      <c r="K244" s="57">
        <f t="shared" ref="K244:K245" si="223">G244+I244</f>
        <v>44000</v>
      </c>
      <c r="L244" s="58">
        <f t="shared" ref="L244:L245" si="224">F244*K244</f>
        <v>0</v>
      </c>
      <c r="M244" s="177"/>
    </row>
    <row r="245" spans="1:13" s="59" customFormat="1" ht="18" hidden="1" customHeight="1">
      <c r="A245" s="60" t="s">
        <v>44</v>
      </c>
      <c r="B245" s="53" t="s">
        <v>104</v>
      </c>
      <c r="C245" s="62" t="s">
        <v>265</v>
      </c>
      <c r="D245" s="55" t="s">
        <v>299</v>
      </c>
      <c r="E245" s="55" t="s">
        <v>38</v>
      </c>
      <c r="F245" s="61">
        <v>0</v>
      </c>
      <c r="G245" s="57">
        <v>18000</v>
      </c>
      <c r="H245" s="57">
        <f t="shared" si="221"/>
        <v>0</v>
      </c>
      <c r="I245" s="57">
        <v>5000</v>
      </c>
      <c r="J245" s="57">
        <f t="shared" si="222"/>
        <v>0</v>
      </c>
      <c r="K245" s="57">
        <f t="shared" si="223"/>
        <v>23000</v>
      </c>
      <c r="L245" s="58">
        <f t="shared" si="224"/>
        <v>0</v>
      </c>
      <c r="M245" s="311"/>
    </row>
    <row r="246" spans="1:13" s="59" customFormat="1" ht="18" customHeight="1">
      <c r="A246" s="60"/>
      <c r="B246" s="53"/>
      <c r="C246" s="62"/>
      <c r="D246" s="55"/>
      <c r="E246" s="55"/>
      <c r="F246" s="61"/>
      <c r="G246" s="57"/>
      <c r="H246" s="57"/>
      <c r="I246" s="57"/>
      <c r="J246" s="57"/>
      <c r="K246" s="57"/>
      <c r="L246" s="58"/>
      <c r="M246" s="311"/>
    </row>
    <row r="247" spans="1:13" s="59" customFormat="1" ht="18" hidden="1" customHeight="1">
      <c r="A247" s="60">
        <v>-1</v>
      </c>
      <c r="B247" s="53" t="s">
        <v>323</v>
      </c>
      <c r="C247" s="62"/>
      <c r="D247" s="55"/>
      <c r="E247" s="55"/>
      <c r="F247" s="61"/>
      <c r="G247" s="57"/>
      <c r="H247" s="57"/>
      <c r="I247" s="57"/>
      <c r="J247" s="57"/>
      <c r="K247" s="57"/>
      <c r="L247" s="58"/>
      <c r="M247" s="311"/>
    </row>
    <row r="248" spans="1:13" ht="18" hidden="1" customHeight="1">
      <c r="A248" s="171" t="s">
        <v>12</v>
      </c>
      <c r="B248" s="11" t="s">
        <v>360</v>
      </c>
      <c r="C248" s="172" t="s">
        <v>362</v>
      </c>
      <c r="D248" s="171" t="s">
        <v>363</v>
      </c>
      <c r="E248" s="55" t="s">
        <v>361</v>
      </c>
      <c r="F248" s="173"/>
      <c r="G248" s="28">
        <v>92700</v>
      </c>
      <c r="H248" s="28">
        <f t="shared" ref="H248" si="225">F248*G248</f>
        <v>0</v>
      </c>
      <c r="I248" s="28">
        <v>10000</v>
      </c>
      <c r="J248" s="28">
        <f t="shared" ref="J248" si="226">F248*I248</f>
        <v>0</v>
      </c>
      <c r="K248" s="28">
        <f t="shared" ref="K248" si="227">G248+I248</f>
        <v>102700</v>
      </c>
      <c r="L248" s="29">
        <f t="shared" ref="L248" si="228">F248*K248</f>
        <v>0</v>
      </c>
      <c r="M248" s="177"/>
    </row>
    <row r="249" spans="1:13" s="275" customFormat="1" ht="18" hidden="1" customHeight="1">
      <c r="A249" s="358" t="s">
        <v>12</v>
      </c>
      <c r="B249" s="359" t="s">
        <v>360</v>
      </c>
      <c r="C249" s="360" t="s">
        <v>364</v>
      </c>
      <c r="D249" s="358" t="s">
        <v>365</v>
      </c>
      <c r="E249" s="361" t="s">
        <v>361</v>
      </c>
      <c r="F249" s="362"/>
      <c r="G249" s="363">
        <v>31000</v>
      </c>
      <c r="H249" s="363">
        <f t="shared" ref="H249" si="229">F249*G249</f>
        <v>0</v>
      </c>
      <c r="I249" s="363">
        <v>10000</v>
      </c>
      <c r="J249" s="363">
        <f t="shared" ref="J249" si="230">F249*I249</f>
        <v>0</v>
      </c>
      <c r="K249" s="363">
        <f t="shared" ref="K249" si="231">G249+I249</f>
        <v>41000</v>
      </c>
      <c r="L249" s="364">
        <f t="shared" ref="L249" si="232">F249*K249</f>
        <v>0</v>
      </c>
      <c r="M249" s="365"/>
    </row>
    <row r="250" spans="1:13" s="59" customFormat="1" ht="18" hidden="1" customHeight="1">
      <c r="A250" s="60" t="s">
        <v>12</v>
      </c>
      <c r="B250" s="53" t="s">
        <v>268</v>
      </c>
      <c r="C250" s="62"/>
      <c r="D250" s="55" t="s">
        <v>171</v>
      </c>
      <c r="E250" s="55" t="s">
        <v>38</v>
      </c>
      <c r="F250" s="61"/>
      <c r="G250" s="57">
        <v>5000</v>
      </c>
      <c r="H250" s="57">
        <f>F250*G250</f>
        <v>0</v>
      </c>
      <c r="I250" s="57">
        <v>8000</v>
      </c>
      <c r="J250" s="57">
        <f>F250*I250</f>
        <v>0</v>
      </c>
      <c r="K250" s="57">
        <f>G250+I250</f>
        <v>13000</v>
      </c>
      <c r="L250" s="58">
        <f>F250*K250</f>
        <v>0</v>
      </c>
      <c r="M250" s="177"/>
    </row>
    <row r="251" spans="1:13" s="59" customFormat="1" ht="18" hidden="1" customHeight="1">
      <c r="A251" s="60"/>
      <c r="B251" s="53"/>
      <c r="C251" s="62"/>
      <c r="D251" s="55"/>
      <c r="E251" s="55"/>
      <c r="F251" s="61"/>
      <c r="G251" s="57"/>
      <c r="H251" s="57"/>
      <c r="I251" s="57"/>
      <c r="J251" s="57"/>
      <c r="K251" s="57"/>
      <c r="L251" s="58"/>
      <c r="M251" s="311"/>
    </row>
    <row r="252" spans="1:13" s="59" customFormat="1" ht="18" customHeight="1">
      <c r="A252" s="60">
        <v>-1</v>
      </c>
      <c r="B252" s="53" t="s">
        <v>324</v>
      </c>
      <c r="C252" s="62"/>
      <c r="D252" s="55"/>
      <c r="E252" s="55"/>
      <c r="F252" s="61"/>
      <c r="G252" s="57"/>
      <c r="H252" s="57"/>
      <c r="I252" s="57"/>
      <c r="J252" s="57"/>
      <c r="K252" s="57"/>
      <c r="L252" s="58"/>
      <c r="M252" s="311"/>
    </row>
    <row r="253" spans="1:13" s="417" customFormat="1" ht="18" customHeight="1">
      <c r="A253" s="258" t="s">
        <v>12</v>
      </c>
      <c r="B253" s="411" t="s">
        <v>106</v>
      </c>
      <c r="C253" s="412" t="s">
        <v>508</v>
      </c>
      <c r="D253" s="413" t="s">
        <v>464</v>
      </c>
      <c r="E253" s="413" t="s">
        <v>39</v>
      </c>
      <c r="F253" s="414">
        <f>73*2</f>
        <v>146</v>
      </c>
      <c r="G253" s="415">
        <v>10000</v>
      </c>
      <c r="H253" s="415">
        <f t="shared" ref="H253:H260" si="233">F253*G253</f>
        <v>1460000</v>
      </c>
      <c r="I253" s="415">
        <v>12000</v>
      </c>
      <c r="J253" s="415">
        <f>F253*I253</f>
        <v>1752000</v>
      </c>
      <c r="K253" s="415">
        <f t="shared" ref="K253:K257" si="234">G253+I253</f>
        <v>22000</v>
      </c>
      <c r="L253" s="416">
        <f t="shared" ref="L253:L257" si="235">F253*K253</f>
        <v>3212000</v>
      </c>
      <c r="M253" s="428" t="s">
        <v>628</v>
      </c>
    </row>
    <row r="254" spans="1:13" s="59" customFormat="1" ht="18" customHeight="1">
      <c r="A254" s="60" t="s">
        <v>12</v>
      </c>
      <c r="B254" s="53" t="s">
        <v>157</v>
      </c>
      <c r="C254" s="62" t="s">
        <v>275</v>
      </c>
      <c r="D254" s="55" t="s">
        <v>465</v>
      </c>
      <c r="E254" s="55" t="s">
        <v>75</v>
      </c>
      <c r="F254" s="61">
        <v>1</v>
      </c>
      <c r="G254" s="57">
        <v>850000</v>
      </c>
      <c r="H254" s="57">
        <f t="shared" si="233"/>
        <v>850000</v>
      </c>
      <c r="I254" s="57">
        <v>600000</v>
      </c>
      <c r="J254" s="57">
        <f t="shared" ref="J254:J255" si="236">F254*I254</f>
        <v>600000</v>
      </c>
      <c r="K254" s="57">
        <f t="shared" si="234"/>
        <v>1450000</v>
      </c>
      <c r="L254" s="58">
        <f t="shared" si="235"/>
        <v>1450000</v>
      </c>
      <c r="M254" s="311"/>
    </row>
    <row r="255" spans="1:13" s="59" customFormat="1" ht="18" customHeight="1">
      <c r="A255" s="60" t="s">
        <v>12</v>
      </c>
      <c r="B255" s="53" t="s">
        <v>190</v>
      </c>
      <c r="C255" s="62" t="s">
        <v>191</v>
      </c>
      <c r="D255" s="55" t="s">
        <v>460</v>
      </c>
      <c r="E255" s="55" t="s">
        <v>75</v>
      </c>
      <c r="F255" s="61">
        <v>1</v>
      </c>
      <c r="G255" s="57">
        <v>100000</v>
      </c>
      <c r="H255" s="57">
        <f t="shared" si="233"/>
        <v>100000</v>
      </c>
      <c r="I255" s="57">
        <v>50000</v>
      </c>
      <c r="J255" s="57">
        <f t="shared" si="236"/>
        <v>50000</v>
      </c>
      <c r="K255" s="57">
        <f t="shared" si="234"/>
        <v>150000</v>
      </c>
      <c r="L255" s="58">
        <f t="shared" si="235"/>
        <v>150000</v>
      </c>
      <c r="M255" s="176"/>
    </row>
    <row r="256" spans="1:13" s="275" customFormat="1" ht="18" hidden="1" customHeight="1">
      <c r="A256" s="358" t="s">
        <v>44</v>
      </c>
      <c r="B256" s="359" t="s">
        <v>249</v>
      </c>
      <c r="C256" s="360" t="s">
        <v>248</v>
      </c>
      <c r="D256" s="361"/>
      <c r="E256" s="361" t="s">
        <v>38</v>
      </c>
      <c r="F256" s="362">
        <v>0</v>
      </c>
      <c r="G256" s="363">
        <v>0</v>
      </c>
      <c r="H256" s="363">
        <f t="shared" ref="H256" si="237">F256*G256</f>
        <v>0</v>
      </c>
      <c r="I256" s="363">
        <v>30000</v>
      </c>
      <c r="J256" s="363">
        <f>F256*I256</f>
        <v>0</v>
      </c>
      <c r="K256" s="363">
        <f t="shared" ref="K256" si="238">G256+I256</f>
        <v>30000</v>
      </c>
      <c r="L256" s="364">
        <f t="shared" ref="L256" si="239">F256*K256</f>
        <v>0</v>
      </c>
      <c r="M256" s="365"/>
    </row>
    <row r="257" spans="1:15" s="341" customFormat="1" ht="18" hidden="1" customHeight="1">
      <c r="A257" s="260" t="s">
        <v>160</v>
      </c>
      <c r="B257" s="335" t="s">
        <v>249</v>
      </c>
      <c r="C257" s="346" t="s">
        <v>248</v>
      </c>
      <c r="D257" s="337"/>
      <c r="E257" s="337" t="s">
        <v>38</v>
      </c>
      <c r="F257" s="345">
        <v>0</v>
      </c>
      <c r="G257" s="339">
        <v>0</v>
      </c>
      <c r="H257" s="339">
        <f t="shared" si="233"/>
        <v>0</v>
      </c>
      <c r="I257" s="339">
        <v>0</v>
      </c>
      <c r="J257" s="339">
        <f>F257*I257</f>
        <v>0</v>
      </c>
      <c r="K257" s="339">
        <f t="shared" si="234"/>
        <v>0</v>
      </c>
      <c r="L257" s="340">
        <f t="shared" si="235"/>
        <v>0</v>
      </c>
      <c r="M257" s="312" t="s">
        <v>203</v>
      </c>
    </row>
    <row r="258" spans="1:15" s="59" customFormat="1" ht="18" customHeight="1">
      <c r="A258" s="60"/>
      <c r="B258" s="53"/>
      <c r="C258" s="62"/>
      <c r="D258" s="55"/>
      <c r="E258" s="55"/>
      <c r="F258" s="61"/>
      <c r="G258" s="57"/>
      <c r="H258" s="57"/>
      <c r="I258" s="57"/>
      <c r="J258" s="57"/>
      <c r="K258" s="57"/>
      <c r="L258" s="58"/>
      <c r="M258" s="311"/>
    </row>
    <row r="259" spans="1:15" s="296" customFormat="1" ht="18" customHeight="1">
      <c r="A259" s="258" t="s">
        <v>310</v>
      </c>
      <c r="B259" s="289" t="s">
        <v>451</v>
      </c>
      <c r="C259" s="290" t="s">
        <v>619</v>
      </c>
      <c r="D259" s="291" t="s">
        <v>466</v>
      </c>
      <c r="E259" s="291" t="s">
        <v>331</v>
      </c>
      <c r="F259" s="292">
        <v>0</v>
      </c>
      <c r="G259" s="293">
        <v>250000</v>
      </c>
      <c r="H259" s="262">
        <f t="shared" si="233"/>
        <v>0</v>
      </c>
      <c r="I259" s="271">
        <v>350000</v>
      </c>
      <c r="J259" s="262">
        <f>F259*I259</f>
        <v>0</v>
      </c>
      <c r="K259" s="262">
        <f t="shared" ref="K259" si="240">G259+I259</f>
        <v>600000</v>
      </c>
      <c r="L259" s="263">
        <f t="shared" ref="L259" si="241">F259*K259</f>
        <v>0</v>
      </c>
      <c r="M259" s="331" t="s">
        <v>619</v>
      </c>
    </row>
    <row r="260" spans="1:15" s="454" customFormat="1" ht="18" customHeight="1">
      <c r="A260" s="446" t="s">
        <v>302</v>
      </c>
      <c r="B260" s="447" t="s">
        <v>349</v>
      </c>
      <c r="C260" s="448" t="s">
        <v>450</v>
      </c>
      <c r="D260" s="449" t="s">
        <v>447</v>
      </c>
      <c r="E260" s="449" t="s">
        <v>331</v>
      </c>
      <c r="F260" s="450">
        <v>1</v>
      </c>
      <c r="G260" s="451">
        <v>300000</v>
      </c>
      <c r="H260" s="451">
        <f t="shared" si="233"/>
        <v>300000</v>
      </c>
      <c r="I260" s="451">
        <v>0</v>
      </c>
      <c r="J260" s="451">
        <f>F260*I260</f>
        <v>0</v>
      </c>
      <c r="K260" s="451">
        <f t="shared" ref="K260" si="242">G260+I260</f>
        <v>300000</v>
      </c>
      <c r="L260" s="452">
        <f t="shared" ref="L260" si="243">F260*K260</f>
        <v>300000</v>
      </c>
      <c r="M260" s="453"/>
    </row>
    <row r="261" spans="1:15" s="59" customFormat="1" ht="18" customHeight="1">
      <c r="A261" s="236"/>
      <c r="B261" s="255"/>
      <c r="C261" s="54"/>
      <c r="D261" s="55"/>
      <c r="E261" s="55"/>
      <c r="F261" s="56"/>
      <c r="G261" s="57"/>
      <c r="H261" s="57"/>
      <c r="I261" s="57"/>
      <c r="J261" s="57"/>
      <c r="K261" s="57"/>
      <c r="L261" s="58"/>
      <c r="M261" s="176"/>
    </row>
    <row r="262" spans="1:15" s="241" customFormat="1" ht="18" customHeight="1">
      <c r="A262" s="236"/>
      <c r="B262" s="236" t="s">
        <v>13</v>
      </c>
      <c r="C262" s="237"/>
      <c r="D262" s="238"/>
      <c r="E262" s="238"/>
      <c r="F262" s="239"/>
      <c r="G262" s="240"/>
      <c r="H262" s="240">
        <f>SUM(H184:H260)</f>
        <v>3672200</v>
      </c>
      <c r="I262" s="240"/>
      <c r="J262" s="240">
        <f>SUM(J184:J260)</f>
        <v>3329000</v>
      </c>
      <c r="K262" s="240"/>
      <c r="L262" s="240">
        <f>SUM(L184:L260)</f>
        <v>7001200</v>
      </c>
      <c r="M262" s="176"/>
    </row>
    <row r="263" spans="1:15" ht="18" customHeight="1">
      <c r="A263" s="13"/>
      <c r="B263" s="14"/>
      <c r="C263" s="12"/>
      <c r="D263" s="5"/>
      <c r="E263" s="5"/>
      <c r="F263" s="50"/>
      <c r="G263" s="28"/>
      <c r="H263" s="28"/>
      <c r="I263" s="28"/>
      <c r="J263" s="28"/>
      <c r="K263" s="28"/>
      <c r="L263" s="29"/>
      <c r="M263" s="177"/>
    </row>
    <row r="264" spans="1:15" s="20" customFormat="1" ht="18" customHeight="1">
      <c r="A264" s="44" t="s">
        <v>32</v>
      </c>
      <c r="B264" s="45" t="s">
        <v>111</v>
      </c>
      <c r="C264" s="46"/>
      <c r="D264" s="16"/>
      <c r="E264" s="16"/>
      <c r="F264" s="51"/>
      <c r="G264" s="48"/>
      <c r="H264" s="48"/>
      <c r="I264" s="48"/>
      <c r="J264" s="48"/>
      <c r="K264" s="48"/>
      <c r="L264" s="49"/>
      <c r="M264" s="177"/>
    </row>
    <row r="265" spans="1:15" s="59" customFormat="1" ht="18" customHeight="1">
      <c r="A265" s="52">
        <v>-1</v>
      </c>
      <c r="B265" s="53" t="s">
        <v>162</v>
      </c>
      <c r="C265" s="54"/>
      <c r="D265" s="55"/>
      <c r="E265" s="55"/>
      <c r="F265" s="56"/>
      <c r="G265" s="57"/>
      <c r="H265" s="57"/>
      <c r="I265" s="57"/>
      <c r="J265" s="57"/>
      <c r="K265" s="57"/>
      <c r="L265" s="58"/>
      <c r="M265" s="177"/>
    </row>
    <row r="266" spans="1:15" s="59" customFormat="1" ht="18" customHeight="1">
      <c r="A266" s="60" t="s">
        <v>12</v>
      </c>
      <c r="B266" s="53" t="s">
        <v>144</v>
      </c>
      <c r="C266" s="54"/>
      <c r="D266" s="55" t="s">
        <v>488</v>
      </c>
      <c r="E266" s="55" t="s">
        <v>42</v>
      </c>
      <c r="F266" s="61">
        <v>2</v>
      </c>
      <c r="G266" s="57">
        <v>300000</v>
      </c>
      <c r="H266" s="57">
        <f t="shared" ref="H266:H271" si="244">F266*G266</f>
        <v>600000</v>
      </c>
      <c r="I266" s="57">
        <v>100000</v>
      </c>
      <c r="J266" s="57">
        <f t="shared" ref="J266:J271" si="245">F266*I266</f>
        <v>200000</v>
      </c>
      <c r="K266" s="57">
        <f t="shared" ref="K266:K271" si="246">G266+I266</f>
        <v>400000</v>
      </c>
      <c r="L266" s="58">
        <f t="shared" ref="L266:L309" si="247">F266*K266</f>
        <v>800000</v>
      </c>
      <c r="M266" s="306"/>
    </row>
    <row r="267" spans="1:15" s="59" customFormat="1" ht="18" hidden="1" customHeight="1">
      <c r="A267" s="60" t="s">
        <v>313</v>
      </c>
      <c r="B267" s="53" t="s">
        <v>314</v>
      </c>
      <c r="C267" s="54"/>
      <c r="D267" s="297" t="s">
        <v>113</v>
      </c>
      <c r="E267" s="55" t="s">
        <v>41</v>
      </c>
      <c r="F267" s="61"/>
      <c r="G267" s="57">
        <v>40000</v>
      </c>
      <c r="H267" s="57">
        <f t="shared" si="244"/>
        <v>0</v>
      </c>
      <c r="I267" s="57">
        <v>5000</v>
      </c>
      <c r="J267" s="57">
        <f t="shared" si="245"/>
        <v>0</v>
      </c>
      <c r="K267" s="57">
        <f t="shared" si="246"/>
        <v>45000</v>
      </c>
      <c r="L267" s="58">
        <f t="shared" ref="L267" si="248">F267*K267</f>
        <v>0</v>
      </c>
      <c r="M267" s="306"/>
    </row>
    <row r="268" spans="1:15" s="59" customFormat="1" ht="18" hidden="1" customHeight="1">
      <c r="A268" s="60" t="s">
        <v>160</v>
      </c>
      <c r="B268" s="53" t="s">
        <v>314</v>
      </c>
      <c r="C268" s="54"/>
      <c r="D268" s="55" t="s">
        <v>112</v>
      </c>
      <c r="E268" s="55" t="s">
        <v>524</v>
      </c>
      <c r="F268" s="61"/>
      <c r="G268" s="57">
        <v>40000</v>
      </c>
      <c r="H268" s="57">
        <f t="shared" si="244"/>
        <v>0</v>
      </c>
      <c r="I268" s="57">
        <v>5000</v>
      </c>
      <c r="J268" s="57">
        <f t="shared" si="245"/>
        <v>0</v>
      </c>
      <c r="K268" s="57">
        <f t="shared" si="246"/>
        <v>45000</v>
      </c>
      <c r="L268" s="58">
        <f t="shared" ref="L268:L270" si="249">F268*K268</f>
        <v>0</v>
      </c>
      <c r="M268" s="306"/>
      <c r="O268" s="59" t="e">
        <f>#REF!*#REF!</f>
        <v>#REF!</v>
      </c>
    </row>
    <row r="269" spans="1:15" s="304" customFormat="1" ht="18" customHeight="1">
      <c r="A269" s="297" t="s">
        <v>12</v>
      </c>
      <c r="B269" s="298" t="s">
        <v>108</v>
      </c>
      <c r="C269" s="299" t="s">
        <v>598</v>
      </c>
      <c r="D269" s="55" t="s">
        <v>113</v>
      </c>
      <c r="E269" s="300" t="s">
        <v>38</v>
      </c>
      <c r="F269" s="301">
        <v>1</v>
      </c>
      <c r="G269" s="302">
        <v>429000</v>
      </c>
      <c r="H269" s="57">
        <f t="shared" si="244"/>
        <v>429000</v>
      </c>
      <c r="I269" s="302">
        <v>30000</v>
      </c>
      <c r="J269" s="57">
        <f t="shared" si="245"/>
        <v>30000</v>
      </c>
      <c r="K269" s="57">
        <f t="shared" si="246"/>
        <v>459000</v>
      </c>
      <c r="L269" s="58">
        <f t="shared" si="249"/>
        <v>459000</v>
      </c>
      <c r="M269" s="303"/>
    </row>
    <row r="270" spans="1:15" s="304" customFormat="1" ht="18" hidden="1" customHeight="1">
      <c r="A270" s="297" t="s">
        <v>12</v>
      </c>
      <c r="B270" s="298" t="s">
        <v>108</v>
      </c>
      <c r="C270" s="299" t="s">
        <v>453</v>
      </c>
      <c r="D270" s="55" t="s">
        <v>488</v>
      </c>
      <c r="E270" s="300" t="s">
        <v>38</v>
      </c>
      <c r="F270" s="301">
        <v>0</v>
      </c>
      <c r="G270" s="302">
        <v>350000</v>
      </c>
      <c r="H270" s="57">
        <f t="shared" si="244"/>
        <v>0</v>
      </c>
      <c r="I270" s="302">
        <v>30000</v>
      </c>
      <c r="J270" s="57">
        <f t="shared" si="245"/>
        <v>0</v>
      </c>
      <c r="K270" s="57">
        <f t="shared" si="246"/>
        <v>380000</v>
      </c>
      <c r="L270" s="58">
        <f t="shared" si="249"/>
        <v>0</v>
      </c>
      <c r="M270" s="303"/>
    </row>
    <row r="271" spans="1:15" s="304" customFormat="1" ht="18" customHeight="1">
      <c r="A271" s="297" t="s">
        <v>12</v>
      </c>
      <c r="B271" s="298" t="s">
        <v>108</v>
      </c>
      <c r="C271" s="299" t="s">
        <v>597</v>
      </c>
      <c r="D271" s="426" t="s">
        <v>112</v>
      </c>
      <c r="E271" s="300" t="s">
        <v>38</v>
      </c>
      <c r="F271" s="301">
        <v>2</v>
      </c>
      <c r="G271" s="302">
        <v>112000</v>
      </c>
      <c r="H271" s="57">
        <f t="shared" si="244"/>
        <v>224000</v>
      </c>
      <c r="I271" s="302">
        <v>30000</v>
      </c>
      <c r="J271" s="57">
        <f t="shared" si="245"/>
        <v>60000</v>
      </c>
      <c r="K271" s="57">
        <f t="shared" si="246"/>
        <v>142000</v>
      </c>
      <c r="L271" s="58">
        <f t="shared" si="247"/>
        <v>284000</v>
      </c>
      <c r="M271" s="303"/>
    </row>
    <row r="272" spans="1:15" s="59" customFormat="1" ht="18" hidden="1" customHeight="1">
      <c r="A272" s="52"/>
      <c r="B272" s="53"/>
      <c r="C272" s="54"/>
      <c r="D272" s="55"/>
      <c r="E272" s="55"/>
      <c r="F272" s="307"/>
      <c r="G272" s="57"/>
      <c r="H272" s="57"/>
      <c r="I272" s="57"/>
      <c r="J272" s="57"/>
      <c r="K272" s="57"/>
      <c r="L272" s="58"/>
      <c r="M272" s="176"/>
    </row>
    <row r="273" spans="1:13" s="59" customFormat="1" ht="18" customHeight="1">
      <c r="A273" s="52">
        <v>-1</v>
      </c>
      <c r="B273" s="53" t="s">
        <v>107</v>
      </c>
      <c r="C273" s="54"/>
      <c r="D273" s="55"/>
      <c r="E273" s="55"/>
      <c r="F273" s="56"/>
      <c r="G273" s="57"/>
      <c r="H273" s="57"/>
      <c r="I273" s="57"/>
      <c r="J273" s="57"/>
      <c r="K273" s="57"/>
      <c r="L273" s="58"/>
      <c r="M273" s="176"/>
    </row>
    <row r="274" spans="1:13" s="59" customFormat="1" ht="18" customHeight="1">
      <c r="A274" s="60" t="s">
        <v>160</v>
      </c>
      <c r="B274" s="53" t="s">
        <v>334</v>
      </c>
      <c r="C274" s="54" t="s">
        <v>335</v>
      </c>
      <c r="D274" s="55" t="s">
        <v>454</v>
      </c>
      <c r="E274" s="55" t="s">
        <v>38</v>
      </c>
      <c r="F274" s="61">
        <v>2</v>
      </c>
      <c r="G274" s="57">
        <v>150000</v>
      </c>
      <c r="H274" s="57">
        <f t="shared" ref="H274:H281" si="250">F274*G274</f>
        <v>300000</v>
      </c>
      <c r="I274" s="57">
        <v>200000</v>
      </c>
      <c r="J274" s="57">
        <f t="shared" ref="J274:J281" si="251">F274*I274</f>
        <v>400000</v>
      </c>
      <c r="K274" s="57">
        <f t="shared" ref="K274:K279" si="252">G274+I274</f>
        <v>350000</v>
      </c>
      <c r="L274" s="58">
        <f t="shared" ref="L274:L279" si="253">F274*K274</f>
        <v>700000</v>
      </c>
      <c r="M274" s="176"/>
    </row>
    <row r="275" spans="1:13" s="59" customFormat="1" ht="18" hidden="1" customHeight="1">
      <c r="A275" s="60" t="s">
        <v>160</v>
      </c>
      <c r="B275" s="53" t="s">
        <v>334</v>
      </c>
      <c r="C275" s="54" t="s">
        <v>335</v>
      </c>
      <c r="D275" s="55" t="s">
        <v>113</v>
      </c>
      <c r="E275" s="55" t="s">
        <v>38</v>
      </c>
      <c r="F275" s="61"/>
      <c r="G275" s="57">
        <v>250000</v>
      </c>
      <c r="H275" s="57">
        <f t="shared" si="250"/>
        <v>0</v>
      </c>
      <c r="I275" s="57">
        <v>200000</v>
      </c>
      <c r="J275" s="57">
        <f t="shared" si="251"/>
        <v>0</v>
      </c>
      <c r="K275" s="57">
        <f t="shared" si="252"/>
        <v>450000</v>
      </c>
      <c r="L275" s="58">
        <f t="shared" si="253"/>
        <v>0</v>
      </c>
      <c r="M275" s="176"/>
    </row>
    <row r="276" spans="1:13" s="329" customFormat="1" ht="18" hidden="1" customHeight="1">
      <c r="A276" s="60" t="s">
        <v>160</v>
      </c>
      <c r="B276" s="322" t="s">
        <v>325</v>
      </c>
      <c r="C276" s="379" t="s">
        <v>491</v>
      </c>
      <c r="D276" s="324" t="s">
        <v>452</v>
      </c>
      <c r="E276" s="324" t="s">
        <v>38</v>
      </c>
      <c r="F276" s="325"/>
      <c r="G276" s="326">
        <v>250000</v>
      </c>
      <c r="H276" s="326">
        <f t="shared" ref="H276:H279" si="254">F276*G276</f>
        <v>0</v>
      </c>
      <c r="I276" s="326">
        <v>50000</v>
      </c>
      <c r="J276" s="326">
        <f t="shared" ref="J276:J279" si="255">F276*I276</f>
        <v>0</v>
      </c>
      <c r="K276" s="326">
        <f t="shared" si="252"/>
        <v>300000</v>
      </c>
      <c r="L276" s="327">
        <f t="shared" si="253"/>
        <v>0</v>
      </c>
      <c r="M276" s="328"/>
    </row>
    <row r="277" spans="1:13" s="329" customFormat="1" ht="18" customHeight="1">
      <c r="A277" s="60" t="s">
        <v>44</v>
      </c>
      <c r="B277" s="322" t="s">
        <v>594</v>
      </c>
      <c r="C277" s="379" t="s">
        <v>595</v>
      </c>
      <c r="D277" s="324" t="s">
        <v>113</v>
      </c>
      <c r="E277" s="324" t="s">
        <v>38</v>
      </c>
      <c r="F277" s="325">
        <v>1</v>
      </c>
      <c r="G277" s="326">
        <v>199000</v>
      </c>
      <c r="H277" s="326">
        <f t="shared" ref="H277:H278" si="256">F277*G277</f>
        <v>199000</v>
      </c>
      <c r="I277" s="326">
        <v>50000</v>
      </c>
      <c r="J277" s="326">
        <f t="shared" ref="J277:J278" si="257">F277*I277</f>
        <v>50000</v>
      </c>
      <c r="K277" s="326">
        <f t="shared" ref="K277:K278" si="258">G277+I277</f>
        <v>249000</v>
      </c>
      <c r="L277" s="327">
        <f t="shared" ref="L277:L278" si="259">F277*K277</f>
        <v>249000</v>
      </c>
      <c r="M277" s="328"/>
    </row>
    <row r="278" spans="1:13" s="374" customFormat="1" ht="18" customHeight="1">
      <c r="A278" s="366" t="s">
        <v>44</v>
      </c>
      <c r="B278" s="367" t="s">
        <v>594</v>
      </c>
      <c r="C278" s="480" t="s">
        <v>596</v>
      </c>
      <c r="D278" s="369" t="s">
        <v>112</v>
      </c>
      <c r="E278" s="369" t="s">
        <v>38</v>
      </c>
      <c r="F278" s="370">
        <v>1</v>
      </c>
      <c r="G278" s="371">
        <v>0</v>
      </c>
      <c r="H278" s="371">
        <f t="shared" si="256"/>
        <v>0</v>
      </c>
      <c r="I278" s="371">
        <v>50000</v>
      </c>
      <c r="J278" s="371">
        <f t="shared" si="257"/>
        <v>50000</v>
      </c>
      <c r="K278" s="371">
        <f t="shared" si="258"/>
        <v>50000</v>
      </c>
      <c r="L278" s="372">
        <f t="shared" si="259"/>
        <v>50000</v>
      </c>
      <c r="M278" s="481" t="s">
        <v>601</v>
      </c>
    </row>
    <row r="279" spans="1:13" s="329" customFormat="1" ht="18" hidden="1" customHeight="1">
      <c r="A279" s="60" t="s">
        <v>160</v>
      </c>
      <c r="B279" s="322" t="s">
        <v>503</v>
      </c>
      <c r="C279" s="379" t="s">
        <v>497</v>
      </c>
      <c r="D279" s="324" t="s">
        <v>455</v>
      </c>
      <c r="E279" s="324" t="s">
        <v>38</v>
      </c>
      <c r="F279" s="325"/>
      <c r="G279" s="326">
        <v>190000</v>
      </c>
      <c r="H279" s="326">
        <f t="shared" si="254"/>
        <v>0</v>
      </c>
      <c r="I279" s="326">
        <v>50000</v>
      </c>
      <c r="J279" s="326">
        <f t="shared" si="255"/>
        <v>0</v>
      </c>
      <c r="K279" s="326">
        <f t="shared" si="252"/>
        <v>240000</v>
      </c>
      <c r="L279" s="327">
        <f t="shared" si="253"/>
        <v>0</v>
      </c>
      <c r="M279" s="328"/>
    </row>
    <row r="280" spans="1:13" s="296" customFormat="1" ht="18" hidden="1" customHeight="1">
      <c r="A280" s="258" t="s">
        <v>302</v>
      </c>
      <c r="B280" s="289" t="s">
        <v>325</v>
      </c>
      <c r="C280" s="333" t="s">
        <v>359</v>
      </c>
      <c r="D280" s="291" t="s">
        <v>112</v>
      </c>
      <c r="E280" s="291" t="s">
        <v>38</v>
      </c>
      <c r="F280" s="292"/>
      <c r="G280" s="293">
        <v>180000</v>
      </c>
      <c r="H280" s="293">
        <f t="shared" si="250"/>
        <v>0</v>
      </c>
      <c r="I280" s="293">
        <v>50000</v>
      </c>
      <c r="J280" s="293">
        <f t="shared" si="251"/>
        <v>0</v>
      </c>
      <c r="K280" s="293">
        <f t="shared" ref="K280:K284" si="260">G280+I280</f>
        <v>230000</v>
      </c>
      <c r="L280" s="294">
        <f t="shared" ref="L280:L282" si="261">F280*K280</f>
        <v>0</v>
      </c>
      <c r="M280" s="295"/>
    </row>
    <row r="281" spans="1:13" s="296" customFormat="1" ht="18" hidden="1" customHeight="1">
      <c r="A281" s="258" t="s">
        <v>294</v>
      </c>
      <c r="B281" s="289" t="s">
        <v>110</v>
      </c>
      <c r="C281" s="333" t="s">
        <v>358</v>
      </c>
      <c r="D281" s="291" t="s">
        <v>326</v>
      </c>
      <c r="E281" s="291" t="s">
        <v>38</v>
      </c>
      <c r="F281" s="292"/>
      <c r="G281" s="293">
        <v>150000</v>
      </c>
      <c r="H281" s="293">
        <f t="shared" si="250"/>
        <v>0</v>
      </c>
      <c r="I281" s="293">
        <v>50000</v>
      </c>
      <c r="J281" s="293">
        <f t="shared" si="251"/>
        <v>0</v>
      </c>
      <c r="K281" s="293">
        <f t="shared" si="260"/>
        <v>200000</v>
      </c>
      <c r="L281" s="294">
        <f t="shared" ref="L281" si="262">F281*K281</f>
        <v>0</v>
      </c>
      <c r="M281" s="295"/>
    </row>
    <row r="282" spans="1:13" s="59" customFormat="1" ht="18" hidden="1" customHeight="1">
      <c r="A282" s="60" t="s">
        <v>12</v>
      </c>
      <c r="B282" s="53" t="s">
        <v>109</v>
      </c>
      <c r="C282" s="54" t="s">
        <v>215</v>
      </c>
      <c r="D282" s="55" t="s">
        <v>214</v>
      </c>
      <c r="E282" s="55" t="s">
        <v>38</v>
      </c>
      <c r="F282" s="61"/>
      <c r="G282" s="57">
        <v>450000</v>
      </c>
      <c r="H282" s="57">
        <f t="shared" ref="H282" si="263">F282*G282</f>
        <v>0</v>
      </c>
      <c r="I282" s="57">
        <v>50000</v>
      </c>
      <c r="J282" s="57">
        <f t="shared" ref="J282" si="264">F282*I282</f>
        <v>0</v>
      </c>
      <c r="K282" s="57">
        <f t="shared" si="260"/>
        <v>500000</v>
      </c>
      <c r="L282" s="58">
        <f t="shared" si="261"/>
        <v>0</v>
      </c>
      <c r="M282" s="176"/>
    </row>
    <row r="283" spans="1:13" s="59" customFormat="1" ht="18" customHeight="1">
      <c r="A283" s="60" t="s">
        <v>12</v>
      </c>
      <c r="B283" s="53" t="s">
        <v>109</v>
      </c>
      <c r="C283" s="54" t="s">
        <v>593</v>
      </c>
      <c r="D283" s="55" t="s">
        <v>454</v>
      </c>
      <c r="E283" s="55" t="s">
        <v>38</v>
      </c>
      <c r="F283" s="61">
        <v>2</v>
      </c>
      <c r="G283" s="57">
        <v>400000</v>
      </c>
      <c r="H283" s="57">
        <f t="shared" ref="H283:H309" si="265">F283*G283</f>
        <v>800000</v>
      </c>
      <c r="I283" s="57">
        <v>50000</v>
      </c>
      <c r="J283" s="57">
        <f t="shared" ref="J283:J309" si="266">F283*I283</f>
        <v>100000</v>
      </c>
      <c r="K283" s="57">
        <f t="shared" si="260"/>
        <v>450000</v>
      </c>
      <c r="L283" s="58">
        <f t="shared" si="247"/>
        <v>900000</v>
      </c>
      <c r="M283" s="176"/>
    </row>
    <row r="284" spans="1:13" s="59" customFormat="1" ht="18" hidden="1" customHeight="1">
      <c r="A284" s="60" t="s">
        <v>256</v>
      </c>
      <c r="B284" s="53" t="s">
        <v>283</v>
      </c>
      <c r="C284" s="54" t="s">
        <v>522</v>
      </c>
      <c r="D284" s="55" t="s">
        <v>502</v>
      </c>
      <c r="E284" s="55" t="s">
        <v>38</v>
      </c>
      <c r="F284" s="61"/>
      <c r="G284" s="57">
        <v>630000</v>
      </c>
      <c r="H284" s="57">
        <f t="shared" si="265"/>
        <v>0</v>
      </c>
      <c r="I284" s="57">
        <v>50000</v>
      </c>
      <c r="J284" s="57">
        <f t="shared" si="266"/>
        <v>0</v>
      </c>
      <c r="K284" s="57">
        <f t="shared" si="260"/>
        <v>680000</v>
      </c>
      <c r="L284" s="58">
        <f t="shared" si="247"/>
        <v>0</v>
      </c>
      <c r="M284" s="176"/>
    </row>
    <row r="285" spans="1:13" s="59" customFormat="1" ht="18" hidden="1" customHeight="1">
      <c r="A285" s="60" t="s">
        <v>44</v>
      </c>
      <c r="B285" s="53" t="s">
        <v>283</v>
      </c>
      <c r="C285" s="54" t="s">
        <v>523</v>
      </c>
      <c r="D285" s="55" t="s">
        <v>113</v>
      </c>
      <c r="E285" s="55" t="s">
        <v>38</v>
      </c>
      <c r="F285" s="61"/>
      <c r="G285" s="57">
        <v>530000</v>
      </c>
      <c r="H285" s="57">
        <f t="shared" ref="H285" si="267">F285*G285</f>
        <v>0</v>
      </c>
      <c r="I285" s="57">
        <v>50000</v>
      </c>
      <c r="J285" s="57">
        <f t="shared" ref="J285" si="268">F285*I285</f>
        <v>0</v>
      </c>
      <c r="K285" s="57">
        <f t="shared" ref="K285" si="269">G285+I285</f>
        <v>580000</v>
      </c>
      <c r="L285" s="58">
        <f t="shared" ref="L285" si="270">F285*K285</f>
        <v>0</v>
      </c>
      <c r="M285" s="176"/>
    </row>
    <row r="286" spans="1:13" s="59" customFormat="1" ht="18" customHeight="1">
      <c r="A286" s="60"/>
      <c r="B286" s="53"/>
      <c r="C286" s="62"/>
      <c r="D286" s="55"/>
      <c r="E286" s="55"/>
      <c r="F286" s="61"/>
      <c r="G286" s="57"/>
      <c r="H286" s="57"/>
      <c r="I286" s="57"/>
      <c r="J286" s="57"/>
      <c r="K286" s="57"/>
      <c r="L286" s="58"/>
      <c r="M286" s="176"/>
    </row>
    <row r="287" spans="1:13" s="59" customFormat="1" ht="18" customHeight="1">
      <c r="A287" s="52">
        <v>-1</v>
      </c>
      <c r="B287" s="53" t="s">
        <v>100</v>
      </c>
      <c r="C287" s="54"/>
      <c r="D287" s="55"/>
      <c r="E287" s="55"/>
      <c r="F287" s="56"/>
      <c r="G287" s="57"/>
      <c r="H287" s="57"/>
      <c r="I287" s="57"/>
      <c r="J287" s="57"/>
      <c r="K287" s="57"/>
      <c r="L287" s="58"/>
      <c r="M287" s="176"/>
    </row>
    <row r="288" spans="1:13" s="329" customFormat="1" ht="18" customHeight="1">
      <c r="A288" s="52" t="s">
        <v>216</v>
      </c>
      <c r="B288" s="322" t="s">
        <v>115</v>
      </c>
      <c r="C288" s="379" t="s">
        <v>604</v>
      </c>
      <c r="D288" s="324" t="s">
        <v>113</v>
      </c>
      <c r="E288" s="324" t="s">
        <v>42</v>
      </c>
      <c r="F288" s="342">
        <v>1</v>
      </c>
      <c r="G288" s="326">
        <v>0</v>
      </c>
      <c r="H288" s="326">
        <f t="shared" si="265"/>
        <v>0</v>
      </c>
      <c r="I288" s="326">
        <v>150000</v>
      </c>
      <c r="J288" s="326">
        <f t="shared" ref="J288" si="271">F288*I288</f>
        <v>150000</v>
      </c>
      <c r="K288" s="326">
        <f t="shared" ref="K288:K294" si="272">G288+I288</f>
        <v>150000</v>
      </c>
      <c r="L288" s="327">
        <f t="shared" ref="L288" si="273">F288*K288</f>
        <v>150000</v>
      </c>
      <c r="M288" s="295" t="s">
        <v>601</v>
      </c>
    </row>
    <row r="289" spans="1:13" s="329" customFormat="1" ht="18" hidden="1" customHeight="1">
      <c r="A289" s="52" t="s">
        <v>44</v>
      </c>
      <c r="B289" s="322" t="s">
        <v>354</v>
      </c>
      <c r="C289" s="379" t="s">
        <v>353</v>
      </c>
      <c r="D289" s="324" t="s">
        <v>113</v>
      </c>
      <c r="E289" s="324" t="s">
        <v>42</v>
      </c>
      <c r="F289" s="342"/>
      <c r="G289" s="326">
        <v>11000</v>
      </c>
      <c r="H289" s="326">
        <f t="shared" ref="H289" si="274">F289*G289</f>
        <v>0</v>
      </c>
      <c r="I289" s="326">
        <v>30000</v>
      </c>
      <c r="J289" s="326">
        <f t="shared" ref="J289" si="275">F289*I289</f>
        <v>0</v>
      </c>
      <c r="K289" s="326">
        <f t="shared" ref="K289" si="276">G289+I289</f>
        <v>41000</v>
      </c>
      <c r="L289" s="327">
        <f t="shared" ref="L289" si="277">F289*K289</f>
        <v>0</v>
      </c>
      <c r="M289" s="328"/>
    </row>
    <row r="290" spans="1:13" s="329" customFormat="1" ht="18" customHeight="1">
      <c r="A290" s="52" t="s">
        <v>216</v>
      </c>
      <c r="B290" s="322" t="s">
        <v>116</v>
      </c>
      <c r="C290" s="379" t="s">
        <v>603</v>
      </c>
      <c r="D290" s="324" t="s">
        <v>113</v>
      </c>
      <c r="E290" s="324" t="s">
        <v>42</v>
      </c>
      <c r="F290" s="342">
        <v>1</v>
      </c>
      <c r="G290" s="326">
        <v>0</v>
      </c>
      <c r="H290" s="326">
        <f t="shared" ref="H290" si="278">F290*G290</f>
        <v>0</v>
      </c>
      <c r="I290" s="326">
        <v>350000</v>
      </c>
      <c r="J290" s="326">
        <f t="shared" ref="J290" si="279">F290*I290</f>
        <v>350000</v>
      </c>
      <c r="K290" s="326">
        <f>G290+I290</f>
        <v>350000</v>
      </c>
      <c r="L290" s="327">
        <f t="shared" ref="L290" si="280">F290*K290</f>
        <v>350000</v>
      </c>
      <c r="M290" s="295" t="s">
        <v>601</v>
      </c>
    </row>
    <row r="291" spans="1:13" s="59" customFormat="1" ht="18" customHeight="1">
      <c r="A291" s="60" t="s">
        <v>12</v>
      </c>
      <c r="B291" s="53" t="s">
        <v>115</v>
      </c>
      <c r="C291" s="379" t="s">
        <v>604</v>
      </c>
      <c r="D291" s="55" t="s">
        <v>112</v>
      </c>
      <c r="E291" s="55" t="s">
        <v>42</v>
      </c>
      <c r="F291" s="56">
        <v>1</v>
      </c>
      <c r="G291" s="57">
        <v>0</v>
      </c>
      <c r="H291" s="57">
        <f>F291*G291</f>
        <v>0</v>
      </c>
      <c r="I291" s="57">
        <v>150000</v>
      </c>
      <c r="J291" s="57">
        <f>F291*I291</f>
        <v>150000</v>
      </c>
      <c r="K291" s="57">
        <f t="shared" si="272"/>
        <v>150000</v>
      </c>
      <c r="L291" s="58">
        <f>F291*K291</f>
        <v>150000</v>
      </c>
      <c r="M291" s="295" t="s">
        <v>601</v>
      </c>
    </row>
    <row r="292" spans="1:13" s="296" customFormat="1" ht="18" hidden="1" customHeight="1">
      <c r="A292" s="332" t="s">
        <v>217</v>
      </c>
      <c r="B292" s="289" t="s">
        <v>354</v>
      </c>
      <c r="C292" s="333" t="s">
        <v>353</v>
      </c>
      <c r="D292" s="291" t="s">
        <v>112</v>
      </c>
      <c r="E292" s="291" t="s">
        <v>42</v>
      </c>
      <c r="F292" s="334"/>
      <c r="G292" s="293">
        <v>0</v>
      </c>
      <c r="H292" s="293">
        <f t="shared" ref="H292" si="281">F292*G292</f>
        <v>0</v>
      </c>
      <c r="I292" s="293">
        <v>0</v>
      </c>
      <c r="J292" s="293">
        <f t="shared" ref="J292" si="282">F292*I292</f>
        <v>0</v>
      </c>
      <c r="K292" s="293">
        <f t="shared" si="272"/>
        <v>0</v>
      </c>
      <c r="L292" s="294">
        <f t="shared" ref="L292" si="283">F292*K292</f>
        <v>0</v>
      </c>
      <c r="M292" s="347"/>
    </row>
    <row r="293" spans="1:13" s="329" customFormat="1" ht="18" hidden="1" customHeight="1">
      <c r="A293" s="52" t="s">
        <v>44</v>
      </c>
      <c r="B293" s="322" t="s">
        <v>116</v>
      </c>
      <c r="C293" s="379" t="s">
        <v>458</v>
      </c>
      <c r="D293" s="324" t="s">
        <v>112</v>
      </c>
      <c r="E293" s="324" t="s">
        <v>42</v>
      </c>
      <c r="F293" s="342"/>
      <c r="G293" s="326">
        <v>250000</v>
      </c>
      <c r="H293" s="326">
        <f t="shared" ref="H293" si="284">F293*G293</f>
        <v>0</v>
      </c>
      <c r="I293" s="326">
        <v>50000</v>
      </c>
      <c r="J293" s="326">
        <f t="shared" ref="J293" si="285">F293*I293</f>
        <v>0</v>
      </c>
      <c r="K293" s="326">
        <f t="shared" ref="K293" si="286">G293+I293</f>
        <v>300000</v>
      </c>
      <c r="L293" s="327">
        <f t="shared" ref="L293" si="287">F293*K293</f>
        <v>0</v>
      </c>
      <c r="M293" s="378"/>
    </row>
    <row r="294" spans="1:13" s="59" customFormat="1" ht="18" hidden="1" customHeight="1">
      <c r="A294" s="60" t="s">
        <v>12</v>
      </c>
      <c r="B294" s="53" t="s">
        <v>226</v>
      </c>
      <c r="C294" s="62" t="s">
        <v>228</v>
      </c>
      <c r="D294" s="55" t="s">
        <v>227</v>
      </c>
      <c r="E294" s="55" t="s">
        <v>42</v>
      </c>
      <c r="F294" s="342"/>
      <c r="G294" s="57">
        <v>0</v>
      </c>
      <c r="H294" s="57">
        <f t="shared" ref="H294:H295" si="288">F294*G294</f>
        <v>0</v>
      </c>
      <c r="I294" s="57">
        <v>0</v>
      </c>
      <c r="J294" s="57">
        <f t="shared" ref="J294:J295" si="289">F294*I294</f>
        <v>0</v>
      </c>
      <c r="K294" s="57">
        <f t="shared" si="272"/>
        <v>0</v>
      </c>
      <c r="L294" s="58">
        <f t="shared" ref="L294:L295" si="290">F294*K294</f>
        <v>0</v>
      </c>
      <c r="M294" s="312"/>
    </row>
    <row r="295" spans="1:13" s="329" customFormat="1" ht="18" customHeight="1">
      <c r="A295" s="52" t="s">
        <v>44</v>
      </c>
      <c r="B295" s="322" t="s">
        <v>116</v>
      </c>
      <c r="C295" s="379" t="s">
        <v>603</v>
      </c>
      <c r="D295" s="324" t="s">
        <v>113</v>
      </c>
      <c r="E295" s="324" t="s">
        <v>42</v>
      </c>
      <c r="F295" s="342">
        <v>1</v>
      </c>
      <c r="G295" s="326">
        <v>0</v>
      </c>
      <c r="H295" s="326">
        <f t="shared" si="288"/>
        <v>0</v>
      </c>
      <c r="I295" s="326">
        <v>350000</v>
      </c>
      <c r="J295" s="326">
        <f t="shared" si="289"/>
        <v>350000</v>
      </c>
      <c r="K295" s="326">
        <f>G295+I295</f>
        <v>350000</v>
      </c>
      <c r="L295" s="327">
        <f t="shared" si="290"/>
        <v>350000</v>
      </c>
      <c r="M295" s="295" t="s">
        <v>601</v>
      </c>
    </row>
    <row r="296" spans="1:13" s="59" customFormat="1" ht="18" customHeight="1">
      <c r="A296" s="60"/>
      <c r="B296" s="53"/>
      <c r="C296" s="62"/>
      <c r="D296" s="55"/>
      <c r="E296" s="55"/>
      <c r="F296" s="61"/>
      <c r="G296" s="57"/>
      <c r="H296" s="57"/>
      <c r="I296" s="57"/>
      <c r="J296" s="57"/>
      <c r="K296" s="57"/>
      <c r="L296" s="58"/>
      <c r="M296" s="177"/>
    </row>
    <row r="297" spans="1:13" s="59" customFormat="1" ht="18" customHeight="1">
      <c r="A297" s="52">
        <v>-1</v>
      </c>
      <c r="B297" s="53" t="s">
        <v>120</v>
      </c>
      <c r="C297" s="54"/>
      <c r="D297" s="55"/>
      <c r="E297" s="55"/>
      <c r="F297" s="56"/>
      <c r="G297" s="57"/>
      <c r="H297" s="57"/>
      <c r="I297" s="57"/>
      <c r="J297" s="57"/>
      <c r="K297" s="57"/>
      <c r="L297" s="58"/>
      <c r="M297" s="177"/>
    </row>
    <row r="298" spans="1:13" s="59" customFormat="1" ht="18" customHeight="1">
      <c r="A298" s="60" t="s">
        <v>12</v>
      </c>
      <c r="B298" s="53" t="s">
        <v>206</v>
      </c>
      <c r="C298" s="54" t="s">
        <v>528</v>
      </c>
      <c r="D298" s="55" t="s">
        <v>113</v>
      </c>
      <c r="E298" s="55" t="s">
        <v>42</v>
      </c>
      <c r="F298" s="61">
        <v>1</v>
      </c>
      <c r="G298" s="57">
        <v>150000</v>
      </c>
      <c r="H298" s="57">
        <f t="shared" si="265"/>
        <v>150000</v>
      </c>
      <c r="I298" s="57">
        <v>250000</v>
      </c>
      <c r="J298" s="57">
        <f t="shared" si="266"/>
        <v>250000</v>
      </c>
      <c r="K298" s="57">
        <f t="shared" ref="K298" si="291">G298+I298</f>
        <v>400000</v>
      </c>
      <c r="L298" s="58">
        <f t="shared" si="247"/>
        <v>400000</v>
      </c>
      <c r="M298" s="177"/>
    </row>
    <row r="299" spans="1:13" s="59" customFormat="1" ht="18" hidden="1" customHeight="1">
      <c r="A299" s="60" t="s">
        <v>44</v>
      </c>
      <c r="B299" s="53" t="s">
        <v>456</v>
      </c>
      <c r="C299" s="54" t="s">
        <v>457</v>
      </c>
      <c r="D299" s="55" t="s">
        <v>113</v>
      </c>
      <c r="E299" s="55" t="s">
        <v>42</v>
      </c>
      <c r="F299" s="61"/>
      <c r="G299" s="57">
        <v>270000</v>
      </c>
      <c r="H299" s="57">
        <f>F299*G299</f>
        <v>0</v>
      </c>
      <c r="I299" s="57">
        <v>50000</v>
      </c>
      <c r="J299" s="326">
        <f t="shared" ref="J299:J301" si="292">F299*I299</f>
        <v>0</v>
      </c>
      <c r="K299" s="57">
        <f>G299+I299</f>
        <v>320000</v>
      </c>
      <c r="L299" s="58">
        <f>F299*K299</f>
        <v>0</v>
      </c>
      <c r="M299" s="176"/>
    </row>
    <row r="300" spans="1:13" s="475" customFormat="1" ht="18" customHeight="1">
      <c r="A300" s="366" t="s">
        <v>44</v>
      </c>
      <c r="B300" s="476" t="s">
        <v>329</v>
      </c>
      <c r="C300" s="469"/>
      <c r="D300" s="470" t="s">
        <v>113</v>
      </c>
      <c r="E300" s="470" t="s">
        <v>42</v>
      </c>
      <c r="F300" s="477">
        <v>1</v>
      </c>
      <c r="G300" s="472">
        <v>0</v>
      </c>
      <c r="H300" s="472">
        <f>F300*G300</f>
        <v>0</v>
      </c>
      <c r="I300" s="472">
        <v>30000</v>
      </c>
      <c r="J300" s="472">
        <f t="shared" si="292"/>
        <v>30000</v>
      </c>
      <c r="K300" s="472">
        <f>G300+I300</f>
        <v>30000</v>
      </c>
      <c r="L300" s="473">
        <f>F300*K300</f>
        <v>30000</v>
      </c>
      <c r="M300" s="474" t="s">
        <v>601</v>
      </c>
    </row>
    <row r="301" spans="1:13" s="475" customFormat="1" ht="18" customHeight="1">
      <c r="A301" s="366" t="s">
        <v>12</v>
      </c>
      <c r="B301" s="476" t="s">
        <v>117</v>
      </c>
      <c r="C301" s="478"/>
      <c r="D301" s="470" t="s">
        <v>113</v>
      </c>
      <c r="E301" s="470" t="s">
        <v>42</v>
      </c>
      <c r="F301" s="477">
        <v>2</v>
      </c>
      <c r="G301" s="472"/>
      <c r="H301" s="472">
        <f t="shared" ref="H301" si="293">F301*G301</f>
        <v>0</v>
      </c>
      <c r="I301" s="472">
        <v>50000</v>
      </c>
      <c r="J301" s="472">
        <f t="shared" si="292"/>
        <v>100000</v>
      </c>
      <c r="K301" s="472">
        <f t="shared" ref="K301" si="294">G301+I301</f>
        <v>50000</v>
      </c>
      <c r="L301" s="473">
        <f t="shared" ref="L301" si="295">F301*K301</f>
        <v>100000</v>
      </c>
      <c r="M301" s="474" t="s">
        <v>601</v>
      </c>
    </row>
    <row r="302" spans="1:13" s="475" customFormat="1" ht="18" customHeight="1">
      <c r="A302" s="366" t="s">
        <v>12</v>
      </c>
      <c r="B302" s="476" t="s">
        <v>118</v>
      </c>
      <c r="C302" s="478"/>
      <c r="D302" s="470" t="s">
        <v>113</v>
      </c>
      <c r="E302" s="470" t="s">
        <v>42</v>
      </c>
      <c r="F302" s="477">
        <v>1</v>
      </c>
      <c r="G302" s="472"/>
      <c r="H302" s="472">
        <f t="shared" ref="H302" si="296">F302*G302</f>
        <v>0</v>
      </c>
      <c r="I302" s="472">
        <v>50000</v>
      </c>
      <c r="J302" s="472">
        <f t="shared" ref="J302" si="297">F302*I302</f>
        <v>50000</v>
      </c>
      <c r="K302" s="472">
        <f t="shared" ref="K302" si="298">G302+I302</f>
        <v>50000</v>
      </c>
      <c r="L302" s="473">
        <f t="shared" ref="L302" si="299">F302*K302</f>
        <v>50000</v>
      </c>
      <c r="M302" s="474" t="s">
        <v>601</v>
      </c>
    </row>
    <row r="303" spans="1:13" s="475" customFormat="1" ht="18" customHeight="1">
      <c r="A303" s="366" t="s">
        <v>44</v>
      </c>
      <c r="B303" s="476" t="s">
        <v>602</v>
      </c>
      <c r="C303" s="478"/>
      <c r="D303" s="470" t="s">
        <v>113</v>
      </c>
      <c r="E303" s="470" t="s">
        <v>42</v>
      </c>
      <c r="F303" s="477">
        <v>1</v>
      </c>
      <c r="G303" s="472"/>
      <c r="H303" s="472">
        <f t="shared" ref="H303" si="300">F303*G303</f>
        <v>0</v>
      </c>
      <c r="I303" s="472">
        <v>50000</v>
      </c>
      <c r="J303" s="472">
        <f t="shared" ref="J303" si="301">F303*I303</f>
        <v>50000</v>
      </c>
      <c r="K303" s="472">
        <f t="shared" ref="K303" si="302">G303+I303</f>
        <v>50000</v>
      </c>
      <c r="L303" s="473">
        <f t="shared" ref="L303" si="303">F303*K303</f>
        <v>50000</v>
      </c>
      <c r="M303" s="474" t="s">
        <v>601</v>
      </c>
    </row>
    <row r="304" spans="1:13" s="59" customFormat="1" ht="18" customHeight="1">
      <c r="A304" s="60" t="s">
        <v>12</v>
      </c>
      <c r="B304" s="53" t="s">
        <v>145</v>
      </c>
      <c r="C304" s="54" t="s">
        <v>148</v>
      </c>
      <c r="D304" s="55" t="s">
        <v>113</v>
      </c>
      <c r="E304" s="55" t="s">
        <v>75</v>
      </c>
      <c r="F304" s="61">
        <v>2</v>
      </c>
      <c r="G304" s="57">
        <v>32000</v>
      </c>
      <c r="H304" s="57">
        <f t="shared" si="265"/>
        <v>64000</v>
      </c>
      <c r="I304" s="57">
        <v>10000</v>
      </c>
      <c r="J304" s="57">
        <f t="shared" si="266"/>
        <v>20000</v>
      </c>
      <c r="K304" s="57">
        <f>G304+I304</f>
        <v>42000</v>
      </c>
      <c r="L304" s="58">
        <f t="shared" si="247"/>
        <v>84000</v>
      </c>
      <c r="M304" s="177"/>
    </row>
    <row r="305" spans="1:14" s="59" customFormat="1" ht="18" customHeight="1">
      <c r="A305" s="60" t="s">
        <v>177</v>
      </c>
      <c r="B305" s="53" t="s">
        <v>178</v>
      </c>
      <c r="C305" s="54" t="s">
        <v>218</v>
      </c>
      <c r="D305" s="55" t="s">
        <v>113</v>
      </c>
      <c r="E305" s="55" t="s">
        <v>179</v>
      </c>
      <c r="F305" s="61">
        <v>1</v>
      </c>
      <c r="G305" s="57">
        <v>250000</v>
      </c>
      <c r="H305" s="57">
        <f>F305*G305</f>
        <v>250000</v>
      </c>
      <c r="I305" s="57">
        <v>100000</v>
      </c>
      <c r="J305" s="57">
        <f>F305*I305</f>
        <v>100000</v>
      </c>
      <c r="K305" s="57">
        <f>G305+I305</f>
        <v>350000</v>
      </c>
      <c r="L305" s="58">
        <f>F305*K305</f>
        <v>350000</v>
      </c>
      <c r="M305" s="177"/>
    </row>
    <row r="306" spans="1:14" s="417" customFormat="1" ht="18" customHeight="1">
      <c r="A306" s="258" t="s">
        <v>44</v>
      </c>
      <c r="B306" s="411" t="s">
        <v>631</v>
      </c>
      <c r="C306" s="427"/>
      <c r="D306" s="413" t="s">
        <v>113</v>
      </c>
      <c r="E306" s="413" t="s">
        <v>75</v>
      </c>
      <c r="F306" s="414">
        <v>1</v>
      </c>
      <c r="G306" s="415">
        <v>0</v>
      </c>
      <c r="H306" s="415">
        <f>F306*G306</f>
        <v>0</v>
      </c>
      <c r="I306" s="415">
        <v>0</v>
      </c>
      <c r="J306" s="415">
        <f>F306*I306</f>
        <v>0</v>
      </c>
      <c r="K306" s="415">
        <f>G306+I306</f>
        <v>0</v>
      </c>
      <c r="L306" s="416">
        <f>F306*K306</f>
        <v>0</v>
      </c>
      <c r="M306" s="397" t="s">
        <v>632</v>
      </c>
    </row>
    <row r="307" spans="1:14" s="59" customFormat="1" ht="18" hidden="1" customHeight="1">
      <c r="A307" s="60"/>
      <c r="B307" s="53"/>
      <c r="C307" s="62"/>
      <c r="D307" s="55"/>
      <c r="E307" s="55"/>
      <c r="F307" s="61"/>
      <c r="G307" s="57"/>
      <c r="H307" s="57"/>
      <c r="I307" s="57"/>
      <c r="J307" s="57"/>
      <c r="K307" s="57"/>
      <c r="L307" s="58"/>
      <c r="M307" s="177"/>
    </row>
    <row r="308" spans="1:14" s="59" customFormat="1" ht="18" customHeight="1">
      <c r="A308" s="52">
        <v>-1</v>
      </c>
      <c r="B308" s="53" t="s">
        <v>119</v>
      </c>
      <c r="C308" s="54"/>
      <c r="D308" s="55"/>
      <c r="E308" s="55"/>
      <c r="F308" s="56"/>
      <c r="G308" s="57"/>
      <c r="H308" s="57"/>
      <c r="I308" s="57"/>
      <c r="J308" s="57"/>
      <c r="K308" s="57"/>
      <c r="L308" s="58"/>
      <c r="M308" s="177"/>
    </row>
    <row r="309" spans="1:14" s="329" customFormat="1" ht="18" customHeight="1">
      <c r="A309" s="60" t="s">
        <v>12</v>
      </c>
      <c r="B309" s="322" t="s">
        <v>206</v>
      </c>
      <c r="C309" s="379" t="s">
        <v>527</v>
      </c>
      <c r="D309" s="324" t="s">
        <v>112</v>
      </c>
      <c r="E309" s="324" t="s">
        <v>42</v>
      </c>
      <c r="F309" s="325">
        <v>1</v>
      </c>
      <c r="G309" s="326">
        <v>150000</v>
      </c>
      <c r="H309" s="326">
        <f t="shared" si="265"/>
        <v>150000</v>
      </c>
      <c r="I309" s="326">
        <v>250000</v>
      </c>
      <c r="J309" s="326">
        <f t="shared" si="266"/>
        <v>250000</v>
      </c>
      <c r="K309" s="326">
        <f t="shared" ref="K309" si="304">G309+I309</f>
        <v>400000</v>
      </c>
      <c r="L309" s="327">
        <f t="shared" si="247"/>
        <v>400000</v>
      </c>
      <c r="M309" s="319"/>
    </row>
    <row r="310" spans="1:14" s="475" customFormat="1" ht="18" customHeight="1">
      <c r="A310" s="366" t="s">
        <v>44</v>
      </c>
      <c r="B310" s="476" t="s">
        <v>329</v>
      </c>
      <c r="C310" s="469" t="s">
        <v>641</v>
      </c>
      <c r="D310" s="470" t="s">
        <v>112</v>
      </c>
      <c r="E310" s="470" t="s">
        <v>42</v>
      </c>
      <c r="F310" s="477">
        <v>1</v>
      </c>
      <c r="G310" s="472">
        <v>250000</v>
      </c>
      <c r="H310" s="472">
        <f>F310*G310</f>
        <v>250000</v>
      </c>
      <c r="I310" s="472">
        <v>30000</v>
      </c>
      <c r="J310" s="472">
        <f t="shared" ref="J310:J314" si="305">F310*I310</f>
        <v>30000</v>
      </c>
      <c r="K310" s="472">
        <f>G310+I310</f>
        <v>280000</v>
      </c>
      <c r="L310" s="473">
        <f>F310*K310</f>
        <v>280000</v>
      </c>
      <c r="M310" s="474" t="s">
        <v>601</v>
      </c>
    </row>
    <row r="311" spans="1:14" s="475" customFormat="1" ht="18" customHeight="1">
      <c r="A311" s="366" t="s">
        <v>12</v>
      </c>
      <c r="B311" s="476" t="s">
        <v>117</v>
      </c>
      <c r="C311" s="478"/>
      <c r="D311" s="470" t="s">
        <v>246</v>
      </c>
      <c r="E311" s="470" t="s">
        <v>42</v>
      </c>
      <c r="F311" s="477">
        <v>1</v>
      </c>
      <c r="G311" s="472"/>
      <c r="H311" s="472">
        <f t="shared" ref="H311:H314" si="306">F311*G311</f>
        <v>0</v>
      </c>
      <c r="I311" s="472">
        <v>50000</v>
      </c>
      <c r="J311" s="472">
        <f t="shared" si="305"/>
        <v>50000</v>
      </c>
      <c r="K311" s="472">
        <f t="shared" ref="K311:K314" si="307">G311+I311</f>
        <v>50000</v>
      </c>
      <c r="L311" s="473">
        <f t="shared" ref="L311:L314" si="308">F311*K311</f>
        <v>50000</v>
      </c>
      <c r="M311" s="474" t="s">
        <v>601</v>
      </c>
    </row>
    <row r="312" spans="1:14" s="475" customFormat="1" ht="18" hidden="1" customHeight="1">
      <c r="A312" s="366" t="s">
        <v>355</v>
      </c>
      <c r="B312" s="476" t="s">
        <v>356</v>
      </c>
      <c r="C312" s="478" t="s">
        <v>357</v>
      </c>
      <c r="D312" s="470" t="s">
        <v>112</v>
      </c>
      <c r="E312" s="470" t="s">
        <v>42</v>
      </c>
      <c r="F312" s="477"/>
      <c r="G312" s="472">
        <v>33000</v>
      </c>
      <c r="H312" s="472">
        <f t="shared" si="306"/>
        <v>0</v>
      </c>
      <c r="I312" s="472">
        <v>10000</v>
      </c>
      <c r="J312" s="472">
        <f t="shared" si="305"/>
        <v>0</v>
      </c>
      <c r="K312" s="472">
        <f t="shared" ref="K312" si="309">G312+I312</f>
        <v>43000</v>
      </c>
      <c r="L312" s="473">
        <f t="shared" ref="L312" si="310">F312*K312</f>
        <v>0</v>
      </c>
      <c r="M312" s="474"/>
    </row>
    <row r="313" spans="1:14" s="475" customFormat="1" ht="18" customHeight="1">
      <c r="A313" s="366" t="s">
        <v>12</v>
      </c>
      <c r="B313" s="476" t="s">
        <v>118</v>
      </c>
      <c r="C313" s="478"/>
      <c r="D313" s="470" t="s">
        <v>246</v>
      </c>
      <c r="E313" s="470" t="s">
        <v>42</v>
      </c>
      <c r="F313" s="477">
        <v>1</v>
      </c>
      <c r="G313" s="472"/>
      <c r="H313" s="472">
        <f t="shared" si="306"/>
        <v>0</v>
      </c>
      <c r="I313" s="472">
        <v>50000</v>
      </c>
      <c r="J313" s="472">
        <f t="shared" si="305"/>
        <v>50000</v>
      </c>
      <c r="K313" s="472">
        <f t="shared" si="307"/>
        <v>50000</v>
      </c>
      <c r="L313" s="473">
        <f t="shared" si="308"/>
        <v>50000</v>
      </c>
      <c r="M313" s="474" t="s">
        <v>601</v>
      </c>
    </row>
    <row r="314" spans="1:14" s="475" customFormat="1" ht="18" customHeight="1">
      <c r="A314" s="366" t="s">
        <v>44</v>
      </c>
      <c r="B314" s="476" t="s">
        <v>602</v>
      </c>
      <c r="C314" s="478"/>
      <c r="D314" s="470" t="s">
        <v>112</v>
      </c>
      <c r="E314" s="470" t="s">
        <v>42</v>
      </c>
      <c r="F314" s="477">
        <v>1</v>
      </c>
      <c r="G314" s="472"/>
      <c r="H314" s="472">
        <f t="shared" si="306"/>
        <v>0</v>
      </c>
      <c r="I314" s="472">
        <v>50000</v>
      </c>
      <c r="J314" s="472">
        <f t="shared" si="305"/>
        <v>50000</v>
      </c>
      <c r="K314" s="472">
        <f t="shared" si="307"/>
        <v>50000</v>
      </c>
      <c r="L314" s="473">
        <f t="shared" si="308"/>
        <v>50000</v>
      </c>
      <c r="M314" s="474" t="s">
        <v>601</v>
      </c>
      <c r="N314" s="479">
        <f>L320-7864000</f>
        <v>396000</v>
      </c>
    </row>
    <row r="315" spans="1:14" s="59" customFormat="1" ht="18" customHeight="1">
      <c r="A315" s="60" t="s">
        <v>12</v>
      </c>
      <c r="B315" s="53" t="s">
        <v>145</v>
      </c>
      <c r="C315" s="54" t="s">
        <v>148</v>
      </c>
      <c r="D315" s="55" t="s">
        <v>112</v>
      </c>
      <c r="E315" s="55" t="s">
        <v>75</v>
      </c>
      <c r="F315" s="61">
        <v>2</v>
      </c>
      <c r="G315" s="57">
        <v>32000</v>
      </c>
      <c r="H315" s="57">
        <f>F315*G315</f>
        <v>64000</v>
      </c>
      <c r="I315" s="57">
        <v>10000</v>
      </c>
      <c r="J315" s="57">
        <f>F315*I315</f>
        <v>20000</v>
      </c>
      <c r="K315" s="57">
        <f>G315+I315</f>
        <v>42000</v>
      </c>
      <c r="L315" s="58">
        <f>F315*K315</f>
        <v>84000</v>
      </c>
      <c r="M315" s="177"/>
    </row>
    <row r="316" spans="1:14" s="59" customFormat="1" ht="18" customHeight="1">
      <c r="A316" s="60" t="s">
        <v>44</v>
      </c>
      <c r="B316" s="53" t="s">
        <v>178</v>
      </c>
      <c r="C316" s="54" t="s">
        <v>218</v>
      </c>
      <c r="D316" s="55" t="s">
        <v>112</v>
      </c>
      <c r="E316" s="55" t="s">
        <v>75</v>
      </c>
      <c r="F316" s="61">
        <v>4</v>
      </c>
      <c r="G316" s="57">
        <v>250000</v>
      </c>
      <c r="H316" s="57">
        <f>F316*G316</f>
        <v>1000000</v>
      </c>
      <c r="I316" s="57">
        <v>100000</v>
      </c>
      <c r="J316" s="57">
        <f>F316*I316</f>
        <v>400000</v>
      </c>
      <c r="K316" s="57">
        <f>G316+I316</f>
        <v>350000</v>
      </c>
      <c r="L316" s="58">
        <f>F316*K316</f>
        <v>1400000</v>
      </c>
      <c r="M316" s="177"/>
    </row>
    <row r="317" spans="1:14" s="59" customFormat="1" ht="18" customHeight="1">
      <c r="A317" s="60" t="s">
        <v>12</v>
      </c>
      <c r="B317" s="53" t="s">
        <v>336</v>
      </c>
      <c r="C317" s="54" t="s">
        <v>337</v>
      </c>
      <c r="D317" s="55" t="s">
        <v>112</v>
      </c>
      <c r="E317" s="55" t="s">
        <v>42</v>
      </c>
      <c r="F317" s="61">
        <v>2</v>
      </c>
      <c r="G317" s="57">
        <v>170000</v>
      </c>
      <c r="H317" s="57">
        <f t="shared" ref="H317" si="311">F317*G317</f>
        <v>340000</v>
      </c>
      <c r="I317" s="57">
        <v>50000</v>
      </c>
      <c r="J317" s="57">
        <f t="shared" ref="J317" si="312">F317*I317</f>
        <v>100000</v>
      </c>
      <c r="K317" s="57">
        <f t="shared" ref="K317" si="313">G317+I317</f>
        <v>220000</v>
      </c>
      <c r="L317" s="58">
        <f t="shared" ref="L317" si="314">F317*K317</f>
        <v>440000</v>
      </c>
      <c r="M317" s="177"/>
    </row>
    <row r="318" spans="1:14" ht="18" hidden="1" customHeight="1">
      <c r="A318" s="10"/>
      <c r="B318" s="11"/>
      <c r="C318" s="12"/>
      <c r="D318" s="5"/>
      <c r="E318" s="5"/>
      <c r="F318" s="50"/>
      <c r="G318" s="28"/>
      <c r="H318" s="28"/>
      <c r="I318" s="28"/>
      <c r="J318" s="28"/>
      <c r="K318" s="28"/>
      <c r="L318" s="29"/>
      <c r="M318" s="177"/>
    </row>
    <row r="319" spans="1:14" s="417" customFormat="1" ht="18" customHeight="1">
      <c r="A319" s="258" t="s">
        <v>12</v>
      </c>
      <c r="B319" s="411" t="s">
        <v>226</v>
      </c>
      <c r="C319" s="427"/>
      <c r="D319" s="413" t="s">
        <v>112</v>
      </c>
      <c r="E319" s="413" t="s">
        <v>42</v>
      </c>
      <c r="F319" s="414">
        <v>1</v>
      </c>
      <c r="G319" s="415">
        <v>0</v>
      </c>
      <c r="H319" s="415">
        <f t="shared" ref="H319" si="315">F319*G319</f>
        <v>0</v>
      </c>
      <c r="I319" s="415">
        <v>0</v>
      </c>
      <c r="J319" s="415">
        <f t="shared" ref="J319" si="316">F319*I319</f>
        <v>0</v>
      </c>
      <c r="K319" s="415">
        <f t="shared" ref="K319" si="317">G319+I319</f>
        <v>0</v>
      </c>
      <c r="L319" s="416">
        <f t="shared" ref="L319" si="318">F319*K319</f>
        <v>0</v>
      </c>
      <c r="M319" s="397" t="s">
        <v>632</v>
      </c>
    </row>
    <row r="320" spans="1:14" s="20" customFormat="1" ht="18" customHeight="1">
      <c r="A320" s="13"/>
      <c r="B320" s="13" t="s">
        <v>13</v>
      </c>
      <c r="C320" s="15"/>
      <c r="D320" s="16"/>
      <c r="E320" s="16"/>
      <c r="F320" s="51"/>
      <c r="G320" s="48"/>
      <c r="H320" s="48">
        <f>SUM(H266:H317)</f>
        <v>4820000</v>
      </c>
      <c r="I320" s="48"/>
      <c r="J320" s="48">
        <f>SUM(J266:J317)</f>
        <v>3440000</v>
      </c>
      <c r="K320" s="48"/>
      <c r="L320" s="48">
        <f>SUM(L266:L317)</f>
        <v>8260000</v>
      </c>
      <c r="M320" s="177"/>
    </row>
    <row r="321" spans="1:13" ht="18" customHeight="1">
      <c r="A321" s="10"/>
      <c r="B321" s="11"/>
      <c r="C321" s="12"/>
      <c r="D321" s="5"/>
      <c r="E321" s="5"/>
      <c r="F321" s="50"/>
      <c r="G321" s="28"/>
      <c r="H321" s="28"/>
      <c r="I321" s="28"/>
      <c r="J321" s="28"/>
      <c r="K321" s="28"/>
      <c r="L321" s="29"/>
      <c r="M321" s="177"/>
    </row>
    <row r="322" spans="1:13" s="20" customFormat="1" ht="18" customHeight="1">
      <c r="A322" s="44" t="s">
        <v>33</v>
      </c>
      <c r="B322" s="45" t="s">
        <v>67</v>
      </c>
      <c r="C322" s="46"/>
      <c r="D322" s="16"/>
      <c r="E322" s="16"/>
      <c r="F322" s="51"/>
      <c r="G322" s="48"/>
      <c r="H322" s="48"/>
      <c r="I322" s="48"/>
      <c r="J322" s="48"/>
      <c r="K322" s="48"/>
      <c r="L322" s="49"/>
      <c r="M322" s="177"/>
    </row>
    <row r="323" spans="1:13" s="59" customFormat="1" ht="18" customHeight="1">
      <c r="A323" s="52">
        <v>-1</v>
      </c>
      <c r="B323" s="53" t="s">
        <v>121</v>
      </c>
      <c r="C323" s="54"/>
      <c r="D323" s="55"/>
      <c r="E323" s="55"/>
      <c r="F323" s="56"/>
      <c r="G323" s="57"/>
      <c r="H323" s="57"/>
      <c r="I323" s="57"/>
      <c r="J323" s="57"/>
      <c r="K323" s="57"/>
      <c r="L323" s="58"/>
      <c r="M323" s="177"/>
    </row>
    <row r="324" spans="1:13" s="437" customFormat="1" ht="18" customHeight="1">
      <c r="A324" s="366" t="s">
        <v>44</v>
      </c>
      <c r="B324" s="430" t="s">
        <v>290</v>
      </c>
      <c r="C324" s="444" t="s">
        <v>126</v>
      </c>
      <c r="D324" s="432" t="s">
        <v>633</v>
      </c>
      <c r="E324" s="432" t="s">
        <v>41</v>
      </c>
      <c r="F324" s="433">
        <f>2*1.44*1.25</f>
        <v>3.5999999999999996</v>
      </c>
      <c r="G324" s="434">
        <v>0</v>
      </c>
      <c r="H324" s="434">
        <f t="shared" ref="H324" si="319">F324*G324</f>
        <v>0</v>
      </c>
      <c r="I324" s="434">
        <v>70000</v>
      </c>
      <c r="J324" s="434">
        <f t="shared" ref="J324" si="320">F324*I324</f>
        <v>251999.99999999997</v>
      </c>
      <c r="K324" s="434">
        <f t="shared" ref="K324:K329" si="321">G324+I324</f>
        <v>70000</v>
      </c>
      <c r="L324" s="435">
        <f>F324*K324</f>
        <v>251999.99999999997</v>
      </c>
      <c r="M324" s="436" t="s">
        <v>634</v>
      </c>
    </row>
    <row r="325" spans="1:13" s="437" customFormat="1" ht="18" customHeight="1">
      <c r="A325" s="366" t="s">
        <v>160</v>
      </c>
      <c r="B325" s="430" t="s">
        <v>290</v>
      </c>
      <c r="C325" s="444" t="s">
        <v>126</v>
      </c>
      <c r="D325" s="432"/>
      <c r="E325" s="432" t="s">
        <v>156</v>
      </c>
      <c r="F325" s="433">
        <f>17*1.44*1.25-3.6</f>
        <v>27</v>
      </c>
      <c r="G325" s="434">
        <v>31000</v>
      </c>
      <c r="H325" s="434">
        <f t="shared" ref="H325:H329" si="322">F325*G325</f>
        <v>837000</v>
      </c>
      <c r="I325" s="434">
        <v>70000</v>
      </c>
      <c r="J325" s="434">
        <f t="shared" ref="J325:J329" si="323">F325*I325</f>
        <v>1890000</v>
      </c>
      <c r="K325" s="434">
        <f t="shared" si="321"/>
        <v>101000</v>
      </c>
      <c r="L325" s="435">
        <f>F325*K325</f>
        <v>2727000</v>
      </c>
      <c r="M325" s="436"/>
    </row>
    <row r="326" spans="1:13" s="59" customFormat="1" ht="18" customHeight="1">
      <c r="A326" s="60" t="s">
        <v>160</v>
      </c>
      <c r="B326" s="53" t="s">
        <v>291</v>
      </c>
      <c r="C326" s="54" t="s">
        <v>126</v>
      </c>
      <c r="D326" s="55"/>
      <c r="E326" s="55" t="s">
        <v>156</v>
      </c>
      <c r="F326" s="61">
        <f>6*1.44*1.25</f>
        <v>10.8</v>
      </c>
      <c r="G326" s="57">
        <v>31000</v>
      </c>
      <c r="H326" s="57">
        <f t="shared" ref="H326:H327" si="324">F326*G326</f>
        <v>334800</v>
      </c>
      <c r="I326" s="57">
        <v>70000</v>
      </c>
      <c r="J326" s="57">
        <f t="shared" si="323"/>
        <v>756000</v>
      </c>
      <c r="K326" s="57">
        <f t="shared" si="321"/>
        <v>101000</v>
      </c>
      <c r="L326" s="58">
        <f>F326*K326</f>
        <v>1090800</v>
      </c>
      <c r="M326" s="264"/>
    </row>
    <row r="327" spans="1:13" s="59" customFormat="1" ht="18" customHeight="1">
      <c r="A327" s="60" t="s">
        <v>160</v>
      </c>
      <c r="B327" s="53" t="s">
        <v>292</v>
      </c>
      <c r="C327" s="54" t="s">
        <v>126</v>
      </c>
      <c r="D327" s="55"/>
      <c r="E327" s="55" t="s">
        <v>156</v>
      </c>
      <c r="F327" s="61">
        <f>28*1.44*1.25</f>
        <v>50.4</v>
      </c>
      <c r="G327" s="57">
        <v>31000</v>
      </c>
      <c r="H327" s="57">
        <f t="shared" si="324"/>
        <v>1562400</v>
      </c>
      <c r="I327" s="57">
        <v>70000</v>
      </c>
      <c r="J327" s="57">
        <f t="shared" si="323"/>
        <v>3528000</v>
      </c>
      <c r="K327" s="57">
        <f t="shared" si="321"/>
        <v>101000</v>
      </c>
      <c r="L327" s="58">
        <f t="shared" ref="L327" si="325">F327*K327</f>
        <v>5090400</v>
      </c>
      <c r="M327" s="264"/>
    </row>
    <row r="328" spans="1:13" s="59" customFormat="1" ht="18" customHeight="1">
      <c r="A328" s="60" t="s">
        <v>160</v>
      </c>
      <c r="B328" s="53" t="s">
        <v>293</v>
      </c>
      <c r="C328" s="54" t="s">
        <v>126</v>
      </c>
      <c r="D328" s="55"/>
      <c r="E328" s="55" t="s">
        <v>156</v>
      </c>
      <c r="F328" s="61">
        <f>4*1.44*1.25</f>
        <v>7.1999999999999993</v>
      </c>
      <c r="G328" s="57">
        <v>31000</v>
      </c>
      <c r="H328" s="57">
        <f t="shared" si="322"/>
        <v>223199.99999999997</v>
      </c>
      <c r="I328" s="57">
        <v>70000</v>
      </c>
      <c r="J328" s="57">
        <f t="shared" si="323"/>
        <v>503999.99999999994</v>
      </c>
      <c r="K328" s="57">
        <f t="shared" si="321"/>
        <v>101000</v>
      </c>
      <c r="L328" s="58">
        <f t="shared" ref="L328:L329" si="326">F328*K328</f>
        <v>727199.99999999988</v>
      </c>
      <c r="M328" s="264"/>
    </row>
    <row r="329" spans="1:13" s="59" customFormat="1" ht="18" customHeight="1">
      <c r="A329" s="60" t="s">
        <v>160</v>
      </c>
      <c r="B329" s="53" t="s">
        <v>122</v>
      </c>
      <c r="C329" s="62" t="s">
        <v>123</v>
      </c>
      <c r="D329" s="55"/>
      <c r="E329" s="55" t="s">
        <v>75</v>
      </c>
      <c r="F329" s="61">
        <v>3</v>
      </c>
      <c r="G329" s="57">
        <v>350000</v>
      </c>
      <c r="H329" s="57">
        <f t="shared" si="322"/>
        <v>1050000</v>
      </c>
      <c r="I329" s="57">
        <v>0</v>
      </c>
      <c r="J329" s="57">
        <f t="shared" si="323"/>
        <v>0</v>
      </c>
      <c r="K329" s="57">
        <f t="shared" si="321"/>
        <v>350000</v>
      </c>
      <c r="L329" s="58">
        <f t="shared" si="326"/>
        <v>1050000</v>
      </c>
      <c r="M329" s="264"/>
    </row>
    <row r="330" spans="1:13" s="59" customFormat="1" ht="18" customHeight="1">
      <c r="A330" s="52"/>
      <c r="B330" s="53"/>
      <c r="C330" s="54"/>
      <c r="D330" s="55"/>
      <c r="E330" s="55"/>
      <c r="F330" s="56"/>
      <c r="G330" s="57"/>
      <c r="H330" s="57"/>
      <c r="I330" s="57"/>
      <c r="J330" s="57"/>
      <c r="K330" s="57"/>
      <c r="L330" s="58"/>
      <c r="M330" s="264"/>
    </row>
    <row r="331" spans="1:13" s="59" customFormat="1" ht="18" hidden="1" customHeight="1">
      <c r="A331" s="52">
        <v>-1</v>
      </c>
      <c r="B331" s="53" t="s">
        <v>209</v>
      </c>
      <c r="C331" s="54"/>
      <c r="D331" s="55"/>
      <c r="E331" s="55"/>
      <c r="F331" s="56"/>
      <c r="G331" s="57"/>
      <c r="H331" s="57"/>
      <c r="I331" s="57"/>
      <c r="J331" s="57"/>
      <c r="K331" s="57"/>
      <c r="L331" s="58"/>
      <c r="M331" s="264"/>
    </row>
    <row r="332" spans="1:13" s="59" customFormat="1" ht="18" hidden="1" customHeight="1">
      <c r="A332" s="52" t="s">
        <v>294</v>
      </c>
      <c r="B332" s="53" t="s">
        <v>295</v>
      </c>
      <c r="C332" s="54" t="s">
        <v>126</v>
      </c>
      <c r="D332" s="55"/>
      <c r="E332" s="55" t="s">
        <v>11</v>
      </c>
      <c r="F332" s="56"/>
      <c r="G332" s="57">
        <v>31000</v>
      </c>
      <c r="H332" s="57">
        <f t="shared" ref="H332" si="327">F332*G332</f>
        <v>0</v>
      </c>
      <c r="I332" s="57">
        <v>70000</v>
      </c>
      <c r="J332" s="57">
        <f t="shared" ref="J332:J336" si="328">F332*I332</f>
        <v>0</v>
      </c>
      <c r="K332" s="57">
        <f>G332+I332</f>
        <v>101000</v>
      </c>
      <c r="L332" s="58">
        <f t="shared" ref="L332" si="329">F332*K332</f>
        <v>0</v>
      </c>
      <c r="M332" s="264"/>
    </row>
    <row r="333" spans="1:13" s="59" customFormat="1" ht="18" hidden="1" customHeight="1">
      <c r="A333" s="52"/>
      <c r="B333" s="53"/>
      <c r="C333" s="54"/>
      <c r="D333" s="55"/>
      <c r="E333" s="55"/>
      <c r="F333" s="56"/>
      <c r="G333" s="57"/>
      <c r="H333" s="57"/>
      <c r="I333" s="57"/>
      <c r="J333" s="57"/>
      <c r="K333" s="57"/>
      <c r="L333" s="58"/>
      <c r="M333" s="264"/>
    </row>
    <row r="334" spans="1:13" s="59" customFormat="1" ht="18" hidden="1" customHeight="1">
      <c r="A334" s="52"/>
      <c r="B334" s="53"/>
      <c r="C334" s="54"/>
      <c r="D334" s="55"/>
      <c r="E334" s="55"/>
      <c r="F334" s="56"/>
      <c r="G334" s="57"/>
      <c r="H334" s="57"/>
      <c r="I334" s="57"/>
      <c r="J334" s="57"/>
      <c r="K334" s="57"/>
      <c r="L334" s="58"/>
      <c r="M334" s="264"/>
    </row>
    <row r="335" spans="1:13" s="59" customFormat="1" ht="18" customHeight="1">
      <c r="A335" s="358" t="s">
        <v>12</v>
      </c>
      <c r="B335" s="359" t="s">
        <v>220</v>
      </c>
      <c r="C335" s="458" t="s">
        <v>263</v>
      </c>
      <c r="D335" s="361"/>
      <c r="E335" s="361" t="s">
        <v>11</v>
      </c>
      <c r="F335" s="362">
        <v>0</v>
      </c>
      <c r="G335" s="363">
        <v>15000</v>
      </c>
      <c r="H335" s="363">
        <f>F335*G335</f>
        <v>0</v>
      </c>
      <c r="I335" s="363">
        <v>40000</v>
      </c>
      <c r="J335" s="363">
        <f t="shared" si="328"/>
        <v>0</v>
      </c>
      <c r="K335" s="363">
        <f>G335+I335</f>
        <v>55000</v>
      </c>
      <c r="L335" s="364">
        <f>F335*K335</f>
        <v>0</v>
      </c>
      <c r="M335" s="495" t="s">
        <v>636</v>
      </c>
    </row>
    <row r="336" spans="1:13" ht="18" customHeight="1">
      <c r="A336" s="358" t="s">
        <v>160</v>
      </c>
      <c r="B336" s="359" t="s">
        <v>122</v>
      </c>
      <c r="C336" s="360" t="s">
        <v>123</v>
      </c>
      <c r="D336" s="361"/>
      <c r="E336" s="361" t="s">
        <v>75</v>
      </c>
      <c r="F336" s="362">
        <v>0</v>
      </c>
      <c r="G336" s="363">
        <v>350000</v>
      </c>
      <c r="H336" s="363">
        <f>F336*G336</f>
        <v>0</v>
      </c>
      <c r="I336" s="363">
        <v>0</v>
      </c>
      <c r="J336" s="363">
        <f t="shared" si="328"/>
        <v>0</v>
      </c>
      <c r="K336" s="363">
        <f>G336+I336</f>
        <v>350000</v>
      </c>
      <c r="L336" s="364">
        <f>F336*K336</f>
        <v>0</v>
      </c>
      <c r="M336" s="496"/>
    </row>
    <row r="337" spans="1:13" s="59" customFormat="1" ht="18" customHeight="1">
      <c r="A337" s="60"/>
      <c r="B337" s="53"/>
      <c r="C337" s="62"/>
      <c r="D337" s="55"/>
      <c r="E337" s="55"/>
      <c r="F337" s="61"/>
      <c r="G337" s="57"/>
      <c r="H337" s="57"/>
      <c r="I337" s="57"/>
      <c r="J337" s="57"/>
      <c r="K337" s="57"/>
      <c r="L337" s="58"/>
      <c r="M337" s="264"/>
    </row>
    <row r="338" spans="1:13" s="59" customFormat="1" ht="18" customHeight="1">
      <c r="A338" s="52">
        <v>-1</v>
      </c>
      <c r="B338" s="53" t="s">
        <v>124</v>
      </c>
      <c r="C338" s="54"/>
      <c r="D338" s="55"/>
      <c r="E338" s="55"/>
      <c r="F338" s="56"/>
      <c r="G338" s="57"/>
      <c r="H338" s="57"/>
      <c r="I338" s="57"/>
      <c r="J338" s="57"/>
      <c r="K338" s="57"/>
      <c r="L338" s="58"/>
      <c r="M338" s="264"/>
    </row>
    <row r="339" spans="1:13" s="59" customFormat="1" ht="18" hidden="1" customHeight="1">
      <c r="A339" s="60" t="s">
        <v>12</v>
      </c>
      <c r="B339" s="53" t="s">
        <v>288</v>
      </c>
      <c r="C339" s="54" t="s">
        <v>126</v>
      </c>
      <c r="D339" s="55" t="s">
        <v>289</v>
      </c>
      <c r="E339" s="55" t="s">
        <v>11</v>
      </c>
      <c r="F339" s="61"/>
      <c r="G339" s="57">
        <v>35000</v>
      </c>
      <c r="H339" s="57">
        <f>F339*G339</f>
        <v>0</v>
      </c>
      <c r="I339" s="57">
        <v>70000</v>
      </c>
      <c r="J339" s="57">
        <f t="shared" ref="J339:J340" si="330">F339*I339</f>
        <v>0</v>
      </c>
      <c r="K339" s="57">
        <f>G339+I339</f>
        <v>105000</v>
      </c>
      <c r="L339" s="58">
        <f>F339*K339</f>
        <v>0</v>
      </c>
      <c r="M339" s="264"/>
    </row>
    <row r="340" spans="1:13" s="59" customFormat="1" ht="18" customHeight="1">
      <c r="A340" s="60" t="s">
        <v>12</v>
      </c>
      <c r="B340" s="53" t="s">
        <v>125</v>
      </c>
      <c r="C340" s="54" t="s">
        <v>126</v>
      </c>
      <c r="D340" s="55"/>
      <c r="E340" s="55" t="s">
        <v>11</v>
      </c>
      <c r="F340" s="61">
        <v>4.32</v>
      </c>
      <c r="G340" s="57">
        <v>31000</v>
      </c>
      <c r="H340" s="57">
        <f>F340*G340</f>
        <v>133920</v>
      </c>
      <c r="I340" s="57">
        <v>70000</v>
      </c>
      <c r="J340" s="57">
        <f t="shared" si="330"/>
        <v>302400</v>
      </c>
      <c r="K340" s="57">
        <f>G340+I340</f>
        <v>101000</v>
      </c>
      <c r="L340" s="58">
        <f>F340*K340</f>
        <v>436320</v>
      </c>
      <c r="M340" s="264"/>
    </row>
    <row r="341" spans="1:13" ht="18" customHeight="1">
      <c r="A341" s="10"/>
      <c r="B341" s="11"/>
      <c r="C341" s="12"/>
      <c r="D341" s="5"/>
      <c r="E341" s="5"/>
      <c r="F341" s="50"/>
      <c r="G341" s="28"/>
      <c r="H341" s="28"/>
      <c r="I341" s="28"/>
      <c r="J341" s="28"/>
      <c r="K341" s="28"/>
      <c r="L341" s="29"/>
      <c r="M341" s="264"/>
    </row>
    <row r="342" spans="1:13" s="20" customFormat="1" ht="18" customHeight="1">
      <c r="A342" s="13"/>
      <c r="B342" s="13" t="s">
        <v>13</v>
      </c>
      <c r="C342" s="15"/>
      <c r="D342" s="16"/>
      <c r="E342" s="16"/>
      <c r="F342" s="51"/>
      <c r="G342" s="177"/>
      <c r="H342" s="48">
        <f>SUM(H324:H340)</f>
        <v>4141320</v>
      </c>
      <c r="I342" s="48"/>
      <c r="J342" s="48">
        <f>SUM(J324:J340)</f>
        <v>7232400</v>
      </c>
      <c r="K342" s="48"/>
      <c r="L342" s="48">
        <f>SUM(L324:L340)</f>
        <v>11373720</v>
      </c>
      <c r="M342" s="264"/>
    </row>
    <row r="343" spans="1:13" ht="18" customHeight="1">
      <c r="A343" s="10"/>
      <c r="B343" s="11"/>
      <c r="C343" s="12"/>
      <c r="D343" s="5"/>
      <c r="E343" s="5"/>
      <c r="F343" s="50"/>
      <c r="G343" s="28"/>
      <c r="H343" s="28"/>
      <c r="I343" s="28"/>
      <c r="J343" s="28"/>
      <c r="K343" s="28"/>
      <c r="L343" s="29"/>
      <c r="M343" s="264"/>
    </row>
    <row r="344" spans="1:13" s="20" customFormat="1" ht="18" customHeight="1">
      <c r="A344" s="44" t="s">
        <v>34</v>
      </c>
      <c r="B344" s="45" t="s">
        <v>68</v>
      </c>
      <c r="C344" s="46"/>
      <c r="D344" s="16"/>
      <c r="E344" s="16"/>
      <c r="F344" s="51"/>
      <c r="G344" s="48"/>
      <c r="H344" s="48"/>
      <c r="I344" s="48"/>
      <c r="J344" s="48"/>
      <c r="K344" s="48"/>
      <c r="L344" s="29"/>
      <c r="M344" s="264"/>
    </row>
    <row r="345" spans="1:13" ht="18" customHeight="1">
      <c r="A345" s="10">
        <v>-1</v>
      </c>
      <c r="B345" s="11" t="s">
        <v>128</v>
      </c>
      <c r="C345" s="12"/>
      <c r="D345" s="5"/>
      <c r="E345" s="5"/>
      <c r="F345" s="50"/>
      <c r="G345" s="28"/>
      <c r="H345" s="28"/>
      <c r="I345" s="28"/>
      <c r="J345" s="28"/>
      <c r="K345" s="28"/>
      <c r="L345" s="9"/>
      <c r="M345" s="264"/>
    </row>
    <row r="346" spans="1:13" ht="18" customHeight="1">
      <c r="A346" s="10" t="s">
        <v>160</v>
      </c>
      <c r="B346" s="11" t="s">
        <v>150</v>
      </c>
      <c r="C346" s="314" t="s">
        <v>537</v>
      </c>
      <c r="D346" s="5" t="s">
        <v>223</v>
      </c>
      <c r="E346" s="5" t="s">
        <v>41</v>
      </c>
      <c r="F346" s="50">
        <f>66.3*1.1</f>
        <v>72.930000000000007</v>
      </c>
      <c r="G346" s="28">
        <v>13800</v>
      </c>
      <c r="H346" s="28">
        <f t="shared" ref="H346:H351" si="331">F346*G346</f>
        <v>1006434.0000000001</v>
      </c>
      <c r="I346" s="28">
        <v>12000</v>
      </c>
      <c r="J346" s="28">
        <f t="shared" ref="J346:J351" si="332">F346*I346</f>
        <v>875160.00000000012</v>
      </c>
      <c r="K346" s="28">
        <f t="shared" ref="K346:K351" si="333">G346+I346</f>
        <v>25800</v>
      </c>
      <c r="L346" s="29">
        <f t="shared" ref="L346:L351" si="334">F346*K346</f>
        <v>1881594.0000000002</v>
      </c>
      <c r="M346" s="264"/>
    </row>
    <row r="347" spans="1:13" s="320" customFormat="1" ht="18" customHeight="1">
      <c r="A347" s="10" t="s">
        <v>44</v>
      </c>
      <c r="B347" s="313" t="s">
        <v>150</v>
      </c>
      <c r="C347" s="314" t="s">
        <v>193</v>
      </c>
      <c r="D347" s="315" t="s">
        <v>137</v>
      </c>
      <c r="E347" s="315" t="s">
        <v>41</v>
      </c>
      <c r="F347" s="316">
        <f>57.5*1.1</f>
        <v>63.250000000000007</v>
      </c>
      <c r="G347" s="317">
        <v>8800</v>
      </c>
      <c r="H347" s="28">
        <f t="shared" si="331"/>
        <v>556600.00000000012</v>
      </c>
      <c r="I347" s="28">
        <v>12000</v>
      </c>
      <c r="J347" s="28">
        <f t="shared" si="332"/>
        <v>759000.00000000012</v>
      </c>
      <c r="K347" s="28">
        <f t="shared" si="333"/>
        <v>20800</v>
      </c>
      <c r="L347" s="29">
        <f t="shared" si="334"/>
        <v>1315600.0000000002</v>
      </c>
      <c r="M347" s="264"/>
    </row>
    <row r="348" spans="1:13" s="320" customFormat="1" ht="18" customHeight="1">
      <c r="A348" s="10" t="s">
        <v>44</v>
      </c>
      <c r="B348" s="313" t="s">
        <v>149</v>
      </c>
      <c r="C348" s="314" t="s">
        <v>537</v>
      </c>
      <c r="D348" s="315" t="s">
        <v>223</v>
      </c>
      <c r="E348" s="315" t="s">
        <v>41</v>
      </c>
      <c r="F348" s="316">
        <f>63*2.4*1.1</f>
        <v>166.32</v>
      </c>
      <c r="G348" s="317">
        <v>13800</v>
      </c>
      <c r="H348" s="28">
        <f t="shared" si="331"/>
        <v>2295216</v>
      </c>
      <c r="I348" s="28">
        <v>12000</v>
      </c>
      <c r="J348" s="28">
        <f t="shared" si="332"/>
        <v>1995840</v>
      </c>
      <c r="K348" s="28">
        <f t="shared" si="333"/>
        <v>25800</v>
      </c>
      <c r="L348" s="29">
        <f t="shared" si="334"/>
        <v>4291056</v>
      </c>
      <c r="M348" s="264"/>
    </row>
    <row r="349" spans="1:13" s="320" customFormat="1" ht="18" customHeight="1">
      <c r="A349" s="10" t="s">
        <v>44</v>
      </c>
      <c r="B349" s="313" t="s">
        <v>149</v>
      </c>
      <c r="C349" s="314" t="s">
        <v>193</v>
      </c>
      <c r="D349" s="315" t="s">
        <v>137</v>
      </c>
      <c r="E349" s="315" t="s">
        <v>41</v>
      </c>
      <c r="F349" s="316">
        <f>64*1.1</f>
        <v>70.400000000000006</v>
      </c>
      <c r="G349" s="317">
        <v>8800</v>
      </c>
      <c r="H349" s="28">
        <f t="shared" si="331"/>
        <v>619520</v>
      </c>
      <c r="I349" s="28">
        <v>12000</v>
      </c>
      <c r="J349" s="28">
        <f t="shared" si="332"/>
        <v>844800.00000000012</v>
      </c>
      <c r="K349" s="28">
        <f t="shared" si="333"/>
        <v>20800</v>
      </c>
      <c r="L349" s="29">
        <f t="shared" si="334"/>
        <v>1464320.0000000002</v>
      </c>
      <c r="M349" s="264"/>
    </row>
    <row r="350" spans="1:13" s="320" customFormat="1" ht="18" hidden="1" customHeight="1">
      <c r="A350" s="10" t="s">
        <v>44</v>
      </c>
      <c r="B350" s="313" t="s">
        <v>149</v>
      </c>
      <c r="C350" s="314" t="s">
        <v>537</v>
      </c>
      <c r="D350" s="315" t="s">
        <v>307</v>
      </c>
      <c r="E350" s="315" t="s">
        <v>41</v>
      </c>
      <c r="F350" s="316"/>
      <c r="G350" s="317">
        <v>13800</v>
      </c>
      <c r="H350" s="28">
        <f t="shared" si="331"/>
        <v>0</v>
      </c>
      <c r="I350" s="28">
        <v>12000</v>
      </c>
      <c r="J350" s="28">
        <f t="shared" si="332"/>
        <v>0</v>
      </c>
      <c r="K350" s="28">
        <f t="shared" si="333"/>
        <v>25800</v>
      </c>
      <c r="L350" s="29">
        <f t="shared" si="334"/>
        <v>0</v>
      </c>
      <c r="M350" s="264"/>
    </row>
    <row r="351" spans="1:13" s="320" customFormat="1" ht="18" hidden="1" customHeight="1">
      <c r="A351" s="10" t="s">
        <v>44</v>
      </c>
      <c r="B351" s="313" t="s">
        <v>149</v>
      </c>
      <c r="C351" s="314" t="s">
        <v>537</v>
      </c>
      <c r="D351" s="315" t="s">
        <v>517</v>
      </c>
      <c r="E351" s="315" t="s">
        <v>41</v>
      </c>
      <c r="F351" s="316"/>
      <c r="G351" s="317">
        <v>13800</v>
      </c>
      <c r="H351" s="28">
        <f t="shared" si="331"/>
        <v>0</v>
      </c>
      <c r="I351" s="28">
        <v>12000</v>
      </c>
      <c r="J351" s="28">
        <f t="shared" si="332"/>
        <v>0</v>
      </c>
      <c r="K351" s="28">
        <f t="shared" si="333"/>
        <v>25800</v>
      </c>
      <c r="L351" s="29">
        <f t="shared" si="334"/>
        <v>0</v>
      </c>
      <c r="M351" s="264"/>
    </row>
    <row r="352" spans="1:13" ht="18" customHeight="1">
      <c r="A352" s="10"/>
      <c r="B352" s="11"/>
      <c r="C352" s="12"/>
      <c r="D352" s="5"/>
      <c r="E352" s="5"/>
      <c r="F352" s="50"/>
      <c r="G352" s="50"/>
      <c r="H352" s="28"/>
      <c r="I352" s="28"/>
      <c r="J352" s="28"/>
      <c r="K352" s="28"/>
      <c r="L352" s="29"/>
      <c r="M352" s="177"/>
    </row>
    <row r="353" spans="1:13" s="20" customFormat="1" ht="18" customHeight="1">
      <c r="A353" s="13"/>
      <c r="B353" s="13" t="s">
        <v>13</v>
      </c>
      <c r="C353" s="15"/>
      <c r="D353" s="16"/>
      <c r="E353" s="16"/>
      <c r="F353" s="51"/>
      <c r="G353" s="48"/>
      <c r="H353" s="48">
        <f>SUM(H345:H352)</f>
        <v>4477770</v>
      </c>
      <c r="I353" s="48"/>
      <c r="J353" s="48">
        <f>SUM(J345:J352)</f>
        <v>4474800</v>
      </c>
      <c r="K353" s="48"/>
      <c r="L353" s="48">
        <f>SUM(L344:L352)</f>
        <v>8952570</v>
      </c>
      <c r="M353" s="177"/>
    </row>
    <row r="354" spans="1:13" ht="18" customHeight="1">
      <c r="A354" s="10"/>
      <c r="B354" s="11"/>
      <c r="C354" s="12"/>
      <c r="D354" s="5"/>
      <c r="E354" s="5"/>
      <c r="F354" s="50"/>
      <c r="G354" s="28"/>
      <c r="H354" s="28"/>
      <c r="I354" s="28"/>
      <c r="J354" s="28"/>
      <c r="K354" s="28"/>
      <c r="L354" s="29"/>
      <c r="M354" s="177"/>
    </row>
    <row r="355" spans="1:13" s="20" customFormat="1" ht="18" customHeight="1">
      <c r="A355" s="44" t="s">
        <v>43</v>
      </c>
      <c r="B355" s="45" t="s">
        <v>69</v>
      </c>
      <c r="C355" s="46"/>
      <c r="D355" s="16"/>
      <c r="E355" s="16"/>
      <c r="F355" s="51"/>
      <c r="G355" s="48"/>
      <c r="H355" s="48"/>
      <c r="I355" s="48"/>
      <c r="J355" s="48"/>
      <c r="K355" s="48"/>
      <c r="L355" s="49"/>
      <c r="M355" s="177"/>
    </row>
    <row r="356" spans="1:13" s="437" customFormat="1" ht="18" customHeight="1">
      <c r="A356" s="349">
        <v>-1</v>
      </c>
      <c r="B356" s="350" t="s">
        <v>130</v>
      </c>
      <c r="C356" s="444" t="s">
        <v>211</v>
      </c>
      <c r="D356" s="432"/>
      <c r="E356" s="432" t="s">
        <v>186</v>
      </c>
      <c r="F356" s="445"/>
      <c r="G356" s="434">
        <v>250000</v>
      </c>
      <c r="H356" s="434">
        <f>F356*G356</f>
        <v>0</v>
      </c>
      <c r="I356" s="434">
        <v>150000</v>
      </c>
      <c r="J356" s="434">
        <f>F356*I356</f>
        <v>0</v>
      </c>
      <c r="K356" s="434">
        <f>G356+I356</f>
        <v>400000</v>
      </c>
      <c r="L356" s="435">
        <f>F356*K356</f>
        <v>0</v>
      </c>
      <c r="M356" s="436" t="s">
        <v>627</v>
      </c>
    </row>
    <row r="357" spans="1:13" ht="18" customHeight="1">
      <c r="A357" s="10">
        <v>-1</v>
      </c>
      <c r="B357" s="11" t="s">
        <v>129</v>
      </c>
      <c r="C357" s="12" t="s">
        <v>192</v>
      </c>
      <c r="D357" s="5"/>
      <c r="E357" s="5" t="s">
        <v>142</v>
      </c>
      <c r="F357" s="50">
        <v>2</v>
      </c>
      <c r="G357" s="28">
        <v>55000</v>
      </c>
      <c r="H357" s="28">
        <f>F357*G357</f>
        <v>110000</v>
      </c>
      <c r="I357" s="28">
        <v>270000</v>
      </c>
      <c r="J357" s="28">
        <f>F357*I357</f>
        <v>540000</v>
      </c>
      <c r="K357" s="28">
        <f>G357+I357</f>
        <v>325000</v>
      </c>
      <c r="L357" s="29">
        <f>F357*K357</f>
        <v>650000</v>
      </c>
      <c r="M357" s="177"/>
    </row>
    <row r="358" spans="1:13" ht="18" customHeight="1">
      <c r="A358" s="10">
        <v>-1</v>
      </c>
      <c r="B358" s="11" t="s">
        <v>221</v>
      </c>
      <c r="C358" s="12" t="s">
        <v>222</v>
      </c>
      <c r="D358" s="5"/>
      <c r="E358" s="5" t="s">
        <v>75</v>
      </c>
      <c r="F358" s="50">
        <v>1</v>
      </c>
      <c r="G358" s="28">
        <v>200000</v>
      </c>
      <c r="H358" s="28">
        <f>F358*G358</f>
        <v>200000</v>
      </c>
      <c r="I358" s="28">
        <v>350000</v>
      </c>
      <c r="J358" s="28">
        <f>F358*I358</f>
        <v>350000</v>
      </c>
      <c r="K358" s="28">
        <f>G358+I358</f>
        <v>550000</v>
      </c>
      <c r="L358" s="29">
        <f>F358*K358</f>
        <v>550000</v>
      </c>
      <c r="M358" s="177"/>
    </row>
    <row r="359" spans="1:13" ht="18" customHeight="1">
      <c r="A359" s="10"/>
      <c r="B359" s="11"/>
      <c r="C359" s="12"/>
      <c r="D359" s="5"/>
      <c r="E359" s="5"/>
      <c r="F359" s="50"/>
      <c r="G359" s="28"/>
      <c r="H359" s="28"/>
      <c r="I359" s="28"/>
      <c r="J359" s="28"/>
      <c r="K359" s="28"/>
      <c r="L359" s="29"/>
      <c r="M359" s="177"/>
    </row>
    <row r="360" spans="1:13" s="20" customFormat="1" ht="18" customHeight="1">
      <c r="A360" s="13"/>
      <c r="B360" s="13" t="s">
        <v>13</v>
      </c>
      <c r="C360" s="15"/>
      <c r="D360" s="16"/>
      <c r="E360" s="16"/>
      <c r="F360" s="51"/>
      <c r="G360" s="48"/>
      <c r="H360" s="48">
        <f>SUM(H356:H359)</f>
        <v>310000</v>
      </c>
      <c r="I360" s="48"/>
      <c r="J360" s="48">
        <f>SUM(J356:J359)</f>
        <v>890000</v>
      </c>
      <c r="K360" s="48"/>
      <c r="L360" s="49">
        <f>SUM(L355:L359)</f>
        <v>1200000</v>
      </c>
      <c r="M360" s="177"/>
    </row>
    <row r="361" spans="1:13" ht="18" customHeight="1">
      <c r="A361" s="10"/>
      <c r="B361" s="11"/>
      <c r="C361" s="12"/>
      <c r="D361" s="5"/>
      <c r="E361" s="5"/>
      <c r="F361" s="50"/>
      <c r="G361" s="28"/>
      <c r="H361" s="28"/>
      <c r="I361" s="28"/>
      <c r="J361" s="28"/>
      <c r="K361" s="28"/>
      <c r="L361" s="29"/>
      <c r="M361" s="177"/>
    </row>
    <row r="362" spans="1:13" s="20" customFormat="1" ht="18" customHeight="1">
      <c r="A362" s="44" t="s">
        <v>46</v>
      </c>
      <c r="B362" s="45" t="s">
        <v>127</v>
      </c>
      <c r="C362" s="46"/>
      <c r="D362" s="16"/>
      <c r="E362" s="16"/>
      <c r="F362" s="51"/>
      <c r="G362" s="48"/>
      <c r="H362" s="48"/>
      <c r="I362" s="48"/>
      <c r="J362" s="48"/>
      <c r="K362" s="48"/>
      <c r="L362" s="49"/>
      <c r="M362" s="177"/>
    </row>
    <row r="363" spans="1:13" s="59" customFormat="1" ht="18" hidden="1" customHeight="1">
      <c r="A363" s="52">
        <v>-1</v>
      </c>
      <c r="B363" s="53" t="s">
        <v>539</v>
      </c>
      <c r="C363" s="54" t="s">
        <v>540</v>
      </c>
      <c r="D363" s="55" t="s">
        <v>345</v>
      </c>
      <c r="E363" s="55" t="s">
        <v>159</v>
      </c>
      <c r="F363" s="56"/>
      <c r="G363" s="57">
        <v>270000</v>
      </c>
      <c r="H363" s="57">
        <f t="shared" ref="H363:H369" si="335">F363*G363</f>
        <v>0</v>
      </c>
      <c r="I363" s="57">
        <v>0</v>
      </c>
      <c r="J363" s="57">
        <f t="shared" ref="J363:J369" si="336">F363*I363</f>
        <v>0</v>
      </c>
      <c r="K363" s="57">
        <f t="shared" ref="K363:K369" si="337">G363+I363</f>
        <v>270000</v>
      </c>
      <c r="L363" s="58">
        <f t="shared" ref="L363:L369" si="338">F363*K363</f>
        <v>0</v>
      </c>
      <c r="M363" s="176"/>
    </row>
    <row r="364" spans="1:13" s="59" customFormat="1" ht="18" hidden="1" customHeight="1">
      <c r="A364" s="52">
        <v>-1</v>
      </c>
      <c r="B364" s="53" t="s">
        <v>181</v>
      </c>
      <c r="C364" s="54" t="s">
        <v>556</v>
      </c>
      <c r="D364" s="55"/>
      <c r="E364" s="55" t="s">
        <v>70</v>
      </c>
      <c r="F364" s="56"/>
      <c r="G364" s="57">
        <v>149000</v>
      </c>
      <c r="H364" s="57">
        <f t="shared" si="335"/>
        <v>0</v>
      </c>
      <c r="I364" s="57">
        <v>0</v>
      </c>
      <c r="J364" s="57">
        <f t="shared" si="336"/>
        <v>0</v>
      </c>
      <c r="K364" s="57">
        <f t="shared" si="337"/>
        <v>149000</v>
      </c>
      <c r="L364" s="58">
        <f t="shared" si="338"/>
        <v>0</v>
      </c>
      <c r="M364" s="176"/>
    </row>
    <row r="365" spans="1:13" s="59" customFormat="1" ht="18" hidden="1" customHeight="1">
      <c r="A365" s="52">
        <v>-1</v>
      </c>
      <c r="B365" s="53" t="s">
        <v>181</v>
      </c>
      <c r="C365" s="54" t="s">
        <v>541</v>
      </c>
      <c r="D365" s="55"/>
      <c r="E365" s="55" t="s">
        <v>70</v>
      </c>
      <c r="F365" s="56"/>
      <c r="G365" s="57">
        <f>164000</f>
        <v>164000</v>
      </c>
      <c r="H365" s="57">
        <f t="shared" si="335"/>
        <v>0</v>
      </c>
      <c r="I365" s="57">
        <v>0</v>
      </c>
      <c r="J365" s="57">
        <f t="shared" si="336"/>
        <v>0</v>
      </c>
      <c r="K365" s="57">
        <f t="shared" si="337"/>
        <v>164000</v>
      </c>
      <c r="L365" s="58">
        <f t="shared" si="338"/>
        <v>0</v>
      </c>
      <c r="M365" s="176"/>
    </row>
    <row r="366" spans="1:13" s="475" customFormat="1" ht="18" customHeight="1">
      <c r="A366" s="349">
        <v>-1</v>
      </c>
      <c r="B366" s="350" t="s">
        <v>181</v>
      </c>
      <c r="C366" s="469" t="s">
        <v>599</v>
      </c>
      <c r="D366" s="470" t="s">
        <v>262</v>
      </c>
      <c r="E366" s="470" t="s">
        <v>70</v>
      </c>
      <c r="F366" s="471">
        <v>50.91</v>
      </c>
      <c r="G366" s="472">
        <v>149000</v>
      </c>
      <c r="H366" s="472">
        <f t="shared" si="335"/>
        <v>7585589.9999999991</v>
      </c>
      <c r="I366" s="472">
        <v>0</v>
      </c>
      <c r="J366" s="472">
        <f t="shared" si="336"/>
        <v>0</v>
      </c>
      <c r="K366" s="472">
        <f t="shared" si="337"/>
        <v>149000</v>
      </c>
      <c r="L366" s="473">
        <f t="shared" si="338"/>
        <v>7585589.9999999991</v>
      </c>
      <c r="M366" s="474"/>
    </row>
    <row r="367" spans="1:13" s="59" customFormat="1" ht="18" hidden="1" customHeight="1">
      <c r="A367" s="52">
        <v>-1</v>
      </c>
      <c r="B367" s="53" t="s">
        <v>181</v>
      </c>
      <c r="C367" s="54" t="s">
        <v>599</v>
      </c>
      <c r="D367" s="55" t="s">
        <v>262</v>
      </c>
      <c r="E367" s="55" t="s">
        <v>70</v>
      </c>
      <c r="F367" s="56">
        <v>0</v>
      </c>
      <c r="G367" s="57">
        <v>149000</v>
      </c>
      <c r="H367" s="57">
        <f t="shared" si="335"/>
        <v>0</v>
      </c>
      <c r="I367" s="57">
        <v>0</v>
      </c>
      <c r="J367" s="57">
        <f t="shared" si="336"/>
        <v>0</v>
      </c>
      <c r="K367" s="57">
        <f t="shared" si="337"/>
        <v>149000</v>
      </c>
      <c r="L367" s="58">
        <f t="shared" si="338"/>
        <v>0</v>
      </c>
      <c r="M367" s="176"/>
    </row>
    <row r="368" spans="1:13" s="59" customFormat="1" ht="18" customHeight="1">
      <c r="A368" s="52">
        <v>-1</v>
      </c>
      <c r="B368" s="53" t="s">
        <v>181</v>
      </c>
      <c r="C368" s="54" t="s">
        <v>617</v>
      </c>
      <c r="D368" s="55" t="s">
        <v>262</v>
      </c>
      <c r="E368" s="55" t="s">
        <v>70</v>
      </c>
      <c r="F368" s="56"/>
      <c r="G368" s="57">
        <v>153000</v>
      </c>
      <c r="H368" s="57">
        <f t="shared" si="335"/>
        <v>0</v>
      </c>
      <c r="I368" s="57">
        <v>0</v>
      </c>
      <c r="J368" s="57">
        <f t="shared" si="336"/>
        <v>0</v>
      </c>
      <c r="K368" s="57">
        <f t="shared" si="337"/>
        <v>153000</v>
      </c>
      <c r="L368" s="58">
        <f t="shared" si="338"/>
        <v>0</v>
      </c>
      <c r="M368" s="176"/>
    </row>
    <row r="369" spans="1:13" s="59" customFormat="1" ht="18" customHeight="1">
      <c r="A369" s="52">
        <v>-1</v>
      </c>
      <c r="B369" s="53" t="s">
        <v>181</v>
      </c>
      <c r="C369" s="54" t="s">
        <v>618</v>
      </c>
      <c r="D369" s="55" t="s">
        <v>262</v>
      </c>
      <c r="E369" s="55" t="s">
        <v>70</v>
      </c>
      <c r="F369" s="56"/>
      <c r="G369" s="57">
        <v>194000</v>
      </c>
      <c r="H369" s="57">
        <f t="shared" si="335"/>
        <v>0</v>
      </c>
      <c r="I369" s="57">
        <v>0</v>
      </c>
      <c r="J369" s="57">
        <f t="shared" si="336"/>
        <v>0</v>
      </c>
      <c r="K369" s="57">
        <f t="shared" si="337"/>
        <v>194000</v>
      </c>
      <c r="L369" s="58">
        <f t="shared" si="338"/>
        <v>0</v>
      </c>
      <c r="M369" s="177"/>
    </row>
    <row r="370" spans="1:13" s="437" customFormat="1" ht="18" hidden="1" customHeight="1">
      <c r="A370" s="349">
        <v>-1</v>
      </c>
      <c r="B370" s="350" t="s">
        <v>181</v>
      </c>
      <c r="C370" s="444" t="s">
        <v>629</v>
      </c>
      <c r="D370" s="432" t="s">
        <v>262</v>
      </c>
      <c r="E370" s="432" t="s">
        <v>70</v>
      </c>
      <c r="F370" s="445">
        <v>0</v>
      </c>
      <c r="G370" s="434">
        <v>119000</v>
      </c>
      <c r="H370" s="434">
        <f>F370*G370</f>
        <v>0</v>
      </c>
      <c r="I370" s="434">
        <v>0</v>
      </c>
      <c r="J370" s="434">
        <f>F370*I370</f>
        <v>0</v>
      </c>
      <c r="K370" s="434">
        <f>G370+I370</f>
        <v>119000</v>
      </c>
      <c r="L370" s="435">
        <f>F370*K370</f>
        <v>0</v>
      </c>
      <c r="M370" s="177"/>
    </row>
    <row r="371" spans="1:13" ht="18" customHeight="1">
      <c r="A371" s="10"/>
      <c r="B371" s="11"/>
      <c r="C371" s="12"/>
      <c r="D371" s="5"/>
      <c r="E371" s="5"/>
      <c r="F371" s="50"/>
      <c r="G371" s="48"/>
      <c r="H371" s="57"/>
      <c r="I371" s="28"/>
      <c r="J371" s="57"/>
      <c r="K371" s="28"/>
      <c r="L371" s="29"/>
      <c r="M371" s="177"/>
    </row>
    <row r="372" spans="1:13" s="20" customFormat="1" ht="18" customHeight="1">
      <c r="A372" s="13"/>
      <c r="B372" s="13" t="s">
        <v>13</v>
      </c>
      <c r="C372" s="15"/>
      <c r="D372" s="16"/>
      <c r="E372" s="16"/>
      <c r="F372" s="51"/>
      <c r="G372" s="48"/>
      <c r="H372" s="48">
        <f>SUM(H363:H370)</f>
        <v>7585589.9999999991</v>
      </c>
      <c r="I372" s="48"/>
      <c r="J372" s="48">
        <f>SUM(J363:J366)</f>
        <v>0</v>
      </c>
      <c r="K372" s="48"/>
      <c r="L372" s="48">
        <f>SUM(L363:L370)</f>
        <v>7585589.9999999991</v>
      </c>
      <c r="M372" s="177"/>
    </row>
    <row r="373" spans="1:13" ht="18" customHeight="1">
      <c r="A373" s="10"/>
      <c r="B373" s="11"/>
      <c r="C373" s="12"/>
      <c r="D373" s="5"/>
      <c r="E373" s="5"/>
      <c r="F373" s="50"/>
      <c r="G373" s="48"/>
      <c r="H373" s="28" t="s">
        <v>189</v>
      </c>
      <c r="I373" s="28"/>
      <c r="J373" s="28"/>
      <c r="K373" s="28"/>
      <c r="L373" s="29"/>
      <c r="M373" s="177"/>
    </row>
    <row r="374" spans="1:13" ht="18" customHeight="1">
      <c r="A374" s="44" t="s">
        <v>48</v>
      </c>
      <c r="B374" s="45" t="s">
        <v>131</v>
      </c>
      <c r="C374" s="46"/>
      <c r="D374" s="5"/>
      <c r="E374" s="5"/>
      <c r="F374" s="50"/>
      <c r="G374" s="28"/>
      <c r="H374" s="28"/>
      <c r="I374" s="28"/>
      <c r="J374" s="28"/>
      <c r="K374" s="28"/>
      <c r="L374" s="29"/>
      <c r="M374" s="177"/>
    </row>
    <row r="375" spans="1:13" s="59" customFormat="1" ht="18" customHeight="1">
      <c r="A375" s="60">
        <v>-1</v>
      </c>
      <c r="B375" s="53" t="s">
        <v>132</v>
      </c>
      <c r="C375" s="54" t="s">
        <v>133</v>
      </c>
      <c r="D375" s="55"/>
      <c r="E375" s="55" t="s">
        <v>75</v>
      </c>
      <c r="F375" s="61">
        <v>1</v>
      </c>
      <c r="G375" s="57"/>
      <c r="H375" s="57">
        <f>F375*G375</f>
        <v>0</v>
      </c>
      <c r="I375" s="174">
        <v>550000</v>
      </c>
      <c r="J375" s="57">
        <f>F375*I375</f>
        <v>550000</v>
      </c>
      <c r="K375" s="57">
        <f>G375+I375</f>
        <v>550000</v>
      </c>
      <c r="L375" s="58">
        <f>F375*K375</f>
        <v>550000</v>
      </c>
      <c r="M375" s="177"/>
    </row>
    <row r="376" spans="1:13" s="59" customFormat="1" ht="18" customHeight="1">
      <c r="A376" s="60"/>
      <c r="B376" s="53"/>
      <c r="C376" s="54"/>
      <c r="D376" s="55"/>
      <c r="E376" s="55"/>
      <c r="F376" s="61"/>
      <c r="G376" s="57"/>
      <c r="H376" s="57"/>
      <c r="I376" s="57"/>
      <c r="J376" s="57"/>
      <c r="K376" s="57"/>
      <c r="L376" s="58"/>
      <c r="M376" s="177"/>
    </row>
    <row r="377" spans="1:13" s="59" customFormat="1" ht="18" customHeight="1">
      <c r="A377" s="52">
        <v>-1</v>
      </c>
      <c r="B377" s="53" t="s">
        <v>161</v>
      </c>
      <c r="C377" s="54"/>
      <c r="D377" s="55"/>
      <c r="E377" s="55"/>
      <c r="F377" s="56"/>
      <c r="G377" s="57"/>
      <c r="H377" s="57"/>
      <c r="I377" s="28"/>
      <c r="J377" s="57"/>
      <c r="K377" s="57"/>
      <c r="L377" s="58"/>
      <c r="M377" s="177"/>
    </row>
    <row r="378" spans="1:13" ht="18" customHeight="1">
      <c r="A378" s="171" t="s">
        <v>12</v>
      </c>
      <c r="B378" s="343" t="s">
        <v>535</v>
      </c>
      <c r="C378" s="12"/>
      <c r="D378" s="5" t="s">
        <v>223</v>
      </c>
      <c r="E378" s="5" t="s">
        <v>41</v>
      </c>
      <c r="F378" s="173">
        <v>66.3</v>
      </c>
      <c r="G378" s="28">
        <v>12000</v>
      </c>
      <c r="H378" s="28">
        <f t="shared" ref="H378" si="339">F378*G378</f>
        <v>795600</v>
      </c>
      <c r="I378" s="28">
        <v>18000</v>
      </c>
      <c r="J378" s="28">
        <f t="shared" ref="J378" si="340">F378*I378</f>
        <v>1193400</v>
      </c>
      <c r="K378" s="28">
        <f t="shared" ref="K378" si="341">G378+I378</f>
        <v>30000</v>
      </c>
      <c r="L378" s="29">
        <f t="shared" ref="L378" si="342">F378*K378</f>
        <v>1989000</v>
      </c>
      <c r="M378" s="177"/>
    </row>
    <row r="379" spans="1:13" ht="18" hidden="1" customHeight="1">
      <c r="A379" s="171" t="s">
        <v>44</v>
      </c>
      <c r="B379" s="11" t="s">
        <v>250</v>
      </c>
      <c r="C379" s="12" t="s">
        <v>163</v>
      </c>
      <c r="D379" s="5" t="s">
        <v>460</v>
      </c>
      <c r="E379" s="5" t="s">
        <v>41</v>
      </c>
      <c r="F379" s="173"/>
      <c r="G379" s="28">
        <v>12000</v>
      </c>
      <c r="H379" s="28">
        <f t="shared" ref="H379:H381" si="343">F379*G379</f>
        <v>0</v>
      </c>
      <c r="I379" s="28">
        <v>8500</v>
      </c>
      <c r="J379" s="28">
        <f t="shared" ref="J379:J381" si="344">F379*I379</f>
        <v>0</v>
      </c>
      <c r="K379" s="28">
        <f t="shared" ref="K379:K381" si="345">G379+I379</f>
        <v>20500</v>
      </c>
      <c r="L379" s="29">
        <f t="shared" ref="L379:L381" si="346">F379*K379</f>
        <v>0</v>
      </c>
      <c r="M379" s="177"/>
    </row>
    <row r="380" spans="1:13" ht="18" customHeight="1">
      <c r="A380" s="171" t="s">
        <v>44</v>
      </c>
      <c r="B380" s="11" t="s">
        <v>521</v>
      </c>
      <c r="C380" s="12" t="s">
        <v>457</v>
      </c>
      <c r="D380" s="5" t="s">
        <v>304</v>
      </c>
      <c r="E380" s="5" t="s">
        <v>75</v>
      </c>
      <c r="F380" s="173">
        <v>3</v>
      </c>
      <c r="G380" s="28">
        <v>65000</v>
      </c>
      <c r="H380" s="28">
        <f t="shared" ref="H380" si="347">F380*G380</f>
        <v>195000</v>
      </c>
      <c r="I380" s="28">
        <v>150000</v>
      </c>
      <c r="J380" s="28">
        <f t="shared" ref="J380" si="348">F380*I380</f>
        <v>450000</v>
      </c>
      <c r="K380" s="28">
        <f t="shared" ref="K380" si="349">G380+I380</f>
        <v>215000</v>
      </c>
      <c r="L380" s="29">
        <f t="shared" ref="L380" si="350">F380*K380</f>
        <v>645000</v>
      </c>
      <c r="M380" s="177"/>
    </row>
    <row r="381" spans="1:13" ht="18" hidden="1" customHeight="1">
      <c r="A381" s="171" t="s">
        <v>302</v>
      </c>
      <c r="B381" s="11" t="s">
        <v>332</v>
      </c>
      <c r="C381" s="12" t="s">
        <v>235</v>
      </c>
      <c r="D381" s="5" t="s">
        <v>459</v>
      </c>
      <c r="E381" s="5" t="s">
        <v>41</v>
      </c>
      <c r="F381" s="173"/>
      <c r="G381" s="28">
        <v>12000</v>
      </c>
      <c r="H381" s="28">
        <f t="shared" si="343"/>
        <v>0</v>
      </c>
      <c r="I381" s="28">
        <v>18000</v>
      </c>
      <c r="J381" s="28">
        <f t="shared" si="344"/>
        <v>0</v>
      </c>
      <c r="K381" s="28">
        <f t="shared" si="345"/>
        <v>30000</v>
      </c>
      <c r="L381" s="29">
        <f t="shared" si="346"/>
        <v>0</v>
      </c>
      <c r="M381" s="177"/>
    </row>
    <row r="382" spans="1:13" ht="18" hidden="1" customHeight="1">
      <c r="A382" s="171" t="s">
        <v>44</v>
      </c>
      <c r="B382" s="11" t="s">
        <v>333</v>
      </c>
      <c r="C382" s="12" t="s">
        <v>327</v>
      </c>
      <c r="D382" s="5" t="s">
        <v>459</v>
      </c>
      <c r="E382" s="5" t="s">
        <v>41</v>
      </c>
      <c r="F382" s="173"/>
      <c r="G382" s="28">
        <v>11000</v>
      </c>
      <c r="H382" s="28">
        <f t="shared" ref="H382" si="351">F382*G382</f>
        <v>0</v>
      </c>
      <c r="I382" s="28">
        <v>8500</v>
      </c>
      <c r="J382" s="28">
        <f t="shared" ref="J382" si="352">F382*I382</f>
        <v>0</v>
      </c>
      <c r="K382" s="28">
        <f t="shared" ref="K382" si="353">G382+I382</f>
        <v>19500</v>
      </c>
      <c r="L382" s="29">
        <f t="shared" ref="L382" si="354">F382*K382</f>
        <v>0</v>
      </c>
      <c r="M382" s="177"/>
    </row>
    <row r="383" spans="1:13" ht="18" hidden="1" customHeight="1">
      <c r="A383" s="171" t="s">
        <v>44</v>
      </c>
      <c r="B383" s="11" t="s">
        <v>250</v>
      </c>
      <c r="C383" s="12" t="s">
        <v>134</v>
      </c>
      <c r="D383" s="5" t="s">
        <v>272</v>
      </c>
      <c r="E383" s="5" t="s">
        <v>41</v>
      </c>
      <c r="F383" s="173"/>
      <c r="G383" s="28">
        <v>5000</v>
      </c>
      <c r="H383" s="28">
        <f t="shared" ref="H383" si="355">F383*G383</f>
        <v>0</v>
      </c>
      <c r="I383" s="28">
        <v>8500</v>
      </c>
      <c r="J383" s="28">
        <f t="shared" ref="J383" si="356">F383*I383</f>
        <v>0</v>
      </c>
      <c r="K383" s="28">
        <f t="shared" ref="K383" si="357">G383+I383</f>
        <v>13500</v>
      </c>
      <c r="L383" s="29">
        <f t="shared" ref="L383" si="358">F383*K383</f>
        <v>0</v>
      </c>
      <c r="M383" s="177"/>
    </row>
    <row r="384" spans="1:13" s="59" customFormat="1" ht="18" hidden="1" customHeight="1">
      <c r="A384" s="60" t="s">
        <v>183</v>
      </c>
      <c r="B384" s="53" t="s">
        <v>184</v>
      </c>
      <c r="C384" s="62" t="s">
        <v>273</v>
      </c>
      <c r="D384" s="55" t="s">
        <v>185</v>
      </c>
      <c r="E384" s="55" t="s">
        <v>182</v>
      </c>
      <c r="F384" s="61"/>
      <c r="G384" s="57">
        <v>2200</v>
      </c>
      <c r="H384" s="57">
        <f t="shared" ref="H384" si="359">F384*G384</f>
        <v>0</v>
      </c>
      <c r="I384" s="57">
        <v>5000</v>
      </c>
      <c r="J384" s="57">
        <f t="shared" ref="J384" si="360">F384*I384</f>
        <v>0</v>
      </c>
      <c r="K384" s="57">
        <f t="shared" ref="K384" si="361">G384+I384</f>
        <v>7200</v>
      </c>
      <c r="L384" s="58">
        <f t="shared" ref="L384" si="362">F384*K384</f>
        <v>0</v>
      </c>
      <c r="M384" s="177"/>
    </row>
    <row r="385" spans="1:14" s="329" customFormat="1" ht="18" hidden="1" customHeight="1">
      <c r="A385" s="60" t="s">
        <v>160</v>
      </c>
      <c r="B385" s="322" t="s">
        <v>184</v>
      </c>
      <c r="C385" s="323" t="s">
        <v>274</v>
      </c>
      <c r="D385" s="324" t="s">
        <v>185</v>
      </c>
      <c r="E385" s="324" t="s">
        <v>165</v>
      </c>
      <c r="F385" s="325"/>
      <c r="G385" s="326">
        <v>5500</v>
      </c>
      <c r="H385" s="326">
        <f t="shared" ref="H385" si="363">F385*G385</f>
        <v>0</v>
      </c>
      <c r="I385" s="326">
        <v>5000</v>
      </c>
      <c r="J385" s="326">
        <f t="shared" ref="J385" si="364">F385*I385</f>
        <v>0</v>
      </c>
      <c r="K385" s="326">
        <f t="shared" ref="K385" si="365">G385+I385</f>
        <v>10500</v>
      </c>
      <c r="L385" s="327">
        <f t="shared" ref="L385" si="366">F385*K385</f>
        <v>0</v>
      </c>
      <c r="M385" s="177"/>
    </row>
    <row r="386" spans="1:14" s="59" customFormat="1" ht="18" customHeight="1">
      <c r="A386" s="60"/>
      <c r="B386" s="53"/>
      <c r="C386" s="62"/>
      <c r="D386" s="55"/>
      <c r="E386" s="55"/>
      <c r="F386" s="61"/>
      <c r="G386" s="57"/>
      <c r="H386" s="57"/>
      <c r="I386" s="57"/>
      <c r="J386" s="57"/>
      <c r="K386" s="57"/>
      <c r="L386" s="58"/>
      <c r="M386" s="177"/>
    </row>
    <row r="387" spans="1:14" s="59" customFormat="1" ht="18" customHeight="1">
      <c r="A387" s="52">
        <v>-1</v>
      </c>
      <c r="B387" s="53" t="s">
        <v>135</v>
      </c>
      <c r="C387" s="54"/>
      <c r="D387" s="55"/>
      <c r="E387" s="55"/>
      <c r="F387" s="56"/>
      <c r="G387" s="57"/>
      <c r="H387" s="57"/>
      <c r="I387" s="57"/>
      <c r="J387" s="57"/>
      <c r="K387" s="57"/>
      <c r="L387" s="58"/>
      <c r="M387" s="177"/>
    </row>
    <row r="388" spans="1:14" s="59" customFormat="1" ht="18" hidden="1" customHeight="1">
      <c r="A388" s="52" t="s">
        <v>440</v>
      </c>
      <c r="B388" s="53" t="s">
        <v>461</v>
      </c>
      <c r="C388" s="54" t="s">
        <v>462</v>
      </c>
      <c r="D388" s="55" t="s">
        <v>447</v>
      </c>
      <c r="E388" s="55" t="s">
        <v>410</v>
      </c>
      <c r="F388" s="56"/>
      <c r="G388" s="57">
        <v>650000</v>
      </c>
      <c r="H388" s="57">
        <f t="shared" ref="H388:H393" si="367">F388*G388</f>
        <v>0</v>
      </c>
      <c r="I388" s="57">
        <v>700000</v>
      </c>
      <c r="J388" s="57">
        <f t="shared" ref="J388:J389" si="368">F388*I388</f>
        <v>0</v>
      </c>
      <c r="K388" s="57">
        <f t="shared" ref="K388:K389" si="369">G388+I388</f>
        <v>1350000</v>
      </c>
      <c r="L388" s="58">
        <f t="shared" ref="L388:L389" si="370">F388*K388</f>
        <v>0</v>
      </c>
      <c r="M388" s="177"/>
    </row>
    <row r="389" spans="1:14" s="425" customFormat="1" ht="18" customHeight="1">
      <c r="A389" s="260" t="s">
        <v>12</v>
      </c>
      <c r="B389" s="394" t="s">
        <v>136</v>
      </c>
      <c r="C389" s="395" t="s">
        <v>235</v>
      </c>
      <c r="D389" s="422" t="s">
        <v>518</v>
      </c>
      <c r="E389" s="422" t="s">
        <v>41</v>
      </c>
      <c r="F389" s="429">
        <v>171</v>
      </c>
      <c r="G389" s="396">
        <v>12000</v>
      </c>
      <c r="H389" s="396">
        <f t="shared" ref="H389" si="371">F389*G389</f>
        <v>2052000</v>
      </c>
      <c r="I389" s="396">
        <v>28000</v>
      </c>
      <c r="J389" s="396">
        <f t="shared" si="368"/>
        <v>4788000</v>
      </c>
      <c r="K389" s="396">
        <f t="shared" si="369"/>
        <v>40000</v>
      </c>
      <c r="L389" s="424">
        <f t="shared" si="370"/>
        <v>6840000</v>
      </c>
      <c r="M389" s="177"/>
      <c r="N389" s="425">
        <v>26.89</v>
      </c>
    </row>
    <row r="390" spans="1:14" ht="18" customHeight="1">
      <c r="A390" s="171" t="s">
        <v>44</v>
      </c>
      <c r="B390" s="11" t="s">
        <v>330</v>
      </c>
      <c r="C390" s="12" t="s">
        <v>163</v>
      </c>
      <c r="D390" s="5" t="s">
        <v>518</v>
      </c>
      <c r="E390" s="5" t="s">
        <v>41</v>
      </c>
      <c r="F390" s="61">
        <v>63</v>
      </c>
      <c r="G390" s="28">
        <v>12000</v>
      </c>
      <c r="H390" s="28">
        <f t="shared" si="367"/>
        <v>756000</v>
      </c>
      <c r="I390" s="28">
        <v>8500</v>
      </c>
      <c r="J390" s="28">
        <f t="shared" ref="J390:J393" si="372">F390*I390</f>
        <v>535500</v>
      </c>
      <c r="K390" s="28">
        <f t="shared" ref="K390:K393" si="373">G390+I390</f>
        <v>20500</v>
      </c>
      <c r="L390" s="29">
        <f t="shared" ref="L390:L393" si="374">F390*K390</f>
        <v>1291500</v>
      </c>
      <c r="M390" s="177"/>
    </row>
    <row r="391" spans="1:14" s="59" customFormat="1" ht="18" hidden="1" customHeight="1">
      <c r="A391" s="60" t="s">
        <v>44</v>
      </c>
      <c r="B391" s="53" t="s">
        <v>195</v>
      </c>
      <c r="C391" s="62" t="s">
        <v>196</v>
      </c>
      <c r="D391" s="55" t="s">
        <v>328</v>
      </c>
      <c r="E391" s="55" t="s">
        <v>41</v>
      </c>
      <c r="F391" s="61"/>
      <c r="G391" s="57">
        <v>5500</v>
      </c>
      <c r="H391" s="57" t="s">
        <v>347</v>
      </c>
      <c r="I391" s="57">
        <v>15000</v>
      </c>
      <c r="J391" s="57">
        <f>F391*I391</f>
        <v>0</v>
      </c>
      <c r="K391" s="57">
        <f>G391+I391</f>
        <v>20500</v>
      </c>
      <c r="L391" s="58">
        <f t="shared" si="374"/>
        <v>0</v>
      </c>
      <c r="M391" s="177"/>
    </row>
    <row r="392" spans="1:14" s="59" customFormat="1" ht="18" customHeight="1">
      <c r="A392" s="60" t="s">
        <v>44</v>
      </c>
      <c r="B392" s="53" t="s">
        <v>180</v>
      </c>
      <c r="C392" s="62" t="s">
        <v>236</v>
      </c>
      <c r="D392" s="55" t="s">
        <v>517</v>
      </c>
      <c r="E392" s="55" t="s">
        <v>41</v>
      </c>
      <c r="F392" s="61">
        <v>5</v>
      </c>
      <c r="G392" s="57">
        <v>25000</v>
      </c>
      <c r="H392" s="57">
        <f t="shared" si="367"/>
        <v>125000</v>
      </c>
      <c r="I392" s="57">
        <v>27000</v>
      </c>
      <c r="J392" s="57">
        <f t="shared" si="372"/>
        <v>135000</v>
      </c>
      <c r="K392" s="57">
        <f t="shared" si="373"/>
        <v>52000</v>
      </c>
      <c r="L392" s="58">
        <f t="shared" si="374"/>
        <v>260000</v>
      </c>
      <c r="M392" s="177"/>
      <c r="N392" s="59">
        <v>140</v>
      </c>
    </row>
    <row r="393" spans="1:14" s="275" customFormat="1" ht="18" customHeight="1">
      <c r="A393" s="60" t="s">
        <v>44</v>
      </c>
      <c r="B393" s="305" t="s">
        <v>166</v>
      </c>
      <c r="C393" s="62" t="s">
        <v>202</v>
      </c>
      <c r="D393" s="55" t="s">
        <v>463</v>
      </c>
      <c r="E393" s="55" t="s">
        <v>39</v>
      </c>
      <c r="F393" s="61">
        <v>68</v>
      </c>
      <c r="G393" s="57">
        <v>1000</v>
      </c>
      <c r="H393" s="57">
        <f t="shared" si="367"/>
        <v>68000</v>
      </c>
      <c r="I393" s="57">
        <v>5000</v>
      </c>
      <c r="J393" s="57">
        <f t="shared" si="372"/>
        <v>340000</v>
      </c>
      <c r="K393" s="57">
        <f t="shared" si="373"/>
        <v>6000</v>
      </c>
      <c r="L393" s="58">
        <f t="shared" si="374"/>
        <v>408000</v>
      </c>
      <c r="M393" s="177"/>
    </row>
    <row r="394" spans="1:14" s="59" customFormat="1" ht="18" customHeight="1">
      <c r="A394" s="60"/>
      <c r="B394" s="53"/>
      <c r="C394" s="62"/>
      <c r="D394" s="55"/>
      <c r="E394" s="55"/>
      <c r="F394" s="61"/>
      <c r="G394" s="57"/>
      <c r="H394" s="57"/>
      <c r="I394" s="57"/>
      <c r="J394" s="57"/>
      <c r="K394" s="57"/>
      <c r="L394" s="58"/>
      <c r="M394" s="177"/>
    </row>
    <row r="395" spans="1:14" s="59" customFormat="1" ht="18" customHeight="1">
      <c r="A395" s="52">
        <v>-1</v>
      </c>
      <c r="B395" s="53" t="s">
        <v>138</v>
      </c>
      <c r="C395" s="54"/>
      <c r="D395" s="55"/>
      <c r="E395" s="55" t="s">
        <v>189</v>
      </c>
      <c r="F395" s="56"/>
      <c r="G395" s="57"/>
      <c r="H395" s="57"/>
      <c r="I395" s="57"/>
      <c r="J395" s="57"/>
      <c r="K395" s="57"/>
      <c r="L395" s="58"/>
      <c r="M395" s="177"/>
    </row>
    <row r="396" spans="1:14" s="274" customFormat="1" ht="18" hidden="1" customHeight="1">
      <c r="A396" s="258" t="s">
        <v>351</v>
      </c>
      <c r="B396" s="267" t="s">
        <v>352</v>
      </c>
      <c r="C396" s="268" t="s">
        <v>350</v>
      </c>
      <c r="D396" s="269"/>
      <c r="E396" s="269" t="s">
        <v>75</v>
      </c>
      <c r="F396" s="270"/>
      <c r="G396" s="271">
        <v>0</v>
      </c>
      <c r="H396" s="271">
        <f t="shared" ref="H396" si="375">F396*G396</f>
        <v>0</v>
      </c>
      <c r="I396" s="271"/>
      <c r="J396" s="271">
        <f t="shared" ref="J396" si="376">F396*I396</f>
        <v>0</v>
      </c>
      <c r="K396" s="271">
        <f t="shared" ref="K396" si="377">G396+I396</f>
        <v>0</v>
      </c>
      <c r="L396" s="272">
        <f t="shared" ref="L396" si="378">F396*K396</f>
        <v>0</v>
      </c>
      <c r="M396" s="177"/>
    </row>
    <row r="397" spans="1:14" s="59" customFormat="1" ht="18" customHeight="1">
      <c r="A397" s="60" t="s">
        <v>12</v>
      </c>
      <c r="B397" s="53" t="s">
        <v>600</v>
      </c>
      <c r="C397" s="62"/>
      <c r="D397" s="55" t="s">
        <v>137</v>
      </c>
      <c r="E397" s="55" t="s">
        <v>75</v>
      </c>
      <c r="F397" s="61">
        <v>6</v>
      </c>
      <c r="G397" s="57">
        <v>250000</v>
      </c>
      <c r="H397" s="57">
        <f t="shared" ref="H397" si="379">F397*G397</f>
        <v>1500000</v>
      </c>
      <c r="I397" s="57">
        <v>150000</v>
      </c>
      <c r="J397" s="57">
        <f t="shared" ref="J397" si="380">F397*I397</f>
        <v>900000</v>
      </c>
      <c r="K397" s="57">
        <f t="shared" ref="K397" si="381">G397+I397</f>
        <v>400000</v>
      </c>
      <c r="L397" s="58">
        <f t="shared" ref="L397" si="382">F397*K397</f>
        <v>2400000</v>
      </c>
      <c r="M397" s="177"/>
    </row>
    <row r="398" spans="1:14" s="59" customFormat="1" ht="18" customHeight="1">
      <c r="A398" s="60" t="s">
        <v>44</v>
      </c>
      <c r="B398" s="53" t="s">
        <v>591</v>
      </c>
      <c r="C398" s="62" t="s">
        <v>592</v>
      </c>
      <c r="D398" s="55" t="s">
        <v>137</v>
      </c>
      <c r="E398" s="55" t="s">
        <v>38</v>
      </c>
      <c r="F398" s="61">
        <v>5</v>
      </c>
      <c r="G398" s="57">
        <v>390000</v>
      </c>
      <c r="H398" s="57">
        <f t="shared" ref="H398:H399" si="383">F398*G398</f>
        <v>1950000</v>
      </c>
      <c r="I398" s="57">
        <v>70000</v>
      </c>
      <c r="J398" s="57">
        <f t="shared" ref="J398:J399" si="384">F398*I398</f>
        <v>350000</v>
      </c>
      <c r="K398" s="57">
        <f t="shared" ref="K398:K399" si="385">G398+I398</f>
        <v>460000</v>
      </c>
      <c r="L398" s="58">
        <f t="shared" ref="L398" si="386">F398*K398</f>
        <v>2300000</v>
      </c>
      <c r="M398" s="177"/>
    </row>
    <row r="399" spans="1:14" s="329" customFormat="1" ht="18" customHeight="1">
      <c r="A399" s="60" t="s">
        <v>44</v>
      </c>
      <c r="B399" s="322" t="s">
        <v>611</v>
      </c>
      <c r="C399" s="323" t="s">
        <v>612</v>
      </c>
      <c r="D399" s="324" t="s">
        <v>304</v>
      </c>
      <c r="E399" s="324" t="s">
        <v>75</v>
      </c>
      <c r="F399" s="325">
        <v>1</v>
      </c>
      <c r="G399" s="326">
        <v>200000</v>
      </c>
      <c r="H399" s="326">
        <f t="shared" si="383"/>
        <v>200000</v>
      </c>
      <c r="I399" s="326">
        <v>420000</v>
      </c>
      <c r="J399" s="326">
        <f t="shared" si="384"/>
        <v>420000</v>
      </c>
      <c r="K399" s="326">
        <f t="shared" si="385"/>
        <v>620000</v>
      </c>
      <c r="L399" s="327">
        <f>F399*K399</f>
        <v>620000</v>
      </c>
      <c r="M399" s="177"/>
    </row>
    <row r="400" spans="1:14" s="329" customFormat="1" ht="18" hidden="1" customHeight="1">
      <c r="A400" s="60" t="s">
        <v>44</v>
      </c>
      <c r="B400" s="322" t="s">
        <v>194</v>
      </c>
      <c r="C400" s="323" t="s">
        <v>519</v>
      </c>
      <c r="D400" s="324" t="s">
        <v>520</v>
      </c>
      <c r="E400" s="324" t="s">
        <v>75</v>
      </c>
      <c r="F400" s="325"/>
      <c r="G400" s="326">
        <v>350000</v>
      </c>
      <c r="H400" s="326">
        <f t="shared" ref="H400" si="387">F400*G400</f>
        <v>0</v>
      </c>
      <c r="I400" s="326">
        <v>320000</v>
      </c>
      <c r="J400" s="326">
        <f t="shared" ref="J400" si="388">F400*I400</f>
        <v>0</v>
      </c>
      <c r="K400" s="326">
        <f t="shared" ref="K400" si="389">G400+I400</f>
        <v>670000</v>
      </c>
      <c r="L400" s="327">
        <f>F400*K400</f>
        <v>0</v>
      </c>
      <c r="M400" s="177"/>
    </row>
    <row r="401" spans="1:13" ht="18" hidden="1" customHeight="1">
      <c r="A401" s="171" t="s">
        <v>278</v>
      </c>
      <c r="B401" s="11" t="s">
        <v>279</v>
      </c>
      <c r="C401" s="172"/>
      <c r="D401" s="321" t="s">
        <v>344</v>
      </c>
      <c r="E401" s="5" t="s">
        <v>277</v>
      </c>
      <c r="F401" s="173"/>
      <c r="G401" s="28">
        <v>120000</v>
      </c>
      <c r="H401" s="57">
        <f t="shared" ref="H401:H402" si="390">F401*G401</f>
        <v>0</v>
      </c>
      <c r="I401" s="28">
        <v>150000</v>
      </c>
      <c r="J401" s="57">
        <f t="shared" ref="J401:J402" si="391">F401*I401</f>
        <v>0</v>
      </c>
      <c r="K401" s="57">
        <f t="shared" ref="K401:K402" si="392">G401+I401</f>
        <v>270000</v>
      </c>
      <c r="L401" s="58">
        <f t="shared" ref="L401:L404" si="393">F401*K401</f>
        <v>0</v>
      </c>
      <c r="M401" s="177"/>
    </row>
    <row r="402" spans="1:13" ht="18" hidden="1" customHeight="1">
      <c r="A402" s="171" t="s">
        <v>267</v>
      </c>
      <c r="B402" s="11" t="s">
        <v>346</v>
      </c>
      <c r="C402" s="172"/>
      <c r="D402" s="321" t="s">
        <v>276</v>
      </c>
      <c r="E402" s="5" t="s">
        <v>277</v>
      </c>
      <c r="F402" s="173"/>
      <c r="G402" s="28">
        <v>300000</v>
      </c>
      <c r="H402" s="57">
        <f t="shared" si="390"/>
        <v>0</v>
      </c>
      <c r="I402" s="28">
        <v>600000</v>
      </c>
      <c r="J402" s="57">
        <f t="shared" si="391"/>
        <v>0</v>
      </c>
      <c r="K402" s="57">
        <f t="shared" si="392"/>
        <v>900000</v>
      </c>
      <c r="L402" s="58">
        <f t="shared" si="393"/>
        <v>0</v>
      </c>
      <c r="M402" s="177"/>
    </row>
    <row r="403" spans="1:13" s="265" customFormat="1" ht="18" customHeight="1">
      <c r="A403" s="260" t="s">
        <v>284</v>
      </c>
      <c r="B403" s="168" t="s">
        <v>286</v>
      </c>
      <c r="C403" s="380" t="s">
        <v>516</v>
      </c>
      <c r="D403" s="381" t="s">
        <v>242</v>
      </c>
      <c r="E403" s="261" t="s">
        <v>75</v>
      </c>
      <c r="F403" s="382">
        <v>1</v>
      </c>
      <c r="G403" s="262">
        <v>1200000</v>
      </c>
      <c r="H403" s="262">
        <f>F403*G403</f>
        <v>1200000</v>
      </c>
      <c r="I403" s="262">
        <v>200000</v>
      </c>
      <c r="J403" s="262">
        <f>F403*I403</f>
        <v>200000</v>
      </c>
      <c r="K403" s="262">
        <f>G403+I403</f>
        <v>1400000</v>
      </c>
      <c r="L403" s="263">
        <f t="shared" si="393"/>
        <v>1400000</v>
      </c>
      <c r="M403" s="177"/>
    </row>
    <row r="404" spans="1:13" ht="18" hidden="1" customHeight="1">
      <c r="A404" s="171" t="s">
        <v>284</v>
      </c>
      <c r="B404" s="11" t="s">
        <v>285</v>
      </c>
      <c r="C404" s="172" t="s">
        <v>348</v>
      </c>
      <c r="D404" s="321" t="s">
        <v>342</v>
      </c>
      <c r="E404" s="5" t="s">
        <v>75</v>
      </c>
      <c r="F404" s="173"/>
      <c r="G404" s="28">
        <v>1200000</v>
      </c>
      <c r="H404" s="28">
        <f>F404*G404</f>
        <v>0</v>
      </c>
      <c r="I404" s="28">
        <v>200000</v>
      </c>
      <c r="J404" s="28">
        <f>F404*I404</f>
        <v>0</v>
      </c>
      <c r="K404" s="28">
        <f>G404+I404</f>
        <v>1400000</v>
      </c>
      <c r="L404" s="29">
        <f t="shared" si="393"/>
        <v>0</v>
      </c>
      <c r="M404" s="177"/>
    </row>
    <row r="405" spans="1:13" ht="18" hidden="1" customHeight="1">
      <c r="A405" s="171" t="s">
        <v>44</v>
      </c>
      <c r="B405" s="11" t="s">
        <v>285</v>
      </c>
      <c r="C405" s="172" t="s">
        <v>287</v>
      </c>
      <c r="D405" s="321" t="s">
        <v>343</v>
      </c>
      <c r="E405" s="5" t="s">
        <v>75</v>
      </c>
      <c r="F405" s="173"/>
      <c r="G405" s="28">
        <v>2300000</v>
      </c>
      <c r="H405" s="28">
        <f>F405*G405</f>
        <v>0</v>
      </c>
      <c r="I405" s="28">
        <v>200000</v>
      </c>
      <c r="J405" s="28">
        <f>F405*I405</f>
        <v>0</v>
      </c>
      <c r="K405" s="28">
        <f>G405+I405</f>
        <v>2500000</v>
      </c>
      <c r="L405" s="29">
        <f t="shared" ref="L405" si="394">F405*K405</f>
        <v>0</v>
      </c>
      <c r="M405" s="177"/>
    </row>
    <row r="406" spans="1:13" ht="18" customHeight="1">
      <c r="A406" s="171"/>
      <c r="B406" s="11"/>
      <c r="C406" s="172"/>
      <c r="D406" s="321"/>
      <c r="E406" s="5"/>
      <c r="F406" s="173"/>
      <c r="G406" s="28"/>
      <c r="H406" s="28"/>
      <c r="I406" s="28"/>
      <c r="J406" s="28"/>
      <c r="K406" s="28"/>
      <c r="L406" s="29"/>
      <c r="M406" s="177"/>
    </row>
    <row r="407" spans="1:13" ht="18" customHeight="1">
      <c r="A407" s="10"/>
      <c r="B407" s="13" t="s">
        <v>13</v>
      </c>
      <c r="C407" s="12"/>
      <c r="D407" s="5"/>
      <c r="E407" s="5"/>
      <c r="F407" s="50"/>
      <c r="G407" s="48"/>
      <c r="H407" s="48">
        <f>SUM(H375:H405)</f>
        <v>8841600</v>
      </c>
      <c r="I407" s="48"/>
      <c r="J407" s="48">
        <f>SUM(J375:J405)</f>
        <v>9861900</v>
      </c>
      <c r="K407" s="48"/>
      <c r="L407" s="48">
        <f>SUM(L375:L405)</f>
        <v>18703500</v>
      </c>
      <c r="M407" s="177"/>
    </row>
    <row r="408" spans="1:13" ht="18" customHeight="1">
      <c r="A408" s="10"/>
      <c r="B408" s="11"/>
      <c r="C408" s="12"/>
      <c r="D408" s="5"/>
      <c r="E408" s="5"/>
      <c r="F408" s="50"/>
      <c r="G408" s="28"/>
      <c r="H408" s="28"/>
      <c r="I408" s="28"/>
      <c r="J408" s="28"/>
      <c r="K408" s="28"/>
      <c r="L408" s="29"/>
      <c r="M408" s="177"/>
    </row>
    <row r="409" spans="1:13" ht="18" customHeight="1">
      <c r="A409" s="10"/>
      <c r="B409" s="11"/>
      <c r="C409" s="12"/>
      <c r="D409" s="5"/>
      <c r="E409" s="5"/>
      <c r="F409" s="50"/>
      <c r="G409" s="28"/>
      <c r="H409" s="28"/>
      <c r="I409" s="28"/>
      <c r="J409" s="39"/>
      <c r="K409" s="28"/>
      <c r="L409" s="29"/>
      <c r="M409" s="177"/>
    </row>
    <row r="410" spans="1:13" ht="18" customHeight="1">
      <c r="A410" s="242"/>
      <c r="B410" s="242" t="s">
        <v>71</v>
      </c>
      <c r="C410" s="243"/>
      <c r="D410" s="244"/>
      <c r="E410" s="244"/>
      <c r="F410" s="245"/>
      <c r="G410" s="246"/>
      <c r="H410" s="257">
        <f>H407+H372+H360+H353+H342+H320+H262+H179+H88+H70</f>
        <v>56612452.727272727</v>
      </c>
      <c r="I410" s="257"/>
      <c r="J410" s="257">
        <f>J407+J372+J360+J353+J342+J320+J262+J179+J88+J70</f>
        <v>43514486.060606062</v>
      </c>
      <c r="K410" s="257"/>
      <c r="L410" s="257">
        <f>L407+L372+L360+L353+L342+L320+L262+L179+L88+L70</f>
        <v>100126938.78787878</v>
      </c>
      <c r="M410" s="247"/>
    </row>
  </sheetData>
  <autoFilter ref="A4:M410"/>
  <mergeCells count="14">
    <mergeCell ref="M335:M336"/>
    <mergeCell ref="B178:L178"/>
    <mergeCell ref="M2:M3"/>
    <mergeCell ref="A1:M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60:M64"/>
  </mergeCells>
  <phoneticPr fontId="21" type="noConversion"/>
  <pageMargins left="0.7" right="0.7" top="0.75" bottom="0.75" header="0.3" footer="0.3"/>
  <pageSetup paperSize="9" scale="65" fitToHeight="0" orientation="landscape" r:id="rId1"/>
  <rowBreaks count="8" manualBreakCount="8">
    <brk id="40" max="12" man="1"/>
    <brk id="89" max="12" man="1"/>
    <brk id="150" max="12" man="1"/>
    <brk id="180" max="12" man="1"/>
    <brk id="223" max="12" man="1"/>
    <brk id="263" max="12" man="1"/>
    <brk id="321" max="12" man="1"/>
    <brk id="361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5</vt:i4>
      </vt:variant>
    </vt:vector>
  </HeadingPairs>
  <TitlesOfParts>
    <vt:vector size="8" baseType="lpstr">
      <vt:lpstr>갑지</vt:lpstr>
      <vt:lpstr> 갑지-1</vt:lpstr>
      <vt:lpstr>상세</vt:lpstr>
      <vt:lpstr>' 갑지-1'!Print_Area</vt:lpstr>
      <vt:lpstr>갑지!Print_Area</vt:lpstr>
      <vt:lpstr>상세!Print_Area</vt:lpstr>
      <vt:lpstr>' 갑지-1'!Print_Titles</vt:lpstr>
      <vt:lpstr>상세!Print_Titles</vt:lpstr>
    </vt:vector>
  </TitlesOfParts>
  <Company>RIDGE P&amp;C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</dc:creator>
  <cp:lastModifiedBy>tpgns1164@naver.com</cp:lastModifiedBy>
  <cp:lastPrinted>2026-01-02T05:13:00Z</cp:lastPrinted>
  <dcterms:created xsi:type="dcterms:W3CDTF">1997-06-17T05:19:13Z</dcterms:created>
  <dcterms:modified xsi:type="dcterms:W3CDTF">2026-01-02T05:13:20Z</dcterms:modified>
</cp:coreProperties>
</file>