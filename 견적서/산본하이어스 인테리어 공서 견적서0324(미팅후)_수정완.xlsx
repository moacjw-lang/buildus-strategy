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B85CFB4B-40CD-416D-AC43-687BD21E595E}" xr6:coauthVersionLast="47" xr6:coauthVersionMax="47" xr10:uidLastSave="{00000000-0000-0000-0000-000000000000}"/>
  <bookViews>
    <workbookView xWindow="-120" yWindow="-120" windowWidth="29040" windowHeight="15720" tabRatio="680" xr2:uid="{00000000-000D-0000-FFFF-FFFF00000000}"/>
  </bookViews>
  <sheets>
    <sheet name="갑지" sheetId="23312" r:id="rId1"/>
    <sheet name=" 갑지-1" sheetId="23309" r:id="rId2"/>
    <sheet name="상세" sheetId="2331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" localSheetId="1" hidden="1">[1]공문!#REF!</definedName>
    <definedName name="_" localSheetId="0" hidden="1">[1]공문!#REF!</definedName>
    <definedName name="_" localSheetId="2" hidden="1">[1]공문!#REF!</definedName>
    <definedName name="_" hidden="1">[1]공문!#REF!</definedName>
    <definedName name="____WRM1" localSheetId="0" hidden="1">{#N/A,#N/A,TRUE,"TITLE"}</definedName>
    <definedName name="____WRM1" hidden="1">{#N/A,#N/A,TRUE,"TITLE"}</definedName>
    <definedName name="___key2" localSheetId="1" hidden="1">#REF!</definedName>
    <definedName name="___key2" localSheetId="0" hidden="1">#REF!</definedName>
    <definedName name="___key2" localSheetId="2" hidden="1">#REF!</definedName>
    <definedName name="___key2" hidden="1">#REF!</definedName>
    <definedName name="__123Graph_A" localSheetId="1" hidden="1">[2]금융!#REF!</definedName>
    <definedName name="__123Graph_A" localSheetId="0" hidden="1">[2]금융!#REF!</definedName>
    <definedName name="__123Graph_A" localSheetId="2" hidden="1">[2]금융!#REF!</definedName>
    <definedName name="__123Graph_A" hidden="1">[2]금융!#REF!</definedName>
    <definedName name="__123Graph_ACHART1" localSheetId="1" hidden="1">'[3]입찰내역 발주처 양식'!#REF!</definedName>
    <definedName name="__123Graph_ACHART1" localSheetId="0" hidden="1">'[3]입찰내역 발주처 양식'!#REF!</definedName>
    <definedName name="__123Graph_ACHART1" localSheetId="2" hidden="1">'[3]입찰내역 발주처 양식'!#REF!</definedName>
    <definedName name="__123Graph_ACHART1" hidden="1">'[3]입찰내역 발주처 양식'!#REF!</definedName>
    <definedName name="__123Graph_ACURRENT" localSheetId="1" hidden="1">'[3]입찰내역 발주처 양식'!#REF!</definedName>
    <definedName name="__123Graph_ACURRENT" localSheetId="0" hidden="1">'[3]입찰내역 발주처 양식'!#REF!</definedName>
    <definedName name="__123Graph_ACURRENT" localSheetId="2" hidden="1">'[3]입찰내역 발주처 양식'!#REF!</definedName>
    <definedName name="__123Graph_ACURRENT" hidden="1">'[3]입찰내역 발주처 양식'!#REF!</definedName>
    <definedName name="__123Graph_APOWERSAV" hidden="1">[4]CAL1!$G$10:$G$38</definedName>
    <definedName name="__123Graph_B" localSheetId="1" hidden="1">[5]목표세부명세!#REF!</definedName>
    <definedName name="__123Graph_B" localSheetId="0" hidden="1">[5]목표세부명세!#REF!</definedName>
    <definedName name="__123Graph_B" localSheetId="2" hidden="1">[5]목표세부명세!#REF!</definedName>
    <definedName name="__123Graph_B" hidden="1">[5]목표세부명세!#REF!</definedName>
    <definedName name="__123Graph_BPOWERSAV" hidden="1">[4]CAL1!$F$10:$F$38</definedName>
    <definedName name="__123Graph_C" hidden="1">[4]CAL1!$I$36:$I$37</definedName>
    <definedName name="__123Graph_CPOWERSAV" localSheetId="1" hidden="1">'[6]VS P-Q'!#REF!</definedName>
    <definedName name="__123Graph_CPOWERSAV" localSheetId="0" hidden="1">'[6]VS P-Q'!#REF!</definedName>
    <definedName name="__123Graph_CPOWERSAV" localSheetId="2" hidden="1">'[6]VS P-Q'!#REF!</definedName>
    <definedName name="__123Graph_CPOWERSAV" hidden="1">'[6]VS P-Q'!#REF!</definedName>
    <definedName name="__123Graph_D" localSheetId="1" hidden="1">'[7]0226'!#REF!</definedName>
    <definedName name="__123Graph_D" localSheetId="0" hidden="1">'[7]0226'!#REF!</definedName>
    <definedName name="__123Graph_D" localSheetId="2" hidden="1">'[7]0226'!#REF!</definedName>
    <definedName name="__123Graph_D" hidden="1">'[7]0226'!#REF!</definedName>
    <definedName name="__123Graph_DPOWERSAV" localSheetId="1" hidden="1">'[6]VS P-Q'!#REF!</definedName>
    <definedName name="__123Graph_DPOWERSAV" localSheetId="0" hidden="1">'[6]VS P-Q'!#REF!</definedName>
    <definedName name="__123Graph_DPOWERSAV" localSheetId="2" hidden="1">'[6]VS P-Q'!#REF!</definedName>
    <definedName name="__123Graph_DPOWERSAV" hidden="1">'[6]VS P-Q'!#REF!</definedName>
    <definedName name="__123Graph_E" hidden="1">[4]CAL1!$U$10:$U$37</definedName>
    <definedName name="__123Graph_LBL_APOWERSAV" localSheetId="1" hidden="1">'[6]VS P-Q'!#REF!</definedName>
    <definedName name="__123Graph_LBL_APOWERSAV" localSheetId="0" hidden="1">'[6]VS P-Q'!#REF!</definedName>
    <definedName name="__123Graph_LBL_APOWERSAV" localSheetId="2" hidden="1">'[6]VS P-Q'!#REF!</definedName>
    <definedName name="__123Graph_LBL_APOWERSAV" hidden="1">'[6]VS P-Q'!#REF!</definedName>
    <definedName name="__123Graph_LBL_B" localSheetId="1" hidden="1">'[6]VS P-Q'!#REF!</definedName>
    <definedName name="__123Graph_LBL_B" localSheetId="0" hidden="1">'[6]VS P-Q'!#REF!</definedName>
    <definedName name="__123Graph_LBL_B" localSheetId="2" hidden="1">'[6]VS P-Q'!#REF!</definedName>
    <definedName name="__123Graph_LBL_B" hidden="1">'[6]VS P-Q'!#REF!</definedName>
    <definedName name="__123Graph_LBL_BPOWERSAV" localSheetId="1" hidden="1">'[6]VS P-Q'!#REF!</definedName>
    <definedName name="__123Graph_LBL_BPOWERSAV" localSheetId="0" hidden="1">'[6]VS P-Q'!#REF!</definedName>
    <definedName name="__123Graph_LBL_BPOWERSAV" localSheetId="2" hidden="1">'[6]VS P-Q'!#REF!</definedName>
    <definedName name="__123Graph_LBL_BPOWERSAV" hidden="1">'[6]VS P-Q'!#REF!</definedName>
    <definedName name="__123Graph_LBL_C" localSheetId="1" hidden="1">'[6]VS P-Q'!#REF!</definedName>
    <definedName name="__123Graph_LBL_C" localSheetId="0" hidden="1">'[6]VS P-Q'!#REF!</definedName>
    <definedName name="__123Graph_LBL_C" localSheetId="2" hidden="1">'[6]VS P-Q'!#REF!</definedName>
    <definedName name="__123Graph_LBL_C" hidden="1">'[6]VS P-Q'!#REF!</definedName>
    <definedName name="__123Graph_LBL_CPOWERSAV" localSheetId="1" hidden="1">'[6]VS P-Q'!#REF!</definedName>
    <definedName name="__123Graph_LBL_CPOWERSAV" localSheetId="0" hidden="1">'[6]VS P-Q'!#REF!</definedName>
    <definedName name="__123Graph_LBL_CPOWERSAV" localSheetId="2" hidden="1">'[6]VS P-Q'!#REF!</definedName>
    <definedName name="__123Graph_LBL_CPOWERSAV" hidden="1">'[6]VS P-Q'!#REF!</definedName>
    <definedName name="__123Graph_LBL_D" localSheetId="1" hidden="1">'[6]VS P-Q'!#REF!</definedName>
    <definedName name="__123Graph_LBL_D" localSheetId="0" hidden="1">'[6]VS P-Q'!#REF!</definedName>
    <definedName name="__123Graph_LBL_D" localSheetId="2" hidden="1">'[6]VS P-Q'!#REF!</definedName>
    <definedName name="__123Graph_LBL_D" hidden="1">'[6]VS P-Q'!#REF!</definedName>
    <definedName name="__123Graph_LBL_DPOWERSAV" localSheetId="1" hidden="1">'[6]VS P-Q'!#REF!</definedName>
    <definedName name="__123Graph_LBL_DPOWERSAV" localSheetId="0" hidden="1">'[6]VS P-Q'!#REF!</definedName>
    <definedName name="__123Graph_LBL_DPOWERSAV" localSheetId="2" hidden="1">'[6]VS P-Q'!#REF!</definedName>
    <definedName name="__123Graph_LBL_DPOWERSAV" hidden="1">'[6]VS P-Q'!#REF!</definedName>
    <definedName name="__123Graph_LBL_E" hidden="1">[4]CAL1!$V$10:$V$37</definedName>
    <definedName name="__123Graph_X" localSheetId="1" hidden="1">[2]금융!#REF!</definedName>
    <definedName name="__123Graph_X" localSheetId="0" hidden="1">[2]금융!#REF!</definedName>
    <definedName name="__123Graph_X" localSheetId="2" hidden="1">[2]금융!#REF!</definedName>
    <definedName name="__123Graph_X" hidden="1">[2]금융!#REF!</definedName>
    <definedName name="__123Graph_XCHART1" localSheetId="1" hidden="1">'[3]입찰내역 발주처 양식'!#REF!</definedName>
    <definedName name="__123Graph_XCHART1" localSheetId="0" hidden="1">'[3]입찰내역 발주처 양식'!#REF!</definedName>
    <definedName name="__123Graph_XCHART1" localSheetId="2" hidden="1">'[3]입찰내역 발주처 양식'!#REF!</definedName>
    <definedName name="__123Graph_XCHART1" hidden="1">'[3]입찰내역 발주처 양식'!#REF!</definedName>
    <definedName name="__123Graph_XCURRENT" localSheetId="1" hidden="1">'[3]입찰내역 발주처 양식'!#REF!</definedName>
    <definedName name="__123Graph_XCURRENT" localSheetId="0" hidden="1">'[3]입찰내역 발주처 양식'!#REF!</definedName>
    <definedName name="__123Graph_XCURRENT" localSheetId="2" hidden="1">'[3]입찰내역 발주처 양식'!#REF!</definedName>
    <definedName name="__123Graph_XCURRENT" hidden="1">'[3]입찰내역 발주처 양식'!#REF!</definedName>
    <definedName name="__123Graph_XPOWERSAV" hidden="1">[4]CAL1!$B$10:$B$39</definedName>
    <definedName name="__IntlFixup" hidden="1">TRUE</definedName>
    <definedName name="__key2" localSheetId="1" hidden="1">#REF!</definedName>
    <definedName name="__key2" localSheetId="0" hidden="1">#REF!</definedName>
    <definedName name="__key2" localSheetId="2" hidden="1">#REF!</definedName>
    <definedName name="__key2" hidden="1">#REF!</definedName>
    <definedName name="__WRM1" localSheetId="0" hidden="1">{#N/A,#N/A,TRUE,"TITLE"}</definedName>
    <definedName name="__WRM1" hidden="1">{#N/A,#N/A,TRUE,"TITLE"}</definedName>
    <definedName name="_10000" localSheetId="1" hidden="1">#REF!</definedName>
    <definedName name="_10000" localSheetId="0" hidden="1">#REF!</definedName>
    <definedName name="_10000" localSheetId="2" hidden="1">#REF!</definedName>
    <definedName name="_10000" hidden="1">#REF!</definedName>
    <definedName name="_3_0__123Grap" localSheetId="1" hidden="1">[2]금융!#REF!</definedName>
    <definedName name="_3_0__123Grap" localSheetId="0" hidden="1">[2]금융!#REF!</definedName>
    <definedName name="_3_0__123Grap" localSheetId="2" hidden="1">[2]금융!#REF!</definedName>
    <definedName name="_3_0__123Grap" hidden="1">[2]금융!#REF!</definedName>
    <definedName name="_7_0__123Grap" localSheetId="1" hidden="1">#REF!</definedName>
    <definedName name="_7_0__123Grap" localSheetId="0" hidden="1">#REF!</definedName>
    <definedName name="_7_0__123Grap" localSheetId="2" hidden="1">#REF!</definedName>
    <definedName name="_7_0__123Grap" hidden="1">#REF!</definedName>
    <definedName name="_Dist_Bin" localSheetId="1" hidden="1">#REF!</definedName>
    <definedName name="_Dist_Bin" localSheetId="0" hidden="1">#REF!</definedName>
    <definedName name="_Dist_Bin" localSheetId="2" hidden="1">#REF!</definedName>
    <definedName name="_Dist_Bin" hidden="1">#REF!</definedName>
    <definedName name="_Dist_Values" localSheetId="1" hidden="1">#REF!</definedName>
    <definedName name="_Dist_Values" localSheetId="0" hidden="1">#REF!</definedName>
    <definedName name="_Dist_Values" localSheetId="2" hidden="1">#REF!</definedName>
    <definedName name="_Dist_Values" hidden="1">#REF!</definedName>
    <definedName name="_Fill" localSheetId="1" hidden="1">#REF!</definedName>
    <definedName name="_Fill" localSheetId="0" hidden="1">#REF!</definedName>
    <definedName name="_Fill" localSheetId="2" hidden="1">#REF!</definedName>
    <definedName name="_Fill" hidden="1">#REF!</definedName>
    <definedName name="_fill2" localSheetId="1" hidden="1">[8]음료실행!#REF!</definedName>
    <definedName name="_fill2" localSheetId="0" hidden="1">[8]음료실행!#REF!</definedName>
    <definedName name="_fill2" localSheetId="2" hidden="1">[8]음료실행!#REF!</definedName>
    <definedName name="_fill2" hidden="1">[8]음료실행!#REF!</definedName>
    <definedName name="_xlnm._FilterDatabase" localSheetId="1" hidden="1">' 갑지-1'!$A$6:$M$36</definedName>
    <definedName name="_xlnm._FilterDatabase" localSheetId="0" hidden="1">[9]인사자료총집계!#REF!</definedName>
    <definedName name="_xlnm._FilterDatabase" localSheetId="2" hidden="1">상세!$A$4:$M$473</definedName>
    <definedName name="_xlnm._FilterDatabase" hidden="1">[9]인사자료총집계!#REF!</definedName>
    <definedName name="_Key1" localSheetId="1" hidden="1">#REF!</definedName>
    <definedName name="_Key1" localSheetId="0" hidden="1">#REF!</definedName>
    <definedName name="_Key1" localSheetId="2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localSheetId="2" hidden="1">#REF!</definedName>
    <definedName name="_Key2" hidden="1">#REF!</definedName>
    <definedName name="_kfkf" localSheetId="1" hidden="1">#REF!</definedName>
    <definedName name="_kfkf" localSheetId="0" hidden="1">#REF!</definedName>
    <definedName name="_kfkf" localSheetId="2" hidden="1">#REF!</definedName>
    <definedName name="_kfkf" hidden="1">#REF!</definedName>
    <definedName name="_MatInverse_In" localSheetId="1" hidden="1">#REF!</definedName>
    <definedName name="_MatInverse_In" localSheetId="0" hidden="1">#REF!</definedName>
    <definedName name="_MatInverse_In" localSheetId="2" hidden="1">#REF!</definedName>
    <definedName name="_MatInverse_In" hidden="1">#REF!</definedName>
    <definedName name="_MatMult_A" localSheetId="1" hidden="1">#REF!</definedName>
    <definedName name="_MatMult_A" localSheetId="0" hidden="1">#REF!</definedName>
    <definedName name="_MatMult_A" localSheetId="2" hidden="1">#REF!</definedName>
    <definedName name="_MatMult_A" hidden="1">#REF!</definedName>
    <definedName name="_MatMult_AxB" localSheetId="1" hidden="1">#REF!</definedName>
    <definedName name="_MatMult_AxB" localSheetId="0" hidden="1">#REF!</definedName>
    <definedName name="_MatMult_AxB" localSheetId="2" hidden="1">#REF!</definedName>
    <definedName name="_MatMult_AxB" hidden="1">#REF!</definedName>
    <definedName name="_MatMult_B" localSheetId="1" hidden="1">#REF!</definedName>
    <definedName name="_MatMult_B" localSheetId="0" hidden="1">#REF!</definedName>
    <definedName name="_MatMult_B" localSheetId="2" hidden="1">#REF!</definedName>
    <definedName name="_MatMult_B" hidden="1">#REF!</definedName>
    <definedName name="_Order1" hidden="1">0</definedName>
    <definedName name="_Order2" hidden="1">255</definedName>
    <definedName name="_Parse_Out" localSheetId="1" hidden="1">#REF!</definedName>
    <definedName name="_Parse_Out" localSheetId="0" hidden="1">#REF!</definedName>
    <definedName name="_Parse_Out" localSheetId="2" hidden="1">#REF!</definedName>
    <definedName name="_Parse_Out" hidden="1">#REF!</definedName>
    <definedName name="_Regression_Int" hidden="1">1</definedName>
    <definedName name="_Sort" localSheetId="1" hidden="1">#REF!</definedName>
    <definedName name="_Sort" localSheetId="0" hidden="1">#REF!</definedName>
    <definedName name="_Sort" localSheetId="2" hidden="1">#REF!</definedName>
    <definedName name="_Sort" hidden="1">#REF!</definedName>
    <definedName name="_Table1_In1" localSheetId="1" hidden="1">#REF!</definedName>
    <definedName name="_Table1_In1" localSheetId="0" hidden="1">#REF!</definedName>
    <definedName name="_Table1_In1" localSheetId="2" hidden="1">#REF!</definedName>
    <definedName name="_Table1_In1" hidden="1">#REF!</definedName>
    <definedName name="_Table1_Out" localSheetId="1" hidden="1">#REF!</definedName>
    <definedName name="_Table1_Out" localSheetId="0" hidden="1">#REF!</definedName>
    <definedName name="_Table1_Out" localSheetId="2" hidden="1">#REF!</definedName>
    <definedName name="_Table1_Out" hidden="1">#REF!</definedName>
    <definedName name="_woogi" localSheetId="1" hidden="1">#REF!</definedName>
    <definedName name="_woogi" localSheetId="0" hidden="1">#REF!</definedName>
    <definedName name="_woogi" localSheetId="2" hidden="1">#REF!</definedName>
    <definedName name="_woogi" hidden="1">#REF!</definedName>
    <definedName name="_woogi2" localSheetId="1" hidden="1">#REF!</definedName>
    <definedName name="_woogi2" localSheetId="0" hidden="1">#REF!</definedName>
    <definedName name="_woogi2" localSheetId="2" hidden="1">#REF!</definedName>
    <definedName name="_woogi2" hidden="1">#REF!</definedName>
    <definedName name="_woogi24" localSheetId="1" hidden="1">#REF!</definedName>
    <definedName name="_woogi24" localSheetId="0" hidden="1">#REF!</definedName>
    <definedName name="_woogi24" localSheetId="2" hidden="1">#REF!</definedName>
    <definedName name="_woogi24" hidden="1">#REF!</definedName>
    <definedName name="_woogi3" localSheetId="1" hidden="1">#REF!</definedName>
    <definedName name="_woogi3" localSheetId="0" hidden="1">#REF!</definedName>
    <definedName name="_woogi3" localSheetId="2" hidden="1">#REF!</definedName>
    <definedName name="_woogi3" hidden="1">#REF!</definedName>
    <definedName name="_재ㅐ햐" localSheetId="1" hidden="1">#REF!</definedName>
    <definedName name="_재ㅐ햐" localSheetId="0" hidden="1">#REF!</definedName>
    <definedName name="_재ㅐ햐" localSheetId="2" hidden="1">#REF!</definedName>
    <definedName name="_재ㅐ햐" hidden="1">#REF!</definedName>
    <definedName name="ab" hidden="1">1</definedName>
    <definedName name="abcd" localSheetId="1" hidden="1">[27]노임이!#REF!</definedName>
    <definedName name="abcd" localSheetId="0" hidden="1">[27]노임이!#REF!</definedName>
    <definedName name="abcd" localSheetId="2" hidden="1">[27]노임이!#REF!</definedName>
    <definedName name="abcd" hidden="1">[27]노임이!#REF!</definedName>
    <definedName name="Access_Button" hidden="1">"민족문화관내역_건축__KDF_List"</definedName>
    <definedName name="AccessDatabase" hidden="1">"D:\공무jaje\98년품의-수불\98146.mdb"</definedName>
    <definedName name="ACDA" localSheetId="1" hidden="1">[28]GAEYO!#REF!</definedName>
    <definedName name="ACDA" localSheetId="0" hidden="1">[28]GAEYO!#REF!</definedName>
    <definedName name="ACDA" localSheetId="2" hidden="1">[28]GAEYO!#REF!</definedName>
    <definedName name="ACDA" hidden="1">[28]GAEYO!#REF!</definedName>
    <definedName name="ADC" localSheetId="1" hidden="1">#REF!</definedName>
    <definedName name="ADC" localSheetId="0" hidden="1">#REF!</definedName>
    <definedName name="ADC" localSheetId="2" hidden="1">#REF!</definedName>
    <definedName name="ADC" hidden="1">#REF!</definedName>
    <definedName name="AD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HSA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HSA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GA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GA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nscount" hidden="1">1</definedName>
    <definedName name="aq" localSheetId="0" hidden="1">{#N/A,#N/A,FALSE,"CCTV"}</definedName>
    <definedName name="aq" hidden="1">{#N/A,#N/A,FALSE,"CCTV"}</definedName>
    <definedName name="ASDA" localSheetId="1" hidden="1">#REF!</definedName>
    <definedName name="ASDA" localSheetId="0" hidden="1">#REF!</definedName>
    <definedName name="ASDA" localSheetId="2" hidden="1">#REF!</definedName>
    <definedName name="ASDA" hidden="1">#REF!</definedName>
    <definedName name="asdc" localSheetId="0" hidden="1">{#N/A,#N/A,FALSE,"변경관리예산";#N/A,#N/A,FALSE,"변경장비예산";#N/A,#N/A,FALSE,"변경준설예산";#N/A,#N/A,FALSE,"변경철구예산"}</definedName>
    <definedName name="asdc" hidden="1">{#N/A,#N/A,FALSE,"변경관리예산";#N/A,#N/A,FALSE,"변경장비예산";#N/A,#N/A,FALSE,"변경준설예산";#N/A,#N/A,FALSE,"변경철구예산"}</definedName>
    <definedName name="asdf" localSheetId="0" hidden="1">{#N/A,#N/A,FALSE,"Sheet1"}</definedName>
    <definedName name="asdf" hidden="1">{#N/A,#N/A,FALSE,"Sheet1"}</definedName>
    <definedName name="AS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FDF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FDF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RTHRTA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RTHRTA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HJ" localSheetId="0" hidden="1">{#N/A,#N/A,FALSE,"Sheet6"}</definedName>
    <definedName name="BHJ" hidden="1">{#N/A,#N/A,FALSE,"Sheet6"}</definedName>
    <definedName name="BI" localSheetId="0" hidden="1">{#N/A,#N/A,FALSE,"이태원철근"}</definedName>
    <definedName name="BI" hidden="1">{#N/A,#N/A,FALSE,"이태원철근"}</definedName>
    <definedName name="BM" localSheetId="1" hidden="1">#REF!</definedName>
    <definedName name="BM" localSheetId="0" hidden="1">#REF!</definedName>
    <definedName name="BM" localSheetId="2" hidden="1">#REF!</definedName>
    <definedName name="BM" hidden="1">#REF!</definedName>
    <definedName name="BTHRT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THRT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vx" localSheetId="0" hidden="1">{#N/A,#N/A,FALSE,"토공2"}</definedName>
    <definedName name="bvx" hidden="1">{#N/A,#N/A,FALSE,"토공2"}</definedName>
    <definedName name="CCC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F요인" localSheetId="1" hidden="1">#REF!</definedName>
    <definedName name="CF요인" localSheetId="0" hidden="1">#REF!</definedName>
    <definedName name="CF요인" localSheetId="2" hidden="1">#REF!</definedName>
    <definedName name="CF요인" hidden="1">#REF!</definedName>
    <definedName name="CHO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IP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I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vc" localSheetId="1" hidden="1">#REF!</definedName>
    <definedName name="cvc" localSheetId="0" hidden="1">#REF!</definedName>
    <definedName name="cvc" localSheetId="2" hidden="1">#REF!</definedName>
    <definedName name="cvc" hidden="1">#REF!</definedName>
    <definedName name="d" localSheetId="0" hidden="1">{#N/A,#N/A,FALSE,"지침";#N/A,#N/A,FALSE,"환경분석";#N/A,#N/A,FALSE,"Sheet16"}</definedName>
    <definedName name="d" hidden="1">{#N/A,#N/A,FALSE,"지침";#N/A,#N/A,FALSE,"환경분석";#N/A,#N/A,FALSE,"Sheet16"}</definedName>
    <definedName name="D021161명지남양주" localSheetId="1" hidden="1">#REF!</definedName>
    <definedName name="D021161명지남양주" localSheetId="0" hidden="1">#REF!</definedName>
    <definedName name="D021161명지남양주" localSheetId="2" hidden="1">#REF!</definedName>
    <definedName name="D021161명지남양주" hidden="1">#REF!</definedName>
    <definedName name="DAS" localSheetId="0" hidden="1">{#N/A,#N/A,FALSE,"지침";#N/A,#N/A,FALSE,"환경분석";#N/A,#N/A,FALSE,"Sheet16"}</definedName>
    <definedName name="DAS" hidden="1">{#N/A,#N/A,FALSE,"지침";#N/A,#N/A,FALSE,"환경분석";#N/A,#N/A,FALSE,"Sheet16"}</definedName>
    <definedName name="dataww" localSheetId="1" hidden="1">#REF!</definedName>
    <definedName name="dataww" localSheetId="0" hidden="1">#REF!</definedName>
    <definedName name="dataww" localSheetId="2" hidden="1">#REF!</definedName>
    <definedName name="dataww" hidden="1">#REF!</definedName>
    <definedName name="dc" localSheetId="0" hidden="1">{#N/A,#N/A,FALSE,"사업총괄";#N/A,#N/A,FALSE,"장비사업";#N/A,#N/A,FALSE,"철구사업";#N/A,#N/A,FALSE,"준설사업"}</definedName>
    <definedName name="dc" hidden="1">{#N/A,#N/A,FALSE,"사업총괄";#N/A,#N/A,FALSE,"장비사업";#N/A,#N/A,FALSE,"철구사업";#N/A,#N/A,FALSE,"준설사업"}</definedName>
    <definedName name="DD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dd" localSheetId="0" hidden="1">{#N/A,#N/A,FALSE,"CCTV"}</definedName>
    <definedName name="dddd" hidden="1">{#N/A,#N/A,FALSE,"CCTV"}</definedName>
    <definedName name="ddddd" localSheetId="1" hidden="1">#REF!</definedName>
    <definedName name="ddddd" localSheetId="0" hidden="1">#REF!</definedName>
    <definedName name="ddddd" localSheetId="2" hidden="1">#REF!</definedName>
    <definedName name="ddddd" hidden="1">#REF!</definedName>
    <definedName name="dddddddd" localSheetId="1" hidden="1">#REF!</definedName>
    <definedName name="dddddddd" localSheetId="0" hidden="1">#REF!</definedName>
    <definedName name="dddddddd" localSheetId="2" hidden="1">#REF!</definedName>
    <definedName name="dddddddd" hidden="1">#REF!</definedName>
    <definedName name="DDFR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" localSheetId="1" hidden="1">#REF!</definedName>
    <definedName name="DF" localSheetId="0" hidden="1">#REF!</definedName>
    <definedName name="DF" localSheetId="2" hidden="1">#REF!</definedName>
    <definedName name="DF" hidden="1">#REF!</definedName>
    <definedName name="DFEE" localSheetId="1" hidden="1">#REF!</definedName>
    <definedName name="DFEE" localSheetId="0" hidden="1">#REF!</definedName>
    <definedName name="DFEE" localSheetId="2" hidden="1">#REF!</definedName>
    <definedName name="DFEE" hidden="1">#REF!</definedName>
    <definedName name="DFG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T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T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jdlof" localSheetId="0" hidden="1">{#N/A,#N/A,FALSE,"지침";#N/A,#N/A,FALSE,"환경분석";#N/A,#N/A,FALSE,"Sheet16"}</definedName>
    <definedName name="djdlof" hidden="1">{#N/A,#N/A,FALSE,"지침";#N/A,#N/A,FALSE,"환경분석";#N/A,#N/A,FALSE,"Sheet16"}</definedName>
    <definedName name="djnf" localSheetId="0" hidden="1">{#N/A,#N/A,FALSE,"지침";#N/A,#N/A,FALSE,"환경분석";#N/A,#N/A,FALSE,"Sheet16"}</definedName>
    <definedName name="djnf" hidden="1">{#N/A,#N/A,FALSE,"지침";#N/A,#N/A,FALSE,"환경분석";#N/A,#N/A,FALSE,"Sheet16"}</definedName>
    <definedName name="DK" localSheetId="0" hidden="1">{#N/A,#N/A,FALSE,"주간공정";#N/A,#N/A,FALSE,"주간보고";#N/A,#N/A,FALSE,"주간공정표"}</definedName>
    <definedName name="DK" hidden="1">{#N/A,#N/A,FALSE,"주간공정";#N/A,#N/A,FALSE,"주간보고";#N/A,#N/A,FALSE,"주간공정표"}</definedName>
    <definedName name="DKD" localSheetId="0" hidden="1">{#N/A,#N/A,FALSE,"주간공정";#N/A,#N/A,FALSE,"주간보고";#N/A,#N/A,FALSE,"주간공정표"}</definedName>
    <definedName name="DKD" hidden="1">{#N/A,#N/A,FALSE,"주간공정";#N/A,#N/A,FALSE,"주간보고";#N/A,#N/A,FALSE,"주간공정표"}</definedName>
    <definedName name="dkdkjf" localSheetId="1" hidden="1">[10]노임이!#REF!</definedName>
    <definedName name="dkdkjf" localSheetId="0" hidden="1">[10]노임이!#REF!</definedName>
    <definedName name="dkdkjf" localSheetId="2" hidden="1">[10]노임이!#REF!</definedName>
    <definedName name="dkdkjf" hidden="1">[10]노임이!#REF!</definedName>
    <definedName name="DKSG" localSheetId="1" hidden="1">#REF!</definedName>
    <definedName name="DKSG" localSheetId="0" hidden="1">#REF!</definedName>
    <definedName name="DKSG" localSheetId="2" hidden="1">#REF!</definedName>
    <definedName name="DKSG" hidden="1">#REF!</definedName>
    <definedName name="DKSGMLWJD" localSheetId="1" hidden="1">#REF!</definedName>
    <definedName name="DKSGMLWJD" localSheetId="0" hidden="1">#REF!</definedName>
    <definedName name="DKSGMLWJD" localSheetId="2" hidden="1">#REF!</definedName>
    <definedName name="DKSGMLWJD" hidden="1">#REF!</definedName>
    <definedName name="dks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R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R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" localSheetId="0" hidden="1">{#N/A,#N/A,FALSE,"예상손익";#N/A,#N/A,FALSE,"관리분석";#N/A,#N/A,FALSE,"장비분석";#N/A,#N/A,FALSE,"준설분석";#N/A,#N/A,FALSE,"철구분석"}</definedName>
    <definedName name="DL" hidden="1">{#N/A,#N/A,FALSE,"예상손익";#N/A,#N/A,FALSE,"관리분석";#N/A,#N/A,FALSE,"장비분석";#N/A,#N/A,FALSE,"준설분석";#N/A,#N/A,FALSE,"철구분석"}</definedName>
    <definedName name="DLD" localSheetId="0" hidden="1">{#N/A,#N/A,FALSE,"주간공정";#N/A,#N/A,FALSE,"주간보고";#N/A,#N/A,FALSE,"주간공정표"}</definedName>
    <definedName name="DLD" hidden="1">{#N/A,#N/A,FALSE,"주간공정";#N/A,#N/A,FALSE,"주간보고";#N/A,#N/A,FALSE,"주간공정표"}</definedName>
    <definedName name="dldld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dld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dyddn" localSheetId="0" hidden="1">{"'별표'!$N$220"}</definedName>
    <definedName name="dldyddn" hidden="1">{"'별표'!$N$220"}</definedName>
    <definedName name="dlff" localSheetId="0" hidden="1">{#N/A,#N/A,FALSE,"운반시간"}</definedName>
    <definedName name="dlff" hidden="1">{#N/A,#N/A,FALSE,"운반시간"}</definedName>
    <definedName name="dn" localSheetId="0" hidden="1">{#N/A,#N/A,FALSE,"혼합골재"}</definedName>
    <definedName name="dn" hidden="1">{#N/A,#N/A,FALSE,"혼합골재"}</definedName>
    <definedName name="Dp" localSheetId="1" hidden="1">#REF!</definedName>
    <definedName name="Dp" localSheetId="0" hidden="1">#REF!</definedName>
    <definedName name="Dp" localSheetId="2" hidden="1">#REF!</definedName>
    <definedName name="Dp" hidden="1">#REF!</definedName>
    <definedName name="dsdsd" localSheetId="0" hidden="1">{#N/A,#N/A,FALSE,"운반시간"}</definedName>
    <definedName name="dsdsd" hidden="1">{#N/A,#N/A,FALSE,"운반시간"}</definedName>
    <definedName name="DSFGSD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FGSD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gfggg" localSheetId="1" hidden="1">#REF!</definedName>
    <definedName name="dsgfggg" localSheetId="0" hidden="1">#REF!</definedName>
    <definedName name="dsgfggg" localSheetId="2" hidden="1">#REF!</definedName>
    <definedName name="dsgfggg" hidden="1">#REF!</definedName>
    <definedName name="dtㅕㅏㅡㅕㅛ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ㅕㅏㅡㅕㅛ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udwhd" localSheetId="0" hidden="1">{#N/A,#N/A,FALSE,"CCTV"}</definedName>
    <definedName name="dudwhd" hidden="1">{#N/A,#N/A,FALSE,"CCTV"}</definedName>
    <definedName name="ED" localSheetId="1" hidden="1">#REF!</definedName>
    <definedName name="ED" localSheetId="0" hidden="1">#REF!</definedName>
    <definedName name="ED" localSheetId="2" hidden="1">#REF!</definedName>
    <definedName name="ED" hidden="1">#REF!</definedName>
    <definedName name="edssqq" localSheetId="0" hidden="1">{#N/A,#N/A,FALSE,"혼합골재"}</definedName>
    <definedName name="edssqq" hidden="1">{#N/A,#N/A,FALSE,"혼합골재"}</definedName>
    <definedName name="ee" localSheetId="0" hidden="1">{#N/A,#N/A,FALSE,"단가표지"}</definedName>
    <definedName name="ee" hidden="1">{#N/A,#N/A,FALSE,"단가표지"}</definedName>
    <definedName name="ee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.송운" localSheetId="0" hidden="1">{#N/A,#N/A,FALSE,"운반시간"}</definedName>
    <definedName name="eee.송운" hidden="1">{#N/A,#N/A,FALSE,"운반시간"}</definedName>
    <definedName name="eeee" localSheetId="0" hidden="1">{#N/A,#N/A,FALSE,"사업총괄";#N/A,#N/A,FALSE,"장비사업";#N/A,#N/A,FALSE,"철구사업";#N/A,#N/A,FALSE,"준설사업"}</definedName>
    <definedName name="eeee" hidden="1">{#N/A,#N/A,FALSE,"사업총괄";#N/A,#N/A,FALSE,"장비사업";#N/A,#N/A,FALSE,"철구사업";#N/A,#N/A,FALSE,"준설사업"}</definedName>
    <definedName name="EII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II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K" localSheetId="1" hidden="1">#REF!</definedName>
    <definedName name="EK" localSheetId="0" hidden="1">#REF!</definedName>
    <definedName name="EK" localSheetId="2" hidden="1">#REF!</definedName>
    <definedName name="EK" hidden="1">#REF!</definedName>
    <definedName name="ELELLELEELE" localSheetId="0" hidden="1">{#N/A,#N/A,FALSE,"주간공정";#N/A,#N/A,FALSE,"주간보고";#N/A,#N/A,FALSE,"주간공정표"}</definedName>
    <definedName name="ELELLELEELE" hidden="1">{#N/A,#N/A,FALSE,"주간공정";#N/A,#N/A,FALSE,"주간보고";#N/A,#N/A,FALSE,"주간공정표"}</definedName>
    <definedName name="en" localSheetId="0" hidden="1">{#N/A,#N/A,FALSE,"변경관리예산";#N/A,#N/A,FALSE,"변경장비예산";#N/A,#N/A,FALSE,"변경준설예산";#N/A,#N/A,FALSE,"변경철구예산"}</definedName>
    <definedName name="en" hidden="1">{#N/A,#N/A,FALSE,"변경관리예산";#N/A,#N/A,FALSE,"변경장비예산";#N/A,#N/A,FALSE,"변경준설예산";#N/A,#N/A,FALSE,"변경철구예산"}</definedName>
    <definedName name="ENJ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otkd" localSheetId="1" hidden="1">#REF!</definedName>
    <definedName name="eotkd" localSheetId="0" hidden="1">#REF!</definedName>
    <definedName name="eotkd" localSheetId="2" hidden="1">#REF!</definedName>
    <definedName name="eotkd" hidden="1">#REF!</definedName>
    <definedName name="ERQ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Q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T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T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WE" localSheetId="0" hidden="1">{#N/A,#N/A,FALSE,"Sheet6"}</definedName>
    <definedName name="ETWE" hidden="1">{#N/A,#N/A,FALSE,"Sheet6"}</definedName>
    <definedName name="ETWEGF" localSheetId="0" hidden="1">{#N/A,#N/A,FALSE,"Sheet6"}</definedName>
    <definedName name="ETWEGF" hidden="1">{#N/A,#N/A,FALSE,"Sheet6"}</definedName>
    <definedName name="EW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W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WTWV" localSheetId="0" hidden="1">{#N/A,#N/A,FALSE,"Sheet6"}</definedName>
    <definedName name="EWTWV" hidden="1">{#N/A,#N/A,FALSE,"Sheet6"}</definedName>
    <definedName name="EYITT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YITT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afs" localSheetId="0" hidden="1">{#N/A,#N/A,FALSE,"교리2"}</definedName>
    <definedName name="fafs" hidden="1">{#N/A,#N/A,FALSE,"교리2"}</definedName>
    <definedName name="ff" hidden="1">0</definedName>
    <definedName name="FFF" localSheetId="0" hidden="1">{#N/A,#N/A,FALSE,"교리2"}</definedName>
    <definedName name="FFF" hidden="1">{#N/A,#N/A,FALSE,"교리2"}</definedName>
    <definedName name="F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" localSheetId="1" hidden="1">#REF!</definedName>
    <definedName name="fg" localSheetId="0" hidden="1">#REF!</definedName>
    <definedName name="fg" localSheetId="2" hidden="1">#REF!</definedName>
    <definedName name="fg" hidden="1">#REF!</definedName>
    <definedName name="FGASDR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ASDR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ds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GH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GH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jft" localSheetId="0" hidden="1">{#N/A,#N/A,FALSE,"Sheet6"}</definedName>
    <definedName name="fgjft" hidden="1">{#N/A,#N/A,FALSE,"Sheet6"}</definedName>
    <definedName name="fgㅗ" localSheetId="0" hidden="1">{#N/A,#N/A,FALSE,"집계표"}</definedName>
    <definedName name="fgㅗ" hidden="1">{#N/A,#N/A,FALSE,"집계표"}</definedName>
    <definedName name="FKFKFKFKF" localSheetId="0" hidden="1">{#N/A,#N/A,FALSE,"주간공정";#N/A,#N/A,FALSE,"주간보고";#N/A,#N/A,FALSE,"주간공정표"}</definedName>
    <definedName name="FKFKFKFKF" hidden="1">{#N/A,#N/A,FALSE,"주간공정";#N/A,#N/A,FALSE,"주간보고";#N/A,#N/A,FALSE,"주간공정표"}</definedName>
    <definedName name="FKGJASDL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KGJASDL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ㅗㅎ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ㅗㅎ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DBBND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DBBN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EMCO" localSheetId="1" hidden="1">#REF!</definedName>
    <definedName name="GEMCO" localSheetId="0" hidden="1">#REF!</definedName>
    <definedName name="GEMCO" localSheetId="2" hidden="1">#REF!</definedName>
    <definedName name="GEMCO" hidden="1">#REF!</definedName>
    <definedName name="GEMCO1" localSheetId="1" hidden="1">#REF!</definedName>
    <definedName name="GEMCO1" localSheetId="0" hidden="1">#REF!</definedName>
    <definedName name="GEMCO1" localSheetId="2" hidden="1">#REF!</definedName>
    <definedName name="GEMCO1" hidden="1">#REF!</definedName>
    <definedName name="gfgdfg" localSheetId="1" hidden="1">[29]차액보증!#REF!</definedName>
    <definedName name="gfgdfg" localSheetId="0" hidden="1">[29]차액보증!#REF!</definedName>
    <definedName name="gfgdfg" localSheetId="2" hidden="1">[29]차액보증!#REF!</definedName>
    <definedName name="gfgdfg" hidden="1">[29]차액보증!#REF!</definedName>
    <definedName name="G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jf" localSheetId="0" hidden="1">{#N/A,#N/A,FALSE,"Sheet6"}</definedName>
    <definedName name="gfjf" hidden="1">{#N/A,#N/A,FALSE,"Sheet6"}</definedName>
    <definedName name="GFㄹㅇ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ㄹ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er" localSheetId="0" hidden="1">{#N/A,#N/A,FALSE,"지침";#N/A,#N/A,FALSE,"환경분석";#N/A,#N/A,FALSE,"Sheet16"}</definedName>
    <definedName name="ggger" hidden="1">{#N/A,#N/A,FALSE,"지침";#N/A,#N/A,FALSE,"환경분석";#N/A,#N/A,FALSE,"Sheet16"}</definedName>
    <definedName name="gggg" localSheetId="0" hidden="1">{#N/A,#N/A,FALSE,"지침";#N/A,#N/A,FALSE,"환경분석";#N/A,#N/A,FALSE,"Sheet16"}</definedName>
    <definedName name="gggg" hidden="1">{#N/A,#N/A,FALSE,"지침";#N/A,#N/A,FALSE,"환경분석";#N/A,#N/A,FALSE,"Sheet16"}</definedName>
    <definedName name="ggggggg" localSheetId="0" hidden="1">{#N/A,#N/A,FALSE,"전력간선"}</definedName>
    <definedName name="ggggggg" hidden="1">{#N/A,#N/A,FALSE,"전력간선"}</definedName>
    <definedName name="GGGT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fj" localSheetId="0" hidden="1">{#N/A,#N/A,FALSE,"Sheet6"}</definedName>
    <definedName name="ghfj" hidden="1">{#N/A,#N/A,FALSE,"Sheet6"}</definedName>
    <definedName name="GHFSD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FSD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GF" localSheetId="0" hidden="1">{#N/A,#N/A,FALSE,"Sheet6"}</definedName>
    <definedName name="GHGF" hidden="1">{#N/A,#N/A,FALSE,"Sheet6"}</definedName>
    <definedName name="GHK" localSheetId="0" hidden="1">{"'용역비'!$A$4:$C$8"}</definedName>
    <definedName name="GHK" hidden="1">{"'용역비'!$A$4:$C$8"}</definedName>
    <definedName name="GHTRH" localSheetId="0" hidden="1">{#N/A,#N/A,FALSE,"Sheet6"}</definedName>
    <definedName name="GHTRH" hidden="1">{#N/A,#N/A,FALSE,"Sheet6"}</definedName>
    <definedName name="GHㅓㅇ허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ㅓㅇ허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MLWD" localSheetId="1" hidden="1">#REF!</definedName>
    <definedName name="GMLWD" localSheetId="0" hidden="1">#REF!</definedName>
    <definedName name="GMLWD" localSheetId="2" hidden="1">#REF!</definedName>
    <definedName name="GMLWD" hidden="1">#REF!</definedName>
    <definedName name="grew" localSheetId="1" hidden="1">#REF!</definedName>
    <definedName name="grew" localSheetId="0" hidden="1">#REF!</definedName>
    <definedName name="grew" localSheetId="2" hidden="1">#REF!</definedName>
    <definedName name="grew" hidden="1">#REF!</definedName>
    <definedName name="gsda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sd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SETGS" localSheetId="0" hidden="1">{#N/A,#N/A,FALSE,"Sheet6"}</definedName>
    <definedName name="GSETGS" hidden="1">{#N/A,#N/A,FALSE,"Sheet6"}</definedName>
    <definedName name="gshsdgf" localSheetId="0" hidden="1">{#N/A,#N/A,FALSE,"부대2"}</definedName>
    <definedName name="gshsdgf" hidden="1">{#N/A,#N/A,FALSE,"부대2"}</definedName>
    <definedName name="guo" localSheetId="0" hidden="1">{#N/A,#N/A,FALSE,"Sheet6"}</definedName>
    <definedName name="guo" hidden="1">{#N/A,#N/A,FALSE,"Sheet6"}</definedName>
    <definedName name="GUSTLS" localSheetId="1" hidden="1">#REF!</definedName>
    <definedName name="GUSTLS" localSheetId="0" hidden="1">#REF!</definedName>
    <definedName name="GUSTLS" localSheetId="2" hidden="1">#REF!</definedName>
    <definedName name="GUSTLS" hidden="1">#REF!</definedName>
    <definedName name="ha" localSheetId="0" hidden="1">{#N/A,#N/A,FALSE,"지침";#N/A,#N/A,FALSE,"환경분석";#N/A,#N/A,FALSE,"Sheet16"}</definedName>
    <definedName name="ha" hidden="1">{#N/A,#N/A,FALSE,"지침";#N/A,#N/A,FALSE,"환경분석";#N/A,#N/A,FALSE,"Sheet16"}</definedName>
    <definedName name="han" localSheetId="1" hidden="1">#REF!</definedName>
    <definedName name="han" localSheetId="0" hidden="1">#REF!</definedName>
    <definedName name="han" localSheetId="2" hidden="1">#REF!</definedName>
    <definedName name="han" hidden="1">#REF!</definedName>
    <definedName name="hardwar" localSheetId="1" hidden="1">#REF!</definedName>
    <definedName name="hardwar" localSheetId="0" hidden="1">#REF!</definedName>
    <definedName name="hardwar" localSheetId="2" hidden="1">#REF!</definedName>
    <definedName name="hardwar" hidden="1">#REF!</definedName>
    <definedName name="HARDWAR1" localSheetId="1" hidden="1">#REF!</definedName>
    <definedName name="HARDWAR1" localSheetId="0" hidden="1">#REF!</definedName>
    <definedName name="HARDWAR1" localSheetId="2" hidden="1">#REF!</definedName>
    <definedName name="HARDWAR1" hidden="1">#REF!</definedName>
    <definedName name="hardwar2" localSheetId="1" hidden="1">#REF!</definedName>
    <definedName name="hardwar2" localSheetId="0" hidden="1">#REF!</definedName>
    <definedName name="hardwar2" localSheetId="2" hidden="1">#REF!</definedName>
    <definedName name="hardwar2" hidden="1">#REF!</definedName>
    <definedName name="hdghndgnhg" localSheetId="1" hidden="1">#REF!</definedName>
    <definedName name="hdghndgnhg" localSheetId="0" hidden="1">#REF!</definedName>
    <definedName name="hdghndgnhg" localSheetId="2" hidden="1">#REF!</definedName>
    <definedName name="hdghndgnhg" hidden="1">#REF!</definedName>
    <definedName name="HF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F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j" localSheetId="0" hidden="1">{#N/A,#N/A,FALSE,"Sheet6"}</definedName>
    <definedName name="hgj" hidden="1">{#N/A,#N/A,FALSE,"Sheet6"}</definedName>
    <definedName name="hj" localSheetId="0" hidden="1">{#N/A,#N/A,FALSE,"Sheet6"}</definedName>
    <definedName name="hj" hidden="1">{#N/A,#N/A,FALSE,"Sheet6"}</definedName>
    <definedName name="HTML_CodePage" hidden="1">949</definedName>
    <definedName name="HTML_Control" localSheetId="0" hidden="1">{"'별표'!$N$220"}</definedName>
    <definedName name="HTML_Control" hidden="1">{"'별표'!$N$220"}</definedName>
    <definedName name="HTML_Description" hidden="1">""</definedName>
    <definedName name="HTML_Email" hidden="1">""</definedName>
    <definedName name="HTML_Header" hidden="1">"별표"</definedName>
    <definedName name="HTML_LastUpdate" hidden="1">"98-03-12"</definedName>
    <definedName name="HTML_LineAfter" hidden="1">FALSE</definedName>
    <definedName name="HTML_LineBefore" hidden="1">FALSE</definedName>
    <definedName name="HTML_Name" hidden="1">"나승온"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"한전감포"</definedName>
    <definedName name="HTR" localSheetId="0" hidden="1">{#N/A,#N/A,FALSE,"이태원철근"}</definedName>
    <definedName name="HTR" hidden="1">{#N/A,#N/A,FALSE,"이태원철근"}</definedName>
    <definedName name="Hㅜㄳㄹ허ㅗ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ㅜㄳㄹ허ㅗ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" localSheetId="0" hidden="1">{#N/A,#N/A,FALSE,"지침";#N/A,#N/A,FALSE,"환경분석";#N/A,#N/A,FALSE,"Sheet16"}</definedName>
    <definedName name="ii" hidden="1">{#N/A,#N/A,FALSE,"지침";#N/A,#N/A,FALSE,"환경분석";#N/A,#N/A,FALSE,"Sheet16"}</definedName>
    <definedName name="iiiiiiiii" localSheetId="0" hidden="1">{#N/A,#N/A,FALSE,"지침";#N/A,#N/A,FALSE,"환경분석";#N/A,#N/A,FALSE,"Sheet16"}</definedName>
    <definedName name="iiiiiiiii" hidden="1">{#N/A,#N/A,FALSE,"지침";#N/A,#N/A,FALSE,"환경분석";#N/A,#N/A,FALSE,"Sheet16"}</definedName>
    <definedName name="IIJELL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TIO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TI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GJDF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GJDF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G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G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DS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DS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0" hidden="1">{#N/A,#N/A,FALSE,"단가표지"}</definedName>
    <definedName name="jjjj" hidden="1">{#N/A,#N/A,FALSE,"단가표지"}</definedName>
    <definedName name="JJSU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L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L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TG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TG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tf" localSheetId="1" hidden="1">#REF!</definedName>
    <definedName name="ktf" localSheetId="0" hidden="1">#REF!</definedName>
    <definedName name="ktf" localSheetId="2" hidden="1">#REF!</definedName>
    <definedName name="ktf" hidden="1">#REF!</definedName>
    <definedName name="kty" localSheetId="1" hidden="1">#REF!</definedName>
    <definedName name="kty" localSheetId="0" hidden="1">#REF!</definedName>
    <definedName name="kty" localSheetId="2" hidden="1">#REF!</definedName>
    <definedName name="kty" hidden="1">#REF!</definedName>
    <definedName name="l.w일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.w일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C산출" localSheetId="0" hidden="1">{#N/A,#N/A,FALSE,"사업총괄";#N/A,#N/A,FALSE,"장비사업";#N/A,#N/A,FALSE,"철구사업";#N/A,#N/A,FALSE,"준설사업"}</definedName>
    <definedName name="LC산출" hidden="1">{#N/A,#N/A,FALSE,"사업총괄";#N/A,#N/A,FALSE,"장비사업";#N/A,#N/A,FALSE,"철구사업";#N/A,#N/A,FALSE,"준설사업"}</definedName>
    <definedName name="LIUJHG" localSheetId="1" hidden="1">#REF!</definedName>
    <definedName name="LIUJHG" localSheetId="0" hidden="1">#REF!</definedName>
    <definedName name="LIUJHG" localSheetId="2" hidden="1">#REF!</definedName>
    <definedName name="LIUJHG" hidden="1">#REF!</definedName>
    <definedName name="LJH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j" localSheetId="0" hidden="1">{#N/A,#N/A,FALSE,"표지"}</definedName>
    <definedName name="mj" hidden="1">{#N/A,#N/A,FALSE,"표지"}</definedName>
    <definedName name="MMM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m" localSheetId="0" hidden="1">{#N/A,#N/A,FALSE,"포장단가"}</definedName>
    <definedName name="mmmm" hidden="1">{#N/A,#N/A,FALSE,"포장단가"}</definedName>
    <definedName name="nego검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WNAME" localSheetId="0" hidden="1">{#N/A,#N/A,FALSE,"CCTV"}</definedName>
    <definedName name="NEWNAME" hidden="1">{#N/A,#N/A,FALSE,"CCTV"}</definedName>
    <definedName name="ocf" localSheetId="1" hidden="1">#REF!</definedName>
    <definedName name="ocf" localSheetId="0" hidden="1">#REF!</definedName>
    <definedName name="ocf" localSheetId="2" hidden="1">#REF!</definedName>
    <definedName name="ocf" hidden="1">#REF!</definedName>
    <definedName name="oiy" localSheetId="0" hidden="1">{#N/A,#N/A,FALSE,"포장2"}</definedName>
    <definedName name="oiy" hidden="1">{#N/A,#N/A,FALSE,"포장2"}</definedName>
    <definedName name="ONP" localSheetId="1" hidden="1">#REF!</definedName>
    <definedName name="ONP" localSheetId="0" hidden="1">#REF!</definedName>
    <definedName name="ONP" localSheetId="2" hidden="1">#REF!</definedName>
    <definedName name="ONP" hidden="1">#REF!</definedName>
    <definedName name="OP" localSheetId="1" hidden="1">#REF!</definedName>
    <definedName name="OP" localSheetId="0" hidden="1">#REF!</definedName>
    <definedName name="OP" localSheetId="2" hidden="1">#REF!</definedName>
    <definedName name="OP" hidden="1">#REF!</definedName>
    <definedName name="opo" localSheetId="0" hidden="1">{#N/A,#N/A,FALSE,"지침";#N/A,#N/A,FALSE,"환경분석";#N/A,#N/A,FALSE,"Sheet16"}</definedName>
    <definedName name="opo" hidden="1">{#N/A,#N/A,FALSE,"지침";#N/A,#N/A,FALSE,"환경분석";#N/A,#N/A,FALSE,"Sheet16"}</definedName>
    <definedName name="order2" hidden="1">0</definedName>
    <definedName name="P.R.D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P.R.D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ppppp" localSheetId="0" hidden="1">{#N/A,#N/A,FALSE,"지침";#N/A,#N/A,FALSE,"환경분석";#N/A,#N/A,FALSE,"Sheet16"}</definedName>
    <definedName name="ppppp" hidden="1">{#N/A,#N/A,FALSE,"지침";#N/A,#N/A,FALSE,"환경분석";#N/A,#N/A,FALSE,"Sheet16"}</definedName>
    <definedName name="_xlnm.Print_Area" localSheetId="1">' 갑지-1'!$A$1:$M$36</definedName>
    <definedName name="_xlnm.Print_Area" localSheetId="2">상세!$A$1:$M$473</definedName>
    <definedName name="_xlnm.Print_Titles" localSheetId="1">' 갑지-1'!$4:$5</definedName>
    <definedName name="_xlnm.Print_Titles" localSheetId="2">상세!$2:$3</definedName>
    <definedName name="QA" localSheetId="1" hidden="1">#REF!</definedName>
    <definedName name="QA" localSheetId="0" hidden="1">#REF!</definedName>
    <definedName name="QA" localSheetId="2" hidden="1">#REF!</definedName>
    <definedName name="QA" hidden="1">#REF!</definedName>
    <definedName name="QFFGGB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FFGGB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ncjstkdehdwhrud" localSheetId="0" hidden="1">{#N/A,#N/A,TRUE,"1";#N/A,#N/A,TRUE,"2";#N/A,#N/A,TRUE,"3";#N/A,#N/A,TRUE,"4";#N/A,#N/A,TRUE,"5";#N/A,#N/A,TRUE,"6";#N/A,#N/A,TRUE,"7"}</definedName>
    <definedName name="qncjstkdehdwhrud" hidden="1">{#N/A,#N/A,TRUE,"1";#N/A,#N/A,TRUE,"2";#N/A,#N/A,TRUE,"3";#N/A,#N/A,TRUE,"4";#N/A,#N/A,TRUE,"5";#N/A,#N/A,TRUE,"6";#N/A,#N/A,TRUE,"7"}</definedName>
    <definedName name="qor" hidden="1">[30]실행철강하도!$A$1:$A$4</definedName>
    <definedName name="qq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Q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Q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w" localSheetId="0" hidden="1">{#N/A,#N/A,FALSE,"단가표지"}</definedName>
    <definedName name="qw" hidden="1">{#N/A,#N/A,FALSE,"단가표지"}</definedName>
    <definedName name="QW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W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수량산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수량산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토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토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T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T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U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U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H" localSheetId="0" hidden="1">{#N/A,#N/A,FALSE,"주간공정";#N/A,#N/A,FALSE,"주간보고";#N/A,#N/A,FALSE,"주간공정표"}</definedName>
    <definedName name="RH" hidden="1">{#N/A,#N/A,FALSE,"주간공정";#N/A,#N/A,FALSE,"주간보고";#N/A,#N/A,FALSE,"주간공정표"}</definedName>
    <definedName name="RJJRJR" localSheetId="0" hidden="1">{#N/A,#N/A,FALSE,"주간공정";#N/A,#N/A,FALSE,"주간보고";#N/A,#N/A,FALSE,"주간공정표"}</definedName>
    <definedName name="RJJRJR" hidden="1">{#N/A,#N/A,FALSE,"주간공정";#N/A,#N/A,FALSE,"주간보고";#N/A,#N/A,FALSE,"주간공정표"}</definedName>
    <definedName name="rkdkd" localSheetId="0" hidden="1">{#N/A,#N/A,FALSE,"2~8번"}</definedName>
    <definedName name="rkdkd" hidden="1">{#N/A,#N/A,FALSE,"2~8번"}</definedName>
    <definedName name="RKRKRKRK" localSheetId="0" hidden="1">{#N/A,#N/A,FALSE,"주간공정";#N/A,#N/A,FALSE,"주간보고";#N/A,#N/A,FALSE,"주간공정표"}</definedName>
    <definedName name="RKRKRKRK" hidden="1">{#N/A,#N/A,FALSE,"주간공정";#N/A,#N/A,FALSE,"주간보고";#N/A,#N/A,FALSE,"주간공정표"}</definedName>
    <definedName name="Royalty" localSheetId="0" hidden="1">{#N/A,#N/A,FALSE,"Sheet1"}</definedName>
    <definedName name="Royalty" hidden="1">{#N/A,#N/A,FALSE,"Sheet1"}</definedName>
    <definedName name="RR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U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U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Y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Y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YU" localSheetId="0" hidden="1">{#N/A,#N/A,FALSE,"현장 NCR 분석";#N/A,#N/A,FALSE,"현장품질감사";#N/A,#N/A,FALSE,"현장품질감사"}</definedName>
    <definedName name="RYU" hidden="1">{#N/A,#N/A,FALSE,"현장 NCR 분석";#N/A,#N/A,FALSE,"현장품질감사";#N/A,#N/A,FALSE,"현장품질감사"}</definedName>
    <definedName name="R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" localSheetId="0" hidden="1">{#N/A,#N/A,FALSE,"사업총괄";#N/A,#N/A,FALSE,"장비사업";#N/A,#N/A,FALSE,"철구사업";#N/A,#N/A,FALSE,"준설사업"}</definedName>
    <definedName name="s" hidden="1">{#N/A,#N/A,FALSE,"사업총괄";#N/A,#N/A,FALSE,"장비사업";#N/A,#N/A,FALSE,"철구사업";#N/A,#N/A,FALSE,"준설사업"}</definedName>
    <definedName name="sae" localSheetId="0" hidden="1">{#N/A,#N/A,TRUE,"TITLE"}</definedName>
    <definedName name="sae" hidden="1">{#N/A,#N/A,TRUE,"TITLE"}</definedName>
    <definedName name="SAF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AF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DFFDDDFFG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DFFDDDFFG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s" localSheetId="0" hidden="1">{#N/A,#N/A,FALSE,"Sheet1"}</definedName>
    <definedName name="sdas" hidden="1">{#N/A,#N/A,FALSE,"Sheet1"}</definedName>
    <definedName name="SDF" localSheetId="1" hidden="1">#REF!</definedName>
    <definedName name="SDF" localSheetId="0" hidden="1">#REF!</definedName>
    <definedName name="SDF" localSheetId="2" hidden="1">#REF!</definedName>
    <definedName name="SDF" hidden="1">#REF!</definedName>
    <definedName name="SD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AEHT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AEHT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g" localSheetId="1" hidden="1">#REF!</definedName>
    <definedName name="sdg" localSheetId="0" hidden="1">#REF!</definedName>
    <definedName name="sdg" localSheetId="2" hidden="1">#REF!</definedName>
    <definedName name="sdg" hidden="1">#REF!</definedName>
    <definedName name="S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ERVICE" localSheetId="0" hidden="1">{#N/A,#N/A,FALSE,"이태원철근"}</definedName>
    <definedName name="SERVICE" hidden="1">{#N/A,#N/A,FALSE,"이태원철근"}</definedName>
    <definedName name="sfdgn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어ㅜㅈ저ㅗㄱ솟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어ㅜㅈ저ㅗㄱ솟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100" localSheetId="1" hidden="1">#REF!</definedName>
    <definedName name="SHEET100" localSheetId="0" hidden="1">#REF!</definedName>
    <definedName name="SHEET100" localSheetId="2" hidden="1">#REF!</definedName>
    <definedName name="SHEET100" hidden="1">#REF!</definedName>
    <definedName name="sj" localSheetId="1" hidden="1">#REF!</definedName>
    <definedName name="sj" localSheetId="0" hidden="1">#REF!</definedName>
    <definedName name="sj" localSheetId="2" hidden="1">#REF!</definedName>
    <definedName name="sj" hidden="1">#REF!</definedName>
    <definedName name="skskksksks" localSheetId="0" hidden="1">{#N/A,#N/A,FALSE,"주간공정";#N/A,#N/A,FALSE,"주간보고";#N/A,#N/A,FALSE,"주간공정표"}</definedName>
    <definedName name="skskksksks" hidden="1">{#N/A,#N/A,FALSE,"주간공정";#N/A,#N/A,FALSE,"주간보고";#N/A,#N/A,FALSE,"주간공정표"}</definedName>
    <definedName name="SL" localSheetId="0" hidden="1">{#N/A,#N/A,FALSE,"주간공정";#N/A,#N/A,FALSE,"주간보고";#N/A,#N/A,FALSE,"주간공정표"}</definedName>
    <definedName name="SL" hidden="1">{#N/A,#N/A,FALSE,"주간공정";#N/A,#N/A,FALSE,"주간보고";#N/A,#N/A,FALSE,"주간공정표"}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1</definedName>
    <definedName name="solver_nwt" hidden="1">1</definedName>
    <definedName name="solver_opt" localSheetId="1" hidden="1">#REF!</definedName>
    <definedName name="solver_opt" localSheetId="0" hidden="1">#REF!</definedName>
    <definedName name="solver_opt" localSheetId="2" hidden="1">#REF!</definedName>
    <definedName name="solver_opt" hidden="1">#REF!</definedName>
    <definedName name="solver_pre" hidden="1">0.000001</definedName>
    <definedName name="solver_rel1" hidden="1">1</definedName>
    <definedName name="solver_rhs1" hidden="1">500000000</definedName>
    <definedName name="solver_scl" hidden="1">2</definedName>
    <definedName name="solver_sho" hidden="1">2</definedName>
    <definedName name="solver_tim" hidden="1">100</definedName>
    <definedName name="solver_tmp" hidden="1">500000000</definedName>
    <definedName name="solver_tol" hidden="1">0.05</definedName>
    <definedName name="solver_typ" hidden="1">1</definedName>
    <definedName name="solver_val" hidden="1">0</definedName>
    <definedName name="srtjuryujr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rtjuryujr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asa" localSheetId="0" hidden="1">{#N/A,#N/A,FALSE,"교리2"}</definedName>
    <definedName name="ssasa" hidden="1">{#N/A,#N/A,FALSE,"교리2"}</definedName>
    <definedName name="S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WS" localSheetId="1" hidden="1">#REF!</definedName>
    <definedName name="SWS" localSheetId="0" hidden="1">#REF!</definedName>
    <definedName name="SWS" localSheetId="2" hidden="1">#REF!</definedName>
    <definedName name="SWS" hidden="1">#REF!</definedName>
    <definedName name="swㅗ" localSheetId="0" hidden="1">{#N/A,#N/A,FALSE,"집계표"}</definedName>
    <definedName name="swㅗ" hidden="1">{#N/A,#N/A,FALSE,"집계표"}</definedName>
    <definedName name="TANK" localSheetId="0" hidden="1">{#N/A,#N/A,FALSE,"CCTV"}</definedName>
    <definedName name="TANK" hidden="1">{#N/A,#N/A,FALSE,"CCTV"}</definedName>
    <definedName name="tdrutru" localSheetId="0" hidden="1">{#N/A,#N/A,FALSE,"Sheet6"}</definedName>
    <definedName name="tdrutru" hidden="1">{#N/A,#N/A,FALSE,"Sheet6"}</definedName>
    <definedName name="temporary" localSheetId="0" hidden="1">{#N/A,#N/A,FALSE,"CCTV"}</definedName>
    <definedName name="temporary" hidden="1">{#N/A,#N/A,FALSE,"CCTV"}</definedName>
    <definedName name="tg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g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N" localSheetId="1" hidden="1">#REF!</definedName>
    <definedName name="TN" localSheetId="0" hidden="1">#REF!</definedName>
    <definedName name="TN" localSheetId="2" hidden="1">#REF!</definedName>
    <definedName name="TN" hidden="1">#REF!</definedName>
    <definedName name="tree수정" localSheetId="0" hidden="1">{#N/A,#N/A,FALSE,"지침";#N/A,#N/A,FALSE,"환경분석";#N/A,#N/A,FALSE,"Sheet16"}</definedName>
    <definedName name="tree수정" hidden="1">{#N/A,#N/A,FALSE,"지침";#N/A,#N/A,FALSE,"환경분석";#N/A,#N/A,FALSE,"Sheet16"}</definedName>
    <definedName name="TRHEE" localSheetId="0" hidden="1">{#N/A,#N/A,FALSE,"Sheet6"}</definedName>
    <definedName name="TRHEE" hidden="1">{#N/A,#N/A,FALSE,"Sheet6"}</definedName>
    <definedName name="TR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R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t" localSheetId="0" hidden="1">{#N/A,#N/A,FALSE,"단가표지"}</definedName>
    <definedName name="tt" hidden="1">{#N/A,#N/A,FALSE,"단가표지"}</definedName>
    <definedName name="ttr" localSheetId="0" hidden="1">{#N/A,#N/A,FALSE,"Sheet6"}</definedName>
    <definedName name="ttr" hidden="1">{#N/A,#N/A,FALSE,"Sheet6"}</definedName>
    <definedName name="ttttt" localSheetId="0" hidden="1">{#N/A,#N/A,FALSE,"지침";#N/A,#N/A,FALSE,"환경분석";#N/A,#N/A,FALSE,"Sheet16"}</definedName>
    <definedName name="ttttt" hidden="1">{#N/A,#N/A,FALSE,"지침";#N/A,#N/A,FALSE,"환경분석";#N/A,#N/A,FALSE,"Sheet16"}</definedName>
    <definedName name="TWAHTR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WAHTR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utyui" localSheetId="0" hidden="1">{#N/A,#N/A,FALSE,"Sheet6"}</definedName>
    <definedName name="tyiutyui" hidden="1">{#N/A,#N/A,FALSE,"Sheet6"}</definedName>
    <definedName name="t뎌ㅓㅜㅅㄷ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뎌ㅓㅜㅅㄷ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jdffdf" localSheetId="0" hidden="1">{#N/A,#N/A,FALSE,"단가표지"}</definedName>
    <definedName name="ujdffdf" hidden="1">{#N/A,#N/A,FALSE,"단가표지"}</definedName>
    <definedName name="ukj" localSheetId="0" hidden="1">{#N/A,#N/A,FALSE,"전력간선"}</definedName>
    <definedName name="ukj" hidden="1">{#N/A,#N/A,FALSE,"전력간선"}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p" localSheetId="0" hidden="1">{#N/A,#N/A,FALSE,"지침";#N/A,#N/A,FALSE,"환경분석";#N/A,#N/A,FALSE,"Sheet16"}</definedName>
    <definedName name="up" hidden="1">{#N/A,#N/A,FALSE,"지침";#N/A,#N/A,FALSE,"환경분석";#N/A,#N/A,FALSE,"Sheet16"}</definedName>
    <definedName name="uuuu" localSheetId="0" hidden="1">{#N/A,#N/A,FALSE,"단가표지"}</definedName>
    <definedName name="uuuu" hidden="1">{#N/A,#N/A,FALSE,"단가표지"}</definedName>
    <definedName name="UY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Y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yteyj" localSheetId="1" hidden="1">#REF!</definedName>
    <definedName name="uyteyj" localSheetId="0" hidden="1">#REF!</definedName>
    <definedName name="uyteyj" localSheetId="2" hidden="1">#REF!</definedName>
    <definedName name="uyteyj" hidden="1">#REF!</definedName>
    <definedName name="VB" localSheetId="0" hidden="1">{#N/A,#N/A,FALSE,"이태원철근"}</definedName>
    <definedName name="VB" hidden="1">{#N/A,#N/A,FALSE,"이태원철근"}</definedName>
    <definedName name="vbnhj" localSheetId="0" hidden="1">{#N/A,#N/A,FALSE,"Sheet6"}</definedName>
    <definedName name="vbnhj" hidden="1">{#N/A,#N/A,FALSE,"Sheet6"}</definedName>
    <definedName name="vcc" localSheetId="0" hidden="1">{#N/A,#N/A,FALSE,"구조1"}</definedName>
    <definedName name="vcc" hidden="1">{#N/A,#N/A,FALSE,"구조1"}</definedName>
    <definedName name="weq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q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rerr" localSheetId="0" hidden="1">{#N/A,#N/A,FALSE,"운반시간"}</definedName>
    <definedName name="wererr" hidden="1">{#N/A,#N/A,FALSE,"운반시간"}</definedName>
    <definedName name="werewr" localSheetId="0" hidden="1">{#N/A,#N/A,FALSE,"골재소요량";#N/A,#N/A,FALSE,"골재소요량"}</definedName>
    <definedName name="werewr" hidden="1">{#N/A,#N/A,FALSE,"골재소요량";#N/A,#N/A,FALSE,"골재소요량"}</definedName>
    <definedName name="werq" localSheetId="0" hidden="1">{"'별표'!$N$220"}</definedName>
    <definedName name="werq" hidden="1">{"'별표'!$N$220"}</definedName>
    <definedName name="W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YT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YT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lqrp" hidden="1">0</definedName>
    <definedName name="wm.조골재1" localSheetId="0" hidden="1">{#N/A,#N/A,FALSE,"조골재"}</definedName>
    <definedName name="wm.조골재1" hidden="1">{#N/A,#N/A,FALSE,"조골재"}</definedName>
    <definedName name="WPWPPW" localSheetId="0" hidden="1">{#N/A,#N/A,FALSE,"주간공정";#N/A,#N/A,FALSE,"주간보고";#N/A,#N/A,FALSE,"주간공정표"}</definedName>
    <definedName name="WPWPPW" hidden="1">{#N/A,#N/A,FALSE,"주간공정";#N/A,#N/A,FALSE,"주간보고";#N/A,#N/A,FALSE,"주간공정표"}</definedName>
    <definedName name="WQ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Q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QR" localSheetId="0" hidden="1">{#N/A,#N/A,FALSE,"Sheet1"}</definedName>
    <definedName name="WQR" hidden="1">{#N/A,#N/A,FALSE,"Sheet1"}</definedName>
    <definedName name="WRITE" localSheetId="0" hidden="1">{#N/A,#N/A,FALSE,"CCTV"}</definedName>
    <definedName name="WRITE" hidden="1">{#N/A,#N/A,FALSE,"CCTV"}</definedName>
    <definedName name="WRM" localSheetId="0" hidden="1">{#N/A,#N/A,FALSE,"전력간선"}</definedName>
    <definedName name="WRM" hidden="1">{#N/A,#N/A,FALSE,"전력간선"}</definedName>
    <definedName name="wrn.0812ESC.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0812ESC.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2번." localSheetId="0" hidden="1">{#N/A,#N/A,FALSE,"2~8번"}</definedName>
    <definedName name="wrn.2번." hidden="1">{#N/A,#N/A,FALSE,"2~8번"}</definedName>
    <definedName name="wrn.34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34건물기초.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97." localSheetId="0" hidden="1">{#N/A,#N/A,FALSE,"지침";#N/A,#N/A,FALSE,"환경분석";#N/A,#N/A,FALSE,"Sheet16"}</definedName>
    <definedName name="wrn.97." hidden="1">{#N/A,#N/A,FALSE,"지침";#N/A,#N/A,FALSE,"환경분석";#N/A,#N/A,FALSE,"Sheet16"}</definedName>
    <definedName name="wrn.97년._.사업계획._.및._.예산지침." localSheetId="0" hidden="1">{#N/A,#N/A,TRUE,"1";#N/A,#N/A,TRUE,"2";#N/A,#N/A,TRUE,"3";#N/A,#N/A,TRUE,"4";#N/A,#N/A,TRUE,"5";#N/A,#N/A,TRUE,"6";#N/A,#N/A,TRUE,"7"}</definedName>
    <definedName name="wrn.97년._.사업계획._.및._.예산지침." hidden="1">{#N/A,#N/A,TRUE,"1";#N/A,#N/A,TRUE,"2";#N/A,#N/A,TRUE,"3";#N/A,#N/A,TRUE,"4";#N/A,#N/A,TRUE,"5";#N/A,#N/A,TRUE,"6";#N/A,#N/A,TRUE,"7"}</definedName>
    <definedName name="WRN.98." localSheetId="0" hidden="1">{#N/A,#N/A,FALSE,"지침";#N/A,#N/A,FALSE,"환경분석";#N/A,#N/A,FALSE,"Sheet16"}</definedName>
    <definedName name="WRN.98." hidden="1">{#N/A,#N/A,FALSE,"지침";#N/A,#N/A,FALSE,"환경분석";#N/A,#N/A,FALSE,"Sheet16"}</definedName>
    <definedName name="wrn.ac30prn." localSheetId="0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BM." localSheetId="0" hidden="1">{#N/A,#N/A,FALSE,"CCTV"}</definedName>
    <definedName name="wrn.BM." hidden="1">{#N/A,#N/A,FALSE,"CCTV"}</definedName>
    <definedName name="wrn.FIII._.HOOK._.UP._.견적서." localSheetId="0" hidden="1">{#N/A,#N/A,TRUE,"960318-1";#N/A,#N/A,TRUE,"960318-2";#N/A,#N/A,TRUE,"960318-3"}</definedName>
    <definedName name="wrn.FIII._.HOOK._.UP._.견적서." hidden="1">{#N/A,#N/A,TRUE,"960318-1";#N/A,#N/A,TRUE,"960318-2";#N/A,#N/A,TRUE,"960318-3"}</definedName>
    <definedName name="wrn.test1." localSheetId="0" hidden="1">{#N/A,#N/A,FALSE,"명세표"}</definedName>
    <definedName name="wrn.test1." hidden="1">{#N/A,#N/A,FALSE,"명세표"}</definedName>
    <definedName name="wrn.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설기계사업소._.상반기보고." localSheetId="0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고희석." localSheetId="0" hidden="1">{#N/A,#N/A,FALSE,"교리2"}</definedName>
    <definedName name="wrn.고희석." hidden="1">{#N/A,#N/A,FALSE,"교리2"}</definedName>
    <definedName name="wrn.골재소요량." localSheetId="0" hidden="1">{#N/A,#N/A,FALSE,"골재소요량";#N/A,#N/A,FALSE,"골재소요량"}</definedName>
    <definedName name="wrn.골재소요량." hidden="1">{#N/A,#N/A,FALSE,"골재소요량";#N/A,#N/A,FALSE,"골재소요량"}</definedName>
    <definedName name="wrn.교육청." localSheetId="0" hidden="1">{#N/A,#N/A,FALSE,"전력간선"}</definedName>
    <definedName name="wrn.교육청." hidden="1">{#N/A,#N/A,FALSE,"전력간선"}</definedName>
    <definedName name="wrn.구조2." localSheetId="0" hidden="1">{#N/A,#N/A,FALSE,"구조2"}</definedName>
    <definedName name="wrn.구조2." hidden="1">{#N/A,#N/A,FALSE,"구조2"}</definedName>
    <definedName name="wrn.기성." localSheetId="0" hidden="1">{#N/A,#N/A,FALSE,"신청통보";#N/A,#N/A,FALSE,"기성확인서";#N/A,#N/A,FALSE,"기성내역서"}</definedName>
    <definedName name="wrn.기성." hidden="1">{#N/A,#N/A,FALSE,"신청통보";#N/A,#N/A,FALSE,"기성확인서";#N/A,#N/A,FALSE,"기성내역서"}</definedName>
    <definedName name="wrn.기초." localSheetId="0" hidden="1">{#N/A,#N/A,FALSE,"터빈집계";#N/A,#N/A,FALSE,"터빈내역";#N/A,#N/A,FALSE,"보일러집계";#N/A,#N/A,FALSE,"보일러내역"}</definedName>
    <definedName name="wrn.기초." hidden="1">{#N/A,#N/A,FALSE,"터빈집계";#N/A,#N/A,FALSE,"터빈내역";#N/A,#N/A,FALSE,"보일러집계";#N/A,#N/A,FALSE,"보일러내역"}</definedName>
    <definedName name="wrn.단가표지." localSheetId="0" hidden="1">{#N/A,#N/A,FALSE,"단가표지"}</definedName>
    <definedName name="wrn.단가표지." hidden="1">{#N/A,#N/A,FALSE,"단가표지"}</definedName>
    <definedName name="wrn.담배인삼공사._.실행품의." localSheetId="0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리스현황." localSheetId="0" hidden="1">{#N/A,#N/A,FALSE,"집계표"}</definedName>
    <definedName name="wrn.리스현황." hidden="1">{#N/A,#N/A,FALSE,"집계표"}</definedName>
    <definedName name="wrn.배수1." localSheetId="0" hidden="1">{#N/A,#N/A,FALSE,"배수1"}</definedName>
    <definedName name="wrn.배수1." hidden="1">{#N/A,#N/A,FALSE,"배수1"}</definedName>
    <definedName name="wrn.배수2." localSheetId="0" hidden="1">{#N/A,#N/A,FALSE,"배수2"}</definedName>
    <definedName name="wrn.배수2." hidden="1">{#N/A,#N/A,FALSE,"배수2"}</definedName>
    <definedName name="wrn.변경예산." localSheetId="0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보일러마감." localSheetId="0" hidden="1">{#N/A,#N/A,FALSE,"물가변동 (2)";#N/A,#N/A,FALSE,"공사비";#N/A,#N/A,FALSE,"사급";#N/A,#N/A,FALSE,"도급집계";#N/A,#N/A,FALSE,"재료비";#N/A,#N/A,FALSE,"노무비";#N/A,#N/A,FALSE,"경비"}</definedName>
    <definedName name="wrn.보일러마감." hidden="1">{#N/A,#N/A,FALSE,"물가변동 (2)";#N/A,#N/A,FALSE,"공사비";#N/A,#N/A,FALSE,"사급";#N/A,#N/A,FALSE,"도급집계";#N/A,#N/A,FALSE,"재료비";#N/A,#N/A,FALSE,"노무비";#N/A,#N/A,FALSE,"경비"}</definedName>
    <definedName name="wrn.부대1." localSheetId="0" hidden="1">{#N/A,#N/A,FALSE,"부대1"}</definedName>
    <definedName name="wrn.부대1." hidden="1">{#N/A,#N/A,FALSE,"부대1"}</definedName>
    <definedName name="wrn.부대2." localSheetId="0" hidden="1">{#N/A,#N/A,FALSE,"부대2"}</definedName>
    <definedName name="wrn.부대2." hidden="1">{#N/A,#N/A,FALSE,"부대2"}</definedName>
    <definedName name="wrn.부산주경기장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0" hidden="1">{#N/A,#N/A,FALSE,"속도"}</definedName>
    <definedName name="wrn.속도." hidden="1">{#N/A,#N/A,FALSE,"속도"}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시행결의." localSheetId="0" hidden="1">{#N/A,#N/A,FALSE,"도급대비시행율";#N/A,#N/A,FALSE,"결의서";#N/A,#N/A,FALSE,"내역서";#N/A,#N/A,FALSE,"도급예상"}</definedName>
    <definedName name="wrn.시행결의." hidden="1">{#N/A,#N/A,FALSE,"도급대비시행율";#N/A,#N/A,FALSE,"결의서";#N/A,#N/A,FALSE,"내역서";#N/A,#N/A,FALSE,"도급예상"}</definedName>
    <definedName name="wrn.신용찬." localSheetId="0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.실행품의." localSheetId="0" hidden="1">{#N/A,#N/A,FALSE,"갑지";#N/A,#N/A,FALSE,"개요";#N/A,#N/A,FALSE,"비목별";#N/A,#N/A,FALSE,"건물별";#N/A,#N/A,FALSE,"기구표";#N/A,#N/A,FALSE,"직원투입"}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localSheetId="0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외주기성." localSheetId="0" hidden="1">{#N/A,#N/A,FALSE,"신청통보";#N/A,#N/A,FALSE,"기성확인서";#N/A,#N/A,FALSE,"기성내역서"}</definedName>
    <definedName name="wrn.외주기성." hidden="1">{#N/A,#N/A,FALSE,"신청통보";#N/A,#N/A,FALSE,"기성확인서";#N/A,#N/A,FALSE,"기성내역서"}</definedName>
    <definedName name="wrn.운반시간." localSheetId="0" hidden="1">{#N/A,#N/A,FALSE,"운반시간"}</definedName>
    <definedName name="wrn.운반시간." hidden="1">{#N/A,#N/A,FALSE,"운반시간"}</definedName>
    <definedName name="wrn.이정표." localSheetId="0" hidden="1">{#N/A,#N/A,FALSE,"이정표"}</definedName>
    <definedName name="wrn.이정표." hidden="1">{#N/A,#N/A,FALSE,"이정표"}</definedName>
    <definedName name="wrn.이태원._.철근." localSheetId="0" hidden="1">{#N/A,#N/A,FALSE,"이태원철근"}</definedName>
    <definedName name="wrn.이태원._.철근." hidden="1">{#N/A,#N/A,FALSE,"이태원철근"}</definedName>
    <definedName name="wrn.조골재." localSheetId="0" hidden="1">{#N/A,#N/A,FALSE,"조골재"}</definedName>
    <definedName name="wrn.조골재." hidden="1">{#N/A,#N/A,FALSE,"조골재"}</definedName>
    <definedName name="wrn.종점1" localSheetId="0" hidden="1">{#N/A,#N/A,FALSE,"이정표"}</definedName>
    <definedName name="wrn.종점1" hidden="1">{#N/A,#N/A,FALSE,"이정표"}</definedName>
    <definedName name="wrn.주간보고." localSheetId="0" hidden="1">{#N/A,#N/A,FALSE,"주간공정";#N/A,#N/A,FALSE,"주간보고";#N/A,#N/A,FALSE,"주간공정표"}</definedName>
    <definedName name="wrn.주간보고." hidden="1">{#N/A,#N/A,FALSE,"주간공정";#N/A,#N/A,FALSE,"주간보고";#N/A,#N/A,FALSE,"주간공정표"}</definedName>
    <definedName name="wrn.주보." localSheetId="0" hidden="1">{#N/A,#N/A,TRUE,"TITLE"}</definedName>
    <definedName name="wrn.주보." hidden="1">{#N/A,#N/A,TRUE,"TITLE"}</definedName>
    <definedName name="wrn.진각빌딩." localSheetId="0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집기비품보고서._.품목별._.및._.현장별._.집계표." localSheetId="0" hidden="1">{#N/A,#N/A,FALSE,"Sheet6"}</definedName>
    <definedName name="wrn.집기비품보고서._.품목별._.및._.현장별._.집계표." hidden="1">{#N/A,#N/A,FALSE,"Sheet6"}</definedName>
    <definedName name="wrn.철골집계표._.5칸." localSheetId="0" hidden="1">{#N/A,#N/A,FALSE,"Sheet1"}</definedName>
    <definedName name="wrn.철골집계표._.5칸." hidden="1">{#N/A,#N/A,FALSE,"Sheet1"}</definedName>
    <definedName name="wrn.토공1." localSheetId="0" hidden="1">{#N/A,#N/A,FALSE,"구조1"}</definedName>
    <definedName name="wrn.토공1." hidden="1">{#N/A,#N/A,FALSE,"구조1"}</definedName>
    <definedName name="wrn.토공2." localSheetId="0" hidden="1">{#N/A,#N/A,FALSE,"토공2"}</definedName>
    <definedName name="wrn.토공2." hidden="1">{#N/A,#N/A,FALSE,"토공2"}</definedName>
    <definedName name="wrn.통신지." localSheetId="0" hidden="1">{#N/A,#N/A,FALSE,"기안지";#N/A,#N/A,FALSE,"통신지"}</definedName>
    <definedName name="wrn.통신지." hidden="1">{#N/A,#N/A,FALSE,"기안지";#N/A,#N/A,FALSE,"통신지"}</definedName>
    <definedName name="wrn.포장1." localSheetId="0" hidden="1">{#N/A,#N/A,FALSE,"포장1";#N/A,#N/A,FALSE,"포장1"}</definedName>
    <definedName name="wrn.포장1." hidden="1">{#N/A,#N/A,FALSE,"포장1";#N/A,#N/A,FALSE,"포장1"}</definedName>
    <definedName name="wrn.포장2." localSheetId="0" hidden="1">{#N/A,#N/A,FALSE,"포장2"}</definedName>
    <definedName name="wrn.포장2." hidden="1">{#N/A,#N/A,FALSE,"포장2"}</definedName>
    <definedName name="wrn.포장단가." localSheetId="0" hidden="1">{#N/A,#N/A,FALSE,"포장단가"}</definedName>
    <definedName name="wrn.포장단가." hidden="1">{#N/A,#N/A,FALSE,"포장단가"}</definedName>
    <definedName name="wrn.표준공종단가.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." localSheetId="0" hidden="1">{#N/A,#N/A,FALSE,"표지"}</definedName>
    <definedName name="wrn.표지." hidden="1">{#N/A,#N/A,FALSE,"표지"}</definedName>
    <definedName name="wrn.표지목차." localSheetId="0" hidden="1">{#N/A,#N/A,FALSE,"표지목차"}</definedName>
    <definedName name="wrn.표지목차." hidden="1">{#N/A,#N/A,FALSE,"표지목차"}</definedName>
    <definedName name="wrn.현장._.NCR._.분석." localSheetId="0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0" hidden="1">{#N/A,#N/A,FALSE,"혼합골재"}</definedName>
    <definedName name="wrn.혼합골재." hidden="1">{#N/A,#N/A,FALSE,"혼합골재"}</definedName>
    <definedName name="wrn1.주보1." localSheetId="0" hidden="1">{#N/A,#N/A,TRUE,"TITLE"}</definedName>
    <definedName name="wrn1.주보1." hidden="1">{#N/A,#N/A,TRUE,"TITLE"}</definedName>
    <definedName name="wrn2.주보2." localSheetId="0" hidden="1">{#N/A,#N/A,TRUE,"TITLE"}</definedName>
    <definedName name="wrn2.주보2." hidden="1">{#N/A,#N/A,TRUE,"TITLE"}</definedName>
    <definedName name="wrn2.주보3." localSheetId="0" hidden="1">{#N/A,#N/A,TRUE,"TITLE"}</definedName>
    <definedName name="wrn2.주보3." hidden="1">{#N/A,#N/A,TRUE,"TITLE"}</definedName>
    <definedName name="WRT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HJ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HJ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WT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WT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YHWRY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YHWRY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w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CB" localSheetId="0" hidden="1">{#N/A,#N/A,FALSE,"Sheet6"}</definedName>
    <definedName name="XCB" hidden="1">{#N/A,#N/A,FALSE,"Sheet6"}</definedName>
    <definedName name="xcvc" localSheetId="1" hidden="1">#REF!</definedName>
    <definedName name="xcvc" localSheetId="0" hidden="1">#REF!</definedName>
    <definedName name="xcvc" localSheetId="2" hidden="1">#REF!</definedName>
    <definedName name="xcvc" hidden="1">#REF!</definedName>
    <definedName name="xf" localSheetId="0" hidden="1">{#N/A,#N/A,FALSE,"Sheet6"}</definedName>
    <definedName name="xf" hidden="1">{#N/A,#N/A,FALSE,"Sheet6"}</definedName>
    <definedName name="xmrrlwhrjs" localSheetId="0" hidden="1">{#N/A,#N/A,FALSE,"현장 NCR 분석";#N/A,#N/A,FALSE,"현장품질감사";#N/A,#N/A,FALSE,"현장품질감사"}</definedName>
    <definedName name="xmrrlwhrjs" hidden="1">{#N/A,#N/A,FALSE,"현장 NCR 분석";#N/A,#N/A,FALSE,"현장품질감사";#N/A,#N/A,FALSE,"현장품질감사"}</definedName>
    <definedName name="xx" localSheetId="1" hidden="1">#REF!</definedName>
    <definedName name="xx" localSheetId="0" hidden="1">#REF!</definedName>
    <definedName name="xx" localSheetId="2" hidden="1">#REF!</definedName>
    <definedName name="xx" hidden="1">#REF!</definedName>
    <definedName name="YERU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ERU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TR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TR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u" localSheetId="0" hidden="1">{#N/A,#N/A,FALSE,"Sheet6"}</definedName>
    <definedName name="yu" hidden="1">{#N/A,#N/A,FALSE,"Sheet6"}</definedName>
    <definedName name="yuj" localSheetId="0" hidden="1">{#N/A,#N/A,TRUE,"1";#N/A,#N/A,TRUE,"2";#N/A,#N/A,TRUE,"3";#N/A,#N/A,TRUE,"4";#N/A,#N/A,TRUE,"5";#N/A,#N/A,TRUE,"6";#N/A,#N/A,TRUE,"7"}</definedName>
    <definedName name="yuj" hidden="1">{#N/A,#N/A,TRUE,"1";#N/A,#N/A,TRUE,"2";#N/A,#N/A,TRUE,"3";#N/A,#N/A,TRUE,"4";#N/A,#N/A,TRUE,"5";#N/A,#N/A,TRUE,"6";#N/A,#N/A,TRUE,"7"}</definedName>
    <definedName name="YUTY" localSheetId="0" hidden="1">{#N/A,#N/A,FALSE,"Sheet6"}</definedName>
    <definedName name="YUTY" hidden="1">{#N/A,#N/A,FALSE,"Sheet6"}</definedName>
    <definedName name="yyy" localSheetId="0" hidden="1">{#N/A,#N/A,FALSE,"지침";#N/A,#N/A,FALSE,"환경분석";#N/A,#N/A,FALSE,"Sheet16"}</definedName>
    <definedName name="yyy" hidden="1">{#N/A,#N/A,FALSE,"지침";#N/A,#N/A,FALSE,"환경분석";#N/A,#N/A,FALSE,"Sheet16"}</definedName>
    <definedName name="yyyyy" localSheetId="0" hidden="1">{#N/A,#N/A,FALSE,"이정표"}</definedName>
    <definedName name="yyyyy" hidden="1">{#N/A,#N/A,FALSE,"이정표"}</definedName>
    <definedName name="y거ㅛ거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거ㅛ거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_1F713D72_E6F4_11D3_8E1E_00A0244E179B_.wvu.Cols" localSheetId="1" hidden="1">#REF!</definedName>
    <definedName name="Z_1F713D72_E6F4_11D3_8E1E_00A0244E179B_.wvu.Cols" localSheetId="0" hidden="1">#REF!</definedName>
    <definedName name="Z_1F713D72_E6F4_11D3_8E1E_00A0244E179B_.wvu.Cols" localSheetId="2" hidden="1">#REF!</definedName>
    <definedName name="Z_1F713D72_E6F4_11D3_8E1E_00A0244E179B_.wvu.Cols" hidden="1">#REF!</definedName>
    <definedName name="Z_1F713D72_E6F4_11D3_8E1E_00A0244E179B_.wvu.PrintArea" localSheetId="1" hidden="1">#REF!</definedName>
    <definedName name="Z_1F713D72_E6F4_11D3_8E1E_00A0244E179B_.wvu.PrintArea" localSheetId="0" hidden="1">#REF!</definedName>
    <definedName name="Z_1F713D72_E6F4_11D3_8E1E_00A0244E179B_.wvu.PrintArea" localSheetId="2" hidden="1">#REF!</definedName>
    <definedName name="Z_1F713D72_E6F4_11D3_8E1E_00A0244E179B_.wvu.PrintArea" hidden="1">#REF!</definedName>
    <definedName name="Z_BFEEB821_E6AD_11D3_88E4_00E09870C276_.wvu.PrintArea" localSheetId="1" hidden="1">#REF!</definedName>
    <definedName name="Z_BFEEB821_E6AD_11D3_88E4_00E09870C276_.wvu.PrintArea" localSheetId="0" hidden="1">#REF!</definedName>
    <definedName name="Z_BFEEB821_E6AD_11D3_88E4_00E09870C276_.wvu.PrintArea" localSheetId="2" hidden="1">#REF!</definedName>
    <definedName name="Z_BFEEB821_E6AD_11D3_88E4_00E09870C276_.wvu.PrintArea" hidden="1">#REF!</definedName>
    <definedName name="Z_F6AB6A24_E5D5_11D3_B573_00104BA1686B_.wvu.Cols" localSheetId="1" hidden="1">#REF!,#REF!,#REF!</definedName>
    <definedName name="Z_F6AB6A24_E5D5_11D3_B573_00104BA1686B_.wvu.Cols" localSheetId="0" hidden="1">#REF!,#REF!,#REF!</definedName>
    <definedName name="Z_F6AB6A24_E5D5_11D3_B573_00104BA1686B_.wvu.Cols" localSheetId="2" hidden="1">#REF!,#REF!,#REF!</definedName>
    <definedName name="Z_F6AB6A24_E5D5_11D3_B573_00104BA1686B_.wvu.Cols" hidden="1">#REF!,#REF!,#REF!</definedName>
    <definedName name="za" hidden="1">[31]실행철강하도!$A$1:$A$4</definedName>
    <definedName name="ZGCAGADF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GCAGADF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XC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X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ㄱㄱㄱ" localSheetId="0" hidden="1">{#N/A,#N/A,FALSE,"지침";#N/A,#N/A,FALSE,"환경분석";#N/A,#N/A,FALSE,"Sheet16"}</definedName>
    <definedName name="ㄱㄱㄱㄱ" hidden="1">{#N/A,#N/A,FALSE,"지침";#N/A,#N/A,FALSE,"환경분석";#N/A,#N/A,FALSE,"Sheet16"}</definedName>
    <definedName name="ㄱㄱㄱㄱㄱ" localSheetId="0" hidden="1">{#N/A,#N/A,FALSE,"교리2"}</definedName>
    <definedName name="ㄱㄱㄱㄱㄱ" hidden="1">{#N/A,#N/A,FALSE,"교리2"}</definedName>
    <definedName name="ㄱㄱㄱㅎ" localSheetId="0" hidden="1">{#N/A,#N/A,FALSE,"Sheet6"}</definedName>
    <definedName name="ㄱㄱㄱㅎ" hidden="1">{#N/A,#N/A,FALSE,"Sheet6"}</definedName>
    <definedName name="ㄱㄱ숃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ㄱ숃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ㄴㄷ송학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ㄴㄷ송학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ㄱ" localSheetId="0" hidden="1">{#N/A,#N/A,FALSE,"Sheet6"}</definedName>
    <definedName name="ㄱㄷㄱ" hidden="1">{#N/A,#N/A,FALSE,"Sheet6"}</definedName>
    <definedName name="ㄱㄷㄱㄷㄱ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ㄱㄷㄱ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ㅅ" localSheetId="0" hidden="1">{#N/A,#N/A,FALSE,"Sheet6"}</definedName>
    <definedName name="ㄱㄷㅅ" hidden="1">{#N/A,#N/A,FALSE,"Sheet6"}</definedName>
    <definedName name="ㄱㄷㅅ히ㅏ" localSheetId="0" hidden="1">{#N/A,#N/A,FALSE,"지침";#N/A,#N/A,FALSE,"환경분석";#N/A,#N/A,FALSE,"Sheet16"}</definedName>
    <definedName name="ㄱㄷㅅ히ㅏ" hidden="1">{#N/A,#N/A,FALSE,"지침";#N/A,#N/A,FALSE,"환경분석";#N/A,#N/A,FALSE,"Sheet16"}</definedName>
    <definedName name="ㄱㄷㅈㄱㄷㅈㄱㅈㄷ" localSheetId="0" hidden="1">{#N/A,#N/A,FALSE,"혼합골재"}</definedName>
    <definedName name="ㄱㄷㅈㄱㄷㅈㄱㅈㄷ" hidden="1">{#N/A,#N/A,FALSE,"혼합골재"}</definedName>
    <definedName name="ㄱ둊셔교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둊셔교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ㄹ홍ㄱ호" localSheetId="0" hidden="1">{#N/A,#N/A,FALSE,"Sheet6"}</definedName>
    <definedName name="ㄱㄹ홍ㄱ호" hidden="1">{#N/A,#N/A,FALSE,"Sheet6"}</definedName>
    <definedName name="ㄱ려ㅓㅛ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려ㅓㅛ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서ㅗㅇ" localSheetId="0" hidden="1">{#N/A,#N/A,FALSE,"집계표"}</definedName>
    <definedName name="ㄱ서ㅗㅇ" hidden="1">{#N/A,#N/A,FALSE,"집계표"}</definedName>
    <definedName name="ㄱ서ㅗㅗ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서ㅗㅗ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솧" localSheetId="0" hidden="1">{#N/A,#N/A,FALSE,"집계표"}</definedName>
    <definedName name="ㄱ솧" hidden="1">{#N/A,#N/A,FALSE,"집계표"}</definedName>
    <definedName name="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쇽" localSheetId="0" hidden="1">{#N/A,#N/A,FALSE,"Sheet6"}</definedName>
    <definedName name="ㄱ쇽" hidden="1">{#N/A,#N/A,FALSE,"Sheet6"}</definedName>
    <definedName name="ㄱㅈ셪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ㅈ셪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ㅈㅎ" localSheetId="1" hidden="1">#REF!</definedName>
    <definedName name="ㄱㅈㅎ" localSheetId="0" hidden="1">#REF!</definedName>
    <definedName name="ㄱㅈㅎ" localSheetId="2" hidden="1">#REF!</definedName>
    <definedName name="ㄱㅈㅎ" hidden="1">#REF!</definedName>
    <definedName name="ㄱ젖굑고고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젖굑고고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홍" localSheetId="0" hidden="1">{#N/A,#N/A,FALSE,"현장 NCR 분석";#N/A,#N/A,FALSE,"현장품질감사";#N/A,#N/A,FALSE,"현장품질감사"}</definedName>
    <definedName name="ㄱ홍" hidden="1">{#N/A,#N/A,FALSE,"현장 NCR 분석";#N/A,#N/A,FALSE,"현장품질감사";#N/A,#N/A,FALSE,"현장품질감사"}</definedName>
    <definedName name="ㄱ효ㅕ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효ㅕ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로등" localSheetId="0" hidden="1">{#N/A,#N/A,FALSE,"전력간선"}</definedName>
    <definedName name="가로등" hidden="1">{#N/A,#N/A,FALSE,"전력간선"}</definedName>
    <definedName name="가리" localSheetId="1" hidden="1">[10]노임이!#REF!</definedName>
    <definedName name="가리" localSheetId="0" hidden="1">[10]노임이!#REF!</definedName>
    <definedName name="가리" localSheetId="2" hidden="1">[10]노임이!#REF!</definedName>
    <definedName name="가리" hidden="1">[10]노임이!#REF!</definedName>
    <definedName name="가설건물면적산정" localSheetId="0" hidden="1">{#N/A,#N/A,FALSE,"사업총괄";#N/A,#N/A,FALSE,"장비사업";#N/A,#N/A,FALSE,"철구사업";#N/A,#N/A,FALSE,"준설사업"}</definedName>
    <definedName name="가설건물면적산정" hidden="1">{#N/A,#N/A,FALSE,"사업총괄";#N/A,#N/A,FALSE,"장비사업";#N/A,#N/A,FALSE,"철구사업";#N/A,#N/A,FALSE,"준설사업"}</definedName>
    <definedName name="가실행1" localSheetId="0" hidden="1">{#N/A,#N/A,FALSE,"배수1"}</definedName>
    <definedName name="가실행1" hidden="1">{#N/A,#N/A,FALSE,"배수1"}</definedName>
    <definedName name="가재가시설" localSheetId="0" hidden="1">{#N/A,#N/A,FALSE,"Sheet6"}</definedName>
    <definedName name="가재가시설" hidden="1">{#N/A,#N/A,FALSE,"Sheet6"}</definedName>
    <definedName name="간접비" localSheetId="0" hidden="1">{#N/A,#N/A,FALSE,"갑지";#N/A,#N/A,FALSE,"개요";#N/A,#N/A,FALSE,"비목별";#N/A,#N/A,FALSE,"건물별";#N/A,#N/A,FALSE,"기구표";#N/A,#N/A,FALSE,"직원투입"}</definedName>
    <definedName name="간접비" hidden="1">{#N/A,#N/A,FALSE,"갑지";#N/A,#N/A,FALSE,"개요";#N/A,#N/A,FALSE,"비목별";#N/A,#N/A,FALSE,"건물별";#N/A,#N/A,FALSE,"기구표";#N/A,#N/A,FALSE,"직원투입"}</definedName>
    <definedName name="간접비1" localSheetId="0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감리상주" localSheetId="0" hidden="1">{#N/A,#N/A,FALSE,"지침";#N/A,#N/A,FALSE,"환경분석";#N/A,#N/A,FALSE,"Sheet16"}</definedName>
    <definedName name="감리상주" hidden="1">{#N/A,#N/A,FALSE,"지침";#N/A,#N/A,FALSE,"환경분석";#N/A,#N/A,FALSE,"Sheet16"}</definedName>
    <definedName name="감복만" localSheetId="0" hidden="1">{#N/A,#N/A,FALSE,"교리2"}</definedName>
    <definedName name="감복만" hidden="1">{#N/A,#N/A,FALSE,"교리2"}</definedName>
    <definedName name="감승주" localSheetId="0" hidden="1">{#N/A,#N/A,FALSE,"교리2"}</definedName>
    <definedName name="감승주" hidden="1">{#N/A,#N/A,FALSE,"교리2"}</definedName>
    <definedName name="강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교" localSheetId="0" hidden="1">{#N/A,#N/A,FALSE,"포장2"}</definedName>
    <definedName name="강교" hidden="1">{#N/A,#N/A,FALSE,"포장2"}</definedName>
    <definedName name="강구조물" localSheetId="0" hidden="1">{#N/A,#N/A,FALSE,"포장1";#N/A,#N/A,FALSE,"포장1"}</definedName>
    <definedName name="강구조물" hidden="1">{#N/A,#N/A,FALSE,"포장1";#N/A,#N/A,FALSE,"포장1"}</definedName>
    <definedName name="강릉교동" localSheetId="1" hidden="1">#REF!</definedName>
    <definedName name="강릉교동" localSheetId="0" hidden="1">#REF!</definedName>
    <definedName name="강릉교동" localSheetId="2" hidden="1">#REF!</definedName>
    <definedName name="강릉교동" hidden="1">#REF!</definedName>
    <definedName name="강릉교동터파기" localSheetId="1" hidden="1">#REF!</definedName>
    <definedName name="강릉교동터파기" localSheetId="0" hidden="1">#REF!</definedName>
    <definedName name="강릉교동터파기" localSheetId="2" hidden="1">#REF!</definedName>
    <definedName name="강릉교동터파기" hidden="1">#REF!</definedName>
    <definedName name="강릉교동토목" localSheetId="1" hidden="1">#REF!</definedName>
    <definedName name="강릉교동토목" localSheetId="0" hidden="1">#REF!</definedName>
    <definedName name="강릉교동토목" localSheetId="2" hidden="1">#REF!</definedName>
    <definedName name="강릉교동토목" hidden="1">#REF!</definedName>
    <definedName name="강릉교동흙막이" localSheetId="1" hidden="1">#REF!</definedName>
    <definedName name="강릉교동흙막이" localSheetId="0" hidden="1">#REF!</definedName>
    <definedName name="강릉교동흙막이" localSheetId="2" hidden="1">#REF!</definedName>
    <definedName name="강릉교동흙막이" hidden="1">#REF!</definedName>
    <definedName name="강릉토공사" localSheetId="1" hidden="1">#REF!</definedName>
    <definedName name="강릉토공사" localSheetId="0" hidden="1">#REF!</definedName>
    <definedName name="강릉토공사" localSheetId="2" hidden="1">#REF!</definedName>
    <definedName name="강릉토공사" hidden="1">#REF!</definedName>
    <definedName name="강릉토목공사" localSheetId="1" hidden="1">#REF!</definedName>
    <definedName name="강릉토목공사" localSheetId="0" hidden="1">#REF!</definedName>
    <definedName name="강릉토목공사" localSheetId="2" hidden="1">#REF!</definedName>
    <definedName name="강릉토목공사" hidden="1">#REF!</definedName>
    <definedName name="강릉토목임" localSheetId="1" hidden="1">#REF!</definedName>
    <definedName name="강릉토목임" localSheetId="0" hidden="1">#REF!</definedName>
    <definedName name="강릉토목임" localSheetId="2" hidden="1">#REF!</definedName>
    <definedName name="강릉토목임" hidden="1">#REF!</definedName>
    <definedName name="강봉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봉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개산견적" localSheetId="0" hidden="1">{#N/A,#N/A,FALSE,"갑지";#N/A,#N/A,FALSE,"개요";#N/A,#N/A,FALSE,"비목별";#N/A,#N/A,FALSE,"건물별";#N/A,#N/A,FALSE,"기구표";#N/A,#N/A,FALSE,"직원투입"}</definedName>
    <definedName name="개산견적" hidden="1">{#N/A,#N/A,FALSE,"갑지";#N/A,#N/A,FALSE,"개요";#N/A,#N/A,FALSE,"비목별";#N/A,#N/A,FALSE,"건물별";#N/A,#N/A,FALSE,"기구표";#N/A,#N/A,FALSE,"직원투입"}</definedName>
    <definedName name="갸" localSheetId="0" hidden="1">{#N/A,#N/A,FALSE,"예상손익";#N/A,#N/A,FALSE,"관리분석";#N/A,#N/A,FALSE,"장비분석";#N/A,#N/A,FALSE,"준설분석";#N/A,#N/A,FALSE,"철구분석"}</definedName>
    <definedName name="갸" hidden="1">{#N/A,#N/A,FALSE,"예상손익";#N/A,#N/A,FALSE,"관리분석";#N/A,#N/A,FALSE,"장비분석";#N/A,#N/A,FALSE,"준설분석";#N/A,#N/A,FALSE,"철구분석"}</definedName>
    <definedName name="거소" localSheetId="0" hidden="1">{#N/A,#N/A,FALSE,"집계표"}</definedName>
    <definedName name="거소" hidden="1">{#N/A,#N/A,FALSE,"집계표"}</definedName>
    <definedName name="건" localSheetId="0" hidden="1">{#N/A,#N/A,FALSE,"기안지";#N/A,#N/A,FALSE,"통신지"}</definedName>
    <definedName name="건" hidden="1">{#N/A,#N/A,FALSE,"기안지";#N/A,#N/A,FALSE,"통신지"}</definedName>
    <definedName name="건축가실" localSheetId="1" hidden="1">#REF!</definedName>
    <definedName name="건축가실" localSheetId="0" hidden="1">#REF!</definedName>
    <definedName name="건축가실" localSheetId="2" hidden="1">#REF!</definedName>
    <definedName name="건축가실" hidden="1">#REF!</definedName>
    <definedName name="건축내역2" localSheetId="0" hidden="1">{#N/A,#N/A,FALSE,"기안지";#N/A,#N/A,FALSE,"통신지"}</definedName>
    <definedName name="건축내역2" hidden="1">{#N/A,#N/A,FALSE,"기안지";#N/A,#N/A,FALSE,"통신지"}</definedName>
    <definedName name="건축비목집계" localSheetId="0" hidden="1">{#N/A,#N/A,FALSE,"표지"}</definedName>
    <definedName name="건축비목집계" hidden="1">{#N/A,#N/A,FALSE,"표지"}</definedName>
    <definedName name="건축원가" hidden="1">[11]전기!$B$4:$B$163</definedName>
    <definedName name="건축토공" localSheetId="0" hidden="1">{#N/A,#N/A,FALSE,"기안지";#N/A,#N/A,FALSE,"통신지"}</definedName>
    <definedName name="건축토공" hidden="1">{#N/A,#N/A,FALSE,"기안지";#N/A,#N/A,FALSE,"통신지"}</definedName>
    <definedName name="건축토공2" localSheetId="0" hidden="1">{#N/A,#N/A,FALSE,"기안지";#N/A,#N/A,FALSE,"통신지"}</definedName>
    <definedName name="건축토공2" hidden="1">{#N/A,#N/A,FALSE,"기안지";#N/A,#N/A,FALSE,"통신지"}</definedName>
    <definedName name="건축팀별" localSheetId="0" hidden="1">{#N/A,#N/A,FALSE,"지침";#N/A,#N/A,FALSE,"환경분석";#N/A,#N/A,FALSE,"Sheet16"}</definedName>
    <definedName name="건축팀별" hidden="1">{#N/A,#N/A,FALSE,"지침";#N/A,#N/A,FALSE,"환경분석";#N/A,#N/A,FALSE,"Sheet16"}</definedName>
    <definedName name="검ㄴ" localSheetId="0" hidden="1">{#N/A,#N/A,FALSE,"이정표"}</definedName>
    <definedName name="검ㄴ" hidden="1">{#N/A,#N/A,FALSE,"이정표"}</definedName>
    <definedName name="견본갑을" localSheetId="0" hidden="1">{#N/A,#N/A,FALSE,"Sheet1"}</definedName>
    <definedName name="견본갑을" hidden="1">{#N/A,#N/A,FALSE,"Sheet1"}</definedName>
    <definedName name="견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SHEET" localSheetId="0" hidden="1">{#N/A,#N/A,FALSE,"CCTV"}</definedName>
    <definedName name="견적SHEET" hidden="1">{#N/A,#N/A,FALSE,"CCTV"}</definedName>
    <definedName name="견적검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내역" localSheetId="0" hidden="1">{#N/A,#N/A,FALSE,"CCTV"}</definedName>
    <definedName name="견적내역" hidden="1">{#N/A,#N/A,FALSE,"CCTV"}</definedName>
    <definedName name="견적대비" localSheetId="0" hidden="1">{#N/A,#N/A,FALSE,"포장2"}</definedName>
    <definedName name="견적대비" hidden="1">{#N/A,#N/A,FALSE,"포장2"}</definedName>
    <definedName name="견적대비표" localSheetId="1" hidden="1">#REF!</definedName>
    <definedName name="견적대비표" localSheetId="0" hidden="1">#REF!</definedName>
    <definedName name="견적대비표" localSheetId="2" hidden="1">#REF!</definedName>
    <definedName name="견적대비표" hidden="1">#REF!</definedName>
    <definedName name="견적예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예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조건" localSheetId="0" hidden="1">{#N/A,#N/A,FALSE,"CCTV"}</definedName>
    <definedName name="견적조건" hidden="1">{#N/A,#N/A,FALSE,"CCTV"}</definedName>
    <definedName name="견적조건8" localSheetId="0" hidden="1">{#N/A,#N/A,FALSE,"CCTV"}</definedName>
    <definedName name="견적조건8" hidden="1">{#N/A,#N/A,FALSE,"CCTV"}</definedName>
    <definedName name="결" localSheetId="0" hidden="1">{#N/A,#N/A,FALSE,"포장2"}</definedName>
    <definedName name="결" hidden="1">{#N/A,#N/A,FALSE,"포장2"}</definedName>
    <definedName name="결과" localSheetId="0" hidden="1">{#N/A,#N/A,FALSE,"포장2"}</definedName>
    <definedName name="결과" hidden="1">{#N/A,#N/A,FALSE,"포장2"}</definedName>
    <definedName name="경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량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비1" localSheetId="1" hidden="1">#REF!</definedName>
    <definedName name="경비1" localSheetId="0" hidden="1">#REF!</definedName>
    <definedName name="경비1" localSheetId="2" hidden="1">#REF!</definedName>
    <definedName name="경비1" hidden="1">#REF!</definedName>
    <definedName name="경수" localSheetId="0" hidden="1">{#N/A,#N/A,FALSE,"도급대비시행율";#N/A,#N/A,FALSE,"결의서";#N/A,#N/A,FALSE,"내역서";#N/A,#N/A,FALSE,"도급예상"}</definedName>
    <definedName name="경수" hidden="1">{#N/A,#N/A,FALSE,"도급대비시행율";#N/A,#N/A,FALSE,"결의서";#N/A,#N/A,FALSE,"내역서";#N/A,#N/A,FALSE,"도급예상"}</definedName>
    <definedName name="경수을지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수을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계수" localSheetId="0" hidden="1">{#N/A,#N/A,FALSE,"지침";#N/A,#N/A,FALSE,"환경분석";#N/A,#N/A,FALSE,"Sheet16"}</definedName>
    <definedName name="계수" hidden="1">{#N/A,#N/A,FALSE,"지침";#N/A,#N/A,FALSE,"환경분석";#N/A,#N/A,FALSE,"Sheet16"}</definedName>
    <definedName name="계약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약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약의뢰" localSheetId="1" hidden="1">[12]프랜트면허!#REF!</definedName>
    <definedName name="계약의뢰" localSheetId="0" hidden="1">[12]프랜트면허!#REF!</definedName>
    <definedName name="계약의뢰" localSheetId="2" hidden="1">[12]프랜트면허!#REF!</definedName>
    <definedName name="계약의뢰" hidden="1">[12]프랜트면허!#REF!</definedName>
    <definedName name="계전2" localSheetId="1" hidden="1">#REF!</definedName>
    <definedName name="계전2" localSheetId="0" hidden="1">#REF!</definedName>
    <definedName name="계전2" localSheetId="2" hidden="1">#REF!</definedName>
    <definedName name="계전2" hidden="1">#REF!</definedName>
    <definedName name="계측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" localSheetId="0" hidden="1">{#N/A,#N/A,FALSE,"조골재"}</definedName>
    <definedName name="고" hidden="1">{#N/A,#N/A,FALSE,"조골재"}</definedName>
    <definedName name="곤ㅇ" localSheetId="0" hidden="1">{#N/A,#N/A,FALSE,"전력간선"}</definedName>
    <definedName name="곤ㅇ" hidden="1">{#N/A,#N/A,FALSE,"전력간선"}</definedName>
    <definedName name="곧ㄱ" localSheetId="0" hidden="1">{#N/A,#N/A,FALSE,"Sheet6"}</definedName>
    <definedName name="곧ㄱ" hidden="1">{#N/A,#N/A,FALSE,"Sheet6"}</definedName>
    <definedName name="골조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골조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곰" localSheetId="0" hidden="1">{#N/A,#N/A,FALSE,"구조1"}</definedName>
    <definedName name="곰" hidden="1">{#N/A,#N/A,FALSE,"구조1"}</definedName>
    <definedName name="공공도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기1" localSheetId="1" hidden="1">[13]설계내역서!#REF!</definedName>
    <definedName name="공기1" localSheetId="0" hidden="1">[13]설계내역서!#REF!</definedName>
    <definedName name="공기1" localSheetId="2" hidden="1">[13]설계내역서!#REF!</definedName>
    <definedName name="공기1" hidden="1">[13]설계내역서!#REF!</definedName>
    <definedName name="공내역ㅇ" localSheetId="0" hidden="1">{#N/A,#N/A,FALSE,"Sheet6"}</definedName>
    <definedName name="공내역ㅇ" hidden="1">{#N/A,#N/A,FALSE,"Sheet6"}</definedName>
    <definedName name="공동구토공" localSheetId="0" hidden="1">{#N/A,#N/A,FALSE,"기안지";#N/A,#N/A,FALSE,"통신지"}</definedName>
    <definedName name="공동구토공" hidden="1">{#N/A,#N/A,FALSE,"기안지";#N/A,#N/A,FALSE,"통신지"}</definedName>
    <definedName name="공동구토공2" localSheetId="0" hidden="1">{#N/A,#N/A,FALSE,"기안지";#N/A,#N/A,FALSE,"통신지"}</definedName>
    <definedName name="공동구토공2" hidden="1">{#N/A,#N/A,FALSE,"기안지";#N/A,#N/A,FALSE,"통신지"}</definedName>
    <definedName name="공사원가계산서" localSheetId="0" hidden="1">{#N/A,#N/A,TRUE,"토적및재료집계";#N/A,#N/A,TRUE,"토적및재료집계";#N/A,#N/A,TRUE,"단위량"}</definedName>
    <definedName name="공사원가계산서" hidden="1">{#N/A,#N/A,TRUE,"토적및재료집계";#N/A,#N/A,TRUE,"토적및재료집계";#N/A,#N/A,TRUE,"단위량"}</definedName>
    <definedName name="공양식" localSheetId="0" hidden="1">{#N/A,#N/A,FALSE,"교리2"}</definedName>
    <definedName name="공양식" hidden="1">{#N/A,#N/A,FALSE,"교리2"}</definedName>
    <definedName name="공원등기초" localSheetId="0" hidden="1">{#N/A,#N/A,FALSE,"골재소요량";#N/A,#N/A,FALSE,"골재소요량"}</definedName>
    <definedName name="공원등기초" hidden="1">{#N/A,#N/A,FALSE,"골재소요량";#N/A,#N/A,FALSE,"골재소요량"}</definedName>
    <definedName name="공통가설현장" localSheetId="1" hidden="1">#REF!</definedName>
    <definedName name="공통가설현장" localSheetId="0" hidden="1">#REF!</definedName>
    <definedName name="공통가설현장" localSheetId="2" hidden="1">#REF!</definedName>
    <definedName name="공통가설현장" hidden="1">#REF!</definedName>
    <definedName name="공통비" localSheetId="1" hidden="1">[14]유림골조!#REF!</definedName>
    <definedName name="공통비" localSheetId="0" hidden="1">[14]유림골조!#REF!</definedName>
    <definedName name="공통비" localSheetId="2" hidden="1">[14]유림골조!#REF!</definedName>
    <definedName name="공통비" hidden="1">[14]유림골조!#REF!</definedName>
    <definedName name="관리" localSheetId="0" hidden="1">{#N/A,#N/A,FALSE,"포장2"}</definedName>
    <definedName name="관리" hidden="1">{#N/A,#N/A,FALSE,"포장2"}</definedName>
    <definedName name="관리비2" localSheetId="0" hidden="1">{#N/A,#N/A,FALSE,"갑지";#N/A,#N/A,FALSE,"개요";#N/A,#N/A,FALSE,"비목별";#N/A,#N/A,FALSE,"건물별";#N/A,#N/A,FALSE,"기구표";#N/A,#N/A,FALSE,"직원투입"}</definedName>
    <definedName name="관리비2" hidden="1">{#N/A,#N/A,FALSE,"갑지";#N/A,#N/A,FALSE,"개요";#N/A,#N/A,FALSE,"비목별";#N/A,#N/A,FALSE,"건물별";#N/A,#N/A,FALSE,"기구표";#N/A,#N/A,FALSE,"직원투입"}</definedName>
    <definedName name="교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동토" localSheetId="1" hidden="1">#REF!</definedName>
    <definedName name="교동토" localSheetId="0" hidden="1">#REF!</definedName>
    <definedName name="교동토" localSheetId="2" hidden="1">#REF!</definedName>
    <definedName name="교동토" hidden="1">#REF!</definedName>
    <definedName name="교동토목공사" localSheetId="0" hidden="1">{#N/A,#N/A,FALSE,"이태원철근"}</definedName>
    <definedName name="교동토목공사" hidden="1">{#N/A,#N/A,FALSE,"이태원철근"}</definedName>
    <definedName name="교저ㅕㅛㅈㄷㅈㅅㅅ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저ㅕㅛㅈㄷㅈㅅㅅ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좌" localSheetId="0" hidden="1">{#N/A,#N/A,FALSE,"포장2"}</definedName>
    <definedName name="교좌" hidden="1">{#N/A,#N/A,FALSE,"포장2"}</definedName>
    <definedName name="교ㅑㅐㅐㅑ겨ㅔㅐ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ㅑㅐㅐㅑ겨ㅔㅐ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ㅓ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ㅓ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ㅕㅕㅕ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ㅕㅕㅕ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굗ㄱ" localSheetId="0" hidden="1">{#N/A,#N/A,FALSE,"Sheet6"}</definedName>
    <definedName name="굗ㄱ" hidden="1">{#N/A,#N/A,FALSE,"Sheet6"}</definedName>
    <definedName name="굦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굦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구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본" localSheetId="0" hidden="1">{#N/A,#N/A,FALSE,"Sheet6"}</definedName>
    <definedName name="구본" hidden="1">{#N/A,#N/A,FALSE,"Sheet6"}</definedName>
    <definedName name="구산갑지" localSheetId="1" hidden="1">#REF!</definedName>
    <definedName name="구산갑지" localSheetId="0" hidden="1">#REF!</definedName>
    <definedName name="구산갑지" localSheetId="2" hidden="1">#REF!</definedName>
    <definedName name="구산갑지" hidden="1">#REF!</definedName>
    <definedName name="구자관" localSheetId="0" hidden="1">{#N/A,#N/A,FALSE,"신청통보";#N/A,#N/A,FALSE,"기성확인서";#N/A,#N/A,FALSE,"기성내역서"}</definedName>
    <definedName name="구자관" hidden="1">{#N/A,#N/A,FALSE,"신청통보";#N/A,#N/A,FALSE,"기성확인서";#N/A,#N/A,FALSE,"기성내역서"}</definedName>
    <definedName name="권대협" localSheetId="0" hidden="1">{#N/A,#N/A,FALSE,"CCTV"}</definedName>
    <definedName name="권대협" hidden="1">{#N/A,#N/A,FALSE,"CCTV"}</definedName>
    <definedName name="균" localSheetId="0" hidden="1">{#N/A,#N/A,FALSE,"현장 NCR 분석";#N/A,#N/A,FALSE,"현장품질감사";#N/A,#N/A,FALSE,"현장품질감사"}</definedName>
    <definedName name="균" hidden="1">{#N/A,#N/A,FALSE,"현장 NCR 분석";#N/A,#N/A,FALSE,"현장품질감사";#N/A,#N/A,FALSE,"현장품질감사"}</definedName>
    <definedName name="귱" localSheetId="0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근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강타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강타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광추정" localSheetId="0" hidden="1">{#N/A,#N/A,FALSE,"포장2"}</definedName>
    <definedName name="금광추정" hidden="1">{#N/A,#N/A,FALSE,"포장2"}</definedName>
    <definedName name="금속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속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게실" localSheetId="0" hidden="1">{#N/A,#N/A,FALSE,"지침";#N/A,#N/A,FALSE,"환경분석";#N/A,#N/A,FALSE,"Sheet16"}</definedName>
    <definedName name="기게실" hidden="1">{#N/A,#N/A,FALSE,"지침";#N/A,#N/A,FALSE,"환경분석";#N/A,#N/A,FALSE,"Sheet16"}</definedName>
    <definedName name="기공" localSheetId="1" hidden="1">[15]노임이!#REF!</definedName>
    <definedName name="기공" localSheetId="0" hidden="1">[15]노임이!#REF!</definedName>
    <definedName name="기공" localSheetId="2" hidden="1">[15]노임이!#REF!</definedName>
    <definedName name="기공" hidden="1">[15]노임이!#REF!</definedName>
    <definedName name="기구본사" localSheetId="0" hidden="1">{#N/A,#N/A,FALSE,"갑지";#N/A,#N/A,FALSE,"개요";#N/A,#N/A,FALSE,"비목별";#N/A,#N/A,FALSE,"건물별";#N/A,#N/A,FALSE,"기구표";#N/A,#N/A,FALSE,"직원투입"}</definedName>
    <definedName name="기구본사" hidden="1">{#N/A,#N/A,FALSE,"갑지";#N/A,#N/A,FALSE,"개요";#N/A,#N/A,FALSE,"비목별";#N/A,#N/A,FALSE,"건물별";#N/A,#N/A,FALSE,"기구표";#N/A,#N/A,FALSE,"직원투입"}</definedName>
    <definedName name="기구조직표" localSheetId="0" hidden="1">{#N/A,#N/A,FALSE,"갑지";#N/A,#N/A,FALSE,"개요";#N/A,#N/A,FALSE,"비목별";#N/A,#N/A,FALSE,"건물별";#N/A,#N/A,FALSE,"기구표";#N/A,#N/A,FALSE,"직원투입"}</definedName>
    <definedName name="기구조직표" hidden="1">{#N/A,#N/A,FALSE,"갑지";#N/A,#N/A,FALSE,"개요";#N/A,#N/A,FALSE,"비목별";#N/A,#N/A,FALSE,"건물별";#N/A,#N/A,FALSE,"기구표";#N/A,#N/A,FALSE,"직원투입"}</definedName>
    <definedName name="기구표2" localSheetId="0" hidden="1">{#N/A,#N/A,FALSE,"갑지";#N/A,#N/A,FALSE,"개요";#N/A,#N/A,FALSE,"비목별";#N/A,#N/A,FALSE,"건물별";#N/A,#N/A,FALSE,"기구표";#N/A,#N/A,FALSE,"직원투입"}</definedName>
    <definedName name="기구표2" hidden="1">{#N/A,#N/A,FALSE,"갑지";#N/A,#N/A,FALSE,"개요";#N/A,#N/A,FALSE,"비목별";#N/A,#N/A,FALSE,"건물별";#N/A,#N/A,FALSE,"기구표";#N/A,#N/A,FALSE,"직원투입"}</definedName>
    <definedName name="기기기" localSheetId="1" hidden="1">#REF!</definedName>
    <definedName name="기기기" localSheetId="0" hidden="1">#REF!</definedName>
    <definedName name="기기기" localSheetId="2" hidden="1">#REF!</definedName>
    <definedName name="기기기" hidden="1">#REF!</definedName>
    <definedName name="기성3" localSheetId="0" hidden="1">{#N/A,#N/A,FALSE,"CCTV"}</definedName>
    <definedName name="기성3" hidden="1">{#N/A,#N/A,FALSE,"CCTV"}</definedName>
    <definedName name="기성갑" localSheetId="1" hidden="1">#REF!</definedName>
    <definedName name="기성갑" localSheetId="0" hidden="1">#REF!</definedName>
    <definedName name="기성갑" localSheetId="2" hidden="1">#REF!</definedName>
    <definedName name="기성갑" hidden="1">#REF!</definedName>
    <definedName name="기술" localSheetId="0" hidden="1">{#N/A,#N/A,FALSE,"부대1"}</definedName>
    <definedName name="기술" hidden="1">{#N/A,#N/A,FALSE,"부대1"}</definedName>
    <definedName name="기준일" localSheetId="0" hidden="1">{#N/A,#N/A,FALSE,"지침";#N/A,#N/A,FALSE,"환경분석";#N/A,#N/A,FALSE,"Sheet16"}</definedName>
    <definedName name="기준일" hidden="1">{#N/A,#N/A,FALSE,"지침";#N/A,#N/A,FALSE,"환경분석";#N/A,#N/A,FALSE,"Sheet16"}</definedName>
    <definedName name="길화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건" localSheetId="0" hidden="1">{#N/A,#N/A,FALSE,"도급대비시행율";#N/A,#N/A,FALSE,"결의서";#N/A,#N/A,FALSE,"내역서";#N/A,#N/A,FALSE,"도급예상"}</definedName>
    <definedName name="길화건" hidden="1">{#N/A,#N/A,FALSE,"도급대비시행율";#N/A,#N/A,FALSE,"결의서";#N/A,#N/A,FALSE,"내역서";#N/A,#N/A,FALSE,"도급예상"}</definedName>
    <definedName name="길화건업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길화건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김" localSheetId="1" hidden="1">#REF!</definedName>
    <definedName name="김" localSheetId="0" hidden="1">#REF!</definedName>
    <definedName name="김" localSheetId="2" hidden="1">#REF!</definedName>
    <definedName name="김" hidden="1">#REF!</definedName>
    <definedName name="김1" localSheetId="0" hidden="1">{"'Firr(선)'!$AS$1:$AY$62","'Firr(사)'!$AS$1:$AY$62","'Firr(회)'!$AS$1:$AY$62","'Firr(선)'!$L$1:$V$62","'Firr(사)'!$L$1:$V$62","'Firr(회)'!$L$1:$V$62"}</definedName>
    <definedName name="김1" hidden="1">{"'Firr(선)'!$AS$1:$AY$62","'Firr(사)'!$AS$1:$AY$62","'Firr(회)'!$AS$1:$AY$62","'Firr(선)'!$L$1:$V$62","'Firr(사)'!$L$1:$V$62","'Firr(회)'!$L$1:$V$62"}</definedName>
    <definedName name="김병국임" localSheetId="0" hidden="1">{#N/A,#N/A,FALSE,"단가표지"}</definedName>
    <definedName name="김병국임" hidden="1">{#N/A,#N/A,FALSE,"단가표지"}</definedName>
    <definedName name="김봉만" localSheetId="0" hidden="1">{#N/A,#N/A,FALSE,"교리2"}</definedName>
    <definedName name="김봉만" hidden="1">{#N/A,#N/A,FALSE,"교리2"}</definedName>
    <definedName name="김승주" localSheetId="0" hidden="1">{#N/A,#N/A,FALSE,"교리2"}</definedName>
    <definedName name="김승주" hidden="1">{#N/A,#N/A,FALSE,"교리2"}</definedName>
    <definedName name="김영훈" localSheetId="0" hidden="1">{#N/A,#N/A,FALSE,"변경관리예산";#N/A,#N/A,FALSE,"변경장비예산";#N/A,#N/A,FALSE,"변경준설예산";#N/A,#N/A,FALSE,"변경철구예산"}</definedName>
    <definedName name="김영훈" hidden="1">{#N/A,#N/A,FALSE,"변경관리예산";#N/A,#N/A,FALSE,"변경장비예산";#N/A,#N/A,FALSE,"변경준설예산";#N/A,#N/A,FALSE,"변경철구예산"}</definedName>
    <definedName name="껍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껍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꽥" localSheetId="0" hidden="1">{#N/A,#N/A,TRUE,"960318-1";#N/A,#N/A,TRUE,"960318-2";#N/A,#N/A,TRUE,"960318-3"}</definedName>
    <definedName name="꽥" hidden="1">{#N/A,#N/A,TRUE,"960318-1";#N/A,#N/A,TRUE,"960318-2";#N/A,#N/A,TRUE,"960318-3"}</definedName>
    <definedName name="ㄳㄳㄳㄳ" localSheetId="0" hidden="1">{"'용역비'!$A$4:$C$8"}</definedName>
    <definedName name="ㄳㄳㄳㄳ" hidden="1">{"'용역비'!$A$4:$C$8"}</definedName>
    <definedName name="ㄳㄷ" localSheetId="0" hidden="1">{#N/A,#N/A,FALSE,"Sheet6"}</definedName>
    <definedName name="ㄳㄷ" hidden="1">{#N/A,#N/A,FALSE,"Sheet6"}</definedName>
    <definedName name="ㄳ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ㅎㅂ4ㅁ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ㅎㅂ4ㅁ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ㄱㄹ" localSheetId="1" hidden="1">#REF!</definedName>
    <definedName name="ㄴㄱㄹ" localSheetId="0" hidden="1">#REF!</definedName>
    <definedName name="ㄴㄱㄹ" localSheetId="2" hidden="1">#REF!</definedName>
    <definedName name="ㄴㄱㄹ" hidden="1">#REF!</definedName>
    <definedName name="ㄴㄱ솥ㅀ" localSheetId="0" hidden="1">{#N/A,#N/A,FALSE,"집계표"}</definedName>
    <definedName name="ㄴㄱ솥ㅀ" hidden="1">{#N/A,#N/A,FALSE,"집계표"}</definedName>
    <definedName name="ㄴ거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거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교ㅓㄴ교ㅓ굔거걱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교ㅓㄴ교ㅓ굔거걱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ㄴㄴ" localSheetId="0" hidden="1">{#N/A,#N/A,FALSE,"부대2"}</definedName>
    <definedName name="ㄴㄴㄴ" hidden="1">{#N/A,#N/A,FALSE,"부대2"}</definedName>
    <definedName name="ㄴㄴㄴㄴㄴㄴ" localSheetId="0" hidden="1">{#N/A,#N/A,FALSE,"포장2"}</definedName>
    <definedName name="ㄴㄴㄴㄴㄴㄴ" hidden="1">{#N/A,#N/A,FALSE,"포장2"}</definedName>
    <definedName name="ㄴㄴㅎ" localSheetId="0" hidden="1">{#N/A,#N/A,FALSE,"집계표"}</definedName>
    <definedName name="ㄴㄴㅎ" hidden="1">{#N/A,#N/A,FALSE,"집계표"}</definedName>
    <definedName name="ㄴ너넌ㄱㅎ" localSheetId="0" hidden="1">{#N/A,#N/A,FALSE,"집계표"}</definedName>
    <definedName name="ㄴ너넌ㄱㅎ" hidden="1">{#N/A,#N/A,FALSE,"집계표"}</definedName>
    <definedName name="ㄴ눀너노" localSheetId="0" hidden="1">{#N/A,#N/A,FALSE,"집계표"}</definedName>
    <definedName name="ㄴ눀너노" hidden="1">{#N/A,#N/A,FALSE,"집계표"}</definedName>
    <definedName name="ㄴㄶ" localSheetId="0" hidden="1">{#N/A,#N/A,FALSE,"집계표"}</definedName>
    <definedName name="ㄴㄶ" hidden="1">{#N/A,#N/A,FALSE,"집계표"}</definedName>
    <definedName name="ㄴㄷㄱㅈ" localSheetId="0" hidden="1">{#N/A,#N/A,FALSE,"Sheet6"}</definedName>
    <definedName name="ㄴㄷㄱㅈ" hidden="1">{#N/A,#N/A,FALSE,"Sheet6"}</definedName>
    <definedName name="ㄴㄹ" localSheetId="0" hidden="1">{#N/A,#N/A,FALSE,"집계표"}</definedName>
    <definedName name="ㄴㄹ" hidden="1">{#N/A,#N/A,FALSE,"집계표"}</definedName>
    <definedName name="ㄴㄹㄴ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ㄴ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셔ㅓㅗㅛㄴ갸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셔ㅓㅗㅛㄴ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ㅇ호" localSheetId="0" hidden="1">{#N/A,#N/A,FALSE,"집계표"}</definedName>
    <definedName name="ㄴㄹㅇ호" hidden="1">{#N/A,#N/A,FALSE,"집계표"}</definedName>
    <definedName name="ㄴ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로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로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ㅓㄴ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ㅓㄴ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ㅜㅛㅗㅈㄴ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ㅜㅛㅗㅈㄴ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겆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겆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호소ㅗㅅ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호소ㅗㅅ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후ㅗ너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후ㅗ너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라ㅓㅗ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라ㅓㅗ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ㅏ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ㅏ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ㅓㅗ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ㅓㅗ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ㅕㅅ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ㅕㅅ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ㅗ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ㅗ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ㅛㅅ요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ㅛㅅ요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ㄷ소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ㄷ소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ㄴㅇㅋ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ㄴㅇㅋ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런ㄹ료녀ㅓ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런ㄹ료녀ㅓ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럴놔ㅓㄴ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럴놔ㅓㄴ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렇ㅈ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렇ㅈ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ㄷㅅㅅ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ㄷㅅㅅ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ㅗ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ㅗ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ㅛ서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ㅛ서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료ㅕㅓㅛ나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료ㅕㅓㅛ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ㄺㄷ" localSheetId="0" hidden="1">{#N/A,#N/A,FALSE,"현장 NCR 분석";#N/A,#N/A,FALSE,"현장품질감사";#N/A,#N/A,FALSE,"현장품질감사"}</definedName>
    <definedName name="ㄴㄺㄷ" hidden="1">{#N/A,#N/A,FALSE,"현장 NCR 분석";#N/A,#N/A,FALSE,"현장품질감사";#N/A,#N/A,FALSE,"현장품질감사"}</definedName>
    <definedName name="ㄴㅀ" localSheetId="1" hidden="1">#REF!</definedName>
    <definedName name="ㄴㅀ" localSheetId="0" hidden="1">#REF!</definedName>
    <definedName name="ㄴㅀ" localSheetId="2" hidden="1">#REF!</definedName>
    <definedName name="ㄴㅀ" hidden="1">#REF!</definedName>
    <definedName name="ㄴㅁ" localSheetId="1" hidden="1">#REF!</definedName>
    <definedName name="ㄴㅁ" localSheetId="0" hidden="1">#REF!</definedName>
    <definedName name="ㄴㅁ" localSheetId="2" hidden="1">#REF!</definedName>
    <definedName name="ㄴㅁ" hidden="1">#REF!</definedName>
    <definedName name="ㄴㅁㄴㅇㄹ" localSheetId="0" hidden="1">{#N/A,#N/A,FALSE,"집계표"}</definedName>
    <definedName name="ㄴㅁㄴㅇㄹ" hidden="1">{#N/A,#N/A,FALSE,"집계표"}</definedName>
    <definedName name="ㄴㅁㄹ아ㅣㅏ" localSheetId="0" hidden="1">{#N/A,#N/A,FALSE,"집계표"}</definedName>
    <definedName name="ㄴㅁㄹ아ㅣㅏ" hidden="1">{#N/A,#N/A,FALSE,"집계표"}</definedName>
    <definedName name="ㄴㅁㅇㄹ" localSheetId="0" hidden="1">{#N/A,#N/A,FALSE,"집계표"}</definedName>
    <definedName name="ㄴㅁㅇㄹ" hidden="1">{#N/A,#N/A,FALSE,"집계표"}</definedName>
    <definedName name="ㄴㅁㅇ라ㅓ" localSheetId="0" hidden="1">{#N/A,#N/A,FALSE,"집계표"}</definedName>
    <definedName name="ㄴㅁㅇ라ㅓ" hidden="1">{#N/A,#N/A,FALSE,"집계표"}</definedName>
    <definedName name="ㄴㅁ아겈" localSheetId="0" hidden="1">{#N/A,#N/A,FALSE,"집계표"}</definedName>
    <definedName name="ㄴㅁ아겈" hidden="1">{#N/A,#N/A,FALSE,"집계표"}</definedName>
    <definedName name="ㄴㅁ아ㅓ린ㅁ" localSheetId="0" hidden="1">{#N/A,#N/A,FALSE,"집계표"}</definedName>
    <definedName name="ㄴㅁ아ㅓ린ㅁ" hidden="1">{#N/A,#N/A,FALSE,"집계표"}</definedName>
    <definedName name="ㄴㅁ허ㅗ러ㅏㅗ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ㅁ허ㅗ러ㅏㅗ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마ㅓㅇㅎ리ㅏㅇㄴ" localSheetId="0" hidden="1">{#N/A,#N/A,FALSE,"집계표"}</definedName>
    <definedName name="ㄴ마ㅓㅇㅎ리ㅏㅇㄴ" hidden="1">{#N/A,#N/A,FALSE,"집계표"}</definedName>
    <definedName name="ㄴ뫃ㄴ오" localSheetId="0" hidden="1">{#N/A,#N/A,FALSE,"집계표"}</definedName>
    <definedName name="ㄴ뫃ㄴ오" hidden="1">{#N/A,#N/A,FALSE,"집계표"}</definedName>
    <definedName name="ㄴㅅ교ㅑㅕ쇼ㅏㅐ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ㅅ교ㅑㅕ쇼ㅏㅐ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쇼ㅏ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쇼ㅏ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" localSheetId="1" hidden="1">#REF!</definedName>
    <definedName name="ㄴㅇ" localSheetId="0" hidden="1">#REF!</definedName>
    <definedName name="ㄴㅇ" localSheetId="2" hidden="1">#REF!</definedName>
    <definedName name="ㄴㅇ" hidden="1">#REF!</definedName>
    <definedName name="ㄴㅇ다ㅓㅀㅌ" localSheetId="0" hidden="1">{#N/A,#N/A,FALSE,"집계표"}</definedName>
    <definedName name="ㄴㅇ다ㅓㅀㅌ" hidden="1">{#N/A,#N/A,FALSE,"집계표"}</definedName>
    <definedName name="ㄴㅇ닳ㅌ처" localSheetId="0" hidden="1">{#N/A,#N/A,FALSE,"집계표"}</definedName>
    <definedName name="ㄴㅇ닳ㅌ처" hidden="1">{#N/A,#N/A,FALSE,"집계표"}</definedName>
    <definedName name="ㄴㅇㄹ" localSheetId="1" hidden="1">#REF!</definedName>
    <definedName name="ㄴㅇㄹ" localSheetId="0" hidden="1">#REF!</definedName>
    <definedName name="ㄴㅇㄹ" localSheetId="2" hidden="1">#REF!</definedName>
    <definedName name="ㄴㅇㄹ" hidden="1">#REF!</definedName>
    <definedName name="ㄴㅇㄹㄴ" localSheetId="0" hidden="1">{#N/A,#N/A,FALSE,"사업총괄";#N/A,#N/A,FALSE,"장비사업";#N/A,#N/A,FALSE,"철구사업";#N/A,#N/A,FALSE,"준설사업"}</definedName>
    <definedName name="ㄴㅇㄹㄴ" hidden="1">{#N/A,#N/A,FALSE,"사업총괄";#N/A,#N/A,FALSE,"장비사업";#N/A,#N/A,FALSE,"철구사업";#N/A,#N/A,FALSE,"준설사업"}</definedName>
    <definedName name="ㄴㅇㄹㅇㄴ" localSheetId="1" hidden="1">#REF!</definedName>
    <definedName name="ㄴㅇㄹㅇㄴ" localSheetId="0" hidden="1">#REF!</definedName>
    <definedName name="ㄴㅇㄹㅇㄴ" localSheetId="2" hidden="1">#REF!</definedName>
    <definedName name="ㄴㅇㄹㅇㄴ" hidden="1">#REF!</definedName>
    <definedName name="ㄴㅇㄹ하ㅓ" localSheetId="0" hidden="1">{#N/A,#N/A,FALSE,"집계표"}</definedName>
    <definedName name="ㄴㅇㄹ하ㅓ" hidden="1">{#N/A,#N/A,FALSE,"집계표"}</definedName>
    <definedName name="ㄴㅇ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헤ㅐㅇㅅㄱㄷ" localSheetId="0" hidden="1">{#N/A,#N/A,FALSE,"집계표"}</definedName>
    <definedName name="ㄴㅇㄹ헤ㅐㅇㅅㄱㄷ" hidden="1">{#N/A,#N/A,FALSE,"집계표"}</definedName>
    <definedName name="ㄴㅇㄹ호" localSheetId="0" hidden="1">{#N/A,#N/A,FALSE,"집계표"}</definedName>
    <definedName name="ㄴㅇㄹ호" hidden="1">{#N/A,#N/A,FALSE,"집계표"}</definedName>
    <definedName name="ㄴㅇㄹ히ㅏㅓ" localSheetId="0" hidden="1">{#N/A,#N/A,FALSE,"집계표"}</definedName>
    <definedName name="ㄴㅇㄹ히ㅏㅓ" hidden="1">{#N/A,#N/A,FALSE,"집계표"}</definedName>
    <definedName name="ㄴㅇㄹ히ㅏㅓㄴㅇㄹ하ㅓ" localSheetId="0" hidden="1">{#N/A,#N/A,FALSE,"집계표"}</definedName>
    <definedName name="ㄴㅇㄹ히ㅏㅓㄴㅇㄹ하ㅓ" hidden="1">{#N/A,#N/A,FALSE,"집계표"}</definedName>
    <definedName name="ㄴㅇ레ㅔㅔ" localSheetId="0" hidden="1">{#N/A,#N/A,FALSE,"집계표"}</definedName>
    <definedName name="ㄴㅇ레ㅔㅔ" hidden="1">{#N/A,#N/A,FALSE,"집계표"}</definedName>
    <definedName name="ㄴㅇ로" localSheetId="0" hidden="1">{#N/A,#N/A,FALSE,"집계표"}</definedName>
    <definedName name="ㄴㅇ로" hidden="1">{#N/A,#N/A,FALSE,"집계표"}</definedName>
    <definedName name="ㄴㅇㄻㅇㄴ" localSheetId="0" hidden="1">{#N/A,#N/A,FALSE,"집계표"}</definedName>
    <definedName name="ㄴㅇㄻㅇㄴ" hidden="1">{#N/A,#N/A,FALSE,"집계표"}</definedName>
    <definedName name="ㄴㅇㅀㄴ" localSheetId="0" hidden="1">{#N/A,#N/A,FALSE,"집계표"}</definedName>
    <definedName name="ㄴㅇㅀㄴ" hidden="1">{#N/A,#N/A,FALSE,"집계표"}</definedName>
    <definedName name="ㄴㅇㅀㄴㅇㅀ" localSheetId="1" hidden="1">#REF!</definedName>
    <definedName name="ㄴㅇㅀㄴㅇㅀ" localSheetId="0" hidden="1">#REF!</definedName>
    <definedName name="ㄴㅇㅀㄴㅇㅀ" localSheetId="2" hidden="1">#REF!</definedName>
    <definedName name="ㄴㅇㅀㄴㅇㅀ" hidden="1">#REF!</definedName>
    <definedName name="ㄴㅇㅀㄹ" localSheetId="0" hidden="1">{#N/A,#N/A,FALSE,"집계표"}</definedName>
    <definedName name="ㄴㅇㅀㄹ" hidden="1">{#N/A,#N/A,FALSE,"집계표"}</definedName>
    <definedName name="ㄴㅇㅀㅇ" localSheetId="0" hidden="1">{#N/A,#N/A,FALSE,"집계표"}</definedName>
    <definedName name="ㄴㅇㅀㅇ" hidden="1">{#N/A,#N/A,FALSE,"집계표"}</definedName>
    <definedName name="ㄴㅇㅀㅇㄶ" localSheetId="0" hidden="1">{#N/A,#N/A,FALSE,"집계표"}</definedName>
    <definedName name="ㄴㅇㅀㅇㄶ" hidden="1">{#N/A,#N/A,FALSE,"집계표"}</definedName>
    <definedName name="ㄴㅇㅁㅎ리ㅏㅓㅣ" localSheetId="0" hidden="1">{#N/A,#N/A,FALSE,"집계표"}</definedName>
    <definedName name="ㄴㅇㅁㅎ리ㅏㅓㅣ" hidden="1">{#N/A,#N/A,FALSE,"집계표"}</definedName>
    <definedName name="ㄴㅇㅅ" localSheetId="0" hidden="1">{#N/A,#N/A,FALSE,"집계표"}</definedName>
    <definedName name="ㄴㅇㅅ" hidden="1">{#N/A,#N/A,FALSE,"집계표"}</definedName>
    <definedName name="ㄴㅇㅇㄴㄱ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ㅇㄴㄱ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ㅎ" localSheetId="0" hidden="1">{#N/A,#N/A,FALSE,"현장 NCR 분석";#N/A,#N/A,FALSE,"현장품질감사";#N/A,#N/A,FALSE,"현장품질감사"}</definedName>
    <definedName name="ㄴㅇㅎ" hidden="1">{#N/A,#N/A,FALSE,"현장 NCR 분석";#N/A,#N/A,FALSE,"현장품질감사";#N/A,#N/A,FALSE,"현장품질감사"}</definedName>
    <definedName name="ㄴㅇㅎㄴㄹㅇ" localSheetId="1" hidden="1">#REF!</definedName>
    <definedName name="ㄴㅇㅎㄴㄹㅇ" localSheetId="0" hidden="1">#REF!</definedName>
    <definedName name="ㄴㅇㅎㄴㄹㅇ" localSheetId="2" hidden="1">#REF!</definedName>
    <definedName name="ㄴㅇㅎㄴㄹㅇ" hidden="1">#REF!</definedName>
    <definedName name="ㄴㅇㅎㄹ" localSheetId="0" hidden="1">{#N/A,#N/A,FALSE,"집계표"}</definedName>
    <definedName name="ㄴㅇㅎㄹ" hidden="1">{#N/A,#N/A,FALSE,"집계표"}</definedName>
    <definedName name="ㄴㅇㅎ리ㅏ" localSheetId="0" hidden="1">{#N/A,#N/A,FALSE,"집계표"}</definedName>
    <definedName name="ㄴㅇㅎ리ㅏ" hidden="1">{#N/A,#N/A,FALSE,"집계표"}</definedName>
    <definedName name="ㄴㅇㅎ리ㅏㅓㅊㅌ" localSheetId="0" hidden="1">{#N/A,#N/A,FALSE,"집계표"}</definedName>
    <definedName name="ㄴㅇㅎ리ㅏㅓㅊㅌ" hidden="1">{#N/A,#N/A,FALSE,"집계표"}</definedName>
    <definedName name="ㄴㅇ홎ㅁㄱ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홎ㅁㄱ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어" localSheetId="0" hidden="1">{#N/A,#N/A,FALSE,"집계표"}</definedName>
    <definedName name="ㄴ어" hidden="1">{#N/A,#N/A,FALSE,"집계표"}</definedName>
    <definedName name="ㄴ어ㅏ엉ㄹ" localSheetId="0" hidden="1">{#N/A,#N/A,FALSE,"집계표"}</definedName>
    <definedName name="ㄴ어ㅏ엉ㄹ" hidden="1">{#N/A,#N/A,FALSE,"집계표"}</definedName>
    <definedName name="ㄴ온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온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옿ㅅㄴㅇ" localSheetId="0" hidden="1">{#N/A,#N/A,FALSE,"집계표"}</definedName>
    <definedName name="ㄴ옿ㅅㄴㅇ" hidden="1">{#N/A,#N/A,FALSE,"집계표"}</definedName>
    <definedName name="ㄴ이라ㅓㅎ" localSheetId="0" hidden="1">{#N/A,#N/A,FALSE,"집계표"}</definedName>
    <definedName name="ㄴ이라ㅓㅎ" hidden="1">{#N/A,#N/A,FALSE,"집계표"}</definedName>
    <definedName name="ㄴ이ㅏ렇" localSheetId="0" hidden="1">{#N/A,#N/A,FALSE,"집계표"}</definedName>
    <definedName name="ㄴ이ㅏ렇" hidden="1">{#N/A,#N/A,FALSE,"집계표"}</definedName>
    <definedName name="ㄴ이ㅏㅎ러" localSheetId="0" hidden="1">{#N/A,#N/A,FALSE,"집계표"}</definedName>
    <definedName name="ㄴ이ㅏㅎ러" hidden="1">{#N/A,#N/A,FALSE,"집계표"}</definedName>
    <definedName name="ㄴ이ㅏㅎ러ㅗ" localSheetId="0" hidden="1">{#N/A,#N/A,FALSE,"집계표"}</definedName>
    <definedName name="ㄴ이ㅏㅎ러ㅗ" hidden="1">{#N/A,#N/A,FALSE,"집계표"}</definedName>
    <definedName name="ㄴ잏라ㅓ" localSheetId="0" hidden="1">{#N/A,#N/A,FALSE,"집계표"}</definedName>
    <definedName name="ㄴ잏라ㅓ" hidden="1">{#N/A,#N/A,FALSE,"집계표"}</definedName>
    <definedName name="ㄴ잏라ㅓㅣㅏㅇㄴㅀ" localSheetId="0" hidden="1">{#N/A,#N/A,FALSE,"집계표"}</definedName>
    <definedName name="ㄴ잏라ㅓㅣㅏㅇㄴㅀ" hidden="1">{#N/A,#N/A,FALSE,"집계표"}</definedName>
    <definedName name="ㄴ젖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젖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ㅊㅌㅇㅍ" localSheetId="0" hidden="1">{#N/A,#N/A,FALSE,"집계표"}</definedName>
    <definedName name="ㄴㅊㅌㅇㅍ" hidden="1">{#N/A,#N/A,FALSE,"집계표"}</definedName>
    <definedName name="ㄴ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홎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홎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ㅗㅎ" localSheetId="0" hidden="1">{#N/A,#N/A,FALSE,"집계표"}</definedName>
    <definedName name="ㄴㅗㅎ" hidden="1">{#N/A,#N/A,FALSE,"집계표"}</definedName>
    <definedName name="나" localSheetId="0" hidden="1">{#N/A,#N/A,FALSE,"교리2"}</definedName>
    <definedName name="나" hidden="1">{#N/A,#N/A,FALSE,"교리2"}</definedName>
    <definedName name="나나너넌너" localSheetId="0" hidden="1">{#N/A,#N/A,FALSE,"집계표"}</definedName>
    <definedName name="나나너넌너" hidden="1">{#N/A,#N/A,FALSE,"집계표"}</definedName>
    <definedName name="나난" localSheetId="0" hidden="1">{#N/A,#N/A,FALSE,"주간공정";#N/A,#N/A,FALSE,"주간보고";#N/A,#N/A,FALSE,"주간공정표"}</definedName>
    <definedName name="나난" hidden="1">{#N/A,#N/A,FALSE,"주간공정";#N/A,#N/A,FALSE,"주간보고";#N/A,#N/A,FALSE,"주간공정표"}</definedName>
    <definedName name="나는" localSheetId="0" hidden="1">{#N/A,#N/A,FALSE,"집계표"}</definedName>
    <definedName name="나는" hidden="1">{#N/A,#N/A,FALSE,"집계표"}</definedName>
    <definedName name="나ㅏㅓ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난ㄴ난나ㅏ난" localSheetId="0" hidden="1">{#N/A,#N/A,FALSE,"집계표"}</definedName>
    <definedName name="난ㄴ난나ㅏ난" hidden="1">{#N/A,#N/A,FALSE,"집계표"}</definedName>
    <definedName name="난나ㅏㄴ" localSheetId="0" hidden="1">{#N/A,#N/A,FALSE,"집계표"}</definedName>
    <definedName name="난나ㅏㄴ" hidden="1">{#N/A,#N/A,FALSE,"집계표"}</definedName>
    <definedName name="난느오늘" localSheetId="0" hidden="1">{#N/A,#N/A,FALSE,"집계표"}</definedName>
    <definedName name="난느오늘" hidden="1">{#N/A,#N/A,FALSE,"집계표"}</definedName>
    <definedName name="남남" localSheetId="1" hidden="1">#REF!</definedName>
    <definedName name="남남" localSheetId="0" hidden="1">#REF!</definedName>
    <definedName name="남남" localSheetId="2" hidden="1">#REF!</definedName>
    <definedName name="남남" hidden="1">#REF!</definedName>
    <definedName name="내역" localSheetId="1" hidden="1">[2]금융!#REF!</definedName>
    <definedName name="내역" localSheetId="0" hidden="1">[2]금융!#REF!</definedName>
    <definedName name="내역" localSheetId="2" hidden="1">[2]금융!#REF!</definedName>
    <definedName name="내역" hidden="1">[2]금융!#REF!</definedName>
    <definedName name="내역산출근거" localSheetId="0" hidden="1">{#N/A,#N/A,TRUE,"1";#N/A,#N/A,TRUE,"2";#N/A,#N/A,TRUE,"3";#N/A,#N/A,TRUE,"4";#N/A,#N/A,TRUE,"5";#N/A,#N/A,TRUE,"6";#N/A,#N/A,TRUE,"7"}</definedName>
    <definedName name="내역산출근거" hidden="1">{#N/A,#N/A,TRUE,"1";#N/A,#N/A,TRUE,"2";#N/A,#N/A,TRUE,"3";#N/A,#N/A,TRUE,"4";#N/A,#N/A,TRUE,"5";#N/A,#N/A,TRUE,"6";#N/A,#N/A,TRUE,"7"}</definedName>
    <definedName name="내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를" localSheetId="0" hidden="1">{#N/A,#N/A,FALSE,"집계표"}</definedName>
    <definedName name="너를" hidden="1">{#N/A,#N/A,FALSE,"집계표"}</definedName>
    <definedName name="너호라ㅓ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호라ㅓ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뇨ㅜ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뇨ㅜ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ㅗ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ㅗ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ㄴ호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ㄴ호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노허나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노허나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논현동외" localSheetId="0" hidden="1">{#N/A,#N/A,FALSE,"Sheet6"}</definedName>
    <definedName name="논현동외" hidden="1">{#N/A,#N/A,FALSE,"Sheet6"}</definedName>
    <definedName name="놓ㄹㅇ" localSheetId="0" hidden="1">{#N/A,#N/A,FALSE,"집계표"}</definedName>
    <definedName name="놓ㄹㅇ" hidden="1">{#N/A,#N/A,FALSE,"집계표"}</definedName>
    <definedName name="뇫" localSheetId="0" hidden="1">{#N/A,#N/A,FALSE,"집계표"}</definedName>
    <definedName name="뇫" hidden="1">{#N/A,#N/A,FALSE,"집계표"}</definedName>
    <definedName name="니기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니기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니니ㅣㄴ" localSheetId="0" hidden="1">{#N/A,#N/A,FALSE,"주간공정";#N/A,#N/A,FALSE,"주간보고";#N/A,#N/A,FALSE,"주간공정표"}</definedName>
    <definedName name="니니ㅣㄴ" hidden="1">{#N/A,#N/A,FALSE,"주간공정";#N/A,#N/A,FALSE,"주간보고";#N/A,#N/A,FALSE,"주간공정표"}</definedName>
    <definedName name="ㄶ" localSheetId="0" hidden="1">{#N/A,#N/A,FALSE,"집계표"}</definedName>
    <definedName name="ㄶ" hidden="1">{#N/A,#N/A,FALSE,"집계표"}</definedName>
    <definedName name="ㄷㄱ" localSheetId="0" hidden="1">{#N/A,#N/A,FALSE,"포장2"}</definedName>
    <definedName name="ㄷㄱ" hidden="1">{#N/A,#N/A,FALSE,"포장2"}</definedName>
    <definedName name="ㄷ교럻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교럻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ㅎㄷㅂ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ㅎㄷㅂ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ㄹ햐" localSheetId="0" hidden="1">{#N/A,#N/A,FALSE,"지침";#N/A,#N/A,FALSE,"환경분석";#N/A,#N/A,FALSE,"Sheet16"}</definedName>
    <definedName name="ㄷㄹ햐" hidden="1">{#N/A,#N/A,FALSE,"지침";#N/A,#N/A,FALSE,"환경분석";#N/A,#N/A,FALSE,"Sheet16"}</definedName>
    <definedName name="ㄷㅁㄱ혿호ㄷㅂㄱ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ㅁㄱ혿호ㄷㅂㄱ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ㄱㄷㅂ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ㄱㄷㅂ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ㄳ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ㄳ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ㅅ여ㅏ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ㅅ여ㅏ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삳ㄷㄷㄷㄷㄷ셔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삳ㄷㄷㄷㄷㄷ셔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ㅏㅛ됴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ㅏㅛ됴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ㅕㄷㅅ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ㅕㄷㅅ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ㅑ쇼ㅕㅐㅛㅕ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ㅑ쇼ㅕㅐㅛㅕ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셧됻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셧됻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ㅏㅓㅕㄷㅅ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ㅏㅓㅕㄷㅅ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ㅏㄷ셔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ㅏㄷ셔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ㅕㄷ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ㅕㄷ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ㄷ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ㄷ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ㅅ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ㅅ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ㅏ겨ㅕㄷ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ㅏ겨ㅕㄷ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ㅕㄷ사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ㅕㄷ사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ㄷ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ㄷ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셔ㅑㅕ대뎟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셔ㅑㅕ대뎟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ㅊ" localSheetId="0" hidden="1">{#N/A,#N/A,FALSE,"집계표"}</definedName>
    <definedName name="ㄷㅇㅊ" hidden="1">{#N/A,#N/A,FALSE,"집계표"}</definedName>
    <definedName name="ㄷㅈ" localSheetId="0" hidden="1">{#N/A,#N/A,FALSE,"전력간선"}</definedName>
    <definedName name="ㄷㅈ" hidden="1">{#N/A,#N/A,FALSE,"전력간선"}</definedName>
    <definedName name="ㄷㅈㄱ" localSheetId="0" hidden="1">{#N/A,#N/A,FALSE,"포장1";#N/A,#N/A,FALSE,"포장1"}</definedName>
    <definedName name="ㄷㅈㄱ" hidden="1">{#N/A,#N/A,FALSE,"포장1";#N/A,#N/A,FALSE,"포장1"}</definedName>
    <definedName name="ㄷㅈ거" localSheetId="0" hidden="1">{#N/A,#N/A,FALSE,"집계표"}</definedName>
    <definedName name="ㄷㅈ거" hidden="1">{#N/A,#N/A,FALSE,"집계표"}</definedName>
    <definedName name="ㄷㅈ쇼ㅗㄱ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ㅈ쇼ㅗㄱ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죠ㅕㅓㄷ쇼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죠ㅕㅓㄷ쇼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ㅎㄹㅇ" localSheetId="1" hidden="1">#REF!</definedName>
    <definedName name="ㄷㅎㄹㅇ" localSheetId="0" hidden="1">#REF!</definedName>
    <definedName name="ㄷㅎㄹㅇ" localSheetId="2" hidden="1">#REF!</definedName>
    <definedName name="ㄷㅎㄹㅇ" hidden="1">#REF!</definedName>
    <definedName name="다라" localSheetId="0" hidden="1">{#N/A,#N/A,FALSE,"표지목차"}</definedName>
    <definedName name="다라" hidden="1">{#N/A,#N/A,FALSE,"표지목차"}</definedName>
    <definedName name="단가대" localSheetId="1" hidden="1">#REF!</definedName>
    <definedName name="단가대" localSheetId="0" hidden="1">#REF!</definedName>
    <definedName name="단가대" localSheetId="2" hidden="1">#REF!</definedName>
    <definedName name="단가대" hidden="1">#REF!</definedName>
    <definedName name="단가조사자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대대대대" localSheetId="0" hidden="1">{#N/A,#N/A,FALSE,"주간공정";#N/A,#N/A,FALSE,"주간보고";#N/A,#N/A,FALSE,"주간공정표"}</definedName>
    <definedName name="대대대대대" hidden="1">{#N/A,#N/A,FALSE,"주간공정";#N/A,#N/A,FALSE,"주간보고";#N/A,#N/A,FALSE,"주간공정표"}</definedName>
    <definedName name="대덕" localSheetId="0" hidden="1">{#N/A,#N/A,FALSE,"CCTV"}</definedName>
    <definedName name="대덕" hidden="1">{#N/A,#N/A,FALSE,"CCTV"}</definedName>
    <definedName name="대비" localSheetId="0" hidden="1">{#N/A,#N/A,FALSE,"CCTV"}</definedName>
    <definedName name="대비" hidden="1">{#N/A,#N/A,FALSE,"CCTV"}</definedName>
    <definedName name="대상" localSheetId="0" hidden="1">{"'용역비'!$A$4:$C$8"}</definedName>
    <definedName name="대상" hidden="1">{"'용역비'!$A$4:$C$8"}</definedName>
    <definedName name="대표회의" localSheetId="0" hidden="1">{#N/A,#N/A,FALSE,"현장 NCR 분석";#N/A,#N/A,FALSE,"현장품질감사";#N/A,#N/A,FALSE,"현장품질감사"}</definedName>
    <definedName name="대표회의" hidden="1">{#N/A,#N/A,FALSE,"현장 NCR 분석";#N/A,#N/A,FALSE,"현장품질감사";#N/A,#N/A,FALSE,"현장품질감사"}</definedName>
    <definedName name="댜ㅕㅑㅕ셪ㄷ둇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댜ㅕㅑㅕ셪ㄷ둇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ㅕㅛㅕ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ㅕㅛㅕ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덕" localSheetId="0" hidden="1">{#N/A,#N/A,FALSE,"포장2"}</definedName>
    <definedName name="덕" hidden="1">{#N/A,#N/A,FALSE,"포장2"}</definedName>
    <definedName name="덕진" localSheetId="0" hidden="1">{#N/A,#N/A,FALSE,"포장2"}</definedName>
    <definedName name="덕진" hidden="1">{#N/A,#N/A,FALSE,"포장2"}</definedName>
    <definedName name="덕호" localSheetId="0" hidden="1">{#N/A,#N/A,FALSE,"포장2"}</definedName>
    <definedName name="덕호" hidden="1">{#N/A,#N/A,FALSE,"포장2"}</definedName>
    <definedName name="뎌ㅐㄷ쇼ㅕㅐ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뎌ㅐㄷ쇼ㅕㅐ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4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4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총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총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확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확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용" localSheetId="1" hidden="1">#REF!</definedName>
    <definedName name="도용" localSheetId="0" hidden="1">#REF!</definedName>
    <definedName name="도용" localSheetId="2" hidden="1">#REF!</definedName>
    <definedName name="도용" hidden="1">#REF!</definedName>
    <definedName name="도장" localSheetId="0" hidden="1">{#N/A,#N/A,FALSE,"Sheet1"}</definedName>
    <definedName name="도장" hidden="1">{#N/A,#N/A,FALSE,"Sheet1"}</definedName>
    <definedName name="독립기초" localSheetId="0" hidden="1">{#N/A,#N/A,FALSE,"기안지";#N/A,#N/A,FALSE,"통신지"}</definedName>
    <definedName name="독립기초" hidden="1">{#N/A,#N/A,FALSE,"기안지";#N/A,#N/A,FALSE,"통신지"}</definedName>
    <definedName name="독립기초토공수량산출" localSheetId="0" hidden="1">{#N/A,#N/A,FALSE,"기안지";#N/A,#N/A,FALSE,"통신지"}</definedName>
    <definedName name="독립기초토공수량산출" hidden="1">{#N/A,#N/A,FALSE,"기안지";#N/A,#N/A,FALSE,"통신지"}</definedName>
    <definedName name="동력및간선" localSheetId="0" hidden="1">{#N/A,#N/A,FALSE,"전력간선"}</definedName>
    <definedName name="동력및간선" hidden="1">{#N/A,#N/A,FALSE,"전력간선"}</definedName>
    <definedName name="동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됴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됴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머ㅣㅏ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머ㅣㅏ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ㅇㄹㄴㅇㄹㄴㄱㄴㅇ" localSheetId="0" hidden="1">{#N/A,#N/A,FALSE,"지침";#N/A,#N/A,FALSE,"환경분석";#N/A,#N/A,FALSE,"Sheet16"}</definedName>
    <definedName name="ㄹㄴㅇㄹㄴㅇㄹㄴㄱㄴㅇ" hidden="1">{#N/A,#N/A,FALSE,"지침";#N/A,#N/A,FALSE,"환경분석";#N/A,#N/A,FALSE,"Sheet16"}</definedName>
    <definedName name="ㄹㄴ헛혀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헛혀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호ㅛㅈㄱ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호ㅛㅈㄱ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넌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넌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놔ㅏㅗ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놔ㅏㅗ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ㄶㅗ" localSheetId="0" hidden="1">{#N/A,#N/A,FALSE,"집계표"}</definedName>
    <definedName name="ㄹㄶㅗ" hidden="1">{#N/A,#N/A,FALSE,"집계표"}</definedName>
    <definedName name="ㄹㄷㅅ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ㄷㅅ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0" hidden="1">{#N/A,#N/A,FALSE,"Sheet1"}</definedName>
    <definedName name="ㄹㄹ" hidden="1">{#N/A,#N/A,FALSE,"Sheet1"}</definedName>
    <definedName name="ㄹㄹㄹ" localSheetId="1" hidden="1">#REF!</definedName>
    <definedName name="ㄹㄹㄹ" localSheetId="0" hidden="1">#REF!</definedName>
    <definedName name="ㄹㄹㄹ" localSheetId="2" hidden="1">#REF!</definedName>
    <definedName name="ㄹㄹㄹ" hidden="1">#REF!</definedName>
    <definedName name="ㄹㄹㅇㄴ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ㄹㄹㅇㄴㄹㅇㄶㅀ" localSheetId="0" hidden="1">{#N/A,#N/A,FALSE,"집계표"}</definedName>
    <definedName name="ㄹㄹㅇㄴㄹㄹㅇㄴㄹㅇㄶㅀ" hidden="1">{#N/A,#N/A,FALSE,"집계표"}</definedName>
    <definedName name="ㄹㅇ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ㅁ" localSheetId="0" hidden="1">{#N/A,#N/A,TRUE,"1";#N/A,#N/A,TRUE,"2";#N/A,#N/A,TRUE,"3";#N/A,#N/A,TRUE,"4";#N/A,#N/A,TRUE,"5";#N/A,#N/A,TRUE,"6";#N/A,#N/A,TRUE,"7"}</definedName>
    <definedName name="ㄹㅇㄴㅁ" hidden="1">{#N/A,#N/A,TRUE,"1";#N/A,#N/A,TRUE,"2";#N/A,#N/A,TRUE,"3";#N/A,#N/A,TRUE,"4";#N/A,#N/A,TRUE,"5";#N/A,#N/A,TRUE,"6";#N/A,#N/A,TRUE,"7"}</definedName>
    <definedName name="ㄹㅇㄴㅇㄴㅇㄹㅇ" localSheetId="0" hidden="1">{#N/A,#N/A,FALSE,"집계표"}</definedName>
    <definedName name="ㄹㅇㄴㅇㄴㅇㄹㅇ" hidden="1">{#N/A,#N/A,FALSE,"집계표"}</definedName>
    <definedName name="ㄹㅇ넛교ㅗ" localSheetId="0" hidden="1">{#N/A,#N/A,FALSE,"집계표"}</definedName>
    <definedName name="ㄹㅇ넛교ㅗ" hidden="1">{#N/A,#N/A,FALSE,"집계표"}</definedName>
    <definedName name="ㄹㅇ노ㅎ" localSheetId="0" hidden="1">{#N/A,#N/A,FALSE,"집계표"}</definedName>
    <definedName name="ㄹㅇ노ㅎ" hidden="1">{#N/A,#N/A,FALSE,"집계표"}</definedName>
    <definedName name="ㄹㅇㄶㄴㅅ" localSheetId="0" hidden="1">{#N/A,#N/A,FALSE,"집계표"}</definedName>
    <definedName name="ㄹㅇㄶㄴㅅ" hidden="1">{#N/A,#N/A,FALSE,"집계표"}</definedName>
    <definedName name="ㄹㅇㄶㅎㅇㄶㅇㅎㄹㅇ" localSheetId="0" hidden="1">{#N/A,#N/A,FALSE,"집계표"}</definedName>
    <definedName name="ㄹㅇㄶㅎㅇㄶㅇㅎㄹㅇ" hidden="1">{#N/A,#N/A,FALSE,"집계표"}</definedName>
    <definedName name="ㄹㅇ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서ㅗ" localSheetId="0" hidden="1">{#N/A,#N/A,FALSE,"집계표"}</definedName>
    <definedName name="ㄹㅇ서ㅗ" hidden="1">{#N/A,#N/A,FALSE,"집계표"}</definedName>
    <definedName name="ㄹㅇ소ㅛ" localSheetId="0" hidden="1">{#N/A,#N/A,FALSE,"집계표"}</definedName>
    <definedName name="ㄹㅇ소ㅛ" hidden="1">{#N/A,#N/A,FALSE,"집계표"}</definedName>
    <definedName name="ㄹㅇㅇㅇㅇㅇㅇ" localSheetId="0" hidden="1">{#N/A,#N/A,FALSE,"집계표"}</definedName>
    <definedName name="ㄹㅇㅇㅇㅇㅇㅇ" hidden="1">{#N/A,#N/A,FALSE,"집계표"}</definedName>
    <definedName name="ㄹㅇㅇㅇㅇㅇㅇㅇㅇㅇㅇ" localSheetId="0" hidden="1">{#N/A,#N/A,FALSE,"집계표"}</definedName>
    <definedName name="ㄹㅇㅇㅇㅇㅇㅇㅇㅇㅇㅇ" hidden="1">{#N/A,#N/A,FALSE,"집계표"}</definedName>
    <definedName name="ㄹㅇ옷" localSheetId="0" hidden="1">{#N/A,#N/A,FALSE,"집계표"}</definedName>
    <definedName name="ㄹㅇ옷" hidden="1">{#N/A,#N/A,FALSE,"집계표"}</definedName>
    <definedName name="ㄹㅇㅌㅇㄴㄱㄷ" localSheetId="0" hidden="1">{#N/A,#N/A,FALSE,"포장2"}</definedName>
    <definedName name="ㄹㅇㅌㅇㄴㄱㄷ" hidden="1">{#N/A,#N/A,FALSE,"포장2"}</definedName>
    <definedName name="ㄹㅇㅌㅎㅎㅎㅎㅎ" localSheetId="0" hidden="1">{#N/A,#N/A,FALSE,"집계표"}</definedName>
    <definedName name="ㄹㅇㅌㅎㅎㅎㅎㅎ" hidden="1">{#N/A,#N/A,FALSE,"집계표"}</definedName>
    <definedName name="ㄹㅇㅎ" localSheetId="0" hidden="1">{#N/A,#N/A,FALSE,"집계표"}</definedName>
    <definedName name="ㄹㅇㅎ" hidden="1">{#N/A,#N/A,FALSE,"집계표"}</definedName>
    <definedName name="ㄹㅇㅎㅊㅌㅍㅍ" localSheetId="0" hidden="1">{#N/A,#N/A,FALSE,"집계표"}</definedName>
    <definedName name="ㄹㅇㅎㅊㅌㅍㅍ" hidden="1">{#N/A,#N/A,FALSE,"집계표"}</definedName>
    <definedName name="ㄹㅇㅎㅎㅎㅎㅎㅎㅎㅎㅎ" localSheetId="0" hidden="1">{#N/A,#N/A,FALSE,"집계표"}</definedName>
    <definedName name="ㄹㅇㅎㅎㅎㅎㅎㅎㅎㅎㅎ" hidden="1">{#N/A,#N/A,FALSE,"집계표"}</definedName>
    <definedName name="ㄹㅇ허ㅗ" localSheetId="0" hidden="1">{#N/A,#N/A,FALSE,"집계표"}</definedName>
    <definedName name="ㄹㅇ허ㅗ" hidden="1">{#N/A,#N/A,FALSE,"집계표"}</definedName>
    <definedName name="ㄹㅇ효" localSheetId="0" hidden="1">{#N/A,#N/A,FALSE,"집계표"}</definedName>
    <definedName name="ㄹㅇ효" hidden="1">{#N/A,#N/A,FALSE,"집계표"}</definedName>
    <definedName name="ㄹ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어호" localSheetId="0" hidden="1">{#N/A,#N/A,FALSE,"집계표"}</definedName>
    <definedName name="ㄹ어호" hidden="1">{#N/A,#N/A,FALSE,"집계표"}</definedName>
    <definedName name="ㄹ어ㅏ요ㅕㅐ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어ㅏ요ㅕㅐ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여하ㅛ여ㅐㅏ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여하ㅛ여ㅐㅏ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" localSheetId="0" hidden="1">{#N/A,#N/A,FALSE,"집계표"}</definedName>
    <definedName name="ㄹ오" hidden="1">{#N/A,#N/A,FALSE,"집계표"}</definedName>
    <definedName name="ㄹ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ㅛ" localSheetId="0" hidden="1">{#N/A,#N/A,FALSE,"집계표"}</definedName>
    <definedName name="ㄹ오ㅛ" hidden="1">{#N/A,#N/A,FALSE,"집계표"}</definedName>
    <definedName name="ㄹ옿" localSheetId="0" hidden="1">{#N/A,#N/A,FALSE,"집계표"}</definedName>
    <definedName name="ㄹ옿" hidden="1">{#N/A,#N/A,FALSE,"집계표"}</definedName>
    <definedName name="ㄹ옿ㄴㄴㄴ노" localSheetId="0" hidden="1">{#N/A,#N/A,FALSE,"집계표"}</definedName>
    <definedName name="ㄹ옿ㄴㄴㄴ노" hidden="1">{#N/A,#N/A,FALSE,"집계표"}</definedName>
    <definedName name="ㄹ옿ㅇㄹ" localSheetId="0" hidden="1">{#N/A,#N/A,FALSE,"집계표"}</definedName>
    <definedName name="ㄹ옿ㅇㄹ" hidden="1">{#N/A,#N/A,FALSE,"집계표"}</definedName>
    <definedName name="ㄹ옿ㅎㅎㅎㅎㅎㅎㅎ" localSheetId="0" hidden="1">{#N/A,#N/A,FALSE,"집계표"}</definedName>
    <definedName name="ㄹ옿ㅎㅎㅎㅎㅎㅎㅎ" hidden="1">{#N/A,#N/A,FALSE,"집계표"}</definedName>
    <definedName name="ㄹㅎㄹㅎㅀ" localSheetId="1" hidden="1">#REF!</definedName>
    <definedName name="ㄹㅎㄹㅎㅀ" localSheetId="0" hidden="1">#REF!</definedName>
    <definedName name="ㄹㅎㄹㅎㅀ" localSheetId="2" hidden="1">#REF!</definedName>
    <definedName name="ㄹㅎㄹㅎㅀ" hidden="1">#REF!</definedName>
    <definedName name="ㄹ하ㅏㅏㅏㅏㅏ" localSheetId="0" hidden="1">{#N/A,#N/A,FALSE,"집계표"}</definedName>
    <definedName name="ㄹ하ㅏㅏㅏㅏㅏ" hidden="1">{#N/A,#N/A,FALSE,"집계표"}</definedName>
    <definedName name="ㄹ허ㅓㅈ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허ㅓㅈ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허ㅗ" localSheetId="0" hidden="1">{#N/A,#N/A,FALSE,"집계표"}</definedName>
    <definedName name="ㄹ허ㅗ" hidden="1">{#N/A,#N/A,FALSE,"집계표"}</definedName>
    <definedName name="ㄹ허ㅛㅛㅛㅛㅛㅛ" localSheetId="0" hidden="1">{#N/A,#N/A,FALSE,"집계표"}</definedName>
    <definedName name="ㄹ허ㅛㅛㅛㅛㅛㅛ" hidden="1">{#N/A,#N/A,FALSE,"집계표"}</definedName>
    <definedName name="ㄹ헐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헐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혀퍼ㅜㅠ" localSheetId="0" hidden="1">{#N/A,#N/A,FALSE,"집계표"}</definedName>
    <definedName name="ㄹ혀퍼ㅜㅠ" hidden="1">{#N/A,#N/A,FALSE,"집계표"}</definedName>
    <definedName name="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호ㅓㅛ" localSheetId="0" hidden="1">{#N/A,#N/A,FALSE,"집계표"}</definedName>
    <definedName name="ㄹ호ㅓㅛ" hidden="1">{#N/A,#N/A,FALSE,"집계표"}</definedName>
    <definedName name="ㄹ호ㅗㅎ" localSheetId="0" hidden="1">{#N/A,#N/A,FALSE,"집계표"}</definedName>
    <definedName name="ㄹ호ㅗㅎ" hidden="1">{#N/A,#N/A,FALSE,"집계표"}</definedName>
    <definedName name="ㄹ혼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혼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홀ㅅ" localSheetId="0" hidden="1">{#N/A,#N/A,FALSE,"집계표"}</definedName>
    <definedName name="ㄹ홀ㅅ" hidden="1">{#N/A,#N/A,FALSE,"집계표"}</definedName>
    <definedName name="ㄹ홓ㄹ로ㅗㅗㅗㅗㅗㅗㅗ" localSheetId="0" hidden="1">{#N/A,#N/A,FALSE,"집계표"}</definedName>
    <definedName name="ㄹ홓ㄹ로ㅗㅗㅗㅗㅗㅗㅗ" hidden="1">{#N/A,#N/A,FALSE,"집계표"}</definedName>
    <definedName name="ㄹ효ㅓㅕ" localSheetId="0" hidden="1">{#N/A,#N/A,FALSE,"집계표"}</definedName>
    <definedName name="ㄹ효ㅓㅕ" hidden="1">{#N/A,#N/A,FALSE,"집계표"}</definedName>
    <definedName name="ㄹ후ㅗㄴ러ㅡㅜ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ㄴ러ㅡㅜ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ㅡㅏㅏㄹ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ㅡㅏㅏㄹ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라라ㅏㄹ" localSheetId="0" hidden="1">{#N/A,#N/A,FALSE,"집계표"}</definedName>
    <definedName name="라라라ㅏㄹ" hidden="1">{#N/A,#N/A,FALSE,"집계표"}</definedName>
    <definedName name="라아라라ㅏ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아라라ㅏ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ㅏㅏ" localSheetId="0" hidden="1">{#N/A,#N/A,FALSE,"집계표"}</definedName>
    <definedName name="라ㅏㅏ" hidden="1">{#N/A,#N/A,FALSE,"집계표"}</definedName>
    <definedName name="라ㅓ셔ㅏ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셔ㅏ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랏구" localSheetId="0" hidden="1">{#N/A,#N/A,FALSE,"집계표"}</definedName>
    <definedName name="랏구" hidden="1">{#N/A,#N/A,FALSE,"집계표"}</definedName>
    <definedName name="랑" localSheetId="0" hidden="1">{#N/A,#N/A,FALSE,"지침";#N/A,#N/A,FALSE,"환경분석";#N/A,#N/A,FALSE,"Sheet16"}</definedName>
    <definedName name="랑" hidden="1">{#N/A,#N/A,FALSE,"지침";#N/A,#N/A,FALSE,"환경분석";#N/A,#N/A,FALSE,"Sheet16"}</definedName>
    <definedName name="래" localSheetId="0" hidden="1">{#N/A,#N/A,FALSE,"변경관리예산";#N/A,#N/A,FALSE,"변경장비예산";#N/A,#N/A,FALSE,"변경준설예산";#N/A,#N/A,FALSE,"변경철구예산"}</definedName>
    <definedName name="래" hidden="1">{#N/A,#N/A,FALSE,"변경관리예산";#N/A,#N/A,FALSE,"변경장비예산";#N/A,#N/A,FALSE,"변경준설예산";#N/A,#N/A,FALSE,"변경철구예산"}</definedName>
    <definedName name="랴" localSheetId="0" hidden="1">{#N/A,#N/A,FALSE,"예상손익";#N/A,#N/A,FALSE,"관리분석";#N/A,#N/A,FALSE,"장비분석";#N/A,#N/A,FALSE,"준설분석";#N/A,#N/A,FALSE,"철구분석"}</definedName>
    <definedName name="랴" hidden="1">{#N/A,#N/A,FALSE,"예상손익";#N/A,#N/A,FALSE,"관리분석";#N/A,#N/A,FALSE,"장비분석";#N/A,#N/A,FALSE,"준설분석";#N/A,#N/A,FALSE,"철구분석"}</definedName>
    <definedName name="러러럴" localSheetId="0" hidden="1">{#N/A,#N/A,FALSE,"주간공정";#N/A,#N/A,FALSE,"주간보고";#N/A,#N/A,FALSE,"주간공정표"}</definedName>
    <definedName name="러러럴" hidden="1">{#N/A,#N/A,FALSE,"주간공정";#N/A,#N/A,FALSE,"주간보고";#N/A,#N/A,FALSE,"주간공정표"}</definedName>
    <definedName name="러헐" localSheetId="0" hidden="1">{#N/A,#N/A,FALSE,"도급대비시행율";#N/A,#N/A,FALSE,"결의서";#N/A,#N/A,FALSE,"내역서";#N/A,#N/A,FALSE,"도급예상"}</definedName>
    <definedName name="러헐" hidden="1">{#N/A,#N/A,FALSE,"도급대비시행율";#N/A,#N/A,FALSE,"결의서";#N/A,#N/A,FALSE,"내역서";#N/A,#N/A,FALSE,"도급예상"}</definedName>
    <definedName name="러ㅏㄹ" localSheetId="0" hidden="1">{#N/A,#N/A,FALSE,"주간공정";#N/A,#N/A,FALSE,"주간보고";#N/A,#N/A,FALSE,"주간공정표"}</definedName>
    <definedName name="러ㅏㄹ" hidden="1">{#N/A,#N/A,FALSE,"주간공정";#N/A,#N/A,FALSE,"주간보고";#N/A,#N/A,FALSE,"주간공정표"}</definedName>
    <definedName name="러ㅛㄷㄷ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ㅛㄷㄷ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ㅣ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ㅣ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렂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렂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렃퍼ㅗ" localSheetId="0" hidden="1">{#N/A,#N/A,FALSE,"집계표"}</definedName>
    <definedName name="렃퍼ㅗ" hidden="1">{#N/A,#N/A,FALSE,"집계표"}</definedName>
    <definedName name="련" localSheetId="0" hidden="1">{#N/A,#N/A,FALSE,"변경관리예산";#N/A,#N/A,FALSE,"변경장비예산";#N/A,#N/A,FALSE,"변경준설예산";#N/A,#N/A,FALSE,"변경철구예산"}</definedName>
    <definedName name="련" hidden="1">{#N/A,#N/A,FALSE,"변경관리예산";#N/A,#N/A,FALSE,"변경장비예산";#N/A,#N/A,FALSE,"변경준설예산";#N/A,#N/A,FALSE,"변경철구예산"}</definedName>
    <definedName name="로헝ㄱ" localSheetId="0" hidden="1">{#N/A,#N/A,FALSE,"집계표"}</definedName>
    <definedName name="로헝ㄱ" hidden="1">{#N/A,#N/A,FALSE,"집계표"}</definedName>
    <definedName name="로ㅓㄷ쇼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ㄷ쇼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ㅡㄴ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ㅡㄴ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롤" localSheetId="0" hidden="1">{#N/A,#N/A,TRUE,"960318-1";#N/A,#N/A,TRUE,"960318-2";#N/A,#N/A,TRUE,"960318-3"}</definedName>
    <definedName name="롤" hidden="1">{#N/A,#N/A,TRUE,"960318-1";#N/A,#N/A,TRUE,"960318-2";#N/A,#N/A,TRUE,"960318-3"}</definedName>
    <definedName name="롱" localSheetId="0" hidden="1">{#N/A,#N/A,TRUE,"960318-1";#N/A,#N/A,TRUE,"960318-2";#N/A,#N/A,TRUE,"960318-3"}</definedName>
    <definedName name="롱" hidden="1">{#N/A,#N/A,TRUE,"960318-1";#N/A,#N/A,TRUE,"960318-2";#N/A,#N/A,TRUE,"960318-3"}</definedName>
    <definedName name="롷ㅎㅎㅎㅎ" localSheetId="0" hidden="1">{#N/A,#N/A,FALSE,"집계표"}</definedName>
    <definedName name="롷ㅎㅎㅎㅎ" hidden="1">{#N/A,#N/A,FALSE,"집계표"}</definedName>
    <definedName name="료ㅏㅓ사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ㅏㅓ사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ㅕㅗ뮤ㅗ5곰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ㅕㅗ뮤ㅗ5곰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루훓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루훓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룰" localSheetId="0" hidden="1">{#N/A,#N/A,TRUE,"960318-1";#N/A,#N/A,TRUE,"960318-2";#N/A,#N/A,TRUE,"960318-3"}</definedName>
    <definedName name="룰" hidden="1">{#N/A,#N/A,TRUE,"960318-1";#N/A,#N/A,TRUE,"960318-2";#N/A,#N/A,TRUE,"960318-3"}</definedName>
    <definedName name="룸" localSheetId="0" hidden="1">{#N/A,#N/A,FALSE,"사업총괄";#N/A,#N/A,FALSE,"장비사업";#N/A,#N/A,FALSE,"철구사업";#N/A,#N/A,FALSE,"준설사업"}</definedName>
    <definedName name="룸" hidden="1">{#N/A,#N/A,FALSE,"사업총괄";#N/A,#N/A,FALSE,"장비사업";#N/A,#N/A,FALSE,"철구사업";#N/A,#N/A,FALSE,"준설사업"}</definedName>
    <definedName name="류ㅣㅏ" localSheetId="0" hidden="1">{#N/A,#N/A,FALSE,"집계표"}</definedName>
    <definedName name="류ㅣㅏ" hidden="1">{#N/A,#N/A,FALSE,"집계표"}</definedName>
    <definedName name="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ㅓㅡㅡ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ㅓㅡㅡ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ㄻㅁ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ㄻㅁ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ㄿ호ㅗㅗ" localSheetId="0" hidden="1">{#N/A,#N/A,FALSE,"집계표"}</definedName>
    <definedName name="ㄿ호ㅗㅗ" hidden="1">{#N/A,#N/A,FALSE,"집계표"}</definedName>
    <definedName name="ㅀㅅㄱ" localSheetId="0" hidden="1">{#N/A,#N/A,FALSE,"Sheet6"}</definedName>
    <definedName name="ㅀㅅㄱ" hidden="1">{#N/A,#N/A,FALSE,"Sheet6"}</definedName>
    <definedName name="ㅀㅇ" localSheetId="0" hidden="1">{#N/A,#N/A,FALSE,"집계표"}</definedName>
    <definedName name="ㅀㅇ" hidden="1">{#N/A,#N/A,FALSE,"집계표"}</definedName>
    <definedName name="ㅀ오ㅓㅎ롱ㄶㄹㄴ" localSheetId="0" hidden="1">{#N/A,#N/A,FALSE,"2~8번"}</definedName>
    <definedName name="ㅀ오ㅓㅎ롱ㄶㄹㄴ" hidden="1">{#N/A,#N/A,FALSE,"2~8번"}</definedName>
    <definedName name="ㅀㅎㅎㅇㅁㅎㄻ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ㅀㅎㅎㅇㅁㅎㄻ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ㅀ허" localSheetId="0" hidden="1">{#N/A,#N/A,FALSE,"CCTV"}</definedName>
    <definedName name="ㅀ허" hidden="1">{#N/A,#N/A,FALSE,"CCTV"}</definedName>
    <definedName name="ㅁㄱㄷㅋㄴㅇ" localSheetId="0" hidden="1">{#N/A,#N/A,FALSE,"집계표"}</definedName>
    <definedName name="ㅁㄱㄷㅋㄴㅇ" hidden="1">{#N/A,#N/A,FALSE,"집계표"}</definedName>
    <definedName name="ㅁㄱ솢ㅁ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ㄱ솢ㅁ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ㄳ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ㄳ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ㄹ" localSheetId="0" hidden="1">{#N/A,#N/A,FALSE,"집계표"}</definedName>
    <definedName name="ㅁㄴㄹ" hidden="1">{#N/A,#N/A,FALSE,"집계표"}</definedName>
    <definedName name="ㅁㄴㅁㅇ" localSheetId="1" hidden="1">[16]유림골조!#REF!</definedName>
    <definedName name="ㅁㄴㅁㅇ" localSheetId="0" hidden="1">[16]유림골조!#REF!</definedName>
    <definedName name="ㅁㄴㅁㅇ" localSheetId="2" hidden="1">[16]유림골조!#REF!</definedName>
    <definedName name="ㅁㄴㅁㅇ" hidden="1">[16]유림골조!#REF!</definedName>
    <definedName name="ㅁ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ㄹ" localSheetId="0" hidden="1">{#N/A,#N/A,FALSE,"집계표"}</definedName>
    <definedName name="ㅁㄴㅇㄹ" hidden="1">{#N/A,#N/A,FALSE,"집계표"}</definedName>
    <definedName name="ㅁㄴㅇㄻㄴㅇㄻㄴㄹ" localSheetId="0" hidden="1">{#N/A,#N/A,FALSE,"명세표"}</definedName>
    <definedName name="ㅁㄴㅇㄻㄴㅇㄻㄴㄹ" hidden="1">{#N/A,#N/A,FALSE,"명세표"}</definedName>
    <definedName name="ㅁㄴㅇㅀㅁ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ㅀㅁ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ㅁㄴㅇ" localSheetId="1" hidden="1">#REF!</definedName>
    <definedName name="ㅁㄴㅇㅁㄴㅇ" localSheetId="0" hidden="1">#REF!</definedName>
    <definedName name="ㅁㄴㅇㅁㄴㅇ" localSheetId="2" hidden="1">#REF!</definedName>
    <definedName name="ㅁㄴㅇㅁㄴㅇ" hidden="1">#REF!</definedName>
    <definedName name="ㅁㄴㅇㅁㅌㅋ" localSheetId="0" hidden="1">{#N/A,#N/A,FALSE,"집계표"}</definedName>
    <definedName name="ㅁㄴㅇㅁㅌㅋ" hidden="1">{#N/A,#N/A,FALSE,"집계표"}</definedName>
    <definedName name="ㅁㄴ아랴" localSheetId="0" hidden="1">{#N/A,#N/A,FALSE,"집계표"}</definedName>
    <definedName name="ㅁㄴ아랴" hidden="1">{#N/A,#N/A,FALSE,"집계표"}</definedName>
    <definedName name="ㅁㄴ아ㅓㄹ킽" localSheetId="0" hidden="1">{#N/A,#N/A,FALSE,"집계표"}</definedName>
    <definedName name="ㅁㄴ아ㅓㄹ킽" hidden="1">{#N/A,#N/A,FALSE,"집계표"}</definedName>
    <definedName name="ㅁㄴ아ㅓㅎ" localSheetId="0" hidden="1">{#N/A,#N/A,FALSE,"집계표"}</definedName>
    <definedName name="ㅁㄴ아ㅓㅎ" hidden="1">{#N/A,#N/A,FALSE,"집계표"}</definedName>
    <definedName name="ㅁㄴ얼" localSheetId="0" hidden="1">{#N/A,#N/A,FALSE,"집계표"}</definedName>
    <definedName name="ㅁㄴ얼" hidden="1">{#N/A,#N/A,FALSE,"집계표"}</definedName>
    <definedName name="ㅁ날어" localSheetId="0" hidden="1">{#N/A,#N/A,FALSE,"집계표"}</definedName>
    <definedName name="ㅁ날어" hidden="1">{#N/A,#N/A,FALSE,"집계표"}</definedName>
    <definedName name="ㅁ널머밀ㅇㄴ" localSheetId="0" hidden="1">{#N/A,#N/A,FALSE,"집계표"}</definedName>
    <definedName name="ㅁ널머밀ㅇㄴ" hidden="1">{#N/A,#N/A,FALSE,"집계표"}</definedName>
    <definedName name="ㅁ널이ㅏㅓㄴ" localSheetId="0" hidden="1">{#N/A,#N/A,FALSE,"집계표"}</definedName>
    <definedName name="ㅁ널이ㅏㅓㄴ" hidden="1">{#N/A,#N/A,FALSE,"집계표"}</definedName>
    <definedName name="ㅁ니ㅏㅎㅋㅇ" localSheetId="0" hidden="1">{#N/A,#N/A,FALSE,"집계표"}</definedName>
    <definedName name="ㅁ니ㅏㅎㅋㅇ" hidden="1">{#N/A,#N/A,FALSE,"집계표"}</definedName>
    <definedName name="ㅁㄶ리ㅏㅓ" localSheetId="0" hidden="1">{#N/A,#N/A,FALSE,"집계표"}</definedName>
    <definedName name="ㅁㄶ리ㅏㅓ" hidden="1">{#N/A,#N/A,FALSE,"집계표"}</definedName>
    <definedName name="ㅁㄶㅇ" localSheetId="0" hidden="1">{#N/A,#N/A,FALSE,"집계표"}</definedName>
    <definedName name="ㅁㄶㅇ" hidden="1">{#N/A,#N/A,FALSE,"집계표"}</definedName>
    <definedName name="ㅁㄷ고ㅠ모륟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ㄷ고ㅠ모륟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ㄷ나ㅓㅇㅇㅌ" localSheetId="0" hidden="1">{#N/A,#N/A,FALSE,"집계표"}</definedName>
    <definedName name="ㅁㄷ나ㅓㅇㅇㅌ" hidden="1">{#N/A,#N/A,FALSE,"집계표"}</definedName>
    <definedName name="ㅁㅁ" localSheetId="1" hidden="1">#REF!</definedName>
    <definedName name="ㅁㅁ" localSheetId="0" hidden="1">#REF!</definedName>
    <definedName name="ㅁㅁ" localSheetId="2" hidden="1">#REF!</definedName>
    <definedName name="ㅁㅁ" hidden="1">#REF!</definedName>
    <definedName name="ㅁㅁㅁ" localSheetId="0" hidden="1">{#N/A,#N/A,FALSE,"지침";#N/A,#N/A,FALSE,"환경분석";#N/A,#N/A,FALSE,"Sheet16"}</definedName>
    <definedName name="ㅁㅁㅁ" hidden="1">{#N/A,#N/A,FALSE,"지침";#N/A,#N/A,FALSE,"환경분석";#N/A,#N/A,FALSE,"Sheet16"}</definedName>
    <definedName name="ㅁㅁㅁㅁ" localSheetId="0" hidden="1">{#N/A,#N/A,FALSE,"지침";#N/A,#N/A,FALSE,"환경분석";#N/A,#N/A,FALSE,"Sheet16"}</definedName>
    <definedName name="ㅁㅁㅁㅁ" hidden="1">{#N/A,#N/A,FALSE,"지침";#N/A,#N/A,FALSE,"환경분석";#N/A,#N/A,FALSE,"Sheet16"}</definedName>
    <definedName name="ㅁㅁㅁㅁㅁ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ㅁ" localSheetId="1" hidden="1">#REF!</definedName>
    <definedName name="ㅁㅁㅁㅁㅁㅁ" localSheetId="0" hidden="1">#REF!</definedName>
    <definedName name="ㅁㅁㅁㅁㅁㅁ" localSheetId="2" hidden="1">#REF!</definedName>
    <definedName name="ㅁㅁㅁㅁㅁㅁ" hidden="1">#REF!</definedName>
    <definedName name="ㅁㅅㅅㅁㄱ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나ㅓ키ㅏㄴ" localSheetId="0" hidden="1">{#N/A,#N/A,FALSE,"집계표"}</definedName>
    <definedName name="ㅁㅇ나ㅓ키ㅏㄴ" hidden="1">{#N/A,#N/A,FALSE,"집계표"}</definedName>
    <definedName name="ㅁㅇㄹㅇㅎㄻㅍ" localSheetId="0" hidden="1">{#N/A,#N/A,FALSE,"집계표"}</definedName>
    <definedName name="ㅁㅇㄹㅇㅎㄻㅍ" hidden="1">{#N/A,#N/A,FALSE,"집계표"}</definedName>
    <definedName name="ㅁㅇㅀㅂ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ㅀㅂ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ㅇ" localSheetId="0" hidden="1">{#N/A,#N/A,FALSE,"Sheet1"}</definedName>
    <definedName name="ㅁㅇㅇ" hidden="1">{#N/A,#N/A,FALSE,"Sheet1"}</definedName>
    <definedName name="ㅁㅈㄷ" localSheetId="0" hidden="1">{#N/A,#N/A,FALSE,"배수1"}</definedName>
    <definedName name="ㅁㅈㄷ" hidden="1">{#N/A,#N/A,FALSE,"배수1"}</definedName>
    <definedName name="ㅁㅈㅂㄷㄺㅂ" localSheetId="0" hidden="1">{#N/A,#N/A,FALSE,"집계표"}</definedName>
    <definedName name="ㅁㅈㅂㄷㄺㅂ" hidden="1">{#N/A,#N/A,FALSE,"집계표"}</definedName>
    <definedName name="ㅁㅈ뱔ㅇ" localSheetId="0" hidden="1">{#N/A,#N/A,FALSE,"집계표"}</definedName>
    <definedName name="ㅁㅈ뱔ㅇ" hidden="1">{#N/A,#N/A,FALSE,"집계표"}</definedName>
    <definedName name="ㅁㅋㄴ이ㅏㄹ" localSheetId="0" hidden="1">{#N/A,#N/A,FALSE,"집계표"}</definedName>
    <definedName name="ㅁㅋㄴ이ㅏㄹ" hidden="1">{#N/A,#N/A,FALSE,"집계표"}</definedName>
    <definedName name="ㅁㅎ이ㅏ" localSheetId="0" hidden="1">{#N/A,#N/A,FALSE,"집계표"}</definedName>
    <definedName name="ㅁㅎ이ㅏ" hidden="1">{#N/A,#N/A,FALSE,"집계표"}</definedName>
    <definedName name="ㅁㅎㅎ" localSheetId="1" hidden="1">#REF!</definedName>
    <definedName name="ㅁㅎㅎ" localSheetId="0" hidden="1">#REF!</definedName>
    <definedName name="ㅁㅎㅎ" localSheetId="2" hidden="1">#REF!</definedName>
    <definedName name="ㅁㅎㅎ" hidden="1">#REF!</definedName>
    <definedName name="마널이ㅏ" localSheetId="0" hidden="1">{#N/A,#N/A,FALSE,"집계표"}</definedName>
    <definedName name="마널이ㅏ" hidden="1">{#N/A,#N/A,FALSE,"집계표"}</definedName>
    <definedName name="마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마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만득이" localSheetId="0" hidden="1">{#N/A,#N/A,FALSE,"2~8번"}</definedName>
    <definedName name="만득이" hidden="1">{#N/A,#N/A,FALSE,"2~8번"}</definedName>
    <definedName name="매입세액" localSheetId="0" hidden="1">{#N/A,#N/A,FALSE,"예상손익";#N/A,#N/A,FALSE,"관리분석";#N/A,#N/A,FALSE,"장비분석";#N/A,#N/A,FALSE,"준설분석";#N/A,#N/A,FALSE,"철구분석"}</definedName>
    <definedName name="매입세액" hidden="1">{#N/A,#N/A,FALSE,"예상손익";#N/A,#N/A,FALSE,"관리분석";#N/A,#N/A,FALSE,"장비분석";#N/A,#N/A,FALSE,"준설분석";#N/A,#N/A,FALSE,"철구분석"}</definedName>
    <definedName name="매출3" localSheetId="0" hidden="1">{#N/A,#N/A,FALSE,"지침";#N/A,#N/A,FALSE,"환경분석";#N/A,#N/A,FALSE,"Sheet16"}</definedName>
    <definedName name="매출3" hidden="1">{#N/A,#N/A,FALSE,"지침";#N/A,#N/A,FALSE,"환경분석";#N/A,#N/A,FALSE,"Sheet16"}</definedName>
    <definedName name="맨홀집계표" localSheetId="0" hidden="1">{#N/A,#N/A,FALSE,"포장단가"}</definedName>
    <definedName name="맨홀집계표" hidden="1">{#N/A,#N/A,FALSE,"포장단가"}</definedName>
    <definedName name="며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며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명일" localSheetId="0" hidden="1">{#N/A,#N/A,FALSE,"속도"}</definedName>
    <definedName name="명일" hidden="1">{#N/A,#N/A,FALSE,"속도"}</definedName>
    <definedName name="모" localSheetId="0" hidden="1">{#N/A,#N/A,FALSE,"변경관리예산";#N/A,#N/A,FALSE,"변경장비예산";#N/A,#N/A,FALSE,"변경준설예산";#N/A,#N/A,FALSE,"변경철구예산"}</definedName>
    <definedName name="모" hidden="1">{#N/A,#N/A,FALSE,"변경관리예산";#N/A,#N/A,FALSE,"변경장비예산";#N/A,#N/A,FALSE,"변경준설예산";#N/A,#N/A,FALSE,"변경철구예산"}</definedName>
    <definedName name="몬난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몬난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문서" localSheetId="0" hidden="1">{#N/A,#N/A,FALSE,"현장 NCR 분석";#N/A,#N/A,FALSE,"현장품질감사";#N/A,#N/A,FALSE,"현장품질감사"}</definedName>
    <definedName name="문서" hidden="1">{#N/A,#N/A,FALSE,"현장 NCR 분석";#N/A,#N/A,FALSE,"현장품질감사";#N/A,#N/A,FALSE,"현장품질감사"}</definedName>
    <definedName name="물" localSheetId="0" hidden="1">{#N/A,#N/A,FALSE,"이태원철근"}</definedName>
    <definedName name="물" hidden="1">{#N/A,#N/A,FALSE,"이태원철근"}</definedName>
    <definedName name="물가변동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량산출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물량산출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물량산출근거" localSheetId="0" hidden="1">{#N/A,#N/A,FALSE,"도급대비시행율";#N/A,#N/A,FALSE,"결의서";#N/A,#N/A,FALSE,"내역서";#N/A,#N/A,FALSE,"도급예상"}</definedName>
    <definedName name="물량산출근거" hidden="1">{#N/A,#N/A,FALSE,"도급대비시행율";#N/A,#N/A,FALSE,"결의서";#N/A,#N/A,FALSE,"내역서";#N/A,#N/A,FALSE,"도급예상"}</definedName>
    <definedName name="물량산출랍" localSheetId="0" hidden="1">{#N/A,#N/A,FALSE,"Sheet1"}</definedName>
    <definedName name="물량산출랍" hidden="1">{#N/A,#N/A,FALSE,"Sheet1"}</definedName>
    <definedName name="뭐가이태원이야" localSheetId="0" hidden="1">{#N/A,#N/A,FALSE,"이태원철근"}</definedName>
    <definedName name="뭐가이태원이야" hidden="1">{#N/A,#N/A,FALSE,"이태원철근"}</definedName>
    <definedName name="므ㅓ" localSheetId="0" hidden="1">{#N/A,#N/A,FALSE,"집계표"}</definedName>
    <definedName name="므ㅓ" hidden="1">{#N/A,#N/A,FALSE,"집계표"}</definedName>
    <definedName name="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장물량" localSheetId="0" hidden="1">{#N/A,#N/A,FALSE,"Sheet1"}</definedName>
    <definedName name="미장물량" hidden="1">{#N/A,#N/A,FALSE,"Sheet1"}</definedName>
    <definedName name="미ㅣㅁ" localSheetId="0" hidden="1">{#N/A,#N/A,FALSE,"집계표"}</definedName>
    <definedName name="미ㅣㅁ" hidden="1">{#N/A,#N/A,FALSE,"집계표"}</definedName>
    <definedName name="민원관련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민원관련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민원품의" localSheetId="0" hidden="1">{#N/A,#N/A,FALSE,"변경관리예산";#N/A,#N/A,FALSE,"변경장비예산";#N/A,#N/A,FALSE,"변경준설예산";#N/A,#N/A,FALSE,"변경철구예산"}</definedName>
    <definedName name="민원품의" hidden="1">{#N/A,#N/A,FALSE,"변경관리예산";#N/A,#N/A,FALSE,"변경장비예산";#N/A,#N/A,FALSE,"변경준설예산";#N/A,#N/A,FALSE,"변경철구예산"}</definedName>
    <definedName name="민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민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2ㅂ2" localSheetId="0" hidden="1">{#N/A,#N/A,FALSE,"배수1"}</definedName>
    <definedName name="ㅂ2ㅂ2" hidden="1">{#N/A,#N/A,FALSE,"배수1"}</definedName>
    <definedName name="ㅂㄳㅂ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ㄳㅂ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ㄷㅂㄱ" localSheetId="1" hidden="1">#REF!</definedName>
    <definedName name="ㅂㄷㄳㄷㅂㄱ" localSheetId="0" hidden="1">#REF!</definedName>
    <definedName name="ㅂㄷㄳㄷㅂㄱ" localSheetId="2" hidden="1">#REF!</definedName>
    <definedName name="ㅂㄷㄳㄷㅂㄱ" hidden="1">#REF!</definedName>
    <definedName name="ㅂㄷㅅㅄ" localSheetId="1" hidden="1">#REF!</definedName>
    <definedName name="ㅂㄷㅅㅄ" localSheetId="0" hidden="1">#REF!</definedName>
    <definedName name="ㅂㄷㅅㅄ" localSheetId="2" hidden="1">#REF!</definedName>
    <definedName name="ㅂㄷㅅㅄ" hidden="1">#REF!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" localSheetId="0" hidden="1">{"'용역비'!$A$4:$C$8"}</definedName>
    <definedName name="ㅂㅂㅂ" hidden="1">{"'용역비'!$A$4:$C$8"}</definedName>
    <definedName name="ㅂㅂㅂㅂㅂ" localSheetId="0" hidden="1">{"'별표'!$N$220"}</definedName>
    <definedName name="ㅂㅂㅂㅂㅂ" hidden="1">{"'별표'!$N$220"}</definedName>
    <definedName name="ㅂㅂㅂㅂㅂㅂ" localSheetId="0" hidden="1">{#N/A,#N/A,FALSE,"지침";#N/A,#N/A,FALSE,"환경분석";#N/A,#N/A,FALSE,"Sheet16"}</definedName>
    <definedName name="ㅂㅂㅂㅂㅂㅂ" hidden="1">{#N/A,#N/A,FALSE,"지침";#N/A,#N/A,FALSE,"환경분석";#N/A,#N/A,FALSE,"Sheet16"}</definedName>
    <definedName name="ㅂㅈ" localSheetId="0" hidden="1">{#N/A,#N/A,TRUE,"1";#N/A,#N/A,TRUE,"2";#N/A,#N/A,TRUE,"3";#N/A,#N/A,TRUE,"4";#N/A,#N/A,TRUE,"5";#N/A,#N/A,TRUE,"6";#N/A,#N/A,TRUE,"7"}</definedName>
    <definedName name="ㅂㅈ" hidden="1">{#N/A,#N/A,TRUE,"1";#N/A,#N/A,TRUE,"2";#N/A,#N/A,TRUE,"3";#N/A,#N/A,TRUE,"4";#N/A,#N/A,TRUE,"5";#N/A,#N/A,TRUE,"6";#N/A,#N/A,TRUE,"7"}</definedName>
    <definedName name="ㅂㅈㄷㄱ" localSheetId="0" hidden="1">{#N/A,#N/A,FALSE,"지침";#N/A,#N/A,FALSE,"환경분석";#N/A,#N/A,FALSE,"Sheet16"}</definedName>
    <definedName name="ㅂㅈㄷㄱ" hidden="1">{#N/A,#N/A,FALSE,"지침";#N/A,#N/A,FALSE,"환경분석";#N/A,#N/A,FALSE,"Sheet16"}</definedName>
    <definedName name="ㅂㅈㄷㄱㅂ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ㄷㄱ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ㅈ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ㅈ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쟈ㅕㅑㅂ1" localSheetId="0" hidden="1">{#N/A,#N/A,FALSE,"배수1"}</definedName>
    <definedName name="ㅂ쟈ㅕㅑㅂ1" hidden="1">{#N/A,#N/A,FALSE,"배수1"}</definedName>
    <definedName name="바부" localSheetId="0" hidden="1">{"'용역비'!$A$4:$C$8"}</definedName>
    <definedName name="바부" hidden="1">{"'용역비'!$A$4:$C$8"}</definedName>
    <definedName name="박" localSheetId="0" hidden="1">{#N/A,#N/A,FALSE,"구조1"}</definedName>
    <definedName name="박" hidden="1">{#N/A,#N/A,FALSE,"구조1"}</definedName>
    <definedName name="박상열" localSheetId="0" hidden="1">{#N/A,#N/A,FALSE,"현장 NCR 분석";#N/A,#N/A,FALSE,"현장품질감사";#N/A,#N/A,FALSE,"현장품질감사"}</definedName>
    <definedName name="박상열" hidden="1">{#N/A,#N/A,FALSE,"현장 NCR 분석";#N/A,#N/A,FALSE,"현장품질감사";#N/A,#N/A,FALSE,"현장품질감사"}</definedName>
    <definedName name="방" localSheetId="0" hidden="1">{#N/A,#N/A,TRUE,"960318-1";#N/A,#N/A,TRUE,"960318-2";#N/A,#N/A,TRUE,"960318-3"}</definedName>
    <definedName name="방" hidden="1">{#N/A,#N/A,TRUE,"960318-1";#N/A,#N/A,TRUE,"960318-2";#N/A,#N/A,TRUE,"960318-3"}</definedName>
    <definedName name="방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방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방수시방1" localSheetId="0" hidden="1">{#N/A,#N/A,FALSE,"현장 NCR 분석";#N/A,#N/A,FALSE,"현장품질감사";#N/A,#N/A,FALSE,"현장품질감사"}</definedName>
    <definedName name="방수시방1" hidden="1">{#N/A,#N/A,FALSE,"현장 NCR 분석";#N/A,#N/A,FALSE,"현장품질감사";#N/A,#N/A,FALSE,"현장품질감사"}</definedName>
    <definedName name="배수공집계_주요자재" localSheetId="0" hidden="1">{#N/A,#N/A,FALSE,"포장단가"}</definedName>
    <definedName name="배수공집계_주요자재" hidden="1">{#N/A,#N/A,FALSE,"포장단가"}</definedName>
    <definedName name="벙" localSheetId="0" hidden="1">{#N/A,#N/A,FALSE,"Sheet6"}</definedName>
    <definedName name="벙" hidden="1">{#N/A,#N/A,FALSE,"Sheet6"}</definedName>
    <definedName name="벽체" localSheetId="0" hidden="1">{#N/A,#N/A,FALSE,"혼합골재"}</definedName>
    <definedName name="벽체" hidden="1">{#N/A,#N/A,FALSE,"혼합골재"}</definedName>
    <definedName name="변경2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변경2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보고자료" localSheetId="0" hidden="1">{#N/A,#N/A,FALSE,"집계표"}</definedName>
    <definedName name="보고자료" hidden="1">{#N/A,#N/A,FALSE,"집계표"}</definedName>
    <definedName name="보링" localSheetId="0" hidden="1">{#N/A,#N/A,FALSE,"포장2"}</definedName>
    <definedName name="보링" hidden="1">{#N/A,#N/A,FALSE,"포장2"}</definedName>
    <definedName name="보오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평" localSheetId="0" hidden="1">{#N/A,#N/A,FALSE,"전력간선"}</definedName>
    <definedName name="보평" hidden="1">{#N/A,#N/A,FALSE,"전력간선"}</definedName>
    <definedName name="보평1" localSheetId="0" hidden="1">{#N/A,#N/A,FALSE,"전력간선"}</definedName>
    <definedName name="보평1" hidden="1">{#N/A,#N/A,FALSE,"전력간선"}</definedName>
    <definedName name="복사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사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ㅇ" localSheetId="0" hidden="1">{#N/A,#N/A,FALSE,"부대2"}</definedName>
    <definedName name="복ㅇ" hidden="1">{#N/A,#N/A,FALSE,"부대2"}</definedName>
    <definedName name="복지" localSheetId="1" hidden="1">#REF!</definedName>
    <definedName name="복지" localSheetId="0" hidden="1">#REF!</definedName>
    <definedName name="복지" localSheetId="2" hidden="1">#REF!</definedName>
    <definedName name="복지" hidden="1">#REF!</definedName>
    <definedName name="봉" localSheetId="0" hidden="1">{#N/A,#N/A,TRUE,"960318-1";#N/A,#N/A,TRUE,"960318-2";#N/A,#N/A,TRUE,"960318-3"}</definedName>
    <definedName name="봉" hidden="1">{#N/A,#N/A,TRUE,"960318-1";#N/A,#N/A,TRUE,"960318-2";#N/A,#N/A,TRUE,"960318-3"}</definedName>
    <definedName name="뵤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뵤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" localSheetId="0" hidden="1">{#N/A,#N/A,FALSE,"현장 NCR 분석";#N/A,#N/A,FALSE,"현장품질감사";#N/A,#N/A,FALSE,"현장품질감사"}</definedName>
    <definedName name="부" hidden="1">{#N/A,#N/A,FALSE,"현장 NCR 분석";#N/A,#N/A,FALSE,"현장품질감사";#N/A,#N/A,FALSE,"현장품질감사"}</definedName>
    <definedName name="부대a" localSheetId="0" hidden="1">{#N/A,#N/A,FALSE,"골재소요량";#N/A,#N/A,FALSE,"골재소요량"}</definedName>
    <definedName name="부대a" hidden="1">{#N/A,#N/A,FALSE,"골재소요량";#N/A,#N/A,FALSE,"골재소요량"}</definedName>
    <definedName name="부대건축2" localSheetId="1" hidden="1">[17]유림골조!#REF!</definedName>
    <definedName name="부대건축2" localSheetId="0" hidden="1">[17]유림골조!#REF!</definedName>
    <definedName name="부대건축2" localSheetId="2" hidden="1">[17]유림골조!#REF!</definedName>
    <definedName name="부대건축2" hidden="1">[17]유림골조!#REF!</definedName>
    <definedName name="부대구조" localSheetId="0" hidden="1">{#N/A,#N/A,FALSE,"골재소요량";#N/A,#N/A,FALSE,"골재소요량"}</definedName>
    <definedName name="부대구조" hidden="1">{#N/A,#N/A,FALSE,"골재소요량";#N/A,#N/A,FALSE,"골재소요량"}</definedName>
    <definedName name="부대방안" localSheetId="0" hidden="1">{#N/A,#N/A,FALSE,"단가표지"}</definedName>
    <definedName name="부대방안" hidden="1">{#N/A,#N/A,FALSE,"단가표지"}</definedName>
    <definedName name="부대실행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대실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대원가" localSheetId="0" hidden="1">{#N/A,#N/A,FALSE,"배수2"}</definedName>
    <definedName name="부대원가" hidden="1">{#N/A,#N/A,FALSE,"배수2"}</definedName>
    <definedName name="부대원본" localSheetId="0" hidden="1">{#N/A,#N/A,FALSE,"토공2"}</definedName>
    <definedName name="부대원본" hidden="1">{#N/A,#N/A,FALSE,"토공2"}</definedName>
    <definedName name="부대철콘" localSheetId="0" hidden="1">{#N/A,#N/A,FALSE,"배수1"}</definedName>
    <definedName name="부대철콘" hidden="1">{#N/A,#N/A,FALSE,"배수1"}</definedName>
    <definedName name="부대토공" localSheetId="0" hidden="1">{#N/A,#N/A,FALSE,"구조2"}</definedName>
    <definedName name="부대토공" hidden="1">{#N/A,#N/A,FALSE,"구조2"}</definedName>
    <definedName name="부대토공2" localSheetId="0" hidden="1">{#N/A,#N/A,FALSE,"구조2"}</definedName>
    <definedName name="부대토공2" hidden="1">{#N/A,#N/A,FALSE,"구조2"}</definedName>
    <definedName name="부산주경기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손익" localSheetId="0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부천상동조경" localSheetId="0" hidden="1">{#N/A,#N/A,FALSE,"표지"}</definedName>
    <definedName name="부천상동조경" hidden="1">{#N/A,#N/A,FALSE,"표지"}</definedName>
    <definedName name="분" localSheetId="0" hidden="1">{#N/A,#N/A,FALSE,"이태원철근"}</definedName>
    <definedName name="분" hidden="1">{#N/A,#N/A,FALSE,"이태원철근"}</definedName>
    <definedName name="분당공" localSheetId="1" hidden="1">#REF!</definedName>
    <definedName name="분당공" localSheetId="0" hidden="1">#REF!</definedName>
    <definedName name="분당공" localSheetId="2" hidden="1">#REF!</definedName>
    <definedName name="분당공" hidden="1">#REF!</definedName>
    <definedName name="분당물가" localSheetId="1" hidden="1">#REF!</definedName>
    <definedName name="분당물가" localSheetId="0" hidden="1">#REF!</definedName>
    <definedName name="분당물가" localSheetId="2" hidden="1">#REF!</definedName>
    <definedName name="분당물가" hidden="1">#REF!</definedName>
    <definedName name="분당코아" localSheetId="1" hidden="1">#REF!</definedName>
    <definedName name="분당코아" localSheetId="0" hidden="1">#REF!</definedName>
    <definedName name="분당코아" localSheetId="2" hidden="1">#REF!</definedName>
    <definedName name="분당코아" hidden="1">#REF!</definedName>
    <definedName name="분당협조" localSheetId="0" hidden="1">{#N/A,#N/A,FALSE,"이태원철근"}</definedName>
    <definedName name="분당협조" hidden="1">{#N/A,#N/A,FALSE,"이태원철근"}</definedName>
    <definedName name="분석" localSheetId="0" hidden="1">{#N/A,#N/A,FALSE,"예상손익";#N/A,#N/A,FALSE,"관리분석";#N/A,#N/A,FALSE,"장비분석";#N/A,#N/A,FALSE,"준설분석";#N/A,#N/A,FALSE,"철구분석"}</definedName>
    <definedName name="분석" hidden="1">{#N/A,#N/A,FALSE,"예상손익";#N/A,#N/A,FALSE,"관리분석";#N/A,#N/A,FALSE,"장비분석";#N/A,#N/A,FALSE,"준설분석";#N/A,#N/A,FALSE,"철구분석"}</definedName>
    <definedName name="분석변경" localSheetId="0" hidden="1">{#N/A,#N/A,FALSE,"변경관리예산";#N/A,#N/A,FALSE,"변경장비예산";#N/A,#N/A,FALSE,"변경준설예산";#N/A,#N/A,FALSE,"변경철구예산"}</definedName>
    <definedName name="분석변경" hidden="1">{#N/A,#N/A,FALSE,"변경관리예산";#N/A,#N/A,FALSE,"변경장비예산";#N/A,#N/A,FALSE,"변경준설예산";#N/A,#N/A,FALSE,"변경철구예산"}</definedName>
    <definedName name="분석표" localSheetId="0" hidden="1">{#N/A,#N/A,FALSE,"사업총괄";#N/A,#N/A,FALSE,"장비사업";#N/A,#N/A,FALSE,"철구사업";#N/A,#N/A,FALSE,"준설사업"}</definedName>
    <definedName name="분석표" hidden="1">{#N/A,#N/A,FALSE,"사업총괄";#N/A,#N/A,FALSE,"장비사업";#N/A,#N/A,FALSE,"철구사업";#N/A,#N/A,FALSE,"준설사업"}</definedName>
    <definedName name="분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비과세" localSheetId="1" hidden="1">#REF!</definedName>
    <definedName name="비과세" localSheetId="0" hidden="1">#REF!</definedName>
    <definedName name="비과세" localSheetId="2" hidden="1">#REF!</definedName>
    <definedName name="비과세" hidden="1">#REF!</definedName>
    <definedName name="뽕" localSheetId="0" hidden="1">{#N/A,#N/A,TRUE,"960318-1";#N/A,#N/A,TRUE,"960318-2";#N/A,#N/A,TRUE,"960318-3"}</definedName>
    <definedName name="뽕" hidden="1">{#N/A,#N/A,TRUE,"960318-1";#N/A,#N/A,TRUE,"960318-2";#N/A,#N/A,TRUE,"960318-3"}</definedName>
    <definedName name="ㅄ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ㅄ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54ㅛㄳ" localSheetId="1" hidden="1">#REF!</definedName>
    <definedName name="ㅅ54ㅛㄳ" localSheetId="0" hidden="1">#REF!</definedName>
    <definedName name="ㅅ54ㅛㄳ" localSheetId="2" hidden="1">#REF!</definedName>
    <definedName name="ㅅ54ㅛㄳ" hidden="1">#REF!</definedName>
    <definedName name="ㅅㄱ" localSheetId="1" hidden="1">[18]내역서!#REF!</definedName>
    <definedName name="ㅅㄱ" localSheetId="0" hidden="1">[18]내역서!#REF!</definedName>
    <definedName name="ㅅㄱ" localSheetId="2" hidden="1">[18]내역서!#REF!</definedName>
    <definedName name="ㅅㄱ" hidden="1">[18]내역서!#REF!</definedName>
    <definedName name="ㅅㄱㄱㄷ" localSheetId="0" hidden="1">{#N/A,#N/A,FALSE,"집계표"}</definedName>
    <definedName name="ㅅㄱㄱㄷ" hidden="1">{#N/A,#N/A,FALSE,"집계표"}</definedName>
    <definedName name="ㅅㄱㄷㅅㄱㄷ" localSheetId="0" hidden="1">{#N/A,#N/A,FALSE,"구조2"}</definedName>
    <definedName name="ㅅㄱㄷㅅㄱㄷ" hidden="1">{#N/A,#N/A,FALSE,"구조2"}</definedName>
    <definedName name="ㅅㄱㄷㅅㄷㄱ" localSheetId="0" hidden="1">{#N/A,#N/A,FALSE,"단가표지"}</definedName>
    <definedName name="ㅅㄱㄷㅅㄷㄱ" hidden="1">{#N/A,#N/A,FALSE,"단가표지"}</definedName>
    <definedName name="ㅅㄱㄷㅅㄷㄳ" localSheetId="0" hidden="1">{#N/A,#N/A,FALSE,"골재소요량";#N/A,#N/A,FALSE,"골재소요량"}</definedName>
    <definedName name="ㅅㄱㄷㅅㄷㄳ" hidden="1">{#N/A,#N/A,FALSE,"골재소요량";#N/A,#N/A,FALSE,"골재소요량"}</definedName>
    <definedName name="ㅅㄱ혿ㄱㅎ" localSheetId="0" hidden="1">{#N/A,#N/A,FALSE,"Sheet6"}</definedName>
    <definedName name="ㅅㄱ혿ㄱㅎ" hidden="1">{#N/A,#N/A,FALSE,"Sheet6"}</definedName>
    <definedName name="ㅅ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ㅗ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ㅗ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고죶거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고죶거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곣ㅈ궈ㅕ" localSheetId="1" hidden="1">#REF!</definedName>
    <definedName name="ㅅ곣ㅈ궈ㅕ" localSheetId="0" hidden="1">#REF!</definedName>
    <definedName name="ㅅ곣ㅈ궈ㅕ" localSheetId="2" hidden="1">#REF!</definedName>
    <definedName name="ㅅ곣ㅈ궈ㅕ" hidden="1">#REF!</definedName>
    <definedName name="ㅅ굔ㄱㄷ" localSheetId="0" hidden="1">{#N/A,#N/A,FALSE,"Sheet6"}</definedName>
    <definedName name="ㅅ굔ㄱㄷ" hidden="1">{#N/A,#N/A,FALSE,"Sheet6"}</definedName>
    <definedName name="ㅅ굦ㄷㄱ" localSheetId="0" hidden="1">{#N/A,#N/A,FALSE,"집계표"}</definedName>
    <definedName name="ㅅ굦ㄷㄱ" hidden="1">{#N/A,#N/A,FALSE,"집계표"}</definedName>
    <definedName name="ㅅ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ㄷ여ㅓㅜㅛㅡㅛㄷ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ㄷ여ㅓㅜㅛㅡㅛㄷ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다다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다다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뎌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뎌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ㅏㅏㅏ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ㅏㅏㅏ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ㅑ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ㅑ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ㅓ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ㅓ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ㅕ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ㅕ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ㅡ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ㅡ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ㅐㅑㅅ뎌ㅐ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ㅐㅑㅅ뎌ㅐ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죠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죠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ㅑ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ㅑ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ㅜ드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ㅜ드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ㅅ" localSheetId="1" hidden="1">#REF!</definedName>
    <definedName name="ㅅㅅ" localSheetId="0" hidden="1">#REF!</definedName>
    <definedName name="ㅅㅅ" localSheetId="2" hidden="1">#REF!</definedName>
    <definedName name="ㅅㅅ" hidden="1">#REF!</definedName>
    <definedName name="ㅅㅅㅅㅅ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ㅅㅅㅅ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숃쇼됻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숃쇼됻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죠ㅓㅓㄷ교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죠ㅓㅓㄷ교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ㅎㅌㅇ료" localSheetId="0" hidden="1">{#N/A,#N/A,FALSE,"집계표"}</definedName>
    <definedName name="ㅅㅎㅌㅇ료" hidden="1">{#N/A,#N/A,FALSE,"집계표"}</definedName>
    <definedName name="ㅅㅓ" localSheetId="1" hidden="1">#REF!</definedName>
    <definedName name="ㅅㅓ" localSheetId="0" hidden="1">#REF!</definedName>
    <definedName name="ㅅㅓ" localSheetId="2" hidden="1">#REF!</definedName>
    <definedName name="ㅅㅓ" hidden="1">#REF!</definedName>
    <definedName name="사" localSheetId="1" hidden="1">#REF!</definedName>
    <definedName name="사" localSheetId="0" hidden="1">#REF!</definedName>
    <definedName name="사" localSheetId="2" hidden="1">#REF!</definedName>
    <definedName name="사" hidden="1">#REF!</definedName>
    <definedName name="사1" localSheetId="0" hidden="1">{#N/A,#N/A,FALSE,"지침";#N/A,#N/A,FALSE,"환경분석";#N/A,#N/A,FALSE,"Sheet16"}</definedName>
    <definedName name="사1" hidden="1">{#N/A,#N/A,FALSE,"지침";#N/A,#N/A,FALSE,"환경분석";#N/A,#N/A,FALSE,"Sheet16"}</definedName>
    <definedName name="사급" localSheetId="0" hidden="1">{#N/A,#N/A,FALSE,"배수2"}</definedName>
    <definedName name="사급" hidden="1">{#N/A,#N/A,FALSE,"배수2"}</definedName>
    <definedName name="사면녹화공" localSheetId="0" hidden="1">{#N/A,#N/A,FALSE,"CCTV"}</definedName>
    <definedName name="사면녹화공" hidden="1">{#N/A,#N/A,FALSE,"CCTV"}</definedName>
    <definedName name="사ㅓ다ㅓ더ㅛ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ㅓ다ㅓ더ㅛ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ㅛ셔ㅓ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ㅛ셔ㅓ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산출갑" localSheetId="0" hidden="1">{#N/A,#N/A,FALSE,"구조2"}</definedName>
    <definedName name="산출갑" hidden="1">{#N/A,#N/A,FALSE,"구조2"}</definedName>
    <definedName name="산출근거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산출근거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성견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성견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호" localSheetId="0" hidden="1">{#N/A,#N/A,FALSE,"배수2"}</definedName>
    <definedName name="삼호" hidden="1">{#N/A,#N/A,FALSE,"배수2"}</definedName>
    <definedName name="삽" localSheetId="0" hidden="1">{#N/A,#N/A,FALSE,"Sheet6"}</definedName>
    <definedName name="삽" hidden="1">{#N/A,#N/A,FALSE,"Sheet6"}</definedName>
    <definedName name="상봉" localSheetId="0" hidden="1">{#N/A,#N/A,TRUE,"960318-1";#N/A,#N/A,TRUE,"960318-2";#N/A,#N/A,TRUE,"960318-3"}</definedName>
    <definedName name="상봉" hidden="1">{#N/A,#N/A,TRUE,"960318-1";#N/A,#N/A,TRUE,"960318-2";#N/A,#N/A,TRUE,"960318-3"}</definedName>
    <definedName name="상주" localSheetId="0" hidden="1">{#N/A,#N/A,FALSE,"지침";#N/A,#N/A,FALSE,"환경분석";#N/A,#N/A,FALSE,"Sheet16"}</definedName>
    <definedName name="상주" hidden="1">{#N/A,#N/A,FALSE,"지침";#N/A,#N/A,FALSE,"환경분석";#N/A,#N/A,FALSE,"Sheet16"}</definedName>
    <definedName name="상주감리" localSheetId="0" hidden="1">{#N/A,#N/A,FALSE,"지침";#N/A,#N/A,FALSE,"환경분석";#N/A,#N/A,FALSE,"Sheet16"}</definedName>
    <definedName name="상주감리" hidden="1">{#N/A,#N/A,FALSE,"지침";#N/A,#N/A,FALSE,"환경분석";#N/A,#N/A,FALSE,"Sheet16"}</definedName>
    <definedName name="새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공통" localSheetId="0" hidden="1">{#N/A,#N/A,FALSE,"이태원철근"}</definedName>
    <definedName name="새공통" hidden="1">{#N/A,#N/A,FALSE,"이태원철근"}</definedName>
    <definedName name="새내역서" localSheetId="0" hidden="1">{#N/A,#N/A,FALSE,"Sheet1"}</definedName>
    <definedName name="새내역서" hidden="1">{#N/A,#N/A,FALSE,"Sheet1"}</definedName>
    <definedName name="서거ㅜㅛㅛ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거ㅜㅛㅛ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아" localSheetId="0" hidden="1">{#N/A,#N/A,FALSE,"집계표"}</definedName>
    <definedName name="서아" hidden="1">{#N/A,#N/A,FALSE,"집계표"}</definedName>
    <definedName name="서ㅛ거ㅏㅕ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ㅛ거ㅏㅕ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석" localSheetId="0" hidden="1">{#N/A,#N/A,FALSE,"지침";#N/A,#N/A,FALSE,"환경분석";#N/A,#N/A,FALSE,"Sheet16"}</definedName>
    <definedName name="석" hidden="1">{#N/A,#N/A,FALSE,"지침";#N/A,#N/A,FALSE,"환경분석";#N/A,#N/A,FALSE,"Sheet16"}</definedName>
    <definedName name="석재받은의뢰업체" hidden="1">255</definedName>
    <definedName name="선택" localSheetId="0" hidden="1">{#N/A,#N/A,FALSE,"지침";#N/A,#N/A,FALSE,"환경분석";#N/A,#N/A,FALSE,"Sheet16"}</definedName>
    <definedName name="선택" hidden="1">{#N/A,#N/A,FALSE,"지침";#N/A,#N/A,FALSE,"환경분석";#N/A,#N/A,FALSE,"Sheet16"}</definedName>
    <definedName name="설계서" localSheetId="0" hidden="1">{#N/A,#N/A,FALSE,"전력간선"}</definedName>
    <definedName name="설계서" hidden="1">{#N/A,#N/A,FALSE,"전력간선"}</definedName>
    <definedName name="설명" localSheetId="0" hidden="1">{#N/A,#N/A,FALSE,"부대1"}</definedName>
    <definedName name="설명" hidden="1">{#N/A,#N/A,FALSE,"부대1"}</definedName>
    <definedName name="설명서" localSheetId="0" hidden="1">{#N/A,#N/A,FALSE,"포장1";#N/A,#N/A,FALSE,"포장1"}</definedName>
    <definedName name="설명서" hidden="1">{#N/A,#N/A,FALSE,"포장1";#N/A,#N/A,FALSE,"포장1"}</definedName>
    <definedName name="성도" localSheetId="0" hidden="1">{#N/A,#N/A,TRUE,"960318-1";#N/A,#N/A,TRUE,"960318-2";#N/A,#N/A,TRUE,"960318-3"}</definedName>
    <definedName name="성도" hidden="1">{#N/A,#N/A,TRUE,"960318-1";#N/A,#N/A,TRUE,"960318-2";#N/A,#N/A,TRUE,"960318-3"}</definedName>
    <definedName name="세전익익" localSheetId="0" hidden="1">{#N/A,#N/A,FALSE,"지침";#N/A,#N/A,FALSE,"환경분석";#N/A,#N/A,FALSE,"Sheet16"}</definedName>
    <definedName name="세전익익" hidden="1">{#N/A,#N/A,FALSE,"지침";#N/A,#N/A,FALSE,"환경분석";#N/A,#N/A,FALSE,"Sheet16"}</definedName>
    <definedName name="셔다뎌ㅕㅕ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뎌ㅕㅕ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ㅏㅓ가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ㅏㅓ가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ㅑㅣㅏ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ㅑㅣㅏ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소요계획2" localSheetId="0" hidden="1">{#N/A,#N/A,FALSE,"예상손익";#N/A,#N/A,FALSE,"관리분석";#N/A,#N/A,FALSE,"장비분석";#N/A,#N/A,FALSE,"준설분석";#N/A,#N/A,FALSE,"철구분석"}</definedName>
    <definedName name="소요계획2" hidden="1">{#N/A,#N/A,FALSE,"예상손익";#N/A,#N/A,FALSE,"관리분석";#N/A,#N/A,FALSE,"장비분석";#N/A,#N/A,FALSE,"준설분석";#N/A,#N/A,FALSE,"철구분석"}</definedName>
    <definedName name="소화갑지" localSheetId="0" hidden="1">{#N/A,#N/A,FALSE,"CCTV"}</definedName>
    <definedName name="소화갑지" hidden="1">{#N/A,#N/A,FALSE,"CCTV"}</definedName>
    <definedName name="소ㅓㅏㅈㄴ서ㅡㅜㅊ크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소ㅓㅏㅈㄴ서ㅡㅜㅊ크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손익변경" localSheetId="0" hidden="1">{#N/A,#N/A,FALSE,"지침";#N/A,#N/A,FALSE,"환경분석";#N/A,#N/A,FALSE,"Sheet16"}</definedName>
    <definedName name="손익변경" hidden="1">{#N/A,#N/A,FALSE,"지침";#N/A,#N/A,FALSE,"환경분석";#N/A,#N/A,FALSE,"Sheet16"}</definedName>
    <definedName name="솓소돋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솓소돋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솞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솞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악1번가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악1번가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용석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용석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" localSheetId="0" hidden="1">{#N/A,#N/A,FALSE,"포장1";#N/A,#N/A,FALSE,"포장1"}</definedName>
    <definedName name="쇼" hidden="1">{#N/A,#N/A,FALSE,"포장1";#N/A,#N/A,FALSE,"포장1"}</definedName>
    <definedName name="쇼더ㅕ뎌ㅛ더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뎌ㅛ더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ㅕ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ㅕ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젓ㅅㅅㅅㅅㄷ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젓ㅅㅅㅅㅅㄷ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ㅅ" localSheetId="0" hidden="1">{#N/A,#N/A,FALSE,"Sheet6"}</definedName>
    <definedName name="쇼ㅏㅅ" hidden="1">{#N/A,#N/A,FALSE,"Sheet6"}</definedName>
    <definedName name="쇼ㅏㅕ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ㅕ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ㅡㅕ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ㅡㅕ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ㅣㅏ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ㅣㅏ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더ㅓ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더ㅓ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ㄹ" localSheetId="0" hidden="1">{#N/A,#N/A,FALSE,"현장 NCR 분석";#N/A,#N/A,FALSE,"현장품질감사";#N/A,#N/A,FALSE,"현장품질감사"}</definedName>
    <definedName name="쇼ㅓㄹ" hidden="1">{#N/A,#N/A,FALSE,"현장 NCR 분석";#N/A,#N/A,FALSE,"현장품질감사";#N/A,#N/A,FALSE,"현장품질감사"}</definedName>
    <definedName name="쇼ㅓㅅ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ㅅ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ㅎㄹ" localSheetId="0" hidden="1">{#N/A,#N/A,FALSE,"집계표"}</definedName>
    <definedName name="쇼ㅓㅎㄹ" hidden="1">{#N/A,#N/A,FALSE,"집계표"}</definedName>
    <definedName name="쇼ㅓㅏ뎌ㅏ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뎌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ㅣ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ㅣ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ㅛㅕ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ㅛㅕ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숏교" localSheetId="0" hidden="1">{#N/A,#N/A,FALSE,"Sheet6"}</definedName>
    <definedName name="숏교" hidden="1">{#N/A,#N/A,FALSE,"Sheet6"}</definedName>
    <definedName name="수" localSheetId="1" hidden="1">#REF!</definedName>
    <definedName name="수" localSheetId="0" hidden="1">#REF!</definedName>
    <definedName name="수" localSheetId="2" hidden="1">#REF!</definedName>
    <definedName name="수" hidden="1">#REF!</definedName>
    <definedName name="수량산출근거" localSheetId="0" hidden="1">{#N/A,#N/A,FALSE,"표지"}</definedName>
    <definedName name="수량산출근거" hidden="1">{#N/A,#N/A,FALSE,"표지"}</definedName>
    <definedName name="수량집계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량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정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수정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수ㅗ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ㅗ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ㅠㅁ" localSheetId="0" hidden="1">{#N/A,#N/A,FALSE,"현장 NCR 분석";#N/A,#N/A,FALSE,"현장품질감사";#N/A,#N/A,FALSE,"현장품질감사"}</definedName>
    <definedName name="수ㅠㅁ" hidden="1">{#N/A,#N/A,FALSE,"현장 NCR 분석";#N/A,#N/A,FALSE,"현장품질감사";#N/A,#N/A,FALSE,"현장품질감사"}</definedName>
    <definedName name="순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숱" localSheetId="0" hidden="1">{#N/A,#N/A,FALSE,"현장 NCR 분석";#N/A,#N/A,FALSE,"현장품질감사";#N/A,#N/A,FALSE,"현장품질감사"}</definedName>
    <definedName name="숱" hidden="1">{#N/A,#N/A,FALSE,"현장 NCR 분석";#N/A,#N/A,FALSE,"현장품질감사";#N/A,#N/A,FALSE,"현장품질감사"}</definedName>
    <definedName name="승" localSheetId="0" hidden="1">{#N/A,#N/A,FALSE,"지침";#N/A,#N/A,FALSE,"환경분석";#N/A,#N/A,FALSE,"Sheet16"}</definedName>
    <definedName name="승" hidden="1">{#N/A,#N/A,FALSE,"지침";#N/A,#N/A,FALSE,"환경분석";#N/A,#N/A,FALSE,"Sheet16"}</definedName>
    <definedName name="시행" localSheetId="0" hidden="1">{#N/A,#N/A,FALSE,"이태원철근"}</definedName>
    <definedName name="시행" hidden="1">{#N/A,#N/A,FALSE,"이태원철근"}</definedName>
    <definedName name="시험실과식당" localSheetId="0" hidden="1">{#N/A,#N/A,FALSE,"사업총괄";#N/A,#N/A,FALSE,"장비사업";#N/A,#N/A,FALSE,"철구사업";#N/A,#N/A,FALSE,"준설사업"}</definedName>
    <definedName name="시험실과식당" hidden="1">{#N/A,#N/A,FALSE,"사업총괄";#N/A,#N/A,FALSE,"장비사업";#N/A,#N/A,FALSE,"철구사업";#N/A,#N/A,FALSE,"준설사업"}</definedName>
    <definedName name="신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IC사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IC사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안" localSheetId="0" hidden="1">{#N/A,#N/A,FALSE,"현장 NCR 분석";#N/A,#N/A,FALSE,"현장품질감사";#N/A,#N/A,FALSE,"현장품질감사"}</definedName>
    <definedName name="신안" hidden="1">{#N/A,#N/A,FALSE,"현장 NCR 분석";#N/A,#N/A,FALSE,"현장품질감사";#N/A,#N/A,FALSE,"현장품질감사"}</definedName>
    <definedName name="신화" localSheetId="0" hidden="1">{#N/A,#N/A,TRUE,"960318-1";#N/A,#N/A,TRUE,"960318-2";#N/A,#N/A,TRUE,"960318-3"}</definedName>
    <definedName name="신화" hidden="1">{#N/A,#N/A,TRUE,"960318-1";#N/A,#N/A,TRUE,"960318-2";#N/A,#N/A,TRUE,"960318-3"}</definedName>
    <definedName name="실행금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실행금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ㄱ로ㅕㅛ" localSheetId="0" hidden="1">{#N/A,#N/A,FALSE,"집계표"}</definedName>
    <definedName name="ㅇㄱ로ㅕㅛ" hidden="1">{#N/A,#N/A,FALSE,"집계표"}</definedName>
    <definedName name="ㅇ거" localSheetId="0" hidden="1">{#N/A,#N/A,FALSE,"집계표"}</definedName>
    <definedName name="ㅇ거" hidden="1">{#N/A,#N/A,FALSE,"집계표"}</definedName>
    <definedName name="ㅇㄳㄹ호" localSheetId="0" hidden="1">{#N/A,#N/A,FALSE,"집계표"}</definedName>
    <definedName name="ㅇㄳㄹ호" hidden="1">{#N/A,#N/A,FALSE,"집계표"}</definedName>
    <definedName name="ㅇㄴㄱ숖ㅊ" localSheetId="0" hidden="1">{#N/A,#N/A,FALSE,"집계표"}</definedName>
    <definedName name="ㅇㄴㄱ숖ㅊ" hidden="1">{#N/A,#N/A,FALSE,"집계표"}</definedName>
    <definedName name="ㅇㄴ굫ㅅ" localSheetId="0" hidden="1">{#N/A,#N/A,FALSE,"집계표"}</definedName>
    <definedName name="ㅇㄴ굫ㅅ" hidden="1">{#N/A,#N/A,FALSE,"집계표"}</definedName>
    <definedName name="ㅇㄴㄴㄴㄴㄴㄴㄴㄴ" localSheetId="0" hidden="1">{#N/A,#N/A,FALSE,"집계표"}</definedName>
    <definedName name="ㅇㄴㄴㄴㄴㄴㄴㄴㄴ" hidden="1">{#N/A,#N/A,FALSE,"집계표"}</definedName>
    <definedName name="ㅇㄴㄹㅎ" localSheetId="0" hidden="1">{#N/A,#N/A,FALSE,"집계표"}</definedName>
    <definedName name="ㅇㄴㄹㅎ" hidden="1">{#N/A,#N/A,FALSE,"집계표"}</definedName>
    <definedName name="ㅇㄴㄹ해" localSheetId="0" hidden="1">{#N/A,#N/A,FALSE,"집계표"}</definedName>
    <definedName name="ㅇㄴㄹ해" hidden="1">{#N/A,#N/A,FALSE,"집계표"}</definedName>
    <definedName name="ㅇㄴㄹ혼" localSheetId="0" hidden="1">{#N/A,#N/A,FALSE,"집계표"}</definedName>
    <definedName name="ㅇㄴㄹ혼" hidden="1">{#N/A,#N/A,FALSE,"집계표"}</definedName>
    <definedName name="ㅇㄴㄹ히ㅑㅓ" localSheetId="0" hidden="1">{#N/A,#N/A,FALSE,"집계표"}</definedName>
    <definedName name="ㅇㄴㄹ히ㅑㅓ" hidden="1">{#N/A,#N/A,FALSE,"집계표"}</definedName>
    <definedName name="ㅇㄴ라ㅔㅐ" localSheetId="0" hidden="1">{#N/A,#N/A,FALSE,"집계표"}</definedName>
    <definedName name="ㅇㄴ라ㅔㅐ" hidden="1">{#N/A,#N/A,FALSE,"집계표"}</definedName>
    <definedName name="ㅇㄴ로" localSheetId="0" hidden="1">{#N/A,#N/A,FALSE,"집계표"}</definedName>
    <definedName name="ㅇㄴ로" hidden="1">{#N/A,#N/A,FALSE,"집계표"}</definedName>
    <definedName name="ㅇㄴ로ㅗㅗㅗㅗㅗㅗㅗㅗ" localSheetId="0" hidden="1">{#N/A,#N/A,FALSE,"집계표"}</definedName>
    <definedName name="ㅇㄴ로ㅗㅗㅗㅗㅗㅗㅗㅗ" hidden="1">{#N/A,#N/A,FALSE,"집계표"}</definedName>
    <definedName name="ㅇㄴ롷" localSheetId="0" hidden="1">{#N/A,#N/A,FALSE,"집계표"}</definedName>
    <definedName name="ㅇㄴ롷" hidden="1">{#N/A,#N/A,FALSE,"집계표"}</definedName>
    <definedName name="ㅇㄴ롷ㄴ" localSheetId="0" hidden="1">{#N/A,#N/A,FALSE,"집계표"}</definedName>
    <definedName name="ㅇㄴ롷ㄴ" hidden="1">{#N/A,#N/A,FALSE,"집계표"}</definedName>
    <definedName name="ㅇㄴ롷ㅇㄴ롷ㄴ" localSheetId="0" hidden="1">{#N/A,#N/A,FALSE,"집계표"}</definedName>
    <definedName name="ㅇㄴ롷ㅇㄴ롷ㄴ" hidden="1">{#N/A,#N/A,FALSE,"집계표"}</definedName>
    <definedName name="ㅇㄴ리ㅏ허ㅣ" localSheetId="0" hidden="1">{#N/A,#N/A,FALSE,"집계표"}</definedName>
    <definedName name="ㅇㄴ리ㅏ허ㅣ" hidden="1">{#N/A,#N/A,FALSE,"집계표"}</definedName>
    <definedName name="ㅇㄴㅀㄴㄿㅊ" localSheetId="0" hidden="1">{#N/A,#N/A,FALSE,"집계표"}</definedName>
    <definedName name="ㅇㄴㅀㄴㄿㅊ" hidden="1">{#N/A,#N/A,FALSE,"집계표"}</definedName>
    <definedName name="ㅇㄴㅀㄴㅇㄱ" localSheetId="0" hidden="1">{#N/A,#N/A,FALSE,"집계표"}</definedName>
    <definedName name="ㅇㄴㅀㄴㅇㄱ" hidden="1">{#N/A,#N/A,FALSE,"집계표"}</definedName>
    <definedName name="ㅇㄴㅀㅁㄱㄷㅎ" localSheetId="0" hidden="1">{#N/A,#N/A,FALSE,"집계표"}</definedName>
    <definedName name="ㅇㄴㅀㅁㄱㄷㅎ" hidden="1">{#N/A,#N/A,FALSE,"집계표"}</definedName>
    <definedName name="ㅇㄴㅀ쇼ㅗㅗㅗㅗㅗ" localSheetId="0" hidden="1">{#N/A,#N/A,FALSE,"집계표"}</definedName>
    <definedName name="ㅇㄴㅀ쇼ㅗㅗㅗㅗㅗ" hidden="1">{#N/A,#N/A,FALSE,"집계표"}</definedName>
    <definedName name="ㅇㄴㅀㅇㄴ" localSheetId="0" hidden="1">{#N/A,#N/A,FALSE,"집계표"}</definedName>
    <definedName name="ㅇㄴㅀㅇㄴ" hidden="1">{#N/A,#N/A,FALSE,"집계표"}</definedName>
    <definedName name="ㅇㄴㅁ" hidden="1">[19]실행철강하도!$A$1:$A$4</definedName>
    <definedName name="ㅇㄴㅁ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ㅁ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ㅁㅎㄹ" localSheetId="0" hidden="1">{#N/A,#N/A,FALSE,"집계표"}</definedName>
    <definedName name="ㅇㄴㅁㅎㄹ" hidden="1">{#N/A,#N/A,FALSE,"집계표"}</definedName>
    <definedName name="ㅇ낳리ㅓ" localSheetId="0" hidden="1">{#N/A,#N/A,FALSE,"집계표"}</definedName>
    <definedName name="ㅇ낳리ㅓ" hidden="1">{#N/A,#N/A,FALSE,"집계표"}</definedName>
    <definedName name="ㅇ낸에네ㅔ" localSheetId="0" hidden="1">{#N/A,#N/A,FALSE,"집계표"}</definedName>
    <definedName name="ㅇ낸에네ㅔ" hidden="1">{#N/A,#N/A,FALSE,"집계표"}</definedName>
    <definedName name="ㅇ놓ㄹㄹㄹㄹㄹ" localSheetId="0" hidden="1">{#N/A,#N/A,FALSE,"집계표"}</definedName>
    <definedName name="ㅇ놓ㄹㄹㄹㄹㄹ" hidden="1">{#N/A,#N/A,FALSE,"집계표"}</definedName>
    <definedName name="ㅇ놓로횻ㅅ" localSheetId="0" hidden="1">{#N/A,#N/A,FALSE,"집계표"}</definedName>
    <definedName name="ㅇ놓로횻ㅅ" hidden="1">{#N/A,#N/A,FALSE,"집계표"}</definedName>
    <definedName name="ㅇ니ㅏㅎ러" localSheetId="0" hidden="1">{#N/A,#N/A,FALSE,"집계표"}</definedName>
    <definedName name="ㅇ니ㅏㅎ러" hidden="1">{#N/A,#N/A,FALSE,"집계표"}</definedName>
    <definedName name="ㅇ니ㅏㅓㄹ힝니ㅏㅎㄹ" localSheetId="0" hidden="1">{#N/A,#N/A,FALSE,"집계표"}</definedName>
    <definedName name="ㅇ니ㅏㅓㄹ힝니ㅏㅎㄹ" hidden="1">{#N/A,#N/A,FALSE,"집계표"}</definedName>
    <definedName name="ㅇ니ㅏㅓ로히ㅏ" localSheetId="0" hidden="1">{#N/A,#N/A,FALSE,"집계표"}</definedName>
    <definedName name="ㅇ니ㅏㅓ로히ㅏ" hidden="1">{#N/A,#N/A,FALSE,"집계표"}</definedName>
    <definedName name="ㅇ니ㅓㅎ로" localSheetId="0" hidden="1">{#N/A,#N/A,FALSE,"집계표"}</definedName>
    <definedName name="ㅇ니ㅓㅎ로" hidden="1">{#N/A,#N/A,FALSE,"집계표"}</definedName>
    <definedName name="ㅇㄶ" localSheetId="0" hidden="1">{#N/A,#N/A,FALSE,"표지"}</definedName>
    <definedName name="ㅇㄶ" hidden="1">{#N/A,#N/A,FALSE,"표지"}</definedName>
    <definedName name="ㅇㄷㄱㅎㄴㅇ" localSheetId="0" hidden="1">{#N/A,#N/A,FALSE,"집계표"}</definedName>
    <definedName name="ㅇㄷㄱㅎㄴㅇ" hidden="1">{#N/A,#N/A,FALSE,"집계표"}</definedName>
    <definedName name="ㅇ댜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댜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더퍼" localSheetId="0" hidden="1">{#N/A,#N/A,FALSE,"집계표"}</definedName>
    <definedName name="ㅇ더퍼" hidden="1">{#N/A,#N/A,FALSE,"집계표"}</definedName>
    <definedName name="ㅇㄹ" localSheetId="1" hidden="1">#REF!</definedName>
    <definedName name="ㅇㄹ" localSheetId="0" hidden="1">#REF!</definedName>
    <definedName name="ㅇㄹ" localSheetId="2" hidden="1">#REF!</definedName>
    <definedName name="ㅇㄹ" hidden="1">#REF!</definedName>
    <definedName name="ㅇㄹ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ㄴ호" localSheetId="0" hidden="1">{#N/A,#N/A,FALSE,"집계표"}</definedName>
    <definedName name="ㅇㄹㄴ호" hidden="1">{#N/A,#N/A,FALSE,"집계표"}</definedName>
    <definedName name="ㅇㄹㄹ" localSheetId="1" hidden="1">#REF!</definedName>
    <definedName name="ㅇㄹㄹ" localSheetId="0" hidden="1">#REF!</definedName>
    <definedName name="ㅇㄹㄹ" localSheetId="2" hidden="1">#REF!</definedName>
    <definedName name="ㅇㄹㄹ" hidden="1">#REF!</definedName>
    <definedName name="ㅇㄹㄹㄹㄹ" localSheetId="0" hidden="1">{#N/A,#N/A,FALSE,"전력간선"}</definedName>
    <definedName name="ㅇㄹㄹㄹㄹ" hidden="1">{#N/A,#N/A,FALSE,"전력간선"}</definedName>
    <definedName name="ㅇㄹㄹㅀㅎㅎㅎㅎㅎㅎㅎㅎㅎㅎ" localSheetId="0" hidden="1">{#N/A,#N/A,FALSE,"집계표"}</definedName>
    <definedName name="ㅇㄹㄹㅀㅎㅎㅎㅎㅎㅎㅎㅎㅎㅎ" hidden="1">{#N/A,#N/A,FALSE,"집계표"}</definedName>
    <definedName name="ㅇㄹㅀ" localSheetId="1" hidden="1">#REF!</definedName>
    <definedName name="ㅇㄹㅀ" localSheetId="0" hidden="1">#REF!</definedName>
    <definedName name="ㅇㄹㅀ" localSheetId="2" hidden="1">#REF!</definedName>
    <definedName name="ㅇㄹㅀ" hidden="1">#REF!</definedName>
    <definedName name="ㅇㄹㅇㄹ" localSheetId="1" hidden="1">#REF!</definedName>
    <definedName name="ㅇㄹㅇㄹ" localSheetId="0" hidden="1">#REF!</definedName>
    <definedName name="ㅇㄹㅇㄹ" localSheetId="2" hidden="1">#REF!</definedName>
    <definedName name="ㅇㄹㅇㄹ" hidden="1">#REF!</definedName>
    <definedName name="ㅇㄹㅎ" localSheetId="0" hidden="1">{#N/A,#N/A,FALSE,"집계표"}</definedName>
    <definedName name="ㅇㄹㅎ" hidden="1">{#N/A,#N/A,FALSE,"집계표"}</definedName>
    <definedName name="ㅇㄹ허ㅗ" localSheetId="0" hidden="1">{#N/A,#N/A,FALSE,"집계표"}</definedName>
    <definedName name="ㅇㄹ허ㅗ" hidden="1">{#N/A,#N/A,FALSE,"집계표"}</definedName>
    <definedName name="ㅇㄹ호" localSheetId="0" hidden="1">{#N/A,#N/A,FALSE,"집계표"}</definedName>
    <definedName name="ㅇㄹ호" hidden="1">{#N/A,#N/A,FALSE,"집계표"}</definedName>
    <definedName name="ㅇㄹ호ㄹ옿" localSheetId="0" hidden="1">{#N/A,#N/A,FALSE,"집계표"}</definedName>
    <definedName name="ㅇㄹ호ㄹ옿" hidden="1">{#N/A,#N/A,FALSE,"집계표"}</definedName>
    <definedName name="ㅇㄹ호옿ㅎㄹ오" localSheetId="0" hidden="1">{#N/A,#N/A,FALSE,"집계표"}</definedName>
    <definedName name="ㅇㄹ호옿ㅎㄹ오" hidden="1">{#N/A,#N/A,FALSE,"집계표"}</definedName>
    <definedName name="ㅇㄹ호허ㅗㅓㅓ" localSheetId="0" hidden="1">{#N/A,#N/A,FALSE,"집계표"}</definedName>
    <definedName name="ㅇㄹ호허ㅗㅓㅓ" hidden="1">{#N/A,#N/A,FALSE,"집계표"}</definedName>
    <definedName name="ㅇㄹ호ㅗㅗㅗ" localSheetId="0" hidden="1">{#N/A,#N/A,FALSE,"집계표"}</definedName>
    <definedName name="ㅇㄹ호ㅗㅗㅗ" hidden="1">{#N/A,#N/A,FALSE,"집계표"}</definedName>
    <definedName name="ㅇㄹㅗㅎ" localSheetId="0" hidden="1">{#N/A,#N/A,FALSE,"집계표"}</definedName>
    <definedName name="ㅇㄹㅗㅎ" hidden="1">{#N/A,#N/A,FALSE,"집계표"}</definedName>
    <definedName name="ㅇ라ㅓㅎ킥" localSheetId="0" hidden="1">{#N/A,#N/A,FALSE,"집계표"}</definedName>
    <definedName name="ㅇ라ㅓㅎ킥" hidden="1">{#N/A,#N/A,FALSE,"집계표"}</definedName>
    <definedName name="ㅇ라ㅓㅏ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러" localSheetId="0" hidden="1">{#N/A,#N/A,FALSE,"집계표"}</definedName>
    <definedName name="ㅇ러" hidden="1">{#N/A,#N/A,FALSE,"집계표"}</definedName>
    <definedName name="ㅇ러ㅗㅎ" localSheetId="0" hidden="1">{#N/A,#N/A,FALSE,"집계표"}</definedName>
    <definedName name="ㅇ러ㅗㅎ" hidden="1">{#N/A,#N/A,FALSE,"집계표"}</definedName>
    <definedName name="ㅇ렇ㅇ" localSheetId="0" hidden="1">{#N/A,#N/A,FALSE,"집계표"}</definedName>
    <definedName name="ㅇ렇ㅇ" hidden="1">{#N/A,#N/A,FALSE,"집계표"}</definedName>
    <definedName name="ㅇ로ㅓ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로ㅓ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롷" localSheetId="0" hidden="1">{#N/A,#N/A,FALSE,"집계표"}</definedName>
    <definedName name="ㅇ롷" hidden="1">{#N/A,#N/A,FALSE,"집계표"}</definedName>
    <definedName name="ㅇㅀㅁ" localSheetId="0" hidden="1">{#N/A,#N/A,FALSE,"집계표"}</definedName>
    <definedName name="ㅇㅀㅁ" hidden="1">{#N/A,#N/A,FALSE,"집계표"}</definedName>
    <definedName name="ㅇㅀㅇㄱ" localSheetId="0" hidden="1">{#N/A,#N/A,FALSE,"집계표"}</definedName>
    <definedName name="ㅇㅀㅇㄱ" hidden="1">{#N/A,#N/A,FALSE,"집계표"}</definedName>
    <definedName name="ㅇㅀㅈㅅㄷ안강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ㅀㅈㅅㄷ안강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ㅁ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ㅁ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ㅐㅕㅛㅐ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ㅐㅕㅛㅐ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ㅑㅕㅛㅐ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ㅑㅕㅛㅐ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ㅐㅏㅛㅕㅣㅔㅑ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ㅐㅏㅛㅕㅣㅔㅑ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ㅑ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ㅑ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ㅣㅐㅕㅛ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ㅣㅐㅕㅛ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ㄱ" localSheetId="0" hidden="1">{#N/A,#N/A,FALSE,"집계표"}</definedName>
    <definedName name="ㅇㅇㄱ" hidden="1">{#N/A,#N/A,FALSE,"집계표"}</definedName>
    <definedName name="ㅇㅇㄹ" localSheetId="1" hidden="1">#REF!</definedName>
    <definedName name="ㅇㅇㄹ" localSheetId="0" hidden="1">#REF!</definedName>
    <definedName name="ㅇㅇㄹ" localSheetId="2" hidden="1">#REF!</definedName>
    <definedName name="ㅇㅇㄹ" hidden="1">#REF!</definedName>
    <definedName name="ㅇㅇㄹㅇㄹ" localSheetId="0" hidden="1">{#N/A,#N/A,FALSE,"집계표"}</definedName>
    <definedName name="ㅇㅇㄹㅇㄹ" hidden="1">{#N/A,#N/A,FALSE,"집계표"}</definedName>
    <definedName name="ㅇㅇㅇ" localSheetId="0" hidden="1">{#N/A,#N/A,FALSE,"주간공정";#N/A,#N/A,FALSE,"주간보고";#N/A,#N/A,FALSE,"주간공정표"}</definedName>
    <definedName name="ㅇㅇㅇ" hidden="1">{#N/A,#N/A,FALSE,"주간공정";#N/A,#N/A,FALSE,"주간보고";#N/A,#N/A,FALSE,"주간공정표"}</definedName>
    <definedName name="ㅇㅇㅇㅇ" localSheetId="0" hidden="1">{#N/A,#N/A,FALSE,"지침";#N/A,#N/A,FALSE,"환경분석";#N/A,#N/A,FALSE,"Sheet16"}</definedName>
    <definedName name="ㅇㅇㅇㅇ" hidden="1">{#N/A,#N/A,FALSE,"지침";#N/A,#N/A,FALSE,"환경분석";#N/A,#N/A,FALSE,"Sheet16"}</definedName>
    <definedName name="ㅇㅇㅇㅇㅇ" localSheetId="0" hidden="1">{#N/A,#N/A,FALSE,"주간공정";#N/A,#N/A,FALSE,"주간보고";#N/A,#N/A,FALSE,"주간공정표"}</definedName>
    <definedName name="ㅇㅇㅇㅇㅇ" hidden="1">{#N/A,#N/A,FALSE,"주간공정";#N/A,#N/A,FALSE,"주간보고";#N/A,#N/A,FALSE,"주간공정표"}</definedName>
    <definedName name="ㅇㅇㅇㅇㅇㅇ" localSheetId="0" hidden="1">{#N/A,#N/A,FALSE,"지침";#N/A,#N/A,FALSE,"환경분석";#N/A,#N/A,FALSE,"Sheet16"}</definedName>
    <definedName name="ㅇㅇㅇㅇㅇㅇ" hidden="1">{#N/A,#N/A,FALSE,"지침";#N/A,#N/A,FALSE,"환경분석";#N/A,#N/A,FALSE,"Sheet16"}</definedName>
    <definedName name="ㅇㅇㅎ" localSheetId="0" hidden="1">{#N/A,#N/A,FALSE,"집계표"}</definedName>
    <definedName name="ㅇㅇㅎ" hidden="1">{#N/A,#N/A,FALSE,"집계표"}</definedName>
    <definedName name="ㅇ아ㅏㄹ" localSheetId="0" hidden="1">{#N/A,#N/A,FALSE,"지침";#N/A,#N/A,FALSE,"환경분석";#N/A,#N/A,FALSE,"Sheet16"}</definedName>
    <definedName name="ㅇ아ㅏㄹ" hidden="1">{#N/A,#N/A,FALSE,"지침";#N/A,#N/A,FALSE,"환경분석";#N/A,#N/A,FALSE,"Sheet16"}</definedName>
    <definedName name="ㅇ이리" localSheetId="0" hidden="1">{#N/A,#N/A,FALSE,"지침";#N/A,#N/A,FALSE,"환경분석";#N/A,#N/A,FALSE,"Sheet16"}</definedName>
    <definedName name="ㅇ이리" hidden="1">{#N/A,#N/A,FALSE,"지침";#N/A,#N/A,FALSE,"환경분석";#N/A,#N/A,FALSE,"Sheet16"}</definedName>
    <definedName name="ㅇㅎ" localSheetId="0" hidden="1">{#N/A,#N/A,FALSE,"부대1"}</definedName>
    <definedName name="ㅇㅎ" hidden="1">{#N/A,#N/A,FALSE,"부대1"}</definedName>
    <definedName name="ㅇㅎㄷ" localSheetId="0" hidden="1">{#N/A,#N/A,FALSE,"집계표"}</definedName>
    <definedName name="ㅇㅎㄷ" hidden="1">{#N/A,#N/A,FALSE,"집계표"}</definedName>
    <definedName name="ㅇㅎ러ㅗㅇ" localSheetId="0" hidden="1">{#N/A,#N/A,FALSE,"집계표"}</definedName>
    <definedName name="ㅇㅎ러ㅗㅇ" hidden="1">{#N/A,#N/A,FALSE,"집계표"}</definedName>
    <definedName name="ㅇㅎㄻㄴㅇㅀ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ㅎㄻㄴㅇㅀ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ㅎㄻㄴㅇㅁㅎㄴㅀㅁㄴㅇㅎㄴ" localSheetId="0" hidden="1">{#N/A,#N/A,FALSE,"Sheet6"}</definedName>
    <definedName name="ㅇㅎㄻㄴㅇㅁㅎㄴㅀㅁㄴㅇㅎㄴ" hidden="1">{#N/A,#N/A,FALSE,"Sheet6"}</definedName>
    <definedName name="ㅇ하어ㅣ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하어ㅣ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여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여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ㅕㅛㅐ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ㅕㅛㅐ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ㅣㅏㅛㅕㅣㅛ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ㅣㅏㅛㅕㅣㅛ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ㅅ뎌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ㅅ뎌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ㅏㅎ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ㅏㅎ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혼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혼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요ㅕㅏㅐ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요ㅕㅏㅐ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ㄷ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ㄷ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랑러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랑러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황히ㅗ이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황히ㅗ이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" localSheetId="0" hidden="1">{#N/A,#N/A,FALSE,"주간공정";#N/A,#N/A,FALSE,"주간보고";#N/A,#N/A,FALSE,"주간공정표"}</definedName>
    <definedName name="아" hidden="1">{#N/A,#N/A,FALSE,"주간공정";#N/A,#N/A,FALSE,"주간보고";#N/A,#N/A,FALSE,"주간공정표"}</definedName>
    <definedName name="아름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름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무" localSheetId="0" hidden="1">{#N/A,#N/A,FALSE,"배수2"}</definedName>
    <definedName name="아무" hidden="1">{#N/A,#N/A,FALSE,"배수2"}</definedName>
    <definedName name="아무거나" localSheetId="1" hidden="1">#REF!</definedName>
    <definedName name="아무거나" localSheetId="0" hidden="1">#REF!</definedName>
    <definedName name="아무거나" localSheetId="2" hidden="1">#REF!</definedName>
    <definedName name="아무거나" hidden="1">#REF!</definedName>
    <definedName name="아아아앙" localSheetId="0" hidden="1">{#N/A,#N/A,FALSE,"주간공정";#N/A,#N/A,FALSE,"주간보고";#N/A,#N/A,FALSE,"주간공정표"}</definedName>
    <definedName name="아아아앙" hidden="1">{#N/A,#N/A,FALSE,"주간공정";#N/A,#N/A,FALSE,"주간보고";#N/A,#N/A,FALSE,"주간공정표"}</definedName>
    <definedName name="아아ㅏ앙" localSheetId="0" hidden="1">{#N/A,#N/A,FALSE,"주간공정";#N/A,#N/A,FALSE,"주간보고";#N/A,#N/A,FALSE,"주간공정표"}</definedName>
    <definedName name="아아ㅏ앙" hidden="1">{#N/A,#N/A,FALSE,"주간공정";#N/A,#N/A,FALSE,"주간보고";#N/A,#N/A,FALSE,"주간공정표"}</definedName>
    <definedName name="아파트내역2" localSheetId="0" hidden="1">{"'Sheet1'!$A$4:$M$21","'Sheet1'!$J$17:$K$19"}</definedName>
    <definedName name="아파트내역2" hidden="1">{"'Sheet1'!$A$4:$M$21","'Sheet1'!$J$17:$K$19"}</definedName>
    <definedName name="아ㅏㅓ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ㅓ림" localSheetId="0" hidden="1">{#N/A,#N/A,FALSE,"포장1";#N/A,#N/A,FALSE,"포장1"}</definedName>
    <definedName name="아ㅓ림" hidden="1">{#N/A,#N/A,FALSE,"포장1";#N/A,#N/A,FALSE,"포장1"}</definedName>
    <definedName name="악" localSheetId="0" hidden="1">{#N/A,#N/A,TRUE,"960318-1";#N/A,#N/A,TRUE,"960318-2";#N/A,#N/A,TRUE,"960318-3"}</definedName>
    <definedName name="악" hidden="1">{#N/A,#N/A,TRUE,"960318-1";#N/A,#N/A,TRUE,"960318-2";#N/A,#N/A,TRUE,"960318-3"}</definedName>
    <definedName name="안강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강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전관리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전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알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알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브븝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브븝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아아ㅏ아아아ㅏㅇ아ㅏ아아ㅏ아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아아ㅏ아아아ㅏㅇ아ㅏ아아ㅏ아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야간" localSheetId="0" hidden="1">{#N/A,#N/A,FALSE,"지침";#N/A,#N/A,FALSE,"환경분석";#N/A,#N/A,FALSE,"Sheet16"}</definedName>
    <definedName name="야간" hidden="1">{#N/A,#N/A,FALSE,"지침";#N/A,#N/A,FALSE,"환경분석";#N/A,#N/A,FALSE,"Sheet16"}</definedName>
    <definedName name="어러리" localSheetId="0" hidden="1">{#N/A,#N/A,FALSE,"지침";#N/A,#N/A,FALSE,"환경분석";#N/A,#N/A,FALSE,"Sheet16"}</definedName>
    <definedName name="어러리" hidden="1">{#N/A,#N/A,FALSE,"지침";#N/A,#N/A,FALSE,"환경분석";#N/A,#N/A,FALSE,"Sheet16"}</definedName>
    <definedName name="어어엉" localSheetId="0" hidden="1">{#N/A,#N/A,FALSE,"주간공정";#N/A,#N/A,FALSE,"주간보고";#N/A,#N/A,FALSE,"주간공정표"}</definedName>
    <definedName name="어어엉" hidden="1">{#N/A,#N/A,FALSE,"주간공정";#N/A,#N/A,FALSE,"주간보고";#N/A,#N/A,FALSE,"주간공정표"}</definedName>
    <definedName name="어쭈구리" localSheetId="0" hidden="1">{#N/A,#N/A,FALSE,"교리2"}</definedName>
    <definedName name="어쭈구리" hidden="1">{#N/A,#N/A,FALSE,"교리2"}</definedName>
    <definedName name="어ㅏㄴ강ㄹ혼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ㅏㄴ강ㄹ혼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ㄹ" localSheetId="0" hidden="1">{#N/A,#N/A,FALSE,"지침";#N/A,#N/A,FALSE,"환경분석";#N/A,#N/A,FALSE,"Sheet16"}</definedName>
    <definedName name="어ㅓㄹ" hidden="1">{#N/A,#N/A,FALSE,"지침";#N/A,#N/A,FALSE,"환경분석";#N/A,#N/A,FALSE,"Sheet16"}</definedName>
    <definedName name="어ㅓ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ㅚ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ㅚ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ㅣ.로ㅓㅣㅓㅛㅚ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ㅣ.로ㅓㅣㅓㅛㅚ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억이상" localSheetId="0" hidden="1">{#N/A,#N/A,FALSE,"2~8번"}</definedName>
    <definedName name="억이상" hidden="1">{#N/A,#N/A,FALSE,"2~8번"}</definedName>
    <definedName name="언" localSheetId="1" hidden="1">#REF!</definedName>
    <definedName name="언" localSheetId="0" hidden="1">#REF!</definedName>
    <definedName name="언" localSheetId="2" hidden="1">#REF!</definedName>
    <definedName name="언" hidden="1">#REF!</definedName>
    <definedName name="얻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얻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얼낭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얼낭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종" localSheetId="0" hidden="1">{#N/A,#N/A,FALSE,"포장2"}</definedName>
    <definedName name="업종" hidden="1">{#N/A,#N/A,FALSE,"포장2"}</definedName>
    <definedName name="업체" localSheetId="1" hidden="1">#REF!</definedName>
    <definedName name="업체" localSheetId="0" hidden="1">#REF!</definedName>
    <definedName name="업체" localSheetId="2" hidden="1">#REF!</definedName>
    <definedName name="업체" hidden="1">#REF!</definedName>
    <definedName name="업체벼래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벼래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대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대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순위" localSheetId="0" hidden="1">{#N/A,#N/A,FALSE,"배수2"}</definedName>
    <definedName name="업체순위" hidden="1">{#N/A,#N/A,FALSE,"배수2"}</definedName>
    <definedName name="여의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의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교ㅣㅕ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교ㅣㅕ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ㅕ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ㅕ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ㅛㅑㅓ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ㅛㅑㅓ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습용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습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합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영상" localSheetId="0" hidden="1">{#N/A,#N/A,TRUE,"960318-1";#N/A,#N/A,TRUE,"960318-2";#N/A,#N/A,TRUE,"960318-3"}</definedName>
    <definedName name="영상" hidden="1">{#N/A,#N/A,TRUE,"960318-1";#N/A,#N/A,TRUE,"960318-2";#N/A,#N/A,TRUE,"960318-3"}</definedName>
    <definedName name="영상1" localSheetId="0" hidden="1">{#N/A,#N/A,TRUE,"960318-1";#N/A,#N/A,TRUE,"960318-2";#N/A,#N/A,TRUE,"960318-3"}</definedName>
    <definedName name="영상1" hidden="1">{#N/A,#N/A,TRUE,"960318-1";#N/A,#N/A,TRUE,"960318-2";#N/A,#N/A,TRUE,"960318-3"}</definedName>
    <definedName name="영상hw집계" localSheetId="0" hidden="1">{"'용역비'!$A$4:$C$8"}</definedName>
    <definedName name="영상hw집계" hidden="1">{"'용역비'!$A$4:$C$8"}</definedName>
    <definedName name="영암실행" localSheetId="0" hidden="1">{#N/A,#N/A,FALSE,"전력간선"}</definedName>
    <definedName name="영암실행" hidden="1">{#N/A,#N/A,FALSE,"전력간선"}</definedName>
    <definedName name="영업" localSheetId="0" hidden="1">{#N/A,#N/A,FALSE,"지침";#N/A,#N/A,FALSE,"환경분석";#N/A,#N/A,FALSE,"Sheet16"}</definedName>
    <definedName name="영업" hidden="1">{#N/A,#N/A,FALSE,"지침";#N/A,#N/A,FALSE,"환경분석";#N/A,#N/A,FALSE,"Sheet16"}</definedName>
    <definedName name="영업외" localSheetId="1" hidden="1">[20]추가예산!#REF!</definedName>
    <definedName name="영업외" localSheetId="0" hidden="1">[20]추가예산!#REF!</definedName>
    <definedName name="영업외" localSheetId="2" hidden="1">[20]추가예산!#REF!</definedName>
    <definedName name="영업외" hidden="1">[20]추가예산!#REF!</definedName>
    <definedName name="영업외수" localSheetId="1" hidden="1">[20]추가예산!#REF!</definedName>
    <definedName name="영업외수" localSheetId="0" hidden="1">[20]추가예산!#REF!</definedName>
    <definedName name="영업외수" localSheetId="2" hidden="1">[20]추가예산!#REF!</definedName>
    <definedName name="영업외수" hidden="1">[20]추가예산!#REF!</definedName>
    <definedName name="영업이익" localSheetId="0" hidden="1">{#N/A,#N/A,FALSE,"지침";#N/A,#N/A,FALSE,"환경분석";#N/A,#N/A,FALSE,"Sheet16"}</definedName>
    <definedName name="영업이익" hidden="1">{#N/A,#N/A,FALSE,"지침";#N/A,#N/A,FALSE,"환경분석";#N/A,#N/A,FALSE,"Sheet16"}</definedName>
    <definedName name="영업현금" localSheetId="0" hidden="1">{#N/A,#N/A,FALSE,"지침";#N/A,#N/A,FALSE,"환경분석";#N/A,#N/A,FALSE,"Sheet16"}</definedName>
    <definedName name="영업현금" hidden="1">{#N/A,#N/A,FALSE,"지침";#N/A,#N/A,FALSE,"환경분석";#N/A,#N/A,FALSE,"Sheet16"}</definedName>
    <definedName name="영종" localSheetId="0" hidden="1">{#N/A,#N/A,FALSE,"CCTV"}</definedName>
    <definedName name="영종" hidden="1">{#N/A,#N/A,FALSE,"CCTV"}</definedName>
    <definedName name="예상견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계획" localSheetId="0" hidden="1">{#N/A,#N/A,FALSE,"집계표"}</definedName>
    <definedName name="예상계획" hidden="1">{#N/A,#N/A,FALSE,"집계표"}</definedName>
    <definedName name="예정가" localSheetId="0" hidden="1">{#N/A,#N/A,FALSE,"포장2"}</definedName>
    <definedName name="예정가" hidden="1">{#N/A,#N/A,FALSE,"포장2"}</definedName>
    <definedName name="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됴" localSheetId="0" hidden="1">{#N/A,#N/A,FALSE,"집계표"}</definedName>
    <definedName name="오됴" hidden="1">{#N/A,#N/A,FALSE,"집계표"}</definedName>
    <definedName name="오수토공" localSheetId="0" hidden="1">{#N/A,#N/A,FALSE,"기안지";#N/A,#N/A,FALSE,"통신지"}</definedName>
    <definedName name="오수토공" hidden="1">{#N/A,#N/A,FALSE,"기안지";#N/A,#N/A,FALSE,"통신지"}</definedName>
    <definedName name="오ㅗㅓㅗ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ㅗㅓㅗ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외공사" localSheetId="0" hidden="1">{#N/A,#N/A,FALSE,"이태원철근"}</definedName>
    <definedName name="옥외공사" hidden="1">{#N/A,#N/A,FALSE,"이태원철근"}</definedName>
    <definedName name="옥외대비" localSheetId="0" hidden="1">{#N/A,#N/A,FALSE,"이태원철근"}</definedName>
    <definedName name="옥외대비" hidden="1">{#N/A,#N/A,FALSE,"이태원철근"}</definedName>
    <definedName name="옥탑층" localSheetId="0" hidden="1">{#N/A,#N/A,FALSE,"Sheet1"}</definedName>
    <definedName name="옥탑층" hidden="1">{#N/A,#N/A,FALSE,"Sheet1"}</definedName>
    <definedName name="온ㄳ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온ㄳ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옹" localSheetId="0" hidden="1">{#N/A,#N/A,FALSE,"골재소요량";#N/A,#N/A,FALSE,"골재소요량"}</definedName>
    <definedName name="옹" hidden="1">{#N/A,#N/A,FALSE,"골재소요량";#N/A,#N/A,FALSE,"골재소요량"}</definedName>
    <definedName name="옹벽수량집계표" localSheetId="0" hidden="1">{#N/A,#N/A,FALSE,"2~8번"}</definedName>
    <definedName name="옹벽수량집계표" hidden="1">{#N/A,#N/A,FALSE,"2~8번"}</definedName>
    <definedName name="옹벽수량집계표총괄" localSheetId="0" hidden="1">{#N/A,#N/A,FALSE,"혼합골재"}</definedName>
    <definedName name="옹벽수량집계표총괄" hidden="1">{#N/A,#N/A,FALSE,"혼합골재"}</definedName>
    <definedName name="옿" localSheetId="0" hidden="1">{#N/A,#N/A,FALSE,"집계표"}</definedName>
    <definedName name="옿" hidden="1">{#N/A,#N/A,FALSE,"집계표"}</definedName>
    <definedName name="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완공3" localSheetId="1" hidden="1">#REF!</definedName>
    <definedName name="완공3" localSheetId="0" hidden="1">#REF!</definedName>
    <definedName name="완공3" localSheetId="2" hidden="1">#REF!</definedName>
    <definedName name="완공3" hidden="1">#REF!</definedName>
    <definedName name="완도" localSheetId="0" hidden="1">{#N/A,#N/A,FALSE,"포장2"}</definedName>
    <definedName name="완도" hidden="1">{#N/A,#N/A,FALSE,"포장2"}</definedName>
    <definedName name="요샤ㅏ아히ㅏㅐㅛ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요샤ㅏ아히ㅏㅐㅛ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용용" localSheetId="0" hidden="1">{#N/A,#N/A,FALSE,"포장2"}</definedName>
    <definedName name="용용" hidden="1">{#N/A,#N/A,FALSE,"포장2"}</definedName>
    <definedName name="우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라나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라나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리" localSheetId="0" hidden="1">{#N/A,#N/A,FALSE,"사업총괄";#N/A,#N/A,FALSE,"장비사업";#N/A,#N/A,FALSE,"철구사업";#N/A,#N/A,FALSE,"준설사업"}</definedName>
    <definedName name="우리" hidden="1">{#N/A,#N/A,FALSE,"사업총괄";#N/A,#N/A,FALSE,"장비사업";#N/A,#N/A,FALSE,"철구사업";#N/A,#N/A,FALSE,"준설사업"}</definedName>
    <definedName name="우후" localSheetId="0" hidden="1">{"'별표'!$N$220"}</definedName>
    <definedName name="우후" hidden="1">{"'별표'!$N$220"}</definedName>
    <definedName name="원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12" localSheetId="0" hidden="1">{#N/A,#N/A,FALSE,"운반시간"}</definedName>
    <definedName name="원가12" hidden="1">{#N/A,#N/A,FALSE,"운반시간"}</definedName>
    <definedName name="원가계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계획대비" localSheetId="0" hidden="1">{#N/A,#N/A,FALSE,"지침";#N/A,#N/A,FALSE,"환경분석";#N/A,#N/A,FALSE,"Sheet16"}</definedName>
    <definedName name="원계획대비" hidden="1">{#N/A,#N/A,FALSE,"지침";#N/A,#N/A,FALSE,"환경분석";#N/A,#N/A,FALSE,"Sheet16"}</definedName>
    <definedName name="원기기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남내역" hidden="1">[21]실행철강하도!$A$1:$A$4</definedName>
    <definedName name="월별투입" localSheetId="0" hidden="1">{#N/A,#N/A,FALSE,"지침";#N/A,#N/A,FALSE,"환경분석";#N/A,#N/A,FALSE,"Sheet16"}</definedName>
    <definedName name="월별투입" hidden="1">{#N/A,#N/A,FALSE,"지침";#N/A,#N/A,FALSE,"환경분석";#N/A,#N/A,FALSE,"Sheet16"}</definedName>
    <definedName name="유지관리비" localSheetId="1" hidden="1">#REF!</definedName>
    <definedName name="유지관리비" localSheetId="0" hidden="1">#REF!</definedName>
    <definedName name="유지관리비" localSheetId="2" hidden="1">#REF!</definedName>
    <definedName name="유지관리비" hidden="1">#REF!</definedName>
    <definedName name="으악" localSheetId="0" hidden="1">{#N/A,#N/A,TRUE,"960318-1";#N/A,#N/A,TRUE,"960318-2";#N/A,#N/A,TRUE,"960318-3"}</definedName>
    <definedName name="으악" hidden="1">{#N/A,#N/A,TRUE,"960318-1";#N/A,#N/A,TRUE,"960318-2";#N/A,#N/A,TRUE,"960318-3"}</definedName>
    <definedName name="을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을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응" localSheetId="0" hidden="1">{#N/A,#N/A,TRUE,"960318-1";#N/A,#N/A,TRUE,"960318-2";#N/A,#N/A,TRUE,"960318-3"}</definedName>
    <definedName name="응" hidden="1">{#N/A,#N/A,TRUE,"960318-1";#N/A,#N/A,TRUE,"960318-2";#N/A,#N/A,TRUE,"960318-3"}</definedName>
    <definedName name="의" localSheetId="0" hidden="1">{#N/A,#N/A,FALSE,"운반시간"}</definedName>
    <definedName name="의" hidden="1">{#N/A,#N/A,FALSE,"운반시간"}</definedName>
    <definedName name="이름표" localSheetId="0" hidden="1">{#N/A,#N/A,FALSE,"단가표지"}</definedName>
    <definedName name="이름표" hidden="1">{#N/A,#N/A,FALSE,"단가표지"}</definedName>
    <definedName name="이릉" localSheetId="1" hidden="1">#REF!</definedName>
    <definedName name="이릉" localSheetId="0" hidden="1">#REF!</definedName>
    <definedName name="이릉" localSheetId="2" hidden="1">#REF!</definedName>
    <definedName name="이릉" hidden="1">#REF!</definedName>
    <definedName name="이릴" localSheetId="0" hidden="1">{#N/A,#N/A,FALSE,"지침";#N/A,#N/A,FALSE,"환경분석";#N/A,#N/A,FALSE,"Sheet16"}</definedName>
    <definedName name="이릴" hidden="1">{#N/A,#N/A,FALSE,"지침";#N/A,#N/A,FALSE,"환경분석";#N/A,#N/A,FALSE,"Sheet16"}</definedName>
    <definedName name="이수건설여의도예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수건설여의도예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슈" localSheetId="0" hidden="1">{#N/A,#N/A,FALSE,"지침";#N/A,#N/A,FALSE,"환경분석";#N/A,#N/A,FALSE,"Sheet16"}</definedName>
    <definedName name="이슈" hidden="1">{#N/A,#N/A,FALSE,"지침";#N/A,#N/A,FALSE,"환경분석";#N/A,#N/A,FALSE,"Sheet16"}</definedName>
    <definedName name="이일" localSheetId="1" hidden="1">#REF!</definedName>
    <definedName name="이일" localSheetId="0" hidden="1">#REF!</definedName>
    <definedName name="이일" localSheetId="2" hidden="1">#REF!</definedName>
    <definedName name="이일" hidden="1">#REF!</definedName>
    <definedName name="이종훈" hidden="1">[11]전기!$A$4:$A$163</definedName>
    <definedName name="이효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효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" localSheetId="0" hidden="1">{#N/A,#N/A,FALSE,"도급대비시행율";#N/A,#N/A,FALSE,"결의서";#N/A,#N/A,FALSE,"내역서";#N/A,#N/A,FALSE,"도급예상"}</definedName>
    <definedName name="일" hidden="1">{#N/A,#N/A,FALSE,"도급대비시행율";#N/A,#N/A,FALSE,"결의서";#N/A,#N/A,FALSE,"내역서";#N/A,#N/A,FALSE,"도급예상"}</definedName>
    <definedName name="일위대가" localSheetId="1" hidden="1">#REF!</definedName>
    <definedName name="일위대가" localSheetId="0" hidden="1">#REF!</definedName>
    <definedName name="일위대가" localSheetId="2" hidden="1">#REF!</definedName>
    <definedName name="일위대가" hidden="1">#REF!</definedName>
    <definedName name="임시" localSheetId="0" hidden="1">{#N/A,#N/A,FALSE,"현장 NCR 분석";#N/A,#N/A,FALSE,"현장품질감사";#N/A,#N/A,FALSE,"현장품질감사"}</definedName>
    <definedName name="임시" hidden="1">{#N/A,#N/A,FALSE,"현장 NCR 분석";#N/A,#N/A,FALSE,"현장품질감사";#N/A,#N/A,FALSE,"현장품질감사"}</definedName>
    <definedName name="임직" localSheetId="1" hidden="1">#REF!</definedName>
    <definedName name="임직" localSheetId="0" hidden="1">#REF!</definedName>
    <definedName name="임직" localSheetId="2" hidden="1">#REF!</definedName>
    <definedName name="임직" hidden="1">#REF!</definedName>
    <definedName name="임형" localSheetId="0" hidden="1">{#N/A,#N/A,FALSE,"포장2"}</definedName>
    <definedName name="임형" hidden="1">{#N/A,#N/A,FALSE,"포장2"}</definedName>
    <definedName name="입찰" localSheetId="0" hidden="1">{#N/A,#N/A,FALSE,"구조2"}</definedName>
    <definedName name="입찰" hidden="1">{#N/A,#N/A,FALSE,"구조2"}</definedName>
    <definedName name="입찰금액안" localSheetId="1" hidden="1">[22]집계표!#REF!</definedName>
    <definedName name="입찰금액안" localSheetId="0" hidden="1">[22]집계표!#REF!</definedName>
    <definedName name="입찰금액안" localSheetId="2" hidden="1">[22]집계표!#REF!</definedName>
    <definedName name="입찰금액안" hidden="1">[22]집계표!#REF!</definedName>
    <definedName name="ㅈㄱ셔ㅛㅈ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셔ㅛㅈ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셪교ㅑㅕㅈ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셪교ㅑㅕㅈ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ㄴ저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ㄴ저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ㅕㅛㄱ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ㅕㅛㄱ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ㅓ쟞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ㅓ쟞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ㅕㅕ5죠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ㅕㅕ5죠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겾교ㅑ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겾교ㅑ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곶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곶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ㅅㅅㅅ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ㅅㅅㅅ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ㅗㅕㅛㅅㅈ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ㅗㅕㅛㅅㅈ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ㄳㅎㅍㅊㅊ" localSheetId="0" hidden="1">{#N/A,#N/A,FALSE,"집계표"}</definedName>
    <definedName name="ㅈㄳㅎㅍㅊㅊ" hidden="1">{#N/A,#N/A,FALSE,"집계표"}</definedName>
    <definedName name="ㅈ너ㅗ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ㅗ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ㅛ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ㅛ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뇨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뇨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ㄷㄱㄷ" localSheetId="0" hidden="1">{"'용역비'!$A$4:$C$8"}</definedName>
    <definedName name="ㅈㄷㄱㄷㄱㄷ" hidden="1">{"'용역비'!$A$4:$C$8"}</definedName>
    <definedName name="ㅈㄷㄱㅈ" localSheetId="0" hidden="1">{#N/A,#N/A,FALSE,"Sheet6"}</definedName>
    <definedName name="ㅈㄷㄱㅈ" hidden="1">{#N/A,#N/A,FALSE,"Sheet6"}</definedName>
    <definedName name="ㅈㄷ겨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겨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ㄳㅈㄷ" localSheetId="0" hidden="1">{#N/A,#N/A,FALSE,"Sheet6"}</definedName>
    <definedName name="ㅈㄷㄳㅈㄷ" hidden="1">{#N/A,#N/A,FALSE,"Sheet6"}</definedName>
    <definedName name="ㅈㄷㅅ교" localSheetId="0" hidden="1">{#N/A,#N/A,FALSE,"집계표"}</definedName>
    <definedName name="ㅈㄷㅅ교" hidden="1">{#N/A,#N/A,FALSE,"집계표"}</definedName>
    <definedName name="ㅈㄷㅅㅁㅇㄴㄹ" localSheetId="0" hidden="1">{#N/A,#N/A,FALSE,"집계표"}</definedName>
    <definedName name="ㅈㄷㅅㅁㅇㄴㄹ" hidden="1">{#N/A,#N/A,FALSE,"집계표"}</definedName>
    <definedName name="ㅈㅂㄹㅇㅁㄴㅇㅍㅌㅋㅁㄴㅇㄻㅎㅁ" localSheetId="0" hidden="1">{#N/A,#N/A,FALSE,"집계표"}</definedName>
    <definedName name="ㅈㅂㄹㅇㅁㄴㅇㅍㅌㅋㅁㄴㅇㄻㅎㅁ" hidden="1">{#N/A,#N/A,FALSE,"집계표"}</definedName>
    <definedName name="ㅈ셪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겾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겾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ㄷㅈㅇ" localSheetId="0" hidden="1">{#N/A,#N/A,FALSE,"집계표"}</definedName>
    <definedName name="ㅈㅈㄷㅈㅇ" hidden="1">{#N/A,#N/A,FALSE,"집계표"}</definedName>
    <definedName name="ㅈ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야" localSheetId="0" hidden="1">{#N/A,#N/A,FALSE,"집계표"}</definedName>
    <definedName name="자야" hidden="1">{#N/A,#N/A,FALSE,"집계표"}</definedName>
    <definedName name="자재1" localSheetId="0" hidden="1">{#N/A,#N/A,FALSE,"포장2"}</definedName>
    <definedName name="자재1" hidden="1">{#N/A,#N/A,FALSE,"포장2"}</definedName>
    <definedName name="자재2" localSheetId="0" hidden="1">{#N/A,#N/A,FALSE,"구조2"}</definedName>
    <definedName name="자재2" hidden="1">{#N/A,#N/A,FALSE,"구조2"}</definedName>
    <definedName name="자ㅓㅏ" localSheetId="0" hidden="1">{#N/A,#N/A,FALSE,"집계표"}</definedName>
    <definedName name="자ㅓㅏ" hidden="1">{#N/A,#N/A,FALSE,"집계표"}</definedName>
    <definedName name="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구" localSheetId="0" hidden="1">{#N/A,#N/A,FALSE,"Sheet6"}</definedName>
    <definedName name="장구" hidden="1">{#N/A,#N/A,FALSE,"Sheet6"}</definedName>
    <definedName name="장위" localSheetId="1" hidden="1">#REF!</definedName>
    <definedName name="장위" localSheetId="0" hidden="1">#REF!</definedName>
    <definedName name="장위" localSheetId="2" hidden="1">#REF!</definedName>
    <definedName name="장위" hidden="1">#REF!</definedName>
    <definedName name="장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전기내역" localSheetId="0" hidden="1">{#N/A,#N/A,FALSE,"CCTV"}</definedName>
    <definedName name="전기내역" hidden="1">{#N/A,#N/A,FALSE,"CCTV"}</definedName>
    <definedName name="전기설계" localSheetId="0" hidden="1">{#N/A,#N/A,FALSE,"Sheet1"}</definedName>
    <definedName name="전기설계" hidden="1">{#N/A,#N/A,FALSE,"Sheet1"}</definedName>
    <definedName name="전기설비표지" localSheetId="0" hidden="1">{#N/A,#N/A,FALSE,"전력간선"}</definedName>
    <definedName name="전기설비표지" hidden="1">{#N/A,#N/A,FALSE,"전력간선"}</definedName>
    <definedName name="전기특기조건" localSheetId="0" hidden="1">{#N/A,#N/A,FALSE,"현장 NCR 분석";#N/A,#N/A,FALSE,"현장품질감사";#N/A,#N/A,FALSE,"현장품질감사"}</definedName>
    <definedName name="전기특기조건" hidden="1">{#N/A,#N/A,FALSE,"현장 NCR 분석";#N/A,#N/A,FALSE,"현장품질감사";#N/A,#N/A,FALSE,"현장품질감사"}</definedName>
    <definedName name="전기표지" localSheetId="0" hidden="1">{#N/A,#N/A,FALSE,"전력간선"}</definedName>
    <definedName name="전기표지" hidden="1">{#N/A,#N/A,FALSE,"전력간선"}</definedName>
    <definedName name="전등1" localSheetId="0" hidden="1">{#N/A,#N/A,FALSE,"전력간선"}</definedName>
    <definedName name="전등1" hidden="1">{#N/A,#N/A,FALSE,"전력간선"}</definedName>
    <definedName name="전열" localSheetId="0" hidden="1">{#N/A,#N/A,FALSE,"전력간선"}</definedName>
    <definedName name="전열" hidden="1">{#N/A,#N/A,FALSE,"전력간선"}</definedName>
    <definedName name="전열1" localSheetId="0" hidden="1">{#N/A,#N/A,FALSE,"전력간선"}</definedName>
    <definedName name="전열1" hidden="1">{#N/A,#N/A,FALSE,"전력간선"}</definedName>
    <definedName name="전자CF" localSheetId="0" hidden="1">{#N/A,#N/A,FALSE,"지침";#N/A,#N/A,FALSE,"환경분석";#N/A,#N/A,FALSE,"Sheet16"}</definedName>
    <definedName name="전자CF" hidden="1">{#N/A,#N/A,FALSE,"지침";#N/A,#N/A,FALSE,"환경분석";#N/A,#N/A,FALSE,"Sheet16"}</definedName>
    <definedName name="젇주ㅠㅜㅇㄴ" localSheetId="0" hidden="1">{#N/A,#N/A,FALSE,"집계표"}</definedName>
    <definedName name="젇주ㅠㅜㅇㄴ" hidden="1">{#N/A,#N/A,FALSE,"집계표"}</definedName>
    <definedName name="접지" localSheetId="0" hidden="1">{#N/A,#N/A,FALSE,"전력간선"}</definedName>
    <definedName name="접지" hidden="1">{#N/A,#N/A,FALSE,"전력간선"}</definedName>
    <definedName name="정보통신" localSheetId="0" hidden="1">{#N/A,#N/A,FALSE,"전력간선"}</definedName>
    <definedName name="정보통신" hidden="1">{#N/A,#N/A,FALSE,"전력간선"}</definedName>
    <definedName name="정산표" localSheetId="0" hidden="1">{#N/A,#N/A,FALSE,"현장 NCR 분석";#N/A,#N/A,FALSE,"현장품질감사";#N/A,#N/A,FALSE,"현장품질감사"}</definedName>
    <definedName name="정산표" hidden="1">{#N/A,#N/A,FALSE,"현장 NCR 분석";#N/A,#N/A,FALSE,"현장품질감사";#N/A,#N/A,FALSE,"현장품질감사"}</definedName>
    <definedName name="제2짱" localSheetId="0" hidden="1">{#N/A,#N/A,FALSE,"운반시간"}</definedName>
    <definedName name="제2짱" hidden="1">{#N/A,#N/A,FALSE,"운반시간"}</definedName>
    <definedName name="제외공사" localSheetId="0" hidden="1">{#N/A,#N/A,FALSE,"지침";#N/A,#N/A,FALSE,"환경분석";#N/A,#N/A,FALSE,"Sheet16"}</definedName>
    <definedName name="제외공사" hidden="1">{#N/A,#N/A,FALSE,"지침";#N/A,#N/A,FALSE,"환경분석";#N/A,#N/A,FALSE,"Sheet16"}</definedName>
    <definedName name="제조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경공사" localSheetId="0" hidden="1">{#N/A,#N/A,FALSE,"표지"}</definedName>
    <definedName name="조경공사" hidden="1">{#N/A,#N/A,FALSE,"표지"}</definedName>
    <definedName name="조경사본" localSheetId="0" hidden="1">{#N/A,#N/A,FALSE,"표지"}</definedName>
    <definedName name="조경사본" hidden="1">{#N/A,#N/A,FALSE,"표지"}</definedName>
    <definedName name="조사가" localSheetId="1" hidden="1">[23]입찰안!#REF!</definedName>
    <definedName name="조사가" localSheetId="0" hidden="1">[23]입찰안!#REF!</definedName>
    <definedName name="조사가" localSheetId="2" hidden="1">[23]입찰안!#REF!</definedName>
    <definedName name="조사가" hidden="1">[23]입찰안!#REF!</definedName>
    <definedName name="조정1" localSheetId="1" hidden="1">#REF!</definedName>
    <definedName name="조정1" localSheetId="0" hidden="1">#REF!</definedName>
    <definedName name="조정1" localSheetId="2" hidden="1">#REF!</definedName>
    <definedName name="조정1" hidden="1">#REF!</definedName>
    <definedName name="조직" localSheetId="0" hidden="1">{#N/A,#N/A,FALSE,"변경관리예산";#N/A,#N/A,FALSE,"변경장비예산";#N/A,#N/A,FALSE,"변경준설예산";#N/A,#N/A,FALSE,"변경철구예산"}</definedName>
    <definedName name="조직" hidden="1">{#N/A,#N/A,FALSE,"변경관리예산";#N/A,#N/A,FALSE,"변경장비예산";#N/A,#N/A,FALSE,"변경준설예산";#N/A,#N/A,FALSE,"변경철구예산"}</definedName>
    <definedName name="조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4" localSheetId="0" hidden="1">{#N/A,#N/A,FALSE,"사업총괄";#N/A,#N/A,FALSE,"장비사업";#N/A,#N/A,FALSE,"철구사업";#N/A,#N/A,FALSE,"준설사업"}</definedName>
    <definedName name="조직4" hidden="1">{#N/A,#N/A,FALSE,"사업총괄";#N/A,#N/A,FALSE,"장비사업";#N/A,#N/A,FALSE,"철구사업";#N/A,#N/A,FALSE,"준설사업"}</definedName>
    <definedName name="조직4.2" localSheetId="0" hidden="1">{#N/A,#N/A,FALSE,"예상손익";#N/A,#N/A,FALSE,"관리분석";#N/A,#N/A,FALSE,"장비분석";#N/A,#N/A,FALSE,"준설분석";#N/A,#N/A,FALSE,"철구분석"}</definedName>
    <definedName name="조직4.2" hidden="1">{#N/A,#N/A,FALSE,"예상손익";#N/A,#N/A,FALSE,"관리분석";#N/A,#N/A,FALSE,"장비분석";#N/A,#N/A,FALSE,"준설분석";#N/A,#N/A,FALSE,"철구분석"}</definedName>
    <definedName name="조차장" localSheetId="0" hidden="1">{#N/A,#N/A,FALSE,"명세표"}</definedName>
    <definedName name="조차장" hidden="1">{#N/A,#N/A,FALSE,"명세표"}</definedName>
    <definedName name="조창현" localSheetId="0" hidden="1">{#N/A,#N/A,FALSE,"교리2"}</definedName>
    <definedName name="조창현" hidden="1">{#N/A,#N/A,FALSE,"교리2"}</definedName>
    <definedName name="조후" localSheetId="0" hidden="1">{#N/A,#N/A,FALSE,"예상손익";#N/A,#N/A,FALSE,"관리분석";#N/A,#N/A,FALSE,"장비분석";#N/A,#N/A,FALSE,"준설분석";#N/A,#N/A,FALSE,"철구분석"}</definedName>
    <definedName name="조후" hidden="1">{#N/A,#N/A,FALSE,"예상손익";#N/A,#N/A,FALSE,"관리분석";#N/A,#N/A,FALSE,"장비분석";#N/A,#N/A,FALSE,"준설분석";#N/A,#N/A,FALSE,"철구분석"}</definedName>
    <definedName name="졷ㅂ숃ㄱㅂ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졷ㅂ숃ㄱ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ㅈ겨ㅗ굦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ㅈ겨ㅗ굦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저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저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죡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죡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ㅗㅈ거ㅕ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ㅗㅈ거ㅕ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" localSheetId="0" hidden="1">{#N/A,#N/A,FALSE,"지침";#N/A,#N/A,FALSE,"환경분석";#N/A,#N/A,FALSE,"Sheet16"}</definedName>
    <definedName name="주" hidden="1">{#N/A,#N/A,FALSE,"지침";#N/A,#N/A,FALSE,"환경분석";#N/A,#N/A,FALSE,"Sheet16"}</definedName>
    <definedName name="주차장" localSheetId="0" hidden="1">{#N/A,#N/A,FALSE,"표지"}</definedName>
    <definedName name="주차장" hidden="1">{#N/A,#N/A,FALSE,"표지"}</definedName>
    <definedName name="중공업인원인건비" localSheetId="0" hidden="1">{#N/A,#N/A,FALSE,"지침";#N/A,#N/A,FALSE,"환경분석";#N/A,#N/A,FALSE,"Sheet16"}</definedName>
    <definedName name="중공업인원인건비" hidden="1">{#N/A,#N/A,FALSE,"지침";#N/A,#N/A,FALSE,"환경분석";#N/A,#N/A,FALSE,"Sheet16"}</definedName>
    <definedName name="증감내역" localSheetId="1" hidden="1">#REF!</definedName>
    <definedName name="증감내역" localSheetId="0" hidden="1">#REF!</definedName>
    <definedName name="증감내역" localSheetId="2" hidden="1">#REF!</definedName>
    <definedName name="증감내역" hidden="1">#REF!</definedName>
    <definedName name="지" localSheetId="0" hidden="1">{#N/A,#N/A,FALSE,"배수2"}</definedName>
    <definedName name="지" hidden="1">{#N/A,#N/A,FALSE,"배수2"}</definedName>
    <definedName name="지역" localSheetId="0" hidden="1">{#N/A,#N/A,FALSE,"포장2"}</definedName>
    <definedName name="지역" hidden="1">{#N/A,#N/A,FALSE,"포장2"}</definedName>
    <definedName name="지역업체" localSheetId="0" hidden="1">{#N/A,#N/A,FALSE,"배수2"}</definedName>
    <definedName name="지역업체" hidden="1">{#N/A,#N/A,FALSE,"배수2"}</definedName>
    <definedName name="지철" localSheetId="0" hidden="1">{#N/A,#N/A,FALSE,"포장2"}</definedName>
    <definedName name="지철" hidden="1">{#N/A,#N/A,FALSE,"포장2"}</definedName>
    <definedName name="지철자재" localSheetId="0" hidden="1">{#N/A,#N/A,FALSE,"포장2"}</definedName>
    <definedName name="지철자재" hidden="1">{#N/A,#N/A,FALSE,"포장2"}</definedName>
    <definedName name="지토" localSheetId="0" hidden="1">{#N/A,#N/A,FALSE,"포장1";#N/A,#N/A,FALSE,"포장1"}</definedName>
    <definedName name="지토" hidden="1">{#N/A,#N/A,FALSE,"포장1";#N/A,#N/A,FALSE,"포장1"}</definedName>
    <definedName name="지토자재" localSheetId="0" hidden="1">{#N/A,#N/A,FALSE,"포장2"}</definedName>
    <definedName name="지토자재" hidden="1">{#N/A,#N/A,FALSE,"포장2"}</definedName>
    <definedName name="직매54P" localSheetId="0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진짜원가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집계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짠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짠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쩝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쩝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쩨" localSheetId="0" hidden="1">{#N/A,#N/A,FALSE,"변경관리예산";#N/A,#N/A,FALSE,"변경장비예산";#N/A,#N/A,FALSE,"변경준설예산";#N/A,#N/A,FALSE,"변경철구예산"}</definedName>
    <definedName name="쩨" hidden="1">{#N/A,#N/A,FALSE,"변경관리예산";#N/A,#N/A,FALSE,"변경장비예산";#N/A,#N/A,FALSE,"변경준설예산";#N/A,#N/A,FALSE,"변경철구예산"}</definedName>
    <definedName name="ㅊ노ㅜ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노ㅜ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ㄹㅎ" localSheetId="0" hidden="1">{#N/A,#N/A,FALSE,"집계표"}</definedName>
    <definedName name="ㅊㄹㅎ" hidden="1">{#N/A,#N/A,FALSE,"집계표"}</definedName>
    <definedName name="ㅊㄹ헝ㅇ" localSheetId="0" hidden="1">{#N/A,#N/A,FALSE,"집계표"}</definedName>
    <definedName name="ㅊㄹ헝ㅇ" hidden="1">{#N/A,#N/A,FALSE,"집계표"}</definedName>
    <definedName name="ㅊㄹ호" localSheetId="0" hidden="1">{#N/A,#N/A,FALSE,"집계표"}</definedName>
    <definedName name="ㅊㄹ호" hidden="1">{#N/A,#N/A,FALSE,"집계표"}</definedName>
    <definedName name="ㅊㅀㅎㅎㅎㅎㅎㅎㅎㅎ" localSheetId="0" hidden="1">{#N/A,#N/A,FALSE,"집계표"}</definedName>
    <definedName name="ㅊㅀㅎㅎㅎㅎㅎㅎㅎㅎ" hidden="1">{#N/A,#N/A,FALSE,"집계표"}</definedName>
    <definedName name="ㅊㅇ" localSheetId="0" hidden="1">{#N/A,#N/A,FALSE,"현장 NCR 분석";#N/A,#N/A,FALSE,"현장품질감사";#N/A,#N/A,FALSE,"현장품질감사"}</definedName>
    <definedName name="ㅊㅇ" hidden="1">{#N/A,#N/A,FALSE,"현장 NCR 분석";#N/A,#N/A,FALSE,"현장품질감사";#N/A,#N/A,FALSE,"현장품질감사"}</definedName>
    <definedName name="ㅊㅊㅊㅊ" localSheetId="0" hidden="1">{#N/A,#N/A,FALSE,"단가표지"}</definedName>
    <definedName name="ㅊㅊㅊㅊ" hidden="1">{#N/A,#N/A,FALSE,"단가표지"}</definedName>
    <definedName name="ㅊㅌㅅ" localSheetId="0" hidden="1">{#N/A,#N/A,FALSE,"집계표"}</definedName>
    <definedName name="ㅊㅌㅅ" hidden="1">{#N/A,#N/A,FALSE,"집계표"}</definedName>
    <definedName name="ㅊㅌ포촣" localSheetId="0" hidden="1">{#N/A,#N/A,FALSE,"집계표"}</definedName>
    <definedName name="ㅊㅌ포촣" hidden="1">{#N/A,#N/A,FALSE,"집계표"}</definedName>
    <definedName name="ㅊㅌㅎㄹ쇼" localSheetId="0" hidden="1">{#N/A,#N/A,FALSE,"집계표"}</definedName>
    <definedName name="ㅊㅌㅎㄹ쇼" hidden="1">{#N/A,#N/A,FALSE,"집계표"}</definedName>
    <definedName name="ㅊ튶" localSheetId="0" hidden="1">{#N/A,#N/A,FALSE,"집계표"}</definedName>
    <definedName name="ㅊ튶" hidden="1">{#N/A,#N/A,FALSE,"집계표"}</definedName>
    <definedName name="ㅊㅍ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ㅍ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ㅍ허ㅓㅗ효" localSheetId="0" hidden="1">{#N/A,#N/A,FALSE,"집계표"}</definedName>
    <definedName name="ㅊㅍ허ㅓㅗ효" hidden="1">{#N/A,#N/A,FALSE,"집계표"}</definedName>
    <definedName name="ㅊ퍼ㅗㅗㅗㅗㅗ" localSheetId="0" hidden="1">{#N/A,#N/A,FALSE,"집계표"}</definedName>
    <definedName name="ㅊ퍼ㅗㅗㅗㅗㅗ" hidden="1">{#N/A,#N/A,FALSE,"집계표"}</definedName>
    <definedName name="ㅊ포ㅓㅊㅊㅊㅊㅊㅊㅊㅊㅊㅊ" localSheetId="0" hidden="1">{#N/A,#N/A,FALSE,"집계표"}</definedName>
    <definedName name="ㅊ포ㅓㅊㅊㅊㅊㅊㅊㅊㅊㅊㅊ" hidden="1">{#N/A,#N/A,FALSE,"집계표"}</definedName>
    <definedName name="ㅊ포ㅓㅓㅓㅓㅓㅓㅓㅓㅓㅓ" localSheetId="0" hidden="1">{#N/A,#N/A,FALSE,"집계표"}</definedName>
    <definedName name="ㅊ포ㅓㅓㅓㅓㅓㅓㅓㅓㅓㅓ" hidden="1">{#N/A,#N/A,FALSE,"집계표"}</definedName>
    <definedName name="ㅊ폴" localSheetId="0" hidden="1">{#N/A,#N/A,FALSE,"Sheet6"}</definedName>
    <definedName name="ㅊ폴" hidden="1">{#N/A,#N/A,FALSE,"Sheet6"}</definedName>
    <definedName name="ㅊ푸ㅡ" localSheetId="0" hidden="1">{#N/A,#N/A,FALSE,"집계표"}</definedName>
    <definedName name="ㅊ푸ㅡ" hidden="1">{#N/A,#N/A,FALSE,"집계표"}</definedName>
    <definedName name="ㅊ퓨ㅗ" localSheetId="0" hidden="1">{#N/A,#N/A,FALSE,"집계표"}</definedName>
    <definedName name="ㅊ퓨ㅗ" hidden="1">{#N/A,#N/A,FALSE,"집계표"}</definedName>
    <definedName name="ㅊㅎㄹㄹ" localSheetId="0" hidden="1">{#N/A,#N/A,FALSE,"집계표"}</definedName>
    <definedName name="ㅊㅎㄹㄹ" hidden="1">{#N/A,#N/A,FALSE,"집계표"}</definedName>
    <definedName name="ㅊ허ㅗㅗㅗㅗㅗ" localSheetId="0" hidden="1">{#N/A,#N/A,FALSE,"집계표"}</definedName>
    <definedName name="ㅊ허ㅗㅗㅗㅗㅗ" hidden="1">{#N/A,#N/A,FALSE,"집계표"}</definedName>
    <definedName name="ㅊ호ㅓㅗ" localSheetId="0" hidden="1">{#N/A,#N/A,FALSE,"집계표"}</definedName>
    <definedName name="ㅊ호ㅓㅗ" hidden="1">{#N/A,#N/A,FALSE,"집계표"}</definedName>
    <definedName name="차ㅑ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차ㅑ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석자" localSheetId="0" hidden="1">{#N/A,#N/A,FALSE,"현장 NCR 분석";#N/A,#N/A,FALSE,"현장품질감사";#N/A,#N/A,FALSE,"현장품질감사"}</definedName>
    <definedName name="참석자" hidden="1">{#N/A,#N/A,FALSE,"현장 NCR 분석";#N/A,#N/A,FALSE,"현장품질감사";#N/A,#N/A,FALSE,"현장품질감사"}</definedName>
    <definedName name="참조" localSheetId="0" hidden="1">{"'Sheet1'!$A$1:$E$59"}</definedName>
    <definedName name="참조" hidden="1">{"'Sheet1'!$A$1:$E$59"}</definedName>
    <definedName name="처ㅗㅗㅗㅗㅗㅗㅗㅗㅗ" localSheetId="0" hidden="1">{#N/A,#N/A,FALSE,"집계표"}</definedName>
    <definedName name="처ㅗㅗㅗㅗㅗㅗㅗㅗㅗ" hidden="1">{#N/A,#N/A,FALSE,"집계표"}</definedName>
    <definedName name="철2" localSheetId="0" hidden="1">{#N/A,#N/A,FALSE,"혼합골재"}</definedName>
    <definedName name="철2" hidden="1">{#N/A,#N/A,FALSE,"혼합골재"}</definedName>
    <definedName name="철거단가" localSheetId="0" hidden="1">{#N/A,#N/A,FALSE,"조골재"}</definedName>
    <definedName name="철거단가" hidden="1">{#N/A,#N/A,FALSE,"조골재"}</definedName>
    <definedName name="철골협의" localSheetId="0" hidden="1">{#N/A,#N/A,FALSE,"현장 NCR 분석";#N/A,#N/A,FALSE,"현장품질감사";#N/A,#N/A,FALSE,"현장품질감사"}</definedName>
    <definedName name="철골협의" hidden="1">{#N/A,#N/A,FALSE,"현장 NCR 분석";#N/A,#N/A,FALSE,"현장품질감사";#N/A,#N/A,FALSE,"현장품질감사"}</definedName>
    <definedName name="철콘부대외" localSheetId="0" hidden="1">{#N/A,#N/A,FALSE,"Sheet1"}</definedName>
    <definedName name="철콘부대외" hidden="1">{#N/A,#N/A,FALSE,"Sheet1"}</definedName>
    <definedName name="첨부" hidden="1">0</definedName>
    <definedName name="초" localSheetId="0" hidden="1">{#N/A,#N/A,TRUE,"960318-1";#N/A,#N/A,TRUE,"960318-2";#N/A,#N/A,TRUE,"960318-3"}</definedName>
    <definedName name="초" hidden="1">{#N/A,#N/A,TRUE,"960318-1";#N/A,#N/A,TRUE,"960318-2";#N/A,#N/A,TRUE,"960318-3"}</definedName>
    <definedName name="총공" localSheetId="0" hidden="1">{#N/A,#N/A,FALSE,"운반시간"}</definedName>
    <definedName name="총공" hidden="1">{#N/A,#N/A,FALSE,"운반시간"}</definedName>
    <definedName name="총괄내역" localSheetId="1" hidden="1">#REF!</definedName>
    <definedName name="총괄내역" localSheetId="0" hidden="1">#REF!</definedName>
    <definedName name="총괄내역" localSheetId="2" hidden="1">#REF!</definedName>
    <definedName name="총괄내역" hidden="1">#REF!</definedName>
    <definedName name="총설계서" localSheetId="0" hidden="1">{#N/A,#N/A,FALSE,"전력간선"}</definedName>
    <definedName name="총설계서" hidden="1">{#N/A,#N/A,FALSE,"전력간선"}</definedName>
    <definedName name="최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최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추가기성" localSheetId="0" hidden="1">{#N/A,#N/A,FALSE,"집계표"}</definedName>
    <definedName name="추가기성" hidden="1">{#N/A,#N/A,FALSE,"집계표"}</definedName>
    <definedName name="추정" localSheetId="0" hidden="1">{#N/A,#N/A,FALSE,"포장2"}</definedName>
    <definedName name="추정" hidden="1">{#N/A,#N/A,FALSE,"포장2"}</definedName>
    <definedName name="출판" localSheetId="0" hidden="1">{#N/A,#N/A,FALSE,"지침";#N/A,#N/A,FALSE,"환경분석";#N/A,#N/A,FALSE,"Sheet16"}</definedName>
    <definedName name="출판" hidden="1">{#N/A,#N/A,FALSE,"지침";#N/A,#N/A,FALSE,"환경분석";#N/A,#N/A,FALSE,"Sheet16"}</definedName>
    <definedName name="충무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주" localSheetId="1" hidden="1">[24]설계내역서!#REF!</definedName>
    <definedName name="충주" localSheetId="0" hidden="1">[24]설계내역서!#REF!</definedName>
    <definedName name="충주" localSheetId="2" hidden="1">[24]설계내역서!#REF!</definedName>
    <definedName name="충주" hidden="1">[24]설계내역서!#REF!</definedName>
    <definedName name="츄" localSheetId="0" hidden="1">{#N/A,#N/A,FALSE,"집계표"}</definedName>
    <definedName name="츄" hidden="1">{#N/A,#N/A,FALSE,"집계표"}</definedName>
    <definedName name="츄ㅗㄹㅊㄹ초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ㅗㄹㅊㄹ초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ㅜ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ㅜ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ㅡ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ㅡ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ㅊ퓽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ㅊ퓽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ㅋㅋ" localSheetId="0" hidden="1">{#N/A,#N/A,FALSE,"전력간선"}</definedName>
    <definedName name="ㅋㅋㅋ" hidden="1">{#N/A,#N/A,FALSE,"전력간선"}</definedName>
    <definedName name="ㅋㅋㅋㅋㅋ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ㅋㅋㅋㅋ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ㅌ" localSheetId="0" hidden="1">{#N/A,#N/A,FALSE,"구조1"}</definedName>
    <definedName name="ㅋㅌ" hidden="1">{#N/A,#N/A,FALSE,"구조1"}</definedName>
    <definedName name="ㅋㅌ애ㅑㅓㅎㄹ" localSheetId="0" hidden="1">{#N/A,#N/A,FALSE,"집계표"}</definedName>
    <definedName name="ㅋㅌ애ㅑㅓㅎㄹ" hidden="1">{#N/A,#N/A,FALSE,"집계표"}</definedName>
    <definedName name="ㅋ타ㅓㄹㅇ" localSheetId="0" hidden="1">{#N/A,#N/A,FALSE,"집계표"}</definedName>
    <definedName name="ㅋ타ㅓㄹㅇ" hidden="1">{#N/A,#N/A,FALSE,"집계표"}</definedName>
    <definedName name="ㅋ텋리ㅏㄴㅁㄱ" localSheetId="0" hidden="1">{#N/A,#N/A,FALSE,"집계표"}</definedName>
    <definedName name="ㅋ텋리ㅏㄴㅁㄱ" hidden="1">{#N/A,#N/A,FALSE,"집계표"}</definedName>
    <definedName name="ㅋ하ㅓㅈㄴㄷㄱㅎ" localSheetId="0" hidden="1">{#N/A,#N/A,FALSE,"집계표"}</definedName>
    <definedName name="ㅋ하ㅓㅈㄴㄷㄱㅎ" hidden="1">{#N/A,#N/A,FALSE,"집계표"}</definedName>
    <definedName name="캐쉬" localSheetId="0" hidden="1">{#N/A,#N/A,FALSE,"지침";#N/A,#N/A,FALSE,"환경분석";#N/A,#N/A,FALSE,"Sheet16"}</definedName>
    <definedName name="캐쉬" hidden="1">{#N/A,#N/A,FALSE,"지침";#N/A,#N/A,FALSE,"환경분석";#N/A,#N/A,FALSE,"Sheet16"}</definedName>
    <definedName name="캬ㅓ래ㅑㅣㅏ" localSheetId="0" hidden="1">{#N/A,#N/A,FALSE,"집계표"}</definedName>
    <definedName name="캬ㅓ래ㅑㅣㅏ" hidden="1">{#N/A,#N/A,FALSE,"집계표"}</definedName>
    <definedName name="케이블간지" localSheetId="0" hidden="1">{#N/A,#N/A,TRUE,"토적및재료집계";#N/A,#N/A,TRUE,"토적및재료집계";#N/A,#N/A,TRUE,"단위량"}</definedName>
    <definedName name="케이블간지" hidden="1">{#N/A,#N/A,TRUE,"토적및재료집계";#N/A,#N/A,TRUE,"토적및재료집계";#N/A,#N/A,TRUE,"단위량"}</definedName>
    <definedName name="콩" localSheetId="0" hidden="1">{#N/A,#N/A,FALSE,"구조1"}</definedName>
    <definedName name="콩" hidden="1">{#N/A,#N/A,FALSE,"구조1"}</definedName>
    <definedName name="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키ㅏㄴ어리ㅑㅁㅈㄷ" localSheetId="0" hidden="1">{#N/A,#N/A,FALSE,"집계표"}</definedName>
    <definedName name="키ㅏㄴ어리ㅑㅁㅈㄷ" hidden="1">{#N/A,#N/A,FALSE,"집계표"}</definedName>
    <definedName name="ㅌㄹ요" localSheetId="0" hidden="1">{#N/A,#N/A,FALSE,"집계표"}</definedName>
    <definedName name="ㅌㄹ요" hidden="1">{#N/A,#N/A,FALSE,"집계표"}</definedName>
    <definedName name="ㅌㄹ호" localSheetId="0" hidden="1">{#N/A,#N/A,FALSE,"집계표"}</definedName>
    <definedName name="ㅌㄹ호" hidden="1">{#N/A,#N/A,FALSE,"집계표"}</definedName>
    <definedName name="ㅌ롷" localSheetId="0" hidden="1">{#N/A,#N/A,FALSE,"집계표"}</definedName>
    <definedName name="ㅌ롷" hidden="1">{#N/A,#N/A,FALSE,"집계표"}</definedName>
    <definedName name="ㅌㄾㅎ" localSheetId="0" hidden="1">{#N/A,#N/A,FALSE,"집계표"}</definedName>
    <definedName name="ㅌㄾㅎ" hidden="1">{#N/A,#N/A,FALSE,"집계표"}</definedName>
    <definedName name="ㅌㅅㅊㅌ" localSheetId="0" hidden="1">{#N/A,#N/A,FALSE,"집계표"}</definedName>
    <definedName name="ㅌㅅㅊㅌ" hidden="1">{#N/A,#N/A,FALSE,"집계표"}</definedName>
    <definedName name="ㅌ쇼ㅏ" localSheetId="0" hidden="1">{#N/A,#N/A,FALSE,"집계표"}</definedName>
    <definedName name="ㅌ쇼ㅏ" hidden="1">{#N/A,#N/A,FALSE,"집계표"}</definedName>
    <definedName name="ㅌㅇㄱㄱ" localSheetId="0" hidden="1">{#N/A,#N/A,FALSE,"집계표"}</definedName>
    <definedName name="ㅌㅇㄱㄱ" hidden="1">{#N/A,#N/A,FALSE,"집계표"}</definedName>
    <definedName name="ㅌㅇ려ㅛㄴㅇㅀ" localSheetId="0" hidden="1">{#N/A,#N/A,FALSE,"집계표"}</definedName>
    <definedName name="ㅌㅇ려ㅛㄴㅇㅀ" hidden="1">{#N/A,#N/A,FALSE,"집계표"}</definedName>
    <definedName name="ㅌㅇ롷ㄴㄱㄷ" localSheetId="0" hidden="1">{#N/A,#N/A,FALSE,"집계표"}</definedName>
    <definedName name="ㅌㅇ롷ㄴㄱㄷ" hidden="1">{#N/A,#N/A,FALSE,"집계표"}</definedName>
    <definedName name="ㅌㅇ료" localSheetId="0" hidden="1">{#N/A,#N/A,FALSE,"집계표"}</definedName>
    <definedName name="ㅌㅇ료" hidden="1">{#N/A,#N/A,FALSE,"집계표"}</definedName>
    <definedName name="ㅌㅊㄹ오" localSheetId="0" hidden="1">{#N/A,#N/A,FALSE,"집계표"}</definedName>
    <definedName name="ㅌㅊㄹ오" hidden="1">{#N/A,#N/A,FALSE,"집계표"}</definedName>
    <definedName name="ㅌㅊㄹ호" localSheetId="0" hidden="1">{#N/A,#N/A,FALSE,"집계표"}</definedName>
    <definedName name="ㅌㅊㄹ호" hidden="1">{#N/A,#N/A,FALSE,"집계표"}</definedName>
    <definedName name="ㅌㅊ룟" localSheetId="0" hidden="1">{#N/A,#N/A,FALSE,"집계표"}</definedName>
    <definedName name="ㅌㅊ룟" hidden="1">{#N/A,#N/A,FALSE,"집계표"}</definedName>
    <definedName name="ㅌ처히ㅏㅓㄹㅇ하" localSheetId="0" hidden="1">{#N/A,#N/A,FALSE,"집계표"}</definedName>
    <definedName name="ㅌ처히ㅏㅓㄹㅇ하" hidden="1">{#N/A,#N/A,FALSE,"집계표"}</definedName>
    <definedName name="ㅌㅋㅀ" localSheetId="0" hidden="1">{#N/A,#N/A,FALSE,"집계표"}</definedName>
    <definedName name="ㅌㅋㅀ" hidden="1">{#N/A,#N/A,FALSE,"집계표"}</definedName>
    <definedName name="ㅌㅋ퍼ㅣㅏㄴㅇ" localSheetId="0" hidden="1">{#N/A,#N/A,FALSE,"집계표"}</definedName>
    <definedName name="ㅌㅋ퍼ㅣㅏㄴㅇ" hidden="1">{#N/A,#N/A,FALSE,"집계표"}</definedName>
    <definedName name="ㅌ카ㅓ낭렇" localSheetId="0" hidden="1">{#N/A,#N/A,FALSE,"집계표"}</definedName>
    <definedName name="ㅌ카ㅓ낭렇" hidden="1">{#N/A,#N/A,FALSE,"집계표"}</definedName>
    <definedName name="ㅌㅌ" localSheetId="0" hidden="1">{#N/A,#N/A,FALSE,"표지"}</definedName>
    <definedName name="ㅌㅌ" hidden="1">{#N/A,#N/A,FALSE,"표지"}</definedName>
    <definedName name="ㅌㅍ" localSheetId="0" hidden="1">{#N/A,#N/A,FALSE,"부대2"}</definedName>
    <definedName name="ㅌㅍ" hidden="1">{#N/A,#N/A,FALSE,"부대2"}</definedName>
    <definedName name="ㅌㅍㅊㅇㅌㅎ" localSheetId="0" hidden="1">{#N/A,#N/A,FALSE,"도급대비시행율";#N/A,#N/A,FALSE,"결의서";#N/A,#N/A,FALSE,"내역서";#N/A,#N/A,FALSE,"도급예상"}</definedName>
    <definedName name="ㅌㅍㅊㅇㅌㅎ" hidden="1">{#N/A,#N/A,FALSE,"도급대비시행율";#N/A,#N/A,FALSE,"결의서";#N/A,#N/A,FALSE,"내역서";#N/A,#N/A,FALSE,"도급예상"}</definedName>
    <definedName name="타히ㅓㅇ" localSheetId="0" hidden="1">{#N/A,#N/A,FALSE,"집계표"}</definedName>
    <definedName name="타히ㅓㅇ" hidden="1">{#N/A,#N/A,FALSE,"집계표"}</definedName>
    <definedName name="태영지급" localSheetId="0" hidden="1">{#N/A,#N/A,FALSE,"부대1"}</definedName>
    <definedName name="태영지급" hidden="1">{#N/A,#N/A,FALSE,"부대1"}</definedName>
    <definedName name="택배" localSheetId="0" hidden="1">{#N/A,#N/A,TRUE,"TITLE"}</definedName>
    <definedName name="택배" hidden="1">{#N/A,#N/A,TRUE,"TITLE"}</definedName>
    <definedName name="텨러" localSheetId="0" hidden="1">{#N/A,#N/A,FALSE,"집계표"}</definedName>
    <definedName name="텨러" hidden="1">{#N/A,#N/A,FALSE,"집계표"}</definedName>
    <definedName name="토" localSheetId="1" hidden="1">#REF!</definedName>
    <definedName name="토" localSheetId="0" hidden="1">#REF!</definedName>
    <definedName name="토" localSheetId="2" hidden="1">#REF!</definedName>
    <definedName name="토" hidden="1">#REF!</definedName>
    <definedName name="토\40" localSheetId="0" hidden="1">{#N/A,#N/A,FALSE,"토공2"}</definedName>
    <definedName name="토\40" hidden="1">{#N/A,#N/A,FALSE,"토공2"}</definedName>
    <definedName name="토1" localSheetId="0" hidden="1">{#N/A,#N/A,FALSE,"이정표"}</definedName>
    <definedName name="토1" hidden="1">{#N/A,#N/A,FALSE,"이정표"}</definedName>
    <definedName name="토2" localSheetId="0" hidden="1">{#N/A,#N/A,FALSE,"조골재"}</definedName>
    <definedName name="토2" hidden="1">{#N/A,#N/A,FALSE,"조골재"}</definedName>
    <definedName name="토3" localSheetId="0" hidden="1">{#N/A,#N/A,FALSE,"구조1"}</definedName>
    <definedName name="토3" hidden="1">{#N/A,#N/A,FALSE,"구조1"}</definedName>
    <definedName name="토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1" localSheetId="0" hidden="1">{#N/A,#N/A,FALSE,"포장2"}</definedName>
    <definedName name="토공11" hidden="1">{#N/A,#N/A,FALSE,"포장2"}</definedName>
    <definedName name="토공2" localSheetId="0" hidden="1">{#N/A,#N/A,FALSE,"2~8번"}</definedName>
    <definedName name="토공2" hidden="1">{#N/A,#N/A,FALSE,"2~8번"}</definedName>
    <definedName name="토공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전체" localSheetId="0" hidden="1">{#N/A,#N/A,FALSE,"운반시간"}</definedName>
    <definedName name="토공전체" hidden="1">{#N/A,#N/A,FALSE,"운반시간"}</definedName>
    <definedName name="토목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사" localSheetId="0" hidden="1">{#N/A,#N/A,FALSE,"이태원철근"}</definedName>
    <definedName name="토목공사" hidden="1">{#N/A,#N/A,FALSE,"이태원철근"}</definedName>
    <definedName name="토목공사강릉" localSheetId="1" hidden="1">#REF!</definedName>
    <definedName name="토목공사강릉" localSheetId="0" hidden="1">#REF!</definedName>
    <definedName name="토목공사강릉" localSheetId="2" hidden="1">#REF!</definedName>
    <definedName name="토목공사강릉" hidden="1">#REF!</definedName>
    <definedName name="토목설계" localSheetId="0" hidden="1">{#N/A,#N/A,FALSE,"골재소요량";#N/A,#N/A,FALSE,"골재소요량"}</definedName>
    <definedName name="토목설계" hidden="1">{#N/A,#N/A,FALSE,"골재소요량";#N/A,#N/A,FALSE,"골재소요량"}</definedName>
    <definedName name="토목실견적" localSheetId="0" hidden="1">{#N/A,#N/A,FALSE,"이태원철근"}</definedName>
    <definedName name="토목실견적" hidden="1">{#N/A,#N/A,FALSE,"이태원철근"}</definedName>
    <definedName name="투3" localSheetId="0" hidden="1">{#N/A,#N/A,FALSE,"배수2"}</definedName>
    <definedName name="투3" hidden="1">{#N/A,#N/A,FALSE,"배수2"}</definedName>
    <definedName name="투입대비표갑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투입대비표갑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툿" localSheetId="0" hidden="1">{#N/A,#N/A,FALSE,"사업총괄";#N/A,#N/A,FALSE,"장비사업";#N/A,#N/A,FALSE,"철구사업";#N/A,#N/A,FALSE,"준설사업"}</definedName>
    <definedName name="툿" hidden="1">{#N/A,#N/A,FALSE,"사업총괄";#N/A,#N/A,FALSE,"장비사업";#N/A,#N/A,FALSE,"철구사업";#N/A,#N/A,FALSE,"준설사업"}</definedName>
    <definedName name="특수조건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특수조건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티" localSheetId="0" hidden="1">{#N/A,#N/A,FALSE,"예상손익";#N/A,#N/A,FALSE,"관리분석";#N/A,#N/A,FALSE,"장비분석";#N/A,#N/A,FALSE,"준설분석";#N/A,#N/A,FALSE,"철구분석"}</definedName>
    <definedName name="티" hidden="1">{#N/A,#N/A,FALSE,"예상손익";#N/A,#N/A,FALSE,"관리분석";#N/A,#N/A,FALSE,"장비분석";#N/A,#N/A,FALSE,"준설분석";#N/A,#N/A,FALSE,"철구분석"}</definedName>
    <definedName name="ㅍㄴㅇㄷ" localSheetId="0" hidden="1">{#N/A,#N/A,FALSE,"집계표"}</definedName>
    <definedName name="ㅍㄴㅇㄷ" hidden="1">{#N/A,#N/A,FALSE,"집계표"}</definedName>
    <definedName name="ㅍㅊㅇㅍㅊ" localSheetId="0" hidden="1">{#N/A,#N/A,FALSE,"집계표"}</definedName>
    <definedName name="ㅍㅊㅇㅍㅊ" hidden="1">{#N/A,#N/A,FALSE,"집계표"}</definedName>
    <definedName name="ㅍ초ㅓㅓㅓㅓㅓㅓㅓ" localSheetId="0" hidden="1">{#N/A,#N/A,FALSE,"집계표"}</definedName>
    <definedName name="ㅍ초ㅓㅓㅓㅓㅓㅓㅓ" hidden="1">{#N/A,#N/A,FALSE,"집계표"}</definedName>
    <definedName name="ㅍ츄ㅗ" localSheetId="0" hidden="1">{#N/A,#N/A,FALSE,"집계표"}</definedName>
    <definedName name="ㅍ츄ㅗ" hidden="1">{#N/A,#N/A,FALSE,"집계표"}</definedName>
    <definedName name="ㅍㅌㅋ이ㅏ" localSheetId="0" hidden="1">{#N/A,#N/A,FALSE,"집계표"}</definedName>
    <definedName name="ㅍㅌㅋ이ㅏ" hidden="1">{#N/A,#N/A,FALSE,"집계표"}</definedName>
    <definedName name="ㅍㅍ" localSheetId="0" hidden="1">{#N/A,#N/A,TRUE,"토적및재료집계";#N/A,#N/A,TRUE,"토적및재료집계";#N/A,#N/A,TRUE,"단위량"}</definedName>
    <definedName name="ㅍㅍ" hidden="1">{#N/A,#N/A,TRUE,"토적및재료집계";#N/A,#N/A,TRUE,"토적및재료집계";#N/A,#N/A,TRUE,"단위량"}</definedName>
    <definedName name="ㅍ햐ㅐㅣㅏ" localSheetId="0" hidden="1">{#N/A,#N/A,FALSE,"집계표"}</definedName>
    <definedName name="ㅍ햐ㅐㅣㅏ" hidden="1">{#N/A,#N/A,FALSE,"집계표"}</definedName>
    <definedName name="ㅍ화ㅓ" localSheetId="0" hidden="1">{#N/A,#N/A,FALSE,"집계표"}</definedName>
    <definedName name="ㅍ화ㅓ" hidden="1">{#N/A,#N/A,FALSE,"집계표"}</definedName>
    <definedName name="파일산출3" localSheetId="1" hidden="1">#REF!</definedName>
    <definedName name="파일산출3" localSheetId="0" hidden="1">#REF!</definedName>
    <definedName name="파일산출3" localSheetId="2" hidden="1">#REF!</definedName>
    <definedName name="파일산출3" hidden="1">#REF!</definedName>
    <definedName name="팔" localSheetId="1" hidden="1">#REF!</definedName>
    <definedName name="팔" localSheetId="0" hidden="1">#REF!</definedName>
    <definedName name="팔" localSheetId="2" hidden="1">#REF!</definedName>
    <definedName name="팔" hidden="1">#REF!</definedName>
    <definedName name="페기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페기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폐기물처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폐기물처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포장2월ocf" localSheetId="0" hidden="1">{#N/A,#N/A,FALSE,"지침";#N/A,#N/A,FALSE,"환경분석";#N/A,#N/A,FALSE,"Sheet16"}</definedName>
    <definedName name="포장2월ocf" hidden="1">{#N/A,#N/A,FALSE,"지침";#N/A,#N/A,FALSE,"환경분석";#N/A,#N/A,FALSE,"Sheet16"}</definedName>
    <definedName name="포장ocf" localSheetId="0" hidden="1">{#N/A,#N/A,FALSE,"지침";#N/A,#N/A,FALSE,"환경분석";#N/A,#N/A,FALSE,"Sheet16"}</definedName>
    <definedName name="포장ocf" hidden="1">{#N/A,#N/A,FALSE,"지침";#N/A,#N/A,FALSE,"환경분석";#N/A,#N/A,FALSE,"Sheet16"}</definedName>
    <definedName name="포지머ㅗㄱㄷㅌ킹1" localSheetId="0" hidden="1">{#N/A,#N/A,FALSE,"표지목차"}</definedName>
    <definedName name="포지머ㅗㄱㄷㅌ킹1" hidden="1">{#N/A,#N/A,FALSE,"표지목차"}</definedName>
    <definedName name="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폽장2" localSheetId="0" hidden="1">{#N/A,#N/A,FALSE,"포장1";#N/A,#N/A,FALSE,"포장1"}</definedName>
    <definedName name="폽장2" hidden="1">{#N/A,#N/A,FALSE,"포장1";#N/A,#N/A,FALSE,"포장1"}</definedName>
    <definedName name="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지" localSheetId="1" hidden="1">#REF!</definedName>
    <definedName name="표지" localSheetId="0" hidden="1">#REF!</definedName>
    <definedName name="표지" localSheetId="2" hidden="1">#REF!</definedName>
    <definedName name="표지" hidden="1">#REF!</definedName>
    <definedName name="표지1" localSheetId="0" hidden="1">{"'용역비'!$A$4:$C$8"}</definedName>
    <definedName name="표지1" hidden="1">{"'용역비'!$A$4:$C$8"}</definedName>
    <definedName name="표지2" localSheetId="1" hidden="1">#REF!</definedName>
    <definedName name="표지2" localSheetId="0" hidden="1">#REF!</definedName>
    <definedName name="표지2" localSheetId="2" hidden="1">#REF!</definedName>
    <definedName name="표지2" hidden="1">#REF!</definedName>
    <definedName name="표지3" localSheetId="0" hidden="1">{#N/A,#N/A,FALSE,"이정표"}</definedName>
    <definedName name="표지3" hidden="1">{#N/A,#N/A,FALSE,"이정표"}</definedName>
    <definedName name="품의민원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품의민원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품의서1" localSheetId="1" hidden="1">#REF!</definedName>
    <definedName name="품의서1" localSheetId="0" hidden="1">#REF!</definedName>
    <definedName name="품의서1" localSheetId="2" hidden="1">#REF!</definedName>
    <definedName name="품의서1" hidden="1">#REF!</definedName>
    <definedName name="풍납동" localSheetId="1" hidden="1">#REF!</definedName>
    <definedName name="풍납동" localSheetId="0" hidden="1">#REF!</definedName>
    <definedName name="풍납동" localSheetId="2" hidden="1">#REF!</definedName>
    <definedName name="풍납동" hidden="1">#REF!</definedName>
    <definedName name="풍납동아파트" localSheetId="1" hidden="1">#REF!</definedName>
    <definedName name="풍납동아파트" localSheetId="0" hidden="1">#REF!</definedName>
    <definedName name="풍납동아파트" localSheetId="2" hidden="1">#REF!</definedName>
    <definedName name="풍납동아파트" hidden="1">#REF!</definedName>
    <definedName name="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퓨ㅗ허" localSheetId="0" hidden="1">{#N/A,#N/A,FALSE,"집계표"}</definedName>
    <definedName name="퓨ㅗ허" hidden="1">{#N/A,#N/A,FALSE,"집계표"}</definedName>
    <definedName name="퓸" localSheetId="0" hidden="1">{#N/A,#N/A,FALSE,"사업총괄";#N/A,#N/A,FALSE,"장비사업";#N/A,#N/A,FALSE,"철구사업";#N/A,#N/A,FALSE,"준설사업"}</definedName>
    <definedName name="퓸" hidden="1">{#N/A,#N/A,FALSE,"사업총괄";#N/A,#N/A,FALSE,"장비사업";#N/A,#N/A,FALSE,"철구사업";#N/A,#N/A,FALSE,"준설사업"}</definedName>
    <definedName name="피로티" localSheetId="0" hidden="1">{#N/A,#N/A,FALSE,"이태원철근"}</definedName>
    <definedName name="피로티" hidden="1">{#N/A,#N/A,FALSE,"이태원철근"}</definedName>
    <definedName name="피로티1" localSheetId="0" hidden="1">{#N/A,#N/A,FALSE,"이태원철근"}</definedName>
    <definedName name="피로티1" hidden="1">{#N/A,#N/A,FALSE,"이태원철근"}</definedName>
    <definedName name="ㅎㄴㅇㅀㄴ" localSheetId="0" hidden="1">{#N/A,#N/A,FALSE,"집계표"}</definedName>
    <definedName name="ㅎㄴㅇㅀㄴ" hidden="1">{#N/A,#N/A,FALSE,"집계표"}</definedName>
    <definedName name="ㅎㄹ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ㅇㄴㅇ" localSheetId="0" hidden="1">{#N/A,#N/A,FALSE,"집계표"}</definedName>
    <definedName name="ㅎㄹㅇㄴㅇ" hidden="1">{#N/A,#N/A,FALSE,"집계표"}</definedName>
    <definedName name="ㅎㄹㅇ솔요" localSheetId="0" hidden="1">{#N/A,#N/A,FALSE,"집계표"}</definedName>
    <definedName name="ㅎㄹㅇ솔요" hidden="1">{#N/A,#N/A,FALSE,"집계표"}</definedName>
    <definedName name="ㅎㄹ어" localSheetId="0" hidden="1">{#N/A,#N/A,FALSE,"집계표"}</definedName>
    <definedName name="ㅎㄹ어" hidden="1">{#N/A,#N/A,FALSE,"집계표"}</definedName>
    <definedName name="ㅎㄹ오" localSheetId="0" hidden="1">{#N/A,#N/A,FALSE,"집계표"}</definedName>
    <definedName name="ㅎㄹ오" hidden="1">{#N/A,#N/A,FALSE,"집계표"}</definedName>
    <definedName name="ㅎㄹ요서ㅗㅎㄹㅇ" localSheetId="0" hidden="1">{#N/A,#N/A,FALSE,"집계표"}</definedName>
    <definedName name="ㅎㄹ요서ㅗㅎㄹㅇ" hidden="1">{#N/A,#N/A,FALSE,"집계표"}</definedName>
    <definedName name="ㅎ러ㅏ료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ㅏ료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ㅗㅇ러" localSheetId="0" hidden="1">{#N/A,#N/A,FALSE,"집계표"}</definedName>
    <definedName name="ㅎ러ㅗㅇ러" hidden="1">{#N/A,#N/A,FALSE,"집계표"}</definedName>
    <definedName name="ㅎ러ㅘㅍㅊ" localSheetId="0" hidden="1">{#N/A,#N/A,FALSE,"집계표"}</definedName>
    <definedName name="ㅎ러ㅘㅍㅊ" hidden="1">{#N/A,#N/A,FALSE,"집계표"}</definedName>
    <definedName name="ㅎ러ㅡㅜ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ㅡㅜ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려ㅑㅓㅏㄹ셔ㅛ" localSheetId="0" hidden="1">{#N/A,#N/A,FALSE,"집계표"}</definedName>
    <definedName name="ㅎ려ㅑㅓㅏㄹ셔ㅛ" hidden="1">{#N/A,#N/A,FALSE,"집계표"}</definedName>
    <definedName name="ㅎ로" localSheetId="0" hidden="1">{#N/A,#N/A,FALSE,"집계표"}</definedName>
    <definedName name="ㅎ로" hidden="1">{#N/A,#N/A,FALSE,"집계표"}</definedName>
    <definedName name="ㅎ로낟안" localSheetId="0" hidden="1">{#N/A,#N/A,FALSE,"혼합골재"}</definedName>
    <definedName name="ㅎ로낟안" hidden="1">{#N/A,#N/A,FALSE,"혼합골재"}</definedName>
    <definedName name="ㅎ로ㅓㅅㄱㄷ" localSheetId="0" hidden="1">{#N/A,#N/A,FALSE,"집계표"}</definedName>
    <definedName name="ㅎ로ㅓㅅㄱㄷ" hidden="1">{#N/A,#N/A,FALSE,"집계표"}</definedName>
    <definedName name="ㅎ로ㅓㅇ" localSheetId="0" hidden="1">{#N/A,#N/A,FALSE,"집계표"}</definedName>
    <definedName name="ㅎ로ㅓㅇ" hidden="1">{#N/A,#N/A,FALSE,"집계표"}</definedName>
    <definedName name="ㅎ로ㅓㅓㅓㅓㅓㅓㅓㅓㅓㅓ" localSheetId="0" hidden="1">{#N/A,#N/A,FALSE,"집계표"}</definedName>
    <definedName name="ㅎ로ㅓㅓㅓㅓㅓㅓㅓㅓㅓㅓ" hidden="1">{#N/A,#N/A,FALSE,"집계표"}</definedName>
    <definedName name="ㅎ롤ㅇㄴㄳㄱ" localSheetId="0" hidden="1">{#N/A,#N/A,FALSE,"집계표"}</definedName>
    <definedName name="ㅎ롤ㅇㄴㄳㄱ" hidden="1">{#N/A,#N/A,FALSE,"집계표"}</definedName>
    <definedName name="ㅎ롯ㅅ" localSheetId="0" hidden="1">{#N/A,#N/A,FALSE,"집계표"}</definedName>
    <definedName name="ㅎ롯ㅅ" hidden="1">{#N/A,#N/A,FALSE,"집계표"}</definedName>
    <definedName name="ㅎㅀㅀ" localSheetId="1" hidden="1">#REF!</definedName>
    <definedName name="ㅎㅀㅀ" localSheetId="0" hidden="1">#REF!</definedName>
    <definedName name="ㅎㅀㅀ" localSheetId="2" hidden="1">#REF!</definedName>
    <definedName name="ㅎㅀㅀ" hidden="1">#REF!</definedName>
    <definedName name="ㅎㅀㅇ" localSheetId="1" hidden="1">#REF!</definedName>
    <definedName name="ㅎㅀㅇ" localSheetId="0" hidden="1">#REF!</definedName>
    <definedName name="ㅎㅀㅇ" localSheetId="2" hidden="1">#REF!</definedName>
    <definedName name="ㅎㅀㅇ" hidden="1">#REF!</definedName>
    <definedName name="ㅎㅁ" localSheetId="0" hidden="1">{#N/A,#N/A,FALSE,"집계표"}</definedName>
    <definedName name="ㅎㅁ" hidden="1">{#N/A,#N/A,FALSE,"집계표"}</definedName>
    <definedName name="ㅎㅁㄴ" localSheetId="1" hidden="1">#REF!</definedName>
    <definedName name="ㅎㅁㄴ" localSheetId="0" hidden="1">#REF!</definedName>
    <definedName name="ㅎㅁㄴ" localSheetId="2" hidden="1">#REF!</definedName>
    <definedName name="ㅎㅁㄴ" hidden="1">#REF!</definedName>
    <definedName name="ㅎ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아라ㅣ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아라ㅣ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처ㅗㅅㄹ요" localSheetId="0" hidden="1">{#N/A,#N/A,FALSE,"집계표"}</definedName>
    <definedName name="ㅎ처ㅗㅅㄹ요" hidden="1">{#N/A,#N/A,FALSE,"집계표"}</definedName>
    <definedName name="ㅎㅎ" localSheetId="1" hidden="1">#REF!</definedName>
    <definedName name="ㅎㅎ" localSheetId="0" hidden="1">#REF!</definedName>
    <definedName name="ㅎㅎ" localSheetId="2" hidden="1">#REF!</definedName>
    <definedName name="ㅎㅎ" hidden="1">#REF!</definedName>
    <definedName name="ㅎㅎㅎ" localSheetId="1" hidden="1">#REF!</definedName>
    <definedName name="ㅎㅎㅎ" localSheetId="0" hidden="1">#REF!</definedName>
    <definedName name="ㅎㅎㅎ" localSheetId="2" hidden="1">#REF!</definedName>
    <definedName name="ㅎㅎㅎ" hidden="1">#REF!</definedName>
    <definedName name="ㅎㅎㅎ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ㅎㅎㅎㅎ" localSheetId="0" hidden="1">{#N/A,#N/A,FALSE,"교리2"}</definedName>
    <definedName name="ㅎㅎㅎㅎㅎㅎㅎ" hidden="1">{#N/A,#N/A,FALSE,"교리2"}</definedName>
    <definedName name="ㅎㅕㅓ" localSheetId="0" hidden="1">{#N/A,#N/A,FALSE,"집계표"}</definedName>
    <definedName name="ㅎㅕㅓ" hidden="1">{#N/A,#N/A,FALSE,"집계표"}</definedName>
    <definedName name="하" localSheetId="0" hidden="1">{#N/A,#N/A,TRUE,"960318-1";#N/A,#N/A,TRUE,"960318-2";#N/A,#N/A,TRUE,"960318-3"}</definedName>
    <definedName name="하" hidden="1">{#N/A,#N/A,TRUE,"960318-1";#N/A,#N/A,TRUE,"960318-2";#N/A,#N/A,TRUE,"960318-3"}</definedName>
    <definedName name="하나" localSheetId="0" hidden="1">{#N/A,#N/A,FALSE,"Sheet1"}</definedName>
    <definedName name="하나" hidden="1">{#N/A,#N/A,FALSE,"Sheet1"}</definedName>
    <definedName name="하도급" localSheetId="0" hidden="1">{#N/A,#N/A,FALSE,"사업총괄";#N/A,#N/A,FALSE,"장비사업";#N/A,#N/A,FALSE,"철구사업";#N/A,#N/A,FALSE,"준설사업"}</definedName>
    <definedName name="하도급" hidden="1">{#N/A,#N/A,FALSE,"사업총괄";#N/A,#N/A,FALSE,"장비사업";#N/A,#N/A,FALSE,"철구사업";#N/A,#N/A,FALSE,"준설사업"}</definedName>
    <definedName name="하도급사항" localSheetId="1" hidden="1">#REF!</definedName>
    <definedName name="하도급사항" localSheetId="0" hidden="1">#REF!</definedName>
    <definedName name="하도급사항" localSheetId="2" hidden="1">#REF!</definedName>
    <definedName name="하도급사항" hidden="1">#REF!</definedName>
    <definedName name="하도대상" localSheetId="0" hidden="1">{#N/A,#N/A,FALSE,"골재소요량";#N/A,#N/A,FALSE,"골재소요량"}</definedName>
    <definedName name="하도대상" hidden="1">{#N/A,#N/A,FALSE,"골재소요량";#N/A,#N/A,FALSE,"골재소요량"}</definedName>
    <definedName name="하도발주용공내역서" localSheetId="0" hidden="1">{#N/A,#N/A,FALSE,"사업총괄";#N/A,#N/A,FALSE,"장비사업";#N/A,#N/A,FALSE,"철구사업";#N/A,#N/A,FALSE,"준설사업"}</definedName>
    <definedName name="하도발주용공내역서" hidden="1">{#N/A,#N/A,FALSE,"사업총괄";#N/A,#N/A,FALSE,"장비사업";#N/A,#N/A,FALSE,"철구사업";#N/A,#N/A,FALSE,"준설사업"}</definedName>
    <definedName name="하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하하" localSheetId="0" hidden="1">{#N/A,#N/A,FALSE,"단가표지"}</definedName>
    <definedName name="하하하" hidden="1">{#N/A,#N/A,FALSE,"단가표지"}</definedName>
    <definedName name="하한선" localSheetId="0" hidden="1">{#N/A,#N/A,FALSE,"배수2"}</definedName>
    <definedName name="하한선" hidden="1">{#N/A,#N/A,FALSE,"배수2"}</definedName>
    <definedName name="하ㅓㅎ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ㅓㅎ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ㅡ교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ㅡ교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학" localSheetId="0" hidden="1">{#N/A,#N/A,TRUE,"960318-1";#N/A,#N/A,TRUE,"960318-2";#N/A,#N/A,TRUE,"960318-3"}</definedName>
    <definedName name="학" hidden="1">{#N/A,#N/A,TRUE,"960318-1";#N/A,#N/A,TRUE,"960318-2";#N/A,#N/A,TRUE,"960318-3"}</definedName>
    <definedName name="한" localSheetId="1" hidden="1">#REF!</definedName>
    <definedName name="한" localSheetId="0" hidden="1">#REF!</definedName>
    <definedName name="한" localSheetId="2" hidden="1">#REF!</definedName>
    <definedName name="한" hidden="1">#REF!</definedName>
    <definedName name="한동" localSheetId="0" hidden="1">{#N/A,#N/A,FALSE,"단가표지"}</definedName>
    <definedName name="한동" hidden="1">{#N/A,#N/A,FALSE,"단가표지"}</definedName>
    <definedName name="한동1" localSheetId="0" hidden="1">{#N/A,#N/A,FALSE,"단가표지"}</definedName>
    <definedName name="한동1" hidden="1">{#N/A,#N/A,FALSE,"단가표지"}</definedName>
    <definedName name="핟" localSheetId="0" hidden="1">{#N/A,#N/A,TRUE,"960318-1";#N/A,#N/A,TRUE,"960318-2";#N/A,#N/A,TRUE,"960318-3"}</definedName>
    <definedName name="핟" hidden="1">{#N/A,#N/A,TRUE,"960318-1";#N/A,#N/A,TRUE,"960318-2";#N/A,#N/A,TRUE,"960318-3"}</definedName>
    <definedName name="할" localSheetId="0" hidden="1">{#N/A,#N/A,TRUE,"960318-1";#N/A,#N/A,TRUE,"960318-2";#N/A,#N/A,TRUE,"960318-3"}</definedName>
    <definedName name="할" hidden="1">{#N/A,#N/A,TRUE,"960318-1";#N/A,#N/A,TRUE,"960318-2";#N/A,#N/A,TRUE,"960318-3"}</definedName>
    <definedName name="할ㅇㅎㅎ랄ㄴㅇ험ㄴ히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할ㅇㅎㅎ랄ㄴㅇ험ㄴ히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함" localSheetId="0" hidden="1">{#N/A,#N/A,TRUE,"960318-1";#N/A,#N/A,TRUE,"960318-2";#N/A,#N/A,TRUE,"960318-3"}</definedName>
    <definedName name="함" hidden="1">{#N/A,#N/A,TRUE,"960318-1";#N/A,#N/A,TRUE,"960318-2";#N/A,#N/A,TRUE,"960318-3"}</definedName>
    <definedName name="합" localSheetId="0" hidden="1">{#N/A,#N/A,TRUE,"960318-1";#N/A,#N/A,TRUE,"960318-2";#N/A,#N/A,TRUE,"960318-3"}</definedName>
    <definedName name="합" hidden="1">{#N/A,#N/A,TRUE,"960318-1";#N/A,#N/A,TRUE,"960318-2";#N/A,#N/A,TRUE,"960318-3"}</definedName>
    <definedName name="핫" localSheetId="0" hidden="1">{#N/A,#N/A,TRUE,"960318-1";#N/A,#N/A,TRUE,"960318-2";#N/A,#N/A,TRUE,"960318-3"}</definedName>
    <definedName name="핫" hidden="1">{#N/A,#N/A,TRUE,"960318-1";#N/A,#N/A,TRUE,"960318-2";#N/A,#N/A,TRUE,"960318-3"}</definedName>
    <definedName name="항" localSheetId="0" hidden="1">{#N/A,#N/A,TRUE,"960318-1";#N/A,#N/A,TRUE,"960318-2";#N/A,#N/A,TRUE,"960318-3"}</definedName>
    <definedName name="항" hidden="1">{#N/A,#N/A,TRUE,"960318-1";#N/A,#N/A,TRUE,"960318-2";#N/A,#N/A,TRUE,"960318-3"}</definedName>
    <definedName name="핳" localSheetId="0" hidden="1">{#N/A,#N/A,TRUE,"960318-1";#N/A,#N/A,TRUE,"960318-2";#N/A,#N/A,TRUE,"960318-3"}</definedName>
    <definedName name="핳" hidden="1">{#N/A,#N/A,TRUE,"960318-1";#N/A,#N/A,TRUE,"960318-2";#N/A,#N/A,TRUE,"960318-3"}</definedName>
    <definedName name="햐" localSheetId="0" hidden="1">{#N/A,#N/A,FALSE,"사업총괄";#N/A,#N/A,FALSE,"장비사업";#N/A,#N/A,FALSE,"철구사업";#N/A,#N/A,FALSE,"준설사업"}</definedName>
    <definedName name="햐" hidden="1">{#N/A,#N/A,FALSE,"사업총괄";#N/A,#N/A,FALSE,"장비사업";#N/A,#N/A,FALSE,"철구사업";#N/A,#N/A,FALSE,"준설사업"}</definedName>
    <definedName name="햐러" localSheetId="0" hidden="1">{#N/A,#N/A,FALSE,"변경관리예산";#N/A,#N/A,FALSE,"변경장비예산";#N/A,#N/A,FALSE,"변경준설예산";#N/A,#N/A,FALSE,"변경철구예산"}</definedName>
    <definedName name="햐러" hidden="1">{#N/A,#N/A,FALSE,"변경관리예산";#N/A,#N/A,FALSE,"변경장비예산";#N/A,#N/A,FALSE,"변경준설예산";#N/A,#N/A,FALSE,"변경철구예산"}</definedName>
    <definedName name="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아ㅏㅇ" localSheetId="0" hidden="1">{#N/A,#N/A,FALSE,"집계표"}</definedName>
    <definedName name="허아ㅏㅇ" hidden="1">{#N/A,#N/A,FALSE,"집계표"}</definedName>
    <definedName name="허저터" localSheetId="0" hidden="1">{#N/A,#N/A,FALSE,"집계표"}</definedName>
    <definedName name="허저터" hidden="1">{#N/A,#N/A,FALSE,"집계표"}</definedName>
    <definedName name="허허헣ㅎ" localSheetId="0" hidden="1">{#N/A,#N/A,FALSE,"집계표"}</definedName>
    <definedName name="허허헣ㅎ" hidden="1">{#N/A,#N/A,FALSE,"집계표"}</definedName>
    <definedName name="허헣" localSheetId="0" hidden="1">{#N/A,#N/A,FALSE,"집계표"}</definedName>
    <definedName name="허헣" hidden="1">{#N/A,#N/A,FALSE,"집계표"}</definedName>
    <definedName name="허ㅏㅈ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ㅏㅈ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ㅗㅅ됴" localSheetId="0" hidden="1">{#N/A,#N/A,FALSE,"집계표"}</definedName>
    <definedName name="허ㅗㅅ됴" hidden="1">{#N/A,#N/A,FALSE,"집계표"}</definedName>
    <definedName name="허ㅗㅈ거ㅛㅛ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ㅗㅈ거ㅛㅛ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ㅚㅎ" localSheetId="0" hidden="1">{#N/A,#N/A,FALSE,"집계표"}</definedName>
    <definedName name="허ㅚㅎ" hidden="1">{#N/A,#N/A,FALSE,"집계표"}</definedName>
    <definedName name="헌ㄴ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ㄴ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현대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현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현장" localSheetId="1" hidden="1">#REF!</definedName>
    <definedName name="현장" localSheetId="0" hidden="1">#REF!</definedName>
    <definedName name="현장" localSheetId="2" hidden="1">#REF!</definedName>
    <definedName name="현장" hidden="1">#REF!</definedName>
    <definedName name="현장설명" localSheetId="0" hidden="1">{#N/A,#N/A,FALSE,"현장 NCR 분석";#N/A,#N/A,FALSE,"현장품질감사";#N/A,#N/A,FALSE,"현장품질감사"}</definedName>
    <definedName name="현장설명" hidden="1">{#N/A,#N/A,FALSE,"현장 NCR 분석";#N/A,#N/A,FALSE,"현장품질감사";#N/A,#N/A,FALSE,"현장품질감사"}</definedName>
    <definedName name="현장설명2" localSheetId="0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현조" localSheetId="1" hidden="1">#REF!</definedName>
    <definedName name="현조" localSheetId="0" hidden="1">#REF!</definedName>
    <definedName name="현조" localSheetId="2" hidden="1">#REF!</definedName>
    <definedName name="현조" hidden="1">#REF!</definedName>
    <definedName name="협" localSheetId="0" hidden="1">{#N/A,#N/A,FALSE,"배수2"}</definedName>
    <definedName name="협" hidden="1">{#N/A,#N/A,FALSE,"배수2"}</definedName>
    <definedName name="협력" localSheetId="0" hidden="1">{#N/A,#N/A,FALSE,"포장2"}</definedName>
    <definedName name="협력" hidden="1">{#N/A,#N/A,FALSE,"포장2"}</definedName>
    <definedName name="협력업체" localSheetId="0" hidden="1">{#N/A,#N/A,FALSE,"포장2"}</definedName>
    <definedName name="협력업체" hidden="1">{#N/A,#N/A,FALSE,"포장2"}</definedName>
    <definedName name="협조전" localSheetId="1" hidden="1">#REF!</definedName>
    <definedName name="협조전" localSheetId="0" hidden="1">#REF!</definedName>
    <definedName name="협조전" localSheetId="2" hidden="1">#REF!</definedName>
    <definedName name="협조전" hidden="1">#REF!</definedName>
    <definedName name="협철" localSheetId="0" hidden="1">{#N/A,#N/A,FALSE,"포장2"}</definedName>
    <definedName name="협철" hidden="1">{#N/A,#N/A,FALSE,"포장2"}</definedName>
    <definedName name="협토" localSheetId="0" hidden="1">{#N/A,#N/A,FALSE,"포장1";#N/A,#N/A,FALSE,"포장1"}</definedName>
    <definedName name="협토" hidden="1">{#N/A,#N/A,FALSE,"포장1";#N/A,#N/A,FALSE,"포장1"}</definedName>
    <definedName name="협토1" localSheetId="0" hidden="1">{#N/A,#N/A,FALSE,"포장2"}</definedName>
    <definedName name="협토1" hidden="1">{#N/A,#N/A,FALSE,"포장2"}</definedName>
    <definedName name="협토자재" localSheetId="0" hidden="1">{#N/A,#N/A,FALSE,"포장2"}</definedName>
    <definedName name="협토자재" hidden="1">{#N/A,#N/A,FALSE,"포장2"}</definedName>
    <definedName name="형제" localSheetId="0" hidden="1">{#N/A,#N/A,FALSE,"포장2"}</definedName>
    <definedName name="형제" hidden="1">{#N/A,#N/A,FALSE,"포장2"}</definedName>
    <definedName name="호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러ㅓㅓㅓㅓㅓㅓㅓ" localSheetId="0" hidden="1">{#N/A,#N/A,FALSE,"집계표"}</definedName>
    <definedName name="호러ㅓㅓㅓㅓㅓㅓㅓ" hidden="1">{#N/A,#N/A,FALSE,"집계표"}</definedName>
    <definedName name="호하ㅓ" localSheetId="0" hidden="1">{#N/A,#N/A,FALSE,"집계표"}</definedName>
    <definedName name="호하ㅓ" hidden="1">{#N/A,#N/A,FALSE,"집계표"}</definedName>
    <definedName name="호호" localSheetId="0" hidden="1">{#N/A,#N/A,FALSE,"포장1";#N/A,#N/A,FALSE,"포장1"}</definedName>
    <definedName name="호호" hidden="1">{#N/A,#N/A,FALSE,"포장1";#N/A,#N/A,FALSE,"포장1"}</definedName>
    <definedName name="호ㅓ" localSheetId="0" hidden="1">{#N/A,#N/A,FALSE,"집계표"}</definedName>
    <definedName name="호ㅓ" hidden="1">{#N/A,#N/A,FALSE,"집계표"}</definedName>
    <definedName name="호ㅓㅏ" localSheetId="0" hidden="1">{#N/A,#N/A,FALSE,"집계표"}</definedName>
    <definedName name="호ㅓㅏ" hidden="1">{#N/A,#N/A,FALSE,"집계표"}</definedName>
    <definedName name="호ㅓㅕㅏ6ㅅ서ㅛㅓ" localSheetId="1" hidden="1">[25]입찰안!#REF!</definedName>
    <definedName name="호ㅓㅕㅏ6ㅅ서ㅛㅓ" localSheetId="0" hidden="1">[25]입찰안!#REF!</definedName>
    <definedName name="호ㅓㅕㅏ6ㅅ서ㅛㅓ" localSheetId="2" hidden="1">[25]입찰안!#REF!</definedName>
    <definedName name="호ㅓㅕㅏ6ㅅ서ㅛㅓ" hidden="1">[25]입찰안!#REF!</definedName>
    <definedName name="혼ㄹ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혼ㄹ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혿" localSheetId="0" hidden="1">{#N/A,#N/A,TRUE,"960318-1";#N/A,#N/A,TRUE,"960318-2";#N/A,#N/A,TRUE,"960318-3"}</definedName>
    <definedName name="혿" hidden="1">{#N/A,#N/A,TRUE,"960318-1";#N/A,#N/A,TRUE,"960318-2";#N/A,#N/A,TRUE,"960318-3"}</definedName>
    <definedName name="홀" localSheetId="0" hidden="1">{#N/A,#N/A,TRUE,"960318-1";#N/A,#N/A,TRUE,"960318-2";#N/A,#N/A,TRUE,"960318-3"}</definedName>
    <definedName name="홀" hidden="1">{#N/A,#N/A,TRUE,"960318-1";#N/A,#N/A,TRUE,"960318-2";#N/A,#N/A,TRUE,"960318-3"}</definedName>
    <definedName name="홇" localSheetId="0" hidden="1">{#N/A,#N/A,FALSE,"Sheet6"}</definedName>
    <definedName name="홇" hidden="1">{#N/A,#N/A,FALSE,"Sheet6"}</definedName>
    <definedName name="홈" localSheetId="0" hidden="1">{#N/A,#N/A,TRUE,"960318-1";#N/A,#N/A,TRUE,"960318-2";#N/A,#N/A,TRUE,"960318-3"}</definedName>
    <definedName name="홈" hidden="1">{#N/A,#N/A,TRUE,"960318-1";#N/A,#N/A,TRUE,"960318-2";#N/A,#N/A,TRUE,"960318-3"}</definedName>
    <definedName name="홉" localSheetId="0" hidden="1">{#N/A,#N/A,TRUE,"960318-1";#N/A,#N/A,TRUE,"960318-2";#N/A,#N/A,TRUE,"960318-3"}</definedName>
    <definedName name="홉" hidden="1">{#N/A,#N/A,TRUE,"960318-1";#N/A,#N/A,TRUE,"960318-2";#N/A,#N/A,TRUE,"960318-3"}</definedName>
    <definedName name="홋" localSheetId="0" hidden="1">{#N/A,#N/A,TRUE,"960318-1";#N/A,#N/A,TRUE,"960318-2";#N/A,#N/A,TRUE,"960318-3"}</definedName>
    <definedName name="홋" hidden="1">{#N/A,#N/A,TRUE,"960318-1";#N/A,#N/A,TRUE,"960318-2";#N/A,#N/A,TRUE,"960318-3"}</definedName>
    <definedName name="홋ㄱ" localSheetId="0" hidden="1">{#N/A,#N/A,FALSE,"Sheet6"}</definedName>
    <definedName name="홋ㄱ" hidden="1">{#N/A,#N/A,FALSE,"Sheet6"}</definedName>
    <definedName name="홎" localSheetId="0" hidden="1">{#N/A,#N/A,TRUE,"960318-1";#N/A,#N/A,TRUE,"960318-2";#N/A,#N/A,TRUE,"960318-3"}</definedName>
    <definedName name="홎" hidden="1">{#N/A,#N/A,TRUE,"960318-1";#N/A,#N/A,TRUE,"960318-2";#N/A,#N/A,TRUE,"960318-3"}</definedName>
    <definedName name="홎ㄴ홓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홎ㄴ홓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홏" localSheetId="0" hidden="1">{#N/A,#N/A,TRUE,"960318-1";#N/A,#N/A,TRUE,"960318-2";#N/A,#N/A,TRUE,"960318-3"}</definedName>
    <definedName name="홏" hidden="1">{#N/A,#N/A,TRUE,"960318-1";#N/A,#N/A,TRUE,"960318-2";#N/A,#N/A,TRUE,"960318-3"}</definedName>
    <definedName name="홓" localSheetId="0" hidden="1">{#N/A,#N/A,TRUE,"960318-1";#N/A,#N/A,TRUE,"960318-2";#N/A,#N/A,TRUE,"960318-3"}</definedName>
    <definedName name="홓" hidden="1">{#N/A,#N/A,TRUE,"960318-1";#N/A,#N/A,TRUE,"960318-2";#N/A,#N/A,TRUE,"960318-3"}</definedName>
    <definedName name="화" localSheetId="0" hidden="1">{"'Sheet1'!$A$1:$E$59"}</definedName>
    <definedName name="화" hidden="1">{"'Sheet1'!$A$1:$E$59"}</definedName>
    <definedName name="환경분석청주" localSheetId="0" hidden="1">{#N/A,#N/A,FALSE,"지침";#N/A,#N/A,FALSE,"환경분석";#N/A,#N/A,FALSE,"Sheet16"}</definedName>
    <definedName name="환경분석청주" hidden="1">{#N/A,#N/A,FALSE,"지침";#N/A,#N/A,FALSE,"환경분석";#N/A,#N/A,FALSE,"Sheet16"}</definedName>
    <definedName name="환경소주2" localSheetId="0" hidden="1">{#N/A,#N/A,FALSE,"지침";#N/A,#N/A,FALSE,"환경분석";#N/A,#N/A,FALSE,"Sheet16"}</definedName>
    <definedName name="환경소주2" hidden="1">{#N/A,#N/A,FALSE,"지침";#N/A,#N/A,FALSE,"환경분석";#N/A,#N/A,FALSE,"Sheet16"}</definedName>
    <definedName name="홧" localSheetId="0" hidden="1">{#N/A,#N/A,TRUE,"960318-1";#N/A,#N/A,TRUE,"960318-2";#N/A,#N/A,TRUE,"960318-3"}</definedName>
    <definedName name="홧" hidden="1">{#N/A,#N/A,TRUE,"960318-1";#N/A,#N/A,TRUE,"960318-2";#N/A,#N/A,TRUE,"960318-3"}</definedName>
    <definedName name="회ㅓㅗ허" localSheetId="0" hidden="1">{#N/A,#N/A,FALSE,"집계표"}</definedName>
    <definedName name="회ㅓㅗ허" hidden="1">{#N/A,#N/A,FALSE,"집계표"}</definedName>
    <definedName name="효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효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훃" localSheetId="0" hidden="1">{#N/A,#N/A,FALSE,"예상손익";#N/A,#N/A,FALSE,"관리분석";#N/A,#N/A,FALSE,"장비분석";#N/A,#N/A,FALSE,"준설분석";#N/A,#N/A,FALSE,"철구분석"}</definedName>
    <definedName name="훃" hidden="1">{#N/A,#N/A,FALSE,"예상손익";#N/A,#N/A,FALSE,"관리분석";#N/A,#N/A,FALSE,"장비분석";#N/A,#N/A,FALSE,"준설분석";#N/A,#N/A,FALSE,"철구분석"}</definedName>
    <definedName name="훈" hidden="1">255</definedName>
    <definedName name="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히" localSheetId="0" hidden="1">{#N/A,#N/A,FALSE,"집계표"}</definedName>
    <definedName name="히" hidden="1">{#N/A,#N/A,FALSE,"집계표"}</definedName>
    <definedName name="힙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힙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ㅏㄱㄷ" localSheetId="0" hidden="1">{#N/A,#N/A,FALSE,"집계표"}</definedName>
    <definedName name="ㅏㄱㄷ" hidden="1">{#N/A,#N/A,FALSE,"집계표"}</definedName>
    <definedName name="ㅏ셔ㅏ셔ㅏㅕ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셔ㅏ셔ㅏㅕ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이이ㅏ리" localSheetId="0" hidden="1">{#N/A,#N/A,FALSE,"주간공정";#N/A,#N/A,FALSE,"주간보고";#N/A,#N/A,FALSE,"주간공정표"}</definedName>
    <definedName name="ㅏ이이ㅏ리" hidden="1">{#N/A,#N/A,FALSE,"주간공정";#N/A,#N/A,FALSE,"주간보고";#N/A,#N/A,FALSE,"주간공정표"}</definedName>
    <definedName name="ㅏㅏㅏ" localSheetId="0" hidden="1">{#N/A,#N/A,FALSE,"주간공정";#N/A,#N/A,FALSE,"주간보고";#N/A,#N/A,FALSE,"주간공정표"}</definedName>
    <definedName name="ㅏㅏㅏ" hidden="1">{#N/A,#N/A,FALSE,"주간공정";#N/A,#N/A,FALSE,"주간보고";#N/A,#N/A,FALSE,"주간공정표"}</definedName>
    <definedName name="ㅏㅏㅏ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셔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셔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ㅑㅁㄴㅇ랜ㅇㄹ" localSheetId="0" hidden="1">{#N/A,#N/A,FALSE,"지침";#N/A,#N/A,FALSE,"환경분석";#N/A,#N/A,FALSE,"Sheet16"}</definedName>
    <definedName name="ㅏㅑㅁㄴㅇ랜ㅇㄹ" hidden="1">{#N/A,#N/A,FALSE,"지침";#N/A,#N/A,FALSE,"환경분석";#N/A,#N/A,FALSE,"Sheet16"}</definedName>
    <definedName name="ㅏㅓ" localSheetId="0" hidden="1">{#N/A,#N/A,FALSE,"집계표"}</definedName>
    <definedName name="ㅏㅓ" hidden="1">{#N/A,#N/A,FALSE,"집계표"}</definedName>
    <definedName name="ㅏㅓㅏ" localSheetId="0" hidden="1">{#N/A,#N/A,FALSE,"물가변동 (2)";#N/A,#N/A,FALSE,"공사비";#N/A,#N/A,FALSE,"사급";#N/A,#N/A,FALSE,"도급집계";#N/A,#N/A,FALSE,"재료비";#N/A,#N/A,FALSE,"노무비";#N/A,#N/A,FALSE,"경비"}</definedName>
    <definedName name="ㅏㅓㅏ" hidden="1">{#N/A,#N/A,FALSE,"물가변동 (2)";#N/A,#N/A,FALSE,"공사비";#N/A,#N/A,FALSE,"사급";#N/A,#N/A,FALSE,"도급집계";#N/A,#N/A,FALSE,"재료비";#N/A,#N/A,FALSE,"노무비";#N/A,#N/A,FALSE,"경비"}</definedName>
    <definedName name="ㅏㅓㅏㅓㅏㅓ" localSheetId="0" hidden="1">{#N/A,#N/A,FALSE,"집계표"}</definedName>
    <definedName name="ㅏㅓㅏㅓㅏㅓ" hidden="1">{#N/A,#N/A,FALSE,"집계표"}</definedName>
    <definedName name="ㅏㅓㅓㅛㅑ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ㅓㅛㅑ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ㅗ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ㅗ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ㅗ" localSheetId="0" hidden="1">{#N/A,#N/A,FALSE,"집계표"}</definedName>
    <definedName name="ㅏㅗ" hidden="1">{#N/A,#N/A,FALSE,"집계표"}</definedName>
    <definedName name="ㅐ" localSheetId="0" hidden="1">{#N/A,#N/A,FALSE,"현장 NCR 분석";#N/A,#N/A,FALSE,"현장품질감사";#N/A,#N/A,FALSE,"현장품질감사"}</definedName>
    <definedName name="ㅐ" hidden="1">{#N/A,#N/A,FALSE,"현장 NCR 분석";#N/A,#N/A,FALSE,"현장품질감사";#N/A,#N/A,FALSE,"현장품질감사"}</definedName>
    <definedName name="ㅐㅐ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ㅕㅛㅗㅍ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ㅕㅛㅗㅍ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ㅐ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ㅐ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ㅑㅑㅑㅑ" localSheetId="0" hidden="1">{#N/A,#N/A,FALSE,"Sheet6"}</definedName>
    <definedName name="ㅑㅑㅑㅑㅑㅑㅑ" hidden="1">{#N/A,#N/A,FALSE,"Sheet6"}</definedName>
    <definedName name="ㅑㅕ" localSheetId="0" hidden="1">{#N/A,#N/A,FALSE,"이정표"}</definedName>
    <definedName name="ㅑㅕ" hidden="1">{#N/A,#N/A,FALSE,"이정표"}</definedName>
    <definedName name="ㅑㅕㅛㅐ" localSheetId="0" hidden="1">{#N/A,#N/A,FALSE,"집계표"}</definedName>
    <definedName name="ㅑㅕㅛㅐ" hidden="1">{#N/A,#N/A,FALSE,"집계표"}</definedName>
    <definedName name="ㅑㅣㅛ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ㅛ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ㄱ" hidden="1">[19]실행철강하도!$A$1:$A$4</definedName>
    <definedName name="ㅓㄴㄹ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ㄹ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라ㅏㅏㅏ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라ㅏㅏ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ㅅㄱㄴㄹㅇㄴ" localSheetId="0" hidden="1">{#N/A,#N/A,FALSE,"집계표"}</definedName>
    <definedName name="ㅓㅅㄱㄴㄹㅇㄴ" hidden="1">{#N/A,#N/A,FALSE,"집계표"}</definedName>
    <definedName name="ㅓㅇ" localSheetId="0" hidden="1">{#N/A,#N/A,FALSE,"집계표"}</definedName>
    <definedName name="ㅓㅇ" hidden="1">{#N/A,#N/A,FALSE,"집계표"}</definedName>
    <definedName name="ㅓㅇㄹ" localSheetId="0" hidden="1">{#N/A,#N/A,FALSE,"집계표"}</definedName>
    <definedName name="ㅓㅇㄹ" hidden="1">{#N/A,#N/A,FALSE,"집계표"}</definedName>
    <definedName name="ㅓ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치ㅏ헐ㅇ" localSheetId="0" hidden="1">{#N/A,#N/A,FALSE,"집계표"}</definedName>
    <definedName name="ㅓ치ㅏ헐ㅇ" hidden="1">{#N/A,#N/A,FALSE,"집계표"}</definedName>
    <definedName name="ㅓㅎㄹㅇ" localSheetId="0" hidden="1">{#N/A,#N/A,FALSE,"집계표"}</definedName>
    <definedName name="ㅓㅎㄹㅇ" hidden="1">{#N/A,#N/A,FALSE,"집계표"}</definedName>
    <definedName name="ㅓ호" localSheetId="0" hidden="1">{#N/A,#N/A,FALSE,"집계표"}</definedName>
    <definedName name="ㅓ호" hidden="1">{#N/A,#N/A,FALSE,"집계표"}</definedName>
    <definedName name="ㅓㅏㅅㅈ나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ㅅㅈ나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ㅓ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ㅓ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ㅛ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ㅛ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ㅕㅏ" localSheetId="0" hidden="1">{#N/A,#N/A,FALSE,"Sheet6"}</definedName>
    <definedName name="ㅓㅕㅏ" hidden="1">{#N/A,#N/A,FALSE,"Sheet6"}</definedName>
    <definedName name="ㅓㅗ" localSheetId="0" hidden="1">{#N/A,#N/A,FALSE,"집계표"}</definedName>
    <definedName name="ㅓㅗ" hidden="1">{#N/A,#N/A,FALSE,"집계표"}</definedName>
    <definedName name="ㅓㅗㄹ허" localSheetId="0" hidden="1">{#N/A,#N/A,FALSE,"집계표"}</definedName>
    <definedName name="ㅓㅗㄹ허" hidden="1">{#N/A,#N/A,FALSE,"집계표"}</definedName>
    <definedName name="ㅓㅗㅎㄹㅇㅇ" localSheetId="0" hidden="1">{#N/A,#N/A,FALSE,"집계표"}</definedName>
    <definedName name="ㅓㅗㅎㄹㅇㅇ" hidden="1">{#N/A,#N/A,FALSE,"집계표"}</definedName>
    <definedName name="ㅓㅗㅎㅍ" localSheetId="0" hidden="1">{#N/A,#N/A,FALSE,"집계표"}</definedName>
    <definedName name="ㅓㅗㅎㅍ" hidden="1">{#N/A,#N/A,FALSE,"집계표"}</definedName>
    <definedName name="ㅓㅗ하ㅗㅎ" localSheetId="0" hidden="1">{#N/A,#N/A,FALSE,"집계표"}</definedName>
    <definedName name="ㅓㅗ하ㅗㅎ" hidden="1">{#N/A,#N/A,FALSE,"집계표"}</definedName>
    <definedName name="ㅓㅗㅕ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ㅗㅕ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ㅎ" localSheetId="0" hidden="1">{#N/A,#N/A,FALSE,"집계표"}</definedName>
    <definedName name="ㅓㅘㅎ" hidden="1">{#N/A,#N/A,FALSE,"집계표"}</definedName>
    <definedName name="ㅓㅛㅈㄱ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ㄱ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ㄷㅈ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ㄷㅈ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ㅛㅓ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ㅛㅓ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ㅣㅏㅗ" localSheetId="0" hidden="1">{#N/A,#N/A,FALSE,"집계표"}</definedName>
    <definedName name="ㅓㅣㅏㅗ" hidden="1">{#N/A,#N/A,FALSE,"집계표"}</definedName>
    <definedName name="ㅔㅐ" localSheetId="1" hidden="1">#REF!</definedName>
    <definedName name="ㅔㅐ" localSheetId="0" hidden="1">#REF!</definedName>
    <definedName name="ㅔㅐ" localSheetId="2" hidden="1">#REF!</definedName>
    <definedName name="ㅔㅐ" hidden="1">#REF!</definedName>
    <definedName name="ㅔㅐㄴ애ㅔㅐ" localSheetId="0" hidden="1">{#N/A,#N/A,FALSE,"집계표"}</definedName>
    <definedName name="ㅔㅐㄴ애ㅔㅐ" hidden="1">{#N/A,#N/A,FALSE,"집계표"}</definedName>
    <definedName name="ㅔㅔ" localSheetId="1" hidden="1">[26]집계표!#REF!</definedName>
    <definedName name="ㅔㅔ" localSheetId="0" hidden="1">[26]집계표!#REF!</definedName>
    <definedName name="ㅔㅔ" localSheetId="2" hidden="1">[26]집계표!#REF!</definedName>
    <definedName name="ㅔㅔ" hidden="1">[26]집계표!#REF!</definedName>
    <definedName name="ㅕ겨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다ㅣㅕㅕ다ㅕㅕ닷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다ㅣㅕㅕ다ㅕㅕ닷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해" localSheetId="0" hidden="1">{#N/A,#N/A,FALSE,"지침";#N/A,#N/A,FALSE,"환경분석";#N/A,#N/A,FALSE,"Sheet16"}</definedName>
    <definedName name="ㅕ해" hidden="1">{#N/A,#N/A,FALSE,"지침";#N/A,#N/A,FALSE,"환경분석";#N/A,#N/A,FALSE,"Sheet16"}</definedName>
    <definedName name="ㅕㅏㄷ쇼ㅏ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ㄷ쇼ㅏ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쇼" localSheetId="0" hidden="1">{#N/A,#N/A,FALSE,"Sheet6"}</definedName>
    <definedName name="ㅕㅏ쇼" hidden="1">{#N/A,#N/A,FALSE,"Sheet6"}</definedName>
    <definedName name="ㅕㅏㅛㅕㅏ" localSheetId="0" hidden="1">{#N/A,#N/A,FALSE,"Sheet6"}</definedName>
    <definedName name="ㅕㅏㅛㅕㅏ" hidden="1">{#N/A,#N/A,FALSE,"Sheet6"}</definedName>
    <definedName name="ㅕㅏㅛㅕ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ㅛㅕ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" localSheetId="1" hidden="1">#REF!</definedName>
    <definedName name="ㅕㅑ" localSheetId="0" hidden="1">#REF!</definedName>
    <definedName name="ㅕㅑ" localSheetId="2" hidden="1">#REF!</definedName>
    <definedName name="ㅕㅑ" hidden="1">#REF!</definedName>
    <definedName name="ㅕㅑㅐ" localSheetId="0" hidden="1">{#N/A,#N/A,FALSE,"Sheet6"}</definedName>
    <definedName name="ㅕㅑㅐ" hidden="1">{#N/A,#N/A,FALSE,"Sheet6"}</definedName>
    <definedName name="ㅕㅑㅐㅐ댜ㅛㅅㄷ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ㅐㅐ댜ㅛㅅㄷ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ㅐㅔ" localSheetId="1" hidden="1">#REF!</definedName>
    <definedName name="ㅕㅑㅐㅔ" localSheetId="0" hidden="1">#REF!</definedName>
    <definedName name="ㅕㅑㅐㅔ" localSheetId="2" hidden="1">#REF!</definedName>
    <definedName name="ㅕㅑㅐㅔ" hidden="1">#REF!</definedName>
    <definedName name="ㅕㅑㅛㅛㅛ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ㅛㅛㅛ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" localSheetId="0" hidden="1">{#N/A,#N/A,FALSE,"지침";#N/A,#N/A,FALSE,"환경분석";#N/A,#N/A,FALSE,"Sheet16"}</definedName>
    <definedName name="ㅕㅛ" hidden="1">{#N/A,#N/A,FALSE,"지침";#N/A,#N/A,FALSE,"환경분석";#N/A,#N/A,FALSE,"Sheet16"}</definedName>
    <definedName name="ㅕ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ㄷ사ㅕ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ㄷ사ㅕ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ㅣㅏ툐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ㅣㅏ툐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3ㄷ5ㅗㅗ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3ㄷ5ㅗㅗ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ㄴㅇ" localSheetId="0" hidden="1">{#N/A,#N/A,FALSE,"집계표"}</definedName>
    <definedName name="ㅗㄴㅇ" hidden="1">{#N/A,#N/A,FALSE,"집계표"}</definedName>
    <definedName name="ㅗㄹㅇ오" localSheetId="0" hidden="1">{#N/A,#N/A,FALSE,"집계표"}</definedName>
    <definedName name="ㅗㄹㅇ오" hidden="1">{#N/A,#N/A,FALSE,"집계표"}</definedName>
    <definedName name="ㅗㄹㅇㅎ" localSheetId="0" hidden="1">{#N/A,#N/A,FALSE,"집계표"}</definedName>
    <definedName name="ㅗㄹㅇㅎ" hidden="1">{#N/A,#N/A,FALSE,"집계표"}</definedName>
    <definedName name="ㅗㄹㅎ라ㅗ" localSheetId="0" hidden="1">{#N/A,#N/A,FALSE,"집계표"}</definedName>
    <definedName name="ㅗㄹㅎ라ㅗ" hidden="1">{#N/A,#N/A,FALSE,"집계표"}</definedName>
    <definedName name="ㅗ마ㅓ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호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호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ㅇㄴㄴ" localSheetId="0" hidden="1">{#N/A,#N/A,FALSE,"집계표"}</definedName>
    <definedName name="ㅗㅇㄴㄴ" hidden="1">{#N/A,#N/A,FALSE,"집계표"}</definedName>
    <definedName name="ㅗㅈ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ㅈ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ㄹ" localSheetId="0" hidden="1">{#N/A,#N/A,FALSE,"집계표"}</definedName>
    <definedName name="ㅗㅎㄹ" hidden="1">{#N/A,#N/A,FALSE,"집계표"}</definedName>
    <definedName name="ㅗㅎㄹ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ㄹ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렇ㄹㅊㅇㅇ" localSheetId="0" hidden="1">{#N/A,#N/A,FALSE,"집계표"}</definedName>
    <definedName name="ㅗㅎ렇ㄹㅊㅇㅇ" hidden="1">{#N/A,#N/A,FALSE,"집계표"}</definedName>
    <definedName name="ㅗㅎㅇㄹ" localSheetId="0" hidden="1">{#N/A,#N/A,FALSE,"집계표"}</definedName>
    <definedName name="ㅗㅎㅇㄹ" hidden="1">{#N/A,#N/A,FALSE,"집계표"}</definedName>
    <definedName name="ㅗㅎㅈ" localSheetId="0" hidden="1">{#N/A,#N/A,FALSE,"집계표"}</definedName>
    <definedName name="ㅗㅎㅈ" hidden="1">{#N/A,#N/A,FALSE,"집계표"}</definedName>
    <definedName name="ㅗㅎㅊㅌㅎ" localSheetId="0" hidden="1">{#N/A,#N/A,FALSE,"집계표"}</definedName>
    <definedName name="ㅗㅎㅊㅌㅎ" hidden="1">{#N/A,#N/A,FALSE,"집계표"}</definedName>
    <definedName name="ㅗ하ㅓ" localSheetId="0" hidden="1">{#N/A,#N/A,FALSE,"집계표"}</definedName>
    <definedName name="ㅗ하ㅓ" hidden="1">{#N/A,#N/A,FALSE,"집계표"}</definedName>
    <definedName name="ㅗ허" localSheetId="0" hidden="1">{#N/A,#N/A,FALSE,"집계표"}</definedName>
    <definedName name="ㅗ허" hidden="1">{#N/A,#N/A,FALSE,"집계표"}</definedName>
    <definedName name="ㅗ허ㅜㅗ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허ㅜㅗ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헏ㄷ셔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헏ㄷ셔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혀ㅏㄹ" localSheetId="0" hidden="1">{#N/A,#N/A,FALSE,"집계표"}</definedName>
    <definedName name="ㅗ혀ㅏㄹ" hidden="1">{#N/A,#N/A,FALSE,"집계표"}</definedName>
    <definedName name="ㅗㅓ" localSheetId="0" hidden="1">{#N/A,#N/A,FALSE,"부대2"}</definedName>
    <definedName name="ㅗㅓ" hidden="1">{#N/A,#N/A,FALSE,"부대2"}</definedName>
    <definedName name="ㅗㅓㅀㅅ" localSheetId="0" hidden="1">{#N/A,#N/A,FALSE,"집계표"}</definedName>
    <definedName name="ㅗㅓㅀㅅ" hidden="1">{#N/A,#N/A,FALSE,"집계표"}</definedName>
    <definedName name="ㅗㅓㅅ됴ㅑㅏ쇼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ㅅ됴ㅑㅏ쇼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ㅇ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ㅕㅑㅕ" localSheetId="0" hidden="1">{#N/A,#N/A,FALSE,"Sheet6"}</definedName>
    <definedName name="ㅗㅓㅕㅑㅕ" hidden="1">{#N/A,#N/A,FALSE,"Sheet6"}</definedName>
    <definedName name="ㅗㅓㅛㅎ" localSheetId="0" hidden="1">{#N/A,#N/A,FALSE,"Sheet6"}</definedName>
    <definedName name="ㅗㅓㅛㅎ" hidden="1">{#N/A,#N/A,FALSE,"Sheet6"}</definedName>
    <definedName name="ㅗㅕ" localSheetId="0" hidden="1">{#N/A,#N/A,FALSE,"배수2"}</definedName>
    <definedName name="ㅗㅕ" hidden="1">{#N/A,#N/A,FALSE,"배수2"}</definedName>
    <definedName name="ㅗㅗ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ㅠ" localSheetId="0" hidden="1">{#N/A,#N/A,FALSE,"집계표"}</definedName>
    <definedName name="ㅗㅠ" hidden="1">{#N/A,#N/A,FALSE,"집계표"}</definedName>
    <definedName name="ㅘ여ㅛ타숀ㅡㅜㅊ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여ㅛ타숀ㅡㅜㅊ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ㅏㅏㅓㄴㅇㅁ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ㅏㅏㅓㄴㅇㅁ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ㄱ5ㅗㅁ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ㄱ5ㅗㅁ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겨ㅐ갸ㅛㅐ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겨ㅐ갸ㅛㅐ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덛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덛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뎌ㅐ됴ㅐㅕ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뎌ㅐ됴ㅐㅕ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ㅅ" localSheetId="0" hidden="1">{#N/A,#N/A,FALSE,"속도"}</definedName>
    <definedName name="ㅛㅅ" hidden="1">{#N/A,#N/A,FALSE,"속도"}</definedName>
    <definedName name="ㅛㅅ겨ㅑㅛㅅ" localSheetId="0" hidden="1">{#N/A,#N/A,FALSE,"집계표"}</definedName>
    <definedName name="ㅛㅅ겨ㅑㅛㅅ" hidden="1">{#N/A,#N/A,FALSE,"집계표"}</definedName>
    <definedName name="ㅛㅅㅅ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ㅅㅅ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서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서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셔쇼ㅕ" localSheetId="0" hidden="1">{#N/A,#N/A,FALSE,"Sheet6"}</definedName>
    <definedName name="ㅛ셔쇼ㅕ" hidden="1">{#N/A,#N/A,FALSE,"Sheet6"}</definedName>
    <definedName name="ㅛㅈ거ㅏ쇼ㅏ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거ㅏ쇼ㅏ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섲ㄷㅅ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섲ㄷㅅ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ㅏㅑ셔ㅏㅣ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ㅏㅑ셔ㅏㅣ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ㅅ샫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ㅅ샫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ㅐ" localSheetId="0" hidden="1">{#N/A,#N/A,FALSE,"구조1"}</definedName>
    <definedName name="ㅛㅑㅐ" hidden="1">{#N/A,#N/A,FALSE,"구조1"}</definedName>
    <definedName name="ㅛㅑㅐ교ㅐ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ㅐ교ㅐ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쇼" localSheetId="0" hidden="1">{#N/A,#N/A,FALSE,"Sheet6"}</definedName>
    <definedName name="ㅛㅓ쇼" hidden="1">{#N/A,#N/A,FALSE,"Sheet6"}</definedName>
    <definedName name="ㅛㅓㅓㅛㅛㅓㅛㅓ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ㅓㅛㅛㅓㅛㅓ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ㄷ사ㅓ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ㄷ사ㅓ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ㅈ서ㅏ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ㅈ서ㅏ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ㅗ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ㅗ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ㅡㅕㅛ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ㅡㅕㅛ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ㅑㅏ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ㅑㅏ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ㅗ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소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소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ㅎㄹ" localSheetId="0" hidden="1">{#N/A,#N/A,FALSE,"부대2"}</definedName>
    <definedName name="ㅜㅎㄹ" hidden="1">{#N/A,#N/A,FALSE,"부대2"}</definedName>
    <definedName name="ㅜㅜ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ㅜ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ㅠ" localSheetId="0" hidden="1">{#N/A,#N/A,FALSE,"토공2"}</definedName>
    <definedName name="ㅜㅠ" hidden="1">{#N/A,#N/A,FALSE,"토공2"}</definedName>
    <definedName name="ㅜㅠㅍ" localSheetId="0" hidden="1">{#N/A,#N/A,FALSE,"전력간선"}</definedName>
    <definedName name="ㅜㅠㅍ" hidden="1">{#N/A,#N/A,FALSE,"전력간선"}</definedName>
    <definedName name="ㅜㅡ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ㅡ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ㅝ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ㅝ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뮤ㅐ" localSheetId="1" hidden="1">#REF!</definedName>
    <definedName name="ㅠ뮤ㅐ" localSheetId="0" hidden="1">#REF!</definedName>
    <definedName name="ㅠ뮤ㅐ" localSheetId="2" hidden="1">#REF!</definedName>
    <definedName name="ㅠ뮤ㅐ" hidden="1">#REF!</definedName>
    <definedName name="ㅠㅍㅎ" localSheetId="0" hidden="1">{#N/A,#N/A,FALSE,"집계표"}</definedName>
    <definedName name="ㅠㅍㅎ" hidden="1">{#N/A,#N/A,FALSE,"집계표"}</definedName>
    <definedName name="ㅠ포ㅓㅓㅓㅓㅓㅓ" localSheetId="0" hidden="1">{#N/A,#N/A,FALSE,"집계표"}</definedName>
    <definedName name="ㅠ포ㅓㅓㅓㅓㅓㅓ" hidden="1">{#N/A,#N/A,FALSE,"집계표"}</definedName>
    <definedName name="ㅠㅎㅇㄴ" localSheetId="0" hidden="1">{#N/A,#N/A,FALSE,"지침";#N/A,#N/A,FALSE,"환경분석";#N/A,#N/A,FALSE,"Sheet16"}</definedName>
    <definedName name="ㅠㅎㅇㄴ" hidden="1">{#N/A,#N/A,FALSE,"지침";#N/A,#N/A,FALSE,"환경분석";#N/A,#N/A,FALSE,"Sheet16"}</definedName>
    <definedName name="ㅠ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ㅛ" localSheetId="0" hidden="1">{#N/A,#N/A,FALSE,"Sheet6"}</definedName>
    <definedName name="ㅠㅜㅛ" hidden="1">{#N/A,#N/A,FALSE,"Sheet6"}</definedName>
    <definedName name="ㅠㅠㅠ" localSheetId="0" hidden="1">{#N/A,#N/A,FALSE,"지침";#N/A,#N/A,FALSE,"환경분석";#N/A,#N/A,FALSE,"Sheet16"}</definedName>
    <definedName name="ㅠㅠㅠ" hidden="1">{#N/A,#N/A,FALSE,"지침";#N/A,#N/A,FALSE,"환경분석";#N/A,#N/A,FALSE,"Sheet16"}</definedName>
    <definedName name="ㅡ" localSheetId="1" hidden="1">#REF!</definedName>
    <definedName name="ㅡ" localSheetId="0" hidden="1">#REF!</definedName>
    <definedName name="ㅡ" localSheetId="2" hidden="1">#REF!</definedName>
    <definedName name="ㅡ" hidden="1">#REF!</definedName>
    <definedName name="ㅡ므" localSheetId="0" hidden="1">{#N/A,#N/A,FALSE,"집계표"}</definedName>
    <definedName name="ㅡ므" hidden="1">{#N/A,#N/A,FALSE,"집계표"}</definedName>
    <definedName name="ㅡ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ㅡ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ㅡㅡㅡ" localSheetId="0" hidden="1">{#N/A,#N/A,FALSE,"지침";#N/A,#N/A,FALSE,"환경분석";#N/A,#N/A,FALSE,"Sheet16"}</definedName>
    <definedName name="ㅡㅡㅡ" hidden="1">{#N/A,#N/A,FALSE,"지침";#N/A,#N/A,FALSE,"환경분석";#N/A,#N/A,FALSE,"Sheet16"}</definedName>
    <definedName name="ㅣㄴ아ㅓㄹ" localSheetId="0" hidden="1">{#N/A,#N/A,FALSE,"집계표"}</definedName>
    <definedName name="ㅣㄴ아ㅓㄹ" hidden="1">{#N/A,#N/A,FALSE,"집계표"}</definedName>
    <definedName name="ㅣㅁㄴ" localSheetId="0" hidden="1">{#N/A,#N/A,FALSE,"집계표"}</definedName>
    <definedName name="ㅣㅁㄴ" hidden="1">{#N/A,#N/A,FALSE,"집계표"}</definedName>
    <definedName name="ㅣㅁㄴ러ㅑㄱ" localSheetId="0" hidden="1">{#N/A,#N/A,FALSE,"집계표"}</definedName>
    <definedName name="ㅣㅁㄴ러ㅑㄱ" hidden="1">{#N/A,#N/A,FALSE,"집계표"}</definedName>
    <definedName name="ㅣㅏㄴ아ㅓ리ㅏ허" localSheetId="0" hidden="1">{#N/A,#N/A,FALSE,"집계표"}</definedName>
    <definedName name="ㅣㅏㄴ아ㅓ리ㅏ허" hidden="1">{#N/A,#N/A,FALSE,"집계표"}</definedName>
    <definedName name="ㅣㅏ넝리ㅏㅓㅎ" localSheetId="0" hidden="1">{#N/A,#N/A,FALSE,"집계표"}</definedName>
    <definedName name="ㅣㅏ넝리ㅏㅓㅎ" hidden="1">{#N/A,#N/A,FALSE,"집계표"}</definedName>
    <definedName name="ㅣㅏㅇ널" localSheetId="0" hidden="1">{#N/A,#N/A,FALSE,"집계표"}</definedName>
    <definedName name="ㅣㅏㅇ널" hidden="1">{#N/A,#N/A,FALSE,"집계표"}</definedName>
    <definedName name="ㅣㅏ아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ㅑㅓㄴ이ㅏㅎㄹ" localSheetId="0" hidden="1">{#N/A,#N/A,FALSE,"집계표"}</definedName>
    <definedName name="ㅣㅏㅑㅓㄴ이ㅏㅎㄹ" hidden="1">{#N/A,#N/A,FALSE,"집계표"}</definedName>
    <definedName name="ㅣㅏㅓㅏㅑㅓㅘㅐ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ㅓㅏㅑㅓㅘㅐ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ㅑㅑ" localSheetId="0" hidden="1">{#N/A,#N/A,FALSE,"단가표지"}</definedName>
    <definedName name="ㅣㅑㅑ" hidden="1">{#N/A,#N/A,FALSE,"단가표지"}</definedName>
    <definedName name="ㅣㅑㅕㅛ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ㅑㅕㅛ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ㅓㅏ" localSheetId="0" hidden="1">{#N/A,#N/A,FALSE,"전력간선"}</definedName>
    <definedName name="ㅣㅓㅏ" hidden="1">{#N/A,#N/A,FALSE,"전력간선"}</definedName>
    <definedName name="ㅣㅗㄾㅇ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ㅗㄾㅇ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0" hidden="1">{#N/A,#N/A,FALSE,"주간공정";#N/A,#N/A,FALSE,"주간보고";#N/A,#N/A,FALSE,"주간공정표"}</definedName>
    <definedName name="ㅣㅣㅣ" hidden="1">{#N/A,#N/A,FALSE,"주간공정";#N/A,#N/A,FALSE,"주간보고";#N/A,#N/A,FALSE,"주간공정표"}</definedName>
    <definedName name="ㅣㅣㅣ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ㅣㅣ" localSheetId="0" hidden="1">{#N/A,#N/A,FALSE,"주간공정";#N/A,#N/A,FALSE,"주간보고";#N/A,#N/A,FALSE,"주간공정표"}</definedName>
    <definedName name="ㅣㅣㅣㅣㅣ" hidden="1">{#N/A,#N/A,FALSE,"주간공정";#N/A,#N/A,FALSE,"주간보고";#N/A,#N/A,FALSE,"주간공정표"}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29" i="23313" l="1"/>
  <c r="L329" i="23313" s="1"/>
  <c r="J329" i="23313"/>
  <c r="H329" i="23313"/>
  <c r="K156" i="23313"/>
  <c r="L156" i="23313" s="1"/>
  <c r="J156" i="23313"/>
  <c r="H156" i="23313"/>
  <c r="K112" i="23313"/>
  <c r="L112" i="23313" s="1"/>
  <c r="J112" i="23313"/>
  <c r="H112" i="23313"/>
  <c r="K131" i="23313"/>
  <c r="L131" i="23313" s="1"/>
  <c r="J131" i="23313"/>
  <c r="H131" i="23313"/>
  <c r="K59" i="23313"/>
  <c r="L59" i="23313" s="1"/>
  <c r="J59" i="23313"/>
  <c r="H59" i="23313"/>
  <c r="K364" i="23313"/>
  <c r="L364" i="23313" s="1"/>
  <c r="J364" i="23313"/>
  <c r="H364" i="23313"/>
  <c r="K365" i="23313"/>
  <c r="L365" i="23313" s="1"/>
  <c r="J365" i="23313"/>
  <c r="H365" i="23313"/>
  <c r="K74" i="23313"/>
  <c r="G462" i="23313"/>
  <c r="K454" i="23313"/>
  <c r="L454" i="23313" s="1"/>
  <c r="J454" i="23313"/>
  <c r="H454" i="23313"/>
  <c r="K426" i="23313"/>
  <c r="L426" i="23313" s="1"/>
  <c r="J426" i="23313"/>
  <c r="H426" i="23313"/>
  <c r="J406" i="23313"/>
  <c r="K323" i="23313"/>
  <c r="L323" i="23313" s="1"/>
  <c r="J323" i="23313"/>
  <c r="H323" i="23313"/>
  <c r="K425" i="23313"/>
  <c r="L425" i="23313" s="1"/>
  <c r="J425" i="23313"/>
  <c r="H425" i="23313"/>
  <c r="K233" i="23313"/>
  <c r="L233" i="23313" s="1"/>
  <c r="J233" i="23313"/>
  <c r="H233" i="23313"/>
  <c r="K109" i="23313"/>
  <c r="L109" i="23313" s="1"/>
  <c r="J109" i="23313"/>
  <c r="H109" i="23313"/>
  <c r="K58" i="23313"/>
  <c r="L58" i="23313" s="1"/>
  <c r="J58" i="23313"/>
  <c r="H58" i="23313"/>
  <c r="K63" i="23313"/>
  <c r="L63" i="23313" s="1"/>
  <c r="J63" i="23313"/>
  <c r="H63" i="23313"/>
  <c r="K446" i="23313"/>
  <c r="L446" i="23313" s="1"/>
  <c r="J446" i="23313"/>
  <c r="H446" i="23313"/>
  <c r="K218" i="23313"/>
  <c r="L218" i="23313" s="1"/>
  <c r="J218" i="23313"/>
  <c r="H218" i="23313"/>
  <c r="K219" i="23313"/>
  <c r="L219" i="23313" s="1"/>
  <c r="J219" i="23313"/>
  <c r="H219" i="23313"/>
  <c r="K217" i="23313"/>
  <c r="L217" i="23313" s="1"/>
  <c r="J217" i="23313"/>
  <c r="H217" i="23313"/>
  <c r="K216" i="23313"/>
  <c r="L216" i="23313" s="1"/>
  <c r="J216" i="23313"/>
  <c r="H216" i="23313"/>
  <c r="K215" i="23313"/>
  <c r="L215" i="23313" s="1"/>
  <c r="J215" i="23313"/>
  <c r="H215" i="23313"/>
  <c r="K214" i="23313"/>
  <c r="L214" i="23313" s="1"/>
  <c r="J214" i="23313"/>
  <c r="H214" i="23313"/>
  <c r="K213" i="23313"/>
  <c r="L213" i="23313" s="1"/>
  <c r="J213" i="23313"/>
  <c r="H213" i="23313"/>
  <c r="K212" i="23313"/>
  <c r="L212" i="23313" s="1"/>
  <c r="J212" i="23313"/>
  <c r="H212" i="23313"/>
  <c r="K211" i="23313"/>
  <c r="L211" i="23313" s="1"/>
  <c r="J211" i="23313"/>
  <c r="H211" i="23313"/>
  <c r="K210" i="23313"/>
  <c r="L210" i="23313" s="1"/>
  <c r="J210" i="23313"/>
  <c r="H210" i="23313"/>
  <c r="K209" i="23313"/>
  <c r="L209" i="23313" s="1"/>
  <c r="J209" i="23313"/>
  <c r="H209" i="23313"/>
  <c r="K208" i="23313"/>
  <c r="L208" i="23313" s="1"/>
  <c r="J208" i="23313"/>
  <c r="H208" i="23313"/>
  <c r="K207" i="23313"/>
  <c r="L207" i="23313" s="1"/>
  <c r="J207" i="23313"/>
  <c r="H207" i="23313"/>
  <c r="K206" i="23313"/>
  <c r="L206" i="23313" s="1"/>
  <c r="J206" i="23313"/>
  <c r="H206" i="23313"/>
  <c r="K205" i="23313"/>
  <c r="L205" i="23313" s="1"/>
  <c r="J205" i="23313"/>
  <c r="H205" i="23313"/>
  <c r="K200" i="23313"/>
  <c r="L200" i="23313" s="1"/>
  <c r="J200" i="23313"/>
  <c r="H200" i="23313"/>
  <c r="K201" i="23313"/>
  <c r="L201" i="23313" s="1"/>
  <c r="J201" i="23313"/>
  <c r="H201" i="23313"/>
  <c r="F202" i="23313"/>
  <c r="F239" i="23313"/>
  <c r="F241" i="23313"/>
  <c r="K234" i="23313"/>
  <c r="L234" i="23313" s="1"/>
  <c r="J234" i="23313"/>
  <c r="H234" i="23313"/>
  <c r="K235" i="23313"/>
  <c r="L235" i="23313" s="1"/>
  <c r="J235" i="23313"/>
  <c r="H235" i="23313"/>
  <c r="K237" i="23313"/>
  <c r="L237" i="23313" s="1"/>
  <c r="J237" i="23313"/>
  <c r="H237" i="23313"/>
  <c r="K257" i="23313"/>
  <c r="L257" i="23313" s="1"/>
  <c r="J257" i="23313"/>
  <c r="H257" i="23313"/>
  <c r="K230" i="23313"/>
  <c r="L230" i="23313" s="1"/>
  <c r="J230" i="23313"/>
  <c r="H230" i="23313"/>
  <c r="K287" i="23313"/>
  <c r="L287" i="23313" s="1"/>
  <c r="J287" i="23313"/>
  <c r="H287" i="23313"/>
  <c r="K286" i="23313"/>
  <c r="L286" i="23313" s="1"/>
  <c r="J286" i="23313"/>
  <c r="H286" i="23313"/>
  <c r="K285" i="23313"/>
  <c r="L285" i="23313" s="1"/>
  <c r="J285" i="23313"/>
  <c r="H285" i="23313"/>
  <c r="K284" i="23313"/>
  <c r="L284" i="23313" s="1"/>
  <c r="J284" i="23313"/>
  <c r="H284" i="23313"/>
  <c r="K283" i="23313"/>
  <c r="L283" i="23313" s="1"/>
  <c r="J283" i="23313"/>
  <c r="H283" i="23313"/>
  <c r="K280" i="23313"/>
  <c r="L280" i="23313" s="1"/>
  <c r="J280" i="23313"/>
  <c r="H280" i="23313"/>
  <c r="K279" i="23313"/>
  <c r="L279" i="23313" s="1"/>
  <c r="J279" i="23313"/>
  <c r="H279" i="23313"/>
  <c r="K278" i="23313"/>
  <c r="L278" i="23313" s="1"/>
  <c r="J278" i="23313"/>
  <c r="H278" i="23313"/>
  <c r="K277" i="23313"/>
  <c r="L277" i="23313" s="1"/>
  <c r="J277" i="23313"/>
  <c r="H277" i="23313"/>
  <c r="K276" i="23313"/>
  <c r="L276" i="23313" s="1"/>
  <c r="J276" i="23313"/>
  <c r="H276" i="23313"/>
  <c r="K273" i="23313"/>
  <c r="L273" i="23313" s="1"/>
  <c r="J273" i="23313"/>
  <c r="H273" i="23313"/>
  <c r="K272" i="23313"/>
  <c r="L272" i="23313" s="1"/>
  <c r="J272" i="23313"/>
  <c r="H272" i="23313"/>
  <c r="K271" i="23313"/>
  <c r="L271" i="23313" s="1"/>
  <c r="J271" i="23313"/>
  <c r="H271" i="23313"/>
  <c r="K270" i="23313"/>
  <c r="L270" i="23313" s="1"/>
  <c r="J270" i="23313"/>
  <c r="H270" i="23313"/>
  <c r="K269" i="23313"/>
  <c r="L269" i="23313" s="1"/>
  <c r="J269" i="23313"/>
  <c r="H269" i="23313"/>
  <c r="K264" i="23313"/>
  <c r="L264" i="23313" s="1"/>
  <c r="J264" i="23313"/>
  <c r="H264" i="23313"/>
  <c r="K263" i="23313"/>
  <c r="L263" i="23313" s="1"/>
  <c r="J263" i="23313"/>
  <c r="H263" i="23313"/>
  <c r="F258" i="23313"/>
  <c r="F252" i="23313"/>
  <c r="F247" i="23313"/>
  <c r="F387" i="23313"/>
  <c r="K387" i="23313"/>
  <c r="K88" i="23313"/>
  <c r="L88" i="23313" s="1"/>
  <c r="J88" i="23313"/>
  <c r="H88" i="23313"/>
  <c r="K87" i="23313"/>
  <c r="L87" i="23313" s="1"/>
  <c r="J87" i="23313"/>
  <c r="H87" i="23313"/>
  <c r="K86" i="23313"/>
  <c r="L86" i="23313" s="1"/>
  <c r="J86" i="23313"/>
  <c r="H86" i="23313"/>
  <c r="H360" i="23313"/>
  <c r="K360" i="23313"/>
  <c r="L360" i="23313" s="1"/>
  <c r="J360" i="23313"/>
  <c r="K174" i="23313"/>
  <c r="L174" i="23313" s="1"/>
  <c r="J174" i="23313"/>
  <c r="H174" i="23313"/>
  <c r="K359" i="23313"/>
  <c r="L359" i="23313" s="1"/>
  <c r="J359" i="23313"/>
  <c r="K358" i="23313"/>
  <c r="L358" i="23313" s="1"/>
  <c r="J358" i="23313"/>
  <c r="H359" i="23313"/>
  <c r="H358" i="23313"/>
  <c r="K464" i="23313"/>
  <c r="L464" i="23313" s="1"/>
  <c r="J464" i="23313"/>
  <c r="H464" i="23313"/>
  <c r="K463" i="23313"/>
  <c r="L463" i="23313" s="1"/>
  <c r="J463" i="23313"/>
  <c r="H463" i="23313"/>
  <c r="J462" i="23313"/>
  <c r="J346" i="23313"/>
  <c r="G346" i="23313"/>
  <c r="K345" i="23313"/>
  <c r="L345" i="23313" s="1"/>
  <c r="J345" i="23313"/>
  <c r="H345" i="23313"/>
  <c r="K344" i="23313"/>
  <c r="L344" i="23313" s="1"/>
  <c r="J344" i="23313"/>
  <c r="H344" i="23313"/>
  <c r="K343" i="23313"/>
  <c r="L343" i="23313" s="1"/>
  <c r="J343" i="23313"/>
  <c r="H343" i="23313"/>
  <c r="K342" i="23313"/>
  <c r="L342" i="23313" s="1"/>
  <c r="J342" i="23313"/>
  <c r="H342" i="23313"/>
  <c r="J341" i="23313"/>
  <c r="G341" i="23313"/>
  <c r="H331" i="23313"/>
  <c r="K331" i="23313"/>
  <c r="L331" i="23313" s="1"/>
  <c r="J331" i="23313"/>
  <c r="K183" i="23313"/>
  <c r="L183" i="23313" s="1"/>
  <c r="J183" i="23313"/>
  <c r="H183" i="23313"/>
  <c r="K180" i="23313"/>
  <c r="L180" i="23313" s="1"/>
  <c r="J180" i="23313"/>
  <c r="H180" i="23313"/>
  <c r="K181" i="23313"/>
  <c r="L181" i="23313" s="1"/>
  <c r="J181" i="23313"/>
  <c r="H181" i="23313"/>
  <c r="K182" i="23313"/>
  <c r="L182" i="23313" s="1"/>
  <c r="J182" i="23313"/>
  <c r="H182" i="23313"/>
  <c r="K177" i="23313"/>
  <c r="L177" i="23313" s="1"/>
  <c r="J177" i="23313"/>
  <c r="H177" i="23313"/>
  <c r="K176" i="23313"/>
  <c r="L176" i="23313" s="1"/>
  <c r="J176" i="23313"/>
  <c r="H176" i="23313"/>
  <c r="K175" i="23313"/>
  <c r="L175" i="23313" s="1"/>
  <c r="J175" i="23313"/>
  <c r="H175" i="23313"/>
  <c r="K171" i="23313"/>
  <c r="L171" i="23313" s="1"/>
  <c r="J171" i="23313"/>
  <c r="H171" i="23313"/>
  <c r="K155" i="23313"/>
  <c r="L155" i="23313" s="1"/>
  <c r="J155" i="23313"/>
  <c r="H155" i="23313"/>
  <c r="K145" i="23313"/>
  <c r="L145" i="23313" s="1"/>
  <c r="J145" i="23313"/>
  <c r="H145" i="23313"/>
  <c r="K144" i="23313"/>
  <c r="L144" i="23313" s="1"/>
  <c r="J144" i="23313"/>
  <c r="H144" i="23313"/>
  <c r="J141" i="23313"/>
  <c r="K141" i="23313"/>
  <c r="L141" i="23313" s="1"/>
  <c r="H141" i="23313"/>
  <c r="K140" i="23313"/>
  <c r="L140" i="23313" s="1"/>
  <c r="J140" i="23313"/>
  <c r="H140" i="23313"/>
  <c r="K139" i="23313"/>
  <c r="L139" i="23313" s="1"/>
  <c r="J139" i="23313"/>
  <c r="H139" i="23313"/>
  <c r="J138" i="23313"/>
  <c r="K138" i="23313"/>
  <c r="L138" i="23313" s="1"/>
  <c r="H138" i="23313"/>
  <c r="K137" i="23313"/>
  <c r="L137" i="23313" s="1"/>
  <c r="J137" i="23313"/>
  <c r="K136" i="23313"/>
  <c r="L136" i="23313" s="1"/>
  <c r="J136" i="23313"/>
  <c r="H137" i="23313"/>
  <c r="H136" i="23313"/>
  <c r="K135" i="23313"/>
  <c r="L135" i="23313" s="1"/>
  <c r="J135" i="23313"/>
  <c r="H135" i="23313"/>
  <c r="K130" i="23313"/>
  <c r="L130" i="23313" s="1"/>
  <c r="J130" i="23313"/>
  <c r="H130" i="23313"/>
  <c r="F105" i="23313"/>
  <c r="K105" i="23313"/>
  <c r="K111" i="23313"/>
  <c r="L111" i="23313" s="1"/>
  <c r="J111" i="23313"/>
  <c r="H111" i="23313"/>
  <c r="K110" i="23313"/>
  <c r="L110" i="23313" s="1"/>
  <c r="J110" i="23313"/>
  <c r="H110" i="23313"/>
  <c r="K104" i="23313"/>
  <c r="L104" i="23313" s="1"/>
  <c r="J104" i="23313"/>
  <c r="H104" i="23313"/>
  <c r="K102" i="23313"/>
  <c r="L102" i="23313" s="1"/>
  <c r="J102" i="23313"/>
  <c r="H102" i="23313"/>
  <c r="K101" i="23313"/>
  <c r="L101" i="23313" s="1"/>
  <c r="J101" i="23313"/>
  <c r="H101" i="23313"/>
  <c r="J98" i="23313"/>
  <c r="K98" i="23313"/>
  <c r="L98" i="23313" s="1"/>
  <c r="H98" i="23313"/>
  <c r="K93" i="23313"/>
  <c r="L93" i="23313" s="1"/>
  <c r="J93" i="23313"/>
  <c r="H93" i="23313"/>
  <c r="K92" i="23313"/>
  <c r="L92" i="23313" s="1"/>
  <c r="J92" i="23313"/>
  <c r="H92" i="23313"/>
  <c r="K126" i="23313"/>
  <c r="L126" i="23313" s="1"/>
  <c r="J126" i="23313"/>
  <c r="H126" i="23313"/>
  <c r="K129" i="23313"/>
  <c r="L129" i="23313" s="1"/>
  <c r="J129" i="23313"/>
  <c r="H129" i="23313"/>
  <c r="K128" i="23313"/>
  <c r="L128" i="23313" s="1"/>
  <c r="J128" i="23313"/>
  <c r="H128" i="23313"/>
  <c r="F451" i="23313"/>
  <c r="F450" i="23313"/>
  <c r="K455" i="23313"/>
  <c r="L455" i="23313" s="1"/>
  <c r="J455" i="23313"/>
  <c r="H455" i="23313"/>
  <c r="K76" i="23313"/>
  <c r="L76" i="23313" s="1"/>
  <c r="J76" i="23313"/>
  <c r="H76" i="23313"/>
  <c r="K461" i="23313"/>
  <c r="L461" i="23313" s="1"/>
  <c r="J461" i="23313"/>
  <c r="H461" i="23313"/>
  <c r="K460" i="23313"/>
  <c r="L460" i="23313" s="1"/>
  <c r="J460" i="23313"/>
  <c r="H460" i="23313"/>
  <c r="K467" i="23313"/>
  <c r="L467" i="23313" s="1"/>
  <c r="J467" i="23313"/>
  <c r="H467" i="23313"/>
  <c r="K466" i="23313"/>
  <c r="L466" i="23313" s="1"/>
  <c r="J466" i="23313"/>
  <c r="H466" i="23313"/>
  <c r="K375" i="23313"/>
  <c r="F386" i="23313"/>
  <c r="K389" i="23313"/>
  <c r="L389" i="23313" s="1"/>
  <c r="J389" i="23313"/>
  <c r="H389" i="23313"/>
  <c r="K385" i="23313"/>
  <c r="L385" i="23313" s="1"/>
  <c r="J385" i="23313"/>
  <c r="H385" i="23313"/>
  <c r="F383" i="23313"/>
  <c r="K324" i="23313"/>
  <c r="L324" i="23313" s="1"/>
  <c r="J324" i="23313"/>
  <c r="H324" i="23313"/>
  <c r="F388" i="23313"/>
  <c r="J366" i="23313"/>
  <c r="G366" i="23313"/>
  <c r="F384" i="23313"/>
  <c r="K382" i="23313"/>
  <c r="F381" i="23313"/>
  <c r="F380" i="23313"/>
  <c r="F379" i="23313"/>
  <c r="K380" i="23313"/>
  <c r="K393" i="23313"/>
  <c r="K376" i="23313"/>
  <c r="L376" i="23313" s="1"/>
  <c r="J376" i="23313"/>
  <c r="H376" i="23313"/>
  <c r="K374" i="23313"/>
  <c r="F374" i="23313"/>
  <c r="K373" i="23313"/>
  <c r="F373" i="23313"/>
  <c r="K403" i="23313"/>
  <c r="L403" i="23313" s="1"/>
  <c r="J403" i="23313"/>
  <c r="H403" i="23313"/>
  <c r="F402" i="23313"/>
  <c r="F401" i="23313"/>
  <c r="K402" i="23313"/>
  <c r="K401" i="23313"/>
  <c r="F400" i="23313"/>
  <c r="K400" i="23313"/>
  <c r="F399" i="23313"/>
  <c r="K399" i="23313"/>
  <c r="F396" i="23313"/>
  <c r="F397" i="23313"/>
  <c r="K397" i="23313"/>
  <c r="K396" i="23313"/>
  <c r="J417" i="23313"/>
  <c r="K417" i="23313"/>
  <c r="L417" i="23313" s="1"/>
  <c r="F416" i="23313"/>
  <c r="K414" i="23313"/>
  <c r="L414" i="23313" s="1"/>
  <c r="J414" i="23313"/>
  <c r="H414" i="23313"/>
  <c r="K415" i="23313"/>
  <c r="L415" i="23313" s="1"/>
  <c r="J415" i="23313"/>
  <c r="H415" i="23313"/>
  <c r="F431" i="23313"/>
  <c r="K134" i="23313"/>
  <c r="L134" i="23313" s="1"/>
  <c r="J134" i="23313"/>
  <c r="H134" i="23313"/>
  <c r="K159" i="23313"/>
  <c r="L159" i="23313" s="1"/>
  <c r="J159" i="23313"/>
  <c r="H159" i="23313"/>
  <c r="K154" i="23313"/>
  <c r="L154" i="23313" s="1"/>
  <c r="J154" i="23313"/>
  <c r="H154" i="23313"/>
  <c r="J148" i="23313"/>
  <c r="K149" i="23313"/>
  <c r="L149" i="23313" s="1"/>
  <c r="J149" i="23313"/>
  <c r="H149" i="23313"/>
  <c r="K148" i="23313"/>
  <c r="K147" i="23313"/>
  <c r="L147" i="23313" s="1"/>
  <c r="J147" i="23313"/>
  <c r="H147" i="23313"/>
  <c r="K146" i="23313"/>
  <c r="L146" i="23313" s="1"/>
  <c r="J146" i="23313"/>
  <c r="H146" i="23313"/>
  <c r="K121" i="23313"/>
  <c r="L121" i="23313" s="1"/>
  <c r="J121" i="23313"/>
  <c r="H121" i="23313"/>
  <c r="K115" i="23313"/>
  <c r="L115" i="23313" s="1"/>
  <c r="J115" i="23313"/>
  <c r="H115" i="23313"/>
  <c r="K330" i="23313"/>
  <c r="L330" i="23313" s="1"/>
  <c r="J330" i="23313"/>
  <c r="H330" i="23313"/>
  <c r="K332" i="23313"/>
  <c r="L332" i="23313" s="1"/>
  <c r="J332" i="23313"/>
  <c r="H332" i="23313"/>
  <c r="Q321" i="23313"/>
  <c r="K321" i="23313"/>
  <c r="L321" i="23313" s="1"/>
  <c r="J321" i="23313"/>
  <c r="H321" i="23313"/>
  <c r="K388" i="23313"/>
  <c r="K386" i="23313"/>
  <c r="K462" i="23313" l="1"/>
  <c r="L462" i="23313" s="1"/>
  <c r="H462" i="23313"/>
  <c r="L74" i="23313"/>
  <c r="H74" i="23313"/>
  <c r="J74" i="23313"/>
  <c r="H406" i="23313"/>
  <c r="K406" i="23313"/>
  <c r="L406" i="23313" s="1"/>
  <c r="L387" i="23313"/>
  <c r="J387" i="23313"/>
  <c r="H387" i="23313"/>
  <c r="K346" i="23313"/>
  <c r="L346" i="23313" s="1"/>
  <c r="H346" i="23313"/>
  <c r="K341" i="23313"/>
  <c r="L341" i="23313" s="1"/>
  <c r="H341" i="23313"/>
  <c r="H105" i="23313"/>
  <c r="J105" i="23313"/>
  <c r="L105" i="23313"/>
  <c r="J380" i="23313"/>
  <c r="H380" i="23313"/>
  <c r="L375" i="23313"/>
  <c r="H375" i="23313"/>
  <c r="J375" i="23313"/>
  <c r="K366" i="23313"/>
  <c r="L366" i="23313" s="1"/>
  <c r="H366" i="23313"/>
  <c r="L382" i="23313"/>
  <c r="J382" i="23313"/>
  <c r="H382" i="23313"/>
  <c r="L393" i="23313"/>
  <c r="L380" i="23313"/>
  <c r="J393" i="23313"/>
  <c r="H393" i="23313"/>
  <c r="L374" i="23313"/>
  <c r="H374" i="23313"/>
  <c r="J374" i="23313"/>
  <c r="J373" i="23313"/>
  <c r="H373" i="23313"/>
  <c r="L373" i="23313"/>
  <c r="L402" i="23313"/>
  <c r="J402" i="23313"/>
  <c r="H402" i="23313"/>
  <c r="L401" i="23313"/>
  <c r="J401" i="23313"/>
  <c r="H401" i="23313"/>
  <c r="L400" i="23313"/>
  <c r="J400" i="23313"/>
  <c r="H400" i="23313"/>
  <c r="L399" i="23313"/>
  <c r="J399" i="23313"/>
  <c r="H399" i="23313"/>
  <c r="L397" i="23313"/>
  <c r="J397" i="23313"/>
  <c r="H397" i="23313"/>
  <c r="L396" i="23313"/>
  <c r="H396" i="23313"/>
  <c r="J396" i="23313"/>
  <c r="L148" i="23313"/>
  <c r="H148" i="23313"/>
  <c r="L386" i="23313"/>
  <c r="L388" i="23313"/>
  <c r="J386" i="23313"/>
  <c r="H386" i="23313"/>
  <c r="H388" i="23313"/>
  <c r="J388" i="23313"/>
  <c r="K227" i="23313"/>
  <c r="L227" i="23313" s="1"/>
  <c r="J227" i="23313"/>
  <c r="H227" i="23313"/>
  <c r="K225" i="23313"/>
  <c r="L225" i="23313" s="1"/>
  <c r="J225" i="23313"/>
  <c r="H225" i="23313"/>
  <c r="K226" i="23313"/>
  <c r="L226" i="23313" s="1"/>
  <c r="J226" i="23313"/>
  <c r="H226" i="23313"/>
  <c r="K19" i="23313"/>
  <c r="L19" i="23313" s="1"/>
  <c r="J19" i="23313"/>
  <c r="H19" i="23313"/>
  <c r="K20" i="23313"/>
  <c r="L20" i="23313" s="1"/>
  <c r="J20" i="23313"/>
  <c r="H20" i="23313"/>
  <c r="K416" i="23313"/>
  <c r="K351" i="23313"/>
  <c r="L351" i="23313" s="1"/>
  <c r="J351" i="23313"/>
  <c r="H351" i="23313"/>
  <c r="K440" i="23313"/>
  <c r="L440" i="23313" s="1"/>
  <c r="J440" i="23313"/>
  <c r="H440" i="23313"/>
  <c r="K459" i="23313"/>
  <c r="L459" i="23313" s="1"/>
  <c r="J459" i="23313"/>
  <c r="H459" i="23313"/>
  <c r="F305" i="23313"/>
  <c r="K90" i="23313"/>
  <c r="L90" i="23313" s="1"/>
  <c r="J90" i="23313"/>
  <c r="H90" i="23313"/>
  <c r="K162" i="23313"/>
  <c r="L162" i="23313" s="1"/>
  <c r="J162" i="23313"/>
  <c r="H162" i="23313"/>
  <c r="K127" i="23313"/>
  <c r="L127" i="23313" s="1"/>
  <c r="J127" i="23313"/>
  <c r="H127" i="23313"/>
  <c r="K125" i="23313"/>
  <c r="L125" i="23313" s="1"/>
  <c r="J125" i="23313"/>
  <c r="H125" i="23313"/>
  <c r="Q320" i="23313"/>
  <c r="K336" i="23313"/>
  <c r="L336" i="23313" s="1"/>
  <c r="J336" i="23313"/>
  <c r="H336" i="23313"/>
  <c r="K355" i="23313"/>
  <c r="L355" i="23313" s="1"/>
  <c r="J355" i="23313"/>
  <c r="H355" i="23313"/>
  <c r="L416" i="23313" l="1"/>
  <c r="J416" i="23313"/>
  <c r="H416" i="23313"/>
  <c r="K165" i="23313" l="1"/>
  <c r="L165" i="23313" s="1"/>
  <c r="J165" i="23313"/>
  <c r="K166" i="23313"/>
  <c r="L166" i="23313" s="1"/>
  <c r="J166" i="23313"/>
  <c r="H165" i="23313"/>
  <c r="H166" i="23313"/>
  <c r="J57" i="23313" l="1"/>
  <c r="K57" i="23313"/>
  <c r="L57" i="23313" s="1"/>
  <c r="K449" i="23313" l="1"/>
  <c r="L449" i="23313" s="1"/>
  <c r="J449" i="23313"/>
  <c r="H449" i="23313"/>
  <c r="K333" i="23313" l="1"/>
  <c r="L333" i="23313" s="1"/>
  <c r="J333" i="23313"/>
  <c r="H333" i="23313"/>
  <c r="K320" i="23313"/>
  <c r="L320" i="23313" s="1"/>
  <c r="J320" i="23313"/>
  <c r="H320" i="23313"/>
  <c r="K243" i="23313"/>
  <c r="L243" i="23313" s="1"/>
  <c r="J243" i="23313"/>
  <c r="H243" i="23313"/>
  <c r="K224" i="23313"/>
  <c r="L224" i="23313" s="1"/>
  <c r="J224" i="23313"/>
  <c r="H224" i="23313"/>
  <c r="K204" i="23313"/>
  <c r="L204" i="23313" s="1"/>
  <c r="J204" i="23313"/>
  <c r="H204" i="23313"/>
  <c r="K202" i="23313"/>
  <c r="L202" i="23313" s="1"/>
  <c r="J202" i="23313"/>
  <c r="H202" i="23313"/>
  <c r="K151" i="23313"/>
  <c r="L151" i="23313" s="1"/>
  <c r="J151" i="23313"/>
  <c r="H151" i="23313"/>
  <c r="K169" i="23313"/>
  <c r="L169" i="23313" s="1"/>
  <c r="J169" i="23313"/>
  <c r="H169" i="23313"/>
  <c r="K168" i="23313"/>
  <c r="L168" i="23313" s="1"/>
  <c r="J168" i="23313"/>
  <c r="H168" i="23313"/>
  <c r="K167" i="23313"/>
  <c r="L167" i="23313" s="1"/>
  <c r="J167" i="23313"/>
  <c r="H167" i="23313"/>
  <c r="K150" i="23313"/>
  <c r="L150" i="23313" s="1"/>
  <c r="J150" i="23313"/>
  <c r="H150" i="23313"/>
  <c r="K117" i="23313"/>
  <c r="L117" i="23313" s="1"/>
  <c r="J117" i="23313"/>
  <c r="H117" i="23313"/>
  <c r="K96" i="23313"/>
  <c r="L96" i="23313" s="1"/>
  <c r="J96" i="23313"/>
  <c r="H96" i="23313"/>
  <c r="K95" i="23313"/>
  <c r="L95" i="23313" s="1"/>
  <c r="J95" i="23313"/>
  <c r="H95" i="23313"/>
  <c r="K15" i="23313"/>
  <c r="L15" i="23313" s="1"/>
  <c r="J15" i="23313"/>
  <c r="H15" i="23313"/>
  <c r="K56" i="23313"/>
  <c r="L56" i="23313" s="1"/>
  <c r="J56" i="23313"/>
  <c r="H56" i="23313"/>
  <c r="H57" i="23313"/>
  <c r="K195" i="23313" l="1"/>
  <c r="L195" i="23313" s="1"/>
  <c r="J195" i="23313"/>
  <c r="H195" i="23313"/>
  <c r="K413" i="23313" l="1"/>
  <c r="L413" i="23313" s="1"/>
  <c r="J413" i="23313"/>
  <c r="H413" i="23313"/>
  <c r="J72" i="23313"/>
  <c r="J73" i="23313"/>
  <c r="J75" i="23313"/>
  <c r="J77" i="23313"/>
  <c r="J407" i="23313"/>
  <c r="J390" i="23313"/>
  <c r="J419" i="23313" l="1"/>
  <c r="L419" i="23313"/>
  <c r="H419" i="23313"/>
  <c r="J354" i="23313"/>
  <c r="K290" i="23313"/>
  <c r="L290" i="23313" s="1"/>
  <c r="J290" i="23313"/>
  <c r="H290" i="23313"/>
  <c r="K301" i="23313"/>
  <c r="L301" i="23313" s="1"/>
  <c r="J301" i="23313"/>
  <c r="H301" i="23313"/>
  <c r="K300" i="23313"/>
  <c r="L300" i="23313" s="1"/>
  <c r="J300" i="23313"/>
  <c r="H300" i="23313"/>
  <c r="K356" i="23313" l="1"/>
  <c r="L356" i="23313" s="1"/>
  <c r="J356" i="23313"/>
  <c r="H356" i="23313"/>
  <c r="K357" i="23313"/>
  <c r="L357" i="23313" s="1"/>
  <c r="J357" i="23313"/>
  <c r="H357" i="23313"/>
  <c r="K340" i="23313" l="1"/>
  <c r="L340" i="23313" s="1"/>
  <c r="J340" i="23313"/>
  <c r="H340" i="23313"/>
  <c r="K55" i="23313" l="1"/>
  <c r="L55" i="23313" s="1"/>
  <c r="J55" i="23313"/>
  <c r="H55" i="23313"/>
  <c r="K312" i="23313"/>
  <c r="L312" i="23313" s="1"/>
  <c r="J312" i="23313"/>
  <c r="H312" i="23313"/>
  <c r="J309" i="23313"/>
  <c r="K308" i="23313"/>
  <c r="L308" i="23313" s="1"/>
  <c r="J308" i="23313"/>
  <c r="H308" i="23313"/>
  <c r="K311" i="23313"/>
  <c r="L311" i="23313" s="1"/>
  <c r="J311" i="23313"/>
  <c r="H311" i="23313"/>
  <c r="J436" i="23313" l="1"/>
  <c r="J439" i="23313"/>
  <c r="J441" i="23313"/>
  <c r="J442" i="23313"/>
  <c r="J443" i="23313"/>
  <c r="J444" i="23313"/>
  <c r="J445" i="23313"/>
  <c r="J452" i="23313"/>
  <c r="J453" i="23313"/>
  <c r="J456" i="23313"/>
  <c r="J465" i="23313"/>
  <c r="J468" i="23313"/>
  <c r="J450" i="23313"/>
  <c r="K242" i="23313"/>
  <c r="L242" i="23313" s="1"/>
  <c r="K328" i="23313" l="1"/>
  <c r="L328" i="23313" s="1"/>
  <c r="J328" i="23313"/>
  <c r="H328" i="23313"/>
  <c r="K451" i="23313"/>
  <c r="J451" i="23313"/>
  <c r="H451" i="23313" l="1"/>
  <c r="L451" i="23313"/>
  <c r="K350" i="23313"/>
  <c r="L350" i="23313" s="1"/>
  <c r="J350" i="23313"/>
  <c r="H350" i="23313"/>
  <c r="K442" i="23313"/>
  <c r="L442" i="23313" s="1"/>
  <c r="H442" i="23313"/>
  <c r="K441" i="23313"/>
  <c r="L441" i="23313" s="1"/>
  <c r="H441" i="23313"/>
  <c r="J398" i="23313"/>
  <c r="J384" i="23313"/>
  <c r="J381" i="23313"/>
  <c r="J379" i="23313"/>
  <c r="K334" i="23313"/>
  <c r="L334" i="23313" s="1"/>
  <c r="J334" i="23313"/>
  <c r="H334" i="23313"/>
  <c r="K309" i="23313"/>
  <c r="L309" i="23313" s="1"/>
  <c r="H309" i="23313"/>
  <c r="K307" i="23313"/>
  <c r="L307" i="23313" s="1"/>
  <c r="J307" i="23313"/>
  <c r="H307" i="23313"/>
  <c r="K306" i="23313"/>
  <c r="L306" i="23313" s="1"/>
  <c r="J306" i="23313"/>
  <c r="H306" i="23313"/>
  <c r="K305" i="23313"/>
  <c r="L305" i="23313" s="1"/>
  <c r="J305" i="23313"/>
  <c r="H305" i="23313"/>
  <c r="K238" i="23313"/>
  <c r="L238" i="23313" s="1"/>
  <c r="J238" i="23313"/>
  <c r="H238" i="23313"/>
  <c r="K302" i="23313"/>
  <c r="L302" i="23313" s="1"/>
  <c r="J302" i="23313"/>
  <c r="H302" i="23313"/>
  <c r="J242" i="23313"/>
  <c r="H242" i="23313"/>
  <c r="K241" i="23313"/>
  <c r="L241" i="23313" s="1"/>
  <c r="J241" i="23313"/>
  <c r="H241" i="23313"/>
  <c r="K297" i="23313"/>
  <c r="L297" i="23313" s="1"/>
  <c r="J297" i="23313"/>
  <c r="H297" i="23313"/>
  <c r="K294" i="23313"/>
  <c r="L294" i="23313" s="1"/>
  <c r="J294" i="23313"/>
  <c r="H294" i="23313"/>
  <c r="K293" i="23313"/>
  <c r="L293" i="23313" s="1"/>
  <c r="J293" i="23313"/>
  <c r="H293" i="23313"/>
  <c r="K292" i="23313"/>
  <c r="H292" i="23313"/>
  <c r="K291" i="23313"/>
  <c r="L291" i="23313" s="1"/>
  <c r="J291" i="23313"/>
  <c r="H291" i="23313"/>
  <c r="K266" i="23313"/>
  <c r="L266" i="23313" s="1"/>
  <c r="J266" i="23313"/>
  <c r="H266" i="23313"/>
  <c r="K265" i="23313"/>
  <c r="K262" i="23313"/>
  <c r="L262" i="23313" s="1"/>
  <c r="J262" i="23313"/>
  <c r="H262" i="23313"/>
  <c r="H258" i="23313"/>
  <c r="K259" i="23313"/>
  <c r="L259" i="23313" s="1"/>
  <c r="J259" i="23313"/>
  <c r="H259" i="23313"/>
  <c r="K258" i="23313"/>
  <c r="K256" i="23313"/>
  <c r="L256" i="23313" s="1"/>
  <c r="J256" i="23313"/>
  <c r="H256" i="23313"/>
  <c r="K253" i="23313"/>
  <c r="L253" i="23313" s="1"/>
  <c r="J253" i="23313"/>
  <c r="H253" i="23313"/>
  <c r="K252" i="23313"/>
  <c r="K251" i="23313"/>
  <c r="L251" i="23313" s="1"/>
  <c r="J251" i="23313"/>
  <c r="H251" i="23313"/>
  <c r="K319" i="23313"/>
  <c r="L319" i="23313" s="1"/>
  <c r="J319" i="23313"/>
  <c r="H319" i="23313"/>
  <c r="H325" i="23313"/>
  <c r="K248" i="23313"/>
  <c r="L248" i="23313" s="1"/>
  <c r="J248" i="23313"/>
  <c r="H248" i="23313"/>
  <c r="K247" i="23313"/>
  <c r="K246" i="23313"/>
  <c r="L246" i="23313" s="1"/>
  <c r="J246" i="23313"/>
  <c r="H246" i="23313"/>
  <c r="K203" i="23313"/>
  <c r="L203" i="23313" s="1"/>
  <c r="J203" i="23313"/>
  <c r="H203" i="23313"/>
  <c r="K199" i="23313"/>
  <c r="L199" i="23313" s="1"/>
  <c r="J199" i="23313"/>
  <c r="H199" i="23313"/>
  <c r="K222" i="23313"/>
  <c r="L222" i="23313" s="1"/>
  <c r="J222" i="23313"/>
  <c r="H222" i="23313"/>
  <c r="K223" i="23313"/>
  <c r="L223" i="23313" s="1"/>
  <c r="J223" i="23313"/>
  <c r="H223" i="23313"/>
  <c r="J239" i="23313"/>
  <c r="K240" i="23313"/>
  <c r="L240" i="23313" s="1"/>
  <c r="J240" i="23313"/>
  <c r="H240" i="23313"/>
  <c r="K239" i="23313"/>
  <c r="K196" i="23313"/>
  <c r="L196" i="23313" s="1"/>
  <c r="J196" i="23313"/>
  <c r="H196" i="23313"/>
  <c r="K188" i="23313"/>
  <c r="L188" i="23313" s="1"/>
  <c r="J188" i="23313"/>
  <c r="H188" i="23313"/>
  <c r="K170" i="23313"/>
  <c r="L170" i="23313" s="1"/>
  <c r="J170" i="23313"/>
  <c r="H170" i="23313"/>
  <c r="K120" i="23313"/>
  <c r="L120" i="23313" s="1"/>
  <c r="J120" i="23313"/>
  <c r="H120" i="23313"/>
  <c r="G77" i="23313"/>
  <c r="K407" i="23313"/>
  <c r="L407" i="23313" s="1"/>
  <c r="K383" i="23313"/>
  <c r="K381" i="23313"/>
  <c r="H383" i="23313" l="1"/>
  <c r="J383" i="23313"/>
  <c r="J409" i="23313" s="1"/>
  <c r="L252" i="23313"/>
  <c r="L247" i="23313"/>
  <c r="L265" i="23313"/>
  <c r="L292" i="23313"/>
  <c r="J292" i="23313"/>
  <c r="H265" i="23313"/>
  <c r="J265" i="23313"/>
  <c r="L258" i="23313"/>
  <c r="J258" i="23313"/>
  <c r="J252" i="23313"/>
  <c r="H252" i="23313"/>
  <c r="H247" i="23313"/>
  <c r="J247" i="23313"/>
  <c r="L239" i="23313"/>
  <c r="H239" i="23313"/>
  <c r="H407" i="23313"/>
  <c r="H381" i="23313"/>
  <c r="L381" i="23313"/>
  <c r="L383" i="23313"/>
  <c r="H468" i="23313"/>
  <c r="K468" i="23313"/>
  <c r="L468" i="23313" s="1"/>
  <c r="K77" i="23313" l="1"/>
  <c r="L77" i="23313" s="1"/>
  <c r="K445" i="23313"/>
  <c r="L445" i="23313" s="1"/>
  <c r="H445" i="23313"/>
  <c r="K116" i="23313"/>
  <c r="L116" i="23313" s="1"/>
  <c r="J116" i="23313"/>
  <c r="H116" i="23313"/>
  <c r="K78" i="23313"/>
  <c r="L78" i="23313" s="1"/>
  <c r="H78" i="23313"/>
  <c r="K60" i="23313"/>
  <c r="L60" i="23313" s="1"/>
  <c r="J60" i="23313"/>
  <c r="H60" i="23313"/>
  <c r="H77" i="23313" l="1"/>
  <c r="K22" i="23313" l="1"/>
  <c r="L22" i="23313" s="1"/>
  <c r="J22" i="23313"/>
  <c r="H22" i="23313"/>
  <c r="H66" i="23313" l="1"/>
  <c r="J66" i="23313"/>
  <c r="K66" i="23313"/>
  <c r="L66" i="23313" s="1"/>
  <c r="K50" i="23313"/>
  <c r="L50" i="23313" s="1"/>
  <c r="J50" i="23313"/>
  <c r="H50" i="23313"/>
  <c r="K439" i="23313"/>
  <c r="L439" i="23313" s="1"/>
  <c r="H439" i="23313"/>
  <c r="K49" i="23313"/>
  <c r="L49" i="23313" s="1"/>
  <c r="J49" i="23313"/>
  <c r="H49" i="23313"/>
  <c r="K339" i="23313"/>
  <c r="L339" i="23313" s="1"/>
  <c r="J339" i="23313"/>
  <c r="H339" i="23313"/>
  <c r="K64" i="23313" l="1"/>
  <c r="L64" i="23313" s="1"/>
  <c r="J64" i="23313"/>
  <c r="H64" i="23313"/>
  <c r="K325" i="23313"/>
  <c r="L325" i="23313" s="1"/>
  <c r="J325" i="23313"/>
  <c r="K73" i="23313"/>
  <c r="L73" i="23313" s="1"/>
  <c r="H73" i="23313"/>
  <c r="K124" i="23313"/>
  <c r="L124" i="23313" s="1"/>
  <c r="J124" i="23313"/>
  <c r="H124" i="23313"/>
  <c r="K354" i="23313"/>
  <c r="L354" i="23313" s="1"/>
  <c r="H354" i="23313"/>
  <c r="H236" i="23313" l="1"/>
  <c r="H314" i="23313" s="1"/>
  <c r="K24" i="23313"/>
  <c r="L24" i="23313" s="1"/>
  <c r="J24" i="23313"/>
  <c r="H24" i="23313"/>
  <c r="K25" i="23313"/>
  <c r="L25" i="23313" s="1"/>
  <c r="J25" i="23313"/>
  <c r="H25" i="23313"/>
  <c r="K443" i="23313" l="1"/>
  <c r="L443" i="23313" s="1"/>
  <c r="H443" i="23313"/>
  <c r="K456" i="23313"/>
  <c r="L456" i="23313" s="1"/>
  <c r="H456" i="23313"/>
  <c r="K431" i="23313"/>
  <c r="K453" i="23313"/>
  <c r="L453" i="23313" s="1"/>
  <c r="H453" i="23313"/>
  <c r="K452" i="23313"/>
  <c r="L452" i="23313" s="1"/>
  <c r="B7" i="23313"/>
  <c r="K236" i="23313" l="1"/>
  <c r="L236" i="23313" s="1"/>
  <c r="L314" i="23313" s="1"/>
  <c r="J236" i="23313"/>
  <c r="J314" i="23313" s="1"/>
  <c r="K444" i="23313" l="1"/>
  <c r="L444" i="23313" s="1"/>
  <c r="H444" i="23313"/>
  <c r="F3" i="23312" l="1"/>
  <c r="K94" i="23313" l="1"/>
  <c r="L94" i="23313" s="1"/>
  <c r="J94" i="23313"/>
  <c r="H94" i="23313"/>
  <c r="J363" i="23313" l="1"/>
  <c r="K363" i="23313"/>
  <c r="L363" i="23313" s="1"/>
  <c r="H363" i="23313"/>
  <c r="K465" i="23313" l="1"/>
  <c r="L465" i="23313" s="1"/>
  <c r="H465" i="23313"/>
  <c r="K51" i="23313" l="1"/>
  <c r="L51" i="23313" s="1"/>
  <c r="J51" i="23313"/>
  <c r="H51" i="23313"/>
  <c r="H384" i="23313" l="1"/>
  <c r="H390" i="23313"/>
  <c r="H398" i="23313"/>
  <c r="H379" i="23313"/>
  <c r="J335" i="23313"/>
  <c r="J362" i="23313"/>
  <c r="J318" i="23313"/>
  <c r="H335" i="23313"/>
  <c r="H362" i="23313"/>
  <c r="H318" i="23313"/>
  <c r="K23" i="23313"/>
  <c r="L23" i="23313" s="1"/>
  <c r="J23" i="23313"/>
  <c r="H23" i="23313"/>
  <c r="K18" i="23313"/>
  <c r="L18" i="23313" s="1"/>
  <c r="J18" i="23313"/>
  <c r="H18" i="23313"/>
  <c r="H369" i="23313" l="1"/>
  <c r="H409" i="23313"/>
  <c r="J369" i="23313"/>
  <c r="H450" i="23313"/>
  <c r="K450" i="23313"/>
  <c r="L450" i="23313" s="1"/>
  <c r="K379" i="23313" l="1"/>
  <c r="L379" i="23313" s="1"/>
  <c r="K384" i="23313"/>
  <c r="L384" i="23313" s="1"/>
  <c r="L431" i="23313"/>
  <c r="L433" i="23313" s="1"/>
  <c r="J431" i="23313"/>
  <c r="H431" i="23313"/>
  <c r="H433" i="23313" s="1"/>
  <c r="K75" i="23313"/>
  <c r="L75" i="23313" s="1"/>
  <c r="H75" i="23313"/>
  <c r="K424" i="23313"/>
  <c r="L424" i="23313" s="1"/>
  <c r="J424" i="23313"/>
  <c r="H424" i="23313"/>
  <c r="K46" i="23313"/>
  <c r="L46" i="23313" s="1"/>
  <c r="J46" i="23313"/>
  <c r="H46" i="23313"/>
  <c r="K362" i="23313" l="1"/>
  <c r="L362" i="23313" s="1"/>
  <c r="K436" i="23313"/>
  <c r="L436" i="23313" s="1"/>
  <c r="J470" i="23313"/>
  <c r="H436" i="23313"/>
  <c r="H470" i="23313" s="1"/>
  <c r="K398" i="23313"/>
  <c r="L398" i="23313" s="1"/>
  <c r="J99" i="23313"/>
  <c r="K100" i="23313"/>
  <c r="L100" i="23313" s="1"/>
  <c r="J100" i="23313"/>
  <c r="H100" i="23313"/>
  <c r="K99" i="23313"/>
  <c r="L99" i="23313" s="1"/>
  <c r="H99" i="23313"/>
  <c r="H65" i="23313"/>
  <c r="J65" i="23313"/>
  <c r="K65" i="23313"/>
  <c r="L65" i="23313" s="1"/>
  <c r="K16" i="23313"/>
  <c r="L16" i="23313" s="1"/>
  <c r="J16" i="23313"/>
  <c r="H16" i="23313"/>
  <c r="J39" i="23313" l="1"/>
  <c r="L470" i="23313"/>
  <c r="L39" i="23313" s="1"/>
  <c r="H72" i="23313"/>
  <c r="H39" i="23313"/>
  <c r="B39" i="23313"/>
  <c r="B38" i="23313"/>
  <c r="B37" i="23313"/>
  <c r="B36" i="23313"/>
  <c r="B35" i="23313"/>
  <c r="B34" i="23313"/>
  <c r="B33" i="23313"/>
  <c r="B32" i="23313"/>
  <c r="B31" i="23313"/>
  <c r="B30" i="23313"/>
  <c r="J433" i="23313"/>
  <c r="K423" i="23313"/>
  <c r="L423" i="23313" s="1"/>
  <c r="J423" i="23313"/>
  <c r="H423" i="23313"/>
  <c r="K422" i="23313"/>
  <c r="L422" i="23313" s="1"/>
  <c r="J422" i="23313"/>
  <c r="H422" i="23313"/>
  <c r="K390" i="23313"/>
  <c r="L390" i="23313" s="1"/>
  <c r="L409" i="23313" s="1"/>
  <c r="K335" i="23313"/>
  <c r="L335" i="23313" s="1"/>
  <c r="K318" i="23313"/>
  <c r="L318" i="23313" s="1"/>
  <c r="K85" i="23313"/>
  <c r="L85" i="23313" s="1"/>
  <c r="J85" i="23313"/>
  <c r="H85" i="23313"/>
  <c r="K97" i="23313"/>
  <c r="L97" i="23313" s="1"/>
  <c r="J97" i="23313"/>
  <c r="H97" i="23313"/>
  <c r="K48" i="23313"/>
  <c r="L48" i="23313" s="1"/>
  <c r="J48" i="23313"/>
  <c r="H48" i="23313"/>
  <c r="K79" i="23313"/>
  <c r="L79" i="23313" s="1"/>
  <c r="H79" i="23313"/>
  <c r="K72" i="23313"/>
  <c r="L72" i="23313" s="1"/>
  <c r="H45" i="23313"/>
  <c r="J45" i="23313"/>
  <c r="K45" i="23313"/>
  <c r="L45" i="23313" s="1"/>
  <c r="H47" i="23313"/>
  <c r="J47" i="23313"/>
  <c r="K47" i="23313"/>
  <c r="L47" i="23313" s="1"/>
  <c r="L68" i="23313" l="1"/>
  <c r="J68" i="23313"/>
  <c r="H68" i="23313"/>
  <c r="L369" i="23313"/>
  <c r="L34" i="23313" s="1"/>
  <c r="H190" i="23313"/>
  <c r="H32" i="23313" s="1"/>
  <c r="J190" i="23313"/>
  <c r="J32" i="23313" s="1"/>
  <c r="L190" i="23313"/>
  <c r="L32" i="23313" s="1"/>
  <c r="L35" i="23313"/>
  <c r="J81" i="23313"/>
  <c r="H35" i="23313"/>
  <c r="H34" i="23313"/>
  <c r="J34" i="23313"/>
  <c r="J35" i="23313"/>
  <c r="H428" i="23313"/>
  <c r="L428" i="23313"/>
  <c r="J428" i="23313"/>
  <c r="J33" i="23313"/>
  <c r="H33" i="23313"/>
  <c r="H81" i="23313"/>
  <c r="L81" i="23313"/>
  <c r="L31" i="23313" s="1"/>
  <c r="L38" i="23313" l="1"/>
  <c r="H38" i="23313"/>
  <c r="J38" i="23313"/>
  <c r="K17" i="23313" l="1"/>
  <c r="L17" i="23313" s="1"/>
  <c r="J17" i="23313"/>
  <c r="H17" i="23313"/>
  <c r="K14" i="23313"/>
  <c r="L14" i="23313" s="1"/>
  <c r="J14" i="23313"/>
  <c r="H14" i="23313"/>
  <c r="K13" i="23313"/>
  <c r="L13" i="23313" s="1"/>
  <c r="J13" i="23313"/>
  <c r="H13" i="23313"/>
  <c r="B8" i="23313"/>
  <c r="J27" i="23313" l="1"/>
  <c r="H27" i="23313"/>
  <c r="L27" i="23313"/>
  <c r="J31" i="23313"/>
  <c r="L30" i="23313"/>
  <c r="H31" i="23313"/>
  <c r="L7" i="23313" l="1"/>
  <c r="H7" i="23313"/>
  <c r="J7" i="23313"/>
  <c r="J30" i="23313"/>
  <c r="H30" i="23313"/>
  <c r="J36" i="23313"/>
  <c r="H36" i="23313"/>
  <c r="L36" i="23313"/>
  <c r="L37" i="23313" l="1"/>
  <c r="J37" i="23313" l="1"/>
  <c r="J40" i="23313" s="1"/>
  <c r="J473" i="23313"/>
  <c r="H473" i="23313"/>
  <c r="H37" i="23313"/>
  <c r="H40" i="23313" l="1"/>
  <c r="J8" i="23313"/>
  <c r="J10" i="23313" s="1"/>
  <c r="J10" i="23309" l="1"/>
  <c r="L15" i="23309" s="1"/>
  <c r="J8" i="23309"/>
  <c r="L8" i="23309" s="1"/>
  <c r="H8" i="23313"/>
  <c r="H10" i="23313" s="1"/>
  <c r="L33" i="23313"/>
  <c r="L40" i="23313" s="1"/>
  <c r="L473" i="23313"/>
  <c r="L13" i="23309" l="1"/>
  <c r="L14" i="23309"/>
  <c r="L16" i="23309" s="1"/>
  <c r="L12" i="23309"/>
  <c r="H10" i="23309"/>
  <c r="H7" i="23309"/>
  <c r="L7" i="23309" s="1"/>
  <c r="L10" i="23309" s="1"/>
  <c r="L8" i="23313"/>
  <c r="L10" i="23313" s="1"/>
  <c r="L17" i="23309" l="1"/>
  <c r="L18" i="23309"/>
  <c r="L20" i="23309"/>
  <c r="L19" i="23309"/>
  <c r="L23" i="23309" l="1"/>
  <c r="L26" i="23309" s="1"/>
  <c r="D8" i="23312" l="1"/>
  <c r="D7" i="23312" s="1"/>
</calcChain>
</file>

<file path=xl/sharedStrings.xml><?xml version="1.0" encoding="utf-8"?>
<sst xmlns="http://schemas.openxmlformats.org/spreadsheetml/2006/main" count="1662" uniqueCount="668">
  <si>
    <t>Unit Price</t>
  </si>
  <si>
    <t>Amount</t>
  </si>
  <si>
    <t>Material</t>
    <phoneticPr fontId="2" type="noConversion"/>
  </si>
  <si>
    <t>Total</t>
    <phoneticPr fontId="2" type="noConversion"/>
  </si>
  <si>
    <t>Description</t>
    <phoneticPr fontId="2" type="noConversion"/>
  </si>
  <si>
    <t>Size</t>
    <phoneticPr fontId="2" type="noConversion"/>
  </si>
  <si>
    <t>Unit</t>
    <phoneticPr fontId="2" type="noConversion"/>
  </si>
  <si>
    <t>Q'ty</t>
    <phoneticPr fontId="2" type="noConversion"/>
  </si>
  <si>
    <t>Remark</t>
    <phoneticPr fontId="2" type="noConversion"/>
  </si>
  <si>
    <t>Labour</t>
    <phoneticPr fontId="2" type="noConversion"/>
  </si>
  <si>
    <t>No</t>
    <phoneticPr fontId="2" type="noConversion"/>
  </si>
  <si>
    <t>M2</t>
  </si>
  <si>
    <t>-</t>
    <phoneticPr fontId="2" type="noConversion"/>
  </si>
  <si>
    <t>SUB-TOTAL</t>
  </si>
  <si>
    <t>*</t>
    <phoneticPr fontId="2" type="noConversion"/>
  </si>
  <si>
    <t>1.</t>
    <phoneticPr fontId="2" type="noConversion"/>
  </si>
  <si>
    <t>2.</t>
  </si>
  <si>
    <t>3.</t>
  </si>
  <si>
    <t>4.</t>
  </si>
  <si>
    <t>5.</t>
  </si>
  <si>
    <t>6.</t>
  </si>
  <si>
    <t>9.</t>
  </si>
  <si>
    <t>A.</t>
    <phoneticPr fontId="2" type="noConversion"/>
  </si>
  <si>
    <t>*</t>
  </si>
  <si>
    <t>소운반</t>
    <phoneticPr fontId="21" type="noConversion"/>
  </si>
  <si>
    <t>B.</t>
    <phoneticPr fontId="2" type="noConversion"/>
  </si>
  <si>
    <t>10.</t>
  </si>
  <si>
    <t>11.</t>
  </si>
  <si>
    <t>1.</t>
    <phoneticPr fontId="21" type="noConversion"/>
  </si>
  <si>
    <t>2.</t>
    <phoneticPr fontId="21" type="noConversion"/>
  </si>
  <si>
    <t>3.</t>
    <phoneticPr fontId="21" type="noConversion"/>
  </si>
  <si>
    <t>4.</t>
    <phoneticPr fontId="21" type="noConversion"/>
  </si>
  <si>
    <t>5.</t>
    <phoneticPr fontId="21" type="noConversion"/>
  </si>
  <si>
    <t>6.</t>
    <phoneticPr fontId="21" type="noConversion"/>
  </si>
  <si>
    <t>9.</t>
    <phoneticPr fontId="21" type="noConversion"/>
  </si>
  <si>
    <t>소   계</t>
    <phoneticPr fontId="2" type="noConversion"/>
  </si>
  <si>
    <t>식</t>
    <phoneticPr fontId="2" type="noConversion"/>
  </si>
  <si>
    <t>Spec.</t>
    <phoneticPr fontId="2" type="noConversion"/>
  </si>
  <si>
    <t>EA</t>
    <phoneticPr fontId="21" type="noConversion"/>
  </si>
  <si>
    <t>M</t>
    <phoneticPr fontId="21" type="noConversion"/>
  </si>
  <si>
    <t>*</t>
    <phoneticPr fontId="21" type="noConversion"/>
  </si>
  <si>
    <t>M2</t>
    <phoneticPr fontId="21" type="noConversion"/>
  </si>
  <si>
    <t>SET</t>
    <phoneticPr fontId="21" type="noConversion"/>
  </si>
  <si>
    <t>10.</t>
    <phoneticPr fontId="21" type="noConversion"/>
  </si>
  <si>
    <t>-</t>
    <phoneticPr fontId="21" type="noConversion"/>
  </si>
  <si>
    <t>A.</t>
    <phoneticPr fontId="2" type="noConversion"/>
  </si>
  <si>
    <t>11.</t>
    <phoneticPr fontId="21" type="noConversion"/>
  </si>
  <si>
    <t>12.</t>
  </si>
  <si>
    <t>12.</t>
    <phoneticPr fontId="21" type="noConversion"/>
  </si>
  <si>
    <t>참고사항</t>
  </si>
  <si>
    <t>7.</t>
    <phoneticPr fontId="2" type="noConversion"/>
  </si>
  <si>
    <t xml:space="preserve"> </t>
    <phoneticPr fontId="48" type="noConversion"/>
  </si>
  <si>
    <t>1.</t>
    <phoneticPr fontId="101" type="noConversion"/>
  </si>
  <si>
    <t xml:space="preserve">    ◈ 비  고 (REMARK)</t>
    <phoneticPr fontId="2" type="noConversion"/>
  </si>
  <si>
    <t>)</t>
    <phoneticPr fontId="101" type="noConversion"/>
  </si>
  <si>
    <t>(</t>
    <phoneticPr fontId="101" type="noConversion"/>
  </si>
  <si>
    <t>一일금</t>
    <phoneticPr fontId="2" type="noConversion"/>
  </si>
  <si>
    <t xml:space="preserve">金    額(AMOUNT) : </t>
    <phoneticPr fontId="106" type="noConversion"/>
  </si>
  <si>
    <t xml:space="preserve">工事名(PROJECT) : </t>
    <phoneticPr fontId="106" type="noConversion"/>
  </si>
  <si>
    <t>견  적  서</t>
    <phoneticPr fontId="2" type="noConversion"/>
  </si>
  <si>
    <t>Material</t>
    <phoneticPr fontId="2" type="noConversion"/>
  </si>
  <si>
    <t>Labour</t>
    <phoneticPr fontId="2" type="noConversion"/>
  </si>
  <si>
    <t>Total</t>
    <phoneticPr fontId="2" type="noConversion"/>
  </si>
  <si>
    <t>직영</t>
    <phoneticPr fontId="2" type="noConversion"/>
  </si>
  <si>
    <t>가설</t>
    <phoneticPr fontId="2" type="noConversion"/>
  </si>
  <si>
    <t>철거</t>
    <phoneticPr fontId="2" type="noConversion"/>
  </si>
  <si>
    <t>철거</t>
    <phoneticPr fontId="2" type="noConversion"/>
  </si>
  <si>
    <t>타일 공사</t>
    <phoneticPr fontId="2" type="noConversion"/>
  </si>
  <si>
    <t>도배 공사</t>
    <phoneticPr fontId="2" type="noConversion"/>
  </si>
  <si>
    <t>도장 공사</t>
    <phoneticPr fontId="2" type="noConversion"/>
  </si>
  <si>
    <t>PY</t>
    <phoneticPr fontId="21" type="noConversion"/>
  </si>
  <si>
    <t>TOTAL</t>
    <phoneticPr fontId="21" type="noConversion"/>
  </si>
  <si>
    <t>현장보양 및 현장 정리</t>
    <phoneticPr fontId="21" type="noConversion"/>
  </si>
  <si>
    <t>대</t>
    <phoneticPr fontId="21" type="noConversion"/>
  </si>
  <si>
    <t>가설공사</t>
    <phoneticPr fontId="2" type="noConversion"/>
  </si>
  <si>
    <t>식</t>
    <phoneticPr fontId="21" type="noConversion"/>
  </si>
  <si>
    <t>개소</t>
    <phoneticPr fontId="21" type="noConversion"/>
  </si>
  <si>
    <t>허가</t>
    <phoneticPr fontId="2" type="noConversion"/>
  </si>
  <si>
    <t>인터폰</t>
    <phoneticPr fontId="21" type="noConversion"/>
  </si>
  <si>
    <t>입주청소</t>
    <phoneticPr fontId="2" type="noConversion"/>
  </si>
  <si>
    <t>입주청소</t>
    <phoneticPr fontId="21" type="noConversion"/>
  </si>
  <si>
    <t>폐기물</t>
    <phoneticPr fontId="2" type="noConversion"/>
  </si>
  <si>
    <t>페기물 반출</t>
    <phoneticPr fontId="21" type="noConversion"/>
  </si>
  <si>
    <t>1TON</t>
    <phoneticPr fontId="21" type="noConversion"/>
  </si>
  <si>
    <t>공사동의서 및 행위허가</t>
    <phoneticPr fontId="21" type="noConversion"/>
  </si>
  <si>
    <t>화장실 철거</t>
    <phoneticPr fontId="21" type="noConversion"/>
  </si>
  <si>
    <t>본 철거</t>
    <phoneticPr fontId="2" type="noConversion"/>
  </si>
  <si>
    <t>마루 철거</t>
    <phoneticPr fontId="2" type="noConversion"/>
  </si>
  <si>
    <t>화장실 방수 공사</t>
    <phoneticPr fontId="21" type="noConversion"/>
  </si>
  <si>
    <t>설비</t>
    <phoneticPr fontId="21" type="noConversion"/>
  </si>
  <si>
    <t>철거 / 설비 공사</t>
    <phoneticPr fontId="2" type="noConversion"/>
  </si>
  <si>
    <t>필름 공사</t>
    <phoneticPr fontId="2" type="noConversion"/>
  </si>
  <si>
    <t>필름 공사</t>
    <phoneticPr fontId="21" type="noConversion"/>
  </si>
  <si>
    <t>PL창호</t>
    <phoneticPr fontId="2" type="noConversion"/>
  </si>
  <si>
    <t>직접공사비 계</t>
    <phoneticPr fontId="21" type="noConversion"/>
  </si>
  <si>
    <t>인테리어 공사</t>
    <phoneticPr fontId="2" type="noConversion"/>
  </si>
  <si>
    <t>가구 공사</t>
    <phoneticPr fontId="2" type="noConversion"/>
  </si>
  <si>
    <t>수전</t>
    <phoneticPr fontId="2" type="noConversion"/>
  </si>
  <si>
    <t>자</t>
    <phoneticPr fontId="21" type="noConversion"/>
  </si>
  <si>
    <t>전기 공사</t>
    <phoneticPr fontId="2" type="noConversion"/>
  </si>
  <si>
    <t>조명 및 전열</t>
    <phoneticPr fontId="21" type="noConversion"/>
  </si>
  <si>
    <t>간접 조명</t>
    <phoneticPr fontId="2" type="noConversion"/>
  </si>
  <si>
    <t>전선 입선 라인</t>
    <phoneticPr fontId="2" type="noConversion"/>
  </si>
  <si>
    <t>위생기기</t>
    <phoneticPr fontId="2" type="noConversion"/>
  </si>
  <si>
    <t>환풍기</t>
    <phoneticPr fontId="2" type="noConversion"/>
  </si>
  <si>
    <t>양변기</t>
    <phoneticPr fontId="2" type="noConversion"/>
  </si>
  <si>
    <t>화장실 공사</t>
    <phoneticPr fontId="2" type="noConversion"/>
  </si>
  <si>
    <t>거실 화장실</t>
    <phoneticPr fontId="21" type="noConversion"/>
  </si>
  <si>
    <t>Product &amp; Size</t>
    <phoneticPr fontId="2" type="noConversion"/>
  </si>
  <si>
    <t>샤워 수전</t>
    <phoneticPr fontId="2" type="noConversion"/>
  </si>
  <si>
    <t>수건 걸이</t>
    <phoneticPr fontId="2" type="noConversion"/>
  </si>
  <si>
    <t>휴지 걸이</t>
    <phoneticPr fontId="2" type="noConversion"/>
  </si>
  <si>
    <t>화장실 타일</t>
    <phoneticPr fontId="2" type="noConversion"/>
  </si>
  <si>
    <t>부자재</t>
    <phoneticPr fontId="2" type="noConversion"/>
  </si>
  <si>
    <t>현관 타일</t>
    <phoneticPr fontId="2" type="noConversion"/>
  </si>
  <si>
    <t>현관 바닥</t>
    <phoneticPr fontId="2" type="noConversion"/>
  </si>
  <si>
    <t>600*1200</t>
    <phoneticPr fontId="21" type="noConversion"/>
  </si>
  <si>
    <t>마루 공사</t>
    <phoneticPr fontId="2" type="noConversion"/>
  </si>
  <si>
    <t>실크 도배</t>
    <phoneticPr fontId="21" type="noConversion"/>
  </si>
  <si>
    <t>도배 퍼티</t>
    <phoneticPr fontId="21" type="noConversion"/>
  </si>
  <si>
    <t>탄성 코트</t>
    <phoneticPr fontId="21" type="noConversion"/>
  </si>
  <si>
    <t>목공사</t>
    <phoneticPr fontId="21" type="noConversion"/>
  </si>
  <si>
    <t>먹 놓기</t>
    <phoneticPr fontId="2" type="noConversion"/>
  </si>
  <si>
    <t>거실 수직, 수평 및 벽체</t>
    <phoneticPr fontId="21" type="noConversion"/>
  </si>
  <si>
    <t>9.5T 석고보드 1PLY</t>
    <phoneticPr fontId="21" type="noConversion"/>
  </si>
  <si>
    <t>벽체 공사</t>
    <phoneticPr fontId="2" type="noConversion"/>
  </si>
  <si>
    <t>벽체 골조 공사</t>
    <phoneticPr fontId="2" type="noConversion"/>
  </si>
  <si>
    <t>각 방</t>
    <phoneticPr fontId="21" type="noConversion"/>
  </si>
  <si>
    <t>간접공사비 계</t>
    <phoneticPr fontId="21" type="noConversion"/>
  </si>
  <si>
    <t>공사비 계</t>
    <phoneticPr fontId="2" type="noConversion"/>
  </si>
  <si>
    <t>Location &amp; Spec.</t>
    <phoneticPr fontId="2" type="noConversion"/>
  </si>
  <si>
    <t>인</t>
    <phoneticPr fontId="21" type="noConversion"/>
  </si>
  <si>
    <t>별도</t>
    <phoneticPr fontId="21" type="noConversion"/>
  </si>
  <si>
    <t>S.M.C</t>
    <phoneticPr fontId="2" type="noConversion"/>
  </si>
  <si>
    <t>유가</t>
    <phoneticPr fontId="21" type="noConversion"/>
  </si>
  <si>
    <t>절사</t>
    <phoneticPr fontId="21" type="noConversion"/>
  </si>
  <si>
    <t>타일 철거</t>
    <phoneticPr fontId="21" type="noConversion"/>
  </si>
  <si>
    <t>150*150 S150SS 도무스</t>
    <phoneticPr fontId="21" type="noConversion"/>
  </si>
  <si>
    <t>견적 외 별도</t>
    <phoneticPr fontId="21" type="noConversion"/>
  </si>
  <si>
    <t>견적외 별도</t>
    <phoneticPr fontId="21" type="noConversion"/>
  </si>
  <si>
    <t>공과잡비</t>
    <phoneticPr fontId="21" type="noConversion"/>
  </si>
  <si>
    <t>기업이윤</t>
    <phoneticPr fontId="21" type="noConversion"/>
  </si>
  <si>
    <t>도어 / 도어틀</t>
    <phoneticPr fontId="21" type="noConversion"/>
  </si>
  <si>
    <t>M2</t>
    <phoneticPr fontId="21" type="noConversion"/>
  </si>
  <si>
    <t>스위치 콘센트 시공</t>
    <phoneticPr fontId="21" type="noConversion"/>
  </si>
  <si>
    <t>식</t>
    <phoneticPr fontId="21" type="noConversion"/>
  </si>
  <si>
    <t>PY</t>
    <phoneticPr fontId="21" type="noConversion"/>
  </si>
  <si>
    <t>-</t>
    <phoneticPr fontId="21" type="noConversion"/>
  </si>
  <si>
    <t>천장 공사</t>
    <phoneticPr fontId="21" type="noConversion"/>
  </si>
  <si>
    <t>천장</t>
    <phoneticPr fontId="2" type="noConversion"/>
  </si>
  <si>
    <t>9.5T 석고보드 2PLY</t>
    <phoneticPr fontId="21" type="noConversion"/>
  </si>
  <si>
    <t>EA</t>
    <phoneticPr fontId="21" type="noConversion"/>
  </si>
  <si>
    <t>M</t>
    <phoneticPr fontId="21" type="noConversion"/>
  </si>
  <si>
    <t>걸레받이</t>
    <phoneticPr fontId="21" type="noConversion"/>
  </si>
  <si>
    <t>VAT 별도</t>
    <phoneticPr fontId="21" type="noConversion"/>
  </si>
  <si>
    <t>부가세 별도</t>
    <phoneticPr fontId="21" type="noConversion"/>
  </si>
  <si>
    <t>에어컨</t>
    <phoneticPr fontId="21" type="noConversion"/>
  </si>
  <si>
    <t>에어컨</t>
    <phoneticPr fontId="21" type="noConversion"/>
  </si>
  <si>
    <t>식</t>
    <phoneticPr fontId="21" type="noConversion"/>
  </si>
  <si>
    <t>현관</t>
    <phoneticPr fontId="21" type="noConversion"/>
  </si>
  <si>
    <t>싱크대 하부장</t>
    <phoneticPr fontId="2" type="noConversion"/>
  </si>
  <si>
    <t>식</t>
    <phoneticPr fontId="21" type="noConversion"/>
  </si>
  <si>
    <t>가스관 철거</t>
    <phoneticPr fontId="2" type="noConversion"/>
  </si>
  <si>
    <t>전열교환기</t>
    <phoneticPr fontId="21" type="noConversion"/>
  </si>
  <si>
    <t>환기</t>
    <phoneticPr fontId="21" type="noConversion"/>
  </si>
  <si>
    <t>싱크대 상부장</t>
    <phoneticPr fontId="2" type="noConversion"/>
  </si>
  <si>
    <t>-</t>
    <phoneticPr fontId="21" type="noConversion"/>
  </si>
  <si>
    <t>파티션</t>
    <phoneticPr fontId="21" type="noConversion"/>
  </si>
  <si>
    <t>식</t>
    <phoneticPr fontId="21" type="noConversion"/>
  </si>
  <si>
    <t>M</t>
    <phoneticPr fontId="21" type="noConversion"/>
  </si>
  <si>
    <t>-</t>
    <phoneticPr fontId="21" type="noConversion"/>
  </si>
  <si>
    <t>락소 히든몰딩</t>
    <phoneticPr fontId="21" type="noConversion"/>
  </si>
  <si>
    <t>거실 천장</t>
    <phoneticPr fontId="21" type="noConversion"/>
  </si>
  <si>
    <t>EA</t>
    <phoneticPr fontId="21" type="noConversion"/>
  </si>
  <si>
    <t>온도조절기 공사</t>
    <phoneticPr fontId="21" type="noConversion"/>
  </si>
  <si>
    <t>EA</t>
    <phoneticPr fontId="21" type="noConversion"/>
  </si>
  <si>
    <t xml:space="preserve"> </t>
    <phoneticPr fontId="21" type="noConversion"/>
  </si>
  <si>
    <t>감지기</t>
    <phoneticPr fontId="2" type="noConversion"/>
  </si>
  <si>
    <t>기타 감지기류</t>
    <phoneticPr fontId="21" type="noConversion"/>
  </si>
  <si>
    <t>진행</t>
    <phoneticPr fontId="21" type="noConversion"/>
  </si>
  <si>
    <t>단열공사</t>
    <phoneticPr fontId="21" type="noConversion"/>
  </si>
  <si>
    <t>방 벽체 석고보드 시공</t>
    <phoneticPr fontId="21" type="noConversion"/>
  </si>
  <si>
    <t>석고보드 덧붙힘 시공</t>
    <phoneticPr fontId="21" type="noConversion"/>
  </si>
  <si>
    <t>붙박이장</t>
    <phoneticPr fontId="2" type="noConversion"/>
  </si>
  <si>
    <t>모해디자인 진행 사항</t>
    <phoneticPr fontId="21" type="noConversion"/>
  </si>
  <si>
    <t>서비스 품목</t>
    <phoneticPr fontId="21" type="noConversion"/>
  </si>
  <si>
    <r>
      <rPr>
        <sz val="9"/>
        <rFont val="Arial Unicode MS"/>
        <family val="2"/>
        <charset val="129"/>
      </rPr>
      <t xml:space="preserve">고밀도 </t>
    </r>
    <r>
      <rPr>
        <sz val="9"/>
        <rFont val="Calibri"/>
        <family val="2"/>
      </rPr>
      <t xml:space="preserve">MDF </t>
    </r>
    <phoneticPr fontId="21" type="noConversion"/>
  </si>
  <si>
    <t>SERVICE</t>
    <phoneticPr fontId="21" type="noConversion"/>
  </si>
  <si>
    <t>모해 서비스 진행</t>
    <phoneticPr fontId="21" type="noConversion"/>
  </si>
  <si>
    <t>현관문</t>
    <phoneticPr fontId="21" type="noConversion"/>
  </si>
  <si>
    <t>걸레받이</t>
    <phoneticPr fontId="2" type="noConversion"/>
  </si>
  <si>
    <t>액체방수 공사</t>
    <phoneticPr fontId="21" type="noConversion"/>
  </si>
  <si>
    <t>세라믹 코트</t>
    <phoneticPr fontId="21" type="noConversion"/>
  </si>
  <si>
    <t>-</t>
    <phoneticPr fontId="21" type="noConversion"/>
  </si>
  <si>
    <t>천장철거</t>
    <phoneticPr fontId="2" type="noConversion"/>
  </si>
  <si>
    <t>마감코킹</t>
    <phoneticPr fontId="21" type="noConversion"/>
  </si>
  <si>
    <t>조색 1SET / 아덱스 실리콘</t>
    <phoneticPr fontId="21" type="noConversion"/>
  </si>
  <si>
    <t>공용부</t>
    <phoneticPr fontId="21" type="noConversion"/>
  </si>
  <si>
    <t>소방</t>
    <phoneticPr fontId="21" type="noConversion"/>
  </si>
  <si>
    <t>자동확산소화기</t>
    <phoneticPr fontId="21" type="noConversion"/>
  </si>
  <si>
    <t>안방</t>
    <phoneticPr fontId="21" type="noConversion"/>
  </si>
  <si>
    <t xml:space="preserve">30X30 각재 </t>
    <phoneticPr fontId="21" type="noConversion"/>
  </si>
  <si>
    <t xml:space="preserve">30X30 각재 </t>
    <phoneticPr fontId="21" type="noConversion"/>
  </si>
  <si>
    <t>제품 미정</t>
    <phoneticPr fontId="21" type="noConversion"/>
  </si>
  <si>
    <t>식</t>
    <phoneticPr fontId="21" type="noConversion"/>
  </si>
  <si>
    <t>EA</t>
    <phoneticPr fontId="21" type="noConversion"/>
  </si>
  <si>
    <t>220V 콘센트</t>
    <phoneticPr fontId="21" type="noConversion"/>
  </si>
  <si>
    <t>2구 스위치</t>
    <phoneticPr fontId="21" type="noConversion"/>
  </si>
  <si>
    <t>주방</t>
    <phoneticPr fontId="21" type="noConversion"/>
  </si>
  <si>
    <t>설비</t>
    <phoneticPr fontId="21" type="noConversion"/>
  </si>
  <si>
    <t>우수관 부틸러버</t>
    <phoneticPr fontId="21" type="noConversion"/>
  </si>
  <si>
    <t>식</t>
    <phoneticPr fontId="21" type="noConversion"/>
  </si>
  <si>
    <t>보일러</t>
    <phoneticPr fontId="21" type="noConversion"/>
  </si>
  <si>
    <t>바흐만 콘센트</t>
    <phoneticPr fontId="21" type="noConversion"/>
  </si>
  <si>
    <t xml:space="preserve">콘센트 </t>
    <phoneticPr fontId="21" type="noConversion"/>
  </si>
  <si>
    <t>천장 석고보드</t>
    <phoneticPr fontId="21" type="noConversion"/>
  </si>
  <si>
    <r>
      <rPr>
        <sz val="11"/>
        <rFont val="맑은 고딕"/>
        <family val="3"/>
        <charset val="129"/>
      </rPr>
      <t>貴社</t>
    </r>
    <r>
      <rPr>
        <sz val="11"/>
        <rFont val="에스코어 드림 6 Bold"/>
        <family val="2"/>
        <charset val="129"/>
      </rPr>
      <t xml:space="preserve">의 사양에 </t>
    </r>
    <r>
      <rPr>
        <sz val="11"/>
        <rFont val="맑은 고딕"/>
        <family val="3"/>
        <charset val="129"/>
      </rPr>
      <t>依</t>
    </r>
    <r>
      <rPr>
        <sz val="11"/>
        <rFont val="에스코어 드림 6 Bold"/>
        <family val="2"/>
        <charset val="129"/>
      </rPr>
      <t xml:space="preserve">하여 </t>
    </r>
    <r>
      <rPr>
        <sz val="11"/>
        <rFont val="맑은 고딕"/>
        <family val="3"/>
        <charset val="129"/>
      </rPr>
      <t>下記內容</t>
    </r>
    <r>
      <rPr>
        <sz val="11"/>
        <rFont val="에스코어 드림 6 Bold"/>
        <family val="2"/>
        <charset val="129"/>
      </rPr>
      <t xml:space="preserve">과 같이 </t>
    </r>
    <r>
      <rPr>
        <sz val="11"/>
        <rFont val="맑은 고딕"/>
        <family val="3"/>
        <charset val="129"/>
      </rPr>
      <t>見積</t>
    </r>
    <r>
      <rPr>
        <sz val="11"/>
        <rFont val="에스코어 드림 6 Bold"/>
        <family val="2"/>
        <charset val="129"/>
      </rPr>
      <t>합니다.</t>
    </r>
    <phoneticPr fontId="21" type="noConversion"/>
  </si>
  <si>
    <t>현관</t>
    <phoneticPr fontId="21" type="noConversion"/>
  </si>
  <si>
    <t>거실, 방 전체</t>
    <phoneticPr fontId="21" type="noConversion"/>
  </si>
  <si>
    <t>전체 철거</t>
    <phoneticPr fontId="21" type="noConversion"/>
  </si>
  <si>
    <t>-</t>
    <phoneticPr fontId="21" type="noConversion"/>
  </si>
  <si>
    <t>부자재</t>
    <phoneticPr fontId="21" type="noConversion"/>
  </si>
  <si>
    <t>식</t>
    <phoneticPr fontId="21" type="noConversion"/>
  </si>
  <si>
    <t>거실, 각 방</t>
    <phoneticPr fontId="21" type="noConversion"/>
  </si>
  <si>
    <t>PNC47</t>
    <phoneticPr fontId="21" type="noConversion"/>
  </si>
  <si>
    <t>현관</t>
    <phoneticPr fontId="21" type="noConversion"/>
  </si>
  <si>
    <t>전체</t>
    <phoneticPr fontId="21" type="noConversion"/>
  </si>
  <si>
    <t>LED BAR</t>
    <phoneticPr fontId="21" type="noConversion"/>
  </si>
  <si>
    <t>SMPS</t>
    <phoneticPr fontId="21" type="noConversion"/>
  </si>
  <si>
    <t>주방</t>
    <phoneticPr fontId="21" type="noConversion"/>
  </si>
  <si>
    <t>2,3인치 매립등</t>
    <phoneticPr fontId="2" type="noConversion"/>
  </si>
  <si>
    <t>보조 싱크볼</t>
    <phoneticPr fontId="2" type="noConversion"/>
  </si>
  <si>
    <t>거실, 주방</t>
    <phoneticPr fontId="21" type="noConversion"/>
  </si>
  <si>
    <t>M101 19 10MM 도배용</t>
    <phoneticPr fontId="21" type="noConversion"/>
  </si>
  <si>
    <t>M101 19 10MM 도배용 / 액자레일</t>
    <phoneticPr fontId="21" type="noConversion"/>
  </si>
  <si>
    <t>르그랑</t>
    <phoneticPr fontId="21" type="noConversion"/>
  </si>
  <si>
    <t>안 방</t>
    <phoneticPr fontId="21" type="noConversion"/>
  </si>
  <si>
    <t>-</t>
    <phoneticPr fontId="21" type="noConversion"/>
  </si>
  <si>
    <t>침대 헤드 및 프레임</t>
    <phoneticPr fontId="21" type="noConversion"/>
  </si>
  <si>
    <t>식</t>
    <phoneticPr fontId="21" type="noConversion"/>
  </si>
  <si>
    <t>욕조</t>
    <phoneticPr fontId="21" type="noConversion"/>
  </si>
  <si>
    <t>별도</t>
    <phoneticPr fontId="21" type="noConversion"/>
  </si>
  <si>
    <t>철거시 이슈사항</t>
    <phoneticPr fontId="21" type="noConversion"/>
  </si>
  <si>
    <t>-</t>
    <phoneticPr fontId="21" type="noConversion"/>
  </si>
  <si>
    <t>현관 선반</t>
    <phoneticPr fontId="2" type="noConversion"/>
  </si>
  <si>
    <t>BL-TL-31-CM</t>
    <phoneticPr fontId="21" type="noConversion"/>
  </si>
  <si>
    <t>-</t>
    <phoneticPr fontId="21" type="noConversion"/>
  </si>
  <si>
    <t>한솔 메종 라이트 오크</t>
    <phoneticPr fontId="21" type="noConversion"/>
  </si>
  <si>
    <t>주방</t>
    <phoneticPr fontId="21" type="noConversion"/>
  </si>
  <si>
    <t>주방</t>
    <phoneticPr fontId="21" type="noConversion"/>
  </si>
  <si>
    <t>-</t>
    <phoneticPr fontId="21" type="noConversion"/>
  </si>
  <si>
    <t>거울</t>
    <phoneticPr fontId="21" type="noConversion"/>
  </si>
  <si>
    <t>거실</t>
    <phoneticPr fontId="21" type="noConversion"/>
  </si>
  <si>
    <t>현관 신발장</t>
    <phoneticPr fontId="2" type="noConversion"/>
  </si>
  <si>
    <t>붙박이 장</t>
    <phoneticPr fontId="2" type="noConversion"/>
  </si>
  <si>
    <t>하드웨어</t>
    <phoneticPr fontId="21" type="noConversion"/>
  </si>
  <si>
    <t xml:space="preserve">경첩 및 서랍 등 하드웨어 </t>
    <phoneticPr fontId="21" type="noConversion"/>
  </si>
  <si>
    <t>-</t>
    <phoneticPr fontId="21" type="noConversion"/>
  </si>
  <si>
    <t>안방 침대헤드</t>
    <phoneticPr fontId="21" type="noConversion"/>
  </si>
  <si>
    <t>하부장</t>
    <phoneticPr fontId="2" type="noConversion"/>
  </si>
  <si>
    <t>-</t>
    <phoneticPr fontId="21" type="noConversion"/>
  </si>
  <si>
    <t>이노솔</t>
    <phoneticPr fontId="21" type="noConversion"/>
  </si>
  <si>
    <t>현관</t>
    <phoneticPr fontId="21" type="noConversion"/>
  </si>
  <si>
    <t xml:space="preserve">팬던트 </t>
    <phoneticPr fontId="21" type="noConversion"/>
  </si>
  <si>
    <t>미정</t>
    <phoneticPr fontId="21" type="noConversion"/>
  </si>
  <si>
    <t>거실화장실</t>
    <phoneticPr fontId="21" type="noConversion"/>
  </si>
  <si>
    <t>현관</t>
    <phoneticPr fontId="21" type="noConversion"/>
  </si>
  <si>
    <t>현관</t>
    <phoneticPr fontId="21" type="noConversion"/>
  </si>
  <si>
    <t>-</t>
    <phoneticPr fontId="21" type="noConversion"/>
  </si>
  <si>
    <t>거실,주방</t>
    <phoneticPr fontId="21" type="noConversion"/>
  </si>
  <si>
    <t>기타 및 공통</t>
    <phoneticPr fontId="21" type="noConversion"/>
  </si>
  <si>
    <t>세면대</t>
    <phoneticPr fontId="21" type="noConversion"/>
  </si>
  <si>
    <t>9.5T 합판 1PLY</t>
    <phoneticPr fontId="21" type="noConversion"/>
  </si>
  <si>
    <t>공용부 및 각 방</t>
    <phoneticPr fontId="21" type="noConversion"/>
  </si>
  <si>
    <t>거울</t>
    <phoneticPr fontId="2" type="noConversion"/>
  </si>
  <si>
    <t>은경</t>
    <phoneticPr fontId="21" type="noConversion"/>
  </si>
  <si>
    <t>EA</t>
    <phoneticPr fontId="21" type="noConversion"/>
  </si>
  <si>
    <t>이노솔 천장 골조 공사</t>
    <phoneticPr fontId="21" type="noConversion"/>
  </si>
  <si>
    <t>이노솔 천장 합판 보강</t>
    <phoneticPr fontId="21" type="noConversion"/>
  </si>
  <si>
    <t>백조 SQSR 380</t>
    <phoneticPr fontId="21" type="noConversion"/>
  </si>
  <si>
    <t xml:space="preserve"> </t>
    <phoneticPr fontId="21" type="noConversion"/>
  </si>
  <si>
    <t>비디오폰 이설</t>
    <phoneticPr fontId="21" type="noConversion"/>
  </si>
  <si>
    <t>난방배관 청소</t>
    <phoneticPr fontId="21" type="noConversion"/>
  </si>
  <si>
    <t>PY</t>
    <phoneticPr fontId="21" type="noConversion"/>
  </si>
  <si>
    <t>슈티에싱크 80127 니켈</t>
    <phoneticPr fontId="21" type="noConversion"/>
  </si>
  <si>
    <t>선진수도 선택9</t>
    <phoneticPr fontId="21" type="noConversion"/>
  </si>
  <si>
    <t>샤워 거치대(슬라이드바)</t>
    <phoneticPr fontId="2" type="noConversion"/>
  </si>
  <si>
    <t>누오보 유광 화이트 281 5435W</t>
    <phoneticPr fontId="21" type="noConversion"/>
  </si>
  <si>
    <t>스위치</t>
    <phoneticPr fontId="2" type="noConversion"/>
  </si>
  <si>
    <t>EA</t>
    <phoneticPr fontId="21" type="noConversion"/>
  </si>
  <si>
    <t>르그랑 아테오 5구</t>
    <phoneticPr fontId="21" type="noConversion"/>
  </si>
  <si>
    <t>거실</t>
    <phoneticPr fontId="21" type="noConversion"/>
  </si>
  <si>
    <t>르그랑 아테오 2구</t>
    <phoneticPr fontId="21" type="noConversion"/>
  </si>
  <si>
    <t>주방</t>
    <phoneticPr fontId="21" type="noConversion"/>
  </si>
  <si>
    <t>르그랑 아테오 2구</t>
    <phoneticPr fontId="21" type="noConversion"/>
  </si>
  <si>
    <t>침대헤드 조명(스포트라이트)</t>
    <phoneticPr fontId="21" type="noConversion"/>
  </si>
  <si>
    <t>브러쉬드 니켈</t>
    <phoneticPr fontId="21" type="noConversion"/>
  </si>
  <si>
    <t>https://www.11st.co.kr/products/8079203930?NaPm=ct%3Dmaxk569k%7Cci%3Dc6e4d8ab258280f0a46cc831570a1a307430154d%7Ctr%3Dslsl%7Csn%3D17703%7Chk%3D1b5f2f00b24663d783b48ff81b61f101adb619ad&amp;utm_term=&amp;utm_campaign=%B3%D7%C0%CC%B9%F6pc_%B0%A1%B0%DD%BA%F1%B1%B3%B1%E2%BA%BB&amp;utm_source=%B3%D7%C0%CC%B9%F6_PC_PCS&amp;utm_medium=%B0%A1%B0%DD%BA%F1%B1%B3</t>
    <phoneticPr fontId="21" type="noConversion"/>
  </si>
  <si>
    <t>고객 직접 결제</t>
    <phoneticPr fontId="21" type="noConversion"/>
  </si>
  <si>
    <t>SERVICE</t>
    <phoneticPr fontId="21" type="noConversion"/>
  </si>
  <si>
    <t>엘리베이터 및 공용부 보양</t>
    <phoneticPr fontId="21" type="noConversion"/>
  </si>
  <si>
    <t>M2</t>
    <phoneticPr fontId="21" type="noConversion"/>
  </si>
  <si>
    <t>전체 철거</t>
    <phoneticPr fontId="21" type="noConversion"/>
  </si>
  <si>
    <t>보일러</t>
    <phoneticPr fontId="21" type="noConversion"/>
  </si>
  <si>
    <t>온도조절기 공사</t>
    <phoneticPr fontId="21" type="noConversion"/>
  </si>
  <si>
    <t>온도조절기 공사</t>
    <phoneticPr fontId="21" type="noConversion"/>
  </si>
  <si>
    <t>허니웰 제어기</t>
    <phoneticPr fontId="21" type="noConversion"/>
  </si>
  <si>
    <t>분배기</t>
    <phoneticPr fontId="21" type="noConversion"/>
  </si>
  <si>
    <t>분배기</t>
    <phoneticPr fontId="21" type="noConversion"/>
  </si>
  <si>
    <t>EA</t>
    <phoneticPr fontId="21" type="noConversion"/>
  </si>
  <si>
    <t xml:space="preserve"> 각 방</t>
    <phoneticPr fontId="21" type="noConversion"/>
  </si>
  <si>
    <t>허니웰 구동기</t>
    <phoneticPr fontId="21" type="noConversion"/>
  </si>
  <si>
    <t>분배기</t>
    <phoneticPr fontId="21" type="noConversion"/>
  </si>
  <si>
    <t>대운반</t>
    <phoneticPr fontId="21" type="noConversion"/>
  </si>
  <si>
    <t>대</t>
    <phoneticPr fontId="21" type="noConversion"/>
  </si>
  <si>
    <t>EA</t>
    <phoneticPr fontId="21" type="noConversion"/>
  </si>
  <si>
    <t>좌,우</t>
    <phoneticPr fontId="21" type="noConversion"/>
  </si>
  <si>
    <t>싱크대 상부장 LED 조명</t>
    <phoneticPr fontId="2" type="noConversion"/>
  </si>
  <si>
    <t>싱크대 상부장 조명 프로파일</t>
    <phoneticPr fontId="2" type="noConversion"/>
  </si>
  <si>
    <t>키큰장</t>
    <phoneticPr fontId="2" type="noConversion"/>
  </si>
  <si>
    <t>EA</t>
    <phoneticPr fontId="21" type="noConversion"/>
  </si>
  <si>
    <t>식</t>
    <phoneticPr fontId="21" type="noConversion"/>
  </si>
  <si>
    <t>현관</t>
    <phoneticPr fontId="2" type="noConversion"/>
  </si>
  <si>
    <t>붙박이 장 EP</t>
    <phoneticPr fontId="2" type="noConversion"/>
  </si>
  <si>
    <t>공용부</t>
    <phoneticPr fontId="2" type="noConversion"/>
  </si>
  <si>
    <t>발코니</t>
    <phoneticPr fontId="21" type="noConversion"/>
  </si>
  <si>
    <t>가구도어</t>
    <phoneticPr fontId="2" type="noConversion"/>
  </si>
  <si>
    <t>발코니 A</t>
    <phoneticPr fontId="21" type="noConversion"/>
  </si>
  <si>
    <t>발코니 B</t>
    <phoneticPr fontId="21" type="noConversion"/>
  </si>
  <si>
    <t>세탁실</t>
    <phoneticPr fontId="21" type="noConversion"/>
  </si>
  <si>
    <t>-</t>
    <phoneticPr fontId="21" type="noConversion"/>
  </si>
  <si>
    <t>세면대 하부장</t>
    <phoneticPr fontId="21" type="noConversion"/>
  </si>
  <si>
    <t>안방화장실</t>
    <phoneticPr fontId="21" type="noConversion"/>
  </si>
  <si>
    <t>일괄소등</t>
    <phoneticPr fontId="21" type="noConversion"/>
  </si>
  <si>
    <t>1구 프레임</t>
    <phoneticPr fontId="21" type="noConversion"/>
  </si>
  <si>
    <t>2구 프레임</t>
    <phoneticPr fontId="21" type="noConversion"/>
  </si>
  <si>
    <t>거실</t>
    <phoneticPr fontId="21" type="noConversion"/>
  </si>
  <si>
    <t>공용부</t>
    <phoneticPr fontId="21" type="noConversion"/>
  </si>
  <si>
    <t>비디오폰,도어락 및 별도</t>
    <phoneticPr fontId="21" type="noConversion"/>
  </si>
  <si>
    <t>분전함 교체</t>
    <phoneticPr fontId="21" type="noConversion"/>
  </si>
  <si>
    <t>마그네틱 조명</t>
    <phoneticPr fontId="2" type="noConversion"/>
  </si>
  <si>
    <t>조명기구(별도)</t>
    <phoneticPr fontId="21" type="noConversion"/>
  </si>
  <si>
    <t>거울장</t>
    <phoneticPr fontId="2" type="noConversion"/>
  </si>
  <si>
    <t>제작</t>
    <phoneticPr fontId="21" type="noConversion"/>
  </si>
  <si>
    <t>전체</t>
    <phoneticPr fontId="21" type="noConversion"/>
  </si>
  <si>
    <t>전체</t>
    <phoneticPr fontId="21" type="noConversion"/>
  </si>
  <si>
    <t>TV 아트월</t>
    <phoneticPr fontId="21" type="noConversion"/>
  </si>
  <si>
    <t>디자인</t>
    <phoneticPr fontId="21" type="noConversion"/>
  </si>
  <si>
    <t>전체</t>
    <phoneticPr fontId="21" type="noConversion"/>
  </si>
  <si>
    <t>융 제외 나머지</t>
    <phoneticPr fontId="21" type="noConversion"/>
  </si>
  <si>
    <t>현관</t>
    <phoneticPr fontId="21" type="noConversion"/>
  </si>
  <si>
    <t>SMPS(300W)</t>
    <phoneticPr fontId="21" type="noConversion"/>
  </si>
  <si>
    <t>재료비</t>
    <phoneticPr fontId="21" type="noConversion"/>
  </si>
  <si>
    <t>노무비</t>
    <phoneticPr fontId="21" type="noConversion"/>
  </si>
  <si>
    <t>*</t>
    <phoneticPr fontId="21" type="noConversion"/>
  </si>
  <si>
    <t>산재 보험료</t>
    <phoneticPr fontId="21" type="noConversion"/>
  </si>
  <si>
    <t>고용 보험료</t>
    <phoneticPr fontId="21" type="noConversion"/>
  </si>
  <si>
    <t>국민건강 보험료</t>
    <phoneticPr fontId="21" type="noConversion"/>
  </si>
  <si>
    <t>국민연금 보험료</t>
    <phoneticPr fontId="21" type="noConversion"/>
  </si>
  <si>
    <t>노인 장기 요양 보험료</t>
    <phoneticPr fontId="21" type="noConversion"/>
  </si>
  <si>
    <t>안전관리비</t>
    <phoneticPr fontId="21" type="noConversion"/>
  </si>
  <si>
    <t>노무비*3.56%</t>
    <phoneticPr fontId="21" type="noConversion"/>
  </si>
  <si>
    <t>노무비*1.01%</t>
    <phoneticPr fontId="21" type="noConversion"/>
  </si>
  <si>
    <t>노무비*3.545%</t>
    <phoneticPr fontId="21" type="noConversion"/>
  </si>
  <si>
    <t>노무비*4.5%</t>
    <phoneticPr fontId="21" type="noConversion"/>
  </si>
  <si>
    <t>건강보혐료*12.95%</t>
    <phoneticPr fontId="21" type="noConversion"/>
  </si>
  <si>
    <t>직접공사비*3.11%</t>
    <phoneticPr fontId="21" type="noConversion"/>
  </si>
  <si>
    <t>*</t>
    <phoneticPr fontId="21" type="noConversion"/>
  </si>
  <si>
    <t>기타경비</t>
    <phoneticPr fontId="21" type="noConversion"/>
  </si>
  <si>
    <t>-</t>
    <phoneticPr fontId="21" type="noConversion"/>
  </si>
  <si>
    <t>옷봉</t>
    <phoneticPr fontId="21" type="noConversion"/>
  </si>
  <si>
    <t>옷봉</t>
    <phoneticPr fontId="21" type="noConversion"/>
  </si>
  <si>
    <t>거실,안방 화장실</t>
    <phoneticPr fontId="21" type="noConversion"/>
  </si>
  <si>
    <t>아메리칸 언더카운터 씬엣지 F513</t>
    <phoneticPr fontId="21" type="noConversion"/>
  </si>
  <si>
    <t xml:space="preserve">아덱스 도막방수제 2회 </t>
    <phoneticPr fontId="21" type="noConversion"/>
  </si>
  <si>
    <t>언더카운터 세면대 W:600</t>
    <phoneticPr fontId="2" type="noConversion"/>
  </si>
  <si>
    <t>-</t>
    <phoneticPr fontId="21" type="noConversion"/>
  </si>
  <si>
    <t>화장대 장 EP</t>
    <phoneticPr fontId="21" type="noConversion"/>
  </si>
  <si>
    <t>좌,우</t>
    <phoneticPr fontId="21" type="noConversion"/>
  </si>
  <si>
    <t>상판</t>
    <phoneticPr fontId="21" type="noConversion"/>
  </si>
  <si>
    <t>ㄴ 팬트리 및 밥솥 레일, 서랍,선반,블룸 등 스펙에 따라 변동 (견적미포함)</t>
    <phoneticPr fontId="21" type="noConversion"/>
  </si>
  <si>
    <t>공용부 면적*2</t>
    <phoneticPr fontId="21" type="noConversion"/>
  </si>
  <si>
    <t>기존 배선 제거 후 새로 입선</t>
    <phoneticPr fontId="21" type="noConversion"/>
  </si>
  <si>
    <t>주방</t>
    <phoneticPr fontId="2" type="noConversion"/>
  </si>
  <si>
    <t>디자인 및 자재 스펙에 따른 변동</t>
    <phoneticPr fontId="21" type="noConversion"/>
  </si>
  <si>
    <t>커튼 박스</t>
    <phoneticPr fontId="21" type="noConversion"/>
  </si>
  <si>
    <t>욕조 수전</t>
    <phoneticPr fontId="2" type="noConversion"/>
  </si>
  <si>
    <t>M2</t>
    <phoneticPr fontId="21" type="noConversion"/>
  </si>
  <si>
    <t>행위허가</t>
    <phoneticPr fontId="21" type="noConversion"/>
  </si>
  <si>
    <t>자재 양중</t>
    <phoneticPr fontId="21" type="noConversion"/>
  </si>
  <si>
    <t>싱크 수전(메인)</t>
    <phoneticPr fontId="2" type="noConversion"/>
  </si>
  <si>
    <t>싱크볼(메인)</t>
    <phoneticPr fontId="2" type="noConversion"/>
  </si>
  <si>
    <t>ABS 도어 및 문틀</t>
    <phoneticPr fontId="21" type="noConversion"/>
  </si>
  <si>
    <t>천장 골조 및 석고보드</t>
    <phoneticPr fontId="21" type="noConversion"/>
  </si>
  <si>
    <t>디아망 포티스 부자재 포함</t>
    <phoneticPr fontId="21" type="noConversion"/>
  </si>
  <si>
    <t>원목마루</t>
    <phoneticPr fontId="21" type="noConversion"/>
  </si>
  <si>
    <t>인터폰 및 도어락</t>
    <phoneticPr fontId="21" type="noConversion"/>
  </si>
  <si>
    <t>샷시</t>
    <phoneticPr fontId="21" type="noConversion"/>
  </si>
  <si>
    <t>난방배관 교체</t>
    <phoneticPr fontId="21" type="noConversion"/>
  </si>
  <si>
    <t>홈파기 / 분배기 교체 포함</t>
    <phoneticPr fontId="21" type="noConversion"/>
  </si>
  <si>
    <t>창호</t>
    <phoneticPr fontId="21" type="noConversion"/>
  </si>
  <si>
    <t>난방</t>
    <phoneticPr fontId="21" type="noConversion"/>
  </si>
  <si>
    <t>개별 보일러</t>
    <phoneticPr fontId="21" type="noConversion"/>
  </si>
  <si>
    <t>3구 프레임</t>
    <phoneticPr fontId="21" type="noConversion"/>
  </si>
  <si>
    <t>UTP</t>
    <phoneticPr fontId="21" type="noConversion"/>
  </si>
  <si>
    <t>융(매트화이트)</t>
    <phoneticPr fontId="21" type="noConversion"/>
  </si>
  <si>
    <t>플로어 콘센트</t>
    <phoneticPr fontId="2" type="noConversion"/>
  </si>
  <si>
    <t>바닥 매립</t>
    <phoneticPr fontId="21" type="noConversion"/>
  </si>
  <si>
    <t>수원시 영통구 이의동 1221, 오랜지나무 빌딩 3층</t>
    <phoneticPr fontId="2" type="noConversion"/>
  </si>
  <si>
    <t>Tel : 031-212-0488</t>
    <phoneticPr fontId="2" type="noConversion"/>
  </si>
  <si>
    <t>M . O  . A . C</t>
    <phoneticPr fontId="2" type="noConversion"/>
  </si>
  <si>
    <t xml:space="preserve"> </t>
    <phoneticPr fontId="21" type="noConversion"/>
  </si>
  <si>
    <t>LG 프리미엄 7대</t>
    <phoneticPr fontId="21" type="noConversion"/>
  </si>
  <si>
    <t>미정 및 실측 필요</t>
    <phoneticPr fontId="21" type="noConversion"/>
  </si>
  <si>
    <t>H : 1400</t>
    <phoneticPr fontId="21" type="noConversion"/>
  </si>
  <si>
    <t>경량 철골 및 석고보드 2PLY</t>
    <phoneticPr fontId="21" type="noConversion"/>
  </si>
  <si>
    <t>개소</t>
    <phoneticPr fontId="21" type="noConversion"/>
  </si>
  <si>
    <t>거실 및 각방</t>
    <phoneticPr fontId="21" type="noConversion"/>
  </si>
  <si>
    <t>욕실 3개소</t>
    <phoneticPr fontId="21" type="noConversion"/>
  </si>
  <si>
    <t>욕실 3개소</t>
    <phoneticPr fontId="21" type="noConversion"/>
  </si>
  <si>
    <t>석고보드 떠붙임 시공</t>
    <phoneticPr fontId="21" type="noConversion"/>
  </si>
  <si>
    <t>12.5T 1PLY</t>
    <phoneticPr fontId="21" type="noConversion"/>
  </si>
  <si>
    <t>각 방</t>
    <phoneticPr fontId="21" type="noConversion"/>
  </si>
  <si>
    <t>벽체 석고보드 + 5mm 걸레받이</t>
    <phoneticPr fontId="21" type="noConversion"/>
  </si>
  <si>
    <t>각 방</t>
    <phoneticPr fontId="21" type="noConversion"/>
  </si>
  <si>
    <t>무문선 스텝도어</t>
    <phoneticPr fontId="21" type="noConversion"/>
  </si>
  <si>
    <t>m2</t>
    <phoneticPr fontId="21" type="noConversion"/>
  </si>
  <si>
    <t>외기 면 전체</t>
    <phoneticPr fontId="21" type="noConversion"/>
  </si>
  <si>
    <t>600*600</t>
    <phoneticPr fontId="21" type="noConversion"/>
  </si>
  <si>
    <t>욕실3</t>
    <phoneticPr fontId="21" type="noConversion"/>
  </si>
  <si>
    <t>욕실1</t>
    <phoneticPr fontId="21" type="noConversion"/>
  </si>
  <si>
    <t>M</t>
    <phoneticPr fontId="21" type="noConversion"/>
  </si>
  <si>
    <t>M</t>
    <phoneticPr fontId="21" type="noConversion"/>
  </si>
  <si>
    <t>PVC 보드 가구 하부장</t>
    <phoneticPr fontId="21" type="noConversion"/>
  </si>
  <si>
    <t>욕실2</t>
    <phoneticPr fontId="21" type="noConversion"/>
  </si>
  <si>
    <t>욕실3</t>
    <phoneticPr fontId="21" type="noConversion"/>
  </si>
  <si>
    <t>욕실 3개소</t>
    <phoneticPr fontId="21" type="noConversion"/>
  </si>
  <si>
    <t>조적 파티션</t>
    <phoneticPr fontId="21" type="noConversion"/>
  </si>
  <si>
    <t xml:space="preserve">기타 </t>
    <phoneticPr fontId="2" type="noConversion"/>
  </si>
  <si>
    <t>보조주방 가구</t>
    <phoneticPr fontId="2" type="noConversion"/>
  </si>
  <si>
    <t>하부장</t>
    <phoneticPr fontId="2" type="noConversion"/>
  </si>
  <si>
    <t>보조주방</t>
    <phoneticPr fontId="21" type="noConversion"/>
  </si>
  <si>
    <t>보조주방</t>
    <phoneticPr fontId="21" type="noConversion"/>
  </si>
  <si>
    <t>보조주방</t>
    <phoneticPr fontId="21" type="noConversion"/>
  </si>
  <si>
    <t xml:space="preserve">속장 18T PP + 도어 18T PET 기준 </t>
    <phoneticPr fontId="21" type="noConversion"/>
  </si>
  <si>
    <t>현관 맞은 편</t>
    <phoneticPr fontId="21" type="noConversion"/>
  </si>
  <si>
    <t>기존 드레스실 (확장부)</t>
    <phoneticPr fontId="21" type="noConversion"/>
  </si>
  <si>
    <t>현관 팬트리장</t>
    <phoneticPr fontId="2" type="noConversion"/>
  </si>
  <si>
    <t>현관 팬트리장 도어</t>
    <phoneticPr fontId="21" type="noConversion"/>
  </si>
  <si>
    <t>시스템 행거</t>
    <phoneticPr fontId="21" type="noConversion"/>
  </si>
  <si>
    <t>18T PET</t>
    <phoneticPr fontId="21" type="noConversion"/>
  </si>
  <si>
    <t>EA</t>
    <phoneticPr fontId="21" type="noConversion"/>
  </si>
  <si>
    <t>침실2</t>
    <phoneticPr fontId="21" type="noConversion"/>
  </si>
  <si>
    <t>침실2 팬트리장</t>
    <phoneticPr fontId="2" type="noConversion"/>
  </si>
  <si>
    <t>침실2 팬트리장 도어</t>
    <phoneticPr fontId="21" type="noConversion"/>
  </si>
  <si>
    <t>침실 3 가구</t>
    <phoneticPr fontId="21" type="noConversion"/>
  </si>
  <si>
    <t>침실3</t>
    <phoneticPr fontId="21" type="noConversion"/>
  </si>
  <si>
    <t>디아망 부자재 포함</t>
    <phoneticPr fontId="21" type="noConversion"/>
  </si>
  <si>
    <t>TO : 이소영 고객님</t>
    <rPh sb="0" eb="5">
      <t>ｷｶ</t>
    </rPh>
    <phoneticPr fontId="106" type="noConversion"/>
  </si>
  <si>
    <t>PROJECT: 군포 산본 래미안 하이어스 아파트 인테리어 공사</t>
    <phoneticPr fontId="2" type="noConversion"/>
  </si>
  <si>
    <t>이소영 고객님</t>
    <phoneticPr fontId="21" type="noConversion"/>
  </si>
  <si>
    <t>이소영 고객님</t>
    <phoneticPr fontId="21" type="noConversion"/>
  </si>
  <si>
    <t>PROJECT: 군포 산본 래미안 하이어스 아파트 인테리어 공사</t>
    <phoneticPr fontId="2" type="noConversion"/>
  </si>
  <si>
    <t>군포 산본 래미안 하이어스 아파트 인테리어 공사</t>
    <phoneticPr fontId="21" type="noConversion"/>
  </si>
  <si>
    <t>철거 공사</t>
    <phoneticPr fontId="21" type="noConversion"/>
  </si>
  <si>
    <t>설비 공사</t>
    <phoneticPr fontId="21" type="noConversion"/>
  </si>
  <si>
    <t>로스 12%</t>
    <phoneticPr fontId="21" type="noConversion"/>
  </si>
  <si>
    <t>A1903_부자재 및 로스율 포함</t>
    <phoneticPr fontId="21" type="noConversion"/>
  </si>
  <si>
    <t>각방</t>
    <phoneticPr fontId="21" type="noConversion"/>
  </si>
  <si>
    <t>벽체  각 방 전체</t>
    <phoneticPr fontId="21" type="noConversion"/>
  </si>
  <si>
    <t>천장 공용부 전체</t>
    <phoneticPr fontId="21" type="noConversion"/>
  </si>
  <si>
    <t>천장 각 방 전체</t>
    <phoneticPr fontId="21" type="noConversion"/>
  </si>
  <si>
    <t>벽체 공용부 전체</t>
    <phoneticPr fontId="21" type="noConversion"/>
  </si>
  <si>
    <t>-</t>
  </si>
  <si>
    <t>공용부 5MM 걸레받이 시공</t>
    <phoneticPr fontId="21" type="noConversion"/>
  </si>
  <si>
    <t>인건비</t>
    <phoneticPr fontId="21" type="noConversion"/>
  </si>
  <si>
    <t>현관 벽</t>
    <phoneticPr fontId="2" type="noConversion"/>
  </si>
  <si>
    <t xml:space="preserve">세탁실 바닥 </t>
    <phoneticPr fontId="2" type="noConversion"/>
  </si>
  <si>
    <t>세탁실 벽</t>
    <phoneticPr fontId="2" type="noConversion"/>
  </si>
  <si>
    <t>기타 타일</t>
    <phoneticPr fontId="2" type="noConversion"/>
  </si>
  <si>
    <t>발코니 및 실외기실 바닥</t>
    <phoneticPr fontId="21" type="noConversion"/>
  </si>
  <si>
    <t>발코니 및 실외기실 벽</t>
    <phoneticPr fontId="21" type="noConversion"/>
  </si>
  <si>
    <t>방 발코니 바닥</t>
    <phoneticPr fontId="21" type="noConversion"/>
  </si>
  <si>
    <t>방 발코니 벽</t>
    <phoneticPr fontId="21" type="noConversion"/>
  </si>
  <si>
    <t>주방 타일</t>
    <phoneticPr fontId="21" type="noConversion"/>
  </si>
  <si>
    <t>주방 벽체 타일</t>
    <phoneticPr fontId="21" type="noConversion"/>
  </si>
  <si>
    <t>방1</t>
    <phoneticPr fontId="21" type="noConversion"/>
  </si>
  <si>
    <t>유리블록</t>
    <phoneticPr fontId="21" type="noConversion"/>
  </si>
  <si>
    <t>X18, 레미탈 등</t>
    <phoneticPr fontId="21" type="noConversion"/>
  </si>
  <si>
    <t>휴젠트 노바</t>
    <phoneticPr fontId="21" type="noConversion"/>
  </si>
  <si>
    <t>COMOUFLAGE PLISSE</t>
    <phoneticPr fontId="21" type="noConversion"/>
  </si>
  <si>
    <t>COMOUFLAGE BETON</t>
    <phoneticPr fontId="21" type="noConversion"/>
  </si>
  <si>
    <t>파우더룸</t>
    <phoneticPr fontId="21" type="noConversion"/>
  </si>
  <si>
    <t>ROCK SALT</t>
    <phoneticPr fontId="21" type="noConversion"/>
  </si>
  <si>
    <t>SUPREME HEDONISM 유광</t>
    <phoneticPr fontId="21" type="noConversion"/>
  </si>
  <si>
    <t>SUPREME HEDONISM 무광</t>
    <phoneticPr fontId="21" type="noConversion"/>
  </si>
  <si>
    <t>사비석</t>
    <phoneticPr fontId="21" type="noConversion"/>
  </si>
  <si>
    <t>MOON 01 600*600</t>
    <phoneticPr fontId="21" type="noConversion"/>
  </si>
  <si>
    <t>무늬끄+무늬목 프레임</t>
    <phoneticPr fontId="21" type="noConversion"/>
  </si>
  <si>
    <t>중문공사(원목 양개 스윙도어)</t>
    <phoneticPr fontId="21" type="noConversion"/>
  </si>
  <si>
    <t>중문공사(유리 슬라이딩 도어)</t>
    <phoneticPr fontId="21" type="noConversion"/>
  </si>
  <si>
    <t>중문공사(자동문)</t>
    <phoneticPr fontId="21" type="noConversion"/>
  </si>
  <si>
    <t>아이소핑크 30T *2 + 폼본드</t>
    <phoneticPr fontId="21" type="noConversion"/>
  </si>
  <si>
    <t>9MM 문선</t>
    <phoneticPr fontId="21" type="noConversion"/>
  </si>
  <si>
    <t>45T 슬라이딩 도어(하드웨어 포함)</t>
    <phoneticPr fontId="21" type="noConversion"/>
  </si>
  <si>
    <t>레놀릿 - 트로이</t>
    <phoneticPr fontId="21" type="noConversion"/>
  </si>
  <si>
    <t>컬러 MDF + CNC가공</t>
    <phoneticPr fontId="21" type="noConversion"/>
  </si>
  <si>
    <t>5MM 걸레받이</t>
    <phoneticPr fontId="21" type="noConversion"/>
  </si>
  <si>
    <t>공용부 및 신설벽체</t>
    <phoneticPr fontId="21" type="noConversion"/>
  </si>
  <si>
    <t>기타 공사</t>
    <phoneticPr fontId="2" type="noConversion"/>
  </si>
  <si>
    <t>현관 밴치 구조틀</t>
    <phoneticPr fontId="21" type="noConversion"/>
  </si>
  <si>
    <t>금속 구조틀 + 목공</t>
    <phoneticPr fontId="21" type="noConversion"/>
  </si>
  <si>
    <t>현관 밴치 마감</t>
    <phoneticPr fontId="21" type="noConversion"/>
  </si>
  <si>
    <t>5T 제작</t>
    <phoneticPr fontId="21" type="noConversion"/>
  </si>
  <si>
    <t>냉장고 장</t>
  </si>
  <si>
    <t>플랩장</t>
  </si>
  <si>
    <t>주방</t>
  </si>
  <si>
    <t>M</t>
  </si>
  <si>
    <t>키큰장 EP</t>
    <phoneticPr fontId="2" type="noConversion"/>
  </si>
  <si>
    <t>상,하부장 EP</t>
    <phoneticPr fontId="21" type="noConversion"/>
  </si>
  <si>
    <t>하부장</t>
    <phoneticPr fontId="21" type="noConversion"/>
  </si>
  <si>
    <t>하부장  EP</t>
    <phoneticPr fontId="2" type="noConversion"/>
  </si>
  <si>
    <t>아일랜드 하부장</t>
    <phoneticPr fontId="2" type="noConversion"/>
  </si>
  <si>
    <t>팬트리 도어</t>
    <phoneticPr fontId="21" type="noConversion"/>
  </si>
  <si>
    <t>불박이장 EP</t>
    <phoneticPr fontId="21" type="noConversion"/>
  </si>
  <si>
    <t>드레스룸 붙박이 SUS</t>
    <phoneticPr fontId="21" type="noConversion"/>
  </si>
  <si>
    <t>드레스룸  SUS 행거</t>
    <phoneticPr fontId="21" type="noConversion"/>
  </si>
  <si>
    <t>검토 필요</t>
    <phoneticPr fontId="21" type="noConversion"/>
  </si>
  <si>
    <t>제작 및 현장 용접</t>
    <phoneticPr fontId="21" type="noConversion"/>
  </si>
  <si>
    <t>화장대 구조틀</t>
    <phoneticPr fontId="21" type="noConversion"/>
  </si>
  <si>
    <t>화장대 서랍장</t>
    <phoneticPr fontId="21" type="noConversion"/>
  </si>
  <si>
    <t>2칸</t>
    <phoneticPr fontId="21" type="noConversion"/>
  </si>
  <si>
    <t>서랍장</t>
    <phoneticPr fontId="2" type="noConversion"/>
  </si>
  <si>
    <t>화장대 서랍장 아크릴</t>
    <phoneticPr fontId="21" type="noConversion"/>
  </si>
  <si>
    <t>스펙 미정</t>
    <phoneticPr fontId="21" type="noConversion"/>
  </si>
  <si>
    <t>화장대 은경틀 및 은경</t>
    <phoneticPr fontId="21" type="noConversion"/>
  </si>
  <si>
    <t>파우더룸 가구</t>
    <phoneticPr fontId="21" type="noConversion"/>
  </si>
  <si>
    <t>키큰장</t>
    <phoneticPr fontId="21" type="noConversion"/>
  </si>
  <si>
    <t>화장실 1</t>
    <phoneticPr fontId="21" type="noConversion"/>
  </si>
  <si>
    <t>하부장 EP</t>
    <phoneticPr fontId="21" type="noConversion"/>
  </si>
  <si>
    <t>SUS 은경틀 및 은경</t>
    <phoneticPr fontId="21" type="noConversion"/>
  </si>
  <si>
    <t>화장실</t>
    <phoneticPr fontId="21" type="noConversion"/>
  </si>
  <si>
    <t>상,하부장</t>
    <phoneticPr fontId="21" type="noConversion"/>
  </si>
  <si>
    <t>화장실1,2,3</t>
    <phoneticPr fontId="21" type="noConversion"/>
  </si>
  <si>
    <t>PS보드</t>
    <phoneticPr fontId="21" type="noConversion"/>
  </si>
  <si>
    <t>각 화장실</t>
    <phoneticPr fontId="21" type="noConversion"/>
  </si>
  <si>
    <t>언더카운터 세면대</t>
    <phoneticPr fontId="2" type="noConversion"/>
  </si>
  <si>
    <t>언더카운터 세면대 구조틀</t>
    <phoneticPr fontId="21" type="noConversion"/>
  </si>
  <si>
    <t>그로헤 큐브 500 언더볼</t>
    <phoneticPr fontId="21" type="noConversion"/>
  </si>
  <si>
    <t>TOTO NEOREST NX</t>
    <phoneticPr fontId="21" type="noConversion"/>
  </si>
  <si>
    <t>750*1400 아크릴 욕조</t>
    <phoneticPr fontId="21" type="noConversion"/>
  </si>
  <si>
    <t>화장실3</t>
    <phoneticPr fontId="21" type="noConversion"/>
  </si>
  <si>
    <t>한스그로헤 76420000</t>
    <phoneticPr fontId="21" type="noConversion"/>
  </si>
  <si>
    <t>욕조 수전 악세사리</t>
    <phoneticPr fontId="21" type="noConversion"/>
  </si>
  <si>
    <t>28331000 / 8276000 / 26334400</t>
    <phoneticPr fontId="21" type="noConversion"/>
  </si>
  <si>
    <t>세면 수전</t>
    <phoneticPr fontId="21" type="noConversion"/>
  </si>
  <si>
    <t>한스그로헤 76051000</t>
    <phoneticPr fontId="21" type="noConversion"/>
  </si>
  <si>
    <t>세면수전 카트리지</t>
    <phoneticPr fontId="21" type="noConversion"/>
  </si>
  <si>
    <t>한스그로헤 13622180</t>
    <phoneticPr fontId="21" type="noConversion"/>
  </si>
  <si>
    <t>샤워 수전</t>
    <phoneticPr fontId="21" type="noConversion"/>
  </si>
  <si>
    <t>한스그로헤 33715000</t>
    <phoneticPr fontId="21" type="noConversion"/>
  </si>
  <si>
    <t>샤워수전 카트리지</t>
    <phoneticPr fontId="21" type="noConversion"/>
  </si>
  <si>
    <t>한스그로헤 1500180</t>
    <phoneticPr fontId="21" type="noConversion"/>
  </si>
  <si>
    <t>샤워수전 악세사리</t>
    <phoneticPr fontId="21" type="noConversion"/>
  </si>
  <si>
    <t>26220000 외 3가지</t>
    <phoneticPr fontId="21" type="noConversion"/>
  </si>
  <si>
    <t>도어 손잡이</t>
    <phoneticPr fontId="21" type="noConversion"/>
  </si>
  <si>
    <t>도어 잠금장치</t>
    <phoneticPr fontId="21" type="noConversion"/>
  </si>
  <si>
    <t>도어 모티스</t>
    <phoneticPr fontId="21" type="noConversion"/>
  </si>
  <si>
    <t>OLIVARI MARILYN</t>
    <phoneticPr fontId="21" type="noConversion"/>
  </si>
  <si>
    <t>OLIVARI LINK</t>
    <phoneticPr fontId="21" type="noConversion"/>
  </si>
  <si>
    <t>KFV WES116</t>
    <phoneticPr fontId="21" type="noConversion"/>
  </si>
  <si>
    <t>한스그로헤 41767000</t>
    <phoneticPr fontId="21" type="noConversion"/>
  </si>
  <si>
    <t>화장실1</t>
    <phoneticPr fontId="21" type="noConversion"/>
  </si>
  <si>
    <t>후크 걸이</t>
    <phoneticPr fontId="21" type="noConversion"/>
  </si>
  <si>
    <t>한스그로헤 41772000</t>
    <phoneticPr fontId="21" type="noConversion"/>
  </si>
  <si>
    <t>상판 구조틀</t>
    <phoneticPr fontId="21" type="noConversion"/>
  </si>
  <si>
    <t>한스그로헤 41785000</t>
    <phoneticPr fontId="21" type="noConversion"/>
  </si>
  <si>
    <t>한스그로헤 41762000</t>
    <phoneticPr fontId="21" type="noConversion"/>
  </si>
  <si>
    <t>샤워헤드 걸이</t>
    <phoneticPr fontId="21" type="noConversion"/>
  </si>
  <si>
    <t>한스그로헤 27055000</t>
    <phoneticPr fontId="21" type="noConversion"/>
  </si>
  <si>
    <t>세라믹</t>
    <phoneticPr fontId="2" type="noConversion"/>
  </si>
  <si>
    <t>CIPOLLINO GLOSSY (12T)</t>
    <phoneticPr fontId="21" type="noConversion"/>
  </si>
  <si>
    <t>공장 발주 후 확인</t>
    <phoneticPr fontId="21" type="noConversion"/>
  </si>
  <si>
    <t>세라믹 전체</t>
    <phoneticPr fontId="21" type="noConversion"/>
  </si>
  <si>
    <t>세라믹 인가공,운임 및 시공비</t>
    <phoneticPr fontId="21" type="noConversion"/>
  </si>
  <si>
    <t>BRECCIA STONE (6T)</t>
    <phoneticPr fontId="21" type="noConversion"/>
  </si>
  <si>
    <t>BRECCIA STONE (12T)</t>
    <phoneticPr fontId="21" type="noConversion"/>
  </si>
  <si>
    <t>REVE BLEU 1200*2800 6T</t>
    <phoneticPr fontId="21" type="noConversion"/>
  </si>
  <si>
    <t>화장실2</t>
    <phoneticPr fontId="21" type="noConversion"/>
  </si>
  <si>
    <t>방2</t>
    <phoneticPr fontId="21" type="noConversion"/>
  </si>
  <si>
    <t>방3</t>
    <phoneticPr fontId="21" type="noConversion"/>
  </si>
  <si>
    <t>사각 매입등</t>
    <phoneticPr fontId="2" type="noConversion"/>
  </si>
  <si>
    <t>라인조명</t>
    <phoneticPr fontId="2" type="noConversion"/>
  </si>
  <si>
    <t>10구</t>
    <phoneticPr fontId="21" type="noConversion"/>
  </si>
  <si>
    <t>SMPS 200W</t>
    <phoneticPr fontId="21" type="noConversion"/>
  </si>
  <si>
    <t>SMPS 60W</t>
    <phoneticPr fontId="21" type="noConversion"/>
  </si>
  <si>
    <t>직부등</t>
    <phoneticPr fontId="2" type="noConversion"/>
  </si>
  <si>
    <t>원형 엣지 조명 주백색</t>
    <phoneticPr fontId="21" type="noConversion"/>
  </si>
  <si>
    <t>발코니 및 세탁실</t>
    <phoneticPr fontId="2" type="noConversion"/>
  </si>
  <si>
    <t>발코니 및 세탁실</t>
    <phoneticPr fontId="21" type="noConversion"/>
  </si>
  <si>
    <t>현관 및 공용부</t>
    <phoneticPr fontId="21" type="noConversion"/>
  </si>
  <si>
    <t>2구 실버</t>
    <phoneticPr fontId="21" type="noConversion"/>
  </si>
  <si>
    <t>기성 벽조명</t>
    <phoneticPr fontId="21" type="noConversion"/>
  </si>
  <si>
    <t>발목 센서등</t>
    <phoneticPr fontId="21" type="noConversion"/>
  </si>
  <si>
    <t>5구</t>
    <phoneticPr fontId="21" type="noConversion"/>
  </si>
  <si>
    <t>햔관</t>
    <phoneticPr fontId="21" type="noConversion"/>
  </si>
  <si>
    <t>1구 스위치(단로,3로)</t>
    <phoneticPr fontId="21" type="noConversion"/>
  </si>
  <si>
    <t>융 스위치</t>
    <phoneticPr fontId="21" type="noConversion"/>
  </si>
  <si>
    <t>융 콘센트</t>
    <phoneticPr fontId="21" type="noConversion"/>
  </si>
  <si>
    <t>기타</t>
    <phoneticPr fontId="21" type="noConversion"/>
  </si>
  <si>
    <t>픽처레일</t>
    <phoneticPr fontId="21" type="noConversion"/>
  </si>
  <si>
    <t>미정 및 단가확인 필요</t>
    <phoneticPr fontId="21" type="noConversion"/>
  </si>
  <si>
    <t>유럽형 제어기(제작)</t>
    <phoneticPr fontId="21" type="noConversion"/>
  </si>
  <si>
    <t>구글 네스트 4세대</t>
    <phoneticPr fontId="21" type="noConversion"/>
  </si>
  <si>
    <t>그로헤 제드라 무광</t>
    <phoneticPr fontId="21" type="noConversion"/>
  </si>
  <si>
    <t>깜뽀르테 900</t>
    <phoneticPr fontId="21" type="noConversion"/>
  </si>
  <si>
    <t>하부장 상판</t>
    <phoneticPr fontId="21" type="noConversion"/>
  </si>
  <si>
    <t>인조대리석</t>
    <phoneticPr fontId="21" type="noConversion"/>
  </si>
  <si>
    <t>동생방</t>
    <phoneticPr fontId="21" type="noConversion"/>
  </si>
  <si>
    <t>언니방</t>
    <phoneticPr fontId="21" type="noConversion"/>
  </si>
  <si>
    <t>아버님방</t>
    <phoneticPr fontId="21" type="noConversion"/>
  </si>
  <si>
    <t>어머님방</t>
    <phoneticPr fontId="21" type="noConversion"/>
  </si>
  <si>
    <t>어머님방 가구</t>
    <phoneticPr fontId="21" type="noConversion"/>
  </si>
  <si>
    <t>아버님방 가구</t>
    <phoneticPr fontId="21" type="noConversion"/>
  </si>
  <si>
    <t>언니방 가구</t>
    <phoneticPr fontId="21" type="noConversion"/>
  </si>
  <si>
    <t>동생방 가구</t>
    <phoneticPr fontId="21" type="noConversion"/>
  </si>
  <si>
    <t>1구 실버</t>
    <phoneticPr fontId="21" type="noConversion"/>
  </si>
  <si>
    <t>고객지급</t>
    <phoneticPr fontId="21" type="noConversion"/>
  </si>
  <si>
    <t>NEO N-55-WB 다운라이트 7W</t>
    <phoneticPr fontId="21" type="noConversion"/>
  </si>
  <si>
    <t>친환경 수성 페인트</t>
    <phoneticPr fontId="21" type="noConversion"/>
  </si>
  <si>
    <t>동생방 화장실</t>
    <phoneticPr fontId="21" type="noConversion"/>
  </si>
  <si>
    <t>어머님방 화장실</t>
    <phoneticPr fontId="21" type="noConversion"/>
  </si>
  <si>
    <t>일반 제로크</t>
    <phoneticPr fontId="21" type="noConversion"/>
  </si>
  <si>
    <t>제로크 프라임</t>
    <phoneticPr fontId="21" type="noConversion"/>
  </si>
  <si>
    <t>거실,동생방 화장실</t>
    <phoneticPr fontId="21" type="noConversion"/>
  </si>
  <si>
    <t>제작 거울</t>
    <phoneticPr fontId="21" type="noConversion"/>
  </si>
  <si>
    <t>줄눈</t>
    <phoneticPr fontId="21" type="noConversion"/>
  </si>
  <si>
    <t>케라폭시</t>
    <phoneticPr fontId="21" type="noConversion"/>
  </si>
  <si>
    <t>마페이 케라폭시</t>
    <phoneticPr fontId="21" type="noConversion"/>
  </si>
  <si>
    <t>GRIGIO CHIARO 600*1200</t>
    <phoneticPr fontId="21" type="noConversion"/>
  </si>
  <si>
    <t>동생방 화장실 벽 타일</t>
    <phoneticPr fontId="21" type="noConversion"/>
  </si>
  <si>
    <t>동생방 화장실 바닥 타일</t>
    <phoneticPr fontId="21" type="noConversion"/>
  </si>
  <si>
    <t>동생방 화장실  세면대 타일</t>
    <phoneticPr fontId="21" type="noConversion"/>
  </si>
  <si>
    <t>어머님방 화장실 벽 타일</t>
    <phoneticPr fontId="21" type="noConversion"/>
  </si>
  <si>
    <t>어머님방 화장실 바닥 타일</t>
    <phoneticPr fontId="21" type="noConversion"/>
  </si>
  <si>
    <t>어머님방 화장실 세면대 타일</t>
    <phoneticPr fontId="21" type="noConversion"/>
  </si>
  <si>
    <t>거실 화장실 벽 타일</t>
    <phoneticPr fontId="21" type="noConversion"/>
  </si>
  <si>
    <t>거실 화장실 바닥 타일</t>
    <phoneticPr fontId="21" type="noConversion"/>
  </si>
  <si>
    <t>거실 화장실 세면대 타일</t>
    <phoneticPr fontId="21" type="noConversion"/>
  </si>
  <si>
    <t>도장</t>
    <phoneticPr fontId="21" type="noConversion"/>
  </si>
  <si>
    <t>세탁실 및 발코니</t>
    <phoneticPr fontId="21" type="noConversion"/>
  </si>
  <si>
    <t>어머님 방</t>
    <phoneticPr fontId="21" type="noConversion"/>
  </si>
  <si>
    <t>화장실 가구</t>
    <phoneticPr fontId="21" type="noConversion"/>
  </si>
  <si>
    <t>동생방, 어머님방</t>
    <phoneticPr fontId="21" type="noConversion"/>
  </si>
  <si>
    <t>유리도어 / 손잡이 제외</t>
    <phoneticPr fontId="21" type="noConversion"/>
  </si>
  <si>
    <t>유리도어 / 픽스 유리 / 손잡이 제외</t>
    <phoneticPr fontId="21" type="noConversion"/>
  </si>
  <si>
    <t>허니웰 TH4</t>
    <phoneticPr fontId="21" type="noConversion"/>
  </si>
  <si>
    <t>허니웰 DT30</t>
    <phoneticPr fontId="21" type="noConversion"/>
  </si>
  <si>
    <t>펜트리 시스템 장</t>
    <phoneticPr fontId="21" type="noConversion"/>
  </si>
  <si>
    <t>선반형</t>
    <phoneticPr fontId="21" type="noConversion"/>
  </si>
  <si>
    <t>도어 및 선반</t>
    <phoneticPr fontId="21" type="noConversion"/>
  </si>
  <si>
    <t>아버님방 대피공간</t>
    <phoneticPr fontId="21" type="noConversion"/>
  </si>
  <si>
    <t>NEO 17MG 블랙</t>
    <phoneticPr fontId="21" type="noConversion"/>
  </si>
  <si>
    <t>LIME STONE ROCOCO WHITE 6T</t>
    <phoneticPr fontId="21" type="noConversion"/>
  </si>
  <si>
    <t>벽걸이 세면대</t>
    <phoneticPr fontId="2" type="noConversion"/>
  </si>
  <si>
    <t>콜러 24985k-1-0</t>
    <phoneticPr fontId="21" type="noConversion"/>
  </si>
  <si>
    <t>어머님 방 화장실</t>
    <phoneticPr fontId="21" type="noConversion"/>
  </si>
  <si>
    <t>거실, 동생방 화장실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</si>
</sst>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₩&quot;#,##0;\-&quot;₩&quot;#,##0"/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&quot;$&quot;#,##0.00_);\(&quot;$&quot;#,##0.00\)"/>
    <numFmt numFmtId="177" formatCode="_(&quot;$&quot;* #,##0.00_);_(&quot;$&quot;* \(#,##0.00\);_(&quot;$&quot;* &quot;-&quot;??_);_(@_)"/>
    <numFmt numFmtId="178" formatCode="_ &quot;₩&quot;* #,##0_ ;_ &quot;₩&quot;* \-#,##0_ ;_ &quot;₩&quot;* &quot;-&quot;_ ;_ @_ "/>
    <numFmt numFmtId="179" formatCode="_ * #,##0_ ;_ * \-#,##0_ ;_ * &quot;-&quot;_ ;_ @_ "/>
    <numFmt numFmtId="180" formatCode="_ * #,##0.00_ ;_ * \-#,##0.00_ ;_ * &quot;-&quot;??_ ;_ @_ "/>
    <numFmt numFmtId="181" formatCode="&quot;₩&quot;#,##0.00;[Red]&quot;₩&quot;\-#,##0.00"/>
    <numFmt numFmtId="182" formatCode="\$#,##0\ ;\(\$#,##0\)"/>
    <numFmt numFmtId="183" formatCode="0.0%"/>
    <numFmt numFmtId="184" formatCode="&quot;(&quot;###.00&quot;)&quot;"/>
    <numFmt numFmtId="185" formatCode="_ &quot;₩&quot;* #,##0.00_ ;_ &quot;₩&quot;* \-#,##0.00_ ;_ &quot;₩&quot;* &quot;-&quot;??_ ;_ @_ "/>
    <numFmt numFmtId="186" formatCode="[Red]\+#;[Red]\-#;[Red]0"/>
    <numFmt numFmtId="187" formatCode="#,##0;[Red]&quot;△&quot;#,##0"/>
    <numFmt numFmtId="188" formatCode="#,##0_ ;[Red]&quot;△&quot;#,##0\ "/>
    <numFmt numFmtId="189" formatCode="#,##0.0;[Red]#,##0.0;&quot; &quot;"/>
    <numFmt numFmtId="190" formatCode="yyyy&quot;年&quot;m&quot;月&quot;d&quot;日&quot;"/>
    <numFmt numFmtId="191" formatCode="0.0000%"/>
    <numFmt numFmtId="192" formatCode="0.0%;[Red]\(0.0%\)"/>
    <numFmt numFmtId="193" formatCode="#,##0&quot; 원&quot;"/>
    <numFmt numFmtId="194" formatCode="#,##0.00;[Red]#,##0.00;&quot; &quot;"/>
    <numFmt numFmtId="195" formatCode="#."/>
    <numFmt numFmtId="196" formatCode="&quot;₩&quot;#,##0;&quot;₩&quot;&quot;₩&quot;&quot;₩&quot;&quot;₩&quot;\-#,##0"/>
    <numFmt numFmtId="197" formatCode="0.0%;[Red]&quot;△&quot;0.0%"/>
    <numFmt numFmtId="198" formatCode="0.00%;[Red]&quot;△&quot;0.00%"/>
    <numFmt numFmtId="199" formatCode="#,##0_ ;[Red]\-#,##0\ "/>
    <numFmt numFmtId="200" formatCode="General_)"/>
    <numFmt numFmtId="201" formatCode="_-* #,##0;\-* #,##0;_-* &quot;-&quot;;_-@"/>
    <numFmt numFmtId="202" formatCode="#,##0;[Red]&quot;-&quot;#,##0"/>
    <numFmt numFmtId="203" formatCode="&quot;  &quot;@"/>
    <numFmt numFmtId="204" formatCode="#,##0.0#####\ ;[Red]\-#,##0.0#####\ "/>
    <numFmt numFmtId="205" formatCode="#,##0_ "/>
    <numFmt numFmtId="206" formatCode="#,##0\ ;[Red]&quot;-&quot;#,##0\ "/>
    <numFmt numFmtId="207" formatCode="* #,##0\ ;[Red]* &quot;-&quot;#,##0\ "/>
    <numFmt numFmtId="208" formatCode="_-* #,##0.000_-;\-* #,##0.000_-;_-* &quot;-&quot;_-;_-@_-"/>
    <numFmt numFmtId="209" formatCode="#,##0.####;[Red]&quot;-&quot;#,##0.####"/>
    <numFmt numFmtId="210" formatCode="_-* #,##0.00_-;&quot;₩&quot;&quot;₩&quot;\-* #,##0.00_-;_-* &quot;-&quot;??_-;_-@_-"/>
    <numFmt numFmtId="211" formatCode="_-&quot;₩&quot;* #,##0.00_-;&quot;₩&quot;&quot;₩&quot;\-&quot;₩&quot;* #,##0.00_-;_-&quot;₩&quot;* &quot;-&quot;??_-;_-@_-"/>
    <numFmt numFmtId="212" formatCode="&quot;₩&quot;#,##0.00;&quot;₩&quot;&quot;₩&quot;&quot;₩&quot;&quot;₩&quot;\-#,##0.00"/>
    <numFmt numFmtId="213" formatCode="_ &quot;₩&quot;\ * #,##0_ ;_ &quot;₩&quot;\ * \-#,##0_ ;_ &quot;₩&quot;\ * &quot;-&quot;_ ;_ @_ "/>
    <numFmt numFmtId="214" formatCode="yy\.mm\.dd"/>
    <numFmt numFmtId="215" formatCode="General&quot;·&quot;"/>
    <numFmt numFmtId="216" formatCode="\$#.00"/>
    <numFmt numFmtId="217" formatCode="_-[$€-2]* #,##0.00_-;\-[$€-2]* #,##0.00_-;_-[$€-2]* &quot;-&quot;??_-"/>
    <numFmt numFmtId="218" formatCode="&quot;Fr.&quot;\ #,##0;[Red]&quot;Fr.&quot;\ \-#,##0"/>
    <numFmt numFmtId="219" formatCode="&quot;Fr.&quot;\ #,##0.00;[Red]&quot;Fr.&quot;\ \-#,##0.00"/>
    <numFmt numFmtId="220" formatCode="%#.00"/>
    <numFmt numFmtId="221" formatCode="0.00_);[Red]\(0.00\)"/>
    <numFmt numFmtId="222" formatCode="_-* #,##0_-;\-* #,##0_-;_-* &quot;-&quot;??_-;_-@_-"/>
    <numFmt numFmtId="223" formatCode="&quot;₩&quot;#,##0"/>
  </numFmts>
  <fonts count="156">
    <font>
      <sz val="10"/>
      <name val="돋움체"/>
      <family val="3"/>
      <charset val="129"/>
    </font>
    <font>
      <sz val="10"/>
      <name val="돋움체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2"/>
      <name val="Arial"/>
      <family val="2"/>
    </font>
    <font>
      <sz val="9"/>
      <name val="굴림체"/>
      <family val="3"/>
      <charset val="129"/>
    </font>
    <font>
      <sz val="10"/>
      <name val="Arial"/>
      <family val="2"/>
    </font>
    <font>
      <sz val="10"/>
      <name val="굴림체"/>
      <family val="3"/>
      <charset val="129"/>
    </font>
    <font>
      <sz val="12"/>
      <name val="바탕체"/>
      <family val="1"/>
      <charset val="129"/>
    </font>
    <font>
      <u/>
      <sz val="11"/>
      <color indexed="36"/>
      <name val="굴림체"/>
      <family val="3"/>
      <charset val="129"/>
    </font>
    <font>
      <sz val="12"/>
      <color indexed="24"/>
      <name val="바탕체"/>
      <family val="1"/>
      <charset val="129"/>
    </font>
    <font>
      <sz val="12"/>
      <name val="돋움체"/>
      <family val="3"/>
      <charset val="129"/>
    </font>
    <font>
      <sz val="12"/>
      <name val="¹UAAA¼"/>
      <family val="3"/>
      <charset val="129"/>
    </font>
    <font>
      <b/>
      <sz val="10"/>
      <name val="Helv"/>
      <family val="2"/>
    </font>
    <font>
      <sz val="10"/>
      <color indexed="24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name val="Helv"/>
      <family val="2"/>
    </font>
    <font>
      <sz val="10"/>
      <name val="돋움"/>
      <family val="3"/>
      <charset val="129"/>
    </font>
    <font>
      <sz val="8"/>
      <name val="돋움체"/>
      <family val="3"/>
      <charset val="129"/>
    </font>
    <font>
      <sz val="10"/>
      <name val="MS Sans Serif"/>
      <family val="2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0"/>
      <name val="명조"/>
      <family val="3"/>
      <charset val="129"/>
    </font>
    <font>
      <sz val="12"/>
      <name val="¹????¼"/>
      <family val="3"/>
      <charset val="129"/>
    </font>
    <font>
      <sz val="12"/>
      <name val="±¼¸²?¼"/>
      <family val="3"/>
      <charset val="129"/>
    </font>
    <font>
      <sz val="14"/>
      <name val="AngsanaUPC"/>
      <family val="1"/>
    </font>
    <font>
      <sz val="12"/>
      <name val="COUR"/>
      <family val="3"/>
    </font>
    <font>
      <sz val="11"/>
      <name val="ⓒoUAAA¨u"/>
      <family val="1"/>
      <charset val="129"/>
    </font>
    <font>
      <sz val="10"/>
      <name val="Helv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sz val="11"/>
      <name val="￥i￠￢￠?o"/>
      <family val="3"/>
      <charset val="129"/>
    </font>
    <font>
      <sz val="12"/>
      <name val="Times New Roman"/>
      <family val="1"/>
    </font>
    <font>
      <u/>
      <sz val="10"/>
      <color indexed="36"/>
      <name val="Arial"/>
      <family val="2"/>
    </font>
    <font>
      <sz val="11"/>
      <name val="바탕체"/>
      <family val="1"/>
      <charset val="129"/>
    </font>
    <font>
      <sz val="9"/>
      <name val="돋움체"/>
      <family val="3"/>
      <charset val="129"/>
    </font>
    <font>
      <sz val="12"/>
      <name val="돋움"/>
      <family val="3"/>
      <charset val="129"/>
    </font>
    <font>
      <sz val="10"/>
      <name val="Courier New"/>
      <family val="3"/>
    </font>
    <font>
      <sz val="10"/>
      <name val="옛체"/>
      <family val="1"/>
      <charset val="129"/>
    </font>
    <font>
      <sz val="1"/>
      <color indexed="0"/>
      <name val="Courier"/>
      <family val="3"/>
    </font>
    <font>
      <sz val="12"/>
      <name val="Arial"/>
      <family val="2"/>
    </font>
    <font>
      <sz val="9"/>
      <name val="바탕체"/>
      <family val="1"/>
      <charset val="129"/>
    </font>
    <font>
      <b/>
      <sz val="1"/>
      <color indexed="8"/>
      <name val="Courier"/>
      <family val="3"/>
    </font>
    <font>
      <sz val="12"/>
      <name val="명조"/>
      <family val="3"/>
      <charset val="129"/>
    </font>
    <font>
      <sz val="11"/>
      <name val="굴림체"/>
      <family val="3"/>
      <charset val="129"/>
    </font>
    <font>
      <sz val="10"/>
      <name val="바탕체"/>
      <family val="1"/>
      <charset val="129"/>
    </font>
    <font>
      <sz val="1"/>
      <color indexed="8"/>
      <name val="Courier"/>
      <family val="3"/>
    </font>
    <font>
      <sz val="10"/>
      <color indexed="10"/>
      <name val="돋움체"/>
      <family val="3"/>
      <charset val="129"/>
    </font>
    <font>
      <sz val="12"/>
      <name val="HP-TIMES"/>
      <family val="1"/>
    </font>
    <font>
      <sz val="10"/>
      <name val="바탕"/>
      <family val="1"/>
      <charset val="129"/>
    </font>
    <font>
      <b/>
      <sz val="12"/>
      <color indexed="16"/>
      <name val="굴림체"/>
      <family val="3"/>
      <charset val="129"/>
    </font>
    <font>
      <sz val="11"/>
      <name val="HY울릉도L"/>
      <family val="1"/>
      <charset val="129"/>
    </font>
    <font>
      <sz val="18"/>
      <name val="돋움체"/>
      <family val="3"/>
      <charset val="129"/>
    </font>
    <font>
      <b/>
      <sz val="16"/>
      <name val="돋움체"/>
      <family val="3"/>
      <charset val="129"/>
    </font>
    <font>
      <sz val="10"/>
      <name val="굴림"/>
      <family val="3"/>
      <charset val="129"/>
    </font>
    <font>
      <sz val="18"/>
      <name val="바탕체"/>
      <family val="1"/>
      <charset val="129"/>
    </font>
    <font>
      <sz val="11"/>
      <name val="돋움체"/>
      <family val="3"/>
      <charset val="129"/>
    </font>
    <font>
      <b/>
      <sz val="14"/>
      <name val="Arial"/>
      <family val="2"/>
    </font>
    <font>
      <sz val="12"/>
      <name val="ⓒoUAAA¨u"/>
      <family val="1"/>
      <charset val="129"/>
    </font>
    <font>
      <sz val="12"/>
      <name val="©öUAAA¨ù"/>
      <family val="3"/>
      <charset val="129"/>
    </font>
    <font>
      <sz val="10"/>
      <name val="¹ÙÅÁÃ¼"/>
      <family val="3"/>
      <charset val="129"/>
    </font>
    <font>
      <sz val="12"/>
      <name val="¹ÙÅÁÃ¼"/>
      <family val="3"/>
      <charset val="129"/>
    </font>
    <font>
      <sz val="11"/>
      <name val="µ¸¿ò"/>
      <family val="3"/>
      <charset val="129"/>
    </font>
    <font>
      <sz val="12"/>
      <name val="±¼¸²A¼"/>
      <family val="3"/>
      <charset val="129"/>
    </font>
    <font>
      <sz val="11"/>
      <name val="μ¸¿oA¼"/>
      <family val="3"/>
      <charset val="129"/>
    </font>
    <font>
      <sz val="14"/>
      <name val="¾©"/>
      <family val="3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b/>
      <sz val="12"/>
      <name val="Arial MT"/>
      <family val="2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System"/>
      <family val="2"/>
      <charset val="129"/>
    </font>
    <font>
      <sz val="8"/>
      <name val="¹UAAA¼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sz val="10"/>
      <name val="¹UAAA¼"/>
      <family val="3"/>
      <charset val="129"/>
    </font>
    <font>
      <sz val="11"/>
      <name val="±¼¸²A¼"/>
      <family val="3"/>
      <charset val="129"/>
    </font>
    <font>
      <sz val="14"/>
      <name val="¹UAAA¼"/>
      <family val="3"/>
      <charset val="129"/>
    </font>
    <font>
      <sz val="9"/>
      <name val="Times New Roman"/>
      <family val="1"/>
    </font>
    <font>
      <u/>
      <sz val="10"/>
      <color indexed="12"/>
      <name val="Arial"/>
      <family val="2"/>
    </font>
    <font>
      <sz val="12"/>
      <name val="Arial MT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u/>
      <sz val="10"/>
      <color indexed="14"/>
      <name val="MS Sans Serif"/>
      <family val="2"/>
    </font>
    <font>
      <sz val="10"/>
      <name val="Geneva"/>
      <family val="2"/>
    </font>
    <font>
      <b/>
      <sz val="8"/>
      <name val="MS Sans Serif"/>
      <family val="2"/>
    </font>
    <font>
      <sz val="10"/>
      <name val="Univers (WN)"/>
      <family val="2"/>
    </font>
    <font>
      <u/>
      <sz val="10"/>
      <color indexed="12"/>
      <name val="MS Sans Serif"/>
      <family val="2"/>
    </font>
    <font>
      <sz val="7"/>
      <name val="Small Fonts"/>
      <family val="2"/>
    </font>
    <font>
      <sz val="8"/>
      <name val="Wingdings"/>
      <charset val="2"/>
    </font>
    <font>
      <sz val="8"/>
      <name val="Helv"/>
      <family val="2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sz val="8"/>
      <name val="MS Sans Serif"/>
      <family val="2"/>
    </font>
    <font>
      <b/>
      <sz val="8"/>
      <color indexed="8"/>
      <name val="Helv"/>
      <family val="2"/>
    </font>
    <font>
      <b/>
      <i/>
      <sz val="18"/>
      <color indexed="39"/>
      <name val="돋움체"/>
      <family val="3"/>
      <charset val="129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sz val="12"/>
      <name val="¾©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바탕"/>
      <family val="1"/>
      <charset val="129"/>
    </font>
    <font>
      <b/>
      <sz val="14"/>
      <name val="에스코어 드림 5 Medium"/>
      <family val="2"/>
      <charset val="129"/>
    </font>
    <font>
      <sz val="10"/>
      <name val="에스코어 드림 5 Medium"/>
      <family val="2"/>
      <charset val="129"/>
    </font>
    <font>
      <b/>
      <sz val="10"/>
      <color theme="0"/>
      <name val="에스코어 드림 5 Medium"/>
      <family val="2"/>
      <charset val="129"/>
    </font>
    <font>
      <b/>
      <sz val="10"/>
      <name val="에스코어 드림 5 Medium"/>
      <family val="2"/>
      <charset val="129"/>
    </font>
    <font>
      <sz val="9"/>
      <name val="에스코어 드림 5 Medium"/>
      <family val="2"/>
      <charset val="129"/>
    </font>
    <font>
      <b/>
      <sz val="9"/>
      <name val="에스코어 드림 5 Medium"/>
      <family val="2"/>
      <charset val="129"/>
    </font>
    <font>
      <sz val="9"/>
      <color rgb="FFFF0000"/>
      <name val="에스코어 드림 5 Medium"/>
      <family val="2"/>
      <charset val="129"/>
    </font>
    <font>
      <b/>
      <sz val="18"/>
      <name val="에스코어 드림 6 Bold"/>
      <family val="2"/>
      <charset val="129"/>
    </font>
    <font>
      <sz val="12"/>
      <name val="에스코어 드림 6 Bold"/>
      <family val="2"/>
      <charset val="129"/>
    </font>
    <font>
      <sz val="10"/>
      <name val="에스코어 드림 6 Bold"/>
      <family val="2"/>
      <charset val="129"/>
    </font>
    <font>
      <b/>
      <sz val="12"/>
      <name val="에스코어 드림 6 Bold"/>
      <family val="2"/>
      <charset val="129"/>
    </font>
    <font>
      <sz val="11"/>
      <name val="에스코어 드림 6 Bold"/>
      <family val="2"/>
      <charset val="129"/>
    </font>
    <font>
      <sz val="9"/>
      <name val="에스코어 드림 6 Bold"/>
      <family val="2"/>
      <charset val="129"/>
    </font>
    <font>
      <b/>
      <sz val="9"/>
      <name val="에스코어 드림 6 Bold"/>
      <family val="2"/>
      <charset val="129"/>
    </font>
    <font>
      <sz val="18"/>
      <name val="에스코어 드림 6 Bold"/>
      <family val="2"/>
      <charset val="129"/>
    </font>
    <font>
      <b/>
      <sz val="14"/>
      <name val="에스코어 드림 4 Regular"/>
      <family val="2"/>
      <charset val="129"/>
    </font>
    <font>
      <sz val="10"/>
      <name val="에스코어 드림 4 Regular"/>
      <family val="2"/>
      <charset val="129"/>
    </font>
    <font>
      <sz val="14"/>
      <name val="에스코어 드림 4 Regular"/>
      <family val="2"/>
      <charset val="129"/>
    </font>
    <font>
      <b/>
      <sz val="10"/>
      <color theme="0"/>
      <name val="에스코어 드림 4 Regular"/>
      <family val="2"/>
      <charset val="129"/>
    </font>
    <font>
      <b/>
      <sz val="10"/>
      <name val="에스코어 드림 4 Regular"/>
      <family val="2"/>
      <charset val="129"/>
    </font>
    <font>
      <b/>
      <sz val="9"/>
      <name val="에스코어 드림 4 Regular"/>
      <family val="2"/>
      <charset val="129"/>
    </font>
    <font>
      <sz val="9"/>
      <name val="에스코어 드림 4 Regular"/>
      <family val="2"/>
      <charset val="129"/>
    </font>
    <font>
      <b/>
      <sz val="9"/>
      <color theme="0"/>
      <name val="에스코어 드림 4 Regular"/>
      <family val="2"/>
      <charset val="129"/>
    </font>
    <font>
      <sz val="9"/>
      <color theme="0"/>
      <name val="에스코어 드림 4 Regular"/>
      <family val="2"/>
      <charset val="129"/>
    </font>
    <font>
      <b/>
      <sz val="9"/>
      <color theme="0"/>
      <name val="에스코어 드림 5 Medium"/>
      <family val="2"/>
      <charset val="129"/>
    </font>
    <font>
      <sz val="9"/>
      <name val="에스코어 드림 5 Medium"/>
      <family val="3"/>
      <charset val="129"/>
    </font>
    <font>
      <sz val="9"/>
      <color rgb="FFFF0000"/>
      <name val="에스코어 드림 5 Medium"/>
      <family val="3"/>
      <charset val="129"/>
    </font>
    <font>
      <sz val="9"/>
      <name val="맑은 고딕"/>
      <family val="2"/>
      <charset val="129"/>
    </font>
    <font>
      <sz val="9"/>
      <name val="Arial Unicode MS"/>
      <family val="2"/>
      <charset val="129"/>
    </font>
    <font>
      <sz val="9"/>
      <name val="굴림"/>
      <family val="2"/>
      <charset val="129"/>
    </font>
    <font>
      <sz val="9"/>
      <name val="Calibri"/>
      <family val="2"/>
    </font>
    <font>
      <b/>
      <sz val="9"/>
      <name val="굴림"/>
      <family val="2"/>
      <charset val="129"/>
    </font>
    <font>
      <b/>
      <sz val="9"/>
      <color rgb="FFFFFF00"/>
      <name val="에스코어 드림 5 Medium"/>
      <family val="3"/>
      <charset val="129"/>
    </font>
    <font>
      <strike/>
      <sz val="9"/>
      <color rgb="FFFF0000"/>
      <name val="에스코어 드림 5 Medium"/>
      <family val="2"/>
      <charset val="129"/>
    </font>
    <font>
      <sz val="9"/>
      <color theme="1"/>
      <name val="에스코어 드림 5 Medium"/>
      <family val="2"/>
      <charset val="129"/>
    </font>
    <font>
      <sz val="9"/>
      <color rgb="FFFF0000"/>
      <name val="맑은 고딕"/>
      <family val="2"/>
      <charset val="129"/>
    </font>
    <font>
      <b/>
      <sz val="9"/>
      <color rgb="FFFF0000"/>
      <name val="맑은 고딕"/>
      <family val="3"/>
      <charset val="129"/>
    </font>
    <font>
      <b/>
      <sz val="9"/>
      <color rgb="FFFF0000"/>
      <name val="에스코어 드림 5 Medium"/>
      <family val="2"/>
      <charset val="129"/>
    </font>
    <font>
      <b/>
      <sz val="9"/>
      <color rgb="FFFF0000"/>
      <name val="에스코어 드림 5 Medium"/>
      <family val="3"/>
      <charset val="129"/>
    </font>
    <font>
      <sz val="11"/>
      <name val="맑은 고딕"/>
      <family val="3"/>
      <charset val="129"/>
    </font>
    <font>
      <sz val="11"/>
      <name val="에스코어 드림 6 Bold"/>
      <family val="3"/>
      <charset val="129"/>
    </font>
    <font>
      <b/>
      <sz val="9"/>
      <name val="에스코어 드림 5 Medium"/>
      <family val="3"/>
      <charset val="129"/>
    </font>
    <font>
      <sz val="9"/>
      <color rgb="FFFF0000"/>
      <name val="에스코어 드림 5 Medium"/>
      <charset val="129"/>
    </font>
    <font>
      <b/>
      <sz val="9"/>
      <color rgb="FFFF0000"/>
      <name val="에스코어 드림 5 Medium"/>
      <charset val="129"/>
    </font>
    <font>
      <sz val="8"/>
      <name val="에스코어 드림 6 Bold"/>
      <family val="2"/>
      <charset val="129"/>
    </font>
    <font>
      <b/>
      <sz val="11"/>
      <name val="에스코어 드림 6 Bold"/>
      <family val="3"/>
      <charset val="129"/>
    </font>
    <font>
      <sz val="9"/>
      <name val="에스코어 드림 5 Medium"/>
      <charset val="129"/>
    </font>
    <font>
      <b/>
      <sz val="9"/>
      <name val="에스코어 드림 5 Medium"/>
      <charset val="129"/>
    </font>
    <font>
      <sz val="9"/>
      <name val="Arial Unicode MS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darkVertical"/>
    </fill>
    <fill>
      <patternFill patternType="solid">
        <fgColor indexed="10"/>
      </patternFill>
    </fill>
    <fill>
      <patternFill patternType="solid">
        <fgColor indexed="15"/>
      </patternFill>
    </fill>
    <fill>
      <patternFill patternType="solid">
        <fgColor rgb="FF1E44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hair">
        <color indexed="64"/>
      </right>
      <top style="hair">
        <color indexed="64"/>
      </top>
      <bottom/>
      <diagonal/>
    </border>
    <border>
      <left style="thin">
        <color auto="1"/>
      </left>
      <right style="hair">
        <color indexed="64"/>
      </right>
      <top/>
      <bottom style="hair">
        <color indexed="64"/>
      </bottom>
      <diagonal/>
    </border>
    <border>
      <left style="thin">
        <color auto="1"/>
      </left>
      <right/>
      <top style="hair">
        <color indexed="64"/>
      </top>
      <bottom/>
      <diagonal/>
    </border>
    <border>
      <left/>
      <right style="thin">
        <color auto="1"/>
      </right>
      <top style="hair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</borders>
  <cellStyleXfs count="2868">
    <xf numFmtId="0" fontId="0" fillId="0" borderId="0"/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22" fillId="0" borderId="1">
      <alignment horizontal="center"/>
    </xf>
    <xf numFmtId="3" fontId="11" fillId="0" borderId="2"/>
    <xf numFmtId="24" fontId="22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84" fontId="1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5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 applyFont="0" applyFill="0" applyBorder="0" applyAlignment="0" applyProtection="0"/>
    <xf numFmtId="0" fontId="6" fillId="0" borderId="0" applyFont="0" applyFill="0" applyBorder="0" applyAlignment="0" applyProtection="0"/>
    <xf numFmtId="178" fontId="26" fillId="0" borderId="0" applyFont="0" applyFill="0" applyBorder="0" applyAlignment="0" applyProtection="0"/>
    <xf numFmtId="185" fontId="26" fillId="0" borderId="0" applyFont="0" applyFill="0" applyBorder="0" applyAlignment="0" applyProtection="0"/>
    <xf numFmtId="0" fontId="27" fillId="0" borderId="0"/>
    <xf numFmtId="0" fontId="28" fillId="0" borderId="0"/>
    <xf numFmtId="0" fontId="6" fillId="0" borderId="0" applyNumberFormat="0" applyFill="0" applyBorder="0" applyAlignment="0" applyProtection="0"/>
    <xf numFmtId="179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6" fillId="0" borderId="0"/>
    <xf numFmtId="0" fontId="6" fillId="0" borderId="0" applyNumberFormat="0" applyFill="0" applyBorder="0" applyAlignment="0" applyProtection="0"/>
    <xf numFmtId="0" fontId="29" fillId="2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7" fillId="0" borderId="0"/>
    <xf numFmtId="0" fontId="7" fillId="0" borderId="0"/>
    <xf numFmtId="0" fontId="30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3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31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3" fillId="0" borderId="0" applyFont="0" applyFill="0" applyBorder="0" applyAlignment="0" applyProtection="0"/>
    <xf numFmtId="0" fontId="6" fillId="0" borderId="0"/>
    <xf numFmtId="0" fontId="6" fillId="0" borderId="0"/>
    <xf numFmtId="0" fontId="7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2" fillId="0" borderId="0"/>
    <xf numFmtId="0" fontId="22" fillId="0" borderId="0"/>
    <xf numFmtId="0" fontId="22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8" fillId="0" borderId="0" applyFont="0" applyFill="0" applyBorder="0" applyAlignment="0" applyProtection="0"/>
    <xf numFmtId="0" fontId="6" fillId="0" borderId="0"/>
    <xf numFmtId="0" fontId="22" fillId="0" borderId="0"/>
    <xf numFmtId="0" fontId="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3" fillId="0" borderId="0" applyFont="0" applyFill="0" applyBorder="0" applyAlignment="0" applyProtection="0"/>
    <xf numFmtId="0" fontId="3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22" fillId="0" borderId="0"/>
    <xf numFmtId="0" fontId="6" fillId="0" borderId="0"/>
    <xf numFmtId="0" fontId="22" fillId="0" borderId="0"/>
    <xf numFmtId="0" fontId="8" fillId="0" borderId="0"/>
    <xf numFmtId="0" fontId="22" fillId="0" borderId="0"/>
    <xf numFmtId="0" fontId="8" fillId="0" borderId="0" applyFont="0" applyFill="0" applyBorder="0" applyAlignment="0" applyProtection="0"/>
    <xf numFmtId="0" fontId="6" fillId="0" borderId="0"/>
    <xf numFmtId="0" fontId="22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22" fillId="0" borderId="0"/>
    <xf numFmtId="0" fontId="3" fillId="0" borderId="0" applyFont="0" applyFill="0" applyBorder="0" applyAlignment="0" applyProtection="0"/>
    <xf numFmtId="0" fontId="22" fillId="0" borderId="0"/>
    <xf numFmtId="0" fontId="3" fillId="0" borderId="0"/>
    <xf numFmtId="0" fontId="7" fillId="0" borderId="0"/>
    <xf numFmtId="0" fontId="22" fillId="0" borderId="0"/>
    <xf numFmtId="0" fontId="6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0" fontId="22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22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6" fillId="0" borderId="0"/>
    <xf numFmtId="0" fontId="31" fillId="0" borderId="0"/>
    <xf numFmtId="0" fontId="7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22" fillId="0" borderId="0"/>
    <xf numFmtId="0" fontId="6" fillId="0" borderId="0"/>
    <xf numFmtId="0" fontId="7" fillId="0" borderId="0"/>
    <xf numFmtId="0" fontId="6" fillId="0" borderId="0"/>
    <xf numFmtId="0" fontId="22" fillId="0" borderId="0"/>
    <xf numFmtId="0" fontId="6" fillId="0" borderId="0"/>
    <xf numFmtId="0" fontId="22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1" fillId="0" borderId="0"/>
    <xf numFmtId="0" fontId="31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22" fillId="0" borderId="0"/>
    <xf numFmtId="0" fontId="3" fillId="0" borderId="0"/>
    <xf numFmtId="0" fontId="22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7" fillId="0" borderId="0"/>
    <xf numFmtId="0" fontId="22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3" fillId="0" borderId="0"/>
    <xf numFmtId="0" fontId="6" fillId="0" borderId="0"/>
    <xf numFmtId="0" fontId="7" fillId="0" borderId="0"/>
    <xf numFmtId="0" fontId="22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7" fillId="0" borderId="0"/>
    <xf numFmtId="0" fontId="22" fillId="0" borderId="0"/>
    <xf numFmtId="0" fontId="7" fillId="0" borderId="0" applyFont="0" applyFill="0" applyBorder="0" applyAlignment="0" applyProtection="0"/>
    <xf numFmtId="0" fontId="22" fillId="0" borderId="0"/>
    <xf numFmtId="0" fontId="8" fillId="0" borderId="0" applyFont="0" applyFill="0" applyBorder="0" applyAlignment="0" applyProtection="0"/>
    <xf numFmtId="0" fontId="6" fillId="0" borderId="0"/>
    <xf numFmtId="0" fontId="34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5" fillId="0" borderId="0"/>
    <xf numFmtId="0" fontId="8" fillId="0" borderId="0" applyFont="0" applyFill="0" applyBorder="0" applyAlignment="0" applyProtection="0"/>
    <xf numFmtId="186" fontId="1" fillId="0" borderId="0" applyFont="0" applyFill="0" applyBorder="0" applyProtection="0">
      <alignment vertical="center"/>
    </xf>
    <xf numFmtId="0" fontId="12" fillId="0" borderId="0"/>
    <xf numFmtId="187" fontId="1" fillId="0" borderId="0">
      <alignment vertical="center"/>
    </xf>
    <xf numFmtId="188" fontId="1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2" fillId="0" borderId="0"/>
    <xf numFmtId="0" fontId="36" fillId="0" borderId="0" applyNumberFormat="0" applyFill="0" applyBorder="0" applyAlignment="0" applyProtection="0">
      <alignment vertical="top"/>
      <protection locked="0"/>
    </xf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102" fillId="0" borderId="0"/>
    <xf numFmtId="179" fontId="37" fillId="0" borderId="2">
      <alignment vertical="center"/>
    </xf>
    <xf numFmtId="0" fontId="7" fillId="0" borderId="0"/>
    <xf numFmtId="3" fontId="11" fillId="0" borderId="2"/>
    <xf numFmtId="3" fontId="11" fillId="0" borderId="2"/>
    <xf numFmtId="179" fontId="38" fillId="0" borderId="3" applyBorder="0">
      <alignment vertical="center"/>
    </xf>
    <xf numFmtId="189" fontId="39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3" fontId="40" fillId="0" borderId="4">
      <alignment horizontal="right" vertical="center"/>
    </xf>
    <xf numFmtId="189" fontId="39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89" fontId="39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0" fontId="41" fillId="0" borderId="0"/>
    <xf numFmtId="194" fontId="1" fillId="0" borderId="0">
      <alignment vertical="center"/>
    </xf>
    <xf numFmtId="0" fontId="3" fillId="0" borderId="0"/>
    <xf numFmtId="0" fontId="3" fillId="0" borderId="0">
      <protection locked="0"/>
    </xf>
    <xf numFmtId="195" fontId="42" fillId="0" borderId="0">
      <protection locked="0"/>
    </xf>
    <xf numFmtId="10" fontId="6" fillId="0" borderId="0" applyFont="0" applyFill="0" applyBorder="0" applyAlignment="0" applyProtection="0"/>
    <xf numFmtId="0" fontId="8" fillId="0" borderId="0"/>
    <xf numFmtId="0" fontId="8" fillId="0" borderId="5">
      <alignment horizontal="center"/>
    </xf>
    <xf numFmtId="2" fontId="40" fillId="0" borderId="4">
      <alignment horizontal="right" vertical="center"/>
    </xf>
    <xf numFmtId="194" fontId="1" fillId="0" borderId="6">
      <alignment vertical="center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9" fontId="8" fillId="0" borderId="0">
      <protection locked="0"/>
    </xf>
    <xf numFmtId="0" fontId="8" fillId="0" borderId="0"/>
    <xf numFmtId="0" fontId="43" fillId="0" borderId="0"/>
    <xf numFmtId="0" fontId="44" fillId="0" borderId="7">
      <alignment horizontal="center" vertical="center"/>
    </xf>
    <xf numFmtId="0" fontId="3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60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60" fillId="0" borderId="0" applyBorder="0" applyProtection="0">
      <alignment horizontal="centerContinuous"/>
    </xf>
    <xf numFmtId="0" fontId="60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0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0" fillId="0" borderId="0" applyBorder="0" applyProtection="0">
      <alignment horizontal="centerContinuous"/>
    </xf>
    <xf numFmtId="0" fontId="60" fillId="0" borderId="0" applyBorder="0" applyProtection="0">
      <alignment horizontal="centerContinuous"/>
    </xf>
    <xf numFmtId="0" fontId="60" fillId="0" borderId="0" applyBorder="0" applyProtection="0">
      <alignment horizontal="centerContinuous"/>
    </xf>
    <xf numFmtId="0" fontId="60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0" fillId="0" borderId="0" applyBorder="0" applyProtection="0">
      <alignment horizontal="centerContinuous"/>
    </xf>
    <xf numFmtId="179" fontId="61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195" fontId="42" fillId="0" borderId="0">
      <protection locked="0"/>
    </xf>
    <xf numFmtId="0" fontId="5" fillId="0" borderId="0">
      <protection locked="0"/>
    </xf>
    <xf numFmtId="195" fontId="42" fillId="0" borderId="0">
      <protection locked="0"/>
    </xf>
    <xf numFmtId="0" fontId="1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" fillId="0" borderId="0" applyFont="0" applyFill="0" applyBorder="0" applyAlignment="0" applyProtection="0"/>
    <xf numFmtId="213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178" fontId="64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5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6" fillId="0" borderId="0" applyFont="0" applyFill="0" applyBorder="0" applyAlignment="0" applyProtection="0"/>
    <xf numFmtId="42" fontId="67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" fillId="0" borderId="0" applyFont="0" applyFill="0" applyBorder="0" applyAlignment="0" applyProtection="0"/>
    <xf numFmtId="185" fontId="64" fillId="0" borderId="0" applyFont="0" applyFill="0" applyBorder="0" applyAlignment="0" applyProtection="0"/>
    <xf numFmtId="0" fontId="12" fillId="0" borderId="0" applyFont="0" applyFill="0" applyBorder="0" applyAlignment="0" applyProtection="0"/>
    <xf numFmtId="214" fontId="37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" fillId="0" borderId="0">
      <protection locked="0"/>
    </xf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178" fontId="61" fillId="0" borderId="0" applyFont="0" applyFill="0" applyBorder="0" applyAlignment="0" applyProtection="0"/>
    <xf numFmtId="185" fontId="61" fillId="0" borderId="0" applyFont="0" applyFill="0" applyBorder="0" applyAlignment="0" applyProtection="0"/>
    <xf numFmtId="0" fontId="22" fillId="0" borderId="0"/>
    <xf numFmtId="0" fontId="69" fillId="0" borderId="0">
      <alignment horizontal="center" wrapText="1"/>
      <protection locked="0"/>
    </xf>
    <xf numFmtId="195" fontId="42" fillId="0" borderId="0">
      <protection locked="0"/>
    </xf>
    <xf numFmtId="0" fontId="3" fillId="0" borderId="0">
      <protection locked="0"/>
    </xf>
    <xf numFmtId="195" fontId="42" fillId="0" borderId="0">
      <protection locked="0"/>
    </xf>
    <xf numFmtId="0" fontId="7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" fillId="0" borderId="0" applyFont="0" applyFill="0" applyBorder="0" applyAlignment="0" applyProtection="0"/>
    <xf numFmtId="180" fontId="65" fillId="0" borderId="0" applyFont="0" applyFill="0" applyBorder="0" applyAlignment="0" applyProtection="0"/>
    <xf numFmtId="14" fontId="3" fillId="0" borderId="0" applyFont="0" applyFill="0" applyBorder="0" applyAlignment="0" applyProtection="0"/>
    <xf numFmtId="0" fontId="57" fillId="0" borderId="0" applyFont="0" applyFill="0" applyBorder="0" applyAlignment="0" applyProtection="0">
      <alignment horizontal="right"/>
    </xf>
    <xf numFmtId="0" fontId="71" fillId="0" borderId="0"/>
    <xf numFmtId="0" fontId="72" fillId="0" borderId="0" applyNumberForma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73" fillId="0" borderId="0"/>
    <xf numFmtId="0" fontId="74" fillId="0" borderId="0"/>
    <xf numFmtId="0" fontId="61" fillId="0" borderId="0">
      <alignment vertical="center"/>
    </xf>
    <xf numFmtId="195" fontId="42" fillId="0" borderId="0">
      <protection locked="0"/>
    </xf>
    <xf numFmtId="0" fontId="75" fillId="0" borderId="0"/>
    <xf numFmtId="0" fontId="76" fillId="0" borderId="0"/>
    <xf numFmtId="0" fontId="77" fillId="0" borderId="0"/>
    <xf numFmtId="0" fontId="63" fillId="0" borderId="0"/>
    <xf numFmtId="0" fontId="77" fillId="0" borderId="0"/>
    <xf numFmtId="0" fontId="76" fillId="0" borderId="0"/>
    <xf numFmtId="0" fontId="78" fillId="0" borderId="0"/>
    <xf numFmtId="0" fontId="63" fillId="0" borderId="0"/>
    <xf numFmtId="0" fontId="74" fillId="0" borderId="0"/>
    <xf numFmtId="49" fontId="64" fillId="0" borderId="0" applyBorder="0"/>
    <xf numFmtId="0" fontId="79" fillId="0" borderId="0"/>
    <xf numFmtId="0" fontId="64" fillId="0" borderId="0"/>
    <xf numFmtId="0" fontId="66" fillId="0" borderId="0"/>
    <xf numFmtId="0" fontId="64" fillId="0" borderId="0"/>
    <xf numFmtId="0" fontId="12" fillId="0" borderId="0"/>
    <xf numFmtId="0" fontId="64" fillId="0" borderId="0"/>
    <xf numFmtId="0" fontId="80" fillId="0" borderId="0"/>
    <xf numFmtId="0" fontId="65" fillId="0" borderId="0"/>
    <xf numFmtId="37" fontId="12" fillId="0" borderId="0"/>
    <xf numFmtId="0" fontId="6" fillId="0" borderId="0"/>
    <xf numFmtId="0" fontId="70" fillId="0" borderId="0"/>
    <xf numFmtId="0" fontId="64" fillId="0" borderId="0"/>
    <xf numFmtId="0" fontId="6" fillId="0" borderId="0"/>
    <xf numFmtId="0" fontId="6" fillId="0" borderId="0"/>
    <xf numFmtId="215" fontId="8" fillId="0" borderId="0" applyFill="0" applyBorder="0" applyAlignment="0"/>
    <xf numFmtId="0" fontId="8" fillId="0" borderId="0" applyFill="0" applyBorder="0" applyAlignment="0"/>
    <xf numFmtId="0" fontId="81" fillId="0" borderId="0" applyFill="0" applyBorder="0" applyAlignment="0"/>
    <xf numFmtId="0" fontId="57" fillId="0" borderId="0" applyFill="0" applyBorder="0" applyAlignment="0"/>
    <xf numFmtId="0" fontId="57" fillId="0" borderId="0" applyFill="0" applyBorder="0" applyAlignment="0"/>
    <xf numFmtId="0" fontId="57" fillId="0" borderId="0" applyFill="0" applyBorder="0" applyAlignment="0"/>
    <xf numFmtId="0" fontId="57" fillId="0" borderId="0" applyFill="0" applyBorder="0" applyAlignment="0"/>
    <xf numFmtId="0" fontId="8" fillId="0" borderId="0" applyFill="0" applyBorder="0" applyAlignment="0"/>
    <xf numFmtId="0" fontId="13" fillId="0" borderId="0"/>
    <xf numFmtId="0" fontId="82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3" fillId="0" borderId="0">
      <protection locked="0"/>
    </xf>
    <xf numFmtId="4" fontId="49" fillId="0" borderId="0">
      <protection locked="0"/>
    </xf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7" fillId="0" borderId="0" applyFont="0" applyFill="0" applyBorder="0" applyAlignment="0" applyProtection="0"/>
    <xf numFmtId="0" fontId="8" fillId="0" borderId="0"/>
    <xf numFmtId="43" fontId="6" fillId="0" borderId="0" applyFont="0" applyFill="0" applyBorder="0" applyAlignment="0" applyProtection="0"/>
    <xf numFmtId="3" fontId="14" fillId="0" borderId="0" applyFont="0" applyFill="0" applyBorder="0" applyAlignment="0" applyProtection="0"/>
    <xf numFmtId="0" fontId="84" fillId="0" borderId="0" applyNumberFormat="0" applyAlignment="0">
      <alignment horizontal="left"/>
    </xf>
    <xf numFmtId="0" fontId="7" fillId="0" borderId="0" applyFont="0" applyFill="0" applyBorder="0" applyAlignment="0" applyProtection="0"/>
    <xf numFmtId="216" fontId="49" fillId="0" borderId="0">
      <protection locked="0"/>
    </xf>
    <xf numFmtId="0" fontId="22" fillId="0" borderId="0" applyFont="0" applyFill="0" applyBorder="0" applyAlignment="0" applyProtection="0"/>
    <xf numFmtId="0" fontId="8" fillId="0" borderId="0" applyFont="0" applyFill="0" applyBorder="0" applyAlignment="0" applyProtection="0"/>
    <xf numFmtId="177" fontId="6" fillId="0" borderId="0" applyFont="0" applyFill="0" applyBorder="0" applyAlignment="0" applyProtection="0"/>
    <xf numFmtId="182" fontId="14" fillId="0" borderId="0" applyFont="0" applyFill="0" applyBorder="0" applyAlignment="0" applyProtection="0"/>
    <xf numFmtId="0" fontId="6" fillId="0" borderId="0"/>
    <xf numFmtId="0" fontId="14" fillId="0" borderId="0" applyFont="0" applyFill="0" applyBorder="0" applyAlignment="0" applyProtection="0"/>
    <xf numFmtId="14" fontId="33" fillId="0" borderId="0" applyFill="0" applyBorder="0" applyAlignment="0"/>
    <xf numFmtId="0" fontId="6" fillId="0" borderId="0" applyFont="0" applyFill="0" applyBorder="0" applyAlignment="0" applyProtection="0"/>
    <xf numFmtId="0" fontId="6" fillId="0" borderId="8">
      <alignment vertical="center"/>
    </xf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8" fillId="0" borderId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57" fillId="0" borderId="0" applyFill="0" applyBorder="0" applyAlignment="0"/>
    <xf numFmtId="0" fontId="8" fillId="0" borderId="0" applyFill="0" applyBorder="0" applyAlignment="0"/>
    <xf numFmtId="0" fontId="57" fillId="0" borderId="0" applyFill="0" applyBorder="0" applyAlignment="0"/>
    <xf numFmtId="0" fontId="57" fillId="0" borderId="0" applyFill="0" applyBorder="0" applyAlignment="0"/>
    <xf numFmtId="0" fontId="8" fillId="0" borderId="0" applyFill="0" applyBorder="0" applyAlignment="0"/>
    <xf numFmtId="0" fontId="85" fillId="0" borderId="0" applyNumberFormat="0" applyAlignment="0">
      <alignment horizontal="left"/>
    </xf>
    <xf numFmtId="217" fontId="3" fillId="0" borderId="0" applyFont="0" applyFill="0" applyBorder="0" applyAlignment="0" applyProtection="0"/>
    <xf numFmtId="0" fontId="49" fillId="0" borderId="0">
      <protection locked="0"/>
    </xf>
    <xf numFmtId="0" fontId="49" fillId="0" borderId="0">
      <protection locked="0"/>
    </xf>
    <xf numFmtId="0" fontId="86" fillId="0" borderId="0">
      <protection locked="0"/>
    </xf>
    <xf numFmtId="0" fontId="49" fillId="0" borderId="0">
      <protection locked="0"/>
    </xf>
    <xf numFmtId="0" fontId="49" fillId="0" borderId="0">
      <protection locked="0"/>
    </xf>
    <xf numFmtId="0" fontId="49" fillId="0" borderId="0">
      <protection locked="0"/>
    </xf>
    <xf numFmtId="0" fontId="86" fillId="0" borderId="0">
      <protection locked="0"/>
    </xf>
    <xf numFmtId="3" fontId="14" fillId="0" borderId="0" applyFont="0" applyFill="0" applyBorder="0" applyAlignment="0" applyProtection="0"/>
    <xf numFmtId="2" fontId="14" fillId="0" borderId="0" applyFont="0" applyFill="0" applyBorder="0" applyAlignment="0" applyProtection="0"/>
    <xf numFmtId="0" fontId="87" fillId="0" borderId="0" applyNumberFormat="0" applyFill="0" applyBorder="0" applyAlignment="0" applyProtection="0"/>
    <xf numFmtId="2" fontId="88" fillId="0" borderId="0">
      <alignment horizontal="left"/>
    </xf>
    <xf numFmtId="38" fontId="15" fillId="3" borderId="0" applyNumberFormat="0" applyBorder="0" applyAlignment="0" applyProtection="0"/>
    <xf numFmtId="3" fontId="48" fillId="0" borderId="9">
      <alignment horizontal="right" vertical="center"/>
    </xf>
    <xf numFmtId="4" fontId="48" fillId="0" borderId="9">
      <alignment horizontal="right" vertical="center"/>
    </xf>
    <xf numFmtId="0" fontId="16" fillId="0" borderId="0">
      <alignment horizontal="left"/>
    </xf>
    <xf numFmtId="0" fontId="4" fillId="0" borderId="10" applyNumberFormat="0" applyAlignment="0" applyProtection="0">
      <alignment horizontal="left" vertical="center"/>
    </xf>
    <xf numFmtId="0" fontId="4" fillId="0" borderId="11">
      <alignment horizontal="left" vertical="center"/>
    </xf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95" fontId="45" fillId="0" borderId="0">
      <protection locked="0"/>
    </xf>
    <xf numFmtId="195" fontId="45" fillId="0" borderId="0">
      <protection locked="0"/>
    </xf>
    <xf numFmtId="0" fontId="89" fillId="0" borderId="12">
      <alignment horizontal="center"/>
    </xf>
    <xf numFmtId="0" fontId="89" fillId="0" borderId="0">
      <alignment horizont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0" fontId="15" fillId="3" borderId="2" applyNumberFormat="0" applyBorder="0" applyAlignment="0" applyProtection="0"/>
    <xf numFmtId="0" fontId="3" fillId="0" borderId="12">
      <protection locked="0"/>
    </xf>
    <xf numFmtId="0" fontId="57" fillId="0" borderId="0" applyFill="0" applyBorder="0" applyAlignment="0"/>
    <xf numFmtId="0" fontId="8" fillId="0" borderId="0" applyFill="0" applyBorder="0" applyAlignment="0"/>
    <xf numFmtId="0" fontId="57" fillId="0" borderId="0" applyFill="0" applyBorder="0" applyAlignment="0"/>
    <xf numFmtId="0" fontId="57" fillId="0" borderId="0" applyFill="0" applyBorder="0" applyAlignment="0"/>
    <xf numFmtId="0" fontId="8" fillId="0" borderId="0" applyFill="0" applyBorder="0" applyAlignment="0"/>
    <xf numFmtId="38" fontId="22" fillId="0" borderId="0" applyFont="0" applyFill="0" applyBorder="0" applyAlignment="0" applyProtection="0"/>
    <xf numFmtId="40" fontId="22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9" fillId="0" borderId="12"/>
    <xf numFmtId="218" fontId="22" fillId="0" borderId="0" applyFont="0" applyFill="0" applyBorder="0" applyAlignment="0" applyProtection="0"/>
    <xf numFmtId="219" fontId="22" fillId="0" borderId="0" applyFont="0" applyFill="0" applyBorder="0" applyAlignment="0" applyProtection="0"/>
    <xf numFmtId="5" fontId="14" fillId="0" borderId="0" applyFont="0" applyFill="0" applyBorder="0" applyAlignment="0" applyProtection="0"/>
    <xf numFmtId="37" fontId="92" fillId="0" borderId="0"/>
    <xf numFmtId="0" fontId="8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8" fillId="0" borderId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80" fontId="1" fillId="0" borderId="0">
      <alignment vertical="center"/>
    </xf>
    <xf numFmtId="14" fontId="69" fillId="0" borderId="0">
      <alignment horizontal="center" wrapText="1"/>
      <protection locked="0"/>
    </xf>
    <xf numFmtId="220" fontId="49" fillId="0" borderId="0">
      <protection locked="0"/>
    </xf>
    <xf numFmtId="0" fontId="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10" fontId="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ill="0" applyBorder="0" applyAlignment="0"/>
    <xf numFmtId="0" fontId="8" fillId="0" borderId="0" applyFill="0" applyBorder="0" applyAlignment="0"/>
    <xf numFmtId="0" fontId="57" fillId="0" borderId="0" applyFill="0" applyBorder="0" applyAlignment="0"/>
    <xf numFmtId="0" fontId="57" fillId="0" borderId="0" applyFill="0" applyBorder="0" applyAlignment="0"/>
    <xf numFmtId="0" fontId="8" fillId="0" borderId="0" applyFill="0" applyBorder="0" applyAlignment="0"/>
    <xf numFmtId="0" fontId="93" fillId="4" borderId="0" applyNumberFormat="0" applyFont="0" applyBorder="0" applyAlignment="0">
      <alignment horizontal="center"/>
    </xf>
    <xf numFmtId="14" fontId="94" fillId="0" borderId="0" applyNumberFormat="0" applyFill="0" applyBorder="0" applyAlignment="0" applyProtection="0">
      <alignment horizontal="left"/>
    </xf>
    <xf numFmtId="0" fontId="48" fillId="0" borderId="2" applyNumberFormat="0" applyFont="0" applyFill="0" applyAlignment="0" applyProtection="0"/>
    <xf numFmtId="0" fontId="8" fillId="0" borderId="0"/>
    <xf numFmtId="4" fontId="95" fillId="5" borderId="13" applyNumberFormat="0" applyProtection="0">
      <alignment vertical="center"/>
    </xf>
    <xf numFmtId="4" fontId="96" fillId="6" borderId="13" applyNumberFormat="0" applyProtection="0">
      <alignment horizontal="right" vertical="center"/>
    </xf>
    <xf numFmtId="221" fontId="1" fillId="0" borderId="0">
      <alignment horizontal="right" vertical="center"/>
    </xf>
    <xf numFmtId="0" fontId="93" fillId="1" borderId="11" applyNumberFormat="0" applyFont="0" applyAlignment="0">
      <alignment horizontal="center"/>
    </xf>
    <xf numFmtId="0" fontId="97" fillId="0" borderId="0" applyNumberFormat="0" applyFill="0" applyBorder="0" applyAlignment="0">
      <alignment horizontal="center"/>
    </xf>
    <xf numFmtId="221" fontId="1" fillId="0" borderId="0">
      <alignment vertical="distributed"/>
    </xf>
    <xf numFmtId="0" fontId="3" fillId="0" borderId="0">
      <alignment horizontal="center"/>
    </xf>
    <xf numFmtId="0" fontId="19" fillId="0" borderId="0"/>
    <xf numFmtId="40" fontId="98" fillId="0" borderId="0" applyBorder="0">
      <alignment horizontal="right"/>
    </xf>
    <xf numFmtId="49" fontId="33" fillId="0" borderId="0" applyFill="0" applyBorder="0" applyAlignment="0"/>
    <xf numFmtId="0" fontId="57" fillId="0" borderId="0" applyFill="0" applyBorder="0" applyAlignment="0"/>
    <xf numFmtId="0" fontId="57" fillId="0" borderId="0" applyFill="0" applyBorder="0" applyAlignment="0"/>
    <xf numFmtId="49" fontId="99" fillId="0" borderId="0" applyFill="0" applyBorder="0" applyProtection="0">
      <alignment horizontal="centerContinuous" vertical="center"/>
    </xf>
    <xf numFmtId="0" fontId="100" fillId="0" borderId="0" applyFill="0" applyBorder="0" applyProtection="0">
      <alignment horizontal="centerContinuous" vertical="center"/>
    </xf>
    <xf numFmtId="0" fontId="23" fillId="3" borderId="0" applyFill="0" applyBorder="0" applyProtection="0">
      <alignment horizontal="center" vertical="center"/>
    </xf>
    <xf numFmtId="49" fontId="99" fillId="0" borderId="0" applyFill="0" applyBorder="0" applyProtection="0">
      <alignment horizontal="centerContinuous" vertical="center"/>
    </xf>
    <xf numFmtId="0" fontId="14" fillId="0" borderId="14" applyNumberFormat="0" applyFont="0" applyFill="0" applyAlignment="0" applyProtection="0"/>
    <xf numFmtId="0" fontId="101" fillId="0" borderId="5">
      <alignment horizontal="left"/>
    </xf>
    <xf numFmtId="2" fontId="14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8" fillId="0" borderId="0">
      <protection locked="0"/>
    </xf>
    <xf numFmtId="38" fontId="23" fillId="0" borderId="0"/>
    <xf numFmtId="196" fontId="8" fillId="0" borderId="0">
      <protection locked="0"/>
    </xf>
    <xf numFmtId="0" fontId="45" fillId="0" borderId="0">
      <protection locked="0"/>
    </xf>
    <xf numFmtId="0" fontId="45" fillId="0" borderId="0">
      <protection locked="0"/>
    </xf>
    <xf numFmtId="0" fontId="46" fillId="0" borderId="0"/>
    <xf numFmtId="38" fontId="47" fillId="0" borderId="0"/>
    <xf numFmtId="187" fontId="7" fillId="0" borderId="15" applyFont="0" applyFill="0" applyBorder="0" applyAlignment="0">
      <alignment horizontal="left" vertical="center"/>
    </xf>
    <xf numFmtId="0" fontId="48" fillId="0" borderId="16" applyNumberFormat="0" applyFont="0" applyFill="0" applyAlignment="0" applyProtection="0"/>
    <xf numFmtId="0" fontId="48" fillId="0" borderId="17" applyNumberFormat="0" applyFont="0" applyFill="0" applyAlignment="0" applyProtection="0"/>
    <xf numFmtId="0" fontId="3" fillId="0" borderId="0">
      <protection locked="0"/>
    </xf>
    <xf numFmtId="0" fontId="49" fillId="0" borderId="0">
      <protection locked="0"/>
    </xf>
    <xf numFmtId="3" fontId="22" fillId="0" borderId="18">
      <alignment horizontal="center"/>
    </xf>
    <xf numFmtId="37" fontId="11" fillId="0" borderId="0"/>
    <xf numFmtId="0" fontId="49" fillId="0" borderId="0">
      <protection locked="0"/>
    </xf>
    <xf numFmtId="0" fontId="37" fillId="0" borderId="0" applyFont="0"/>
    <xf numFmtId="0" fontId="9" fillId="0" borderId="0" applyNumberFormat="0" applyFill="0" applyBorder="0" applyAlignment="0" applyProtection="0">
      <alignment vertical="top"/>
      <protection locked="0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9" fontId="7" fillId="0" borderId="9">
      <alignment vertical="center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48" fillId="0" borderId="0" applyBorder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" fillId="0" borderId="0" applyNumberFormat="0" applyFont="0" applyFill="0" applyBorder="0" applyProtection="0">
      <alignment horizontal="distributed" vertical="center" justifyLastLine="1"/>
    </xf>
    <xf numFmtId="10" fontId="38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0" fontId="38" fillId="0" borderId="0">
      <alignment vertical="center"/>
    </xf>
    <xf numFmtId="10" fontId="38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0" fontId="38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97" fontId="1" fillId="0" borderId="0" applyFont="0" applyFill="0" applyBorder="0" applyProtection="0">
      <alignment horizontal="center" vertical="center"/>
    </xf>
    <xf numFmtId="198" fontId="1" fillId="0" borderId="0" applyFont="0" applyFill="0" applyBorder="0" applyProtection="0">
      <alignment horizontal="center" vertical="center"/>
    </xf>
    <xf numFmtId="9" fontId="47" fillId="3" borderId="0" applyFill="0" applyBorder="0" applyProtection="0">
      <alignment horizontal="right"/>
    </xf>
    <xf numFmtId="10" fontId="47" fillId="0" borderId="0" applyFill="0" applyBorder="0" applyProtection="0">
      <alignment horizontal="right"/>
    </xf>
    <xf numFmtId="9" fontId="3" fillId="0" borderId="0" applyFont="0" applyFill="0" applyBorder="0" applyAlignment="0" applyProtection="0">
      <alignment vertical="center"/>
    </xf>
    <xf numFmtId="199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1" fontId="3" fillId="0" borderId="19" applyFont="0" applyFill="0" applyAlignment="0" applyProtection="0">
      <alignment horizontal="center" vertical="center"/>
    </xf>
    <xf numFmtId="0" fontId="8" fillId="0" borderId="0"/>
    <xf numFmtId="179" fontId="50" fillId="0" borderId="15">
      <alignment vertical="center"/>
    </xf>
    <xf numFmtId="200" fontId="51" fillId="0" borderId="0"/>
    <xf numFmtId="0" fontId="1" fillId="0" borderId="0" applyNumberFormat="0" applyFont="0" applyFill="0" applyBorder="0" applyProtection="0">
      <alignment horizontal="centerContinuous" vertical="center"/>
    </xf>
    <xf numFmtId="0" fontId="52" fillId="0" borderId="20">
      <alignment vertical="center"/>
    </xf>
    <xf numFmtId="0" fontId="21" fillId="0" borderId="0">
      <alignment vertical="center"/>
    </xf>
    <xf numFmtId="201" fontId="38" fillId="0" borderId="0">
      <alignment vertical="center"/>
    </xf>
    <xf numFmtId="179" fontId="20" fillId="0" borderId="15">
      <alignment vertical="center"/>
    </xf>
    <xf numFmtId="202" fontId="53" fillId="0" borderId="0">
      <alignment vertical="center"/>
    </xf>
    <xf numFmtId="179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103" fillId="0" borderId="0" applyFont="0" applyFill="0" applyBorder="0" applyAlignment="0" applyProtection="0">
      <alignment vertical="center"/>
    </xf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21"/>
    <xf numFmtId="0" fontId="36" fillId="0" borderId="0" applyNumberFormat="0" applyFill="0" applyBorder="0" applyAlignment="0" applyProtection="0">
      <alignment vertical="top"/>
      <protection locked="0"/>
    </xf>
    <xf numFmtId="0" fontId="48" fillId="0" borderId="0"/>
    <xf numFmtId="203" fontId="48" fillId="0" borderId="2" applyBorder="0">
      <alignment vertical="center"/>
    </xf>
    <xf numFmtId="0" fontId="8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7" fillId="0" borderId="0" applyNumberFormat="0" applyAlignment="0">
      <alignment horizontal="left" vertical="center"/>
    </xf>
    <xf numFmtId="4" fontId="49" fillId="0" borderId="0">
      <protection locked="0"/>
    </xf>
    <xf numFmtId="0" fontId="46" fillId="0" borderId="0"/>
    <xf numFmtId="4" fontId="49" fillId="0" borderId="0">
      <protection locked="0"/>
    </xf>
    <xf numFmtId="3" fontId="10" fillId="0" borderId="0" applyFont="0" applyFill="0" applyBorder="0" applyAlignment="0" applyProtection="0"/>
    <xf numFmtId="0" fontId="8" fillId="0" borderId="0">
      <alignment vertical="center"/>
    </xf>
    <xf numFmtId="0" fontId="55" fillId="0" borderId="0">
      <alignment horizontal="centerContinuous" vertical="center"/>
    </xf>
    <xf numFmtId="0" fontId="8" fillId="0" borderId="2">
      <alignment horizontal="distributed" vertical="center"/>
    </xf>
    <xf numFmtId="0" fontId="8" fillId="0" borderId="22">
      <alignment horizontal="distributed" vertical="top"/>
    </xf>
    <xf numFmtId="0" fontId="8" fillId="0" borderId="23">
      <alignment horizontal="distributed"/>
    </xf>
    <xf numFmtId="179" fontId="56" fillId="0" borderId="0">
      <alignment vertical="center"/>
    </xf>
    <xf numFmtId="0" fontId="8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8" fillId="0" borderId="0" applyFont="0" applyFill="0" applyBorder="0" applyAlignment="0" applyProtection="0"/>
    <xf numFmtId="202" fontId="57" fillId="0" borderId="0" applyFont="0" applyFill="0" applyBorder="0" applyAlignment="0" applyProtection="0">
      <alignment vertical="center"/>
    </xf>
    <xf numFmtId="0" fontId="3" fillId="0" borderId="0">
      <protection locked="0"/>
    </xf>
    <xf numFmtId="204" fontId="1" fillId="0" borderId="0" applyFont="0" applyFill="0" applyBorder="0" applyProtection="0">
      <alignment vertical="center"/>
    </xf>
    <xf numFmtId="38" fontId="1" fillId="0" borderId="0" applyFont="0" applyFill="0" applyBorder="0" applyProtection="0">
      <alignment vertical="center"/>
    </xf>
    <xf numFmtId="202" fontId="8" fillId="0" borderId="0" applyFont="0" applyFill="0" applyBorder="0" applyAlignment="0" applyProtection="0"/>
    <xf numFmtId="0" fontId="58" fillId="3" borderId="0" applyFill="0" applyBorder="0" applyProtection="0">
      <alignment horizontal="right"/>
    </xf>
    <xf numFmtId="38" fontId="1" fillId="0" borderId="0" applyFont="0" applyFill="0" applyBorder="0" applyAlignment="0" applyProtection="0">
      <alignment vertical="center"/>
    </xf>
    <xf numFmtId="205" fontId="1" fillId="0" borderId="0" applyFont="0" applyFill="0" applyBorder="0" applyAlignment="0" applyProtection="0">
      <alignment vertical="center"/>
    </xf>
    <xf numFmtId="38" fontId="1" fillId="0" borderId="0" applyFill="0" applyBorder="0" applyAlignment="0" applyProtection="0">
      <alignment vertical="center"/>
    </xf>
    <xf numFmtId="201" fontId="59" fillId="0" borderId="0" applyFont="0" applyFill="0" applyBorder="0" applyAlignment="0" applyProtection="0"/>
    <xf numFmtId="206" fontId="7" fillId="0" borderId="0" applyFont="0" applyFill="0" applyBorder="0" applyAlignment="0" applyProtection="0">
      <alignment textRotation="255"/>
    </xf>
    <xf numFmtId="207" fontId="7" fillId="0" borderId="0" applyFont="0" applyFill="0" applyBorder="0" applyAlignment="0" applyProtection="0">
      <alignment textRotation="255"/>
    </xf>
    <xf numFmtId="208" fontId="59" fillId="0" borderId="2">
      <alignment vertical="center"/>
    </xf>
    <xf numFmtId="209" fontId="7" fillId="0" borderId="0" applyFont="0" applyFill="0" applyBorder="0" applyAlignment="0" applyProtection="0">
      <alignment textRotation="255"/>
    </xf>
    <xf numFmtId="0" fontId="23" fillId="0" borderId="0"/>
    <xf numFmtId="0" fontId="8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210" fontId="8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11" fillId="0" borderId="23">
      <alignment horizontal="distributed"/>
    </xf>
    <xf numFmtId="0" fontId="11" fillId="0" borderId="24">
      <alignment horizontal="distributed" vertical="center"/>
    </xf>
    <xf numFmtId="0" fontId="11" fillId="0" borderId="25">
      <alignment horizontal="distributed" vertical="top"/>
    </xf>
    <xf numFmtId="0" fontId="3" fillId="0" borderId="0">
      <alignment vertical="center"/>
    </xf>
    <xf numFmtId="0" fontId="54" fillId="0" borderId="0"/>
    <xf numFmtId="0" fontId="3" fillId="0" borderId="0"/>
    <xf numFmtId="0" fontId="103" fillId="0" borderId="0">
      <alignment vertical="center"/>
    </xf>
    <xf numFmtId="0" fontId="3" fillId="0" borderId="0"/>
    <xf numFmtId="0" fontId="8" fillId="0" borderId="20">
      <alignment vertical="center" wrapText="1"/>
    </xf>
    <xf numFmtId="0" fontId="44" fillId="0" borderId="7">
      <alignment horizontal="center" vertical="center"/>
    </xf>
    <xf numFmtId="0" fontId="49" fillId="0" borderId="14">
      <protection locked="0"/>
    </xf>
    <xf numFmtId="211" fontId="8" fillId="0" borderId="0">
      <protection locked="0"/>
    </xf>
    <xf numFmtId="212" fontId="8" fillId="0" borderId="0">
      <protection locked="0"/>
    </xf>
    <xf numFmtId="0" fontId="104" fillId="0" borderId="0">
      <alignment vertical="center"/>
    </xf>
    <xf numFmtId="0" fontId="8" fillId="0" borderId="0"/>
    <xf numFmtId="0" fontId="104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105" fillId="0" borderId="0">
      <alignment vertical="center"/>
    </xf>
    <xf numFmtId="41" fontId="104" fillId="0" borderId="0" applyFont="0" applyFill="0" applyBorder="0" applyAlignment="0" applyProtection="0">
      <alignment vertical="center"/>
    </xf>
    <xf numFmtId="0" fontId="8" fillId="0" borderId="0"/>
    <xf numFmtId="41" fontId="1" fillId="0" borderId="0" applyFont="0" applyFill="0" applyBorder="0" applyAlignment="0" applyProtection="0">
      <alignment vertical="center"/>
    </xf>
    <xf numFmtId="0" fontId="25" fillId="0" borderId="0"/>
    <xf numFmtId="41" fontId="1" fillId="0" borderId="0" applyFont="0" applyFill="0" applyBorder="0" applyAlignment="0" applyProtection="0">
      <alignment vertical="center"/>
    </xf>
  </cellStyleXfs>
  <cellXfs count="493">
    <xf numFmtId="0" fontId="0" fillId="0" borderId="0" xfId="0"/>
    <xf numFmtId="0" fontId="108" fillId="0" borderId="0" xfId="2584" applyNumberFormat="1" applyFont="1" applyFill="1" applyBorder="1" applyAlignment="1">
      <alignment horizontal="center" vertical="center"/>
    </xf>
    <xf numFmtId="0" fontId="111" fillId="0" borderId="0" xfId="0" applyFont="1" applyAlignment="1">
      <alignment vertical="center"/>
    </xf>
    <xf numFmtId="0" fontId="112" fillId="0" borderId="0" xfId="0" applyFont="1" applyAlignment="1">
      <alignment vertical="center"/>
    </xf>
    <xf numFmtId="0" fontId="112" fillId="11" borderId="0" xfId="0" applyFont="1" applyFill="1" applyAlignment="1">
      <alignment vertical="center"/>
    </xf>
    <xf numFmtId="0" fontId="112" fillId="9" borderId="0" xfId="0" applyFont="1" applyFill="1" applyAlignment="1">
      <alignment vertical="center"/>
    </xf>
    <xf numFmtId="0" fontId="111" fillId="10" borderId="0" xfId="0" applyFont="1" applyFill="1" applyAlignment="1">
      <alignment vertical="center"/>
    </xf>
    <xf numFmtId="0" fontId="111" fillId="13" borderId="0" xfId="0" applyFont="1" applyFill="1" applyAlignment="1">
      <alignment vertical="center"/>
    </xf>
    <xf numFmtId="0" fontId="111" fillId="0" borderId="0" xfId="2584" applyNumberFormat="1" applyFont="1" applyFill="1" applyBorder="1" applyAlignment="1">
      <alignment horizontal="center" vertical="center"/>
    </xf>
    <xf numFmtId="0" fontId="111" fillId="0" borderId="0" xfId="2584" applyNumberFormat="1" applyFont="1" applyFill="1" applyBorder="1" applyAlignment="1">
      <alignment vertical="center"/>
    </xf>
    <xf numFmtId="0" fontId="111" fillId="0" borderId="0" xfId="2584" applyNumberFormat="1" applyFont="1" applyFill="1" applyBorder="1" applyAlignment="1">
      <alignment horizontal="left" vertical="center"/>
    </xf>
    <xf numFmtId="0" fontId="111" fillId="0" borderId="0" xfId="0" applyFont="1" applyAlignment="1">
      <alignment horizontal="center" vertical="center"/>
    </xf>
    <xf numFmtId="43" fontId="111" fillId="0" borderId="0" xfId="2584" applyNumberFormat="1" applyFont="1" applyFill="1" applyBorder="1" applyAlignment="1">
      <alignment vertical="center"/>
    </xf>
    <xf numFmtId="179" fontId="111" fillId="0" borderId="0" xfId="2584" applyFont="1" applyFill="1" applyBorder="1" applyAlignment="1">
      <alignment vertical="center"/>
    </xf>
    <xf numFmtId="0" fontId="116" fillId="0" borderId="0" xfId="0" applyFont="1" applyAlignment="1">
      <alignment vertical="center"/>
    </xf>
    <xf numFmtId="0" fontId="114" fillId="0" borderId="0" xfId="2866" applyFont="1"/>
    <xf numFmtId="0" fontId="116" fillId="0" borderId="0" xfId="2866" applyFont="1"/>
    <xf numFmtId="0" fontId="117" fillId="0" borderId="21" xfId="2866" applyFont="1" applyBorder="1"/>
    <xf numFmtId="0" fontId="117" fillId="0" borderId="0" xfId="2866" applyFont="1"/>
    <xf numFmtId="0" fontId="118" fillId="0" borderId="0" xfId="2866" applyFont="1"/>
    <xf numFmtId="0" fontId="118" fillId="0" borderId="21" xfId="2866" applyFont="1" applyBorder="1"/>
    <xf numFmtId="0" fontId="118" fillId="0" borderId="21" xfId="2866" applyFont="1" applyBorder="1" applyAlignment="1">
      <alignment horizontal="left"/>
    </xf>
    <xf numFmtId="0" fontId="118" fillId="0" borderId="0" xfId="2866" applyFont="1" applyAlignment="1">
      <alignment horizontal="right"/>
    </xf>
    <xf numFmtId="223" fontId="118" fillId="0" borderId="0" xfId="2866" applyNumberFormat="1" applyFont="1" applyAlignment="1">
      <alignment horizontal="center"/>
    </xf>
    <xf numFmtId="0" fontId="119" fillId="0" borderId="0" xfId="2866" applyFont="1"/>
    <xf numFmtId="0" fontId="118" fillId="0" borderId="0" xfId="2866" applyFont="1" applyAlignment="1">
      <alignment horizontal="left"/>
    </xf>
    <xf numFmtId="0" fontId="121" fillId="0" borderId="0" xfId="2866" applyFont="1"/>
    <xf numFmtId="0" fontId="119" fillId="0" borderId="0" xfId="2866" applyFont="1" applyAlignment="1">
      <alignment horizontal="left"/>
    </xf>
    <xf numFmtId="0" fontId="115" fillId="0" borderId="0" xfId="2866" applyFont="1"/>
    <xf numFmtId="0" fontId="123" fillId="0" borderId="0" xfId="2584" applyNumberFormat="1" applyFont="1" applyFill="1" applyBorder="1" applyAlignment="1">
      <alignment horizontal="center" vertical="center"/>
    </xf>
    <xf numFmtId="0" fontId="122" fillId="13" borderId="0" xfId="2584" applyNumberFormat="1" applyFont="1" applyFill="1" applyBorder="1" applyAlignment="1">
      <alignment vertical="center"/>
    </xf>
    <xf numFmtId="0" fontId="126" fillId="0" borderId="0" xfId="2584" applyNumberFormat="1" applyFont="1" applyFill="1" applyBorder="1" applyAlignment="1">
      <alignment horizontal="center" vertical="center"/>
    </xf>
    <xf numFmtId="179" fontId="125" fillId="7" borderId="27" xfId="2584" applyFont="1" applyFill="1" applyBorder="1" applyAlignment="1">
      <alignment horizontal="center" vertical="center"/>
    </xf>
    <xf numFmtId="0" fontId="127" fillId="0" borderId="20" xfId="2584" applyNumberFormat="1" applyFont="1" applyFill="1" applyBorder="1" applyAlignment="1">
      <alignment vertical="center"/>
    </xf>
    <xf numFmtId="0" fontId="127" fillId="0" borderId="20" xfId="2584" applyNumberFormat="1" applyFont="1" applyFill="1" applyBorder="1" applyAlignment="1">
      <alignment horizontal="left" vertical="center"/>
    </xf>
    <xf numFmtId="0" fontId="127" fillId="0" borderId="4" xfId="0" applyFont="1" applyBorder="1" applyAlignment="1">
      <alignment horizontal="center" vertical="center"/>
    </xf>
    <xf numFmtId="0" fontId="127" fillId="0" borderId="6" xfId="0" applyFont="1" applyBorder="1" applyAlignment="1">
      <alignment horizontal="center" vertical="center"/>
    </xf>
    <xf numFmtId="43" fontId="127" fillId="0" borderId="4" xfId="2584" applyNumberFormat="1" applyFont="1" applyFill="1" applyBorder="1" applyAlignment="1">
      <alignment horizontal="center" vertical="center"/>
    </xf>
    <xf numFmtId="179" fontId="127" fillId="0" borderId="4" xfId="2584" applyFont="1" applyFill="1" applyBorder="1" applyAlignment="1">
      <alignment vertical="center"/>
    </xf>
    <xf numFmtId="0" fontId="127" fillId="0" borderId="0" xfId="0" applyFont="1" applyAlignment="1">
      <alignment vertical="center"/>
    </xf>
    <xf numFmtId="0" fontId="128" fillId="0" borderId="20" xfId="2584" applyNumberFormat="1" applyFont="1" applyFill="1" applyBorder="1" applyAlignment="1">
      <alignment vertical="center"/>
    </xf>
    <xf numFmtId="0" fontId="128" fillId="0" borderId="20" xfId="2584" applyNumberFormat="1" applyFont="1" applyFill="1" applyBorder="1" applyAlignment="1">
      <alignment horizontal="left" vertical="center"/>
    </xf>
    <xf numFmtId="0" fontId="128" fillId="0" borderId="4" xfId="0" applyFont="1" applyBorder="1" applyAlignment="1">
      <alignment horizontal="center" vertical="center"/>
    </xf>
    <xf numFmtId="0" fontId="128" fillId="0" borderId="6" xfId="0" applyFont="1" applyBorder="1" applyAlignment="1">
      <alignment horizontal="center" vertical="center"/>
    </xf>
    <xf numFmtId="43" fontId="128" fillId="0" borderId="4" xfId="2584" applyNumberFormat="1" applyFont="1" applyFill="1" applyBorder="1" applyAlignment="1">
      <alignment horizontal="center" vertical="center"/>
    </xf>
    <xf numFmtId="179" fontId="128" fillId="0" borderId="4" xfId="2584" applyFont="1" applyFill="1" applyBorder="1" applyAlignment="1">
      <alignment vertical="center"/>
    </xf>
    <xf numFmtId="0" fontId="128" fillId="0" borderId="0" xfId="0" applyFont="1" applyAlignment="1">
      <alignment vertical="center"/>
    </xf>
    <xf numFmtId="0" fontId="127" fillId="11" borderId="20" xfId="2584" applyNumberFormat="1" applyFont="1" applyFill="1" applyBorder="1" applyAlignment="1">
      <alignment horizontal="center" vertical="center"/>
    </xf>
    <xf numFmtId="0" fontId="127" fillId="11" borderId="20" xfId="2584" applyNumberFormat="1" applyFont="1" applyFill="1" applyBorder="1" applyAlignment="1">
      <alignment horizontal="left" vertical="center"/>
    </xf>
    <xf numFmtId="0" fontId="127" fillId="11" borderId="4" xfId="0" applyFont="1" applyFill="1" applyBorder="1" applyAlignment="1">
      <alignment horizontal="center" vertical="center"/>
    </xf>
    <xf numFmtId="0" fontId="127" fillId="11" borderId="6" xfId="0" applyFont="1" applyFill="1" applyBorder="1" applyAlignment="1">
      <alignment horizontal="center" vertical="center"/>
    </xf>
    <xf numFmtId="43" fontId="127" fillId="11" borderId="4" xfId="2584" applyNumberFormat="1" applyFont="1" applyFill="1" applyBorder="1" applyAlignment="1">
      <alignment horizontal="center" vertical="center"/>
    </xf>
    <xf numFmtId="179" fontId="127" fillId="11" borderId="4" xfId="2584" applyFont="1" applyFill="1" applyBorder="1" applyAlignment="1">
      <alignment vertical="center"/>
    </xf>
    <xf numFmtId="0" fontId="127" fillId="11" borderId="0" xfId="0" applyFont="1" applyFill="1" applyAlignment="1">
      <alignment vertical="center"/>
    </xf>
    <xf numFmtId="0" fontId="128" fillId="0" borderId="0" xfId="2584" applyNumberFormat="1" applyFont="1" applyFill="1" applyBorder="1" applyAlignment="1">
      <alignment horizontal="left" vertical="center"/>
    </xf>
    <xf numFmtId="43" fontId="128" fillId="0" borderId="20" xfId="0" applyNumberFormat="1" applyFont="1" applyBorder="1" applyAlignment="1">
      <alignment horizontal="center" vertical="center"/>
    </xf>
    <xf numFmtId="179" fontId="128" fillId="0" borderId="20" xfId="2584" applyFont="1" applyFill="1" applyBorder="1" applyAlignment="1">
      <alignment horizontal="center" vertical="center"/>
    </xf>
    <xf numFmtId="179" fontId="128" fillId="0" borderId="20" xfId="2584" applyFont="1" applyFill="1" applyBorder="1" applyAlignment="1">
      <alignment vertical="center"/>
    </xf>
    <xf numFmtId="222" fontId="128" fillId="0" borderId="20" xfId="2584" applyNumberFormat="1" applyFont="1" applyFill="1" applyBorder="1" applyAlignment="1">
      <alignment vertical="center"/>
    </xf>
    <xf numFmtId="0" fontId="128" fillId="0" borderId="20" xfId="2584" quotePrefix="1" applyNumberFormat="1" applyFont="1" applyFill="1" applyBorder="1" applyAlignment="1">
      <alignment horizontal="left" vertical="center"/>
    </xf>
    <xf numFmtId="0" fontId="128" fillId="0" borderId="20" xfId="0" applyFont="1" applyBorder="1" applyAlignment="1">
      <alignment horizontal="center" vertical="center"/>
    </xf>
    <xf numFmtId="0" fontId="128" fillId="0" borderId="30" xfId="0" applyFont="1" applyBorder="1" applyAlignment="1">
      <alignment horizontal="center" vertical="center"/>
    </xf>
    <xf numFmtId="0" fontId="127" fillId="11" borderId="20" xfId="2584" quotePrefix="1" applyNumberFormat="1" applyFont="1" applyFill="1" applyBorder="1" applyAlignment="1">
      <alignment horizontal="center" vertical="center"/>
    </xf>
    <xf numFmtId="0" fontId="127" fillId="11" borderId="20" xfId="0" applyFont="1" applyFill="1" applyBorder="1" applyAlignment="1">
      <alignment horizontal="center" vertical="center"/>
    </xf>
    <xf numFmtId="0" fontId="127" fillId="11" borderId="30" xfId="0" applyFont="1" applyFill="1" applyBorder="1" applyAlignment="1">
      <alignment horizontal="center" vertical="center"/>
    </xf>
    <xf numFmtId="43" fontId="127" fillId="11" borderId="20" xfId="0" applyNumberFormat="1" applyFont="1" applyFill="1" applyBorder="1" applyAlignment="1">
      <alignment horizontal="center" vertical="center"/>
    </xf>
    <xf numFmtId="179" fontId="127" fillId="11" borderId="20" xfId="2584" applyFont="1" applyFill="1" applyBorder="1" applyAlignment="1">
      <alignment horizontal="center" vertical="center"/>
    </xf>
    <xf numFmtId="179" fontId="127" fillId="11" borderId="20" xfId="2584" applyFont="1" applyFill="1" applyBorder="1" applyAlignment="1">
      <alignment vertical="center"/>
    </xf>
    <xf numFmtId="0" fontId="128" fillId="11" borderId="0" xfId="0" applyFont="1" applyFill="1" applyAlignment="1">
      <alignment vertical="center"/>
    </xf>
    <xf numFmtId="0" fontId="129" fillId="12" borderId="20" xfId="2584" applyNumberFormat="1" applyFont="1" applyFill="1" applyBorder="1" applyAlignment="1">
      <alignment horizontal="center" vertical="center"/>
    </xf>
    <xf numFmtId="0" fontId="129" fillId="12" borderId="20" xfId="2584" applyNumberFormat="1" applyFont="1" applyFill="1" applyBorder="1" applyAlignment="1">
      <alignment horizontal="left" vertical="center"/>
    </xf>
    <xf numFmtId="0" fontId="129" fillId="12" borderId="4" xfId="0" applyFont="1" applyFill="1" applyBorder="1" applyAlignment="1">
      <alignment horizontal="center" vertical="center"/>
    </xf>
    <xf numFmtId="0" fontId="129" fillId="12" borderId="6" xfId="0" applyFont="1" applyFill="1" applyBorder="1" applyAlignment="1">
      <alignment horizontal="center" vertical="center"/>
    </xf>
    <xf numFmtId="43" fontId="129" fillId="12" borderId="4" xfId="2584" applyNumberFormat="1" applyFont="1" applyFill="1" applyBorder="1" applyAlignment="1">
      <alignment horizontal="center" vertical="center"/>
    </xf>
    <xf numFmtId="179" fontId="129" fillId="12" borderId="4" xfId="2584" applyFont="1" applyFill="1" applyBorder="1" applyAlignment="1">
      <alignment vertical="center"/>
    </xf>
    <xf numFmtId="0" fontId="130" fillId="12" borderId="0" xfId="0" applyFont="1" applyFill="1" applyAlignment="1">
      <alignment vertical="center"/>
    </xf>
    <xf numFmtId="0" fontId="128" fillId="13" borderId="33" xfId="2584" applyNumberFormat="1" applyFont="1" applyFill="1" applyBorder="1" applyAlignment="1">
      <alignment vertical="center"/>
    </xf>
    <xf numFmtId="0" fontId="128" fillId="13" borderId="33" xfId="2584" applyNumberFormat="1" applyFont="1" applyFill="1" applyBorder="1" applyAlignment="1">
      <alignment horizontal="left" vertical="center"/>
    </xf>
    <xf numFmtId="0" fontId="128" fillId="13" borderId="33" xfId="0" applyFont="1" applyFill="1" applyBorder="1" applyAlignment="1">
      <alignment horizontal="center" vertical="center"/>
    </xf>
    <xf numFmtId="43" fontId="128" fillId="13" borderId="33" xfId="2584" applyNumberFormat="1" applyFont="1" applyFill="1" applyBorder="1" applyAlignment="1">
      <alignment horizontal="center" vertical="center"/>
    </xf>
    <xf numFmtId="179" fontId="128" fillId="13" borderId="33" xfId="2584" applyFont="1" applyFill="1" applyBorder="1" applyAlignment="1">
      <alignment vertical="center"/>
    </xf>
    <xf numFmtId="0" fontId="128" fillId="13" borderId="0" xfId="2584" applyNumberFormat="1" applyFont="1" applyFill="1" applyBorder="1" applyAlignment="1">
      <alignment vertical="center"/>
    </xf>
    <xf numFmtId="0" fontId="128" fillId="13" borderId="0" xfId="2584" applyNumberFormat="1" applyFont="1" applyFill="1" applyBorder="1" applyAlignment="1">
      <alignment horizontal="left" vertical="center"/>
    </xf>
    <xf numFmtId="43" fontId="128" fillId="13" borderId="0" xfId="2584" applyNumberFormat="1" applyFont="1" applyFill="1" applyBorder="1" applyAlignment="1">
      <alignment horizontal="center" vertical="center"/>
    </xf>
    <xf numFmtId="179" fontId="128" fillId="13" borderId="0" xfId="2584" applyFont="1" applyFill="1" applyBorder="1" applyAlignment="1">
      <alignment vertical="center"/>
    </xf>
    <xf numFmtId="0" fontId="128" fillId="0" borderId="0" xfId="2584" applyNumberFormat="1" applyFont="1" applyFill="1" applyBorder="1" applyAlignment="1">
      <alignment horizontal="center" vertical="center"/>
    </xf>
    <xf numFmtId="0" fontId="128" fillId="0" borderId="0" xfId="2584" applyNumberFormat="1" applyFont="1" applyFill="1" applyBorder="1" applyAlignment="1">
      <alignment vertical="center"/>
    </xf>
    <xf numFmtId="0" fontId="128" fillId="0" borderId="0" xfId="0" applyFont="1" applyAlignment="1">
      <alignment horizontal="center" vertical="center"/>
    </xf>
    <xf numFmtId="43" fontId="128" fillId="0" borderId="0" xfId="2584" applyNumberFormat="1" applyFont="1" applyFill="1" applyBorder="1" applyAlignment="1">
      <alignment vertical="center"/>
    </xf>
    <xf numFmtId="179" fontId="128" fillId="0" borderId="0" xfId="2584" applyFont="1" applyFill="1" applyBorder="1" applyAlignment="1">
      <alignment vertical="center"/>
    </xf>
    <xf numFmtId="0" fontId="128" fillId="0" borderId="0" xfId="0" applyFont="1" applyAlignment="1">
      <alignment vertical="center" shrinkToFit="1"/>
    </xf>
    <xf numFmtId="9" fontId="128" fillId="0" borderId="20" xfId="2584" applyNumberFormat="1" applyFont="1" applyFill="1" applyBorder="1" applyAlignment="1">
      <alignment vertical="center" wrapText="1"/>
    </xf>
    <xf numFmtId="14" fontId="122" fillId="13" borderId="0" xfId="2584" applyNumberFormat="1" applyFont="1" applyFill="1" applyBorder="1" applyAlignment="1">
      <alignment vertical="center"/>
    </xf>
    <xf numFmtId="179" fontId="128" fillId="0" borderId="26" xfId="2584" applyFont="1" applyFill="1" applyBorder="1" applyAlignment="1">
      <alignment vertical="center"/>
    </xf>
    <xf numFmtId="179" fontId="127" fillId="11" borderId="26" xfId="2584" applyFont="1" applyFill="1" applyBorder="1" applyAlignment="1">
      <alignment vertical="center"/>
    </xf>
    <xf numFmtId="0" fontId="128" fillId="0" borderId="28" xfId="2584" applyNumberFormat="1" applyFont="1" applyFill="1" applyBorder="1" applyAlignment="1">
      <alignment vertical="center"/>
    </xf>
    <xf numFmtId="0" fontId="128" fillId="0" borderId="28" xfId="2584" applyNumberFormat="1" applyFont="1" applyFill="1" applyBorder="1" applyAlignment="1">
      <alignment horizontal="left" vertical="center"/>
    </xf>
    <xf numFmtId="0" fontId="128" fillId="0" borderId="29" xfId="0" applyFont="1" applyBorder="1" applyAlignment="1">
      <alignment horizontal="center" vertical="center"/>
    </xf>
    <xf numFmtId="0" fontId="128" fillId="0" borderId="31" xfId="0" applyFont="1" applyBorder="1" applyAlignment="1">
      <alignment horizontal="center" vertical="center"/>
    </xf>
    <xf numFmtId="43" fontId="128" fillId="0" borderId="29" xfId="2584" applyNumberFormat="1" applyFont="1" applyFill="1" applyBorder="1" applyAlignment="1">
      <alignment horizontal="center" vertical="center"/>
    </xf>
    <xf numFmtId="179" fontId="128" fillId="0" borderId="29" xfId="2584" applyFont="1" applyFill="1" applyBorder="1" applyAlignment="1">
      <alignment vertical="center"/>
    </xf>
    <xf numFmtId="0" fontId="128" fillId="0" borderId="4" xfId="2584" applyNumberFormat="1" applyFont="1" applyFill="1" applyBorder="1" applyAlignment="1">
      <alignment vertical="center"/>
    </xf>
    <xf numFmtId="0" fontId="128" fillId="0" borderId="4" xfId="2584" applyNumberFormat="1" applyFont="1" applyFill="1" applyBorder="1" applyAlignment="1">
      <alignment horizontal="left" vertical="center"/>
    </xf>
    <xf numFmtId="0" fontId="116" fillId="0" borderId="35" xfId="2866" applyFont="1" applyBorder="1"/>
    <xf numFmtId="0" fontId="116" fillId="0" borderId="36" xfId="2866" applyFont="1" applyBorder="1"/>
    <xf numFmtId="0" fontId="118" fillId="0" borderId="36" xfId="2866" applyFont="1" applyBorder="1"/>
    <xf numFmtId="0" fontId="118" fillId="0" borderId="37" xfId="2866" applyFont="1" applyBorder="1"/>
    <xf numFmtId="0" fontId="118" fillId="0" borderId="38" xfId="2866" applyFont="1" applyBorder="1" applyAlignment="1">
      <alignment horizontal="left"/>
    </xf>
    <xf numFmtId="0" fontId="118" fillId="0" borderId="0" xfId="2864" applyFont="1"/>
    <xf numFmtId="0" fontId="120" fillId="0" borderId="0" xfId="2866" applyFont="1"/>
    <xf numFmtId="0" fontId="120" fillId="0" borderId="39" xfId="2866" applyFont="1" applyBorder="1"/>
    <xf numFmtId="0" fontId="119" fillId="0" borderId="38" xfId="2866" quotePrefix="1" applyFont="1" applyBorder="1" applyAlignment="1">
      <alignment horizontal="right"/>
    </xf>
    <xf numFmtId="0" fontId="119" fillId="0" borderId="0" xfId="2864" applyFont="1"/>
    <xf numFmtId="0" fontId="118" fillId="0" borderId="39" xfId="2866" applyFont="1" applyBorder="1"/>
    <xf numFmtId="0" fontId="119" fillId="0" borderId="39" xfId="2866" applyFont="1" applyBorder="1"/>
    <xf numFmtId="0" fontId="119" fillId="0" borderId="40" xfId="2866" quotePrefix="1" applyFont="1" applyBorder="1" applyAlignment="1">
      <alignment horizontal="right"/>
    </xf>
    <xf numFmtId="0" fontId="119" fillId="0" borderId="41" xfId="2864" applyFont="1" applyBorder="1"/>
    <xf numFmtId="0" fontId="119" fillId="0" borderId="41" xfId="2866" applyFont="1" applyBorder="1"/>
    <xf numFmtId="0" fontId="120" fillId="0" borderId="41" xfId="2866" applyFont="1" applyBorder="1"/>
    <xf numFmtId="0" fontId="120" fillId="0" borderId="19" xfId="2866" applyFont="1" applyBorder="1"/>
    <xf numFmtId="0" fontId="111" fillId="0" borderId="20" xfId="0" applyFont="1" applyBorder="1" applyAlignment="1">
      <alignment vertical="center"/>
    </xf>
    <xf numFmtId="0" fontId="112" fillId="9" borderId="20" xfId="0" applyFont="1" applyFill="1" applyBorder="1" applyAlignment="1">
      <alignment vertical="center"/>
    </xf>
    <xf numFmtId="0" fontId="113" fillId="0" borderId="20" xfId="0" applyFont="1" applyBorder="1" applyAlignment="1">
      <alignment vertical="center"/>
    </xf>
    <xf numFmtId="0" fontId="111" fillId="10" borderId="20" xfId="0" applyFont="1" applyFill="1" applyBorder="1" applyAlignment="1">
      <alignment vertical="center"/>
    </xf>
    <xf numFmtId="0" fontId="112" fillId="13" borderId="0" xfId="0" applyFont="1" applyFill="1" applyAlignment="1">
      <alignment vertical="center"/>
    </xf>
    <xf numFmtId="0" fontId="111" fillId="0" borderId="0" xfId="0" applyFont="1" applyAlignment="1">
      <alignment horizontal="center" vertical="center" shrinkToFit="1"/>
    </xf>
    <xf numFmtId="0" fontId="109" fillId="0" borderId="0" xfId="2584" applyNumberFormat="1" applyFont="1" applyFill="1" applyBorder="1" applyAlignment="1">
      <alignment horizontal="center" vertical="center"/>
    </xf>
    <xf numFmtId="0" fontId="113" fillId="0" borderId="0" xfId="0" applyFont="1" applyAlignment="1">
      <alignment vertical="center"/>
    </xf>
    <xf numFmtId="0" fontId="111" fillId="15" borderId="0" xfId="0" applyFont="1" applyFill="1" applyAlignment="1">
      <alignment vertical="center"/>
    </xf>
    <xf numFmtId="0" fontId="136" fillId="13" borderId="0" xfId="2584" applyNumberFormat="1" applyFont="1" applyFill="1" applyBorder="1" applyAlignment="1">
      <alignment vertical="center"/>
    </xf>
    <xf numFmtId="41" fontId="139" fillId="15" borderId="0" xfId="2865" applyFont="1" applyFill="1" applyAlignment="1">
      <alignment vertical="center"/>
    </xf>
    <xf numFmtId="0" fontId="128" fillId="13" borderId="20" xfId="2584" applyNumberFormat="1" applyFont="1" applyFill="1" applyBorder="1" applyAlignment="1">
      <alignment horizontal="left" vertical="center"/>
    </xf>
    <xf numFmtId="0" fontId="128" fillId="13" borderId="20" xfId="2584" applyNumberFormat="1" applyFont="1" applyFill="1" applyBorder="1" applyAlignment="1">
      <alignment vertical="center"/>
    </xf>
    <xf numFmtId="43" fontId="128" fillId="13" borderId="20" xfId="0" applyNumberFormat="1" applyFont="1" applyFill="1" applyBorder="1" applyAlignment="1">
      <alignment horizontal="center" vertical="center"/>
    </xf>
    <xf numFmtId="179" fontId="128" fillId="13" borderId="20" xfId="2584" applyFont="1" applyFill="1" applyBorder="1" applyAlignment="1">
      <alignment horizontal="center" vertical="center"/>
    </xf>
    <xf numFmtId="179" fontId="128" fillId="13" borderId="20" xfId="2584" applyFont="1" applyFill="1" applyBorder="1" applyAlignment="1">
      <alignment vertical="center"/>
    </xf>
    <xf numFmtId="179" fontId="128" fillId="13" borderId="26" xfId="2584" applyFont="1" applyFill="1" applyBorder="1" applyAlignment="1">
      <alignment vertical="center"/>
    </xf>
    <xf numFmtId="0" fontId="128" fillId="13" borderId="0" xfId="0" applyFont="1" applyFill="1" applyAlignment="1">
      <alignment vertical="center"/>
    </xf>
    <xf numFmtId="0" fontId="134" fillId="13" borderId="0" xfId="0" applyFont="1" applyFill="1" applyAlignment="1">
      <alignment vertical="center"/>
    </xf>
    <xf numFmtId="0" fontId="133" fillId="13" borderId="0" xfId="0" applyFont="1" applyFill="1" applyAlignment="1">
      <alignment vertical="center"/>
    </xf>
    <xf numFmtId="0" fontId="141" fillId="13" borderId="0" xfId="0" applyFont="1" applyFill="1" applyAlignment="1">
      <alignment vertical="center"/>
    </xf>
    <xf numFmtId="0" fontId="132" fillId="0" borderId="0" xfId="0" applyFont="1" applyAlignment="1">
      <alignment vertical="center"/>
    </xf>
    <xf numFmtId="0" fontId="132" fillId="13" borderId="0" xfId="0" applyFont="1" applyFill="1" applyAlignment="1">
      <alignment vertical="center"/>
    </xf>
    <xf numFmtId="0" fontId="133" fillId="0" borderId="0" xfId="0" applyFont="1" applyAlignment="1">
      <alignment vertical="center"/>
    </xf>
    <xf numFmtId="0" fontId="147" fillId="0" borderId="0" xfId="2866" applyFont="1"/>
    <xf numFmtId="41" fontId="128" fillId="0" borderId="20" xfId="2584" applyNumberFormat="1" applyFont="1" applyFill="1" applyBorder="1" applyAlignment="1">
      <alignment vertical="center"/>
    </xf>
    <xf numFmtId="0" fontId="113" fillId="15" borderId="0" xfId="0" applyFont="1" applyFill="1" applyAlignment="1">
      <alignment vertical="center"/>
    </xf>
    <xf numFmtId="0" fontId="133" fillId="15" borderId="0" xfId="0" applyFont="1" applyFill="1" applyAlignment="1">
      <alignment vertical="center"/>
    </xf>
    <xf numFmtId="179" fontId="128" fillId="0" borderId="9" xfId="2584" applyFont="1" applyFill="1" applyBorder="1" applyAlignment="1">
      <alignment vertical="center"/>
    </xf>
    <xf numFmtId="10" fontId="128" fillId="0" borderId="31" xfId="0" applyNumberFormat="1" applyFont="1" applyBorder="1" applyAlignment="1">
      <alignment horizontal="right" vertical="center"/>
    </xf>
    <xf numFmtId="43" fontId="128" fillId="0" borderId="4" xfId="0" applyNumberFormat="1" applyFont="1" applyBorder="1" applyAlignment="1">
      <alignment horizontal="center" vertical="center"/>
    </xf>
    <xf numFmtId="10" fontId="128" fillId="0" borderId="32" xfId="0" applyNumberFormat="1" applyFont="1" applyBorder="1" applyAlignment="1">
      <alignment horizontal="right" vertical="center"/>
    </xf>
    <xf numFmtId="43" fontId="128" fillId="0" borderId="28" xfId="2584" applyNumberFormat="1" applyFont="1" applyFill="1" applyBorder="1" applyAlignment="1">
      <alignment horizontal="center" vertical="center"/>
    </xf>
    <xf numFmtId="10" fontId="128" fillId="0" borderId="28" xfId="0" applyNumberFormat="1" applyFont="1" applyBorder="1" applyAlignment="1">
      <alignment horizontal="right" vertical="center"/>
    </xf>
    <xf numFmtId="10" fontId="128" fillId="0" borderId="20" xfId="0" applyNumberFormat="1" applyFont="1" applyBorder="1" applyAlignment="1">
      <alignment horizontal="right" vertical="center"/>
    </xf>
    <xf numFmtId="43" fontId="128" fillId="0" borderId="20" xfId="2584" applyNumberFormat="1" applyFont="1" applyFill="1" applyBorder="1" applyAlignment="1">
      <alignment horizontal="center" vertical="center"/>
    </xf>
    <xf numFmtId="179" fontId="128" fillId="0" borderId="28" xfId="2584" applyFont="1" applyFill="1" applyBorder="1" applyAlignment="1">
      <alignment vertical="center"/>
    </xf>
    <xf numFmtId="43" fontId="128" fillId="0" borderId="0" xfId="0" applyNumberFormat="1" applyFont="1" applyAlignment="1">
      <alignment vertical="center"/>
    </xf>
    <xf numFmtId="0" fontId="149" fillId="0" borderId="20" xfId="0" applyFont="1" applyBorder="1" applyAlignment="1">
      <alignment vertical="center"/>
    </xf>
    <xf numFmtId="0" fontId="149" fillId="13" borderId="0" xfId="0" applyFont="1" applyFill="1" applyAlignment="1">
      <alignment vertical="center"/>
    </xf>
    <xf numFmtId="0" fontId="124" fillId="13" borderId="38" xfId="2584" applyNumberFormat="1" applyFont="1" applyFill="1" applyBorder="1" applyAlignment="1">
      <alignment vertical="center"/>
    </xf>
    <xf numFmtId="0" fontId="122" fillId="13" borderId="39" xfId="2584" applyNumberFormat="1" applyFont="1" applyFill="1" applyBorder="1" applyAlignment="1">
      <alignment vertical="center"/>
    </xf>
    <xf numFmtId="14" fontId="124" fillId="13" borderId="38" xfId="2584" applyNumberFormat="1" applyFont="1" applyFill="1" applyBorder="1" applyAlignment="1">
      <alignment vertical="center"/>
    </xf>
    <xf numFmtId="0" fontId="127" fillId="0" borderId="5" xfId="2584" applyNumberFormat="1" applyFont="1" applyFill="1" applyBorder="1" applyAlignment="1">
      <alignment horizontal="center" vertical="center"/>
    </xf>
    <xf numFmtId="0" fontId="127" fillId="0" borderId="48" xfId="0" applyFont="1" applyBorder="1" applyAlignment="1">
      <alignment horizontal="center" vertical="center" shrinkToFit="1"/>
    </xf>
    <xf numFmtId="0" fontId="128" fillId="0" borderId="5" xfId="2584" applyNumberFormat="1" applyFont="1" applyFill="1" applyBorder="1" applyAlignment="1">
      <alignment horizontal="center" vertical="center"/>
    </xf>
    <xf numFmtId="0" fontId="128" fillId="0" borderId="48" xfId="0" applyFont="1" applyBorder="1" applyAlignment="1">
      <alignment horizontal="center" vertical="center" shrinkToFit="1"/>
    </xf>
    <xf numFmtId="0" fontId="127" fillId="11" borderId="5" xfId="2584" applyNumberFormat="1" applyFont="1" applyFill="1" applyBorder="1" applyAlignment="1">
      <alignment horizontal="center" vertical="center"/>
    </xf>
    <xf numFmtId="179" fontId="127" fillId="11" borderId="48" xfId="0" applyNumberFormat="1" applyFont="1" applyFill="1" applyBorder="1" applyAlignment="1">
      <alignment horizontal="center" vertical="center" shrinkToFit="1"/>
    </xf>
    <xf numFmtId="0" fontId="128" fillId="0" borderId="49" xfId="2584" applyNumberFormat="1" applyFont="1" applyFill="1" applyBorder="1" applyAlignment="1">
      <alignment horizontal="center" vertical="center"/>
    </xf>
    <xf numFmtId="0" fontId="128" fillId="0" borderId="5" xfId="0" applyFont="1" applyBorder="1" applyAlignment="1">
      <alignment horizontal="center" vertical="center"/>
    </xf>
    <xf numFmtId="0" fontId="128" fillId="13" borderId="5" xfId="0" applyFont="1" applyFill="1" applyBorder="1" applyAlignment="1">
      <alignment horizontal="center" vertical="center"/>
    </xf>
    <xf numFmtId="0" fontId="128" fillId="13" borderId="48" xfId="0" applyFont="1" applyFill="1" applyBorder="1" applyAlignment="1">
      <alignment horizontal="center" vertical="center" shrinkToFit="1"/>
    </xf>
    <xf numFmtId="0" fontId="127" fillId="11" borderId="5" xfId="0" applyFont="1" applyFill="1" applyBorder="1" applyAlignment="1">
      <alignment horizontal="center" vertical="center"/>
    </xf>
    <xf numFmtId="0" fontId="128" fillId="11" borderId="48" xfId="0" applyFont="1" applyFill="1" applyBorder="1" applyAlignment="1">
      <alignment horizontal="center" vertical="center" shrinkToFit="1"/>
    </xf>
    <xf numFmtId="0" fontId="128" fillId="0" borderId="50" xfId="2584" applyNumberFormat="1" applyFont="1" applyFill="1" applyBorder="1" applyAlignment="1">
      <alignment horizontal="center" vertical="center"/>
    </xf>
    <xf numFmtId="0" fontId="129" fillId="12" borderId="5" xfId="2584" applyNumberFormat="1" applyFont="1" applyFill="1" applyBorder="1" applyAlignment="1">
      <alignment horizontal="center" vertical="center"/>
    </xf>
    <xf numFmtId="0" fontId="130" fillId="12" borderId="48" xfId="0" applyFont="1" applyFill="1" applyBorder="1" applyAlignment="1">
      <alignment horizontal="center" vertical="center" shrinkToFit="1"/>
    </xf>
    <xf numFmtId="0" fontId="128" fillId="13" borderId="51" xfId="2584" applyNumberFormat="1" applyFont="1" applyFill="1" applyBorder="1" applyAlignment="1">
      <alignment horizontal="center" vertical="center"/>
    </xf>
    <xf numFmtId="0" fontId="128" fillId="13" borderId="52" xfId="0" applyFont="1" applyFill="1" applyBorder="1" applyAlignment="1">
      <alignment horizontal="center" vertical="center" shrinkToFit="1"/>
    </xf>
    <xf numFmtId="0" fontId="128" fillId="13" borderId="38" xfId="2584" applyNumberFormat="1" applyFont="1" applyFill="1" applyBorder="1" applyAlignment="1">
      <alignment horizontal="center" vertical="center"/>
    </xf>
    <xf numFmtId="0" fontId="128" fillId="13" borderId="0" xfId="0" applyFont="1" applyFill="1" applyAlignment="1">
      <alignment horizontal="center" vertical="center"/>
    </xf>
    <xf numFmtId="0" fontId="128" fillId="13" borderId="39" xfId="0" applyFont="1" applyFill="1" applyBorder="1" applyAlignment="1">
      <alignment horizontal="center" vertical="center" shrinkToFit="1"/>
    </xf>
    <xf numFmtId="0" fontId="128" fillId="13" borderId="38" xfId="2584" quotePrefix="1" applyNumberFormat="1" applyFont="1" applyFill="1" applyBorder="1" applyAlignment="1">
      <alignment horizontal="center" vertical="center"/>
    </xf>
    <xf numFmtId="0" fontId="128" fillId="13" borderId="40" xfId="2584" applyNumberFormat="1" applyFont="1" applyFill="1" applyBorder="1" applyAlignment="1">
      <alignment horizontal="center" vertical="center"/>
    </xf>
    <xf numFmtId="0" fontId="128" fillId="13" borderId="41" xfId="2584" applyNumberFormat="1" applyFont="1" applyFill="1" applyBorder="1" applyAlignment="1">
      <alignment vertical="center"/>
    </xf>
    <xf numFmtId="0" fontId="128" fillId="13" borderId="41" xfId="2584" applyNumberFormat="1" applyFont="1" applyFill="1" applyBorder="1" applyAlignment="1">
      <alignment horizontal="left" vertical="center"/>
    </xf>
    <xf numFmtId="0" fontId="128" fillId="13" borderId="41" xfId="0" applyFont="1" applyFill="1" applyBorder="1" applyAlignment="1">
      <alignment horizontal="center" vertical="center"/>
    </xf>
    <xf numFmtId="43" fontId="128" fillId="13" borderId="41" xfId="2584" applyNumberFormat="1" applyFont="1" applyFill="1" applyBorder="1" applyAlignment="1">
      <alignment horizontal="center" vertical="center"/>
    </xf>
    <xf numFmtId="179" fontId="128" fillId="13" borderId="41" xfId="2584" applyFont="1" applyFill="1" applyBorder="1" applyAlignment="1">
      <alignment vertical="center"/>
    </xf>
    <xf numFmtId="0" fontId="128" fillId="13" borderId="19" xfId="0" applyFont="1" applyFill="1" applyBorder="1" applyAlignment="1">
      <alignment horizontal="center" vertical="center" shrinkToFit="1"/>
    </xf>
    <xf numFmtId="0" fontId="151" fillId="0" borderId="0" xfId="2866" applyFont="1" applyAlignment="1">
      <alignment horizontal="left"/>
    </xf>
    <xf numFmtId="0" fontId="111" fillId="0" borderId="26" xfId="0" applyFont="1" applyBorder="1" applyAlignment="1">
      <alignment vertical="center"/>
    </xf>
    <xf numFmtId="0" fontId="112" fillId="9" borderId="26" xfId="0" applyFont="1" applyFill="1" applyBorder="1" applyAlignment="1">
      <alignment vertical="center"/>
    </xf>
    <xf numFmtId="0" fontId="149" fillId="0" borderId="26" xfId="0" applyFont="1" applyBorder="1" applyAlignment="1">
      <alignment vertical="center"/>
    </xf>
    <xf numFmtId="0" fontId="113" fillId="0" borderId="26" xfId="0" applyFont="1" applyBorder="1" applyAlignment="1">
      <alignment vertical="center"/>
    </xf>
    <xf numFmtId="0" fontId="111" fillId="10" borderId="26" xfId="0" applyFont="1" applyFill="1" applyBorder="1" applyAlignment="1">
      <alignment vertical="center"/>
    </xf>
    <xf numFmtId="179" fontId="109" fillId="16" borderId="2" xfId="2584" applyFont="1" applyFill="1" applyBorder="1" applyAlignment="1">
      <alignment horizontal="center" vertical="center"/>
    </xf>
    <xf numFmtId="0" fontId="111" fillId="0" borderId="2" xfId="2584" applyNumberFormat="1" applyFont="1" applyFill="1" applyBorder="1" applyAlignment="1">
      <alignment horizontal="center" vertical="center" wrapText="1"/>
    </xf>
    <xf numFmtId="0" fontId="110" fillId="0" borderId="2" xfId="2584" applyNumberFormat="1" applyFont="1" applyFill="1" applyBorder="1" applyAlignment="1">
      <alignment vertical="center"/>
    </xf>
    <xf numFmtId="0" fontId="111" fillId="0" borderId="2" xfId="2584" applyNumberFormat="1" applyFont="1" applyFill="1" applyBorder="1" applyAlignment="1">
      <alignment horizontal="left" vertical="center"/>
    </xf>
    <xf numFmtId="0" fontId="111" fillId="0" borderId="2" xfId="0" applyFont="1" applyBorder="1" applyAlignment="1">
      <alignment horizontal="center" vertical="center"/>
    </xf>
    <xf numFmtId="43" fontId="111" fillId="0" borderId="2" xfId="2584" applyNumberFormat="1" applyFont="1" applyFill="1" applyBorder="1" applyAlignment="1">
      <alignment horizontal="center" vertical="center"/>
    </xf>
    <xf numFmtId="179" fontId="111" fillId="0" borderId="2" xfId="2584" applyFont="1" applyFill="1" applyBorder="1" applyAlignment="1">
      <alignment vertical="center"/>
    </xf>
    <xf numFmtId="0" fontId="111" fillId="0" borderId="2" xfId="0" applyFont="1" applyBorder="1" applyAlignment="1">
      <alignment horizontal="center" vertical="center" shrinkToFit="1"/>
    </xf>
    <xf numFmtId="0" fontId="111" fillId="0" borderId="2" xfId="2584" applyNumberFormat="1" applyFont="1" applyFill="1" applyBorder="1" applyAlignment="1">
      <alignment horizontal="center" vertical="center"/>
    </xf>
    <xf numFmtId="0" fontId="111" fillId="0" borderId="2" xfId="2584" applyNumberFormat="1" applyFont="1" applyFill="1" applyBorder="1" applyAlignment="1">
      <alignment vertical="center"/>
    </xf>
    <xf numFmtId="0" fontId="112" fillId="0" borderId="2" xfId="2584" applyNumberFormat="1" applyFont="1" applyFill="1" applyBorder="1" applyAlignment="1">
      <alignment horizontal="center" vertical="center"/>
    </xf>
    <xf numFmtId="0" fontId="112" fillId="0" borderId="2" xfId="2584" applyNumberFormat="1" applyFont="1" applyFill="1" applyBorder="1" applyAlignment="1">
      <alignment vertical="center"/>
    </xf>
    <xf numFmtId="0" fontId="112" fillId="0" borderId="2" xfId="2584" applyNumberFormat="1" applyFont="1" applyFill="1" applyBorder="1" applyAlignment="1">
      <alignment horizontal="left" vertical="center"/>
    </xf>
    <xf numFmtId="0" fontId="112" fillId="0" borderId="2" xfId="0" applyFont="1" applyBorder="1" applyAlignment="1">
      <alignment horizontal="center" vertical="center"/>
    </xf>
    <xf numFmtId="43" fontId="112" fillId="0" borderId="2" xfId="2584" applyNumberFormat="1" applyFont="1" applyFill="1" applyBorder="1" applyAlignment="1">
      <alignment horizontal="center" vertical="center"/>
    </xf>
    <xf numFmtId="179" fontId="112" fillId="0" borderId="2" xfId="2584" applyFont="1" applyFill="1" applyBorder="1" applyAlignment="1">
      <alignment vertical="center"/>
    </xf>
    <xf numFmtId="0" fontId="112" fillId="0" borderId="2" xfId="0" applyFont="1" applyBorder="1" applyAlignment="1">
      <alignment horizontal="center" vertical="center" shrinkToFit="1"/>
    </xf>
    <xf numFmtId="0" fontId="112" fillId="11" borderId="2" xfId="2584" applyNumberFormat="1" applyFont="1" applyFill="1" applyBorder="1" applyAlignment="1">
      <alignment horizontal="center" vertical="center"/>
    </xf>
    <xf numFmtId="0" fontId="112" fillId="11" borderId="2" xfId="2584" applyNumberFormat="1" applyFont="1" applyFill="1" applyBorder="1" applyAlignment="1">
      <alignment horizontal="left" vertical="center"/>
    </xf>
    <xf numFmtId="0" fontId="112" fillId="11" borderId="2" xfId="0" applyFont="1" applyFill="1" applyBorder="1" applyAlignment="1">
      <alignment horizontal="center" vertical="center"/>
    </xf>
    <xf numFmtId="43" fontId="112" fillId="11" borderId="2" xfId="2584" applyNumberFormat="1" applyFont="1" applyFill="1" applyBorder="1" applyAlignment="1">
      <alignment horizontal="center" vertical="center"/>
    </xf>
    <xf numFmtId="179" fontId="112" fillId="11" borderId="2" xfId="2584" applyFont="1" applyFill="1" applyBorder="1" applyAlignment="1">
      <alignment vertical="center"/>
    </xf>
    <xf numFmtId="179" fontId="112" fillId="11" borderId="2" xfId="0" applyNumberFormat="1" applyFont="1" applyFill="1" applyBorder="1" applyAlignment="1">
      <alignment horizontal="center" vertical="center" shrinkToFit="1"/>
    </xf>
    <xf numFmtId="0" fontId="112" fillId="14" borderId="53" xfId="2584" applyNumberFormat="1" applyFont="1" applyFill="1" applyBorder="1" applyAlignment="1">
      <alignment horizontal="center" vertical="center"/>
    </xf>
    <xf numFmtId="0" fontId="112" fillId="14" borderId="54" xfId="2584" applyNumberFormat="1" applyFont="1" applyFill="1" applyBorder="1" applyAlignment="1">
      <alignment horizontal="center" vertical="center"/>
    </xf>
    <xf numFmtId="0" fontId="112" fillId="14" borderId="54" xfId="2584" applyNumberFormat="1" applyFont="1" applyFill="1" applyBorder="1" applyAlignment="1">
      <alignment horizontal="left" vertical="center"/>
    </xf>
    <xf numFmtId="0" fontId="112" fillId="14" borderId="54" xfId="0" applyFont="1" applyFill="1" applyBorder="1" applyAlignment="1">
      <alignment horizontal="center" vertical="center"/>
    </xf>
    <xf numFmtId="43" fontId="112" fillId="14" borderId="54" xfId="2584" applyNumberFormat="1" applyFont="1" applyFill="1" applyBorder="1" applyAlignment="1">
      <alignment horizontal="center" vertical="center"/>
    </xf>
    <xf numFmtId="41" fontId="112" fillId="14" borderId="54" xfId="2865" applyFont="1" applyFill="1" applyBorder="1" applyAlignment="1">
      <alignment vertical="center"/>
    </xf>
    <xf numFmtId="41" fontId="131" fillId="14" borderId="54" xfId="2865" applyFont="1" applyFill="1" applyBorder="1" applyAlignment="1">
      <alignment vertical="center"/>
    </xf>
    <xf numFmtId="0" fontId="112" fillId="14" borderId="55" xfId="0" applyFont="1" applyFill="1" applyBorder="1" applyAlignment="1">
      <alignment horizontal="center" vertical="center" shrinkToFit="1"/>
    </xf>
    <xf numFmtId="0" fontId="112" fillId="9" borderId="2" xfId="2584" applyNumberFormat="1" applyFont="1" applyFill="1" applyBorder="1" applyAlignment="1">
      <alignment horizontal="center" vertical="center"/>
    </xf>
    <xf numFmtId="0" fontId="112" fillId="9" borderId="2" xfId="2584" applyNumberFormat="1" applyFont="1" applyFill="1" applyBorder="1" applyAlignment="1">
      <alignment vertical="center"/>
    </xf>
    <xf numFmtId="0" fontId="112" fillId="9" borderId="2" xfId="2584" applyNumberFormat="1" applyFont="1" applyFill="1" applyBorder="1" applyAlignment="1">
      <alignment horizontal="left" vertical="center"/>
    </xf>
    <xf numFmtId="0" fontId="112" fillId="9" borderId="2" xfId="0" applyFont="1" applyFill="1" applyBorder="1" applyAlignment="1">
      <alignment horizontal="center" vertical="center"/>
    </xf>
    <xf numFmtId="43" fontId="112" fillId="9" borderId="2" xfId="2584" applyNumberFormat="1" applyFont="1" applyFill="1" applyBorder="1" applyAlignment="1">
      <alignment horizontal="center" vertical="center"/>
    </xf>
    <xf numFmtId="179" fontId="112" fillId="9" borderId="2" xfId="2584" applyFont="1" applyFill="1" applyBorder="1" applyAlignment="1">
      <alignment vertical="center"/>
    </xf>
    <xf numFmtId="0" fontId="112" fillId="9" borderId="2" xfId="0" applyFont="1" applyFill="1" applyBorder="1" applyAlignment="1">
      <alignment horizontal="center" vertical="center" shrinkToFit="1"/>
    </xf>
    <xf numFmtId="41" fontId="111" fillId="0" borderId="2" xfId="2865" applyFont="1" applyFill="1" applyBorder="1" applyAlignment="1">
      <alignment vertical="center"/>
    </xf>
    <xf numFmtId="0" fontId="149" fillId="0" borderId="2" xfId="2584" applyNumberFormat="1" applyFont="1" applyFill="1" applyBorder="1" applyAlignment="1">
      <alignment horizontal="center" vertical="center"/>
    </xf>
    <xf numFmtId="0" fontId="149" fillId="0" borderId="2" xfId="2584" applyNumberFormat="1" applyFont="1" applyFill="1" applyBorder="1" applyAlignment="1">
      <alignment vertical="center"/>
    </xf>
    <xf numFmtId="0" fontId="149" fillId="0" borderId="2" xfId="2584" applyNumberFormat="1" applyFont="1" applyFill="1" applyBorder="1" applyAlignment="1">
      <alignment horizontal="left" vertical="center"/>
    </xf>
    <xf numFmtId="0" fontId="149" fillId="0" borderId="2" xfId="0" applyFont="1" applyBorder="1" applyAlignment="1">
      <alignment horizontal="center" vertical="center"/>
    </xf>
    <xf numFmtId="43" fontId="149" fillId="0" borderId="2" xfId="2584" applyNumberFormat="1" applyFont="1" applyFill="1" applyBorder="1" applyAlignment="1">
      <alignment horizontal="center" vertical="center"/>
    </xf>
    <xf numFmtId="41" fontId="149" fillId="0" borderId="2" xfId="2865" applyFont="1" applyFill="1" applyBorder="1" applyAlignment="1">
      <alignment vertical="center"/>
    </xf>
    <xf numFmtId="0" fontId="149" fillId="0" borderId="2" xfId="0" applyFont="1" applyBorder="1" applyAlignment="1">
      <alignment horizontal="center" vertical="center" shrinkToFit="1"/>
    </xf>
    <xf numFmtId="0" fontId="113" fillId="0" borderId="2" xfId="2584" applyNumberFormat="1" applyFont="1" applyFill="1" applyBorder="1" applyAlignment="1">
      <alignment horizontal="center" vertical="center"/>
    </xf>
    <xf numFmtId="0" fontId="113" fillId="0" borderId="2" xfId="2584" applyNumberFormat="1" applyFont="1" applyFill="1" applyBorder="1" applyAlignment="1">
      <alignment vertical="center"/>
    </xf>
    <xf numFmtId="0" fontId="113" fillId="0" borderId="2" xfId="2584" applyNumberFormat="1" applyFont="1" applyFill="1" applyBorder="1" applyAlignment="1">
      <alignment horizontal="left" vertical="center"/>
    </xf>
    <xf numFmtId="0" fontId="113" fillId="0" borderId="2" xfId="0" applyFont="1" applyBorder="1" applyAlignment="1">
      <alignment horizontal="center" vertical="center"/>
    </xf>
    <xf numFmtId="43" fontId="113" fillId="0" borderId="2" xfId="2584" applyNumberFormat="1" applyFont="1" applyFill="1" applyBorder="1" applyAlignment="1">
      <alignment horizontal="center" vertical="center"/>
    </xf>
    <xf numFmtId="41" fontId="113" fillId="0" borderId="2" xfId="2865" applyFont="1" applyFill="1" applyBorder="1" applyAlignment="1">
      <alignment vertical="center"/>
    </xf>
    <xf numFmtId="0" fontId="111" fillId="13" borderId="2" xfId="0" applyFont="1" applyFill="1" applyBorder="1" applyAlignment="1">
      <alignment horizontal="center" vertical="center" shrinkToFit="1"/>
    </xf>
    <xf numFmtId="41" fontId="140" fillId="0" borderId="2" xfId="2865" applyFont="1" applyFill="1" applyBorder="1" applyAlignment="1">
      <alignment vertical="center"/>
    </xf>
    <xf numFmtId="0" fontId="111" fillId="10" borderId="2" xfId="2584" applyNumberFormat="1" applyFont="1" applyFill="1" applyBorder="1" applyAlignment="1">
      <alignment horizontal="center" vertical="center"/>
    </xf>
    <xf numFmtId="0" fontId="112" fillId="10" borderId="2" xfId="2584" applyNumberFormat="1" applyFont="1" applyFill="1" applyBorder="1" applyAlignment="1">
      <alignment vertical="center"/>
    </xf>
    <xf numFmtId="0" fontId="111" fillId="10" borderId="2" xfId="2584" applyNumberFormat="1" applyFont="1" applyFill="1" applyBorder="1" applyAlignment="1">
      <alignment horizontal="left" vertical="center"/>
    </xf>
    <xf numFmtId="0" fontId="111" fillId="10" borderId="2" xfId="0" applyFont="1" applyFill="1" applyBorder="1" applyAlignment="1">
      <alignment horizontal="center" vertical="center"/>
    </xf>
    <xf numFmtId="41" fontId="111" fillId="10" borderId="2" xfId="2865" applyFont="1" applyFill="1" applyBorder="1" applyAlignment="1">
      <alignment vertical="center"/>
    </xf>
    <xf numFmtId="43" fontId="111" fillId="0" borderId="2" xfId="2865" applyNumberFormat="1" applyFont="1" applyFill="1" applyBorder="1" applyAlignment="1">
      <alignment vertical="center"/>
    </xf>
    <xf numFmtId="41" fontId="112" fillId="9" borderId="2" xfId="2865" applyFont="1" applyFill="1" applyBorder="1" applyAlignment="1">
      <alignment vertical="center"/>
    </xf>
    <xf numFmtId="0" fontId="111" fillId="0" borderId="2" xfId="2584" quotePrefix="1" applyNumberFormat="1" applyFont="1" applyFill="1" applyBorder="1" applyAlignment="1">
      <alignment horizontal="center" vertical="center"/>
    </xf>
    <xf numFmtId="0" fontId="111" fillId="13" borderId="2" xfId="2584" quotePrefix="1" applyNumberFormat="1" applyFont="1" applyFill="1" applyBorder="1" applyAlignment="1">
      <alignment horizontal="center" vertical="center"/>
    </xf>
    <xf numFmtId="0" fontId="111" fillId="13" borderId="2" xfId="2584" applyNumberFormat="1" applyFont="1" applyFill="1" applyBorder="1" applyAlignment="1">
      <alignment vertical="center"/>
    </xf>
    <xf numFmtId="0" fontId="111" fillId="13" borderId="2" xfId="2584" applyNumberFormat="1" applyFont="1" applyFill="1" applyBorder="1" applyAlignment="1">
      <alignment horizontal="left" vertical="center"/>
    </xf>
    <xf numFmtId="0" fontId="111" fillId="13" borderId="2" xfId="0" applyFont="1" applyFill="1" applyBorder="1" applyAlignment="1">
      <alignment horizontal="center" vertical="center"/>
    </xf>
    <xf numFmtId="43" fontId="111" fillId="13" borderId="2" xfId="2584" applyNumberFormat="1" applyFont="1" applyFill="1" applyBorder="1" applyAlignment="1">
      <alignment horizontal="center" vertical="center"/>
    </xf>
    <xf numFmtId="41" fontId="111" fillId="13" borderId="2" xfId="2865" applyFont="1" applyFill="1" applyBorder="1" applyAlignment="1">
      <alignment vertical="center"/>
    </xf>
    <xf numFmtId="0" fontId="111" fillId="10" borderId="2" xfId="0" applyFont="1" applyFill="1" applyBorder="1" applyAlignment="1">
      <alignment horizontal="center" vertical="center" shrinkToFit="1"/>
    </xf>
    <xf numFmtId="0" fontId="112" fillId="8" borderId="2" xfId="2584" quotePrefix="1" applyNumberFormat="1" applyFont="1" applyFill="1" applyBorder="1" applyAlignment="1">
      <alignment horizontal="center" vertical="center"/>
    </xf>
    <xf numFmtId="0" fontId="112" fillId="8" borderId="2" xfId="2584" applyNumberFormat="1" applyFont="1" applyFill="1" applyBorder="1" applyAlignment="1">
      <alignment vertical="center"/>
    </xf>
    <xf numFmtId="0" fontId="138" fillId="8" borderId="2" xfId="2584" applyNumberFormat="1" applyFont="1" applyFill="1" applyBorder="1" applyAlignment="1">
      <alignment horizontal="left" vertical="center"/>
    </xf>
    <xf numFmtId="41" fontId="112" fillId="0" borderId="2" xfId="2865" applyFont="1" applyFill="1" applyBorder="1" applyAlignment="1">
      <alignment vertical="center"/>
    </xf>
    <xf numFmtId="2" fontId="111" fillId="0" borderId="2" xfId="0" applyNumberFormat="1" applyFont="1" applyBorder="1" applyAlignment="1">
      <alignment vertical="center"/>
    </xf>
    <xf numFmtId="0" fontId="111" fillId="13" borderId="2" xfId="2584" applyNumberFormat="1" applyFont="1" applyFill="1" applyBorder="1" applyAlignment="1">
      <alignment horizontal="center" vertical="center"/>
    </xf>
    <xf numFmtId="2" fontId="111" fillId="13" borderId="2" xfId="0" applyNumberFormat="1" applyFont="1" applyFill="1" applyBorder="1" applyAlignment="1">
      <alignment vertical="center"/>
    </xf>
    <xf numFmtId="0" fontId="134" fillId="0" borderId="2" xfId="0" applyFont="1" applyBorder="1" applyAlignment="1">
      <alignment horizontal="center" vertical="center" shrinkToFit="1"/>
    </xf>
    <xf numFmtId="2" fontId="113" fillId="0" borderId="2" xfId="0" applyNumberFormat="1" applyFont="1" applyBorder="1" applyAlignment="1">
      <alignment vertical="center"/>
    </xf>
    <xf numFmtId="0" fontId="142" fillId="0" borderId="2" xfId="0" applyFont="1" applyBorder="1" applyAlignment="1">
      <alignment horizontal="center" vertical="center" shrinkToFit="1"/>
    </xf>
    <xf numFmtId="0" fontId="133" fillId="0" borderId="2" xfId="2584" applyNumberFormat="1" applyFont="1" applyFill="1" applyBorder="1" applyAlignment="1">
      <alignment vertical="center"/>
    </xf>
    <xf numFmtId="0" fontId="133" fillId="0" borderId="2" xfId="2584" applyNumberFormat="1" applyFont="1" applyFill="1" applyBorder="1" applyAlignment="1">
      <alignment horizontal="left" vertical="center"/>
    </xf>
    <xf numFmtId="0" fontId="133" fillId="0" borderId="2" xfId="0" applyFont="1" applyBorder="1" applyAlignment="1">
      <alignment horizontal="center" vertical="center"/>
    </xf>
    <xf numFmtId="2" fontId="133" fillId="0" borderId="2" xfId="0" applyNumberFormat="1" applyFont="1" applyBorder="1" applyAlignment="1">
      <alignment vertical="center"/>
    </xf>
    <xf numFmtId="41" fontId="133" fillId="0" borderId="2" xfId="2865" applyFont="1" applyFill="1" applyBorder="1" applyAlignment="1">
      <alignment vertical="center"/>
    </xf>
    <xf numFmtId="0" fontId="133" fillId="0" borderId="2" xfId="0" applyFont="1" applyBorder="1" applyAlignment="1">
      <alignment horizontal="center" vertical="center" shrinkToFit="1"/>
    </xf>
    <xf numFmtId="0" fontId="132" fillId="0" borderId="2" xfId="2584" applyNumberFormat="1" applyFont="1" applyFill="1" applyBorder="1" applyAlignment="1">
      <alignment vertical="center"/>
    </xf>
    <xf numFmtId="0" fontId="132" fillId="0" borderId="2" xfId="2584" applyNumberFormat="1" applyFont="1" applyFill="1" applyBorder="1" applyAlignment="1">
      <alignment horizontal="left" vertical="center"/>
    </xf>
    <xf numFmtId="0" fontId="132" fillId="0" borderId="2" xfId="0" applyFont="1" applyBorder="1" applyAlignment="1">
      <alignment horizontal="center" vertical="center"/>
    </xf>
    <xf numFmtId="2" fontId="132" fillId="0" borderId="2" xfId="0" applyNumberFormat="1" applyFont="1" applyBorder="1" applyAlignment="1">
      <alignment vertical="center"/>
    </xf>
    <xf numFmtId="41" fontId="132" fillId="0" borderId="2" xfId="2865" applyFont="1" applyFill="1" applyBorder="1" applyAlignment="1">
      <alignment vertical="center"/>
    </xf>
    <xf numFmtId="0" fontId="132" fillId="0" borderId="2" xfId="0" applyFont="1" applyBorder="1" applyAlignment="1">
      <alignment horizontal="center" vertical="center" shrinkToFit="1"/>
    </xf>
    <xf numFmtId="0" fontId="132" fillId="0" borderId="2" xfId="2584" applyNumberFormat="1" applyFont="1" applyFill="1" applyBorder="1" applyAlignment="1">
      <alignment horizontal="center" vertical="center"/>
    </xf>
    <xf numFmtId="0" fontId="113" fillId="0" borderId="2" xfId="0" applyFont="1" applyBorder="1" applyAlignment="1">
      <alignment horizontal="center" vertical="center" shrinkToFit="1"/>
    </xf>
    <xf numFmtId="2" fontId="112" fillId="0" borderId="2" xfId="0" applyNumberFormat="1" applyFont="1" applyBorder="1" applyAlignment="1">
      <alignment vertical="center"/>
    </xf>
    <xf numFmtId="0" fontId="112" fillId="8" borderId="2" xfId="2584" applyNumberFormat="1" applyFont="1" applyFill="1" applyBorder="1" applyAlignment="1">
      <alignment horizontal="left" vertical="center"/>
    </xf>
    <xf numFmtId="0" fontId="111" fillId="13" borderId="2" xfId="2865" applyNumberFormat="1" applyFont="1" applyFill="1" applyBorder="1" applyAlignment="1">
      <alignment horizontal="center" vertical="center"/>
    </xf>
    <xf numFmtId="0" fontId="111" fillId="13" borderId="2" xfId="2865" applyNumberFormat="1" applyFont="1" applyFill="1" applyBorder="1" applyAlignment="1">
      <alignment horizontal="left" vertical="center"/>
    </xf>
    <xf numFmtId="43" fontId="111" fillId="13" borderId="2" xfId="0" applyNumberFormat="1" applyFont="1" applyFill="1" applyBorder="1" applyAlignment="1">
      <alignment vertical="center"/>
    </xf>
    <xf numFmtId="0" fontId="113" fillId="13" borderId="2" xfId="0" applyFont="1" applyFill="1" applyBorder="1" applyAlignment="1">
      <alignment horizontal="center" vertical="center" shrinkToFit="1"/>
    </xf>
    <xf numFmtId="43" fontId="136" fillId="13" borderId="2" xfId="0" applyNumberFormat="1" applyFont="1" applyFill="1" applyBorder="1" applyAlignment="1">
      <alignment vertical="center"/>
    </xf>
    <xf numFmtId="0" fontId="113" fillId="0" borderId="2" xfId="2865" applyNumberFormat="1" applyFont="1" applyFill="1" applyBorder="1" applyAlignment="1">
      <alignment horizontal="center" vertical="center"/>
    </xf>
    <xf numFmtId="43" fontId="133" fillId="0" borderId="2" xfId="0" applyNumberFormat="1" applyFont="1" applyBorder="1" applyAlignment="1">
      <alignment vertical="center"/>
    </xf>
    <xf numFmtId="0" fontId="112" fillId="13" borderId="2" xfId="2584" applyNumberFormat="1" applyFont="1" applyFill="1" applyBorder="1" applyAlignment="1">
      <alignment horizontal="center" vertical="center"/>
    </xf>
    <xf numFmtId="0" fontId="112" fillId="13" borderId="2" xfId="2584" applyNumberFormat="1" applyFont="1" applyFill="1" applyBorder="1" applyAlignment="1">
      <alignment horizontal="left" vertical="center"/>
    </xf>
    <xf numFmtId="0" fontId="112" fillId="13" borderId="2" xfId="0" applyFont="1" applyFill="1" applyBorder="1" applyAlignment="1">
      <alignment horizontal="center" vertical="center"/>
    </xf>
    <xf numFmtId="2" fontId="112" fillId="13" borderId="2" xfId="0" applyNumberFormat="1" applyFont="1" applyFill="1" applyBorder="1" applyAlignment="1">
      <alignment vertical="center"/>
    </xf>
    <xf numFmtId="41" fontId="112" fillId="13" borderId="2" xfId="2865" applyFont="1" applyFill="1" applyBorder="1" applyAlignment="1">
      <alignment vertical="center"/>
    </xf>
    <xf numFmtId="0" fontId="134" fillId="13" borderId="2" xfId="2865" applyNumberFormat="1" applyFont="1" applyFill="1" applyBorder="1" applyAlignment="1">
      <alignment horizontal="left" vertical="center"/>
    </xf>
    <xf numFmtId="0" fontId="133" fillId="13" borderId="2" xfId="0" applyFont="1" applyFill="1" applyBorder="1" applyAlignment="1">
      <alignment horizontal="center" vertical="center" shrinkToFit="1"/>
    </xf>
    <xf numFmtId="0" fontId="132" fillId="13" borderId="2" xfId="2584" applyNumberFormat="1" applyFont="1" applyFill="1" applyBorder="1" applyAlignment="1">
      <alignment vertical="center"/>
    </xf>
    <xf numFmtId="0" fontId="132" fillId="13" borderId="2" xfId="2865" applyNumberFormat="1" applyFont="1" applyFill="1" applyBorder="1" applyAlignment="1">
      <alignment horizontal="left" vertical="center"/>
    </xf>
    <xf numFmtId="0" fontId="132" fillId="13" borderId="2" xfId="0" applyFont="1" applyFill="1" applyBorder="1" applyAlignment="1">
      <alignment horizontal="center" vertical="center"/>
    </xf>
    <xf numFmtId="43" fontId="132" fillId="13" borderId="2" xfId="0" applyNumberFormat="1" applyFont="1" applyFill="1" applyBorder="1" applyAlignment="1">
      <alignment vertical="center"/>
    </xf>
    <xf numFmtId="41" fontId="132" fillId="13" borderId="2" xfId="2865" applyFont="1" applyFill="1" applyBorder="1" applyAlignment="1">
      <alignment vertical="center"/>
    </xf>
    <xf numFmtId="0" fontId="132" fillId="13" borderId="2" xfId="0" applyFont="1" applyFill="1" applyBorder="1" applyAlignment="1">
      <alignment horizontal="center" vertical="center" shrinkToFit="1"/>
    </xf>
    <xf numFmtId="0" fontId="134" fillId="13" borderId="2" xfId="2584" applyNumberFormat="1" applyFont="1" applyFill="1" applyBorder="1" applyAlignment="1">
      <alignment vertical="center"/>
    </xf>
    <xf numFmtId="43" fontId="111" fillId="0" borderId="2" xfId="0" applyNumberFormat="1" applyFont="1" applyBorder="1" applyAlignment="1">
      <alignment vertical="center"/>
    </xf>
    <xf numFmtId="0" fontId="111" fillId="15" borderId="2" xfId="2865" applyNumberFormat="1" applyFont="1" applyFill="1" applyBorder="1" applyAlignment="1">
      <alignment horizontal="center" vertical="center"/>
    </xf>
    <xf numFmtId="0" fontId="111" fillId="15" borderId="2" xfId="2584" applyNumberFormat="1" applyFont="1" applyFill="1" applyBorder="1" applyAlignment="1">
      <alignment vertical="center"/>
    </xf>
    <xf numFmtId="0" fontId="111" fillId="15" borderId="2" xfId="2865" applyNumberFormat="1" applyFont="1" applyFill="1" applyBorder="1" applyAlignment="1">
      <alignment horizontal="left" vertical="center"/>
    </xf>
    <xf numFmtId="0" fontId="111" fillId="15" borderId="2" xfId="0" applyFont="1" applyFill="1" applyBorder="1" applyAlignment="1">
      <alignment horizontal="center" vertical="center"/>
    </xf>
    <xf numFmtId="43" fontId="111" fillId="15" borderId="2" xfId="0" applyNumberFormat="1" applyFont="1" applyFill="1" applyBorder="1" applyAlignment="1">
      <alignment vertical="center"/>
    </xf>
    <xf numFmtId="41" fontId="111" fillId="15" borderId="2" xfId="2865" applyFont="1" applyFill="1" applyBorder="1" applyAlignment="1">
      <alignment vertical="center"/>
    </xf>
    <xf numFmtId="0" fontId="111" fillId="15" borderId="2" xfId="0" applyFont="1" applyFill="1" applyBorder="1" applyAlignment="1">
      <alignment horizontal="center" vertical="center" shrinkToFit="1"/>
    </xf>
    <xf numFmtId="0" fontId="113" fillId="15" borderId="2" xfId="2584" applyNumberFormat="1" applyFont="1" applyFill="1" applyBorder="1" applyAlignment="1">
      <alignment horizontal="center" vertical="center"/>
    </xf>
    <xf numFmtId="0" fontId="113" fillId="15" borderId="2" xfId="2584" applyNumberFormat="1" applyFont="1" applyFill="1" applyBorder="1" applyAlignment="1">
      <alignment vertical="center"/>
    </xf>
    <xf numFmtId="0" fontId="113" fillId="15" borderId="2" xfId="2584" applyNumberFormat="1" applyFont="1" applyFill="1" applyBorder="1" applyAlignment="1">
      <alignment horizontal="left" vertical="center"/>
    </xf>
    <xf numFmtId="0" fontId="113" fillId="15" borderId="2" xfId="0" applyFont="1" applyFill="1" applyBorder="1" applyAlignment="1">
      <alignment horizontal="center" vertical="center"/>
    </xf>
    <xf numFmtId="43" fontId="113" fillId="15" borderId="2" xfId="0" applyNumberFormat="1" applyFont="1" applyFill="1" applyBorder="1" applyAlignment="1">
      <alignment vertical="center"/>
    </xf>
    <xf numFmtId="41" fontId="113" fillId="15" borderId="2" xfId="2865" applyFont="1" applyFill="1" applyBorder="1" applyAlignment="1">
      <alignment vertical="center"/>
    </xf>
    <xf numFmtId="0" fontId="113" fillId="15" borderId="2" xfId="0" applyFont="1" applyFill="1" applyBorder="1" applyAlignment="1">
      <alignment horizontal="center" vertical="center" shrinkToFit="1"/>
    </xf>
    <xf numFmtId="0" fontId="113" fillId="13" borderId="2" xfId="2865" applyNumberFormat="1" applyFont="1" applyFill="1" applyBorder="1" applyAlignment="1">
      <alignment horizontal="center" vertical="center"/>
    </xf>
    <xf numFmtId="0" fontId="149" fillId="13" borderId="2" xfId="2584" applyNumberFormat="1" applyFont="1" applyFill="1" applyBorder="1" applyAlignment="1">
      <alignment vertical="center"/>
    </xf>
    <xf numFmtId="0" fontId="149" fillId="13" borderId="2" xfId="2865" applyNumberFormat="1" applyFont="1" applyFill="1" applyBorder="1" applyAlignment="1">
      <alignment horizontal="left" vertical="center"/>
    </xf>
    <xf numFmtId="0" fontId="149" fillId="13" borderId="2" xfId="0" applyFont="1" applyFill="1" applyBorder="1" applyAlignment="1">
      <alignment horizontal="center" vertical="center"/>
    </xf>
    <xf numFmtId="43" fontId="149" fillId="13" borderId="2" xfId="0" applyNumberFormat="1" applyFont="1" applyFill="1" applyBorder="1" applyAlignment="1">
      <alignment vertical="center"/>
    </xf>
    <xf numFmtId="41" fontId="149" fillId="13" borderId="2" xfId="2865" applyFont="1" applyFill="1" applyBorder="1" applyAlignment="1">
      <alignment vertical="center"/>
    </xf>
    <xf numFmtId="0" fontId="150" fillId="0" borderId="2" xfId="0" applyFont="1" applyBorder="1" applyAlignment="1">
      <alignment horizontal="center" vertical="center" shrinkToFit="1"/>
    </xf>
    <xf numFmtId="0" fontId="144" fillId="0" borderId="2" xfId="0" applyFont="1" applyBorder="1" applyAlignment="1">
      <alignment horizontal="center" vertical="center" shrinkToFit="1"/>
    </xf>
    <xf numFmtId="0" fontId="111" fillId="0" borderId="2" xfId="2865" applyNumberFormat="1" applyFont="1" applyFill="1" applyBorder="1" applyAlignment="1">
      <alignment horizontal="center" vertical="center"/>
    </xf>
    <xf numFmtId="0" fontId="111" fillId="0" borderId="2" xfId="2865" applyNumberFormat="1" applyFont="1" applyFill="1" applyBorder="1" applyAlignment="1">
      <alignment horizontal="left" vertical="center"/>
    </xf>
    <xf numFmtId="0" fontId="149" fillId="13" borderId="2" xfId="2865" applyNumberFormat="1" applyFont="1" applyFill="1" applyBorder="1" applyAlignment="1">
      <alignment horizontal="center" vertical="center"/>
    </xf>
    <xf numFmtId="0" fontId="113" fillId="15" borderId="2" xfId="2865" applyNumberFormat="1" applyFont="1" applyFill="1" applyBorder="1" applyAlignment="1">
      <alignment horizontal="center" vertical="center"/>
    </xf>
    <xf numFmtId="0" fontId="133" fillId="15" borderId="2" xfId="2584" applyNumberFormat="1" applyFont="1" applyFill="1" applyBorder="1" applyAlignment="1">
      <alignment vertical="center"/>
    </xf>
    <xf numFmtId="0" fontId="133" fillId="15" borderId="2" xfId="2865" applyNumberFormat="1" applyFont="1" applyFill="1" applyBorder="1" applyAlignment="1">
      <alignment horizontal="left" vertical="center"/>
    </xf>
    <xf numFmtId="0" fontId="133" fillId="15" borderId="2" xfId="0" applyFont="1" applyFill="1" applyBorder="1" applyAlignment="1">
      <alignment horizontal="center" vertical="center"/>
    </xf>
    <xf numFmtId="43" fontId="133" fillId="15" borderId="2" xfId="0" applyNumberFormat="1" applyFont="1" applyFill="1" applyBorder="1" applyAlignment="1">
      <alignment vertical="center"/>
    </xf>
    <xf numFmtId="41" fontId="133" fillId="15" borderId="2" xfId="2865" applyFont="1" applyFill="1" applyBorder="1" applyAlignment="1">
      <alignment vertical="center"/>
    </xf>
    <xf numFmtId="0" fontId="145" fillId="15" borderId="2" xfId="0" applyFont="1" applyFill="1" applyBorder="1" applyAlignment="1">
      <alignment horizontal="center" vertical="center" shrinkToFit="1"/>
    </xf>
    <xf numFmtId="0" fontId="133" fillId="0" borderId="2" xfId="2865" applyNumberFormat="1" applyFont="1" applyFill="1" applyBorder="1" applyAlignment="1">
      <alignment horizontal="left" vertical="center"/>
    </xf>
    <xf numFmtId="0" fontId="144" fillId="13" borderId="2" xfId="0" applyFont="1" applyFill="1" applyBorder="1" applyAlignment="1">
      <alignment horizontal="center" vertical="center" shrinkToFit="1"/>
    </xf>
    <xf numFmtId="0" fontId="133" fillId="13" borderId="2" xfId="2584" applyNumberFormat="1" applyFont="1" applyFill="1" applyBorder="1" applyAlignment="1">
      <alignment vertical="center"/>
    </xf>
    <xf numFmtId="0" fontId="133" fillId="13" borderId="2" xfId="2865" applyNumberFormat="1" applyFont="1" applyFill="1" applyBorder="1" applyAlignment="1">
      <alignment horizontal="left" vertical="center"/>
    </xf>
    <xf numFmtId="0" fontId="133" fillId="13" borderId="2" xfId="0" applyFont="1" applyFill="1" applyBorder="1" applyAlignment="1">
      <alignment horizontal="center" vertical="center"/>
    </xf>
    <xf numFmtId="43" fontId="133" fillId="13" borderId="2" xfId="0" applyNumberFormat="1" applyFont="1" applyFill="1" applyBorder="1" applyAlignment="1">
      <alignment vertical="center"/>
    </xf>
    <xf numFmtId="41" fontId="133" fillId="13" borderId="2" xfId="2865" applyFont="1" applyFill="1" applyBorder="1" applyAlignment="1">
      <alignment vertical="center"/>
    </xf>
    <xf numFmtId="0" fontId="145" fillId="0" borderId="2" xfId="0" applyFont="1" applyBorder="1" applyAlignment="1">
      <alignment horizontal="center" vertical="center" shrinkToFit="1"/>
    </xf>
    <xf numFmtId="0" fontId="112" fillId="13" borderId="2" xfId="2584" applyNumberFormat="1" applyFont="1" applyFill="1" applyBorder="1" applyAlignment="1">
      <alignment vertical="center"/>
    </xf>
    <xf numFmtId="0" fontId="143" fillId="13" borderId="2" xfId="0" applyFont="1" applyFill="1" applyBorder="1" applyAlignment="1">
      <alignment horizontal="center" vertical="center" shrinkToFit="1"/>
    </xf>
    <xf numFmtId="0" fontId="141" fillId="13" borderId="2" xfId="2865" applyNumberFormat="1" applyFont="1" applyFill="1" applyBorder="1" applyAlignment="1">
      <alignment horizontal="center" vertical="center"/>
    </xf>
    <xf numFmtId="0" fontId="141" fillId="13" borderId="2" xfId="2584" applyNumberFormat="1" applyFont="1" applyFill="1" applyBorder="1" applyAlignment="1">
      <alignment vertical="center"/>
    </xf>
    <xf numFmtId="0" fontId="141" fillId="13" borderId="2" xfId="2865" applyNumberFormat="1" applyFont="1" applyFill="1" applyBorder="1" applyAlignment="1">
      <alignment horizontal="left" vertical="center"/>
    </xf>
    <xf numFmtId="0" fontId="141" fillId="13" borderId="2" xfId="0" applyFont="1" applyFill="1" applyBorder="1" applyAlignment="1">
      <alignment horizontal="center" vertical="center"/>
    </xf>
    <xf numFmtId="43" fontId="141" fillId="13" borderId="2" xfId="0" applyNumberFormat="1" applyFont="1" applyFill="1" applyBorder="1" applyAlignment="1">
      <alignment vertical="center"/>
    </xf>
    <xf numFmtId="41" fontId="141" fillId="13" borderId="2" xfId="2865" applyFont="1" applyFill="1" applyBorder="1" applyAlignment="1">
      <alignment vertical="center"/>
    </xf>
    <xf numFmtId="0" fontId="141" fillId="13" borderId="2" xfId="0" applyFont="1" applyFill="1" applyBorder="1" applyAlignment="1">
      <alignment horizontal="center" vertical="center" shrinkToFit="1"/>
    </xf>
    <xf numFmtId="2" fontId="134" fillId="13" borderId="2" xfId="0" applyNumberFormat="1" applyFont="1" applyFill="1" applyBorder="1" applyAlignment="1">
      <alignment vertical="center"/>
    </xf>
    <xf numFmtId="0" fontId="132" fillId="13" borderId="2" xfId="2584" applyNumberFormat="1" applyFont="1" applyFill="1" applyBorder="1" applyAlignment="1">
      <alignment horizontal="left" vertical="center"/>
    </xf>
    <xf numFmtId="0" fontId="133" fillId="13" borderId="2" xfId="2584" applyNumberFormat="1" applyFont="1" applyFill="1" applyBorder="1" applyAlignment="1">
      <alignment horizontal="left" vertical="center"/>
    </xf>
    <xf numFmtId="2" fontId="132" fillId="13" borderId="2" xfId="0" applyNumberFormat="1" applyFont="1" applyFill="1" applyBorder="1" applyAlignment="1">
      <alignment vertical="center"/>
    </xf>
    <xf numFmtId="0" fontId="132" fillId="0" borderId="2" xfId="2865" applyNumberFormat="1" applyFont="1" applyFill="1" applyBorder="1" applyAlignment="1">
      <alignment horizontal="left" vertical="center"/>
    </xf>
    <xf numFmtId="43" fontId="111" fillId="0" borderId="2" xfId="2584" applyNumberFormat="1" applyFont="1" applyFill="1" applyBorder="1" applyAlignment="1">
      <alignment vertical="center"/>
    </xf>
    <xf numFmtId="0" fontId="112" fillId="0" borderId="2" xfId="0" applyFont="1" applyBorder="1" applyAlignment="1">
      <alignment vertical="center"/>
    </xf>
    <xf numFmtId="41" fontId="113" fillId="0" borderId="2" xfId="2865" applyFont="1" applyFill="1" applyBorder="1" applyAlignment="1">
      <alignment horizontal="center" vertical="center"/>
    </xf>
    <xf numFmtId="0" fontId="135" fillId="0" borderId="2" xfId="2584" applyNumberFormat="1" applyFont="1" applyFill="1" applyBorder="1" applyAlignment="1">
      <alignment vertical="center"/>
    </xf>
    <xf numFmtId="0" fontId="135" fillId="13" borderId="2" xfId="2584" applyNumberFormat="1" applyFont="1" applyFill="1" applyBorder="1" applyAlignment="1">
      <alignment vertical="center"/>
    </xf>
    <xf numFmtId="41" fontId="133" fillId="0" borderId="2" xfId="2865" applyFont="1" applyFill="1" applyBorder="1" applyAlignment="1">
      <alignment horizontal="center" vertical="center"/>
    </xf>
    <xf numFmtId="43" fontId="133" fillId="0" borderId="2" xfId="2584" applyNumberFormat="1" applyFont="1" applyFill="1" applyBorder="1" applyAlignment="1">
      <alignment horizontal="center" vertical="center"/>
    </xf>
    <xf numFmtId="0" fontId="133" fillId="0" borderId="26" xfId="0" applyFont="1" applyBorder="1" applyAlignment="1">
      <alignment vertical="center"/>
    </xf>
    <xf numFmtId="0" fontId="133" fillId="0" borderId="20" xfId="0" applyFont="1" applyBorder="1" applyAlignment="1">
      <alignment vertical="center"/>
    </xf>
    <xf numFmtId="0" fontId="153" fillId="0" borderId="2" xfId="0" applyFont="1" applyBorder="1" applyAlignment="1">
      <alignment horizontal="center" vertical="center" shrinkToFit="1"/>
    </xf>
    <xf numFmtId="0" fontId="153" fillId="0" borderId="0" xfId="0" applyFont="1" applyAlignment="1">
      <alignment vertical="center"/>
    </xf>
    <xf numFmtId="0" fontId="149" fillId="15" borderId="2" xfId="0" applyFont="1" applyFill="1" applyBorder="1" applyAlignment="1">
      <alignment horizontal="center" vertical="center"/>
    </xf>
    <xf numFmtId="0" fontId="113" fillId="13" borderId="2" xfId="2865" applyNumberFormat="1" applyFont="1" applyFill="1" applyBorder="1" applyAlignment="1">
      <alignment horizontal="left" vertical="center"/>
    </xf>
    <xf numFmtId="0" fontId="153" fillId="13" borderId="2" xfId="2584" applyNumberFormat="1" applyFont="1" applyFill="1" applyBorder="1" applyAlignment="1">
      <alignment vertical="center"/>
    </xf>
    <xf numFmtId="0" fontId="153" fillId="13" borderId="2" xfId="0" applyFont="1" applyFill="1" applyBorder="1" applyAlignment="1">
      <alignment horizontal="center" vertical="center"/>
    </xf>
    <xf numFmtId="41" fontId="153" fillId="13" borderId="2" xfId="2865" applyFont="1" applyFill="1" applyBorder="1" applyAlignment="1">
      <alignment vertical="center"/>
    </xf>
    <xf numFmtId="0" fontId="153" fillId="13" borderId="2" xfId="0" applyFont="1" applyFill="1" applyBorder="1" applyAlignment="1">
      <alignment horizontal="center" vertical="center" shrinkToFit="1"/>
    </xf>
    <xf numFmtId="0" fontId="153" fillId="13" borderId="0" xfId="0" applyFont="1" applyFill="1" applyAlignment="1">
      <alignment vertical="center"/>
    </xf>
    <xf numFmtId="0" fontId="149" fillId="15" borderId="2" xfId="2584" applyNumberFormat="1" applyFont="1" applyFill="1" applyBorder="1" applyAlignment="1">
      <alignment vertical="center"/>
    </xf>
    <xf numFmtId="0" fontId="149" fillId="15" borderId="2" xfId="2584" applyNumberFormat="1" applyFont="1" applyFill="1" applyBorder="1" applyAlignment="1">
      <alignment horizontal="left" vertical="center"/>
    </xf>
    <xf numFmtId="43" fontId="149" fillId="15" borderId="2" xfId="0" applyNumberFormat="1" applyFont="1" applyFill="1" applyBorder="1" applyAlignment="1">
      <alignment vertical="center"/>
    </xf>
    <xf numFmtId="41" fontId="149" fillId="15" borderId="2" xfId="2865" applyFont="1" applyFill="1" applyBorder="1" applyAlignment="1">
      <alignment vertical="center"/>
    </xf>
    <xf numFmtId="0" fontId="149" fillId="15" borderId="2" xfId="0" applyFont="1" applyFill="1" applyBorder="1" applyAlignment="1">
      <alignment horizontal="center" vertical="center" shrinkToFit="1"/>
    </xf>
    <xf numFmtId="0" fontId="149" fillId="15" borderId="0" xfId="0" applyFont="1" applyFill="1" applyAlignment="1">
      <alignment vertical="center"/>
    </xf>
    <xf numFmtId="43" fontId="113" fillId="0" borderId="2" xfId="0" applyNumberFormat="1" applyFont="1" applyBorder="1" applyAlignment="1">
      <alignment vertical="center"/>
    </xf>
    <xf numFmtId="0" fontId="134" fillId="0" borderId="2" xfId="0" applyFont="1" applyBorder="1" applyAlignment="1">
      <alignment horizontal="center" vertical="center"/>
    </xf>
    <xf numFmtId="0" fontId="142" fillId="0" borderId="2" xfId="0" applyFont="1" applyBorder="1" applyAlignment="1">
      <alignment horizontal="center" vertical="center"/>
    </xf>
    <xf numFmtId="0" fontId="153" fillId="0" borderId="2" xfId="0" applyFont="1" applyBorder="1" applyAlignment="1">
      <alignment horizontal="center" vertical="center"/>
    </xf>
    <xf numFmtId="0" fontId="141" fillId="0" borderId="2" xfId="2865" applyNumberFormat="1" applyFont="1" applyFill="1" applyBorder="1" applyAlignment="1">
      <alignment horizontal="center" vertical="center"/>
    </xf>
    <xf numFmtId="0" fontId="135" fillId="0" borderId="2" xfId="0" applyFont="1" applyBorder="1" applyAlignment="1">
      <alignment horizontal="center" vertical="center"/>
    </xf>
    <xf numFmtId="0" fontId="153" fillId="13" borderId="2" xfId="2584" applyNumberFormat="1" applyFont="1" applyFill="1" applyBorder="1" applyAlignment="1">
      <alignment horizontal="center" vertical="center"/>
    </xf>
    <xf numFmtId="0" fontId="153" fillId="13" borderId="2" xfId="2584" applyNumberFormat="1" applyFont="1" applyFill="1" applyBorder="1" applyAlignment="1">
      <alignment horizontal="left" vertical="center"/>
    </xf>
    <xf numFmtId="2" fontId="153" fillId="13" borderId="2" xfId="0" applyNumberFormat="1" applyFont="1" applyFill="1" applyBorder="1" applyAlignment="1">
      <alignment vertical="center"/>
    </xf>
    <xf numFmtId="0" fontId="153" fillId="0" borderId="2" xfId="2584" applyNumberFormat="1" applyFont="1" applyFill="1" applyBorder="1" applyAlignment="1">
      <alignment horizontal="center" vertical="center"/>
    </xf>
    <xf numFmtId="0" fontId="153" fillId="0" borderId="2" xfId="2584" applyNumberFormat="1" applyFont="1" applyFill="1" applyBorder="1" applyAlignment="1">
      <alignment vertical="center"/>
    </xf>
    <xf numFmtId="0" fontId="153" fillId="0" borderId="2" xfId="2584" applyNumberFormat="1" applyFont="1" applyFill="1" applyBorder="1" applyAlignment="1">
      <alignment horizontal="left" vertical="center"/>
    </xf>
    <xf numFmtId="2" fontId="153" fillId="0" borderId="2" xfId="0" applyNumberFormat="1" applyFont="1" applyBorder="1" applyAlignment="1">
      <alignment vertical="center"/>
    </xf>
    <xf numFmtId="41" fontId="153" fillId="0" borderId="2" xfId="2865" applyFont="1" applyFill="1" applyBorder="1" applyAlignment="1">
      <alignment vertical="center"/>
    </xf>
    <xf numFmtId="41" fontId="113" fillId="15" borderId="2" xfId="2865" applyFont="1" applyFill="1" applyBorder="1" applyAlignment="1">
      <alignment horizontal="center" vertical="center"/>
    </xf>
    <xf numFmtId="0" fontId="111" fillId="0" borderId="2" xfId="0" applyFont="1" applyFill="1" applyBorder="1" applyAlignment="1">
      <alignment horizontal="center" vertical="center"/>
    </xf>
    <xf numFmtId="43" fontId="111" fillId="0" borderId="2" xfId="0" applyNumberFormat="1" applyFont="1" applyFill="1" applyBorder="1" applyAlignment="1">
      <alignment vertical="center"/>
    </xf>
    <xf numFmtId="0" fontId="111" fillId="0" borderId="0" xfId="0" applyFont="1" applyFill="1" applyAlignment="1">
      <alignment vertical="center"/>
    </xf>
    <xf numFmtId="2" fontId="111" fillId="0" borderId="2" xfId="0" applyNumberFormat="1" applyFont="1" applyFill="1" applyBorder="1" applyAlignment="1">
      <alignment vertical="center"/>
    </xf>
    <xf numFmtId="0" fontId="111" fillId="0" borderId="2" xfId="0" applyFont="1" applyFill="1" applyBorder="1" applyAlignment="1">
      <alignment horizontal="center" vertical="center" shrinkToFit="1"/>
    </xf>
    <xf numFmtId="0" fontId="113" fillId="0" borderId="2" xfId="0" applyFont="1" applyFill="1" applyBorder="1" applyAlignment="1">
      <alignment horizontal="center" vertical="center" shrinkToFit="1"/>
    </xf>
    <xf numFmtId="0" fontId="149" fillId="0" borderId="2" xfId="0" applyFont="1" applyFill="1" applyBorder="1" applyAlignment="1">
      <alignment horizontal="center" vertical="center"/>
    </xf>
    <xf numFmtId="43" fontId="149" fillId="0" borderId="2" xfId="0" applyNumberFormat="1" applyFont="1" applyFill="1" applyBorder="1" applyAlignment="1">
      <alignment vertical="center"/>
    </xf>
    <xf numFmtId="0" fontId="149" fillId="0" borderId="2" xfId="0" applyFont="1" applyFill="1" applyBorder="1" applyAlignment="1">
      <alignment horizontal="center" vertical="center" shrinkToFit="1"/>
    </xf>
    <xf numFmtId="0" fontId="149" fillId="0" borderId="0" xfId="0" applyFont="1" applyFill="1" applyAlignment="1">
      <alignment vertical="center"/>
    </xf>
    <xf numFmtId="0" fontId="153" fillId="0" borderId="2" xfId="2865" applyNumberFormat="1" applyFont="1" applyFill="1" applyBorder="1" applyAlignment="1">
      <alignment horizontal="center" vertical="center"/>
    </xf>
    <xf numFmtId="0" fontId="153" fillId="0" borderId="2" xfId="0" applyFont="1" applyFill="1" applyBorder="1" applyAlignment="1">
      <alignment horizontal="center" vertical="center"/>
    </xf>
    <xf numFmtId="43" fontId="153" fillId="0" borderId="2" xfId="0" applyNumberFormat="1" applyFont="1" applyFill="1" applyBorder="1" applyAlignment="1">
      <alignment vertical="center"/>
    </xf>
    <xf numFmtId="0" fontId="153" fillId="0" borderId="2" xfId="0" applyFont="1" applyFill="1" applyBorder="1" applyAlignment="1">
      <alignment horizontal="center" vertical="center" shrinkToFit="1"/>
    </xf>
    <xf numFmtId="0" fontId="153" fillId="0" borderId="0" xfId="0" applyFont="1" applyFill="1" applyAlignment="1">
      <alignment vertical="center"/>
    </xf>
    <xf numFmtId="0" fontId="149" fillId="0" borderId="2" xfId="2865" applyNumberFormat="1" applyFont="1" applyFill="1" applyBorder="1" applyAlignment="1">
      <alignment horizontal="center" vertical="center"/>
    </xf>
    <xf numFmtId="0" fontId="143" fillId="0" borderId="2" xfId="0" applyFont="1" applyFill="1" applyBorder="1" applyAlignment="1">
      <alignment horizontal="center" vertical="center" shrinkToFit="1"/>
    </xf>
    <xf numFmtId="0" fontId="153" fillId="0" borderId="2" xfId="2865" applyNumberFormat="1" applyFont="1" applyFill="1" applyBorder="1" applyAlignment="1">
      <alignment horizontal="left" vertical="center"/>
    </xf>
    <xf numFmtId="0" fontId="154" fillId="0" borderId="2" xfId="0" applyFont="1" applyFill="1" applyBorder="1" applyAlignment="1">
      <alignment horizontal="center" vertical="center" shrinkToFit="1"/>
    </xf>
    <xf numFmtId="0" fontId="144" fillId="0" borderId="2" xfId="0" applyFont="1" applyFill="1" applyBorder="1" applyAlignment="1">
      <alignment horizontal="center" vertical="center" shrinkToFit="1"/>
    </xf>
    <xf numFmtId="0" fontId="112" fillId="0" borderId="2" xfId="0" applyFont="1" applyFill="1" applyBorder="1" applyAlignment="1">
      <alignment horizontal="center" vertical="center" shrinkToFit="1"/>
    </xf>
    <xf numFmtId="0" fontId="149" fillId="0" borderId="2" xfId="2865" applyNumberFormat="1" applyFont="1" applyFill="1" applyBorder="1" applyAlignment="1">
      <alignment horizontal="left" vertical="center"/>
    </xf>
    <xf numFmtId="0" fontId="150" fillId="0" borderId="2" xfId="0" applyFont="1" applyFill="1" applyBorder="1" applyAlignment="1">
      <alignment horizontal="center" vertical="center" shrinkToFit="1"/>
    </xf>
    <xf numFmtId="0" fontId="132" fillId="0" borderId="2" xfId="0" applyFont="1" applyFill="1" applyBorder="1" applyAlignment="1">
      <alignment horizontal="center" vertical="center"/>
    </xf>
    <xf numFmtId="43" fontId="132" fillId="0" borderId="2" xfId="0" applyNumberFormat="1" applyFont="1" applyFill="1" applyBorder="1" applyAlignment="1">
      <alignment vertical="center"/>
    </xf>
    <xf numFmtId="0" fontId="148" fillId="0" borderId="2" xfId="0" applyFont="1" applyFill="1" applyBorder="1" applyAlignment="1">
      <alignment horizontal="center" vertical="center" shrinkToFit="1"/>
    </xf>
    <xf numFmtId="0" fontId="132" fillId="0" borderId="0" xfId="0" applyFont="1" applyFill="1" applyAlignment="1">
      <alignment vertical="center"/>
    </xf>
    <xf numFmtId="41" fontId="139" fillId="0" borderId="0" xfId="2865" applyFont="1" applyFill="1" applyAlignment="1">
      <alignment vertical="center"/>
    </xf>
    <xf numFmtId="41" fontId="150" fillId="0" borderId="0" xfId="2865" applyFont="1" applyFill="1" applyAlignment="1">
      <alignment vertical="center"/>
    </xf>
    <xf numFmtId="0" fontId="134" fillId="0" borderId="2" xfId="2865" applyNumberFormat="1" applyFont="1" applyFill="1" applyBorder="1" applyAlignment="1">
      <alignment horizontal="left" vertical="center"/>
    </xf>
    <xf numFmtId="0" fontId="134" fillId="0" borderId="2" xfId="0" applyFont="1" applyFill="1" applyBorder="1" applyAlignment="1">
      <alignment horizontal="center" vertical="center"/>
    </xf>
    <xf numFmtId="0" fontId="153" fillId="0" borderId="2" xfId="0" applyFont="1" applyFill="1" applyBorder="1" applyAlignment="1">
      <alignment vertical="center"/>
    </xf>
    <xf numFmtId="0" fontId="153" fillId="0" borderId="2" xfId="0" applyFont="1" applyFill="1" applyBorder="1" applyAlignment="1">
      <alignment horizontal="left" vertical="center"/>
    </xf>
    <xf numFmtId="41" fontId="153" fillId="0" borderId="2" xfId="0" applyNumberFormat="1" applyFont="1" applyFill="1" applyBorder="1" applyAlignment="1">
      <alignment vertical="center"/>
    </xf>
    <xf numFmtId="0" fontId="133" fillId="0" borderId="2" xfId="0" applyFont="1" applyFill="1" applyBorder="1" applyAlignment="1">
      <alignment horizontal="center" vertical="center" shrinkToFit="1"/>
    </xf>
    <xf numFmtId="2" fontId="153" fillId="0" borderId="2" xfId="0" applyNumberFormat="1" applyFont="1" applyFill="1" applyBorder="1" applyAlignment="1">
      <alignment vertical="center"/>
    </xf>
    <xf numFmtId="0" fontId="111" fillId="15" borderId="2" xfId="2584" applyNumberFormat="1" applyFont="1" applyFill="1" applyBorder="1" applyAlignment="1">
      <alignment horizontal="center" vertical="center"/>
    </xf>
    <xf numFmtId="0" fontId="111" fillId="15" borderId="2" xfId="2584" applyNumberFormat="1" applyFont="1" applyFill="1" applyBorder="1" applyAlignment="1">
      <alignment horizontal="left" vertical="center"/>
    </xf>
    <xf numFmtId="2" fontId="111" fillId="15" borderId="2" xfId="0" applyNumberFormat="1" applyFont="1" applyFill="1" applyBorder="1" applyAlignment="1">
      <alignment vertical="center"/>
    </xf>
    <xf numFmtId="0" fontId="153" fillId="15" borderId="2" xfId="2584" applyNumberFormat="1" applyFont="1" applyFill="1" applyBorder="1" applyAlignment="1">
      <alignment horizontal="center" vertical="center"/>
    </xf>
    <xf numFmtId="0" fontId="153" fillId="15" borderId="2" xfId="2584" applyNumberFormat="1" applyFont="1" applyFill="1" applyBorder="1" applyAlignment="1">
      <alignment vertical="center"/>
    </xf>
    <xf numFmtId="0" fontId="153" fillId="15" borderId="2" xfId="2584" applyNumberFormat="1" applyFont="1" applyFill="1" applyBorder="1" applyAlignment="1">
      <alignment horizontal="left" vertical="center"/>
    </xf>
    <xf numFmtId="0" fontId="153" fillId="15" borderId="2" xfId="0" applyFont="1" applyFill="1" applyBorder="1" applyAlignment="1">
      <alignment horizontal="center" vertical="center"/>
    </xf>
    <xf numFmtId="2" fontId="153" fillId="15" borderId="2" xfId="0" applyNumberFormat="1" applyFont="1" applyFill="1" applyBorder="1" applyAlignment="1">
      <alignment vertical="center"/>
    </xf>
    <xf numFmtId="41" fontId="153" fillId="15" borderId="2" xfId="2865" applyFont="1" applyFill="1" applyBorder="1" applyAlignment="1">
      <alignment vertical="center"/>
    </xf>
    <xf numFmtId="0" fontId="153" fillId="15" borderId="2" xfId="0" applyFont="1" applyFill="1" applyBorder="1" applyAlignment="1">
      <alignment horizontal="center" vertical="center" shrinkToFit="1"/>
    </xf>
    <xf numFmtId="0" fontId="153" fillId="15" borderId="0" xfId="0" applyFont="1" applyFill="1" applyAlignment="1">
      <alignment vertical="center"/>
    </xf>
    <xf numFmtId="43" fontId="153" fillId="15" borderId="2" xfId="0" applyNumberFormat="1" applyFont="1" applyFill="1" applyBorder="1" applyAlignment="1">
      <alignment vertical="center"/>
    </xf>
    <xf numFmtId="0" fontId="114" fillId="0" borderId="0" xfId="2866" applyFont="1" applyAlignment="1">
      <alignment horizontal="center"/>
    </xf>
    <xf numFmtId="0" fontId="115" fillId="0" borderId="0" xfId="2864" applyFont="1" applyAlignment="1">
      <alignment horizontal="center"/>
    </xf>
    <xf numFmtId="57" fontId="116" fillId="0" borderId="0" xfId="2866" applyNumberFormat="1" applyFont="1" applyAlignment="1">
      <alignment horizontal="right"/>
    </xf>
    <xf numFmtId="0" fontId="118" fillId="0" borderId="21" xfId="2866" applyFont="1" applyBorder="1"/>
    <xf numFmtId="0" fontId="152" fillId="0" borderId="0" xfId="2866" applyFont="1" applyAlignment="1">
      <alignment horizontal="left"/>
    </xf>
    <xf numFmtId="0" fontId="118" fillId="0" borderId="0" xfId="2866" applyFont="1" applyAlignment="1">
      <alignment horizontal="left"/>
    </xf>
    <xf numFmtId="0" fontId="125" fillId="7" borderId="45" xfId="0" applyFont="1" applyFill="1" applyBorder="1" applyAlignment="1">
      <alignment horizontal="center" vertical="center"/>
    </xf>
    <xf numFmtId="0" fontId="125" fillId="7" borderId="47" xfId="0" applyFont="1" applyFill="1" applyBorder="1" applyAlignment="1">
      <alignment horizontal="center" vertical="center"/>
    </xf>
    <xf numFmtId="0" fontId="122" fillId="0" borderId="35" xfId="2584" applyNumberFormat="1" applyFont="1" applyFill="1" applyBorder="1" applyAlignment="1">
      <alignment vertical="center"/>
    </xf>
    <xf numFmtId="0" fontId="122" fillId="0" borderId="42" xfId="2584" applyNumberFormat="1" applyFont="1" applyFill="1" applyBorder="1" applyAlignment="1">
      <alignment vertical="center"/>
    </xf>
    <xf numFmtId="0" fontId="122" fillId="0" borderId="43" xfId="2584" applyNumberFormat="1" applyFont="1" applyFill="1" applyBorder="1" applyAlignment="1">
      <alignment vertical="center"/>
    </xf>
    <xf numFmtId="0" fontId="125" fillId="7" borderId="44" xfId="0" applyFont="1" applyFill="1" applyBorder="1" applyAlignment="1">
      <alignment horizontal="center" vertical="center"/>
    </xf>
    <xf numFmtId="0" fontId="125" fillId="7" borderId="46" xfId="0" applyFont="1" applyFill="1" applyBorder="1" applyAlignment="1">
      <alignment horizontal="center" vertical="center"/>
    </xf>
    <xf numFmtId="0" fontId="125" fillId="7" borderId="34" xfId="2584" applyNumberFormat="1" applyFont="1" applyFill="1" applyBorder="1" applyAlignment="1">
      <alignment horizontal="center" vertical="center"/>
    </xf>
    <xf numFmtId="0" fontId="125" fillId="7" borderId="27" xfId="2584" applyNumberFormat="1" applyFont="1" applyFill="1" applyBorder="1" applyAlignment="1">
      <alignment horizontal="center" vertical="center"/>
    </xf>
    <xf numFmtId="0" fontId="125" fillId="7" borderId="34" xfId="0" applyFont="1" applyFill="1" applyBorder="1" applyAlignment="1">
      <alignment horizontal="center" vertical="center"/>
    </xf>
    <xf numFmtId="0" fontId="125" fillId="7" borderId="27" xfId="0" applyFont="1" applyFill="1" applyBorder="1" applyAlignment="1">
      <alignment horizontal="center" vertical="center"/>
    </xf>
    <xf numFmtId="43" fontId="125" fillId="7" borderId="34" xfId="0" applyNumberFormat="1" applyFont="1" applyFill="1" applyBorder="1" applyAlignment="1">
      <alignment horizontal="center" vertical="center"/>
    </xf>
    <xf numFmtId="43" fontId="125" fillId="7" borderId="27" xfId="0" applyNumberFormat="1" applyFont="1" applyFill="1" applyBorder="1" applyAlignment="1">
      <alignment horizontal="center" vertical="center"/>
    </xf>
    <xf numFmtId="179" fontId="125" fillId="7" borderId="34" xfId="2584" applyFont="1" applyFill="1" applyBorder="1" applyAlignment="1">
      <alignment horizontal="center" vertical="center"/>
    </xf>
    <xf numFmtId="0" fontId="113" fillId="0" borderId="2" xfId="2584" applyNumberFormat="1" applyFont="1" applyFill="1" applyBorder="1" applyAlignment="1">
      <alignment vertical="center"/>
    </xf>
    <xf numFmtId="0" fontId="131" fillId="16" borderId="2" xfId="0" applyFont="1" applyFill="1" applyBorder="1" applyAlignment="1">
      <alignment horizontal="center" vertical="center"/>
    </xf>
    <xf numFmtId="0" fontId="107" fillId="0" borderId="2" xfId="2584" applyNumberFormat="1" applyFont="1" applyFill="1" applyBorder="1" applyAlignment="1">
      <alignment vertical="center"/>
    </xf>
    <xf numFmtId="0" fontId="109" fillId="7" borderId="2" xfId="0" applyFont="1" applyFill="1" applyBorder="1" applyAlignment="1">
      <alignment horizontal="center" vertical="center"/>
    </xf>
    <xf numFmtId="0" fontId="109" fillId="16" borderId="2" xfId="2584" applyNumberFormat="1" applyFont="1" applyFill="1" applyBorder="1" applyAlignment="1">
      <alignment horizontal="center" vertical="center"/>
    </xf>
    <xf numFmtId="0" fontId="109" fillId="16" borderId="2" xfId="0" applyFont="1" applyFill="1" applyBorder="1" applyAlignment="1">
      <alignment horizontal="center" vertical="center"/>
    </xf>
    <xf numFmtId="43" fontId="109" fillId="16" borderId="2" xfId="0" applyNumberFormat="1" applyFont="1" applyFill="1" applyBorder="1" applyAlignment="1">
      <alignment horizontal="center" vertical="center"/>
    </xf>
    <xf numFmtId="179" fontId="109" fillId="16" borderId="2" xfId="2584" applyFont="1" applyFill="1" applyBorder="1" applyAlignment="1">
      <alignment horizontal="center" vertical="center"/>
    </xf>
    <xf numFmtId="0" fontId="155" fillId="15" borderId="2" xfId="2584" applyNumberFormat="1" applyFont="1" applyFill="1" applyBorder="1" applyAlignment="1">
      <alignment vertical="center"/>
    </xf>
    <xf numFmtId="0" fontId="155" fillId="15" borderId="2" xfId="2584" applyNumberFormat="1" applyFont="1" applyFill="1" applyBorder="1" applyAlignment="1">
      <alignment horizontal="left" vertical="center"/>
    </xf>
    <xf numFmtId="0" fontId="155" fillId="15" borderId="2" xfId="0" applyFont="1" applyFill="1" applyBorder="1" applyAlignment="1">
      <alignment horizontal="center" vertical="center"/>
    </xf>
    <xf numFmtId="0" fontId="132" fillId="15" borderId="2" xfId="0" applyFont="1" applyFill="1" applyBorder="1" applyAlignment="1">
      <alignment horizontal="center" vertical="center"/>
    </xf>
    <xf numFmtId="43" fontId="132" fillId="15" borderId="2" xfId="0" applyNumberFormat="1" applyFont="1" applyFill="1" applyBorder="1" applyAlignment="1">
      <alignment vertical="center"/>
    </xf>
    <xf numFmtId="41" fontId="132" fillId="15" borderId="2" xfId="2865" applyFont="1" applyFill="1" applyBorder="1" applyAlignment="1">
      <alignment vertical="center"/>
    </xf>
    <xf numFmtId="0" fontId="132" fillId="15" borderId="2" xfId="0" applyFont="1" applyFill="1" applyBorder="1" applyAlignment="1">
      <alignment horizontal="center" vertical="center" shrinkToFit="1"/>
    </xf>
    <xf numFmtId="0" fontId="132" fillId="15" borderId="0" xfId="0" applyFont="1" applyFill="1" applyAlignment="1">
      <alignment vertical="center"/>
    </xf>
    <xf numFmtId="0" fontId="132" fillId="15" borderId="2" xfId="2584" applyNumberFormat="1" applyFont="1" applyFill="1" applyBorder="1" applyAlignment="1">
      <alignment vertical="center"/>
    </xf>
    <xf numFmtId="0" fontId="132" fillId="15" borderId="2" xfId="2584" applyNumberFormat="1" applyFont="1" applyFill="1" applyBorder="1" applyAlignment="1">
      <alignment horizontal="left" vertical="center"/>
    </xf>
  </cellXfs>
  <cellStyles count="2868">
    <cellStyle name=" " xfId="1" xr:uid="{00000000-0005-0000-0000-000000000000}"/>
    <cellStyle name=" _97연말" xfId="2" xr:uid="{00000000-0005-0000-0000-000001000000}"/>
    <cellStyle name=" _97연말_방수-대맥" xfId="3" xr:uid="{00000000-0005-0000-0000-000002000000}"/>
    <cellStyle name=" _97연말1" xfId="4" xr:uid="{00000000-0005-0000-0000-000003000000}"/>
    <cellStyle name=" _97연말1_방수-대맥" xfId="5" xr:uid="{00000000-0005-0000-0000-000004000000}"/>
    <cellStyle name=" _Book1" xfId="6" xr:uid="{00000000-0005-0000-0000-000005000000}"/>
    <cellStyle name=" _Book1_방수-대맥" xfId="7" xr:uid="{00000000-0005-0000-0000-000006000000}"/>
    <cellStyle name=" _방수-대맥" xfId="8" xr:uid="{00000000-0005-0000-0000-000007000000}"/>
    <cellStyle name="&quot;" xfId="9" xr:uid="{00000000-0005-0000-0000-000008000000}"/>
    <cellStyle name="#,##0" xfId="10" xr:uid="{00000000-0005-0000-0000-000009000000}"/>
    <cellStyle name="$" xfId="11" xr:uid="{00000000-0005-0000-0000-00000A000000}"/>
    <cellStyle name="$_db진흥" xfId="12" xr:uid="{00000000-0005-0000-0000-00000B000000}"/>
    <cellStyle name="$_견적2" xfId="13" xr:uid="{00000000-0005-0000-0000-00000C000000}"/>
    <cellStyle name="$_기아" xfId="14" xr:uid="{00000000-0005-0000-0000-00000D000000}"/>
    <cellStyle name="(##.00)" xfId="15" xr:uid="{00000000-0005-0000-0000-00000E000000}"/>
    <cellStyle name="(△콤마)" xfId="16" xr:uid="{00000000-0005-0000-0000-00000F000000}"/>
    <cellStyle name="(백분율)" xfId="17" xr:uid="{00000000-0005-0000-0000-000010000000}"/>
    <cellStyle name="(콤마)" xfId="18" xr:uid="{00000000-0005-0000-0000-000011000000}"/>
    <cellStyle name="??_x000c_둄_x001b__x000d_|?_x0001_?_x0003__x0014__x0007__x0001__x0001_" xfId="19" xr:uid="{00000000-0005-0000-0000-000012000000}"/>
    <cellStyle name="??&amp;5_x0007_?._x0007_9_x0008_??_x0007__x0001__x0001_" xfId="20" xr:uid="{00000000-0005-0000-0000-000013000000}"/>
    <cellStyle name="??&amp;6_x0007_?/_x0007_9_x0008_??_x0007__x0001__x0001_" xfId="21" xr:uid="{00000000-0005-0000-0000-000014000000}"/>
    <cellStyle name="??&amp;O?&amp;H?_x0008__x000f__x0007_?_x0007__x0001__x0001_" xfId="22" xr:uid="{00000000-0005-0000-0000-000015000000}"/>
    <cellStyle name="??&amp;O?&amp;H?_x0008_??_x0007__x0001__x0001_" xfId="23" xr:uid="{00000000-0005-0000-0000-000016000000}"/>
    <cellStyle name="??&amp;멅?둃9_x0008_??_x0007__x0001__x0001_" xfId="24" xr:uid="{00000000-0005-0000-0000-000017000000}"/>
    <cellStyle name="??&amp;쏗?뷐9_x0008__x0011__x0007_?_x0007__x0001__x0001_" xfId="25" xr:uid="{00000000-0005-0000-0000-000018000000}"/>
    <cellStyle name="???­ [0]_±??¸" xfId="26" xr:uid="{00000000-0005-0000-0000-000019000000}"/>
    <cellStyle name="???­_±??¸" xfId="27" xr:uid="{00000000-0005-0000-0000-00001A000000}"/>
    <cellStyle name="???Ø_¿?°?¿?¾?º¸°?" xfId="28" xr:uid="{00000000-0005-0000-0000-00001B000000}"/>
    <cellStyle name="??_pldt" xfId="29" xr:uid="{00000000-0005-0000-0000-00001C000000}"/>
    <cellStyle name="?ðC%U?&amp;H?_x0008_?s_x000a__x0007__x0001__x0001_" xfId="30" xr:uid="{00000000-0005-0000-0000-00001D000000}"/>
    <cellStyle name="?Þ¸¶ [0]_±??¸" xfId="31" xr:uid="{00000000-0005-0000-0000-00001E000000}"/>
    <cellStyle name="?Þ¸¶_±??¸" xfId="32" xr:uid="{00000000-0005-0000-0000-00001F000000}"/>
    <cellStyle name="?W?_laroux" xfId="33" xr:uid="{00000000-0005-0000-0000-000020000000}"/>
    <cellStyle name="?曹%U?&amp;H?_x0008_?s_x000a__x0007__x0001__x0001_" xfId="34" xr:uid="{00000000-0005-0000-0000-000021000000}"/>
    <cellStyle name="?珠??? " xfId="35" xr:uid="{00000000-0005-0000-0000-000022000000}"/>
    <cellStyle name="_(02.03.05) 묵동 현장관리비 실행" xfId="36" xr:uid="{00000000-0005-0000-0000-000023000000}"/>
    <cellStyle name="_(02.03.08) 묵동 현장관리비 실행" xfId="37" xr:uid="{00000000-0005-0000-0000-000024000000}"/>
    <cellStyle name="_(02.09.17)인천 삼산1지구 2블럭 주공아파트" xfId="38" xr:uid="{00000000-0005-0000-0000-000025000000}"/>
    <cellStyle name="_(02.09.23  64,000평)인천 삼산1지구 2블럭 " xfId="39" xr:uid="{00000000-0005-0000-0000-000026000000}"/>
    <cellStyle name="_(07.31 최종확정)묵동 실행예산" xfId="40" xr:uid="{00000000-0005-0000-0000-000027000000}"/>
    <cellStyle name="_(09.05)인천원당 공통가설공사" xfId="41" xr:uid="{00000000-0005-0000-0000-000028000000}"/>
    <cellStyle name="_00" xfId="42" xr:uid="{00000000-0005-0000-0000-000029000000}"/>
    <cellStyle name="_00012002년 업체평가 결과 현장전파공문(030310)" xfId="43" xr:uid="{00000000-0005-0000-0000-00002A000000}"/>
    <cellStyle name="_001-인원및일반관리비" xfId="44" xr:uid="{00000000-0005-0000-0000-00002B000000}"/>
    <cellStyle name="_01.본실행" xfId="45" xr:uid="{00000000-0005-0000-0000-00002C000000}"/>
    <cellStyle name="_0106-06-007 금속 및 수장공사 단가견적- 대림" xfId="46" xr:uid="{00000000-0005-0000-0000-00002D000000}"/>
    <cellStyle name="_01-1.본실행.간접비" xfId="47" xr:uid="{00000000-0005-0000-0000-00002E000000}"/>
    <cellStyle name="_01-건축공사" xfId="48" xr:uid="{00000000-0005-0000-0000-00002F000000}"/>
    <cellStyle name="_02.본실행(건축)" xfId="49" xr:uid="{00000000-0005-0000-0000-000030000000}"/>
    <cellStyle name="_02.본실행(건축1)" xfId="50" xr:uid="{00000000-0005-0000-0000-000031000000}"/>
    <cellStyle name="_0210 암센타 내역 A ZONE" xfId="51" xr:uid="{00000000-0005-0000-0000-000032000000}"/>
    <cellStyle name="_02-도급공사비내역" xfId="52" xr:uid="{00000000-0005-0000-0000-000033000000}"/>
    <cellStyle name="_03 실행내역(대전MBC)-건축토목" xfId="53" xr:uid="{00000000-0005-0000-0000-000034000000}"/>
    <cellStyle name="_03_정보통신R.C공사(051031)" xfId="54" xr:uid="{00000000-0005-0000-0000-000035000000}"/>
    <cellStyle name="_04 건축-인테리어(주거)공내역" xfId="55" xr:uid="{00000000-0005-0000-0000-000036000000}"/>
    <cellStyle name="_0426 제주 봉개 견적서(제출)" xfId="56" xr:uid="{00000000-0005-0000-0000-000037000000}"/>
    <cellStyle name="_05 건축-인테리어(상업)공내역" xfId="57" xr:uid="{00000000-0005-0000-0000-000038000000}"/>
    <cellStyle name="_05_방수공사" xfId="58" xr:uid="{00000000-0005-0000-0000-000039000000}"/>
    <cellStyle name="_05_방수공사(6.21)" xfId="59" xr:uid="{00000000-0005-0000-0000-00003A000000}"/>
    <cellStyle name="_050728 IBM Lounge Renovation Work" xfId="60" xr:uid="{00000000-0005-0000-0000-00003B000000}"/>
    <cellStyle name="_050805 스파피스-입찰내역서" xfId="61" xr:uid="{00000000-0005-0000-0000-00003C000000}"/>
    <cellStyle name="_050829 Schedule of Rate for Intel R&amp;D Center" xfId="62" xr:uid="{00000000-0005-0000-0000-00003D000000}"/>
    <cellStyle name="_0510 CGV 수원인계8" xfId="63" xr:uid="{00000000-0005-0000-0000-00003E000000}"/>
    <cellStyle name="_0512제출(1공구)" xfId="64" xr:uid="{00000000-0005-0000-0000-00003F000000}"/>
    <cellStyle name="_0513 견적서양식및3개평형별내역" xfId="65" xr:uid="{00000000-0005-0000-0000-000040000000}"/>
    <cellStyle name="_0514회의확정자료" xfId="66" xr:uid="{00000000-0005-0000-0000-000041000000}"/>
    <cellStyle name="_0524 특기시방" xfId="67" xr:uid="{00000000-0005-0000-0000-000042000000}"/>
    <cellStyle name="_060621 뉴 금오산 호텔 본관" xfId="68" xr:uid="{00000000-0005-0000-0000-000043000000}"/>
    <cellStyle name="_061114 GS MART A,B,C복층 내역(제출)" xfId="69" xr:uid="{00000000-0005-0000-0000-000044000000}"/>
    <cellStyle name="_07_미장공사" xfId="70" xr:uid="{00000000-0005-0000-0000-000045000000}"/>
    <cellStyle name="_07_진장점-미장공사 발주-진장점-RDR-051031" xfId="71" xr:uid="{00000000-0005-0000-0000-000046000000}"/>
    <cellStyle name="_070111 한우리리조트(취합)-공종분류" xfId="72" xr:uid="{00000000-0005-0000-0000-000047000000}"/>
    <cellStyle name="_070119 서초동쇼룸(최종)" xfId="73" xr:uid="{00000000-0005-0000-0000-000048000000}"/>
    <cellStyle name="_08-가실행내역" xfId="74" xr:uid="{00000000-0005-0000-0000-000049000000}"/>
    <cellStyle name="_09_흡음단열공사" xfId="75" xr:uid="{00000000-0005-0000-0000-00004A000000}"/>
    <cellStyle name="_0901작업1-금액분리" xfId="76" xr:uid="{00000000-0005-0000-0000-00004B000000}"/>
    <cellStyle name="_1 총괄-건축집행(평창콘도)" xfId="77" xr:uid="{00000000-0005-0000-0000-00004C000000}"/>
    <cellStyle name="_1. 삼성동 실행 030225(조적추가)" xfId="78" xr:uid="{00000000-0005-0000-0000-00004D000000}"/>
    <cellStyle name="_1. 삼성동 실행(030329)" xfId="79" xr:uid="{00000000-0005-0000-0000-00004E000000}"/>
    <cellStyle name="_1. 송도신도시현장관리비전순일검토" xfId="80" xr:uid="{00000000-0005-0000-0000-00004F000000}"/>
    <cellStyle name="_12_스텐스틸창호" xfId="81" xr:uid="{00000000-0005-0000-0000-000050000000}"/>
    <cellStyle name="_16_진장점수장공사(051209)" xfId="82" xr:uid="{00000000-0005-0000-0000-000051000000}"/>
    <cellStyle name="_2001전북도청 실행예산" xfId="83" xr:uid="{00000000-0005-0000-0000-000052000000}"/>
    <cellStyle name="_2002년 업체평가 결과 현장전파공문(030310)" xfId="84" xr:uid="{00000000-0005-0000-0000-000053000000}"/>
    <cellStyle name="_2003년전망(현장발송본) " xfId="85" xr:uid="{00000000-0005-0000-0000-000054000000}"/>
    <cellStyle name="_3. 인천간석동현장관리비전순일 분석" xfId="86" xr:uid="{00000000-0005-0000-0000-000055000000}"/>
    <cellStyle name="_4. 파주 변경 현장안20030128" xfId="87" xr:uid="{00000000-0005-0000-0000-000056000000}"/>
    <cellStyle name="_A" xfId="88" xr:uid="{00000000-0005-0000-0000-000057000000}"/>
    <cellStyle name="_A0509-가실행(파주)" xfId="89" xr:uid="{00000000-0005-0000-0000-000058000000}"/>
    <cellStyle name="_A-0902건축공사확정(대안포함)" xfId="90" xr:uid="{00000000-0005-0000-0000-000059000000}"/>
    <cellStyle name="_A-0902조경공사확정(대안포함)" xfId="91" xr:uid="{00000000-0005-0000-0000-00005A000000}"/>
    <cellStyle name="_AA" xfId="92" xr:uid="{00000000-0005-0000-0000-00005B000000}"/>
    <cellStyle name="_A발주자참고내역003-전기공사" xfId="93" xr:uid="{00000000-0005-0000-0000-00005C000000}"/>
    <cellStyle name="_BAT현장(본실행1)" xfId="94" xr:uid="{00000000-0005-0000-0000-00005D000000}"/>
    <cellStyle name="_Book1" xfId="95" xr:uid="{00000000-0005-0000-0000-00005E000000}"/>
    <cellStyle name="_Book2" xfId="96" xr:uid="{00000000-0005-0000-0000-00005F000000}"/>
    <cellStyle name="_BOQ(Hang Lung)" xfId="97" xr:uid="{00000000-0005-0000-0000-000060000000}"/>
    <cellStyle name="_BOQ(Hang Lung-rev1)" xfId="98" xr:uid="{00000000-0005-0000-0000-000061000000}"/>
    <cellStyle name="_FCST (2)" xfId="99" xr:uid="{00000000-0005-0000-0000-000062000000}"/>
    <cellStyle name="_KIL11107비교xls" xfId="100" xr:uid="{00000000-0005-0000-0000-000063000000}"/>
    <cellStyle name="_KT견적요청" xfId="101" xr:uid="{00000000-0005-0000-0000-000064000000}"/>
    <cellStyle name="_LG2,3,4,6층(0313)" xfId="102" xr:uid="{00000000-0005-0000-0000-000065000000}"/>
    <cellStyle name="_N-A023정보통신수장(바닥-060425)-최종" xfId="103" xr:uid="{00000000-0005-0000-0000-000066000000}"/>
    <cellStyle name="_N-A023정보통신수장(바닥-060425)-최종_1차 기성 내역서 0612023" xfId="104" xr:uid="{00000000-0005-0000-0000-000067000000}"/>
    <cellStyle name="_N-A023정보통신수장(바닥-060425)-최종_3차네고견적(061017-1)" xfId="105" xr:uid="{00000000-0005-0000-0000-000068000000}"/>
    <cellStyle name="_N-A023정보통신수장(바닥-060425)-최종_문화센타" xfId="106" xr:uid="{00000000-0005-0000-0000-000069000000}"/>
    <cellStyle name="_NA-A012정보통신알미늄커튼월공사(060119)" xfId="107" xr:uid="{00000000-0005-0000-0000-00006A000000}"/>
    <cellStyle name="_NC12E1F75" xfId="108" xr:uid="{00000000-0005-0000-0000-00006B000000}"/>
    <cellStyle name="_NC22E43F4" xfId="109" xr:uid="{00000000-0005-0000-0000-00006C000000}"/>
    <cellStyle name="_NC2308EFD" xfId="110" xr:uid="{00000000-0005-0000-0000-00006D000000}"/>
    <cellStyle name="_NC85018F" xfId="111" xr:uid="{00000000-0005-0000-0000-00006E000000}"/>
    <cellStyle name="_NCA07108" xfId="112" xr:uid="{00000000-0005-0000-0000-00006F000000}"/>
    <cellStyle name="_NCF3A0B2" xfId="113" xr:uid="{00000000-0005-0000-0000-000070000000}"/>
    <cellStyle name="_port" xfId="114" xr:uid="{00000000-0005-0000-0000-000071000000}"/>
    <cellStyle name="_RESULTS" xfId="115" xr:uid="{00000000-0005-0000-0000-000072000000}"/>
    <cellStyle name="_SK건설추정견적" xfId="116" xr:uid="{00000000-0005-0000-0000-000073000000}"/>
    <cellStyle name="_SK-역삼동 Leaders View EST 050711" xfId="117" xr:uid="{00000000-0005-0000-0000-000074000000}"/>
    <cellStyle name="_summary for MTRC P3" xfId="118" xr:uid="{00000000-0005-0000-0000-000075000000}"/>
    <cellStyle name="_Unit rate &amp; Quantity" xfId="119" xr:uid="{00000000-0005-0000-0000-000076000000}"/>
    <cellStyle name="_X" xfId="120" xr:uid="{00000000-0005-0000-0000-000077000000}"/>
    <cellStyle name="_가로양식(2005)" xfId="121" xr:uid="{00000000-0005-0000-0000-000078000000}"/>
    <cellStyle name="_가실행" xfId="122" xr:uid="{00000000-0005-0000-0000-000079000000}"/>
    <cellStyle name="_가실행 최종본사분" xfId="123" xr:uid="{00000000-0005-0000-0000-00007A000000}"/>
    <cellStyle name="_가실행(3th)" xfId="124" xr:uid="{00000000-0005-0000-0000-00007B000000}"/>
    <cellStyle name="_가실행(대전아울렛)" xfId="125" xr:uid="{00000000-0005-0000-0000-00007C000000}"/>
    <cellStyle name="_가실행(대혜건축)" xfId="126" xr:uid="{00000000-0005-0000-0000-00007D000000}"/>
    <cellStyle name="_가실행(분리발주)" xfId="127" xr:uid="{00000000-0005-0000-0000-00007E000000}"/>
    <cellStyle name="_가실행(조선대)-최종" xfId="128" xr:uid="{00000000-0005-0000-0000-00007F000000}"/>
    <cellStyle name="_가실행내역(김해공항)" xfId="129" xr:uid="{00000000-0005-0000-0000-000080000000}"/>
    <cellStyle name="_가실행-화물터미널B(수정)" xfId="130" xr:uid="{00000000-0005-0000-0000-000081000000}"/>
    <cellStyle name="_가실행-화물터미널B(재수정)" xfId="131" xr:uid="{00000000-0005-0000-0000-000082000000}"/>
    <cellStyle name="_간석동실행" xfId="132" xr:uid="{00000000-0005-0000-0000-000083000000}"/>
    <cellStyle name="_간석동실행(확정)" xfId="133" xr:uid="{00000000-0005-0000-0000-000084000000}"/>
    <cellStyle name="_간석동현장관리비(alt3-2)1021" xfId="134" xr:uid="{00000000-0005-0000-0000-000085000000}"/>
    <cellStyle name="_간접비(01.09.28-변경내용포함)" xfId="135" xr:uid="{00000000-0005-0000-0000-000086000000}"/>
    <cellStyle name="_강제창호 및 잡철공사" xfId="136" xr:uid="{00000000-0005-0000-0000-000087000000}"/>
    <cellStyle name="_개산견적" xfId="137" xr:uid="{00000000-0005-0000-0000-000088000000}"/>
    <cellStyle name="_건축_공내역" xfId="138" xr:uid="{00000000-0005-0000-0000-000089000000}"/>
    <cellStyle name="_건축내역" xfId="139" xr:uid="{00000000-0005-0000-0000-00008A000000}"/>
    <cellStyle name="_건축내역2" xfId="140" xr:uid="{00000000-0005-0000-0000-00008B000000}"/>
    <cellStyle name="_건축내역서(단가입력)" xfId="141" xr:uid="{00000000-0005-0000-0000-00008C000000}"/>
    <cellStyle name="_건축사업팀검토008-철골공사Ⅲ" xfId="142" xr:uid="{00000000-0005-0000-0000-00008D000000}"/>
    <cellStyle name="_검단 실행 작성(0515)" xfId="143" xr:uid="{00000000-0005-0000-0000-00008E000000}"/>
    <cellStyle name="_검단 최종(변경0623 최종)" xfId="144" xr:uid="{00000000-0005-0000-0000-00008F000000}"/>
    <cellStyle name="_검암2차사전공사(본사검토) " xfId="145" xr:uid="{00000000-0005-0000-0000-000090000000}"/>
    <cellStyle name="_검암2차사전공사(본사검토) _1차 기성 내역서 0612023" xfId="146" xr:uid="{00000000-0005-0000-0000-000091000000}"/>
    <cellStyle name="_검암2차사전공사(본사검토) _3차네고견적(061017-1)" xfId="147" xr:uid="{00000000-0005-0000-0000-000092000000}"/>
    <cellStyle name="_검암2차사전공사(본사검토) _문화센타" xfId="148" xr:uid="{00000000-0005-0000-0000-000093000000}"/>
    <cellStyle name="_검암2차사전공사(본사검토) _총괄내역표" xfId="149" xr:uid="{00000000-0005-0000-0000-000094000000}"/>
    <cellStyle name="_견적 질의서" xfId="150" xr:uid="{00000000-0005-0000-0000-000095000000}"/>
    <cellStyle name="_견적기준(운송대리점)" xfId="151" xr:uid="{00000000-0005-0000-0000-000096000000}"/>
    <cellStyle name="_견적서(서초포스코)" xfId="152" xr:uid="{00000000-0005-0000-0000-000097000000}"/>
    <cellStyle name="_견적서표지" xfId="153" xr:uid="{00000000-0005-0000-0000-000098000000}"/>
    <cellStyle name="_견적양식-가로" xfId="154" xr:uid="{00000000-0005-0000-0000-000099000000}"/>
    <cellStyle name="_견적의뢰양식" xfId="155" xr:uid="{00000000-0005-0000-0000-00009A000000}"/>
    <cellStyle name="_견적조건" xfId="156" xr:uid="{00000000-0005-0000-0000-00009B000000}"/>
    <cellStyle name="_결정01-총괄가실행(0820)" xfId="157" xr:uid="{00000000-0005-0000-0000-00009C000000}"/>
    <cellStyle name="_경쟁사" xfId="158" xr:uid="{00000000-0005-0000-0000-00009D000000}"/>
    <cellStyle name="_공내역서(송파트리플)" xfId="159" xr:uid="{00000000-0005-0000-0000-00009E000000}"/>
    <cellStyle name="_공내역서_토목" xfId="160" xr:uid="{00000000-0005-0000-0000-00009F000000}"/>
    <cellStyle name="_공사개요(건축사업팀03.09.02)" xfId="161" xr:uid="{00000000-0005-0000-0000-0000A0000000}"/>
    <cellStyle name="_공정표" xfId="162" xr:uid="{00000000-0005-0000-0000-0000A1000000}"/>
    <cellStyle name="_공종분개작업" xfId="163" xr:uid="{00000000-0005-0000-0000-0000A2000000}"/>
    <cellStyle name="_관리비" xfId="164" xr:uid="{00000000-0005-0000-0000-0000A3000000}"/>
    <cellStyle name="_광주+속초내역(듀엘견적)" xfId="165" xr:uid="{00000000-0005-0000-0000-0000A4000000}"/>
    <cellStyle name="_교원그룹 낙산 숙박시설 신축공사" xfId="166" xr:uid="{00000000-0005-0000-0000-0000A5000000}"/>
    <cellStyle name="_구월동오피스텔(이토협의)의 백업" xfId="167" xr:uid="{00000000-0005-0000-0000-0000A6000000}"/>
    <cellStyle name="_그랜드호텔(본실행)" xfId="168" xr:uid="{00000000-0005-0000-0000-0000A7000000}"/>
    <cellStyle name="_내역003-추정내역" xfId="169" xr:uid="{00000000-0005-0000-0000-0000A8000000}"/>
    <cellStyle name="_내역서_토목" xfId="170" xr:uid="{00000000-0005-0000-0000-0000A9000000}"/>
    <cellStyle name="_단가표" xfId="171" xr:uid="{00000000-0005-0000-0000-0000AA000000}"/>
    <cellStyle name="_단위세대물량산출서" xfId="172" xr:uid="{00000000-0005-0000-0000-0000AB000000}"/>
    <cellStyle name="_당팀-가실행작업" xfId="173" xr:uid="{00000000-0005-0000-0000-0000AC000000}"/>
    <cellStyle name="_대림-온양온천역사 EST 050427-제출" xfId="174" xr:uid="{00000000-0005-0000-0000-0000AD000000}"/>
    <cellStyle name="_대림-전주가톨릭센터 EST 050516-제출" xfId="175" xr:uid="{00000000-0005-0000-0000-0000AE000000}"/>
    <cellStyle name="_대림-전주카톨릭센터 EST 051005" xfId="176" xr:uid="{00000000-0005-0000-0000-0000AF000000}"/>
    <cellStyle name="_대림-한국토지공사 광주사옥 EST 050502-제출" xfId="177" xr:uid="{00000000-0005-0000-0000-0000B0000000}"/>
    <cellStyle name="_대비표양식" xfId="178" xr:uid="{00000000-0005-0000-0000-0000B1000000}"/>
    <cellStyle name="_도곡동실행1차" xfId="179" xr:uid="{00000000-0005-0000-0000-0000B2000000}"/>
    <cellStyle name="_도곡동토공사사발주계획" xfId="180" xr:uid="{00000000-0005-0000-0000-0000B3000000}"/>
    <cellStyle name="_도급공사변경Ⅰ(0626)" xfId="181" xr:uid="{00000000-0005-0000-0000-0000B4000000}"/>
    <cellStyle name="_도봉동 빌라실행보고서" xfId="182" xr:uid="{00000000-0005-0000-0000-0000B5000000}"/>
    <cellStyle name="_라이나 대구 (8차)" xfId="183" xr:uid="{00000000-0005-0000-0000-0000B6000000}"/>
    <cellStyle name="_마가레트 호텔" xfId="184" xr:uid="{00000000-0005-0000-0000-0000B7000000}"/>
    <cellStyle name="_매입세근거" xfId="185" xr:uid="{00000000-0005-0000-0000-0000B8000000}"/>
    <cellStyle name="_매입세근거_습식공사현설" xfId="186" xr:uid="{00000000-0005-0000-0000-0000B9000000}"/>
    <cellStyle name="_문래동 방적 방림" xfId="187" xr:uid="{00000000-0005-0000-0000-0000BA000000}"/>
    <cellStyle name="_문래동가실행" xfId="188" xr:uid="{00000000-0005-0000-0000-0000BB000000}"/>
    <cellStyle name="_문래동쇼핑몰" xfId="189" xr:uid="{00000000-0005-0000-0000-0000BC000000}"/>
    <cellStyle name="_변경내역5" xfId="190" xr:uid="{00000000-0005-0000-0000-0000BD000000}"/>
    <cellStyle name="_변경내역7(보고)" xfId="191" xr:uid="{00000000-0005-0000-0000-0000BE000000}"/>
    <cellStyle name="_변경내역서(건축외)" xfId="192" xr:uid="{00000000-0005-0000-0000-0000BF000000}"/>
    <cellStyle name="_보고02-건축공사감액보고서(0714)" xfId="193" xr:uid="{00000000-0005-0000-0000-0000C0000000}"/>
    <cellStyle name="_보고서 cover" xfId="194" xr:uid="{00000000-0005-0000-0000-0000C1000000}"/>
    <cellStyle name="_부에나비스타 빌라 설계견적" xfId="195" xr:uid="{00000000-0005-0000-0000-0000C2000000}"/>
    <cellStyle name="_분당파크뷰시공계획서(송산)" xfId="196" xr:uid="{00000000-0005-0000-0000-0000C3000000}"/>
    <cellStyle name="_분석001-구조체투입관련" xfId="197" xr:uid="{00000000-0005-0000-0000-0000C4000000}"/>
    <cellStyle name="_빌라평당비교표" xfId="198" xr:uid="{00000000-0005-0000-0000-0000C5000000}"/>
    <cellStyle name="_사본 - 인테리어실행내역" xfId="199" xr:uid="{00000000-0005-0000-0000-0000C6000000}"/>
    <cellStyle name="_사본 - 조경실행내역" xfId="200" xr:uid="{00000000-0005-0000-0000-0000C7000000}"/>
    <cellStyle name="_사전공사(토목본사검토) " xfId="201" xr:uid="{00000000-0005-0000-0000-0000C8000000}"/>
    <cellStyle name="_사전공사(토목본사검토) _1차 기성 내역서 0612023" xfId="202" xr:uid="{00000000-0005-0000-0000-0000C9000000}"/>
    <cellStyle name="_사전공사(토목본사검토) _3차네고견적(061017-1)" xfId="203" xr:uid="{00000000-0005-0000-0000-0000CA000000}"/>
    <cellStyle name="_사전공사(토목본사검토) _문화센타" xfId="204" xr:uid="{00000000-0005-0000-0000-0000CB000000}"/>
    <cellStyle name="_사전공사(토목본사검토) _총괄내역표" xfId="205" xr:uid="{00000000-0005-0000-0000-0000CC000000}"/>
    <cellStyle name="_산출001-공동구공사" xfId="206" xr:uid="{00000000-0005-0000-0000-0000CD000000}"/>
    <cellStyle name="_삼성 실행 내역 수정" xfId="207" xr:uid="{00000000-0005-0000-0000-0000CE000000}"/>
    <cellStyle name="_서울 중앙우체국 인테리어공사(03.10.08)" xfId="208" xr:uid="{00000000-0005-0000-0000-0000CF000000}"/>
    <cellStyle name="_서울 중앙우체국 인테리어공사(04.03.29)철희실행(0417)" xfId="209" xr:uid="{00000000-0005-0000-0000-0000D0000000}"/>
    <cellStyle name="_성원오피스텔휘트니스센터" xfId="210" xr:uid="{00000000-0005-0000-0000-0000D1000000}"/>
    <cellStyle name="_세로양식(2005)" xfId="211" xr:uid="{00000000-0005-0000-0000-0000D2000000}"/>
    <cellStyle name="_센터블 스파신축공사(토목공사-정주공영)" xfId="212" xr:uid="{00000000-0005-0000-0000-0000D3000000}"/>
    <cellStyle name="_수정-공항운송도급내역(0917)" xfId="213" xr:uid="{00000000-0005-0000-0000-0000D4000000}"/>
    <cellStyle name="_수정이여2003.05.19xls" xfId="214" xr:uid="{00000000-0005-0000-0000-0000D5000000}"/>
    <cellStyle name="_스틸커튼월 사전공사 승인요청(평창콘도)" xfId="215" xr:uid="{00000000-0005-0000-0000-0000D6000000}"/>
    <cellStyle name="_신규(철골공사)집행예산 승인요청" xfId="216" xr:uid="{00000000-0005-0000-0000-0000D7000000}"/>
    <cellStyle name="_신촌(2차)트리플지점(원본)" xfId="217" xr:uid="{00000000-0005-0000-0000-0000D8000000}"/>
    <cellStyle name="_실행" xfId="218" xr:uid="{00000000-0005-0000-0000-0000D9000000}"/>
    <cellStyle name="_실행(갑지)" xfId="219" xr:uid="{00000000-0005-0000-0000-0000DA000000}"/>
    <cellStyle name="_실행01-총괄가실행(0828)" xfId="220" xr:uid="{00000000-0005-0000-0000-0000DB000000}"/>
    <cellStyle name="_실행갑지" xfId="221" xr:uid="{00000000-0005-0000-0000-0000DC000000}"/>
    <cellStyle name="_실행갑지(변경)" xfId="222" xr:uid="{00000000-0005-0000-0000-0000DD000000}"/>
    <cellStyle name="_실행내역" xfId="223" xr:uid="{00000000-0005-0000-0000-0000DE000000}"/>
    <cellStyle name="_실행내역(아+부)" xfId="224" xr:uid="{00000000-0005-0000-0000-0000DF000000}"/>
    <cellStyle name="_實行內譯書(평내)" xfId="225" xr:uid="{00000000-0005-0000-0000-0000E0000000}"/>
    <cellStyle name="_실행예산(사장님)" xfId="226" xr:uid="{00000000-0005-0000-0000-0000E1000000}"/>
    <cellStyle name="_실행예산(최종사장님승인)" xfId="227" xr:uid="{00000000-0005-0000-0000-0000E2000000}"/>
    <cellStyle name="_실행최종(12.18)" xfId="228" xr:uid="{00000000-0005-0000-0000-0000E3000000}"/>
    <cellStyle name="_아미고터워 리모델링공사(계약,실행내역)9월.3일 " xfId="229" xr:uid="{00000000-0005-0000-0000-0000E4000000}"/>
    <cellStyle name="_아크로리버기준-개산견적기준(건축)" xfId="230" xr:uid="{00000000-0005-0000-0000-0000E5000000}"/>
    <cellStyle name="_안동최종정산" xfId="231" xr:uid="{00000000-0005-0000-0000-0000E6000000}"/>
    <cellStyle name="_양재동 도매센타(수정1006)" xfId="232" xr:uid="{00000000-0005-0000-0000-0000E7000000}"/>
    <cellStyle name="_여의도(실행)" xfId="233" xr:uid="{00000000-0005-0000-0000-0000E8000000}"/>
    <cellStyle name="_오공본드" xfId="234" xr:uid="{00000000-0005-0000-0000-0000E9000000}"/>
    <cellStyle name="_용인동백C2-3" xfId="235" xr:uid="{00000000-0005-0000-0000-0000EA000000}"/>
    <cellStyle name="_우면동주택계약내역서초안(1110)" xfId="236" xr:uid="{00000000-0005-0000-0000-0000EB000000}"/>
    <cellStyle name="_원당 1차 실행001(030329)" xfId="237" xr:uid="{00000000-0005-0000-0000-0000EC000000}"/>
    <cellStyle name="_원당실행내역" xfId="238" xr:uid="{00000000-0005-0000-0000-0000ED000000}"/>
    <cellStyle name="_이건창호-풍림 평창콘도 제안서(071228)" xfId="239" xr:uid="{00000000-0005-0000-0000-0000EE000000}"/>
    <cellStyle name="_이행각서" xfId="240" xr:uid="{00000000-0005-0000-0000-0000EF000000}"/>
    <cellStyle name="_인원계획표 " xfId="241" xr:uid="{00000000-0005-0000-0000-0000F0000000}"/>
    <cellStyle name="_인원계획표 _04028적산수량집계" xfId="242" xr:uid="{00000000-0005-0000-0000-0000F1000000}"/>
    <cellStyle name="_인원계획표 _04-가실행(작업중)" xfId="243" xr:uid="{00000000-0005-0000-0000-0000F2000000}"/>
    <cellStyle name="_인원계획표 _04-가실행(작업중1)" xfId="244" xr:uid="{00000000-0005-0000-0000-0000F3000000}"/>
    <cellStyle name="_인원계획표 _1차 기성 내역서 0612023" xfId="245" xr:uid="{00000000-0005-0000-0000-0000F4000000}"/>
    <cellStyle name="_인원계획표 _3차네고견적(061017-1)" xfId="246" xr:uid="{00000000-0005-0000-0000-0000F5000000}"/>
    <cellStyle name="_인원계획표 _KT견적요청" xfId="247" xr:uid="{00000000-0005-0000-0000-0000F6000000}"/>
    <cellStyle name="_인원계획표 _가실행" xfId="248" xr:uid="{00000000-0005-0000-0000-0000F7000000}"/>
    <cellStyle name="_인원계획표 _건축내역서(가경)" xfId="249" xr:uid="{00000000-0005-0000-0000-0000F8000000}"/>
    <cellStyle name="_인원계획표 _검암2차사전공사(본사검토) " xfId="250" xr:uid="{00000000-0005-0000-0000-0000F9000000}"/>
    <cellStyle name="_인원계획표 _검암2차사전공사(본사검토) _1차 기성 내역서 0612023" xfId="251" xr:uid="{00000000-0005-0000-0000-0000FA000000}"/>
    <cellStyle name="_인원계획표 _검암2차사전공사(본사검토) _3차네고견적(061017-1)" xfId="252" xr:uid="{00000000-0005-0000-0000-0000FB000000}"/>
    <cellStyle name="_인원계획표 _검암2차사전공사(본사검토) _문화센타" xfId="253" xr:uid="{00000000-0005-0000-0000-0000FC000000}"/>
    <cellStyle name="_인원계획표 _검암2차사전공사(본사검토) _총괄내역표" xfId="254" xr:uid="{00000000-0005-0000-0000-0000FD000000}"/>
    <cellStyle name="_인원계획표 _문화센타" xfId="255" xr:uid="{00000000-0005-0000-0000-0000FE000000}"/>
    <cellStyle name="_인원계획표 _부천소사점내역서" xfId="256" xr:uid="{00000000-0005-0000-0000-0000FF000000}"/>
    <cellStyle name="_인원계획표 _비교표(시화,청주)" xfId="257" xr:uid="{00000000-0005-0000-0000-000000010000}"/>
    <cellStyle name="_인원계획표 _비교표(청주가경점)" xfId="258" xr:uid="{00000000-0005-0000-0000-000001010000}"/>
    <cellStyle name="_인원계획표 _사전공사(토목본사검토) " xfId="259" xr:uid="{00000000-0005-0000-0000-000002010000}"/>
    <cellStyle name="_인원계획표 _사전공사(토목본사검토) _1차 기성 내역서 0612023" xfId="260" xr:uid="{00000000-0005-0000-0000-000003010000}"/>
    <cellStyle name="_인원계획표 _사전공사(토목본사검토) _3차네고견적(061017-1)" xfId="261" xr:uid="{00000000-0005-0000-0000-000004010000}"/>
    <cellStyle name="_인원계획표 _사전공사(토목본사검토) _문화센타" xfId="262" xr:uid="{00000000-0005-0000-0000-000005010000}"/>
    <cellStyle name="_인원계획표 _사전공사(토목본사검토) _총괄내역표" xfId="263" xr:uid="{00000000-0005-0000-0000-000006010000}"/>
    <cellStyle name="_인원계획표 _수원-가실행" xfId="264" xr:uid="{00000000-0005-0000-0000-000007010000}"/>
    <cellStyle name="_인원계획표 _순천점내역서" xfId="265" xr:uid="{00000000-0005-0000-0000-000008010000}"/>
    <cellStyle name="_인원계획표 _이행각서" xfId="266" xr:uid="{00000000-0005-0000-0000-000009010000}"/>
    <cellStyle name="_인원계획표 _적격 " xfId="267" xr:uid="{00000000-0005-0000-0000-00000A010000}"/>
    <cellStyle name="_인원계획표 _적격 _04028적산수량집계" xfId="268" xr:uid="{00000000-0005-0000-0000-00000B010000}"/>
    <cellStyle name="_인원계획표 _적격 _04-가실행(작업중)" xfId="269" xr:uid="{00000000-0005-0000-0000-00000C010000}"/>
    <cellStyle name="_인원계획표 _적격 _04-가실행(작업중1)" xfId="270" xr:uid="{00000000-0005-0000-0000-00000D010000}"/>
    <cellStyle name="_인원계획표 _적격 _1차 기성 내역서 0612023" xfId="271" xr:uid="{00000000-0005-0000-0000-00000E010000}"/>
    <cellStyle name="_인원계획표 _적격 _3차네고견적(061017-1)" xfId="272" xr:uid="{00000000-0005-0000-0000-00000F010000}"/>
    <cellStyle name="_인원계획표 _적격 _KT견적요청" xfId="273" xr:uid="{00000000-0005-0000-0000-000010010000}"/>
    <cellStyle name="_인원계획표 _적격 _가실행" xfId="274" xr:uid="{00000000-0005-0000-0000-000011010000}"/>
    <cellStyle name="_인원계획표 _적격 _건축내역서(가경)" xfId="275" xr:uid="{00000000-0005-0000-0000-000012010000}"/>
    <cellStyle name="_인원계획표 _적격 _문화센타" xfId="276" xr:uid="{00000000-0005-0000-0000-000013010000}"/>
    <cellStyle name="_인원계획표 _적격 _부천소사점내역서" xfId="277" xr:uid="{00000000-0005-0000-0000-000014010000}"/>
    <cellStyle name="_인원계획표 _적격 _비교표(시화,청주)" xfId="278" xr:uid="{00000000-0005-0000-0000-000015010000}"/>
    <cellStyle name="_인원계획표 _적격 _비교표(청주가경점)" xfId="279" xr:uid="{00000000-0005-0000-0000-000016010000}"/>
    <cellStyle name="_인원계획표 _적격 _수원-가실행" xfId="280" xr:uid="{00000000-0005-0000-0000-000017010000}"/>
    <cellStyle name="_인원계획표 _적격 _순천점내역서" xfId="281" xr:uid="{00000000-0005-0000-0000-000018010000}"/>
    <cellStyle name="_인원계획표 _적격 _총괄내역표" xfId="282" xr:uid="{00000000-0005-0000-0000-000019010000}"/>
    <cellStyle name="_인원계획표 _총괄내역표" xfId="283" xr:uid="{00000000-0005-0000-0000-00001A010000}"/>
    <cellStyle name="_인원계획표 _포기각서" xfId="284" xr:uid="{00000000-0005-0000-0000-00001B010000}"/>
    <cellStyle name="_인원계획표 _현설양식" xfId="285" xr:uid="{00000000-0005-0000-0000-00001C010000}"/>
    <cellStyle name="_인원계획표 _현장설명" xfId="286" xr:uid="{00000000-0005-0000-0000-00001D010000}"/>
    <cellStyle name="_인테리어공사 발주계획서" xfId="287" xr:uid="{00000000-0005-0000-0000-00001E010000}"/>
    <cellStyle name="_인테리어발주 건축공사" xfId="288" xr:uid="{00000000-0005-0000-0000-00001F010000}"/>
    <cellStyle name="_일위(김천)" xfId="289" xr:uid="{00000000-0005-0000-0000-000020010000}"/>
    <cellStyle name="_일위(포천)" xfId="290" xr:uid="{00000000-0005-0000-0000-000021010000}"/>
    <cellStyle name="_입찰갑지" xfId="291" xr:uid="{00000000-0005-0000-0000-000022010000}"/>
    <cellStyle name="_입찰표지 " xfId="292" xr:uid="{00000000-0005-0000-0000-000023010000}"/>
    <cellStyle name="_입찰표지 _04028적산수량집계" xfId="293" xr:uid="{00000000-0005-0000-0000-000024010000}"/>
    <cellStyle name="_입찰표지 _04-가실행(작업중)" xfId="294" xr:uid="{00000000-0005-0000-0000-000025010000}"/>
    <cellStyle name="_입찰표지 _04-가실행(작업중1)" xfId="295" xr:uid="{00000000-0005-0000-0000-000026010000}"/>
    <cellStyle name="_입찰표지 _1차 기성 내역서 0612023" xfId="296" xr:uid="{00000000-0005-0000-0000-000027010000}"/>
    <cellStyle name="_입찰표지 _3차네고견적(061017-1)" xfId="297" xr:uid="{00000000-0005-0000-0000-000028010000}"/>
    <cellStyle name="_입찰표지 _KT견적요청" xfId="298" xr:uid="{00000000-0005-0000-0000-000029010000}"/>
    <cellStyle name="_입찰표지 _가실행" xfId="299" xr:uid="{00000000-0005-0000-0000-00002A010000}"/>
    <cellStyle name="_입찰표지 _건축내역서(가경)" xfId="300" xr:uid="{00000000-0005-0000-0000-00002B010000}"/>
    <cellStyle name="_입찰표지 _검암2차사전공사(본사검토) " xfId="301" xr:uid="{00000000-0005-0000-0000-00002C010000}"/>
    <cellStyle name="_입찰표지 _검암2차사전공사(본사검토) _1차 기성 내역서 0612023" xfId="302" xr:uid="{00000000-0005-0000-0000-00002D010000}"/>
    <cellStyle name="_입찰표지 _검암2차사전공사(본사검토) _3차네고견적(061017-1)" xfId="303" xr:uid="{00000000-0005-0000-0000-00002E010000}"/>
    <cellStyle name="_입찰표지 _검암2차사전공사(본사검토) _문화센타" xfId="304" xr:uid="{00000000-0005-0000-0000-00002F010000}"/>
    <cellStyle name="_입찰표지 _검암2차사전공사(본사검토) _총괄내역표" xfId="305" xr:uid="{00000000-0005-0000-0000-000030010000}"/>
    <cellStyle name="_입찰표지 _문화센타" xfId="306" xr:uid="{00000000-0005-0000-0000-000031010000}"/>
    <cellStyle name="_입찰표지 _부천소사점내역서" xfId="307" xr:uid="{00000000-0005-0000-0000-000032010000}"/>
    <cellStyle name="_입찰표지 _비교표(시화,청주)" xfId="308" xr:uid="{00000000-0005-0000-0000-000033010000}"/>
    <cellStyle name="_입찰표지 _비교표(청주가경점)" xfId="309" xr:uid="{00000000-0005-0000-0000-000034010000}"/>
    <cellStyle name="_입찰표지 _사전공사(토목본사검토) " xfId="310" xr:uid="{00000000-0005-0000-0000-000035010000}"/>
    <cellStyle name="_입찰표지 _사전공사(토목본사검토) _1차 기성 내역서 0612023" xfId="311" xr:uid="{00000000-0005-0000-0000-000036010000}"/>
    <cellStyle name="_입찰표지 _사전공사(토목본사검토) _3차네고견적(061017-1)" xfId="312" xr:uid="{00000000-0005-0000-0000-000037010000}"/>
    <cellStyle name="_입찰표지 _사전공사(토목본사검토) _문화센타" xfId="313" xr:uid="{00000000-0005-0000-0000-000038010000}"/>
    <cellStyle name="_입찰표지 _수원-가실행" xfId="314" xr:uid="{00000000-0005-0000-0000-000039010000}"/>
    <cellStyle name="_입찰표지 _순천점내역서" xfId="315" xr:uid="{00000000-0005-0000-0000-00003A010000}"/>
    <cellStyle name="_입찰표지 _이행각서" xfId="316" xr:uid="{00000000-0005-0000-0000-00003B010000}"/>
    <cellStyle name="_입찰표지 _총괄내역표" xfId="317" xr:uid="{00000000-0005-0000-0000-00003C010000}"/>
    <cellStyle name="_입찰표지 _포기각서" xfId="318" xr:uid="{00000000-0005-0000-0000-00003D010000}"/>
    <cellStyle name="_입찰표지 _현설양식" xfId="319" xr:uid="{00000000-0005-0000-0000-00003E010000}"/>
    <cellStyle name="_입찰표지 _현장설명" xfId="320" xr:uid="{00000000-0005-0000-0000-00003F010000}"/>
    <cellStyle name="_입찰품의" xfId="321" xr:uid="{00000000-0005-0000-0000-000040010000}"/>
    <cellStyle name="_입찰품의(HANG LUNG)" xfId="322" xr:uid="{00000000-0005-0000-0000-000041010000}"/>
    <cellStyle name="_입찰품의(HANG LUNG-Rev1)" xfId="323" xr:uid="{00000000-0005-0000-0000-000042010000}"/>
    <cellStyle name="_입찰품의(KIL)" xfId="324" xr:uid="{00000000-0005-0000-0000-000043010000}"/>
    <cellStyle name="_자료01-공통가설" xfId="325" xr:uid="{00000000-0005-0000-0000-000044010000}"/>
    <cellStyle name="_자료03-대안수량조정실행대비표" xfId="326" xr:uid="{00000000-0005-0000-0000-000045010000}"/>
    <cellStyle name="_자료06-토목공사" xfId="327" xr:uid="{00000000-0005-0000-0000-000046010000}"/>
    <cellStyle name="_자재단가의뢰" xfId="328" xr:uid="{00000000-0005-0000-0000-000047010000}"/>
    <cellStyle name="_작업01-조경공사0709" xfId="329" xr:uid="{00000000-0005-0000-0000-000048010000}"/>
    <cellStyle name="_장지도급(공종분개)-결재용" xfId="330" xr:uid="{00000000-0005-0000-0000-000049010000}"/>
    <cellStyle name="_적격 " xfId="331" xr:uid="{00000000-0005-0000-0000-00004A010000}"/>
    <cellStyle name="_적격 _04028적산수량집계" xfId="332" xr:uid="{00000000-0005-0000-0000-00004B010000}"/>
    <cellStyle name="_적격 _04-가실행(작업중)" xfId="333" xr:uid="{00000000-0005-0000-0000-00004C010000}"/>
    <cellStyle name="_적격 _04-가실행(작업중1)" xfId="334" xr:uid="{00000000-0005-0000-0000-00004D010000}"/>
    <cellStyle name="_적격 _1차 기성 내역서 0612023" xfId="335" xr:uid="{00000000-0005-0000-0000-00004E010000}"/>
    <cellStyle name="_적격 _3차네고견적(061017-1)" xfId="336" xr:uid="{00000000-0005-0000-0000-00004F010000}"/>
    <cellStyle name="_적격 _KT견적요청" xfId="337" xr:uid="{00000000-0005-0000-0000-000050010000}"/>
    <cellStyle name="_적격 _가실행" xfId="338" xr:uid="{00000000-0005-0000-0000-000051010000}"/>
    <cellStyle name="_적격 _건축내역서(가경)" xfId="339" xr:uid="{00000000-0005-0000-0000-000052010000}"/>
    <cellStyle name="_적격 _문화센타" xfId="340" xr:uid="{00000000-0005-0000-0000-000053010000}"/>
    <cellStyle name="_적격 _부천소사점내역서" xfId="341" xr:uid="{00000000-0005-0000-0000-000054010000}"/>
    <cellStyle name="_적격 _비교표(시화,청주)" xfId="342" xr:uid="{00000000-0005-0000-0000-000055010000}"/>
    <cellStyle name="_적격 _비교표(청주가경점)" xfId="343" xr:uid="{00000000-0005-0000-0000-000056010000}"/>
    <cellStyle name="_적격 _수원-가실행" xfId="344" xr:uid="{00000000-0005-0000-0000-000057010000}"/>
    <cellStyle name="_적격 _순천점내역서" xfId="345" xr:uid="{00000000-0005-0000-0000-000058010000}"/>
    <cellStyle name="_적격 _집행갑지 " xfId="346" xr:uid="{00000000-0005-0000-0000-000059010000}"/>
    <cellStyle name="_적격 _집행갑지 _1차 기성 내역서 0612023" xfId="347" xr:uid="{00000000-0005-0000-0000-00005A010000}"/>
    <cellStyle name="_적격 _집행갑지 _3차네고견적(061017-1)" xfId="348" xr:uid="{00000000-0005-0000-0000-00005B010000}"/>
    <cellStyle name="_적격 _집행갑지 _건축내역서(가경)" xfId="349" xr:uid="{00000000-0005-0000-0000-00005C010000}"/>
    <cellStyle name="_적격 _집행갑지 _문화센타" xfId="350" xr:uid="{00000000-0005-0000-0000-00005D010000}"/>
    <cellStyle name="_적격 _집행갑지 _부천소사점내역서" xfId="351" xr:uid="{00000000-0005-0000-0000-00005E010000}"/>
    <cellStyle name="_적격 _집행갑지 _비교표(시화,청주)" xfId="352" xr:uid="{00000000-0005-0000-0000-00005F010000}"/>
    <cellStyle name="_적격 _집행갑지 _비교표(청주가경점)" xfId="353" xr:uid="{00000000-0005-0000-0000-000060010000}"/>
    <cellStyle name="_적격 _집행갑지 _순천점내역서" xfId="354" xr:uid="{00000000-0005-0000-0000-000061010000}"/>
    <cellStyle name="_적격(화산) " xfId="355" xr:uid="{00000000-0005-0000-0000-000062010000}"/>
    <cellStyle name="_적격(화산) _04028적산수량집계" xfId="356" xr:uid="{00000000-0005-0000-0000-000063010000}"/>
    <cellStyle name="_적격(화산) _04-가실행(작업중)" xfId="357" xr:uid="{00000000-0005-0000-0000-000064010000}"/>
    <cellStyle name="_적격(화산) _04-가실행(작업중1)" xfId="358" xr:uid="{00000000-0005-0000-0000-000065010000}"/>
    <cellStyle name="_적격(화산) _1차 기성 내역서 0612023" xfId="359" xr:uid="{00000000-0005-0000-0000-000066010000}"/>
    <cellStyle name="_적격(화산) _3차네고견적(061017-1)" xfId="360" xr:uid="{00000000-0005-0000-0000-000067010000}"/>
    <cellStyle name="_적격(화산) _KT견적요청" xfId="361" xr:uid="{00000000-0005-0000-0000-000068010000}"/>
    <cellStyle name="_적격(화산) _가실행" xfId="362" xr:uid="{00000000-0005-0000-0000-000069010000}"/>
    <cellStyle name="_적격(화산) _건축내역서(가경)" xfId="363" xr:uid="{00000000-0005-0000-0000-00006A010000}"/>
    <cellStyle name="_적격(화산) _검암2차사전공사(본사검토) " xfId="364" xr:uid="{00000000-0005-0000-0000-00006B010000}"/>
    <cellStyle name="_적격(화산) _검암2차사전공사(본사검토) _1차 기성 내역서 0612023" xfId="365" xr:uid="{00000000-0005-0000-0000-00006C010000}"/>
    <cellStyle name="_적격(화산) _검암2차사전공사(본사검토) _3차네고견적(061017-1)" xfId="366" xr:uid="{00000000-0005-0000-0000-00006D010000}"/>
    <cellStyle name="_적격(화산) _검암2차사전공사(본사검토) _문화센타" xfId="367" xr:uid="{00000000-0005-0000-0000-00006E010000}"/>
    <cellStyle name="_적격(화산) _문화센타" xfId="368" xr:uid="{00000000-0005-0000-0000-00006F010000}"/>
    <cellStyle name="_적격(화산) _부천소사점내역서" xfId="369" xr:uid="{00000000-0005-0000-0000-000070010000}"/>
    <cellStyle name="_적격(화산) _비교표(시화,청주)" xfId="370" xr:uid="{00000000-0005-0000-0000-000071010000}"/>
    <cellStyle name="_적격(화산) _비교표(청주가경점)" xfId="371" xr:uid="{00000000-0005-0000-0000-000072010000}"/>
    <cellStyle name="_적격(화산) _사전공사(토목본사검토) " xfId="372" xr:uid="{00000000-0005-0000-0000-000073010000}"/>
    <cellStyle name="_적격(화산) _사전공사(토목본사검토) _1차 기성 내역서 0612023" xfId="373" xr:uid="{00000000-0005-0000-0000-000074010000}"/>
    <cellStyle name="_적격(화산) _사전공사(토목본사검토) _3차네고견적(061017-1)" xfId="374" xr:uid="{00000000-0005-0000-0000-000075010000}"/>
    <cellStyle name="_적격(화산) _사전공사(토목본사검토) _문화센타" xfId="375" xr:uid="{00000000-0005-0000-0000-000076010000}"/>
    <cellStyle name="_적격(화산) _수원-가실행" xfId="376" xr:uid="{00000000-0005-0000-0000-000077010000}"/>
    <cellStyle name="_적격(화산) _순천점내역서" xfId="377" xr:uid="{00000000-0005-0000-0000-000078010000}"/>
    <cellStyle name="_적격(화산) _이행각서" xfId="378" xr:uid="{00000000-0005-0000-0000-000079010000}"/>
    <cellStyle name="_적격(화산) _포기각서" xfId="379" xr:uid="{00000000-0005-0000-0000-00007A010000}"/>
    <cellStyle name="_적격(화산) _현설양식" xfId="380" xr:uid="{00000000-0005-0000-0000-00007B010000}"/>
    <cellStyle name="_적격(화산) _현장설명" xfId="381" xr:uid="{00000000-0005-0000-0000-00007C010000}"/>
    <cellStyle name="_점수산정총괄(조달청)" xfId="382" xr:uid="{00000000-0005-0000-0000-00007D010000}"/>
    <cellStyle name="_정보통신미장(051115)" xfId="383" xr:uid="{00000000-0005-0000-0000-00007E010000}"/>
    <cellStyle name="_정보통신수장(바닥-051115)" xfId="384" xr:uid="{00000000-0005-0000-0000-00007F010000}"/>
    <cellStyle name="_정보통신수장(바닥-051115)_1차 기성 내역서 0612023" xfId="385" xr:uid="{00000000-0005-0000-0000-000080010000}"/>
    <cellStyle name="_정보통신수장(바닥-051115)_3차네고견적(061017-1)" xfId="386" xr:uid="{00000000-0005-0000-0000-000081010000}"/>
    <cellStyle name="_정보통신수장(바닥-051115)_문화센타" xfId="387" xr:uid="{00000000-0005-0000-0000-000082010000}"/>
    <cellStyle name="_정보통신수장(바닥-051122)" xfId="388" xr:uid="{00000000-0005-0000-0000-000083010000}"/>
    <cellStyle name="_정보통신수장(바닥-051122)_1차 기성 내역서 0612023" xfId="389" xr:uid="{00000000-0005-0000-0000-000084010000}"/>
    <cellStyle name="_정보통신수장(바닥-051122)_3차네고견적(061017-1)" xfId="390" xr:uid="{00000000-0005-0000-0000-000085010000}"/>
    <cellStyle name="_정보통신수장(바닥-051122)_문화센타" xfId="391" xr:uid="{00000000-0005-0000-0000-000086010000}"/>
    <cellStyle name="_정보통신수장(벽,천정-051122)" xfId="392" xr:uid="{00000000-0005-0000-0000-000087010000}"/>
    <cellStyle name="_정보통신수장(벽,천정-051122)_1차 기성 내역서 0612023" xfId="393" xr:uid="{00000000-0005-0000-0000-000088010000}"/>
    <cellStyle name="_정보통신수장(벽,천정-051122)_3차네고견적(061017-1)" xfId="394" xr:uid="{00000000-0005-0000-0000-000089010000}"/>
    <cellStyle name="_정보통신수장(벽,천정-051122)_문화센타" xfId="395" xr:uid="{00000000-0005-0000-0000-00008A010000}"/>
    <cellStyle name="_제출(2.25)" xfId="396" xr:uid="{00000000-0005-0000-0000-00008B010000}"/>
    <cellStyle name="_제출완료-공항운송가실행(0919)" xfId="397" xr:uid="{00000000-0005-0000-0000-00008C010000}"/>
    <cellStyle name="_조직표및인원투입" xfId="398" xr:uid="{00000000-0005-0000-0000-00008D010000}"/>
    <cellStyle name="_중동TC현설" xfId="399" xr:uid="{00000000-0005-0000-0000-00008E010000}"/>
    <cellStyle name="_중동골조현설" xfId="400" xr:uid="{00000000-0005-0000-0000-00008F010000}"/>
    <cellStyle name="_집계" xfId="401" xr:uid="{00000000-0005-0000-0000-000090010000}"/>
    <cellStyle name="_집행갑지 " xfId="402" xr:uid="{00000000-0005-0000-0000-000091010000}"/>
    <cellStyle name="_집행갑지 _1차 기성 내역서 0612023" xfId="403" xr:uid="{00000000-0005-0000-0000-000092010000}"/>
    <cellStyle name="_집행갑지 _3차네고견적(061017-1)" xfId="404" xr:uid="{00000000-0005-0000-0000-000093010000}"/>
    <cellStyle name="_집행갑지 _건축내역서(가경)" xfId="405" xr:uid="{00000000-0005-0000-0000-000094010000}"/>
    <cellStyle name="_집행갑지 _문화센타" xfId="406" xr:uid="{00000000-0005-0000-0000-000095010000}"/>
    <cellStyle name="_집행갑지 _부천소사점내역서" xfId="407" xr:uid="{00000000-0005-0000-0000-000096010000}"/>
    <cellStyle name="_집행갑지 _비교표(시화,청주)" xfId="408" xr:uid="{00000000-0005-0000-0000-000097010000}"/>
    <cellStyle name="_집행갑지 _비교표(청주가경점)" xfId="409" xr:uid="{00000000-0005-0000-0000-000098010000}"/>
    <cellStyle name="_집행갑지 _순천점내역서" xfId="410" xr:uid="{00000000-0005-0000-0000-000099010000}"/>
    <cellStyle name="_집행-유성" xfId="411" xr:uid="{00000000-0005-0000-0000-00009A010000}"/>
    <cellStyle name="_집행-유성_건축내역서(가경)" xfId="412" xr:uid="{00000000-0005-0000-0000-00009B010000}"/>
    <cellStyle name="_집행-유성_부천소사점내역서" xfId="413" xr:uid="{00000000-0005-0000-0000-00009C010000}"/>
    <cellStyle name="_집행-유성_비교표(시화,청주)" xfId="414" xr:uid="{00000000-0005-0000-0000-00009D010000}"/>
    <cellStyle name="_집행-유성_비교표(청주가경점)" xfId="415" xr:uid="{00000000-0005-0000-0000-00009E010000}"/>
    <cellStyle name="_집행-유성_순천점내역서" xfId="416" xr:uid="{00000000-0005-0000-0000-00009F010000}"/>
    <cellStyle name="_참고" xfId="417" xr:uid="{00000000-0005-0000-0000-0000A0010000}"/>
    <cellStyle name="_참고01-50억대안제시" xfId="418" xr:uid="{00000000-0005-0000-0000-0000A1010000}"/>
    <cellStyle name="_참고02-당초가실행" xfId="419" xr:uid="{00000000-0005-0000-0000-0000A2010000}"/>
    <cellStyle name="_철콘견적대비수정2(2002.12.10)" xfId="420" xr:uid="{00000000-0005-0000-0000-0000A3010000}"/>
    <cellStyle name="_철콘공내역서5" xfId="421" xr:uid="{00000000-0005-0000-0000-0000A4010000}"/>
    <cellStyle name="_최종보고-파주완료030401" xfId="422" xr:uid="{00000000-0005-0000-0000-0000A5010000}"/>
    <cellStyle name="_코레노2차-공내역-인테리어공사" xfId="423" xr:uid="{00000000-0005-0000-0000-0000A6010000}"/>
    <cellStyle name="_타일공사" xfId="424" xr:uid="{00000000-0005-0000-0000-0000A7010000}"/>
    <cellStyle name="_타일공사_강제창호 및 잡철공사" xfId="425" xr:uid="{00000000-0005-0000-0000-0000A8010000}"/>
    <cellStyle name="_타일공사_도곡동토공사사발주계획" xfId="426" xr:uid="{00000000-0005-0000-0000-0000A9010000}"/>
    <cellStyle name="_타일공사_인테리어공사 발주계획서" xfId="427" xr:uid="{00000000-0005-0000-0000-0000AA010000}"/>
    <cellStyle name="_타일공사_테라조공사" xfId="428" xr:uid="{00000000-0005-0000-0000-0000AB010000}"/>
    <cellStyle name="_타일공사_테라조공사_강제창호 및 잡철공사" xfId="429" xr:uid="{00000000-0005-0000-0000-0000AC010000}"/>
    <cellStyle name="_타일공사_테라조공사_도곡동토공사사발주계획" xfId="430" xr:uid="{00000000-0005-0000-0000-0000AD010000}"/>
    <cellStyle name="_타일공사_테라조공사_인테리어공사 발주계획서" xfId="431" xr:uid="{00000000-0005-0000-0000-0000AE010000}"/>
    <cellStyle name="_타일공사_테라조공사_토공사발주" xfId="432" xr:uid="{00000000-0005-0000-0000-0000AF010000}"/>
    <cellStyle name="_타일공사_토공사발주" xfId="433" xr:uid="{00000000-0005-0000-0000-0000B0010000}"/>
    <cellStyle name="_토공및흙막이공사" xfId="434" xr:uid="{00000000-0005-0000-0000-0000B1010000}"/>
    <cellStyle name="_토공사발주" xfId="435" xr:uid="{00000000-0005-0000-0000-0000B2010000}"/>
    <cellStyle name="_투팔양식" xfId="436" xr:uid="{00000000-0005-0000-0000-0000B3010000}"/>
    <cellStyle name="_파주출판물개략완료" xfId="437" xr:uid="{00000000-0005-0000-0000-0000B4010000}"/>
    <cellStyle name="_파주출판물개략완료Ⅲ" xfId="438" xr:uid="{00000000-0005-0000-0000-0000B5010000}"/>
    <cellStyle name="_평당공사비(05.26)" xfId="439" xr:uid="{00000000-0005-0000-0000-0000B6010000}"/>
    <cellStyle name="_평택화학중대(본실행)" xfId="440" xr:uid="{00000000-0005-0000-0000-0000B7010000}"/>
    <cellStyle name="_포기각서" xfId="441" xr:uid="{00000000-0005-0000-0000-0000B8010000}"/>
    <cellStyle name="_하나로정보센터 견적(각층별 최종)" xfId="442" xr:uid="{00000000-0005-0000-0000-0000B9010000}"/>
    <cellStyle name="_하도급승인요청(금속기와공사)" xfId="443" xr:uid="{00000000-0005-0000-0000-0000BA010000}"/>
    <cellStyle name="_한남정산" xfId="444" xr:uid="{00000000-0005-0000-0000-0000BB010000}"/>
    <cellStyle name="_현설양식" xfId="445" xr:uid="{00000000-0005-0000-0000-0000BC010000}"/>
    <cellStyle name="_현장설명" xfId="446" xr:uid="{00000000-0005-0000-0000-0000BD010000}"/>
    <cellStyle name="_현장설명서" xfId="447" xr:uid="{00000000-0005-0000-0000-0000BE010000}"/>
    <cellStyle name="_현장설명서-지하수개발" xfId="448" xr:uid="{00000000-0005-0000-0000-0000BF010000}"/>
    <cellStyle name="_현장완료" xfId="449" xr:uid="{00000000-0005-0000-0000-0000C0010000}"/>
    <cellStyle name="_호수건설내역서20040403" xfId="450" xr:uid="{00000000-0005-0000-0000-0000C1010000}"/>
    <cellStyle name="_홈플러스 대구칠성점 내역서 " xfId="451" xr:uid="{00000000-0005-0000-0000-0000C2010000}"/>
    <cellStyle name="_화성태안아파트" xfId="452" xr:uid="{00000000-0005-0000-0000-0000C3010000}"/>
    <cellStyle name="_황제의 실행0623최종결재용" xfId="453" xr:uid="{00000000-0005-0000-0000-0000C4010000}"/>
    <cellStyle name="¡¾¨u￠￢ⓒ÷A¨u," xfId="454" xr:uid="{00000000-0005-0000-0000-0000C5010000}"/>
    <cellStyle name="’E‰Y [0.00]_laroux" xfId="455" xr:uid="{00000000-0005-0000-0000-0000C6010000}"/>
    <cellStyle name="’E‰Y_laroux" xfId="456" xr:uid="{00000000-0005-0000-0000-0000C7010000}"/>
    <cellStyle name="¤@?e_TEST-1 " xfId="457" xr:uid="{00000000-0005-0000-0000-0000C8010000}"/>
    <cellStyle name="\MNPREF32.DLL&amp;" xfId="458" xr:uid="{00000000-0005-0000-0000-0000C9010000}"/>
    <cellStyle name="+,-,0" xfId="459" xr:uid="{00000000-0005-0000-0000-0000CA010000}"/>
    <cellStyle name="±a°e" xfId="460" xr:uid="{00000000-0005-0000-0000-0000CB010000}"/>
    <cellStyle name="△ []" xfId="461" xr:uid="{00000000-0005-0000-0000-0000CC010000}"/>
    <cellStyle name="△ [0]" xfId="462" xr:uid="{00000000-0005-0000-0000-0000CD010000}"/>
    <cellStyle name="△백분율" xfId="463" xr:uid="{00000000-0005-0000-0000-0000CE010000}"/>
    <cellStyle name="△콤마" xfId="464" xr:uid="{00000000-0005-0000-0000-0000CF010000}"/>
    <cellStyle name="°ßAu" xfId="465" xr:uid="{00000000-0005-0000-0000-0000D0010000}"/>
    <cellStyle name="µÚ¿¡ ¿À´Â ÇÏÀÌÆÛ¸µÅ©" xfId="466" xr:uid="{00000000-0005-0000-0000-0000D1010000}"/>
    <cellStyle name="ÊÝ [0.00]_PRODUCT DETAIL Q1" xfId="467" xr:uid="{00000000-0005-0000-0000-0000D2010000}"/>
    <cellStyle name="ÊÝ_PRODUCT DETAIL Q1" xfId="468" xr:uid="{00000000-0005-0000-0000-0000D3010000}"/>
    <cellStyle name="W?_BOOKSHIP" xfId="469" xr:uid="{00000000-0005-0000-0000-0000D4010000}"/>
    <cellStyle name="0" xfId="470" xr:uid="{00000000-0005-0000-0000-0000D5010000}"/>
    <cellStyle name="0,0_x000d__x000a_NA_x000d__x000a_" xfId="471" xr:uid="{00000000-0005-0000-0000-0000D6010000}"/>
    <cellStyle name="0.0" xfId="472" xr:uid="{00000000-0005-0000-0000-0000D7010000}"/>
    <cellStyle name="0.00" xfId="473" xr:uid="{00000000-0005-0000-0000-0000D8010000}"/>
    <cellStyle name="00" xfId="474" xr:uid="{00000000-0005-0000-0000-0000D9010000}"/>
    <cellStyle name="1" xfId="475" xr:uid="{00000000-0005-0000-0000-0000DA010000}"/>
    <cellStyle name="1_total" xfId="476" xr:uid="{00000000-0005-0000-0000-0000DB010000}"/>
    <cellStyle name="1_total_1차 기성 내역서 0612023" xfId="477" xr:uid="{00000000-0005-0000-0000-0000DC010000}"/>
    <cellStyle name="1_total_3차네고견적(061017-1)" xfId="478" xr:uid="{00000000-0005-0000-0000-0000DD010000}"/>
    <cellStyle name="1_total_Sheet1" xfId="479" xr:uid="{00000000-0005-0000-0000-0000DE010000}"/>
    <cellStyle name="1_total_Sheet1_1차 기성 내역서 0612023" xfId="480" xr:uid="{00000000-0005-0000-0000-0000DF010000}"/>
    <cellStyle name="1_total_Sheet1_3차네고견적(061017-1)" xfId="481" xr:uid="{00000000-0005-0000-0000-0000E0010000}"/>
    <cellStyle name="1_total_갑지0601" xfId="482" xr:uid="{00000000-0005-0000-0000-0000E1010000}"/>
    <cellStyle name="1_total_갑지0601_00갑지" xfId="483" xr:uid="{00000000-0005-0000-0000-0000E2010000}"/>
    <cellStyle name="1_total_갑지0601_00갑지_1차 기성 내역서 0612023" xfId="484" xr:uid="{00000000-0005-0000-0000-0000E3010000}"/>
    <cellStyle name="1_total_갑지0601_00갑지_3차네고견적(061017-1)" xfId="485" xr:uid="{00000000-0005-0000-0000-0000E4010000}"/>
    <cellStyle name="1_total_갑지0601_00갑지_백화점화장실인테리어" xfId="486" xr:uid="{00000000-0005-0000-0000-0000E5010000}"/>
    <cellStyle name="1_total_갑지0601_00갑지_백화점화장실인테리어_1차 기성 내역서 0612023" xfId="487" xr:uid="{00000000-0005-0000-0000-0000E6010000}"/>
    <cellStyle name="1_total_갑지0601_00갑지_백화점화장실인테리어_3차네고견적(061017-1)" xfId="488" xr:uid="{00000000-0005-0000-0000-0000E7010000}"/>
    <cellStyle name="1_total_갑지0601_00갑지_설계내역서" xfId="489" xr:uid="{00000000-0005-0000-0000-0000E8010000}"/>
    <cellStyle name="1_total_갑지0601_00갑지_설계내역서_1차 기성 내역서 0612023" xfId="490" xr:uid="{00000000-0005-0000-0000-0000E9010000}"/>
    <cellStyle name="1_total_갑지0601_00갑지_설계내역서_3차네고견적(061017-1)" xfId="491" xr:uid="{00000000-0005-0000-0000-0000EA010000}"/>
    <cellStyle name="1_total_갑지0601_00갑지_설계내역서_백화점화장실인테리어" xfId="492" xr:uid="{00000000-0005-0000-0000-0000EB010000}"/>
    <cellStyle name="1_total_갑지0601_00갑지_설계내역서_백화점화장실인테리어_1차 기성 내역서 0612023" xfId="493" xr:uid="{00000000-0005-0000-0000-0000EC010000}"/>
    <cellStyle name="1_total_갑지0601_00갑지_설계내역서_백화점화장실인테리어_3차네고견적(061017-1)" xfId="494" xr:uid="{00000000-0005-0000-0000-0000ED010000}"/>
    <cellStyle name="1_total_갑지0601_00갑지_설계내역서_화명조경" xfId="495" xr:uid="{00000000-0005-0000-0000-0000EE010000}"/>
    <cellStyle name="1_total_갑지0601_00갑지_설계내역서_화명조경_1차 기성 내역서 0612023" xfId="496" xr:uid="{00000000-0005-0000-0000-0000EF010000}"/>
    <cellStyle name="1_total_갑지0601_00갑지_설계내역서_화명조경_3차네고견적(061017-1)" xfId="497" xr:uid="{00000000-0005-0000-0000-0000F0010000}"/>
    <cellStyle name="1_total_갑지0601_00갑지_설계내역서_화명조경_백화점화장실인테리어" xfId="498" xr:uid="{00000000-0005-0000-0000-0000F1010000}"/>
    <cellStyle name="1_total_갑지0601_00갑지_설계내역서_화명조경_백화점화장실인테리어_1차 기성 내역서 0612023" xfId="499" xr:uid="{00000000-0005-0000-0000-0000F2010000}"/>
    <cellStyle name="1_total_갑지0601_00갑지_설계내역서_화명조경_백화점화장실인테리어_3차네고견적(061017-1)" xfId="500" xr:uid="{00000000-0005-0000-0000-0000F3010000}"/>
    <cellStyle name="1_total_갑지0601_00갑지_설계내역서1월7일" xfId="501" xr:uid="{00000000-0005-0000-0000-0000F4010000}"/>
    <cellStyle name="1_total_갑지0601_00갑지_설계내역서1월7일_1차 기성 내역서 0612023" xfId="502" xr:uid="{00000000-0005-0000-0000-0000F5010000}"/>
    <cellStyle name="1_total_갑지0601_00갑지_설계내역서1월7일_3차네고견적(061017-1)" xfId="503" xr:uid="{00000000-0005-0000-0000-0000F6010000}"/>
    <cellStyle name="1_total_갑지0601_00갑지_설계내역서1월7일_백화점화장실인테리어" xfId="504" xr:uid="{00000000-0005-0000-0000-0000F7010000}"/>
    <cellStyle name="1_total_갑지0601_00갑지_설계내역서1월7일_백화점화장실인테리어_1차 기성 내역서 0612023" xfId="505" xr:uid="{00000000-0005-0000-0000-0000F8010000}"/>
    <cellStyle name="1_total_갑지0601_00갑지_설계내역서1월7일_백화점화장실인테리어_3차네고견적(061017-1)" xfId="506" xr:uid="{00000000-0005-0000-0000-0000F9010000}"/>
    <cellStyle name="1_total_갑지0601_00갑지_설계내역서1월7일_화명조경" xfId="507" xr:uid="{00000000-0005-0000-0000-0000FA010000}"/>
    <cellStyle name="1_total_갑지0601_00갑지_설계내역서1월7일_화명조경_1차 기성 내역서 0612023" xfId="508" xr:uid="{00000000-0005-0000-0000-0000FB010000}"/>
    <cellStyle name="1_total_갑지0601_00갑지_설계내역서1월7일_화명조경_3차네고견적(061017-1)" xfId="509" xr:uid="{00000000-0005-0000-0000-0000FC010000}"/>
    <cellStyle name="1_total_갑지0601_00갑지_설계내역서1월7일_화명조경_백화점화장실인테리어" xfId="510" xr:uid="{00000000-0005-0000-0000-0000FD010000}"/>
    <cellStyle name="1_total_갑지0601_00갑지_설계내역서1월7일_화명조경_백화점화장실인테리어_1차 기성 내역서 0612023" xfId="511" xr:uid="{00000000-0005-0000-0000-0000FE010000}"/>
    <cellStyle name="1_total_갑지0601_00갑지_설계내역서1월7일_화명조경_백화점화장실인테리어_3차네고견적(061017-1)" xfId="512" xr:uid="{00000000-0005-0000-0000-0000FF010000}"/>
    <cellStyle name="1_total_갑지0601_00갑지_화명조경" xfId="513" xr:uid="{00000000-0005-0000-0000-000000020000}"/>
    <cellStyle name="1_total_갑지0601_00갑지_화명조경_1차 기성 내역서 0612023" xfId="514" xr:uid="{00000000-0005-0000-0000-000001020000}"/>
    <cellStyle name="1_total_갑지0601_00갑지_화명조경_3차네고견적(061017-1)" xfId="515" xr:uid="{00000000-0005-0000-0000-000002020000}"/>
    <cellStyle name="1_total_갑지0601_00갑지_화명조경_백화점화장실인테리어" xfId="516" xr:uid="{00000000-0005-0000-0000-000003020000}"/>
    <cellStyle name="1_total_갑지0601_00갑지_화명조경_백화점화장실인테리어_1차 기성 내역서 0612023" xfId="517" xr:uid="{00000000-0005-0000-0000-000004020000}"/>
    <cellStyle name="1_total_갑지0601_00갑지_화명조경_백화점화장실인테리어_3차네고견적(061017-1)" xfId="518" xr:uid="{00000000-0005-0000-0000-000005020000}"/>
    <cellStyle name="1_total_갑지0601_1차 기성 내역서 0612023" xfId="519" xr:uid="{00000000-0005-0000-0000-000006020000}"/>
    <cellStyle name="1_total_갑지0601_3차네고견적(061017-1)" xfId="520" xr:uid="{00000000-0005-0000-0000-000007020000}"/>
    <cellStyle name="1_total_갑지0601_과천놀이터설계서" xfId="521" xr:uid="{00000000-0005-0000-0000-000008020000}"/>
    <cellStyle name="1_total_갑지0601_과천놀이터설계서_1차 기성 내역서 0612023" xfId="522" xr:uid="{00000000-0005-0000-0000-000009020000}"/>
    <cellStyle name="1_total_갑지0601_과천놀이터설계서_3차네고견적(061017-1)" xfId="523" xr:uid="{00000000-0005-0000-0000-00000A020000}"/>
    <cellStyle name="1_total_갑지0601_과천놀이터설계서_백화점화장실인테리어" xfId="524" xr:uid="{00000000-0005-0000-0000-00000B020000}"/>
    <cellStyle name="1_total_갑지0601_과천놀이터설계서_백화점화장실인테리어_1차 기성 내역서 0612023" xfId="525" xr:uid="{00000000-0005-0000-0000-00000C020000}"/>
    <cellStyle name="1_total_갑지0601_과천놀이터설계서_백화점화장실인테리어_3차네고견적(061017-1)" xfId="526" xr:uid="{00000000-0005-0000-0000-00000D020000}"/>
    <cellStyle name="1_total_갑지0601_과천놀이터설계서_설계내역서" xfId="527" xr:uid="{00000000-0005-0000-0000-00000E020000}"/>
    <cellStyle name="1_total_갑지0601_과천놀이터설계서_설계내역서_1차 기성 내역서 0612023" xfId="528" xr:uid="{00000000-0005-0000-0000-00000F020000}"/>
    <cellStyle name="1_total_갑지0601_과천놀이터설계서_설계내역서_3차네고견적(061017-1)" xfId="529" xr:uid="{00000000-0005-0000-0000-000010020000}"/>
    <cellStyle name="1_total_갑지0601_과천놀이터설계서_설계내역서_백화점화장실인테리어" xfId="530" xr:uid="{00000000-0005-0000-0000-000011020000}"/>
    <cellStyle name="1_total_갑지0601_과천놀이터설계서_설계내역서_백화점화장실인테리어_1차 기성 내역서 0612023" xfId="531" xr:uid="{00000000-0005-0000-0000-000012020000}"/>
    <cellStyle name="1_total_갑지0601_과천놀이터설계서_설계내역서_백화점화장실인테리어_3차네고견적(061017-1)" xfId="532" xr:uid="{00000000-0005-0000-0000-000013020000}"/>
    <cellStyle name="1_total_갑지0601_과천놀이터설계서_설계내역서_화명조경" xfId="533" xr:uid="{00000000-0005-0000-0000-000014020000}"/>
    <cellStyle name="1_total_갑지0601_과천놀이터설계서_설계내역서_화명조경_1차 기성 내역서 0612023" xfId="534" xr:uid="{00000000-0005-0000-0000-000015020000}"/>
    <cellStyle name="1_total_갑지0601_과천놀이터설계서_설계내역서_화명조경_3차네고견적(061017-1)" xfId="535" xr:uid="{00000000-0005-0000-0000-000016020000}"/>
    <cellStyle name="1_total_갑지0601_과천놀이터설계서_설계내역서_화명조경_백화점화장실인테리어" xfId="536" xr:uid="{00000000-0005-0000-0000-000017020000}"/>
    <cellStyle name="1_total_갑지0601_과천놀이터설계서_설계내역서_화명조경_백화점화장실인테리어_1차 기성 내역서 0612023" xfId="537" xr:uid="{00000000-0005-0000-0000-000018020000}"/>
    <cellStyle name="1_total_갑지0601_과천놀이터설계서_설계내역서_화명조경_백화점화장실인테리어_3차네고견적(061017-1)" xfId="538" xr:uid="{00000000-0005-0000-0000-000019020000}"/>
    <cellStyle name="1_total_갑지0601_과천놀이터설계서_설계내역서1월7일" xfId="539" xr:uid="{00000000-0005-0000-0000-00001A020000}"/>
    <cellStyle name="1_total_갑지0601_과천놀이터설계서_설계내역서1월7일_1차 기성 내역서 0612023" xfId="540" xr:uid="{00000000-0005-0000-0000-00001B020000}"/>
    <cellStyle name="1_total_갑지0601_과천놀이터설계서_설계내역서1월7일_3차네고견적(061017-1)" xfId="541" xr:uid="{00000000-0005-0000-0000-00001C020000}"/>
    <cellStyle name="1_total_갑지0601_과천놀이터설계서_설계내역서1월7일_백화점화장실인테리어" xfId="542" xr:uid="{00000000-0005-0000-0000-00001D020000}"/>
    <cellStyle name="1_total_갑지0601_과천놀이터설계서_설계내역서1월7일_백화점화장실인테리어_1차 기성 내역서 0612023" xfId="543" xr:uid="{00000000-0005-0000-0000-00001E020000}"/>
    <cellStyle name="1_total_갑지0601_과천놀이터설계서_설계내역서1월7일_백화점화장실인테리어_3차네고견적(061017-1)" xfId="544" xr:uid="{00000000-0005-0000-0000-00001F020000}"/>
    <cellStyle name="1_total_갑지0601_과천놀이터설계서_설계내역서1월7일_화명조경" xfId="545" xr:uid="{00000000-0005-0000-0000-000020020000}"/>
    <cellStyle name="1_total_갑지0601_과천놀이터설계서_설계내역서1월7일_화명조경_1차 기성 내역서 0612023" xfId="546" xr:uid="{00000000-0005-0000-0000-000021020000}"/>
    <cellStyle name="1_total_갑지0601_과천놀이터설계서_설계내역서1월7일_화명조경_3차네고견적(061017-1)" xfId="547" xr:uid="{00000000-0005-0000-0000-000022020000}"/>
    <cellStyle name="1_total_갑지0601_과천놀이터설계서_설계내역서1월7일_화명조경_백화점화장실인테리어" xfId="548" xr:uid="{00000000-0005-0000-0000-000023020000}"/>
    <cellStyle name="1_total_갑지0601_과천놀이터설계서_설계내역서1월7일_화명조경_백화점화장실인테리어_1차 기성 내역서 0612023" xfId="549" xr:uid="{00000000-0005-0000-0000-000024020000}"/>
    <cellStyle name="1_total_갑지0601_과천놀이터설계서_설계내역서1월7일_화명조경_백화점화장실인테리어_3차네고견적(061017-1)" xfId="550" xr:uid="{00000000-0005-0000-0000-000025020000}"/>
    <cellStyle name="1_total_갑지0601_과천놀이터설계서_화명조경" xfId="551" xr:uid="{00000000-0005-0000-0000-000026020000}"/>
    <cellStyle name="1_total_갑지0601_과천놀이터설계서_화명조경_1차 기성 내역서 0612023" xfId="552" xr:uid="{00000000-0005-0000-0000-000027020000}"/>
    <cellStyle name="1_total_갑지0601_과천놀이터설계서_화명조경_3차네고견적(061017-1)" xfId="553" xr:uid="{00000000-0005-0000-0000-000028020000}"/>
    <cellStyle name="1_total_갑지0601_과천놀이터설계서_화명조경_백화점화장실인테리어" xfId="554" xr:uid="{00000000-0005-0000-0000-000029020000}"/>
    <cellStyle name="1_total_갑지0601_과천놀이터설계서_화명조경_백화점화장실인테리어_1차 기성 내역서 0612023" xfId="555" xr:uid="{00000000-0005-0000-0000-00002A020000}"/>
    <cellStyle name="1_total_갑지0601_과천놀이터설계서_화명조경_백화점화장실인테리어_3차네고견적(061017-1)" xfId="556" xr:uid="{00000000-0005-0000-0000-00002B020000}"/>
    <cellStyle name="1_total_갑지0601_백화점화장실인테리어" xfId="557" xr:uid="{00000000-0005-0000-0000-00002C020000}"/>
    <cellStyle name="1_total_갑지0601_백화점화장실인테리어_1차 기성 내역서 0612023" xfId="558" xr:uid="{00000000-0005-0000-0000-00002D020000}"/>
    <cellStyle name="1_total_갑지0601_백화점화장실인테리어_3차네고견적(061017-1)" xfId="559" xr:uid="{00000000-0005-0000-0000-00002E020000}"/>
    <cellStyle name="1_total_갑지0601_총괄갑지" xfId="560" xr:uid="{00000000-0005-0000-0000-00002F020000}"/>
    <cellStyle name="1_total_갑지0601_총괄갑지_1차 기성 내역서 0612023" xfId="561" xr:uid="{00000000-0005-0000-0000-000030020000}"/>
    <cellStyle name="1_total_갑지0601_총괄갑지_3차네고견적(061017-1)" xfId="562" xr:uid="{00000000-0005-0000-0000-000031020000}"/>
    <cellStyle name="1_total_갑지0601_총괄갑지_백화점화장실인테리어" xfId="563" xr:uid="{00000000-0005-0000-0000-000032020000}"/>
    <cellStyle name="1_total_갑지0601_총괄갑지_백화점화장실인테리어_1차 기성 내역서 0612023" xfId="564" xr:uid="{00000000-0005-0000-0000-000033020000}"/>
    <cellStyle name="1_total_갑지0601_총괄갑지_백화점화장실인테리어_3차네고견적(061017-1)" xfId="565" xr:uid="{00000000-0005-0000-0000-000034020000}"/>
    <cellStyle name="1_total_갑지0601_총괄갑지_설계내역서" xfId="566" xr:uid="{00000000-0005-0000-0000-000035020000}"/>
    <cellStyle name="1_total_갑지0601_총괄갑지_설계내역서_1차 기성 내역서 0612023" xfId="567" xr:uid="{00000000-0005-0000-0000-000036020000}"/>
    <cellStyle name="1_total_갑지0601_총괄갑지_설계내역서_3차네고견적(061017-1)" xfId="568" xr:uid="{00000000-0005-0000-0000-000037020000}"/>
    <cellStyle name="1_total_갑지0601_총괄갑지_설계내역서_백화점화장실인테리어" xfId="569" xr:uid="{00000000-0005-0000-0000-000038020000}"/>
    <cellStyle name="1_total_갑지0601_총괄갑지_설계내역서_백화점화장실인테리어_1차 기성 내역서 0612023" xfId="570" xr:uid="{00000000-0005-0000-0000-000039020000}"/>
    <cellStyle name="1_total_갑지0601_총괄갑지_설계내역서_백화점화장실인테리어_3차네고견적(061017-1)" xfId="571" xr:uid="{00000000-0005-0000-0000-00003A020000}"/>
    <cellStyle name="1_total_갑지0601_총괄갑지_설계내역서_화명조경" xfId="572" xr:uid="{00000000-0005-0000-0000-00003B020000}"/>
    <cellStyle name="1_total_갑지0601_총괄갑지_설계내역서_화명조경_1차 기성 내역서 0612023" xfId="573" xr:uid="{00000000-0005-0000-0000-00003C020000}"/>
    <cellStyle name="1_total_갑지0601_총괄갑지_설계내역서_화명조경_3차네고견적(061017-1)" xfId="574" xr:uid="{00000000-0005-0000-0000-00003D020000}"/>
    <cellStyle name="1_total_갑지0601_총괄갑지_설계내역서_화명조경_백화점화장실인테리어" xfId="575" xr:uid="{00000000-0005-0000-0000-00003E020000}"/>
    <cellStyle name="1_total_갑지0601_총괄갑지_설계내역서_화명조경_백화점화장실인테리어_1차 기성 내역서 0612023" xfId="576" xr:uid="{00000000-0005-0000-0000-00003F020000}"/>
    <cellStyle name="1_total_갑지0601_총괄갑지_설계내역서_화명조경_백화점화장실인테리어_3차네고견적(061017-1)" xfId="577" xr:uid="{00000000-0005-0000-0000-000040020000}"/>
    <cellStyle name="1_total_갑지0601_총괄갑지_설계내역서1월7일" xfId="578" xr:uid="{00000000-0005-0000-0000-000041020000}"/>
    <cellStyle name="1_total_갑지0601_총괄갑지_설계내역서1월7일_1차 기성 내역서 0612023" xfId="579" xr:uid="{00000000-0005-0000-0000-000042020000}"/>
    <cellStyle name="1_total_갑지0601_총괄갑지_설계내역서1월7일_3차네고견적(061017-1)" xfId="580" xr:uid="{00000000-0005-0000-0000-000043020000}"/>
    <cellStyle name="1_total_갑지0601_총괄갑지_설계내역서1월7일_백화점화장실인테리어" xfId="581" xr:uid="{00000000-0005-0000-0000-000044020000}"/>
    <cellStyle name="1_total_갑지0601_총괄갑지_설계내역서1월7일_백화점화장실인테리어_1차 기성 내역서 0612023" xfId="582" xr:uid="{00000000-0005-0000-0000-000045020000}"/>
    <cellStyle name="1_total_갑지0601_총괄갑지_설계내역서1월7일_백화점화장실인테리어_3차네고견적(061017-1)" xfId="583" xr:uid="{00000000-0005-0000-0000-000046020000}"/>
    <cellStyle name="1_total_갑지0601_총괄갑지_설계내역서1월7일_화명조경" xfId="584" xr:uid="{00000000-0005-0000-0000-000047020000}"/>
    <cellStyle name="1_total_갑지0601_총괄갑지_설계내역서1월7일_화명조경_1차 기성 내역서 0612023" xfId="585" xr:uid="{00000000-0005-0000-0000-000048020000}"/>
    <cellStyle name="1_total_갑지0601_총괄갑지_설계내역서1월7일_화명조경_3차네고견적(061017-1)" xfId="586" xr:uid="{00000000-0005-0000-0000-000049020000}"/>
    <cellStyle name="1_total_갑지0601_총괄갑지_설계내역서1월7일_화명조경_백화점화장실인테리어" xfId="587" xr:uid="{00000000-0005-0000-0000-00004A020000}"/>
    <cellStyle name="1_total_갑지0601_총괄갑지_설계내역서1월7일_화명조경_백화점화장실인테리어_1차 기성 내역서 0612023" xfId="588" xr:uid="{00000000-0005-0000-0000-00004B020000}"/>
    <cellStyle name="1_total_갑지0601_총괄갑지_설계내역서1월7일_화명조경_백화점화장실인테리어_3차네고견적(061017-1)" xfId="589" xr:uid="{00000000-0005-0000-0000-00004C020000}"/>
    <cellStyle name="1_total_갑지0601_총괄갑지_화명조경" xfId="590" xr:uid="{00000000-0005-0000-0000-00004D020000}"/>
    <cellStyle name="1_total_갑지0601_총괄갑지_화명조경_1차 기성 내역서 0612023" xfId="591" xr:uid="{00000000-0005-0000-0000-00004E020000}"/>
    <cellStyle name="1_total_갑지0601_총괄갑지_화명조경_3차네고견적(061017-1)" xfId="592" xr:uid="{00000000-0005-0000-0000-00004F020000}"/>
    <cellStyle name="1_total_갑지0601_총괄갑지_화명조경_백화점화장실인테리어" xfId="593" xr:uid="{00000000-0005-0000-0000-000050020000}"/>
    <cellStyle name="1_total_갑지0601_총괄갑지_화명조경_백화점화장실인테리어_1차 기성 내역서 0612023" xfId="594" xr:uid="{00000000-0005-0000-0000-000051020000}"/>
    <cellStyle name="1_total_갑지0601_총괄갑지_화명조경_백화점화장실인테리어_3차네고견적(061017-1)" xfId="595" xr:uid="{00000000-0005-0000-0000-000052020000}"/>
    <cellStyle name="1_total_갑지0601_총괄내역서" xfId="596" xr:uid="{00000000-0005-0000-0000-000053020000}"/>
    <cellStyle name="1_total_갑지0601_총괄내역서_1차 기성 내역서 0612023" xfId="597" xr:uid="{00000000-0005-0000-0000-000054020000}"/>
    <cellStyle name="1_total_갑지0601_총괄내역서_3차네고견적(061017-1)" xfId="598" xr:uid="{00000000-0005-0000-0000-000055020000}"/>
    <cellStyle name="1_total_갑지0601_총괄내역서_백화점화장실인테리어" xfId="599" xr:uid="{00000000-0005-0000-0000-000056020000}"/>
    <cellStyle name="1_total_갑지0601_총괄내역서_백화점화장실인테리어_1차 기성 내역서 0612023" xfId="600" xr:uid="{00000000-0005-0000-0000-000057020000}"/>
    <cellStyle name="1_total_갑지0601_총괄내역서_백화점화장실인테리어_3차네고견적(061017-1)" xfId="601" xr:uid="{00000000-0005-0000-0000-000058020000}"/>
    <cellStyle name="1_total_갑지0601_총괄내역서_설계내역서" xfId="602" xr:uid="{00000000-0005-0000-0000-000059020000}"/>
    <cellStyle name="1_total_갑지0601_총괄내역서_설계내역서_1차 기성 내역서 0612023" xfId="603" xr:uid="{00000000-0005-0000-0000-00005A020000}"/>
    <cellStyle name="1_total_갑지0601_총괄내역서_설계내역서_3차네고견적(061017-1)" xfId="604" xr:uid="{00000000-0005-0000-0000-00005B020000}"/>
    <cellStyle name="1_total_갑지0601_총괄내역서_설계내역서_백화점화장실인테리어" xfId="605" xr:uid="{00000000-0005-0000-0000-00005C020000}"/>
    <cellStyle name="1_total_갑지0601_총괄내역서_설계내역서_백화점화장실인테리어_1차 기성 내역서 0612023" xfId="606" xr:uid="{00000000-0005-0000-0000-00005D020000}"/>
    <cellStyle name="1_total_갑지0601_총괄내역서_설계내역서_백화점화장실인테리어_3차네고견적(061017-1)" xfId="607" xr:uid="{00000000-0005-0000-0000-00005E020000}"/>
    <cellStyle name="1_total_갑지0601_총괄내역서_설계내역서_화명조경" xfId="608" xr:uid="{00000000-0005-0000-0000-00005F020000}"/>
    <cellStyle name="1_total_갑지0601_총괄내역서_설계내역서_화명조경_1차 기성 내역서 0612023" xfId="609" xr:uid="{00000000-0005-0000-0000-000060020000}"/>
    <cellStyle name="1_total_갑지0601_총괄내역서_설계내역서_화명조경_3차네고견적(061017-1)" xfId="610" xr:uid="{00000000-0005-0000-0000-000061020000}"/>
    <cellStyle name="1_total_갑지0601_총괄내역서_설계내역서_화명조경_백화점화장실인테리어" xfId="611" xr:uid="{00000000-0005-0000-0000-000062020000}"/>
    <cellStyle name="1_total_갑지0601_총괄내역서_설계내역서_화명조경_백화점화장실인테리어_1차 기성 내역서 0612023" xfId="612" xr:uid="{00000000-0005-0000-0000-000063020000}"/>
    <cellStyle name="1_total_갑지0601_총괄내역서_설계내역서_화명조경_백화점화장실인테리어_3차네고견적(061017-1)" xfId="613" xr:uid="{00000000-0005-0000-0000-000064020000}"/>
    <cellStyle name="1_total_갑지0601_총괄내역서_설계내역서1월7일" xfId="614" xr:uid="{00000000-0005-0000-0000-000065020000}"/>
    <cellStyle name="1_total_갑지0601_총괄내역서_설계내역서1월7일_1차 기성 내역서 0612023" xfId="615" xr:uid="{00000000-0005-0000-0000-000066020000}"/>
    <cellStyle name="1_total_갑지0601_총괄내역서_설계내역서1월7일_3차네고견적(061017-1)" xfId="616" xr:uid="{00000000-0005-0000-0000-000067020000}"/>
    <cellStyle name="1_total_갑지0601_총괄내역서_설계내역서1월7일_백화점화장실인테리어" xfId="617" xr:uid="{00000000-0005-0000-0000-000068020000}"/>
    <cellStyle name="1_total_갑지0601_총괄내역서_설계내역서1월7일_백화점화장실인테리어_1차 기성 내역서 0612023" xfId="618" xr:uid="{00000000-0005-0000-0000-000069020000}"/>
    <cellStyle name="1_total_갑지0601_총괄내역서_설계내역서1월7일_백화점화장실인테리어_3차네고견적(061017-1)" xfId="619" xr:uid="{00000000-0005-0000-0000-00006A020000}"/>
    <cellStyle name="1_total_갑지0601_총괄내역서_설계내역서1월7일_화명조경" xfId="620" xr:uid="{00000000-0005-0000-0000-00006B020000}"/>
    <cellStyle name="1_total_갑지0601_총괄내역서_설계내역서1월7일_화명조경_1차 기성 내역서 0612023" xfId="621" xr:uid="{00000000-0005-0000-0000-00006C020000}"/>
    <cellStyle name="1_total_갑지0601_총괄내역서_설계내역서1월7일_화명조경_3차네고견적(061017-1)" xfId="622" xr:uid="{00000000-0005-0000-0000-00006D020000}"/>
    <cellStyle name="1_total_갑지0601_총괄내역서_설계내역서1월7일_화명조경_백화점화장실인테리어" xfId="623" xr:uid="{00000000-0005-0000-0000-00006E020000}"/>
    <cellStyle name="1_total_갑지0601_총괄내역서_설계내역서1월7일_화명조경_백화점화장실인테리어_1차 기성 내역서 0612023" xfId="624" xr:uid="{00000000-0005-0000-0000-00006F020000}"/>
    <cellStyle name="1_total_갑지0601_총괄내역서_설계내역서1월7일_화명조경_백화점화장실인테리어_3차네고견적(061017-1)" xfId="625" xr:uid="{00000000-0005-0000-0000-000070020000}"/>
    <cellStyle name="1_total_갑지0601_총괄내역서_화명조경" xfId="626" xr:uid="{00000000-0005-0000-0000-000071020000}"/>
    <cellStyle name="1_total_갑지0601_총괄내역서_화명조경_1차 기성 내역서 0612023" xfId="627" xr:uid="{00000000-0005-0000-0000-000072020000}"/>
    <cellStyle name="1_total_갑지0601_총괄내역서_화명조경_3차네고견적(061017-1)" xfId="628" xr:uid="{00000000-0005-0000-0000-000073020000}"/>
    <cellStyle name="1_total_갑지0601_총괄내역서_화명조경_백화점화장실인테리어" xfId="629" xr:uid="{00000000-0005-0000-0000-000074020000}"/>
    <cellStyle name="1_total_갑지0601_총괄내역서_화명조경_백화점화장실인테리어_1차 기성 내역서 0612023" xfId="630" xr:uid="{00000000-0005-0000-0000-000075020000}"/>
    <cellStyle name="1_total_갑지0601_총괄내역서_화명조경_백화점화장실인테리어_3차네고견적(061017-1)" xfId="631" xr:uid="{00000000-0005-0000-0000-000076020000}"/>
    <cellStyle name="1_total_갑지0601_화명조경" xfId="632" xr:uid="{00000000-0005-0000-0000-000077020000}"/>
    <cellStyle name="1_total_갑지0601_화명조경_1차 기성 내역서 0612023" xfId="633" xr:uid="{00000000-0005-0000-0000-000078020000}"/>
    <cellStyle name="1_total_갑지0601_화명조경_3차네고견적(061017-1)" xfId="634" xr:uid="{00000000-0005-0000-0000-000079020000}"/>
    <cellStyle name="1_total_갑지0601_화명조경_백화점화장실인테리어" xfId="635" xr:uid="{00000000-0005-0000-0000-00007A020000}"/>
    <cellStyle name="1_total_갑지0601_화명조경_백화점화장실인테리어_1차 기성 내역서 0612023" xfId="636" xr:uid="{00000000-0005-0000-0000-00007B020000}"/>
    <cellStyle name="1_total_갑지0601_화명조경_백화점화장실인테리어_3차네고견적(061017-1)" xfId="637" xr:uid="{00000000-0005-0000-0000-00007C020000}"/>
    <cellStyle name="1_total_백화점화장실인테리어" xfId="638" xr:uid="{00000000-0005-0000-0000-00007D020000}"/>
    <cellStyle name="1_total_백화점화장실인테리어_1차 기성 내역서 0612023" xfId="639" xr:uid="{00000000-0005-0000-0000-00007E020000}"/>
    <cellStyle name="1_total_백화점화장실인테리어_3차네고견적(061017-1)" xfId="640" xr:uid="{00000000-0005-0000-0000-00007F020000}"/>
    <cellStyle name="1_total_설계내역서" xfId="641" xr:uid="{00000000-0005-0000-0000-000080020000}"/>
    <cellStyle name="1_total_설계내역서_1차 기성 내역서 0612023" xfId="642" xr:uid="{00000000-0005-0000-0000-000081020000}"/>
    <cellStyle name="1_total_설계내역서_3차네고견적(061017-1)" xfId="643" xr:uid="{00000000-0005-0000-0000-000082020000}"/>
    <cellStyle name="1_total_설계내역서_백화점화장실인테리어" xfId="644" xr:uid="{00000000-0005-0000-0000-000083020000}"/>
    <cellStyle name="1_total_설계내역서_백화점화장실인테리어_1차 기성 내역서 0612023" xfId="645" xr:uid="{00000000-0005-0000-0000-000084020000}"/>
    <cellStyle name="1_total_설계내역서_백화점화장실인테리어_3차네고견적(061017-1)" xfId="646" xr:uid="{00000000-0005-0000-0000-000085020000}"/>
    <cellStyle name="1_total_설계내역서_화명조경" xfId="647" xr:uid="{00000000-0005-0000-0000-000086020000}"/>
    <cellStyle name="1_total_설계내역서_화명조경_1차 기성 내역서 0612023" xfId="648" xr:uid="{00000000-0005-0000-0000-000087020000}"/>
    <cellStyle name="1_total_설계내역서_화명조경_3차네고견적(061017-1)" xfId="649" xr:uid="{00000000-0005-0000-0000-000088020000}"/>
    <cellStyle name="1_total_설계내역서_화명조경_백화점화장실인테리어" xfId="650" xr:uid="{00000000-0005-0000-0000-000089020000}"/>
    <cellStyle name="1_total_설계내역서_화명조경_백화점화장실인테리어_1차 기성 내역서 0612023" xfId="651" xr:uid="{00000000-0005-0000-0000-00008A020000}"/>
    <cellStyle name="1_total_설계내역서_화명조경_백화점화장실인테리어_3차네고견적(061017-1)" xfId="652" xr:uid="{00000000-0005-0000-0000-00008B020000}"/>
    <cellStyle name="1_total_설계내역서1월7일" xfId="653" xr:uid="{00000000-0005-0000-0000-00008C020000}"/>
    <cellStyle name="1_total_설계내역서1월7일_1차 기성 내역서 0612023" xfId="654" xr:uid="{00000000-0005-0000-0000-00008D020000}"/>
    <cellStyle name="1_total_설계내역서1월7일_3차네고견적(061017-1)" xfId="655" xr:uid="{00000000-0005-0000-0000-00008E020000}"/>
    <cellStyle name="1_total_설계내역서1월7일_백화점화장실인테리어" xfId="656" xr:uid="{00000000-0005-0000-0000-00008F020000}"/>
    <cellStyle name="1_total_설계내역서1월7일_백화점화장실인테리어_1차 기성 내역서 0612023" xfId="657" xr:uid="{00000000-0005-0000-0000-000090020000}"/>
    <cellStyle name="1_total_설계내역서1월7일_백화점화장실인테리어_3차네고견적(061017-1)" xfId="658" xr:uid="{00000000-0005-0000-0000-000091020000}"/>
    <cellStyle name="1_total_설계내역서1월7일_화명조경" xfId="659" xr:uid="{00000000-0005-0000-0000-000092020000}"/>
    <cellStyle name="1_total_설계내역서1월7일_화명조경_1차 기성 내역서 0612023" xfId="660" xr:uid="{00000000-0005-0000-0000-000093020000}"/>
    <cellStyle name="1_total_설계내역서1월7일_화명조경_3차네고견적(061017-1)" xfId="661" xr:uid="{00000000-0005-0000-0000-000094020000}"/>
    <cellStyle name="1_total_설계내역서1월7일_화명조경_백화점화장실인테리어" xfId="662" xr:uid="{00000000-0005-0000-0000-000095020000}"/>
    <cellStyle name="1_total_설계내역서1월7일_화명조경_백화점화장실인테리어_1차 기성 내역서 0612023" xfId="663" xr:uid="{00000000-0005-0000-0000-000096020000}"/>
    <cellStyle name="1_total_설계내역서1월7일_화명조경_백화점화장실인테리어_3차네고견적(061017-1)" xfId="664" xr:uid="{00000000-0005-0000-0000-000097020000}"/>
    <cellStyle name="1_total_수원변경수량산출" xfId="665" xr:uid="{00000000-0005-0000-0000-000098020000}"/>
    <cellStyle name="1_total_수원변경수량산출_1차 기성 내역서 0612023" xfId="666" xr:uid="{00000000-0005-0000-0000-000099020000}"/>
    <cellStyle name="1_total_수원변경수량산출_3차네고견적(061017-1)" xfId="667" xr:uid="{00000000-0005-0000-0000-00009A020000}"/>
    <cellStyle name="1_total_수원변경수량산출_백화점화장실인테리어" xfId="668" xr:uid="{00000000-0005-0000-0000-00009B020000}"/>
    <cellStyle name="1_total_수원변경수량산출_백화점화장실인테리어_1차 기성 내역서 0612023" xfId="669" xr:uid="{00000000-0005-0000-0000-00009C020000}"/>
    <cellStyle name="1_total_수원변경수량산출_백화점화장실인테리어_3차네고견적(061017-1)" xfId="670" xr:uid="{00000000-0005-0000-0000-00009D020000}"/>
    <cellStyle name="1_total_수원변경수량산출_설계내역서" xfId="671" xr:uid="{00000000-0005-0000-0000-00009E020000}"/>
    <cellStyle name="1_total_수원변경수량산출_설계내역서_1차 기성 내역서 0612023" xfId="672" xr:uid="{00000000-0005-0000-0000-00009F020000}"/>
    <cellStyle name="1_total_수원변경수량산출_설계내역서_3차네고견적(061017-1)" xfId="673" xr:uid="{00000000-0005-0000-0000-0000A0020000}"/>
    <cellStyle name="1_total_수원변경수량산출_설계내역서_백화점화장실인테리어" xfId="674" xr:uid="{00000000-0005-0000-0000-0000A1020000}"/>
    <cellStyle name="1_total_수원변경수량산출_설계내역서_백화점화장실인테리어_1차 기성 내역서 0612023" xfId="675" xr:uid="{00000000-0005-0000-0000-0000A2020000}"/>
    <cellStyle name="1_total_수원변경수량산출_설계내역서_백화점화장실인테리어_3차네고견적(061017-1)" xfId="676" xr:uid="{00000000-0005-0000-0000-0000A3020000}"/>
    <cellStyle name="1_total_수원변경수량산출_설계내역서_화명조경" xfId="677" xr:uid="{00000000-0005-0000-0000-0000A4020000}"/>
    <cellStyle name="1_total_수원변경수량산출_설계내역서_화명조경_1차 기성 내역서 0612023" xfId="678" xr:uid="{00000000-0005-0000-0000-0000A5020000}"/>
    <cellStyle name="1_total_수원변경수량산출_설계내역서_화명조경_3차네고견적(061017-1)" xfId="679" xr:uid="{00000000-0005-0000-0000-0000A6020000}"/>
    <cellStyle name="1_total_수원변경수량산출_설계내역서_화명조경_백화점화장실인테리어" xfId="680" xr:uid="{00000000-0005-0000-0000-0000A7020000}"/>
    <cellStyle name="1_total_수원변경수량산출_설계내역서_화명조경_백화점화장실인테리어_1차 기성 내역서 0612023" xfId="681" xr:uid="{00000000-0005-0000-0000-0000A8020000}"/>
    <cellStyle name="1_total_수원변경수량산출_설계내역서_화명조경_백화점화장실인테리어_3차네고견적(061017-1)" xfId="682" xr:uid="{00000000-0005-0000-0000-0000A9020000}"/>
    <cellStyle name="1_total_수원변경수량산출_설계내역서1월7일" xfId="683" xr:uid="{00000000-0005-0000-0000-0000AA020000}"/>
    <cellStyle name="1_total_수원변경수량산출_설계내역서1월7일_1차 기성 내역서 0612023" xfId="684" xr:uid="{00000000-0005-0000-0000-0000AB020000}"/>
    <cellStyle name="1_total_수원변경수량산출_설계내역서1월7일_3차네고견적(061017-1)" xfId="685" xr:uid="{00000000-0005-0000-0000-0000AC020000}"/>
    <cellStyle name="1_total_수원변경수량산출_설계내역서1월7일_백화점화장실인테리어" xfId="686" xr:uid="{00000000-0005-0000-0000-0000AD020000}"/>
    <cellStyle name="1_total_수원변경수량산출_설계내역서1월7일_백화점화장실인테리어_1차 기성 내역서 0612023" xfId="687" xr:uid="{00000000-0005-0000-0000-0000AE020000}"/>
    <cellStyle name="1_total_수원변경수량산출_설계내역서1월7일_백화점화장실인테리어_3차네고견적(061017-1)" xfId="688" xr:uid="{00000000-0005-0000-0000-0000AF020000}"/>
    <cellStyle name="1_total_수원변경수량산출_설계내역서1월7일_화명조경" xfId="689" xr:uid="{00000000-0005-0000-0000-0000B0020000}"/>
    <cellStyle name="1_total_수원변경수량산출_설계내역서1월7일_화명조경_1차 기성 내역서 0612023" xfId="690" xr:uid="{00000000-0005-0000-0000-0000B1020000}"/>
    <cellStyle name="1_total_수원변경수량산출_설계내역서1월7일_화명조경_3차네고견적(061017-1)" xfId="691" xr:uid="{00000000-0005-0000-0000-0000B2020000}"/>
    <cellStyle name="1_total_수원변경수량산출_설계내역서1월7일_화명조경_백화점화장실인테리어" xfId="692" xr:uid="{00000000-0005-0000-0000-0000B3020000}"/>
    <cellStyle name="1_total_수원변경수량산출_설계내역서1월7일_화명조경_백화점화장실인테리어_1차 기성 내역서 0612023" xfId="693" xr:uid="{00000000-0005-0000-0000-0000B4020000}"/>
    <cellStyle name="1_total_수원변경수량산출_설계내역서1월7일_화명조경_백화점화장실인테리어_3차네고견적(061017-1)" xfId="694" xr:uid="{00000000-0005-0000-0000-0000B5020000}"/>
    <cellStyle name="1_total_수원변경수량산출_화명조경" xfId="695" xr:uid="{00000000-0005-0000-0000-0000B6020000}"/>
    <cellStyle name="1_total_수원변경수량산출_화명조경_1차 기성 내역서 0612023" xfId="696" xr:uid="{00000000-0005-0000-0000-0000B7020000}"/>
    <cellStyle name="1_total_수원변경수량산출_화명조경_3차네고견적(061017-1)" xfId="697" xr:uid="{00000000-0005-0000-0000-0000B8020000}"/>
    <cellStyle name="1_total_수원변경수량산출_화명조경_백화점화장실인테리어" xfId="698" xr:uid="{00000000-0005-0000-0000-0000B9020000}"/>
    <cellStyle name="1_total_수원변경수량산출_화명조경_백화점화장실인테리어_1차 기성 내역서 0612023" xfId="699" xr:uid="{00000000-0005-0000-0000-0000BA020000}"/>
    <cellStyle name="1_total_수원변경수량산출_화명조경_백화점화장실인테리어_3차네고견적(061017-1)" xfId="700" xr:uid="{00000000-0005-0000-0000-0000BB020000}"/>
    <cellStyle name="1_total_쌍용수량0905" xfId="701" xr:uid="{00000000-0005-0000-0000-0000BC020000}"/>
    <cellStyle name="1_total_쌍용수량0905_1차 기성 내역서 0612023" xfId="702" xr:uid="{00000000-0005-0000-0000-0000BD020000}"/>
    <cellStyle name="1_total_쌍용수량0905_3차네고견적(061017-1)" xfId="703" xr:uid="{00000000-0005-0000-0000-0000BE020000}"/>
    <cellStyle name="1_total_쌍용수량0905_백화점화장실인테리어" xfId="704" xr:uid="{00000000-0005-0000-0000-0000BF020000}"/>
    <cellStyle name="1_total_쌍용수량0905_백화점화장실인테리어_1차 기성 내역서 0612023" xfId="705" xr:uid="{00000000-0005-0000-0000-0000C0020000}"/>
    <cellStyle name="1_total_쌍용수량0905_백화점화장실인테리어_3차네고견적(061017-1)" xfId="706" xr:uid="{00000000-0005-0000-0000-0000C1020000}"/>
    <cellStyle name="1_total_쌍용수량0905_설계내역서" xfId="707" xr:uid="{00000000-0005-0000-0000-0000C2020000}"/>
    <cellStyle name="1_total_쌍용수량0905_설계내역서_1차 기성 내역서 0612023" xfId="708" xr:uid="{00000000-0005-0000-0000-0000C3020000}"/>
    <cellStyle name="1_total_쌍용수량0905_설계내역서_3차네고견적(061017-1)" xfId="709" xr:uid="{00000000-0005-0000-0000-0000C4020000}"/>
    <cellStyle name="1_total_쌍용수량0905_설계내역서_백화점화장실인테리어" xfId="710" xr:uid="{00000000-0005-0000-0000-0000C5020000}"/>
    <cellStyle name="1_total_쌍용수량0905_설계내역서_백화점화장실인테리어_1차 기성 내역서 0612023" xfId="711" xr:uid="{00000000-0005-0000-0000-0000C6020000}"/>
    <cellStyle name="1_total_쌍용수량0905_설계내역서_백화점화장실인테리어_3차네고견적(061017-1)" xfId="712" xr:uid="{00000000-0005-0000-0000-0000C7020000}"/>
    <cellStyle name="1_total_쌍용수량0905_설계내역서_화명조경" xfId="713" xr:uid="{00000000-0005-0000-0000-0000C8020000}"/>
    <cellStyle name="1_total_쌍용수량0905_설계내역서_화명조경_1차 기성 내역서 0612023" xfId="714" xr:uid="{00000000-0005-0000-0000-0000C9020000}"/>
    <cellStyle name="1_total_쌍용수량0905_설계내역서_화명조경_3차네고견적(061017-1)" xfId="715" xr:uid="{00000000-0005-0000-0000-0000CA020000}"/>
    <cellStyle name="1_total_쌍용수량0905_설계내역서_화명조경_백화점화장실인테리어" xfId="716" xr:uid="{00000000-0005-0000-0000-0000CB020000}"/>
    <cellStyle name="1_total_쌍용수량0905_설계내역서_화명조경_백화점화장실인테리어_1차 기성 내역서 0612023" xfId="717" xr:uid="{00000000-0005-0000-0000-0000CC020000}"/>
    <cellStyle name="1_total_쌍용수량0905_설계내역서_화명조경_백화점화장실인테리어_3차네고견적(061017-1)" xfId="718" xr:uid="{00000000-0005-0000-0000-0000CD020000}"/>
    <cellStyle name="1_total_쌍용수량0905_설계내역서1월7일" xfId="719" xr:uid="{00000000-0005-0000-0000-0000CE020000}"/>
    <cellStyle name="1_total_쌍용수량0905_설계내역서1월7일_1차 기성 내역서 0612023" xfId="720" xr:uid="{00000000-0005-0000-0000-0000CF020000}"/>
    <cellStyle name="1_total_쌍용수량0905_설계내역서1월7일_3차네고견적(061017-1)" xfId="721" xr:uid="{00000000-0005-0000-0000-0000D0020000}"/>
    <cellStyle name="1_total_쌍용수량0905_설계내역서1월7일_백화점화장실인테리어" xfId="722" xr:uid="{00000000-0005-0000-0000-0000D1020000}"/>
    <cellStyle name="1_total_쌍용수량0905_설계내역서1월7일_백화점화장실인테리어_1차 기성 내역서 0612023" xfId="723" xr:uid="{00000000-0005-0000-0000-0000D2020000}"/>
    <cellStyle name="1_total_쌍용수량0905_설계내역서1월7일_백화점화장실인테리어_3차네고견적(061017-1)" xfId="724" xr:uid="{00000000-0005-0000-0000-0000D3020000}"/>
    <cellStyle name="1_total_쌍용수량0905_설계내역서1월7일_화명조경" xfId="725" xr:uid="{00000000-0005-0000-0000-0000D4020000}"/>
    <cellStyle name="1_total_쌍용수량0905_설계내역서1월7일_화명조경_1차 기성 내역서 0612023" xfId="726" xr:uid="{00000000-0005-0000-0000-0000D5020000}"/>
    <cellStyle name="1_total_쌍용수량0905_설계내역서1월7일_화명조경_3차네고견적(061017-1)" xfId="727" xr:uid="{00000000-0005-0000-0000-0000D6020000}"/>
    <cellStyle name="1_total_쌍용수량0905_설계내역서1월7일_화명조경_백화점화장실인테리어" xfId="728" xr:uid="{00000000-0005-0000-0000-0000D7020000}"/>
    <cellStyle name="1_total_쌍용수량0905_설계내역서1월7일_화명조경_백화점화장실인테리어_1차 기성 내역서 0612023" xfId="729" xr:uid="{00000000-0005-0000-0000-0000D8020000}"/>
    <cellStyle name="1_total_쌍용수량0905_설계내역서1월7일_화명조경_백화점화장실인테리어_3차네고견적(061017-1)" xfId="730" xr:uid="{00000000-0005-0000-0000-0000D9020000}"/>
    <cellStyle name="1_total_쌍용수량0905_화명조경" xfId="731" xr:uid="{00000000-0005-0000-0000-0000DA020000}"/>
    <cellStyle name="1_total_쌍용수량0905_화명조경_1차 기성 내역서 0612023" xfId="732" xr:uid="{00000000-0005-0000-0000-0000DB020000}"/>
    <cellStyle name="1_total_쌍용수량0905_화명조경_3차네고견적(061017-1)" xfId="733" xr:uid="{00000000-0005-0000-0000-0000DC020000}"/>
    <cellStyle name="1_total_쌍용수량0905_화명조경_백화점화장실인테리어" xfId="734" xr:uid="{00000000-0005-0000-0000-0000DD020000}"/>
    <cellStyle name="1_total_쌍용수량0905_화명조경_백화점화장실인테리어_1차 기성 내역서 0612023" xfId="735" xr:uid="{00000000-0005-0000-0000-0000DE020000}"/>
    <cellStyle name="1_total_쌍용수량0905_화명조경_백화점화장실인테리어_3차네고견적(061017-1)" xfId="736" xr:uid="{00000000-0005-0000-0000-0000DF020000}"/>
    <cellStyle name="1_total_은파수량집계" xfId="737" xr:uid="{00000000-0005-0000-0000-0000E0020000}"/>
    <cellStyle name="1_total_은파수량집계_1차 기성 내역서 0612023" xfId="738" xr:uid="{00000000-0005-0000-0000-0000E1020000}"/>
    <cellStyle name="1_total_은파수량집계_3차네고견적(061017-1)" xfId="739" xr:uid="{00000000-0005-0000-0000-0000E2020000}"/>
    <cellStyle name="1_total_은파수량집계_백화점화장실인테리어" xfId="740" xr:uid="{00000000-0005-0000-0000-0000E3020000}"/>
    <cellStyle name="1_total_은파수량집계_백화점화장실인테리어_1차 기성 내역서 0612023" xfId="741" xr:uid="{00000000-0005-0000-0000-0000E4020000}"/>
    <cellStyle name="1_total_은파수량집계_백화점화장실인테리어_3차네고견적(061017-1)" xfId="742" xr:uid="{00000000-0005-0000-0000-0000E5020000}"/>
    <cellStyle name="1_total_은파수량집계_설계내역서" xfId="743" xr:uid="{00000000-0005-0000-0000-0000E6020000}"/>
    <cellStyle name="1_total_은파수량집계_설계내역서_1차 기성 내역서 0612023" xfId="744" xr:uid="{00000000-0005-0000-0000-0000E7020000}"/>
    <cellStyle name="1_total_은파수량집계_설계내역서_3차네고견적(061017-1)" xfId="745" xr:uid="{00000000-0005-0000-0000-0000E8020000}"/>
    <cellStyle name="1_total_은파수량집계_설계내역서_백화점화장실인테리어" xfId="746" xr:uid="{00000000-0005-0000-0000-0000E9020000}"/>
    <cellStyle name="1_total_은파수량집계_설계내역서_백화점화장실인테리어_1차 기성 내역서 0612023" xfId="747" xr:uid="{00000000-0005-0000-0000-0000EA020000}"/>
    <cellStyle name="1_total_은파수량집계_설계내역서_백화점화장실인테리어_3차네고견적(061017-1)" xfId="748" xr:uid="{00000000-0005-0000-0000-0000EB020000}"/>
    <cellStyle name="1_total_은파수량집계_설계내역서_화명조경" xfId="749" xr:uid="{00000000-0005-0000-0000-0000EC020000}"/>
    <cellStyle name="1_total_은파수량집계_설계내역서_화명조경_1차 기성 내역서 0612023" xfId="750" xr:uid="{00000000-0005-0000-0000-0000ED020000}"/>
    <cellStyle name="1_total_은파수량집계_설계내역서_화명조경_3차네고견적(061017-1)" xfId="751" xr:uid="{00000000-0005-0000-0000-0000EE020000}"/>
    <cellStyle name="1_total_은파수량집계_설계내역서_화명조경_백화점화장실인테리어" xfId="752" xr:uid="{00000000-0005-0000-0000-0000EF020000}"/>
    <cellStyle name="1_total_은파수량집계_설계내역서_화명조경_백화점화장실인테리어_1차 기성 내역서 0612023" xfId="753" xr:uid="{00000000-0005-0000-0000-0000F0020000}"/>
    <cellStyle name="1_total_은파수량집계_설계내역서_화명조경_백화점화장실인테리어_3차네고견적(061017-1)" xfId="754" xr:uid="{00000000-0005-0000-0000-0000F1020000}"/>
    <cellStyle name="1_total_은파수량집계_설계내역서1월7일" xfId="755" xr:uid="{00000000-0005-0000-0000-0000F2020000}"/>
    <cellStyle name="1_total_은파수량집계_설계내역서1월7일_1차 기성 내역서 0612023" xfId="756" xr:uid="{00000000-0005-0000-0000-0000F3020000}"/>
    <cellStyle name="1_total_은파수량집계_설계내역서1월7일_3차네고견적(061017-1)" xfId="757" xr:uid="{00000000-0005-0000-0000-0000F4020000}"/>
    <cellStyle name="1_total_은파수량집계_설계내역서1월7일_백화점화장실인테리어" xfId="758" xr:uid="{00000000-0005-0000-0000-0000F5020000}"/>
    <cellStyle name="1_total_은파수량집계_설계내역서1월7일_백화점화장실인테리어_1차 기성 내역서 0612023" xfId="759" xr:uid="{00000000-0005-0000-0000-0000F6020000}"/>
    <cellStyle name="1_total_은파수량집계_설계내역서1월7일_백화점화장실인테리어_3차네고견적(061017-1)" xfId="760" xr:uid="{00000000-0005-0000-0000-0000F7020000}"/>
    <cellStyle name="1_total_은파수량집계_설계내역서1월7일_화명조경" xfId="761" xr:uid="{00000000-0005-0000-0000-0000F8020000}"/>
    <cellStyle name="1_total_은파수량집계_설계내역서1월7일_화명조경_1차 기성 내역서 0612023" xfId="762" xr:uid="{00000000-0005-0000-0000-0000F9020000}"/>
    <cellStyle name="1_total_은파수량집계_설계내역서1월7일_화명조경_3차네고견적(061017-1)" xfId="763" xr:uid="{00000000-0005-0000-0000-0000FA020000}"/>
    <cellStyle name="1_total_은파수량집계_설계내역서1월7일_화명조경_백화점화장실인테리어" xfId="764" xr:uid="{00000000-0005-0000-0000-0000FB020000}"/>
    <cellStyle name="1_total_은파수량집계_설계내역서1월7일_화명조경_백화점화장실인테리어_1차 기성 내역서 0612023" xfId="765" xr:uid="{00000000-0005-0000-0000-0000FC020000}"/>
    <cellStyle name="1_total_은파수량집계_설계내역서1월7일_화명조경_백화점화장실인테리어_3차네고견적(061017-1)" xfId="766" xr:uid="{00000000-0005-0000-0000-0000FD020000}"/>
    <cellStyle name="1_total_은파수량집계_화명조경" xfId="767" xr:uid="{00000000-0005-0000-0000-0000FE020000}"/>
    <cellStyle name="1_total_은파수량집계_화명조경_1차 기성 내역서 0612023" xfId="768" xr:uid="{00000000-0005-0000-0000-0000FF020000}"/>
    <cellStyle name="1_total_은파수량집계_화명조경_3차네고견적(061017-1)" xfId="769" xr:uid="{00000000-0005-0000-0000-000000030000}"/>
    <cellStyle name="1_total_은파수량집계_화명조경_백화점화장실인테리어" xfId="770" xr:uid="{00000000-0005-0000-0000-000001030000}"/>
    <cellStyle name="1_total_은파수량집계_화명조경_백화점화장실인테리어_1차 기성 내역서 0612023" xfId="771" xr:uid="{00000000-0005-0000-0000-000002030000}"/>
    <cellStyle name="1_total_은파수량집계_화명조경_백화점화장실인테리어_3차네고견적(061017-1)" xfId="772" xr:uid="{00000000-0005-0000-0000-000003030000}"/>
    <cellStyle name="1_total_터미널1-0" xfId="773" xr:uid="{00000000-0005-0000-0000-000004030000}"/>
    <cellStyle name="1_total_터미널1-0_1차 기성 내역서 0612023" xfId="774" xr:uid="{00000000-0005-0000-0000-000005030000}"/>
    <cellStyle name="1_total_터미널1-0_3차네고견적(061017-1)" xfId="775" xr:uid="{00000000-0005-0000-0000-000006030000}"/>
    <cellStyle name="1_total_터미널1-0_백화점화장실인테리어" xfId="776" xr:uid="{00000000-0005-0000-0000-000007030000}"/>
    <cellStyle name="1_total_터미널1-0_백화점화장실인테리어_1차 기성 내역서 0612023" xfId="777" xr:uid="{00000000-0005-0000-0000-000008030000}"/>
    <cellStyle name="1_total_터미널1-0_백화점화장실인테리어_3차네고견적(061017-1)" xfId="778" xr:uid="{00000000-0005-0000-0000-000009030000}"/>
    <cellStyle name="1_total_터미널1-0_화명조경" xfId="779" xr:uid="{00000000-0005-0000-0000-00000A030000}"/>
    <cellStyle name="1_total_터미널1-0_화명조경_1차 기성 내역서 0612023" xfId="780" xr:uid="{00000000-0005-0000-0000-00000B030000}"/>
    <cellStyle name="1_total_터미널1-0_화명조경_3차네고견적(061017-1)" xfId="781" xr:uid="{00000000-0005-0000-0000-00000C030000}"/>
    <cellStyle name="1_total_터미널1-0_화명조경_백화점화장실인테리어" xfId="782" xr:uid="{00000000-0005-0000-0000-00000D030000}"/>
    <cellStyle name="1_total_터미널1-0_화명조경_백화점화장실인테리어_1차 기성 내역서 0612023" xfId="783" xr:uid="{00000000-0005-0000-0000-00000E030000}"/>
    <cellStyle name="1_total_터미널1-0_화명조경_백화점화장실인테리어_3차네고견적(061017-1)" xfId="784" xr:uid="{00000000-0005-0000-0000-00000F030000}"/>
    <cellStyle name="1_total_화명조경" xfId="785" xr:uid="{00000000-0005-0000-0000-000010030000}"/>
    <cellStyle name="1_total_화명조경_1차 기성 내역서 0612023" xfId="786" xr:uid="{00000000-0005-0000-0000-000011030000}"/>
    <cellStyle name="1_total_화명조경_3차네고견적(061017-1)" xfId="787" xr:uid="{00000000-0005-0000-0000-000012030000}"/>
    <cellStyle name="1_total_화명조경_백화점화장실인테리어" xfId="788" xr:uid="{00000000-0005-0000-0000-000013030000}"/>
    <cellStyle name="1_total_화명조경_백화점화장실인테리어_1차 기성 내역서 0612023" xfId="789" xr:uid="{00000000-0005-0000-0000-000014030000}"/>
    <cellStyle name="1_total_화명조경_백화점화장실인테리어_3차네고견적(061017-1)" xfId="790" xr:uid="{00000000-0005-0000-0000-000015030000}"/>
    <cellStyle name="1_tree" xfId="791" xr:uid="{00000000-0005-0000-0000-000016030000}"/>
    <cellStyle name="1_tree_1차 기성 내역서 0612023" xfId="792" xr:uid="{00000000-0005-0000-0000-000017030000}"/>
    <cellStyle name="1_tree_3차네고견적(061017-1)" xfId="793" xr:uid="{00000000-0005-0000-0000-000018030000}"/>
    <cellStyle name="1_tree_Sheet1" xfId="794" xr:uid="{00000000-0005-0000-0000-000019030000}"/>
    <cellStyle name="1_tree_Sheet1_1차 기성 내역서 0612023" xfId="795" xr:uid="{00000000-0005-0000-0000-00001A030000}"/>
    <cellStyle name="1_tree_Sheet1_3차네고견적(061017-1)" xfId="796" xr:uid="{00000000-0005-0000-0000-00001B030000}"/>
    <cellStyle name="1_tree_갑지0601" xfId="797" xr:uid="{00000000-0005-0000-0000-00001C030000}"/>
    <cellStyle name="1_tree_갑지0601_00갑지" xfId="798" xr:uid="{00000000-0005-0000-0000-00001D030000}"/>
    <cellStyle name="1_tree_갑지0601_00갑지_1차 기성 내역서 0612023" xfId="799" xr:uid="{00000000-0005-0000-0000-00001E030000}"/>
    <cellStyle name="1_tree_갑지0601_00갑지_3차네고견적(061017-1)" xfId="800" xr:uid="{00000000-0005-0000-0000-00001F030000}"/>
    <cellStyle name="1_tree_갑지0601_00갑지_백화점화장실인테리어" xfId="801" xr:uid="{00000000-0005-0000-0000-000020030000}"/>
    <cellStyle name="1_tree_갑지0601_00갑지_백화점화장실인테리어_1차 기성 내역서 0612023" xfId="802" xr:uid="{00000000-0005-0000-0000-000021030000}"/>
    <cellStyle name="1_tree_갑지0601_00갑지_백화점화장실인테리어_3차네고견적(061017-1)" xfId="803" xr:uid="{00000000-0005-0000-0000-000022030000}"/>
    <cellStyle name="1_tree_갑지0601_00갑지_설계내역서" xfId="804" xr:uid="{00000000-0005-0000-0000-000023030000}"/>
    <cellStyle name="1_tree_갑지0601_00갑지_설계내역서_1차 기성 내역서 0612023" xfId="805" xr:uid="{00000000-0005-0000-0000-000024030000}"/>
    <cellStyle name="1_tree_갑지0601_00갑지_설계내역서_3차네고견적(061017-1)" xfId="806" xr:uid="{00000000-0005-0000-0000-000025030000}"/>
    <cellStyle name="1_tree_갑지0601_00갑지_설계내역서_백화점화장실인테리어" xfId="807" xr:uid="{00000000-0005-0000-0000-000026030000}"/>
    <cellStyle name="1_tree_갑지0601_00갑지_설계내역서_백화점화장실인테리어_1차 기성 내역서 0612023" xfId="808" xr:uid="{00000000-0005-0000-0000-000027030000}"/>
    <cellStyle name="1_tree_갑지0601_00갑지_설계내역서_백화점화장실인테리어_3차네고견적(061017-1)" xfId="809" xr:uid="{00000000-0005-0000-0000-000028030000}"/>
    <cellStyle name="1_tree_갑지0601_00갑지_설계내역서_화명조경" xfId="810" xr:uid="{00000000-0005-0000-0000-000029030000}"/>
    <cellStyle name="1_tree_갑지0601_00갑지_설계내역서_화명조경_1차 기성 내역서 0612023" xfId="811" xr:uid="{00000000-0005-0000-0000-00002A030000}"/>
    <cellStyle name="1_tree_갑지0601_00갑지_설계내역서_화명조경_3차네고견적(061017-1)" xfId="812" xr:uid="{00000000-0005-0000-0000-00002B030000}"/>
    <cellStyle name="1_tree_갑지0601_00갑지_설계내역서_화명조경_백화점화장실인테리어" xfId="813" xr:uid="{00000000-0005-0000-0000-00002C030000}"/>
    <cellStyle name="1_tree_갑지0601_00갑지_설계내역서_화명조경_백화점화장실인테리어_1차 기성 내역서 0612023" xfId="814" xr:uid="{00000000-0005-0000-0000-00002D030000}"/>
    <cellStyle name="1_tree_갑지0601_00갑지_설계내역서_화명조경_백화점화장실인테리어_3차네고견적(061017-1)" xfId="815" xr:uid="{00000000-0005-0000-0000-00002E030000}"/>
    <cellStyle name="1_tree_갑지0601_00갑지_설계내역서1월7일" xfId="816" xr:uid="{00000000-0005-0000-0000-00002F030000}"/>
    <cellStyle name="1_tree_갑지0601_00갑지_설계내역서1월7일_1차 기성 내역서 0612023" xfId="817" xr:uid="{00000000-0005-0000-0000-000030030000}"/>
    <cellStyle name="1_tree_갑지0601_00갑지_설계내역서1월7일_3차네고견적(061017-1)" xfId="818" xr:uid="{00000000-0005-0000-0000-000031030000}"/>
    <cellStyle name="1_tree_갑지0601_00갑지_설계내역서1월7일_백화점화장실인테리어" xfId="819" xr:uid="{00000000-0005-0000-0000-000032030000}"/>
    <cellStyle name="1_tree_갑지0601_00갑지_설계내역서1월7일_백화점화장실인테리어_1차 기성 내역서 0612023" xfId="820" xr:uid="{00000000-0005-0000-0000-000033030000}"/>
    <cellStyle name="1_tree_갑지0601_00갑지_설계내역서1월7일_백화점화장실인테리어_3차네고견적(061017-1)" xfId="821" xr:uid="{00000000-0005-0000-0000-000034030000}"/>
    <cellStyle name="1_tree_갑지0601_00갑지_설계내역서1월7일_화명조경" xfId="822" xr:uid="{00000000-0005-0000-0000-000035030000}"/>
    <cellStyle name="1_tree_갑지0601_00갑지_설계내역서1월7일_화명조경_1차 기성 내역서 0612023" xfId="823" xr:uid="{00000000-0005-0000-0000-000036030000}"/>
    <cellStyle name="1_tree_갑지0601_00갑지_설계내역서1월7일_화명조경_3차네고견적(061017-1)" xfId="824" xr:uid="{00000000-0005-0000-0000-000037030000}"/>
    <cellStyle name="1_tree_갑지0601_00갑지_설계내역서1월7일_화명조경_백화점화장실인테리어" xfId="825" xr:uid="{00000000-0005-0000-0000-000038030000}"/>
    <cellStyle name="1_tree_갑지0601_00갑지_설계내역서1월7일_화명조경_백화점화장실인테리어_1차 기성 내역서 0612023" xfId="826" xr:uid="{00000000-0005-0000-0000-000039030000}"/>
    <cellStyle name="1_tree_갑지0601_00갑지_설계내역서1월7일_화명조경_백화점화장실인테리어_3차네고견적(061017-1)" xfId="827" xr:uid="{00000000-0005-0000-0000-00003A030000}"/>
    <cellStyle name="1_tree_갑지0601_00갑지_화명조경" xfId="828" xr:uid="{00000000-0005-0000-0000-00003B030000}"/>
    <cellStyle name="1_tree_갑지0601_00갑지_화명조경_1차 기성 내역서 0612023" xfId="829" xr:uid="{00000000-0005-0000-0000-00003C030000}"/>
    <cellStyle name="1_tree_갑지0601_00갑지_화명조경_3차네고견적(061017-1)" xfId="830" xr:uid="{00000000-0005-0000-0000-00003D030000}"/>
    <cellStyle name="1_tree_갑지0601_00갑지_화명조경_백화점화장실인테리어" xfId="831" xr:uid="{00000000-0005-0000-0000-00003E030000}"/>
    <cellStyle name="1_tree_갑지0601_00갑지_화명조경_백화점화장실인테리어_1차 기성 내역서 0612023" xfId="832" xr:uid="{00000000-0005-0000-0000-00003F030000}"/>
    <cellStyle name="1_tree_갑지0601_00갑지_화명조경_백화점화장실인테리어_3차네고견적(061017-1)" xfId="833" xr:uid="{00000000-0005-0000-0000-000040030000}"/>
    <cellStyle name="1_tree_갑지0601_1차 기성 내역서 0612023" xfId="834" xr:uid="{00000000-0005-0000-0000-000041030000}"/>
    <cellStyle name="1_tree_갑지0601_3차네고견적(061017-1)" xfId="835" xr:uid="{00000000-0005-0000-0000-000042030000}"/>
    <cellStyle name="1_tree_갑지0601_과천놀이터설계서" xfId="836" xr:uid="{00000000-0005-0000-0000-000043030000}"/>
    <cellStyle name="1_tree_갑지0601_과천놀이터설계서_1차 기성 내역서 0612023" xfId="837" xr:uid="{00000000-0005-0000-0000-000044030000}"/>
    <cellStyle name="1_tree_갑지0601_과천놀이터설계서_3차네고견적(061017-1)" xfId="838" xr:uid="{00000000-0005-0000-0000-000045030000}"/>
    <cellStyle name="1_tree_갑지0601_과천놀이터설계서_백화점화장실인테리어" xfId="839" xr:uid="{00000000-0005-0000-0000-000046030000}"/>
    <cellStyle name="1_tree_갑지0601_과천놀이터설계서_백화점화장실인테리어_1차 기성 내역서 0612023" xfId="840" xr:uid="{00000000-0005-0000-0000-000047030000}"/>
    <cellStyle name="1_tree_갑지0601_과천놀이터설계서_백화점화장실인테리어_3차네고견적(061017-1)" xfId="841" xr:uid="{00000000-0005-0000-0000-000048030000}"/>
    <cellStyle name="1_tree_갑지0601_과천놀이터설계서_설계내역서" xfId="842" xr:uid="{00000000-0005-0000-0000-000049030000}"/>
    <cellStyle name="1_tree_갑지0601_과천놀이터설계서_설계내역서_1차 기성 내역서 0612023" xfId="843" xr:uid="{00000000-0005-0000-0000-00004A030000}"/>
    <cellStyle name="1_tree_갑지0601_과천놀이터설계서_설계내역서_3차네고견적(061017-1)" xfId="844" xr:uid="{00000000-0005-0000-0000-00004B030000}"/>
    <cellStyle name="1_tree_갑지0601_과천놀이터설계서_설계내역서_백화점화장실인테리어" xfId="845" xr:uid="{00000000-0005-0000-0000-00004C030000}"/>
    <cellStyle name="1_tree_갑지0601_과천놀이터설계서_설계내역서_백화점화장실인테리어_1차 기성 내역서 0612023" xfId="846" xr:uid="{00000000-0005-0000-0000-00004D030000}"/>
    <cellStyle name="1_tree_갑지0601_과천놀이터설계서_설계내역서_백화점화장실인테리어_3차네고견적(061017-1)" xfId="847" xr:uid="{00000000-0005-0000-0000-00004E030000}"/>
    <cellStyle name="1_tree_갑지0601_과천놀이터설계서_설계내역서_화명조경" xfId="848" xr:uid="{00000000-0005-0000-0000-00004F030000}"/>
    <cellStyle name="1_tree_갑지0601_과천놀이터설계서_설계내역서_화명조경_1차 기성 내역서 0612023" xfId="849" xr:uid="{00000000-0005-0000-0000-000050030000}"/>
    <cellStyle name="1_tree_갑지0601_과천놀이터설계서_설계내역서_화명조경_3차네고견적(061017-1)" xfId="850" xr:uid="{00000000-0005-0000-0000-000051030000}"/>
    <cellStyle name="1_tree_갑지0601_과천놀이터설계서_설계내역서_화명조경_백화점화장실인테리어" xfId="851" xr:uid="{00000000-0005-0000-0000-000052030000}"/>
    <cellStyle name="1_tree_갑지0601_과천놀이터설계서_설계내역서_화명조경_백화점화장실인테리어_1차 기성 내역서 0612023" xfId="852" xr:uid="{00000000-0005-0000-0000-000053030000}"/>
    <cellStyle name="1_tree_갑지0601_과천놀이터설계서_설계내역서_화명조경_백화점화장실인테리어_3차네고견적(061017-1)" xfId="853" xr:uid="{00000000-0005-0000-0000-000054030000}"/>
    <cellStyle name="1_tree_갑지0601_과천놀이터설계서_설계내역서1월7일" xfId="854" xr:uid="{00000000-0005-0000-0000-000055030000}"/>
    <cellStyle name="1_tree_갑지0601_과천놀이터설계서_설계내역서1월7일_1차 기성 내역서 0612023" xfId="855" xr:uid="{00000000-0005-0000-0000-000056030000}"/>
    <cellStyle name="1_tree_갑지0601_과천놀이터설계서_설계내역서1월7일_3차네고견적(061017-1)" xfId="856" xr:uid="{00000000-0005-0000-0000-000057030000}"/>
    <cellStyle name="1_tree_갑지0601_과천놀이터설계서_설계내역서1월7일_백화점화장실인테리어" xfId="857" xr:uid="{00000000-0005-0000-0000-000058030000}"/>
    <cellStyle name="1_tree_갑지0601_과천놀이터설계서_설계내역서1월7일_백화점화장실인테리어_1차 기성 내역서 0612023" xfId="858" xr:uid="{00000000-0005-0000-0000-000059030000}"/>
    <cellStyle name="1_tree_갑지0601_과천놀이터설계서_설계내역서1월7일_백화점화장실인테리어_3차네고견적(061017-1)" xfId="859" xr:uid="{00000000-0005-0000-0000-00005A030000}"/>
    <cellStyle name="1_tree_갑지0601_과천놀이터설계서_설계내역서1월7일_화명조경" xfId="860" xr:uid="{00000000-0005-0000-0000-00005B030000}"/>
    <cellStyle name="1_tree_갑지0601_과천놀이터설계서_설계내역서1월7일_화명조경_1차 기성 내역서 0612023" xfId="861" xr:uid="{00000000-0005-0000-0000-00005C030000}"/>
    <cellStyle name="1_tree_갑지0601_과천놀이터설계서_설계내역서1월7일_화명조경_3차네고견적(061017-1)" xfId="862" xr:uid="{00000000-0005-0000-0000-00005D030000}"/>
    <cellStyle name="1_tree_갑지0601_과천놀이터설계서_설계내역서1월7일_화명조경_백화점화장실인테리어" xfId="863" xr:uid="{00000000-0005-0000-0000-00005E030000}"/>
    <cellStyle name="1_tree_갑지0601_과천놀이터설계서_설계내역서1월7일_화명조경_백화점화장실인테리어_1차 기성 내역서 0612023" xfId="864" xr:uid="{00000000-0005-0000-0000-00005F030000}"/>
    <cellStyle name="1_tree_갑지0601_과천놀이터설계서_설계내역서1월7일_화명조경_백화점화장실인테리어_3차네고견적(061017-1)" xfId="865" xr:uid="{00000000-0005-0000-0000-000060030000}"/>
    <cellStyle name="1_tree_갑지0601_과천놀이터설계서_화명조경" xfId="866" xr:uid="{00000000-0005-0000-0000-000061030000}"/>
    <cellStyle name="1_tree_갑지0601_과천놀이터설계서_화명조경_1차 기성 내역서 0612023" xfId="867" xr:uid="{00000000-0005-0000-0000-000062030000}"/>
    <cellStyle name="1_tree_갑지0601_과천놀이터설계서_화명조경_3차네고견적(061017-1)" xfId="868" xr:uid="{00000000-0005-0000-0000-000063030000}"/>
    <cellStyle name="1_tree_갑지0601_과천놀이터설계서_화명조경_백화점화장실인테리어" xfId="869" xr:uid="{00000000-0005-0000-0000-000064030000}"/>
    <cellStyle name="1_tree_갑지0601_과천놀이터설계서_화명조경_백화점화장실인테리어_1차 기성 내역서 0612023" xfId="870" xr:uid="{00000000-0005-0000-0000-000065030000}"/>
    <cellStyle name="1_tree_갑지0601_과천놀이터설계서_화명조경_백화점화장실인테리어_3차네고견적(061017-1)" xfId="871" xr:uid="{00000000-0005-0000-0000-000066030000}"/>
    <cellStyle name="1_tree_갑지0601_백화점화장실인테리어" xfId="872" xr:uid="{00000000-0005-0000-0000-000067030000}"/>
    <cellStyle name="1_tree_갑지0601_백화점화장실인테리어_1차 기성 내역서 0612023" xfId="873" xr:uid="{00000000-0005-0000-0000-000068030000}"/>
    <cellStyle name="1_tree_갑지0601_백화점화장실인테리어_3차네고견적(061017-1)" xfId="874" xr:uid="{00000000-0005-0000-0000-000069030000}"/>
    <cellStyle name="1_tree_갑지0601_총괄갑지" xfId="875" xr:uid="{00000000-0005-0000-0000-00006A030000}"/>
    <cellStyle name="1_tree_갑지0601_총괄갑지_1차 기성 내역서 0612023" xfId="876" xr:uid="{00000000-0005-0000-0000-00006B030000}"/>
    <cellStyle name="1_tree_갑지0601_총괄갑지_3차네고견적(061017-1)" xfId="877" xr:uid="{00000000-0005-0000-0000-00006C030000}"/>
    <cellStyle name="1_tree_갑지0601_총괄갑지_백화점화장실인테리어" xfId="878" xr:uid="{00000000-0005-0000-0000-00006D030000}"/>
    <cellStyle name="1_tree_갑지0601_총괄갑지_백화점화장실인테리어_1차 기성 내역서 0612023" xfId="879" xr:uid="{00000000-0005-0000-0000-00006E030000}"/>
    <cellStyle name="1_tree_갑지0601_총괄갑지_백화점화장실인테리어_3차네고견적(061017-1)" xfId="880" xr:uid="{00000000-0005-0000-0000-00006F030000}"/>
    <cellStyle name="1_tree_갑지0601_총괄갑지_설계내역서" xfId="881" xr:uid="{00000000-0005-0000-0000-000070030000}"/>
    <cellStyle name="1_tree_갑지0601_총괄갑지_설계내역서_1차 기성 내역서 0612023" xfId="882" xr:uid="{00000000-0005-0000-0000-000071030000}"/>
    <cellStyle name="1_tree_갑지0601_총괄갑지_설계내역서_3차네고견적(061017-1)" xfId="883" xr:uid="{00000000-0005-0000-0000-000072030000}"/>
    <cellStyle name="1_tree_갑지0601_총괄갑지_설계내역서_백화점화장실인테리어" xfId="884" xr:uid="{00000000-0005-0000-0000-000073030000}"/>
    <cellStyle name="1_tree_갑지0601_총괄갑지_설계내역서_백화점화장실인테리어_1차 기성 내역서 0612023" xfId="885" xr:uid="{00000000-0005-0000-0000-000074030000}"/>
    <cellStyle name="1_tree_갑지0601_총괄갑지_설계내역서_백화점화장실인테리어_3차네고견적(061017-1)" xfId="886" xr:uid="{00000000-0005-0000-0000-000075030000}"/>
    <cellStyle name="1_tree_갑지0601_총괄갑지_설계내역서_화명조경" xfId="887" xr:uid="{00000000-0005-0000-0000-000076030000}"/>
    <cellStyle name="1_tree_갑지0601_총괄갑지_설계내역서_화명조경_1차 기성 내역서 0612023" xfId="888" xr:uid="{00000000-0005-0000-0000-000077030000}"/>
    <cellStyle name="1_tree_갑지0601_총괄갑지_설계내역서_화명조경_3차네고견적(061017-1)" xfId="889" xr:uid="{00000000-0005-0000-0000-000078030000}"/>
    <cellStyle name="1_tree_갑지0601_총괄갑지_설계내역서_화명조경_백화점화장실인테리어" xfId="890" xr:uid="{00000000-0005-0000-0000-000079030000}"/>
    <cellStyle name="1_tree_갑지0601_총괄갑지_설계내역서_화명조경_백화점화장실인테리어_1차 기성 내역서 0612023" xfId="891" xr:uid="{00000000-0005-0000-0000-00007A030000}"/>
    <cellStyle name="1_tree_갑지0601_총괄갑지_설계내역서_화명조경_백화점화장실인테리어_3차네고견적(061017-1)" xfId="892" xr:uid="{00000000-0005-0000-0000-00007B030000}"/>
    <cellStyle name="1_tree_갑지0601_총괄갑지_설계내역서1월7일" xfId="893" xr:uid="{00000000-0005-0000-0000-00007C030000}"/>
    <cellStyle name="1_tree_갑지0601_총괄갑지_설계내역서1월7일_1차 기성 내역서 0612023" xfId="894" xr:uid="{00000000-0005-0000-0000-00007D030000}"/>
    <cellStyle name="1_tree_갑지0601_총괄갑지_설계내역서1월7일_3차네고견적(061017-1)" xfId="895" xr:uid="{00000000-0005-0000-0000-00007E030000}"/>
    <cellStyle name="1_tree_갑지0601_총괄갑지_설계내역서1월7일_백화점화장실인테리어" xfId="896" xr:uid="{00000000-0005-0000-0000-00007F030000}"/>
    <cellStyle name="1_tree_갑지0601_총괄갑지_설계내역서1월7일_백화점화장실인테리어_1차 기성 내역서 0612023" xfId="897" xr:uid="{00000000-0005-0000-0000-000080030000}"/>
    <cellStyle name="1_tree_갑지0601_총괄갑지_설계내역서1월7일_백화점화장실인테리어_3차네고견적(061017-1)" xfId="898" xr:uid="{00000000-0005-0000-0000-000081030000}"/>
    <cellStyle name="1_tree_갑지0601_총괄갑지_설계내역서1월7일_화명조경" xfId="899" xr:uid="{00000000-0005-0000-0000-000082030000}"/>
    <cellStyle name="1_tree_갑지0601_총괄갑지_설계내역서1월7일_화명조경_1차 기성 내역서 0612023" xfId="900" xr:uid="{00000000-0005-0000-0000-000083030000}"/>
    <cellStyle name="1_tree_갑지0601_총괄갑지_설계내역서1월7일_화명조경_3차네고견적(061017-1)" xfId="901" xr:uid="{00000000-0005-0000-0000-000084030000}"/>
    <cellStyle name="1_tree_갑지0601_총괄갑지_설계내역서1월7일_화명조경_백화점화장실인테리어" xfId="902" xr:uid="{00000000-0005-0000-0000-000085030000}"/>
    <cellStyle name="1_tree_갑지0601_총괄갑지_설계내역서1월7일_화명조경_백화점화장실인테리어_1차 기성 내역서 0612023" xfId="903" xr:uid="{00000000-0005-0000-0000-000086030000}"/>
    <cellStyle name="1_tree_갑지0601_총괄갑지_설계내역서1월7일_화명조경_백화점화장실인테리어_3차네고견적(061017-1)" xfId="904" xr:uid="{00000000-0005-0000-0000-000087030000}"/>
    <cellStyle name="1_tree_갑지0601_총괄갑지_화명조경" xfId="905" xr:uid="{00000000-0005-0000-0000-000088030000}"/>
    <cellStyle name="1_tree_갑지0601_총괄갑지_화명조경_1차 기성 내역서 0612023" xfId="906" xr:uid="{00000000-0005-0000-0000-000089030000}"/>
    <cellStyle name="1_tree_갑지0601_총괄갑지_화명조경_3차네고견적(061017-1)" xfId="907" xr:uid="{00000000-0005-0000-0000-00008A030000}"/>
    <cellStyle name="1_tree_갑지0601_총괄갑지_화명조경_백화점화장실인테리어" xfId="908" xr:uid="{00000000-0005-0000-0000-00008B030000}"/>
    <cellStyle name="1_tree_갑지0601_총괄갑지_화명조경_백화점화장실인테리어_1차 기성 내역서 0612023" xfId="909" xr:uid="{00000000-0005-0000-0000-00008C030000}"/>
    <cellStyle name="1_tree_갑지0601_총괄갑지_화명조경_백화점화장실인테리어_3차네고견적(061017-1)" xfId="910" xr:uid="{00000000-0005-0000-0000-00008D030000}"/>
    <cellStyle name="1_tree_갑지0601_총괄내역서" xfId="911" xr:uid="{00000000-0005-0000-0000-00008E030000}"/>
    <cellStyle name="1_tree_갑지0601_총괄내역서_1차 기성 내역서 0612023" xfId="912" xr:uid="{00000000-0005-0000-0000-00008F030000}"/>
    <cellStyle name="1_tree_갑지0601_총괄내역서_3차네고견적(061017-1)" xfId="913" xr:uid="{00000000-0005-0000-0000-000090030000}"/>
    <cellStyle name="1_tree_갑지0601_총괄내역서_백화점화장실인테리어" xfId="914" xr:uid="{00000000-0005-0000-0000-000091030000}"/>
    <cellStyle name="1_tree_갑지0601_총괄내역서_백화점화장실인테리어_1차 기성 내역서 0612023" xfId="915" xr:uid="{00000000-0005-0000-0000-000092030000}"/>
    <cellStyle name="1_tree_갑지0601_총괄내역서_백화점화장실인테리어_3차네고견적(061017-1)" xfId="916" xr:uid="{00000000-0005-0000-0000-000093030000}"/>
    <cellStyle name="1_tree_갑지0601_총괄내역서_설계내역서" xfId="917" xr:uid="{00000000-0005-0000-0000-000094030000}"/>
    <cellStyle name="1_tree_갑지0601_총괄내역서_설계내역서_1차 기성 내역서 0612023" xfId="918" xr:uid="{00000000-0005-0000-0000-000095030000}"/>
    <cellStyle name="1_tree_갑지0601_총괄내역서_설계내역서_3차네고견적(061017-1)" xfId="919" xr:uid="{00000000-0005-0000-0000-000096030000}"/>
    <cellStyle name="1_tree_갑지0601_총괄내역서_설계내역서_백화점화장실인테리어" xfId="920" xr:uid="{00000000-0005-0000-0000-000097030000}"/>
    <cellStyle name="1_tree_갑지0601_총괄내역서_설계내역서_백화점화장실인테리어_1차 기성 내역서 0612023" xfId="921" xr:uid="{00000000-0005-0000-0000-000098030000}"/>
    <cellStyle name="1_tree_갑지0601_총괄내역서_설계내역서_백화점화장실인테리어_3차네고견적(061017-1)" xfId="922" xr:uid="{00000000-0005-0000-0000-000099030000}"/>
    <cellStyle name="1_tree_갑지0601_총괄내역서_설계내역서_화명조경" xfId="923" xr:uid="{00000000-0005-0000-0000-00009A030000}"/>
    <cellStyle name="1_tree_갑지0601_총괄내역서_설계내역서_화명조경_1차 기성 내역서 0612023" xfId="924" xr:uid="{00000000-0005-0000-0000-00009B030000}"/>
    <cellStyle name="1_tree_갑지0601_총괄내역서_설계내역서_화명조경_3차네고견적(061017-1)" xfId="925" xr:uid="{00000000-0005-0000-0000-00009C030000}"/>
    <cellStyle name="1_tree_갑지0601_총괄내역서_설계내역서_화명조경_백화점화장실인테리어" xfId="926" xr:uid="{00000000-0005-0000-0000-00009D030000}"/>
    <cellStyle name="1_tree_갑지0601_총괄내역서_설계내역서_화명조경_백화점화장실인테리어_1차 기성 내역서 0612023" xfId="927" xr:uid="{00000000-0005-0000-0000-00009E030000}"/>
    <cellStyle name="1_tree_갑지0601_총괄내역서_설계내역서_화명조경_백화점화장실인테리어_3차네고견적(061017-1)" xfId="928" xr:uid="{00000000-0005-0000-0000-00009F030000}"/>
    <cellStyle name="1_tree_갑지0601_총괄내역서_설계내역서1월7일" xfId="929" xr:uid="{00000000-0005-0000-0000-0000A0030000}"/>
    <cellStyle name="1_tree_갑지0601_총괄내역서_설계내역서1월7일_1차 기성 내역서 0612023" xfId="930" xr:uid="{00000000-0005-0000-0000-0000A1030000}"/>
    <cellStyle name="1_tree_갑지0601_총괄내역서_설계내역서1월7일_3차네고견적(061017-1)" xfId="931" xr:uid="{00000000-0005-0000-0000-0000A2030000}"/>
    <cellStyle name="1_tree_갑지0601_총괄내역서_설계내역서1월7일_백화점화장실인테리어" xfId="932" xr:uid="{00000000-0005-0000-0000-0000A3030000}"/>
    <cellStyle name="1_tree_갑지0601_총괄내역서_설계내역서1월7일_백화점화장실인테리어_1차 기성 내역서 0612023" xfId="933" xr:uid="{00000000-0005-0000-0000-0000A4030000}"/>
    <cellStyle name="1_tree_갑지0601_총괄내역서_설계내역서1월7일_백화점화장실인테리어_3차네고견적(061017-1)" xfId="934" xr:uid="{00000000-0005-0000-0000-0000A5030000}"/>
    <cellStyle name="1_tree_갑지0601_총괄내역서_설계내역서1월7일_화명조경" xfId="935" xr:uid="{00000000-0005-0000-0000-0000A6030000}"/>
    <cellStyle name="1_tree_갑지0601_총괄내역서_설계내역서1월7일_화명조경_1차 기성 내역서 0612023" xfId="936" xr:uid="{00000000-0005-0000-0000-0000A7030000}"/>
    <cellStyle name="1_tree_갑지0601_총괄내역서_설계내역서1월7일_화명조경_3차네고견적(061017-1)" xfId="937" xr:uid="{00000000-0005-0000-0000-0000A8030000}"/>
    <cellStyle name="1_tree_갑지0601_총괄내역서_설계내역서1월7일_화명조경_백화점화장실인테리어" xfId="938" xr:uid="{00000000-0005-0000-0000-0000A9030000}"/>
    <cellStyle name="1_tree_갑지0601_총괄내역서_설계내역서1월7일_화명조경_백화점화장실인테리어_1차 기성 내역서 0612023" xfId="939" xr:uid="{00000000-0005-0000-0000-0000AA030000}"/>
    <cellStyle name="1_tree_갑지0601_총괄내역서_설계내역서1월7일_화명조경_백화점화장실인테리어_3차네고견적(061017-1)" xfId="940" xr:uid="{00000000-0005-0000-0000-0000AB030000}"/>
    <cellStyle name="1_tree_갑지0601_총괄내역서_화명조경" xfId="941" xr:uid="{00000000-0005-0000-0000-0000AC030000}"/>
    <cellStyle name="1_tree_갑지0601_총괄내역서_화명조경_1차 기성 내역서 0612023" xfId="942" xr:uid="{00000000-0005-0000-0000-0000AD030000}"/>
    <cellStyle name="1_tree_갑지0601_총괄내역서_화명조경_3차네고견적(061017-1)" xfId="943" xr:uid="{00000000-0005-0000-0000-0000AE030000}"/>
    <cellStyle name="1_tree_갑지0601_총괄내역서_화명조경_백화점화장실인테리어" xfId="944" xr:uid="{00000000-0005-0000-0000-0000AF030000}"/>
    <cellStyle name="1_tree_갑지0601_총괄내역서_화명조경_백화점화장실인테리어_1차 기성 내역서 0612023" xfId="945" xr:uid="{00000000-0005-0000-0000-0000B0030000}"/>
    <cellStyle name="1_tree_갑지0601_총괄내역서_화명조경_백화점화장실인테리어_3차네고견적(061017-1)" xfId="946" xr:uid="{00000000-0005-0000-0000-0000B1030000}"/>
    <cellStyle name="1_tree_갑지0601_화명조경" xfId="947" xr:uid="{00000000-0005-0000-0000-0000B2030000}"/>
    <cellStyle name="1_tree_갑지0601_화명조경_1차 기성 내역서 0612023" xfId="948" xr:uid="{00000000-0005-0000-0000-0000B3030000}"/>
    <cellStyle name="1_tree_갑지0601_화명조경_3차네고견적(061017-1)" xfId="949" xr:uid="{00000000-0005-0000-0000-0000B4030000}"/>
    <cellStyle name="1_tree_갑지0601_화명조경_백화점화장실인테리어" xfId="950" xr:uid="{00000000-0005-0000-0000-0000B5030000}"/>
    <cellStyle name="1_tree_갑지0601_화명조경_백화점화장실인테리어_1차 기성 내역서 0612023" xfId="951" xr:uid="{00000000-0005-0000-0000-0000B6030000}"/>
    <cellStyle name="1_tree_갑지0601_화명조경_백화점화장실인테리어_3차네고견적(061017-1)" xfId="952" xr:uid="{00000000-0005-0000-0000-0000B7030000}"/>
    <cellStyle name="1_tree_남해총괄표" xfId="953" xr:uid="{00000000-0005-0000-0000-0000B8030000}"/>
    <cellStyle name="1_tree_남해총괄표_1차 기성 내역서 0612023" xfId="954" xr:uid="{00000000-0005-0000-0000-0000B9030000}"/>
    <cellStyle name="1_tree_남해총괄표_3차네고견적(061017-1)" xfId="955" xr:uid="{00000000-0005-0000-0000-0000BA030000}"/>
    <cellStyle name="1_tree_남해총괄표_백화점화장실인테리어" xfId="956" xr:uid="{00000000-0005-0000-0000-0000BB030000}"/>
    <cellStyle name="1_tree_남해총괄표_백화점화장실인테리어_1차 기성 내역서 0612023" xfId="957" xr:uid="{00000000-0005-0000-0000-0000BC030000}"/>
    <cellStyle name="1_tree_남해총괄표_백화점화장실인테리어_3차네고견적(061017-1)" xfId="958" xr:uid="{00000000-0005-0000-0000-0000BD030000}"/>
    <cellStyle name="1_tree_남해총괄표_설계내역서" xfId="959" xr:uid="{00000000-0005-0000-0000-0000BE030000}"/>
    <cellStyle name="1_tree_남해총괄표_설계내역서_1차 기성 내역서 0612023" xfId="960" xr:uid="{00000000-0005-0000-0000-0000BF030000}"/>
    <cellStyle name="1_tree_남해총괄표_설계내역서_3차네고견적(061017-1)" xfId="961" xr:uid="{00000000-0005-0000-0000-0000C0030000}"/>
    <cellStyle name="1_tree_남해총괄표_설계내역서_백화점화장실인테리어" xfId="962" xr:uid="{00000000-0005-0000-0000-0000C1030000}"/>
    <cellStyle name="1_tree_남해총괄표_설계내역서_백화점화장실인테리어_1차 기성 내역서 0612023" xfId="963" xr:uid="{00000000-0005-0000-0000-0000C2030000}"/>
    <cellStyle name="1_tree_남해총괄표_설계내역서_백화점화장실인테리어_3차네고견적(061017-1)" xfId="964" xr:uid="{00000000-0005-0000-0000-0000C3030000}"/>
    <cellStyle name="1_tree_남해총괄표_설계내역서_화명조경" xfId="965" xr:uid="{00000000-0005-0000-0000-0000C4030000}"/>
    <cellStyle name="1_tree_남해총괄표_설계내역서_화명조경_1차 기성 내역서 0612023" xfId="966" xr:uid="{00000000-0005-0000-0000-0000C5030000}"/>
    <cellStyle name="1_tree_남해총괄표_설계내역서_화명조경_3차네고견적(061017-1)" xfId="967" xr:uid="{00000000-0005-0000-0000-0000C6030000}"/>
    <cellStyle name="1_tree_남해총괄표_설계내역서_화명조경_백화점화장실인테리어" xfId="968" xr:uid="{00000000-0005-0000-0000-0000C7030000}"/>
    <cellStyle name="1_tree_남해총괄표_설계내역서_화명조경_백화점화장실인테리어_1차 기성 내역서 0612023" xfId="969" xr:uid="{00000000-0005-0000-0000-0000C8030000}"/>
    <cellStyle name="1_tree_남해총괄표_설계내역서_화명조경_백화점화장실인테리어_3차네고견적(061017-1)" xfId="970" xr:uid="{00000000-0005-0000-0000-0000C9030000}"/>
    <cellStyle name="1_tree_남해총괄표_설계내역서1월7일" xfId="971" xr:uid="{00000000-0005-0000-0000-0000CA030000}"/>
    <cellStyle name="1_tree_남해총괄표_설계내역서1월7일_1차 기성 내역서 0612023" xfId="972" xr:uid="{00000000-0005-0000-0000-0000CB030000}"/>
    <cellStyle name="1_tree_남해총괄표_설계내역서1월7일_3차네고견적(061017-1)" xfId="973" xr:uid="{00000000-0005-0000-0000-0000CC030000}"/>
    <cellStyle name="1_tree_남해총괄표_설계내역서1월7일_백화점화장실인테리어" xfId="974" xr:uid="{00000000-0005-0000-0000-0000CD030000}"/>
    <cellStyle name="1_tree_남해총괄표_설계내역서1월7일_백화점화장실인테리어_1차 기성 내역서 0612023" xfId="975" xr:uid="{00000000-0005-0000-0000-0000CE030000}"/>
    <cellStyle name="1_tree_남해총괄표_설계내역서1월7일_백화점화장실인테리어_3차네고견적(061017-1)" xfId="976" xr:uid="{00000000-0005-0000-0000-0000CF030000}"/>
    <cellStyle name="1_tree_남해총괄표_설계내역서1월7일_화명조경" xfId="977" xr:uid="{00000000-0005-0000-0000-0000D0030000}"/>
    <cellStyle name="1_tree_남해총괄표_설계내역서1월7일_화명조경_1차 기성 내역서 0612023" xfId="978" xr:uid="{00000000-0005-0000-0000-0000D1030000}"/>
    <cellStyle name="1_tree_남해총괄표_설계내역서1월7일_화명조경_3차네고견적(061017-1)" xfId="979" xr:uid="{00000000-0005-0000-0000-0000D2030000}"/>
    <cellStyle name="1_tree_남해총괄표_설계내역서1월7일_화명조경_백화점화장실인테리어" xfId="980" xr:uid="{00000000-0005-0000-0000-0000D3030000}"/>
    <cellStyle name="1_tree_남해총괄표_설계내역서1월7일_화명조경_백화점화장실인테리어_1차 기성 내역서 0612023" xfId="981" xr:uid="{00000000-0005-0000-0000-0000D4030000}"/>
    <cellStyle name="1_tree_남해총괄표_설계내역서1월7일_화명조경_백화점화장실인테리어_3차네고견적(061017-1)" xfId="982" xr:uid="{00000000-0005-0000-0000-0000D5030000}"/>
    <cellStyle name="1_tree_남해총괄표_화명조경" xfId="983" xr:uid="{00000000-0005-0000-0000-0000D6030000}"/>
    <cellStyle name="1_tree_남해총괄표_화명조경_1차 기성 내역서 0612023" xfId="984" xr:uid="{00000000-0005-0000-0000-0000D7030000}"/>
    <cellStyle name="1_tree_남해총괄표_화명조경_3차네고견적(061017-1)" xfId="985" xr:uid="{00000000-0005-0000-0000-0000D8030000}"/>
    <cellStyle name="1_tree_남해총괄표_화명조경_백화점화장실인테리어" xfId="986" xr:uid="{00000000-0005-0000-0000-0000D9030000}"/>
    <cellStyle name="1_tree_남해총괄표_화명조경_백화점화장실인테리어_1차 기성 내역서 0612023" xfId="987" xr:uid="{00000000-0005-0000-0000-0000DA030000}"/>
    <cellStyle name="1_tree_남해총괄표_화명조경_백화점화장실인테리어_3차네고견적(061017-1)" xfId="988" xr:uid="{00000000-0005-0000-0000-0000DB030000}"/>
    <cellStyle name="1_tree_마운딩수량" xfId="989" xr:uid="{00000000-0005-0000-0000-0000DC030000}"/>
    <cellStyle name="1_tree_마운딩수량_1차 기성 내역서 0612023" xfId="990" xr:uid="{00000000-0005-0000-0000-0000DD030000}"/>
    <cellStyle name="1_tree_마운딩수량_3차네고견적(061017-1)" xfId="991" xr:uid="{00000000-0005-0000-0000-0000DE030000}"/>
    <cellStyle name="1_tree_마운딩수량_갑지0601" xfId="992" xr:uid="{00000000-0005-0000-0000-0000DF030000}"/>
    <cellStyle name="1_tree_마운딩수량_갑지0601_00갑지" xfId="993" xr:uid="{00000000-0005-0000-0000-0000E0030000}"/>
    <cellStyle name="1_tree_마운딩수량_갑지0601_00갑지_1차 기성 내역서 0612023" xfId="994" xr:uid="{00000000-0005-0000-0000-0000E1030000}"/>
    <cellStyle name="1_tree_마운딩수량_갑지0601_00갑지_3차네고견적(061017-1)" xfId="995" xr:uid="{00000000-0005-0000-0000-0000E2030000}"/>
    <cellStyle name="1_tree_마운딩수량_갑지0601_00갑지_백화점화장실인테리어" xfId="996" xr:uid="{00000000-0005-0000-0000-0000E3030000}"/>
    <cellStyle name="1_tree_마운딩수량_갑지0601_00갑지_백화점화장실인테리어_1차 기성 내역서 0612023" xfId="997" xr:uid="{00000000-0005-0000-0000-0000E4030000}"/>
    <cellStyle name="1_tree_마운딩수량_갑지0601_00갑지_백화점화장실인테리어_3차네고견적(061017-1)" xfId="998" xr:uid="{00000000-0005-0000-0000-0000E5030000}"/>
    <cellStyle name="1_tree_마운딩수량_갑지0601_00갑지_설계내역서" xfId="999" xr:uid="{00000000-0005-0000-0000-0000E6030000}"/>
    <cellStyle name="1_tree_마운딩수량_갑지0601_00갑지_설계내역서_1차 기성 내역서 0612023" xfId="1000" xr:uid="{00000000-0005-0000-0000-0000E7030000}"/>
    <cellStyle name="1_tree_마운딩수량_갑지0601_00갑지_설계내역서_3차네고견적(061017-1)" xfId="1001" xr:uid="{00000000-0005-0000-0000-0000E8030000}"/>
    <cellStyle name="1_tree_마운딩수량_갑지0601_00갑지_설계내역서_백화점화장실인테리어" xfId="1002" xr:uid="{00000000-0005-0000-0000-0000E9030000}"/>
    <cellStyle name="1_tree_마운딩수량_갑지0601_00갑지_설계내역서_백화점화장실인테리어_1차 기성 내역서 0612023" xfId="1003" xr:uid="{00000000-0005-0000-0000-0000EA030000}"/>
    <cellStyle name="1_tree_마운딩수량_갑지0601_00갑지_설계내역서_백화점화장실인테리어_3차네고견적(061017-1)" xfId="1004" xr:uid="{00000000-0005-0000-0000-0000EB030000}"/>
    <cellStyle name="1_tree_마운딩수량_갑지0601_00갑지_설계내역서_화명조경" xfId="1005" xr:uid="{00000000-0005-0000-0000-0000EC030000}"/>
    <cellStyle name="1_tree_마운딩수량_갑지0601_00갑지_설계내역서_화명조경_1차 기성 내역서 0612023" xfId="1006" xr:uid="{00000000-0005-0000-0000-0000ED030000}"/>
    <cellStyle name="1_tree_마운딩수량_갑지0601_00갑지_설계내역서_화명조경_3차네고견적(061017-1)" xfId="1007" xr:uid="{00000000-0005-0000-0000-0000EE030000}"/>
    <cellStyle name="1_tree_마운딩수량_갑지0601_00갑지_설계내역서_화명조경_백화점화장실인테리어" xfId="1008" xr:uid="{00000000-0005-0000-0000-0000EF030000}"/>
    <cellStyle name="1_tree_마운딩수량_갑지0601_00갑지_설계내역서_화명조경_백화점화장실인테리어_1차 기성 내역서 0612023" xfId="1009" xr:uid="{00000000-0005-0000-0000-0000F0030000}"/>
    <cellStyle name="1_tree_마운딩수량_갑지0601_00갑지_설계내역서_화명조경_백화점화장실인테리어_3차네고견적(061017-1)" xfId="1010" xr:uid="{00000000-0005-0000-0000-0000F1030000}"/>
    <cellStyle name="1_tree_마운딩수량_갑지0601_00갑지_설계내역서1월7일" xfId="1011" xr:uid="{00000000-0005-0000-0000-0000F2030000}"/>
    <cellStyle name="1_tree_마운딩수량_갑지0601_00갑지_설계내역서1월7일_1차 기성 내역서 0612023" xfId="1012" xr:uid="{00000000-0005-0000-0000-0000F3030000}"/>
    <cellStyle name="1_tree_마운딩수량_갑지0601_00갑지_설계내역서1월7일_3차네고견적(061017-1)" xfId="1013" xr:uid="{00000000-0005-0000-0000-0000F4030000}"/>
    <cellStyle name="1_tree_마운딩수량_갑지0601_00갑지_설계내역서1월7일_백화점화장실인테리어" xfId="1014" xr:uid="{00000000-0005-0000-0000-0000F5030000}"/>
    <cellStyle name="1_tree_마운딩수량_갑지0601_00갑지_설계내역서1월7일_백화점화장실인테리어_1차 기성 내역서 0612023" xfId="1015" xr:uid="{00000000-0005-0000-0000-0000F6030000}"/>
    <cellStyle name="1_tree_마운딩수량_갑지0601_00갑지_설계내역서1월7일_백화점화장실인테리어_3차네고견적(061017-1)" xfId="1016" xr:uid="{00000000-0005-0000-0000-0000F7030000}"/>
    <cellStyle name="1_tree_마운딩수량_갑지0601_00갑지_설계내역서1월7일_화명조경" xfId="1017" xr:uid="{00000000-0005-0000-0000-0000F8030000}"/>
    <cellStyle name="1_tree_마운딩수량_갑지0601_00갑지_설계내역서1월7일_화명조경_1차 기성 내역서 0612023" xfId="1018" xr:uid="{00000000-0005-0000-0000-0000F9030000}"/>
    <cellStyle name="1_tree_마운딩수량_갑지0601_00갑지_설계내역서1월7일_화명조경_3차네고견적(061017-1)" xfId="1019" xr:uid="{00000000-0005-0000-0000-0000FA030000}"/>
    <cellStyle name="1_tree_마운딩수량_갑지0601_00갑지_설계내역서1월7일_화명조경_백화점화장실인테리어" xfId="1020" xr:uid="{00000000-0005-0000-0000-0000FB030000}"/>
    <cellStyle name="1_tree_마운딩수량_갑지0601_00갑지_설계내역서1월7일_화명조경_백화점화장실인테리어_1차 기성 내역서 0612023" xfId="1021" xr:uid="{00000000-0005-0000-0000-0000FC030000}"/>
    <cellStyle name="1_tree_마운딩수량_갑지0601_00갑지_설계내역서1월7일_화명조경_백화점화장실인테리어_3차네고견적(061017-1)" xfId="1022" xr:uid="{00000000-0005-0000-0000-0000FD030000}"/>
    <cellStyle name="1_tree_마운딩수량_갑지0601_00갑지_화명조경" xfId="1023" xr:uid="{00000000-0005-0000-0000-0000FE030000}"/>
    <cellStyle name="1_tree_마운딩수량_갑지0601_00갑지_화명조경_1차 기성 내역서 0612023" xfId="1024" xr:uid="{00000000-0005-0000-0000-0000FF030000}"/>
    <cellStyle name="1_tree_마운딩수량_갑지0601_00갑지_화명조경_3차네고견적(061017-1)" xfId="1025" xr:uid="{00000000-0005-0000-0000-000000040000}"/>
    <cellStyle name="1_tree_마운딩수량_갑지0601_00갑지_화명조경_백화점화장실인테리어" xfId="1026" xr:uid="{00000000-0005-0000-0000-000001040000}"/>
    <cellStyle name="1_tree_마운딩수량_갑지0601_00갑지_화명조경_백화점화장실인테리어_1차 기성 내역서 0612023" xfId="1027" xr:uid="{00000000-0005-0000-0000-000002040000}"/>
    <cellStyle name="1_tree_마운딩수량_갑지0601_00갑지_화명조경_백화점화장실인테리어_3차네고견적(061017-1)" xfId="1028" xr:uid="{00000000-0005-0000-0000-000003040000}"/>
    <cellStyle name="1_tree_마운딩수량_갑지0601_1차 기성 내역서 0612023" xfId="1029" xr:uid="{00000000-0005-0000-0000-000004040000}"/>
    <cellStyle name="1_tree_마운딩수량_갑지0601_3차네고견적(061017-1)" xfId="1030" xr:uid="{00000000-0005-0000-0000-000005040000}"/>
    <cellStyle name="1_tree_마운딩수량_갑지0601_과천놀이터설계서" xfId="1031" xr:uid="{00000000-0005-0000-0000-000006040000}"/>
    <cellStyle name="1_tree_마운딩수량_갑지0601_과천놀이터설계서_1차 기성 내역서 0612023" xfId="1032" xr:uid="{00000000-0005-0000-0000-000007040000}"/>
    <cellStyle name="1_tree_마운딩수량_갑지0601_과천놀이터설계서_3차네고견적(061017-1)" xfId="1033" xr:uid="{00000000-0005-0000-0000-000008040000}"/>
    <cellStyle name="1_tree_마운딩수량_갑지0601_과천놀이터설계서_백화점화장실인테리어" xfId="1034" xr:uid="{00000000-0005-0000-0000-000009040000}"/>
    <cellStyle name="1_tree_마운딩수량_갑지0601_과천놀이터설계서_백화점화장실인테리어_1차 기성 내역서 0612023" xfId="1035" xr:uid="{00000000-0005-0000-0000-00000A040000}"/>
    <cellStyle name="1_tree_마운딩수량_갑지0601_과천놀이터설계서_백화점화장실인테리어_3차네고견적(061017-1)" xfId="1036" xr:uid="{00000000-0005-0000-0000-00000B040000}"/>
    <cellStyle name="1_tree_마운딩수량_갑지0601_과천놀이터설계서_설계내역서" xfId="1037" xr:uid="{00000000-0005-0000-0000-00000C040000}"/>
    <cellStyle name="1_tree_마운딩수량_갑지0601_과천놀이터설계서_설계내역서_1차 기성 내역서 0612023" xfId="1038" xr:uid="{00000000-0005-0000-0000-00000D040000}"/>
    <cellStyle name="1_tree_마운딩수량_갑지0601_과천놀이터설계서_설계내역서_3차네고견적(061017-1)" xfId="1039" xr:uid="{00000000-0005-0000-0000-00000E040000}"/>
    <cellStyle name="1_tree_마운딩수량_갑지0601_과천놀이터설계서_설계내역서_백화점화장실인테리어" xfId="1040" xr:uid="{00000000-0005-0000-0000-00000F040000}"/>
    <cellStyle name="1_tree_마운딩수량_갑지0601_과천놀이터설계서_설계내역서_백화점화장실인테리어_1차 기성 내역서 0612023" xfId="1041" xr:uid="{00000000-0005-0000-0000-000010040000}"/>
    <cellStyle name="1_tree_마운딩수량_갑지0601_과천놀이터설계서_설계내역서_백화점화장실인테리어_3차네고견적(061017-1)" xfId="1042" xr:uid="{00000000-0005-0000-0000-000011040000}"/>
    <cellStyle name="1_tree_마운딩수량_갑지0601_과천놀이터설계서_설계내역서_화명조경" xfId="1043" xr:uid="{00000000-0005-0000-0000-000012040000}"/>
    <cellStyle name="1_tree_마운딩수량_갑지0601_과천놀이터설계서_설계내역서_화명조경_1차 기성 내역서 0612023" xfId="1044" xr:uid="{00000000-0005-0000-0000-000013040000}"/>
    <cellStyle name="1_tree_마운딩수량_갑지0601_과천놀이터설계서_설계내역서_화명조경_3차네고견적(061017-1)" xfId="1045" xr:uid="{00000000-0005-0000-0000-000014040000}"/>
    <cellStyle name="1_tree_마운딩수량_갑지0601_과천놀이터설계서_설계내역서_화명조경_백화점화장실인테리어" xfId="1046" xr:uid="{00000000-0005-0000-0000-000015040000}"/>
    <cellStyle name="1_tree_마운딩수량_갑지0601_과천놀이터설계서_설계내역서_화명조경_백화점화장실인테리어_1차 기성 내역서 0612023" xfId="1047" xr:uid="{00000000-0005-0000-0000-000016040000}"/>
    <cellStyle name="1_tree_마운딩수량_갑지0601_과천놀이터설계서_설계내역서_화명조경_백화점화장실인테리어_3차네고견적(061017-1)" xfId="1048" xr:uid="{00000000-0005-0000-0000-000017040000}"/>
    <cellStyle name="1_tree_마운딩수량_갑지0601_과천놀이터설계서_설계내역서1월7일" xfId="1049" xr:uid="{00000000-0005-0000-0000-000018040000}"/>
    <cellStyle name="1_tree_마운딩수량_갑지0601_과천놀이터설계서_설계내역서1월7일_1차 기성 내역서 0612023" xfId="1050" xr:uid="{00000000-0005-0000-0000-000019040000}"/>
    <cellStyle name="1_tree_마운딩수량_갑지0601_과천놀이터설계서_설계내역서1월7일_3차네고견적(061017-1)" xfId="1051" xr:uid="{00000000-0005-0000-0000-00001A040000}"/>
    <cellStyle name="1_tree_마운딩수량_갑지0601_과천놀이터설계서_설계내역서1월7일_백화점화장실인테리어" xfId="1052" xr:uid="{00000000-0005-0000-0000-00001B040000}"/>
    <cellStyle name="1_tree_마운딩수량_갑지0601_과천놀이터설계서_설계내역서1월7일_백화점화장실인테리어_1차 기성 내역서 0612023" xfId="1053" xr:uid="{00000000-0005-0000-0000-00001C040000}"/>
    <cellStyle name="1_tree_마운딩수량_갑지0601_과천놀이터설계서_설계내역서1월7일_백화점화장실인테리어_3차네고견적(061017-1)" xfId="1054" xr:uid="{00000000-0005-0000-0000-00001D040000}"/>
    <cellStyle name="1_tree_마운딩수량_갑지0601_과천놀이터설계서_설계내역서1월7일_화명조경" xfId="1055" xr:uid="{00000000-0005-0000-0000-00001E040000}"/>
    <cellStyle name="1_tree_마운딩수량_갑지0601_과천놀이터설계서_설계내역서1월7일_화명조경_1차 기성 내역서 0612023" xfId="1056" xr:uid="{00000000-0005-0000-0000-00001F040000}"/>
    <cellStyle name="1_tree_마운딩수량_갑지0601_과천놀이터설계서_설계내역서1월7일_화명조경_3차네고견적(061017-1)" xfId="1057" xr:uid="{00000000-0005-0000-0000-000020040000}"/>
    <cellStyle name="1_tree_마운딩수량_갑지0601_과천놀이터설계서_설계내역서1월7일_화명조경_백화점화장실인테리어" xfId="1058" xr:uid="{00000000-0005-0000-0000-000021040000}"/>
    <cellStyle name="1_tree_마운딩수량_갑지0601_과천놀이터설계서_설계내역서1월7일_화명조경_백화점화장실인테리어_1차 기성 내역서 0612023" xfId="1059" xr:uid="{00000000-0005-0000-0000-000022040000}"/>
    <cellStyle name="1_tree_마운딩수량_갑지0601_과천놀이터설계서_설계내역서1월7일_화명조경_백화점화장실인테리어_3차네고견적(061017-1)" xfId="1060" xr:uid="{00000000-0005-0000-0000-000023040000}"/>
    <cellStyle name="1_tree_마운딩수량_갑지0601_과천놀이터설계서_화명조경" xfId="1061" xr:uid="{00000000-0005-0000-0000-000024040000}"/>
    <cellStyle name="1_tree_마운딩수량_갑지0601_과천놀이터설계서_화명조경_1차 기성 내역서 0612023" xfId="1062" xr:uid="{00000000-0005-0000-0000-000025040000}"/>
    <cellStyle name="1_tree_마운딩수량_갑지0601_과천놀이터설계서_화명조경_3차네고견적(061017-1)" xfId="1063" xr:uid="{00000000-0005-0000-0000-000026040000}"/>
    <cellStyle name="1_tree_마운딩수량_갑지0601_과천놀이터설계서_화명조경_백화점화장실인테리어" xfId="1064" xr:uid="{00000000-0005-0000-0000-000027040000}"/>
    <cellStyle name="1_tree_마운딩수량_갑지0601_과천놀이터설계서_화명조경_백화점화장실인테리어_1차 기성 내역서 0612023" xfId="1065" xr:uid="{00000000-0005-0000-0000-000028040000}"/>
    <cellStyle name="1_tree_마운딩수량_갑지0601_과천놀이터설계서_화명조경_백화점화장실인테리어_3차네고견적(061017-1)" xfId="1066" xr:uid="{00000000-0005-0000-0000-000029040000}"/>
    <cellStyle name="1_tree_마운딩수량_갑지0601_백화점화장실인테리어" xfId="1067" xr:uid="{00000000-0005-0000-0000-00002A040000}"/>
    <cellStyle name="1_tree_마운딩수량_갑지0601_백화점화장실인테리어_1차 기성 내역서 0612023" xfId="1068" xr:uid="{00000000-0005-0000-0000-00002B040000}"/>
    <cellStyle name="1_tree_마운딩수량_갑지0601_백화점화장실인테리어_3차네고견적(061017-1)" xfId="1069" xr:uid="{00000000-0005-0000-0000-00002C040000}"/>
    <cellStyle name="1_tree_마운딩수량_갑지0601_총괄갑지" xfId="1070" xr:uid="{00000000-0005-0000-0000-00002D040000}"/>
    <cellStyle name="1_tree_마운딩수량_갑지0601_총괄갑지_1차 기성 내역서 0612023" xfId="1071" xr:uid="{00000000-0005-0000-0000-00002E040000}"/>
    <cellStyle name="1_tree_마운딩수량_갑지0601_총괄갑지_3차네고견적(061017-1)" xfId="1072" xr:uid="{00000000-0005-0000-0000-00002F040000}"/>
    <cellStyle name="1_tree_마운딩수량_갑지0601_총괄갑지_백화점화장실인테리어" xfId="1073" xr:uid="{00000000-0005-0000-0000-000030040000}"/>
    <cellStyle name="1_tree_마운딩수량_갑지0601_총괄갑지_백화점화장실인테리어_1차 기성 내역서 0612023" xfId="1074" xr:uid="{00000000-0005-0000-0000-000031040000}"/>
    <cellStyle name="1_tree_마운딩수량_갑지0601_총괄갑지_백화점화장실인테리어_3차네고견적(061017-1)" xfId="1075" xr:uid="{00000000-0005-0000-0000-000032040000}"/>
    <cellStyle name="1_tree_마운딩수량_갑지0601_총괄갑지_설계내역서" xfId="1076" xr:uid="{00000000-0005-0000-0000-000033040000}"/>
    <cellStyle name="1_tree_마운딩수량_갑지0601_총괄갑지_설계내역서_1차 기성 내역서 0612023" xfId="1077" xr:uid="{00000000-0005-0000-0000-000034040000}"/>
    <cellStyle name="1_tree_마운딩수량_갑지0601_총괄갑지_설계내역서_3차네고견적(061017-1)" xfId="1078" xr:uid="{00000000-0005-0000-0000-000035040000}"/>
    <cellStyle name="1_tree_마운딩수량_갑지0601_총괄갑지_설계내역서_백화점화장실인테리어" xfId="1079" xr:uid="{00000000-0005-0000-0000-000036040000}"/>
    <cellStyle name="1_tree_마운딩수량_갑지0601_총괄갑지_설계내역서_백화점화장실인테리어_1차 기성 내역서 0612023" xfId="1080" xr:uid="{00000000-0005-0000-0000-000037040000}"/>
    <cellStyle name="1_tree_마운딩수량_갑지0601_총괄갑지_설계내역서_백화점화장실인테리어_3차네고견적(061017-1)" xfId="1081" xr:uid="{00000000-0005-0000-0000-000038040000}"/>
    <cellStyle name="1_tree_마운딩수량_갑지0601_총괄갑지_설계내역서_화명조경" xfId="1082" xr:uid="{00000000-0005-0000-0000-000039040000}"/>
    <cellStyle name="1_tree_마운딩수량_갑지0601_총괄갑지_설계내역서_화명조경_1차 기성 내역서 0612023" xfId="1083" xr:uid="{00000000-0005-0000-0000-00003A040000}"/>
    <cellStyle name="1_tree_마운딩수량_갑지0601_총괄갑지_설계내역서_화명조경_3차네고견적(061017-1)" xfId="1084" xr:uid="{00000000-0005-0000-0000-00003B040000}"/>
    <cellStyle name="1_tree_마운딩수량_갑지0601_총괄갑지_설계내역서_화명조경_백화점화장실인테리어" xfId="1085" xr:uid="{00000000-0005-0000-0000-00003C040000}"/>
    <cellStyle name="1_tree_마운딩수량_갑지0601_총괄갑지_설계내역서_화명조경_백화점화장실인테리어_1차 기성 내역서 0612023" xfId="1086" xr:uid="{00000000-0005-0000-0000-00003D040000}"/>
    <cellStyle name="1_tree_마운딩수량_갑지0601_총괄갑지_설계내역서_화명조경_백화점화장실인테리어_3차네고견적(061017-1)" xfId="1087" xr:uid="{00000000-0005-0000-0000-00003E040000}"/>
    <cellStyle name="1_tree_마운딩수량_갑지0601_총괄갑지_설계내역서1월7일" xfId="1088" xr:uid="{00000000-0005-0000-0000-00003F040000}"/>
    <cellStyle name="1_tree_마운딩수량_갑지0601_총괄갑지_설계내역서1월7일_1차 기성 내역서 0612023" xfId="1089" xr:uid="{00000000-0005-0000-0000-000040040000}"/>
    <cellStyle name="1_tree_마운딩수량_갑지0601_총괄갑지_설계내역서1월7일_3차네고견적(061017-1)" xfId="1090" xr:uid="{00000000-0005-0000-0000-000041040000}"/>
    <cellStyle name="1_tree_마운딩수량_갑지0601_총괄갑지_설계내역서1월7일_백화점화장실인테리어" xfId="1091" xr:uid="{00000000-0005-0000-0000-000042040000}"/>
    <cellStyle name="1_tree_마운딩수량_갑지0601_총괄갑지_설계내역서1월7일_백화점화장실인테리어_1차 기성 내역서 0612023" xfId="1092" xr:uid="{00000000-0005-0000-0000-000043040000}"/>
    <cellStyle name="1_tree_마운딩수량_갑지0601_총괄갑지_설계내역서1월7일_백화점화장실인테리어_3차네고견적(061017-1)" xfId="1093" xr:uid="{00000000-0005-0000-0000-000044040000}"/>
    <cellStyle name="1_tree_마운딩수량_갑지0601_총괄갑지_설계내역서1월7일_화명조경" xfId="1094" xr:uid="{00000000-0005-0000-0000-000045040000}"/>
    <cellStyle name="1_tree_마운딩수량_갑지0601_총괄갑지_설계내역서1월7일_화명조경_1차 기성 내역서 0612023" xfId="1095" xr:uid="{00000000-0005-0000-0000-000046040000}"/>
    <cellStyle name="1_tree_마운딩수량_갑지0601_총괄갑지_설계내역서1월7일_화명조경_3차네고견적(061017-1)" xfId="1096" xr:uid="{00000000-0005-0000-0000-000047040000}"/>
    <cellStyle name="1_tree_마운딩수량_갑지0601_총괄갑지_설계내역서1월7일_화명조경_백화점화장실인테리어" xfId="1097" xr:uid="{00000000-0005-0000-0000-000048040000}"/>
    <cellStyle name="1_tree_마운딩수량_갑지0601_총괄갑지_설계내역서1월7일_화명조경_백화점화장실인테리어_1차 기성 내역서 0612023" xfId="1098" xr:uid="{00000000-0005-0000-0000-000049040000}"/>
    <cellStyle name="1_tree_마운딩수량_갑지0601_총괄갑지_설계내역서1월7일_화명조경_백화점화장실인테리어_3차네고견적(061017-1)" xfId="1099" xr:uid="{00000000-0005-0000-0000-00004A040000}"/>
    <cellStyle name="1_tree_마운딩수량_갑지0601_총괄갑지_화명조경" xfId="1100" xr:uid="{00000000-0005-0000-0000-00004B040000}"/>
    <cellStyle name="1_tree_마운딩수량_갑지0601_총괄갑지_화명조경_1차 기성 내역서 0612023" xfId="1101" xr:uid="{00000000-0005-0000-0000-00004C040000}"/>
    <cellStyle name="1_tree_마운딩수량_갑지0601_총괄갑지_화명조경_3차네고견적(061017-1)" xfId="1102" xr:uid="{00000000-0005-0000-0000-00004D040000}"/>
    <cellStyle name="1_tree_마운딩수량_갑지0601_총괄갑지_화명조경_백화점화장실인테리어" xfId="1103" xr:uid="{00000000-0005-0000-0000-00004E040000}"/>
    <cellStyle name="1_tree_마운딩수량_갑지0601_총괄갑지_화명조경_백화점화장실인테리어_1차 기성 내역서 0612023" xfId="1104" xr:uid="{00000000-0005-0000-0000-00004F040000}"/>
    <cellStyle name="1_tree_마운딩수량_갑지0601_총괄갑지_화명조경_백화점화장실인테리어_3차네고견적(061017-1)" xfId="1105" xr:uid="{00000000-0005-0000-0000-000050040000}"/>
    <cellStyle name="1_tree_마운딩수량_갑지0601_총괄내역서" xfId="1106" xr:uid="{00000000-0005-0000-0000-000051040000}"/>
    <cellStyle name="1_tree_마운딩수량_갑지0601_총괄내역서_1차 기성 내역서 0612023" xfId="1107" xr:uid="{00000000-0005-0000-0000-000052040000}"/>
    <cellStyle name="1_tree_마운딩수량_갑지0601_총괄내역서_3차네고견적(061017-1)" xfId="1108" xr:uid="{00000000-0005-0000-0000-000053040000}"/>
    <cellStyle name="1_tree_마운딩수량_갑지0601_총괄내역서_백화점화장실인테리어" xfId="1109" xr:uid="{00000000-0005-0000-0000-000054040000}"/>
    <cellStyle name="1_tree_마운딩수량_갑지0601_총괄내역서_백화점화장실인테리어_1차 기성 내역서 0612023" xfId="1110" xr:uid="{00000000-0005-0000-0000-000055040000}"/>
    <cellStyle name="1_tree_마운딩수량_갑지0601_총괄내역서_백화점화장실인테리어_3차네고견적(061017-1)" xfId="1111" xr:uid="{00000000-0005-0000-0000-000056040000}"/>
    <cellStyle name="1_tree_마운딩수량_갑지0601_총괄내역서_설계내역서" xfId="1112" xr:uid="{00000000-0005-0000-0000-000057040000}"/>
    <cellStyle name="1_tree_마운딩수량_갑지0601_총괄내역서_설계내역서_1차 기성 내역서 0612023" xfId="1113" xr:uid="{00000000-0005-0000-0000-000058040000}"/>
    <cellStyle name="1_tree_마운딩수량_갑지0601_총괄내역서_설계내역서_3차네고견적(061017-1)" xfId="1114" xr:uid="{00000000-0005-0000-0000-000059040000}"/>
    <cellStyle name="1_tree_마운딩수량_갑지0601_총괄내역서_설계내역서_백화점화장실인테리어" xfId="1115" xr:uid="{00000000-0005-0000-0000-00005A040000}"/>
    <cellStyle name="1_tree_마운딩수량_갑지0601_총괄내역서_설계내역서_백화점화장실인테리어_1차 기성 내역서 0612023" xfId="1116" xr:uid="{00000000-0005-0000-0000-00005B040000}"/>
    <cellStyle name="1_tree_마운딩수량_갑지0601_총괄내역서_설계내역서_백화점화장실인테리어_3차네고견적(061017-1)" xfId="1117" xr:uid="{00000000-0005-0000-0000-00005C040000}"/>
    <cellStyle name="1_tree_마운딩수량_갑지0601_총괄내역서_설계내역서_화명조경" xfId="1118" xr:uid="{00000000-0005-0000-0000-00005D040000}"/>
    <cellStyle name="1_tree_마운딩수량_갑지0601_총괄내역서_설계내역서_화명조경_1차 기성 내역서 0612023" xfId="1119" xr:uid="{00000000-0005-0000-0000-00005E040000}"/>
    <cellStyle name="1_tree_마운딩수량_갑지0601_총괄내역서_설계내역서_화명조경_3차네고견적(061017-1)" xfId="1120" xr:uid="{00000000-0005-0000-0000-00005F040000}"/>
    <cellStyle name="1_tree_마운딩수량_갑지0601_총괄내역서_설계내역서_화명조경_백화점화장실인테리어" xfId="1121" xr:uid="{00000000-0005-0000-0000-000060040000}"/>
    <cellStyle name="1_tree_마운딩수량_갑지0601_총괄내역서_설계내역서_화명조경_백화점화장실인테리어_1차 기성 내역서 0612023" xfId="1122" xr:uid="{00000000-0005-0000-0000-000061040000}"/>
    <cellStyle name="1_tree_마운딩수량_갑지0601_총괄내역서_설계내역서_화명조경_백화점화장실인테리어_3차네고견적(061017-1)" xfId="1123" xr:uid="{00000000-0005-0000-0000-000062040000}"/>
    <cellStyle name="1_tree_마운딩수량_갑지0601_총괄내역서_설계내역서1월7일" xfId="1124" xr:uid="{00000000-0005-0000-0000-000063040000}"/>
    <cellStyle name="1_tree_마운딩수량_갑지0601_총괄내역서_설계내역서1월7일_1차 기성 내역서 0612023" xfId="1125" xr:uid="{00000000-0005-0000-0000-000064040000}"/>
    <cellStyle name="1_tree_마운딩수량_갑지0601_총괄내역서_설계내역서1월7일_3차네고견적(061017-1)" xfId="1126" xr:uid="{00000000-0005-0000-0000-000065040000}"/>
    <cellStyle name="1_tree_마운딩수량_갑지0601_총괄내역서_설계내역서1월7일_백화점화장실인테리어" xfId="1127" xr:uid="{00000000-0005-0000-0000-000066040000}"/>
    <cellStyle name="1_tree_마운딩수량_갑지0601_총괄내역서_설계내역서1월7일_백화점화장실인테리어_1차 기성 내역서 0612023" xfId="1128" xr:uid="{00000000-0005-0000-0000-000067040000}"/>
    <cellStyle name="1_tree_마운딩수량_갑지0601_총괄내역서_설계내역서1월7일_백화점화장실인테리어_3차네고견적(061017-1)" xfId="1129" xr:uid="{00000000-0005-0000-0000-000068040000}"/>
    <cellStyle name="1_tree_마운딩수량_갑지0601_총괄내역서_설계내역서1월7일_화명조경" xfId="1130" xr:uid="{00000000-0005-0000-0000-000069040000}"/>
    <cellStyle name="1_tree_마운딩수량_갑지0601_총괄내역서_설계내역서1월7일_화명조경_1차 기성 내역서 0612023" xfId="1131" xr:uid="{00000000-0005-0000-0000-00006A040000}"/>
    <cellStyle name="1_tree_마운딩수량_갑지0601_총괄내역서_설계내역서1월7일_화명조경_3차네고견적(061017-1)" xfId="1132" xr:uid="{00000000-0005-0000-0000-00006B040000}"/>
    <cellStyle name="1_tree_마운딩수량_갑지0601_총괄내역서_설계내역서1월7일_화명조경_백화점화장실인테리어" xfId="1133" xr:uid="{00000000-0005-0000-0000-00006C040000}"/>
    <cellStyle name="1_tree_마운딩수량_갑지0601_총괄내역서_설계내역서1월7일_화명조경_백화점화장실인테리어_1차 기성 내역서 0612023" xfId="1134" xr:uid="{00000000-0005-0000-0000-00006D040000}"/>
    <cellStyle name="1_tree_마운딩수량_갑지0601_총괄내역서_설계내역서1월7일_화명조경_백화점화장실인테리어_3차네고견적(061017-1)" xfId="1135" xr:uid="{00000000-0005-0000-0000-00006E040000}"/>
    <cellStyle name="1_tree_마운딩수량_갑지0601_총괄내역서_화명조경" xfId="1136" xr:uid="{00000000-0005-0000-0000-00006F040000}"/>
    <cellStyle name="1_tree_마운딩수량_갑지0601_총괄내역서_화명조경_1차 기성 내역서 0612023" xfId="1137" xr:uid="{00000000-0005-0000-0000-000070040000}"/>
    <cellStyle name="1_tree_마운딩수량_갑지0601_총괄내역서_화명조경_3차네고견적(061017-1)" xfId="1138" xr:uid="{00000000-0005-0000-0000-000071040000}"/>
    <cellStyle name="1_tree_마운딩수량_갑지0601_총괄내역서_화명조경_백화점화장실인테리어" xfId="1139" xr:uid="{00000000-0005-0000-0000-000072040000}"/>
    <cellStyle name="1_tree_마운딩수량_갑지0601_총괄내역서_화명조경_백화점화장실인테리어_1차 기성 내역서 0612023" xfId="1140" xr:uid="{00000000-0005-0000-0000-000073040000}"/>
    <cellStyle name="1_tree_마운딩수량_갑지0601_총괄내역서_화명조경_백화점화장실인테리어_3차네고견적(061017-1)" xfId="1141" xr:uid="{00000000-0005-0000-0000-000074040000}"/>
    <cellStyle name="1_tree_마운딩수량_갑지0601_화명조경" xfId="1142" xr:uid="{00000000-0005-0000-0000-000075040000}"/>
    <cellStyle name="1_tree_마운딩수량_갑지0601_화명조경_1차 기성 내역서 0612023" xfId="1143" xr:uid="{00000000-0005-0000-0000-000076040000}"/>
    <cellStyle name="1_tree_마운딩수량_갑지0601_화명조경_3차네고견적(061017-1)" xfId="1144" xr:uid="{00000000-0005-0000-0000-000077040000}"/>
    <cellStyle name="1_tree_마운딩수량_갑지0601_화명조경_백화점화장실인테리어" xfId="1145" xr:uid="{00000000-0005-0000-0000-000078040000}"/>
    <cellStyle name="1_tree_마운딩수량_갑지0601_화명조경_백화점화장실인테리어_1차 기성 내역서 0612023" xfId="1146" xr:uid="{00000000-0005-0000-0000-000079040000}"/>
    <cellStyle name="1_tree_마운딩수량_갑지0601_화명조경_백화점화장실인테리어_3차네고견적(061017-1)" xfId="1147" xr:uid="{00000000-0005-0000-0000-00007A040000}"/>
    <cellStyle name="1_tree_마운딩수량_백화점화장실인테리어" xfId="1148" xr:uid="{00000000-0005-0000-0000-00007B040000}"/>
    <cellStyle name="1_tree_마운딩수량_백화점화장실인테리어_1차 기성 내역서 0612023" xfId="1149" xr:uid="{00000000-0005-0000-0000-00007C040000}"/>
    <cellStyle name="1_tree_마운딩수량_백화점화장실인테리어_3차네고견적(061017-1)" xfId="1150" xr:uid="{00000000-0005-0000-0000-00007D040000}"/>
    <cellStyle name="1_tree_마운딩수량_설계내역서" xfId="1151" xr:uid="{00000000-0005-0000-0000-00007E040000}"/>
    <cellStyle name="1_tree_마운딩수량_설계내역서_1차 기성 내역서 0612023" xfId="1152" xr:uid="{00000000-0005-0000-0000-00007F040000}"/>
    <cellStyle name="1_tree_마운딩수량_설계내역서_3차네고견적(061017-1)" xfId="1153" xr:uid="{00000000-0005-0000-0000-000080040000}"/>
    <cellStyle name="1_tree_마운딩수량_설계내역서_백화점화장실인테리어" xfId="1154" xr:uid="{00000000-0005-0000-0000-000081040000}"/>
    <cellStyle name="1_tree_마운딩수량_설계내역서_백화점화장실인테리어_1차 기성 내역서 0612023" xfId="1155" xr:uid="{00000000-0005-0000-0000-000082040000}"/>
    <cellStyle name="1_tree_마운딩수량_설계내역서_백화점화장실인테리어_3차네고견적(061017-1)" xfId="1156" xr:uid="{00000000-0005-0000-0000-000083040000}"/>
    <cellStyle name="1_tree_마운딩수량_설계내역서_화명조경" xfId="1157" xr:uid="{00000000-0005-0000-0000-000084040000}"/>
    <cellStyle name="1_tree_마운딩수량_설계내역서_화명조경_1차 기성 내역서 0612023" xfId="1158" xr:uid="{00000000-0005-0000-0000-000085040000}"/>
    <cellStyle name="1_tree_마운딩수량_설계내역서_화명조경_3차네고견적(061017-1)" xfId="1159" xr:uid="{00000000-0005-0000-0000-000086040000}"/>
    <cellStyle name="1_tree_마운딩수량_설계내역서_화명조경_백화점화장실인테리어" xfId="1160" xr:uid="{00000000-0005-0000-0000-000087040000}"/>
    <cellStyle name="1_tree_마운딩수량_설계내역서_화명조경_백화점화장실인테리어_1차 기성 내역서 0612023" xfId="1161" xr:uid="{00000000-0005-0000-0000-000088040000}"/>
    <cellStyle name="1_tree_마운딩수량_설계내역서_화명조경_백화점화장실인테리어_3차네고견적(061017-1)" xfId="1162" xr:uid="{00000000-0005-0000-0000-000089040000}"/>
    <cellStyle name="1_tree_마운딩수량_설계내역서1월7일" xfId="1163" xr:uid="{00000000-0005-0000-0000-00008A040000}"/>
    <cellStyle name="1_tree_마운딩수량_설계내역서1월7일_1차 기성 내역서 0612023" xfId="1164" xr:uid="{00000000-0005-0000-0000-00008B040000}"/>
    <cellStyle name="1_tree_마운딩수량_설계내역서1월7일_3차네고견적(061017-1)" xfId="1165" xr:uid="{00000000-0005-0000-0000-00008C040000}"/>
    <cellStyle name="1_tree_마운딩수량_설계내역서1월7일_백화점화장실인테리어" xfId="1166" xr:uid="{00000000-0005-0000-0000-00008D040000}"/>
    <cellStyle name="1_tree_마운딩수량_설계내역서1월7일_백화점화장실인테리어_1차 기성 내역서 0612023" xfId="1167" xr:uid="{00000000-0005-0000-0000-00008E040000}"/>
    <cellStyle name="1_tree_마운딩수량_설계내역서1월7일_백화점화장실인테리어_3차네고견적(061017-1)" xfId="1168" xr:uid="{00000000-0005-0000-0000-00008F040000}"/>
    <cellStyle name="1_tree_마운딩수량_설계내역서1월7일_화명조경" xfId="1169" xr:uid="{00000000-0005-0000-0000-000090040000}"/>
    <cellStyle name="1_tree_마운딩수량_설계내역서1월7일_화명조경_1차 기성 내역서 0612023" xfId="1170" xr:uid="{00000000-0005-0000-0000-000091040000}"/>
    <cellStyle name="1_tree_마운딩수량_설계내역서1월7일_화명조경_3차네고견적(061017-1)" xfId="1171" xr:uid="{00000000-0005-0000-0000-000092040000}"/>
    <cellStyle name="1_tree_마운딩수량_설계내역서1월7일_화명조경_백화점화장실인테리어" xfId="1172" xr:uid="{00000000-0005-0000-0000-000093040000}"/>
    <cellStyle name="1_tree_마운딩수량_설계내역서1월7일_화명조경_백화점화장실인테리어_1차 기성 내역서 0612023" xfId="1173" xr:uid="{00000000-0005-0000-0000-000094040000}"/>
    <cellStyle name="1_tree_마운딩수량_설계내역서1월7일_화명조경_백화점화장실인테리어_3차네고견적(061017-1)" xfId="1174" xr:uid="{00000000-0005-0000-0000-000095040000}"/>
    <cellStyle name="1_tree_마운딩수량_화명조경" xfId="1175" xr:uid="{00000000-0005-0000-0000-000096040000}"/>
    <cellStyle name="1_tree_마운딩수량_화명조경_1차 기성 내역서 0612023" xfId="1176" xr:uid="{00000000-0005-0000-0000-000097040000}"/>
    <cellStyle name="1_tree_마운딩수량_화명조경_3차네고견적(061017-1)" xfId="1177" xr:uid="{00000000-0005-0000-0000-000098040000}"/>
    <cellStyle name="1_tree_마운딩수량_화명조경_백화점화장실인테리어" xfId="1178" xr:uid="{00000000-0005-0000-0000-000099040000}"/>
    <cellStyle name="1_tree_마운딩수량_화명조경_백화점화장실인테리어_1차 기성 내역서 0612023" xfId="1179" xr:uid="{00000000-0005-0000-0000-00009A040000}"/>
    <cellStyle name="1_tree_마운딩수량_화명조경_백화점화장실인테리어_3차네고견적(061017-1)" xfId="1180" xr:uid="{00000000-0005-0000-0000-00009B040000}"/>
    <cellStyle name="1_tree_백화점화장실인테리어" xfId="1181" xr:uid="{00000000-0005-0000-0000-00009C040000}"/>
    <cellStyle name="1_tree_백화점화장실인테리어_1차 기성 내역서 0612023" xfId="1182" xr:uid="{00000000-0005-0000-0000-00009D040000}"/>
    <cellStyle name="1_tree_백화점화장실인테리어_3차네고견적(061017-1)" xfId="1183" xr:uid="{00000000-0005-0000-0000-00009E040000}"/>
    <cellStyle name="1_tree_설계내역서" xfId="1184" xr:uid="{00000000-0005-0000-0000-00009F040000}"/>
    <cellStyle name="1_tree_설계내역서_1차 기성 내역서 0612023" xfId="1185" xr:uid="{00000000-0005-0000-0000-0000A0040000}"/>
    <cellStyle name="1_tree_설계내역서_3차네고견적(061017-1)" xfId="1186" xr:uid="{00000000-0005-0000-0000-0000A1040000}"/>
    <cellStyle name="1_tree_설계내역서_백화점화장실인테리어" xfId="1187" xr:uid="{00000000-0005-0000-0000-0000A2040000}"/>
    <cellStyle name="1_tree_설계내역서_백화점화장실인테리어_1차 기성 내역서 0612023" xfId="1188" xr:uid="{00000000-0005-0000-0000-0000A3040000}"/>
    <cellStyle name="1_tree_설계내역서_백화점화장실인테리어_3차네고견적(061017-1)" xfId="1189" xr:uid="{00000000-0005-0000-0000-0000A4040000}"/>
    <cellStyle name="1_tree_설계내역서_화명조경" xfId="1190" xr:uid="{00000000-0005-0000-0000-0000A5040000}"/>
    <cellStyle name="1_tree_설계내역서_화명조경_1차 기성 내역서 0612023" xfId="1191" xr:uid="{00000000-0005-0000-0000-0000A6040000}"/>
    <cellStyle name="1_tree_설계내역서_화명조경_3차네고견적(061017-1)" xfId="1192" xr:uid="{00000000-0005-0000-0000-0000A7040000}"/>
    <cellStyle name="1_tree_설계내역서_화명조경_백화점화장실인테리어" xfId="1193" xr:uid="{00000000-0005-0000-0000-0000A8040000}"/>
    <cellStyle name="1_tree_설계내역서_화명조경_백화점화장실인테리어_1차 기성 내역서 0612023" xfId="1194" xr:uid="{00000000-0005-0000-0000-0000A9040000}"/>
    <cellStyle name="1_tree_설계내역서_화명조경_백화점화장실인테리어_3차네고견적(061017-1)" xfId="1195" xr:uid="{00000000-0005-0000-0000-0000AA040000}"/>
    <cellStyle name="1_tree_설계내역서1월7일" xfId="1196" xr:uid="{00000000-0005-0000-0000-0000AB040000}"/>
    <cellStyle name="1_tree_설계내역서1월7일_1차 기성 내역서 0612023" xfId="1197" xr:uid="{00000000-0005-0000-0000-0000AC040000}"/>
    <cellStyle name="1_tree_설계내역서1월7일_3차네고견적(061017-1)" xfId="1198" xr:uid="{00000000-0005-0000-0000-0000AD040000}"/>
    <cellStyle name="1_tree_설계내역서1월7일_백화점화장실인테리어" xfId="1199" xr:uid="{00000000-0005-0000-0000-0000AE040000}"/>
    <cellStyle name="1_tree_설계내역서1월7일_백화점화장실인테리어_1차 기성 내역서 0612023" xfId="1200" xr:uid="{00000000-0005-0000-0000-0000AF040000}"/>
    <cellStyle name="1_tree_설계내역서1월7일_백화점화장실인테리어_3차네고견적(061017-1)" xfId="1201" xr:uid="{00000000-0005-0000-0000-0000B0040000}"/>
    <cellStyle name="1_tree_설계내역서1월7일_화명조경" xfId="1202" xr:uid="{00000000-0005-0000-0000-0000B1040000}"/>
    <cellStyle name="1_tree_설계내역서1월7일_화명조경_1차 기성 내역서 0612023" xfId="1203" xr:uid="{00000000-0005-0000-0000-0000B2040000}"/>
    <cellStyle name="1_tree_설계내역서1월7일_화명조경_3차네고견적(061017-1)" xfId="1204" xr:uid="{00000000-0005-0000-0000-0000B3040000}"/>
    <cellStyle name="1_tree_설계내역서1월7일_화명조경_백화점화장실인테리어" xfId="1205" xr:uid="{00000000-0005-0000-0000-0000B4040000}"/>
    <cellStyle name="1_tree_설계내역서1월7일_화명조경_백화점화장실인테리어_1차 기성 내역서 0612023" xfId="1206" xr:uid="{00000000-0005-0000-0000-0000B5040000}"/>
    <cellStyle name="1_tree_설계내역서1월7일_화명조경_백화점화장실인테리어_3차네고견적(061017-1)" xfId="1207" xr:uid="{00000000-0005-0000-0000-0000B6040000}"/>
    <cellStyle name="1_tree_수원변경수량산출" xfId="1208" xr:uid="{00000000-0005-0000-0000-0000B7040000}"/>
    <cellStyle name="1_tree_수원변경수량산출_1차 기성 내역서 0612023" xfId="1209" xr:uid="{00000000-0005-0000-0000-0000B8040000}"/>
    <cellStyle name="1_tree_수원변경수량산출_3차네고견적(061017-1)" xfId="1210" xr:uid="{00000000-0005-0000-0000-0000B9040000}"/>
    <cellStyle name="1_tree_수원변경수량산출_백화점화장실인테리어" xfId="1211" xr:uid="{00000000-0005-0000-0000-0000BA040000}"/>
    <cellStyle name="1_tree_수원변경수량산출_백화점화장실인테리어_1차 기성 내역서 0612023" xfId="1212" xr:uid="{00000000-0005-0000-0000-0000BB040000}"/>
    <cellStyle name="1_tree_수원변경수량산출_백화점화장실인테리어_3차네고견적(061017-1)" xfId="1213" xr:uid="{00000000-0005-0000-0000-0000BC040000}"/>
    <cellStyle name="1_tree_수원변경수량산출_설계내역서" xfId="1214" xr:uid="{00000000-0005-0000-0000-0000BD040000}"/>
    <cellStyle name="1_tree_수원변경수량산출_설계내역서_1차 기성 내역서 0612023" xfId="1215" xr:uid="{00000000-0005-0000-0000-0000BE040000}"/>
    <cellStyle name="1_tree_수원변경수량산출_설계내역서_3차네고견적(061017-1)" xfId="1216" xr:uid="{00000000-0005-0000-0000-0000BF040000}"/>
    <cellStyle name="1_tree_수원변경수량산출_설계내역서_백화점화장실인테리어" xfId="1217" xr:uid="{00000000-0005-0000-0000-0000C0040000}"/>
    <cellStyle name="1_tree_수원변경수량산출_설계내역서_백화점화장실인테리어_1차 기성 내역서 0612023" xfId="1218" xr:uid="{00000000-0005-0000-0000-0000C1040000}"/>
    <cellStyle name="1_tree_수원변경수량산출_설계내역서_백화점화장실인테리어_3차네고견적(061017-1)" xfId="1219" xr:uid="{00000000-0005-0000-0000-0000C2040000}"/>
    <cellStyle name="1_tree_수원변경수량산출_설계내역서_화명조경" xfId="1220" xr:uid="{00000000-0005-0000-0000-0000C3040000}"/>
    <cellStyle name="1_tree_수원변경수량산출_설계내역서_화명조경_1차 기성 내역서 0612023" xfId="1221" xr:uid="{00000000-0005-0000-0000-0000C4040000}"/>
    <cellStyle name="1_tree_수원변경수량산출_설계내역서_화명조경_3차네고견적(061017-1)" xfId="1222" xr:uid="{00000000-0005-0000-0000-0000C5040000}"/>
    <cellStyle name="1_tree_수원변경수량산출_설계내역서_화명조경_백화점화장실인테리어" xfId="1223" xr:uid="{00000000-0005-0000-0000-0000C6040000}"/>
    <cellStyle name="1_tree_수원변경수량산출_설계내역서_화명조경_백화점화장실인테리어_1차 기성 내역서 0612023" xfId="1224" xr:uid="{00000000-0005-0000-0000-0000C7040000}"/>
    <cellStyle name="1_tree_수원변경수량산출_설계내역서_화명조경_백화점화장실인테리어_3차네고견적(061017-1)" xfId="1225" xr:uid="{00000000-0005-0000-0000-0000C8040000}"/>
    <cellStyle name="1_tree_수원변경수량산출_설계내역서1월7일" xfId="1226" xr:uid="{00000000-0005-0000-0000-0000C9040000}"/>
    <cellStyle name="1_tree_수원변경수량산출_설계내역서1월7일_1차 기성 내역서 0612023" xfId="1227" xr:uid="{00000000-0005-0000-0000-0000CA040000}"/>
    <cellStyle name="1_tree_수원변경수량산출_설계내역서1월7일_3차네고견적(061017-1)" xfId="1228" xr:uid="{00000000-0005-0000-0000-0000CB040000}"/>
    <cellStyle name="1_tree_수원변경수량산출_설계내역서1월7일_백화점화장실인테리어" xfId="1229" xr:uid="{00000000-0005-0000-0000-0000CC040000}"/>
    <cellStyle name="1_tree_수원변경수량산출_설계내역서1월7일_백화점화장실인테리어_1차 기성 내역서 0612023" xfId="1230" xr:uid="{00000000-0005-0000-0000-0000CD040000}"/>
    <cellStyle name="1_tree_수원변경수량산출_설계내역서1월7일_백화점화장실인테리어_3차네고견적(061017-1)" xfId="1231" xr:uid="{00000000-0005-0000-0000-0000CE040000}"/>
    <cellStyle name="1_tree_수원변경수량산출_설계내역서1월7일_화명조경" xfId="1232" xr:uid="{00000000-0005-0000-0000-0000CF040000}"/>
    <cellStyle name="1_tree_수원변경수량산출_설계내역서1월7일_화명조경_1차 기성 내역서 0612023" xfId="1233" xr:uid="{00000000-0005-0000-0000-0000D0040000}"/>
    <cellStyle name="1_tree_수원변경수량산출_설계내역서1월7일_화명조경_3차네고견적(061017-1)" xfId="1234" xr:uid="{00000000-0005-0000-0000-0000D1040000}"/>
    <cellStyle name="1_tree_수원변경수량산출_설계내역서1월7일_화명조경_백화점화장실인테리어" xfId="1235" xr:uid="{00000000-0005-0000-0000-0000D2040000}"/>
    <cellStyle name="1_tree_수원변경수량산출_설계내역서1월7일_화명조경_백화점화장실인테리어_1차 기성 내역서 0612023" xfId="1236" xr:uid="{00000000-0005-0000-0000-0000D3040000}"/>
    <cellStyle name="1_tree_수원변경수량산출_설계내역서1월7일_화명조경_백화점화장실인테리어_3차네고견적(061017-1)" xfId="1237" xr:uid="{00000000-0005-0000-0000-0000D4040000}"/>
    <cellStyle name="1_tree_수원변경수량산출_화명조경" xfId="1238" xr:uid="{00000000-0005-0000-0000-0000D5040000}"/>
    <cellStyle name="1_tree_수원변경수량산출_화명조경_1차 기성 내역서 0612023" xfId="1239" xr:uid="{00000000-0005-0000-0000-0000D6040000}"/>
    <cellStyle name="1_tree_수원변경수량산출_화명조경_3차네고견적(061017-1)" xfId="1240" xr:uid="{00000000-0005-0000-0000-0000D7040000}"/>
    <cellStyle name="1_tree_수원변경수량산출_화명조경_백화점화장실인테리어" xfId="1241" xr:uid="{00000000-0005-0000-0000-0000D8040000}"/>
    <cellStyle name="1_tree_수원변경수량산출_화명조경_백화점화장실인테리어_1차 기성 내역서 0612023" xfId="1242" xr:uid="{00000000-0005-0000-0000-0000D9040000}"/>
    <cellStyle name="1_tree_수원변경수량산출_화명조경_백화점화장실인테리어_3차네고견적(061017-1)" xfId="1243" xr:uid="{00000000-0005-0000-0000-0000DA040000}"/>
    <cellStyle name="1_tree_쌍용수량0905" xfId="1244" xr:uid="{00000000-0005-0000-0000-0000DB040000}"/>
    <cellStyle name="1_tree_쌍용수량0905_1차 기성 내역서 0612023" xfId="1245" xr:uid="{00000000-0005-0000-0000-0000DC040000}"/>
    <cellStyle name="1_tree_쌍용수량0905_3차네고견적(061017-1)" xfId="1246" xr:uid="{00000000-0005-0000-0000-0000DD040000}"/>
    <cellStyle name="1_tree_쌍용수량0905_백화점화장실인테리어" xfId="1247" xr:uid="{00000000-0005-0000-0000-0000DE040000}"/>
    <cellStyle name="1_tree_쌍용수량0905_백화점화장실인테리어_1차 기성 내역서 0612023" xfId="1248" xr:uid="{00000000-0005-0000-0000-0000DF040000}"/>
    <cellStyle name="1_tree_쌍용수량0905_백화점화장실인테리어_3차네고견적(061017-1)" xfId="1249" xr:uid="{00000000-0005-0000-0000-0000E0040000}"/>
    <cellStyle name="1_tree_쌍용수량0905_설계내역서" xfId="1250" xr:uid="{00000000-0005-0000-0000-0000E1040000}"/>
    <cellStyle name="1_tree_쌍용수량0905_설계내역서_1차 기성 내역서 0612023" xfId="1251" xr:uid="{00000000-0005-0000-0000-0000E2040000}"/>
    <cellStyle name="1_tree_쌍용수량0905_설계내역서_3차네고견적(061017-1)" xfId="1252" xr:uid="{00000000-0005-0000-0000-0000E3040000}"/>
    <cellStyle name="1_tree_쌍용수량0905_설계내역서_백화점화장실인테리어" xfId="1253" xr:uid="{00000000-0005-0000-0000-0000E4040000}"/>
    <cellStyle name="1_tree_쌍용수량0905_설계내역서_백화점화장실인테리어_1차 기성 내역서 0612023" xfId="1254" xr:uid="{00000000-0005-0000-0000-0000E5040000}"/>
    <cellStyle name="1_tree_쌍용수량0905_설계내역서_백화점화장실인테리어_3차네고견적(061017-1)" xfId="1255" xr:uid="{00000000-0005-0000-0000-0000E6040000}"/>
    <cellStyle name="1_tree_쌍용수량0905_설계내역서_화명조경" xfId="1256" xr:uid="{00000000-0005-0000-0000-0000E7040000}"/>
    <cellStyle name="1_tree_쌍용수량0905_설계내역서_화명조경_1차 기성 내역서 0612023" xfId="1257" xr:uid="{00000000-0005-0000-0000-0000E8040000}"/>
    <cellStyle name="1_tree_쌍용수량0905_설계내역서_화명조경_3차네고견적(061017-1)" xfId="1258" xr:uid="{00000000-0005-0000-0000-0000E9040000}"/>
    <cellStyle name="1_tree_쌍용수량0905_설계내역서_화명조경_백화점화장실인테리어" xfId="1259" xr:uid="{00000000-0005-0000-0000-0000EA040000}"/>
    <cellStyle name="1_tree_쌍용수량0905_설계내역서_화명조경_백화점화장실인테리어_1차 기성 내역서 0612023" xfId="1260" xr:uid="{00000000-0005-0000-0000-0000EB040000}"/>
    <cellStyle name="1_tree_쌍용수량0905_설계내역서_화명조경_백화점화장실인테리어_3차네고견적(061017-1)" xfId="1261" xr:uid="{00000000-0005-0000-0000-0000EC040000}"/>
    <cellStyle name="1_tree_쌍용수량0905_설계내역서1월7일" xfId="1262" xr:uid="{00000000-0005-0000-0000-0000ED040000}"/>
    <cellStyle name="1_tree_쌍용수량0905_설계내역서1월7일_1차 기성 내역서 0612023" xfId="1263" xr:uid="{00000000-0005-0000-0000-0000EE040000}"/>
    <cellStyle name="1_tree_쌍용수량0905_설계내역서1월7일_3차네고견적(061017-1)" xfId="1264" xr:uid="{00000000-0005-0000-0000-0000EF040000}"/>
    <cellStyle name="1_tree_쌍용수량0905_설계내역서1월7일_백화점화장실인테리어" xfId="1265" xr:uid="{00000000-0005-0000-0000-0000F0040000}"/>
    <cellStyle name="1_tree_쌍용수량0905_설계내역서1월7일_백화점화장실인테리어_1차 기성 내역서 0612023" xfId="1266" xr:uid="{00000000-0005-0000-0000-0000F1040000}"/>
    <cellStyle name="1_tree_쌍용수량0905_설계내역서1월7일_백화점화장실인테리어_3차네고견적(061017-1)" xfId="1267" xr:uid="{00000000-0005-0000-0000-0000F2040000}"/>
    <cellStyle name="1_tree_쌍용수량0905_설계내역서1월7일_화명조경" xfId="1268" xr:uid="{00000000-0005-0000-0000-0000F3040000}"/>
    <cellStyle name="1_tree_쌍용수량0905_설계내역서1월7일_화명조경_1차 기성 내역서 0612023" xfId="1269" xr:uid="{00000000-0005-0000-0000-0000F4040000}"/>
    <cellStyle name="1_tree_쌍용수량0905_설계내역서1월7일_화명조경_3차네고견적(061017-1)" xfId="1270" xr:uid="{00000000-0005-0000-0000-0000F5040000}"/>
    <cellStyle name="1_tree_쌍용수량0905_설계내역서1월7일_화명조경_백화점화장실인테리어" xfId="1271" xr:uid="{00000000-0005-0000-0000-0000F6040000}"/>
    <cellStyle name="1_tree_쌍용수량0905_설계내역서1월7일_화명조경_백화점화장실인테리어_1차 기성 내역서 0612023" xfId="1272" xr:uid="{00000000-0005-0000-0000-0000F7040000}"/>
    <cellStyle name="1_tree_쌍용수량0905_설계내역서1월7일_화명조경_백화점화장실인테리어_3차네고견적(061017-1)" xfId="1273" xr:uid="{00000000-0005-0000-0000-0000F8040000}"/>
    <cellStyle name="1_tree_쌍용수량0905_화명조경" xfId="1274" xr:uid="{00000000-0005-0000-0000-0000F9040000}"/>
    <cellStyle name="1_tree_쌍용수량0905_화명조경_1차 기성 내역서 0612023" xfId="1275" xr:uid="{00000000-0005-0000-0000-0000FA040000}"/>
    <cellStyle name="1_tree_쌍용수량0905_화명조경_3차네고견적(061017-1)" xfId="1276" xr:uid="{00000000-0005-0000-0000-0000FB040000}"/>
    <cellStyle name="1_tree_쌍용수량0905_화명조경_백화점화장실인테리어" xfId="1277" xr:uid="{00000000-0005-0000-0000-0000FC040000}"/>
    <cellStyle name="1_tree_쌍용수량0905_화명조경_백화점화장실인테리어_1차 기성 내역서 0612023" xfId="1278" xr:uid="{00000000-0005-0000-0000-0000FD040000}"/>
    <cellStyle name="1_tree_쌍용수량0905_화명조경_백화점화장실인테리어_3차네고견적(061017-1)" xfId="1279" xr:uid="{00000000-0005-0000-0000-0000FE040000}"/>
    <cellStyle name="1_tree_원가계산서" xfId="1280" xr:uid="{00000000-0005-0000-0000-0000FF040000}"/>
    <cellStyle name="1_tree_원가계산서_00갑지" xfId="1281" xr:uid="{00000000-0005-0000-0000-000000050000}"/>
    <cellStyle name="1_tree_원가계산서_00갑지_1차 기성 내역서 0612023" xfId="1282" xr:uid="{00000000-0005-0000-0000-000001050000}"/>
    <cellStyle name="1_tree_원가계산서_00갑지_3차네고견적(061017-1)" xfId="1283" xr:uid="{00000000-0005-0000-0000-000002050000}"/>
    <cellStyle name="1_tree_원가계산서_00갑지_백화점화장실인테리어" xfId="1284" xr:uid="{00000000-0005-0000-0000-000003050000}"/>
    <cellStyle name="1_tree_원가계산서_00갑지_백화점화장실인테리어_1차 기성 내역서 0612023" xfId="1285" xr:uid="{00000000-0005-0000-0000-000004050000}"/>
    <cellStyle name="1_tree_원가계산서_00갑지_백화점화장실인테리어_3차네고견적(061017-1)" xfId="1286" xr:uid="{00000000-0005-0000-0000-000005050000}"/>
    <cellStyle name="1_tree_원가계산서_00갑지_설계내역서" xfId="1287" xr:uid="{00000000-0005-0000-0000-000006050000}"/>
    <cellStyle name="1_tree_원가계산서_00갑지_설계내역서_1차 기성 내역서 0612023" xfId="1288" xr:uid="{00000000-0005-0000-0000-000007050000}"/>
    <cellStyle name="1_tree_원가계산서_00갑지_설계내역서_3차네고견적(061017-1)" xfId="1289" xr:uid="{00000000-0005-0000-0000-000008050000}"/>
    <cellStyle name="1_tree_원가계산서_00갑지_설계내역서_백화점화장실인테리어" xfId="1290" xr:uid="{00000000-0005-0000-0000-000009050000}"/>
    <cellStyle name="1_tree_원가계산서_00갑지_설계내역서_백화점화장실인테리어_1차 기성 내역서 0612023" xfId="1291" xr:uid="{00000000-0005-0000-0000-00000A050000}"/>
    <cellStyle name="1_tree_원가계산서_00갑지_설계내역서_백화점화장실인테리어_3차네고견적(061017-1)" xfId="1292" xr:uid="{00000000-0005-0000-0000-00000B050000}"/>
    <cellStyle name="1_tree_원가계산서_00갑지_설계내역서_화명조경" xfId="1293" xr:uid="{00000000-0005-0000-0000-00000C050000}"/>
    <cellStyle name="1_tree_원가계산서_00갑지_설계내역서_화명조경_1차 기성 내역서 0612023" xfId="1294" xr:uid="{00000000-0005-0000-0000-00000D050000}"/>
    <cellStyle name="1_tree_원가계산서_00갑지_설계내역서_화명조경_3차네고견적(061017-1)" xfId="1295" xr:uid="{00000000-0005-0000-0000-00000E050000}"/>
    <cellStyle name="1_tree_원가계산서_00갑지_설계내역서_화명조경_백화점화장실인테리어" xfId="1296" xr:uid="{00000000-0005-0000-0000-00000F050000}"/>
    <cellStyle name="1_tree_원가계산서_00갑지_설계내역서_화명조경_백화점화장실인테리어_1차 기성 내역서 0612023" xfId="1297" xr:uid="{00000000-0005-0000-0000-000010050000}"/>
    <cellStyle name="1_tree_원가계산서_00갑지_설계내역서_화명조경_백화점화장실인테리어_3차네고견적(061017-1)" xfId="1298" xr:uid="{00000000-0005-0000-0000-000011050000}"/>
    <cellStyle name="1_tree_원가계산서_00갑지_설계내역서1월7일" xfId="1299" xr:uid="{00000000-0005-0000-0000-000012050000}"/>
    <cellStyle name="1_tree_원가계산서_00갑지_설계내역서1월7일_1차 기성 내역서 0612023" xfId="1300" xr:uid="{00000000-0005-0000-0000-000013050000}"/>
    <cellStyle name="1_tree_원가계산서_00갑지_설계내역서1월7일_3차네고견적(061017-1)" xfId="1301" xr:uid="{00000000-0005-0000-0000-000014050000}"/>
    <cellStyle name="1_tree_원가계산서_00갑지_설계내역서1월7일_백화점화장실인테리어" xfId="1302" xr:uid="{00000000-0005-0000-0000-000015050000}"/>
    <cellStyle name="1_tree_원가계산서_00갑지_설계내역서1월7일_백화점화장실인테리어_1차 기성 내역서 0612023" xfId="1303" xr:uid="{00000000-0005-0000-0000-000016050000}"/>
    <cellStyle name="1_tree_원가계산서_00갑지_설계내역서1월7일_백화점화장실인테리어_3차네고견적(061017-1)" xfId="1304" xr:uid="{00000000-0005-0000-0000-000017050000}"/>
    <cellStyle name="1_tree_원가계산서_00갑지_설계내역서1월7일_화명조경" xfId="1305" xr:uid="{00000000-0005-0000-0000-000018050000}"/>
    <cellStyle name="1_tree_원가계산서_00갑지_설계내역서1월7일_화명조경_1차 기성 내역서 0612023" xfId="1306" xr:uid="{00000000-0005-0000-0000-000019050000}"/>
    <cellStyle name="1_tree_원가계산서_00갑지_설계내역서1월7일_화명조경_3차네고견적(061017-1)" xfId="1307" xr:uid="{00000000-0005-0000-0000-00001A050000}"/>
    <cellStyle name="1_tree_원가계산서_00갑지_설계내역서1월7일_화명조경_백화점화장실인테리어" xfId="1308" xr:uid="{00000000-0005-0000-0000-00001B050000}"/>
    <cellStyle name="1_tree_원가계산서_00갑지_설계내역서1월7일_화명조경_백화점화장실인테리어_1차 기성 내역서 0612023" xfId="1309" xr:uid="{00000000-0005-0000-0000-00001C050000}"/>
    <cellStyle name="1_tree_원가계산서_00갑지_설계내역서1월7일_화명조경_백화점화장실인테리어_3차네고견적(061017-1)" xfId="1310" xr:uid="{00000000-0005-0000-0000-00001D050000}"/>
    <cellStyle name="1_tree_원가계산서_00갑지_화명조경" xfId="1311" xr:uid="{00000000-0005-0000-0000-00001E050000}"/>
    <cellStyle name="1_tree_원가계산서_00갑지_화명조경_1차 기성 내역서 0612023" xfId="1312" xr:uid="{00000000-0005-0000-0000-00001F050000}"/>
    <cellStyle name="1_tree_원가계산서_00갑지_화명조경_3차네고견적(061017-1)" xfId="1313" xr:uid="{00000000-0005-0000-0000-000020050000}"/>
    <cellStyle name="1_tree_원가계산서_00갑지_화명조경_백화점화장실인테리어" xfId="1314" xr:uid="{00000000-0005-0000-0000-000021050000}"/>
    <cellStyle name="1_tree_원가계산서_00갑지_화명조경_백화점화장실인테리어_1차 기성 내역서 0612023" xfId="1315" xr:uid="{00000000-0005-0000-0000-000022050000}"/>
    <cellStyle name="1_tree_원가계산서_00갑지_화명조경_백화점화장실인테리어_3차네고견적(061017-1)" xfId="1316" xr:uid="{00000000-0005-0000-0000-000023050000}"/>
    <cellStyle name="1_tree_원가계산서_1차 기성 내역서 0612023" xfId="1317" xr:uid="{00000000-0005-0000-0000-000024050000}"/>
    <cellStyle name="1_tree_원가계산서_3차네고견적(061017-1)" xfId="1318" xr:uid="{00000000-0005-0000-0000-000025050000}"/>
    <cellStyle name="1_tree_원가계산서_과천놀이터설계서" xfId="1319" xr:uid="{00000000-0005-0000-0000-000026050000}"/>
    <cellStyle name="1_tree_원가계산서_과천놀이터설계서_1차 기성 내역서 0612023" xfId="1320" xr:uid="{00000000-0005-0000-0000-000027050000}"/>
    <cellStyle name="1_tree_원가계산서_과천놀이터설계서_3차네고견적(061017-1)" xfId="1321" xr:uid="{00000000-0005-0000-0000-000028050000}"/>
    <cellStyle name="1_tree_원가계산서_과천놀이터설계서_백화점화장실인테리어" xfId="1322" xr:uid="{00000000-0005-0000-0000-000029050000}"/>
    <cellStyle name="1_tree_원가계산서_과천놀이터설계서_백화점화장실인테리어_1차 기성 내역서 0612023" xfId="1323" xr:uid="{00000000-0005-0000-0000-00002A050000}"/>
    <cellStyle name="1_tree_원가계산서_과천놀이터설계서_백화점화장실인테리어_3차네고견적(061017-1)" xfId="1324" xr:uid="{00000000-0005-0000-0000-00002B050000}"/>
    <cellStyle name="1_tree_원가계산서_과천놀이터설계서_설계내역서" xfId="1325" xr:uid="{00000000-0005-0000-0000-00002C050000}"/>
    <cellStyle name="1_tree_원가계산서_과천놀이터설계서_설계내역서_1차 기성 내역서 0612023" xfId="1326" xr:uid="{00000000-0005-0000-0000-00002D050000}"/>
    <cellStyle name="1_tree_원가계산서_과천놀이터설계서_설계내역서_3차네고견적(061017-1)" xfId="1327" xr:uid="{00000000-0005-0000-0000-00002E050000}"/>
    <cellStyle name="1_tree_원가계산서_과천놀이터설계서_설계내역서_백화점화장실인테리어" xfId="1328" xr:uid="{00000000-0005-0000-0000-00002F050000}"/>
    <cellStyle name="1_tree_원가계산서_과천놀이터설계서_설계내역서_백화점화장실인테리어_1차 기성 내역서 0612023" xfId="1329" xr:uid="{00000000-0005-0000-0000-000030050000}"/>
    <cellStyle name="1_tree_원가계산서_과천놀이터설계서_설계내역서_백화점화장실인테리어_3차네고견적(061017-1)" xfId="1330" xr:uid="{00000000-0005-0000-0000-000031050000}"/>
    <cellStyle name="1_tree_원가계산서_과천놀이터설계서_설계내역서_화명조경" xfId="1331" xr:uid="{00000000-0005-0000-0000-000032050000}"/>
    <cellStyle name="1_tree_원가계산서_과천놀이터설계서_설계내역서_화명조경_1차 기성 내역서 0612023" xfId="1332" xr:uid="{00000000-0005-0000-0000-000033050000}"/>
    <cellStyle name="1_tree_원가계산서_과천놀이터설계서_설계내역서_화명조경_3차네고견적(061017-1)" xfId="1333" xr:uid="{00000000-0005-0000-0000-000034050000}"/>
    <cellStyle name="1_tree_원가계산서_과천놀이터설계서_설계내역서_화명조경_백화점화장실인테리어" xfId="1334" xr:uid="{00000000-0005-0000-0000-000035050000}"/>
    <cellStyle name="1_tree_원가계산서_과천놀이터설계서_설계내역서_화명조경_백화점화장실인테리어_1차 기성 내역서 0612023" xfId="1335" xr:uid="{00000000-0005-0000-0000-000036050000}"/>
    <cellStyle name="1_tree_원가계산서_과천놀이터설계서_설계내역서_화명조경_백화점화장실인테리어_3차네고견적(061017-1)" xfId="1336" xr:uid="{00000000-0005-0000-0000-000037050000}"/>
    <cellStyle name="1_tree_원가계산서_과천놀이터설계서_설계내역서1월7일" xfId="1337" xr:uid="{00000000-0005-0000-0000-000038050000}"/>
    <cellStyle name="1_tree_원가계산서_과천놀이터설계서_설계내역서1월7일_1차 기성 내역서 0612023" xfId="1338" xr:uid="{00000000-0005-0000-0000-000039050000}"/>
    <cellStyle name="1_tree_원가계산서_과천놀이터설계서_설계내역서1월7일_3차네고견적(061017-1)" xfId="1339" xr:uid="{00000000-0005-0000-0000-00003A050000}"/>
    <cellStyle name="1_tree_원가계산서_과천놀이터설계서_설계내역서1월7일_백화점화장실인테리어" xfId="1340" xr:uid="{00000000-0005-0000-0000-00003B050000}"/>
    <cellStyle name="1_tree_원가계산서_과천놀이터설계서_설계내역서1월7일_백화점화장실인테리어_1차 기성 내역서 0612023" xfId="1341" xr:uid="{00000000-0005-0000-0000-00003C050000}"/>
    <cellStyle name="1_tree_원가계산서_과천놀이터설계서_설계내역서1월7일_백화점화장실인테리어_3차네고견적(061017-1)" xfId="1342" xr:uid="{00000000-0005-0000-0000-00003D050000}"/>
    <cellStyle name="1_tree_원가계산서_과천놀이터설계서_설계내역서1월7일_화명조경" xfId="1343" xr:uid="{00000000-0005-0000-0000-00003E050000}"/>
    <cellStyle name="1_tree_원가계산서_과천놀이터설계서_설계내역서1월7일_화명조경_1차 기성 내역서 0612023" xfId="1344" xr:uid="{00000000-0005-0000-0000-00003F050000}"/>
    <cellStyle name="1_tree_원가계산서_과천놀이터설계서_설계내역서1월7일_화명조경_3차네고견적(061017-1)" xfId="1345" xr:uid="{00000000-0005-0000-0000-000040050000}"/>
    <cellStyle name="1_tree_원가계산서_과천놀이터설계서_설계내역서1월7일_화명조경_백화점화장실인테리어" xfId="1346" xr:uid="{00000000-0005-0000-0000-000041050000}"/>
    <cellStyle name="1_tree_원가계산서_과천놀이터설계서_설계내역서1월7일_화명조경_백화점화장실인테리어_1차 기성 내역서 0612023" xfId="1347" xr:uid="{00000000-0005-0000-0000-000042050000}"/>
    <cellStyle name="1_tree_원가계산서_과천놀이터설계서_설계내역서1월7일_화명조경_백화점화장실인테리어_3차네고견적(061017-1)" xfId="1348" xr:uid="{00000000-0005-0000-0000-000043050000}"/>
    <cellStyle name="1_tree_원가계산서_과천놀이터설계서_화명조경" xfId="1349" xr:uid="{00000000-0005-0000-0000-000044050000}"/>
    <cellStyle name="1_tree_원가계산서_과천놀이터설계서_화명조경_1차 기성 내역서 0612023" xfId="1350" xr:uid="{00000000-0005-0000-0000-000045050000}"/>
    <cellStyle name="1_tree_원가계산서_과천놀이터설계서_화명조경_3차네고견적(061017-1)" xfId="1351" xr:uid="{00000000-0005-0000-0000-000046050000}"/>
    <cellStyle name="1_tree_원가계산서_과천놀이터설계서_화명조경_백화점화장실인테리어" xfId="1352" xr:uid="{00000000-0005-0000-0000-000047050000}"/>
    <cellStyle name="1_tree_원가계산서_과천놀이터설계서_화명조경_백화점화장실인테리어_1차 기성 내역서 0612023" xfId="1353" xr:uid="{00000000-0005-0000-0000-000048050000}"/>
    <cellStyle name="1_tree_원가계산서_과천놀이터설계서_화명조경_백화점화장실인테리어_3차네고견적(061017-1)" xfId="1354" xr:uid="{00000000-0005-0000-0000-000049050000}"/>
    <cellStyle name="1_tree_원가계산서_백화점화장실인테리어" xfId="1355" xr:uid="{00000000-0005-0000-0000-00004A050000}"/>
    <cellStyle name="1_tree_원가계산서_백화점화장실인테리어_1차 기성 내역서 0612023" xfId="1356" xr:uid="{00000000-0005-0000-0000-00004B050000}"/>
    <cellStyle name="1_tree_원가계산서_백화점화장실인테리어_3차네고견적(061017-1)" xfId="1357" xr:uid="{00000000-0005-0000-0000-00004C050000}"/>
    <cellStyle name="1_tree_원가계산서_총괄갑지" xfId="1358" xr:uid="{00000000-0005-0000-0000-00004D050000}"/>
    <cellStyle name="1_tree_원가계산서_총괄갑지_1차 기성 내역서 0612023" xfId="1359" xr:uid="{00000000-0005-0000-0000-00004E050000}"/>
    <cellStyle name="1_tree_원가계산서_총괄갑지_3차네고견적(061017-1)" xfId="1360" xr:uid="{00000000-0005-0000-0000-00004F050000}"/>
    <cellStyle name="1_tree_원가계산서_총괄갑지_백화점화장실인테리어" xfId="1361" xr:uid="{00000000-0005-0000-0000-000050050000}"/>
    <cellStyle name="1_tree_원가계산서_총괄갑지_백화점화장실인테리어_1차 기성 내역서 0612023" xfId="1362" xr:uid="{00000000-0005-0000-0000-000051050000}"/>
    <cellStyle name="1_tree_원가계산서_총괄갑지_백화점화장실인테리어_3차네고견적(061017-1)" xfId="1363" xr:uid="{00000000-0005-0000-0000-000052050000}"/>
    <cellStyle name="1_tree_원가계산서_총괄갑지_설계내역서" xfId="1364" xr:uid="{00000000-0005-0000-0000-000053050000}"/>
    <cellStyle name="1_tree_원가계산서_총괄갑지_설계내역서_1차 기성 내역서 0612023" xfId="1365" xr:uid="{00000000-0005-0000-0000-000054050000}"/>
    <cellStyle name="1_tree_원가계산서_총괄갑지_설계내역서_3차네고견적(061017-1)" xfId="1366" xr:uid="{00000000-0005-0000-0000-000055050000}"/>
    <cellStyle name="1_tree_원가계산서_총괄갑지_설계내역서_백화점화장실인테리어" xfId="1367" xr:uid="{00000000-0005-0000-0000-000056050000}"/>
    <cellStyle name="1_tree_원가계산서_총괄갑지_설계내역서_백화점화장실인테리어_1차 기성 내역서 0612023" xfId="1368" xr:uid="{00000000-0005-0000-0000-000057050000}"/>
    <cellStyle name="1_tree_원가계산서_총괄갑지_설계내역서_백화점화장실인테리어_3차네고견적(061017-1)" xfId="1369" xr:uid="{00000000-0005-0000-0000-000058050000}"/>
    <cellStyle name="1_tree_원가계산서_총괄갑지_설계내역서_화명조경" xfId="1370" xr:uid="{00000000-0005-0000-0000-000059050000}"/>
    <cellStyle name="1_tree_원가계산서_총괄갑지_설계내역서_화명조경_1차 기성 내역서 0612023" xfId="1371" xr:uid="{00000000-0005-0000-0000-00005A050000}"/>
    <cellStyle name="1_tree_원가계산서_총괄갑지_설계내역서_화명조경_3차네고견적(061017-1)" xfId="1372" xr:uid="{00000000-0005-0000-0000-00005B050000}"/>
    <cellStyle name="1_tree_원가계산서_총괄갑지_설계내역서_화명조경_백화점화장실인테리어" xfId="1373" xr:uid="{00000000-0005-0000-0000-00005C050000}"/>
    <cellStyle name="1_tree_원가계산서_총괄갑지_설계내역서_화명조경_백화점화장실인테리어_1차 기성 내역서 0612023" xfId="1374" xr:uid="{00000000-0005-0000-0000-00005D050000}"/>
    <cellStyle name="1_tree_원가계산서_총괄갑지_설계내역서_화명조경_백화점화장실인테리어_3차네고견적(061017-1)" xfId="1375" xr:uid="{00000000-0005-0000-0000-00005E050000}"/>
    <cellStyle name="1_tree_원가계산서_총괄갑지_설계내역서1월7일" xfId="1376" xr:uid="{00000000-0005-0000-0000-00005F050000}"/>
    <cellStyle name="1_tree_원가계산서_총괄갑지_설계내역서1월7일_1차 기성 내역서 0612023" xfId="1377" xr:uid="{00000000-0005-0000-0000-000060050000}"/>
    <cellStyle name="1_tree_원가계산서_총괄갑지_설계내역서1월7일_3차네고견적(061017-1)" xfId="1378" xr:uid="{00000000-0005-0000-0000-000061050000}"/>
    <cellStyle name="1_tree_원가계산서_총괄갑지_설계내역서1월7일_백화점화장실인테리어" xfId="1379" xr:uid="{00000000-0005-0000-0000-000062050000}"/>
    <cellStyle name="1_tree_원가계산서_총괄갑지_설계내역서1월7일_백화점화장실인테리어_1차 기성 내역서 0612023" xfId="1380" xr:uid="{00000000-0005-0000-0000-000063050000}"/>
    <cellStyle name="1_tree_원가계산서_총괄갑지_설계내역서1월7일_백화점화장실인테리어_3차네고견적(061017-1)" xfId="1381" xr:uid="{00000000-0005-0000-0000-000064050000}"/>
    <cellStyle name="1_tree_원가계산서_총괄갑지_설계내역서1월7일_화명조경" xfId="1382" xr:uid="{00000000-0005-0000-0000-000065050000}"/>
    <cellStyle name="1_tree_원가계산서_총괄갑지_설계내역서1월7일_화명조경_1차 기성 내역서 0612023" xfId="1383" xr:uid="{00000000-0005-0000-0000-000066050000}"/>
    <cellStyle name="1_tree_원가계산서_총괄갑지_설계내역서1월7일_화명조경_3차네고견적(061017-1)" xfId="1384" xr:uid="{00000000-0005-0000-0000-000067050000}"/>
    <cellStyle name="1_tree_원가계산서_총괄갑지_설계내역서1월7일_화명조경_백화점화장실인테리어" xfId="1385" xr:uid="{00000000-0005-0000-0000-000068050000}"/>
    <cellStyle name="1_tree_원가계산서_총괄갑지_설계내역서1월7일_화명조경_백화점화장실인테리어_1차 기성 내역서 0612023" xfId="1386" xr:uid="{00000000-0005-0000-0000-000069050000}"/>
    <cellStyle name="1_tree_원가계산서_총괄갑지_설계내역서1월7일_화명조경_백화점화장실인테리어_3차네고견적(061017-1)" xfId="1387" xr:uid="{00000000-0005-0000-0000-00006A050000}"/>
    <cellStyle name="1_tree_원가계산서_총괄갑지_화명조경" xfId="1388" xr:uid="{00000000-0005-0000-0000-00006B050000}"/>
    <cellStyle name="1_tree_원가계산서_총괄갑지_화명조경_1차 기성 내역서 0612023" xfId="1389" xr:uid="{00000000-0005-0000-0000-00006C050000}"/>
    <cellStyle name="1_tree_원가계산서_총괄갑지_화명조경_3차네고견적(061017-1)" xfId="1390" xr:uid="{00000000-0005-0000-0000-00006D050000}"/>
    <cellStyle name="1_tree_원가계산서_총괄갑지_화명조경_백화점화장실인테리어" xfId="1391" xr:uid="{00000000-0005-0000-0000-00006E050000}"/>
    <cellStyle name="1_tree_원가계산서_총괄갑지_화명조경_백화점화장실인테리어_1차 기성 내역서 0612023" xfId="1392" xr:uid="{00000000-0005-0000-0000-00006F050000}"/>
    <cellStyle name="1_tree_원가계산서_총괄갑지_화명조경_백화점화장실인테리어_3차네고견적(061017-1)" xfId="1393" xr:uid="{00000000-0005-0000-0000-000070050000}"/>
    <cellStyle name="1_tree_원가계산서_총괄내역서" xfId="1394" xr:uid="{00000000-0005-0000-0000-000071050000}"/>
    <cellStyle name="1_tree_원가계산서_총괄내역서_1차 기성 내역서 0612023" xfId="1395" xr:uid="{00000000-0005-0000-0000-000072050000}"/>
    <cellStyle name="1_tree_원가계산서_총괄내역서_3차네고견적(061017-1)" xfId="1396" xr:uid="{00000000-0005-0000-0000-000073050000}"/>
    <cellStyle name="1_tree_원가계산서_총괄내역서_백화점화장실인테리어" xfId="1397" xr:uid="{00000000-0005-0000-0000-000074050000}"/>
    <cellStyle name="1_tree_원가계산서_총괄내역서_백화점화장실인테리어_1차 기성 내역서 0612023" xfId="1398" xr:uid="{00000000-0005-0000-0000-000075050000}"/>
    <cellStyle name="1_tree_원가계산서_총괄내역서_백화점화장실인테리어_3차네고견적(061017-1)" xfId="1399" xr:uid="{00000000-0005-0000-0000-000076050000}"/>
    <cellStyle name="1_tree_원가계산서_총괄내역서_설계내역서" xfId="1400" xr:uid="{00000000-0005-0000-0000-000077050000}"/>
    <cellStyle name="1_tree_원가계산서_총괄내역서_설계내역서_1차 기성 내역서 0612023" xfId="1401" xr:uid="{00000000-0005-0000-0000-000078050000}"/>
    <cellStyle name="1_tree_원가계산서_총괄내역서_설계내역서_3차네고견적(061017-1)" xfId="1402" xr:uid="{00000000-0005-0000-0000-000079050000}"/>
    <cellStyle name="1_tree_원가계산서_총괄내역서_설계내역서_백화점화장실인테리어" xfId="1403" xr:uid="{00000000-0005-0000-0000-00007A050000}"/>
    <cellStyle name="1_tree_원가계산서_총괄내역서_설계내역서_백화점화장실인테리어_1차 기성 내역서 0612023" xfId="1404" xr:uid="{00000000-0005-0000-0000-00007B050000}"/>
    <cellStyle name="1_tree_원가계산서_총괄내역서_설계내역서_백화점화장실인테리어_3차네고견적(061017-1)" xfId="1405" xr:uid="{00000000-0005-0000-0000-00007C050000}"/>
    <cellStyle name="1_tree_원가계산서_총괄내역서_설계내역서_화명조경" xfId="1406" xr:uid="{00000000-0005-0000-0000-00007D050000}"/>
    <cellStyle name="1_tree_원가계산서_총괄내역서_설계내역서_화명조경_1차 기성 내역서 0612023" xfId="1407" xr:uid="{00000000-0005-0000-0000-00007E050000}"/>
    <cellStyle name="1_tree_원가계산서_총괄내역서_설계내역서_화명조경_3차네고견적(061017-1)" xfId="1408" xr:uid="{00000000-0005-0000-0000-00007F050000}"/>
    <cellStyle name="1_tree_원가계산서_총괄내역서_설계내역서_화명조경_백화점화장실인테리어" xfId="1409" xr:uid="{00000000-0005-0000-0000-000080050000}"/>
    <cellStyle name="1_tree_원가계산서_총괄내역서_설계내역서_화명조경_백화점화장실인테리어_1차 기성 내역서 0612023" xfId="1410" xr:uid="{00000000-0005-0000-0000-000081050000}"/>
    <cellStyle name="1_tree_원가계산서_총괄내역서_설계내역서_화명조경_백화점화장실인테리어_3차네고견적(061017-1)" xfId="1411" xr:uid="{00000000-0005-0000-0000-000082050000}"/>
    <cellStyle name="1_tree_원가계산서_총괄내역서_설계내역서1월7일" xfId="1412" xr:uid="{00000000-0005-0000-0000-000083050000}"/>
    <cellStyle name="1_tree_원가계산서_총괄내역서_설계내역서1월7일_1차 기성 내역서 0612023" xfId="1413" xr:uid="{00000000-0005-0000-0000-000084050000}"/>
    <cellStyle name="1_tree_원가계산서_총괄내역서_설계내역서1월7일_3차네고견적(061017-1)" xfId="1414" xr:uid="{00000000-0005-0000-0000-000085050000}"/>
    <cellStyle name="1_tree_원가계산서_총괄내역서_설계내역서1월7일_백화점화장실인테리어" xfId="1415" xr:uid="{00000000-0005-0000-0000-000086050000}"/>
    <cellStyle name="1_tree_원가계산서_총괄내역서_설계내역서1월7일_백화점화장실인테리어_1차 기성 내역서 0612023" xfId="1416" xr:uid="{00000000-0005-0000-0000-000087050000}"/>
    <cellStyle name="1_tree_원가계산서_총괄내역서_설계내역서1월7일_백화점화장실인테리어_3차네고견적(061017-1)" xfId="1417" xr:uid="{00000000-0005-0000-0000-000088050000}"/>
    <cellStyle name="1_tree_원가계산서_총괄내역서_설계내역서1월7일_화명조경" xfId="1418" xr:uid="{00000000-0005-0000-0000-000089050000}"/>
    <cellStyle name="1_tree_원가계산서_총괄내역서_설계내역서1월7일_화명조경_1차 기성 내역서 0612023" xfId="1419" xr:uid="{00000000-0005-0000-0000-00008A050000}"/>
    <cellStyle name="1_tree_원가계산서_총괄내역서_설계내역서1월7일_화명조경_3차네고견적(061017-1)" xfId="1420" xr:uid="{00000000-0005-0000-0000-00008B050000}"/>
    <cellStyle name="1_tree_원가계산서_총괄내역서_설계내역서1월7일_화명조경_백화점화장실인테리어" xfId="1421" xr:uid="{00000000-0005-0000-0000-00008C050000}"/>
    <cellStyle name="1_tree_원가계산서_총괄내역서_설계내역서1월7일_화명조경_백화점화장실인테리어_1차 기성 내역서 0612023" xfId="1422" xr:uid="{00000000-0005-0000-0000-00008D050000}"/>
    <cellStyle name="1_tree_원가계산서_총괄내역서_설계내역서1월7일_화명조경_백화점화장실인테리어_3차네고견적(061017-1)" xfId="1423" xr:uid="{00000000-0005-0000-0000-00008E050000}"/>
    <cellStyle name="1_tree_원가계산서_총괄내역서_화명조경" xfId="1424" xr:uid="{00000000-0005-0000-0000-00008F050000}"/>
    <cellStyle name="1_tree_원가계산서_총괄내역서_화명조경_1차 기성 내역서 0612023" xfId="1425" xr:uid="{00000000-0005-0000-0000-000090050000}"/>
    <cellStyle name="1_tree_원가계산서_총괄내역서_화명조경_3차네고견적(061017-1)" xfId="1426" xr:uid="{00000000-0005-0000-0000-000091050000}"/>
    <cellStyle name="1_tree_원가계산서_총괄내역서_화명조경_백화점화장실인테리어" xfId="1427" xr:uid="{00000000-0005-0000-0000-000092050000}"/>
    <cellStyle name="1_tree_원가계산서_총괄내역서_화명조경_백화점화장실인테리어_1차 기성 내역서 0612023" xfId="1428" xr:uid="{00000000-0005-0000-0000-000093050000}"/>
    <cellStyle name="1_tree_원가계산서_총괄내역서_화명조경_백화점화장실인테리어_3차네고견적(061017-1)" xfId="1429" xr:uid="{00000000-0005-0000-0000-000094050000}"/>
    <cellStyle name="1_tree_원가계산서_화명조경" xfId="1430" xr:uid="{00000000-0005-0000-0000-000095050000}"/>
    <cellStyle name="1_tree_원가계산서_화명조경_1차 기성 내역서 0612023" xfId="1431" xr:uid="{00000000-0005-0000-0000-000096050000}"/>
    <cellStyle name="1_tree_원가계산서_화명조경_3차네고견적(061017-1)" xfId="1432" xr:uid="{00000000-0005-0000-0000-000097050000}"/>
    <cellStyle name="1_tree_원가계산서_화명조경_백화점화장실인테리어" xfId="1433" xr:uid="{00000000-0005-0000-0000-000098050000}"/>
    <cellStyle name="1_tree_원가계산서_화명조경_백화점화장실인테리어_1차 기성 내역서 0612023" xfId="1434" xr:uid="{00000000-0005-0000-0000-000099050000}"/>
    <cellStyle name="1_tree_원가계산서_화명조경_백화점화장실인테리어_3차네고견적(061017-1)" xfId="1435" xr:uid="{00000000-0005-0000-0000-00009A050000}"/>
    <cellStyle name="1_tree_은파수량집계" xfId="1436" xr:uid="{00000000-0005-0000-0000-00009B050000}"/>
    <cellStyle name="1_tree_은파수량집계_1차 기성 내역서 0612023" xfId="1437" xr:uid="{00000000-0005-0000-0000-00009C050000}"/>
    <cellStyle name="1_tree_은파수량집계_3차네고견적(061017-1)" xfId="1438" xr:uid="{00000000-0005-0000-0000-00009D050000}"/>
    <cellStyle name="1_tree_은파수량집계_백화점화장실인테리어" xfId="1439" xr:uid="{00000000-0005-0000-0000-00009E050000}"/>
    <cellStyle name="1_tree_은파수량집계_백화점화장실인테리어_1차 기성 내역서 0612023" xfId="1440" xr:uid="{00000000-0005-0000-0000-00009F050000}"/>
    <cellStyle name="1_tree_은파수량집계_백화점화장실인테리어_3차네고견적(061017-1)" xfId="1441" xr:uid="{00000000-0005-0000-0000-0000A0050000}"/>
    <cellStyle name="1_tree_은파수량집계_설계내역서" xfId="1442" xr:uid="{00000000-0005-0000-0000-0000A1050000}"/>
    <cellStyle name="1_tree_은파수량집계_설계내역서_1차 기성 내역서 0612023" xfId="1443" xr:uid="{00000000-0005-0000-0000-0000A2050000}"/>
    <cellStyle name="1_tree_은파수량집계_설계내역서_3차네고견적(061017-1)" xfId="1444" xr:uid="{00000000-0005-0000-0000-0000A3050000}"/>
    <cellStyle name="1_tree_은파수량집계_설계내역서_백화점화장실인테리어" xfId="1445" xr:uid="{00000000-0005-0000-0000-0000A4050000}"/>
    <cellStyle name="1_tree_은파수량집계_설계내역서_백화점화장실인테리어_1차 기성 내역서 0612023" xfId="1446" xr:uid="{00000000-0005-0000-0000-0000A5050000}"/>
    <cellStyle name="1_tree_은파수량집계_설계내역서_백화점화장실인테리어_3차네고견적(061017-1)" xfId="1447" xr:uid="{00000000-0005-0000-0000-0000A6050000}"/>
    <cellStyle name="1_tree_은파수량집계_설계내역서_화명조경" xfId="1448" xr:uid="{00000000-0005-0000-0000-0000A7050000}"/>
    <cellStyle name="1_tree_은파수량집계_설계내역서_화명조경_1차 기성 내역서 0612023" xfId="1449" xr:uid="{00000000-0005-0000-0000-0000A8050000}"/>
    <cellStyle name="1_tree_은파수량집계_설계내역서_화명조경_3차네고견적(061017-1)" xfId="1450" xr:uid="{00000000-0005-0000-0000-0000A9050000}"/>
    <cellStyle name="1_tree_은파수량집계_설계내역서_화명조경_백화점화장실인테리어" xfId="1451" xr:uid="{00000000-0005-0000-0000-0000AA050000}"/>
    <cellStyle name="1_tree_은파수량집계_설계내역서_화명조경_백화점화장실인테리어_1차 기성 내역서 0612023" xfId="1452" xr:uid="{00000000-0005-0000-0000-0000AB050000}"/>
    <cellStyle name="1_tree_은파수량집계_설계내역서_화명조경_백화점화장실인테리어_3차네고견적(061017-1)" xfId="1453" xr:uid="{00000000-0005-0000-0000-0000AC050000}"/>
    <cellStyle name="1_tree_은파수량집계_설계내역서1월7일" xfId="1454" xr:uid="{00000000-0005-0000-0000-0000AD050000}"/>
    <cellStyle name="1_tree_은파수량집계_설계내역서1월7일_1차 기성 내역서 0612023" xfId="1455" xr:uid="{00000000-0005-0000-0000-0000AE050000}"/>
    <cellStyle name="1_tree_은파수량집계_설계내역서1월7일_3차네고견적(061017-1)" xfId="1456" xr:uid="{00000000-0005-0000-0000-0000AF050000}"/>
    <cellStyle name="1_tree_은파수량집계_설계내역서1월7일_백화점화장실인테리어" xfId="1457" xr:uid="{00000000-0005-0000-0000-0000B0050000}"/>
    <cellStyle name="1_tree_은파수량집계_설계내역서1월7일_백화점화장실인테리어_1차 기성 내역서 0612023" xfId="1458" xr:uid="{00000000-0005-0000-0000-0000B1050000}"/>
    <cellStyle name="1_tree_은파수량집계_설계내역서1월7일_백화점화장실인테리어_3차네고견적(061017-1)" xfId="1459" xr:uid="{00000000-0005-0000-0000-0000B2050000}"/>
    <cellStyle name="1_tree_은파수량집계_설계내역서1월7일_화명조경" xfId="1460" xr:uid="{00000000-0005-0000-0000-0000B3050000}"/>
    <cellStyle name="1_tree_은파수량집계_설계내역서1월7일_화명조경_1차 기성 내역서 0612023" xfId="1461" xr:uid="{00000000-0005-0000-0000-0000B4050000}"/>
    <cellStyle name="1_tree_은파수량집계_설계내역서1월7일_화명조경_3차네고견적(061017-1)" xfId="1462" xr:uid="{00000000-0005-0000-0000-0000B5050000}"/>
    <cellStyle name="1_tree_은파수량집계_설계내역서1월7일_화명조경_백화점화장실인테리어" xfId="1463" xr:uid="{00000000-0005-0000-0000-0000B6050000}"/>
    <cellStyle name="1_tree_은파수량집계_설계내역서1월7일_화명조경_백화점화장실인테리어_1차 기성 내역서 0612023" xfId="1464" xr:uid="{00000000-0005-0000-0000-0000B7050000}"/>
    <cellStyle name="1_tree_은파수량집계_설계내역서1월7일_화명조경_백화점화장실인테리어_3차네고견적(061017-1)" xfId="1465" xr:uid="{00000000-0005-0000-0000-0000B8050000}"/>
    <cellStyle name="1_tree_은파수량집계_화명조경" xfId="1466" xr:uid="{00000000-0005-0000-0000-0000B9050000}"/>
    <cellStyle name="1_tree_은파수량집계_화명조경_1차 기성 내역서 0612023" xfId="1467" xr:uid="{00000000-0005-0000-0000-0000BA050000}"/>
    <cellStyle name="1_tree_은파수량집계_화명조경_3차네고견적(061017-1)" xfId="1468" xr:uid="{00000000-0005-0000-0000-0000BB050000}"/>
    <cellStyle name="1_tree_은파수량집계_화명조경_백화점화장실인테리어" xfId="1469" xr:uid="{00000000-0005-0000-0000-0000BC050000}"/>
    <cellStyle name="1_tree_은파수량집계_화명조경_백화점화장실인테리어_1차 기성 내역서 0612023" xfId="1470" xr:uid="{00000000-0005-0000-0000-0000BD050000}"/>
    <cellStyle name="1_tree_은파수량집계_화명조경_백화점화장실인테리어_3차네고견적(061017-1)" xfId="1471" xr:uid="{00000000-0005-0000-0000-0000BE050000}"/>
    <cellStyle name="1_tree_터미널1-0" xfId="1472" xr:uid="{00000000-0005-0000-0000-0000BF050000}"/>
    <cellStyle name="1_tree_터미널1-0_1" xfId="1473" xr:uid="{00000000-0005-0000-0000-0000C0050000}"/>
    <cellStyle name="1_tree_터미널1-0_1_1차 기성 내역서 0612023" xfId="1474" xr:uid="{00000000-0005-0000-0000-0000C1050000}"/>
    <cellStyle name="1_tree_터미널1-0_1_3차네고견적(061017-1)" xfId="1475" xr:uid="{00000000-0005-0000-0000-0000C2050000}"/>
    <cellStyle name="1_tree_터미널1-0_1_백화점화장실인테리어" xfId="1476" xr:uid="{00000000-0005-0000-0000-0000C3050000}"/>
    <cellStyle name="1_tree_터미널1-0_1_백화점화장실인테리어_1차 기성 내역서 0612023" xfId="1477" xr:uid="{00000000-0005-0000-0000-0000C4050000}"/>
    <cellStyle name="1_tree_터미널1-0_1_백화점화장실인테리어_3차네고견적(061017-1)" xfId="1478" xr:uid="{00000000-0005-0000-0000-0000C5050000}"/>
    <cellStyle name="1_tree_터미널1-0_1_화명조경" xfId="1479" xr:uid="{00000000-0005-0000-0000-0000C6050000}"/>
    <cellStyle name="1_tree_터미널1-0_1_화명조경_1차 기성 내역서 0612023" xfId="1480" xr:uid="{00000000-0005-0000-0000-0000C7050000}"/>
    <cellStyle name="1_tree_터미널1-0_1_화명조경_3차네고견적(061017-1)" xfId="1481" xr:uid="{00000000-0005-0000-0000-0000C8050000}"/>
    <cellStyle name="1_tree_터미널1-0_1_화명조경_백화점화장실인테리어" xfId="1482" xr:uid="{00000000-0005-0000-0000-0000C9050000}"/>
    <cellStyle name="1_tree_터미널1-0_1_화명조경_백화점화장실인테리어_1차 기성 내역서 0612023" xfId="1483" xr:uid="{00000000-0005-0000-0000-0000CA050000}"/>
    <cellStyle name="1_tree_터미널1-0_1_화명조경_백화점화장실인테리어_3차네고견적(061017-1)" xfId="1484" xr:uid="{00000000-0005-0000-0000-0000CB050000}"/>
    <cellStyle name="1_tree_터미널1-0_1차 기성 내역서 0612023" xfId="1485" xr:uid="{00000000-0005-0000-0000-0000CC050000}"/>
    <cellStyle name="1_tree_터미널1-0_3차네고견적(061017-1)" xfId="1486" xr:uid="{00000000-0005-0000-0000-0000CD050000}"/>
    <cellStyle name="1_tree_터미널1-0_백화점화장실인테리어" xfId="1487" xr:uid="{00000000-0005-0000-0000-0000CE050000}"/>
    <cellStyle name="1_tree_터미널1-0_백화점화장실인테리어_1차 기성 내역서 0612023" xfId="1488" xr:uid="{00000000-0005-0000-0000-0000CF050000}"/>
    <cellStyle name="1_tree_터미널1-0_백화점화장실인테리어_3차네고견적(061017-1)" xfId="1489" xr:uid="{00000000-0005-0000-0000-0000D0050000}"/>
    <cellStyle name="1_tree_터미널1-0_설계내역서" xfId="1490" xr:uid="{00000000-0005-0000-0000-0000D1050000}"/>
    <cellStyle name="1_tree_터미널1-0_설계내역서_1차 기성 내역서 0612023" xfId="1491" xr:uid="{00000000-0005-0000-0000-0000D2050000}"/>
    <cellStyle name="1_tree_터미널1-0_설계내역서_3차네고견적(061017-1)" xfId="1492" xr:uid="{00000000-0005-0000-0000-0000D3050000}"/>
    <cellStyle name="1_tree_터미널1-0_설계내역서_백화점화장실인테리어" xfId="1493" xr:uid="{00000000-0005-0000-0000-0000D4050000}"/>
    <cellStyle name="1_tree_터미널1-0_설계내역서_백화점화장실인테리어_1차 기성 내역서 0612023" xfId="1494" xr:uid="{00000000-0005-0000-0000-0000D5050000}"/>
    <cellStyle name="1_tree_터미널1-0_설계내역서_백화점화장실인테리어_3차네고견적(061017-1)" xfId="1495" xr:uid="{00000000-0005-0000-0000-0000D6050000}"/>
    <cellStyle name="1_tree_터미널1-0_설계내역서_화명조경" xfId="1496" xr:uid="{00000000-0005-0000-0000-0000D7050000}"/>
    <cellStyle name="1_tree_터미널1-0_설계내역서_화명조경_1차 기성 내역서 0612023" xfId="1497" xr:uid="{00000000-0005-0000-0000-0000D8050000}"/>
    <cellStyle name="1_tree_터미널1-0_설계내역서_화명조경_3차네고견적(061017-1)" xfId="1498" xr:uid="{00000000-0005-0000-0000-0000D9050000}"/>
    <cellStyle name="1_tree_터미널1-0_설계내역서_화명조경_백화점화장실인테리어" xfId="1499" xr:uid="{00000000-0005-0000-0000-0000DA050000}"/>
    <cellStyle name="1_tree_터미널1-0_설계내역서_화명조경_백화점화장실인테리어_1차 기성 내역서 0612023" xfId="1500" xr:uid="{00000000-0005-0000-0000-0000DB050000}"/>
    <cellStyle name="1_tree_터미널1-0_설계내역서_화명조경_백화점화장실인테리어_3차네고견적(061017-1)" xfId="1501" xr:uid="{00000000-0005-0000-0000-0000DC050000}"/>
    <cellStyle name="1_tree_터미널1-0_설계내역서1월7일" xfId="1502" xr:uid="{00000000-0005-0000-0000-0000DD050000}"/>
    <cellStyle name="1_tree_터미널1-0_설계내역서1월7일_1차 기성 내역서 0612023" xfId="1503" xr:uid="{00000000-0005-0000-0000-0000DE050000}"/>
    <cellStyle name="1_tree_터미널1-0_설계내역서1월7일_3차네고견적(061017-1)" xfId="1504" xr:uid="{00000000-0005-0000-0000-0000DF050000}"/>
    <cellStyle name="1_tree_터미널1-0_설계내역서1월7일_백화점화장실인테리어" xfId="1505" xr:uid="{00000000-0005-0000-0000-0000E0050000}"/>
    <cellStyle name="1_tree_터미널1-0_설계내역서1월7일_백화점화장실인테리어_1차 기성 내역서 0612023" xfId="1506" xr:uid="{00000000-0005-0000-0000-0000E1050000}"/>
    <cellStyle name="1_tree_터미널1-0_설계내역서1월7일_백화점화장실인테리어_3차네고견적(061017-1)" xfId="1507" xr:uid="{00000000-0005-0000-0000-0000E2050000}"/>
    <cellStyle name="1_tree_터미널1-0_설계내역서1월7일_화명조경" xfId="1508" xr:uid="{00000000-0005-0000-0000-0000E3050000}"/>
    <cellStyle name="1_tree_터미널1-0_설계내역서1월7일_화명조경_1차 기성 내역서 0612023" xfId="1509" xr:uid="{00000000-0005-0000-0000-0000E4050000}"/>
    <cellStyle name="1_tree_터미널1-0_설계내역서1월7일_화명조경_3차네고견적(061017-1)" xfId="1510" xr:uid="{00000000-0005-0000-0000-0000E5050000}"/>
    <cellStyle name="1_tree_터미널1-0_설계내역서1월7일_화명조경_백화점화장실인테리어" xfId="1511" xr:uid="{00000000-0005-0000-0000-0000E6050000}"/>
    <cellStyle name="1_tree_터미널1-0_설계내역서1월7일_화명조경_백화점화장실인테리어_1차 기성 내역서 0612023" xfId="1512" xr:uid="{00000000-0005-0000-0000-0000E7050000}"/>
    <cellStyle name="1_tree_터미널1-0_설계내역서1월7일_화명조경_백화점화장실인테리어_3차네고견적(061017-1)" xfId="1513" xr:uid="{00000000-0005-0000-0000-0000E8050000}"/>
    <cellStyle name="1_tree_터미널1-0_쌍용수량0905" xfId="1514" xr:uid="{00000000-0005-0000-0000-0000E9050000}"/>
    <cellStyle name="1_tree_터미널1-0_쌍용수량0905_1차 기성 내역서 0612023" xfId="1515" xr:uid="{00000000-0005-0000-0000-0000EA050000}"/>
    <cellStyle name="1_tree_터미널1-0_쌍용수량0905_3차네고견적(061017-1)" xfId="1516" xr:uid="{00000000-0005-0000-0000-0000EB050000}"/>
    <cellStyle name="1_tree_터미널1-0_쌍용수량0905_백화점화장실인테리어" xfId="1517" xr:uid="{00000000-0005-0000-0000-0000EC050000}"/>
    <cellStyle name="1_tree_터미널1-0_쌍용수량0905_백화점화장실인테리어_1차 기성 내역서 0612023" xfId="1518" xr:uid="{00000000-0005-0000-0000-0000ED050000}"/>
    <cellStyle name="1_tree_터미널1-0_쌍용수량0905_백화점화장실인테리어_3차네고견적(061017-1)" xfId="1519" xr:uid="{00000000-0005-0000-0000-0000EE050000}"/>
    <cellStyle name="1_tree_터미널1-0_쌍용수량0905_설계내역서" xfId="1520" xr:uid="{00000000-0005-0000-0000-0000EF050000}"/>
    <cellStyle name="1_tree_터미널1-0_쌍용수량0905_설계내역서_1차 기성 내역서 0612023" xfId="1521" xr:uid="{00000000-0005-0000-0000-0000F0050000}"/>
    <cellStyle name="1_tree_터미널1-0_쌍용수량0905_설계내역서_3차네고견적(061017-1)" xfId="1522" xr:uid="{00000000-0005-0000-0000-0000F1050000}"/>
    <cellStyle name="1_tree_터미널1-0_쌍용수량0905_설계내역서_백화점화장실인테리어" xfId="1523" xr:uid="{00000000-0005-0000-0000-0000F2050000}"/>
    <cellStyle name="1_tree_터미널1-0_쌍용수량0905_설계내역서_백화점화장실인테리어_1차 기성 내역서 0612023" xfId="1524" xr:uid="{00000000-0005-0000-0000-0000F3050000}"/>
    <cellStyle name="1_tree_터미널1-0_쌍용수량0905_설계내역서_백화점화장실인테리어_3차네고견적(061017-1)" xfId="1525" xr:uid="{00000000-0005-0000-0000-0000F4050000}"/>
    <cellStyle name="1_tree_터미널1-0_쌍용수량0905_설계내역서_화명조경" xfId="1526" xr:uid="{00000000-0005-0000-0000-0000F5050000}"/>
    <cellStyle name="1_tree_터미널1-0_쌍용수량0905_설계내역서_화명조경_1차 기성 내역서 0612023" xfId="1527" xr:uid="{00000000-0005-0000-0000-0000F6050000}"/>
    <cellStyle name="1_tree_터미널1-0_쌍용수량0905_설계내역서_화명조경_3차네고견적(061017-1)" xfId="1528" xr:uid="{00000000-0005-0000-0000-0000F7050000}"/>
    <cellStyle name="1_tree_터미널1-0_쌍용수량0905_설계내역서_화명조경_백화점화장실인테리어" xfId="1529" xr:uid="{00000000-0005-0000-0000-0000F8050000}"/>
    <cellStyle name="1_tree_터미널1-0_쌍용수량0905_설계내역서_화명조경_백화점화장실인테리어_1차 기성 내역서 0612023" xfId="1530" xr:uid="{00000000-0005-0000-0000-0000F9050000}"/>
    <cellStyle name="1_tree_터미널1-0_쌍용수량0905_설계내역서_화명조경_백화점화장실인테리어_3차네고견적(061017-1)" xfId="1531" xr:uid="{00000000-0005-0000-0000-0000FA050000}"/>
    <cellStyle name="1_tree_터미널1-0_쌍용수량0905_설계내역서1월7일" xfId="1532" xr:uid="{00000000-0005-0000-0000-0000FB050000}"/>
    <cellStyle name="1_tree_터미널1-0_쌍용수량0905_설계내역서1월7일_1차 기성 내역서 0612023" xfId="1533" xr:uid="{00000000-0005-0000-0000-0000FC050000}"/>
    <cellStyle name="1_tree_터미널1-0_쌍용수량0905_설계내역서1월7일_3차네고견적(061017-1)" xfId="1534" xr:uid="{00000000-0005-0000-0000-0000FD050000}"/>
    <cellStyle name="1_tree_터미널1-0_쌍용수량0905_설계내역서1월7일_백화점화장실인테리어" xfId="1535" xr:uid="{00000000-0005-0000-0000-0000FE050000}"/>
    <cellStyle name="1_tree_터미널1-0_쌍용수량0905_설계내역서1월7일_백화점화장실인테리어_1차 기성 내역서 0612023" xfId="1536" xr:uid="{00000000-0005-0000-0000-0000FF050000}"/>
    <cellStyle name="1_tree_터미널1-0_쌍용수량0905_설계내역서1월7일_백화점화장실인테리어_3차네고견적(061017-1)" xfId="1537" xr:uid="{00000000-0005-0000-0000-000000060000}"/>
    <cellStyle name="1_tree_터미널1-0_쌍용수량0905_설계내역서1월7일_화명조경" xfId="1538" xr:uid="{00000000-0005-0000-0000-000001060000}"/>
    <cellStyle name="1_tree_터미널1-0_쌍용수량0905_설계내역서1월7일_화명조경_1차 기성 내역서 0612023" xfId="1539" xr:uid="{00000000-0005-0000-0000-000002060000}"/>
    <cellStyle name="1_tree_터미널1-0_쌍용수량0905_설계내역서1월7일_화명조경_3차네고견적(061017-1)" xfId="1540" xr:uid="{00000000-0005-0000-0000-000003060000}"/>
    <cellStyle name="1_tree_터미널1-0_쌍용수량0905_설계내역서1월7일_화명조경_백화점화장실인테리어" xfId="1541" xr:uid="{00000000-0005-0000-0000-000004060000}"/>
    <cellStyle name="1_tree_터미널1-0_쌍용수량0905_설계내역서1월7일_화명조경_백화점화장실인테리어_1차 기성 내역서 0612023" xfId="1542" xr:uid="{00000000-0005-0000-0000-000005060000}"/>
    <cellStyle name="1_tree_터미널1-0_쌍용수량0905_설계내역서1월7일_화명조경_백화점화장실인테리어_3차네고견적(061017-1)" xfId="1543" xr:uid="{00000000-0005-0000-0000-000006060000}"/>
    <cellStyle name="1_tree_터미널1-0_쌍용수량0905_화명조경" xfId="1544" xr:uid="{00000000-0005-0000-0000-000007060000}"/>
    <cellStyle name="1_tree_터미널1-0_쌍용수량0905_화명조경_1차 기성 내역서 0612023" xfId="1545" xr:uid="{00000000-0005-0000-0000-000008060000}"/>
    <cellStyle name="1_tree_터미널1-0_쌍용수량0905_화명조경_3차네고견적(061017-1)" xfId="1546" xr:uid="{00000000-0005-0000-0000-000009060000}"/>
    <cellStyle name="1_tree_터미널1-0_쌍용수량0905_화명조경_백화점화장실인테리어" xfId="1547" xr:uid="{00000000-0005-0000-0000-00000A060000}"/>
    <cellStyle name="1_tree_터미널1-0_쌍용수량0905_화명조경_백화점화장실인테리어_1차 기성 내역서 0612023" xfId="1548" xr:uid="{00000000-0005-0000-0000-00000B060000}"/>
    <cellStyle name="1_tree_터미널1-0_쌍용수량0905_화명조경_백화점화장실인테리어_3차네고견적(061017-1)" xfId="1549" xr:uid="{00000000-0005-0000-0000-00000C060000}"/>
    <cellStyle name="1_tree_터미널1-0_화명조경" xfId="1550" xr:uid="{00000000-0005-0000-0000-00000D060000}"/>
    <cellStyle name="1_tree_터미널1-0_화명조경_1차 기성 내역서 0612023" xfId="1551" xr:uid="{00000000-0005-0000-0000-00000E060000}"/>
    <cellStyle name="1_tree_터미널1-0_화명조경_3차네고견적(061017-1)" xfId="1552" xr:uid="{00000000-0005-0000-0000-00000F060000}"/>
    <cellStyle name="1_tree_터미널1-0_화명조경_백화점화장실인테리어" xfId="1553" xr:uid="{00000000-0005-0000-0000-000010060000}"/>
    <cellStyle name="1_tree_터미널1-0_화명조경_백화점화장실인테리어_1차 기성 내역서 0612023" xfId="1554" xr:uid="{00000000-0005-0000-0000-000011060000}"/>
    <cellStyle name="1_tree_터미널1-0_화명조경_백화점화장실인테리어_3차네고견적(061017-1)" xfId="1555" xr:uid="{00000000-0005-0000-0000-000012060000}"/>
    <cellStyle name="1_tree_한풍집계" xfId="1556" xr:uid="{00000000-0005-0000-0000-000013060000}"/>
    <cellStyle name="1_tree_한풍집계_1차 기성 내역서 0612023" xfId="1557" xr:uid="{00000000-0005-0000-0000-000014060000}"/>
    <cellStyle name="1_tree_한풍집계_3차네고견적(061017-1)" xfId="1558" xr:uid="{00000000-0005-0000-0000-000015060000}"/>
    <cellStyle name="1_tree_한풍집계_갑지0601" xfId="1559" xr:uid="{00000000-0005-0000-0000-000016060000}"/>
    <cellStyle name="1_tree_한풍집계_갑지0601_00갑지" xfId="1560" xr:uid="{00000000-0005-0000-0000-000017060000}"/>
    <cellStyle name="1_tree_한풍집계_갑지0601_00갑지_1차 기성 내역서 0612023" xfId="1561" xr:uid="{00000000-0005-0000-0000-000018060000}"/>
    <cellStyle name="1_tree_한풍집계_갑지0601_00갑지_3차네고견적(061017-1)" xfId="1562" xr:uid="{00000000-0005-0000-0000-000019060000}"/>
    <cellStyle name="1_tree_한풍집계_갑지0601_00갑지_백화점화장실인테리어" xfId="1563" xr:uid="{00000000-0005-0000-0000-00001A060000}"/>
    <cellStyle name="1_tree_한풍집계_갑지0601_00갑지_백화점화장실인테리어_1차 기성 내역서 0612023" xfId="1564" xr:uid="{00000000-0005-0000-0000-00001B060000}"/>
    <cellStyle name="1_tree_한풍집계_갑지0601_00갑지_백화점화장실인테리어_3차네고견적(061017-1)" xfId="1565" xr:uid="{00000000-0005-0000-0000-00001C060000}"/>
    <cellStyle name="1_tree_한풍집계_갑지0601_00갑지_설계내역서" xfId="1566" xr:uid="{00000000-0005-0000-0000-00001D060000}"/>
    <cellStyle name="1_tree_한풍집계_갑지0601_00갑지_설계내역서_1차 기성 내역서 0612023" xfId="1567" xr:uid="{00000000-0005-0000-0000-00001E060000}"/>
    <cellStyle name="1_tree_한풍집계_갑지0601_00갑지_설계내역서_3차네고견적(061017-1)" xfId="1568" xr:uid="{00000000-0005-0000-0000-00001F060000}"/>
    <cellStyle name="1_tree_한풍집계_갑지0601_00갑지_설계내역서_백화점화장실인테리어" xfId="1569" xr:uid="{00000000-0005-0000-0000-000020060000}"/>
    <cellStyle name="1_tree_한풍집계_갑지0601_00갑지_설계내역서_백화점화장실인테리어_1차 기성 내역서 0612023" xfId="1570" xr:uid="{00000000-0005-0000-0000-000021060000}"/>
    <cellStyle name="1_tree_한풍집계_갑지0601_00갑지_설계내역서_백화점화장실인테리어_3차네고견적(061017-1)" xfId="1571" xr:uid="{00000000-0005-0000-0000-000022060000}"/>
    <cellStyle name="1_tree_한풍집계_갑지0601_00갑지_설계내역서_화명조경" xfId="1572" xr:uid="{00000000-0005-0000-0000-000023060000}"/>
    <cellStyle name="1_tree_한풍집계_갑지0601_00갑지_설계내역서_화명조경_1차 기성 내역서 0612023" xfId="1573" xr:uid="{00000000-0005-0000-0000-000024060000}"/>
    <cellStyle name="1_tree_한풍집계_갑지0601_00갑지_설계내역서_화명조경_3차네고견적(061017-1)" xfId="1574" xr:uid="{00000000-0005-0000-0000-000025060000}"/>
    <cellStyle name="1_tree_한풍집계_갑지0601_00갑지_설계내역서_화명조경_백화점화장실인테리어" xfId="1575" xr:uid="{00000000-0005-0000-0000-000026060000}"/>
    <cellStyle name="1_tree_한풍집계_갑지0601_00갑지_설계내역서_화명조경_백화점화장실인테리어_1차 기성 내역서 0612023" xfId="1576" xr:uid="{00000000-0005-0000-0000-000027060000}"/>
    <cellStyle name="1_tree_한풍집계_갑지0601_00갑지_설계내역서_화명조경_백화점화장실인테리어_3차네고견적(061017-1)" xfId="1577" xr:uid="{00000000-0005-0000-0000-000028060000}"/>
    <cellStyle name="1_tree_한풍집계_갑지0601_00갑지_설계내역서1월7일" xfId="1578" xr:uid="{00000000-0005-0000-0000-000029060000}"/>
    <cellStyle name="1_tree_한풍집계_갑지0601_00갑지_설계내역서1월7일_1차 기성 내역서 0612023" xfId="1579" xr:uid="{00000000-0005-0000-0000-00002A060000}"/>
    <cellStyle name="1_tree_한풍집계_갑지0601_00갑지_설계내역서1월7일_3차네고견적(061017-1)" xfId="1580" xr:uid="{00000000-0005-0000-0000-00002B060000}"/>
    <cellStyle name="1_tree_한풍집계_갑지0601_00갑지_설계내역서1월7일_백화점화장실인테리어" xfId="1581" xr:uid="{00000000-0005-0000-0000-00002C060000}"/>
    <cellStyle name="1_tree_한풍집계_갑지0601_00갑지_설계내역서1월7일_백화점화장실인테리어_1차 기성 내역서 0612023" xfId="1582" xr:uid="{00000000-0005-0000-0000-00002D060000}"/>
    <cellStyle name="1_tree_한풍집계_갑지0601_00갑지_설계내역서1월7일_백화점화장실인테리어_3차네고견적(061017-1)" xfId="1583" xr:uid="{00000000-0005-0000-0000-00002E060000}"/>
    <cellStyle name="1_tree_한풍집계_갑지0601_00갑지_설계내역서1월7일_화명조경" xfId="1584" xr:uid="{00000000-0005-0000-0000-00002F060000}"/>
    <cellStyle name="1_tree_한풍집계_갑지0601_00갑지_설계내역서1월7일_화명조경_1차 기성 내역서 0612023" xfId="1585" xr:uid="{00000000-0005-0000-0000-000030060000}"/>
    <cellStyle name="1_tree_한풍집계_갑지0601_00갑지_설계내역서1월7일_화명조경_3차네고견적(061017-1)" xfId="1586" xr:uid="{00000000-0005-0000-0000-000031060000}"/>
    <cellStyle name="1_tree_한풍집계_갑지0601_00갑지_설계내역서1월7일_화명조경_백화점화장실인테리어" xfId="1587" xr:uid="{00000000-0005-0000-0000-000032060000}"/>
    <cellStyle name="1_tree_한풍집계_갑지0601_00갑지_설계내역서1월7일_화명조경_백화점화장실인테리어_1차 기성 내역서 0612023" xfId="1588" xr:uid="{00000000-0005-0000-0000-000033060000}"/>
    <cellStyle name="1_tree_한풍집계_갑지0601_00갑지_설계내역서1월7일_화명조경_백화점화장실인테리어_3차네고견적(061017-1)" xfId="1589" xr:uid="{00000000-0005-0000-0000-000034060000}"/>
    <cellStyle name="1_tree_한풍집계_갑지0601_00갑지_화명조경" xfId="1590" xr:uid="{00000000-0005-0000-0000-000035060000}"/>
    <cellStyle name="1_tree_한풍집계_갑지0601_00갑지_화명조경_1차 기성 내역서 0612023" xfId="1591" xr:uid="{00000000-0005-0000-0000-000036060000}"/>
    <cellStyle name="1_tree_한풍집계_갑지0601_00갑지_화명조경_3차네고견적(061017-1)" xfId="1592" xr:uid="{00000000-0005-0000-0000-000037060000}"/>
    <cellStyle name="1_tree_한풍집계_갑지0601_00갑지_화명조경_백화점화장실인테리어" xfId="1593" xr:uid="{00000000-0005-0000-0000-000038060000}"/>
    <cellStyle name="1_tree_한풍집계_갑지0601_00갑지_화명조경_백화점화장실인테리어_1차 기성 내역서 0612023" xfId="1594" xr:uid="{00000000-0005-0000-0000-000039060000}"/>
    <cellStyle name="1_tree_한풍집계_갑지0601_00갑지_화명조경_백화점화장실인테리어_3차네고견적(061017-1)" xfId="1595" xr:uid="{00000000-0005-0000-0000-00003A060000}"/>
    <cellStyle name="1_tree_한풍집계_갑지0601_1차 기성 내역서 0612023" xfId="1596" xr:uid="{00000000-0005-0000-0000-00003B060000}"/>
    <cellStyle name="1_tree_한풍집계_갑지0601_3차네고견적(061017-1)" xfId="1597" xr:uid="{00000000-0005-0000-0000-00003C060000}"/>
    <cellStyle name="1_tree_한풍집계_갑지0601_과천놀이터설계서" xfId="1598" xr:uid="{00000000-0005-0000-0000-00003D060000}"/>
    <cellStyle name="1_tree_한풍집계_갑지0601_과천놀이터설계서_1차 기성 내역서 0612023" xfId="1599" xr:uid="{00000000-0005-0000-0000-00003E060000}"/>
    <cellStyle name="1_tree_한풍집계_갑지0601_과천놀이터설계서_3차네고견적(061017-1)" xfId="1600" xr:uid="{00000000-0005-0000-0000-00003F060000}"/>
    <cellStyle name="1_tree_한풍집계_갑지0601_과천놀이터설계서_백화점화장실인테리어" xfId="1601" xr:uid="{00000000-0005-0000-0000-000040060000}"/>
    <cellStyle name="1_tree_한풍집계_갑지0601_과천놀이터설계서_백화점화장실인테리어_1차 기성 내역서 0612023" xfId="1602" xr:uid="{00000000-0005-0000-0000-000041060000}"/>
    <cellStyle name="1_tree_한풍집계_갑지0601_과천놀이터설계서_백화점화장실인테리어_3차네고견적(061017-1)" xfId="1603" xr:uid="{00000000-0005-0000-0000-000042060000}"/>
    <cellStyle name="1_tree_한풍집계_갑지0601_과천놀이터설계서_설계내역서" xfId="1604" xr:uid="{00000000-0005-0000-0000-000043060000}"/>
    <cellStyle name="1_tree_한풍집계_갑지0601_과천놀이터설계서_설계내역서_1차 기성 내역서 0612023" xfId="1605" xr:uid="{00000000-0005-0000-0000-000044060000}"/>
    <cellStyle name="1_tree_한풍집계_갑지0601_과천놀이터설계서_설계내역서_3차네고견적(061017-1)" xfId="1606" xr:uid="{00000000-0005-0000-0000-000045060000}"/>
    <cellStyle name="1_tree_한풍집계_갑지0601_과천놀이터설계서_설계내역서_백화점화장실인테리어" xfId="1607" xr:uid="{00000000-0005-0000-0000-000046060000}"/>
    <cellStyle name="1_tree_한풍집계_갑지0601_과천놀이터설계서_설계내역서_백화점화장실인테리어_1차 기성 내역서 0612023" xfId="1608" xr:uid="{00000000-0005-0000-0000-000047060000}"/>
    <cellStyle name="1_tree_한풍집계_갑지0601_과천놀이터설계서_설계내역서_백화점화장실인테리어_3차네고견적(061017-1)" xfId="1609" xr:uid="{00000000-0005-0000-0000-000048060000}"/>
    <cellStyle name="1_tree_한풍집계_갑지0601_과천놀이터설계서_설계내역서_화명조경" xfId="1610" xr:uid="{00000000-0005-0000-0000-000049060000}"/>
    <cellStyle name="1_tree_한풍집계_갑지0601_과천놀이터설계서_설계내역서_화명조경_1차 기성 내역서 0612023" xfId="1611" xr:uid="{00000000-0005-0000-0000-00004A060000}"/>
    <cellStyle name="1_tree_한풍집계_갑지0601_과천놀이터설계서_설계내역서_화명조경_3차네고견적(061017-1)" xfId="1612" xr:uid="{00000000-0005-0000-0000-00004B060000}"/>
    <cellStyle name="1_tree_한풍집계_갑지0601_과천놀이터설계서_설계내역서_화명조경_백화점화장실인테리어" xfId="1613" xr:uid="{00000000-0005-0000-0000-00004C060000}"/>
    <cellStyle name="1_tree_한풍집계_갑지0601_과천놀이터설계서_설계내역서_화명조경_백화점화장실인테리어_1차 기성 내역서 0612023" xfId="1614" xr:uid="{00000000-0005-0000-0000-00004D060000}"/>
    <cellStyle name="1_tree_한풍집계_갑지0601_과천놀이터설계서_설계내역서_화명조경_백화점화장실인테리어_3차네고견적(061017-1)" xfId="1615" xr:uid="{00000000-0005-0000-0000-00004E060000}"/>
    <cellStyle name="1_tree_한풍집계_갑지0601_과천놀이터설계서_설계내역서1월7일" xfId="1616" xr:uid="{00000000-0005-0000-0000-00004F060000}"/>
    <cellStyle name="1_tree_한풍집계_갑지0601_과천놀이터설계서_설계내역서1월7일_1차 기성 내역서 0612023" xfId="1617" xr:uid="{00000000-0005-0000-0000-000050060000}"/>
    <cellStyle name="1_tree_한풍집계_갑지0601_과천놀이터설계서_설계내역서1월7일_3차네고견적(061017-1)" xfId="1618" xr:uid="{00000000-0005-0000-0000-000051060000}"/>
    <cellStyle name="1_tree_한풍집계_갑지0601_과천놀이터설계서_설계내역서1월7일_백화점화장실인테리어" xfId="1619" xr:uid="{00000000-0005-0000-0000-000052060000}"/>
    <cellStyle name="1_tree_한풍집계_갑지0601_과천놀이터설계서_설계내역서1월7일_백화점화장실인테리어_1차 기성 내역서 0612023" xfId="1620" xr:uid="{00000000-0005-0000-0000-000053060000}"/>
    <cellStyle name="1_tree_한풍집계_갑지0601_과천놀이터설계서_설계내역서1월7일_백화점화장실인테리어_3차네고견적(061017-1)" xfId="1621" xr:uid="{00000000-0005-0000-0000-000054060000}"/>
    <cellStyle name="1_tree_한풍집계_갑지0601_과천놀이터설계서_설계내역서1월7일_화명조경" xfId="1622" xr:uid="{00000000-0005-0000-0000-000055060000}"/>
    <cellStyle name="1_tree_한풍집계_갑지0601_과천놀이터설계서_설계내역서1월7일_화명조경_1차 기성 내역서 0612023" xfId="1623" xr:uid="{00000000-0005-0000-0000-000056060000}"/>
    <cellStyle name="1_tree_한풍집계_갑지0601_과천놀이터설계서_설계내역서1월7일_화명조경_3차네고견적(061017-1)" xfId="1624" xr:uid="{00000000-0005-0000-0000-000057060000}"/>
    <cellStyle name="1_tree_한풍집계_갑지0601_과천놀이터설계서_설계내역서1월7일_화명조경_백화점화장실인테리어" xfId="1625" xr:uid="{00000000-0005-0000-0000-000058060000}"/>
    <cellStyle name="1_tree_한풍집계_갑지0601_과천놀이터설계서_설계내역서1월7일_화명조경_백화점화장실인테리어_1차 기성 내역서 0612023" xfId="1626" xr:uid="{00000000-0005-0000-0000-000059060000}"/>
    <cellStyle name="1_tree_한풍집계_갑지0601_과천놀이터설계서_설계내역서1월7일_화명조경_백화점화장실인테리어_3차네고견적(061017-1)" xfId="1627" xr:uid="{00000000-0005-0000-0000-00005A060000}"/>
    <cellStyle name="1_tree_한풍집계_갑지0601_과천놀이터설계서_화명조경" xfId="1628" xr:uid="{00000000-0005-0000-0000-00005B060000}"/>
    <cellStyle name="1_tree_한풍집계_갑지0601_과천놀이터설계서_화명조경_1차 기성 내역서 0612023" xfId="1629" xr:uid="{00000000-0005-0000-0000-00005C060000}"/>
    <cellStyle name="1_tree_한풍집계_갑지0601_과천놀이터설계서_화명조경_3차네고견적(061017-1)" xfId="1630" xr:uid="{00000000-0005-0000-0000-00005D060000}"/>
    <cellStyle name="1_tree_한풍집계_갑지0601_과천놀이터설계서_화명조경_백화점화장실인테리어" xfId="1631" xr:uid="{00000000-0005-0000-0000-00005E060000}"/>
    <cellStyle name="1_tree_한풍집계_갑지0601_과천놀이터설계서_화명조경_백화점화장실인테리어_1차 기성 내역서 0612023" xfId="1632" xr:uid="{00000000-0005-0000-0000-00005F060000}"/>
    <cellStyle name="1_tree_한풍집계_갑지0601_과천놀이터설계서_화명조경_백화점화장실인테리어_3차네고견적(061017-1)" xfId="1633" xr:uid="{00000000-0005-0000-0000-000060060000}"/>
    <cellStyle name="1_tree_한풍집계_갑지0601_백화점화장실인테리어" xfId="1634" xr:uid="{00000000-0005-0000-0000-000061060000}"/>
    <cellStyle name="1_tree_한풍집계_갑지0601_백화점화장실인테리어_1차 기성 내역서 0612023" xfId="1635" xr:uid="{00000000-0005-0000-0000-000062060000}"/>
    <cellStyle name="1_tree_한풍집계_갑지0601_백화점화장실인테리어_3차네고견적(061017-1)" xfId="1636" xr:uid="{00000000-0005-0000-0000-000063060000}"/>
    <cellStyle name="1_tree_한풍집계_갑지0601_총괄갑지" xfId="1637" xr:uid="{00000000-0005-0000-0000-000064060000}"/>
    <cellStyle name="1_tree_한풍집계_갑지0601_총괄갑지_1차 기성 내역서 0612023" xfId="1638" xr:uid="{00000000-0005-0000-0000-000065060000}"/>
    <cellStyle name="1_tree_한풍집계_갑지0601_총괄갑지_3차네고견적(061017-1)" xfId="1639" xr:uid="{00000000-0005-0000-0000-000066060000}"/>
    <cellStyle name="1_tree_한풍집계_갑지0601_총괄갑지_백화점화장실인테리어" xfId="1640" xr:uid="{00000000-0005-0000-0000-000067060000}"/>
    <cellStyle name="1_tree_한풍집계_갑지0601_총괄갑지_백화점화장실인테리어_1차 기성 내역서 0612023" xfId="1641" xr:uid="{00000000-0005-0000-0000-000068060000}"/>
    <cellStyle name="1_tree_한풍집계_갑지0601_총괄갑지_백화점화장실인테리어_3차네고견적(061017-1)" xfId="1642" xr:uid="{00000000-0005-0000-0000-000069060000}"/>
    <cellStyle name="1_tree_한풍집계_갑지0601_총괄갑지_설계내역서" xfId="1643" xr:uid="{00000000-0005-0000-0000-00006A060000}"/>
    <cellStyle name="1_tree_한풍집계_갑지0601_총괄갑지_설계내역서_1차 기성 내역서 0612023" xfId="1644" xr:uid="{00000000-0005-0000-0000-00006B060000}"/>
    <cellStyle name="1_tree_한풍집계_갑지0601_총괄갑지_설계내역서_3차네고견적(061017-1)" xfId="1645" xr:uid="{00000000-0005-0000-0000-00006C060000}"/>
    <cellStyle name="1_tree_한풍집계_갑지0601_총괄갑지_설계내역서_백화점화장실인테리어" xfId="1646" xr:uid="{00000000-0005-0000-0000-00006D060000}"/>
    <cellStyle name="1_tree_한풍집계_갑지0601_총괄갑지_설계내역서_백화점화장실인테리어_1차 기성 내역서 0612023" xfId="1647" xr:uid="{00000000-0005-0000-0000-00006E060000}"/>
    <cellStyle name="1_tree_한풍집계_갑지0601_총괄갑지_설계내역서_백화점화장실인테리어_3차네고견적(061017-1)" xfId="1648" xr:uid="{00000000-0005-0000-0000-00006F060000}"/>
    <cellStyle name="1_tree_한풍집계_갑지0601_총괄갑지_설계내역서_화명조경" xfId="1649" xr:uid="{00000000-0005-0000-0000-000070060000}"/>
    <cellStyle name="1_tree_한풍집계_갑지0601_총괄갑지_설계내역서_화명조경_1차 기성 내역서 0612023" xfId="1650" xr:uid="{00000000-0005-0000-0000-000071060000}"/>
    <cellStyle name="1_tree_한풍집계_갑지0601_총괄갑지_설계내역서_화명조경_3차네고견적(061017-1)" xfId="1651" xr:uid="{00000000-0005-0000-0000-000072060000}"/>
    <cellStyle name="1_tree_한풍집계_갑지0601_총괄갑지_설계내역서_화명조경_백화점화장실인테리어" xfId="1652" xr:uid="{00000000-0005-0000-0000-000073060000}"/>
    <cellStyle name="1_tree_한풍집계_갑지0601_총괄갑지_설계내역서_화명조경_백화점화장실인테리어_1차 기성 내역서 0612023" xfId="1653" xr:uid="{00000000-0005-0000-0000-000074060000}"/>
    <cellStyle name="1_tree_한풍집계_갑지0601_총괄갑지_설계내역서_화명조경_백화점화장실인테리어_3차네고견적(061017-1)" xfId="1654" xr:uid="{00000000-0005-0000-0000-000075060000}"/>
    <cellStyle name="1_tree_한풍집계_갑지0601_총괄갑지_설계내역서1월7일" xfId="1655" xr:uid="{00000000-0005-0000-0000-000076060000}"/>
    <cellStyle name="1_tree_한풍집계_갑지0601_총괄갑지_설계내역서1월7일_1차 기성 내역서 0612023" xfId="1656" xr:uid="{00000000-0005-0000-0000-000077060000}"/>
    <cellStyle name="1_tree_한풍집계_갑지0601_총괄갑지_설계내역서1월7일_3차네고견적(061017-1)" xfId="1657" xr:uid="{00000000-0005-0000-0000-000078060000}"/>
    <cellStyle name="1_tree_한풍집계_갑지0601_총괄갑지_설계내역서1월7일_백화점화장실인테리어" xfId="1658" xr:uid="{00000000-0005-0000-0000-000079060000}"/>
    <cellStyle name="1_tree_한풍집계_갑지0601_총괄갑지_설계내역서1월7일_백화점화장실인테리어_1차 기성 내역서 0612023" xfId="1659" xr:uid="{00000000-0005-0000-0000-00007A060000}"/>
    <cellStyle name="1_tree_한풍집계_갑지0601_총괄갑지_설계내역서1월7일_백화점화장실인테리어_3차네고견적(061017-1)" xfId="1660" xr:uid="{00000000-0005-0000-0000-00007B060000}"/>
    <cellStyle name="1_tree_한풍집계_갑지0601_총괄갑지_설계내역서1월7일_화명조경" xfId="1661" xr:uid="{00000000-0005-0000-0000-00007C060000}"/>
    <cellStyle name="1_tree_한풍집계_갑지0601_총괄갑지_설계내역서1월7일_화명조경_1차 기성 내역서 0612023" xfId="1662" xr:uid="{00000000-0005-0000-0000-00007D060000}"/>
    <cellStyle name="1_tree_한풍집계_갑지0601_총괄갑지_설계내역서1월7일_화명조경_3차네고견적(061017-1)" xfId="1663" xr:uid="{00000000-0005-0000-0000-00007E060000}"/>
    <cellStyle name="1_tree_한풍집계_갑지0601_총괄갑지_설계내역서1월7일_화명조경_백화점화장실인테리어" xfId="1664" xr:uid="{00000000-0005-0000-0000-00007F060000}"/>
    <cellStyle name="1_tree_한풍집계_갑지0601_총괄갑지_설계내역서1월7일_화명조경_백화점화장실인테리어_1차 기성 내역서 0612023" xfId="1665" xr:uid="{00000000-0005-0000-0000-000080060000}"/>
    <cellStyle name="1_tree_한풍집계_갑지0601_총괄갑지_설계내역서1월7일_화명조경_백화점화장실인테리어_3차네고견적(061017-1)" xfId="1666" xr:uid="{00000000-0005-0000-0000-000081060000}"/>
    <cellStyle name="1_tree_한풍집계_갑지0601_총괄갑지_화명조경" xfId="1667" xr:uid="{00000000-0005-0000-0000-000082060000}"/>
    <cellStyle name="1_tree_한풍집계_갑지0601_총괄갑지_화명조경_1차 기성 내역서 0612023" xfId="1668" xr:uid="{00000000-0005-0000-0000-000083060000}"/>
    <cellStyle name="1_tree_한풍집계_갑지0601_총괄갑지_화명조경_3차네고견적(061017-1)" xfId="1669" xr:uid="{00000000-0005-0000-0000-000084060000}"/>
    <cellStyle name="1_tree_한풍집계_갑지0601_총괄갑지_화명조경_백화점화장실인테리어" xfId="1670" xr:uid="{00000000-0005-0000-0000-000085060000}"/>
    <cellStyle name="1_tree_한풍집계_갑지0601_총괄갑지_화명조경_백화점화장실인테리어_1차 기성 내역서 0612023" xfId="1671" xr:uid="{00000000-0005-0000-0000-000086060000}"/>
    <cellStyle name="1_tree_한풍집계_갑지0601_총괄갑지_화명조경_백화점화장실인테리어_3차네고견적(061017-1)" xfId="1672" xr:uid="{00000000-0005-0000-0000-000087060000}"/>
    <cellStyle name="1_tree_한풍집계_갑지0601_총괄내역서" xfId="1673" xr:uid="{00000000-0005-0000-0000-000088060000}"/>
    <cellStyle name="1_tree_한풍집계_갑지0601_총괄내역서_1차 기성 내역서 0612023" xfId="1674" xr:uid="{00000000-0005-0000-0000-000089060000}"/>
    <cellStyle name="1_tree_한풍집계_갑지0601_총괄내역서_3차네고견적(061017-1)" xfId="1675" xr:uid="{00000000-0005-0000-0000-00008A060000}"/>
    <cellStyle name="1_tree_한풍집계_갑지0601_총괄내역서_백화점화장실인테리어" xfId="1676" xr:uid="{00000000-0005-0000-0000-00008B060000}"/>
    <cellStyle name="1_tree_한풍집계_갑지0601_총괄내역서_백화점화장실인테리어_1차 기성 내역서 0612023" xfId="1677" xr:uid="{00000000-0005-0000-0000-00008C060000}"/>
    <cellStyle name="1_tree_한풍집계_갑지0601_총괄내역서_백화점화장실인테리어_3차네고견적(061017-1)" xfId="1678" xr:uid="{00000000-0005-0000-0000-00008D060000}"/>
    <cellStyle name="1_tree_한풍집계_갑지0601_총괄내역서_설계내역서" xfId="1679" xr:uid="{00000000-0005-0000-0000-00008E060000}"/>
    <cellStyle name="1_tree_한풍집계_갑지0601_총괄내역서_설계내역서_1차 기성 내역서 0612023" xfId="1680" xr:uid="{00000000-0005-0000-0000-00008F060000}"/>
    <cellStyle name="1_tree_한풍집계_갑지0601_총괄내역서_설계내역서_3차네고견적(061017-1)" xfId="1681" xr:uid="{00000000-0005-0000-0000-000090060000}"/>
    <cellStyle name="1_tree_한풍집계_갑지0601_총괄내역서_설계내역서_백화점화장실인테리어" xfId="1682" xr:uid="{00000000-0005-0000-0000-000091060000}"/>
    <cellStyle name="1_tree_한풍집계_갑지0601_총괄내역서_설계내역서_백화점화장실인테리어_1차 기성 내역서 0612023" xfId="1683" xr:uid="{00000000-0005-0000-0000-000092060000}"/>
    <cellStyle name="1_tree_한풍집계_갑지0601_총괄내역서_설계내역서_백화점화장실인테리어_3차네고견적(061017-1)" xfId="1684" xr:uid="{00000000-0005-0000-0000-000093060000}"/>
    <cellStyle name="1_tree_한풍집계_갑지0601_총괄내역서_설계내역서_화명조경" xfId="1685" xr:uid="{00000000-0005-0000-0000-000094060000}"/>
    <cellStyle name="1_tree_한풍집계_갑지0601_총괄내역서_설계내역서_화명조경_1차 기성 내역서 0612023" xfId="1686" xr:uid="{00000000-0005-0000-0000-000095060000}"/>
    <cellStyle name="1_tree_한풍집계_갑지0601_총괄내역서_설계내역서_화명조경_3차네고견적(061017-1)" xfId="1687" xr:uid="{00000000-0005-0000-0000-000096060000}"/>
    <cellStyle name="1_tree_한풍집계_갑지0601_총괄내역서_설계내역서_화명조경_백화점화장실인테리어" xfId="1688" xr:uid="{00000000-0005-0000-0000-000097060000}"/>
    <cellStyle name="1_tree_한풍집계_갑지0601_총괄내역서_설계내역서_화명조경_백화점화장실인테리어_1차 기성 내역서 0612023" xfId="1689" xr:uid="{00000000-0005-0000-0000-000098060000}"/>
    <cellStyle name="1_tree_한풍집계_갑지0601_총괄내역서_설계내역서_화명조경_백화점화장실인테리어_3차네고견적(061017-1)" xfId="1690" xr:uid="{00000000-0005-0000-0000-000099060000}"/>
    <cellStyle name="1_tree_한풍집계_갑지0601_총괄내역서_설계내역서1월7일" xfId="1691" xr:uid="{00000000-0005-0000-0000-00009A060000}"/>
    <cellStyle name="1_tree_한풍집계_갑지0601_총괄내역서_설계내역서1월7일_1차 기성 내역서 0612023" xfId="1692" xr:uid="{00000000-0005-0000-0000-00009B060000}"/>
    <cellStyle name="1_tree_한풍집계_갑지0601_총괄내역서_설계내역서1월7일_3차네고견적(061017-1)" xfId="1693" xr:uid="{00000000-0005-0000-0000-00009C060000}"/>
    <cellStyle name="1_tree_한풍집계_갑지0601_총괄내역서_설계내역서1월7일_백화점화장실인테리어" xfId="1694" xr:uid="{00000000-0005-0000-0000-00009D060000}"/>
    <cellStyle name="1_tree_한풍집계_갑지0601_총괄내역서_설계내역서1월7일_백화점화장실인테리어_1차 기성 내역서 0612023" xfId="1695" xr:uid="{00000000-0005-0000-0000-00009E060000}"/>
    <cellStyle name="1_tree_한풍집계_갑지0601_총괄내역서_설계내역서1월7일_백화점화장실인테리어_3차네고견적(061017-1)" xfId="1696" xr:uid="{00000000-0005-0000-0000-00009F060000}"/>
    <cellStyle name="1_tree_한풍집계_갑지0601_총괄내역서_설계내역서1월7일_화명조경" xfId="1697" xr:uid="{00000000-0005-0000-0000-0000A0060000}"/>
    <cellStyle name="1_tree_한풍집계_갑지0601_총괄내역서_설계내역서1월7일_화명조경_1차 기성 내역서 0612023" xfId="1698" xr:uid="{00000000-0005-0000-0000-0000A1060000}"/>
    <cellStyle name="1_tree_한풍집계_갑지0601_총괄내역서_설계내역서1월7일_화명조경_3차네고견적(061017-1)" xfId="1699" xr:uid="{00000000-0005-0000-0000-0000A2060000}"/>
    <cellStyle name="1_tree_한풍집계_갑지0601_총괄내역서_설계내역서1월7일_화명조경_백화점화장실인테리어" xfId="1700" xr:uid="{00000000-0005-0000-0000-0000A3060000}"/>
    <cellStyle name="1_tree_한풍집계_갑지0601_총괄내역서_설계내역서1월7일_화명조경_백화점화장실인테리어_1차 기성 내역서 0612023" xfId="1701" xr:uid="{00000000-0005-0000-0000-0000A4060000}"/>
    <cellStyle name="1_tree_한풍집계_갑지0601_총괄내역서_설계내역서1월7일_화명조경_백화점화장실인테리어_3차네고견적(061017-1)" xfId="1702" xr:uid="{00000000-0005-0000-0000-0000A5060000}"/>
    <cellStyle name="1_tree_한풍집계_갑지0601_총괄내역서_화명조경" xfId="1703" xr:uid="{00000000-0005-0000-0000-0000A6060000}"/>
    <cellStyle name="1_tree_한풍집계_갑지0601_총괄내역서_화명조경_1차 기성 내역서 0612023" xfId="1704" xr:uid="{00000000-0005-0000-0000-0000A7060000}"/>
    <cellStyle name="1_tree_한풍집계_갑지0601_총괄내역서_화명조경_3차네고견적(061017-1)" xfId="1705" xr:uid="{00000000-0005-0000-0000-0000A8060000}"/>
    <cellStyle name="1_tree_한풍집계_갑지0601_총괄내역서_화명조경_백화점화장실인테리어" xfId="1706" xr:uid="{00000000-0005-0000-0000-0000A9060000}"/>
    <cellStyle name="1_tree_한풍집계_갑지0601_총괄내역서_화명조경_백화점화장실인테리어_1차 기성 내역서 0612023" xfId="1707" xr:uid="{00000000-0005-0000-0000-0000AA060000}"/>
    <cellStyle name="1_tree_한풍집계_갑지0601_총괄내역서_화명조경_백화점화장실인테리어_3차네고견적(061017-1)" xfId="1708" xr:uid="{00000000-0005-0000-0000-0000AB060000}"/>
    <cellStyle name="1_tree_한풍집계_갑지0601_화명조경" xfId="1709" xr:uid="{00000000-0005-0000-0000-0000AC060000}"/>
    <cellStyle name="1_tree_한풍집계_갑지0601_화명조경_1차 기성 내역서 0612023" xfId="1710" xr:uid="{00000000-0005-0000-0000-0000AD060000}"/>
    <cellStyle name="1_tree_한풍집계_갑지0601_화명조경_3차네고견적(061017-1)" xfId="1711" xr:uid="{00000000-0005-0000-0000-0000AE060000}"/>
    <cellStyle name="1_tree_한풍집계_갑지0601_화명조경_백화점화장실인테리어" xfId="1712" xr:uid="{00000000-0005-0000-0000-0000AF060000}"/>
    <cellStyle name="1_tree_한풍집계_갑지0601_화명조경_백화점화장실인테리어_1차 기성 내역서 0612023" xfId="1713" xr:uid="{00000000-0005-0000-0000-0000B0060000}"/>
    <cellStyle name="1_tree_한풍집계_갑지0601_화명조경_백화점화장실인테리어_3차네고견적(061017-1)" xfId="1714" xr:uid="{00000000-0005-0000-0000-0000B1060000}"/>
    <cellStyle name="1_tree_한풍집계_백화점화장실인테리어" xfId="1715" xr:uid="{00000000-0005-0000-0000-0000B2060000}"/>
    <cellStyle name="1_tree_한풍집계_백화점화장실인테리어_1차 기성 내역서 0612023" xfId="1716" xr:uid="{00000000-0005-0000-0000-0000B3060000}"/>
    <cellStyle name="1_tree_한풍집계_백화점화장실인테리어_3차네고견적(061017-1)" xfId="1717" xr:uid="{00000000-0005-0000-0000-0000B4060000}"/>
    <cellStyle name="1_tree_한풍집계_설계내역서" xfId="1718" xr:uid="{00000000-0005-0000-0000-0000B5060000}"/>
    <cellStyle name="1_tree_한풍집계_설계내역서_1차 기성 내역서 0612023" xfId="1719" xr:uid="{00000000-0005-0000-0000-0000B6060000}"/>
    <cellStyle name="1_tree_한풍집계_설계내역서_3차네고견적(061017-1)" xfId="1720" xr:uid="{00000000-0005-0000-0000-0000B7060000}"/>
    <cellStyle name="1_tree_한풍집계_설계내역서_백화점화장실인테리어" xfId="1721" xr:uid="{00000000-0005-0000-0000-0000B8060000}"/>
    <cellStyle name="1_tree_한풍집계_설계내역서_백화점화장실인테리어_1차 기성 내역서 0612023" xfId="1722" xr:uid="{00000000-0005-0000-0000-0000B9060000}"/>
    <cellStyle name="1_tree_한풍집계_설계내역서_백화점화장실인테리어_3차네고견적(061017-1)" xfId="1723" xr:uid="{00000000-0005-0000-0000-0000BA060000}"/>
    <cellStyle name="1_tree_한풍집계_설계내역서_화명조경" xfId="1724" xr:uid="{00000000-0005-0000-0000-0000BB060000}"/>
    <cellStyle name="1_tree_한풍집계_설계내역서_화명조경_1차 기성 내역서 0612023" xfId="1725" xr:uid="{00000000-0005-0000-0000-0000BC060000}"/>
    <cellStyle name="1_tree_한풍집계_설계내역서_화명조경_3차네고견적(061017-1)" xfId="1726" xr:uid="{00000000-0005-0000-0000-0000BD060000}"/>
    <cellStyle name="1_tree_한풍집계_설계내역서_화명조경_백화점화장실인테리어" xfId="1727" xr:uid="{00000000-0005-0000-0000-0000BE060000}"/>
    <cellStyle name="1_tree_한풍집계_설계내역서_화명조경_백화점화장실인테리어_1차 기성 내역서 0612023" xfId="1728" xr:uid="{00000000-0005-0000-0000-0000BF060000}"/>
    <cellStyle name="1_tree_한풍집계_설계내역서_화명조경_백화점화장실인테리어_3차네고견적(061017-1)" xfId="1729" xr:uid="{00000000-0005-0000-0000-0000C0060000}"/>
    <cellStyle name="1_tree_한풍집계_설계내역서1월7일" xfId="1730" xr:uid="{00000000-0005-0000-0000-0000C1060000}"/>
    <cellStyle name="1_tree_한풍집계_설계내역서1월7일_1차 기성 내역서 0612023" xfId="1731" xr:uid="{00000000-0005-0000-0000-0000C2060000}"/>
    <cellStyle name="1_tree_한풍집계_설계내역서1월7일_3차네고견적(061017-1)" xfId="1732" xr:uid="{00000000-0005-0000-0000-0000C3060000}"/>
    <cellStyle name="1_tree_한풍집계_설계내역서1월7일_백화점화장실인테리어" xfId="1733" xr:uid="{00000000-0005-0000-0000-0000C4060000}"/>
    <cellStyle name="1_tree_한풍집계_설계내역서1월7일_백화점화장실인테리어_1차 기성 내역서 0612023" xfId="1734" xr:uid="{00000000-0005-0000-0000-0000C5060000}"/>
    <cellStyle name="1_tree_한풍집계_설계내역서1월7일_백화점화장실인테리어_3차네고견적(061017-1)" xfId="1735" xr:uid="{00000000-0005-0000-0000-0000C6060000}"/>
    <cellStyle name="1_tree_한풍집계_설계내역서1월7일_화명조경" xfId="1736" xr:uid="{00000000-0005-0000-0000-0000C7060000}"/>
    <cellStyle name="1_tree_한풍집계_설계내역서1월7일_화명조경_1차 기성 내역서 0612023" xfId="1737" xr:uid="{00000000-0005-0000-0000-0000C8060000}"/>
    <cellStyle name="1_tree_한풍집계_설계내역서1월7일_화명조경_3차네고견적(061017-1)" xfId="1738" xr:uid="{00000000-0005-0000-0000-0000C9060000}"/>
    <cellStyle name="1_tree_한풍집계_설계내역서1월7일_화명조경_백화점화장실인테리어" xfId="1739" xr:uid="{00000000-0005-0000-0000-0000CA060000}"/>
    <cellStyle name="1_tree_한풍집계_설계내역서1월7일_화명조경_백화점화장실인테리어_1차 기성 내역서 0612023" xfId="1740" xr:uid="{00000000-0005-0000-0000-0000CB060000}"/>
    <cellStyle name="1_tree_한풍집계_설계내역서1월7일_화명조경_백화점화장실인테리어_3차네고견적(061017-1)" xfId="1741" xr:uid="{00000000-0005-0000-0000-0000CC060000}"/>
    <cellStyle name="1_tree_한풍집계_쌍용수량0905" xfId="1742" xr:uid="{00000000-0005-0000-0000-0000CD060000}"/>
    <cellStyle name="1_tree_한풍집계_쌍용수량0905_1차 기성 내역서 0612023" xfId="1743" xr:uid="{00000000-0005-0000-0000-0000CE060000}"/>
    <cellStyle name="1_tree_한풍집계_쌍용수량0905_3차네고견적(061017-1)" xfId="1744" xr:uid="{00000000-0005-0000-0000-0000CF060000}"/>
    <cellStyle name="1_tree_한풍집계_쌍용수량0905_백화점화장실인테리어" xfId="1745" xr:uid="{00000000-0005-0000-0000-0000D0060000}"/>
    <cellStyle name="1_tree_한풍집계_쌍용수량0905_백화점화장실인테리어_1차 기성 내역서 0612023" xfId="1746" xr:uid="{00000000-0005-0000-0000-0000D1060000}"/>
    <cellStyle name="1_tree_한풍집계_쌍용수량0905_백화점화장실인테리어_3차네고견적(061017-1)" xfId="1747" xr:uid="{00000000-0005-0000-0000-0000D2060000}"/>
    <cellStyle name="1_tree_한풍집계_쌍용수량0905_설계내역서" xfId="1748" xr:uid="{00000000-0005-0000-0000-0000D3060000}"/>
    <cellStyle name="1_tree_한풍집계_쌍용수량0905_설계내역서_1차 기성 내역서 0612023" xfId="1749" xr:uid="{00000000-0005-0000-0000-0000D4060000}"/>
    <cellStyle name="1_tree_한풍집계_쌍용수량0905_설계내역서_3차네고견적(061017-1)" xfId="1750" xr:uid="{00000000-0005-0000-0000-0000D5060000}"/>
    <cellStyle name="1_tree_한풍집계_쌍용수량0905_설계내역서_백화점화장실인테리어" xfId="1751" xr:uid="{00000000-0005-0000-0000-0000D6060000}"/>
    <cellStyle name="1_tree_한풍집계_쌍용수량0905_설계내역서_백화점화장실인테리어_1차 기성 내역서 0612023" xfId="1752" xr:uid="{00000000-0005-0000-0000-0000D7060000}"/>
    <cellStyle name="1_tree_한풍집계_쌍용수량0905_설계내역서_백화점화장실인테리어_3차네고견적(061017-1)" xfId="1753" xr:uid="{00000000-0005-0000-0000-0000D8060000}"/>
    <cellStyle name="1_tree_한풍집계_쌍용수량0905_설계내역서_화명조경" xfId="1754" xr:uid="{00000000-0005-0000-0000-0000D9060000}"/>
    <cellStyle name="1_tree_한풍집계_쌍용수량0905_설계내역서_화명조경_1차 기성 내역서 0612023" xfId="1755" xr:uid="{00000000-0005-0000-0000-0000DA060000}"/>
    <cellStyle name="1_tree_한풍집계_쌍용수량0905_설계내역서_화명조경_3차네고견적(061017-1)" xfId="1756" xr:uid="{00000000-0005-0000-0000-0000DB060000}"/>
    <cellStyle name="1_tree_한풍집계_쌍용수량0905_설계내역서_화명조경_백화점화장실인테리어" xfId="1757" xr:uid="{00000000-0005-0000-0000-0000DC060000}"/>
    <cellStyle name="1_tree_한풍집계_쌍용수량0905_설계내역서_화명조경_백화점화장실인테리어_1차 기성 내역서 0612023" xfId="1758" xr:uid="{00000000-0005-0000-0000-0000DD060000}"/>
    <cellStyle name="1_tree_한풍집계_쌍용수량0905_설계내역서_화명조경_백화점화장실인테리어_3차네고견적(061017-1)" xfId="1759" xr:uid="{00000000-0005-0000-0000-0000DE060000}"/>
    <cellStyle name="1_tree_한풍집계_쌍용수량0905_설계내역서1월7일" xfId="1760" xr:uid="{00000000-0005-0000-0000-0000DF060000}"/>
    <cellStyle name="1_tree_한풍집계_쌍용수량0905_설계내역서1월7일_1차 기성 내역서 0612023" xfId="1761" xr:uid="{00000000-0005-0000-0000-0000E0060000}"/>
    <cellStyle name="1_tree_한풍집계_쌍용수량0905_설계내역서1월7일_3차네고견적(061017-1)" xfId="1762" xr:uid="{00000000-0005-0000-0000-0000E1060000}"/>
    <cellStyle name="1_tree_한풍집계_쌍용수량0905_설계내역서1월7일_백화점화장실인테리어" xfId="1763" xr:uid="{00000000-0005-0000-0000-0000E2060000}"/>
    <cellStyle name="1_tree_한풍집계_쌍용수량0905_설계내역서1월7일_백화점화장실인테리어_1차 기성 내역서 0612023" xfId="1764" xr:uid="{00000000-0005-0000-0000-0000E3060000}"/>
    <cellStyle name="1_tree_한풍집계_쌍용수량0905_설계내역서1월7일_백화점화장실인테리어_3차네고견적(061017-1)" xfId="1765" xr:uid="{00000000-0005-0000-0000-0000E4060000}"/>
    <cellStyle name="1_tree_한풍집계_쌍용수량0905_설계내역서1월7일_화명조경" xfId="1766" xr:uid="{00000000-0005-0000-0000-0000E5060000}"/>
    <cellStyle name="1_tree_한풍집계_쌍용수량0905_설계내역서1월7일_화명조경_1차 기성 내역서 0612023" xfId="1767" xr:uid="{00000000-0005-0000-0000-0000E6060000}"/>
    <cellStyle name="1_tree_한풍집계_쌍용수량0905_설계내역서1월7일_화명조경_3차네고견적(061017-1)" xfId="1768" xr:uid="{00000000-0005-0000-0000-0000E7060000}"/>
    <cellStyle name="1_tree_한풍집계_쌍용수량0905_설계내역서1월7일_화명조경_백화점화장실인테리어" xfId="1769" xr:uid="{00000000-0005-0000-0000-0000E8060000}"/>
    <cellStyle name="1_tree_한풍집계_쌍용수량0905_설계내역서1월7일_화명조경_백화점화장실인테리어_1차 기성 내역서 0612023" xfId="1770" xr:uid="{00000000-0005-0000-0000-0000E9060000}"/>
    <cellStyle name="1_tree_한풍집계_쌍용수량0905_설계내역서1월7일_화명조경_백화점화장실인테리어_3차네고견적(061017-1)" xfId="1771" xr:uid="{00000000-0005-0000-0000-0000EA060000}"/>
    <cellStyle name="1_tree_한풍집계_쌍용수량0905_화명조경" xfId="1772" xr:uid="{00000000-0005-0000-0000-0000EB060000}"/>
    <cellStyle name="1_tree_한풍집계_쌍용수량0905_화명조경_1차 기성 내역서 0612023" xfId="1773" xr:uid="{00000000-0005-0000-0000-0000EC060000}"/>
    <cellStyle name="1_tree_한풍집계_쌍용수량0905_화명조경_3차네고견적(061017-1)" xfId="1774" xr:uid="{00000000-0005-0000-0000-0000ED060000}"/>
    <cellStyle name="1_tree_한풍집계_쌍용수량0905_화명조경_백화점화장실인테리어" xfId="1775" xr:uid="{00000000-0005-0000-0000-0000EE060000}"/>
    <cellStyle name="1_tree_한풍집계_쌍용수량0905_화명조경_백화점화장실인테리어_1차 기성 내역서 0612023" xfId="1776" xr:uid="{00000000-0005-0000-0000-0000EF060000}"/>
    <cellStyle name="1_tree_한풍집계_쌍용수량0905_화명조경_백화점화장실인테리어_3차네고견적(061017-1)" xfId="1777" xr:uid="{00000000-0005-0000-0000-0000F0060000}"/>
    <cellStyle name="1_tree_한풍집계_터미널1-0" xfId="1778" xr:uid="{00000000-0005-0000-0000-0000F1060000}"/>
    <cellStyle name="1_tree_한풍집계_터미널1-0_1차 기성 내역서 0612023" xfId="1779" xr:uid="{00000000-0005-0000-0000-0000F2060000}"/>
    <cellStyle name="1_tree_한풍집계_터미널1-0_3차네고견적(061017-1)" xfId="1780" xr:uid="{00000000-0005-0000-0000-0000F3060000}"/>
    <cellStyle name="1_tree_한풍집계_터미널1-0_백화점화장실인테리어" xfId="1781" xr:uid="{00000000-0005-0000-0000-0000F4060000}"/>
    <cellStyle name="1_tree_한풍집계_터미널1-0_백화점화장실인테리어_1차 기성 내역서 0612023" xfId="1782" xr:uid="{00000000-0005-0000-0000-0000F5060000}"/>
    <cellStyle name="1_tree_한풍집계_터미널1-0_백화점화장실인테리어_3차네고견적(061017-1)" xfId="1783" xr:uid="{00000000-0005-0000-0000-0000F6060000}"/>
    <cellStyle name="1_tree_한풍집계_터미널1-0_화명조경" xfId="1784" xr:uid="{00000000-0005-0000-0000-0000F7060000}"/>
    <cellStyle name="1_tree_한풍집계_터미널1-0_화명조경_1차 기성 내역서 0612023" xfId="1785" xr:uid="{00000000-0005-0000-0000-0000F8060000}"/>
    <cellStyle name="1_tree_한풍집계_터미널1-0_화명조경_3차네고견적(061017-1)" xfId="1786" xr:uid="{00000000-0005-0000-0000-0000F9060000}"/>
    <cellStyle name="1_tree_한풍집계_터미널1-0_화명조경_백화점화장실인테리어" xfId="1787" xr:uid="{00000000-0005-0000-0000-0000FA060000}"/>
    <cellStyle name="1_tree_한풍집계_터미널1-0_화명조경_백화점화장실인테리어_1차 기성 내역서 0612023" xfId="1788" xr:uid="{00000000-0005-0000-0000-0000FB060000}"/>
    <cellStyle name="1_tree_한풍집계_터미널1-0_화명조경_백화점화장실인테리어_3차네고견적(061017-1)" xfId="1789" xr:uid="{00000000-0005-0000-0000-0000FC060000}"/>
    <cellStyle name="1_tree_한풍집계_화명조경" xfId="1790" xr:uid="{00000000-0005-0000-0000-0000FD060000}"/>
    <cellStyle name="1_tree_한풍집계_화명조경_1차 기성 내역서 0612023" xfId="1791" xr:uid="{00000000-0005-0000-0000-0000FE060000}"/>
    <cellStyle name="1_tree_한풍집계_화명조경_3차네고견적(061017-1)" xfId="1792" xr:uid="{00000000-0005-0000-0000-0000FF060000}"/>
    <cellStyle name="1_tree_한풍집계_화명조경_백화점화장실인테리어" xfId="1793" xr:uid="{00000000-0005-0000-0000-000000070000}"/>
    <cellStyle name="1_tree_한풍집계_화명조경_백화점화장실인테리어_1차 기성 내역서 0612023" xfId="1794" xr:uid="{00000000-0005-0000-0000-000001070000}"/>
    <cellStyle name="1_tree_한풍집계_화명조경_백화점화장실인테리어_3차네고견적(061017-1)" xfId="1795" xr:uid="{00000000-0005-0000-0000-000002070000}"/>
    <cellStyle name="1_tree_화명조경" xfId="1796" xr:uid="{00000000-0005-0000-0000-000003070000}"/>
    <cellStyle name="1_tree_화명조경_1차 기성 내역서 0612023" xfId="1797" xr:uid="{00000000-0005-0000-0000-000004070000}"/>
    <cellStyle name="1_tree_화명조경_3차네고견적(061017-1)" xfId="1798" xr:uid="{00000000-0005-0000-0000-000005070000}"/>
    <cellStyle name="1_tree_화명조경_백화점화장실인테리어" xfId="1799" xr:uid="{00000000-0005-0000-0000-000006070000}"/>
    <cellStyle name="1_tree_화명조경_백화점화장실인테리어_1차 기성 내역서 0612023" xfId="1800" xr:uid="{00000000-0005-0000-0000-000007070000}"/>
    <cellStyle name="1_tree_화명조경_백화점화장실인테리어_3차네고견적(061017-1)" xfId="1801" xr:uid="{00000000-0005-0000-0000-000008070000}"/>
    <cellStyle name="1_남해총괄표" xfId="1802" xr:uid="{00000000-0005-0000-0000-000009070000}"/>
    <cellStyle name="1_남해총괄표_1차 기성 내역서 0612023" xfId="1803" xr:uid="{00000000-0005-0000-0000-00000A070000}"/>
    <cellStyle name="1_남해총괄표_3차네고견적(061017-1)" xfId="1804" xr:uid="{00000000-0005-0000-0000-00000B070000}"/>
    <cellStyle name="1_남해총괄표_문화센타" xfId="1805" xr:uid="{00000000-0005-0000-0000-00000C070000}"/>
    <cellStyle name="1_남해총괄표_백화점화장실인테리어" xfId="1806" xr:uid="{00000000-0005-0000-0000-00000D070000}"/>
    <cellStyle name="1_남해총괄표_백화점화장실인테리어_1차 기성 내역서 0612023" xfId="1807" xr:uid="{00000000-0005-0000-0000-00000E070000}"/>
    <cellStyle name="1_남해총괄표_백화점화장실인테리어_3차네고견적(061017-1)" xfId="1808" xr:uid="{00000000-0005-0000-0000-00000F070000}"/>
    <cellStyle name="1_남해총괄표_백화점화장실인테리어_문화센타" xfId="1809" xr:uid="{00000000-0005-0000-0000-000010070000}"/>
    <cellStyle name="1_남해총괄표_설계내역서" xfId="1810" xr:uid="{00000000-0005-0000-0000-000011070000}"/>
    <cellStyle name="1_남해총괄표_설계내역서_1차 기성 내역서 0612023" xfId="1811" xr:uid="{00000000-0005-0000-0000-000012070000}"/>
    <cellStyle name="1_남해총괄표_설계내역서_3차네고견적(061017-1)" xfId="1812" xr:uid="{00000000-0005-0000-0000-000013070000}"/>
    <cellStyle name="1_남해총괄표_설계내역서_문화센타" xfId="1813" xr:uid="{00000000-0005-0000-0000-000014070000}"/>
    <cellStyle name="1_남해총괄표_설계내역서_백화점화장실인테리어" xfId="1814" xr:uid="{00000000-0005-0000-0000-000015070000}"/>
    <cellStyle name="1_남해총괄표_설계내역서_백화점화장실인테리어_1차 기성 내역서 0612023" xfId="1815" xr:uid="{00000000-0005-0000-0000-000016070000}"/>
    <cellStyle name="1_남해총괄표_설계내역서_백화점화장실인테리어_3차네고견적(061017-1)" xfId="1816" xr:uid="{00000000-0005-0000-0000-000017070000}"/>
    <cellStyle name="1_남해총괄표_설계내역서_백화점화장실인테리어_문화센타" xfId="1817" xr:uid="{00000000-0005-0000-0000-000018070000}"/>
    <cellStyle name="1_남해총괄표_설계내역서_화명조경" xfId="1818" xr:uid="{00000000-0005-0000-0000-000019070000}"/>
    <cellStyle name="1_남해총괄표_설계내역서_화명조경_1차 기성 내역서 0612023" xfId="1819" xr:uid="{00000000-0005-0000-0000-00001A070000}"/>
    <cellStyle name="1_남해총괄표_설계내역서_화명조경_3차네고견적(061017-1)" xfId="1820" xr:uid="{00000000-0005-0000-0000-00001B070000}"/>
    <cellStyle name="1_남해총괄표_설계내역서_화명조경_문화센타" xfId="1821" xr:uid="{00000000-0005-0000-0000-00001C070000}"/>
    <cellStyle name="1_남해총괄표_설계내역서_화명조경_백화점화장실인테리어" xfId="1822" xr:uid="{00000000-0005-0000-0000-00001D070000}"/>
    <cellStyle name="1_남해총괄표_설계내역서_화명조경_백화점화장실인테리어_1차 기성 내역서 0612023" xfId="1823" xr:uid="{00000000-0005-0000-0000-00001E070000}"/>
    <cellStyle name="1_남해총괄표_설계내역서_화명조경_백화점화장실인테리어_3차네고견적(061017-1)" xfId="1824" xr:uid="{00000000-0005-0000-0000-00001F070000}"/>
    <cellStyle name="1_남해총괄표_설계내역서_화명조경_백화점화장실인테리어_문화센타" xfId="1825" xr:uid="{00000000-0005-0000-0000-000020070000}"/>
    <cellStyle name="1_남해총괄표_설계내역서1월7일" xfId="1826" xr:uid="{00000000-0005-0000-0000-000021070000}"/>
    <cellStyle name="1_남해총괄표_설계내역서1월7일_1차 기성 내역서 0612023" xfId="1827" xr:uid="{00000000-0005-0000-0000-000022070000}"/>
    <cellStyle name="1_남해총괄표_설계내역서1월7일_3차네고견적(061017-1)" xfId="1828" xr:uid="{00000000-0005-0000-0000-000023070000}"/>
    <cellStyle name="1_남해총괄표_설계내역서1월7일_문화센타" xfId="1829" xr:uid="{00000000-0005-0000-0000-000024070000}"/>
    <cellStyle name="1_남해총괄표_설계내역서1월7일_백화점화장실인테리어" xfId="1830" xr:uid="{00000000-0005-0000-0000-000025070000}"/>
    <cellStyle name="1_남해총괄표_설계내역서1월7일_백화점화장실인테리어_1차 기성 내역서 0612023" xfId="1831" xr:uid="{00000000-0005-0000-0000-000026070000}"/>
    <cellStyle name="1_남해총괄표_설계내역서1월7일_백화점화장실인테리어_3차네고견적(061017-1)" xfId="1832" xr:uid="{00000000-0005-0000-0000-000027070000}"/>
    <cellStyle name="1_남해총괄표_설계내역서1월7일_백화점화장실인테리어_문화센타" xfId="1833" xr:uid="{00000000-0005-0000-0000-000028070000}"/>
    <cellStyle name="1_남해총괄표_설계내역서1월7일_화명조경" xfId="1834" xr:uid="{00000000-0005-0000-0000-000029070000}"/>
    <cellStyle name="1_남해총괄표_설계내역서1월7일_화명조경_1차 기성 내역서 0612023" xfId="1835" xr:uid="{00000000-0005-0000-0000-00002A070000}"/>
    <cellStyle name="1_남해총괄표_설계내역서1월7일_화명조경_3차네고견적(061017-1)" xfId="1836" xr:uid="{00000000-0005-0000-0000-00002B070000}"/>
    <cellStyle name="1_남해총괄표_설계내역서1월7일_화명조경_문화센타" xfId="1837" xr:uid="{00000000-0005-0000-0000-00002C070000}"/>
    <cellStyle name="1_남해총괄표_설계내역서1월7일_화명조경_백화점화장실인테리어" xfId="1838" xr:uid="{00000000-0005-0000-0000-00002D070000}"/>
    <cellStyle name="1_남해총괄표_설계내역서1월7일_화명조경_백화점화장실인테리어_1차 기성 내역서 0612023" xfId="1839" xr:uid="{00000000-0005-0000-0000-00002E070000}"/>
    <cellStyle name="1_남해총괄표_설계내역서1월7일_화명조경_백화점화장실인테리어_3차네고견적(061017-1)" xfId="1840" xr:uid="{00000000-0005-0000-0000-00002F070000}"/>
    <cellStyle name="1_남해총괄표_설계내역서1월7일_화명조경_백화점화장실인테리어_문화센타" xfId="1841" xr:uid="{00000000-0005-0000-0000-000030070000}"/>
    <cellStyle name="1_남해총괄표_화명조경" xfId="1842" xr:uid="{00000000-0005-0000-0000-000031070000}"/>
    <cellStyle name="1_남해총괄표_화명조경_1차 기성 내역서 0612023" xfId="1843" xr:uid="{00000000-0005-0000-0000-000032070000}"/>
    <cellStyle name="1_남해총괄표_화명조경_3차네고견적(061017-1)" xfId="1844" xr:uid="{00000000-0005-0000-0000-000033070000}"/>
    <cellStyle name="1_남해총괄표_화명조경_백화점화장실인테리어" xfId="1845" xr:uid="{00000000-0005-0000-0000-000034070000}"/>
    <cellStyle name="1_남해총괄표_화명조경_백화점화장실인테리어_1차 기성 내역서 0612023" xfId="1846" xr:uid="{00000000-0005-0000-0000-000035070000}"/>
    <cellStyle name="1_남해총괄표_화명조경_백화점화장실인테리어_3차네고견적(061017-1)" xfId="1847" xr:uid="{00000000-0005-0000-0000-000036070000}"/>
    <cellStyle name="1_단가조사표" xfId="1848" xr:uid="{00000000-0005-0000-0000-000037070000}"/>
    <cellStyle name="1_수원변경수량산출" xfId="1849" xr:uid="{00000000-0005-0000-0000-000038070000}"/>
    <cellStyle name="1_쌍용수량0905" xfId="1850" xr:uid="{00000000-0005-0000-0000-000039070000}"/>
    <cellStyle name="1_쌍용수량0905_1차 기성 내역서 0612023" xfId="1851" xr:uid="{00000000-0005-0000-0000-00003A070000}"/>
    <cellStyle name="1_쌍용수량0905_3차네고견적(061017-1)" xfId="1852" xr:uid="{00000000-0005-0000-0000-00003B070000}"/>
    <cellStyle name="1_쌍용수량0905_백화점화장실인테리어" xfId="1853" xr:uid="{00000000-0005-0000-0000-00003C070000}"/>
    <cellStyle name="1_쌍용수량0905_백화점화장실인테리어_1차 기성 내역서 0612023" xfId="1854" xr:uid="{00000000-0005-0000-0000-00003D070000}"/>
    <cellStyle name="1_쌍용수량0905_백화점화장실인테리어_3차네고견적(061017-1)" xfId="1855" xr:uid="{00000000-0005-0000-0000-00003E070000}"/>
    <cellStyle name="1_쌍용수량0905_설계내역서" xfId="1856" xr:uid="{00000000-0005-0000-0000-00003F070000}"/>
    <cellStyle name="1_쌍용수량0905_설계내역서_1차 기성 내역서 0612023" xfId="1857" xr:uid="{00000000-0005-0000-0000-000040070000}"/>
    <cellStyle name="1_쌍용수량0905_설계내역서_3차네고견적(061017-1)" xfId="1858" xr:uid="{00000000-0005-0000-0000-000041070000}"/>
    <cellStyle name="1_쌍용수량0905_설계내역서_백화점화장실인테리어" xfId="1859" xr:uid="{00000000-0005-0000-0000-000042070000}"/>
    <cellStyle name="1_쌍용수량0905_설계내역서_백화점화장실인테리어_1차 기성 내역서 0612023" xfId="1860" xr:uid="{00000000-0005-0000-0000-000043070000}"/>
    <cellStyle name="1_쌍용수량0905_설계내역서_백화점화장실인테리어_3차네고견적(061017-1)" xfId="1861" xr:uid="{00000000-0005-0000-0000-000044070000}"/>
    <cellStyle name="1_쌍용수량0905_설계내역서_화명조경" xfId="1862" xr:uid="{00000000-0005-0000-0000-000045070000}"/>
    <cellStyle name="1_쌍용수량0905_설계내역서_화명조경_1차 기성 내역서 0612023" xfId="1863" xr:uid="{00000000-0005-0000-0000-000046070000}"/>
    <cellStyle name="1_쌍용수량0905_설계내역서_화명조경_3차네고견적(061017-1)" xfId="1864" xr:uid="{00000000-0005-0000-0000-000047070000}"/>
    <cellStyle name="1_쌍용수량0905_설계내역서_화명조경_백화점화장실인테리어" xfId="1865" xr:uid="{00000000-0005-0000-0000-000048070000}"/>
    <cellStyle name="1_쌍용수량0905_설계내역서_화명조경_백화점화장실인테리어_1차 기성 내역서 0612023" xfId="1866" xr:uid="{00000000-0005-0000-0000-000049070000}"/>
    <cellStyle name="1_쌍용수량0905_설계내역서_화명조경_백화점화장실인테리어_3차네고견적(061017-1)" xfId="1867" xr:uid="{00000000-0005-0000-0000-00004A070000}"/>
    <cellStyle name="1_쌍용수량0905_설계내역서1월7일" xfId="1868" xr:uid="{00000000-0005-0000-0000-00004B070000}"/>
    <cellStyle name="1_쌍용수량0905_설계내역서1월7일_1차 기성 내역서 0612023" xfId="1869" xr:uid="{00000000-0005-0000-0000-00004C070000}"/>
    <cellStyle name="1_쌍용수량0905_설계내역서1월7일_3차네고견적(061017-1)" xfId="1870" xr:uid="{00000000-0005-0000-0000-00004D070000}"/>
    <cellStyle name="1_쌍용수량0905_설계내역서1월7일_백화점화장실인테리어" xfId="1871" xr:uid="{00000000-0005-0000-0000-00004E070000}"/>
    <cellStyle name="1_쌍용수량0905_설계내역서1월7일_백화점화장실인테리어_1차 기성 내역서 0612023" xfId="1872" xr:uid="{00000000-0005-0000-0000-00004F070000}"/>
    <cellStyle name="1_쌍용수량0905_설계내역서1월7일_백화점화장실인테리어_3차네고견적(061017-1)" xfId="1873" xr:uid="{00000000-0005-0000-0000-000050070000}"/>
    <cellStyle name="1_쌍용수량0905_설계내역서1월7일_화명조경" xfId="1874" xr:uid="{00000000-0005-0000-0000-000051070000}"/>
    <cellStyle name="1_쌍용수량0905_설계내역서1월7일_화명조경_1차 기성 내역서 0612023" xfId="1875" xr:uid="{00000000-0005-0000-0000-000052070000}"/>
    <cellStyle name="1_쌍용수량0905_설계내역서1월7일_화명조경_3차네고견적(061017-1)" xfId="1876" xr:uid="{00000000-0005-0000-0000-000053070000}"/>
    <cellStyle name="1_쌍용수량0905_설계내역서1월7일_화명조경_백화점화장실인테리어" xfId="1877" xr:uid="{00000000-0005-0000-0000-000054070000}"/>
    <cellStyle name="1_쌍용수량0905_설계내역서1월7일_화명조경_백화점화장실인테리어_1차 기성 내역서 0612023" xfId="1878" xr:uid="{00000000-0005-0000-0000-000055070000}"/>
    <cellStyle name="1_쌍용수량0905_설계내역서1월7일_화명조경_백화점화장실인테리어_3차네고견적(061017-1)" xfId="1879" xr:uid="{00000000-0005-0000-0000-000056070000}"/>
    <cellStyle name="1_쌍용수량0905_화명조경" xfId="1880" xr:uid="{00000000-0005-0000-0000-000057070000}"/>
    <cellStyle name="1_쌍용수량0905_화명조경_1차 기성 내역서 0612023" xfId="1881" xr:uid="{00000000-0005-0000-0000-000058070000}"/>
    <cellStyle name="1_쌍용수량0905_화명조경_3차네고견적(061017-1)" xfId="1882" xr:uid="{00000000-0005-0000-0000-000059070000}"/>
    <cellStyle name="1_쌍용수량0905_화명조경_백화점화장실인테리어" xfId="1883" xr:uid="{00000000-0005-0000-0000-00005A070000}"/>
    <cellStyle name="1_쌍용수량0905_화명조경_백화점화장실인테리어_1차 기성 내역서 0612023" xfId="1884" xr:uid="{00000000-0005-0000-0000-00005B070000}"/>
    <cellStyle name="1_쌍용수량0905_화명조경_백화점화장실인테리어_3차네고견적(061017-1)" xfId="1885" xr:uid="{00000000-0005-0000-0000-00005C070000}"/>
    <cellStyle name="1_원가계산서" xfId="1886" xr:uid="{00000000-0005-0000-0000-00005D070000}"/>
    <cellStyle name="1_원가계산서_00갑지" xfId="1887" xr:uid="{00000000-0005-0000-0000-00005E070000}"/>
    <cellStyle name="1_원가계산서_00갑지_1차 기성 내역서 0612023" xfId="1888" xr:uid="{00000000-0005-0000-0000-00005F070000}"/>
    <cellStyle name="1_원가계산서_00갑지_3차네고견적(061017-1)" xfId="1889" xr:uid="{00000000-0005-0000-0000-000060070000}"/>
    <cellStyle name="1_원가계산서_00갑지_백화점화장실인테리어" xfId="1890" xr:uid="{00000000-0005-0000-0000-000061070000}"/>
    <cellStyle name="1_원가계산서_00갑지_백화점화장실인테리어_1차 기성 내역서 0612023" xfId="1891" xr:uid="{00000000-0005-0000-0000-000062070000}"/>
    <cellStyle name="1_원가계산서_00갑지_백화점화장실인테리어_3차네고견적(061017-1)" xfId="1892" xr:uid="{00000000-0005-0000-0000-000063070000}"/>
    <cellStyle name="1_원가계산서_00갑지_설계내역서" xfId="1893" xr:uid="{00000000-0005-0000-0000-000064070000}"/>
    <cellStyle name="1_원가계산서_00갑지_설계내역서_1차 기성 내역서 0612023" xfId="1894" xr:uid="{00000000-0005-0000-0000-000065070000}"/>
    <cellStyle name="1_원가계산서_00갑지_설계내역서_3차네고견적(061017-1)" xfId="1895" xr:uid="{00000000-0005-0000-0000-000066070000}"/>
    <cellStyle name="1_원가계산서_00갑지_설계내역서_백화점화장실인테리어" xfId="1896" xr:uid="{00000000-0005-0000-0000-000067070000}"/>
    <cellStyle name="1_원가계산서_00갑지_설계내역서_백화점화장실인테리어_1차 기성 내역서 0612023" xfId="1897" xr:uid="{00000000-0005-0000-0000-000068070000}"/>
    <cellStyle name="1_원가계산서_00갑지_설계내역서_백화점화장실인테리어_3차네고견적(061017-1)" xfId="1898" xr:uid="{00000000-0005-0000-0000-000069070000}"/>
    <cellStyle name="1_원가계산서_00갑지_설계내역서_화명조경" xfId="1899" xr:uid="{00000000-0005-0000-0000-00006A070000}"/>
    <cellStyle name="1_원가계산서_00갑지_설계내역서_화명조경_1차 기성 내역서 0612023" xfId="1900" xr:uid="{00000000-0005-0000-0000-00006B070000}"/>
    <cellStyle name="1_원가계산서_00갑지_설계내역서_화명조경_3차네고견적(061017-1)" xfId="1901" xr:uid="{00000000-0005-0000-0000-00006C070000}"/>
    <cellStyle name="1_원가계산서_00갑지_설계내역서_화명조경_백화점화장실인테리어" xfId="1902" xr:uid="{00000000-0005-0000-0000-00006D070000}"/>
    <cellStyle name="1_원가계산서_00갑지_설계내역서_화명조경_백화점화장실인테리어_1차 기성 내역서 0612023" xfId="1903" xr:uid="{00000000-0005-0000-0000-00006E070000}"/>
    <cellStyle name="1_원가계산서_00갑지_설계내역서_화명조경_백화점화장실인테리어_3차네고견적(061017-1)" xfId="1904" xr:uid="{00000000-0005-0000-0000-00006F070000}"/>
    <cellStyle name="1_원가계산서_00갑지_설계내역서1월7일" xfId="1905" xr:uid="{00000000-0005-0000-0000-000070070000}"/>
    <cellStyle name="1_원가계산서_00갑지_설계내역서1월7일_1차 기성 내역서 0612023" xfId="1906" xr:uid="{00000000-0005-0000-0000-000071070000}"/>
    <cellStyle name="1_원가계산서_00갑지_설계내역서1월7일_3차네고견적(061017-1)" xfId="1907" xr:uid="{00000000-0005-0000-0000-000072070000}"/>
    <cellStyle name="1_원가계산서_00갑지_설계내역서1월7일_백화점화장실인테리어" xfId="1908" xr:uid="{00000000-0005-0000-0000-000073070000}"/>
    <cellStyle name="1_원가계산서_00갑지_설계내역서1월7일_백화점화장실인테리어_1차 기성 내역서 0612023" xfId="1909" xr:uid="{00000000-0005-0000-0000-000074070000}"/>
    <cellStyle name="1_원가계산서_00갑지_설계내역서1월7일_백화점화장실인테리어_3차네고견적(061017-1)" xfId="1910" xr:uid="{00000000-0005-0000-0000-000075070000}"/>
    <cellStyle name="1_원가계산서_00갑지_설계내역서1월7일_화명조경" xfId="1911" xr:uid="{00000000-0005-0000-0000-000076070000}"/>
    <cellStyle name="1_원가계산서_00갑지_설계내역서1월7일_화명조경_1차 기성 내역서 0612023" xfId="1912" xr:uid="{00000000-0005-0000-0000-000077070000}"/>
    <cellStyle name="1_원가계산서_00갑지_설계내역서1월7일_화명조경_3차네고견적(061017-1)" xfId="1913" xr:uid="{00000000-0005-0000-0000-000078070000}"/>
    <cellStyle name="1_원가계산서_00갑지_설계내역서1월7일_화명조경_백화점화장실인테리어" xfId="1914" xr:uid="{00000000-0005-0000-0000-000079070000}"/>
    <cellStyle name="1_원가계산서_00갑지_설계내역서1월7일_화명조경_백화점화장실인테리어_1차 기성 내역서 0612023" xfId="1915" xr:uid="{00000000-0005-0000-0000-00007A070000}"/>
    <cellStyle name="1_원가계산서_00갑지_설계내역서1월7일_화명조경_백화점화장실인테리어_3차네고견적(061017-1)" xfId="1916" xr:uid="{00000000-0005-0000-0000-00007B070000}"/>
    <cellStyle name="1_원가계산서_00갑지_화명조경" xfId="1917" xr:uid="{00000000-0005-0000-0000-00007C070000}"/>
    <cellStyle name="1_원가계산서_00갑지_화명조경_1차 기성 내역서 0612023" xfId="1918" xr:uid="{00000000-0005-0000-0000-00007D070000}"/>
    <cellStyle name="1_원가계산서_00갑지_화명조경_3차네고견적(061017-1)" xfId="1919" xr:uid="{00000000-0005-0000-0000-00007E070000}"/>
    <cellStyle name="1_원가계산서_00갑지_화명조경_백화점화장실인테리어" xfId="1920" xr:uid="{00000000-0005-0000-0000-00007F070000}"/>
    <cellStyle name="1_원가계산서_00갑지_화명조경_백화점화장실인테리어_1차 기성 내역서 0612023" xfId="1921" xr:uid="{00000000-0005-0000-0000-000080070000}"/>
    <cellStyle name="1_원가계산서_00갑지_화명조경_백화점화장실인테리어_3차네고견적(061017-1)" xfId="1922" xr:uid="{00000000-0005-0000-0000-000081070000}"/>
    <cellStyle name="1_원가계산서_1차 기성 내역서 0612023" xfId="1923" xr:uid="{00000000-0005-0000-0000-000082070000}"/>
    <cellStyle name="1_원가계산서_3차네고견적(061017-1)" xfId="1924" xr:uid="{00000000-0005-0000-0000-000083070000}"/>
    <cellStyle name="1_원가계산서_과천놀이터설계서" xfId="1925" xr:uid="{00000000-0005-0000-0000-000084070000}"/>
    <cellStyle name="1_원가계산서_과천놀이터설계서_1차 기성 내역서 0612023" xfId="1926" xr:uid="{00000000-0005-0000-0000-000085070000}"/>
    <cellStyle name="1_원가계산서_과천놀이터설계서_3차네고견적(061017-1)" xfId="1927" xr:uid="{00000000-0005-0000-0000-000086070000}"/>
    <cellStyle name="1_원가계산서_과천놀이터설계서_백화점화장실인테리어" xfId="1928" xr:uid="{00000000-0005-0000-0000-000087070000}"/>
    <cellStyle name="1_원가계산서_과천놀이터설계서_백화점화장실인테리어_1차 기성 내역서 0612023" xfId="1929" xr:uid="{00000000-0005-0000-0000-000088070000}"/>
    <cellStyle name="1_원가계산서_과천놀이터설계서_백화점화장실인테리어_3차네고견적(061017-1)" xfId="1930" xr:uid="{00000000-0005-0000-0000-000089070000}"/>
    <cellStyle name="1_원가계산서_과천놀이터설계서_설계내역서" xfId="1931" xr:uid="{00000000-0005-0000-0000-00008A070000}"/>
    <cellStyle name="1_원가계산서_과천놀이터설계서_설계내역서_1차 기성 내역서 0612023" xfId="1932" xr:uid="{00000000-0005-0000-0000-00008B070000}"/>
    <cellStyle name="1_원가계산서_과천놀이터설계서_설계내역서_3차네고견적(061017-1)" xfId="1933" xr:uid="{00000000-0005-0000-0000-00008C070000}"/>
    <cellStyle name="1_원가계산서_과천놀이터설계서_설계내역서_백화점화장실인테리어" xfId="1934" xr:uid="{00000000-0005-0000-0000-00008D070000}"/>
    <cellStyle name="1_원가계산서_과천놀이터설계서_설계내역서_백화점화장실인테리어_1차 기성 내역서 0612023" xfId="1935" xr:uid="{00000000-0005-0000-0000-00008E070000}"/>
    <cellStyle name="1_원가계산서_과천놀이터설계서_설계내역서_백화점화장실인테리어_3차네고견적(061017-1)" xfId="1936" xr:uid="{00000000-0005-0000-0000-00008F070000}"/>
    <cellStyle name="1_원가계산서_과천놀이터설계서_설계내역서_화명조경" xfId="1937" xr:uid="{00000000-0005-0000-0000-000090070000}"/>
    <cellStyle name="1_원가계산서_과천놀이터설계서_설계내역서_화명조경_1차 기성 내역서 0612023" xfId="1938" xr:uid="{00000000-0005-0000-0000-000091070000}"/>
    <cellStyle name="1_원가계산서_과천놀이터설계서_설계내역서_화명조경_3차네고견적(061017-1)" xfId="1939" xr:uid="{00000000-0005-0000-0000-000092070000}"/>
    <cellStyle name="1_원가계산서_과천놀이터설계서_설계내역서_화명조경_백화점화장실인테리어" xfId="1940" xr:uid="{00000000-0005-0000-0000-000093070000}"/>
    <cellStyle name="1_원가계산서_과천놀이터설계서_설계내역서_화명조경_백화점화장실인테리어_1차 기성 내역서 0612023" xfId="1941" xr:uid="{00000000-0005-0000-0000-000094070000}"/>
    <cellStyle name="1_원가계산서_과천놀이터설계서_설계내역서_화명조경_백화점화장실인테리어_3차네고견적(061017-1)" xfId="1942" xr:uid="{00000000-0005-0000-0000-000095070000}"/>
    <cellStyle name="1_원가계산서_과천놀이터설계서_설계내역서1월7일" xfId="1943" xr:uid="{00000000-0005-0000-0000-000096070000}"/>
    <cellStyle name="1_원가계산서_과천놀이터설계서_설계내역서1월7일_1차 기성 내역서 0612023" xfId="1944" xr:uid="{00000000-0005-0000-0000-000097070000}"/>
    <cellStyle name="1_원가계산서_과천놀이터설계서_설계내역서1월7일_3차네고견적(061017-1)" xfId="1945" xr:uid="{00000000-0005-0000-0000-000098070000}"/>
    <cellStyle name="1_원가계산서_과천놀이터설계서_설계내역서1월7일_백화점화장실인테리어" xfId="1946" xr:uid="{00000000-0005-0000-0000-000099070000}"/>
    <cellStyle name="1_원가계산서_과천놀이터설계서_설계내역서1월7일_백화점화장실인테리어_1차 기성 내역서 0612023" xfId="1947" xr:uid="{00000000-0005-0000-0000-00009A070000}"/>
    <cellStyle name="1_원가계산서_과천놀이터설계서_설계내역서1월7일_백화점화장실인테리어_3차네고견적(061017-1)" xfId="1948" xr:uid="{00000000-0005-0000-0000-00009B070000}"/>
    <cellStyle name="1_원가계산서_과천놀이터설계서_설계내역서1월7일_화명조경" xfId="1949" xr:uid="{00000000-0005-0000-0000-00009C070000}"/>
    <cellStyle name="1_원가계산서_과천놀이터설계서_설계내역서1월7일_화명조경_1차 기성 내역서 0612023" xfId="1950" xr:uid="{00000000-0005-0000-0000-00009D070000}"/>
    <cellStyle name="1_원가계산서_과천놀이터설계서_설계내역서1월7일_화명조경_3차네고견적(061017-1)" xfId="1951" xr:uid="{00000000-0005-0000-0000-00009E070000}"/>
    <cellStyle name="1_원가계산서_과천놀이터설계서_설계내역서1월7일_화명조경_백화점화장실인테리어" xfId="1952" xr:uid="{00000000-0005-0000-0000-00009F070000}"/>
    <cellStyle name="1_원가계산서_과천놀이터설계서_설계내역서1월7일_화명조경_백화점화장실인테리어_1차 기성 내역서 0612023" xfId="1953" xr:uid="{00000000-0005-0000-0000-0000A0070000}"/>
    <cellStyle name="1_원가계산서_과천놀이터설계서_설계내역서1월7일_화명조경_백화점화장실인테리어_3차네고견적(061017-1)" xfId="1954" xr:uid="{00000000-0005-0000-0000-0000A1070000}"/>
    <cellStyle name="1_원가계산서_과천놀이터설계서_화명조경" xfId="1955" xr:uid="{00000000-0005-0000-0000-0000A2070000}"/>
    <cellStyle name="1_원가계산서_과천놀이터설계서_화명조경_1차 기성 내역서 0612023" xfId="1956" xr:uid="{00000000-0005-0000-0000-0000A3070000}"/>
    <cellStyle name="1_원가계산서_과천놀이터설계서_화명조경_3차네고견적(061017-1)" xfId="1957" xr:uid="{00000000-0005-0000-0000-0000A4070000}"/>
    <cellStyle name="1_원가계산서_과천놀이터설계서_화명조경_백화점화장실인테리어" xfId="1958" xr:uid="{00000000-0005-0000-0000-0000A5070000}"/>
    <cellStyle name="1_원가계산서_과천놀이터설계서_화명조경_백화점화장실인테리어_1차 기성 내역서 0612023" xfId="1959" xr:uid="{00000000-0005-0000-0000-0000A6070000}"/>
    <cellStyle name="1_원가계산서_과천놀이터설계서_화명조경_백화점화장실인테리어_3차네고견적(061017-1)" xfId="1960" xr:uid="{00000000-0005-0000-0000-0000A7070000}"/>
    <cellStyle name="1_원가계산서_백화점화장실인테리어" xfId="1961" xr:uid="{00000000-0005-0000-0000-0000A8070000}"/>
    <cellStyle name="1_원가계산서_백화점화장실인테리어_1차 기성 내역서 0612023" xfId="1962" xr:uid="{00000000-0005-0000-0000-0000A9070000}"/>
    <cellStyle name="1_원가계산서_백화점화장실인테리어_3차네고견적(061017-1)" xfId="1963" xr:uid="{00000000-0005-0000-0000-0000AA070000}"/>
    <cellStyle name="1_원가계산서_총괄갑지" xfId="1964" xr:uid="{00000000-0005-0000-0000-0000AB070000}"/>
    <cellStyle name="1_원가계산서_총괄갑지_1차 기성 내역서 0612023" xfId="1965" xr:uid="{00000000-0005-0000-0000-0000AC070000}"/>
    <cellStyle name="1_원가계산서_총괄갑지_3차네고견적(061017-1)" xfId="1966" xr:uid="{00000000-0005-0000-0000-0000AD070000}"/>
    <cellStyle name="1_원가계산서_총괄갑지_백화점화장실인테리어" xfId="1967" xr:uid="{00000000-0005-0000-0000-0000AE070000}"/>
    <cellStyle name="1_원가계산서_총괄갑지_백화점화장실인테리어_1차 기성 내역서 0612023" xfId="1968" xr:uid="{00000000-0005-0000-0000-0000AF070000}"/>
    <cellStyle name="1_원가계산서_총괄갑지_백화점화장실인테리어_3차네고견적(061017-1)" xfId="1969" xr:uid="{00000000-0005-0000-0000-0000B0070000}"/>
    <cellStyle name="1_원가계산서_총괄갑지_설계내역서" xfId="1970" xr:uid="{00000000-0005-0000-0000-0000B1070000}"/>
    <cellStyle name="1_원가계산서_총괄갑지_설계내역서_1차 기성 내역서 0612023" xfId="1971" xr:uid="{00000000-0005-0000-0000-0000B2070000}"/>
    <cellStyle name="1_원가계산서_총괄갑지_설계내역서_3차네고견적(061017-1)" xfId="1972" xr:uid="{00000000-0005-0000-0000-0000B3070000}"/>
    <cellStyle name="1_원가계산서_총괄갑지_설계내역서_백화점화장실인테리어" xfId="1973" xr:uid="{00000000-0005-0000-0000-0000B4070000}"/>
    <cellStyle name="1_원가계산서_총괄갑지_설계내역서_백화점화장실인테리어_1차 기성 내역서 0612023" xfId="1974" xr:uid="{00000000-0005-0000-0000-0000B5070000}"/>
    <cellStyle name="1_원가계산서_총괄갑지_설계내역서_백화점화장실인테리어_3차네고견적(061017-1)" xfId="1975" xr:uid="{00000000-0005-0000-0000-0000B6070000}"/>
    <cellStyle name="1_원가계산서_총괄갑지_설계내역서_화명조경" xfId="1976" xr:uid="{00000000-0005-0000-0000-0000B7070000}"/>
    <cellStyle name="1_원가계산서_총괄갑지_설계내역서_화명조경_1차 기성 내역서 0612023" xfId="1977" xr:uid="{00000000-0005-0000-0000-0000B8070000}"/>
    <cellStyle name="1_원가계산서_총괄갑지_설계내역서_화명조경_3차네고견적(061017-1)" xfId="1978" xr:uid="{00000000-0005-0000-0000-0000B9070000}"/>
    <cellStyle name="1_원가계산서_총괄갑지_설계내역서_화명조경_백화점화장실인테리어" xfId="1979" xr:uid="{00000000-0005-0000-0000-0000BA070000}"/>
    <cellStyle name="1_원가계산서_총괄갑지_설계내역서_화명조경_백화점화장실인테리어_1차 기성 내역서 0612023" xfId="1980" xr:uid="{00000000-0005-0000-0000-0000BB070000}"/>
    <cellStyle name="1_원가계산서_총괄갑지_설계내역서_화명조경_백화점화장실인테리어_3차네고견적(061017-1)" xfId="1981" xr:uid="{00000000-0005-0000-0000-0000BC070000}"/>
    <cellStyle name="1_원가계산서_총괄갑지_설계내역서1월7일" xfId="1982" xr:uid="{00000000-0005-0000-0000-0000BD070000}"/>
    <cellStyle name="1_원가계산서_총괄갑지_설계내역서1월7일_1차 기성 내역서 0612023" xfId="1983" xr:uid="{00000000-0005-0000-0000-0000BE070000}"/>
    <cellStyle name="1_원가계산서_총괄갑지_설계내역서1월7일_3차네고견적(061017-1)" xfId="1984" xr:uid="{00000000-0005-0000-0000-0000BF070000}"/>
    <cellStyle name="1_원가계산서_총괄갑지_설계내역서1월7일_백화점화장실인테리어" xfId="1985" xr:uid="{00000000-0005-0000-0000-0000C0070000}"/>
    <cellStyle name="1_원가계산서_총괄갑지_설계내역서1월7일_백화점화장실인테리어_1차 기성 내역서 0612023" xfId="1986" xr:uid="{00000000-0005-0000-0000-0000C1070000}"/>
    <cellStyle name="1_원가계산서_총괄갑지_설계내역서1월7일_백화점화장실인테리어_3차네고견적(061017-1)" xfId="1987" xr:uid="{00000000-0005-0000-0000-0000C2070000}"/>
    <cellStyle name="1_원가계산서_총괄갑지_설계내역서1월7일_화명조경" xfId="1988" xr:uid="{00000000-0005-0000-0000-0000C3070000}"/>
    <cellStyle name="1_원가계산서_총괄갑지_설계내역서1월7일_화명조경_1차 기성 내역서 0612023" xfId="1989" xr:uid="{00000000-0005-0000-0000-0000C4070000}"/>
    <cellStyle name="1_원가계산서_총괄갑지_설계내역서1월7일_화명조경_3차네고견적(061017-1)" xfId="1990" xr:uid="{00000000-0005-0000-0000-0000C5070000}"/>
    <cellStyle name="1_원가계산서_총괄갑지_설계내역서1월7일_화명조경_백화점화장실인테리어" xfId="1991" xr:uid="{00000000-0005-0000-0000-0000C6070000}"/>
    <cellStyle name="1_원가계산서_총괄갑지_설계내역서1월7일_화명조경_백화점화장실인테리어_1차 기성 내역서 0612023" xfId="1992" xr:uid="{00000000-0005-0000-0000-0000C7070000}"/>
    <cellStyle name="1_원가계산서_총괄갑지_설계내역서1월7일_화명조경_백화점화장실인테리어_3차네고견적(061017-1)" xfId="1993" xr:uid="{00000000-0005-0000-0000-0000C8070000}"/>
    <cellStyle name="1_원가계산서_총괄갑지_화명조경" xfId="1994" xr:uid="{00000000-0005-0000-0000-0000C9070000}"/>
    <cellStyle name="1_원가계산서_총괄갑지_화명조경_1차 기성 내역서 0612023" xfId="1995" xr:uid="{00000000-0005-0000-0000-0000CA070000}"/>
    <cellStyle name="1_원가계산서_총괄갑지_화명조경_3차네고견적(061017-1)" xfId="1996" xr:uid="{00000000-0005-0000-0000-0000CB070000}"/>
    <cellStyle name="1_원가계산서_총괄갑지_화명조경_백화점화장실인테리어" xfId="1997" xr:uid="{00000000-0005-0000-0000-0000CC070000}"/>
    <cellStyle name="1_원가계산서_총괄갑지_화명조경_백화점화장실인테리어_1차 기성 내역서 0612023" xfId="1998" xr:uid="{00000000-0005-0000-0000-0000CD070000}"/>
    <cellStyle name="1_원가계산서_총괄갑지_화명조경_백화점화장실인테리어_3차네고견적(061017-1)" xfId="1999" xr:uid="{00000000-0005-0000-0000-0000CE070000}"/>
    <cellStyle name="1_원가계산서_총괄내역서" xfId="2000" xr:uid="{00000000-0005-0000-0000-0000CF070000}"/>
    <cellStyle name="1_원가계산서_총괄내역서_1차 기성 내역서 0612023" xfId="2001" xr:uid="{00000000-0005-0000-0000-0000D0070000}"/>
    <cellStyle name="1_원가계산서_총괄내역서_3차네고견적(061017-1)" xfId="2002" xr:uid="{00000000-0005-0000-0000-0000D1070000}"/>
    <cellStyle name="1_원가계산서_총괄내역서_백화점화장실인테리어" xfId="2003" xr:uid="{00000000-0005-0000-0000-0000D2070000}"/>
    <cellStyle name="1_원가계산서_총괄내역서_백화점화장실인테리어_1차 기성 내역서 0612023" xfId="2004" xr:uid="{00000000-0005-0000-0000-0000D3070000}"/>
    <cellStyle name="1_원가계산서_총괄내역서_백화점화장실인테리어_3차네고견적(061017-1)" xfId="2005" xr:uid="{00000000-0005-0000-0000-0000D4070000}"/>
    <cellStyle name="1_원가계산서_총괄내역서_설계내역서" xfId="2006" xr:uid="{00000000-0005-0000-0000-0000D5070000}"/>
    <cellStyle name="1_원가계산서_총괄내역서_설계내역서_1차 기성 내역서 0612023" xfId="2007" xr:uid="{00000000-0005-0000-0000-0000D6070000}"/>
    <cellStyle name="1_원가계산서_총괄내역서_설계내역서_3차네고견적(061017-1)" xfId="2008" xr:uid="{00000000-0005-0000-0000-0000D7070000}"/>
    <cellStyle name="1_원가계산서_총괄내역서_설계내역서_백화점화장실인테리어" xfId="2009" xr:uid="{00000000-0005-0000-0000-0000D8070000}"/>
    <cellStyle name="1_원가계산서_총괄내역서_설계내역서_백화점화장실인테리어_1차 기성 내역서 0612023" xfId="2010" xr:uid="{00000000-0005-0000-0000-0000D9070000}"/>
    <cellStyle name="1_원가계산서_총괄내역서_설계내역서_백화점화장실인테리어_3차네고견적(061017-1)" xfId="2011" xr:uid="{00000000-0005-0000-0000-0000DA070000}"/>
    <cellStyle name="1_원가계산서_총괄내역서_설계내역서_화명조경" xfId="2012" xr:uid="{00000000-0005-0000-0000-0000DB070000}"/>
    <cellStyle name="1_원가계산서_총괄내역서_설계내역서_화명조경_1차 기성 내역서 0612023" xfId="2013" xr:uid="{00000000-0005-0000-0000-0000DC070000}"/>
    <cellStyle name="1_원가계산서_총괄내역서_설계내역서_화명조경_3차네고견적(061017-1)" xfId="2014" xr:uid="{00000000-0005-0000-0000-0000DD070000}"/>
    <cellStyle name="1_원가계산서_총괄내역서_설계내역서_화명조경_백화점화장실인테리어" xfId="2015" xr:uid="{00000000-0005-0000-0000-0000DE070000}"/>
    <cellStyle name="1_원가계산서_총괄내역서_설계내역서_화명조경_백화점화장실인테리어_1차 기성 내역서 0612023" xfId="2016" xr:uid="{00000000-0005-0000-0000-0000DF070000}"/>
    <cellStyle name="1_원가계산서_총괄내역서_설계내역서_화명조경_백화점화장실인테리어_3차네고견적(061017-1)" xfId="2017" xr:uid="{00000000-0005-0000-0000-0000E0070000}"/>
    <cellStyle name="1_원가계산서_총괄내역서_설계내역서1월7일" xfId="2018" xr:uid="{00000000-0005-0000-0000-0000E1070000}"/>
    <cellStyle name="1_원가계산서_총괄내역서_설계내역서1월7일_1차 기성 내역서 0612023" xfId="2019" xr:uid="{00000000-0005-0000-0000-0000E2070000}"/>
    <cellStyle name="1_원가계산서_총괄내역서_설계내역서1월7일_3차네고견적(061017-1)" xfId="2020" xr:uid="{00000000-0005-0000-0000-0000E3070000}"/>
    <cellStyle name="1_원가계산서_총괄내역서_설계내역서1월7일_백화점화장실인테리어" xfId="2021" xr:uid="{00000000-0005-0000-0000-0000E4070000}"/>
    <cellStyle name="1_원가계산서_총괄내역서_설계내역서1월7일_백화점화장실인테리어_1차 기성 내역서 0612023" xfId="2022" xr:uid="{00000000-0005-0000-0000-0000E5070000}"/>
    <cellStyle name="1_원가계산서_총괄내역서_설계내역서1월7일_백화점화장실인테리어_3차네고견적(061017-1)" xfId="2023" xr:uid="{00000000-0005-0000-0000-0000E6070000}"/>
    <cellStyle name="1_원가계산서_총괄내역서_설계내역서1월7일_화명조경" xfId="2024" xr:uid="{00000000-0005-0000-0000-0000E7070000}"/>
    <cellStyle name="1_원가계산서_총괄내역서_설계내역서1월7일_화명조경_1차 기성 내역서 0612023" xfId="2025" xr:uid="{00000000-0005-0000-0000-0000E8070000}"/>
    <cellStyle name="1_원가계산서_총괄내역서_설계내역서1월7일_화명조경_3차네고견적(061017-1)" xfId="2026" xr:uid="{00000000-0005-0000-0000-0000E9070000}"/>
    <cellStyle name="1_원가계산서_총괄내역서_설계내역서1월7일_화명조경_백화점화장실인테리어" xfId="2027" xr:uid="{00000000-0005-0000-0000-0000EA070000}"/>
    <cellStyle name="1_원가계산서_총괄내역서_설계내역서1월7일_화명조경_백화점화장실인테리어_1차 기성 내역서 0612023" xfId="2028" xr:uid="{00000000-0005-0000-0000-0000EB070000}"/>
    <cellStyle name="1_원가계산서_총괄내역서_설계내역서1월7일_화명조경_백화점화장실인테리어_3차네고견적(061017-1)" xfId="2029" xr:uid="{00000000-0005-0000-0000-0000EC070000}"/>
    <cellStyle name="1_원가계산서_총괄내역서_화명조경" xfId="2030" xr:uid="{00000000-0005-0000-0000-0000ED070000}"/>
    <cellStyle name="1_원가계산서_총괄내역서_화명조경_1차 기성 내역서 0612023" xfId="2031" xr:uid="{00000000-0005-0000-0000-0000EE070000}"/>
    <cellStyle name="1_원가계산서_총괄내역서_화명조경_3차네고견적(061017-1)" xfId="2032" xr:uid="{00000000-0005-0000-0000-0000EF070000}"/>
    <cellStyle name="1_원가계산서_총괄내역서_화명조경_백화점화장실인테리어" xfId="2033" xr:uid="{00000000-0005-0000-0000-0000F0070000}"/>
    <cellStyle name="1_원가계산서_총괄내역서_화명조경_백화점화장실인테리어_1차 기성 내역서 0612023" xfId="2034" xr:uid="{00000000-0005-0000-0000-0000F1070000}"/>
    <cellStyle name="1_원가계산서_총괄내역서_화명조경_백화점화장실인테리어_3차네고견적(061017-1)" xfId="2035" xr:uid="{00000000-0005-0000-0000-0000F2070000}"/>
    <cellStyle name="1_원가계산서_화명조경" xfId="2036" xr:uid="{00000000-0005-0000-0000-0000F3070000}"/>
    <cellStyle name="1_원가계산서_화명조경_1차 기성 내역서 0612023" xfId="2037" xr:uid="{00000000-0005-0000-0000-0000F4070000}"/>
    <cellStyle name="1_원가계산서_화명조경_3차네고견적(061017-1)" xfId="2038" xr:uid="{00000000-0005-0000-0000-0000F5070000}"/>
    <cellStyle name="1_원가계산서_화명조경_백화점화장실인테리어" xfId="2039" xr:uid="{00000000-0005-0000-0000-0000F6070000}"/>
    <cellStyle name="1_원가계산서_화명조경_백화점화장실인테리어_1차 기성 내역서 0612023" xfId="2040" xr:uid="{00000000-0005-0000-0000-0000F7070000}"/>
    <cellStyle name="1_원가계산서_화명조경_백화점화장실인테리어_3차네고견적(061017-1)" xfId="2041" xr:uid="{00000000-0005-0000-0000-0000F8070000}"/>
    <cellStyle name="1_은파수량집계" xfId="2042" xr:uid="{00000000-0005-0000-0000-0000F9070000}"/>
    <cellStyle name="1_터미널1-0" xfId="2043" xr:uid="{00000000-0005-0000-0000-0000FA070000}"/>
    <cellStyle name="1_터미널1-0_1차 기성 내역서 0612023" xfId="2044" xr:uid="{00000000-0005-0000-0000-0000FB070000}"/>
    <cellStyle name="1_터미널1-0_3차네고견적(061017-1)" xfId="2045" xr:uid="{00000000-0005-0000-0000-0000FC070000}"/>
    <cellStyle name="1_터미널1-0_백화점화장실인테리어" xfId="2046" xr:uid="{00000000-0005-0000-0000-0000FD070000}"/>
    <cellStyle name="1_터미널1-0_백화점화장실인테리어_1차 기성 내역서 0612023" xfId="2047" xr:uid="{00000000-0005-0000-0000-0000FE070000}"/>
    <cellStyle name="1_터미널1-0_백화점화장실인테리어_3차네고견적(061017-1)" xfId="2048" xr:uid="{00000000-0005-0000-0000-0000FF070000}"/>
    <cellStyle name="1_터미널1-0_설계내역서" xfId="2049" xr:uid="{00000000-0005-0000-0000-000000080000}"/>
    <cellStyle name="1_터미널1-0_설계내역서_1차 기성 내역서 0612023" xfId="2050" xr:uid="{00000000-0005-0000-0000-000001080000}"/>
    <cellStyle name="1_터미널1-0_설계내역서_3차네고견적(061017-1)" xfId="2051" xr:uid="{00000000-0005-0000-0000-000002080000}"/>
    <cellStyle name="1_터미널1-0_설계내역서_백화점화장실인테리어" xfId="2052" xr:uid="{00000000-0005-0000-0000-000003080000}"/>
    <cellStyle name="1_터미널1-0_설계내역서_백화점화장실인테리어_1차 기성 내역서 0612023" xfId="2053" xr:uid="{00000000-0005-0000-0000-000004080000}"/>
    <cellStyle name="1_터미널1-0_설계내역서_백화점화장실인테리어_3차네고견적(061017-1)" xfId="2054" xr:uid="{00000000-0005-0000-0000-000005080000}"/>
    <cellStyle name="1_터미널1-0_설계내역서_화명조경" xfId="2055" xr:uid="{00000000-0005-0000-0000-000006080000}"/>
    <cellStyle name="1_터미널1-0_설계내역서_화명조경_1차 기성 내역서 0612023" xfId="2056" xr:uid="{00000000-0005-0000-0000-000007080000}"/>
    <cellStyle name="1_터미널1-0_설계내역서_화명조경_3차네고견적(061017-1)" xfId="2057" xr:uid="{00000000-0005-0000-0000-000008080000}"/>
    <cellStyle name="1_터미널1-0_설계내역서_화명조경_백화점화장실인테리어" xfId="2058" xr:uid="{00000000-0005-0000-0000-000009080000}"/>
    <cellStyle name="1_터미널1-0_설계내역서_화명조경_백화점화장실인테리어_1차 기성 내역서 0612023" xfId="2059" xr:uid="{00000000-0005-0000-0000-00000A080000}"/>
    <cellStyle name="1_터미널1-0_설계내역서_화명조경_백화점화장실인테리어_3차네고견적(061017-1)" xfId="2060" xr:uid="{00000000-0005-0000-0000-00000B080000}"/>
    <cellStyle name="1_터미널1-0_설계내역서1월7일" xfId="2061" xr:uid="{00000000-0005-0000-0000-00000C080000}"/>
    <cellStyle name="1_터미널1-0_설계내역서1월7일_1차 기성 내역서 0612023" xfId="2062" xr:uid="{00000000-0005-0000-0000-00000D080000}"/>
    <cellStyle name="1_터미널1-0_설계내역서1월7일_3차네고견적(061017-1)" xfId="2063" xr:uid="{00000000-0005-0000-0000-00000E080000}"/>
    <cellStyle name="1_터미널1-0_설계내역서1월7일_백화점화장실인테리어" xfId="2064" xr:uid="{00000000-0005-0000-0000-00000F080000}"/>
    <cellStyle name="1_터미널1-0_설계내역서1월7일_백화점화장실인테리어_1차 기성 내역서 0612023" xfId="2065" xr:uid="{00000000-0005-0000-0000-000010080000}"/>
    <cellStyle name="1_터미널1-0_설계내역서1월7일_백화점화장실인테리어_3차네고견적(061017-1)" xfId="2066" xr:uid="{00000000-0005-0000-0000-000011080000}"/>
    <cellStyle name="1_터미널1-0_설계내역서1월7일_화명조경" xfId="2067" xr:uid="{00000000-0005-0000-0000-000012080000}"/>
    <cellStyle name="1_터미널1-0_설계내역서1월7일_화명조경_1차 기성 내역서 0612023" xfId="2068" xr:uid="{00000000-0005-0000-0000-000013080000}"/>
    <cellStyle name="1_터미널1-0_설계내역서1월7일_화명조경_3차네고견적(061017-1)" xfId="2069" xr:uid="{00000000-0005-0000-0000-000014080000}"/>
    <cellStyle name="1_터미널1-0_설계내역서1월7일_화명조경_백화점화장실인테리어" xfId="2070" xr:uid="{00000000-0005-0000-0000-000015080000}"/>
    <cellStyle name="1_터미널1-0_설계내역서1월7일_화명조경_백화점화장실인테리어_1차 기성 내역서 0612023" xfId="2071" xr:uid="{00000000-0005-0000-0000-000016080000}"/>
    <cellStyle name="1_터미널1-0_설계내역서1월7일_화명조경_백화점화장실인테리어_3차네고견적(061017-1)" xfId="2072" xr:uid="{00000000-0005-0000-0000-000017080000}"/>
    <cellStyle name="1_터미널1-0_쌍용수량0905" xfId="2073" xr:uid="{00000000-0005-0000-0000-000018080000}"/>
    <cellStyle name="1_터미널1-0_쌍용수량0905_1차 기성 내역서 0612023" xfId="2074" xr:uid="{00000000-0005-0000-0000-000019080000}"/>
    <cellStyle name="1_터미널1-0_쌍용수량0905_3차네고견적(061017-1)" xfId="2075" xr:uid="{00000000-0005-0000-0000-00001A080000}"/>
    <cellStyle name="1_터미널1-0_쌍용수량0905_백화점화장실인테리어" xfId="2076" xr:uid="{00000000-0005-0000-0000-00001B080000}"/>
    <cellStyle name="1_터미널1-0_쌍용수량0905_백화점화장실인테리어_1차 기성 내역서 0612023" xfId="2077" xr:uid="{00000000-0005-0000-0000-00001C080000}"/>
    <cellStyle name="1_터미널1-0_쌍용수량0905_백화점화장실인테리어_3차네고견적(061017-1)" xfId="2078" xr:uid="{00000000-0005-0000-0000-00001D080000}"/>
    <cellStyle name="1_터미널1-0_쌍용수량0905_설계내역서" xfId="2079" xr:uid="{00000000-0005-0000-0000-00001E080000}"/>
    <cellStyle name="1_터미널1-0_쌍용수량0905_설계내역서_1차 기성 내역서 0612023" xfId="2080" xr:uid="{00000000-0005-0000-0000-00001F080000}"/>
    <cellStyle name="1_터미널1-0_쌍용수량0905_설계내역서_3차네고견적(061017-1)" xfId="2081" xr:uid="{00000000-0005-0000-0000-000020080000}"/>
    <cellStyle name="1_터미널1-0_쌍용수량0905_설계내역서_백화점화장실인테리어" xfId="2082" xr:uid="{00000000-0005-0000-0000-000021080000}"/>
    <cellStyle name="1_터미널1-0_쌍용수량0905_설계내역서_백화점화장실인테리어_1차 기성 내역서 0612023" xfId="2083" xr:uid="{00000000-0005-0000-0000-000022080000}"/>
    <cellStyle name="1_터미널1-0_쌍용수량0905_설계내역서_백화점화장실인테리어_3차네고견적(061017-1)" xfId="2084" xr:uid="{00000000-0005-0000-0000-000023080000}"/>
    <cellStyle name="1_터미널1-0_쌍용수량0905_설계내역서_화명조경" xfId="2085" xr:uid="{00000000-0005-0000-0000-000024080000}"/>
    <cellStyle name="1_터미널1-0_쌍용수량0905_설계내역서_화명조경_1차 기성 내역서 0612023" xfId="2086" xr:uid="{00000000-0005-0000-0000-000025080000}"/>
    <cellStyle name="1_터미널1-0_쌍용수량0905_설계내역서_화명조경_3차네고견적(061017-1)" xfId="2087" xr:uid="{00000000-0005-0000-0000-000026080000}"/>
    <cellStyle name="1_터미널1-0_쌍용수량0905_설계내역서_화명조경_백화점화장실인테리어" xfId="2088" xr:uid="{00000000-0005-0000-0000-000027080000}"/>
    <cellStyle name="1_터미널1-0_쌍용수량0905_설계내역서_화명조경_백화점화장실인테리어_1차 기성 내역서 0612023" xfId="2089" xr:uid="{00000000-0005-0000-0000-000028080000}"/>
    <cellStyle name="1_터미널1-0_쌍용수량0905_설계내역서_화명조경_백화점화장실인테리어_3차네고견적(061017-1)" xfId="2090" xr:uid="{00000000-0005-0000-0000-000029080000}"/>
    <cellStyle name="1_터미널1-0_쌍용수량0905_설계내역서1월7일" xfId="2091" xr:uid="{00000000-0005-0000-0000-00002A080000}"/>
    <cellStyle name="1_터미널1-0_쌍용수량0905_설계내역서1월7일_1차 기성 내역서 0612023" xfId="2092" xr:uid="{00000000-0005-0000-0000-00002B080000}"/>
    <cellStyle name="1_터미널1-0_쌍용수량0905_설계내역서1월7일_3차네고견적(061017-1)" xfId="2093" xr:uid="{00000000-0005-0000-0000-00002C080000}"/>
    <cellStyle name="1_터미널1-0_쌍용수량0905_설계내역서1월7일_백화점화장실인테리어" xfId="2094" xr:uid="{00000000-0005-0000-0000-00002D080000}"/>
    <cellStyle name="1_터미널1-0_쌍용수량0905_설계내역서1월7일_백화점화장실인테리어_1차 기성 내역서 0612023" xfId="2095" xr:uid="{00000000-0005-0000-0000-00002E080000}"/>
    <cellStyle name="1_터미널1-0_쌍용수량0905_설계내역서1월7일_백화점화장실인테리어_3차네고견적(061017-1)" xfId="2096" xr:uid="{00000000-0005-0000-0000-00002F080000}"/>
    <cellStyle name="1_터미널1-0_쌍용수량0905_설계내역서1월7일_화명조경" xfId="2097" xr:uid="{00000000-0005-0000-0000-000030080000}"/>
    <cellStyle name="1_터미널1-0_쌍용수량0905_설계내역서1월7일_화명조경_1차 기성 내역서 0612023" xfId="2098" xr:uid="{00000000-0005-0000-0000-000031080000}"/>
    <cellStyle name="1_터미널1-0_쌍용수량0905_설계내역서1월7일_화명조경_3차네고견적(061017-1)" xfId="2099" xr:uid="{00000000-0005-0000-0000-000032080000}"/>
    <cellStyle name="1_터미널1-0_쌍용수량0905_설계내역서1월7일_화명조경_백화점화장실인테리어" xfId="2100" xr:uid="{00000000-0005-0000-0000-000033080000}"/>
    <cellStyle name="1_터미널1-0_쌍용수량0905_설계내역서1월7일_화명조경_백화점화장실인테리어_1차 기성 내역서 0612023" xfId="2101" xr:uid="{00000000-0005-0000-0000-000034080000}"/>
    <cellStyle name="1_터미널1-0_쌍용수량0905_설계내역서1월7일_화명조경_백화점화장실인테리어_3차네고견적(061017-1)" xfId="2102" xr:uid="{00000000-0005-0000-0000-000035080000}"/>
    <cellStyle name="1_터미널1-0_쌍용수량0905_화명조경" xfId="2103" xr:uid="{00000000-0005-0000-0000-000036080000}"/>
    <cellStyle name="1_터미널1-0_쌍용수량0905_화명조경_1차 기성 내역서 0612023" xfId="2104" xr:uid="{00000000-0005-0000-0000-000037080000}"/>
    <cellStyle name="1_터미널1-0_쌍용수량0905_화명조경_3차네고견적(061017-1)" xfId="2105" xr:uid="{00000000-0005-0000-0000-000038080000}"/>
    <cellStyle name="1_터미널1-0_쌍용수량0905_화명조경_백화점화장실인테리어" xfId="2106" xr:uid="{00000000-0005-0000-0000-000039080000}"/>
    <cellStyle name="1_터미널1-0_쌍용수량0905_화명조경_백화점화장실인테리어_1차 기성 내역서 0612023" xfId="2107" xr:uid="{00000000-0005-0000-0000-00003A080000}"/>
    <cellStyle name="1_터미널1-0_쌍용수량0905_화명조경_백화점화장실인테리어_3차네고견적(061017-1)" xfId="2108" xr:uid="{00000000-0005-0000-0000-00003B080000}"/>
    <cellStyle name="1_터미널1-0_화명조경" xfId="2109" xr:uid="{00000000-0005-0000-0000-00003C080000}"/>
    <cellStyle name="1_터미널1-0_화명조경_1차 기성 내역서 0612023" xfId="2110" xr:uid="{00000000-0005-0000-0000-00003D080000}"/>
    <cellStyle name="1_터미널1-0_화명조경_3차네고견적(061017-1)" xfId="2111" xr:uid="{00000000-0005-0000-0000-00003E080000}"/>
    <cellStyle name="1_터미널1-0_화명조경_백화점화장실인테리어" xfId="2112" xr:uid="{00000000-0005-0000-0000-00003F080000}"/>
    <cellStyle name="1_터미널1-0_화명조경_백화점화장실인테리어_1차 기성 내역서 0612023" xfId="2113" xr:uid="{00000000-0005-0000-0000-000040080000}"/>
    <cellStyle name="1_터미널1-0_화명조경_백화점화장실인테리어_3차네고견적(061017-1)" xfId="2114" xr:uid="{00000000-0005-0000-0000-000041080000}"/>
    <cellStyle name="10" xfId="2115" xr:uid="{00000000-0005-0000-0000-000042080000}"/>
    <cellStyle name="11" xfId="2116" xr:uid="{00000000-0005-0000-0000-000043080000}"/>
    <cellStyle name="111" xfId="2117" xr:uid="{00000000-0005-0000-0000-000044080000}"/>
    <cellStyle name="¹e" xfId="2118" xr:uid="{00000000-0005-0000-0000-000045080000}"/>
    <cellStyle name="¹éº" xfId="2119" xr:uid="{00000000-0005-0000-0000-000046080000}"/>
    <cellStyle name="¹éºÐÀ²_±¸¸Å³³±â" xfId="2120" xr:uid="{00000000-0005-0000-0000-000047080000}"/>
    <cellStyle name="2" xfId="2121" xr:uid="{00000000-0005-0000-0000-000048080000}"/>
    <cellStyle name="2)" xfId="2122" xr:uid="{00000000-0005-0000-0000-000049080000}"/>
    <cellStyle name="2_단가조사표" xfId="2123" xr:uid="{00000000-0005-0000-0000-00004A080000}"/>
    <cellStyle name="2자리" xfId="2124" xr:uid="{00000000-0005-0000-0000-00004B080000}"/>
    <cellStyle name="³f¹ô[0]_pldt" xfId="2125" xr:uid="{00000000-0005-0000-0000-00004C080000}"/>
    <cellStyle name="³f¹ô_pldt" xfId="2126" xr:uid="{00000000-0005-0000-0000-00004D080000}"/>
    <cellStyle name="60" xfId="2127" xr:uid="{00000000-0005-0000-0000-00004E080000}"/>
    <cellStyle name="_x0014_7." xfId="2128" xr:uid="{00000000-0005-0000-0000-00004F080000}"/>
    <cellStyle name="82" xfId="2129" xr:uid="{00000000-0005-0000-0000-000050080000}"/>
    <cellStyle name="90" xfId="2130" xr:uid="{00000000-0005-0000-0000-000051080000}"/>
    <cellStyle name="A" xfId="2131" xr:uid="{00000000-0005-0000-0000-000052080000}"/>
    <cellStyle name="A_02-도급공사비내역" xfId="2132" xr:uid="{00000000-0005-0000-0000-000053080000}"/>
    <cellStyle name="A_04028적산수량집계" xfId="2133" xr:uid="{00000000-0005-0000-0000-000054080000}"/>
    <cellStyle name="a_0514회의확정자료" xfId="2134" xr:uid="{00000000-0005-0000-0000-000055080000}"/>
    <cellStyle name="A_0901작업1-금액분리" xfId="2135" xr:uid="{00000000-0005-0000-0000-000056080000}"/>
    <cellStyle name="A_A0509-가실행(파주)" xfId="2136" xr:uid="{00000000-0005-0000-0000-000057080000}"/>
    <cellStyle name="a_A-0902건축공사확정(대안포함)" xfId="2137" xr:uid="{00000000-0005-0000-0000-000058080000}"/>
    <cellStyle name="a_A-0902조경공사확정(대안포함)" xfId="2138" xr:uid="{00000000-0005-0000-0000-000059080000}"/>
    <cellStyle name="A_BOOKCITY(전기)" xfId="2139" xr:uid="{00000000-0005-0000-0000-00005A080000}"/>
    <cellStyle name="A_BOOKCITY(전기)_04028적산수량집계" xfId="2140" xr:uid="{00000000-0005-0000-0000-00005B080000}"/>
    <cellStyle name="A_Z01-본작업" xfId="2141" xr:uid="{00000000-0005-0000-0000-00005C080000}"/>
    <cellStyle name="A_가실행(3th)" xfId="2142" xr:uid="{00000000-0005-0000-0000-00005D080000}"/>
    <cellStyle name="A_결정01-총괄가실행(0820)" xfId="2143" xr:uid="{00000000-0005-0000-0000-00005E080000}"/>
    <cellStyle name="A_공설운동진입(가실행)" xfId="2144" xr:uid="{00000000-0005-0000-0000-00005F080000}"/>
    <cellStyle name="A_공설운동진입(가실행)_04028적산수량집계" xfId="2145" xr:uid="{00000000-0005-0000-0000-000060080000}"/>
    <cellStyle name="A_공설운동진입(가실행)_BOOKCITY(전기)" xfId="2146" xr:uid="{00000000-0005-0000-0000-000061080000}"/>
    <cellStyle name="A_공설운동진입(가실행)_BOOKCITY(전기)_04028적산수량집계" xfId="2147" xr:uid="{00000000-0005-0000-0000-000062080000}"/>
    <cellStyle name="A_공설운동진입(가실행)_사본 - 파주 북시티(이채)" xfId="2148" xr:uid="{00000000-0005-0000-0000-000063080000}"/>
    <cellStyle name="A_공설운동진입(가실행)_사본 - 파주 북시티(이채)_04028적산수량집계" xfId="2149" xr:uid="{00000000-0005-0000-0000-000064080000}"/>
    <cellStyle name="A_공설운동진입(가실행)_파주 BOOK CITY(통보용)" xfId="2150" xr:uid="{00000000-0005-0000-0000-000065080000}"/>
    <cellStyle name="A_공설운동진입(가실행)_파주 BOOK CITY(통보용)_04028적산수량집계" xfId="2151" xr:uid="{00000000-0005-0000-0000-000066080000}"/>
    <cellStyle name="A_공설운동진입(가실행)_파주 BOOK CITY가실행내역" xfId="2152" xr:uid="{00000000-0005-0000-0000-000067080000}"/>
    <cellStyle name="A_공설운동진입(가실행)_파주 BOOK CITY가실행내역_04028적산수량집계" xfId="2153" xr:uid="{00000000-0005-0000-0000-000068080000}"/>
    <cellStyle name="A_공설운동진입(가실행)_파주 북시티(이채)제출" xfId="2154" xr:uid="{00000000-0005-0000-0000-000069080000}"/>
    <cellStyle name="A_공설운동진입(가실행)_파주 북시티(이채)제출_04028적산수량집계" xfId="2155" xr:uid="{00000000-0005-0000-0000-00006A080000}"/>
    <cellStyle name="A_공설운동진입(가실행)_파주 북시티(전체)제출(변경전)" xfId="2156" xr:uid="{00000000-0005-0000-0000-00006B080000}"/>
    <cellStyle name="A_공설운동진입(가실행)_파주 북시티(전체)제출(변경전)_04028적산수량집계" xfId="2157" xr:uid="{00000000-0005-0000-0000-00006C080000}"/>
    <cellStyle name="a_공항관련공사비 비교" xfId="2158" xr:uid="{00000000-0005-0000-0000-00006D080000}"/>
    <cellStyle name="A_당팀-가실행작업" xfId="2159" xr:uid="{00000000-0005-0000-0000-00006E080000}"/>
    <cellStyle name="A_도급공사변경Ⅰ(0626)" xfId="2160" xr:uid="{00000000-0005-0000-0000-00006F080000}"/>
    <cellStyle name="A_보고02-건축공사감액보고서(0714)" xfId="2161" xr:uid="{00000000-0005-0000-0000-000070080000}"/>
    <cellStyle name="A_분석001-구조체투입관련" xfId="2162" xr:uid="{00000000-0005-0000-0000-000071080000}"/>
    <cellStyle name="A_사본 - 0429파본사" xfId="2163" xr:uid="{00000000-0005-0000-0000-000072080000}"/>
    <cellStyle name="A_사본 - 파주 북시티(이채)" xfId="2164" xr:uid="{00000000-0005-0000-0000-000073080000}"/>
    <cellStyle name="A_사본 - 파주 북시티(이채)_04028적산수량집계" xfId="2165" xr:uid="{00000000-0005-0000-0000-000074080000}"/>
    <cellStyle name="A_실행01-총괄가실행(0828)" xfId="2166" xr:uid="{00000000-0005-0000-0000-000075080000}"/>
    <cellStyle name="a_자료03-대안수량조정실행대비표" xfId="2167" xr:uid="{00000000-0005-0000-0000-000076080000}"/>
    <cellStyle name="a_자료06-토목공사" xfId="2168" xr:uid="{00000000-0005-0000-0000-000077080000}"/>
    <cellStyle name="a_작업01-조경공사0709" xfId="2169" xr:uid="{00000000-0005-0000-0000-000078080000}"/>
    <cellStyle name="a_참고02-당초가실행" xfId="2170" xr:uid="{00000000-0005-0000-0000-000079080000}"/>
    <cellStyle name="A_토목내역서" xfId="2171" xr:uid="{00000000-0005-0000-0000-00007A080000}"/>
    <cellStyle name="A_토목내역서_04028적산수량집계" xfId="2172" xr:uid="{00000000-0005-0000-0000-00007B080000}"/>
    <cellStyle name="A_토목내역서_BOOKCITY(전기)" xfId="2173" xr:uid="{00000000-0005-0000-0000-00007C080000}"/>
    <cellStyle name="A_토목내역서_BOOKCITY(전기)_04028적산수량집계" xfId="2174" xr:uid="{00000000-0005-0000-0000-00007D080000}"/>
    <cellStyle name="A_토목내역서_공설운동진입(가실행)" xfId="2175" xr:uid="{00000000-0005-0000-0000-00007E080000}"/>
    <cellStyle name="A_토목내역서_공설운동진입(가실행)_04028적산수량집계" xfId="2176" xr:uid="{00000000-0005-0000-0000-00007F080000}"/>
    <cellStyle name="A_토목내역서_공설운동진입(가실행)_BOOKCITY(전기)" xfId="2177" xr:uid="{00000000-0005-0000-0000-000080080000}"/>
    <cellStyle name="A_토목내역서_공설운동진입(가실행)_BOOKCITY(전기)_04028적산수량집계" xfId="2178" xr:uid="{00000000-0005-0000-0000-000081080000}"/>
    <cellStyle name="A_토목내역서_공설운동진입(가실행)_사본 - 파주 북시티(이채)" xfId="2179" xr:uid="{00000000-0005-0000-0000-000082080000}"/>
    <cellStyle name="A_토목내역서_공설운동진입(가실행)_사본 - 파주 북시티(이채)_04028적산수량집계" xfId="2180" xr:uid="{00000000-0005-0000-0000-000083080000}"/>
    <cellStyle name="A_토목내역서_공설운동진입(가실행)_파주 BOOK CITY(통보용)" xfId="2181" xr:uid="{00000000-0005-0000-0000-000084080000}"/>
    <cellStyle name="A_토목내역서_공설운동진입(가실행)_파주 BOOK CITY(통보용)_04028적산수량집계" xfId="2182" xr:uid="{00000000-0005-0000-0000-000085080000}"/>
    <cellStyle name="A_토목내역서_공설운동진입(가실행)_파주 BOOK CITY가실행내역" xfId="2183" xr:uid="{00000000-0005-0000-0000-000086080000}"/>
    <cellStyle name="A_토목내역서_공설운동진입(가실행)_파주 BOOK CITY가실행내역_04028적산수량집계" xfId="2184" xr:uid="{00000000-0005-0000-0000-000087080000}"/>
    <cellStyle name="A_토목내역서_공설운동진입(가실행)_파주 북시티(이채)제출" xfId="2185" xr:uid="{00000000-0005-0000-0000-000088080000}"/>
    <cellStyle name="A_토목내역서_공설운동진입(가실행)_파주 북시티(이채)제출_04028적산수량집계" xfId="2186" xr:uid="{00000000-0005-0000-0000-000089080000}"/>
    <cellStyle name="A_토목내역서_공설운동진입(가실행)_파주 북시티(전체)제출(변경전)" xfId="2187" xr:uid="{00000000-0005-0000-0000-00008A080000}"/>
    <cellStyle name="A_토목내역서_공설운동진입(가실행)_파주 북시티(전체)제출(변경전)_04028적산수량집계" xfId="2188" xr:uid="{00000000-0005-0000-0000-00008B080000}"/>
    <cellStyle name="A_토목내역서_사본 - 파주 북시티(이채)" xfId="2189" xr:uid="{00000000-0005-0000-0000-00008C080000}"/>
    <cellStyle name="A_토목내역서_사본 - 파주 북시티(이채)_04028적산수량집계" xfId="2190" xr:uid="{00000000-0005-0000-0000-00008D080000}"/>
    <cellStyle name="A_토목내역서_파주 BOOK CITY(통보용)" xfId="2191" xr:uid="{00000000-0005-0000-0000-00008E080000}"/>
    <cellStyle name="A_토목내역서_파주 BOOK CITY(통보용)_04028적산수량집계" xfId="2192" xr:uid="{00000000-0005-0000-0000-00008F080000}"/>
    <cellStyle name="A_토목내역서_파주 BOOK CITY가실행내역" xfId="2193" xr:uid="{00000000-0005-0000-0000-000090080000}"/>
    <cellStyle name="A_토목내역서_파주 BOOK CITY가실행내역_04028적산수량집계" xfId="2194" xr:uid="{00000000-0005-0000-0000-000091080000}"/>
    <cellStyle name="A_토목내역서_파주 북시티(이채)제출" xfId="2195" xr:uid="{00000000-0005-0000-0000-000092080000}"/>
    <cellStyle name="A_토목내역서_파주 북시티(이채)제출_04028적산수량집계" xfId="2196" xr:uid="{00000000-0005-0000-0000-000093080000}"/>
    <cellStyle name="A_토목내역서_파주 북시티(전체)제출(변경전)" xfId="2197" xr:uid="{00000000-0005-0000-0000-000094080000}"/>
    <cellStyle name="A_토목내역서_파주 북시티(전체)제출(변경전)_04028적산수량집계" xfId="2198" xr:uid="{00000000-0005-0000-0000-000095080000}"/>
    <cellStyle name="A_파주 BOOK CITY(통보용)" xfId="2199" xr:uid="{00000000-0005-0000-0000-000096080000}"/>
    <cellStyle name="A_파주 BOOK CITY(통보용)_04028적산수량집계" xfId="2200" xr:uid="{00000000-0005-0000-0000-000097080000}"/>
    <cellStyle name="A_파주 BOOK CITY가실행내역" xfId="2201" xr:uid="{00000000-0005-0000-0000-000098080000}"/>
    <cellStyle name="A_파주 BOOK CITY가실행내역_04028적산수량집계" xfId="2202" xr:uid="{00000000-0005-0000-0000-000099080000}"/>
    <cellStyle name="A_파주 북시티(이채)제출" xfId="2203" xr:uid="{00000000-0005-0000-0000-00009A080000}"/>
    <cellStyle name="A_파주 북시티(이채)제출_04028적산수량집계" xfId="2204" xr:uid="{00000000-0005-0000-0000-00009B080000}"/>
    <cellStyle name="A_파주 북시티(전체)제출(변경전)" xfId="2205" xr:uid="{00000000-0005-0000-0000-00009C080000}"/>
    <cellStyle name="A_파주 북시티(전체)제출(변경전)_04028적산수량집계" xfId="2206" xr:uid="{00000000-0005-0000-0000-00009D080000}"/>
    <cellStyle name="a_파주1차가실행(통합)-대안1-현장분" xfId="2207" xr:uid="{00000000-0005-0000-0000-00009E080000}"/>
    <cellStyle name="A¨­￠￢￠O [0]_¨uc¨oA " xfId="2208" xr:uid="{00000000-0005-0000-0000-00009F080000}"/>
    <cellStyle name="A¨­¢¬¢Ò [0]_INQUIRY ¢¯¥ì¨ú¡ÀA©¬A©ª " xfId="2209" xr:uid="{00000000-0005-0000-0000-0000A0080000}"/>
    <cellStyle name="A¨­￠￢￠O_¨uc¨oA " xfId="2210" xr:uid="{00000000-0005-0000-0000-0000A1080000}"/>
    <cellStyle name="A¨­¢¬¢Ò_INQUIRY ¢¯¥ì¨ú¡ÀA©¬A©ª " xfId="2211" xr:uid="{00000000-0005-0000-0000-0000A2080000}"/>
    <cellStyle name="Aⓒ­" xfId="2212" xr:uid="{00000000-0005-0000-0000-0000A3080000}"/>
    <cellStyle name="Ae" xfId="2213" xr:uid="{00000000-0005-0000-0000-0000A4080000}"/>
    <cellStyle name="Åë" xfId="2214" xr:uid="{00000000-0005-0000-0000-0000A5080000}"/>
    <cellStyle name="Aee­ " xfId="2215" xr:uid="{00000000-0005-0000-0000-0000A6080000}"/>
    <cellStyle name="Åëè­ [" xfId="2216" xr:uid="{00000000-0005-0000-0000-0000A7080000}"/>
    <cellStyle name="AeE­ [0]_ 2ÆAAþº° " xfId="2217" xr:uid="{00000000-0005-0000-0000-0000A8080000}"/>
    <cellStyle name="ÅëÈ­ [0]_´ëºñÇ¥" xfId="2218" xr:uid="{00000000-0005-0000-0000-0000A9080000}"/>
    <cellStyle name="AeE­ [0]_°ø A¤ C￥  BAR (sample) " xfId="2219" xr:uid="{00000000-0005-0000-0000-0000AA080000}"/>
    <cellStyle name="ÅëÈ­ [0]_2000¼ÕÈ® " xfId="2220" xr:uid="{00000000-0005-0000-0000-0000AB080000}"/>
    <cellStyle name="AeE­ [0]_95³aAN°y¼o·R " xfId="2221" xr:uid="{00000000-0005-0000-0000-0000AC080000}"/>
    <cellStyle name="ÅëÈ­ [0]_Á¤»ê¼­°©Áö" xfId="2222" xr:uid="{00000000-0005-0000-0000-0000AD080000}"/>
    <cellStyle name="AeE­ [0]_INQUIRY ¿μ¾÷AßAø " xfId="2223" xr:uid="{00000000-0005-0000-0000-0000AE080000}"/>
    <cellStyle name="ÅëÈ­ [0]_kc-elec system check list" xfId="2224" xr:uid="{00000000-0005-0000-0000-0000AF080000}"/>
    <cellStyle name="AeE­ [0]_º≫¼± ±æ¾i±uºI ¼o·R Ay°eC￥ " xfId="2225" xr:uid="{00000000-0005-0000-0000-0000B0080000}"/>
    <cellStyle name="ÅëÈ­ [0]_RESULTS" xfId="2226" xr:uid="{00000000-0005-0000-0000-0000B1080000}"/>
    <cellStyle name="AeE­ [0]_μμ±Þ°ø≫cºn " xfId="2227" xr:uid="{00000000-0005-0000-0000-0000B2080000}"/>
    <cellStyle name="AeE­_ 2ÆAAþº° " xfId="2228" xr:uid="{00000000-0005-0000-0000-0000B3080000}"/>
    <cellStyle name="ÅëÈ­_´ëºñÇ¥" xfId="2229" xr:uid="{00000000-0005-0000-0000-0000B4080000}"/>
    <cellStyle name="AeE­_°ø A¤ C￥  BAR (sample) " xfId="2230" xr:uid="{00000000-0005-0000-0000-0000B5080000}"/>
    <cellStyle name="ÅëÈ­_Á¤»ê¼­°©Áö" xfId="2231" xr:uid="{00000000-0005-0000-0000-0000B6080000}"/>
    <cellStyle name="AeE­_INQUIRY ¿μ¾÷AßAø " xfId="2232" xr:uid="{00000000-0005-0000-0000-0000B7080000}"/>
    <cellStyle name="ÅëÈ­_kc-elec system check list" xfId="2233" xr:uid="{00000000-0005-0000-0000-0000B8080000}"/>
    <cellStyle name="AeE­_º≫¼± ±æ¾i±uºI ¼o·R Ay°eC￥ " xfId="2234" xr:uid="{00000000-0005-0000-0000-0000B9080000}"/>
    <cellStyle name="ÅëÈ­_RESULTS" xfId="2235" xr:uid="{00000000-0005-0000-0000-0000BA080000}"/>
    <cellStyle name="Aee¡" xfId="2236" xr:uid="{00000000-0005-0000-0000-0000BB080000}"/>
    <cellStyle name="AeE¡© [0]_INQUIRY ¢¯¥ì¨ú¡ÀA©¬A©ª " xfId="2237" xr:uid="{00000000-0005-0000-0000-0000BC080000}"/>
    <cellStyle name="AeE¡©_INQUIRY ¢¯¥ì¨ú¡ÀA©¬A©ª " xfId="2238" xr:uid="{00000000-0005-0000-0000-0000BD080000}"/>
    <cellStyle name="AeE¡ⓒ [0]_¨uc¨oA " xfId="2239" xr:uid="{00000000-0005-0000-0000-0000BE080000}"/>
    <cellStyle name="AeE¡ⓒ_¨uc¨oA " xfId="2240" xr:uid="{00000000-0005-0000-0000-0000BF080000}"/>
    <cellStyle name="ALIGNMENT" xfId="2241" xr:uid="{00000000-0005-0000-0000-0000C0080000}"/>
    <cellStyle name="args.style" xfId="2242" xr:uid="{00000000-0005-0000-0000-0000C1080000}"/>
    <cellStyle name="Äþ" xfId="2243" xr:uid="{00000000-0005-0000-0000-0000C2080000}"/>
    <cellStyle name="Aþ¸" xfId="2244" xr:uid="{00000000-0005-0000-0000-0000C3080000}"/>
    <cellStyle name="Äþ¸¶ [" xfId="2245" xr:uid="{00000000-0005-0000-0000-0000C4080000}"/>
    <cellStyle name="AÞ¸¶ [0]_ 2ÆAAþº° " xfId="2246" xr:uid="{00000000-0005-0000-0000-0000C5080000}"/>
    <cellStyle name="ÄÞ¸¶ [0]_´ëºñÇ¥" xfId="2247" xr:uid="{00000000-0005-0000-0000-0000C6080000}"/>
    <cellStyle name="AÞ¸¶ [0]_°¡³ª´U " xfId="2248" xr:uid="{00000000-0005-0000-0000-0000C7080000}"/>
    <cellStyle name="AÞ¸¶_ 2ÆAAþº° " xfId="2249" xr:uid="{00000000-0005-0000-0000-0000C9080000}"/>
    <cellStyle name="ÄÞ¸¶_´ëºñÇ¥" xfId="2250" xr:uid="{00000000-0005-0000-0000-0000CA080000}"/>
    <cellStyle name="AÞ¸¶_°ø A¤ C￥  BAR (sample) " xfId="2251" xr:uid="{00000000-0005-0000-0000-0000CB080000}"/>
    <cellStyle name="ÄÞ¸¶_2000¼ÕÈ® " xfId="2252" xr:uid="{00000000-0005-0000-0000-0000CC080000}"/>
    <cellStyle name="_x0001_b" xfId="2253" xr:uid="{00000000-0005-0000-0000-0000CD080000}"/>
    <cellStyle name="blank" xfId="2254" xr:uid="{00000000-0005-0000-0000-0000CE080000}"/>
    <cellStyle name="blank - Style1" xfId="2255" xr:uid="{00000000-0005-0000-0000-0000CF080000}"/>
    <cellStyle name="Body" xfId="2256" xr:uid="{00000000-0005-0000-0000-0000D0080000}"/>
    <cellStyle name="C" xfId="2257" xr:uid="{00000000-0005-0000-0000-0000D1080000}"/>
    <cellStyle name="C_04028적산수량집계" xfId="2258" xr:uid="{00000000-0005-0000-0000-0000D2080000}"/>
    <cellStyle name="C_BOOKCITY(전기)" xfId="2259" xr:uid="{00000000-0005-0000-0000-0000D3080000}"/>
    <cellStyle name="C_BOOKCITY(전기)_04028적산수량집계" xfId="2260" xr:uid="{00000000-0005-0000-0000-0000D4080000}"/>
    <cellStyle name="C_공설운동진입(가실행)" xfId="2261" xr:uid="{00000000-0005-0000-0000-0000D5080000}"/>
    <cellStyle name="C_공설운동진입(가실행)_04028적산수량집계" xfId="2262" xr:uid="{00000000-0005-0000-0000-0000D6080000}"/>
    <cellStyle name="C_공설운동진입(가실행)_BOOKCITY(전기)" xfId="2263" xr:uid="{00000000-0005-0000-0000-0000D7080000}"/>
    <cellStyle name="C_공설운동진입(가실행)_BOOKCITY(전기)_04028적산수량집계" xfId="2264" xr:uid="{00000000-0005-0000-0000-0000D8080000}"/>
    <cellStyle name="C_공설운동진입(가실행)_사본 - 파주 북시티(이채)" xfId="2265" xr:uid="{00000000-0005-0000-0000-0000D9080000}"/>
    <cellStyle name="C_공설운동진입(가실행)_사본 - 파주 북시티(이채)_04028적산수량집계" xfId="2266" xr:uid="{00000000-0005-0000-0000-0000DA080000}"/>
    <cellStyle name="C_공설운동진입(가실행)_파주 BOOK CITY(통보용)" xfId="2267" xr:uid="{00000000-0005-0000-0000-0000DB080000}"/>
    <cellStyle name="C_공설운동진입(가실행)_파주 BOOK CITY(통보용)_04028적산수량집계" xfId="2268" xr:uid="{00000000-0005-0000-0000-0000DC080000}"/>
    <cellStyle name="C_공설운동진입(가실행)_파주 BOOK CITY가실행내역" xfId="2269" xr:uid="{00000000-0005-0000-0000-0000DD080000}"/>
    <cellStyle name="C_공설운동진입(가실행)_파주 BOOK CITY가실행내역_04028적산수량집계" xfId="2270" xr:uid="{00000000-0005-0000-0000-0000DE080000}"/>
    <cellStyle name="C_공설운동진입(가실행)_파주 북시티(이채)제출" xfId="2271" xr:uid="{00000000-0005-0000-0000-0000DF080000}"/>
    <cellStyle name="C_공설운동진입(가실행)_파주 북시티(이채)제출_04028적산수량집계" xfId="2272" xr:uid="{00000000-0005-0000-0000-0000E0080000}"/>
    <cellStyle name="C_공설운동진입(가실행)_파주 북시티(전체)제출(변경전)" xfId="2273" xr:uid="{00000000-0005-0000-0000-0000E1080000}"/>
    <cellStyle name="C_공설운동진입(가실행)_파주 북시티(전체)제출(변경전)_04028적산수량집계" xfId="2274" xr:uid="{00000000-0005-0000-0000-0000E2080000}"/>
    <cellStyle name="C_사본 - 파주 북시티(이채)" xfId="2275" xr:uid="{00000000-0005-0000-0000-0000E3080000}"/>
    <cellStyle name="C_사본 - 파주 북시티(이채)_04028적산수량집계" xfId="2276" xr:uid="{00000000-0005-0000-0000-0000E4080000}"/>
    <cellStyle name="C_토목내역서" xfId="2277" xr:uid="{00000000-0005-0000-0000-0000E5080000}"/>
    <cellStyle name="C_토목내역서_04028적산수량집계" xfId="2278" xr:uid="{00000000-0005-0000-0000-0000E6080000}"/>
    <cellStyle name="C_토목내역서_BOOKCITY(전기)" xfId="2279" xr:uid="{00000000-0005-0000-0000-0000E7080000}"/>
    <cellStyle name="C_토목내역서_BOOKCITY(전기)_04028적산수량집계" xfId="2280" xr:uid="{00000000-0005-0000-0000-0000E8080000}"/>
    <cellStyle name="C_토목내역서_공설운동진입(가실행)" xfId="2281" xr:uid="{00000000-0005-0000-0000-0000E9080000}"/>
    <cellStyle name="C_토목내역서_공설운동진입(가실행)_04028적산수량집계" xfId="2282" xr:uid="{00000000-0005-0000-0000-0000EA080000}"/>
    <cellStyle name="C_토목내역서_공설운동진입(가실행)_BOOKCITY(전기)" xfId="2283" xr:uid="{00000000-0005-0000-0000-0000EB080000}"/>
    <cellStyle name="C_토목내역서_공설운동진입(가실행)_BOOKCITY(전기)_04028적산수량집계" xfId="2284" xr:uid="{00000000-0005-0000-0000-0000EC080000}"/>
    <cellStyle name="C_토목내역서_공설운동진입(가실행)_사본 - 파주 북시티(이채)" xfId="2285" xr:uid="{00000000-0005-0000-0000-0000ED080000}"/>
    <cellStyle name="C_토목내역서_공설운동진입(가실행)_사본 - 파주 북시티(이채)_04028적산수량집계" xfId="2286" xr:uid="{00000000-0005-0000-0000-0000EE080000}"/>
    <cellStyle name="C_토목내역서_공설운동진입(가실행)_파주 BOOK CITY(통보용)" xfId="2287" xr:uid="{00000000-0005-0000-0000-0000EF080000}"/>
    <cellStyle name="C_토목내역서_공설운동진입(가실행)_파주 BOOK CITY(통보용)_04028적산수량집계" xfId="2288" xr:uid="{00000000-0005-0000-0000-0000F0080000}"/>
    <cellStyle name="C_토목내역서_공설운동진입(가실행)_파주 BOOK CITY가실행내역" xfId="2289" xr:uid="{00000000-0005-0000-0000-0000F1080000}"/>
    <cellStyle name="C_토목내역서_공설운동진입(가실행)_파주 BOOK CITY가실행내역_04028적산수량집계" xfId="2290" xr:uid="{00000000-0005-0000-0000-0000F2080000}"/>
    <cellStyle name="C_토목내역서_공설운동진입(가실행)_파주 북시티(이채)제출" xfId="2291" xr:uid="{00000000-0005-0000-0000-0000F3080000}"/>
    <cellStyle name="C_토목내역서_공설운동진입(가실행)_파주 북시티(이채)제출_04028적산수량집계" xfId="2292" xr:uid="{00000000-0005-0000-0000-0000F4080000}"/>
    <cellStyle name="C_토목내역서_공설운동진입(가실행)_파주 북시티(전체)제출(변경전)" xfId="2293" xr:uid="{00000000-0005-0000-0000-0000F5080000}"/>
    <cellStyle name="C_토목내역서_공설운동진입(가실행)_파주 북시티(전체)제출(변경전)_04028적산수량집계" xfId="2294" xr:uid="{00000000-0005-0000-0000-0000F6080000}"/>
    <cellStyle name="C_토목내역서_사본 - 파주 북시티(이채)" xfId="2295" xr:uid="{00000000-0005-0000-0000-0000F7080000}"/>
    <cellStyle name="C_토목내역서_사본 - 파주 북시티(이채)_04028적산수량집계" xfId="2296" xr:uid="{00000000-0005-0000-0000-0000F8080000}"/>
    <cellStyle name="C_토목내역서_파주 BOOK CITY(통보용)" xfId="2297" xr:uid="{00000000-0005-0000-0000-0000F9080000}"/>
    <cellStyle name="C_토목내역서_파주 BOOK CITY(통보용)_04028적산수량집계" xfId="2298" xr:uid="{00000000-0005-0000-0000-0000FA080000}"/>
    <cellStyle name="C_토목내역서_파주 BOOK CITY가실행내역" xfId="2299" xr:uid="{00000000-0005-0000-0000-0000FB080000}"/>
    <cellStyle name="C_토목내역서_파주 BOOK CITY가실행내역_04028적산수량집계" xfId="2300" xr:uid="{00000000-0005-0000-0000-0000FC080000}"/>
    <cellStyle name="C_토목내역서_파주 북시티(이채)제출" xfId="2301" xr:uid="{00000000-0005-0000-0000-0000FD080000}"/>
    <cellStyle name="C_토목내역서_파주 북시티(이채)제출_04028적산수량집계" xfId="2302" xr:uid="{00000000-0005-0000-0000-0000FE080000}"/>
    <cellStyle name="C_토목내역서_파주 북시티(전체)제출(변경전)" xfId="2303" xr:uid="{00000000-0005-0000-0000-0000FF080000}"/>
    <cellStyle name="C_토목내역서_파주 북시티(전체)제출(변경전)_04028적산수량집계" xfId="2304" xr:uid="{00000000-0005-0000-0000-000000090000}"/>
    <cellStyle name="C_파주 BOOK CITY(통보용)" xfId="2305" xr:uid="{00000000-0005-0000-0000-000001090000}"/>
    <cellStyle name="C_파주 BOOK CITY(통보용)_04028적산수량집계" xfId="2306" xr:uid="{00000000-0005-0000-0000-000002090000}"/>
    <cellStyle name="C_파주 BOOK CITY가실행내역" xfId="2307" xr:uid="{00000000-0005-0000-0000-000003090000}"/>
    <cellStyle name="C_파주 BOOK CITY가실행내역_04028적산수량집계" xfId="2308" xr:uid="{00000000-0005-0000-0000-000004090000}"/>
    <cellStyle name="C_파주 북시티(이채)제출" xfId="2309" xr:uid="{00000000-0005-0000-0000-000005090000}"/>
    <cellStyle name="C_파주 북시티(이채)제출_04028적산수량집계" xfId="2310" xr:uid="{00000000-0005-0000-0000-000006090000}"/>
    <cellStyle name="C_파주 북시티(전체)제출(변경전)" xfId="2311" xr:uid="{00000000-0005-0000-0000-000007090000}"/>
    <cellStyle name="C_파주 북시티(전체)제출(변경전)_04028적산수량집계" xfId="2312" xr:uid="{00000000-0005-0000-0000-000008090000}"/>
    <cellStyle name="C¡IA¨ª_  FAB AIA￠´  " xfId="2313" xr:uid="{00000000-0005-0000-0000-000009090000}"/>
    <cellStyle name="C¡ÍA¨ª_¡íc¨ú¡À¨¬I¨¬¡Æ AN¡Æe " xfId="2314" xr:uid="{00000000-0005-0000-0000-00000A090000}"/>
    <cellStyle name="C¡IA¨ª_AO¨uRCN¡¾U " xfId="2315" xr:uid="{00000000-0005-0000-0000-00000B090000}"/>
    <cellStyle name="Ç¥" xfId="2316" xr:uid="{00000000-0005-0000-0000-00000C090000}"/>
    <cellStyle name="C￥AØ_  FAB AIA¤  " xfId="2317" xr:uid="{00000000-0005-0000-0000-00000D090000}"/>
    <cellStyle name="Ç¥ÁØ_(Á¤º¸ºÎ¹®)¿ùº°ÀÎ¿ø°èÈ¹" xfId="2318" xr:uid="{00000000-0005-0000-0000-00000E090000}"/>
    <cellStyle name="C￥AØ_´eAN°yC￥ " xfId="2319" xr:uid="{00000000-0005-0000-0000-00000F090000}"/>
    <cellStyle name="Ç¥ÁØ_´ëºñÇ¥" xfId="2320" xr:uid="{00000000-0005-0000-0000-000010090000}"/>
    <cellStyle name="C￥AØ_´eºnC￥ (2)_1_ºI´eAa°ø " xfId="2321" xr:uid="{00000000-0005-0000-0000-000011090000}"/>
    <cellStyle name="Ç¥ÁØ_´ëºñÇ¥ (2)_1_ºÎ´ëÅä°ø " xfId="2322" xr:uid="{00000000-0005-0000-0000-000012090000}"/>
    <cellStyle name="C￥AØ_´eºnC￥ (2)_ºI´eAa°ø " xfId="2323" xr:uid="{00000000-0005-0000-0000-000013090000}"/>
    <cellStyle name="Ç¥ÁØ_´ëºñÇ¥ (2)_ºÎ´ëÅä°ø " xfId="2324" xr:uid="{00000000-0005-0000-0000-000014090000}"/>
    <cellStyle name="C￥AØ_≫c¾÷ºIº° AN°e " xfId="2325" xr:uid="{00000000-0005-0000-0000-000015090000}"/>
    <cellStyle name="Ç¥ÁØ_¼öÀÍ¼º " xfId="2326" xr:uid="{00000000-0005-0000-0000-000018090000}"/>
    <cellStyle name="C￥AØ_¹y¸eº¸E￡ " xfId="2327" xr:uid="{00000000-0005-0000-0000-000019090000}"/>
    <cellStyle name="Ç¥ÁØ_5-1±¤°í " xfId="2328" xr:uid="{00000000-0005-0000-0000-00001A090000}"/>
    <cellStyle name="C￥AØ_95³aAN°y¼o·R " xfId="2329" xr:uid="{00000000-0005-0000-0000-00001B090000}"/>
    <cellStyle name="Ç¥ÁØ_Áý°èÇ¥(2¿ù) " xfId="2330" xr:uid="{00000000-0005-0000-0000-00001C090000}"/>
    <cellStyle name="C￥AØ_CoAo¹yAI °A¾×¿ⓒ½A " xfId="2331" xr:uid="{00000000-0005-0000-0000-00001D090000}"/>
    <cellStyle name="Ç¥ÁØ_ÇöÈ²_¹®Á¦Á¡ " xfId="2332" xr:uid="{00000000-0005-0000-0000-00001E090000}"/>
    <cellStyle name="C￥AØ_E¸AaAO½A " xfId="2333" xr:uid="{00000000-0005-0000-0000-00001F090000}"/>
    <cellStyle name="Ç¥ÁØ_ÈÞÀÏ±Ù·Î" xfId="2334" xr:uid="{00000000-0005-0000-0000-000020090000}"/>
    <cellStyle name="C￥AØ_FIRE " xfId="2335" xr:uid="{00000000-0005-0000-0000-000021090000}"/>
    <cellStyle name="Ç¥ÁØ_HATCO HQ" xfId="2336" xr:uid="{00000000-0005-0000-0000-000022090000}"/>
    <cellStyle name="C￥AØ_LIGHTNING " xfId="2337" xr:uid="{00000000-0005-0000-0000-000023090000}"/>
    <cellStyle name="Ç¥ÁØ_º¯°æ(ÃÖÁ¾)" xfId="2338" xr:uid="{00000000-0005-0000-0000-000024090000}"/>
    <cellStyle name="C￥AØ_PERSONAL" xfId="2339" xr:uid="{00000000-0005-0000-0000-000025090000}"/>
    <cellStyle name="Ç¥ÁØ_RESULTS" xfId="2340" xr:uid="{00000000-0005-0000-0000-000026090000}"/>
    <cellStyle name="Calc Currency (0)" xfId="2341" xr:uid="{00000000-0005-0000-0000-000027090000}"/>
    <cellStyle name="Calc Currency (2)" xfId="2342" xr:uid="{00000000-0005-0000-0000-000028090000}"/>
    <cellStyle name="Calc Percent (0)" xfId="2343" xr:uid="{00000000-0005-0000-0000-000029090000}"/>
    <cellStyle name="Calc Percent (1)" xfId="2344" xr:uid="{00000000-0005-0000-0000-00002A090000}"/>
    <cellStyle name="Calc Percent (2)" xfId="2345" xr:uid="{00000000-0005-0000-0000-00002B090000}"/>
    <cellStyle name="Calc Units (0)" xfId="2346" xr:uid="{00000000-0005-0000-0000-00002C090000}"/>
    <cellStyle name="Calc Units (1)" xfId="2347" xr:uid="{00000000-0005-0000-0000-00002D090000}"/>
    <cellStyle name="Calc Units (2)" xfId="2348" xr:uid="{00000000-0005-0000-0000-00002E090000}"/>
    <cellStyle name="category" xfId="2349" xr:uid="{00000000-0005-0000-0000-00002F090000}"/>
    <cellStyle name="ÇÏÀÌÆÛ¸µÅ©" xfId="2350" xr:uid="{00000000-0005-0000-0000-000030090000}"/>
    <cellStyle name="CIAIÆU¸μAⓒ" xfId="2351" xr:uid="{00000000-0005-0000-0000-000031090000}"/>
    <cellStyle name="ⓒo" xfId="2352" xr:uid="{00000000-0005-0000-0000-000032090000}"/>
    <cellStyle name="Comma" xfId="2353" xr:uid="{00000000-0005-0000-0000-000033090000}"/>
    <cellStyle name="Comma  - Style2" xfId="2354" xr:uid="{00000000-0005-0000-0000-000034090000}"/>
    <cellStyle name="Comma  - Style3" xfId="2355" xr:uid="{00000000-0005-0000-0000-000035090000}"/>
    <cellStyle name="Comma  - Style4" xfId="2356" xr:uid="{00000000-0005-0000-0000-000036090000}"/>
    <cellStyle name="Comma  - Style5" xfId="2357" xr:uid="{00000000-0005-0000-0000-000037090000}"/>
    <cellStyle name="Comma  - Style6" xfId="2358" xr:uid="{00000000-0005-0000-0000-000038090000}"/>
    <cellStyle name="Comma  - Style7" xfId="2359" xr:uid="{00000000-0005-0000-0000-000039090000}"/>
    <cellStyle name="Comma  - Style8" xfId="2360" xr:uid="{00000000-0005-0000-0000-00003A090000}"/>
    <cellStyle name="Comma [0]" xfId="2584" xr:uid="{00000000-0005-0000-0000-00003B090000}"/>
    <cellStyle name="Comma [00]" xfId="2361" xr:uid="{00000000-0005-0000-0000-00003C090000}"/>
    <cellStyle name="comma zerodec" xfId="2362" xr:uid="{00000000-0005-0000-0000-00003D090000}"/>
    <cellStyle name="Comma_ SG&amp;A Bridge" xfId="2363" xr:uid="{00000000-0005-0000-0000-00003E090000}"/>
    <cellStyle name="Comma0" xfId="2364" xr:uid="{00000000-0005-0000-0000-00003F090000}"/>
    <cellStyle name="Copied" xfId="2365" xr:uid="{00000000-0005-0000-0000-000040090000}"/>
    <cellStyle name="Curren?_x0012_퐀_x0017_?" xfId="2366" xr:uid="{00000000-0005-0000-0000-000041090000}"/>
    <cellStyle name="Currency" xfId="2367" xr:uid="{00000000-0005-0000-0000-000042090000}"/>
    <cellStyle name="Currency [0]" xfId="2368" xr:uid="{00000000-0005-0000-0000-000043090000}"/>
    <cellStyle name="Currency [00]" xfId="2369" xr:uid="{00000000-0005-0000-0000-000044090000}"/>
    <cellStyle name="Currency_ SG&amp;A Bridge " xfId="2370" xr:uid="{00000000-0005-0000-0000-000045090000}"/>
    <cellStyle name="Currency0" xfId="2371" xr:uid="{00000000-0005-0000-0000-000046090000}"/>
    <cellStyle name="Currency1" xfId="2372" xr:uid="{00000000-0005-0000-0000-000047090000}"/>
    <cellStyle name="Date" xfId="2373" xr:uid="{00000000-0005-0000-0000-000048090000}"/>
    <cellStyle name="Date Short" xfId="2374" xr:uid="{00000000-0005-0000-0000-000049090000}"/>
    <cellStyle name="Date_견적양식(가로)" xfId="2375" xr:uid="{00000000-0005-0000-0000-00004A090000}"/>
    <cellStyle name="DELTA" xfId="2376" xr:uid="{00000000-0005-0000-0000-00004B090000}"/>
    <cellStyle name="Dezimal [0]_Compiling Utility Macros" xfId="2377" xr:uid="{00000000-0005-0000-0000-00004C090000}"/>
    <cellStyle name="Dezimal_Compiling Utility Macros" xfId="2378" xr:uid="{00000000-0005-0000-0000-00004D090000}"/>
    <cellStyle name="Dollar (zero dec)" xfId="2379" xr:uid="{00000000-0005-0000-0000-00004E090000}"/>
    <cellStyle name="En-t?e 1" xfId="2380" xr:uid="{00000000-0005-0000-0000-00004F090000}"/>
    <cellStyle name="En-t?e 2" xfId="2381" xr:uid="{00000000-0005-0000-0000-000050090000}"/>
    <cellStyle name="Enter Currency (0)" xfId="2382" xr:uid="{00000000-0005-0000-0000-000051090000}"/>
    <cellStyle name="Enter Currency (2)" xfId="2383" xr:uid="{00000000-0005-0000-0000-000052090000}"/>
    <cellStyle name="Enter Units (0)" xfId="2384" xr:uid="{00000000-0005-0000-0000-000053090000}"/>
    <cellStyle name="Enter Units (1)" xfId="2385" xr:uid="{00000000-0005-0000-0000-000054090000}"/>
    <cellStyle name="Enter Units (2)" xfId="2386" xr:uid="{00000000-0005-0000-0000-000055090000}"/>
    <cellStyle name="Entered" xfId="2387" xr:uid="{00000000-0005-0000-0000-000056090000}"/>
    <cellStyle name="Euro" xfId="2388" xr:uid="{00000000-0005-0000-0000-000057090000}"/>
    <cellStyle name="F2" xfId="2389" xr:uid="{00000000-0005-0000-0000-000058090000}"/>
    <cellStyle name="F3" xfId="2390" xr:uid="{00000000-0005-0000-0000-000059090000}"/>
    <cellStyle name="F4" xfId="2391" xr:uid="{00000000-0005-0000-0000-00005A090000}"/>
    <cellStyle name="F5" xfId="2392" xr:uid="{00000000-0005-0000-0000-00005B090000}"/>
    <cellStyle name="F6" xfId="2393" xr:uid="{00000000-0005-0000-0000-00005C090000}"/>
    <cellStyle name="F7" xfId="2394" xr:uid="{00000000-0005-0000-0000-00005D090000}"/>
    <cellStyle name="F8" xfId="2395" xr:uid="{00000000-0005-0000-0000-00005E090000}"/>
    <cellStyle name="Financier0" xfId="2396" xr:uid="{00000000-0005-0000-0000-00005F090000}"/>
    <cellStyle name="Fixed" xfId="2397" xr:uid="{00000000-0005-0000-0000-000060090000}"/>
    <cellStyle name="Followed Hyperlink" xfId="2398" xr:uid="{00000000-0005-0000-0000-000061090000}"/>
    <cellStyle name="G10" xfId="2399" xr:uid="{00000000-0005-0000-0000-000062090000}"/>
    <cellStyle name="Grey" xfId="2400" xr:uid="{00000000-0005-0000-0000-000063090000}"/>
    <cellStyle name="H1" xfId="2401" xr:uid="{00000000-0005-0000-0000-000064090000}"/>
    <cellStyle name="H2" xfId="2402" xr:uid="{00000000-0005-0000-0000-000065090000}"/>
    <cellStyle name="HEADER" xfId="2403" xr:uid="{00000000-0005-0000-0000-000066090000}"/>
    <cellStyle name="Header1" xfId="2404" xr:uid="{00000000-0005-0000-0000-000067090000}"/>
    <cellStyle name="Header2" xfId="2405" xr:uid="{00000000-0005-0000-0000-000068090000}"/>
    <cellStyle name="Heading 1" xfId="2406" xr:uid="{00000000-0005-0000-0000-000069090000}"/>
    <cellStyle name="Heading 2" xfId="2407" xr:uid="{00000000-0005-0000-0000-00006A090000}"/>
    <cellStyle name="Heading1" xfId="2408" xr:uid="{00000000-0005-0000-0000-00006B090000}"/>
    <cellStyle name="Heading2" xfId="2409" xr:uid="{00000000-0005-0000-0000-00006C090000}"/>
    <cellStyle name="HEADINGS" xfId="2410" xr:uid="{00000000-0005-0000-0000-00006D090000}"/>
    <cellStyle name="HEADINGSTOP" xfId="2411" xr:uid="{00000000-0005-0000-0000-00006E090000}"/>
    <cellStyle name="Helv8_PFD4.XLS" xfId="2412" xr:uid="{00000000-0005-0000-0000-00006F090000}"/>
    <cellStyle name="Hyperlink" xfId="2413" xr:uid="{00000000-0005-0000-0000-000070090000}"/>
    <cellStyle name="Input [yellow]" xfId="2414" xr:uid="{00000000-0005-0000-0000-000071090000}"/>
    <cellStyle name="L`" xfId="2415" xr:uid="{00000000-0005-0000-0000-000072090000}"/>
    <cellStyle name="Link Currency (0)" xfId="2416" xr:uid="{00000000-0005-0000-0000-000073090000}"/>
    <cellStyle name="Link Currency (2)" xfId="2417" xr:uid="{00000000-0005-0000-0000-000074090000}"/>
    <cellStyle name="Link Units (0)" xfId="2418" xr:uid="{00000000-0005-0000-0000-000075090000}"/>
    <cellStyle name="Link Units (1)" xfId="2419" xr:uid="{00000000-0005-0000-0000-000076090000}"/>
    <cellStyle name="Link Units (2)" xfId="2420" xr:uid="{00000000-0005-0000-0000-000077090000}"/>
    <cellStyle name="Milliers [0]_399GC10" xfId="2421" xr:uid="{00000000-0005-0000-0000-000078090000}"/>
    <cellStyle name="Milliers_399GC10" xfId="2422" xr:uid="{00000000-0005-0000-0000-000079090000}"/>
    <cellStyle name="mma_CASH &amp; DSO" xfId="2423" xr:uid="{00000000-0005-0000-0000-00007A090000}"/>
    <cellStyle name="Model" xfId="2424" xr:uid="{00000000-0005-0000-0000-00007B090000}"/>
    <cellStyle name="Mon?aire [0]_399GC10" xfId="2425" xr:uid="{00000000-0005-0000-0000-00007C090000}"/>
    <cellStyle name="Mon?aire_399GC10" xfId="2426" xr:uid="{00000000-0005-0000-0000-00007D090000}"/>
    <cellStyle name="Mon?aire0" xfId="2427" xr:uid="{00000000-0005-0000-0000-00007E090000}"/>
    <cellStyle name="no dec" xfId="2428" xr:uid="{00000000-0005-0000-0000-00007F090000}"/>
    <cellStyle name="Normal - Style1" xfId="2429" xr:uid="{00000000-0005-0000-0000-000080090000}"/>
    <cellStyle name="Normal - Style2" xfId="2430" xr:uid="{00000000-0005-0000-0000-000081090000}"/>
    <cellStyle name="Normal - Style3" xfId="2431" xr:uid="{00000000-0005-0000-0000-000082090000}"/>
    <cellStyle name="Normal - Style4" xfId="2432" xr:uid="{00000000-0005-0000-0000-000083090000}"/>
    <cellStyle name="Normal - Style5" xfId="2433" xr:uid="{00000000-0005-0000-0000-000084090000}"/>
    <cellStyle name="Normal - Style6" xfId="2434" xr:uid="{00000000-0005-0000-0000-000085090000}"/>
    <cellStyle name="Normal - Style7" xfId="2435" xr:uid="{00000000-0005-0000-0000-000086090000}"/>
    <cellStyle name="Normal - Style8" xfId="2436" xr:uid="{00000000-0005-0000-0000-000087090000}"/>
    <cellStyle name="Normal - 유형1" xfId="2437" xr:uid="{00000000-0005-0000-0000-000088090000}"/>
    <cellStyle name="Œ…?æ맖?e [0.00]_guyan" xfId="2438" xr:uid="{00000000-0005-0000-0000-000089090000}"/>
    <cellStyle name="Œ…?æ맖?e_guyan" xfId="2439" xr:uid="{00000000-0005-0000-0000-00008A090000}"/>
    <cellStyle name="oh" xfId="2440" xr:uid="{00000000-0005-0000-0000-00008B090000}"/>
    <cellStyle name="per.style" xfId="2441" xr:uid="{00000000-0005-0000-0000-00008C090000}"/>
    <cellStyle name="Percent" xfId="2442" xr:uid="{00000000-0005-0000-0000-00008D090000}"/>
    <cellStyle name="Percent (0)" xfId="2443" xr:uid="{00000000-0005-0000-0000-00008E090000}"/>
    <cellStyle name="Percent [0]" xfId="2444" xr:uid="{00000000-0005-0000-0000-00008F090000}"/>
    <cellStyle name="Percent [00]" xfId="2445" xr:uid="{00000000-0005-0000-0000-000090090000}"/>
    <cellStyle name="Percent [2]" xfId="2446" xr:uid="{00000000-0005-0000-0000-000091090000}"/>
    <cellStyle name="Percent_#6 Temps &amp; Contractors" xfId="2447" xr:uid="{00000000-0005-0000-0000-000092090000}"/>
    <cellStyle name="PrePop Currency (0)" xfId="2448" xr:uid="{00000000-0005-0000-0000-000093090000}"/>
    <cellStyle name="PrePop Currency (2)" xfId="2449" xr:uid="{00000000-0005-0000-0000-000094090000}"/>
    <cellStyle name="PrePop Units (0)" xfId="2450" xr:uid="{00000000-0005-0000-0000-000095090000}"/>
    <cellStyle name="PrePop Units (1)" xfId="2451" xr:uid="{00000000-0005-0000-0000-000096090000}"/>
    <cellStyle name="PrePop Units (2)" xfId="2452" xr:uid="{00000000-0005-0000-0000-000097090000}"/>
    <cellStyle name="regstoresfromspecstores" xfId="2453" xr:uid="{00000000-0005-0000-0000-000098090000}"/>
    <cellStyle name="RevList" xfId="2454" xr:uid="{00000000-0005-0000-0000-000099090000}"/>
    <cellStyle name="RLTJD(S" xfId="2455" xr:uid="{00000000-0005-0000-0000-00009A090000}"/>
    <cellStyle name="s]_x000d__x000a_run=c:\Hedgehog\app31.exe_x000d__x000a_spooler=yes_x000d__x000a_load=_x000d__x000a_run=_x000d__x000a_Beep=yes_x000d__x000a_NullPort=None_x000d__x000a_BorderWidth=3_x000d__x000a_CursorBlinkRate=530_x000d__x000a_D" xfId="2456" xr:uid="{00000000-0005-0000-0000-00009B090000}"/>
    <cellStyle name="SAPBEXaggData" xfId="2457" xr:uid="{00000000-0005-0000-0000-00009C090000}"/>
    <cellStyle name="SAPBEXstdData" xfId="2458" xr:uid="{00000000-0005-0000-0000-00009D090000}"/>
    <cellStyle name="sh" xfId="2459" xr:uid="{00000000-0005-0000-0000-00009E090000}"/>
    <cellStyle name="SHADEDSTORES" xfId="2460" xr:uid="{00000000-0005-0000-0000-00009F090000}"/>
    <cellStyle name="specstores" xfId="2461" xr:uid="{00000000-0005-0000-0000-0000A0090000}"/>
    <cellStyle name="ssh" xfId="2462" xr:uid="{00000000-0005-0000-0000-0000A1090000}"/>
    <cellStyle name="STANDARD" xfId="2463" xr:uid="{00000000-0005-0000-0000-0000A2090000}"/>
    <cellStyle name="subhead" xfId="2464" xr:uid="{00000000-0005-0000-0000-0000A3090000}"/>
    <cellStyle name="Subtotal" xfId="2465" xr:uid="{00000000-0005-0000-0000-0000A4090000}"/>
    <cellStyle name="Text Indent A" xfId="2466" xr:uid="{00000000-0005-0000-0000-0000A5090000}"/>
    <cellStyle name="Text Indent B" xfId="2467" xr:uid="{00000000-0005-0000-0000-0000A6090000}"/>
    <cellStyle name="Text Indent C" xfId="2468" xr:uid="{00000000-0005-0000-0000-0000A7090000}"/>
    <cellStyle name="Title" xfId="2469" xr:uid="{00000000-0005-0000-0000-0000A8090000}"/>
    <cellStyle name="title [1]" xfId="2470" xr:uid="{00000000-0005-0000-0000-0000A9090000}"/>
    <cellStyle name="title [2]" xfId="2471" xr:uid="{00000000-0005-0000-0000-0000AA090000}"/>
    <cellStyle name="Title_견적양식(가로)" xfId="2472" xr:uid="{00000000-0005-0000-0000-0000AB090000}"/>
    <cellStyle name="Total" xfId="2473" xr:uid="{00000000-0005-0000-0000-0000AC090000}"/>
    <cellStyle name="UM" xfId="2474" xr:uid="{00000000-0005-0000-0000-0000AD090000}"/>
    <cellStyle name="Virgule fixe" xfId="2475" xr:uid="{00000000-0005-0000-0000-0000AE090000}"/>
    <cellStyle name="W?rung [0]_Compiling Utility Macros" xfId="2476" xr:uid="{00000000-0005-0000-0000-0000AF090000}"/>
    <cellStyle name="W?rung_Compiling Utility Macros" xfId="2477" xr:uid="{00000000-0005-0000-0000-0000B0090000}"/>
    <cellStyle name="_x0008_z" xfId="2478" xr:uid="{00000000-0005-0000-0000-0000B1090000}"/>
    <cellStyle name="μU¿¡ ¿A´A CIAIÆU¸μAⓒ" xfId="2479" xr:uid="{00000000-0005-0000-0000-0000B2090000}"/>
    <cellStyle name="|?ドE" xfId="2480" xr:uid="{00000000-0005-0000-0000-0000B3090000}"/>
    <cellStyle name="견적" xfId="2481" xr:uid="{00000000-0005-0000-0000-0000B4090000}"/>
    <cellStyle name="고정소숫점" xfId="2482" xr:uid="{00000000-0005-0000-0000-0000B5090000}"/>
    <cellStyle name="고정출력1" xfId="2483" xr:uid="{00000000-0005-0000-0000-0000B6090000}"/>
    <cellStyle name="고정출력2" xfId="2484" xr:uid="{00000000-0005-0000-0000-0000B7090000}"/>
    <cellStyle name="공사원가계산서(조경)" xfId="2485" xr:uid="{00000000-0005-0000-0000-0000B8090000}"/>
    <cellStyle name="기계" xfId="2486" xr:uid="{00000000-0005-0000-0000-0000B9090000}"/>
    <cellStyle name="기본숫자" xfId="2487" xr:uid="{00000000-0005-0000-0000-0000BA090000}"/>
    <cellStyle name="기성(내용)" xfId="2488" xr:uid="{00000000-0005-0000-0000-0000BB090000}"/>
    <cellStyle name="기성(내용2)" xfId="2489" xr:uid="{00000000-0005-0000-0000-0000BC090000}"/>
    <cellStyle name="끼_x0001_?" xfId="2490" xr:uid="{00000000-0005-0000-0000-0000BD090000}"/>
    <cellStyle name="날짜" xfId="2491" xr:uid="{00000000-0005-0000-0000-0000BE090000}"/>
    <cellStyle name="내역서" xfId="2492" xr:uid="{00000000-0005-0000-0000-0000BF090000}"/>
    <cellStyle name="단가" xfId="2493" xr:uid="{00000000-0005-0000-0000-0000C0090000}"/>
    <cellStyle name="달러" xfId="2494" xr:uid="{00000000-0005-0000-0000-0000C1090000}"/>
    <cellStyle name="돋움채" xfId="2495" xr:uid="{00000000-0005-0000-0000-0000C2090000}"/>
    <cellStyle name="뒤에 오는 하이퍼링크" xfId="2496" xr:uid="{00000000-0005-0000-0000-0000C3090000}"/>
    <cellStyle name="똿떓죶Ø괻 [0.00]_NT Server " xfId="2497" xr:uid="{00000000-0005-0000-0000-0000C4090000}"/>
    <cellStyle name="똿떓죶Ø괻_NT Server " xfId="2498" xr:uid="{00000000-0005-0000-0000-0000C5090000}"/>
    <cellStyle name="똿뗦먛귟 [0.00]_laroux" xfId="2499" xr:uid="{00000000-0005-0000-0000-0000C6090000}"/>
    <cellStyle name="똿뗦먛귟_laroux" xfId="2500" xr:uid="{00000000-0005-0000-0000-0000C7090000}"/>
    <cellStyle name="마이너스키" xfId="2501" xr:uid="{00000000-0005-0000-0000-0000C8090000}"/>
    <cellStyle name="묮뎋 [0.00]_NT Server " xfId="2502" xr:uid="{00000000-0005-0000-0000-0000C9090000}"/>
    <cellStyle name="묮뎋_NT Server " xfId="2503" xr:uid="{00000000-0005-0000-0000-0000CA090000}"/>
    <cellStyle name="물량집계(갑)" xfId="2504" xr:uid="{00000000-0005-0000-0000-0000CB090000}"/>
    <cellStyle name="믅됞 [0.00]_laroux" xfId="2505" xr:uid="{00000000-0005-0000-0000-0000CC090000}"/>
    <cellStyle name="믅됞_laroux" xfId="2506" xr:uid="{00000000-0005-0000-0000-0000CD090000}"/>
    <cellStyle name="배분" xfId="2507" xr:uid="{00000000-0005-0000-0000-0000CE090000}"/>
    <cellStyle name="백" xfId="2508" xr:uid="{00000000-0005-0000-0000-0000CF090000}"/>
    <cellStyle name="백_04028적산수량집계" xfId="2509" xr:uid="{00000000-0005-0000-0000-0000D0090000}"/>
    <cellStyle name="백_BOOKCITY(전기)" xfId="2510" xr:uid="{00000000-0005-0000-0000-0000D1090000}"/>
    <cellStyle name="백_BOOKCITY(전기)_04028적산수량집계" xfId="2511" xr:uid="{00000000-0005-0000-0000-0000D2090000}"/>
    <cellStyle name="백_TRU내역서" xfId="2512" xr:uid="{00000000-0005-0000-0000-0000D3090000}"/>
    <cellStyle name="백_견적양식(가로)" xfId="2513" xr:uid="{00000000-0005-0000-0000-0000D4090000}"/>
    <cellStyle name="백_공설운동진입(가실행)" xfId="2514" xr:uid="{00000000-0005-0000-0000-0000D5090000}"/>
    <cellStyle name="백_공설운동진입(가실행)_04028적산수량집계" xfId="2515" xr:uid="{00000000-0005-0000-0000-0000D6090000}"/>
    <cellStyle name="백_공설운동진입(가실행)_BOOKCITY(전기)" xfId="2516" xr:uid="{00000000-0005-0000-0000-0000D7090000}"/>
    <cellStyle name="백_공설운동진입(가실행)_BOOKCITY(전기)_04028적산수량집계" xfId="2517" xr:uid="{00000000-0005-0000-0000-0000D8090000}"/>
    <cellStyle name="백_공설운동진입(가실행)_사본 - 파주 북시티(이채)" xfId="2518" xr:uid="{00000000-0005-0000-0000-0000D9090000}"/>
    <cellStyle name="백_공설운동진입(가실행)_사본 - 파주 북시티(이채)_04028적산수량집계" xfId="2519" xr:uid="{00000000-0005-0000-0000-0000DA090000}"/>
    <cellStyle name="백_공설운동진입(가실행)_파주 BOOK CITY(통보용)" xfId="2520" xr:uid="{00000000-0005-0000-0000-0000DB090000}"/>
    <cellStyle name="백_공설운동진입(가실행)_파주 BOOK CITY(통보용)_04028적산수량집계" xfId="2521" xr:uid="{00000000-0005-0000-0000-0000DC090000}"/>
    <cellStyle name="백_공설운동진입(가실행)_파주 BOOK CITY가실행내역" xfId="2522" xr:uid="{00000000-0005-0000-0000-0000DD090000}"/>
    <cellStyle name="백_공설운동진입(가실행)_파주 BOOK CITY가실행내역_04028적산수량집계" xfId="2523" xr:uid="{00000000-0005-0000-0000-0000DE090000}"/>
    <cellStyle name="백_공설운동진입(가실행)_파주 북시티(이채)제출" xfId="2524" xr:uid="{00000000-0005-0000-0000-0000DF090000}"/>
    <cellStyle name="백_공설운동진입(가실행)_파주 북시티(이채)제출_04028적산수량집계" xfId="2525" xr:uid="{00000000-0005-0000-0000-0000E0090000}"/>
    <cellStyle name="백_공설운동진입(가실행)_파주 북시티(전체)제출(변경전)" xfId="2526" xr:uid="{00000000-0005-0000-0000-0000E1090000}"/>
    <cellStyle name="백_공설운동진입(가실행)_파주 북시티(전체)제출(변경전)_04028적산수량집계" xfId="2527" xr:uid="{00000000-0005-0000-0000-0000E2090000}"/>
    <cellStyle name="백_사본 - 파주 북시티(이채)" xfId="2528" xr:uid="{00000000-0005-0000-0000-0000E3090000}"/>
    <cellStyle name="백_사본 - 파주 북시티(이채)_04028적산수량집계" xfId="2529" xr:uid="{00000000-0005-0000-0000-0000E4090000}"/>
    <cellStyle name="백_정산내역(0515)-검토" xfId="2530" xr:uid="{00000000-0005-0000-0000-0000E5090000}"/>
    <cellStyle name="백_토목내역서" xfId="2531" xr:uid="{00000000-0005-0000-0000-0000E6090000}"/>
    <cellStyle name="백_토목내역서_04028적산수량집계" xfId="2532" xr:uid="{00000000-0005-0000-0000-0000E7090000}"/>
    <cellStyle name="백_토목내역서_BOOKCITY(전기)" xfId="2533" xr:uid="{00000000-0005-0000-0000-0000E8090000}"/>
    <cellStyle name="백_토목내역서_BOOKCITY(전기)_04028적산수량집계" xfId="2534" xr:uid="{00000000-0005-0000-0000-0000E9090000}"/>
    <cellStyle name="백_토목내역서_공설운동진입(가실행)" xfId="2535" xr:uid="{00000000-0005-0000-0000-0000EA090000}"/>
    <cellStyle name="백_토목내역서_공설운동진입(가실행)_04028적산수량집계" xfId="2536" xr:uid="{00000000-0005-0000-0000-0000EB090000}"/>
    <cellStyle name="백_토목내역서_공설운동진입(가실행)_BOOKCITY(전기)" xfId="2537" xr:uid="{00000000-0005-0000-0000-0000EC090000}"/>
    <cellStyle name="백_토목내역서_공설운동진입(가실행)_BOOKCITY(전기)_04028적산수량집계" xfId="2538" xr:uid="{00000000-0005-0000-0000-0000ED090000}"/>
    <cellStyle name="백_토목내역서_공설운동진입(가실행)_사본 - 파주 북시티(이채)" xfId="2539" xr:uid="{00000000-0005-0000-0000-0000EE090000}"/>
    <cellStyle name="백_토목내역서_공설운동진입(가실행)_사본 - 파주 북시티(이채)_04028적산수량집계" xfId="2540" xr:uid="{00000000-0005-0000-0000-0000EF090000}"/>
    <cellStyle name="백_토목내역서_공설운동진입(가실행)_파주 BOOK CITY(통보용)" xfId="2541" xr:uid="{00000000-0005-0000-0000-0000F0090000}"/>
    <cellStyle name="백_토목내역서_공설운동진입(가실행)_파주 BOOK CITY(통보용)_04028적산수량집계" xfId="2542" xr:uid="{00000000-0005-0000-0000-0000F1090000}"/>
    <cellStyle name="백_토목내역서_공설운동진입(가실행)_파주 BOOK CITY가실행내역" xfId="2543" xr:uid="{00000000-0005-0000-0000-0000F2090000}"/>
    <cellStyle name="백_토목내역서_공설운동진입(가실행)_파주 BOOK CITY가실행내역_04028적산수량집계" xfId="2544" xr:uid="{00000000-0005-0000-0000-0000F3090000}"/>
    <cellStyle name="백_토목내역서_공설운동진입(가실행)_파주 북시티(이채)제출" xfId="2545" xr:uid="{00000000-0005-0000-0000-0000F4090000}"/>
    <cellStyle name="백_토목내역서_공설운동진입(가실행)_파주 북시티(이채)제출_04028적산수량집계" xfId="2546" xr:uid="{00000000-0005-0000-0000-0000F5090000}"/>
    <cellStyle name="백_토목내역서_공설운동진입(가실행)_파주 북시티(전체)제출(변경전)" xfId="2547" xr:uid="{00000000-0005-0000-0000-0000F6090000}"/>
    <cellStyle name="백_토목내역서_공설운동진입(가실행)_파주 북시티(전체)제출(변경전)_04028적산수량집계" xfId="2548" xr:uid="{00000000-0005-0000-0000-0000F7090000}"/>
    <cellStyle name="백_토목내역서_사본 - 파주 북시티(이채)" xfId="2549" xr:uid="{00000000-0005-0000-0000-0000F8090000}"/>
    <cellStyle name="백_토목내역서_사본 - 파주 북시티(이채)_04028적산수량집계" xfId="2550" xr:uid="{00000000-0005-0000-0000-0000F9090000}"/>
    <cellStyle name="백_토목내역서_파주 BOOK CITY(통보용)" xfId="2551" xr:uid="{00000000-0005-0000-0000-0000FA090000}"/>
    <cellStyle name="백_토목내역서_파주 BOOK CITY(통보용)_04028적산수량집계" xfId="2552" xr:uid="{00000000-0005-0000-0000-0000FB090000}"/>
    <cellStyle name="백_토목내역서_파주 BOOK CITY가실행내역" xfId="2553" xr:uid="{00000000-0005-0000-0000-0000FC090000}"/>
    <cellStyle name="백_토목내역서_파주 BOOK CITY가실행내역_04028적산수량집계" xfId="2554" xr:uid="{00000000-0005-0000-0000-0000FD090000}"/>
    <cellStyle name="백_토목내역서_파주 북시티(이채)제출" xfId="2555" xr:uid="{00000000-0005-0000-0000-0000FE090000}"/>
    <cellStyle name="백_토목내역서_파주 북시티(이채)제출_04028적산수량집계" xfId="2556" xr:uid="{00000000-0005-0000-0000-0000FF090000}"/>
    <cellStyle name="백_토목내역서_파주 북시티(전체)제출(변경전)" xfId="2557" xr:uid="{00000000-0005-0000-0000-0000000A0000}"/>
    <cellStyle name="백_토목내역서_파주 북시티(전체)제출(변경전)_04028적산수량집계" xfId="2558" xr:uid="{00000000-0005-0000-0000-0000010A0000}"/>
    <cellStyle name="백_파주 BOOK CITY(통보용)" xfId="2559" xr:uid="{00000000-0005-0000-0000-0000020A0000}"/>
    <cellStyle name="백_파주 BOOK CITY(통보용)_04028적산수량집계" xfId="2560" xr:uid="{00000000-0005-0000-0000-0000030A0000}"/>
    <cellStyle name="백_파주 BOOK CITY가실행내역" xfId="2561" xr:uid="{00000000-0005-0000-0000-0000040A0000}"/>
    <cellStyle name="백_파주 BOOK CITY가실행내역_04028적산수량집계" xfId="2562" xr:uid="{00000000-0005-0000-0000-0000050A0000}"/>
    <cellStyle name="백_파주 북시티(이채)제출" xfId="2563" xr:uid="{00000000-0005-0000-0000-0000060A0000}"/>
    <cellStyle name="백_파주 북시티(이채)제출_04028적산수량집계" xfId="2564" xr:uid="{00000000-0005-0000-0000-0000070A0000}"/>
    <cellStyle name="백_파주 북시티(전체)제출(변경전)" xfId="2565" xr:uid="{00000000-0005-0000-0000-0000080A0000}"/>
    <cellStyle name="백_파주 북시티(전체)제출(변경전)_04028적산수량집계" xfId="2566" xr:uid="{00000000-0005-0000-0000-0000090A0000}"/>
    <cellStyle name="백분율 [△1]" xfId="2567" xr:uid="{00000000-0005-0000-0000-00000A0A0000}"/>
    <cellStyle name="백분율 [△2]" xfId="2568" xr:uid="{00000000-0005-0000-0000-00000B0A0000}"/>
    <cellStyle name="백분율 [0]" xfId="2569" xr:uid="{00000000-0005-0000-0000-00000C0A0000}"/>
    <cellStyle name="백분율 [2]" xfId="2570" xr:uid="{00000000-0005-0000-0000-00000D0A0000}"/>
    <cellStyle name="백분율 2" xfId="2571" xr:uid="{00000000-0005-0000-0000-00000E0A0000}"/>
    <cellStyle name="백분율［△1］" xfId="2572" xr:uid="{00000000-0005-0000-0000-00000F0A0000}"/>
    <cellStyle name="백분율［△2］" xfId="2573" xr:uid="{00000000-0005-0000-0000-0000100A0000}"/>
    <cellStyle name="분수" xfId="2574" xr:uid="{00000000-0005-0000-0000-0000110A0000}"/>
    <cellStyle name="뷭?" xfId="2575" xr:uid="{00000000-0005-0000-0000-0000120A0000}"/>
    <cellStyle name="빨간색" xfId="2576" xr:uid="{00000000-0005-0000-0000-0000130A0000}"/>
    <cellStyle name="常规_PhaseⅡ Detail" xfId="2577" xr:uid="{00000000-0005-0000-0000-0000140A0000}"/>
    <cellStyle name="선택영역의 가운데로" xfId="2578" xr:uid="{00000000-0005-0000-0000-0000150A0000}"/>
    <cellStyle name="설계서" xfId="2579" xr:uid="{00000000-0005-0000-0000-0000160A0000}"/>
    <cellStyle name="수량" xfId="2580" xr:uid="{00000000-0005-0000-0000-0000170A0000}"/>
    <cellStyle name="수량1" xfId="2581" xr:uid="{00000000-0005-0000-0000-0000180A0000}"/>
    <cellStyle name="수목명" xfId="2582" xr:uid="{00000000-0005-0000-0000-0000190A0000}"/>
    <cellStyle name="숫자(R)" xfId="2583" xr:uid="{00000000-0005-0000-0000-00001A0A0000}"/>
    <cellStyle name="쉼표 [0]" xfId="2865" builtinId="6"/>
    <cellStyle name="쉼표 [0] 2" xfId="2585" xr:uid="{00000000-0005-0000-0000-00001C0A0000}"/>
    <cellStyle name="쉼표 [0] 2 2" xfId="2586" xr:uid="{00000000-0005-0000-0000-00001D0A0000}"/>
    <cellStyle name="쉼표 [0] 2 2 2" xfId="2860" xr:uid="{00000000-0005-0000-0000-00001E0A0000}"/>
    <cellStyle name="쉼표 [0] 2 2 2 2" xfId="2861" xr:uid="{00000000-0005-0000-0000-00001F0A0000}"/>
    <cellStyle name="쉼표 [0] 3" xfId="2587" xr:uid="{00000000-0005-0000-0000-0000200A0000}"/>
    <cellStyle name="쉼표 [0] 3 2" xfId="2863" xr:uid="{00000000-0005-0000-0000-0000210A0000}"/>
    <cellStyle name="쉼표 [0] 4" xfId="2588" xr:uid="{00000000-0005-0000-0000-0000220A0000}"/>
    <cellStyle name="쉼표 [0] 5" xfId="2867" xr:uid="{00000000-0005-0000-0000-0000230A0000}"/>
    <cellStyle name="스타일 1" xfId="2589" xr:uid="{00000000-0005-0000-0000-0000240A0000}"/>
    <cellStyle name="스타일 10" xfId="2590" xr:uid="{00000000-0005-0000-0000-0000250A0000}"/>
    <cellStyle name="스타일 11" xfId="2591" xr:uid="{00000000-0005-0000-0000-0000260A0000}"/>
    <cellStyle name="스타일 12" xfId="2592" xr:uid="{00000000-0005-0000-0000-0000270A0000}"/>
    <cellStyle name="스타일 13" xfId="2593" xr:uid="{00000000-0005-0000-0000-0000280A0000}"/>
    <cellStyle name="스타일 14" xfId="2594" xr:uid="{00000000-0005-0000-0000-0000290A0000}"/>
    <cellStyle name="스타일 15" xfId="2595" xr:uid="{00000000-0005-0000-0000-00002A0A0000}"/>
    <cellStyle name="스타일 16" xfId="2596" xr:uid="{00000000-0005-0000-0000-00002B0A0000}"/>
    <cellStyle name="스타일 17" xfId="2597" xr:uid="{00000000-0005-0000-0000-00002C0A0000}"/>
    <cellStyle name="스타일 18" xfId="2598" xr:uid="{00000000-0005-0000-0000-00002D0A0000}"/>
    <cellStyle name="스타일 19" xfId="2599" xr:uid="{00000000-0005-0000-0000-00002E0A0000}"/>
    <cellStyle name="스타일 2" xfId="2600" xr:uid="{00000000-0005-0000-0000-00002F0A0000}"/>
    <cellStyle name="스타일 20" xfId="2601" xr:uid="{00000000-0005-0000-0000-0000300A0000}"/>
    <cellStyle name="스타일 21" xfId="2602" xr:uid="{00000000-0005-0000-0000-0000310A0000}"/>
    <cellStyle name="스타일 22" xfId="2603" xr:uid="{00000000-0005-0000-0000-0000320A0000}"/>
    <cellStyle name="스타일 23" xfId="2604" xr:uid="{00000000-0005-0000-0000-0000330A0000}"/>
    <cellStyle name="스타일 24" xfId="2605" xr:uid="{00000000-0005-0000-0000-0000340A0000}"/>
    <cellStyle name="스타일 25" xfId="2606" xr:uid="{00000000-0005-0000-0000-0000350A0000}"/>
    <cellStyle name="스타일 26" xfId="2607" xr:uid="{00000000-0005-0000-0000-0000360A0000}"/>
    <cellStyle name="스타일 27" xfId="2608" xr:uid="{00000000-0005-0000-0000-0000370A0000}"/>
    <cellStyle name="스타일 28" xfId="2609" xr:uid="{00000000-0005-0000-0000-0000380A0000}"/>
    <cellStyle name="스타일 29" xfId="2610" xr:uid="{00000000-0005-0000-0000-0000390A0000}"/>
    <cellStyle name="스타일 3" xfId="2611" xr:uid="{00000000-0005-0000-0000-00003A0A0000}"/>
    <cellStyle name="스타일 30" xfId="2612" xr:uid="{00000000-0005-0000-0000-00003B0A0000}"/>
    <cellStyle name="스타일 31" xfId="2613" xr:uid="{00000000-0005-0000-0000-00003C0A0000}"/>
    <cellStyle name="스타일 32" xfId="2614" xr:uid="{00000000-0005-0000-0000-00003D0A0000}"/>
    <cellStyle name="스타일 33" xfId="2615" xr:uid="{00000000-0005-0000-0000-00003E0A0000}"/>
    <cellStyle name="스타일 34" xfId="2616" xr:uid="{00000000-0005-0000-0000-00003F0A0000}"/>
    <cellStyle name="스타일 35" xfId="2617" xr:uid="{00000000-0005-0000-0000-0000400A0000}"/>
    <cellStyle name="스타일 36" xfId="2618" xr:uid="{00000000-0005-0000-0000-0000410A0000}"/>
    <cellStyle name="스타일 37" xfId="2619" xr:uid="{00000000-0005-0000-0000-0000420A0000}"/>
    <cellStyle name="스타일 38" xfId="2620" xr:uid="{00000000-0005-0000-0000-0000430A0000}"/>
    <cellStyle name="스타일 39" xfId="2621" xr:uid="{00000000-0005-0000-0000-0000440A0000}"/>
    <cellStyle name="스타일 4" xfId="2622" xr:uid="{00000000-0005-0000-0000-0000450A0000}"/>
    <cellStyle name="스타일 40" xfId="2623" xr:uid="{00000000-0005-0000-0000-0000460A0000}"/>
    <cellStyle name="스타일 41" xfId="2624" xr:uid="{00000000-0005-0000-0000-0000470A0000}"/>
    <cellStyle name="스타일 42" xfId="2625" xr:uid="{00000000-0005-0000-0000-0000480A0000}"/>
    <cellStyle name="스타일 43" xfId="2626" xr:uid="{00000000-0005-0000-0000-0000490A0000}"/>
    <cellStyle name="스타일 44" xfId="2627" xr:uid="{00000000-0005-0000-0000-00004A0A0000}"/>
    <cellStyle name="스타일 45" xfId="2628" xr:uid="{00000000-0005-0000-0000-00004B0A0000}"/>
    <cellStyle name="스타일 5" xfId="2629" xr:uid="{00000000-0005-0000-0000-00004C0A0000}"/>
    <cellStyle name="스타일 6" xfId="2630" xr:uid="{00000000-0005-0000-0000-00004D0A0000}"/>
    <cellStyle name="스타일 7" xfId="2631" xr:uid="{00000000-0005-0000-0000-00004E0A0000}"/>
    <cellStyle name="스타일 8" xfId="2632" xr:uid="{00000000-0005-0000-0000-00004F0A0000}"/>
    <cellStyle name="스타일 9" xfId="2633" xr:uid="{00000000-0005-0000-0000-0000500A0000}"/>
    <cellStyle name="안건회계법인" xfId="2634" xr:uid="{00000000-0005-0000-0000-0000510A0000}"/>
    <cellStyle name="열어본 하이퍼링크" xfId="2635" xr:uid="{00000000-0005-0000-0000-0000520A0000}"/>
    <cellStyle name="옛체" xfId="2636" xr:uid="{00000000-0005-0000-0000-0000530A0000}"/>
    <cellStyle name="왼쪽2" xfId="2637" xr:uid="{00000000-0005-0000-0000-0000540A0000}"/>
    <cellStyle name="원" xfId="2638" xr:uid="{00000000-0005-0000-0000-0000550A0000}"/>
    <cellStyle name="원_02대여금" xfId="2639" xr:uid="{00000000-0005-0000-0000-0000560A0000}"/>
    <cellStyle name="원_02투자" xfId="2640" xr:uid="{00000000-0005-0000-0000-0000570A0000}"/>
    <cellStyle name="원_02투자및대여금종합" xfId="2641" xr:uid="{00000000-0005-0000-0000-0000580A0000}"/>
    <cellStyle name="원_NCF6BB2F" xfId="2642" xr:uid="{00000000-0005-0000-0000-0000590A0000}"/>
    <cellStyle name="원_남양주무궁화공정표(03.08.22)" xfId="2643" xr:uid="{00000000-0005-0000-0000-00005A0A0000}"/>
    <cellStyle name="원_환경1팀수주최종본" xfId="2644" xr:uid="{00000000-0005-0000-0000-00005B0A0000}"/>
    <cellStyle name="일위대가" xfId="2645" xr:uid="{00000000-0005-0000-0000-00005C0A0000}"/>
    <cellStyle name="자리수" xfId="2646" xr:uid="{00000000-0005-0000-0000-00005D0A0000}"/>
    <cellStyle name="자리수 - 유형1" xfId="2647" xr:uid="{00000000-0005-0000-0000-00005E0A0000}"/>
    <cellStyle name="자리수_견적양식(가로)" xfId="2648" xr:uid="{00000000-0005-0000-0000-00005F0A0000}"/>
    <cellStyle name="자리수0" xfId="2649" xr:uid="{00000000-0005-0000-0000-0000600A0000}"/>
    <cellStyle name="제목 1(左)" xfId="2650" xr:uid="{00000000-0005-0000-0000-0000610A0000}"/>
    <cellStyle name="제목 1(中)" xfId="2651" xr:uid="{00000000-0005-0000-0000-0000620A0000}"/>
    <cellStyle name="제목[1 줄]" xfId="2652" xr:uid="{00000000-0005-0000-0000-0000630A0000}"/>
    <cellStyle name="제목[2줄 아래]" xfId="2653" xr:uid="{00000000-0005-0000-0000-0000640A0000}"/>
    <cellStyle name="제목[2줄 위]" xfId="2654" xr:uid="{00000000-0005-0000-0000-0000650A0000}"/>
    <cellStyle name="제목1" xfId="2655" xr:uid="{00000000-0005-0000-0000-0000660A0000}"/>
    <cellStyle name="지정되지 않음" xfId="2656" xr:uid="{00000000-0005-0000-0000-0000670A0000}"/>
    <cellStyle name="콤" xfId="2657" xr:uid="{00000000-0005-0000-0000-0000680A0000}"/>
    <cellStyle name="콤_04028적산수량집계" xfId="2658" xr:uid="{00000000-0005-0000-0000-0000690A0000}"/>
    <cellStyle name="콤_BOOKCITY(전기)" xfId="2659" xr:uid="{00000000-0005-0000-0000-00006A0A0000}"/>
    <cellStyle name="콤_BOOKCITY(전기)_04028적산수량집계" xfId="2660" xr:uid="{00000000-0005-0000-0000-00006B0A0000}"/>
    <cellStyle name="콤_공설운동진입(가실행)" xfId="2661" xr:uid="{00000000-0005-0000-0000-00006C0A0000}"/>
    <cellStyle name="콤_공설운동진입(가실행)_04028적산수량집계" xfId="2662" xr:uid="{00000000-0005-0000-0000-00006D0A0000}"/>
    <cellStyle name="콤_공설운동진입(가실행)_BOOKCITY(전기)" xfId="2663" xr:uid="{00000000-0005-0000-0000-00006E0A0000}"/>
    <cellStyle name="콤_공설운동진입(가실행)_BOOKCITY(전기)_04028적산수량집계" xfId="2664" xr:uid="{00000000-0005-0000-0000-00006F0A0000}"/>
    <cellStyle name="콤_공설운동진입(가실행)_사본 - 파주 북시티(이채)" xfId="2665" xr:uid="{00000000-0005-0000-0000-0000700A0000}"/>
    <cellStyle name="콤_공설운동진입(가실행)_사본 - 파주 북시티(이채)_04028적산수량집계" xfId="2666" xr:uid="{00000000-0005-0000-0000-0000710A0000}"/>
    <cellStyle name="콤_공설운동진입(가실행)_파주 BOOK CITY(통보용)" xfId="2667" xr:uid="{00000000-0005-0000-0000-0000720A0000}"/>
    <cellStyle name="콤_공설운동진입(가실행)_파주 BOOK CITY(통보용)_04028적산수량집계" xfId="2668" xr:uid="{00000000-0005-0000-0000-0000730A0000}"/>
    <cellStyle name="콤_공설운동진입(가실행)_파주 BOOK CITY가실행내역" xfId="2669" xr:uid="{00000000-0005-0000-0000-0000740A0000}"/>
    <cellStyle name="콤_공설운동진입(가실행)_파주 BOOK CITY가실행내역_04028적산수량집계" xfId="2670" xr:uid="{00000000-0005-0000-0000-0000750A0000}"/>
    <cellStyle name="콤_공설운동진입(가실행)_파주 북시티(이채)제출" xfId="2671" xr:uid="{00000000-0005-0000-0000-0000760A0000}"/>
    <cellStyle name="콤_공설운동진입(가실행)_파주 북시티(이채)제출_04028적산수량집계" xfId="2672" xr:uid="{00000000-0005-0000-0000-0000770A0000}"/>
    <cellStyle name="콤_공설운동진입(가실행)_파주 북시티(전체)제출(변경전)" xfId="2673" xr:uid="{00000000-0005-0000-0000-0000780A0000}"/>
    <cellStyle name="콤_공설운동진입(가실행)_파주 북시티(전체)제출(변경전)_04028적산수량집계" xfId="2674" xr:uid="{00000000-0005-0000-0000-0000790A0000}"/>
    <cellStyle name="콤_사본 - 파주 북시티(이채)" xfId="2675" xr:uid="{00000000-0005-0000-0000-00007A0A0000}"/>
    <cellStyle name="콤_사본 - 파주 북시티(이채)_04028적산수량집계" xfId="2676" xr:uid="{00000000-0005-0000-0000-00007B0A0000}"/>
    <cellStyle name="콤_토목내역서" xfId="2677" xr:uid="{00000000-0005-0000-0000-00007C0A0000}"/>
    <cellStyle name="콤_토목내역서_04028적산수량집계" xfId="2678" xr:uid="{00000000-0005-0000-0000-00007D0A0000}"/>
    <cellStyle name="콤_토목내역서_BOOKCITY(전기)" xfId="2679" xr:uid="{00000000-0005-0000-0000-00007E0A0000}"/>
    <cellStyle name="콤_토목내역서_BOOKCITY(전기)_04028적산수량집계" xfId="2680" xr:uid="{00000000-0005-0000-0000-00007F0A0000}"/>
    <cellStyle name="콤_토목내역서_공설운동진입(가실행)" xfId="2681" xr:uid="{00000000-0005-0000-0000-0000800A0000}"/>
    <cellStyle name="콤_토목내역서_공설운동진입(가실행)_04028적산수량집계" xfId="2682" xr:uid="{00000000-0005-0000-0000-0000810A0000}"/>
    <cellStyle name="콤_토목내역서_공설운동진입(가실행)_BOOKCITY(전기)" xfId="2683" xr:uid="{00000000-0005-0000-0000-0000820A0000}"/>
    <cellStyle name="콤_토목내역서_공설운동진입(가실행)_BOOKCITY(전기)_04028적산수량집계" xfId="2684" xr:uid="{00000000-0005-0000-0000-0000830A0000}"/>
    <cellStyle name="콤_토목내역서_공설운동진입(가실행)_사본 - 파주 북시티(이채)" xfId="2685" xr:uid="{00000000-0005-0000-0000-0000840A0000}"/>
    <cellStyle name="콤_토목내역서_공설운동진입(가실행)_사본 - 파주 북시티(이채)_04028적산수량집계" xfId="2686" xr:uid="{00000000-0005-0000-0000-0000850A0000}"/>
    <cellStyle name="콤_토목내역서_공설운동진입(가실행)_파주 BOOK CITY(통보용)" xfId="2687" xr:uid="{00000000-0005-0000-0000-0000860A0000}"/>
    <cellStyle name="콤_토목내역서_공설운동진입(가실행)_파주 BOOK CITY(통보용)_04028적산수량집계" xfId="2688" xr:uid="{00000000-0005-0000-0000-0000870A0000}"/>
    <cellStyle name="콤_토목내역서_공설운동진입(가실행)_파주 BOOK CITY가실행내역" xfId="2689" xr:uid="{00000000-0005-0000-0000-0000880A0000}"/>
    <cellStyle name="콤_토목내역서_공설운동진입(가실행)_파주 BOOK CITY가실행내역_04028적산수량집계" xfId="2690" xr:uid="{00000000-0005-0000-0000-0000890A0000}"/>
    <cellStyle name="콤_토목내역서_공설운동진입(가실행)_파주 북시티(이채)제출" xfId="2691" xr:uid="{00000000-0005-0000-0000-00008A0A0000}"/>
    <cellStyle name="콤_토목내역서_공설운동진입(가실행)_파주 북시티(이채)제출_04028적산수량집계" xfId="2692" xr:uid="{00000000-0005-0000-0000-00008B0A0000}"/>
    <cellStyle name="콤_토목내역서_공설운동진입(가실행)_파주 북시티(전체)제출(변경전)" xfId="2693" xr:uid="{00000000-0005-0000-0000-00008C0A0000}"/>
    <cellStyle name="콤_토목내역서_공설운동진입(가실행)_파주 북시티(전체)제출(변경전)_04028적산수량집계" xfId="2694" xr:uid="{00000000-0005-0000-0000-00008D0A0000}"/>
    <cellStyle name="콤_토목내역서_사본 - 파주 북시티(이채)" xfId="2695" xr:uid="{00000000-0005-0000-0000-00008E0A0000}"/>
    <cellStyle name="콤_토목내역서_사본 - 파주 북시티(이채)_04028적산수량집계" xfId="2696" xr:uid="{00000000-0005-0000-0000-00008F0A0000}"/>
    <cellStyle name="콤_토목내역서_파주 BOOK CITY(통보용)" xfId="2697" xr:uid="{00000000-0005-0000-0000-0000900A0000}"/>
    <cellStyle name="콤_토목내역서_파주 BOOK CITY(통보용)_04028적산수량집계" xfId="2698" xr:uid="{00000000-0005-0000-0000-0000910A0000}"/>
    <cellStyle name="콤_토목내역서_파주 BOOK CITY가실행내역" xfId="2699" xr:uid="{00000000-0005-0000-0000-0000920A0000}"/>
    <cellStyle name="콤_토목내역서_파주 BOOK CITY가실행내역_04028적산수량집계" xfId="2700" xr:uid="{00000000-0005-0000-0000-0000930A0000}"/>
    <cellStyle name="콤_토목내역서_파주 북시티(이채)제출" xfId="2701" xr:uid="{00000000-0005-0000-0000-0000940A0000}"/>
    <cellStyle name="콤_토목내역서_파주 북시티(이채)제출_04028적산수량집계" xfId="2702" xr:uid="{00000000-0005-0000-0000-0000950A0000}"/>
    <cellStyle name="콤_토목내역서_파주 북시티(전체)제출(변경전)" xfId="2703" xr:uid="{00000000-0005-0000-0000-0000960A0000}"/>
    <cellStyle name="콤_토목내역서_파주 북시티(전체)제출(변경전)_04028적산수량집계" xfId="2704" xr:uid="{00000000-0005-0000-0000-0000970A0000}"/>
    <cellStyle name="콤_파주 BOOK CITY(통보용)" xfId="2705" xr:uid="{00000000-0005-0000-0000-0000980A0000}"/>
    <cellStyle name="콤_파주 BOOK CITY(통보용)_04028적산수량집계" xfId="2706" xr:uid="{00000000-0005-0000-0000-0000990A0000}"/>
    <cellStyle name="콤_파주 BOOK CITY가실행내역" xfId="2707" xr:uid="{00000000-0005-0000-0000-00009A0A0000}"/>
    <cellStyle name="콤_파주 BOOK CITY가실행내역_04028적산수량집계" xfId="2708" xr:uid="{00000000-0005-0000-0000-00009B0A0000}"/>
    <cellStyle name="콤_파주 북시티(이채)제출" xfId="2709" xr:uid="{00000000-0005-0000-0000-00009C0A0000}"/>
    <cellStyle name="콤_파주 북시티(이채)제출_04028적산수량집계" xfId="2710" xr:uid="{00000000-0005-0000-0000-00009D0A0000}"/>
    <cellStyle name="콤_파주 북시티(전체)제출(변경전)" xfId="2711" xr:uid="{00000000-0005-0000-0000-00009E0A0000}"/>
    <cellStyle name="콤_파주 북시티(전체)제출(변경전)_04028적산수량집계" xfId="2712" xr:uid="{00000000-0005-0000-0000-00009F0A0000}"/>
    <cellStyle name="콤냡?&lt;_x000f_$??: `1_1 " xfId="2713" xr:uid="{00000000-0005-0000-0000-0000A00A0000}"/>
    <cellStyle name="콤마" xfId="2714" xr:uid="{00000000-0005-0000-0000-0000A10A0000}"/>
    <cellStyle name="콤마 [" xfId="2715" xr:uid="{00000000-0005-0000-0000-0000A20A0000}"/>
    <cellStyle name="콤마 [#]" xfId="2716" xr:uid="{00000000-0005-0000-0000-0000A30A0000}"/>
    <cellStyle name="콤마 []" xfId="2717" xr:uid="{00000000-0005-0000-0000-0000A40A0000}"/>
    <cellStyle name="콤마 [0]" xfId="2718" xr:uid="{00000000-0005-0000-0000-0000A50A0000}"/>
    <cellStyle name="콤마 [2]" xfId="2719" xr:uid="{00000000-0005-0000-0000-0000A60A0000}"/>
    <cellStyle name="콤마 [금액]" xfId="2720" xr:uid="{00000000-0005-0000-0000-0000A70A0000}"/>
    <cellStyle name="콤마 [소수]" xfId="2721" xr:uid="{00000000-0005-0000-0000-0000A80A0000}"/>
    <cellStyle name="콤마 [수량]" xfId="2722" xr:uid="{00000000-0005-0000-0000-0000A90A0000}"/>
    <cellStyle name="콤마 1" xfId="2723" xr:uid="{00000000-0005-0000-0000-0000AA0A0000}"/>
    <cellStyle name="콤마[ ]" xfId="2724" xr:uid="{00000000-0005-0000-0000-0000AB0A0000}"/>
    <cellStyle name="콤마[*]" xfId="2725" xr:uid="{00000000-0005-0000-0000-0000AC0A0000}"/>
    <cellStyle name="콤마[,]" xfId="2726" xr:uid="{00000000-0005-0000-0000-0000AD0A0000}"/>
    <cellStyle name="콤마[.]" xfId="2727" xr:uid="{00000000-0005-0000-0000-0000AE0A0000}"/>
    <cellStyle name="콤마[0]" xfId="2728" xr:uid="{00000000-0005-0000-0000-0000AF0A0000}"/>
    <cellStyle name="콤마_  종  합  " xfId="2729" xr:uid="{00000000-0005-0000-0000-0000B00A0000}"/>
    <cellStyle name="통" xfId="2730" xr:uid="{00000000-0005-0000-0000-0000B10A0000}"/>
    <cellStyle name="통_04028적산수량집계" xfId="2731" xr:uid="{00000000-0005-0000-0000-0000B20A0000}"/>
    <cellStyle name="통_BOOKCITY(전기)" xfId="2732" xr:uid="{00000000-0005-0000-0000-0000B30A0000}"/>
    <cellStyle name="통_BOOKCITY(전기)_04028적산수량집계" xfId="2733" xr:uid="{00000000-0005-0000-0000-0000B40A0000}"/>
    <cellStyle name="통_공설운동진입(가실행)" xfId="2734" xr:uid="{00000000-0005-0000-0000-0000B50A0000}"/>
    <cellStyle name="통_공설운동진입(가실행)_04028적산수량집계" xfId="2735" xr:uid="{00000000-0005-0000-0000-0000B60A0000}"/>
    <cellStyle name="통_공설운동진입(가실행)_BOOKCITY(전기)" xfId="2736" xr:uid="{00000000-0005-0000-0000-0000B70A0000}"/>
    <cellStyle name="통_공설운동진입(가실행)_BOOKCITY(전기)_04028적산수량집계" xfId="2737" xr:uid="{00000000-0005-0000-0000-0000B80A0000}"/>
    <cellStyle name="통_공설운동진입(가실행)_사본 - 파주 북시티(이채)" xfId="2738" xr:uid="{00000000-0005-0000-0000-0000B90A0000}"/>
    <cellStyle name="통_공설운동진입(가실행)_사본 - 파주 북시티(이채)_04028적산수량집계" xfId="2739" xr:uid="{00000000-0005-0000-0000-0000BA0A0000}"/>
    <cellStyle name="통_공설운동진입(가실행)_파주 BOOK CITY(통보용)" xfId="2740" xr:uid="{00000000-0005-0000-0000-0000BB0A0000}"/>
    <cellStyle name="통_공설운동진입(가실행)_파주 BOOK CITY(통보용)_04028적산수량집계" xfId="2741" xr:uid="{00000000-0005-0000-0000-0000BC0A0000}"/>
    <cellStyle name="통_공설운동진입(가실행)_파주 BOOK CITY가실행내역" xfId="2742" xr:uid="{00000000-0005-0000-0000-0000BD0A0000}"/>
    <cellStyle name="통_공설운동진입(가실행)_파주 BOOK CITY가실행내역_04028적산수량집계" xfId="2743" xr:uid="{00000000-0005-0000-0000-0000BE0A0000}"/>
    <cellStyle name="통_공설운동진입(가실행)_파주 북시티(이채)제출" xfId="2744" xr:uid="{00000000-0005-0000-0000-0000BF0A0000}"/>
    <cellStyle name="통_공설운동진입(가실행)_파주 북시티(이채)제출_04028적산수량집계" xfId="2745" xr:uid="{00000000-0005-0000-0000-0000C00A0000}"/>
    <cellStyle name="통_공설운동진입(가실행)_파주 북시티(전체)제출(변경전)" xfId="2746" xr:uid="{00000000-0005-0000-0000-0000C10A0000}"/>
    <cellStyle name="통_공설운동진입(가실행)_파주 북시티(전체)제출(변경전)_04028적산수량집계" xfId="2747" xr:uid="{00000000-0005-0000-0000-0000C20A0000}"/>
    <cellStyle name="통_사본 - 파주 북시티(이채)" xfId="2748" xr:uid="{00000000-0005-0000-0000-0000C30A0000}"/>
    <cellStyle name="통_사본 - 파주 북시티(이채)_04028적산수량집계" xfId="2749" xr:uid="{00000000-0005-0000-0000-0000C40A0000}"/>
    <cellStyle name="통_토목내역서" xfId="2750" xr:uid="{00000000-0005-0000-0000-0000C50A0000}"/>
    <cellStyle name="통_토목내역서_04028적산수량집계" xfId="2751" xr:uid="{00000000-0005-0000-0000-0000C60A0000}"/>
    <cellStyle name="통_토목내역서_BOOKCITY(전기)" xfId="2752" xr:uid="{00000000-0005-0000-0000-0000C70A0000}"/>
    <cellStyle name="통_토목내역서_BOOKCITY(전기)_04028적산수량집계" xfId="2753" xr:uid="{00000000-0005-0000-0000-0000C80A0000}"/>
    <cellStyle name="통_토목내역서_공설운동진입(가실행)" xfId="2754" xr:uid="{00000000-0005-0000-0000-0000C90A0000}"/>
    <cellStyle name="통_토목내역서_공설운동진입(가실행)_04028적산수량집계" xfId="2755" xr:uid="{00000000-0005-0000-0000-0000CA0A0000}"/>
    <cellStyle name="통_토목내역서_공설운동진입(가실행)_BOOKCITY(전기)" xfId="2756" xr:uid="{00000000-0005-0000-0000-0000CB0A0000}"/>
    <cellStyle name="통_토목내역서_공설운동진입(가실행)_BOOKCITY(전기)_04028적산수량집계" xfId="2757" xr:uid="{00000000-0005-0000-0000-0000CC0A0000}"/>
    <cellStyle name="통_토목내역서_공설운동진입(가실행)_사본 - 파주 북시티(이채)" xfId="2758" xr:uid="{00000000-0005-0000-0000-0000CD0A0000}"/>
    <cellStyle name="통_토목내역서_공설운동진입(가실행)_사본 - 파주 북시티(이채)_04028적산수량집계" xfId="2759" xr:uid="{00000000-0005-0000-0000-0000CE0A0000}"/>
    <cellStyle name="통_토목내역서_공설운동진입(가실행)_파주 BOOK CITY(통보용)" xfId="2760" xr:uid="{00000000-0005-0000-0000-0000CF0A0000}"/>
    <cellStyle name="통_토목내역서_공설운동진입(가실행)_파주 BOOK CITY(통보용)_04028적산수량집계" xfId="2761" xr:uid="{00000000-0005-0000-0000-0000D00A0000}"/>
    <cellStyle name="통_토목내역서_공설운동진입(가실행)_파주 BOOK CITY가실행내역" xfId="2762" xr:uid="{00000000-0005-0000-0000-0000D10A0000}"/>
    <cellStyle name="통_토목내역서_공설운동진입(가실행)_파주 BOOK CITY가실행내역_04028적산수량집계" xfId="2763" xr:uid="{00000000-0005-0000-0000-0000D20A0000}"/>
    <cellStyle name="통_토목내역서_공설운동진입(가실행)_파주 북시티(이채)제출" xfId="2764" xr:uid="{00000000-0005-0000-0000-0000D30A0000}"/>
    <cellStyle name="통_토목내역서_공설운동진입(가실행)_파주 북시티(이채)제출_04028적산수량집계" xfId="2765" xr:uid="{00000000-0005-0000-0000-0000D40A0000}"/>
    <cellStyle name="통_토목내역서_공설운동진입(가실행)_파주 북시티(전체)제출(변경전)" xfId="2766" xr:uid="{00000000-0005-0000-0000-0000D50A0000}"/>
    <cellStyle name="통_토목내역서_공설운동진입(가실행)_파주 북시티(전체)제출(변경전)_04028적산수량집계" xfId="2767" xr:uid="{00000000-0005-0000-0000-0000D60A0000}"/>
    <cellStyle name="통_토목내역서_사본 - 파주 북시티(이채)" xfId="2768" xr:uid="{00000000-0005-0000-0000-0000D70A0000}"/>
    <cellStyle name="통_토목내역서_사본 - 파주 북시티(이채)_04028적산수량집계" xfId="2769" xr:uid="{00000000-0005-0000-0000-0000D80A0000}"/>
    <cellStyle name="통_토목내역서_파주 BOOK CITY(통보용)" xfId="2770" xr:uid="{00000000-0005-0000-0000-0000D90A0000}"/>
    <cellStyle name="통_토목내역서_파주 BOOK CITY(통보용)_04028적산수량집계" xfId="2771" xr:uid="{00000000-0005-0000-0000-0000DA0A0000}"/>
    <cellStyle name="통_토목내역서_파주 BOOK CITY가실행내역" xfId="2772" xr:uid="{00000000-0005-0000-0000-0000DB0A0000}"/>
    <cellStyle name="통_토목내역서_파주 BOOK CITY가실행내역_04028적산수량집계" xfId="2773" xr:uid="{00000000-0005-0000-0000-0000DC0A0000}"/>
    <cellStyle name="통_토목내역서_파주 북시티(이채)제출" xfId="2774" xr:uid="{00000000-0005-0000-0000-0000DD0A0000}"/>
    <cellStyle name="통_토목내역서_파주 북시티(이채)제출_04028적산수량집계" xfId="2775" xr:uid="{00000000-0005-0000-0000-0000DE0A0000}"/>
    <cellStyle name="통_토목내역서_파주 북시티(전체)제출(변경전)" xfId="2776" xr:uid="{00000000-0005-0000-0000-0000DF0A0000}"/>
    <cellStyle name="통_토목내역서_파주 북시티(전체)제출(변경전)_04028적산수량집계" xfId="2777" xr:uid="{00000000-0005-0000-0000-0000E00A0000}"/>
    <cellStyle name="통_파주 BOOK CITY(통보용)" xfId="2778" xr:uid="{00000000-0005-0000-0000-0000E10A0000}"/>
    <cellStyle name="통_파주 BOOK CITY(통보용)_04028적산수량집계" xfId="2779" xr:uid="{00000000-0005-0000-0000-0000E20A0000}"/>
    <cellStyle name="통_파주 BOOK CITY가실행내역" xfId="2780" xr:uid="{00000000-0005-0000-0000-0000E30A0000}"/>
    <cellStyle name="통_파주 BOOK CITY가실행내역_04028적산수량집계" xfId="2781" xr:uid="{00000000-0005-0000-0000-0000E40A0000}"/>
    <cellStyle name="통_파주 북시티(이채)제출" xfId="2782" xr:uid="{00000000-0005-0000-0000-0000E50A0000}"/>
    <cellStyle name="통_파주 북시티(이채)제출_04028적산수량집계" xfId="2783" xr:uid="{00000000-0005-0000-0000-0000E60A0000}"/>
    <cellStyle name="통_파주 북시티(전체)제출(변경전)" xfId="2784" xr:uid="{00000000-0005-0000-0000-0000E70A0000}"/>
    <cellStyle name="통_파주 북시티(전체)제출(변경전)_04028적산수량집계" xfId="2785" xr:uid="{00000000-0005-0000-0000-0000E80A0000}"/>
    <cellStyle name="통화 [" xfId="2786" xr:uid="{00000000-0005-0000-0000-0000E90A0000}"/>
    <cellStyle name="퍼센트" xfId="2787" xr:uid="{00000000-0005-0000-0000-0000EA0A0000}"/>
    <cellStyle name="표" xfId="2788" xr:uid="{00000000-0005-0000-0000-0000EB0A0000}"/>
    <cellStyle name="표_04028적산수량집계" xfId="2789" xr:uid="{00000000-0005-0000-0000-0000EC0A0000}"/>
    <cellStyle name="표_BOOKCITY(전기)" xfId="2790" xr:uid="{00000000-0005-0000-0000-0000ED0A0000}"/>
    <cellStyle name="표_BOOKCITY(전기)_04028적산수량집계" xfId="2791" xr:uid="{00000000-0005-0000-0000-0000EE0A0000}"/>
    <cellStyle name="표_공설운동진입(가실행)" xfId="2792" xr:uid="{00000000-0005-0000-0000-0000EF0A0000}"/>
    <cellStyle name="표_공설운동진입(가실행)_04028적산수량집계" xfId="2793" xr:uid="{00000000-0005-0000-0000-0000F00A0000}"/>
    <cellStyle name="표_공설운동진입(가실행)_BOOKCITY(전기)" xfId="2794" xr:uid="{00000000-0005-0000-0000-0000F10A0000}"/>
    <cellStyle name="표_공설운동진입(가실행)_BOOKCITY(전기)_04028적산수량집계" xfId="2795" xr:uid="{00000000-0005-0000-0000-0000F20A0000}"/>
    <cellStyle name="표_공설운동진입(가실행)_사본 - 파주 북시티(이채)" xfId="2796" xr:uid="{00000000-0005-0000-0000-0000F30A0000}"/>
    <cellStyle name="표_공설운동진입(가실행)_사본 - 파주 북시티(이채)_04028적산수량집계" xfId="2797" xr:uid="{00000000-0005-0000-0000-0000F40A0000}"/>
    <cellStyle name="표_공설운동진입(가실행)_파주 BOOK CITY(통보용)" xfId="2798" xr:uid="{00000000-0005-0000-0000-0000F50A0000}"/>
    <cellStyle name="표_공설운동진입(가실행)_파주 BOOK CITY(통보용)_04028적산수량집계" xfId="2799" xr:uid="{00000000-0005-0000-0000-0000F60A0000}"/>
    <cellStyle name="표_공설운동진입(가실행)_파주 BOOK CITY가실행내역" xfId="2800" xr:uid="{00000000-0005-0000-0000-0000F70A0000}"/>
    <cellStyle name="표_공설운동진입(가실행)_파주 BOOK CITY가실행내역_04028적산수량집계" xfId="2801" xr:uid="{00000000-0005-0000-0000-0000F80A0000}"/>
    <cellStyle name="표_공설운동진입(가실행)_파주 북시티(이채)제출" xfId="2802" xr:uid="{00000000-0005-0000-0000-0000F90A0000}"/>
    <cellStyle name="표_공설운동진입(가실행)_파주 북시티(이채)제출_04028적산수량집계" xfId="2803" xr:uid="{00000000-0005-0000-0000-0000FA0A0000}"/>
    <cellStyle name="표_공설운동진입(가실행)_파주 북시티(전체)제출(변경전)" xfId="2804" xr:uid="{00000000-0005-0000-0000-0000FB0A0000}"/>
    <cellStyle name="표_공설운동진입(가실행)_파주 북시티(전체)제출(변경전)_04028적산수량집계" xfId="2805" xr:uid="{00000000-0005-0000-0000-0000FC0A0000}"/>
    <cellStyle name="표_사본 - 파주 북시티(이채)" xfId="2806" xr:uid="{00000000-0005-0000-0000-0000FD0A0000}"/>
    <cellStyle name="표_사본 - 파주 북시티(이채)_04028적산수량집계" xfId="2807" xr:uid="{00000000-0005-0000-0000-0000FE0A0000}"/>
    <cellStyle name="표_토목내역서" xfId="2808" xr:uid="{00000000-0005-0000-0000-0000FF0A0000}"/>
    <cellStyle name="표_토목내역서_04028적산수량집계" xfId="2809" xr:uid="{00000000-0005-0000-0000-0000000B0000}"/>
    <cellStyle name="표_토목내역서_BOOKCITY(전기)" xfId="2810" xr:uid="{00000000-0005-0000-0000-0000010B0000}"/>
    <cellStyle name="표_토목내역서_BOOKCITY(전기)_04028적산수량집계" xfId="2811" xr:uid="{00000000-0005-0000-0000-0000020B0000}"/>
    <cellStyle name="표_토목내역서_공설운동진입(가실행)" xfId="2812" xr:uid="{00000000-0005-0000-0000-0000030B0000}"/>
    <cellStyle name="표_토목내역서_공설운동진입(가실행)_04028적산수량집계" xfId="2813" xr:uid="{00000000-0005-0000-0000-0000040B0000}"/>
    <cellStyle name="표_토목내역서_공설운동진입(가실행)_BOOKCITY(전기)" xfId="2814" xr:uid="{00000000-0005-0000-0000-0000050B0000}"/>
    <cellStyle name="표_토목내역서_공설운동진입(가실행)_BOOKCITY(전기)_04028적산수량집계" xfId="2815" xr:uid="{00000000-0005-0000-0000-0000060B0000}"/>
    <cellStyle name="표_토목내역서_공설운동진입(가실행)_사본 - 파주 북시티(이채)" xfId="2816" xr:uid="{00000000-0005-0000-0000-0000070B0000}"/>
    <cellStyle name="표_토목내역서_공설운동진입(가실행)_사본 - 파주 북시티(이채)_04028적산수량집계" xfId="2817" xr:uid="{00000000-0005-0000-0000-0000080B0000}"/>
    <cellStyle name="표_토목내역서_공설운동진입(가실행)_파주 BOOK CITY(통보용)" xfId="2818" xr:uid="{00000000-0005-0000-0000-0000090B0000}"/>
    <cellStyle name="표_토목내역서_공설운동진입(가실행)_파주 BOOK CITY(통보용)_04028적산수량집계" xfId="2819" xr:uid="{00000000-0005-0000-0000-00000A0B0000}"/>
    <cellStyle name="표_토목내역서_공설운동진입(가실행)_파주 BOOK CITY가실행내역" xfId="2820" xr:uid="{00000000-0005-0000-0000-00000B0B0000}"/>
    <cellStyle name="표_토목내역서_공설운동진입(가실행)_파주 BOOK CITY가실행내역_04028적산수량집계" xfId="2821" xr:uid="{00000000-0005-0000-0000-00000C0B0000}"/>
    <cellStyle name="표_토목내역서_공설운동진입(가실행)_파주 북시티(이채)제출" xfId="2822" xr:uid="{00000000-0005-0000-0000-00000D0B0000}"/>
    <cellStyle name="표_토목내역서_공설운동진입(가실행)_파주 북시티(이채)제출_04028적산수량집계" xfId="2823" xr:uid="{00000000-0005-0000-0000-00000E0B0000}"/>
    <cellStyle name="표_토목내역서_공설운동진입(가실행)_파주 북시티(전체)제출(변경전)" xfId="2824" xr:uid="{00000000-0005-0000-0000-00000F0B0000}"/>
    <cellStyle name="표_토목내역서_공설운동진입(가실행)_파주 북시티(전체)제출(변경전)_04028적산수량집계" xfId="2825" xr:uid="{00000000-0005-0000-0000-0000100B0000}"/>
    <cellStyle name="표_토목내역서_사본 - 파주 북시티(이채)" xfId="2826" xr:uid="{00000000-0005-0000-0000-0000110B0000}"/>
    <cellStyle name="표_토목내역서_사본 - 파주 북시티(이채)_04028적산수량집계" xfId="2827" xr:uid="{00000000-0005-0000-0000-0000120B0000}"/>
    <cellStyle name="표_토목내역서_파주 BOOK CITY(통보용)" xfId="2828" xr:uid="{00000000-0005-0000-0000-0000130B0000}"/>
    <cellStyle name="표_토목내역서_파주 BOOK CITY(통보용)_04028적산수량집계" xfId="2829" xr:uid="{00000000-0005-0000-0000-0000140B0000}"/>
    <cellStyle name="표_토목내역서_파주 BOOK CITY가실행내역" xfId="2830" xr:uid="{00000000-0005-0000-0000-0000150B0000}"/>
    <cellStyle name="표_토목내역서_파주 BOOK CITY가실행내역_04028적산수량집계" xfId="2831" xr:uid="{00000000-0005-0000-0000-0000160B0000}"/>
    <cellStyle name="표_토목내역서_파주 북시티(이채)제출" xfId="2832" xr:uid="{00000000-0005-0000-0000-0000170B0000}"/>
    <cellStyle name="표_토목내역서_파주 북시티(이채)제출_04028적산수량집계" xfId="2833" xr:uid="{00000000-0005-0000-0000-0000180B0000}"/>
    <cellStyle name="표_토목내역서_파주 북시티(전체)제출(변경전)" xfId="2834" xr:uid="{00000000-0005-0000-0000-0000190B0000}"/>
    <cellStyle name="표_토목내역서_파주 북시티(전체)제출(변경전)_04028적산수량집계" xfId="2835" xr:uid="{00000000-0005-0000-0000-00001A0B0000}"/>
    <cellStyle name="표_파주 BOOK CITY(통보용)" xfId="2836" xr:uid="{00000000-0005-0000-0000-00001B0B0000}"/>
    <cellStyle name="표_파주 BOOK CITY(통보용)_04028적산수량집계" xfId="2837" xr:uid="{00000000-0005-0000-0000-00001C0B0000}"/>
    <cellStyle name="표_파주 BOOK CITY가실행내역" xfId="2838" xr:uid="{00000000-0005-0000-0000-00001D0B0000}"/>
    <cellStyle name="표_파주 BOOK CITY가실행내역_04028적산수량집계" xfId="2839" xr:uid="{00000000-0005-0000-0000-00001E0B0000}"/>
    <cellStyle name="표_파주 북시티(이채)제출" xfId="2840" xr:uid="{00000000-0005-0000-0000-00001F0B0000}"/>
    <cellStyle name="표_파주 북시티(이채)제출_04028적산수량집계" xfId="2841" xr:uid="{00000000-0005-0000-0000-0000200B0000}"/>
    <cellStyle name="표_파주 북시티(전체)제출(변경전)" xfId="2842" xr:uid="{00000000-0005-0000-0000-0000210B0000}"/>
    <cellStyle name="표_파주 북시티(전체)제출(변경전)_04028적산수량집계" xfId="2843" xr:uid="{00000000-0005-0000-0000-0000220B0000}"/>
    <cellStyle name="표머릿글(上)" xfId="2844" xr:uid="{00000000-0005-0000-0000-0000230B0000}"/>
    <cellStyle name="표머릿글(中)" xfId="2845" xr:uid="{00000000-0005-0000-0000-0000240B0000}"/>
    <cellStyle name="표머릿글(下)" xfId="2846" xr:uid="{00000000-0005-0000-0000-0000250B0000}"/>
    <cellStyle name="표준" xfId="0" builtinId="0"/>
    <cellStyle name="표준 2" xfId="2847" xr:uid="{00000000-0005-0000-0000-0000270B0000}"/>
    <cellStyle name="표준 2 2" xfId="2864" xr:uid="{00000000-0005-0000-0000-0000280B0000}"/>
    <cellStyle name="표준 2 32" xfId="2857" xr:uid="{00000000-0005-0000-0000-0000290B0000}"/>
    <cellStyle name="표준 28" xfId="2862" xr:uid="{00000000-0005-0000-0000-00002A0B0000}"/>
    <cellStyle name="표준 3" xfId="2848" xr:uid="{00000000-0005-0000-0000-00002B0B0000}"/>
    <cellStyle name="표준 3 2" xfId="2859" xr:uid="{00000000-0005-0000-0000-00002C0B0000}"/>
    <cellStyle name="표준 3 2 2" xfId="2858" xr:uid="{00000000-0005-0000-0000-00002D0B0000}"/>
    <cellStyle name="표준 4" xfId="2849" xr:uid="{00000000-0005-0000-0000-00002E0B0000}"/>
    <cellStyle name="표준 5" xfId="2850" xr:uid="{00000000-0005-0000-0000-00002F0B0000}"/>
    <cellStyle name="標準_Akia(F）-8" xfId="2851" xr:uid="{00000000-0005-0000-0000-0000300B0000}"/>
    <cellStyle name="표준_NY-FORM 2 2" xfId="2866" xr:uid="{00000000-0005-0000-0000-0000310B0000}"/>
    <cellStyle name="표준1" xfId="2852" xr:uid="{00000000-0005-0000-0000-0000320B0000}"/>
    <cellStyle name="표쥰" xfId="2853" xr:uid="{00000000-0005-0000-0000-0000330B0000}"/>
    <cellStyle name="합산" xfId="2854" xr:uid="{00000000-0005-0000-0000-0000340B0000}"/>
    <cellStyle name="화폐기호" xfId="2855" xr:uid="{00000000-0005-0000-0000-0000350B0000}"/>
    <cellStyle name="화폐기호0" xfId="2856" xr:uid="{00000000-0005-0000-0000-0000360B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E44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2800350</xdr:colOff>
      <xdr:row>20</xdr:row>
      <xdr:rowOff>0</xdr:rowOff>
    </xdr:from>
    <xdr:ext cx="1262684" cy="0"/>
    <xdr:pic>
      <xdr:nvPicPr>
        <xdr:cNvPr id="2" name="Picture 1" descr="IDNC copy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09950"/>
          <a:ext cx="1262684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2800350</xdr:colOff>
      <xdr:row>20</xdr:row>
      <xdr:rowOff>0</xdr:rowOff>
    </xdr:from>
    <xdr:ext cx="1262684" cy="0"/>
    <xdr:pic>
      <xdr:nvPicPr>
        <xdr:cNvPr id="3" name="Picture 1" descr="IDNC copy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09950"/>
          <a:ext cx="1262684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51032;&#51221;/C/&#44277;&#47924;&#50629;&#47924;/&#45824;&#48376;&#49324;/&#44148;&#52629;&#49884;&#44277;&#54016;%20&#44277;&#49324;&#54788;&#54889;&#48372;&#44256;/4&#50900;&#49892;&#5120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49;&#50857;&#48177;&#44284;&#51109;/EDATA/SINGLE/OFFICE40/temp/&#50689;&#51333;&#46020;IBC&#49892;&#54665;&#44208;&#5111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Need1/need1%20F/&#48317;&#49328;%20&#50668;&#51032;&#46020;M.H/3&#52789;%20&#49888;&#47548;&#46041;/&#45768;&#46300;&#51068;&#51648;/Mine/&#47084;&#49884;&#50500;/&#54620;&#44397;&#45824;&#49324;&#44288;/AEc&#51077;&#52272;&#44204;&#51201;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608;&#44221;&#51652;-pc/f/&#54532;&#47196;&#51229;&#53944;/00.&#54060;&#50500;&#49884;&#50500;&#54168;&#51060;&#54140;.&#50976;&#52404;,&#51064;&#48260;&#53552;%20&#51204;&#52404;&#51652;&#45800;/2001&#45380;%20&#51064;&#48260;&#53552;&#50752;%20&#50976;&#52404;/FDFAN2-3,&#49884;&#5090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scljh/c/EXCEL/&#49688;&#51452;/&#49324;&#50629;&#49457;~1/96/&#49552;&#51061;&#44592;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608;&#44221;&#51652;-pc/f/WINDOWS/&#48148;&#53461;%20&#54868;&#47732;/Everland/Halla/HALIDF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Excel&#44204;&#51201;\G\Good%20Morning%20&#51613;&#44428;-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148;&#52629;&#49892;&#5466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Hdedms/Mepss/&#51648;&#54840;Docu/4.&#44592;&#53440;/2.&#50577;&#49885;/&#51473;&#50836;&#54620;%20&#50577;&#49885;/@&#54364;&#51456;&#50577;&#49885;/&#50577;&#49885;001-@&#54364;&#51456;&#50577;&#49885;.xl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ark/&#47784;&#54644;&#46356;&#51088;&#51064;/MSOFFICE/EXCEL/YOON/&#51473;&#51216;&#49324;&#50629;/&#50629;&#52404;FIX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608;&#44221;&#47564;/D/pjt-2002/&#54217;&#54868;&#51032;&#45840;/&#50696;&#49328;&#49436;(&#51068;&#50948;&#45824;&#44032;,&#45840;)/&#49444;&#44228;&#48320;&#44221;(&#44397;&#51088;)/&#44397;&#51088;&#48320;&#44221;&#53685;&#49888;/13&#52264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109;&#49457;&#49340;/&#44277;&#50976;/JABO/O12060/INFORM/MYENGBU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CIVIL_EST/EST/My%20Documents/&#51077;&#52272;/&#48264;&#50689;&#47196;/&#47924;&#50504;&#54616;&#49688;/&#49892;&#54665;(1)/&#45236;&#50669;&#49436;(1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\APT&#51088;&#47308;\&#50976;&#47548;&#53080;&#46020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60;&#46041;&#54788;/MY%20DOCUMENTS/MSOFFICE/EXCEL/YOON/&#51473;&#51216;&#49324;&#50629;/&#50629;&#52404;FIX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608;&#52632;&#44600;/E/KBLEE/&#44592;&#53440;/&#54364;&#51456;/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HDEDMS/Mepss/&#44204;&#51201;&#49892;/&#44592;&#51456;/&#44060;&#47029;&#44204;&#51201;/APT/FORM/970715&#50577;&#49885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900;&#54805;&#49453;/C/My%20Documents/My%20Documents/&#44368;&#48372;&#51613;&#44428;/LOTUS/&#44144;&#51228;&#46020;/&#44144;&#51228;&#46020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1997040/C&#46300;&#46972;&#51060;&#48652;/My%20Documents/KHDATA/&#44288;&#47532;&#52397;/&#50896;&#45224;-&#50872;&#51652;/&#50896;&#45224;&#50872;&#51652;&#45209;&#52272;&#45236;&#50669;(99.4.13%20&#48512;&#49328;&#52397;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Park/&#47784;&#54644;&#46356;&#51088;&#51064;/&#51473;&#50669;&#54924;&#51032;/96&#45380;10&#50900;/&#44288;&#47532;&#48376;&#48512;1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1997040/C&#46300;&#46972;&#51060;&#48652;/My%20Documents/Khdata99/&#44288;&#47532;&#52397;/&#49436;&#50872;/&#44053;&#48320;&#48513;&#47196;/My%20Documents/KHDATA/&#54620;&#44397;&#51204;&#47141;/&#49888;&#49457;&#45224;-&#44552;&#44257;/&#49888;&#49457;&#45224;&#53804;&#52272;&#45236;&#50669;(1&#48264;&#45236;&#50669;)(2)/KHDATA/&#44288;&#47532;&#52397;/&#50896;&#45224;-&#50872;&#51652;/&#50896;&#45224;&#50872;&#51652;&#45209;&#52272;&#45236;&#50669;(99.4.13%20&#48512;&#49328;&#52397;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H4018/c/ESTI96/&#44053;&#51652;&#51109;&#55141;/&#54980;&#45796;&#45236;&#50669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077;&#52272;&#50504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ark/&#47784;&#54644;&#46356;&#51088;&#51064;/My%20Documents/&#51077;&#52272;/&#48264;&#50689;&#47196;/&#47924;&#50504;&#54616;&#49688;/&#49892;&#54665;(1)/&#45236;&#50669;&#49436;(1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1997040/C&#46300;&#46972;&#51060;&#48652;/&#51077;&#52272;&#45236;&#50669;/&#44592;&#50500;&#45824;&#44368;/&#44592;&#50500;&#45824;&#44368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H1775/c/ESTI96/&#44053;&#51652;&#51109;&#55141;/&#54980;&#45796;&#45236;&#50669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5;&#49849;&#54872;/C/MSOFFICE/EXCEL/YOON/&#51473;&#51216;&#49324;&#50629;/&#50629;&#52404;FIX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SKEC_EB1/EB_1/1KON/YANGSIK/GAEYOXLS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1997040/C&#46300;&#46972;&#51060;&#48652;/&#44608;&#50857;&#44592;/&#50641;&#49472;/GUMI4B2/&#44396;&#48120;4&#45800;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1997040/C&#46300;&#46972;&#51060;&#48652;/My%20Documents/Khdata99/&#44288;&#47532;&#52397;/&#49436;&#50872;/&#44053;&#48320;&#48513;&#47196;/My%20Documents/KHDATA/&#44288;&#47532;&#52397;/&#50896;&#45224;-&#50872;&#51652;/&#50896;&#45224;&#50872;&#51652;&#45209;&#52272;&#45236;&#50669;(99.4.13%20&#48512;&#49328;&#52397;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1997040/C&#46300;&#46972;&#51060;&#48652;/My%20Documents/Khdata99/&#44288;&#47532;&#52397;/&#50896;&#45224;-&#50872;&#51652;/&#50896;&#45224;&#50872;&#51652;&#45209;&#52272;&#45236;&#50669;(99.4.13%20&#48512;&#49328;&#52397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문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금융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내역 발주처 양식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표세부명세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S P-Q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226"/>
      <sheetName val="0412"/>
      <sheetName val="0416"/>
      <sheetName val="0421"/>
      <sheetName val="0422"/>
      <sheetName val="0422 (2)"/>
      <sheetName val="Sign"/>
      <sheetName val="0531(투자지원실)"/>
      <sheetName val="01"/>
      <sheetName val="갑지"/>
      <sheetName val="Good Morning 증권-01"/>
      <sheetName val="금융비용"/>
      <sheetName val="실행내역"/>
      <sheetName val="금융"/>
      <sheetName val="입찰내역 발주처 양식"/>
      <sheetName val="유림콘도"/>
      <sheetName val="유림골조"/>
      <sheetName val="#REF"/>
      <sheetName val="Sheet4"/>
      <sheetName val="예가표"/>
      <sheetName val="0422_(2)"/>
      <sheetName val="Good_Morning_증권-01"/>
      <sheetName val="B"/>
      <sheetName val="Sheet1"/>
      <sheetName val="부하(성남)"/>
      <sheetName val="목표세부명세"/>
      <sheetName val="일반부표"/>
      <sheetName val="소비자가"/>
      <sheetName val="내역서"/>
      <sheetName val="EQT-ESTN"/>
      <sheetName val="0422_(2)1"/>
      <sheetName val="Good_Morning_증권-011"/>
      <sheetName val="입찰내역_발주처_양식"/>
      <sheetName val="차액보증"/>
      <sheetName val="입찰안"/>
      <sheetName val="갑지(추정)"/>
      <sheetName val="개요"/>
      <sheetName val="공사개요"/>
      <sheetName val="합천내역"/>
      <sheetName val="Option"/>
      <sheetName val="공통비(전체)"/>
      <sheetName val="토목공사"/>
      <sheetName val="새공통(96임금인상기준)"/>
      <sheetName val="비교1"/>
      <sheetName val="유림총괄"/>
      <sheetName val="단가표"/>
      <sheetName val="집계표"/>
      <sheetName val="Sheet2"/>
      <sheetName val="0422_(2)2"/>
      <sheetName val="Good_Morning_증권-012"/>
      <sheetName val="입찰내역_발주처_양식1"/>
      <sheetName val="내역"/>
      <sheetName val="기별(종합)"/>
      <sheetName val="Cover"/>
      <sheetName val="연결임시"/>
      <sheetName val="SUMMARY"/>
      <sheetName val="예정(3)"/>
      <sheetName val="동원(3)"/>
      <sheetName val="토목"/>
      <sheetName val="전선 및 전선관"/>
      <sheetName val="품셈"/>
      <sheetName val="간접경상비"/>
      <sheetName val="품셈TABLE"/>
      <sheetName val="토목주소"/>
      <sheetName val="프랜트면허"/>
      <sheetName val="덕전리"/>
      <sheetName val="N賃率-職"/>
      <sheetName val="물량산출서"/>
      <sheetName val="견적대비표"/>
      <sheetName val="1062-X방향 "/>
      <sheetName val="입찰보고"/>
      <sheetName val="견적"/>
      <sheetName val="INPUT"/>
      <sheetName val="인사자료총집계"/>
      <sheetName val="실행철강하도"/>
      <sheetName val="적용토목"/>
      <sheetName val="6동"/>
      <sheetName val="9gng운반"/>
      <sheetName val="DB"/>
      <sheetName val="0422_(2)3"/>
      <sheetName val="Good_Morning_증권-013"/>
      <sheetName val="입찰내역_발주처_양식2"/>
      <sheetName val="전선_및_전선관"/>
      <sheetName val="0422_(2)4"/>
      <sheetName val="Good_Morning_증권-014"/>
      <sheetName val="입찰내역_발주처_양식3"/>
      <sheetName val="전선_및_전선관1"/>
      <sheetName val="98수문일위"/>
      <sheetName val="설계내역서"/>
      <sheetName val="1062-X방향_"/>
      <sheetName val="견적서"/>
      <sheetName val="별표 "/>
      <sheetName val="직재"/>
      <sheetName val="I一般比"/>
      <sheetName val="J直材4"/>
      <sheetName val="설직재-1"/>
      <sheetName val="工완성공사율"/>
      <sheetName val="일위"/>
      <sheetName val="일위대가(4층원격)"/>
      <sheetName val="일위대가"/>
      <sheetName val="일위대가목록"/>
      <sheetName val="Book4"/>
      <sheetName val="2F 회의실견적(5_14 일대)"/>
      <sheetName val="자재단가"/>
      <sheetName val="VS P-Q"/>
      <sheetName val="200"/>
      <sheetName val="SIL98"/>
      <sheetName val="토공사"/>
      <sheetName val="관급"/>
      <sheetName val="기준_국가명"/>
      <sheetName val="JUCKEYK"/>
      <sheetName val="이자율"/>
      <sheetName val="샘플표지"/>
      <sheetName val="직노"/>
      <sheetName val="Eq. Mobilization"/>
      <sheetName val="시산표"/>
      <sheetName val="0422_(2)5"/>
      <sheetName val="Good_Morning_증권-015"/>
      <sheetName val="입찰내역_발주처_양식4"/>
      <sheetName val="전선_및_전선관2"/>
      <sheetName val="1062-X방향_1"/>
      <sheetName val="별표_"/>
      <sheetName val="2F_회의실견적(5_14_일대)"/>
      <sheetName val="VS_P-Q"/>
      <sheetName val="QandAJunior"/>
      <sheetName val="재집"/>
      <sheetName val="중소기업"/>
      <sheetName val="2.대외공문"/>
      <sheetName val="가설대가"/>
      <sheetName val="토공대가"/>
      <sheetName val="구조대가"/>
      <sheetName val="포설대가1"/>
      <sheetName val="부대대가"/>
      <sheetName val="지수적용공사비내역서"/>
      <sheetName val="건축내역"/>
      <sheetName val="95년12월말"/>
      <sheetName val="CTEMCOST"/>
      <sheetName val="상품입고집계"/>
      <sheetName val="교통대책내역"/>
      <sheetName val="1차설계변경내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음료실행"/>
      <sheetName val="금액비교"/>
      <sheetName val="입찰안"/>
      <sheetName val="시멘트"/>
      <sheetName val="설계내역서"/>
      <sheetName val="GAEYO"/>
      <sheetName val="EQUIPMENT -2"/>
      <sheetName val="45,46"/>
      <sheetName val="전체"/>
      <sheetName val="문학터널-9255(관보고-실)"/>
      <sheetName val="경비"/>
      <sheetName val="공통가설"/>
      <sheetName val="일위대가"/>
      <sheetName val="공사원가계산서"/>
      <sheetName val="DATA"/>
      <sheetName val="인사자료총집계"/>
      <sheetName val="갑지(추정)"/>
      <sheetName val="노임이"/>
      <sheetName val="배수내역 (2)"/>
      <sheetName val="G2설비도급"/>
      <sheetName val="공문"/>
      <sheetName val="금액내역서"/>
      <sheetName val="포장복구집계"/>
      <sheetName val="영동(D)"/>
      <sheetName val="EQUIPMENT_-2"/>
      <sheetName val="갑지1"/>
      <sheetName val="ETC"/>
      <sheetName val="공사내역"/>
      <sheetName val="자재단가비교표"/>
      <sheetName val="설계가"/>
      <sheetName val="Sheet1"/>
      <sheetName val="EJ"/>
      <sheetName val="총괄-1"/>
      <sheetName val="입출재고현황 (2)"/>
      <sheetName val="계산서"/>
      <sheetName val="금융"/>
      <sheetName val="플랜트 설치"/>
      <sheetName val="A-4"/>
      <sheetName val="내역"/>
      <sheetName val="점수계산1-2"/>
      <sheetName val="본부소개"/>
      <sheetName val="건축실행"/>
      <sheetName val="주요항목별"/>
      <sheetName val="을"/>
      <sheetName val="Sheet5"/>
      <sheetName val="목표세부명세"/>
      <sheetName val="ITEM"/>
      <sheetName val="골조시행"/>
      <sheetName val="내역서"/>
      <sheetName val="토목주소"/>
      <sheetName val="프랜트면허"/>
      <sheetName val="품셈TABLE"/>
      <sheetName val="Sheet4"/>
      <sheetName val="98지급계획"/>
      <sheetName val="BID"/>
      <sheetName val="설직재-1"/>
      <sheetName val="토목-물가"/>
      <sheetName val="참조"/>
      <sheetName val="XL4Poppy"/>
      <sheetName val="CTEMCOST"/>
      <sheetName val="252K444"/>
      <sheetName val="연돌일위집계"/>
      <sheetName val="NYS"/>
      <sheetName val="분양금할인"/>
      <sheetName val="C &amp; G RHS"/>
      <sheetName val="CONCRETE"/>
      <sheetName val="9GNG운반"/>
      <sheetName val="갑지"/>
      <sheetName val="INPUT"/>
      <sheetName val="01"/>
      <sheetName val="공통비총괄표"/>
      <sheetName val="Sheet2"/>
      <sheetName val="Sheet1 (2)"/>
      <sheetName val="전신환매도율"/>
      <sheetName val="하수급견적대비"/>
      <sheetName val="인제내역"/>
      <sheetName val="조명시설"/>
      <sheetName val="도급"/>
      <sheetName val="수량3"/>
      <sheetName val="sum1 (2)"/>
      <sheetName val="결과조달"/>
      <sheetName val="전계가"/>
      <sheetName val="F4-F7"/>
      <sheetName val="조건표"/>
      <sheetName val="기술부대조건"/>
      <sheetName val="총괄"/>
      <sheetName val="기초단가"/>
      <sheetName val="견적"/>
      <sheetName val="대비"/>
      <sheetName val="CON포장수량"/>
      <sheetName val="ACUNIT"/>
      <sheetName val="CONUNIT"/>
      <sheetName val="포장공"/>
      <sheetName val=" Work Order 양식_엑셀_121212.xlsx"/>
      <sheetName val="VENT"/>
      <sheetName val="단면 (2)"/>
      <sheetName val="코드"/>
      <sheetName val="공사내역서"/>
      <sheetName val="IMPEADENCE MAP 취수장"/>
      <sheetName val="MTL(AG)"/>
      <sheetName val="차액보증"/>
      <sheetName val="CAT_5"/>
      <sheetName val="발생토"/>
      <sheetName val="FORM-0"/>
      <sheetName val="대로근거"/>
      <sheetName val="제수"/>
      <sheetName val="공기"/>
      <sheetName val="CHECKLIST"/>
      <sheetName val="TEST1"/>
      <sheetName val="은행"/>
      <sheetName val="카니발(자105노60)"/>
      <sheetName val="기본DATA"/>
      <sheetName val="물량표"/>
      <sheetName val="UEC영화관본공사내역"/>
      <sheetName val="BSD (2)"/>
      <sheetName val="EQUIPMENT_-21"/>
      <sheetName val="배수내역_(2)"/>
      <sheetName val="입출재고현황_(2)"/>
      <sheetName val="플랜트_설치"/>
      <sheetName val="IMPEADENCE_MAP_취수장"/>
      <sheetName val="Sheet1_(2)"/>
      <sheetName val="C_&amp;_G_RHS"/>
      <sheetName val="유림골조"/>
      <sheetName val="소야공정계획표"/>
      <sheetName val="TYPE-A"/>
      <sheetName val="공사개요"/>
      <sheetName val="#REF"/>
      <sheetName val="c_balju"/>
      <sheetName val="구의33고"/>
      <sheetName val="1ST"/>
      <sheetName val="작성기준"/>
      <sheetName val="개산공사비"/>
      <sheetName val="EACT10"/>
      <sheetName val="6PILE  (돌출)"/>
      <sheetName val="(실사조정)총괄"/>
      <sheetName val="Requirements"/>
      <sheetName val="0226"/>
      <sheetName val="이자수익1"/>
      <sheetName val="95년간접비"/>
      <sheetName val="발생집계"/>
      <sheetName val="Y-WORK"/>
      <sheetName val="ABUT수량-A1"/>
      <sheetName val="집계표"/>
      <sheetName val="교량전기"/>
      <sheetName val="원가"/>
      <sheetName val="PKG"/>
      <sheetName val="차수"/>
      <sheetName val="5사남"/>
      <sheetName val="EQT-ESTN"/>
      <sheetName val="경비2내역"/>
      <sheetName val="SUMMARY"/>
      <sheetName val="PAINT"/>
      <sheetName val="Front"/>
      <sheetName val="wall"/>
      <sheetName val="집 계 표"/>
      <sheetName val="정부노임단가"/>
      <sheetName val="차선도색현황"/>
      <sheetName val="기계내역서"/>
      <sheetName val="FB25JN"/>
      <sheetName val="동해title"/>
      <sheetName val="북방3터널"/>
      <sheetName val="기계경비(시간당)"/>
      <sheetName val="램머"/>
      <sheetName val="PROJECT BRIEF(EX.NEW)"/>
      <sheetName val="신표지1"/>
      <sheetName val="1-1"/>
      <sheetName val="기초1"/>
      <sheetName val="6호기"/>
      <sheetName val="APT"/>
      <sheetName val="부속동"/>
      <sheetName val="기초단면설계"/>
      <sheetName val="원내역"/>
      <sheetName val="화성이화모듈공장"/>
      <sheetName val="질문"/>
      <sheetName val="예제"/>
      <sheetName val=""/>
      <sheetName val="Regenerator  Concrete Structure"/>
      <sheetName val="지사인원사무실"/>
      <sheetName val="구분"/>
      <sheetName val="노임단가"/>
      <sheetName val="세부수량"/>
      <sheetName val="식재"/>
      <sheetName val="시설물"/>
      <sheetName val="식재출력용"/>
      <sheetName val="유지관리"/>
      <sheetName val="단가"/>
      <sheetName val="단가조사"/>
      <sheetName val="계수시트"/>
      <sheetName val="원가계산서"/>
      <sheetName val="간접"/>
      <sheetName val="데이타"/>
      <sheetName val="식재인부"/>
      <sheetName val="시설물일위"/>
      <sheetName val="가설공사"/>
      <sheetName val="단가결정"/>
      <sheetName val="내역아"/>
      <sheetName val="울타리"/>
      <sheetName val="표지 (2)"/>
      <sheetName val="인부신상자료"/>
      <sheetName val="현장관리비 산출내역"/>
      <sheetName val="노무비산출"/>
      <sheetName val="수량이동"/>
      <sheetName val="직공비"/>
      <sheetName val="전차선로 물량표"/>
      <sheetName val="SG"/>
      <sheetName val="Ring"/>
      <sheetName val="카렌스센터계량기설치공사"/>
      <sheetName val="업무분장"/>
      <sheetName val="간접비"/>
      <sheetName val="포장물량집계"/>
      <sheetName val="200"/>
      <sheetName val="입력DATA"/>
      <sheetName val="원가계산(2)"/>
      <sheetName val="예산변경사항"/>
      <sheetName val="일위대가목차"/>
      <sheetName val="Ext. Stone-P"/>
      <sheetName val="운반"/>
      <sheetName val="기준액"/>
      <sheetName val="DATE"/>
      <sheetName val="자바라1"/>
      <sheetName val="해외 연수비용 계산-삭제"/>
      <sheetName val="해외 기술훈련비 (합계)"/>
      <sheetName val="DATA2000"/>
      <sheetName val="단가목록"/>
      <sheetName val="월별수입"/>
      <sheetName val="배수통관(좌)"/>
      <sheetName val="견적대비표"/>
      <sheetName val="반중력식옹벽"/>
      <sheetName val="견적서"/>
      <sheetName val="예가표"/>
      <sheetName val="실행철강하도"/>
      <sheetName val="현장"/>
      <sheetName val="업무처리전"/>
      <sheetName val="주방환기"/>
      <sheetName val="대치판정"/>
      <sheetName val="G.R300경비"/>
      <sheetName val="Project Brief"/>
      <sheetName val="실행"/>
      <sheetName val="SP-B1"/>
      <sheetName val="표지_(2)"/>
      <sheetName val="현장관리비_산출내역"/>
      <sheetName val="G_R300경비"/>
      <sheetName val="Project_Brief"/>
      <sheetName val="PROJECT_BRIEF(EX_NEW)"/>
      <sheetName val="침하계"/>
      <sheetName val="주식"/>
      <sheetName val="구성비"/>
      <sheetName val="기초일위"/>
      <sheetName val="수목단가"/>
      <sheetName val="시설수량표"/>
      <sheetName val="시설일위"/>
      <sheetName val="식재수량표"/>
      <sheetName val="식재일위"/>
      <sheetName val="sum1_(2)"/>
      <sheetName val="_Work_Order_양식_엑셀_121212_xlsx"/>
      <sheetName val="단면_(2)"/>
      <sheetName val="BSD_(2)"/>
      <sheetName val="토목품셈"/>
      <sheetName val="법면"/>
      <sheetName val="부대공"/>
      <sheetName val="구조물공"/>
      <sheetName val="중기일위대가"/>
      <sheetName val="토공"/>
      <sheetName val="배수공1"/>
      <sheetName val="금융비용"/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부하(성남)"/>
      <sheetName val="외천교"/>
      <sheetName val="자압1"/>
      <sheetName val="일반공사"/>
      <sheetName val="JUCK"/>
      <sheetName val="원남울진낙찰내역(99.4.13 부산청)"/>
      <sheetName val="경상비"/>
      <sheetName val="BQ(실행)"/>
      <sheetName val="다이꾸"/>
      <sheetName val="수안보-MBR1"/>
      <sheetName val="인원투입계획"/>
      <sheetName val="공사개요(사업승인변경)"/>
      <sheetName val="Macro1"/>
      <sheetName val="Macro(차단기)"/>
      <sheetName val="타공종이기"/>
      <sheetName val="가설건물"/>
      <sheetName val="D-623D"/>
      <sheetName val="예정(3)"/>
      <sheetName val="말뚝지지력산정"/>
      <sheetName val="Cost bd-&quot;A&quot;"/>
      <sheetName val="우각부보강"/>
      <sheetName val="소상 &quot;1&quot;"/>
      <sheetName val="노임"/>
      <sheetName val="내역표지"/>
      <sheetName val="Total"/>
      <sheetName val="약품공급2"/>
      <sheetName val="Pjny"/>
      <sheetName val="내역서1"/>
      <sheetName val="구천"/>
      <sheetName val="98NS-N"/>
      <sheetName val="5.모델링"/>
      <sheetName val="현금"/>
      <sheetName val="L_RPTA05_목록"/>
      <sheetName val="COPING"/>
      <sheetName val="자압"/>
      <sheetName val="매입세"/>
      <sheetName val="Sheet3"/>
      <sheetName val="U-TYPE(1)"/>
      <sheetName val="2층LOAD"/>
      <sheetName val="상 부"/>
      <sheetName val="물량산출근거"/>
      <sheetName val="EQUIPMENT_-22"/>
      <sheetName val="배수내역_(2)1"/>
      <sheetName val="입출재고현황_(2)1"/>
      <sheetName val="플랜트_설치1"/>
      <sheetName val="C_&amp;_G_RHS1"/>
      <sheetName val="6PILE__(돌출)"/>
      <sheetName val="Sheet1_(2)1"/>
      <sheetName val="IMPEADENCE_MAP_취수장1"/>
      <sheetName val="집_계_표"/>
      <sheetName val="Regenerator__Concrete_Structure"/>
      <sheetName val="해외_연수비용_계산-삭제"/>
      <sheetName val="해외_기술훈련비_(합계)"/>
      <sheetName val="전차선로_물량표"/>
      <sheetName val="Ext__Stone-P"/>
      <sheetName val="실행내역"/>
      <sheetName val="간접경상비"/>
      <sheetName val="일위대가(계측기설치)"/>
      <sheetName val="SANTOGO"/>
      <sheetName val="횡배수관토공수량"/>
      <sheetName val="SPEC"/>
      <sheetName val="실행내역서 "/>
      <sheetName val="data_dci"/>
      <sheetName val="data_mci"/>
      <sheetName val="behind"/>
      <sheetName val="Main"/>
      <sheetName val="LINE"/>
      <sheetName val="Curves"/>
      <sheetName val="cover"/>
      <sheetName val="Tables"/>
      <sheetName val="주관사업"/>
      <sheetName val="상반기손익차2총괄"/>
      <sheetName val="9-1차이내역"/>
      <sheetName val="inter"/>
      <sheetName val="Parts"/>
      <sheetName val="Menu A"/>
      <sheetName val="1.설계조건"/>
      <sheetName val="P-산#1-1(WOWA1)"/>
      <sheetName val="품목단가"/>
      <sheetName val="와동25-3(변경)"/>
      <sheetName val="INSTRUCTIONS"/>
      <sheetName val="Summary Sheets"/>
      <sheetName val="cost breakdown template"/>
      <sheetName val="단가표"/>
      <sheetName val="광혁기성"/>
      <sheetName val="기초분물량표"/>
      <sheetName val="개요"/>
      <sheetName val="경제성분석"/>
      <sheetName val="서울산업대(토)"/>
      <sheetName val="LEGEND"/>
      <sheetName val="AV시스템"/>
      <sheetName val="KC-moi"/>
      <sheetName val="Grundformel"/>
      <sheetName val="ASP"/>
      <sheetName val="CHIP_O"/>
      <sheetName val="FAB_I"/>
      <sheetName val="FAB_O"/>
      <sheetName val="FRT_O"/>
      <sheetName val="PKG_I"/>
      <sheetName val="FT_금액"/>
      <sheetName val="YIELD"/>
      <sheetName val="0415"/>
      <sheetName val="FAB별"/>
      <sheetName val="98비정기소모"/>
      <sheetName val="J01"/>
      <sheetName val="WEON"/>
      <sheetName val="Macro3"/>
      <sheetName val="ITB COST"/>
      <sheetName val="영업2"/>
      <sheetName val="960318-1"/>
      <sheetName val="공통부대비"/>
      <sheetName val="변경내역"/>
      <sheetName val="IPC BM01-TT"/>
      <sheetName val="IPC BM01-TƯ"/>
      <sheetName val="PL03A"/>
      <sheetName val="PL03A (2)"/>
      <sheetName val="IPC BM01-TT "/>
      <sheetName val="IPA"/>
      <sheetName val="Bang ke"/>
      <sheetName val="IPA new"/>
      <sheetName val="Alat"/>
      <sheetName val="Analisa Gabungan"/>
      <sheetName val="Sub"/>
      <sheetName val="표준건축비"/>
      <sheetName val="divI"/>
      <sheetName val="직재"/>
      <sheetName val="표지"/>
      <sheetName val="1.Air"/>
      <sheetName val="9.Cable&amp; Paint"/>
      <sheetName val="1.8.CleanRM"/>
      <sheetName val="4.Compressor."/>
      <sheetName val="7.Copper Pipe"/>
      <sheetName val="2.5.Ducts"/>
      <sheetName val="2.Fans"/>
      <sheetName val="5.5.Fire FT"/>
      <sheetName val="Project Data"/>
      <sheetName val="7.5 Insulation"/>
      <sheetName val="9.2.Item"/>
      <sheetName val="35.Machine &amp; Tank"/>
      <sheetName val="Material Qty"/>
      <sheetName val="3.Pumps &amp; Control Panel"/>
      <sheetName val="8.5.PVC Pipe"/>
      <sheetName val="5.Sanytary&amp;Kitchen"/>
      <sheetName val="8.SGP Pipe"/>
      <sheetName val="unit price list"/>
      <sheetName val="6.Valves"/>
      <sheetName val="동원(3)"/>
      <sheetName val="CAP"/>
      <sheetName val="Var."/>
      <sheetName val="R"/>
      <sheetName val="정리"/>
      <sheetName val="dV&amp;Cl"/>
      <sheetName val="EQUIPMENT"/>
      <sheetName val="PopCache"/>
      <sheetName val="요약배부"/>
      <sheetName val="Accounts"/>
      <sheetName val="BATCH"/>
      <sheetName val="단기차입금"/>
      <sheetName val="EQUIPMENT_-23"/>
      <sheetName val="배수내역_(2)2"/>
      <sheetName val="입출재고현황_(2)2"/>
      <sheetName val="플랜트_설치2"/>
      <sheetName val="sum1_(2)1"/>
      <sheetName val="_Work_Order_양식_엑셀_121212_xlsx1"/>
      <sheetName val="Sheet1_(2)2"/>
      <sheetName val="C_&amp;_G_RHS2"/>
      <sheetName val="IMPEADENCE_MAP_취수장2"/>
      <sheetName val="단면_(2)1"/>
      <sheetName val="BSD_(2)1"/>
      <sheetName val="집_계_표1"/>
      <sheetName val="6PILE__(돌출)1"/>
      <sheetName val="토목내역"/>
      <sheetName val="산근"/>
      <sheetName val="입찰내역 발주처 양식"/>
      <sheetName val="sum"/>
      <sheetName val="VXXXXXXX"/>
      <sheetName val="tggwan(mac)"/>
      <sheetName val="단면(RW1)"/>
      <sheetName val="Tender"/>
      <sheetName val="6MONTHS"/>
      <sheetName val="6. Scope of work "/>
      <sheetName val="4.6 Phân tích nhân sự "/>
      <sheetName val="4.5 Mức độ tham gia dự án"/>
      <sheetName val="Quantity"/>
      <sheetName val="3-PTDGR5 "/>
      <sheetName val="VL"/>
      <sheetName val="ND"/>
      <sheetName val="기계"/>
      <sheetName val="합천내역"/>
      <sheetName val="포장공사"/>
      <sheetName val="마감물량"/>
      <sheetName val="날개벽수량표"/>
      <sheetName val="95삼성급(본사)"/>
      <sheetName val="설 계"/>
      <sheetName val="화전내"/>
      <sheetName val="전기"/>
      <sheetName val="중기사용료"/>
      <sheetName val="EQUIPMENT_-24"/>
      <sheetName val="배수내역_(2)3"/>
      <sheetName val="입출재고현황_(2)3"/>
      <sheetName val="플랜트_설치3"/>
      <sheetName val="C_&amp;_G_RHS3"/>
      <sheetName val="Sheet1_(2)3"/>
      <sheetName val="IMPEADENCE_MAP_취수장3"/>
      <sheetName val="sum1_(2)2"/>
      <sheetName val="_Work_Order_양식_엑셀_121212_xlsx2"/>
      <sheetName val="단면_(2)2"/>
      <sheetName val="BSD_(2)2"/>
      <sheetName val="6PILE__(돌출)2"/>
      <sheetName val="집_계_표2"/>
      <sheetName val="전차선로_물량표1"/>
      <sheetName val="Regenerator__Concrete_Structur1"/>
      <sheetName val="표지_(2)1"/>
      <sheetName val="현장관리비_산출내역1"/>
      <sheetName val="PROJECT_BRIEF(EX_NEW)1"/>
      <sheetName val="해외_연수비용_계산-삭제1"/>
      <sheetName val="해외_기술훈련비_(합계)1"/>
      <sheetName val="Ext__Stone-P1"/>
      <sheetName val="원남울진낙찰내역(99_4_13_부산청)"/>
      <sheetName val="Cost_bd-&quot;A&quot;"/>
      <sheetName val="소상_&quot;1&quot;"/>
      <sheetName val="5_모델링"/>
      <sheetName val="상_부"/>
      <sheetName val="G_R300경비1"/>
      <sheetName val="Project_Brief1"/>
      <sheetName val="실행내역서_"/>
      <sheetName val="1_설계조건"/>
      <sheetName val="Summary_Sheets"/>
      <sheetName val="cost_breakdown_template"/>
      <sheetName val="ITB_COST"/>
      <sheetName val="Menu_A"/>
      <sheetName val="IPC_BM01-TT"/>
      <sheetName val="IPC_BM01-TƯ"/>
      <sheetName val="PL03A_(2)"/>
      <sheetName val="IPC_BM01-TT_"/>
      <sheetName val="Bang_ke"/>
      <sheetName val="IPA_new"/>
      <sheetName val="Analisa_Gabungan"/>
      <sheetName val="Var_"/>
      <sheetName val="6__Scope_of_work_"/>
      <sheetName val="4_6_Phân_tích_nhân_sự_"/>
      <sheetName val="4_5_Mức_độ_tham_gia_dự_án"/>
      <sheetName val="3-PTDGR5_"/>
      <sheetName val="입찰내역_발주처_양식"/>
      <sheetName val="CD"/>
      <sheetName val="Du_lieu"/>
      <sheetName val="PriceSummary"/>
      <sheetName val="Page 2"/>
      <sheetName val="Dasar"/>
      <sheetName val="SUM_Steel-Strc"/>
      <sheetName val="Conveyors"/>
      <sheetName val="C"/>
      <sheetName val="HARGA MATERIAL"/>
      <sheetName val="Inkindo 2015"/>
      <sheetName val="RT13526 CPI"/>
      <sheetName val="dftr harga"/>
      <sheetName val="prhit tulangan"/>
      <sheetName val="vol pek"/>
      <sheetName val="대비표"/>
      <sheetName val="JE-2"/>
      <sheetName val="H.Satuan"/>
      <sheetName val="Eng_Hrs"/>
      <sheetName val="F1.4"/>
      <sheetName val="DATASHT"/>
      <sheetName val="소비자가"/>
      <sheetName val="B"/>
      <sheetName val="콘크리트타설집계표"/>
      <sheetName val="AILC004"/>
      <sheetName val="Trans"/>
      <sheetName val="분석"/>
      <sheetName val="MASTER"/>
      <sheetName val="터널조도"/>
      <sheetName val="배수공 시멘트 및 골재량 산출"/>
      <sheetName val="노무비"/>
      <sheetName val="L V Separator"/>
      <sheetName val="TACE"/>
      <sheetName val="BLDG_DCI"/>
      <sheetName val="BLDG_MCI"/>
      <sheetName val="5_1_1 Cut-off SS install"/>
      <sheetName val="Cash2"/>
      <sheetName val="Z"/>
      <sheetName val="負荷集計（断熱不燃）"/>
      <sheetName val="MTL$-INTER"/>
      <sheetName val="1_Air"/>
      <sheetName val="9_Cable&amp;_Paint"/>
      <sheetName val="1_8_CleanRM"/>
      <sheetName val="4_Compressor_"/>
      <sheetName val="7_Copper_Pipe"/>
      <sheetName val="2_5_Ducts"/>
      <sheetName val="2_Fans"/>
      <sheetName val="5_5_Fire_FT"/>
      <sheetName val="Project_Data"/>
      <sheetName val="7_5_Insulation"/>
      <sheetName val="9_2_Item"/>
      <sheetName val="35_Machine_&amp;_Tank"/>
      <sheetName val="Material_Qty"/>
      <sheetName val="3_Pumps_&amp;_Control_Panel"/>
      <sheetName val="8_5_PVC_Pipe"/>
      <sheetName val="5_Sanytary&amp;Kitchen"/>
      <sheetName val="8_SGP_Pipe"/>
      <sheetName val="unit_price_list"/>
      <sheetName val="6_Valves"/>
      <sheetName val="수량산출1"/>
      <sheetName val="자재단가표"/>
      <sheetName val="^Control^"/>
      <sheetName val="대운산출"/>
      <sheetName val="Div2"/>
      <sheetName val="GC-2"/>
      <sheetName val="BQMPALOC"/>
      <sheetName val="V-1-1002bid"/>
      <sheetName val="E"/>
      <sheetName val="K"/>
      <sheetName val="Harsat Bahan"/>
      <sheetName val="LP3,h_dsr"/>
      <sheetName val="an_tek1"/>
      <sheetName val="REKAP"/>
      <sheetName val="boq"/>
      <sheetName val="Anls_ME Tampil"/>
      <sheetName val="Peralatan"/>
      <sheetName val="NEW DEFINITION"/>
      <sheetName val="BOM"/>
      <sheetName val="GDB"/>
      <sheetName val="Rev Index"/>
      <sheetName val="Price Schedule"/>
      <sheetName val="DESIGN"/>
      <sheetName val="OCT.FDN"/>
      <sheetName val="BAHAN"/>
      <sheetName val="upah,bhn,alt"/>
      <sheetName val="Sat_uph"/>
      <sheetName val="Accessories 2006"/>
      <sheetName val="Finished Goods 2006"/>
      <sheetName val="수량 및 수질"/>
      <sheetName val="용량계산(2006)"/>
      <sheetName val="表三"/>
      <sheetName val="PIPEDATA"/>
      <sheetName val="UnitAlloc"/>
      <sheetName val="3.공통공사대비"/>
      <sheetName val="2공구_산출"/>
      <sheetName val="계약"/>
      <sheetName val="기성내역"/>
      <sheetName val="판가반영"/>
      <sheetName val="DG-TNHC-85"/>
      <sheetName val="SITE-E"/>
      <sheetName val="SEX"/>
      <sheetName val="He so dieu chinh"/>
      <sheetName val="Buy vs. Lease Car"/>
      <sheetName val="도로경계단위"/>
      <sheetName val="proj"/>
      <sheetName val="일위대가표"/>
      <sheetName val="상수도토공집계표"/>
      <sheetName val="FAB&amp;EUV TOTAL"/>
      <sheetName val="Eq. Mobilization"/>
      <sheetName val="수량산출"/>
      <sheetName val="Erectn"/>
      <sheetName val="FCS"/>
      <sheetName val="GD 14"/>
      <sheetName val="NP"/>
      <sheetName val="struktur"/>
      <sheetName val="MATERIAL"/>
      <sheetName val="A H S P"/>
      <sheetName val="HSA &amp; PAB"/>
      <sheetName val="Harga Upah "/>
      <sheetName val="CapitalMetrics"/>
      <sheetName val="Concrete-UPA"/>
      <sheetName val="CIM"/>
      <sheetName val="Anls"/>
      <sheetName val="Total for Check"/>
      <sheetName val="KP1590_E"/>
      <sheetName val="DRUM"/>
      <sheetName val="24V"/>
      <sheetName val="HARSAT"/>
      <sheetName val="Fitting"/>
      <sheetName val="HX"/>
      <sheetName val="수습"/>
      <sheetName val="A6"/>
      <sheetName val="Income Statement"/>
      <sheetName val="DAFTAR ISI"/>
      <sheetName val="EXCHANGER-COM"/>
      <sheetName val="EXCHANGER-BEAM2"/>
      <sheetName val="EXCHANGER-BEAM1"/>
      <sheetName val="EXCHANGER"/>
      <sheetName val="Assignment Package"/>
      <sheetName val="Income Tax &amp; Social"/>
      <sheetName val="UK Burdens"/>
      <sheetName val="Local Office Costs"/>
      <sheetName val="Titles &amp; Commercial Variables"/>
      <sheetName val="견적 (2)"/>
      <sheetName val="자판실행"/>
      <sheetName val="신규DEP"/>
      <sheetName val="CAL1"/>
      <sheetName val="내역서 "/>
      <sheetName val="CC16-내역서"/>
      <sheetName val="98수문일위"/>
      <sheetName val="train cash"/>
      <sheetName val="accom cash"/>
      <sheetName val="Prices"/>
      <sheetName val="97 사업추정(WEKI)"/>
      <sheetName val="배수내역"/>
      <sheetName val="본사공가현황"/>
      <sheetName val="Sch.6"/>
      <sheetName val="원본"/>
      <sheetName val="BREAKDOWN(철거설치)"/>
      <sheetName val="장비임대료"/>
      <sheetName val="맨홀토공산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/>
      <sheetData sheetId="487" refreshError="1"/>
      <sheetData sheetId="488" refreshError="1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사자료총집계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임이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기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프랜트면허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내역서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림골조"/>
      <sheetName val="유림총괄"/>
      <sheetName val="비교1"/>
      <sheetName val="공기"/>
      <sheetName val="새공통(97년3월)"/>
      <sheetName val="협력업체"/>
      <sheetName val="외주업체list (3)"/>
      <sheetName val="FAX양식"/>
      <sheetName val="FAX양식 (2)"/>
      <sheetName val="Sheet1"/>
      <sheetName val="Sheet2"/>
      <sheetName val="Sheet21"/>
      <sheetName val="Sheet20"/>
      <sheetName val="Sheet19"/>
      <sheetName val="Sheet18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Sheet5"/>
      <sheetName val="Sheet4"/>
      <sheetName val="Sheet3"/>
      <sheetName val="새공통(96임금인상기준)"/>
      <sheetName val="공사개요"/>
      <sheetName val="분당코아"/>
      <sheetName val="물가"/>
      <sheetName val="물가 (2)"/>
      <sheetName val="옥외공사"/>
      <sheetName val="내역표지"/>
      <sheetName val="견적조건"/>
      <sheetName val="공사총괄-2"/>
      <sheetName val="변경연면적"/>
      <sheetName val="품의서"/>
      <sheetName val="건축대비"/>
      <sheetName val="부대골조"/>
      <sheetName val="아파트파일공사"/>
      <sheetName val="부대파일공사"/>
      <sheetName val="공제분"/>
      <sheetName val="상승요인분석"/>
      <sheetName val="토목공사"/>
      <sheetName val="옥외"/>
      <sheetName val="물가상승변경(960827)"/>
      <sheetName val="건축부대공사대비"/>
      <sheetName val="제출표지"/>
      <sheetName val="특수조건"/>
      <sheetName val="분책"/>
      <sheetName val="실행대비"/>
      <sheetName val="평단가비교"/>
      <sheetName val="OPTION비교"/>
      <sheetName val="실행원안對현장통보실행안"/>
      <sheetName val="의뢰"/>
      <sheetName val="의뢰서"/>
      <sheetName val="품의서(A3-3장)"/>
      <sheetName val="NEW비교"/>
      <sheetName val="계단실,로비"/>
      <sheetName val="주방가구外"/>
      <sheetName val="빌라트대비"/>
      <sheetName val="공통비대비"/>
      <sheetName val="공통비대비분석"/>
      <sheetName val="새공통(97년1월)"/>
      <sheetName val="직원투입계획"/>
      <sheetName val="현채투입계획"/>
      <sheetName val="전체총괄표"/>
      <sheetName val="산출내역서"/>
      <sheetName val="항목별총괄표"/>
      <sheetName val="공사현황"/>
      <sheetName val="건축실행대비"/>
      <sheetName val="가설공사"/>
      <sheetName val="철근콘크리트공사"/>
      <sheetName val="타일공사"/>
      <sheetName val="창호공사"/>
      <sheetName val="AL창호"/>
      <sheetName val="수장공사"/>
      <sheetName val="철골공사"/>
      <sheetName val="증가요인"/>
      <sheetName val="감사실"/>
      <sheetName val="물량증가"/>
      <sheetName val="9604000"/>
      <sheetName val="960503"/>
      <sheetName val="새공통(96년12월) "/>
      <sheetName val="협조문"/>
      <sheetName val="안양코아"/>
      <sheetName val="COLUMN"/>
      <sheetName val="공통비비교"/>
      <sheetName val="부지조성"/>
      <sheetName val="투입인원대비"/>
      <sheetName val="형틀분개"/>
      <sheetName val="시행대비"/>
      <sheetName val="마감범위"/>
      <sheetName val="추가예산"/>
      <sheetName val="TEMP철골"/>
      <sheetName val="기계기초"/>
      <sheetName val="안양코아최종대비"/>
      <sheetName val="최종건축대비"/>
      <sheetName val="A급현장"/>
      <sheetName val="A급현장 (2)"/>
      <sheetName val="B급현장"/>
      <sheetName val="B급현장 (2)"/>
      <sheetName val="C급현장"/>
      <sheetName val="C급현장 (2)"/>
      <sheetName val="D급현장"/>
      <sheetName val="D급현장 (2)"/>
      <sheetName val="공통비산출근거"/>
      <sheetName val="견적의뢰서"/>
      <sheetName val="새공통97.4"/>
      <sheetName val="품의서(97.4)"/>
      <sheetName val="현.종.목"/>
      <sheetName val="창호,가구"/>
      <sheetName val="system"/>
      <sheetName val="목재창호"/>
      <sheetName val="물가상승"/>
      <sheetName val="옥외 (적용)"/>
      <sheetName val="토목"/>
      <sheetName val="재료마감표"/>
      <sheetName val="비교(기존)"/>
      <sheetName val="비교(변경)"/>
      <sheetName val="금액대비표"/>
      <sheetName val="건축-옥외"/>
      <sheetName val="공사집계(기존)"/>
      <sheetName val="공사집계(변경)"/>
      <sheetName val="건축집계"/>
      <sheetName val="분당협조"/>
      <sheetName val="파일의이용"/>
      <sheetName val="DATE"/>
      <sheetName val="Customer Databas"/>
      <sheetName val="유림공통"/>
      <sheetName val="0831"/>
      <sheetName val="0915"/>
      <sheetName val="0915 (2)"/>
      <sheetName val="집계2"/>
      <sheetName val="2001년"/>
      <sheetName val="2001년변형"/>
      <sheetName val="2002년"/>
      <sheetName val="2003년"/>
      <sheetName val="3안신촉진안실적반영"/>
      <sheetName val="11월"/>
      <sheetName val="12월"/>
      <sheetName val="1월"/>
      <sheetName val="2월"/>
      <sheetName val="3월"/>
      <sheetName val="4월"/>
      <sheetName val="5월"/>
      <sheetName val="6월"/>
      <sheetName val="7월"/>
      <sheetName val="8월"/>
      <sheetName val="실행율"/>
      <sheetName val="분양수입금일정"/>
      <sheetName val="표지"/>
      <sheetName val="표지(수정)"/>
      <sheetName val="표지(적용)"/>
      <sheetName val="1공사개요"/>
      <sheetName val="2공정계획"/>
      <sheetName val="2공정계획 (2)"/>
      <sheetName val="2공정계획(미표기_미적용)"/>
      <sheetName val="3자금운용(최종)"/>
      <sheetName val="3손익분석"/>
      <sheetName val="3자금운용(수정)"/>
      <sheetName val="3자금운용(당초)"/>
      <sheetName val="4직원투입(적용)"/>
      <sheetName val="4_1직원투입(미적용)"/>
      <sheetName val="5안전환경"/>
      <sheetName val="6인허가"/>
      <sheetName val="7본사관련부서"/>
      <sheetName val="초기예산표지"/>
      <sheetName val="결재인"/>
      <sheetName val="계약고대비"/>
      <sheetName val="예산집계"/>
      <sheetName val="산재매입세"/>
      <sheetName val="변경대비(적용)"/>
      <sheetName val="변경대비(미적용)"/>
      <sheetName val="플랜트 설치"/>
      <sheetName val="D급현장 (2)_x0000__x0000__x0000__x0000__x0000__x0000__x0000__x0000__x0000__x0009__x0000_飰ঊ_x0000__x0004__x0000__x0000__x0000__x0000__x0000__x0000_ϸঈ"/>
      <sheetName val="D급현장 (2)_x0000__x0009_飰ঊ_x0004__x0000_ϸঈ餘ঊn_x0000__x0011_[유림콘도.XLS]"/>
      <sheetName val="새공통"/>
      <sheetName val="도곡동빌라트보관"/>
      <sheetName val="공사비대비"/>
      <sheetName val="골조물량"/>
      <sheetName val="동바리外"/>
      <sheetName val="공사비총괄표"/>
      <sheetName val="내역총괄표 "/>
      <sheetName val="여과지동"/>
      <sheetName val="기초자료"/>
      <sheetName val="구의33고"/>
      <sheetName val="기본일위"/>
      <sheetName val="일위대가"/>
      <sheetName val="guard(mac)"/>
      <sheetName val="차액보증"/>
      <sheetName val="내역"/>
      <sheetName val="D급현장 (2)_x0000__x0000__x0000__x0000__x0000__x0000__x0000__x0000__x0000_ _x0000_飰ঊ_x0000__x0004__x0000__x0000__x0000__x0000__x0000__x0000_ϸঈ"/>
      <sheetName val="D급현장 (2)_x0000_ 飰ঊ_x0004__x0000_ϸঈ餘ঊn_x0000__x0011_[유림콘도.XLS]"/>
      <sheetName val="유림콘도"/>
      <sheetName val="투입비"/>
      <sheetName val="공통비(전체)"/>
      <sheetName val="01"/>
      <sheetName val="자재단가"/>
      <sheetName val="경산"/>
      <sheetName val="입찰안"/>
      <sheetName val="산출금액내역"/>
      <sheetName val="데이타"/>
      <sheetName val="설계내역서"/>
      <sheetName val="전기"/>
      <sheetName val="현장관리비"/>
      <sheetName val="공통비총괄표"/>
      <sheetName val="조건"/>
      <sheetName val="Total"/>
      <sheetName val="48신설단가"/>
      <sheetName val="일위대가(1)"/>
      <sheetName val="일산실행내역"/>
      <sheetName val="본사공가현황"/>
      <sheetName val="미드수량"/>
      <sheetName val="선정요령"/>
      <sheetName val="실행철강하도"/>
      <sheetName val="교통대책내역"/>
      <sheetName val="2002하반기노임기준"/>
      <sheetName val="기초코드"/>
      <sheetName val="품목납기"/>
      <sheetName val="갑지(추정)"/>
      <sheetName val="일위대가표"/>
      <sheetName val="집계표"/>
      <sheetName val="신대방33(적용)"/>
      <sheetName val="APT"/>
      <sheetName val="견적정보"/>
      <sheetName val="변경비교-을"/>
      <sheetName val="터파기및재료"/>
      <sheetName val="공종단가"/>
      <sheetName val="요율"/>
      <sheetName val="자재대"/>
      <sheetName val="기계경비(시간당)"/>
      <sheetName val="램머"/>
      <sheetName val="소비자가"/>
      <sheetName val="조직"/>
      <sheetName val="원가서"/>
      <sheetName val="입력"/>
      <sheetName val="대전(세창동)"/>
      <sheetName val="내역서"/>
      <sheetName val="1차 내역서"/>
      <sheetName val="데이타입력"/>
      <sheetName val="수량산출"/>
      <sheetName val="공사단가"/>
      <sheetName val="#REF"/>
      <sheetName val="노임"/>
      <sheetName val="평가데이터"/>
      <sheetName val="개요"/>
      <sheetName val="실행기초"/>
      <sheetName val="pier(각형)"/>
      <sheetName val="울산자동제어"/>
      <sheetName val="EQT-ESTN"/>
      <sheetName val="3.공통공사대비"/>
      <sheetName val="bid"/>
      <sheetName val="실행간접비"/>
      <sheetName val="변경명신물량 (2)"/>
      <sheetName val="목록"/>
      <sheetName val="중기"/>
      <sheetName val="ELECTRIC"/>
      <sheetName val="중기사용료"/>
      <sheetName val="프랜트면허"/>
      <sheetName val="골조시행"/>
      <sheetName val="손익차9월2"/>
      <sheetName val="본공사"/>
      <sheetName val="판매시설"/>
      <sheetName val="예가표"/>
      <sheetName val="일위_파일"/>
      <sheetName val="1ST"/>
      <sheetName val="확약서"/>
      <sheetName val="자재"/>
      <sheetName val="공통가설"/>
      <sheetName val="Eq. Mobilization"/>
      <sheetName val="계수시트"/>
      <sheetName val="소방일위 "/>
      <sheetName val="C1.공사개요"/>
      <sheetName val="실행(1)"/>
      <sheetName val="6호기"/>
      <sheetName val="A1.스케쥴"/>
      <sheetName val="공사기본내용입력"/>
      <sheetName val="DB"/>
      <sheetName val="PAINT"/>
      <sheetName val="대림경상68억"/>
      <sheetName val="면적입력"/>
      <sheetName val="물량표"/>
      <sheetName val="견적"/>
      <sheetName val="첨"/>
      <sheetName val="ITC현황"/>
      <sheetName val="내역_FILE"/>
      <sheetName val="편성절차"/>
      <sheetName val="4차원가계산서"/>
      <sheetName val="0215"/>
      <sheetName val="총괄내역서"/>
      <sheetName val="도급"/>
      <sheetName val="산출내역서집계표"/>
      <sheetName val="효성CB 1P기초"/>
      <sheetName val="48일위"/>
      <sheetName val="와동25-3(변경)"/>
      <sheetName val="부산제일극장"/>
      <sheetName val="투입"/>
      <sheetName val="수입"/>
      <sheetName val="Sheet2 (2)"/>
      <sheetName val="2000년1차"/>
      <sheetName val="D급현장 (2)?????????_x0009_?飰ঊ?_x0004_??????ϸঈ"/>
      <sheetName val="금액중량"/>
      <sheetName val="단가"/>
      <sheetName val="월,누계 (2)"/>
      <sheetName val="48신설수량"/>
      <sheetName val="48철거수량"/>
      <sheetName val="22신설수량"/>
      <sheetName val="아침햇쌀"/>
      <sheetName val="참고"/>
      <sheetName val="인구(2002년통계자료)"/>
      <sheetName val="시설DB"/>
      <sheetName val="96월별PL"/>
      <sheetName val="SV점수"/>
      <sheetName val="지점장점수"/>
      <sheetName val="***********************00"/>
      <sheetName val="주간계획"/>
      <sheetName val="D급현장 (2)????????? ?飰ঊ?_x0004_??????ϸঈ"/>
      <sheetName val="콘크리트타설집계표"/>
      <sheetName val="원가"/>
      <sheetName val="시운전연료"/>
      <sheetName val="부대집계"/>
      <sheetName val="단가산출"/>
      <sheetName val="(2)자금(신용)"/>
      <sheetName val="단가결정"/>
      <sheetName val="현관비DATA"/>
      <sheetName val="내역(중앙)"/>
      <sheetName val="내역(창신)"/>
      <sheetName val="개산공사비"/>
      <sheetName val="갑지"/>
      <sheetName val="8.식재일위"/>
      <sheetName val="B시설가격"/>
      <sheetName val="공사"/>
      <sheetName val="0.목록1"/>
      <sheetName val="c_balju"/>
      <sheetName val="삭제금지단가"/>
      <sheetName val="중기일위대가"/>
      <sheetName val="내역서01"/>
      <sheetName val="설계명세서"/>
      <sheetName val="자료입력"/>
      <sheetName val="급여관련자료"/>
      <sheetName val="연습"/>
      <sheetName val="연결임시"/>
      <sheetName val="세금자료"/>
      <sheetName val="예산명세서"/>
      <sheetName val="공량산출서"/>
      <sheetName val="하수급견적대비"/>
      <sheetName val="소방"/>
      <sheetName val="집계"/>
      <sheetName val="산근"/>
      <sheetName val="신갈"/>
      <sheetName val="코드표"/>
      <sheetName val="총원가계산서(요율)"/>
      <sheetName val="현장경상비"/>
      <sheetName val="사업분석"/>
      <sheetName val="매출 (3)"/>
      <sheetName val="선수금"/>
      <sheetName val="카메라"/>
      <sheetName val="현장경비"/>
      <sheetName val="최초 bpm"/>
      <sheetName val="1.설계조건"/>
      <sheetName val="단면치수"/>
      <sheetName val="도기류"/>
      <sheetName val="총투입계"/>
      <sheetName val="단위세대 개요"/>
      <sheetName val="0"/>
      <sheetName val="Assumption_Gen"/>
      <sheetName val="주관사업"/>
      <sheetName val="P.M 별"/>
      <sheetName val="TYPE-A"/>
      <sheetName val="친환경주택"/>
      <sheetName val="설비(제출)"/>
      <sheetName val="을지"/>
      <sheetName val="자판실행"/>
      <sheetName val="대비표(토공1안)"/>
      <sheetName val="산출서"/>
      <sheetName val="기초일위"/>
      <sheetName val="일반수량총괄집계"/>
      <sheetName val="45,46"/>
      <sheetName val="수목데이타 "/>
      <sheetName val="빗물받이(910-510-410)"/>
      <sheetName val="마산월령동골조물량변경"/>
      <sheetName val="청천내"/>
      <sheetName val="DATA입력"/>
      <sheetName val="시화점실행"/>
      <sheetName val="일위대가-01"/>
      <sheetName val="집계표(공종별)"/>
      <sheetName val="외주업체list_(3)"/>
      <sheetName val="FAX양식_(2)"/>
      <sheetName val="물가_(2)"/>
      <sheetName val="새공통(96년12월)_"/>
      <sheetName val="A급현장_(2)"/>
      <sheetName val="B급현장_(2)"/>
      <sheetName val="C급현장_(2)"/>
      <sheetName val="D급현장_(2)"/>
      <sheetName val="8_식재일위"/>
      <sheetName val="변경명신물량_(2)"/>
      <sheetName val="새공통97_4"/>
      <sheetName val="품의서(97_4)"/>
      <sheetName val="현_종_목"/>
      <sheetName val="옥외_(적용)"/>
      <sheetName val="Eq__Mobilization"/>
      <sheetName val="설-원가"/>
      <sheetName val="0915_(2)"/>
      <sheetName val="플랜트_설치"/>
      <sheetName val="2공정계획_(2)"/>
      <sheetName val="계획고"/>
      <sheetName val="민감도"/>
      <sheetName val="토적표"/>
      <sheetName val="자재단가비교표"/>
      <sheetName val="단가표"/>
      <sheetName val="갈현동"/>
      <sheetName val="조명시설"/>
      <sheetName val="코스모공장 (어음)"/>
      <sheetName val="PIPE(UG)내역"/>
      <sheetName val="상하차비용(기계상차)"/>
      <sheetName val="수간보호"/>
      <sheetName val="운반비"/>
      <sheetName val="금호"/>
      <sheetName val="설계내역2"/>
      <sheetName val="공사비"/>
      <sheetName val="품셈TABLE"/>
      <sheetName val="덕전리"/>
      <sheetName val="난간벽단위"/>
      <sheetName val="DOWEL(SLAB상)"/>
      <sheetName val="DOWEL(SLAB하)"/>
      <sheetName val="1"/>
      <sheetName val="COVER"/>
      <sheetName val="사다리"/>
      <sheetName val="가정 및 결과"/>
      <sheetName val="WELDING"/>
      <sheetName val="5-3.기성연체이자"/>
      <sheetName val="내부마감"/>
      <sheetName val="F 월별기성수금현황 "/>
      <sheetName val="조명율표"/>
      <sheetName val="D급현장 (2)?_x0009_飰ঊ_x0004_?ϸঈ餘ঊn?_x0011_[유림콘도.XLS]"/>
      <sheetName val="예산M6-B"/>
      <sheetName val="진주방향"/>
      <sheetName val="FB25JN"/>
      <sheetName val="FOB발"/>
      <sheetName val="중기사용료산출근거"/>
      <sheetName val="단가 및 재료비"/>
      <sheetName val="실행"/>
      <sheetName val="실행(ALT1)"/>
      <sheetName val="단가(자재)"/>
      <sheetName val="단가(노임)"/>
      <sheetName val="기초목록"/>
      <sheetName val="견적갑지"/>
      <sheetName val="총 원가계산"/>
      <sheetName val="콘크리트타설입력"/>
      <sheetName val="레미콘입고현황"/>
      <sheetName val="지수"/>
      <sheetName val="재노경"/>
      <sheetName val="노임단가"/>
      <sheetName val="5사남"/>
      <sheetName val="고정자산"/>
      <sheetName val="매출원가추정"/>
      <sheetName val="매출추정"/>
      <sheetName val="분류표"/>
      <sheetName val="D급현장 (2)? 飰ঊ_x0004_?ϸঈ餘ঊn?_x0011_[유림콘도.XLS]"/>
      <sheetName val="총괄표"/>
      <sheetName val="Xunit (단위환산)"/>
      <sheetName val="본실행경비"/>
      <sheetName val="집계표a"/>
      <sheetName val="이름표"/>
      <sheetName val="보고"/>
      <sheetName val="수량집계"/>
      <sheetName val="지급제한자"/>
      <sheetName val="명세표"/>
      <sheetName val="SG"/>
      <sheetName val="MIJIBI"/>
      <sheetName val="실행내역서"/>
      <sheetName val="4.본실행통합내역서"/>
      <sheetName val="2"/>
      <sheetName val="3"/>
      <sheetName val="4"/>
      <sheetName val="5"/>
      <sheetName val="6"/>
      <sheetName val="0226"/>
      <sheetName val="수량산출내역1115"/>
      <sheetName val="목표세부명세"/>
      <sheetName val="OE"/>
      <sheetName val="일위"/>
      <sheetName val="공리일"/>
      <sheetName val="1.총괄현황"/>
      <sheetName val="단가 (2)"/>
      <sheetName val="옹벽수량집계"/>
      <sheetName val="인적사항3"/>
      <sheetName val="테이블"/>
      <sheetName val="토공"/>
      <sheetName val="시설물일위"/>
      <sheetName val="내역아"/>
      <sheetName val="울타리"/>
      <sheetName val="공용(현대건설공구)"/>
      <sheetName val="현대건설공구(UNIT)"/>
      <sheetName val="001"/>
      <sheetName val="도급내역"/>
      <sheetName val="견적의뢰"/>
      <sheetName val="01AC"/>
      <sheetName val="지급자재"/>
      <sheetName val="기안"/>
      <sheetName val="공통가설(기준안)"/>
      <sheetName val="비교표"/>
      <sheetName val="9GNG운반"/>
      <sheetName val="시장성초안camera"/>
      <sheetName val="청산공사"/>
      <sheetName val="ETC"/>
      <sheetName val="마감LIST-1"/>
      <sheetName val="경비"/>
      <sheetName val="1.약산개요입력"/>
      <sheetName val="database"/>
      <sheetName val="wall"/>
      <sheetName val="설계예시"/>
      <sheetName val="공통가설_8"/>
      <sheetName val="아파트_9"/>
      <sheetName val="주민복지관"/>
      <sheetName val="지하주차장"/>
      <sheetName val="분양금할인"/>
      <sheetName val="CTEMCOST"/>
      <sheetName val="FAB별"/>
      <sheetName val="F4-F7"/>
      <sheetName val="B"/>
      <sheetName val="A"/>
      <sheetName val="공용정보"/>
      <sheetName val="비교"/>
      <sheetName val="범례표"/>
      <sheetName val="48전력선로일위"/>
      <sheetName val="48평형"/>
      <sheetName val="62평형"/>
      <sheetName val="견적서"/>
      <sheetName val="적현로"/>
      <sheetName val="b_balju"/>
      <sheetName val="대가목록"/>
      <sheetName val="원가계산서"/>
      <sheetName val="토사(PE)"/>
      <sheetName val="XL4Poppy"/>
      <sheetName val="아파트-가설"/>
      <sheetName val="일위대가(가설)"/>
      <sheetName val="건축개요"/>
      <sheetName val="단위세대_개요"/>
      <sheetName val="Sheet2_(2)"/>
      <sheetName val="내역총괄표_"/>
      <sheetName val="D급현장_(2) 飰ঊϸঈ"/>
      <sheetName val="D급현장_(2) 飰ঊϸঈ餘ঊn[유림콘도_XLS]"/>
      <sheetName val="1_약산개요입력"/>
      <sheetName val="매출_(3)"/>
      <sheetName val="가정_및_결과"/>
      <sheetName val="D급현장_(2)_飰ঊϸঈ"/>
      <sheetName val="D급현장_(2)_飰ঊϸঈ餘ঊn[유림콘도_XLS]"/>
      <sheetName val="설계예산서"/>
      <sheetName val="2-1. 경관조명 내역총괄표"/>
      <sheetName val="사유서제출현황-2"/>
      <sheetName val="Sens&amp;Anal"/>
      <sheetName val="IS&lt;양식27&gt;"/>
      <sheetName val="총투자비산정"/>
      <sheetName val="임대견적서"/>
      <sheetName val="공문"/>
      <sheetName val="부재료입고집계"/>
      <sheetName val="상세손익"/>
      <sheetName val="건설fs"/>
      <sheetName val="월별수입"/>
      <sheetName val="정부노임단가"/>
      <sheetName val="납부내역"/>
      <sheetName val="STAND20"/>
      <sheetName val="조합기초"/>
      <sheetName val="내역서(기존내역-수정금지)"/>
      <sheetName val="KOGAS"/>
      <sheetName val="계정"/>
    </sheetNames>
    <sheetDataSet>
      <sheetData sheetId="0">
        <row r="36">
          <cell r="X36" t="str">
            <v>연  면  적</v>
          </cell>
        </row>
      </sheetData>
      <sheetData sheetId="1" refreshError="1"/>
      <sheetData sheetId="2" refreshError="1"/>
      <sheetData sheetId="3">
        <row r="36">
          <cell r="X36" t="str">
            <v>연  면  적</v>
          </cell>
        </row>
      </sheetData>
      <sheetData sheetId="4">
        <row r="36">
          <cell r="X36" t="str">
            <v>연  면  적</v>
          </cell>
        </row>
      </sheetData>
      <sheetData sheetId="5">
        <row r="36">
          <cell r="X36" t="str">
            <v>연  면  적</v>
          </cell>
        </row>
      </sheetData>
      <sheetData sheetId="6">
        <row r="36">
          <cell r="X36" t="str">
            <v>연  면  적</v>
          </cell>
        </row>
      </sheetData>
      <sheetData sheetId="7"/>
      <sheetData sheetId="8">
        <row r="36">
          <cell r="X36" t="str">
            <v>연  면  적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36">
          <cell r="X36" t="str">
            <v>연  면  적</v>
          </cell>
        </row>
      </sheetData>
      <sheetData sheetId="31">
        <row r="36">
          <cell r="X36" t="str">
            <v>연  면  적</v>
          </cell>
        </row>
      </sheetData>
      <sheetData sheetId="32"/>
      <sheetData sheetId="33">
        <row r="36">
          <cell r="X36" t="str">
            <v>연  면  적</v>
          </cell>
        </row>
      </sheetData>
      <sheetData sheetId="34">
        <row r="36">
          <cell r="X36" t="str">
            <v>연  면  적</v>
          </cell>
        </row>
      </sheetData>
      <sheetData sheetId="35" refreshError="1"/>
      <sheetData sheetId="36">
        <row r="36">
          <cell r="X36" t="str">
            <v>연  면  적</v>
          </cell>
        </row>
      </sheetData>
      <sheetData sheetId="37">
        <row r="36">
          <cell r="X36" t="str">
            <v>연  면  적</v>
          </cell>
        </row>
      </sheetData>
      <sheetData sheetId="38">
        <row r="36">
          <cell r="X36" t="str">
            <v>연  면  적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 refreshError="1"/>
      <sheetData sheetId="209"/>
      <sheetData sheetId="210" refreshError="1"/>
      <sheetData sheetId="211"/>
      <sheetData sheetId="212" refreshError="1"/>
      <sheetData sheetId="213" refreshError="1"/>
      <sheetData sheetId="214" refreshError="1"/>
      <sheetData sheetId="215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/>
      <sheetData sheetId="408"/>
      <sheetData sheetId="409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/>
      <sheetData sheetId="533"/>
      <sheetData sheetId="534"/>
      <sheetData sheetId="535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임이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림골조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림골조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실행철강하도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가예산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실행철강하도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안"/>
      <sheetName val="적격"/>
      <sheetName val="평가"/>
      <sheetName val="적정"/>
      <sheetName val="관리"/>
      <sheetName val="표지"/>
      <sheetName val="총괄"/>
      <sheetName val="내역"/>
      <sheetName val="하도"/>
      <sheetName val="별지"/>
      <sheetName val="견적"/>
      <sheetName val="조사"/>
      <sheetName val="합의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조명율표"/>
      <sheetName val="투찰내역"/>
      <sheetName val="2000년1차"/>
      <sheetName val="2000전체분"/>
      <sheetName val="교통대책내역"/>
      <sheetName val="집계표"/>
      <sheetName val="조경일람"/>
      <sheetName val="단가일람"/>
      <sheetName val="내역서"/>
      <sheetName val="조명일위"/>
      <sheetName val="#REF"/>
      <sheetName val="부대공사비"/>
      <sheetName val="간접1"/>
      <sheetName val="99총공사내역서"/>
      <sheetName val="퍼스트"/>
      <sheetName val="차액보증"/>
      <sheetName val="전체제잡비"/>
      <sheetName val="BID"/>
      <sheetName val="SLAB데이터"/>
      <sheetName val="정부노임단가"/>
      <sheetName val="노임"/>
      <sheetName val="접지수량"/>
      <sheetName val="sheet1"/>
      <sheetName val="지질조사"/>
      <sheetName val="Total 단위경유량집계"/>
      <sheetName val="MOTOR"/>
      <sheetName val="CALCULATION"/>
      <sheetName val="약품공급2"/>
      <sheetName val="C1ㅇ"/>
      <sheetName val="실행철강하도"/>
      <sheetName val="실행내역"/>
      <sheetName val="RE9604"/>
      <sheetName val="원가계산서"/>
      <sheetName val="준검 내역서"/>
      <sheetName val="산근"/>
      <sheetName val="기계경비(시간당)"/>
      <sheetName val="단가"/>
      <sheetName val="마산월령동골조물량변경"/>
      <sheetName val="1,2공구원가계산서"/>
      <sheetName val="2공구산출내역"/>
      <sheetName val="1공구산출내역서"/>
      <sheetName val="설계조건"/>
      <sheetName val="DANGA"/>
      <sheetName val="일위대가"/>
      <sheetName val="기본단가표"/>
      <sheetName val="재료집계표"/>
      <sheetName val="교각1"/>
      <sheetName val="DB"/>
      <sheetName val="제경비"/>
      <sheetName val="내역(원안-대안)"/>
      <sheetName val="조명시설"/>
      <sheetName val="SIL98"/>
      <sheetName val="구조물공"/>
      <sheetName val="부대공"/>
      <sheetName val="배수공"/>
      <sheetName val="토공"/>
      <sheetName val="포장공"/>
      <sheetName val="토공유동표(전체.당초)"/>
      <sheetName val="품셈TABLE"/>
      <sheetName val="노임단가"/>
      <sheetName val="원가계산서구조조정"/>
      <sheetName val="건축내역"/>
      <sheetName val="내역서(전기)"/>
      <sheetName val="총공사내역서"/>
      <sheetName val="항목(1)"/>
      <sheetName val="총괄표"/>
      <sheetName val="금액내역서"/>
      <sheetName val="1.수인터널"/>
      <sheetName val="asd"/>
      <sheetName val="직재"/>
      <sheetName val="N賃率-職"/>
      <sheetName val="잡철물"/>
      <sheetName val="BH-1 (2)"/>
      <sheetName val="표  지"/>
      <sheetName val="직노"/>
      <sheetName val="ITEM"/>
      <sheetName val="관급"/>
      <sheetName val="일위목록"/>
      <sheetName val="요율"/>
      <sheetName val="공문"/>
      <sheetName val="설비2차"/>
      <sheetName val="6호기"/>
      <sheetName val="결재갑지"/>
      <sheetName val="산출근거"/>
      <sheetName val="기계경비일람"/>
      <sheetName val="5회토적"/>
      <sheetName val="당진1,2호기전선관설치및접지4차공사내역서-을지"/>
      <sheetName val="기계내역서"/>
      <sheetName val="1001"/>
      <sheetName val="공사개요"/>
      <sheetName val="매입세율"/>
      <sheetName val="적점"/>
      <sheetName val="NYS"/>
      <sheetName val="대포2교접속"/>
      <sheetName val="천방교접속"/>
      <sheetName val="하남내역"/>
      <sheetName val="앉음벽 (2)"/>
      <sheetName val="자재일람"/>
      <sheetName val="수량산출서"/>
      <sheetName val="금융비용"/>
      <sheetName val="일반공사"/>
      <sheetName val="내역(중앙)"/>
      <sheetName val="참조-(1)"/>
      <sheetName val="단위단가"/>
      <sheetName val="예산서"/>
      <sheetName val="_HIT__HMC 견적_3900_"/>
      <sheetName val="ABUT수량-A1"/>
      <sheetName val="제안서"/>
      <sheetName val="행정표준(1)"/>
      <sheetName val="행정표준(2)"/>
      <sheetName val="I.설계조건"/>
      <sheetName val="hvac(제어동)"/>
      <sheetName val="4.전기"/>
      <sheetName val="조경"/>
      <sheetName val="공사비예산서(토목분)"/>
      <sheetName val="관리비비계상"/>
      <sheetName val="직공비"/>
      <sheetName val="총괄내역서"/>
      <sheetName val="일위대가표"/>
      <sheetName val="현장지지물물량"/>
      <sheetName val="98지급계획"/>
      <sheetName val="현장설명"/>
      <sheetName val="예가내역서"/>
      <sheetName val="경비2내역"/>
      <sheetName val="자료"/>
      <sheetName val="간접(90)"/>
      <sheetName val="참조"/>
      <sheetName val="산출내역서"/>
      <sheetName val="일반부표"/>
      <sheetName val="구조물견적서"/>
      <sheetName val="예산변경원인분석"/>
      <sheetName val="7. 현장관리비 "/>
      <sheetName val="6. 안전관리비"/>
      <sheetName val="분뇨"/>
      <sheetName val="단가산출"/>
      <sheetName val="원가"/>
      <sheetName val="설계예산서"/>
      <sheetName val="ilch"/>
      <sheetName val="1.설계조건"/>
      <sheetName val="견적조건"/>
      <sheetName val="세부내역"/>
      <sheetName val="운반"/>
      <sheetName val="도급"/>
      <sheetName val="DATA"/>
      <sheetName val="데이타"/>
      <sheetName val="소포내역 (2)"/>
      <sheetName val="터파기및재료"/>
      <sheetName val="초기화면"/>
      <sheetName val="폐기물"/>
      <sheetName val="인원계획"/>
      <sheetName val="타공종이기"/>
      <sheetName val="INPUT"/>
      <sheetName val="전기내역서(총계)"/>
      <sheetName val="ancillary"/>
      <sheetName val="실행(1)"/>
      <sheetName val="접지1종"/>
      <sheetName val="오저간내역서"/>
      <sheetName val="전기"/>
      <sheetName val="토공A"/>
      <sheetName val="입력데이타"/>
      <sheetName val="이형관"/>
      <sheetName val="작성방법"/>
      <sheetName val="노원열병합  건축공사기성내역서"/>
      <sheetName val="도급-집계"/>
      <sheetName val="증감내역서"/>
      <sheetName val="금호"/>
      <sheetName val="001"/>
      <sheetName val="대전21토목내역서"/>
      <sheetName val="말뚝지지력산정"/>
      <sheetName val="간접비계산"/>
      <sheetName val="적용단가"/>
      <sheetName val="품셈"/>
      <sheetName val="신호등일위대가"/>
      <sheetName val="보증수수료산출"/>
      <sheetName val="소야공정계획표"/>
      <sheetName val="경비"/>
      <sheetName val="토목내역"/>
      <sheetName val="사급자재"/>
      <sheetName val="기계공사"/>
      <sheetName val="bearing"/>
      <sheetName val="가격조사서"/>
      <sheetName val="검암내역"/>
      <sheetName val="일위대가목록"/>
      <sheetName val="설계내역서"/>
      <sheetName val="여과지동"/>
      <sheetName val="기초자료"/>
      <sheetName val="시멘트"/>
      <sheetName val="COVER"/>
      <sheetName val="문학간접"/>
      <sheetName val="자재단가"/>
      <sheetName val="분전반"/>
      <sheetName val="공사원가계산서"/>
      <sheetName val="99월별경비계획"/>
      <sheetName val="사업전망"/>
      <sheetName val="현장업무"/>
      <sheetName val="PIPING"/>
      <sheetName val="조도계산서 (도서)"/>
      <sheetName val="대비"/>
      <sheetName val="을-ATYPE"/>
      <sheetName val="제1호단위수량"/>
      <sheetName val="설계서(7)"/>
      <sheetName val="예산서(6)"/>
      <sheetName val="3련 BOX"/>
      <sheetName val="토목주소"/>
      <sheetName val="11.산출(전열)"/>
      <sheetName val="6.산출(동력)"/>
      <sheetName val="7.산출(TRAY)"/>
      <sheetName val="Total"/>
      <sheetName val="노임단가표"/>
      <sheetName val="5.산출(전력)"/>
      <sheetName val="수량산출서(전력간선_지하1)"/>
      <sheetName val="수량산출서(전력간선_지하발전)"/>
      <sheetName val="수량산출서(전력간선_지하D.C)"/>
      <sheetName val="수량산출서(전력간선_동관)"/>
      <sheetName val="수량산출서(전력간선_서관)"/>
      <sheetName val="수량산출서(전력간선_TRAY)"/>
      <sheetName val="수량산출서(특고압케이블)"/>
      <sheetName val="수량산출서(전열)"/>
      <sheetName val="단가조사표"/>
      <sheetName val="을"/>
      <sheetName val="MSS 2"/>
      <sheetName val="전주2本1"/>
      <sheetName val="여수토토적"/>
      <sheetName val="구조물수량집계표"/>
      <sheetName val="우수관매설및 우수받이"/>
      <sheetName val="횡배위치"/>
      <sheetName val="기초일위"/>
      <sheetName val="시설일위"/>
      <sheetName val="신림자금"/>
      <sheetName val="운반비"/>
      <sheetName val="2000양배"/>
      <sheetName val="11.우각부 보강"/>
      <sheetName val="제출내역 (2)"/>
      <sheetName val="갑지"/>
      <sheetName val="추가예산"/>
      <sheetName val="단가조사-2"/>
      <sheetName val="플랜트 설치"/>
      <sheetName val="Resource2"/>
      <sheetName val="명세서"/>
      <sheetName val="일위집계(기존)"/>
      <sheetName val="단가대비표"/>
      <sheetName val="할증"/>
      <sheetName val="보고서 기기리스트"/>
      <sheetName val="배수내역"/>
      <sheetName val="현장관리비"/>
      <sheetName val="상-교대(A1-A2)"/>
      <sheetName val="부재예실1월"/>
      <sheetName val="Sheet3"/>
      <sheetName val="제품원재"/>
      <sheetName val="자재단가비교표"/>
      <sheetName val="건설성적"/>
      <sheetName val="내역(창신)"/>
      <sheetName val="13LPMCC"/>
      <sheetName val="코드표"/>
      <sheetName val="프로젝트"/>
      <sheetName val="2.1  노무비 평균단가산출"/>
      <sheetName val="A-4"/>
      <sheetName val="인부노임"/>
      <sheetName val="전체"/>
      <sheetName val="I一般比"/>
      <sheetName val="내역_ver1.0"/>
      <sheetName val="적용표"/>
      <sheetName val="재료비"/>
      <sheetName val="역T형옹벽단위수량"/>
      <sheetName val="연결임시"/>
      <sheetName val="01AC"/>
      <sheetName val="정화조내역"/>
      <sheetName val="입력"/>
      <sheetName val="예산총괄"/>
      <sheetName val="70%"/>
      <sheetName val="전기실-1"/>
      <sheetName val="백암비스타내역"/>
      <sheetName val="설계서(본관)"/>
      <sheetName val="내   역"/>
      <sheetName val="소비자가"/>
      <sheetName val="lee"/>
      <sheetName val="집계표소트"/>
      <sheetName val="중기일위대가"/>
      <sheetName val="plan&amp;section of foundation"/>
      <sheetName val="pile bearing capa &amp; arrenge"/>
      <sheetName val="working load at the btm ft."/>
      <sheetName val="stability check"/>
      <sheetName val="design criteria"/>
      <sheetName val="마산방향"/>
      <sheetName val="진주방향"/>
      <sheetName val="기초수량집"/>
      <sheetName val="type-F"/>
      <sheetName val="설계"/>
      <sheetName val="일위대가(1)"/>
      <sheetName val="Macro1"/>
      <sheetName val="봉양~조차장간고하개명(신설)"/>
      <sheetName val="측구터파기공수량집계"/>
      <sheetName val="배수공 시멘트 및 골재량 산출"/>
      <sheetName val="99-0002"/>
      <sheetName val="A 견적"/>
      <sheetName val="전기일위목록"/>
      <sheetName val="용소리교"/>
      <sheetName val="토목"/>
      <sheetName val="물량표S"/>
      <sheetName val="Macro(차단기)"/>
      <sheetName val="원가+내역"/>
      <sheetName val="JUCKEYK"/>
      <sheetName val="교량"/>
      <sheetName val="광산내역"/>
      <sheetName val="내역원본"/>
      <sheetName val="결과조달"/>
      <sheetName val="8설7발"/>
      <sheetName val="배수내역 (2)"/>
      <sheetName val="간이영수증"/>
      <sheetName val="원계약고시공및준비구분"/>
      <sheetName val="TYPE-A"/>
      <sheetName val="날개벽수량표"/>
      <sheetName val="조건표"/>
      <sheetName val="단가집"/>
      <sheetName val="일위대가(가설)"/>
      <sheetName val="EUPDAT2"/>
      <sheetName val="5호광장_(만점)"/>
      <sheetName val="인천국제_(만점)_(2)"/>
      <sheetName val="Total_단위경유량집계"/>
      <sheetName val="준검_내역서"/>
      <sheetName val="토공유동표(전체_당초)"/>
      <sheetName val="1_수인터널"/>
      <sheetName val="WORK"/>
      <sheetName val="기성내역"/>
      <sheetName val="EBSDATA"/>
      <sheetName val="산출내역서집계표"/>
      <sheetName val="소방사항"/>
      <sheetName val="목차 "/>
      <sheetName val="부대내역"/>
      <sheetName val="6PILE  (돌출)"/>
      <sheetName val=" HIT-&gt;HMC 견적(3900)"/>
      <sheetName val="200"/>
      <sheetName val="자재단가표"/>
      <sheetName val="SLAB"/>
      <sheetName val="퇴직금(울산천상)"/>
      <sheetName val="CORE#2"/>
      <sheetName val="내역(가지)"/>
      <sheetName val="전기일위대가"/>
      <sheetName val="전 기"/>
      <sheetName val="단가조건(02년)"/>
      <sheetName val="일용노임단가"/>
      <sheetName val="spc 배관견적"/>
      <sheetName val="C97상"/>
      <sheetName val="#2_일위대가목록"/>
      <sheetName val="관급자재"/>
      <sheetName val="내역표지"/>
      <sheetName val="SHEET PILE단가"/>
      <sheetName val="수정2"/>
      <sheetName val="unit 4"/>
      <sheetName val="견적서"/>
      <sheetName val="현금흐름"/>
      <sheetName val="별첨1-임식"/>
      <sheetName val="기본자료"/>
      <sheetName val="부속동"/>
      <sheetName val="APT"/>
      <sheetName val="구간별관경"/>
      <sheetName val="인사자료총집계"/>
      <sheetName val="일위"/>
      <sheetName val="장비단가표"/>
      <sheetName val="Customer Databas"/>
      <sheetName val="현장관리비참조"/>
      <sheetName val="건축공사"/>
      <sheetName val="접속도로1"/>
      <sheetName val="공사비총괄"/>
      <sheetName val="BH_1 _2_"/>
      <sheetName val="공통가설"/>
      <sheetName val="d118"/>
      <sheetName val="FM"/>
      <sheetName val="세골재  T2 변경 현황"/>
      <sheetName val="기기리스트"/>
      <sheetName val="전라자금"/>
      <sheetName val="투찰추정"/>
      <sheetName val="검토"/>
      <sheetName val="INPUT-DATA"/>
      <sheetName val="총괄-1"/>
      <sheetName val="8.현장관리비"/>
      <sheetName val="7.안전관리비"/>
      <sheetName val="EQT-ESTN"/>
      <sheetName val="전체_1설계"/>
      <sheetName val="갑지(추정)"/>
      <sheetName val="중기"/>
      <sheetName val="데리네이타현황"/>
      <sheetName val="바닥판"/>
      <sheetName val="입력DATA"/>
      <sheetName val="b_balju"/>
      <sheetName val="장비"/>
      <sheetName val="노무"/>
      <sheetName val="계수시트"/>
      <sheetName val="화재 탐지 설비"/>
      <sheetName val="1.설계기준"/>
      <sheetName val="기초코드"/>
      <sheetName val="물량표"/>
      <sheetName val="기본일위"/>
      <sheetName val="모델명"/>
      <sheetName val="원가총괄"/>
      <sheetName val="수량산출"/>
      <sheetName val="시설물일위"/>
      <sheetName val="귀래 설계 공내역서"/>
      <sheetName val="재집"/>
      <sheetName val="총"/>
      <sheetName val="오산갈곳"/>
      <sheetName val="설치"/>
      <sheetName val="편입토지조서"/>
      <sheetName val="배수통관(좌)"/>
      <sheetName val="1안"/>
      <sheetName val="BQ"/>
      <sheetName val="집계및폼"/>
      <sheetName val="04_10_11"/>
      <sheetName val="WING3"/>
      <sheetName val="파일구성"/>
      <sheetName val="동방설계서"/>
      <sheetName val="유입량"/>
      <sheetName val="1.취수장"/>
      <sheetName val="PAINT"/>
      <sheetName val="SUMMARY(S)"/>
      <sheetName val="Y-WORK"/>
      <sheetName val="내역서1"/>
      <sheetName val="전입"/>
      <sheetName val="입찰"/>
      <sheetName val="현경"/>
      <sheetName val="중기사용료산출근거"/>
      <sheetName val="단가산출1"/>
      <sheetName val="1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투입내역"/>
      <sheetName val="SG"/>
      <sheetName val="공정증감대ㅈ표"/>
      <sheetName val="시설물기초"/>
      <sheetName val="예가표"/>
      <sheetName val="주관사업"/>
      <sheetName val="원가서"/>
      <sheetName val="인건비"/>
      <sheetName val="Sheet5"/>
      <sheetName val="분전반일위대가"/>
      <sheetName val="101동"/>
      <sheetName val="노임이"/>
      <sheetName val="실행(ALT1)"/>
      <sheetName val="개인별 순위표"/>
      <sheetName val="INDEX"/>
      <sheetName val="프랜트면허"/>
      <sheetName val="냉천부속동"/>
      <sheetName val="네고율"/>
      <sheetName val="DATE"/>
      <sheetName val="BH-1_(2)"/>
      <sheetName val="표__지"/>
      <sheetName val="4_전기"/>
      <sheetName val="I_설계조건"/>
      <sheetName val="앉음벽_(2)"/>
      <sheetName val="1_설계조건"/>
      <sheetName val="조도계산서_(도서)"/>
      <sheetName val="노원열병합__건축공사기성내역서"/>
      <sheetName val="내역_ver1_0"/>
      <sheetName val="11_우각부_보강"/>
      <sheetName val="제출내역_(2)"/>
      <sheetName val="우수관매설및_우수받이"/>
      <sheetName val="11_산출(전열)"/>
      <sheetName val="6_산출(동력)"/>
      <sheetName val="7_산출(TRAY)"/>
      <sheetName val="plan&amp;section_of_foundation"/>
      <sheetName val="pile_bearing_capa_&amp;_arrenge"/>
      <sheetName val="working_load_at_the_btm_ft_"/>
      <sheetName val="stability_check"/>
      <sheetName val="design_criteria"/>
      <sheetName val="7__현장관리비_"/>
      <sheetName val="6__안전관리비"/>
      <sheetName val="_HIT__HMC_견적_3900_"/>
      <sheetName val="소포내역_(2)"/>
      <sheetName val="3련_BOX"/>
      <sheetName val="기별(종합)"/>
      <sheetName val="환율change"/>
      <sheetName val="당초"/>
      <sheetName val="단가표"/>
      <sheetName val="시화점실행"/>
      <sheetName val="손익차9월2"/>
      <sheetName val="득점현황"/>
      <sheetName val="협력업체"/>
      <sheetName val="코드1"/>
      <sheetName val="코드2"/>
      <sheetName val="도담구내 개소별 명세"/>
      <sheetName val="공기압축기실"/>
      <sheetName val="POL6차-PIPING"/>
      <sheetName val="정산내역"/>
      <sheetName val="품목납기"/>
      <sheetName val="손익분석"/>
      <sheetName val="대림경상68억"/>
      <sheetName val="지불내역(자재외)"/>
      <sheetName val="일위대가목차"/>
      <sheetName val="3.1공사현황 공정표"/>
      <sheetName val="조경수목"/>
      <sheetName val="퇴직공제부금"/>
      <sheetName val="평균노임"/>
      <sheetName val="ELEC"/>
      <sheetName val="덕전리"/>
      <sheetName val="공사비산출내역"/>
      <sheetName val="부서코드표"/>
      <sheetName val="전동기"/>
      <sheetName val="일위대가(집계)"/>
      <sheetName val="TCDB"/>
      <sheetName val="직접비"/>
      <sheetName val="Sheet2"/>
      <sheetName val="정리계획CF평가"/>
      <sheetName val="설 계"/>
      <sheetName val="원도급"/>
      <sheetName val="하도급"/>
      <sheetName val="증감분석"/>
      <sheetName val="한전일위"/>
      <sheetName val="중기비"/>
      <sheetName val="신천3호용수로"/>
      <sheetName val="Cash Flow-1"/>
      <sheetName val="단가(적용)"/>
      <sheetName val="PAY"/>
      <sheetName val="정렬"/>
      <sheetName val="안정계산"/>
      <sheetName val="단면검토"/>
      <sheetName val="2000년하반기"/>
      <sheetName val="노임 단가"/>
      <sheetName val="1유리"/>
      <sheetName val="공통단가"/>
      <sheetName val="수량산출서집계(1-4차)"/>
      <sheetName val="수지예산"/>
      <sheetName val="저장소"/>
      <sheetName val="내역집계"/>
      <sheetName val="재료"/>
      <sheetName val="직접경비호표"/>
      <sheetName val="TOT"/>
      <sheetName val="BJJIN"/>
      <sheetName val="건축"/>
      <sheetName val="단중표"/>
      <sheetName val="7"/>
      <sheetName val="投标材料清单 "/>
      <sheetName val="결재란"/>
      <sheetName val="대공종"/>
      <sheetName val="집 계 표"/>
      <sheetName val="유림골조"/>
      <sheetName val="전기공사"/>
      <sheetName val="청천내"/>
      <sheetName val="재료값"/>
      <sheetName val="합계"/>
      <sheetName val="내역서 "/>
      <sheetName val="실행"/>
      <sheetName val="재개발"/>
      <sheetName val="분석"/>
      <sheetName val="시운전연료비"/>
      <sheetName val="골조시행"/>
      <sheetName val="시운전연료"/>
      <sheetName val="입찰보고"/>
      <sheetName val="몰탈"/>
      <sheetName val="98수문일위"/>
      <sheetName val="소화실적"/>
      <sheetName val="10공구일위"/>
      <sheetName val="인천제철"/>
      <sheetName val="6공구(당초)"/>
      <sheetName val="1월"/>
      <sheetName val="중사"/>
      <sheetName val="자재co"/>
      <sheetName val="별표 "/>
      <sheetName val="1,2,3,4,5단위수량"/>
      <sheetName val="계산표지"/>
      <sheetName val="노임변동률"/>
      <sheetName val="1공구(입찰내역)"/>
      <sheetName val="연습"/>
      <sheetName val="장비단가"/>
      <sheetName val="재료비단가"/>
      <sheetName val="자료입력"/>
      <sheetName val="적용단위길이"/>
      <sheetName val="전기혼잡제경비(45)"/>
      <sheetName val="공사비집계"/>
      <sheetName val="가설건물"/>
      <sheetName val="MSS_2"/>
      <sheetName val="공사비총괄표"/>
      <sheetName val="일위대가표48"/>
      <sheetName val="토공계산서(부체도로)"/>
      <sheetName val="원형1호맨홀토공수량"/>
      <sheetName val="하중계산"/>
      <sheetName val="중기사용료"/>
      <sheetName val="미드수량"/>
      <sheetName val="(1)본선수량집계"/>
      <sheetName val="Macro(전선)"/>
      <sheetName val="개산공사비"/>
      <sheetName val="집계장(대목_실행)"/>
      <sheetName val="단가산출서"/>
      <sheetName val="단가적용"/>
      <sheetName val="수량집계"/>
      <sheetName val="코드"/>
      <sheetName val="철거산출근거"/>
      <sheetName val="지구단위계획"/>
      <sheetName val="CC16-내역서"/>
      <sheetName val="남양내역"/>
      <sheetName val="MAIN_TABLE"/>
      <sheetName val="노임단가 (2)"/>
      <sheetName val="MILL"/>
      <sheetName val="AS복구"/>
      <sheetName val="중기터파기"/>
      <sheetName val="변수값"/>
      <sheetName val="중기상차"/>
      <sheetName val="평3"/>
      <sheetName val="옥내소화전계산서"/>
      <sheetName val="관리,공감"/>
      <sheetName val="3.공통공사대비"/>
      <sheetName val="Sheet6"/>
      <sheetName val="인력터파기"/>
      <sheetName val="자금청구"/>
      <sheetName val="관공일위대가"/>
      <sheetName val="관자재"/>
      <sheetName val="단가 및 재료비"/>
      <sheetName val="관접합및자재집계표"/>
      <sheetName val="부대공(BOQ)"/>
      <sheetName val="자동제어"/>
      <sheetName val="코드일람표2001년10월"/>
      <sheetName val="공량산출서"/>
      <sheetName val="9GNG운반"/>
      <sheetName val="단면가정"/>
      <sheetName val="대치판정"/>
      <sheetName val="교각계산"/>
      <sheetName val="현장별"/>
      <sheetName val="사유서제출현황-2"/>
      <sheetName val="sub"/>
      <sheetName val="검색방"/>
      <sheetName val="CODE"/>
      <sheetName val="제노임"/>
      <sheetName val="업체자료"/>
      <sheetName val="입찰견적보고서"/>
      <sheetName val="제품목록"/>
      <sheetName val="암거"/>
      <sheetName val="현금예금"/>
      <sheetName val="내역서비교"/>
      <sheetName val="준공정산"/>
      <sheetName val="건축내역서"/>
      <sheetName val="단가조사서"/>
      <sheetName val="상수도토공집계표"/>
      <sheetName val="목차"/>
      <sheetName val="INSTR"/>
      <sheetName val="#3_일위대가목록"/>
      <sheetName val="시중노임단가"/>
      <sheetName val="7.공정표"/>
      <sheetName val="단면 (2)"/>
      <sheetName val="간접비(1)"/>
      <sheetName val="DHEQSUPT"/>
      <sheetName val="토사(PE)"/>
      <sheetName val="장비비 명세서1"/>
      <sheetName val="Sheet4"/>
      <sheetName val="표준건축비"/>
      <sheetName val="구의33고"/>
      <sheetName val="유림총괄"/>
      <sheetName val="-배수구조총재료"/>
      <sheetName val="심사물량"/>
      <sheetName val="비주거용"/>
      <sheetName val="인원"/>
      <sheetName val="RETAIL (ABOVE)"/>
      <sheetName val="5. 현장관리비(new) "/>
      <sheetName val="원본"/>
      <sheetName val="HVAC"/>
      <sheetName val="CODE1"/>
      <sheetName val="장비 (2)"/>
      <sheetName val="VE절감"/>
      <sheetName val="청주(철골발주의뢰서)"/>
      <sheetName val="분전함신설"/>
      <sheetName val="차수"/>
      <sheetName val="식재인부"/>
      <sheetName val="횡배수관토공수량"/>
      <sheetName val="세부추진"/>
      <sheetName val="상용보강"/>
      <sheetName val="단가(반정1교-원주)"/>
      <sheetName val="효율표"/>
      <sheetName val="SHEET"/>
      <sheetName val="2000노임기준"/>
      <sheetName val="확정분요약"/>
      <sheetName val="확정분세부"/>
      <sheetName val="제잡비"/>
      <sheetName val="개요"/>
      <sheetName val="울산자금"/>
      <sheetName val="제수변 수량집계표(보통)"/>
      <sheetName val="현관"/>
      <sheetName val="투찰가"/>
      <sheetName val="동해title"/>
      <sheetName val="실행(표지,갑,을)"/>
      <sheetName val="인부신상자료"/>
      <sheetName val="단   산"/>
      <sheetName val="실    단"/>
      <sheetName val="기본단가"/>
      <sheetName val="1단계"/>
      <sheetName val="일위대_x0000__x0000_Ԁ_x0000_䀀"/>
      <sheetName val="정산을지"/>
      <sheetName val="6. 수량산출서"/>
      <sheetName val="점수계산1-2"/>
      <sheetName val="2.대외공문"/>
      <sheetName val="건축2"/>
      <sheetName val="본사인상전"/>
      <sheetName val="B"/>
      <sheetName val="일위대㐀븁_x0000__x0000_退"/>
      <sheetName val="조작대(1연)"/>
      <sheetName val="일위(시설)"/>
      <sheetName val="노무비 근거"/>
      <sheetName val="96수출"/>
      <sheetName val="내역서을지"/>
      <sheetName val="wall"/>
      <sheetName val="위치조서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비교1"/>
      <sheetName val="신고조서"/>
      <sheetName val="EJ"/>
      <sheetName val="일정"/>
      <sheetName val="일위단가"/>
      <sheetName val="SHL"/>
      <sheetName val="적용환율"/>
      <sheetName val="김해토지조서"/>
      <sheetName val="공정코드"/>
      <sheetName val="통신물량"/>
      <sheetName val="기본"/>
      <sheetName val="Eq. Mobilization"/>
      <sheetName val="가시설단위수량"/>
      <sheetName val="월별수입"/>
      <sheetName val="건축기술부대조건"/>
      <sheetName val="입력정보"/>
      <sheetName val="일위총괄"/>
      <sheetName val="이월"/>
      <sheetName val="위치"/>
      <sheetName val="단가비교"/>
      <sheetName val="5호광장_(만점)1"/>
      <sheetName val="인천국제_(만점)_(2)1"/>
      <sheetName val="Total_단위경유량집계1"/>
      <sheetName val="준검_내역서1"/>
      <sheetName val="토공유동표(전체_당초)1"/>
      <sheetName val="BH-1_(2)1"/>
      <sheetName val="1_수인터널1"/>
      <sheetName val="4_전기1"/>
      <sheetName val="표__지1"/>
      <sheetName val="앉음벽_(2)1"/>
      <sheetName val="1_설계조건1"/>
      <sheetName val="조도계산서_(도서)1"/>
      <sheetName val="노원열병합__건축공사기성내역서1"/>
      <sheetName val="I_설계조건1"/>
      <sheetName val="MSS_21"/>
      <sheetName val="2_1__노무비_평균단가산출"/>
      <sheetName val="우수관매설및_우수받이1"/>
      <sheetName val="제출내역_(2)1"/>
      <sheetName val="내역_ver1_01"/>
      <sheetName val="plan&amp;section_of_foundation1"/>
      <sheetName val="pile_bearing_capa_&amp;_arrenge1"/>
      <sheetName val="working_load_at_the_btm_ft_1"/>
      <sheetName val="stability_check1"/>
      <sheetName val="design_criteria1"/>
      <sheetName val="11_우각부_보강1"/>
      <sheetName val="보고서_기기리스트"/>
      <sheetName val="3련_BOX1"/>
      <sheetName val="소포내역_(2)1"/>
      <sheetName val="11_산출(전열)1"/>
      <sheetName val="6_산출(동력)1"/>
      <sheetName val="7_산출(TRAY)1"/>
      <sheetName val="7__현장관리비_1"/>
      <sheetName val="6__안전관리비1"/>
      <sheetName val="배수내역_(2)"/>
      <sheetName val="배수공_시멘트_및_골재량_산출"/>
      <sheetName val="_HIT-&gt;HMC_견적(3900)"/>
      <sheetName val="_HIT__HMC_견적_3900_1"/>
      <sheetName val="A_견적"/>
      <sheetName val="내___역"/>
      <sheetName val="플랜트_설치"/>
      <sheetName val="5_산출(전력)"/>
      <sheetName val="전_기"/>
      <sheetName val="수량산출서(전력간선_지하D_C)"/>
      <sheetName val="SHEET_PILE단가"/>
      <sheetName val="1_설계기준"/>
      <sheetName val="목차_"/>
      <sheetName val="Customer_Databas"/>
      <sheetName val="집_계_표"/>
      <sheetName val="6PILE__(돌출)"/>
      <sheetName val="spc_배관견적"/>
      <sheetName val="1_취수장"/>
      <sheetName val="unit_4"/>
      <sheetName val="화재_탐지_설비"/>
      <sheetName val="2차전체변경예정_(2)"/>
      <sheetName val="Cash_Flow-1"/>
      <sheetName val="3_1공사현황_공정표"/>
      <sheetName val="세골재__T2_변경_현황"/>
      <sheetName val="BH_1__2_"/>
      <sheetName val="귀래_설계_공내역서"/>
      <sheetName val="설_계"/>
      <sheetName val="노임_단가"/>
      <sheetName val="8_현장관리비"/>
      <sheetName val="7_안전관리비"/>
      <sheetName val="별표_"/>
      <sheetName val="개인별_순위표"/>
      <sheetName val="Eq__Mobilization"/>
      <sheetName val="내역서_"/>
      <sheetName val="도담구내_개소별_명세"/>
      <sheetName val="投标材料清单_"/>
      <sheetName val="3_공통공사대비"/>
      <sheetName val="단가_및_재료비"/>
      <sheetName val="장비비_명세서1"/>
      <sheetName val="7_공정표"/>
      <sheetName val="단면_(2)"/>
      <sheetName val="5__현장관리비(new)_"/>
      <sheetName val="2_대외공문"/>
      <sheetName val="노임단가_(2)"/>
      <sheetName val="RETAIL_(ABOVE)"/>
      <sheetName val="A1"/>
      <sheetName val="단가조사"/>
      <sheetName val="재료비노무비"/>
      <sheetName val="2련간지"/>
      <sheetName val="범례표"/>
      <sheetName val="실지수기호표"/>
      <sheetName val="Baby일위대가"/>
      <sheetName val="주beam"/>
      <sheetName val="일위_파일"/>
      <sheetName val="이토변실(A3-LINE)"/>
      <sheetName val="guard(mac)"/>
      <sheetName val="COST"/>
      <sheetName val="공통(20-91)"/>
      <sheetName val="가설식당"/>
      <sheetName val="학생내역"/>
      <sheetName val=" 갑지"/>
      <sheetName val="기계실냉난방"/>
      <sheetName val="옥외외등집계표"/>
      <sheetName val="금리계산"/>
      <sheetName val="대운반(철재)"/>
      <sheetName val="산출"/>
      <sheetName val="소방"/>
      <sheetName val="예산코드"/>
      <sheetName val="원가입력"/>
      <sheetName val="기준"/>
      <sheetName val="철근량"/>
      <sheetName val="실행대비"/>
      <sheetName val="용수간선"/>
      <sheetName val=""/>
      <sheetName val="공사수행방안"/>
      <sheetName val="현장경비"/>
      <sheetName val="N賃率_職"/>
      <sheetName val="양식_자재단가조사표"/>
      <sheetName val="3BL공동구 수량"/>
      <sheetName val="전선 및 전선관"/>
      <sheetName val="공조기"/>
      <sheetName val="CM 1"/>
      <sheetName val="5.동별횡주관경"/>
      <sheetName val="도실건시"/>
      <sheetName val="제경비산출서"/>
      <sheetName val="전산망"/>
      <sheetName val="콘크리트타설집계표"/>
      <sheetName val="골조"/>
      <sheetName val="일위산출근거"/>
      <sheetName val="자동세륜기"/>
      <sheetName val="입력데이타(비인쇄용)"/>
      <sheetName val="기안"/>
      <sheetName val="Sheet17"/>
      <sheetName val="LF자재단가"/>
      <sheetName val="APT내역"/>
      <sheetName val="부대시설"/>
      <sheetName val="Sheet1 (2)"/>
      <sheetName val="기성(1차) "/>
      <sheetName val="NOMUBI"/>
      <sheetName val="sw1"/>
      <sheetName val="형상"/>
      <sheetName val="도급FORM"/>
      <sheetName val="간접"/>
      <sheetName val="기계실"/>
      <sheetName val="Macro3"/>
      <sheetName val="참조 (2)"/>
      <sheetName val="공종별(공용부위)"/>
      <sheetName val="공사실행(공용부위)"/>
      <sheetName val="공종분리"/>
      <sheetName val="실행예산보고서"/>
      <sheetName val="실행예산보고서-제출용"/>
      <sheetName val="가설"/>
      <sheetName val="설비"/>
      <sheetName val="에어컨"/>
      <sheetName val="공조설비"/>
      <sheetName val="경량"/>
      <sheetName val="금속"/>
      <sheetName val="도장"/>
      <sheetName val="대관업무"/>
      <sheetName val="대리석"/>
      <sheetName val="롤스크린"/>
      <sheetName val="목공"/>
      <sheetName val="방수"/>
      <sheetName val="베이스판넬"/>
      <sheetName val="습식및 셀프레벨링"/>
      <sheetName val="유리"/>
      <sheetName val="자동문"/>
      <sheetName val="준공청소"/>
      <sheetName val="직영노무비"/>
      <sheetName val="철거"/>
      <sheetName val="카펫트"/>
      <sheetName val="타일"/>
      <sheetName val="폐자재"/>
      <sheetName val="플로링"/>
      <sheetName val="하드웨어"/>
      <sheetName val="p-타일"/>
      <sheetName val="건축공사원가계산서"/>
      <sheetName val="건축집계표"/>
      <sheetName val="인테리어내역서"/>
      <sheetName val="1-1"/>
      <sheetName val="1차 내역서"/>
      <sheetName val="Space"/>
      <sheetName val="Final"/>
      <sheetName val="설계명세서"/>
      <sheetName val="구조물"/>
      <sheetName val="대전(세창동)"/>
      <sheetName val="정보"/>
      <sheetName val="설계명세서(선로)"/>
      <sheetName val="BSD (2)"/>
      <sheetName val="바.한일양산"/>
      <sheetName val="판테온실행내역"/>
      <sheetName val="회사정보"/>
      <sheetName val="해외(원화)"/>
      <sheetName val="hvac내역서(제어동)"/>
      <sheetName val="Project Brief"/>
      <sheetName val="UNIT"/>
      <sheetName val="Breakdown"/>
      <sheetName val="UnitRate"/>
      <sheetName val="영업.일1"/>
      <sheetName val="일위대가(건축)"/>
      <sheetName val="습식및_셀프레벨링"/>
      <sheetName val="1차_내역서"/>
      <sheetName val="카쎫트"/>
      <sheetName val="COPING"/>
      <sheetName val="간선계산"/>
      <sheetName val="#REF!"/>
      <sheetName val="기기 내역서"/>
      <sheetName val="환산"/>
      <sheetName val="일산실행내역"/>
      <sheetName val="J直材4"/>
      <sheetName val="연부97-1"/>
      <sheetName val="갑지1"/>
      <sheetName val="EACT10"/>
      <sheetName val="실행간접비용"/>
      <sheetName val="부대tu"/>
      <sheetName val="시추주상도"/>
      <sheetName val="CLAUSE"/>
      <sheetName val="BOJUNGGM"/>
      <sheetName val="세금자료"/>
      <sheetName val="말고개터널조명전압강하"/>
      <sheetName val="유치원내역"/>
      <sheetName val="제품정보"/>
      <sheetName val="상품수불(합산)"/>
      <sheetName val="에어샵공사"/>
      <sheetName val="Sheet16"/>
      <sheetName val="견내"/>
      <sheetName val="esc"/>
      <sheetName val="암거 제원표"/>
      <sheetName val="수문일1"/>
      <sheetName val="수량명세서"/>
      <sheetName val="단위수량"/>
      <sheetName val="일위대가1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 소방공사 산출근거"/>
      <sheetName val="49일위"/>
      <sheetName val="22일위"/>
      <sheetName val="동물이동통로"/>
      <sheetName val="내역서1999.8최종"/>
      <sheetName val="전사 (2)"/>
      <sheetName val="BA (2)"/>
      <sheetName val="CP (2)"/>
      <sheetName val="시산표"/>
      <sheetName val="일위CODE"/>
      <sheetName val="1회"/>
      <sheetName val="구성비"/>
      <sheetName val="95MAKER"/>
      <sheetName val="산식3"/>
      <sheetName val="맨홀토공"/>
      <sheetName val="맨홀수량산출"/>
      <sheetName val="본사공가현황"/>
      <sheetName val="도수로현황"/>
      <sheetName val="부총"/>
      <sheetName val="장비집계"/>
      <sheetName val="수량산출서 (2)"/>
      <sheetName val="노무비"/>
      <sheetName val="목록"/>
      <sheetName val="투찰"/>
      <sheetName val="토공 total"/>
      <sheetName val="공기압舓⿫_x0005_"/>
      <sheetName val="공기압妐&quot;姜"/>
      <sheetName val="토공(1)"/>
      <sheetName val="준공조서갑지"/>
      <sheetName val="일위대가(계측기설치)"/>
      <sheetName val="I_설계조_x0000_"/>
      <sheetName val="집계표(육상)"/>
      <sheetName val="목록표"/>
      <sheetName val="울산자동제어"/>
      <sheetName val="환경평가"/>
      <sheetName val="계정"/>
      <sheetName val="재정비내역"/>
      <sheetName val="지적고시내역"/>
      <sheetName val="조도계산서_(도서_x0000_"/>
      <sheetName val="수배전(갑)"/>
      <sheetName val="포장(수량)-관로부"/>
      <sheetName val="기성갑지"/>
      <sheetName val="인건-측정"/>
      <sheetName val="실행내역서(DCU)"/>
      <sheetName val="전기단가조사서"/>
      <sheetName val="조직"/>
      <sheetName val="MIJIBI"/>
      <sheetName val="0Title"/>
      <sheetName val="할빙수"/>
      <sheetName val="일위대가 "/>
      <sheetName val="1ST"/>
      <sheetName val="4 LINE"/>
      <sheetName val="7 th"/>
      <sheetName val="CTEMCOST"/>
      <sheetName val="ELECTRIC"/>
      <sheetName val="SCHEDULE"/>
      <sheetName val="전철"/>
      <sheetName val="안정검토"/>
      <sheetName val="보고서_기기리스트1"/>
      <sheetName val="콘_재료분리(1)"/>
      <sheetName val="1.CB"/>
      <sheetName val="변수"/>
      <sheetName val="apt수량"/>
      <sheetName val="현금"/>
      <sheetName val="첨부1"/>
      <sheetName val="5사남"/>
      <sheetName val="정산서"/>
      <sheetName val="자재"/>
      <sheetName val="산근1"/>
      <sheetName val="월별손익"/>
      <sheetName val="PI"/>
      <sheetName val="건축공사실행"/>
      <sheetName val="건축원가"/>
      <sheetName val="내역서2안"/>
      <sheetName val="물량내역서"/>
      <sheetName val="수목표준대가"/>
      <sheetName val="기초목"/>
      <sheetName val="database"/>
      <sheetName val="일위대가집계"/>
      <sheetName val="재적표"/>
      <sheetName val="CON'C"/>
      <sheetName val="간접비"/>
      <sheetName val="설계서"/>
      <sheetName val="20관리비율"/>
      <sheetName val="단위중량"/>
      <sheetName val="실적공사비"/>
      <sheetName val="04변경-상하"/>
      <sheetName val="NNV"/>
      <sheetName val="변경명신물량 (2)"/>
      <sheetName val="관경별내역서"/>
      <sheetName val="감가상각비대체내역"/>
      <sheetName val="수우미양가(Vlookup)"/>
      <sheetName val="자재집계"/>
      <sheetName val="GDP"/>
      <sheetName val="마스터원본"/>
      <sheetName val="MSS"/>
      <sheetName val="정화조"/>
      <sheetName val="접속도수량집계표"/>
      <sheetName val="난간벽단위"/>
      <sheetName val="토목내역서"/>
      <sheetName val="조립1부실적"/>
      <sheetName val="LIST"/>
      <sheetName val="J"/>
      <sheetName val="수량산출서집계"/>
      <sheetName val="맨홀수량"/>
      <sheetName val="내역서(100%)"/>
      <sheetName val="식음료"/>
      <sheetName val="지급자재"/>
      <sheetName val="REDUCER"/>
      <sheetName val="WE'T"/>
      <sheetName val="新철폐복2"/>
      <sheetName val="新철폐복3"/>
      <sheetName val="新철폐복"/>
      <sheetName val="예산조서(전송)"/>
      <sheetName val="상반기손익차2총괄"/>
      <sheetName val="한일양산"/>
      <sheetName val="2-2.매출분석"/>
      <sheetName val="날개수집"/>
      <sheetName val="견적시담(송포2공구)"/>
      <sheetName val="견적의뢰서"/>
      <sheetName val="자재단가리스트"/>
      <sheetName val="간지"/>
      <sheetName val="토공 토적표"/>
      <sheetName val="하수급견적대비"/>
      <sheetName val="골재산출"/>
      <sheetName val="변경내역"/>
      <sheetName val="현황산출서"/>
      <sheetName val="아파트 "/>
      <sheetName val="95년12월말"/>
      <sheetName val="일위대가목록표"/>
      <sheetName val="전압강하자료"/>
      <sheetName val="포장수량집계"/>
      <sheetName val="건축집계"/>
      <sheetName val="송전기본"/>
      <sheetName val="물류최종8월7"/>
      <sheetName val="부대대비"/>
      <sheetName val="냉연집계"/>
      <sheetName val="15100"/>
      <sheetName val="현장조사"/>
      <sheetName val="각종양식"/>
      <sheetName val="&lt;--"/>
      <sheetName val="갑지.을지"/>
      <sheetName val="기타"/>
      <sheetName val="K1자재(3차등)"/>
      <sheetName val="제수변수량"/>
      <sheetName val="교대(A1)"/>
      <sheetName val="간접경상비"/>
      <sheetName val="기존단가 (2)"/>
      <sheetName val="대_x0000__x0000_"/>
      <sheetName val="실_인건비(5월부터)"/>
      <sheetName val="현장별정리"/>
      <sheetName val="F4-F7"/>
      <sheetName val="FAB별"/>
      <sheetName val="2"/>
      <sheetName val="도담구내 개소별 명柖"/>
      <sheetName val="ACMV"/>
      <sheetName val="P&amp;S"/>
      <sheetName val="danh muc vat tu"/>
      <sheetName val="Register-BG NCC"/>
      <sheetName val="Data 2"/>
      <sheetName val="TB chính"/>
      <sheetName val="AHU-PAU-FCU"/>
      <sheetName val="FANS"/>
      <sheetName val="Steel pipe"/>
      <sheetName val="Ref pipe+Ins"/>
      <sheetName val="Plastic pipe"/>
      <sheetName val="Duct"/>
      <sheetName val="Air Grilles"/>
      <sheetName val="Valves"/>
      <sheetName val="주식"/>
      <sheetName val="Cost bd-&quot;A&quot;"/>
      <sheetName val="주bea_xdcf0_"/>
      <sheetName val="일일입력"/>
      <sheetName val="품목등록"/>
      <sheetName val="표지 (2)"/>
      <sheetName val="집계"/>
      <sheetName val="을부담운반비"/>
      <sheetName val="Scenario"/>
      <sheetName val="유효폭의 계산"/>
      <sheetName val="다곡2교"/>
      <sheetName val="화설내"/>
      <sheetName val="수정계획3"/>
      <sheetName val="건축원가계산서"/>
      <sheetName val="가시설(TYPE-A)"/>
      <sheetName val="1-1평균터파기고(1)"/>
      <sheetName val="경비_원본"/>
      <sheetName val="미납품 현황"/>
      <sheetName val=" 견적서"/>
      <sheetName val="임차비용"/>
      <sheetName val="조경수량"/>
      <sheetName val="만년달력"/>
      <sheetName val="세목별"/>
      <sheetName val="설-원가"/>
      <sheetName val="(당평)자재"/>
      <sheetName val="부하LOAD"/>
      <sheetName val="설계내역(2001)"/>
      <sheetName val="H-pile(298x299)"/>
      <sheetName val="H-pile(250x250)"/>
      <sheetName val="전도품의"/>
      <sheetName val="기준액"/>
      <sheetName val="담보"/>
      <sheetName val="I_설계조多"/>
      <sheetName val="선정요령"/>
      <sheetName val="덤프트럭계수"/>
      <sheetName val="내역1"/>
      <sheetName val="데이터유효성검사자료"/>
      <sheetName val="인적사항(누적)"/>
      <sheetName val="제1영업소"/>
      <sheetName val="제2영업소"/>
      <sheetName val="제3영업소"/>
      <sheetName val="관급현황"/>
      <sheetName val="기술조건"/>
      <sheetName val="1.내역(청.하역장전등)"/>
      <sheetName val="기계"/>
      <sheetName val="자재테이블"/>
      <sheetName val="자갈,시멘트,모래산출"/>
      <sheetName val="직접뀀鞖/_x0000_"/>
      <sheetName val="보할"/>
      <sheetName val="배수관연장조서"/>
      <sheetName val="미장"/>
      <sheetName val="철골"/>
      <sheetName val="2분기"/>
      <sheetName val="예산실적전체당월"/>
      <sheetName val="기타#9"/>
      <sheetName val="DTCT"/>
      <sheetName val="5호광장_(만점)2"/>
      <sheetName val="인천국제_(만점)_(2)2"/>
      <sheetName val="Total_단위경유량집계2"/>
      <sheetName val="토공유동표(전체_당초)2"/>
      <sheetName val="준검_내역서2"/>
      <sheetName val="1_수인터널2"/>
      <sheetName val="BH-1_(2)2"/>
      <sheetName val="표__지2"/>
      <sheetName val="投标材料清单_1"/>
      <sheetName val="앉음벽_(2)2"/>
      <sheetName val="4_전기2"/>
      <sheetName val="_HIT__HMC_견적_3900_2"/>
      <sheetName val="I_설계조건2"/>
      <sheetName val="7__현장관리비_2"/>
      <sheetName val="6__안전관리비2"/>
      <sheetName val="노원열병합__건축공사기성내역서2"/>
      <sheetName val="1_설계조건2"/>
      <sheetName val="조도계산서_(도서)2"/>
      <sheetName val="소포내역_(2)2"/>
      <sheetName val="MSS_22"/>
      <sheetName val="11_산출(전열)2"/>
      <sheetName val="6_산출(동력)2"/>
      <sheetName val="7_산출(TRAY)2"/>
      <sheetName val="5_산출(전력)1"/>
      <sheetName val="수량산출서(전력간선_지하D_C)1"/>
      <sheetName val="우수관매설및_우수받이2"/>
      <sheetName val="11_우각부_보강2"/>
      <sheetName val="제출내역_(2)2"/>
      <sheetName val="내___역1"/>
      <sheetName val="내역_ver1_02"/>
      <sheetName val="플랜트_설치1"/>
      <sheetName val="plan&amp;section_of_foundation2"/>
      <sheetName val="pile_bearing_capa_&amp;_arrenge2"/>
      <sheetName val="working_load_at_the_btm_ft_2"/>
      <sheetName val="stability_check2"/>
      <sheetName val="design_criteria2"/>
      <sheetName val="2_1__노무비_평균단가산출1"/>
      <sheetName val="3련_BOX2"/>
      <sheetName val="배수내역_(2)1"/>
      <sheetName val="배수공_시멘트_및_골재량_산출1"/>
      <sheetName val="A_견적1"/>
      <sheetName val="unit_41"/>
      <sheetName val="_HIT-&gt;HMC_견적(3900)1"/>
      <sheetName val="Customer_Databas1"/>
      <sheetName val="spc_배관견적1"/>
      <sheetName val="전_기1"/>
      <sheetName val="SHEET_PILE단가1"/>
      <sheetName val="목차_1"/>
      <sheetName val="화재_탐지_설비1"/>
      <sheetName val="6PILE__(돌출)1"/>
      <sheetName val="세골재__T2_변경_현황1"/>
      <sheetName val="BH_1__2_1"/>
      <sheetName val="개인별_순위표1"/>
      <sheetName val="1_취수장1"/>
      <sheetName val="Cash_Flow-11"/>
      <sheetName val="3_1공사현황_공정표1"/>
      <sheetName val="2차전체변경예정_(2)1"/>
      <sheetName val="노임_단가1"/>
      <sheetName val="내역서_1"/>
      <sheetName val="8_현장관리비1"/>
      <sheetName val="7_안전관리비1"/>
      <sheetName val="귀래_설계_공내역서1"/>
      <sheetName val="설_계1"/>
      <sheetName val="1_설계기준1"/>
      <sheetName val="집_계_표1"/>
      <sheetName val="별표_1"/>
      <sheetName val="도담구내_개소별_명세1"/>
      <sheetName val="노임단가_(2)1"/>
      <sheetName val="3_공통공사대비1"/>
      <sheetName val="단가_및_재료비1"/>
      <sheetName val="RETAIL_(ABOVE)1"/>
      <sheetName val="장비비_명세서11"/>
      <sheetName val="단___산"/>
      <sheetName val="실____단"/>
      <sheetName val="전선_및_전선관"/>
      <sheetName val="7_공정표1"/>
      <sheetName val="단면_(2)1"/>
      <sheetName val="5__현장관리비(new)_1"/>
      <sheetName val="내역서1999_8최종"/>
      <sheetName val="2_대외공문1"/>
      <sheetName val="Eq__Mobilization1"/>
      <sheetName val="노무비_근거"/>
      <sheetName val="제수변_수량집계표(보통)"/>
      <sheetName val="Sheet1_(2)"/>
      <sheetName val="장비_(2)"/>
      <sheetName val="3BL공동구_수량"/>
      <sheetName val="5_동별횡주관경"/>
      <sheetName val="암거_제원표"/>
      <sheetName val="도담구내_개소별_명柖"/>
      <sheetName val="CM_1"/>
      <sheetName val="_갑지"/>
      <sheetName val="6__수량산출서"/>
      <sheetName val="참조_(2)"/>
      <sheetName val="일위대가_"/>
      <sheetName val="4_LINE"/>
      <sheetName val="7_th"/>
      <sheetName val="danh_muc_vat_tu"/>
      <sheetName val="Register-BG_NCC"/>
      <sheetName val="Data_2"/>
      <sheetName val="TB_chính"/>
      <sheetName val="Steel_pipe"/>
      <sheetName val="Ref_pipe+Ins"/>
      <sheetName val="Plastic_pipe"/>
      <sheetName val="Air_Grilles"/>
      <sheetName val="Cost_bd-&quot;A&quot;"/>
      <sheetName val="시추조사비"/>
      <sheetName val="S0"/>
      <sheetName val="STEEL BOX 단면설계(SEC.8)"/>
      <sheetName val="수완하도"/>
      <sheetName val="김포내역"/>
      <sheetName val="우석문틀"/>
      <sheetName val="일위1"/>
      <sheetName val="자격 땡겨오기"/>
      <sheetName val="125x125"/>
      <sheetName val="4. VOs summary"/>
      <sheetName val="SEX"/>
      <sheetName val="Quantity"/>
      <sheetName val="TOSHIBA-Structure"/>
      <sheetName val="Chiet tinh dz35"/>
      <sheetName val="RATE"/>
      <sheetName val="설명서 "/>
      <sheetName val="FACTOR"/>
      <sheetName val="10"/>
      <sheetName val="11"/>
      <sheetName val="12"/>
      <sheetName val="13"/>
      <sheetName val="14"/>
      <sheetName val="15"/>
      <sheetName val="16"/>
      <sheetName val="3"/>
      <sheetName val="4"/>
      <sheetName val="5"/>
      <sheetName val="6"/>
      <sheetName val="8"/>
      <sheetName val="9"/>
      <sheetName val="사업부구분코드"/>
      <sheetName val="급,배기팬"/>
      <sheetName val="단양 00 아파트-세부내역"/>
      <sheetName val="제조노임"/>
      <sheetName val="매입"/>
      <sheetName val="4.2.1 마루높이 검토"/>
      <sheetName val="매출그래프"/>
      <sheetName val="영업소실적"/>
      <sheetName val="현장실사자료"/>
      <sheetName val="건명"/>
      <sheetName val="수자재단위당"/>
      <sheetName val="수계"/>
      <sheetName val="토지가격산출기초"/>
      <sheetName val="공시지가"/>
      <sheetName val="인원계획-미화"/>
      <sheetName val="안산기계장치"/>
      <sheetName val="토목도급"/>
      <sheetName val="점유현황"/>
      <sheetName val="판정1교토공"/>
      <sheetName val="WEON"/>
      <sheetName val="인입관수량총괄"/>
      <sheetName val="단가조사-1"/>
      <sheetName val="갑지_설계 내역서"/>
      <sheetName val="2.단면가정 (양곡1교)"/>
      <sheetName val="코_x0000_"/>
      <sheetName val="결재_x0000_"/>
      <sheetName val="기본설계기준"/>
      <sheetName val="원료"/>
      <sheetName val="학익동신동아5차CD365"/>
      <sheetName val="05년 상"/>
      <sheetName val="영흥TL(UP,DOWN) "/>
      <sheetName val="6_산출닑⾱_x0005__x0000_"/>
      <sheetName val="수량계산"/>
      <sheetName val="일위산출"/>
      <sheetName val="개요2"/>
      <sheetName val="건축공사집계"/>
      <sheetName val="문10"/>
      <sheetName val="집계장"/>
      <sheetName val="ITB COST"/>
      <sheetName val="정리계槜〚_x0000__x0000_䇀"/>
      <sheetName val="7_산출(⠀榅弁䘿_x0000_"/>
      <sheetName val="투찰(하수)"/>
      <sheetName val="예총"/>
      <sheetName val="장비코드표 050601"/>
      <sheetName val="2007년 생산1부장비"/>
      <sheetName val="2008년 생산부전장비코드"/>
      <sheetName val="DDB부 장비 관리현황"/>
      <sheetName val="Xunit (단위환산)"/>
      <sheetName val="design_crit_x0000__x0000__x0005__x0000_"/>
      <sheetName val="6__안전관慨⻥"/>
      <sheetName val="공량·_x0000__x0000_"/>
      <sheetName val="공량×"/>
      <sheetName val="6동"/>
      <sheetName val="LD"/>
      <sheetName val=" FURNACE현설"/>
      <sheetName val="97 사업추정(WEKI)"/>
      <sheetName val="8.설치품셈"/>
      <sheetName val="시운전"/>
      <sheetName val="시운전绸7"/>
      <sheetName val="하조서"/>
      <sheetName val="과업지시서"/>
      <sheetName val="설변단가적용현황"/>
      <sheetName val="변경내역서"/>
      <sheetName val="2002상반기노임기준"/>
      <sheetName val="종단계산"/>
      <sheetName val="용산1(해보)"/>
      <sheetName val="JUCK"/>
      <sheetName val="내역_verᔈ_x0000__x0000_"/>
      <sheetName val="계산_x0000__x0000_"/>
      <sheetName val="유지정비"/>
      <sheetName val="용역인건비"/>
      <sheetName val="수량산출서 갑지"/>
      <sheetName val="재료할증"/>
      <sheetName val="램머"/>
      <sheetName val="1,2,3,4_x0000__x0000_界Þ多⽬"/>
      <sheetName val="1,2,3,4_x0005__x0000__x0000__x0000__x0000_"/>
      <sheetName val="단가비교표_공통1"/>
      <sheetName val="8.PILE  (돌출)"/>
      <sheetName val="TABLE DB"/>
      <sheetName val="쌍용 data base"/>
      <sheetName val="3련_Bꨀ덽"/>
      <sheetName val="working_load_at０ʵŚÃ堠ᴕ_x0000__x0000__x0000__x0000__x0000__x0000_"/>
      <sheetName val="토공(완충)"/>
      <sheetName val="시약"/>
      <sheetName val="일위대㐀븁"/>
      <sheetName val="일위대"/>
      <sheetName val="일반수량총괄집계"/>
      <sheetName val="2000.05"/>
      <sheetName val="오동"/>
      <sheetName val="대조"/>
      <sheetName val="나한"/>
      <sheetName val="요율표"/>
      <sheetName val="전기2005"/>
      <sheetName val="통신2005"/>
      <sheetName val="내역(인테리어 실내)(도급)"/>
      <sheetName val="내역(인테리어 실외)(도급)"/>
      <sheetName val="일위대가(집계_x0000_"/>
      <sheetName val="산출근거#2-3"/>
      <sheetName val="설계명세"/>
      <sheetName val="조도계산서Å_x0000_Ԁ_x0000__x0000_"/>
      <sheetName val="조도계산서Å_x0000_Ԁ_x0000_耀"/>
      <sheetName val="자재기성 신청서.xlsx"/>
      <sheetName val="인구"/>
      <sheetName val="단가시흥"/>
      <sheetName val="DATA LISTS"/>
      <sheetName val="6월세계"/>
      <sheetName val="19.07월.세.계"/>
      <sheetName val="19.07항목별(시트복사금지100번쓰기)"/>
      <sheetName val="7월정리"/>
      <sheetName val="카드전표"/>
      <sheetName val="05월"/>
      <sheetName val="05월정리"/>
      <sheetName val="4월항목별"/>
      <sheetName val="19.05월"/>
      <sheetName val="용역식대명세"/>
      <sheetName val="제수문집계"/>
      <sheetName val="신대방33(적용)"/>
      <sheetName val="보고"/>
      <sheetName val="장문교(대전)"/>
      <sheetName val="계정1"/>
      <sheetName val="품셈 "/>
      <sheetName val="음성cable"/>
      <sheetName val="M-EMS GP-570(BIT)"/>
      <sheetName val="내역서 제출"/>
      <sheetName val="단가산출(T)"/>
      <sheetName val="보활"/>
      <sheetName val="집행(2-1)"/>
      <sheetName val="일위집계"/>
      <sheetName val="수량산출목록표"/>
      <sheetName val="설계예산서(2_소천우회토목)"/>
      <sheetName val="수토공단위당"/>
      <sheetName val="부안변전"/>
      <sheetName val="구조물터파기수량집계"/>
      <sheetName val="[입찰안.xls]직접뀀鞖/_x0000_"/>
      <sheetName val="[입찰안.xls][입찰안.xls]직접뀀鞖/_x0000_"/>
      <sheetName val="사진첩"/>
      <sheetName val="마감산출"/>
      <sheetName val="3련_B䀀㽚"/>
      <sheetName val="돈암사업"/>
      <sheetName val="주bea?"/>
      <sheetName val="설원"/>
      <sheetName val="업체별기성내역"/>
      <sheetName val="Data&amp;Result"/>
      <sheetName val="0.목록1"/>
      <sheetName val="7월11일"/>
      <sheetName val="ASP"/>
      <sheetName val="원_x0000__x0000_"/>
      <sheetName val="조직관리비"/>
      <sheetName val="수선비"/>
      <sheetName val="원가명세"/>
      <sheetName val="사발차명세표"/>
      <sheetName val="손익"/>
      <sheetName val="분개장·원장"/>
      <sheetName val="소포내역_x0000__x0000__x0005__x0000_"/>
      <sheetName val="Front"/>
      <sheetName val="VXXXXXXX"/>
      <sheetName val="품셈총괄표"/>
      <sheetName val="b_balju_cho"/>
      <sheetName val="10공-_x0000_Ԁ"/>
      <sheetName val="9GNG운¼"/>
      <sheetName val="공사비증감"/>
      <sheetName val="Bảng mã VT"/>
      <sheetName val="plan&amp;section_of__x0000__x0000__x0005__x0000_冰﹢Ƚ_x0000__x0000__x0000_"/>
      <sheetName val="세부내역서"/>
      <sheetName val="자단"/>
      <sheetName val="CONCRETE"/>
      <sheetName val="중기조종사 단위단가"/>
      <sheetName val="현우실적"/>
      <sheetName val="토공_total"/>
      <sheetName val="공기압舓⿫"/>
      <sheetName val="기성(1차)_"/>
      <sheetName val="外構・目次"/>
      <sheetName val="工場棟・目次"/>
      <sheetName val="事務棟・目次"/>
      <sheetName val="5호광장_(만점)3"/>
      <sheetName val="인천국제_(만점)_(2)3"/>
      <sheetName val="Total_단위경유량집계3"/>
      <sheetName val="준검_내역서3"/>
      <sheetName val="토공유동표(전체_당초)3"/>
      <sheetName val="1_수인터널3"/>
      <sheetName val="4_전기3"/>
      <sheetName val="BH-1_(2)3"/>
      <sheetName val="표__지3"/>
      <sheetName val="1_설계조건3"/>
      <sheetName val="조도계산서_(도서)3"/>
      <sheetName val="I_설계조건3"/>
      <sheetName val="11_우각부_보강3"/>
      <sheetName val="제출내역_(2)3"/>
      <sheetName val="우수관매설및_우수받이3"/>
      <sheetName val="11_산출(전열)3"/>
      <sheetName val="6_산출(동력)3"/>
      <sheetName val="7_산출(TRAY)3"/>
      <sheetName val="노원열병합__건축공사기성내역서3"/>
      <sheetName val="앉음벽_(2)3"/>
      <sheetName val="MSS_23"/>
      <sheetName val="2_1__노무비_평균단가산출2"/>
      <sheetName val="내역_ver1_03"/>
      <sheetName val="plan&amp;section_of_foundation3"/>
      <sheetName val="pile_bearing_capa_&amp;_arrenge3"/>
      <sheetName val="working_load_at_the_btm_ft_3"/>
      <sheetName val="stability_check3"/>
      <sheetName val="design_criteria3"/>
      <sheetName val="보고서_기기리스트2"/>
      <sheetName val="7__현장관리비_3"/>
      <sheetName val="6__안전관리비3"/>
      <sheetName val="3련_BOX3"/>
      <sheetName val="소포내역_(2)3"/>
      <sheetName val="배수공_시멘트_및_골재량_산출2"/>
      <sheetName val="_HIT__HMC_견적_3900_3"/>
      <sheetName val="배수내역_(2)2"/>
      <sheetName val="spc_배관견적2"/>
      <sheetName val="投标材料清单_2"/>
      <sheetName val="5_산출(전력)2"/>
      <sheetName val="수량산출서(전력간선_지하D_C)2"/>
      <sheetName val="내___역2"/>
      <sheetName val="플랜트_설치2"/>
      <sheetName val="A_견적2"/>
      <sheetName val="unit_42"/>
      <sheetName val="Customer_Databas2"/>
      <sheetName val="_HIT-&gt;HMC_견적(3900)2"/>
      <sheetName val="전_기2"/>
      <sheetName val="SHEET_PILE단가2"/>
      <sheetName val="목차_2"/>
      <sheetName val="화재_탐지_설비2"/>
      <sheetName val="6PILE__(돌출)2"/>
      <sheetName val="세골재__T2_변경_현황2"/>
      <sheetName val="BH_1__2_2"/>
      <sheetName val="개인별_순위표2"/>
      <sheetName val="1_취수장2"/>
      <sheetName val="Cash_Flow-12"/>
      <sheetName val="3_1공사현황_공정표2"/>
      <sheetName val="2차전체변경예정_(2)2"/>
      <sheetName val="노임_단가2"/>
      <sheetName val="내역서_2"/>
      <sheetName val="8_현장관리비2"/>
      <sheetName val="7_안전관리비2"/>
      <sheetName val="귀래_설계_공내역서2"/>
      <sheetName val="설_계2"/>
      <sheetName val="1_설계기준2"/>
      <sheetName val="집_계_표2"/>
      <sheetName val="별표_2"/>
      <sheetName val="도담구내_개소별_명세2"/>
      <sheetName val="도담구내_개소별_명柖1"/>
      <sheetName val="노임단가_(2)2"/>
      <sheetName val="3_공통공사대비2"/>
      <sheetName val="단___산1"/>
      <sheetName val="실____단1"/>
      <sheetName val="단가_및_재료비2"/>
      <sheetName val="전선_및_전선관1"/>
      <sheetName val="장비비_명세서12"/>
      <sheetName val="7_공정표2"/>
      <sheetName val="단면_(2)2"/>
      <sheetName val="RETAIL_(ABOVE)2"/>
      <sheetName val="5__현장관리비(new)_2"/>
      <sheetName val="내역서1999_8최종1"/>
      <sheetName val="2_대외공문2"/>
      <sheetName val="danh_muc_vat_tu1"/>
      <sheetName val="Register-BG_NCC1"/>
      <sheetName val="Data_21"/>
      <sheetName val="TB_chính1"/>
      <sheetName val="Steel_pipe1"/>
      <sheetName val="Ref_pipe+Ins1"/>
      <sheetName val="Plastic_pipe1"/>
      <sheetName val="Air_Grilles1"/>
      <sheetName val="Cost_bd-&quot;A&quot;1"/>
      <sheetName val="장비_(2)1"/>
      <sheetName val="3BL공동구_수량1"/>
      <sheetName val="5_동별횡주관경1"/>
      <sheetName val="암거_제원표1"/>
      <sheetName val="Sheet1_(2)1"/>
      <sheetName val="Eq__Mobilization2"/>
      <sheetName val="노무비_근거1"/>
      <sheetName val="제수변_수량집계표(보통)1"/>
      <sheetName val="1차_내역서1"/>
      <sheetName val="CM_11"/>
      <sheetName val="_갑지1"/>
      <sheetName val="6__수량산출서1"/>
      <sheetName val="참조_(2)1"/>
      <sheetName val="1_CB"/>
      <sheetName val="일위대가_1"/>
      <sheetName val="4_LINE1"/>
      <sheetName val="7_th1"/>
      <sheetName val="수량산출서_(2)"/>
      <sheetName val="습식및_셀프레벨링1"/>
      <sheetName val="BSD_(2)"/>
      <sheetName val="바_한일양산"/>
      <sheetName val="Project_Brief"/>
      <sheetName val="영업_일1"/>
      <sheetName val="기기_내역서"/>
      <sheetName val="일위대가56-1_"/>
      <sheetName val="일위대가71-1_"/>
      <sheetName val="일위대가74-1_"/>
      <sheetName val="일위대가76-1_"/>
      <sheetName val="일위대가77-1_"/>
      <sheetName val="일위대가78-1_"/>
      <sheetName val="_소방공사_산출근거"/>
      <sheetName val="토공_토적표"/>
      <sheetName val="주bea"/>
      <sheetName val="4__VOs_summary"/>
      <sheetName val="변경명신물량_(2)"/>
      <sheetName val="전사_(2)"/>
      <sheetName val="BA_(2)"/>
      <sheetName val="CP_(2)"/>
      <sheetName val="Bảng_mã_VT"/>
      <sheetName val="Chiet_tinh_dz35"/>
      <sheetName val="기존단가_(2)"/>
      <sheetName val="5호광장_(만점)4"/>
      <sheetName val="인천국제_(만점)_(2)4"/>
      <sheetName val="Total_단위경유량집계4"/>
      <sheetName val="준검_내역서4"/>
      <sheetName val="토공유동표(전체_당초)4"/>
      <sheetName val="1_수인터널4"/>
      <sheetName val="4_전기4"/>
      <sheetName val="BH-1_(2)4"/>
      <sheetName val="표__지4"/>
      <sheetName val="1_설계조건4"/>
      <sheetName val="조도계산서_(도서)4"/>
      <sheetName val="I_설계조건4"/>
      <sheetName val="11_우각부_보강4"/>
      <sheetName val="제출내역_(2)4"/>
      <sheetName val="우수관매설및_우수받이4"/>
      <sheetName val="11_산출(전열)4"/>
      <sheetName val="6_산출(동력)4"/>
      <sheetName val="7_산출(TRAY)4"/>
      <sheetName val="노원열병합__건축공사기성내역서4"/>
      <sheetName val="앉음벽_(2)4"/>
      <sheetName val="MSS_24"/>
      <sheetName val="2_1__노무비_평균단가산출3"/>
      <sheetName val="내역_ver1_04"/>
      <sheetName val="plan&amp;section_of_foundation4"/>
      <sheetName val="pile_bearing_capa_&amp;_arrenge4"/>
      <sheetName val="working_load_at_the_btm_ft_4"/>
      <sheetName val="stability_check4"/>
      <sheetName val="design_criteria4"/>
      <sheetName val="보고서_기기리스트3"/>
      <sheetName val="7__현장관리비_4"/>
      <sheetName val="6__안전관리비4"/>
      <sheetName val="3련_BOX4"/>
      <sheetName val="소포내역_(2)4"/>
      <sheetName val="배수공_시멘트_및_골재량_산출3"/>
      <sheetName val="_HIT__HMC_견적_3900_4"/>
      <sheetName val="배수내역_(2)3"/>
      <sheetName val="spc_배관견적3"/>
      <sheetName val="投标材料清单_3"/>
      <sheetName val="5_산출(전력)3"/>
      <sheetName val="수량산출서(전력간선_지하D_C)3"/>
      <sheetName val="내___역3"/>
      <sheetName val="플랜트_설치3"/>
      <sheetName val="A_견적3"/>
      <sheetName val="unit_43"/>
      <sheetName val="Customer_Databas3"/>
      <sheetName val="_HIT-&gt;HMC_견적(3900)3"/>
      <sheetName val="전_기3"/>
      <sheetName val="SHEET_PILE단가3"/>
      <sheetName val="목차_3"/>
      <sheetName val="화재_탐지_설비3"/>
      <sheetName val="6PILE__(돌출)3"/>
      <sheetName val="세골재__T2_변경_현황3"/>
      <sheetName val="BH_1__2_3"/>
      <sheetName val="개인별_순위표3"/>
      <sheetName val="1_취수장3"/>
      <sheetName val="Cash_Flow-13"/>
      <sheetName val="3_1공사현황_공정표3"/>
      <sheetName val="2차전체변경예정_(2)3"/>
      <sheetName val="노임_단가3"/>
      <sheetName val="내역서_3"/>
      <sheetName val="8_현장관리비3"/>
      <sheetName val="7_안전관리비3"/>
      <sheetName val="귀래_설계_공내역서3"/>
      <sheetName val="설_계3"/>
      <sheetName val="1_설계기준3"/>
      <sheetName val="집_계_표3"/>
      <sheetName val="별표_3"/>
      <sheetName val="도담구내_개소별_명세3"/>
      <sheetName val="도담구내_개소별_명柖2"/>
      <sheetName val="노임단가_(2)3"/>
      <sheetName val="3_공통공사대비3"/>
      <sheetName val="단___산2"/>
      <sheetName val="실____단2"/>
      <sheetName val="단가_및_재료비3"/>
      <sheetName val="전선_및_전선관2"/>
      <sheetName val="장비비_명세서13"/>
      <sheetName val="7_공정표3"/>
      <sheetName val="단면_(2)3"/>
      <sheetName val="RETAIL_(ABOVE)3"/>
      <sheetName val="5__현장관리비(new)_3"/>
      <sheetName val="내역서1999_8최종2"/>
      <sheetName val="2_대외공문3"/>
      <sheetName val="Cost_bd-&quot;A&quot;2"/>
      <sheetName val="danh_muc_vat_tu2"/>
      <sheetName val="Register-BG_NCC2"/>
      <sheetName val="Data_22"/>
      <sheetName val="TB_chính2"/>
      <sheetName val="Steel_pipe2"/>
      <sheetName val="Ref_pipe+Ins2"/>
      <sheetName val="Plastic_pipe2"/>
      <sheetName val="Air_Grilles2"/>
      <sheetName val="Sheet1_(2)2"/>
      <sheetName val="장비_(2)2"/>
      <sheetName val="3BL공동구_수량2"/>
      <sheetName val="5_동별횡주관경2"/>
      <sheetName val="암거_제원표2"/>
      <sheetName val="Eq__Mobilization3"/>
      <sheetName val="노무비_근거2"/>
      <sheetName val="제수변_수량집계표(보통)2"/>
      <sheetName val="1차_내역서2"/>
      <sheetName val="6__수량산출서2"/>
      <sheetName val="_갑지2"/>
      <sheetName val="1_CB1"/>
      <sheetName val="CM_12"/>
      <sheetName val="일위대가_2"/>
      <sheetName val="4_LINE2"/>
      <sheetName val="7_th2"/>
      <sheetName val="참조_(2)2"/>
      <sheetName val="수량산출서_(2)1"/>
      <sheetName val="토공_total1"/>
      <sheetName val="기성(1차)_1"/>
      <sheetName val="습식및_셀프레벨링2"/>
      <sheetName val="BSD_(2)1"/>
      <sheetName val="바_한일양산1"/>
      <sheetName val="Project_Brief1"/>
      <sheetName val="영업_일11"/>
      <sheetName val="기기_내역서1"/>
      <sheetName val="일위대가56-1_1"/>
      <sheetName val="일위대가71-1_1"/>
      <sheetName val="일위대가74-1_1"/>
      <sheetName val="일위대가76-1_1"/>
      <sheetName val="일위대가77-1_1"/>
      <sheetName val="일위대가78-1_1"/>
      <sheetName val="_소방공사_산출근거1"/>
      <sheetName val="토공_토적표1"/>
      <sheetName val="4__VOs_summary1"/>
      <sheetName val="변경명신물량_(2)1"/>
      <sheetName val="전사_(2)1"/>
      <sheetName val="BA_(2)1"/>
      <sheetName val="CP_(2)1"/>
      <sheetName val="Bảng_mã_VT1"/>
      <sheetName val="Chiet_tinh_dz351"/>
      <sheetName val="기존단가_(2)1"/>
      <sheetName val="Elec LG"/>
      <sheetName val="ESTI."/>
      <sheetName val="DI-ESTI"/>
      <sheetName val="1_MV"/>
      <sheetName val="gVL"/>
      <sheetName val="電気設備表"/>
      <sheetName val="预算"/>
      <sheetName val="받을어음"/>
      <sheetName val="시작"/>
      <sheetName val="투자자산"/>
      <sheetName val="대손상각"/>
      <sheetName val="Translation"/>
      <sheetName val="D &amp; W sizes"/>
      <sheetName val="単価表"/>
      <sheetName val="Gia vat tu"/>
      <sheetName val="DI_ESTI"/>
      <sheetName val="dtct cong"/>
      <sheetName val="단_x0005__x0000_"/>
      <sheetName val="납부서"/>
      <sheetName val="공기압¬_x0000_Ԁ"/>
      <sheetName val="뚝토공"/>
      <sheetName val="현장경비(공사금액별)"/>
      <sheetName val="발주내역"/>
      <sheetName val="H-PILE수량집계"/>
      <sheetName val="HS"/>
      <sheetName val="DGCT (01)"/>
      <sheetName val="아파트_"/>
      <sheetName val="Xunit_(단위환산)"/>
      <sheetName val="장비코드표_050601"/>
      <sheetName val="2007년_생산1부장비"/>
      <sheetName val="2008년_생산부전장비코드"/>
      <sheetName val="DDB부_장비_관리현황"/>
      <sheetName val="NOTE"/>
      <sheetName val="LEGEND"/>
      <sheetName val="SCOPE OF WORK"/>
      <sheetName val="IBASE"/>
      <sheetName val="Chi tiet"/>
      <sheetName val="FitOutConfCentre"/>
      <sheetName val="BG"/>
      <sheetName val="nhôm 1,2mm"/>
      <sheetName val="nhôm 1,4mm"/>
      <sheetName val="01. DATA"/>
      <sheetName val="1,2,3,4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M"/>
      <sheetName val="PE"/>
      <sheetName val="So sanh"/>
      <sheetName val="주bea_"/>
      <sheetName val="(원)기흥상갈"/>
      <sheetName val="만봉용지매수비(총괄)"/>
      <sheetName val="DHEQ㧈讄䰀漐"/>
      <sheetName val="공사비예산서"/>
      <sheetName val="공사비예"/>
      <sheetName val="부안일위"/>
      <sheetName val="자재대"/>
      <sheetName val="입상내역"/>
      <sheetName val="가로등내역서"/>
      <sheetName val="차량(구)"/>
      <sheetName val="갑지_을지"/>
      <sheetName val="2-2_매출분석"/>
      <sheetName val="설명서_"/>
      <sheetName val="유효폭의_계산"/>
      <sheetName val="STEEL_BOX_단면설계(SEC_8)"/>
      <sheetName val="미납품_현황"/>
      <sheetName val="05년_상"/>
      <sheetName val="영흥TL(UP,DOWN)_"/>
      <sheetName val="단양_00_아파트-세부내역"/>
      <sheetName val="2_단면가정_(양곡1교)"/>
      <sheetName val="자격_땡겨오기"/>
      <sheetName val="갑지_설계_내역서"/>
      <sheetName val="표지_(2)"/>
      <sheetName val="ITB_COST"/>
      <sheetName val="8_PILE__(돌출)"/>
      <sheetName val="1_내역(청_하역장전등)"/>
      <sheetName val="4_2_1_마루높이_검토"/>
      <sheetName val="수량산출서_갑지"/>
      <sheetName val="_견적서"/>
      <sheetName val="내역서_제출"/>
      <sheetName val="참조표"/>
      <sheetName val="pile_bearing_capa_&amp;_¬웰ﾕ쀀_x0005_"/>
      <sheetName val="pile_bearing_capa_&amp;_¬웰ﾕ_x0000_ﳪ_x0005_"/>
      <sheetName val="식재"/>
      <sheetName val="시설물"/>
      <sheetName val="식재출력용"/>
      <sheetName val="유지관리"/>
      <sheetName val="정리계槜で_x0000__x0000_ｐ"/>
      <sheetName val="정리계槜で_x0000__x0000_㟠"/>
      <sheetName val="적산"/>
      <sheetName val="발주A"/>
      <sheetName val="참고자료"/>
      <sheetName val="수량산출서집´_x0000_Ԁ_x0000_耀֜䌛"/>
      <sheetName val="원가&amp;하도급원가"/>
      <sheetName val="예산M12A"/>
      <sheetName val="정리계槜〚"/>
      <sheetName val="1,2,3,4_x0005_"/>
      <sheetName val="10공-"/>
      <sheetName val="design_crit"/>
      <sheetName val="[입찰안.xls][입찰안.xls][입찰안.xls]B_17"/>
      <sheetName val="[입찰안.xls][입찰안.xls][입찰안.xls]B__5"/>
      <sheetName val="[입찰안.xls][입찰안.xls][입찰안.xls]B__2"/>
      <sheetName val="[입찰안.xls][입찰안.xls][입찰안.xls]B__3"/>
      <sheetName val="[입찰안.xls][입찰안.xls][입찰안.xls]B__4"/>
      <sheetName val="[입찰안.xls][입찰안.xls][입찰안.xls]B__8"/>
      <sheetName val="[입찰안.xls][입찰안.xls][입찰안.xls]B__6"/>
      <sheetName val="[입찰안.xls][입찰안.xls][입찰안.xls]B_23"/>
      <sheetName val="[입찰안.xls][입찰안.xls][입찰안.xls]B__7"/>
      <sheetName val="[입찰안.xls][입찰안.xls][입찰안.xls]B__9"/>
      <sheetName val="[입찰안.xls][입찰안.xls][입찰안.xls]B_10"/>
      <sheetName val="[입찰안.xls][입찰안.xls][입찰안.xls]B_11"/>
      <sheetName val="[입찰안.xls][입찰안.xls][입찰안.xls]B_12"/>
      <sheetName val="[입찰안.xls][입찰안.xls][입찰안.xls]B_13"/>
      <sheetName val="[입찰안.xls][입찰안.xls][입찰안.xls]B_14"/>
      <sheetName val="[입찰안.xls][입찰안.xls][입찰안.xls]B_15"/>
      <sheetName val="[입찰안.xls][입찰안.xls][입찰안.xls]B_16"/>
      <sheetName val="[입찰안.xls][입찰안.xls][입찰안.xls]B_18"/>
      <sheetName val="[입찰안.xls][입찰안.xls][입찰안.xls]B_19"/>
      <sheetName val="[입찰안.xls][입찰안.xls][입찰안.xls]B_20"/>
      <sheetName val="[입찰안.xls][입찰안.xls][입찰안.xls]B_21"/>
      <sheetName val="[입찰안.xls][입찰안.xls][입찰안.xls]B_22"/>
      <sheetName val="[입찰안.xls][입찰안.xls][입찰안.xls]B_25"/>
      <sheetName val="[입찰안.xls][입찰안.xls][입찰안.xls]B_24"/>
      <sheetName val="[입찰안.xls][입찰안.xls][입찰안.xls]B_26"/>
      <sheetName val="[입찰안.xls][입찰안.xls][입찰안.xls]B_27"/>
      <sheetName val="손익차9월頀"/>
      <sheetName val="CB"/>
      <sheetName val="물가시세"/>
      <sheetName val="토공집계표"/>
      <sheetName val="수량산출서집계(_x0000__x0000__x0005__x0000_"/>
      <sheetName val="수량산출서집계(_x0000__x0000__x0005__x0000_瞀"/>
      <sheetName val="장비가동"/>
      <sheetName val="[입찰안.xls][입찰안.xls][입찰안.xls]___2"/>
      <sheetName val="wbs2차"/>
      <sheetName val="일위(토,포,부)"/>
      <sheetName val="자격증"/>
      <sheetName val="제잡비1"/>
      <sheetName val="테이블"/>
      <sheetName val="빗물받이(910-510-410)"/>
      <sheetName val="[입찰안.xls][입찰안.xls][입찰안.xls]B_29"/>
      <sheetName val="[입찰안.xls][입찰안.xls][입찰안.xls]B_30"/>
      <sheetName val="[입찰안.xls][입찰안.xls][입찰안.xls]B_28"/>
      <sheetName val="CableSchedule"/>
      <sheetName val="pile_bearing_ca怀꿟세_x0000_䘀뤙_x0000__x0000_Ԁ_x0000_"/>
      <sheetName val="교량전기"/>
      <sheetName val="대차대조표"/>
      <sheetName val="손익계산서"/>
      <sheetName val="이익잉여금"/>
      <sheetName val="상세손익"/>
      <sheetName val="cal1"/>
      <sheetName val="bqmpaloc"/>
      <sheetName val="배수로집계"/>
      <sheetName val="장悱_x0017_"/>
      <sheetName val="중강당 내역"/>
      <sheetName val="[입찰안.xls][입찰안.xls][입찰안.xls]B_46"/>
      <sheetName val="[입찰안.xls][입찰안.xls][입찰안.xls]B_45"/>
      <sheetName val="[입찰안.xls][입찰안.xls][입찰안.xls]B_44"/>
      <sheetName val="[입찰안.xls][입찰안.xls][입찰안.xls]B_33"/>
      <sheetName val="[입찰안.xls][입찰안.xls][입찰안.xls]B_31"/>
      <sheetName val="[입찰안.xls][입찰안.xls][입찰안.xls]B_35"/>
      <sheetName val="[입찰안.xls][입찰안.xls][입찰안.xls]B_32"/>
      <sheetName val="[입찰안.xls][입찰안.xls][입찰안.xls]B_40"/>
      <sheetName val="[입찰안.xls][입찰안.xls][입찰안.xls]B_34"/>
      <sheetName val="[입찰안.xls][입찰안.xls][입찰안.xls]B_41"/>
      <sheetName val="[입찰안.xls][입찰안.xls][입찰안.xls]B_36"/>
      <sheetName val="[입찰안.xls][입찰안.xls][입찰안.xls]B_37"/>
      <sheetName val="[입찰안.xls][입찰안.xls][입찰안.xls]B_42"/>
      <sheetName val="[입찰안.xls][입찰안.xls][입찰안.xls]B_38"/>
      <sheetName val="[입찰안.xls][입찰안.xls][입찰안.xls]B_39"/>
      <sheetName val="[입찰안.xls][입찰안.xls][입찰안.xls]B_43"/>
      <sheetName val="[입찰안.xls][입찰안.xls][입찰안.xls]B_54"/>
      <sheetName val="[입찰안.xls][입찰안.xls][입찰안.xls]B_53"/>
      <sheetName val="[입찰안.xls][입찰안.xls][입찰안.xls]B_47"/>
      <sheetName val="[입찰안.xls][입찰안.xls][입찰안.xls]B_48"/>
      <sheetName val="[입찰안.xls][입찰안.xls][입찰안.xls]B_51"/>
      <sheetName val="[입찰안.xls][입찰안.xls][입찰안.xls]B_50"/>
      <sheetName val="[입찰안.xls][입찰안.xls][입찰안.xls]B_49"/>
      <sheetName val="[입찰안.xls][입찰안.xls][입찰안.xls]B_52"/>
      <sheetName val="[입찰안.xls][입찰안.xls][입찰안.xls]B_55"/>
      <sheetName val="[입찰안.xls][입찰안.xls][입찰안.xls]B_56"/>
      <sheetName val="[입찰안.xls][입찰안.xls][입찰안.xls]B_57"/>
      <sheetName val="[입찰안.xls][입찰안.xls][입찰안.xls]B_60"/>
      <sheetName val="[입찰안.xls][입찰안.xls][입찰안.xls]B_59"/>
      <sheetName val="[입찰안.xls][입찰안.xls][입찰안.xls]B_58"/>
      <sheetName val="특수선일위대가"/>
      <sheetName val="5호광장_(만점)5"/>
      <sheetName val="인천국제_(만점)_(2)5"/>
      <sheetName val="Total_단위경유량집계5"/>
      <sheetName val="토공유동표(전체_당초)5"/>
      <sheetName val="준검_내역서5"/>
      <sheetName val="1_수인터널5"/>
      <sheetName val="BH-1_(2)5"/>
      <sheetName val="표__지5"/>
      <sheetName val="投标材料清单_4"/>
      <sheetName val="4_전기5"/>
      <sheetName val="1_설계조건5"/>
      <sheetName val="조도계산서_(도서)5"/>
      <sheetName val="I_설계조건5"/>
      <sheetName val="11_우각부_보강5"/>
      <sheetName val="제출내역_(2)5"/>
      <sheetName val="우수관매설및_우수받이5"/>
      <sheetName val="11_산출(전열)5"/>
      <sheetName val="6_산출(동력)5"/>
      <sheetName val="7_산출(TRAY)5"/>
      <sheetName val="노원열병합__건축공사기성내역서5"/>
      <sheetName val="앉음벽_(2)5"/>
      <sheetName val="MSS_25"/>
      <sheetName val="2_1__노무비_평균단가산출4"/>
      <sheetName val="내역_ver1_05"/>
      <sheetName val="plan&amp;section_of_foundation5"/>
      <sheetName val="pile_bearing_capa_&amp;_arrenge5"/>
      <sheetName val="working_load_at_the_btm_ft_5"/>
      <sheetName val="stability_check5"/>
      <sheetName val="design_criteria5"/>
      <sheetName val="보고서_기기리스트4"/>
      <sheetName val="7__현장관리비_5"/>
      <sheetName val="6__안전관리비5"/>
      <sheetName val="3련_BOX5"/>
      <sheetName val="소포내역_(2)5"/>
      <sheetName val="배수공_시멘트_및_골재량_산출4"/>
      <sheetName val="_HIT__HMC_견적_3900_5"/>
      <sheetName val="배수내역_(2)4"/>
      <sheetName val="spc_배관견적4"/>
      <sheetName val="5_산출(전력)4"/>
      <sheetName val="수량산출서(전력간선_지하D_C)4"/>
      <sheetName val="내___역4"/>
      <sheetName val="플랜트_설치4"/>
      <sheetName val="A_견적4"/>
      <sheetName val="unit_44"/>
      <sheetName val="Customer_Databas4"/>
      <sheetName val="_HIT-&gt;HMC_견적(3900)4"/>
      <sheetName val="전_기4"/>
      <sheetName val="SHEET_PILE단가4"/>
      <sheetName val="목차_4"/>
      <sheetName val="화재_탐지_설비4"/>
      <sheetName val="6PILE__(돌출)4"/>
      <sheetName val="세골재__T2_변경_현황4"/>
      <sheetName val="BH_1__2_4"/>
      <sheetName val="개인별_순위표4"/>
      <sheetName val="1_취수장4"/>
      <sheetName val="Cash_Flow-14"/>
      <sheetName val="3_1공사현황_공정표4"/>
      <sheetName val="2차전체변경예정_(2)4"/>
      <sheetName val="노임_단가4"/>
      <sheetName val="내역서_4"/>
      <sheetName val="8_현장관리비4"/>
      <sheetName val="7_안전관리비4"/>
      <sheetName val="귀래_설계_공내역서4"/>
      <sheetName val="설_계4"/>
      <sheetName val="1_설계기준4"/>
      <sheetName val="집_계_표4"/>
      <sheetName val="별표_4"/>
      <sheetName val="도담구내_개소별_명세4"/>
      <sheetName val="도담구내_개소별_명柖3"/>
      <sheetName val="danh_muc_vat_tu3"/>
      <sheetName val="Register-BG_NCC3"/>
      <sheetName val="Data_23"/>
      <sheetName val="TB_chính3"/>
      <sheetName val="Steel_pipe3"/>
      <sheetName val="Ref_pipe+Ins3"/>
      <sheetName val="Plastic_pipe3"/>
      <sheetName val="Air_Grilles3"/>
      <sheetName val="노임단가_(2)4"/>
      <sheetName val="3_공통공사대비4"/>
      <sheetName val="단___산3"/>
      <sheetName val="실____단3"/>
      <sheetName val="단가_및_재료비4"/>
      <sheetName val="전선_및_전선관3"/>
      <sheetName val="장비비_명세서14"/>
      <sheetName val="7_공정표4"/>
      <sheetName val="단면_(2)4"/>
      <sheetName val="RETAIL_(ABOVE)4"/>
      <sheetName val="5__현장관리비(new)_4"/>
      <sheetName val="내역서1999_8최종3"/>
      <sheetName val="2_대외공문4"/>
      <sheetName val="Cost_bd-&quot;A&quot;3"/>
      <sheetName val="Sheet1_(2)3"/>
      <sheetName val="1차_내역서3"/>
      <sheetName val="장비_(2)3"/>
      <sheetName val="3BL공동구_수량3"/>
      <sheetName val="5_동별횡주관경3"/>
      <sheetName val="암거_제원표3"/>
      <sheetName val="Eq__Mobilization4"/>
      <sheetName val="노무비_근거3"/>
      <sheetName val="제수변_수량집계표(보통)3"/>
      <sheetName val="CM_13"/>
      <sheetName val="_갑지3"/>
      <sheetName val="6__수량산출서3"/>
      <sheetName val="참조_(2)3"/>
      <sheetName val="1_CB2"/>
      <sheetName val="일위대가_3"/>
      <sheetName val="4_LINE3"/>
      <sheetName val="7_th3"/>
      <sheetName val="수량산출서_(2)2"/>
      <sheetName val="토공_total2"/>
      <sheetName val="기성(1차)_2"/>
      <sheetName val="습식및_셀프레벨링3"/>
      <sheetName val="BSD_(2)2"/>
      <sheetName val="바_한일양산2"/>
      <sheetName val="Project_Brief2"/>
      <sheetName val="영업_일12"/>
      <sheetName val="기기_내역서2"/>
      <sheetName val="4__VOs_summary2"/>
      <sheetName val="일위대가56-1_2"/>
      <sheetName val="일위대가71-1_2"/>
      <sheetName val="일위대가74-1_2"/>
      <sheetName val="일위대가76-1_2"/>
      <sheetName val="일위대가77-1_2"/>
      <sheetName val="일위대가78-1_2"/>
      <sheetName val="_소방공사_산출근거2"/>
      <sheetName val="토공_토적표2"/>
      <sheetName val="변경명신물량_(2)2"/>
      <sheetName val="전사_(2)2"/>
      <sheetName val="BA_(2)2"/>
      <sheetName val="CP_(2)2"/>
      <sheetName val="Bảng_mã_VT2"/>
      <sheetName val="Chiet_tinh_dz352"/>
      <sheetName val="기존단가_(2)2"/>
      <sheetName val="Elec_LG"/>
      <sheetName val="ESTI_"/>
      <sheetName val="D_&amp;_W_sizes"/>
      <sheetName val="Gia_vat_tu"/>
      <sheetName val="dtct_cong"/>
      <sheetName val="DATA_LISTS"/>
      <sheetName val="Phan tich ca may"/>
      <sheetName val="Chenh lech ca may"/>
      <sheetName val="TLg CN&amp;Laixe"/>
      <sheetName val="TLg CN&amp;Laixe (2)"/>
      <sheetName val="TLg Laitau"/>
      <sheetName val="TLg Laitau (2)"/>
      <sheetName val="0"/>
      <sheetName val="Cọc nhồi"/>
      <sheetName val="SCOPE_OF_WORK"/>
      <sheetName val="ጵ_x0000__x0000_Ոጶ_x0000__x0000_sጷ_x0000__x0000_״ጸ_x0000__x0000_ ጿ_x0000__x0000_¬ጿ_x0000__x0000_׭ጊ"/>
      <sheetName val="ጲ_x0000__x0000_Ոፍ_x0000__x0000_sጳ_x0000__x0000_1ጳ_x0000__x0000_᬴ጴ_x0000__x0000_෠ጳ_x0000__x0000_ග"/>
      <sheetName val="ጳ_x0000__x0000_Ոጴ_x0000__x0000_sጳ_x0000__x0000_aጳ_x0000__x0000_iጴ_x0000__x0000_cጵ_x0000__x0000_k"/>
      <sheetName val="ጳ_x0000__x0000_Ոጳ_x0000__x0000_sጴ_x0000__x0000_sጳ_x0000__x0000_ ጳ_x0000__x0000_tጴ_x0000__x0000_a"/>
      <sheetName val="ጳ_x0000__x0000_Ոጳ_x0000__x0000_sጴ_x0000__x0000_~ጳ_x0000__x0000_ఄጳ_x0000__x0000_᪅ጴ_x0000__x0000_)"/>
      <sheetName val="ፋ_x0000__x0000_Ոፌ_x0000__x0000_sጿ_x0000__x0000_೵ጿ_x0000__x0000_ኸጊ_x0000__x0000_೨ጱ_x0000__x0000_°ጲ"/>
      <sheetName val="ጴ_x0000__x0000_Ոጳ_x0000__x0000_sጳ_x0000__x0000_°ጴ_x0000__x0000_ࠄጵ_x0000__x0000__ጶ_x0000__x0000_)"/>
      <sheetName val="ጿ_x0000__x0000_Ոጊ_x0000__x0000_sጱ_x0000__x0000_°ጲ_x0000__x0000_ࠄፍ_x0000__x0000__ጳ_x0000__x0000_ࠄጳ"/>
      <sheetName val="ጱ_x0000__x0000_Ոጼ_x0000__x0000_sፍ_x0000__x0000_°ጳ_x0000__x0000_ࠄጳ_x0000__x0000__ጴ_x0000__x0000_.ጳ_x0000_"/>
      <sheetName val="ጴ_x0000__x0000_Ոጳ_x0000__x0000_sጳ_x0000__x0000_°ጴ_x0000__x0000_ࠄጵ_x0000__x0000__ጶ_x0000__x0000_"/>
      <sheetName val="ጷ_x0000__x0000_Ոጸ_x0000__x0000_sጿ_x0000__x0000_°ጿ_x0000__x0000_ࠄጊ간선_서관)"/>
      <sheetName val="ጿ_x0000__x0000_Ոጿ_x0000__x0000_sጊ_x0000__x0000_״ጱ_x0000__x0000__ጲ_x0000__x0000_¬ፍ_x0000__x0000_׭ጳ"/>
      <sheetName val="ጵ_x0000__x0000_Ոጶ_x0000__x0000_sጷ_x0000__x0000_aጸ_x0000__x0000_iጿ_x0000__x0000_cጿ_x0000__x0000_k"/>
      <sheetName val="ጿ_x0000__x0000_Ոጊ_x0000__x0000_sጊ_x0000__x0000_sጱ_x0000__x0000__ጲ_x0000__x0000_tፍ_x0000__x0000_a"/>
      <sheetName val="ጳ_x0000__x0000_Ոጳ_x0000__x0000_sጴ_x0000__x0000_nጵ_x0000__x0000_uጶ_x0000__x0000_aጷ_x0000__x0000_u"/>
      <sheetName val="ጳ_x0000__x0000_Ոጳ_x0000__x0000_sጴ_x0000__x0000_gጴ_x0000__x0000_eፊ_x0000__x0000_Gጵ_x0000__x0000_C"/>
      <sheetName val="ጳ_x0000__x0000_Ոጴ_x0000__x0000_sጳ_x0000__x0000_Tጳ_x0000__x0000_ ጴ_x0000__x0000_Oጵ_x0000__x0000_"/>
      <sheetName val="ጵ_x0000__x0000_Ոፋ_x0000__x0000_sፌ_x0000__x0000_ ጿ_x0000__x0000_᦬ጿ_x0000__x0000_eጊ_x0000__x0000_"/>
      <sheetName val="ጻ_x0000__x0000_Ոጻ_x0000__x0000_sጱ_x0000__x0000_൭ጲ_x0000__x0000_᧌ድ_x0000__x0000_(ጳ_x0000__x0000_"/>
      <sheetName val="ጿ_x0000__x0000_Ոጿ_x0000__x0000_sጊ_x0000__x0000_tጊ_x0000__x0000_የጱ_x0000__x0000_៉ጲ_x0000__x0000_"/>
      <sheetName val="ጴ_x0000__x0000_Ոጾ_x0000__x0000_sጶ_x0000__x0000_״ጷ_x0000__x0000__ፓ_x0000__x0000_¬ፔ_x0000__x0000_׭ፔ_x0000_"/>
      <sheetName val="ጴ_x0000__x0000_Ոጳ_x0000__x0000_sጳ_x0000__x0000_°ጴ_x0000__x0000_ࠄጴ_x0000__x0000__ፊ_x0000__x0000__ጵ_x0000_"/>
      <sheetName val="ጶ_x0000__x0000_Ոጷ_x0000__x0000_sጸ_x0000__x0000_aጿ_x0000__x0000_iጿ_x0000__x0000_cጊ_x0000__x0000_kጊ"/>
      <sheetName val="ጳ_x0000__x0000_Ոጳ_x0000__x0000_sጴ_x0000__x0000_sጳ_x0000__x0000__ጳ_x0000__x0000_tጴ_x0000__x0000_aጵ"/>
      <sheetName val="ጊ_x0000__x0000_Ոጊ_x0000__x0000_sጊ_x0000__x0000_1ጱ_x0000__x0000_᬴ጲ_x0000__x0000_෠ድ_x0000__x0000_ග"/>
      <sheetName val="ጸ_x0000__x0000_Ոጿ_x0000__x0000_sጿ_x0000__x0000_೵ጊ_x0000__x0000_ኸጊ_x0000__x0000_೨ጱ_x0000__x0000_°ጲ"/>
      <sheetName val="ጳ_x0000__x0000_Ոጳ_x0000__x0000_sጴ_x0000__x0000_sጵ_x0000__x0000_eጶ_x0000__x0000_aጷ_x0000__x0000_aጸ"/>
      <sheetName val="ጴ_x0000__x0000_Ոጵ_x0000__x0000_sጶ_x0000__x0000_.ጷ_x0000__x0000_bጸ_x0000__x0000_zጿ_x0000__x0000_oጿ"/>
      <sheetName val="ፍ_x0000__x0000_Ոጳ_x0000__x0000_sጳ_x0000__x0000__ጴ_x0000__x0000_bጳ_x0000__x0000_zጳ_x0000__x0000_oጴ"/>
      <sheetName val="ጊ_x0000__x0000_Ոጱ_x0000__x0000_sጼ_x0000__x0000__ፐ_x0000__x0000_᦬ፑ_x0000__x0000_eፑ_x0000__x0000_"/>
      <sheetName val="ጳ_x0000__x0000_Ոጴ_x0000__x0000_sጵ_x0000__x0000_Tጶ_x0000__x0000__ጷ_x0000__x0000_Oጸ_x0000__x0000_"/>
      <sheetName val="ጊ_x0000__x0000_Ոጊ_x0000__x0000_sጱ_x0000__x0000_Sጲ_x0000__x0000_Aፍ_x0000__x0000_rጳ_x0000__x0000_uጳ_x0000_"/>
      <sheetName val="ጊ_x0000__x0000_Ոጊ_x0000__x0000_sጊ_x0000__x0000_ ጊ_x0000__x0000_ ጱ_x0000__x0000_mጲ_x0000__x0000_"/>
      <sheetName val="ጿ_x0000__x0000_Ոጊ_x0000__x0000_sጱ_x0000__x0000_᯸ጲ_x0000__x0000_Vፍ_x0000__x0000_kጳ_x0000__x0000_"/>
      <sheetName val="ጳ_x0000__x0000_Ոጴ_x0000__x0000_sጵ_x0000__x0000_൭ጶ_x0000__x0000_᧌ጷ_x0000__x0000_(ጸ_x0000__x0000_"/>
      <sheetName val="ጳ_x0000__x0000_Ոጴ_x0000__x0000_sጵ_x0000__x0000_tጶ_x0000__x0000_የጷ_x0000__x0000_៉ጸ_x0000__x0000_"/>
      <sheetName val="ጊ_x0000__x0000_Ոጱ_x0000__x0000_sጲ_x0000__x0000_״ፍ_x0000__x0000__ጳ_x0000__x0000_¬ጳ_x0000__x0000_׭ጴ_x0000_"/>
      <sheetName val="ጴ_x0000__x0000_Ոጵ_x0000__x0000_sጶ_x0000__x0000_aጷ_x0000__x0000_iጸ_x0000__x0000_cጿ_x0000__x0000_kጿ"/>
      <sheetName val="ጱ_x0000__x0000_Ոጲ_x0000__x0000_sፍ_x0000__x0000_sጳ_x0000__x0000__ጳ_x0000__x0000_tጴ_x0000__x0000_aጳ"/>
      <sheetName val="ጵ_x0000__x0000_Ոጶ_x0000__x0000_sጷ_x0000__x0000_1ጸ_x0000__x0000_᬴ጿ_x0000__x0000_෠ጿ_x0000__x0000_ගጊ"/>
      <sheetName val="ጊ_x0000__x0000_Ոጱ_x0000__x0000_sጲ_x0000__x0000_೵ፍ_x0000__x0000_ኸጳ_x0000__x0000_೨ጳ_x0000__x0000_°ጴ_x0000_"/>
      <sheetName val="ጱ_x0000__x0000_Ոጲ_x0000__x0000_sፍ_x0000__x0000_sጳ_x0000__x0000_eጳ_x0000__x0000_aጴ_x0000__x0000_aጳ_x0000_"/>
      <sheetName val="ጲ_x0000__x0000_Ոፍ_x0000__x0000_sጳ_x0000__x0000_ެጳ_x0000__x0000_2ጴ_x0000__x0000__ጳ_x0000__x0000_"/>
      <sheetName val="ጴ_x0000__x0000_Ոጳ_x0000__x0000_sጳ_x0000__x0000_Tጴ_x0000__x0000__ጵ_x0000__x0000_Oጶ_x0000__x0000_1"/>
      <sheetName val="ጵ_x0000__x0000_Ոፋ_x0000__x0000_sፌ_x0000__x0000__ጿ_x0000__x0000_᦬ጿ_x0000__x0000_eጊ_x0000__x0000_1"/>
      <sheetName val="ጴ_x0000__x0000_Ոፊ_x0000__x0000_sጵ_x0000__x0000__ፋ_x0000__x0000_bፌ_x0000__x0000_zጿ_x0000__x0000_oጿ_x0000_"/>
      <sheetName val="ጊ_x0000__x0000_Ոጱ_x0000__x0000_sጲ_x0000__x0000_nድ_x0000__x0000_uጳ_x0000__x0000_aጳ_x0000__x0000_u"/>
      <sheetName val="ድ_x0000__x0000_Ոጳ_x0000__x0000_sጳ_x0000__x0000_gጴ_x0000__x0000_eጳ_x0000__x0000_Gጳ_x0000__x0000_C"/>
      <sheetName val="ጳ_x0000__x0000_Ոጳ_x0000__x0000_sጴ_x0000__x0000_iጳ_x0000__x0000_tጳ_x0000__x0000_ ጴ_x0000__x0000_5"/>
      <sheetName val="ፊ_x0000__x0000_Ոጵ_x0000__x0000_sፋ_x0000__x0000_൭ፌ_x0000__x0000_᧌ጿ_x0000__x0000_(ጿ_x0000__x0000_"/>
      <sheetName val="ጳ_x0000__x0000_Ոጳ_x0000__x0000_sጴ_x0000__x0000_tጴ_x0000__x0000_የፊ_x0000__x0000_៉ጵ_x0000__x0000_"/>
      <sheetName val="ጳ_x0000__x0000_Ոጴ_x0000__x0000_sጳ_x0000__x0000_״ጳ_x0000__x0000__ጴ_x0000__x0000_¬ጴ_x0000__x0000_׭ፊ_x0000_"/>
      <sheetName val="ጳ_x0000__x0000_Ոጳ_x0000__x0000_sጴ_x0000__x0000_1ጳ_x0000__x0000_᬴ጳ_x0000__x0000_෠ጴ_x0000__x0000_ගጵ"/>
      <sheetName val="ፌ_x0000__x0000_Ոጿ_x0000__x0000_sጿ_x0000__x0000_aጊ_x0000__x0000_iጱ_x0000__x0000_cጲ_x0000__x0000_kድ"/>
      <sheetName val="ፌ_x0000__x0000_Ոጿ_x0000__x0000_sጿ_x0000__x0000_sጊ_x0000__x0000__ጊ_x0000__x0000_tጊ_x0000__x0000_aጱ"/>
      <sheetName val="ጴ_x0000__x0000_Ոጴ_x0000__x0000_sፊ_x0000__x0000_೵ጵ_x0000__x0000_ኸፋ_x0000__x0000_೨ፌ_x0000__x0000_°ጿ_x0000_"/>
      <sheetName val="ጸ_x0000__x0000_Ոጿ_x0000__x0000_sጿ_x0000__x0000_sጊ_x0000__x0000_eጊ_x0000__x0000_aጊ_x0000__x0000_aጊ_x0000_"/>
      <sheetName val="ጿ_x0000__x0000_Ոጿ_x0000__x0000_sጊ_x0000__x0000_ެጊ_x0000__x0000_2ጊ_x0000__x0000__ጱ_x0000__x0000_"/>
      <sheetName val="ጊ_x0000__x0000_Ոጊ_x0000__x0000_sጊ_x0000__x0000_Tጱ_x0000__x0000__ጲ_x0000__x0000_Oድ_x0000__x0000_2"/>
      <sheetName val="ጿ_x0000__x0000_Ոጊ_x0000__x0000_sጊ_x0000__x0000__ጊ_x0000__x0000_᦬ጊ_x0000__x0000_eጱ_x0000__x0000_2"/>
      <sheetName val="ጳ_x0000__x0000_Ոጴ_x0000__x0000_sጳ_x0000__x0000_nጳ_x0000__x0000_uጴ_x0000__x0000_aጵ_x0000__x0000_uጶ"/>
      <sheetName val="ጴ_x0000__x0000_Ոጳ_x0000__x0000_sጳ_x0000__x0000_gጴ_x0000__x0000_eጴ_x0000__x0000_Gፊ_x0000__x0000_Cጵ"/>
      <sheetName val="ጿ_x0000__x0000_Ոጿ_x0000__x0000_sጊ_x0000__x0000__ጊ_x0000__x0000_bጊ_x0000__x0000_zጊ_x0000__x0000_oጱ_x0000_"/>
      <sheetName val="ፋ_x0000__x0000_Ոፌ_x0000__x0000_sጿ_x0000__x0000_᳀ጿ_x0000__x0000_৑ጊ_x0000__x0000_᳴ጱ_x0000__x0000_"/>
      <sheetName val="ድ_x0000__x0000_Ոጳ_x0000__x0000_sጳ_x0000__x0000__ጴ_x0000__x0000__ጳ_x0000__x0000_mጳ_x0000__x0000_"/>
      <sheetName val="ጵ_x0000__x0000_Ոፋ_x0000__x0000_sፌ_x0000__x0000_iጿ_x0000__x0000_tጿ_x0000__x0000__ጊ_x0000__x0000_5"/>
      <sheetName val="ጿ_x0000__x0000_Ոጊ_x0000__x0000_sጊ_x0000__x0000_൭ጊ_x0000__x0000_᧌ጱ_x0000__x0000_(ጲ_x0000__x0000_"/>
      <sheetName val="ጊ_x0000__x0000_Ոጊ_x0000__x0000_sጱ_x0000__x0000_tጲ_x0000__x0000_የድ_x0000__x0000_៉ጳ_x0000__x0000_"/>
      <sheetName val="ጲ_x0000__x0000_Ոድ_x0000__x0000_sጳ_x0000__x0000_״ጳ_x0000__x0000__ጴ_x0000__x0000_¬ጳ_x0000__x0000_׭ጳ_x0000_"/>
      <sheetName val="ጱ_x0000__x0000_Ոጲ_x0000__x0000_sድ_x0000__x0000_1ጳ_x0000__x0000_᬴ጳ_x0000__x0000_෠ጴ_x0000__x0000_ගጳ"/>
      <sheetName val="ጳ_x0000__x0000_Ոጴ_x0000__x0000_sጴ_x0000__x0000_aፊ_x0000__x0000_iጵ_x0000__x0000_cፋ_x0000__x0000_kፌ"/>
      <sheetName val="ጴ_x0000__x0000_Ոጳ_x0000__x0000_sጳ_x0000__x0000_sጴ_x0000__x0000__ጴ_x0000__x0000_tፊ_x0000__x0000_aጵ"/>
      <sheetName val="ጳ_x0000__x0000_Ոጴ_x0000__x0000_sጳ_x0000__x0000_೵ጳ_x0000__x0000_ኸጴ_x0000__x0000_೨ጴ_x0000__x0000_°ፊ_x0000_"/>
      <sheetName val="ጳ_x0000__x0000_Ոጳ_x0000__x0000_sጴ_x0000__x0000_sጳ_x0000__x0000_eጳ_x0000__x0000_aጴ_x0000__x0000_aጴ_x0000_"/>
      <sheetName val="ፋ_x0000__x0000_Ոፌ_x0000__x0000_sጿ_x0000__x0000_ެጿ_x0000__x0000_2ጊ_x0000__x0000__ጊ_x0000__x0000_"/>
      <sheetName val="ጳ_x0000__x0000_Ոጴ_x0000__x0000_sጵ_x0000__x0000_Tጶ_x0000__x0000__ጷ_x0000__x0000_Oጸ_x0000__x0000_3"/>
      <sheetName val="ጊ_x0000__x0000_Ոጊ_x0000__x0000_sጱ_x0000__x0000__ጲ_x0000__x0000_᦬ድ_x0000__x0000_eጳ_x0000__x0000_3"/>
      <sheetName val="ጵ_x0000__x0000_Ոጶ_x0000__x0000_sጷ_x0000__x0000_nጸ_x0000__x0000_uጿ_x0000__x0000_aጿ_x0000__x0000_uጊ"/>
      <sheetName val="ጷ_x0000__x0000_Ոጸ_x0000__x0000_sጿ_x0000__x0000_gጿ_x0000__x0000_eጊ_x0000__x0000_Gጱ_x0000__x0000_Cጲ"/>
      <sheetName val="ጊ_x0000__x0000_Ոጱ_x0000__x0000_sጲ_x0000__x0000__ድ_x0000__x0000_bጳ_x0000__x0000_zጳ_x0000__x0000_oጴ_x0000_"/>
      <sheetName val="ጴ_x0000__x0000_Ոጵ_x0000__x0000_sጶ_x0000__x0000_᳀ጷ_x0000__x0000_৑ጸ_x0000__x0000_᳴ጿ_x0000__x0000_"/>
      <sheetName val="ጿ_x0000__x0000_Ոጊ_x0000__x0000_sጊ_x0000__x0000_oጱ_x0000__x0000_tጲ_x0000__x0000_iድ_x0000__x0000_"/>
      <sheetName val="ጶ_x0000__x0000_Ոጷ_x0000__x0000_sጸ_x0000__x0000__ጿ_x0000__x0000__ጿ_x0000__x0000_mጊ_x0000__x0000_1"/>
      <sheetName val="ድ_x0000__x0000_Ոጳ_x0000__x0000_sጳ_x0000__x0000_iጴ_x0000__x0000_tጳ_x0000__x0000__ጳ_x0000__x0000_5ጴ"/>
      <sheetName val="ጳ_x0000__x0000_Ոጴ_x0000__x0000_sጵ_x0000__x0000_0ጶ_x0000__x0000_Ýጷ_x0000__x0000_ޥጸ_x0000__x0000_"/>
      <sheetName val="ጳ_x0000__x0000_Ոጳ_x0000__x0000_sጴ_x0000__x0000_0ጵ_x0000__x0000_Ýጶ_x0000__x0000_ޥጷ_x0000__x0000_"/>
      <sheetName val="ጴ_x0000__x0000_Ոጳ_x0000__x0000_sጳ_x0000__x0000_tጴ_x0000__x0000_Cጵ_x0000__x0000_Cጶ_x0000__x0000_rጷ"/>
      <sheetName val="Dầm 1"/>
      <sheetName val="ptvt"/>
      <sheetName val="Gia VLNCMTC"/>
      <sheetName val="BIDDING-SUM"/>
      <sheetName val="Sàn T1"/>
      <sheetName val="Lỗ thông gió"/>
      <sheetName val="Sàn tầng 01 ( old )"/>
      <sheetName val="Xunit_(단위환산)1"/>
      <sheetName val="아파트_1"/>
      <sheetName val="장비코드표_0506011"/>
      <sheetName val="2007년_생산1부장비1"/>
      <sheetName val="2008년_생산부전장비코드1"/>
      <sheetName val="DDB부_장비_관리현황1"/>
      <sheetName val="DGCT_(01)"/>
      <sheetName val="Chi_tiet"/>
      <sheetName val="01__DATA"/>
      <sheetName val="nhôm_1,2mm"/>
      <sheetName val="nhôm_1,4mm"/>
      <sheetName val="KTCK"/>
      <sheetName val="제품마스터"/>
      <sheetName val="chitiet"/>
      <sheetName val="Config"/>
      <sheetName val="Chiet tinh don gia CM"/>
      <sheetName val="THKP"/>
      <sheetName val="DAF-2"/>
      <sheetName val="ጵ"/>
      <sheetName val="ጲ"/>
      <sheetName val="ጳ"/>
      <sheetName val="ፋ"/>
      <sheetName val="ጴ"/>
      <sheetName val="ጿ"/>
      <sheetName val="ጱ"/>
      <sheetName val="ጷ"/>
      <sheetName val="ጻ"/>
      <sheetName val="ጶ"/>
      <sheetName val="ጊ"/>
      <sheetName val="ጸ"/>
      <sheetName val="ፍ"/>
      <sheetName val="ድ"/>
      <sheetName val="ፊ"/>
      <sheetName val="ፌ"/>
      <sheetName val="PS-Labour_M"/>
      <sheetName val="FD"/>
      <sheetName val="GI"/>
      <sheetName val="EE (3)"/>
      <sheetName val="PAVEMENT"/>
      <sheetName val="TRAFFIC"/>
      <sheetName val="Ts"/>
      <sheetName val="General2"/>
      <sheetName val="Measure 1306"/>
      <sheetName val="Pag_hal"/>
      <sheetName val="DNTT"/>
      <sheetName val="일위대㐀븁_x005f_x0000__x005f_x0000_退"/>
      <sheetName val="일위대_x005f_x0000__x005f_x0000_Ԁ_x005f_x0000_䀀"/>
      <sheetName val="공기압舓⿫_x005f_x0005_"/>
      <sheetName val="I_설계조_x005f_x0000_"/>
      <sheetName val="조도계산서_(도서_x005f_x0000_"/>
      <sheetName val="주bea_x005f_xdcf0_"/>
      <sheetName val="대_x005f_x0000__x005f_x0000_"/>
      <sheetName val="Tiepdia"/>
      <sheetName val="RAB AR&amp;STR"/>
      <sheetName val="Isolasi Luar Dalam"/>
      <sheetName val="Isolasi Luar"/>
      <sheetName val="Div26 - Elect"/>
      <sheetName val="5호광장_(만점)6"/>
      <sheetName val="인천국제_(만점)_(2)6"/>
      <sheetName val="Total_단위경유량집계6"/>
      <sheetName val="준검_내역서6"/>
      <sheetName val="토공유동표(전체_당초)6"/>
      <sheetName val="1_수인터널6"/>
      <sheetName val="4_전기6"/>
      <sheetName val="BH-1_(2)6"/>
      <sheetName val="표__지6"/>
      <sheetName val="1_설계조건6"/>
      <sheetName val="조도계산서_(도서)6"/>
      <sheetName val="I_설계조건6"/>
      <sheetName val="11_우각부_보강6"/>
      <sheetName val="제출내역_(2)6"/>
      <sheetName val="우수관매설및_우수받이6"/>
      <sheetName val="11_산출(전열)6"/>
      <sheetName val="6_산출(동력)6"/>
      <sheetName val="7_산출(TRAY)6"/>
      <sheetName val="노원열병합__건축공사기성내역서6"/>
      <sheetName val="앉음벽_(2)6"/>
      <sheetName val="MSS_26"/>
      <sheetName val="2_1__노무비_평균단가산출5"/>
      <sheetName val="내역_ver1_06"/>
      <sheetName val="plan&amp;section_of_foundation6"/>
      <sheetName val="pile_bearing_capa_&amp;_arrenge6"/>
      <sheetName val="working_load_at_the_btm_ft_6"/>
      <sheetName val="stability_check6"/>
      <sheetName val="design_criteria6"/>
      <sheetName val="보고서_기기리스트5"/>
      <sheetName val="7__현장관리비_6"/>
      <sheetName val="6__안전관리비6"/>
      <sheetName val="3련_BOX6"/>
      <sheetName val="소포내역_(2)6"/>
      <sheetName val="배수공_시멘트_및_골재량_산출5"/>
      <sheetName val="_HIT__HMC_견적_3900_6"/>
      <sheetName val="배수내역_(2)5"/>
      <sheetName val="spc_배관견적5"/>
      <sheetName val="投标材料清单_5"/>
      <sheetName val="5_산출(전력)5"/>
      <sheetName val="수량산출서(전력간선_지하D_C)5"/>
      <sheetName val="내___역5"/>
      <sheetName val="플랜트_설치5"/>
      <sheetName val="A_견적5"/>
      <sheetName val="unit_45"/>
      <sheetName val="Customer_Databas5"/>
      <sheetName val="_HIT-&gt;HMC_견적(3900)5"/>
      <sheetName val="전_기5"/>
      <sheetName val="SHEET_PILE단가5"/>
      <sheetName val="목차_5"/>
      <sheetName val="화재_탐지_설비5"/>
      <sheetName val="6PILE__(돌출)5"/>
      <sheetName val="세골재__T2_변경_현황5"/>
      <sheetName val="BH_1__2_5"/>
      <sheetName val="개인별_순위표5"/>
      <sheetName val="1_취수장5"/>
      <sheetName val="Cash_Flow-15"/>
      <sheetName val="3_1공사현황_공정표5"/>
      <sheetName val="2차전체변경예정_(2)5"/>
      <sheetName val="노임_단가5"/>
      <sheetName val="내역서_5"/>
      <sheetName val="8_현장관리비5"/>
      <sheetName val="7_안전관리비5"/>
      <sheetName val="귀래_설계_공내역서5"/>
      <sheetName val="설_계5"/>
      <sheetName val="1_설계기준5"/>
      <sheetName val="집_계_표5"/>
      <sheetName val="별표_5"/>
      <sheetName val="도담구내_개소별_명세5"/>
      <sheetName val="도담구내_개소별_명柖4"/>
      <sheetName val="danh_muc_vat_tu4"/>
      <sheetName val="Register-BG_NCC4"/>
      <sheetName val="Data_24"/>
      <sheetName val="TB_chính4"/>
      <sheetName val="Steel_pipe4"/>
      <sheetName val="Ref_pipe+Ins4"/>
      <sheetName val="Plastic_pipe4"/>
      <sheetName val="Air_Grilles4"/>
      <sheetName val="노임단가_(2)5"/>
      <sheetName val="3_공통공사대비5"/>
      <sheetName val="단___산4"/>
      <sheetName val="실____단4"/>
      <sheetName val="단가_및_재료비5"/>
      <sheetName val="전선_및_전선관4"/>
      <sheetName val="장비비_명세서15"/>
      <sheetName val="7_공정표5"/>
      <sheetName val="단면_(2)5"/>
      <sheetName val="RETAIL_(ABOVE)5"/>
      <sheetName val="5__현장관리비(new)_5"/>
      <sheetName val="내역서1999_8최종4"/>
      <sheetName val="2_대외공문5"/>
      <sheetName val="Sheet1_(2)4"/>
      <sheetName val="Cost_bd-&quot;A&quot;4"/>
      <sheetName val="1차_내역서4"/>
      <sheetName val="장비_(2)4"/>
      <sheetName val="3BL공동구_수량4"/>
      <sheetName val="5_동별횡주관경4"/>
      <sheetName val="암거_제원표4"/>
      <sheetName val="Eq__Mobilization5"/>
      <sheetName val="노무비_근거4"/>
      <sheetName val="제수변_수량집계표(보통)4"/>
      <sheetName val="6__수량산출서4"/>
      <sheetName val="_갑지4"/>
      <sheetName val="1_CB3"/>
      <sheetName val="CM_14"/>
      <sheetName val="일위대가_4"/>
      <sheetName val="4_LINE4"/>
      <sheetName val="7_th4"/>
      <sheetName val="참조_(2)4"/>
      <sheetName val="수량산출서_(2)3"/>
      <sheetName val="토공_total3"/>
      <sheetName val="기성(1차)_3"/>
      <sheetName val="습식및_셀프레벨링4"/>
      <sheetName val="BSD_(2)3"/>
      <sheetName val="바_한일양산3"/>
      <sheetName val="Project_Brief3"/>
      <sheetName val="영업_일13"/>
      <sheetName val="기기_내역서3"/>
      <sheetName val="일위대가56-1_3"/>
      <sheetName val="일위대가71-1_3"/>
      <sheetName val="일위대가74-1_3"/>
      <sheetName val="일위대가76-1_3"/>
      <sheetName val="일위대가77-1_3"/>
      <sheetName val="일위대가78-1_3"/>
      <sheetName val="_소방공사_산출근거3"/>
      <sheetName val="토공_토적표3"/>
      <sheetName val="4__VOs_summary3"/>
      <sheetName val="변경명신물량_(2)3"/>
      <sheetName val="전사_(2)3"/>
      <sheetName val="BA_(2)3"/>
      <sheetName val="CP_(2)3"/>
      <sheetName val="Bảng_mã_VT3"/>
      <sheetName val="Chiet_tinh_dz353"/>
      <sheetName val="기존단가_(2)3"/>
      <sheetName val="Xunit_(단위환산)2"/>
      <sheetName val="Elec_LG1"/>
      <sheetName val="ESTI_1"/>
      <sheetName val="아파트_2"/>
      <sheetName val="장비코드표_0506012"/>
      <sheetName val="2007년_생산1부장비2"/>
      <sheetName val="2008년_생산부전장비코드2"/>
      <sheetName val="DDB부_장비_관리현황2"/>
      <sheetName val="갑지_을지1"/>
      <sheetName val="유효폭의_계산1"/>
      <sheetName val="미납품_현황1"/>
      <sheetName val="DATA_LISTS1"/>
      <sheetName val="SCOPE_OF_WORK1"/>
      <sheetName val="D_&amp;_W_sizes1"/>
      <sheetName val="Gia_vat_tu1"/>
      <sheetName val="dtct_cong1"/>
      <sheetName val="DGCT_(01)1"/>
      <sheetName val="ITB_COST1"/>
      <sheetName val="Chi_tiet1"/>
      <sheetName val="nhôm_1,2mm1"/>
      <sheetName val="nhôm_1,4mm1"/>
      <sheetName val="01__DATA1"/>
      <sheetName val="Phan_tich_ca_may"/>
      <sheetName val="Chenh_lech_ca_may"/>
      <sheetName val="TLg_CN&amp;Laixe"/>
      <sheetName val="TLg_CN&amp;Laixe_(2)"/>
      <sheetName val="TLg_Laitau"/>
      <sheetName val="TLg_Laitau_(2)"/>
      <sheetName val="STEEL_BOX_단면설계(SEC_8)1"/>
      <sheetName val="2-2_매출분석1"/>
      <sheetName val="설명서_1"/>
      <sheetName val="Cọc_nhồi"/>
      <sheetName val="ጵՈጶsጷ״ጸ_ጿ¬ጿ׭ጊ"/>
      <sheetName val="ጳՈጳsጴsጳ_ጳtጴa"/>
      <sheetName val="ጱՈጼsፍ°ጳࠄጳ_ጴ_ጳ"/>
      <sheetName val="ጳՈጴsጳTጳ_ጴOጵ"/>
      <sheetName val="ጵՈፋsፌ_ጿ᦬ጿeጊ"/>
      <sheetName val="ጴՈጵsጶ_ጷbጸzጿoጿ"/>
      <sheetName val="ጊՈጊsጊ_ጊ_ጱmጲ"/>
      <sheetName val="ጳՈጳsጴiጳtጳ_ጴ5"/>
      <sheetName val="Dầm_1"/>
      <sheetName val="Gia_VLNCMTC"/>
      <sheetName val="Sàn_T1"/>
      <sheetName val="Lỗ_thông_gió"/>
      <sheetName val="Sàn_tầng_01_(_old_)"/>
      <sheetName val="Chiet_tinh_don_gia_CM"/>
      <sheetName val="So_sanh"/>
      <sheetName val="Measure_1306"/>
      <sheetName val="EE_(3)"/>
      <sheetName val="DG"/>
      <sheetName val="U.P_Breakdown"/>
      <sheetName val="B-B"/>
      <sheetName val="計算条件"/>
      <sheetName val="8521"/>
      <sheetName val="SITE-E"/>
      <sheetName val="諸経費"/>
      <sheetName val="清水計算営業税率関連"/>
      <sheetName val="General"/>
      <sheetName val="[입찰안.xls][입찰안.xls][입찰안.xls]___3"/>
      <sheetName val="수량"/>
      <sheetName val="PROJ. DATA"/>
      <sheetName val=" Beams Sched "/>
      <sheetName val="본사업"/>
      <sheetName val="총투자비"/>
      <sheetName val="실행내역서 "/>
      <sheetName val="재학생"/>
      <sheetName val="거래처CODE"/>
      <sheetName val="일위대가갂窹"/>
      <sheetName val="일위대가_x0000__x0000_렀"/>
      <sheetName val="일위대가耀쾑_x0000_"/>
      <sheetName val="일위총괄표"/>
      <sheetName val="Gian"/>
      <sheetName val="을지"/>
      <sheetName val="TOWER 12TON"/>
      <sheetName val="공정관리1"/>
      <sheetName val="전체공정"/>
      <sheetName val="주간일정"/>
      <sheetName val="주간일정(미팅)"/>
      <sheetName val="19년"/>
      <sheetName val="7월"/>
      <sheetName val="8월"/>
      <sheetName val="9월"/>
      <sheetName val="10월"/>
      <sheetName val="프로파일계산"/>
      <sheetName val="7월~9월정리분(임과장)"/>
      <sheetName val="각종단가"/>
      <sheetName val="노무비계"/>
      <sheetName val="현장"/>
      <sheetName val="EXCHANGE RATE"/>
      <sheetName val="NP-총정리"/>
      <sheetName val="표지_(2)1"/>
      <sheetName val="2_단면가정_(양곡1교)1"/>
      <sheetName val="갑지_설계_내역서1"/>
      <sheetName val="1_내역(청_하역장전등)1"/>
      <sheetName val="자격_땡겨오기1"/>
      <sheetName val="단양_00_아파트-세부내역1"/>
      <sheetName val="2000_05"/>
      <sheetName val="05년_상1"/>
      <sheetName val="영흥TL(UP,DOWN)_1"/>
      <sheetName val="8_PILE__(돌출)1"/>
      <sheetName val="6_산출닑⾱"/>
      <sheetName val="4_2_1_마루높이_검토1"/>
      <sheetName val="TABLE_DB"/>
      <sheetName val="쌍용_data_base"/>
      <sheetName val="_견적서1"/>
      <sheetName val="수량산출서_갑지1"/>
      <sheetName val="품셈_"/>
      <sheetName val="M-EMS_GP-570(BIT)"/>
      <sheetName val="19_07월_세_계"/>
      <sheetName val="19_07항목별(시트복사금지100번쓰기)"/>
      <sheetName val="19_05월"/>
      <sheetName val="내역서_제출1"/>
      <sheetName val="_FURNACE현설"/>
      <sheetName val="97_사업추정(WEKI)"/>
      <sheetName val="[입찰안_xls]직접뀀鞖/"/>
      <sheetName val="[입찰안_xls][입찰안_xls]직접뀀鞖/"/>
      <sheetName val="자재기성_신청서_xlsx"/>
      <sheetName val="중기조종사_단위단가"/>
      <sheetName val="pile_bearing_capa_&amp;_¬웰ﾕ쀀"/>
      <sheetName val="8_설치품셈"/>
      <sheetName val="소포내역"/>
      <sheetName val="0_목록1"/>
      <sheetName val="[입찰안_xls][입찰안_xls][입찰안_xls]___2"/>
      <sheetName val="내역(인테리어_실내)(도급)"/>
      <sheetName val="내역(인테리어_실외)(도급)"/>
      <sheetName val="조도계산서Å"/>
      <sheetName val="plan&amp;section_of_"/>
      <sheetName val="pile_bearing_capa_&amp;_¬웰ﾕ"/>
      <sheetName val="견적비교표 (2)"/>
      <sheetName val="작성방법(지우지마세요)"/>
      <sheetName val="결재방(지우지 마세요)"/>
      <sheetName val="장_x0000__x0000_Ԁ"/>
      <sheetName val="전기혼잡제경⻉ⴋԯ_x0000_缀"/>
      <sheetName val="유효폭의_계산2"/>
      <sheetName val="2-2_매출분석2"/>
      <sheetName val="2_단면가정_(양곡1교)2"/>
      <sheetName val="갑지_을지2"/>
      <sheetName val="설명서_2"/>
      <sheetName val="STEEL_BOX_단면설계(SEC_8)2"/>
      <sheetName val="미납품_현황2"/>
      <sheetName val="갑지_설계_내역서2"/>
      <sheetName val="1_내역(청_하역장전등)2"/>
      <sheetName val="표지_(2)2"/>
      <sheetName val="자격_땡겨오기2"/>
      <sheetName val="단양_00_아파트-세부내역2"/>
      <sheetName val="2000_051"/>
      <sheetName val="05년_상2"/>
      <sheetName val="영흥TL(UP,DOWN)_2"/>
      <sheetName val="8_PILE__(돌출)2"/>
      <sheetName val="ITB_COST2"/>
      <sheetName val="수량산출서_갑지2"/>
      <sheetName val="품셈_1"/>
      <sheetName val="M-EMS_GP-570(BIT)1"/>
      <sheetName val="4_2_1_마루높이_검토2"/>
      <sheetName val="_견적서2"/>
      <sheetName val="19_07월_세_계1"/>
      <sheetName val="19_07항목별(시트복사금지100번쓰기)1"/>
      <sheetName val="19_05월1"/>
      <sheetName val="_FURNACE현설1"/>
      <sheetName val="97_사업추정(WEKI)1"/>
      <sheetName val="8_설치품셈1"/>
      <sheetName val="내역서_제출2"/>
      <sheetName val="TABLE_DB1"/>
      <sheetName val="쌍용_data_base1"/>
      <sheetName val="중기조종사_단위단가1"/>
      <sheetName val="자재기성_신청서_xlsx1"/>
      <sheetName val="0_목록11"/>
      <sheetName val="[입찰안_xls][입찰안_xls][입찰안_xls]___1"/>
      <sheetName val="내역(인테리어_실내)(도급)1"/>
      <sheetName val="내역(인테리어_실외)(도급)1"/>
      <sheetName val="단"/>
      <sheetName val="[입찰안_xls][입찰안_xls][입찰안_xls]B__2"/>
      <sheetName val="[입찰안_xls][입찰안_xls][입찰안_xls]B__3"/>
      <sheetName val="PROJ__DATA"/>
      <sheetName val="_Beams_Sched_"/>
      <sheetName val="5호광장_(만점)7"/>
      <sheetName val="인천국제_(만점)_(2)7"/>
      <sheetName val="Total_단위경유량집계7"/>
      <sheetName val="준검_내역서7"/>
      <sheetName val="토공유동표(전체_당초)7"/>
      <sheetName val="1_수인터널7"/>
      <sheetName val="11_산출(전열)7"/>
      <sheetName val="6_산출(동력)7"/>
      <sheetName val="7_산출(TRAY)7"/>
      <sheetName val="5_산출(전력)6"/>
      <sheetName val="표__지7"/>
      <sheetName val="4_전기7"/>
      <sheetName val="BH-1_(2)7"/>
      <sheetName val="1_설계조건7"/>
      <sheetName val="조도계산서_(도서)7"/>
      <sheetName val="I_설계조건7"/>
      <sheetName val="앉음벽_(2)7"/>
      <sheetName val="노원열병합__건축공사기성내역서7"/>
      <sheetName val="수량산출서(전력간선_지하D_C)6"/>
      <sheetName val="소포내역_(2)7"/>
      <sheetName val="MSS_27"/>
      <sheetName val="우수관매설및_우수받이7"/>
      <sheetName val="11_우각부_보강7"/>
      <sheetName val="제출내역_(2)7"/>
      <sheetName val="A_견적6"/>
      <sheetName val="3련_BOX7"/>
      <sheetName val="2_1__노무비_평균단가산출6"/>
      <sheetName val="내역_ver1_07"/>
      <sheetName val="보고서_기기리스트6"/>
      <sheetName val="7__현장관리비_7"/>
      <sheetName val="6__안전관리비7"/>
      <sheetName val="_HIT__HMC_견적_3900_7"/>
      <sheetName val="plan&amp;section_of_foundation7"/>
      <sheetName val="pile_bearing_capa_&amp;_arrenge7"/>
      <sheetName val="working_load_at_the_btm_ft_7"/>
      <sheetName val="stability_check7"/>
      <sheetName val="design_criteria7"/>
      <sheetName val="배수공_시멘트_및_골재량_산출6"/>
      <sheetName val="배수내역_(2)6"/>
      <sheetName val="내___역6"/>
      <sheetName val="_HIT-&gt;HMC_견적(3900)6"/>
      <sheetName val="6PILE__(돌출)6"/>
      <sheetName val="SHEET_PILE단가6"/>
      <sheetName val="플랜트_설치6"/>
      <sheetName val="spc_배관견적6"/>
      <sheetName val="1_취수장6"/>
      <sheetName val="3_1공사현황_공정표6"/>
      <sheetName val="Customer_Databas6"/>
      <sheetName val="화재_탐지_설비6"/>
      <sheetName val="2차전체변경예정_(2)6"/>
      <sheetName val="전_기6"/>
      <sheetName val="설_계6"/>
      <sheetName val="목차_6"/>
      <sheetName val="unit_46"/>
      <sheetName val="노임_단가6"/>
      <sheetName val="귀래_설계_공내역서6"/>
      <sheetName val="BH_1__2_6"/>
      <sheetName val="세골재__T2_변경_현황6"/>
      <sheetName val="1_설계기준6"/>
      <sheetName val="집_계_표6"/>
      <sheetName val="참조_(2)5"/>
      <sheetName val="도담구내_개소별_명세6"/>
      <sheetName val="Cash_Flow-16"/>
      <sheetName val="8_현장관리비6"/>
      <sheetName val="7_안전관리비6"/>
      <sheetName val="개인별_순위표6"/>
      <sheetName val="별표_6"/>
      <sheetName val="내역서_6"/>
      <sheetName val="노임단가_(2)6"/>
      <sheetName val="제수변_수량집계표(보통)5"/>
      <sheetName val="投标材料清单_6"/>
      <sheetName val="3_공통공사대비6"/>
      <sheetName val="단가_및_재료비6"/>
      <sheetName val="RETAIL_(ABOVE)6"/>
      <sheetName val="5__현장관리비(new)_6"/>
      <sheetName val="장비비_명세서16"/>
      <sheetName val="단___산5"/>
      <sheetName val="실____단5"/>
      <sheetName val="암거_제원표5"/>
      <sheetName val="7_공정표6"/>
      <sheetName val="단면_(2)6"/>
      <sheetName val="2_대외공문6"/>
      <sheetName val="Eq__Mobilization6"/>
      <sheetName val="노무비_근거5"/>
      <sheetName val="전선_및_전선관5"/>
      <sheetName val="3BL공동구_수량5"/>
      <sheetName val="내역서1999_8최종5"/>
      <sheetName val="Sheet1_(2)5"/>
      <sheetName val="_갑지5"/>
      <sheetName val="5_동별횡주관경5"/>
      <sheetName val="CM_15"/>
      <sheetName val="6__수량산출서5"/>
      <sheetName val="장비_(2)5"/>
      <sheetName val="수량산출서_(2)4"/>
      <sheetName val="토공_total4"/>
      <sheetName val="기성(1차)_4"/>
      <sheetName val="일위대가_5"/>
      <sheetName val="4_LINE5"/>
      <sheetName val="7_th5"/>
      <sheetName val="습식및_셀프레벨링5"/>
      <sheetName val="1차_내역서5"/>
      <sheetName val="BSD_(2)4"/>
      <sheetName val="바_한일양산4"/>
      <sheetName val="Project_Brief4"/>
      <sheetName val="영업_일14"/>
      <sheetName val="기기_내역서4"/>
      <sheetName val="아파트_3"/>
      <sheetName val="1_CB4"/>
      <sheetName val="_소방공사_산출근거4"/>
      <sheetName val="일위대가56-1_4"/>
      <sheetName val="일위대가71-1_4"/>
      <sheetName val="일위대가74-1_4"/>
      <sheetName val="일위대가76-1_4"/>
      <sheetName val="일위대가77-1_4"/>
      <sheetName val="일위대가78-1_4"/>
      <sheetName val="전사_(2)4"/>
      <sheetName val="BA_(2)4"/>
      <sheetName val="CP_(2)4"/>
      <sheetName val="토공_토적표4"/>
      <sheetName val="변경명신물량_(2)4"/>
      <sheetName val="기존단가_(2)4"/>
      <sheetName val="유효폭의_계산3"/>
      <sheetName val="2-2_매출분석3"/>
      <sheetName val="2_단면가정_(양곡1교)3"/>
      <sheetName val="갑지_을지3"/>
      <sheetName val="설명서_3"/>
      <sheetName val="STEEL_BOX_단면설계(SEC_8)3"/>
      <sheetName val="미납품_현황3"/>
      <sheetName val="도담구내_개소별_명柖5"/>
      <sheetName val="danh_muc_vat_tu5"/>
      <sheetName val="Register-BG_NCC5"/>
      <sheetName val="Data_25"/>
      <sheetName val="TB_chính5"/>
      <sheetName val="Steel_pipe5"/>
      <sheetName val="Ref_pipe+Ins5"/>
      <sheetName val="Plastic_pipe5"/>
      <sheetName val="Air_Grilles5"/>
      <sheetName val="Cost_bd-&quot;A&quot;5"/>
      <sheetName val="갑지_설계_내역서3"/>
      <sheetName val="1_내역(청_하역장전등)3"/>
      <sheetName val="표지_(2)3"/>
      <sheetName val="자격_땡겨오기3"/>
      <sheetName val="단양_00_아파트-세부내역3"/>
      <sheetName val="2000_052"/>
      <sheetName val="05년_상3"/>
      <sheetName val="영흥TL(UP,DOWN)_3"/>
      <sheetName val="8_PILE__(돌출)3"/>
      <sheetName val="ITB_COST3"/>
      <sheetName val="수량산출서_갑지3"/>
      <sheetName val="품셈_2"/>
      <sheetName val="M-EMS_GP-570(BIT)2"/>
      <sheetName val="4_2_1_마루높이_검토3"/>
      <sheetName val="_견적서3"/>
      <sheetName val="4__VOs_summary4"/>
      <sheetName val="Chiet_tinh_dz354"/>
      <sheetName val="19_07월_세_계2"/>
      <sheetName val="19_07항목별(시트복사금지100번쓰기)2"/>
      <sheetName val="19_05월2"/>
      <sheetName val="DATA_LISTS2"/>
      <sheetName val="_FURNACE현설2"/>
      <sheetName val="97_사업추정(WEKI)2"/>
      <sheetName val="8_설치품셈2"/>
      <sheetName val="내역서_제출3"/>
      <sheetName val="TABLE_DB2"/>
      <sheetName val="쌍용_data_base2"/>
      <sheetName val="Bảng_mã_VT4"/>
      <sheetName val="중기조종사_단위단가2"/>
      <sheetName val="자재기성_신청서_xlsx2"/>
      <sheetName val="0_목록12"/>
      <sheetName val="Elec_LG2"/>
      <sheetName val="ESTI_2"/>
      <sheetName val="[입찰안_xls][입찰안_xls][입찰안_xls]___3"/>
      <sheetName val="내역(인테리어_실내)(도급)2"/>
      <sheetName val="내역(인테리어_실외)(도급)2"/>
      <sheetName val="D_&amp;_W_sizes2"/>
      <sheetName val="Gia_vat_tu2"/>
      <sheetName val="dtct_cong2"/>
      <sheetName val="So_sanh1"/>
      <sheetName val="[입찰안_xls][입찰안_xls][입찰안_xls]B__1"/>
      <sheetName val="[입찰안_xls][입찰안_xls][입찰안_xls]B__4"/>
      <sheetName val="PROJ__DATA1"/>
      <sheetName val="_Beams_Sched_1"/>
      <sheetName val="조경수볰"/>
      <sheetName val="전신"/>
      <sheetName val="원본(갑지)"/>
      <sheetName val="판매시설"/>
      <sheetName val="할증 "/>
      <sheetName val="eq_data"/>
      <sheetName val="간접비 총괄표"/>
      <sheetName val="시운전壒》"/>
      <sheetName val="6-1.보오링(1)"/>
      <sheetName val="기계경비산출기준"/>
      <sheetName val="공사투입계획(변경결의)19.9"/>
      <sheetName val="노무비 월별지급현황19.9"/>
      <sheetName val="갑지(외주기성)19.9"/>
      <sheetName val="단면ⲴǾ"/>
      <sheetName val="노임단가 및 기계경비"/>
      <sheetName val="심사계산"/>
      <sheetName val="총괄집계표"/>
      <sheetName val="[입찰안.xls][입찰안.xls][입찰안.xls]B_62"/>
      <sheetName val="[입찰안.xls][입찰안.xls][입찰안.xls]B_64"/>
      <sheetName val="[입찰안.xls][입찰안.xls][입찰안.xls]B_63"/>
      <sheetName val="[입찰안.xls][입찰안.xls][입찰안.xls]B_61"/>
      <sheetName val="[입찰안.xls][입찰안.xls][입찰안.xls]B_65"/>
      <sheetName val="[입찰안.xls][입찰안.xls][입찰안.xls]B_67"/>
      <sheetName val="[입찰안.xls][입찰안.xls][입찰안.xls]B_66"/>
      <sheetName val="[입찰안.xls][입찰안.xls][입찰안.xls]B_68"/>
      <sheetName val="[입찰안.xls][입찰안.xls][입찰안.xls]_106"/>
      <sheetName val="[입찰안.xls][입찰안.xls][입찰안.xls]_105"/>
      <sheetName val="[입찰안.xls][입찰안.xls][입찰안.xls]___4"/>
      <sheetName val="[입찰안.xls][입찰안.xls][입찰안.xls]B_69"/>
      <sheetName val="[입찰안.xls][입찰안.xls][입찰안.xls]B_79"/>
      <sheetName val="[입찰안.xls][입찰안.xls][입찰안.xls]B_85"/>
      <sheetName val="[입찰안.xls][입찰안.xls][입찰안.xls]B_86"/>
      <sheetName val="[입찰안.xls][입찰안.xls][입찰안.xls]B_71"/>
      <sheetName val="[입찰안.xls][입찰안.xls][입찰안.xls]B_70"/>
      <sheetName val="[입찰안.xls][입찰안.xls][입찰안.xls]B_73"/>
      <sheetName val="[입찰안.xls][입찰안.xls][입찰안.xls]B_74"/>
      <sheetName val="[입찰안.xls][입찰안.xls][입찰안.xls]B_72"/>
      <sheetName val="[입찰안.xls][입찰안.xls][입찰안.xls]B_75"/>
      <sheetName val="[입찰안.xls][입찰안.xls][입찰안.xls]B_77"/>
      <sheetName val="[입찰안.xls][입찰안.xls][입찰안.xls]B_78"/>
      <sheetName val="[입찰안.xls][입찰안.xls][입찰안.xls]B_76"/>
      <sheetName val="[입찰안.xls][입찰안.xls][입찰안.xls]B_81"/>
      <sheetName val="[입찰안.xls][입찰안.xls][입찰안.xls]B_82"/>
      <sheetName val="[입찰안.xls][입찰안.xls][입찰안.xls]B_80"/>
      <sheetName val="[입찰안.xls][입찰안.xls][입찰안.xls]B_83"/>
      <sheetName val="[입찰안.xls][입찰안.xls][입찰안.xls]B_84"/>
      <sheetName val="[입찰안.xls][입찰안.xls][입찰안.xls]B_88"/>
      <sheetName val="[입찰안.xls][입찰안.xls][입찰안.xls]B_93"/>
      <sheetName val="[입찰안.xls][입찰안.xls][입찰안.xls]B_94"/>
      <sheetName val="[입찰안.xls][입찰안.xls][입찰안.xls]B_87"/>
      <sheetName val="[입찰안.xls][입찰안.xls][입찰안.xls]B_89"/>
      <sheetName val="[입찰안.xls][입찰안.xls][입찰안.xls]B_91"/>
      <sheetName val="[입찰안.xls][입찰안.xls][입찰안.xls]B_90"/>
      <sheetName val="[입찰안.xls][입찰안.xls][입찰안.xls]B_92"/>
      <sheetName val="[입찰안.xls][입찰안.xls][입찰안.xls]_100"/>
      <sheetName val="[입찰안.xls][입찰안.xls][입찰안.xls]B_98"/>
      <sheetName val="[입찰안.xls][입찰안.xls][입찰안.xls]B_95"/>
      <sheetName val="[입찰안.xls][입찰안.xls][입찰안.xls]B_96"/>
      <sheetName val="[입찰안.xls][입찰안.xls][입찰안.xls]B_97"/>
      <sheetName val="[입찰안.xls][입찰안.xls][입찰안.xls]B_99"/>
      <sheetName val="[입찰안.xls][입찰안.xls][입찰안.xls]_101"/>
      <sheetName val="[입찰안.xls][입찰안.xls][입찰안.xls]_102"/>
      <sheetName val="[입찰안.xls][입찰안.xls][입찰안.xls]_103"/>
      <sheetName val="[입찰안.xls][입찰안.xls][입찰안.xls]_104"/>
      <sheetName val="[입찰안.xls][입찰안.xls][입찰안.xls]_107"/>
      <sheetName val="[입찰안.xls][입찰안.xls][입찰안.xls]_108"/>
      <sheetName val="[입찰안.xls][입찰안.xls][입찰안.xls]_109"/>
      <sheetName val="[입찰안.xls][입찰안.xls][입찰안.xls]_112"/>
      <sheetName val="[입찰안.xls][입찰안.xls][입찰안.xls]_111"/>
      <sheetName val="[입찰안.xls][입찰안.xls][입찰안.xls]_110"/>
      <sheetName val="[입찰안.xls][입찰안.xls][입찰안.xls]_113"/>
      <sheetName val="[입찰안.xls][입찰안.xls][입찰안.xls]_114"/>
      <sheetName val="[입찰안.xls][입찰안.xls][입찰안.xls]_116"/>
      <sheetName val="[입찰안.xls][입찰안.xls][입찰안.xls]_115"/>
      <sheetName val="[입찰안.xls][입찰안.xls][입찰안.xls]_117"/>
      <sheetName val="조도계산서Ì_x0000_Ԁ_x0000_耀"/>
      <sheetName val="O＆P"/>
      <sheetName val="plan&amp;section_of勉_x0010__x0000__x0000__x0000__x0000__x0000__x0001_Ԁ_x0000__xdc00_"/>
      <sheetName val="조경내역서"/>
      <sheetName val="본실행경비"/>
      <sheetName val="일위대가(집계刀"/>
      <sheetName val="적용비율"/>
      <sheetName val="공사착공계"/>
      <sheetName val="공기압¬"/>
      <sheetName val="수량산출서집´"/>
      <sheetName val="정리계槜で"/>
      <sheetName val="Cable임피던스"/>
      <sheetName val="Mc1"/>
      <sheetName val="영창26"/>
      <sheetName val="[입찰안.xls][입찰안.xls][입찰안.xls]_118"/>
      <sheetName val="[입찰안.xls][입찰안.xls][입찰안.xls]_122"/>
      <sheetName val="[입찰안.xls][입찰안.xls][입찰안.xls]_119"/>
      <sheetName val="수량산출서집계("/>
      <sheetName val="노임단가(일반)"/>
      <sheetName val="Requirement(Work Crew)"/>
      <sheetName val="기계경비시간당손료목록"/>
      <sheetName val="Cong"/>
      <sheetName val="GC산출"/>
      <sheetName val="BOQ"/>
      <sheetName val="1.R18 BF"/>
      <sheetName val="A"/>
      <sheetName val="G"/>
      <sheetName val="F-B"/>
      <sheetName val="H-J"/>
      <sheetName val="6.External works-R18"/>
      <sheetName val="[입찰안.xls][입찰안.xls][입찰안.xls]_120"/>
      <sheetName val="[입찰안.xls][입찰안.xls][입찰안.xls]_121"/>
      <sheetName val="[입찰안.xls][입찰안.xls][입찰안.xls]_123"/>
      <sheetName val="일위대가ꤥ"/>
      <sheetName val="노.표-조"/>
      <sheetName val="1-7(재가공내역)"/>
      <sheetName val="교대(A1-A2)"/>
      <sheetName val="Sheet15"/>
      <sheetName val="AS접수관리"/>
      <sheetName val="의견양식"/>
      <sheetName val="[입찰안.xls][입찰안.xls][입찰안.xls]_127"/>
      <sheetName val="[입찰안.xls][입찰안.xls][입찰안.xls]_126"/>
      <sheetName val="[입찰안.xls][입찰안.xls][입찰안.xls]_125"/>
      <sheetName val="[입찰안.xls][입찰안.xls][입찰안.xls]_124"/>
      <sheetName val="[입찰안.xls][입찰안.xls][입찰안.xls]_128"/>
      <sheetName val="사  업  비  수  지  예  산  서"/>
      <sheetName val="[입찰안.xls][입찰안.xls][입찰안.xls]_130"/>
      <sheetName val="[입찰안.xls][입찰안.xls][입찰안.xls]_129"/>
      <sheetName val="예산"/>
      <sheetName val="PTDGDT"/>
      <sheetName val="일위대??Ԁ?䀀"/>
      <sheetName val="일위대㐀븁??退"/>
      <sheetName val="I_설계조?"/>
      <sheetName val="조도계산서_(도서?"/>
      <sheetName val="대??"/>
      <sheetName val="POL6차-PIPÁ_x0000_Ԁ"/>
      <sheetName val="POL6차-PIPⶌ쌈"/>
      <sheetName val="General Data"/>
      <sheetName val="POL6차-PIPÁ"/>
      <sheetName val="산출0"/>
      <sheetName val="Gia"/>
      <sheetName val="VCV-BE-TONG"/>
      <sheetName val="Dulieu"/>
      <sheetName val="020.235.2363"/>
      <sheetName val="CHITIET VL-NC-TT1p"/>
      <sheetName val="Project Infor"/>
      <sheetName val="Data input"/>
      <sheetName val="bang TH"/>
      <sheetName val="공통உ"/>
      <sheetName val="직접뀀鞖_"/>
      <sheetName val="Bill 01 - CTN"/>
      <sheetName val="TEMP"/>
      <sheetName val="cov-estimate"/>
      <sheetName val="GAEYO"/>
      <sheetName val="BMS"/>
      <sheetName val="入力作成表"/>
      <sheetName val="_입찰안.xls_직접뀀鞖_"/>
      <sheetName val="_입찰안.xls__입찰안.xls_직접뀀鞖_"/>
      <sheetName val="결재_x005f_x0000_"/>
      <sheetName val="전기혼잡제경⻉ⴋԯ"/>
      <sheetName val="pile_bearing_ca怀꿟세"/>
      <sheetName val="[입찰안.xls][입찰안.xls][입찰안.xls]_140"/>
      <sheetName val="[입찰안.xls][입찰안.xls][입찰안.xls]_142"/>
      <sheetName val="중기가격"/>
      <sheetName val="[입찰안.xls][입찰안.xls][입찰안.xls]_137"/>
      <sheetName val="[입찰안.xls][입찰안.xls][입찰안.xls]_136"/>
      <sheetName val="[입찰안.xls][입찰안.xls][입찰안.xls]_139"/>
      <sheetName val="설명"/>
      <sheetName val="3련_BÈ_x0000_"/>
      <sheetName val="[입찰안.xls][입찰안.xls][입찰안.xls]_134"/>
      <sheetName val="[입찰안.xls][입찰안.xls][입찰안.xls]_131"/>
      <sheetName val="[입찰안.xls][입찰안.xls][입찰안.xls]_132"/>
      <sheetName val="[입찰안.xls][입찰안.xls][입찰안.xls]_133"/>
      <sheetName val="[입찰안.xls][입찰안.xls][입찰안.xls]_135"/>
      <sheetName val="[입찰안.xls][입찰안.xls][입찰안.xls]_138"/>
      <sheetName val="[입찰안.xls][입찰안.xls][입찰안.xls]_141"/>
      <sheetName val="[입찰안.xls][입찰안.xls][입찰안.xls]_161"/>
      <sheetName val="집계장(뀀ﰡ 縞悧縳"/>
      <sheetName val="집계장(뀀ﰡ_x0000_䀰"/>
      <sheetName val="[입찰안.xls][입찰안.xls][입찰안.xls]_162"/>
      <sheetName val="[입찰안.xls][입찰안.xls][입찰안.xls]_163"/>
      <sheetName val="매각(6)"/>
      <sheetName val="신우"/>
      <sheetName val="집계장(Â_x0000_蠀1_x0000__x0000_"/>
      <sheetName val="[입찰안.xls][입찰안.xls][입찰안.xls]_143"/>
      <sheetName val="[입찰안.xls][입찰안.xls][입찰안.xls]_147"/>
      <sheetName val="[입찰안.xls][입찰안.xls][입찰안.xls]_146"/>
      <sheetName val="[입찰안.xls][입찰안.xls][입찰안.xls]_145"/>
      <sheetName val="표준차도부연장집계-ASP"/>
      <sheetName val="노임변ᡆ콞"/>
      <sheetName val="PL98"/>
      <sheetName val="bs"/>
      <sheetName val="BSM9601"/>
      <sheetName val="정리계槜〩_x0000__x0000_８"/>
      <sheetName val="[입찰안.xls][입찰안.xls][입찰안.xls]_144"/>
      <sheetName val="0001new"/>
      <sheetName val="[입찰안.xls][입찰안.xls][입찰안.xls]_158"/>
      <sheetName val="[입찰안.xls][입찰안.xls][입찰안.xls]_152"/>
      <sheetName val="[입찰안.xls][입찰안.xls][입찰안.xls]_151"/>
      <sheetName val="[입찰안.xls][입찰안.xls][입찰안.xls]_149"/>
      <sheetName val="[입찰안.xls][입찰안.xls][입찰안.xls]_148"/>
      <sheetName val="[입찰안.xls][입찰안.xls][입찰안.xls]_150"/>
      <sheetName val="[입찰안.xls][입찰안.xls][입찰안.xls]_157"/>
      <sheetName val="[입찰안.xls][입찰안.xls][입찰안.xls]_153"/>
      <sheetName val="[입찰안.xls][입찰안.xls][입찰안.xls]_154"/>
      <sheetName val="[입찰안.xls][입찰안.xls][입찰안.xls]_155"/>
      <sheetName val="[입찰안.xls][입찰안.xls][입찰안.xls]_156"/>
      <sheetName val="[입찰안.xls][입찰안.xls][입찰안.xls]_159"/>
      <sheetName val="[입찰안.xls][입찰안.xls][입찰안.xls]_160"/>
      <sheetName val="[입찰안.xls][입찰안.xls][입찰안.xls]_166"/>
      <sheetName val="[입찰안.xls][입찰안.xls][입찰안.xls]_167"/>
      <sheetName val="[입찰안.xls][입찰안.xls][입찰안.xls]_164"/>
      <sheetName val="[입찰안.xls][입찰안.xls][입찰안.xls]_165"/>
      <sheetName val="[입찰안.xls][입찰안.xls][입찰안.xls]_169"/>
      <sheetName val="[입찰안.xls][입찰안.xls][입찰안.xls]_168"/>
      <sheetName val="[입찰안.xls][입찰안.xls][입찰안.xls]_171"/>
      <sheetName val="[입찰안.xls][입찰안.xls][입찰안.xls]_170"/>
      <sheetName val="[입찰안.xls][입찰안.xls][입찰안.xls]_176"/>
      <sheetName val="[입찰안.xls][입찰안.xls][입찰안.xls]_174"/>
      <sheetName val="[입찰안.xls][입찰안.xls][입찰안.xls]_175"/>
      <sheetName val="[입찰안.xls][입찰안.xls][입찰안.xls]_172"/>
      <sheetName val="[입찰안.xls][입찰안.xls][입찰안.xls]_173"/>
      <sheetName val="내역서(삼호)"/>
      <sheetName val="[입찰안.xls][입찰안.xls][입찰안.xls]_180"/>
      <sheetName val="[입찰안.xls][입찰안.xls][입찰안.xls]_179"/>
      <sheetName val="[입찰안.xls][입찰안.xls][입찰안.xls]_178"/>
      <sheetName val="[입찰안.xls][입찰안.xls][입찰안.xls]_177"/>
      <sheetName val="6__안전관_x0000__x0000_"/>
      <sheetName val="[입찰안.xls][입찰안.xls][입찰안.xls]_182"/>
      <sheetName val="[입찰안.xls][입찰안.xls][입찰안.xls]_181"/>
      <sheetName val="[입찰안.xls][입찰안.xls][입찰안.xls]_183"/>
      <sheetName val="[입찰안.xls][입찰안.xls][입찰안.xls]_185"/>
      <sheetName val="[입찰안.xls][입찰안.xls][입찰안.xls]_184"/>
      <sheetName val="[입찰안.xls][입찰안.xls][입찰안.xls]_186"/>
      <sheetName val="MATRLDATA"/>
      <sheetName val="일위대가목록(ems)"/>
      <sheetName val="[입찰안.xls][입찰안.xls][입찰안.xls]_241"/>
      <sheetName val="[입찰안.xls][입찰안.xls][입찰안.xls]_226"/>
      <sheetName val="[입찰안.xls][입찰안.xls][입찰안.xls]_220"/>
      <sheetName val="[입찰안.xls][입찰안.xls][입찰안.xls]_190"/>
      <sheetName val="design_c_x0000__x0000_Ȑꙭî_x0000_"/>
      <sheetName val="[입찰안.xls][입찰안.xls][입찰안.xls]_187"/>
      <sheetName val="[입찰안.xls][입찰안.xls][입찰안.xls]_189"/>
      <sheetName val="[입찰안.xls][입찰안.xls][입찰안.xls]_188"/>
      <sheetName val="[입찰안.xls][입찰안.xls][입찰안.xls]_195"/>
      <sheetName val="[입찰안.xls][입찰안.xls][입찰안.xls]_191"/>
      <sheetName val="[입찰안.xls][입찰안.xls][입찰안.xls]_192"/>
      <sheetName val="[입찰안.xls][입찰안.xls][입찰안.xls]_193"/>
      <sheetName val="[입찰안.xls][입찰안.xls][입찰안.xls]_194"/>
      <sheetName val="[입찰안.xls][입찰안.xls][입찰안.xls]_201"/>
      <sheetName val="[입찰안.xls][입찰안.xls][입찰안.xls]_203"/>
      <sheetName val="[입찰안.xls][입찰안.xls][입찰안.xls]_204"/>
      <sheetName val="45,46"/>
      <sheetName val="Btra"/>
      <sheetName val="[입찰안.xls][입찰안.xls][입찰안.xls]_197"/>
      <sheetName val="[입찰안.xls][입찰안.xls][입찰안.xls]_196"/>
      <sheetName val="[입찰안.xls][입찰안.xls][입찰안.xls]_199"/>
      <sheetName val="[입찰안.xls][입찰안.xls][입찰안.xls]_198"/>
      <sheetName val="[입찰안.xls][입찰안.xls][입찰안.xls]_200"/>
      <sheetName val="[입찰안.xls][입찰안.xls][입찰안.xls]_202"/>
      <sheetName val="[입찰안.xls][입찰안.xls][입찰안.xls]_205"/>
      <sheetName val="[입찰안.xls][입찰안.xls][입찰안.xls]_207"/>
      <sheetName val="[입찰안.xls][입찰안.xls][입찰안.xls]_209"/>
      <sheetName val="[입찰안.xls][입찰안.xls][입찰안.xls]_206"/>
      <sheetName val="[입찰안.xls][입찰안.xls][입찰안.xls]_215"/>
      <sheetName val="[입찰안.xls][입찰안.xls][입찰안.xls]_208"/>
      <sheetName val="[입찰안.xls][입찰안.xls][입찰안.xls]_218"/>
      <sheetName val="[입찰안.xls][입찰안.xls][입찰안.xls]_210"/>
      <sheetName val="[입찰안.xls][입찰안.xls][입찰안.xls]_212"/>
      <sheetName val="[입찰안.xls][입찰안.xls][입찰안.xls]_213"/>
      <sheetName val="[입찰안.xls][입찰안.xls][입찰안.xls]_214"/>
      <sheetName val="[입찰안.xls][입찰안.xls][입찰안.xls]_211"/>
      <sheetName val="[입찰안.xls][입찰안.xls][입찰안.xls]_216"/>
      <sheetName val="[입찰안.xls][입찰안.xls][입찰안.xls]_217"/>
      <sheetName val="[입찰안.xls][입찰안.xls][입찰안.xls]_219"/>
      <sheetName val="[입찰안.xls][입찰안.xls][입찰안.xls]_222"/>
      <sheetName val="[입찰안.xls][입찰안.xls][입찰안.xls]_223"/>
      <sheetName val="[입찰안.xls][입찰안.xls][입찰안.xls]_221"/>
      <sheetName val="[입찰안.xls][입찰안.xls][입찰안.xls]_225"/>
      <sheetName val="[입찰안.xls][입찰안.xls][입찰안.xls]_224"/>
      <sheetName val="SUMMARY"/>
      <sheetName val="Phan tho"/>
      <sheetName val="Data-year2001i"/>
      <sheetName val="Tien Thuong"/>
      <sheetName val="NC XL 6T cuoi 01 CTy"/>
      <sheetName val="Data -6T dau"/>
      <sheetName val="Cong 6T"/>
      <sheetName val="[입찰안.xls][입찰안.xls][입찰안.xls]_243"/>
      <sheetName val="[입찰안.xls][입찰안.xls][입찰안.xls]_244"/>
      <sheetName val="[입찰안.xls][입찰안.xls][입찰안.xls]_227"/>
      <sheetName val="[입찰안.xls][입찰안.xls][입찰안.xls]_232"/>
      <sheetName val="[입찰안.xls][입찰안.xls][입찰안.xls]_228"/>
      <sheetName val="경서-통신"/>
      <sheetName val="정산변경"/>
      <sheetName val="골재"/>
      <sheetName val="운반비(시흥)"/>
      <sheetName val="전사계"/>
      <sheetName val="구조물집계"/>
      <sheetName val="토공집계"/>
      <sheetName val="[입찰안.xls][입찰안.xls][입찰안.xls]_230"/>
      <sheetName val="[입찰안.xls][입찰안.xls][입찰안.xls]_229"/>
      <sheetName val="[입찰안.xls][입찰안.xls][입찰안.xls]_233"/>
      <sheetName val="[입찰안.xls][입찰안.xls][입찰안.xls]_231"/>
      <sheetName val="[입찰안.xls][입찰안.xls][입찰안.xls]_234"/>
      <sheetName val="[입찰안.xls][입찰안.xls][입찰안.xls]_238"/>
      <sheetName val="[입찰안.xls][입찰안.xls][입찰안.xls]_236"/>
      <sheetName val="[입찰안.xls][입찰안.xls][입찰안.xls]_237"/>
      <sheetName val="[입찰안.xls][입찰안.xls][입찰안.xls]_235"/>
      <sheetName val="[입찰안.xls][입찰안.xls][입찰안.xls]_240"/>
      <sheetName val="[입찰안.xls][입찰안.xls][입찰안.xls]_239"/>
      <sheetName val="[입찰안.xls][입찰안.xls][입찰안.xls]_242"/>
      <sheetName val="인건비(환율)"/>
      <sheetName val="기계경비"/>
      <sheetName val="급여대장(입력용)"/>
      <sheetName val="성명데이터"/>
      <sheetName val="[입찰안.xls][입찰안.xls][입찰안.xls]_254"/>
      <sheetName val="[입찰안.xls][입찰안.xls][입찰안.xls]_251"/>
      <sheetName val="[입찰안.xls][입찰안.xls][입찰안.xls]_252"/>
      <sheetName val="원본자재"/>
      <sheetName val="특별땅고르기"/>
      <sheetName val="휴가비,급량비"/>
      <sheetName val="[입찰안.xls][입찰안.xls][입찰안.xls]___5"/>
      <sheetName val="[입찰안.xls][입찰안.xls][입찰안.xls]___6"/>
      <sheetName val="[입찰안.xls][입찰안_xls]직접뀀鞖/"/>
      <sheetName val="[입찰안.xls][입찰안_xls][입찰안_xls]___2"/>
      <sheetName val="공기압᪬቙԰"/>
      <sheetName val="수지½_x0000_"/>
      <sheetName val="정리계㑸4鉨M槜"/>
      <sheetName val="홈용접표"/>
      <sheetName val="토공수량산출"/>
      <sheetName val="토적계산서"/>
      <sheetName val="stability_xdc00_䘢䠂檱䠛檳"/>
      <sheetName val="[입찰안.xls][입찰안.xls][입찰안.xls]_246"/>
      <sheetName val="[입찰안.xls][입찰안.xls][입찰안.xls]_245"/>
      <sheetName val="[입찰안.xls][입찰안.xls][입찰안.xls]_247"/>
      <sheetName val="[입찰안.xls][입찰안.xls][입찰안.xls]_248"/>
      <sheetName val="[입찰안.xls][입찰안.xls][입찰안.xls]_249"/>
      <sheetName val="[입찰안.xls][입찰안.xls][입찰안.xls]_250"/>
      <sheetName val="Sheet2 (2)"/>
      <sheetName val="600(3)a"/>
      <sheetName val="콘크리트"/>
      <sheetName val="비용"/>
      <sheetName val="정리계_x0000__x0000__x0005__x0000_앀"/>
      <sheetName val="정리계_x0000__x0000__x0005__x0000__xde00_"/>
      <sheetName val="정리계_x0000__x0000__x0005__x0000_"/>
      <sheetName val="내역_ver1_"/>
      <sheetName val="내역_ver1_뀀"/>
      <sheetName val="VL"/>
      <sheetName val="정리계槜〽_x0000__x0000_ｐ"/>
      <sheetName val="3련_B胔Ẩ"/>
      <sheetName val="3련_B˔_x0000_"/>
      <sheetName val="3련_B㷔₼"/>
      <sheetName val="3련_B㷔嚼"/>
      <sheetName val="자가"/>
      <sheetName val="노원열병합__건축공사기성내역_x0000_"/>
      <sheetName val="[입찰안.xls][입찰안.xls][입찰안.xls]_253"/>
      <sheetName val="[입찰안.xls][입찰안.xls][입찰안.xls]_255"/>
      <sheetName val="[입찰안.xls][입찰안.xls][입찰안.xls]_262"/>
      <sheetName val="[입찰안.xls][입찰안.xls][입찰안.xls]_263"/>
      <sheetName val="[입찰안.xls][입찰안.xls][입찰안.xls]_264"/>
      <sheetName val="[입찰안.xls][입찰안.xls][입찰안.xls]_257"/>
      <sheetName val="[입찰안.xls][입찰안.xls][입찰안.xls]_258"/>
      <sheetName val="[입찰안.xls][입찰안.xls][입찰안.xls]_256"/>
      <sheetName val="[입찰안.xls][입찰안.xls][입찰안.xls]_260"/>
      <sheetName val="[입찰안.xls][입찰안.xls][입찰안.xls]_259"/>
      <sheetName val="[입찰안.xls][입찰안.xls][입찰안.xls]_261"/>
      <sheetName val="[입찰안.xls][입찰안.xls][입찰안.xls]_265"/>
      <sheetName val="토공분배표"/>
      <sheetName val="[입찰안.xls][입찰안.xls][입찰안.xls]_266"/>
      <sheetName val="[입찰안.xls][입찰안.xls][입찰안.xls]_267"/>
      <sheetName val="[입찰안.xls][입찰안.xls][입찰안.xls]_268"/>
      <sheetName val="A LINE"/>
      <sheetName val="소화"/>
      <sheetName val="_HIT__HMC_견_x0000__x0000__x0005__x0000_ꉀ펔ɠ"/>
      <sheetName val="リスト"/>
      <sheetName val="절대지우지말것"/>
      <sheetName val="1안98Billing"/>
      <sheetName val="표준항목"/>
      <sheetName val="[입찰안.xls][입찰안.xls][입찰안.xls]_269"/>
      <sheetName val="한³_x0000__x0000_"/>
      <sheetName val="전신환매도율"/>
      <sheetName val="공량산출근거서"/>
      <sheetName val="[입찰안.xls][입찰안.xls][입찰안.xls]_287"/>
      <sheetName val="[입찰안.xls][입찰안.xls][입찰안.xls]_288"/>
      <sheetName val="KH-Q1,Q2,01"/>
      <sheetName val="KC-moi"/>
      <sheetName val="Areas"/>
      <sheetName val="BQ-E20-02(Rp)"/>
      <sheetName val="Khoi luong"/>
      <sheetName val="XL4Poppy"/>
      <sheetName val="_입찰안.xls__입찰안.xls__입찰안.xls____2"/>
      <sheetName val="_입찰안.xls__입찰안.xls__입찰안.xls____3"/>
      <sheetName val="일위대__Ԁ_䀀"/>
      <sheetName val="일위대㐀븁__退"/>
      <sheetName val="I_설계조_"/>
      <sheetName val="조도계산서_(도서_"/>
      <sheetName val="대__"/>
      <sheetName val="침하계"/>
      <sheetName val="DFA"/>
      <sheetName val="조도계산서Ì"/>
      <sheetName val="[입찰안.xls][입찰안.xls][입찰안.xls]_278"/>
      <sheetName val="[입찰안.xls][입찰안.xls][입찰안.xls]_279"/>
      <sheetName val="[입찰안.xls][입찰안.xls][입찰안.xls]_282"/>
      <sheetName val="[입찰안.xls][입찰안.xls][입찰안.xls]_270"/>
      <sheetName val="[입찰안.xls][입찰안.xls][입찰안.xls]_272"/>
      <sheetName val="[입찰안.xls][입찰안.xls][입찰안.xls]_271"/>
      <sheetName val="[입찰안.xls][입찰안.xls][입찰안.xls]_273"/>
      <sheetName val="[입찰안.xls][입찰안.xls][입찰안.xls]_274"/>
      <sheetName val="[입찰안.xls][입찰안.xls][입찰안.xls]_275"/>
      <sheetName val="[입찰안.xls][입찰안.xls][입찰안.xls]_276"/>
      <sheetName val="[입찰안.xls][입찰안.xls][입찰안.xls]_277"/>
      <sheetName val="[입찰안.xls][입찰안.xls][입찰안.xls]_283"/>
      <sheetName val="[입찰안.xls][입찰안.xls][입찰안.xls]_284"/>
      <sheetName val="[입찰안.xls][입찰안.xls][입찰안.xls]_281"/>
      <sheetName val="[입찰안.xls][입찰안.xls][입찰안.xls]_280"/>
      <sheetName val="[입찰안.xls][입찰안.xls][입찰안.xls]_285"/>
      <sheetName val="[입찰안.xls][입찰안.xls][입찰안.xls]_286"/>
      <sheetName val="[입찰안.xls][입찰안.xls][입찰안.xls]_289"/>
      <sheetName val="[입찰안.xls][입찰안.xls][입찰안.xls]_290"/>
      <sheetName val="[입찰안.xls][입찰안.xls][입찰안.xls]_291"/>
      <sheetName val="[입찰안.xls][입찰안.xls][입찰안.xls]_294"/>
      <sheetName val="[입찰안.xls][입찰안.xls][입찰안.xls]_292"/>
      <sheetName val="[입찰안.xls][입찰안.xls][입찰안.xls]_295"/>
      <sheetName val="[입찰안.xls][입찰안.xls][입찰안.xls]_293"/>
      <sheetName val="[입찰안.xls][입찰안.xls][입찰안.xls]_296"/>
      <sheetName val="[입찰안.xls][입찰안.xls][입찰안.xls]_297"/>
      <sheetName val="[입찰안.xls][입찰안.xls][입찰안.xls]_298"/>
      <sheetName val="[입찰안.xls][입찰안.xls][입찰안.xls]_299"/>
      <sheetName val="[입찰안.xls][입찰안.xls][입찰안.xls]_300"/>
      <sheetName val="[입찰안.xls][입찰안.xls][입찰안.xls]_301"/>
      <sheetName val="[입찰안.xls][입찰안.xls][입찰안.xls]_302"/>
      <sheetName val="[입찰안.xls][입찰안.xls][입찰안.xls]_305"/>
      <sheetName val="[입찰안.xls][입찰안.xls][입찰안.xls]_308"/>
      <sheetName val="[입찰안.xls][입찰안.xls][입찰안.xls]_303"/>
      <sheetName val="[입찰안.xls][입찰안.xls][입찰안.xls]_304"/>
      <sheetName val="[입찰안.xls][입찰안.xls][입찰안.xls]_306"/>
      <sheetName val="[입찰안.xls][입찰안.xls][입찰안.xls]_307"/>
      <sheetName val="PA_xdbe6_"/>
      <sheetName val="[입찰안.xls][입찰안.xls][입찰안.xls]_334"/>
      <sheetName val="[입찰안.xls][입찰안.xls][입찰안.xls]_336"/>
      <sheetName val="[입찰안.xls][입찰안.xls][입찰안.xls]_337"/>
      <sheetName val="주소"/>
      <sheetName val="판"/>
      <sheetName val="[입찰안.xls][입찰안.xls][입찰안.xls]_322"/>
      <sheetName val="[입찰안.xls][입찰안.xls][입찰안.xls]_310"/>
      <sheetName val="[입찰안.xls][입찰안.xls][입찰안.xls]_312"/>
      <sheetName val="[입찰안.xls][입찰안.xls][입찰안.xls]_309"/>
      <sheetName val="[입찰안.xls][입찰안.xls][입찰안.xls]_311"/>
      <sheetName val="[입찰안.xls][입찰안.xls][입찰안.xls]_313"/>
      <sheetName val="[입찰안.xls][입찰안.xls][입찰안.xls]_315"/>
      <sheetName val="[입찰안.xls][입찰안.xls][입찰안.xls]_318"/>
      <sheetName val="[입찰안.xls][입찰안.xls][입찰안.xls]_314"/>
      <sheetName val="[입찰안.xls][입찰안.xls][입찰안.xls]_316"/>
      <sheetName val="[입찰안.xls][입찰안.xls][입찰안.xls]_317"/>
      <sheetName val="[입찰안.xls][입찰안.xls][입찰안.xls]_321"/>
      <sheetName val="[입찰안.xls][입찰안.xls][입찰안.xls]_320"/>
      <sheetName val="[입찰안.xls][입찰안.xls][입찰안.xls]_319"/>
      <sheetName val="[입찰안.xls][입찰안.xls][입찰안.xls]_323"/>
      <sheetName val="[입찰안.xls][입찰안.xls][입찰안.xls]_324"/>
      <sheetName val="[입찰안.xls][입찰안.xls][입찰안.xls]_325"/>
      <sheetName val="[입찰안.xls][입찰안.xls][입찰안.xls]_326"/>
      <sheetName val="[입찰안.xls][입찰안.xls][입찰안.xls]_332"/>
      <sheetName val="[입찰안.xls][입찰안.xls][입찰안.xls]_328"/>
      <sheetName val="[입찰안.xls][입찰안.xls][입찰안.xls]_329"/>
      <sheetName val="[입찰안.xls][입찰안.xls][입찰안.xls]_331"/>
      <sheetName val="[입찰안.xls][입찰안.xls][입찰안.xls]_327"/>
      <sheetName val="[입찰안.xls][입찰안.xls][입찰안.xls]_330"/>
      <sheetName val="[입찰안.xls][입찰안.xls][입찰안.xls]_333"/>
      <sheetName val="[입찰안.xls][입찰안.xls][입찰안.xls]_335"/>
      <sheetName val="5호광장_(만점)8"/>
      <sheetName val="인천국제_(만점)_(2)8"/>
      <sheetName val="Total_단위경유량집계8"/>
      <sheetName val="BH-1_(2)8"/>
      <sheetName val="표__지8"/>
      <sheetName val="준검_내역서8"/>
      <sheetName val="토공유동표(전체_당초)8"/>
      <sheetName val="1_수인터널8"/>
      <sheetName val="앉음벽_(2)8"/>
      <sheetName val="_HIT__HMC_견적_3900_8"/>
      <sheetName val="I_설계조건8"/>
      <sheetName val="4_전기8"/>
      <sheetName val="1_설계조건8"/>
      <sheetName val="소포내역_(2)8"/>
      <sheetName val="7__현장관리비_8"/>
      <sheetName val="6__안전관리비8"/>
      <sheetName val="노원열병합__건축공사기성내역서8"/>
      <sheetName val="조도계산서_(도서)8"/>
      <sheetName val="3련_BOX8"/>
      <sheetName val="11_산출(전열)8"/>
      <sheetName val="6_산출(동력)8"/>
      <sheetName val="7_산출(TRAY)8"/>
      <sheetName val="5_산출(전력)7"/>
      <sheetName val="수량산출서(전력간선_지하D_C)7"/>
      <sheetName val="MSS_28"/>
      <sheetName val="우수관매설및_우수받이8"/>
      <sheetName val="11_우각부_보강8"/>
      <sheetName val="제출내역_(2)8"/>
      <sheetName val="플랜트_설치7"/>
      <sheetName val="보고서_기기리스트7"/>
      <sheetName val="2_1__노무비_평균단가산출7"/>
      <sheetName val="내역_ver1_08"/>
      <sheetName val="내___역7"/>
      <sheetName val="plan&amp;section_of_foundation8"/>
      <sheetName val="pile_bearing_capa_&amp;_arrenge8"/>
      <sheetName val="working_load_at_the_btm_ft_8"/>
      <sheetName val="stability_check8"/>
      <sheetName val="design_criteria8"/>
      <sheetName val="배수내역_(2)7"/>
      <sheetName val="배수공_시멘트_및_골재량_산출7"/>
      <sheetName val="A_견적7"/>
      <sheetName val="BH_1__2_7"/>
      <sheetName val="8_현장관리비7"/>
      <sheetName val="7_안전관리비7"/>
      <sheetName val="SHEET_PILE단가7"/>
      <sheetName val="_HIT-&gt;HMC_견적(3900)7"/>
      <sheetName val="6PILE__(돌출)7"/>
      <sheetName val="세골재__T2_변경_현황7"/>
      <sheetName val="전_기7"/>
      <sheetName val="spc_배관견적7"/>
      <sheetName val="목차_7"/>
      <sheetName val="화재_탐지_설비7"/>
      <sheetName val="1_설계기준7"/>
      <sheetName val="귀래_설계_공내역서7"/>
      <sheetName val="unit_47"/>
      <sheetName val="Customer_Databas7"/>
      <sheetName val="1_취수장7"/>
      <sheetName val="2차전체변경예정_(2)7"/>
      <sheetName val="개인별_순위표7"/>
      <sheetName val="도담구내_개소별_명세7"/>
      <sheetName val="설_계7"/>
      <sheetName val="Cash_Flow-17"/>
      <sheetName val="3_1공사현황_공정표7"/>
      <sheetName val="노임_단가7"/>
      <sheetName val="投标材料清单_7"/>
      <sheetName val="내역서_7"/>
      <sheetName val="집_계_표7"/>
      <sheetName val="별표_7"/>
      <sheetName val="3_공통공사대비7"/>
      <sheetName val="6__수량산출서6"/>
      <sheetName val="노임단가_(2)7"/>
      <sheetName val="단___산6"/>
      <sheetName val="실____단6"/>
      <sheetName val="단가_및_재료비7"/>
      <sheetName val="7_공정표7"/>
      <sheetName val="단면_(2)7"/>
      <sheetName val="장비비_명세서17"/>
      <sheetName val="노무비_근거6"/>
      <sheetName val="RETAIL_(ABOVE)7"/>
      <sheetName val="5__현장관리비(new)_7"/>
      <sheetName val="제수변_수량집계표(보통)6"/>
      <sheetName val="2_대외공문7"/>
      <sheetName val="_갑지6"/>
      <sheetName val="5_동별횡주관경6"/>
      <sheetName val="장비_(2)6"/>
      <sheetName val="전선_및_전선관6"/>
      <sheetName val="3BL공동구_수량6"/>
      <sheetName val="기성(1차)_5"/>
      <sheetName val="Eq__Mobilization7"/>
      <sheetName val="Sheet1_(2)6"/>
      <sheetName val="습식및_셀프레벨링6"/>
      <sheetName val="1차_내역서6"/>
      <sheetName val="BSD_(2)5"/>
      <sheetName val="바_한일양산5"/>
      <sheetName val="Project_Brief5"/>
      <sheetName val="영업_일15"/>
      <sheetName val="기기_내역서5"/>
      <sheetName val="CM_16"/>
      <sheetName val="일위대가56-1_5"/>
      <sheetName val="일위대가71-1_5"/>
      <sheetName val="일위대가74-1_5"/>
      <sheetName val="일위대가76-1_5"/>
      <sheetName val="일위대가77-1_5"/>
      <sheetName val="일위대가78-1_5"/>
      <sheetName val="_소방공사_산출근거5"/>
      <sheetName val="내역서1999_8최종6"/>
      <sheetName val="전사_(2)5"/>
      <sheetName val="BA_(2)5"/>
      <sheetName val="CP_(2)5"/>
      <sheetName val="암거_제원표6"/>
      <sheetName val="수량산출서_(2)5"/>
      <sheetName val="토공_total5"/>
      <sheetName val="참조_(2)6"/>
      <sheetName val="일위대가_6"/>
      <sheetName val="4_LINE6"/>
      <sheetName val="7_th6"/>
      <sheetName val="1_CB5"/>
      <sheetName val="변경명신물량_(2)5"/>
      <sheetName val="기존단가_(2)5"/>
      <sheetName val="토공_토적표5"/>
      <sheetName val="아파트_4"/>
      <sheetName val="갑지_을지4"/>
      <sheetName val="유효폭의_계산4"/>
      <sheetName val="도담구내_개소별_명柖6"/>
      <sheetName val="danh_muc_vat_tu6"/>
      <sheetName val="Register-BG_NCC6"/>
      <sheetName val="Data_26"/>
      <sheetName val="TB_chính6"/>
      <sheetName val="Steel_pipe6"/>
      <sheetName val="Ref_pipe+Ins6"/>
      <sheetName val="Plastic_pipe6"/>
      <sheetName val="Air_Grilles6"/>
      <sheetName val="Cost_bd-&quot;A&quot;6"/>
      <sheetName val="2-2_매출분석4"/>
      <sheetName val="표지_(2)4"/>
      <sheetName val="미납품_현황4"/>
      <sheetName val="STEEL_BOX_단면설계(SEC_8)4"/>
      <sheetName val="갑지_설계_내역서4"/>
      <sheetName val="2_단면가정_(양곡1교)4"/>
      <sheetName val="1_내역(청_하역장전등)4"/>
      <sheetName val="자격_땡겨오기4"/>
      <sheetName val="설명서_4"/>
      <sheetName val="05년_상4"/>
      <sheetName val="영흥TL(UP,DOWN)_4"/>
      <sheetName val="_견적서4"/>
      <sheetName val="단양_00_아파트-세부내역4"/>
      <sheetName val="ITB_COST4"/>
      <sheetName val="4_2_1_마루높이_검토4"/>
      <sheetName val="8_PILE__(돌출)4"/>
      <sheetName val="4__VOs_summary5"/>
      <sheetName val="Chiet_tinh_dz355"/>
      <sheetName val="자재기성_신청서_xlsx3"/>
      <sheetName val="내역(인테리어_실내)(도급)3"/>
      <sheetName val="내역(인테리어_실외)(도급)3"/>
      <sheetName val="2000_053"/>
      <sheetName val="장비코드표_0506013"/>
      <sheetName val="2007년_생산1부장비3"/>
      <sheetName val="2008년_생산부전장비코드3"/>
      <sheetName val="DDB부_장비_관리현황3"/>
      <sheetName val="Xunit_(단위환산)3"/>
      <sheetName val="수량산출서_갑지4"/>
      <sheetName val="_FURNACE현설3"/>
      <sheetName val="97_사업추정(WEKI)3"/>
      <sheetName val="TABLE_DB3"/>
      <sheetName val="쌍용_data_base3"/>
      <sheetName val="8_설치품셈3"/>
      <sheetName val="DATA_LISTS3"/>
      <sheetName val="19_07월_세_계3"/>
      <sheetName val="19_07항목별(시트복사금지100번쓰기)3"/>
      <sheetName val="19_05월3"/>
      <sheetName val="품셈_3"/>
      <sheetName val="M-EMS_GP-570(BIT)3"/>
      <sheetName val="내역서_제출4"/>
      <sheetName val="0_목록13"/>
      <sheetName val="Bảng_mã_VT5"/>
      <sheetName val="중기조종사_단위단가3"/>
      <sheetName val="Elec_LG3"/>
      <sheetName val="ESTI_3"/>
      <sheetName val="D_&amp;_W_sizes3"/>
      <sheetName val="Gia_vat_tu3"/>
      <sheetName val="dtct_cong3"/>
      <sheetName val="DGCT_(01)2"/>
      <sheetName val="SCOPE_OF_WORK2"/>
      <sheetName val="Chi_tiet2"/>
      <sheetName val="nhôm_1,2mm2"/>
      <sheetName val="nhôm_1,4mm2"/>
      <sheetName val="01__DATA2"/>
      <sheetName val="So_sanh2"/>
      <sheetName val="[입찰안_xls][입찰안_xls][입찰안_xls]B_17"/>
      <sheetName val="[입찰안_xls][입찰안_xls][입찰안_xls]B__5"/>
      <sheetName val="[입찰안_xls][입찰안_xls][입찰안_xls]B__6"/>
      <sheetName val="[입찰안_xls][입찰안_xls][입찰안_xls]B__7"/>
      <sheetName val="[입찰안_xls][입찰안_xls][입찰안_xls]B__8"/>
      <sheetName val="[입찰안_xls][입찰안_xls][입찰안_xls]B__9"/>
      <sheetName val="[입찰안_xls][입찰안_xls][입찰안_xls]B_10"/>
      <sheetName val="[입찰안_xls][입찰안_xls][입찰안_xls]B_23"/>
      <sheetName val="[입찰안_xls][입찰안_xls][입찰안_xls]B_11"/>
      <sheetName val="[입찰안_xls][입찰안_xls][입찰안_xls]B_12"/>
      <sheetName val="[입찰안_xls][입찰안_xls][입찰안_xls]B_13"/>
      <sheetName val="[입찰안_xls][입찰안_xls][입찰안_xls]B_14"/>
      <sheetName val="[입찰안_xls][입찰안_xls][입찰안_xls]B_15"/>
      <sheetName val="[입찰안_xls][입찰안_xls][입찰안_xls]B_16"/>
      <sheetName val="[입찰안_xls][입찰안_xls][입찰안_xls]B_18"/>
      <sheetName val="[입찰안_xls][입찰안_xls][입찰안_xls]B_19"/>
      <sheetName val="[입찰안_xls][입찰안_xls][입찰안_xls]B_20"/>
      <sheetName val="[입찰안_xls][입찰안_xls][입찰안_xls]B_21"/>
      <sheetName val="[입찰안_xls][입찰안_xls][입찰안_xls]B_22"/>
      <sheetName val="[입찰안_xls][입찰안_xls][입찰안_xls]B_24"/>
      <sheetName val="[입찰안_xls][입찰안_xls][입찰안_xls]B_25"/>
      <sheetName val="[입찰안_xls][입찰안_xls][입찰안_xls]B_26"/>
      <sheetName val="[입찰안_xls][입찰안_xls][입찰안_xls]B_27"/>
      <sheetName val="[입찰안_xls][입찰안_xls][입찰안_xls]B_28"/>
      <sheetName val="[입찰안_xls][입찰안_xls][입찰안_xls]B_29"/>
      <sheetName val="[입찰안_xls][입찰안_xls][입찰안_xls]B_30"/>
      <sheetName val="Phan_tich_ca_may1"/>
      <sheetName val="Chenh_lech_ca_may1"/>
      <sheetName val="TLg_CN&amp;Laixe1"/>
      <sheetName val="TLg_CN&amp;Laixe_(2)1"/>
      <sheetName val="TLg_Laitau1"/>
      <sheetName val="TLg_Laitau_(2)1"/>
      <sheetName val="Cọc_nhồi1"/>
      <sheetName val="Dầm_11"/>
      <sheetName val="Gia_VLNCMTC1"/>
      <sheetName val="Sàn_T11"/>
      <sheetName val="Lỗ_thông_gió1"/>
      <sheetName val="Sàn_tầng_01_(_old_)1"/>
      <sheetName val="Chiet_tinh_don_gia_CM1"/>
      <sheetName val="EE_(3)1"/>
      <sheetName val="Measure_13061"/>
      <sheetName val="RAB_AR&amp;STR"/>
      <sheetName val="Isolasi_Luar_Dalam"/>
      <sheetName val="Isolasi_Luar"/>
      <sheetName val="Div26_-_Elect"/>
      <sheetName val="U_P_Breakdown"/>
      <sheetName val="장悱"/>
      <sheetName val="PROJ__DATA2"/>
      <sheetName val="_Beams_Sched_2"/>
      <sheetName val="[입찰안_xls][입찰안_xls][입찰안_xls]___4"/>
      <sheetName val="중강당_내역"/>
      <sheetName val="[입찰안_xls][입찰안_xls][입찰안_xls]B_46"/>
      <sheetName val="[입찰안_xls][입찰안_xls][입찰안_xls]B_45"/>
      <sheetName val="[입찰안_xls][입찰안_xls][입찰안_xls]B_44"/>
      <sheetName val="[입찰안_xls][입찰안_xls][입찰안_xls]B_33"/>
      <sheetName val="[입찰안_xls][입찰안_xls][입찰안_xls]B_31"/>
      <sheetName val="[입찰안_xls][입찰안_xls][입찰안_xls]B_32"/>
      <sheetName val="[입찰안_xls][입찰안_xls][입찰안_xls]B_34"/>
      <sheetName val="[입찰안_xls][입찰안_xls][입찰안_xls]B_35"/>
      <sheetName val="[입찰안_xls][입찰안_xls][입찰안_xls]B_36"/>
      <sheetName val="[입찰안_xls][입찰안_xls][입찰안_xls]B_37"/>
      <sheetName val="[입찰안_xls][입찰안_xls][입찰안_xls]B_40"/>
      <sheetName val="[입찰안_xls][입찰안_xls][입찰안_xls]B_38"/>
      <sheetName val="[입찰안_xls][입찰안_xls][입찰안_xls]B_41"/>
      <sheetName val="[입찰안_xls][입찰안_xls][입찰안_xls]B_39"/>
      <sheetName val="[입찰안_xls][입찰안_xls][입찰안_xls]B_42"/>
      <sheetName val="[입찰안_xls][입찰안_xls][입찰안_xls]B_43"/>
      <sheetName val="[입찰안_xls][입찰안_xls][입찰안_xls]B_47"/>
      <sheetName val="[입찰안_xls][입찰안_xls][입찰안_xls]B_48"/>
      <sheetName val="[입찰안_xls][입찰안_xls][입찰안_xls]B_49"/>
      <sheetName val="[입찰안_xls][입찰안_xls][입찰안_xls]B_54"/>
      <sheetName val="[입찰안_xls][입찰안_xls][입찰안_xls]B_53"/>
      <sheetName val="[입찰안_xls][입찰안_xls][입찰안_xls]B_50"/>
      <sheetName val="[입찰안_xls][입찰안_xls][입찰안_xls]B_51"/>
      <sheetName val="[입찰안_xls][입찰안_xls][입찰안_xls]B_52"/>
      <sheetName val="[입찰안_xls][입찰안_xls][입찰안_xls]B_55"/>
      <sheetName val="[입찰안_xls][입찰안_xls][입찰안_xls]B_56"/>
      <sheetName val="[입찰안_xls][입찰안_xls][입찰안_xls]B_57"/>
      <sheetName val="[입찰안_xls][입찰안_xls][입찰안_xls]B_58"/>
      <sheetName val="[입찰안_xls][입찰안_xls][입찰안_xls]B_59"/>
      <sheetName val="[입찰안_xls][입찰안_xls][입찰안_xls]B_60"/>
      <sheetName val="[입찰안_xls][입찰안_xls][입찰안_xls]B_61"/>
      <sheetName val="[입찰안_xls][입찰안_xls][입찰안_xls]B_62"/>
      <sheetName val="[입찰안_xls][입찰안_xls][입찰안_xls]B_63"/>
      <sheetName val="견적비교표_(2)"/>
      <sheetName val="결재방(지우지_마세요)"/>
      <sheetName val="[입찰안_xls][입찰안_xls][입찰안_xls]___5"/>
      <sheetName val="6-1_보오링(1)"/>
      <sheetName val="EXCHANGE_RATE"/>
      <sheetName val="할증_"/>
      <sheetName val="간접비_총괄표"/>
      <sheetName val="TOWER_12TON"/>
      <sheetName val="공사투입계획(변경결의)19_9"/>
      <sheetName val="노무비_월별지급현황19_9"/>
      <sheetName val="갑지(외주기성)19_9"/>
      <sheetName val="노임단가_및_기계경비"/>
      <sheetName val="[입찰안_xls][입찰안_xls][입찰안_xls]B_64"/>
      <sheetName val="실행내역서_"/>
      <sheetName val="[입찰안_xls][입찰안_xls][입찰안_xls]_103"/>
      <sheetName val="[입찰안_xls][입찰안_xls][입찰안_xls]B_68"/>
      <sheetName val="[입찰안_xls][입찰안_xls][입찰안_xls]B_79"/>
      <sheetName val="[입찰안_xls][입찰안_xls][입찰안_xls]B_80"/>
      <sheetName val="[입찰안_xls][입찰안_xls][입찰안_xls]B_66"/>
      <sheetName val="[입찰안_xls][입찰안_xls][입찰안_xls]B_67"/>
      <sheetName val="[입찰안_xls][입찰안_xls][입찰안_xls]B_65"/>
      <sheetName val="[입찰안_xls][입찰안_xls][입찰안_xls]B_69"/>
      <sheetName val="[입찰안_xls][입찰안_xls][입찰안_xls]B_70"/>
      <sheetName val="[입찰안_xls][입찰안_xls][입찰안_xls]B_71"/>
      <sheetName val="[입찰안_xls][입찰안_xls][입찰안_xls]B_73"/>
      <sheetName val="[입찰안_xls][입찰안_xls][입찰안_xls]B_74"/>
      <sheetName val="[입찰안_xls][입찰안_xls][입찰안_xls]B_72"/>
      <sheetName val="[입찰안_xls][입찰안_xls][입찰안_xls]B_75"/>
      <sheetName val="[입찰안_xls][입찰안_xls][입찰안_xls]B_76"/>
      <sheetName val="[입찰안_xls][입찰안_xls][입찰안_xls]B_77"/>
      <sheetName val="[입찰안_xls][입찰안_xls][입찰안_xls]B_78"/>
      <sheetName val="[입찰안_xls][입찰안_xls][입찰안_xls]B_81"/>
      <sheetName val="[입찰안_xls][입찰안_xls][입찰안_xls]B_82"/>
      <sheetName val="[입찰안_xls][입찰안_xls][입찰안_xls]B_83"/>
      <sheetName val="[입찰안_xls][입찰안_xls][입찰안_xls]B_93"/>
      <sheetName val="[입찰안_xls][입찰안_xls][입찰안_xls]B_96"/>
      <sheetName val="[입찰안_xls][입찰안_xls][입찰안_xls]B_86"/>
      <sheetName val="[입찰안_xls][입찰안_xls][입찰안_xls]B_87"/>
      <sheetName val="[입찰안_xls][입찰안_xls][입찰안_xls]B_84"/>
      <sheetName val="[입찰안_xls][입찰안_xls][입찰안_xls]B_85"/>
      <sheetName val="[입찰안_xls][입찰안_xls][입찰안_xls]B_88"/>
      <sheetName val="[입찰안_xls][입찰안_xls][입찰안_xls]B_89"/>
      <sheetName val="[입찰안_xls][입찰안_xls][입찰안_xls]B_90"/>
      <sheetName val="[입찰안_xls][입찰안_xls][입찰안_xls]B_91"/>
      <sheetName val="[입찰안_xls][입찰안_xls][입찰안_xls]B_92"/>
      <sheetName val="[입찰안_xls][입찰안_xls][입찰안_xls]B_94"/>
      <sheetName val="[입찰안_xls][입찰안_xls][입찰안_xls]B_95"/>
      <sheetName val="[입찰안_xls][입찰안_xls][입찰안_xls]B_97"/>
      <sheetName val="[입찰안_xls][입찰안_xls][입찰안_xls]B_98"/>
      <sheetName val="[입찰안_xls][입찰안_xls][입찰안_xls]B_99"/>
      <sheetName val="[입찰안_xls][입찰안_xls][입찰안_xls]B100"/>
      <sheetName val="[입찰안_xls][입찰안_xls][입찰안_xls]B101"/>
      <sheetName val="[입찰안_xls][입찰안_xls][입찰안_xls]_100"/>
      <sheetName val="[입찰안_xls][입찰안_xls][입찰안_xls]B102"/>
      <sheetName val="[입찰안_xls][입찰안_xls][입찰안_xls]_101"/>
      <sheetName val="[입찰안_xls][입찰안_xls][입찰안_xls]_102"/>
      <sheetName val="장"/>
      <sheetName val="plan&amp;section_of勉_x0010_"/>
      <sheetName val="집계장(뀀ﰡ"/>
      <sheetName val="집계장(Â"/>
      <sheetName val="정리계槜〩"/>
      <sheetName val="54಺潭"/>
      <sheetName val="Macro(전_x0005__x0003_"/>
      <sheetName val="Ԁ̀Ā܀਀Ѐ̀̀ЀЀ"/>
      <sheetName val="[입찰안.xls][입찰안.xls][입찰안.xls]_377"/>
      <sheetName val="[입찰안.xls][입찰안.xls][입찰안.xls]_379"/>
      <sheetName val="[입찰안.xls][입찰안.xls][입찰안.xls]_381"/>
      <sheetName val="[입찰안.xls][입찰안.xls][입찰안.xls]_353"/>
      <sheetName val="[입찰안.xls][입찰안.xls][입찰안.xls]_352"/>
      <sheetName val="[입찰안.xls][입찰안.xls][입찰안.xls]_357"/>
      <sheetName val="[입찰안.xls][입찰안.xls][입찰안.xls]_351"/>
      <sheetName val="[입찰안.xls][입찰안.xls][입찰안.xls]_350"/>
      <sheetName val="[입찰안.xls][입찰안.xls][입찰안.xls]_344"/>
      <sheetName val="원도_x0000_"/>
      <sheetName val="[입찰안.xls][입찰안.xls][입찰안.xls]_342"/>
      <sheetName val="[입찰안.xls][입찰안.xls][입찰안.xls]_338"/>
      <sheetName val="[입찰안.xls][입찰안.xls][입찰안.xls]_339"/>
      <sheetName val="[입찰안.xls][입찰안.xls][입찰안.xls]_340"/>
      <sheetName val="[입찰안.xls][입찰안.xls][입찰안.xls]_341"/>
      <sheetName val="[입찰안.xls][입찰안.xls][입찰안.xls]_343"/>
      <sheetName val="[입찰안.xls][입찰안.xls][입찰안.xls]_349"/>
      <sheetName val="[입찰안.xls][입찰안.xls][입찰안.xls]_345"/>
      <sheetName val="[입찰안.xls][입찰안.xls][입찰안.xls]_347"/>
      <sheetName val="[입찰안.xls][입찰안.xls][입찰안.xls]_346"/>
      <sheetName val="[입찰안.xls][입찰안.xls][입찰안.xls]_348"/>
      <sheetName val="[입찰안.xls][입찰안.xls][입찰안.xls]_358"/>
      <sheetName val="[입찰안.xls][입찰안.xls][입찰안.xls]_354"/>
      <sheetName val="[입찰안.xls][입찰안.xls][입찰안.xls]_355"/>
      <sheetName val="[입찰안.xls][입찰안.xls][입찰안.xls]_356"/>
      <sheetName val="[입찰안.xls][입찰안.xls][입찰안.xls]_359"/>
      <sheetName val="[입찰안.xls][입찰안.xls][입찰안.xls]_362"/>
      <sheetName val="[입찰안.xls][입찰안.xls][입찰안.xls]_364"/>
      <sheetName val="[입찰안.xls][입찰안.xls][입찰안.xls]_363"/>
      <sheetName val="[입찰안.xls][입찰안.xls][입찰안.xls]_360"/>
      <sheetName val="[입찰안.xls][입찰안.xls][입찰안.xls]_361"/>
      <sheetName val="[입찰안.xls][입찰안.xls][입찰안.xls]_367"/>
      <sheetName val="[입찰안.xls][입찰안.xls][입찰안.xls]_370"/>
      <sheetName val="[입찰안.xls][입찰안.xls][입찰안.xls]_366"/>
      <sheetName val="[입찰안.xls][입찰안.xls][입찰안.xls]_365"/>
      <sheetName val="[입찰안.xls][입찰안.xls][입찰안.xls]_371"/>
      <sheetName val="401"/>
      <sheetName val="3련_B£_x0000_"/>
      <sheetName val="[입찰안.xls][입찰안.xls][입찰안.xls]_368"/>
      <sheetName val="[입찰안.xls][입찰안.xls][입찰안.xls]_369"/>
      <sheetName val="[입찰안.xls][입찰안.xls][입찰안.xls]_372"/>
      <sheetName val="[입찰안.xls][입찰안.xls][입찰안.xls]_376"/>
      <sheetName val="[입찰안.xls][입찰안.xls][입찰안.xls]_373"/>
      <sheetName val="[입찰안.xls][입찰안.xls][입찰안.xls]_375"/>
      <sheetName val="[입찰안.xls][입찰안.xls][입찰안.xls]_374"/>
      <sheetName val="[입찰안.xls][입찰안.xls][입찰안.xls]_382"/>
      <sheetName val="[입찰안.xls][입찰안.xls][입찰안.xls]_378"/>
      <sheetName val="[입찰안.xls][입찰안.xls][입찰안.xls]_383"/>
      <sheetName val="[입찰안.xls][입찰안.xls][입찰안.xls]_380"/>
      <sheetName val="[입찰안.xls][입찰안.xls][입찰안.xls]_386"/>
      <sheetName val="[입찰안.xls][입찰안.xls][입찰안.xls]_385"/>
      <sheetName val="[입찰안.xls][입찰안.xls][입찰안.xls]_384"/>
      <sheetName val="[입찰안.xls][입찰안.xls][입찰안.xls]_388"/>
      <sheetName val="[입찰안.xls][입찰안.xls][입찰안.xls]_387"/>
      <sheetName val="[입찰안.xls][입찰안.xls][입찰안.xls]_393"/>
      <sheetName val="[입찰안.xls][입찰안.xls][입찰안.xls]_395"/>
      <sheetName val="[입찰안.xls][입찰안.xls][입찰안.xls]_394"/>
      <sheetName val="[입찰안.xls][입찰안.xls][입찰안.xls]_391"/>
      <sheetName val="[입찰안.xls][입찰안.xls][입찰안.xls]_389"/>
      <sheetName val="[입찰안.xls][입찰안.xls][입찰안.xls]_390"/>
      <sheetName val="[입찰안.xls][입찰안.xls][입찰안.xls]_392"/>
      <sheetName val="[입찰안.xls][입찰안.xls][입찰안.xls]_396"/>
      <sheetName val="[입찰안.xls][입찰안.xls][입찰안.xls]_401"/>
      <sheetName val="[입찰안.xls][입찰안.xls][입찰안.xls]_397"/>
      <sheetName val="[입찰안.xls][입찰안.xls][입찰안.xls]_398"/>
      <sheetName val="[입찰안.xls][입찰안.xls][입찰안.xls]_399"/>
      <sheetName val="[입찰안.xls][입찰안.xls][입찰안.xls]_400"/>
      <sheetName val="신광초조도계선사업"/>
      <sheetName val="TH-Dien"/>
      <sheetName val="Girder"/>
      <sheetName val="Data_Store"/>
      <sheetName val="Master"/>
      <sheetName val="DTICH (Full)"/>
      <sheetName val="DGG"/>
      <sheetName val="DTICH(FDC)"/>
      <sheetName val="VIN_Index"/>
      <sheetName val="TTTram"/>
      <sheetName val="TSO_CHUNG"/>
      <sheetName val="COST SUMMARY"/>
      <sheetName val="총원가계산서(요율)"/>
      <sheetName val="Names"/>
      <sheetName val="ctTBA"/>
      <sheetName val="escon"/>
      <sheetName val="TinhGiaNC"/>
      <sheetName val="ND"/>
      <sheetName val="Xuly Data"/>
      <sheetName val="TL rieng"/>
      <sheetName val="Thuc thanh"/>
      <sheetName val="Cost factor"/>
      <sheetName val="Info"/>
      <sheetName val="Item list"/>
      <sheetName val="Sheet Template Empty"/>
      <sheetName val="THVT"/>
      <sheetName val="Sum"/>
      <sheetName val="양배수장"/>
      <sheetName val="[입찰안.xls][입찰안.xls][입찰안.xls]_407"/>
      <sheetName val="외주정비"/>
      <sheetName val="[입찰안.xls][입찰안.xls][입찰안.xls]_403"/>
      <sheetName val="[입찰안.xls][입찰안.xls][입찰안.xls]_402"/>
      <sheetName val="[입찰안.xls][입찰안.xls][입찰안.xls]_404"/>
      <sheetName val="[입찰안.xls][입찰안.xls][입찰안.xls]_405"/>
      <sheetName val="[입찰안.xls][입찰안.xls][입찰안.xls]_406"/>
      <sheetName val="[입찰안.xls][입찰안.xls][입찰안.xls]_487"/>
      <sheetName val="공기압淀퍦"/>
      <sheetName val="공사직종별노임"/>
      <sheetName val="공기압郀傲2"/>
      <sheetName val="새로이 설치할 정비기반시설 조서 나번 (2)"/>
      <sheetName val="[입찰안.xls][입찰안.xls][입찰안.xls]_428"/>
      <sheetName val="[입찰안.xls][입찰안.xls][입찰안.xls]_436"/>
      <sheetName val="[입찰안.xls][입찰안.xls][입찰안.xls]_437"/>
      <sheetName val="[입찰안.xls][입찰안.xls][입찰안.xls]_425"/>
      <sheetName val="[입찰안.xls][입찰안.xls][입찰안.xls]_427"/>
      <sheetName val="[입찰안.xls][입찰안.xls][입찰안.xls]_412"/>
      <sheetName val="[입찰안.xls][입찰안.xls][입찰안.xls]_408"/>
      <sheetName val="[입찰안.xls][입찰안.xls][입찰안.xls]_416"/>
      <sheetName val="[입찰안.xls][입찰안.xls][입찰안.xls]_415"/>
      <sheetName val="[입찰안.xls][입찰안.xls][입찰안.xls]_409"/>
      <sheetName val="[입찰안.xls][입찰안.xls][입찰안.xls]_410"/>
      <sheetName val="[입찰안.xls][입찰안.xls][입찰안.xls]_411"/>
      <sheetName val="[입찰안.xls][입찰안.xls][입찰안.xls]_413"/>
      <sheetName val="[입찰안.xls][입찰안.xls][입찰안.xls]_414"/>
      <sheetName val="[입찰안.xls][입찰안.xls][입찰안.xls]_418"/>
      <sheetName val="[입찰안.xls][입찰안.xls][입찰안.xls]_419"/>
      <sheetName val="SORCE1"/>
      <sheetName val="F_D SEC. PROP"/>
      <sheetName val="[입찰안.xls][입찰안.xls][입찰안.xls]_417"/>
      <sheetName val="[입찰안.xls][입찰안.xls][입찰안.xls]_422"/>
      <sheetName val="[입찰안.xls][입찰안.xls][입찰안.xls]_424"/>
      <sheetName val="[입찰안.xls][입찰안.xls][입찰안.xls]_420"/>
      <sheetName val="[입찰안.xls][입찰안.xls][입찰안.xls]_421"/>
      <sheetName val="[입찰안.xls][입찰안.xls][입찰안.xls]_423"/>
      <sheetName val="[입찰안.xls][입찰안.xls][입찰안.xls]_426"/>
      <sheetName val="[입찰안.xls][입찰안.xls][입찰안.xls]_433"/>
      <sheetName val="[입찰안.xls][입찰안.xls][입찰안.xls]_434"/>
      <sheetName val="[입찰안.xls][입찰안.xls][입찰안.xls]_432"/>
      <sheetName val="[입찰안.xls][입찰안.xls][입찰안.xls]_429"/>
      <sheetName val="[입찰안.xls][입찰안.xls][입찰안.xls]_430"/>
      <sheetName val="[입찰안.xls][입찰안.xls][입찰안.xls]_431"/>
      <sheetName val="[입찰안.xls][입찰안.xls][입찰안.xls]_439"/>
      <sheetName val="[입찰안.xls][입찰안.xls][입찰안.xls]_435"/>
      <sheetName val="[입찰안.xls][입찰안.xls][입찰안.xls]_438"/>
      <sheetName val="[입찰안.xls][입찰안.xls][입찰안.xls]_441"/>
      <sheetName val="[입찰안.xls][입찰안.xls][입찰안.xls]_442"/>
      <sheetName val="[입찰안.xls][입찰안.xls][입찰안.xls]_444"/>
      <sheetName val="[입찰안.xls][입찰안.xls][입찰안.xls]_440"/>
      <sheetName val="[입찰안.xls][입찰안.xls][입찰안.xls]_445"/>
      <sheetName val="[입찰안.xls][입찰안.xls][입찰안.xls]_446"/>
      <sheetName val="[입찰안.xls][입찰안.xls][입찰안.xls]_443"/>
      <sheetName val="[입찰안.xls][입찰안.xls][입찰안.xls]_448"/>
      <sheetName val="[입찰안.xls][입찰안.xls][입찰안.xls]_449"/>
      <sheetName val="[입찰안.xls][입찰안.xls][입찰안.xls]_452"/>
      <sheetName val="[입찰안.xls][입찰안.xls][입찰안.xls]_447"/>
      <sheetName val="[입찰안.xls][입찰안.xls][입찰안.xls]_450"/>
      <sheetName val="[입찰안.xls][입찰안.xls][입찰안.xls]_451"/>
      <sheetName val="[입찰안.xls][입찰안.xls][입찰안.xls]_453"/>
      <sheetName val="[입찰안.xls][입찰안.xls][입찰안.xls]_455"/>
      <sheetName val="[입찰안.xls][입찰안.xls][입찰안.xls]_458"/>
      <sheetName val="[입찰안.xls][입찰안.xls][입찰안.xls]_454"/>
      <sheetName val="[입찰안_xls]직접뀀鞖/1"/>
      <sheetName val="1_R18_BF"/>
      <sheetName val="6_External_works-R18"/>
      <sheetName val="020_235_2363"/>
      <sheetName val="Bill_01_-_CTN"/>
      <sheetName val="CHITIET_VL-NC-TT1p"/>
      <sheetName val="Project_Infor"/>
      <sheetName val="Data_input"/>
      <sheetName val="_입찰안_xls_직접뀀鞖_"/>
      <sheetName val="_입찰안_xls__입찰안_xls_직접뀀鞖_"/>
      <sheetName val="[입찰안_xls][입찰안_xls]직접뀀鞖/1"/>
      <sheetName val="Phan_tho"/>
      <sheetName val="Tien_Thuong"/>
      <sheetName val="NC_XL_6T_cuoi_01_CTy"/>
      <sheetName val="Data_-6T_dau"/>
      <sheetName val="Cong_6T"/>
      <sheetName val="bang_TH"/>
      <sheetName val="Xunit_(단위환산)4"/>
      <sheetName val="장비코드표_0506014"/>
      <sheetName val="2007년_생산1부장비4"/>
      <sheetName val="2008년_생산부전장비코드4"/>
      <sheetName val="DDB부_장비_관리현황4"/>
      <sheetName val="DGCT_(01)3"/>
      <sheetName val="Chi_tiet3"/>
      <sheetName val="SCOPE_OF_WORK3"/>
      <sheetName val="01__DATA3"/>
      <sheetName val="nhôm_1,2mm3"/>
      <sheetName val="nhôm_1,4mm3"/>
      <sheetName val="Phan_tich_ca_may2"/>
      <sheetName val="Chenh_lech_ca_may2"/>
      <sheetName val="TLg_CN&amp;Laixe2"/>
      <sheetName val="TLg_CN&amp;Laixe_(2)2"/>
      <sheetName val="TLg_Laitau2"/>
      <sheetName val="TLg_Laitau_(2)2"/>
      <sheetName val="Cọc_nhồi2"/>
      <sheetName val="Dầm_12"/>
      <sheetName val="Gia_VLNCMTC2"/>
      <sheetName val="Chiet_tinh_don_gia_CM2"/>
      <sheetName val="Sàn_T12"/>
      <sheetName val="Lỗ_thông_gió2"/>
      <sheetName val="Sàn_tầng_01_(_old_)2"/>
      <sheetName val="Measure_13062"/>
      <sheetName val="EE_(3)2"/>
      <sheetName val="RAB_AR&amp;STR1"/>
      <sheetName val="Isolasi_Luar_Dalam1"/>
      <sheetName val="Isolasi_Luar1"/>
      <sheetName val="Div26_-_Elect1"/>
      <sheetName val="[입찰안_xls]직접뀀鞖/2"/>
      <sheetName val="U_P_Breakdown1"/>
      <sheetName val="1_R18_BF1"/>
      <sheetName val="6_External_works-R181"/>
      <sheetName val="020_235_23631"/>
      <sheetName val="Bill_01_-_CTN1"/>
      <sheetName val="CHITIET_VL-NC-TT1p1"/>
      <sheetName val="Project_Infor1"/>
      <sheetName val="Data_input1"/>
      <sheetName val="_입찰안_xls_직접뀀鞖_1"/>
      <sheetName val="_입찰안_xls__입찰안_xls_직접뀀鞖_1"/>
      <sheetName val="[입찰안_xls][입찰안_xls]직접뀀鞖/2"/>
      <sheetName val="Phan_tho1"/>
      <sheetName val="Tien_Thuong1"/>
      <sheetName val="NC_XL_6T_cuoi_01_CTy1"/>
      <sheetName val="Data_-6T_dau1"/>
      <sheetName val="Cong_6T1"/>
      <sheetName val="할증_1"/>
      <sheetName val="간접비_총괄표1"/>
      <sheetName val="bang_TH1"/>
      <sheetName val="유림콘도"/>
      <sheetName val="배명(단가)"/>
      <sheetName val="Code 02"/>
      <sheetName val="Code 03"/>
      <sheetName val="Code 04"/>
      <sheetName val="Code 05"/>
      <sheetName val="Code 06"/>
      <sheetName val="Code 07"/>
      <sheetName val="Code 09"/>
      <sheetName val="[입찰안.xls][입찰안.xls][입찰안.xls]_460"/>
      <sheetName val="[입찰안.xls][입찰안.xls][입찰안.xls]_467"/>
      <sheetName val="[입찰안.xls][입찰안.xls][입찰안.xls]_456"/>
      <sheetName val="[입찰안.xls][입찰안.xls][입찰안.xls]_457"/>
      <sheetName val="[입찰안.xls][입찰안.xls][입찰안.xls]_459"/>
      <sheetName val="[입찰안.xls][입찰안.xls][입찰안.xls]_465"/>
      <sheetName val="[입찰안.xls][입찰안.xls][입찰안.xls]_464"/>
      <sheetName val="[입찰안.xls][입찰안.xls][입찰안.xls]_461"/>
      <sheetName val="[입찰안.xls][입찰안.xls][입찰안.xls]_462"/>
      <sheetName val="[입찰안.xls][입찰안.xls][입찰안.xls]_463"/>
      <sheetName val="[입찰안.xls][입찰안.xls][입찰안.xls]_466"/>
      <sheetName val="[입찰안.xls][입찰안.xls][입찰안.xls]_468"/>
      <sheetName val="[입찰안.xls][입찰안.xls][입찰안.xls]_473"/>
      <sheetName val="[입찰안.xls][입찰안.xls][입찰안.xls]_469"/>
      <sheetName val="[입찰안.xls][입찰안.xls][입찰안.xls]_485"/>
      <sheetName val="[입찰안.xls][입찰안.xls][입찰안.xls]_470"/>
      <sheetName val="[입찰안.xls][입찰안.xls][입찰안.xls]_471"/>
      <sheetName val="[입찰안.xls][입찰안.xls][입찰안.xls]_472"/>
      <sheetName val="[입찰안.xls][입찰안.xls][입찰안.xls]_474"/>
      <sheetName val="[입찰안.xls][입찰안.xls][입찰안.xls]_478"/>
      <sheetName val="[입찰안.xls][입찰안.xls][입찰안.xls]_480"/>
      <sheetName val="[입찰안.xls][입찰안.xls][입찰안.xls]_475"/>
      <sheetName val="[입찰안.xls][입찰안.xls][입찰안.xls]_477"/>
      <sheetName val="[입찰안.xls][입찰안.xls][입찰안.xls]_476"/>
      <sheetName val="[입찰안.xls][입찰안.xls][입찰안.xls]_479"/>
      <sheetName val="[입찰안.xls][입찰안.xls][입찰안.xls]_481"/>
      <sheetName val="[입찰안.xls][입찰안.xls][입찰안.xls]_482"/>
      <sheetName val="[입찰안.xls][입찰안.xls][입찰안.xls]_483"/>
      <sheetName val="[입찰안.xls][입찰안.xls][입찰안.xls]_484"/>
      <sheetName val="[입찰안.xls][입찰안.xls][입찰안.xls]_486"/>
      <sheetName val="[입찰안.xls][입찰안.xls][입찰안.xls]_490"/>
      <sheetName val="design_c"/>
      <sheetName val="MAIN GATE HOUSE"/>
      <sheetName val="PHU LUC 01"/>
      <sheetName val="Đầu vào"/>
      <sheetName val="5F 계약단가"/>
      <sheetName val="[입찰안.xls][입찰안.xls][입찰안.xls]_492"/>
      <sheetName val="[입찰안.xls][입찰안.xls][입찰안.xls]_489"/>
      <sheetName val="[입찰안.xls][입찰안.xls][입찰안.xls]_488"/>
      <sheetName val="금강견적"/>
      <sheetName val="4_전_x0000_"/>
      <sheetName val="4_전ᄐ"/>
      <sheetName val="엔지니어링"/>
      <sheetName val="전체수량집계"/>
      <sheetName val="[입찰안.xls][입찰안.xls][입찰안.xls]_491"/>
      <sheetName val="[입찰안.xls][입찰안.xls][입찰안.xls]_497"/>
      <sheetName val="[입찰안.xls][입찰안.xls][입찰안.xls]_495"/>
      <sheetName val="[입찰안.xls][입찰안.xls][입찰안.xls]_496"/>
      <sheetName val="[입찰안.xls][입찰안.xls][입찰안.xls]_493"/>
      <sheetName val="[입찰안.xls][입찰안.xls][입찰안.xls]_494"/>
      <sheetName val="[입찰안.xls][입찰안.xls][입찰안.xls]_498"/>
      <sheetName val="[입찰안.xls][입찰안.xls][입찰안.xls]_499"/>
      <sheetName val="[입찰안.xls][입찰안.xls][입찰안.xls]_500"/>
      <sheetName val="[입찰안.xls][입찰안.xls][입찰안.xls]_502"/>
      <sheetName val="[입찰안.xls][입찰안.xls][입찰안.xls]_501"/>
      <sheetName val="[입찰안.xls][입찰안.xls][입찰안.xls]_504"/>
      <sheetName val="C_DATA"/>
      <sheetName val="조달단가"/>
      <sheetName val="B__2"/>
      <sheetName val="B__3"/>
      <sheetName val="___2"/>
      <sheetName val="B__4"/>
      <sheetName val="B__5"/>
      <sheetName val="B__6"/>
      <sheetName val="B__7"/>
      <sheetName val="B__8"/>
      <sheetName val="B_14"/>
      <sheetName val="B__9"/>
      <sheetName val="B_10"/>
      <sheetName val="B_11"/>
      <sheetName val="B_12"/>
      <sheetName val="B_13"/>
      <sheetName val="B_15"/>
      <sheetName val="B_16"/>
      <sheetName val="B_17"/>
      <sheetName val="B_18"/>
      <sheetName val="B_23"/>
      <sheetName val="B_19"/>
      <sheetName val="B_20"/>
      <sheetName val="B_21"/>
      <sheetName val="B_22"/>
      <sheetName val="B_25"/>
      <sheetName val="B_24"/>
      <sheetName val="B_26"/>
      <sheetName val="B_27"/>
      <sheetName val="___3"/>
      <sheetName val="B_60"/>
      <sheetName val="B_54"/>
      <sheetName val="B_53"/>
      <sheetName val="B_44"/>
      <sheetName val="B_33"/>
      <sheetName val="B_31"/>
      <sheetName val="B_30"/>
      <sheetName val="B_29"/>
      <sheetName val="B_28"/>
      <sheetName val="B_35"/>
      <sheetName val="B_32"/>
      <sheetName val="B_40"/>
      <sheetName val="B_34"/>
      <sheetName val="B_41"/>
      <sheetName val="B_36"/>
      <sheetName val="B_37"/>
      <sheetName val="B_42"/>
      <sheetName val="B_38"/>
      <sheetName val="B_39"/>
      <sheetName val="B_43"/>
      <sheetName val="B_47"/>
      <sheetName val="B_45"/>
      <sheetName val="B_48"/>
      <sheetName val="B_46"/>
      <sheetName val="B_51"/>
      <sheetName val="B_50"/>
      <sheetName val="B_49"/>
      <sheetName val="B_52"/>
      <sheetName val="B_55"/>
      <sheetName val="B_57"/>
      <sheetName val="B_58"/>
      <sheetName val="B_56"/>
      <sheetName val="B_59"/>
      <sheetName val="B_62"/>
      <sheetName val="B_61"/>
      <sheetName val="B_63"/>
      <sheetName val="B_64"/>
      <sheetName val="B_65"/>
      <sheetName val="B_66"/>
      <sheetName val="SLAB&quot;1&quot;"/>
      <sheetName val="[입찰안.xls][입찰안.xls][입찰안.xls]_503"/>
      <sheetName val="[입찰안.xls][입찰안.xls][입찰안.xls]_505"/>
      <sheetName val="[입찰안.xls][입찰안.xls][입찰안.xls]_506"/>
      <sheetName val="[입찰안.xls][입찰안.xls][입찰안.xls]_507"/>
      <sheetName val="P"/>
      <sheetName val="CPK"/>
      <sheetName val="_입찰안.xls__입찰안.xls__입찰안.xls_B__2"/>
      <sheetName val="_입찰안.xls__입찰안.xls__입찰안.xls_B__3"/>
      <sheetName val="chiet tinh"/>
      <sheetName val="1. Dashboard"/>
      <sheetName val="[입찰안.xls][입찰안.xls][입찰안.xls]_508"/>
      <sheetName val="[입찰안.xls][입찰안.xls][입찰안.xls]_510"/>
      <sheetName val="[입찰안.xls][입찰안.xls][입찰안.xls]_511"/>
      <sheetName val="[입찰안.xls][입찰안.xls][입찰안.xls]_512"/>
      <sheetName val="[입찰안.xls][입찰안.xls][입찰안.xls]_509"/>
      <sheetName val="[입찰안.xls][입찰안.xls][입찰안.xls]_513"/>
      <sheetName val="[입찰안.xls][입찰안.xls][입찰안.xls]_514"/>
      <sheetName val="[입찰안.xls][입찰안.xls][입찰안.xls]_516"/>
      <sheetName val="[입찰안.xls][입찰안.xls][입찰안.xls]_525"/>
      <sheetName val="[입찰안.xls][입찰안.xls][입찰안.xls]_515"/>
      <sheetName val="[입찰안.xls][입찰안.xls][입찰안.xls]_521"/>
      <sheetName val="[입찰안.xls][입찰안.xls][입찰안.xls]_526"/>
      <sheetName val="[입찰안.xls][입찰안.xls][입찰안.xls]_518"/>
      <sheetName val="[입찰안.xls][입찰안.xls][입찰안.xls]_517"/>
      <sheetName val="건ꗝ"/>
      <sheetName val="건Ȍ"/>
      <sheetName val="매부"/>
      <sheetName val="기본DATA"/>
      <sheetName val="CT Thang Mo"/>
      <sheetName val="Main_Mech"/>
      <sheetName val="Sub_Mech"/>
      <sheetName val="[입찰안.xls][입찰안.xls][입찰안.xls]_519"/>
      <sheetName val="[입찰안.xls]___2"/>
      <sheetName val="[입찰안.xls]___3"/>
      <sheetName val="[입찰안.xls]B__2"/>
      <sheetName val="[입찰안.xls]B__3"/>
      <sheetName val="KLDT DIEN"/>
      <sheetName val="Duc_bk"/>
      <sheetName val="DU_LIEU"/>
      <sheetName val="SAP"/>
      <sheetName val="Thoat nuoc"/>
      <sheetName val="8-31-98"/>
      <sheetName val="worksheet inchican"/>
      <sheetName val="combined 9-30"/>
      <sheetName val="BAG-2"/>
      <sheetName val="1_설계_x0000_건3"/>
      <sheetName val="CM_x0000__x0000__x0000_"/>
      <sheetName val="단가_및_재_x0000_비3"/>
      <sheetName val="1_설계"/>
      <sheetName val="단가_및_재"/>
      <sheetName val="[입찰안.xls][입찰안.xls][입찰안.xls]_520"/>
      <sheetName val="[입찰안.xls][입찰안.xls][입찰안.xls]_524"/>
      <sheetName val="[입찰안.xls][입찰안.xls][입찰안.xls]_522"/>
      <sheetName val="[입찰안.xls][입찰안.xls][입찰안.xls]_523"/>
      <sheetName val="[입찰안.xls][입찰안.xls][입찰안.xls]_529"/>
      <sheetName val="[입찰안.xls][입찰안.xls][입찰안.xls]_528"/>
      <sheetName val="[입찰안.xls][입찰안.xls][입찰안.xls]_527"/>
      <sheetName val="산수배수"/>
      <sheetName val="[입찰안.xls][입찰안.xls][입찰안.xls]___7"/>
      <sheetName val="[입찰안.xls][입찰안_xls][입찰안_xls]___3"/>
      <sheetName val="[입찰안.xls][입찰안.xls][입찰안_xls]___2"/>
      <sheetName val="적용토목"/>
      <sheetName val="배수개거재"/>
      <sheetName val="co-no.2"/>
      <sheetName val="(1)2002년 매출목표 산출"/>
      <sheetName val="[입찰안.xls][입찰안.xls][입찰안.xls]_530"/>
      <sheetName val="[입찰안.xls][입찰안.xls][입찰안.xls]_531"/>
      <sheetName val="[입찰안.xls][입찰안.xls][입찰안.xls]_532"/>
      <sheetName val="[입찰안.xls][입찰안.xls][입찰안.xls]_534"/>
      <sheetName val="[입찰안.xls][입찰안.xls][입찰안.xls]_533"/>
      <sheetName val="plan&amp;section_of_fo뮽◽_x0000__x0000_㠀퇛ﰙ팣"/>
      <sheetName val="plan&amp;section_of_fo_xd8e4_꼉_x0000_ꘀ㺨"/>
      <sheetName val="plan&amp;section_of_fouꄰₙ_x0000__x0000__x0000__x0000_ﱔ"/>
      <sheetName val="plan&amp;section_of_fou_x0000_¶釈̫ꗝû߸"/>
      <sheetName val="plan&amp;section_of_fou_x0000_¶釈̫ꗝû荸"/>
      <sheetName val="plan&amp;section_of_fou_x0000_g釈ˆꗝ㥀"/>
      <sheetName val="plan&amp;section_of_fou_x0000_g釈ˆꗝ᳀"/>
      <sheetName val="plan&amp;section_of_fouꗝ¾䝠Ύ_x0000__x0000__x0000_"/>
      <sheetName val="plan&amp;section_of_fou_x0002__x0000_蒸ζ㓡è諠"/>
      <sheetName val="plan&amp;section_of_fouﵨὰ⭸⇭_x0000__x0000_㖬"/>
      <sheetName val="plan&amp;section_of_fou_x0000__x0000__x0005__x0000_௰좤ˑ"/>
      <sheetName val="plan&amp;section_of_fou_x0000__x0000__x0005__x0000_ហ붽ˑ"/>
      <sheetName val="plan&amp;section_of_fou_x0000__x0000__x0005__x0000_≰쬡ˑ"/>
      <sheetName val="plan&amp;section_of_fou_x0000__x0000__x0005__x0000_꒰쩼ˑ"/>
      <sheetName val="정리계"/>
      <sheetName val="정리계槜〽"/>
      <sheetName val="_HIT__HMC_견"/>
      <sheetName val="[입찰안.xls][입찰안.xls][입찰안.xls]_535"/>
      <sheetName val="서울대규장각(가시설흙막이)"/>
      <sheetName val="[입찰안.xls][입찰안.xls][입찰안.xls]_536"/>
      <sheetName val="[입찰안.xls][입찰안.xls][입찰안.xls]_537"/>
      <sheetName val="[입찰안.xls][입찰안.xls][입찰안.xls]_538"/>
      <sheetName val="[입찰안.xls][입찰안.xls][입찰안.xls]_539"/>
      <sheetName val="[입찰안.xls][입찰안.xls][입찰안.xls]_540"/>
      <sheetName val="[입찰안.xls][입찰안.xls][입찰안.xls]_541"/>
      <sheetName val="[입찰안.xls][입찰안.xls][입찰안.xls]_542"/>
      <sheetName val="[입찰안.xls][입찰안.xls][입찰안.xls]_543"/>
      <sheetName val="[입찰안.xls][입찰안.xls][입찰안.xls]_544"/>
      <sheetName val="[입찰안.xls][입찰안.xls][입찰안.xls]_546"/>
      <sheetName val="[입찰안.xls][입찰안.xls][입찰안.xls]_545"/>
      <sheetName val="[입찰안.xls][입찰안.xls][입찰안.xls]_551"/>
      <sheetName val="[입찰안.xls][입찰안.xls][입찰안.xls]_547"/>
      <sheetName val="[입찰안.xls][입찰안.xls][입찰안.xls]_548"/>
      <sheetName val="[입찰안.xls][입찰안.xls][입찰안.xls]_549"/>
      <sheetName val="[입찰안.xls][입찰안.xls][입찰안.xls]_550"/>
      <sheetName val="조경수_x0000_"/>
      <sheetName val="RD제품개발투자비(매가)"/>
      <sheetName val="Dayworks"/>
      <sheetName val="500(1)g"/>
      <sheetName val="GRAND SUM"/>
      <sheetName val="plan&amp;section_of__x0000__x0000_Ā_x0000__x0005__x0000_翹_x0000_조ꤟ"/>
      <sheetName val="preface"/>
      <sheetName val="SCH"/>
      <sheetName val="#2 노임단가"/>
      <sheetName val="___1"/>
      <sheetName val="B__1"/>
      <sheetName val="B_67"/>
      <sheetName val="B_68"/>
      <sheetName val="기본데이터"/>
      <sheetName val="실적관리"/>
      <sheetName val="노원열병합___x0000__x0000__x0005__x0000_츀ɮ_x0000__x0000__x0000_"/>
      <sheetName val="[입찰안.xls][입찰안.xls][입찰안.xls]_554"/>
      <sheetName val="[입찰안.xls][입찰안.xls][입찰안.xls]_555"/>
      <sheetName val="[입찰안.xls][입찰안.xls][입찰안.xls]_553"/>
      <sheetName val="[입찰안.xls][입찰안.xls][입찰안.xls]_552"/>
      <sheetName val="[입찰안.xls][입찰안.xls][입찰안.xls]_556"/>
      <sheetName val="[입찰안.xls][입찰안.xls][입찰안.xls]_557"/>
      <sheetName val="[입찰안.xls][입찰안.xls][입찰안.xls]_562"/>
      <sheetName val="[입찰안.xls][입찰안.xls][입찰안.xls]_563"/>
      <sheetName val="[입찰안.xls][입찰안.xls][입찰안.xls]_558"/>
      <sheetName val="[입찰안.xls][입찰안.xls][입찰안.xls]_559"/>
      <sheetName val="[입찰안.xls][입찰안.xls][입찰안.xls]_560"/>
      <sheetName val="[입찰안.xls][입찰안.xls][입찰안.xls]_561"/>
      <sheetName val="[입찰안.xls][입찰안.xls][입찰안.xls]_567"/>
      <sheetName val="[입찰안.xls][입찰안.xls][입찰안.xls]_568"/>
      <sheetName val="[입찰안.xls][입찰안.xls][입찰안.xls]_576"/>
      <sheetName val="[입찰안.xls][입찰안.xls][입찰안.xls]_564"/>
      <sheetName val="[입찰안.xls][입찰안.xls][입찰안.xls]_565"/>
      <sheetName val="[입찰안.xls][입찰안.xls][입찰안.xls]_566"/>
      <sheetName val="[입찰안.xls][입찰안.xls][입찰안.xls]_593"/>
      <sheetName val="[입찰안.xls][입찰안.xls][입찰안.xls]_596"/>
      <sheetName val="[입찰안.xls][입찰안.xls][입찰안.xls]_569"/>
      <sheetName val="[입찰안.xls][입찰안.xls][입찰안.xls]_572"/>
      <sheetName val="[입찰안.xls][입찰안.xls][입찰안.xls]_571"/>
      <sheetName val="[입찰안.xls][입찰안.xls][입찰안.xls]_570"/>
      <sheetName val="[입찰안.xls][입찰안.xls][입찰안.xls]_574"/>
      <sheetName val="[입찰안.xls][입찰안.xls][입찰안.xls]_575"/>
      <sheetName val="[입찰안.xls][입찰안.xls][입찰안.xls]_573"/>
      <sheetName val="[입찰안.xls][입찰안.xls][입찰안.xls]_590"/>
      <sheetName val="[입찰안.xls][입찰안.xls][입찰안.xls]_589"/>
      <sheetName val="[입찰안.xls][입찰안.xls][입찰안.xls]_583"/>
      <sheetName val="[입찰안.xls][입찰안.xls][입찰안.xls]_584"/>
      <sheetName val="[입찰안.xls][입찰안.xls][입찰안.xls]_585"/>
      <sheetName val="[입찰안.xls][입찰안.xls][입찰안.xls]_577"/>
      <sheetName val="[입찰안.xls][입찰안.xls][입찰안.xls]_578"/>
      <sheetName val="[입찰안.xls][입찰안.xls][입찰안.xls]_579"/>
      <sheetName val="[입찰안.xls][입찰안.xls][입찰안.xls]_580"/>
      <sheetName val="[입찰안.xls][입찰안.xls][입찰안.xls]_581"/>
      <sheetName val="[입찰안.xls][입찰안.xls][입찰안.xls]_582"/>
      <sheetName val="[입찰안.xls][입찰안.xls][입찰안.xls]_587"/>
      <sheetName val="[입찰안.xls][입찰안.xls][입찰안.xls]_586"/>
      <sheetName val="[입찰안.xls][입찰안.xls][입찰안.xls]_588"/>
      <sheetName val="[입찰안.xls][입찰안.xls][입찰안.xls]_592"/>
      <sheetName val="[입찰안.xls][입찰안.xls][입찰안.xls]_591"/>
      <sheetName val="[입찰안.xls][입찰안.xls][입찰안.xls]_594"/>
      <sheetName val="[입찰안.xls][입찰안.xls][입찰안.xls]_595"/>
      <sheetName val="[입찰안.xls][입찰안.xls][입찰안.xls]_599"/>
      <sheetName val="[입찰안.xls][입찰안.xls][입찰안.xls]_598"/>
      <sheetName val="[입찰안.xls][입찰안.xls][입찰안.xls]_600"/>
      <sheetName val="[입찰안.xls][입찰안.xls][입찰안.xls]_597"/>
      <sheetName val="[입찰안.xls][입찰안.xls][입찰안.xls]_601"/>
      <sheetName val="조선용암면"/>
      <sheetName val="DMKH"/>
      <sheetName val="DmChitiet"/>
      <sheetName val="Nhatky"/>
      <sheetName val="Báo cáo"/>
      <sheetName val="Báo_cáo"/>
      <sheetName val="Bill 02 INF"/>
      <sheetName val="負荷集計（断熱不燃）"/>
      <sheetName val="6MONTHS"/>
      <sheetName val="Cst Pkg-Eden"/>
      <sheetName val="대비표"/>
      <sheetName val="MTP"/>
      <sheetName val="Unt rate SS"/>
      <sheetName val="Báo_cáo1"/>
      <sheetName val="xe"/>
      <sheetName val="남양시작동자105노65기1.3화1.2"/>
      <sheetName val="전기내역서"/>
      <sheetName val="[입찰안.xls][입찰안.xls][입찰안.xls]___8"/>
      <sheetName val="[입찰안.xls][입찰안_xls][입찰안_xls]___4"/>
      <sheetName val="[입찰안.xls][입찰안.xls][입찰안_xls]___3"/>
      <sheetName val="[입찰안.xls][입찰안.xls][입찰안.xls]_816"/>
      <sheetName val="[입찰안.xls][입찰안.xls][입찰안.xls]_817"/>
      <sheetName val="[입찰안.xls][입찰안.xls][입찰안.xls]_818"/>
      <sheetName val="[입찰안.xls][입찰안.xls][입찰안.xls]_814"/>
      <sheetName val="[입찰안.xls][입찰안.xls][입찰안.xls]_813"/>
      <sheetName val="[입찰안.xls][입찰안.xls][입찰안.xls]_815"/>
      <sheetName val="[입찰안.xls][입찰안.xls][입찰안.xls]_804"/>
      <sheetName val="[입찰안.xls][입찰안.xls][입찰안.xls]_783"/>
      <sheetName val="[입찰안.xls][입찰안.xls][입찰안.xls]_786"/>
      <sheetName val="[입찰안.xls][입찰안.xls][입찰안.xls]_787"/>
      <sheetName val="철콘"/>
      <sheetName val="보링"/>
      <sheetName val="철물"/>
      <sheetName val="철강재"/>
      <sheetName val="견적내역"/>
      <sheetName val="포장"/>
      <sheetName val="기초단가(03,상반기)"/>
      <sheetName val="노임(03,상반기)"/>
      <sheetName val="중기손료(03,상반기)"/>
      <sheetName val="중기가격(03)"/>
      <sheetName val="경비단가(02)"/>
      <sheetName val="신복2"/>
      <sheetName val="평균터파기고(1-2,ASP)"/>
      <sheetName val="원가계산"/>
      <sheetName val="토공사"/>
      <sheetName val="6월 출고 일일보고"/>
      <sheetName val="사업소득자세수추계"/>
      <sheetName val="[입찰안.xls][입찰안.xls][입찰안.xls]_779"/>
      <sheetName val="[입찰안.xls][입찰안.xls][입찰안.xls]_781"/>
      <sheetName val="[입찰안.xls][입찰안.xls][입찰안.xls]_778"/>
      <sheetName val="[입찰안.xls][입찰안.xls][입찰안.xls]_774"/>
      <sheetName val="[입찰안.xls][입찰안.xls][입찰안.xls]_775"/>
      <sheetName val="[입찰안.xls][입찰안.xls][입찰안.xls]_614"/>
      <sheetName val="[입찰안.xls][입찰안.xls][입찰안.xls]_628"/>
      <sheetName val="[입찰안.xls][입찰안.xls][입찰안.xls]_602"/>
      <sheetName val="[입찰안.xls][입찰안.xls][입찰안.xls]_606"/>
      <sheetName val="[입찰안.xls][입찰안.xls][입찰안.xls]_603"/>
      <sheetName val="[입찰안.xls][입찰안.xls][입찰안.xls]_604"/>
      <sheetName val="[입찰안.xls][입찰안.xls][입찰안.xls]_605"/>
      <sheetName val="[입찰안.xls][입찰안.xls][입찰안.xls]_607"/>
      <sheetName val="[입찰안.xls][입찰안.xls][입찰안.xls]_608"/>
      <sheetName val="[입찰안.xls][입찰안.xls][입찰안.xls]_609"/>
      <sheetName val="[입찰안.xls][입찰안.xls][입찰안.xls]_610"/>
      <sheetName val="[입찰안.xls][입찰안.xls][입찰안.xls]_613"/>
      <sheetName val="[입찰안.xls][입찰안.xls][입찰안.xls]_611"/>
      <sheetName val="[입찰안.xls][입찰안.xls][입찰안.xls]_612"/>
      <sheetName val="[입찰안.xls][입찰안.xls][입찰안.xls]_615"/>
      <sheetName val="[입찰안.xls][입찰안.xls][입찰안.xls]_616"/>
      <sheetName val="[입찰안.xls][입찰안.xls][입찰안.xls]_617"/>
      <sheetName val="[입찰안.xls][입찰안.xls][입찰안.xls]_618"/>
      <sheetName val="[입찰안.xls][입찰안.xls][입찰안.xls]_619"/>
      <sheetName val="[입찰안.xls][입찰안.xls][입찰안.xls]_620"/>
      <sheetName val="[입찰안.xls][입찰안.xls][입찰안.xls]_621"/>
      <sheetName val="[입찰안.xls][입찰안.xls][입찰안.xls]_622"/>
      <sheetName val="[입찰안.xls][입찰안.xls][입찰안.xls]_623"/>
      <sheetName val="[입찰안.xls][입찰안.xls][입찰안.xls]_624"/>
      <sheetName val="[입찰안.xls][입찰안.xls][입찰안.xls]_625"/>
      <sheetName val="[입찰안.xls][입찰안.xls][입찰안.xls]_626"/>
      <sheetName val="[입찰안.xls][입찰안.xls][입찰안.xls]_627"/>
      <sheetName val="[입찰안.xls][입찰안.xls][입찰안.xls]_635"/>
      <sheetName val="[입찰안.xls][입찰안.xls][입찰안.xls]_629"/>
      <sheetName val="[입찰안.xls][입찰안.xls][입찰안.xls]_630"/>
      <sheetName val="[입찰안.xls][입찰안.xls][입찰안.xls]_631"/>
      <sheetName val="[입찰안.xls][입찰안.xls][입찰안.xls]_632"/>
      <sheetName val="[입찰안.xls][입찰안.xls][입찰안.xls]_633"/>
      <sheetName val="[입찰안.xls][입찰안.xls][입찰안.xls]_634"/>
      <sheetName val="[입찰안.xls][입찰안.xls][입찰안.xls]_639"/>
      <sheetName val="[입찰안.xls][입찰안.xls][입찰안.xls]_636"/>
      <sheetName val="[입찰안.xls][입찰안.xls][입찰안.xls]_638"/>
      <sheetName val="[입찰안.xls][입찰안.xls][입찰안.xls]_637"/>
      <sheetName val="[입찰안.xls][입찰안.xls][입찰안.xls]_640"/>
      <sheetName val="[입찰안.xls][입찰안.xls][입찰안.xls]_641"/>
      <sheetName val="[입찰안.xls][입찰안.xls][입찰안.xls]_644"/>
      <sheetName val="[입찰안.xls][입찰안.xls][입찰안.xls]_642"/>
      <sheetName val="[입찰안.xls][입찰안.xls][입찰안.xls]_643"/>
      <sheetName val="[입찰안.xls][입찰안.xls][입찰안.xls]_647"/>
      <sheetName val="[입찰안.xls][입찰안.xls][입찰안.xls]_645"/>
      <sheetName val="[입찰안.xls][입찰안.xls][입찰안.xls]_646"/>
      <sheetName val="[입찰안.xls][입찰안.xls][입찰안.xls]_667"/>
      <sheetName val="[입찰안.xls][입찰안.xls][입찰안.xls]_651"/>
      <sheetName val="[입찰안.xls][입찰안.xls][입찰안.xls]_649"/>
      <sheetName val="[입찰안.xls][입찰안.xls][입찰안.xls]_648"/>
      <sheetName val="[입찰안.xls][입찰안.xls][입찰안.xls]_650"/>
      <sheetName val="[입찰안.xls][입찰안.xls][입찰안.xls]_652"/>
      <sheetName val="[입찰안.xls][입찰안.xls][입찰안.xls]_654"/>
      <sheetName val="[입찰안.xls][입찰안.xls][입찰안.xls]_653"/>
      <sheetName val="[입찰안.xls][입찰안.xls][입찰안.xls]_672"/>
      <sheetName val="[입찰안.xls][입찰안.xls][입찰안.xls]_655"/>
      <sheetName val="[입찰안.xls][입찰안.xls][입찰안.xls]_656"/>
      <sheetName val="[입찰안.xls][입찰안.xls][입찰안.xls]_657"/>
      <sheetName val="[입찰안.xls][입찰안.xls][입찰안.xls]_658"/>
      <sheetName val="[입찰안.xls][입찰안.xls][입찰안.xls]_660"/>
      <sheetName val="[입찰안.xls][입찰안.xls][입찰안.xls]_659"/>
      <sheetName val="[입찰안.xls][입찰안.xls][입찰안.xls]_661"/>
      <sheetName val="[입찰안.xls][입찰안.xls][입찰안.xls]_662"/>
      <sheetName val="[입찰안.xls][입찰안.xls][입찰안.xls]_663"/>
      <sheetName val="[입찰안.xls][입찰안.xls][입찰안.xls]_664"/>
      <sheetName val="[입찰안.xls][입찰안.xls][입찰안.xls]_666"/>
      <sheetName val="[입찰안.xls][입찰안.xls][입찰안.xls]_665"/>
      <sheetName val="[입찰안.xls][입찰안.xls][입찰안.xls]_684"/>
      <sheetName val="[입찰안.xls][입찰안.xls][입찰안.xls]_668"/>
      <sheetName val="[입찰안.xls][입찰안.xls][입찰안.xls]_669"/>
      <sheetName val="[입찰안.xls][입찰안.xls][입찰안.xls]_670"/>
      <sheetName val="[입찰안.xls][입찰안.xls][입찰안.xls]_671"/>
      <sheetName val="[입찰안.xls][입찰안.xls][입찰안.xls]_674"/>
      <sheetName val="[입찰안.xls][입찰안.xls][입찰안.xls]_673"/>
      <sheetName val="[입찰안.xls][입찰안.xls][입찰안.xls]_675"/>
      <sheetName val="[입찰안.xls][입찰안.xls][입찰안.xls]_693"/>
      <sheetName val="[입찰안.xls][입찰안.xls][입찰안.xls]_676"/>
      <sheetName val="[입찰안.xls][입찰안.xls][입찰안.xls]_678"/>
      <sheetName val="[입찰안.xls][입찰안.xls][입찰안.xls]_677"/>
      <sheetName val="[입찰안.xls][입찰안.xls][입찰안.xls]_679"/>
      <sheetName val="[입찰안.xls][입찰안.xls][입찰안.xls]_680"/>
      <sheetName val="[입찰안.xls][입찰안.xls][입찰안.xls]_681"/>
      <sheetName val="[입찰안.xls][입찰안.xls][입찰안.xls]_682"/>
      <sheetName val="[입찰안.xls][입찰안.xls][입찰안.xls]_683"/>
      <sheetName val="[입찰안.xls][입찰안.xls][입찰안.xls]_685"/>
      <sheetName val="[입찰안.xls][입찰안.xls][입찰안.xls]_686"/>
      <sheetName val="[입찰안.xls][입찰안.xls][입찰안.xls]_687"/>
      <sheetName val="[입찰안.xls][입찰안.xls][입찰안.xls]_688"/>
      <sheetName val="[입찰안.xls][입찰안.xls][입찰안.xls]_692"/>
      <sheetName val="[입찰안.xls][입찰안.xls][입찰안.xls]_689"/>
      <sheetName val="[입찰안.xls][입찰안.xls][입찰안.xls]_690"/>
      <sheetName val="[입찰안.xls][입찰안.xls][입찰안.xls]_691"/>
      <sheetName val="[입찰안.xls][입찰안.xls][입찰안.xls]_699"/>
      <sheetName val="[입찰안.xls][입찰안.xls][입찰안.xls]_694"/>
      <sheetName val="[입찰안.xls][입찰안.xls][입찰안.xls]_695"/>
      <sheetName val="[입찰안.xls][입찰안.xls][입찰안.xls]_698"/>
      <sheetName val="[입찰안.xls][입찰안.xls][입찰안.xls]_696"/>
      <sheetName val="[입찰안.xls][입찰안.xls][입찰안.xls]_697"/>
      <sheetName val="[입찰안.xls][입찰안.xls][입찰안.xls]_718"/>
      <sheetName val="[입찰안.xls][입찰안.xls][입찰안.xls]_704"/>
      <sheetName val="[입찰안.xls][입찰안.xls][입찰안.xls]_700"/>
      <sheetName val="[입찰안.xls][입찰안.xls][입찰안.xls]_701"/>
      <sheetName val="[입찰안.xls][입찰안.xls][입찰안.xls]_702"/>
      <sheetName val="[입찰안.xls][입찰안.xls][입찰안.xls]_703"/>
      <sheetName val="[입찰안.xls][입찰안.xls][입찰안.xls]_705"/>
      <sheetName val="[입찰안.xls][입찰안.xls][입찰안.xls]_706"/>
      <sheetName val="[입찰안.xls][입찰안.xls][입찰안.xls]_707"/>
      <sheetName val="[입찰안.xls][입찰안.xls][입찰안.xls]_708"/>
      <sheetName val="[입찰안.xls][입찰안.xls][입찰안.xls]_728"/>
      <sheetName val="[입찰안.xls][입찰안.xls][입찰안.xls]_710"/>
      <sheetName val="[입찰안.xls][입찰안.xls][입찰안.xls]_709"/>
      <sheetName val="[입찰안.xls][입찰안.xls][입찰안.xls]_711"/>
      <sheetName val="[입찰안.xls][입찰안.xls][입찰안.xls]_712"/>
      <sheetName val="[입찰안.xls][입찰안.xls][입찰안.xls]_713"/>
      <sheetName val="[입찰안.xls][입찰안.xls][입찰안.xls]_715"/>
      <sheetName val="[입찰안.xls][입찰안.xls][입찰안.xls]_714"/>
      <sheetName val="[입찰안.xls][입찰안.xls][입찰안.xls]_716"/>
      <sheetName val="[입찰안.xls][입찰안.xls][입찰안.xls]_717"/>
      <sheetName val="[입찰안.xls][입찰안.xls][입찰안.xls]_720"/>
      <sheetName val="[입찰안.xls][입찰안.xls][입찰안.xls]_719"/>
      <sheetName val="[입찰안.xls][입찰안.xls][입찰안.xls]_721"/>
      <sheetName val="[입찰안.xls][입찰안.xls][입찰안.xls]_722"/>
      <sheetName val="[입찰안.xls][입찰안.xls][입찰안.xls]_723"/>
      <sheetName val="[입찰안.xls][입찰안.xls][입찰안.xls]_724"/>
      <sheetName val="[입찰안.xls][입찰안.xls][입찰안.xls]_725"/>
      <sheetName val="[입찰안.xls][입찰안.xls][입찰안.xls]_726"/>
      <sheetName val="[입찰안.xls][입찰안.xls][입찰안.xls]_727"/>
      <sheetName val="[입찰안.xls][입찰안.xls][입찰안.xls]_729"/>
      <sheetName val="[입찰안.xls][입찰안.xls][입찰안.xls]_730"/>
      <sheetName val="[입찰안.xls][입찰안.xls][입찰안.xls]_732"/>
      <sheetName val="[입찰안.xls][입찰안.xls][입찰안.xls]_731"/>
      <sheetName val="[입찰안.xls][입찰안.xls][입찰안.xls]_746"/>
      <sheetName val="[입찰안.xls][입찰안.xls][입찰안.xls]_733"/>
      <sheetName val="[입찰안.xls][입찰안.xls][입찰안.xls]_734"/>
      <sheetName val="[입찰안.xls][입찰안.xls][입찰안.xls]_735"/>
      <sheetName val="[입찰안.xls][입찰안.xls][입찰안.xls]_736"/>
      <sheetName val="[입찰안.xls][입찰안.xls][입찰안.xls]_737"/>
      <sheetName val="[입찰안.xls][입찰안.xls][입찰안.xls]_738"/>
      <sheetName val="[입찰안.xls][입찰안.xls][입찰안.xls]_739"/>
      <sheetName val="[입찰안.xls][입찰안.xls][입찰안.xls]_740"/>
      <sheetName val="[입찰안.xls][입찰안.xls][입찰안.xls]_741"/>
      <sheetName val="[입찰안.xls][입찰안.xls][입찰안.xls]_742"/>
      <sheetName val="[입찰안.xls][입찰안.xls][입찰안.xls]_743"/>
      <sheetName val="[입찰안.xls][입찰안.xls][입찰안.xls]_744"/>
      <sheetName val="[입찰안.xls][입찰안.xls][입찰안.xls]_745"/>
      <sheetName val="[입찰안.xls][입찰안.xls][입찰안.xls]_747"/>
      <sheetName val="[입찰안.xls][입찰안.xls][입찰안.xls]_752"/>
      <sheetName val="[입찰안.xls][입찰안.xls][입찰안.xls]_748"/>
      <sheetName val="[입찰안.xls][입찰안.xls][입찰안.xls]_749"/>
      <sheetName val="[입찰안.xls][입찰안.xls][입찰안.xls]_750"/>
      <sheetName val="[입찰안.xls][입찰안.xls][입찰안.xls]_751"/>
      <sheetName val="[입찰안.xls][입찰안.xls][입찰안.xls]_763"/>
      <sheetName val="[입찰안.xls][입찰안.xls][입찰안.xls]_754"/>
      <sheetName val="[입찰안.xls][입찰안.xls][입찰안.xls]_753"/>
      <sheetName val="[입찰안.xls][입찰안.xls][입찰안.xls]_755"/>
      <sheetName val="[입찰안.xls][입찰안.xls][입찰안.xls]_756"/>
      <sheetName val="[입찰안.xls][입찰안.xls][입찰안.xls]_757"/>
      <sheetName val="[입찰안.xls][입찰안.xls][입찰안.xls]_758"/>
      <sheetName val="[입찰안.xls][입찰안.xls][입찰안.xls]_761"/>
      <sheetName val="[입찰안.xls][입찰안.xls][입찰안.xls]_759"/>
      <sheetName val="[입찰안.xls][입찰안.xls][입찰안.xls]_760"/>
      <sheetName val="[입찰안.xls][입찰안.xls][입찰안.xls]_762"/>
      <sheetName val="[입찰안.xls][입찰안.xls][입찰안.xls]_767"/>
      <sheetName val="[입찰안.xls][입찰안.xls][입찰안.xls]_764"/>
      <sheetName val="[입찰안.xls][입찰안.xls][입찰안.xls]_765"/>
      <sheetName val="[입찰안.xls][입찰안.xls][입찰안.xls]_766"/>
      <sheetName val="[입찰안.xls][입찰안.xls][입찰안.xls]_769"/>
      <sheetName val="[입찰안.xls][입찰안.xls][입찰안.xls]_768"/>
      <sheetName val="[입찰안.xls][입찰안.xls][입찰안.xls]_772"/>
      <sheetName val="[입찰안.xls][입찰안.xls][입찰안.xls]_770"/>
      <sheetName val="[입찰안.xls][입찰안.xls][입찰안.xls]_771"/>
      <sheetName val="[입찰안.xls][입찰안.xls][입찰안.xls]_773"/>
      <sheetName val="[입찰안.xls][입찰안.xls][입찰안.xls]_776"/>
      <sheetName val="[입찰안.xls][입찰안.xls][입찰안.xls]_777"/>
      <sheetName val="[입찰안.xls][입찰안.xls][입찰안.xls]_780"/>
      <sheetName val="전기혼잡제경비(45_x0016_"/>
      <sheetName val="명세"/>
      <sheetName val="건濐"/>
      <sheetName val="원가계산서(변경)"/>
      <sheetName val="자바라1"/>
      <sheetName val="[입찰안.xls][입찰안.xls][입찰안.xls]_782"/>
      <sheetName val="[입찰안.xls][입찰안.xls][입찰안.xls]_784"/>
      <sheetName val="[입찰안.xls][입찰안.xls][입찰안.xls]_785"/>
      <sheetName val="[입찰안.xls][입찰안.xls][입찰안.xls]_790"/>
      <sheetName val="[입찰안.xls][입찰안.xls][입찰안.xls]_791"/>
      <sheetName val="[입찰안.xls][입찰안.xls][입찰안.xls]_788"/>
      <sheetName val="[입찰안.xls][입찰안.xls][입찰안.xls]_789"/>
      <sheetName val="[입찰안.xls][입찰안.xls][입찰안.xls]_794"/>
      <sheetName val="[입찰안.xls][입찰안.xls][입찰안.xls]_796"/>
      <sheetName val="[입찰안.xls][입찰안.xls][입찰안.xls]_792"/>
      <sheetName val="[입찰안.xls][입찰안.xls][입찰안.xls]_793"/>
      <sheetName val="[입찰안.xls][입찰안.xls][입찰안.xls]_797"/>
      <sheetName val="[입찰안.xls][입찰안.xls][입찰안.xls]_795"/>
      <sheetName val="[입찰안.xls][입찰안.xls][입찰안.xls]_798"/>
      <sheetName val="[입찰안.xls][입찰안.xls][입찰안.xls]_799"/>
      <sheetName val="[입찰안.xls][입찰안.xls][입찰안.xls]_800"/>
      <sheetName val="이폴리머공장"/>
      <sheetName val="[입찰안.xls][입찰안.xls][입찰안.xls]_801"/>
      <sheetName val="[입찰안.xls][입찰안.xls][입찰안.xls]_802"/>
      <sheetName val="[입찰안.xls][입찰안.xls][입찰안.xls]_803"/>
      <sheetName val="[입찰안.xls][입찰안.xls][입찰안.xls]_805"/>
      <sheetName val="[입찰안.xls][입찰안.xls][입찰안.xls]_806"/>
      <sheetName val="[입찰안.xls][입찰안.xls][입찰안.xls]_809"/>
      <sheetName val="[입찰안.xls][입찰안.xls][입찰안.xls]_810"/>
      <sheetName val="[입찰안.xls][입찰안.xls][입찰안.xls]_811"/>
      <sheetName val="[입찰안.xls][입찰안.xls][입찰안.xls]_808"/>
      <sheetName val="[입찰안.xls][입찰안.xls][입찰안.xls]_807"/>
      <sheetName val="[입찰안.xls][입찰안.xls][입찰안.xls]_812"/>
      <sheetName val="[입찰안.xls][입찰안.xls][입찰안.xls]_833"/>
      <sheetName val="[입찰안.xls][입찰안.xls][입찰안.xls]_836"/>
      <sheetName val="직접ఀ핧蠀兿"/>
      <sheetName val="원료비2(2000.10-09)"/>
      <sheetName val="수익성분석2"/>
      <sheetName val="외화환산(2분기)"/>
      <sheetName val="X68"/>
      <sheetName val="미지급급여"/>
      <sheetName val="경영지표"/>
      <sheetName val="제품코드"/>
      <sheetName val="부문99-2"/>
      <sheetName val="정산표"/>
      <sheetName val="[입찰안.xls][입찰안.xls][입찰안.xls]_819"/>
      <sheetName val="[입찰안.xls][입찰안.xls][입찰안.xls]_820"/>
      <sheetName val="[입찰안.xls][입찰안.xls][입찰안.xls]_821"/>
      <sheetName val="덕_x0000_靰"/>
      <sheetName val="3련_B裉ۿ"/>
      <sheetName val="[입찰안.xls][입찰안.xls][입찰안.xls]_822"/>
      <sheetName val="[입찰안.xls][입찰안.xls][입찰안.xls]_823"/>
      <sheetName val="[입찰안.xls][입찰안.xls][입찰안.xls]_824"/>
      <sheetName val="[입찰안.xls][입찰안.xls][입찰안.xls]_829"/>
      <sheetName val="[입찰안.xls][입찰안.xls][입찰안.xls]_825"/>
      <sheetName val="[입찰안.xls][입찰안.xls][입찰안.xls]_830"/>
      <sheetName val="[입찰안.xls][입찰안.xls][입찰안.xls]_831"/>
      <sheetName val="[입찰안.xls][입찰안.xls][입찰안.xls]_826"/>
      <sheetName val="[입찰안.xls][입찰안.xls][입찰안.xls]_827"/>
      <sheetName val="[입찰안.xls][입찰안.xls][입찰안.xls]_828"/>
      <sheetName val="[입찰안.xls][입찰안.xls][입찰안.xls]_832"/>
      <sheetName val="[입찰안.xls][입찰안.xls][입찰안.xls]_834"/>
      <sheetName val="[입찰안.xls][입찰안.xls][입찰안.xls]_835"/>
      <sheetName val="M-EQPT-Z"/>
      <sheetName val="7._x0000__x0000__x0000_"/>
      <sheetName val="_입찰안.xls__입찰안.xls__입찰안.xls_B__6"/>
      <sheetName val="_입찰안.xls__입찰안.xls__입찰안.xls_B__5"/>
      <sheetName val="_입찰안.xls__입찰안.xls__입찰안.xls_B__4"/>
      <sheetName val="_입찰안.xls__입찰안.xls__입찰안.xls_B_11"/>
      <sheetName val="_입찰안.xls__입찰안.xls__입찰안.xls_B__7"/>
      <sheetName val="_입찰안.xls__입찰안.xls__입찰안.xls_B__8"/>
      <sheetName val="_입찰안.xls__입찰안.xls__입찰안.xls_B__9"/>
      <sheetName val="_입찰안.xls__입찰안.xls__입찰안.xls_B_10"/>
      <sheetName val="_입찰안.xls__입찰안.xls__입찰안.xls_B_13"/>
      <sheetName val="_입찰안.xls__입찰안.xls__입찰안.xls_B_12"/>
      <sheetName val="_입찰안.xls__입찰안.xls__입찰안.xls_B_14"/>
      <sheetName val="_입찰안.xls__입찰안.xls__입찰안.xls_B_15"/>
      <sheetName val="_입찰안.xls__입찰안.xls__입찰안.xls_B_16"/>
      <sheetName val="_입찰안.xls__입찰안.xls__입찰안.xls_B_17"/>
      <sheetName val="_입찰안.xls__입찰안.xls__입찰안.xls_B_23"/>
      <sheetName val="_입찰안.xls__입찰안.xls__입찰안.xls_B_18"/>
      <sheetName val="_입찰안.xls__입찰안.xls__입찰안.xls_B_19"/>
      <sheetName val="_입찰안.xls__입찰안.xls__입찰안.xls_B_20"/>
      <sheetName val="_입찰안.xls__입찰안.xls__입찰안.xls_B_21"/>
      <sheetName val="_입찰안.xls__입찰안.xls__입찰안.xls_B_22"/>
      <sheetName val="_입찰안.xls__입찰안.xls__입찰안.xls_B_25"/>
      <sheetName val="_입찰안.xls__입찰안.xls__입찰안.xls_B_24"/>
      <sheetName val="_입찰안.xls__입찰안.xls__입찰안.xls_B_26"/>
      <sheetName val="_입찰안.xls__입찰안.xls__입찰안.xls_B_27"/>
      <sheetName val="_입찰안.xls__입찰안.xls__입찰안.xls_B_29"/>
      <sheetName val="_입찰안.xls__입찰안.xls__입찰안.xls_B_28"/>
      <sheetName val="공비대비"/>
      <sheetName val="ITEM_W"/>
      <sheetName val="II손익관리"/>
      <sheetName val="간 지1"/>
      <sheetName val="실행예산"/>
      <sheetName val="5호광장_(만점)9"/>
      <sheetName val="인천국제_(만점)_(2)9"/>
      <sheetName val="Total_단위경유량집계9"/>
      <sheetName val="1_수인터널9"/>
      <sheetName val="준검_내역서9"/>
      <sheetName val="토공유동표(전체_당초)9"/>
      <sheetName val="3련_BOX9"/>
      <sheetName val="A_견적8"/>
      <sheetName val="BH-1_(2)9"/>
      <sheetName val="4_전기9"/>
      <sheetName val="표__지9"/>
      <sheetName val="I_설계조건9"/>
      <sheetName val="노원열병합__건축공사기성내역서9"/>
      <sheetName val="plan&amp;section_of_foundation9"/>
      <sheetName val="pile_bearing_capa_&amp;_arrenge9"/>
      <sheetName val="working_load_at_the_btm_ft_9"/>
      <sheetName val="stability_check9"/>
      <sheetName val="design_criteria9"/>
      <sheetName val="앉음벽_(2)9"/>
      <sheetName val="MSS_29"/>
      <sheetName val="2_1__노무비_평균단가산출8"/>
      <sheetName val="1_설계조건9"/>
      <sheetName val="우수관매설및_우수받이9"/>
      <sheetName val="조도계산서_(도서)9"/>
      <sheetName val="제출내역_(2)9"/>
      <sheetName val="내역_ver1_09"/>
      <sheetName val="보고서_기기리스트8"/>
      <sheetName val="7__현장관리비_9"/>
      <sheetName val="6__안전관리비9"/>
      <sheetName val="배수공_시멘트_및_골재량_산출8"/>
      <sheetName val="11_우각부_보강9"/>
      <sheetName val="_HIT__HMC_견적_3900_9"/>
      <sheetName val="소포내역_(2)9"/>
      <sheetName val="내___역8"/>
      <sheetName val="플랜트_설치8"/>
      <sheetName val="배수내역_(2)8"/>
      <sheetName val="11_산출(전열)9"/>
      <sheetName val="6_산출(동력)9"/>
      <sheetName val="7_산출(TRAY)9"/>
      <sheetName val="5_산출(전력)8"/>
      <sheetName val="수량산출서(전력간선_지하D_C)8"/>
      <sheetName val="SHEET_PILE단가8"/>
      <sheetName val="Customer_Databas8"/>
      <sheetName val="8_현장관리비8"/>
      <sheetName val="7_안전관리비8"/>
      <sheetName val="BH_1__2_8"/>
      <sheetName val="목차_8"/>
      <sheetName val="_HIT-&gt;HMC_견적(3900)8"/>
      <sheetName val="화재_탐지_설비8"/>
      <sheetName val="전_기8"/>
      <sheetName val="2차전체변경예정_(2)8"/>
      <sheetName val="6PILE__(돌출)8"/>
      <sheetName val="spc_배관견적8"/>
      <sheetName val="1_설계기준8"/>
      <sheetName val="귀래_설계_공내역서8"/>
      <sheetName val="unit_48"/>
      <sheetName val="1_취수장8"/>
      <sheetName val="도담구내_개소별_명세8"/>
      <sheetName val="개인별_순위표8"/>
      <sheetName val="세골재__T2_변경_현황8"/>
      <sheetName val="설_계8"/>
      <sheetName val="Cash_Flow-18"/>
      <sheetName val="3_1공사현황_공정표8"/>
      <sheetName val="노임_단가8"/>
      <sheetName val="投标材料清单_8"/>
      <sheetName val="내역서_8"/>
      <sheetName val="별표_8"/>
      <sheetName val="집_계_표8"/>
      <sheetName val="노임단가_(2)8"/>
      <sheetName val="3_공통공사대비8"/>
      <sheetName val="단가_및_재료비8"/>
      <sheetName val="단___산7"/>
      <sheetName val="실____단7"/>
      <sheetName val="7_공정표8"/>
      <sheetName val="단면_(2)8"/>
      <sheetName val="장비비_명세서18"/>
      <sheetName val="6__수량산출서7"/>
      <sheetName val="RETAIL_(ABOVE)8"/>
      <sheetName val="5__현장관리비(new)_8"/>
      <sheetName val="노무비_근거7"/>
      <sheetName val="제수변_수량집계표(보통)7"/>
      <sheetName val="2_대외공문8"/>
      <sheetName val="Eq__Mobilization8"/>
      <sheetName val="_갑지7"/>
      <sheetName val="장비_(2)7"/>
      <sheetName val="3BL공동구_수량7"/>
      <sheetName val="전선_및_전선관7"/>
      <sheetName val="CM_17"/>
      <sheetName val="5_동별횡주관경7"/>
      <sheetName val="일위대가56-1_6"/>
      <sheetName val="일위대가71-1_6"/>
      <sheetName val="일위대가74-1_6"/>
      <sheetName val="일위대가76-1_6"/>
      <sheetName val="일위대가77-1_6"/>
      <sheetName val="일위대가78-1_6"/>
      <sheetName val="_소방공사_산출근거6"/>
      <sheetName val="기성(1차)_6"/>
      <sheetName val="Sheet1_(2)7"/>
      <sheetName val="습식및_셀프레벨링7"/>
      <sheetName val="1차_내역서7"/>
      <sheetName val="BSD_(2)6"/>
      <sheetName val="바_한일양산6"/>
      <sheetName val="Project_Brief6"/>
      <sheetName val="영업_일16"/>
      <sheetName val="기기_내역서6"/>
      <sheetName val="내역서1999_8최종7"/>
      <sheetName val="전사_(2)6"/>
      <sheetName val="BA_(2)6"/>
      <sheetName val="CP_(2)6"/>
      <sheetName val="암거_제원표7"/>
      <sheetName val="수량산출서_(2)6"/>
      <sheetName val="토공_total6"/>
      <sheetName val="참조_(2)7"/>
      <sheetName val="일위대가_7"/>
      <sheetName val="4_LINE7"/>
      <sheetName val="7_th7"/>
      <sheetName val="변경명신물량_(2)6"/>
      <sheetName val="1_CB6"/>
      <sheetName val="토공_토적표6"/>
      <sheetName val="아파트_5"/>
      <sheetName val="갑지_을지5"/>
      <sheetName val="기존단가_(2)6"/>
      <sheetName val="미납품_현황5"/>
      <sheetName val="유효폭의_계산5"/>
      <sheetName val="도담구내_개소별_명柖7"/>
      <sheetName val="danh_muc_vat_tu7"/>
      <sheetName val="Register-BG_NCC7"/>
      <sheetName val="Data_27"/>
      <sheetName val="TB_chính7"/>
      <sheetName val="Steel_pipe7"/>
      <sheetName val="Ref_pipe+Ins7"/>
      <sheetName val="Plastic_pipe7"/>
      <sheetName val="Air_Grilles7"/>
      <sheetName val="Cost_bd-&quot;A&quot;7"/>
      <sheetName val="2-2_매출분석5"/>
      <sheetName val="STEEL_BOX_단면설계(SEC_8)5"/>
      <sheetName val="설명서_5"/>
      <sheetName val="표지_(2)5"/>
      <sheetName val="단양_00_아파트-세부내역5"/>
      <sheetName val="4_2_1_마루높이_검토5"/>
      <sheetName val="4__VOs_summary6"/>
      <sheetName val="Chiet_tinh_dz356"/>
      <sheetName val="_견적서5"/>
      <sheetName val="자격_땡겨오기5"/>
      <sheetName val="1_내역(청_하역장전등)5"/>
      <sheetName val="갑지_설계_내역서5"/>
      <sheetName val="2_단면가정_(양곡1교)5"/>
      <sheetName val="ITB_COST5"/>
      <sheetName val="수량산출서_갑지5"/>
      <sheetName val="05년_상5"/>
      <sheetName val="영흥TL(UP,DOWN)_5"/>
      <sheetName val="8_PILE__(돌출)5"/>
      <sheetName val="2000_054"/>
      <sheetName val="내역(인테리어_실내)(도급)4"/>
      <sheetName val="내역(인테리어_실외)(도급)4"/>
      <sheetName val="TABLE_DB4"/>
      <sheetName val="쌍용_data_base4"/>
      <sheetName val="_FURNACE현설4"/>
      <sheetName val="97_사업추정(WEKI)4"/>
      <sheetName val="8_설치품셈4"/>
      <sheetName val="자재기성_신청서_xlsx4"/>
      <sheetName val="DATA_LISTS4"/>
      <sheetName val="내역서_제출5"/>
      <sheetName val="19_07월_세_계4"/>
      <sheetName val="19_07항목별(시트복사금지100번쓰기)4"/>
      <sheetName val="19_05월4"/>
      <sheetName val="품셈_4"/>
      <sheetName val="M-EMS_GP-570(BIT)4"/>
      <sheetName val="Bảng_mã_VT6"/>
      <sheetName val="0_목록14"/>
      <sheetName val="중기조종사_단위단가4"/>
      <sheetName val="Elec_LG4"/>
      <sheetName val="ESTI_4"/>
      <sheetName val="D_&amp;_W_sizes4"/>
      <sheetName val="Gia_vat_tu4"/>
      <sheetName val="dtct_cong4"/>
      <sheetName val="[입찰안_xls][입찰안_xls][입찰안_xls]B103"/>
      <sheetName val="[입찰안_xls][입찰안_xls][입찰안_xls]B104"/>
      <sheetName val="[입찰안_xls][입찰안_xls][입찰안_xls]B105"/>
      <sheetName val="[입찰안_xls][입찰안_xls][입찰안_xls]B106"/>
      <sheetName val="[입찰안_xls][입찰안_xls][입찰안_xls]B107"/>
      <sheetName val="[입찰안_xls][입찰안_xls][입찰안_xls]B108"/>
      <sheetName val="[입찰안_xls][입찰안_xls][입찰안_xls]B109"/>
      <sheetName val="[입찰안_xls][입찰안_xls][입찰안_xls]B110"/>
      <sheetName val="[입찰안_xls][입찰안_xls][입찰안_xls]B111"/>
      <sheetName val="[입찰안_xls][입찰안_xls][입찰안_xls]B112"/>
      <sheetName val="[입찰안_xls][입찰안_xls][입찰안_xls]B113"/>
      <sheetName val="[입찰안_xls][입찰안_xls][입찰안_xls]B114"/>
      <sheetName val="[입찰안_xls][입찰안_xls][입찰안_xls]B115"/>
      <sheetName val="[입찰안_xls][입찰안_xls][입찰안_xls]B116"/>
      <sheetName val="[입찰안_xls][입찰안_xls][입찰안_xls]B117"/>
      <sheetName val="So_sanh3"/>
      <sheetName val="[입찰안_xls][입찰안_xls][입찰안_xls]B118"/>
      <sheetName val="[입찰안_xls][입찰안_xls][입찰안_xls]B119"/>
      <sheetName val="[입찰안_xls][입찰안_xls][입찰안_xls]B120"/>
      <sheetName val="[입찰안_xls][입찰안_xls][입찰안_xls]B121"/>
      <sheetName val="[입찰안_xls][입찰안_xls][입찰안_xls]B122"/>
      <sheetName val="[입찰안_xls][입찰안_xls][입찰안_xls]B123"/>
      <sheetName val="[입찰안_xls][입찰안_xls][입찰안_xls]B124"/>
      <sheetName val="[입찰안_xls][입찰안_xls][입찰안_xls]B125"/>
      <sheetName val="[입찰안_xls][입찰안_xls][입찰안_xls]B126"/>
      <sheetName val="[입찰안_xls][입찰안_xls][입찰안_xls]B127"/>
      <sheetName val="[입찰안_xls][입찰안_xls][입찰안_xls]B128"/>
      <sheetName val="PROJ__DATA3"/>
      <sheetName val="_Beams_Sched_3"/>
      <sheetName val="[입찰안_xls][입찰안_xls][입찰안_xls]___6"/>
      <sheetName val="[입찰안_xls][입찰안_xls][입찰안_xls]___7"/>
      <sheetName val="견적비교표_(2)1"/>
      <sheetName val="결재방(지우지_마세요)1"/>
      <sheetName val="EXCHANGE_RATE1"/>
      <sheetName val="중강당_내역1"/>
      <sheetName val="[입찰안_xls][입찰안_xls][입찰안_xls]B129"/>
      <sheetName val="[입찰안_xls][입찰안_xls][입찰안_xls]B130"/>
      <sheetName val="[입찰안_xls][입찰안_xls][입찰안_xls]B131"/>
      <sheetName val="[입찰안_xls][입찰안_xls][입찰안_xls]B132"/>
      <sheetName val="[입찰안_xls][입찰안_xls][입찰안_xls]B133"/>
      <sheetName val="[입찰안_xls][입찰안_xls][입찰안_xls]B134"/>
      <sheetName val="[입찰안_xls][입찰안_xls][입찰안_xls]B135"/>
      <sheetName val="[입찰안_xls][입찰안_xls][입찰안_xls]B136"/>
      <sheetName val="[입찰안_xls][입찰안_xls][입찰안_xls]B137"/>
      <sheetName val="[입찰안_xls][입찰안_xls][입찰안_xls]B138"/>
      <sheetName val="[입찰안_xls][입찰안_xls][입찰안_xls]B139"/>
      <sheetName val="[입찰안_xls][입찰안_xls][입찰안_xls]B140"/>
      <sheetName val="[입찰안_xls][입찰안_xls][입찰안_xls]B141"/>
      <sheetName val="[입찰안_xls][입찰안_xls][입찰안_xls]B142"/>
      <sheetName val="[입찰안_xls][입찰안_xls][입찰안_xls]B143"/>
      <sheetName val="[입찰안_xls][입찰안_xls][입찰안_xls]B144"/>
      <sheetName val="[입찰안_xls][입찰안_xls][입찰안_xls]B145"/>
      <sheetName val="[입찰안_xls][입찰안_xls][입찰안_xls]B146"/>
      <sheetName val="[입찰안_xls][입찰안_xls][입찰안_xls]B147"/>
      <sheetName val="[입찰안_xls][입찰안_xls][입찰안_xls]B148"/>
      <sheetName val="[입찰안_xls][입찰안_xls][입찰안_xls]B149"/>
      <sheetName val="[입찰안_xls][입찰안_xls][입찰안_xls]B150"/>
      <sheetName val="[입찰안_xls][입찰안_xls][입찰안_xls]B151"/>
      <sheetName val="[입찰안_xls][입찰안_xls][입찰안_xls]B152"/>
      <sheetName val="[입찰안_xls][입찰안_xls][입찰안_xls]B153"/>
      <sheetName val="[입찰안_xls][입찰안_xls][입찰안_xls]B154"/>
      <sheetName val="[입찰안_xls][입찰안_xls][입찰안_xls]B155"/>
      <sheetName val="[입찰안_xls][입찰안_xls][입찰안_xls]B156"/>
      <sheetName val="[입찰안_xls][입찰안_xls][입찰안_xls]B157"/>
      <sheetName val="[입찰안_xls][입찰안_xls][입찰안_xls]B158"/>
      <sheetName val="[입찰안_xls][입찰안_xls][입찰안_xls]B159"/>
      <sheetName val="[입찰안_xls][입찰안_xls][입찰안_xls]B160"/>
      <sheetName val="[입찰안_xls][입찰안_xls][입찰안_xls]B161"/>
      <sheetName val="6-1_보오링(1)1"/>
      <sheetName val="실행내역서_1"/>
      <sheetName val="[입찰안_xls][입찰안_xls][입찰안_xls]_104"/>
      <sheetName val="[입찰안_xls][입찰안_xls][입찰안_xls]B162"/>
      <sheetName val="[입찰안_xls][입찰안_xls][입찰안_xls]B163"/>
      <sheetName val="[입찰안_xls][입찰안_xls][입찰안_xls]B164"/>
      <sheetName val="[입찰안_xls][입찰안_xls][입찰안_xls]B165"/>
      <sheetName val="[입찰안_xls][입찰안_xls][입찰안_xls]B166"/>
      <sheetName val="[입찰안_xls][입찰안_xls][입찰안_xls]B167"/>
      <sheetName val="[입찰안_xls][입찰안_xls][입찰안_xls]B168"/>
      <sheetName val="[입찰안_xls][입찰안_xls][입찰안_xls]B169"/>
      <sheetName val="[입찰안_xls][입찰안_xls][입찰안_xls]B170"/>
      <sheetName val="[입찰안_xls][입찰안_xls][입찰안_xls]B171"/>
      <sheetName val="[입찰안_xls][입찰안_xls][입찰안_xls]B172"/>
      <sheetName val="[입찰안_xls][입찰안_xls][입찰안_xls]B173"/>
      <sheetName val="[입찰안_xls][입찰안_xls][입찰안_xls]B174"/>
      <sheetName val="[입찰안_xls][입찰안_xls][입찰안_xls]B175"/>
      <sheetName val="[입찰안_xls][입찰안_xls][입찰안_xls]B176"/>
      <sheetName val="[입찰안_xls][입찰안_xls][입찰안_xls]B177"/>
      <sheetName val="[입찰안_xls][입찰안_xls][입찰안_xls]B178"/>
      <sheetName val="[입찰안_xls][입찰안_xls][입찰안_xls]B179"/>
      <sheetName val="[입찰안_xls][입찰안_xls][입찰안_xls]B180"/>
      <sheetName val="[입찰안_xls][입찰안_xls][입찰안_xls]B181"/>
      <sheetName val="[입찰안_xls][입찰안_xls][입찰안_xls]B182"/>
      <sheetName val="[입찰안_xls][입찰안_xls][입찰안_xls]B183"/>
      <sheetName val="[입찰안_xls][입찰안_xls][입찰안_xls]B184"/>
      <sheetName val="[입찰안_xls][입찰안_xls][입찰안_xls]B185"/>
      <sheetName val="[입찰안_xls][입찰안_xls][입찰안_xls]B186"/>
      <sheetName val="[입찰안_xls][입찰안_xls][입찰안_xls]B187"/>
      <sheetName val="[입찰안_xls][입찰안_xls][입찰안_xls]B188"/>
      <sheetName val="[입찰안_xls][입찰안_xls][입찰안_xls]B189"/>
      <sheetName val="[입찰안_xls][입찰안_xls][입찰안_xls]B190"/>
      <sheetName val="[입찰안_xls][입찰안_xls][입찰안_xls]B191"/>
      <sheetName val="[입찰안_xls][입찰안_xls][입찰안_xls]B192"/>
      <sheetName val="[입찰안_xls][입찰안_xls][입찰안_xls]B193"/>
      <sheetName val="[입찰안_xls][입찰안_xls][입찰안_xls]B194"/>
      <sheetName val="[입찰안_xls][입찰안_xls][입찰안_xls]B195"/>
      <sheetName val="[입찰안_xls][입찰안_xls][입찰안_xls]B196"/>
      <sheetName val="[입찰안_xls][입찰안_xls][입찰안_xls]B197"/>
      <sheetName val="[입찰안_xls][입찰안_xls][입찰안_xls]B198"/>
      <sheetName val="[입찰안_xls][입찰안_xls][입찰안_xls]B199"/>
      <sheetName val="[입찰안_xls][입찰안_xls][입찰안_xls]_105"/>
      <sheetName val="[입찰안_xls][입찰안_xls][입찰안_xls]B200"/>
      <sheetName val="[입찰안_xls][입찰안_xls][입찰안_xls]_106"/>
      <sheetName val="[입찰안_xls][입찰안_xls][입찰안_xls]_107"/>
      <sheetName val="Requirement(Work_Crew)"/>
      <sheetName val="TOWER_12TON1"/>
      <sheetName val="노_표-조"/>
      <sheetName val="공사투입계획(변경결의)19_91"/>
      <sheetName val="노무비_월별지급현황19_91"/>
      <sheetName val="갑지(외주기성)19_91"/>
      <sheetName val="노임단가_및_기계경비1"/>
      <sheetName val="[입찰안_xls][입찰안_xls][입찰안_xls]_155"/>
      <sheetName val="[입찰안_xls][입찰안_xls][입찰안_xls]_152"/>
      <sheetName val="[입찰안_xls][입찰안_xls][입찰안_xls]_150"/>
      <sheetName val="plan&amp;section_of勉Ԁ"/>
      <sheetName val="[입찰안_xls][입찰안_xls][입찰안_xls]_108"/>
      <sheetName val="[입찰안_xls][입찰안_xls][입찰안_xls]_109"/>
      <sheetName val="[입찰안_xls][입찰안_xls][입찰안_xls]_110"/>
      <sheetName val="[입찰안_xls][입찰안_xls][입찰안_xls]_111"/>
      <sheetName val="[입찰안_xls][입찰안_xls][입찰안_xls]___8"/>
      <sheetName val="[입찰안_xls][입찰안_xls][입찰안_xls]_112"/>
      <sheetName val="[입찰안_xls][입찰안_xls][입찰안_xls]_113"/>
      <sheetName val="[입찰안_xls][입찰안_xls][입찰안_xls]_114"/>
      <sheetName val="[입찰안_xls][입찰안_xls][입찰안_xls]_115"/>
      <sheetName val="[입찰안_xls][입찰안_xls][입찰안_xls]_116"/>
      <sheetName val="[입찰안_xls][입찰안_xls][입찰안_xls]_117"/>
      <sheetName val="[입찰안_xls][입찰안_xls][입찰안_xls]_118"/>
      <sheetName val="[입찰안_xls][입찰안_xls][입찰안_xls]_119"/>
      <sheetName val="사__업__비__수__지__예__산__서"/>
      <sheetName val="[입찰안_xls][입찰안_xls][입찰안_xls]_148"/>
      <sheetName val="General_Data"/>
      <sheetName val="[입찰안_xls][입찰안_xls][입찰안_xls]_120"/>
      <sheetName val="[입찰안_xls][입찰안_xls][입찰안_xls]_121"/>
      <sheetName val="[입찰안_xls][입찰안_xls][입찰안_xls]_122"/>
      <sheetName val="[입찰안_xls][입찰안_xls][입찰안_xls]_123"/>
      <sheetName val="[입찰안_xls][입찰안_xls][입찰안_xls]_124"/>
      <sheetName val="[입찰안_xls][입찰안_xls][입찰안_xls]_125"/>
      <sheetName val="[입찰안_xls][입찰안_xls][입찰안_xls]_126"/>
      <sheetName val="[입찰안_xls][입찰안_xls][입찰안_xls]_132"/>
      <sheetName val="[입찰안_xls][입찰안_xls][입찰안_xls]_127"/>
      <sheetName val="[입찰안_xls][입찰안_xls][입찰안_xls]_128"/>
      <sheetName val="[입찰안_xls][입찰안_xls][입찰안_xls]_129"/>
      <sheetName val="[입찰안_xls][입찰안_xls][입찰안_xls]_130"/>
      <sheetName val="[입찰안_xls][입찰안_xls][입찰안_xls]_131"/>
      <sheetName val="[입찰안_xls][입찰안_xls][입찰안_xls]_133"/>
      <sheetName val="[입찰안_xls][입찰안_xls][입찰안_xls]_134"/>
      <sheetName val="[입찰안_xls][입찰안_xls][입찰안_xls]_135"/>
      <sheetName val="[입찰안_xls][입찰안_xls][입찰안_xls]_136"/>
      <sheetName val="[입찰안_xls][입찰안_xls][입찰안_xls]_137"/>
      <sheetName val="[입찰안_xls][입찰안_xls][입찰안_xls]_138"/>
      <sheetName val="[입찰안_xls][입찰안_xls][입찰안_xls]_139"/>
      <sheetName val="[입찰안_xls][입찰안_xls][입찰안_xls]_140"/>
      <sheetName val="[입찰안_xls][입찰안_xls][입찰안_xls]_141"/>
      <sheetName val="[입찰안_xls][입찰안_xls][입찰안_xls]_142"/>
      <sheetName val="[입찰안_xls][입찰안_xls][입찰안_xls]_143"/>
      <sheetName val="[입찰안_xls][입찰안_xls][입찰안_xls]_144"/>
      <sheetName val="[입찰안_xls][입찰안_xls][입찰안_xls]_145"/>
      <sheetName val="[입찰안_xls][입찰안_xls][입찰안_xls]_146"/>
      <sheetName val="[입찰안_xls][입찰안_xls][입찰안_xls]_147"/>
      <sheetName val="[입찰안_xls][입찰안_xls][입찰안_xls]_149"/>
      <sheetName val="[입찰안_xls][입찰안_xls][입찰안_xls]_151"/>
      <sheetName val="[입찰안_xls][입찰안_xls][입찰안_xls]_153"/>
      <sheetName val="[입찰안_xls][입찰안_xls][입찰안_xls]_154"/>
      <sheetName val="[입찰안_xls][입찰안_xls][입찰안_xls]_156"/>
      <sheetName val="[입찰안_xls][입찰안_xls][입찰안_xls]_157"/>
      <sheetName val="[입찰안_xls][입찰안_xls][입찰안_xls]_158"/>
      <sheetName val="[입찰안_xls][입찰안_xls][입찰안_xls]_159"/>
      <sheetName val="[입찰안_xls][입찰안_xls][입찰안_xls]_160"/>
      <sheetName val="[입찰안_xls][입찰안_xls][입찰안_xls]_161"/>
      <sheetName val="[입찰안_xls][입찰안_xls][입찰안_xls]_162"/>
      <sheetName val="[입찰안_xls][입찰안_xls][입찰안_xls]_163"/>
      <sheetName val="[입찰안_xls][입찰안_xls][입찰안_xls]_164"/>
      <sheetName val="[입찰안_xls][입찰안_xls][입찰안_xls]_165"/>
      <sheetName val="[입찰안_xls][입찰안_xls][입찰안_xls]_166"/>
      <sheetName val="[입찰안_xls][입찰안_xls][입찰안_xls]_167"/>
      <sheetName val="[입찰안_xls][입찰안_xls][입찰안_xls]_168"/>
      <sheetName val="[입찰안_xls][입찰안_xls][입찰안_xls]_169"/>
      <sheetName val="[입찰안_xls][입찰안_xls][입찰안_xls]_170"/>
      <sheetName val="[입찰안_xls][입찰안_xls][입찰안_xls]_171"/>
      <sheetName val="[입찰안_xls][입찰안_xls][입찰안_xls]_172"/>
      <sheetName val="[입찰안_xls][입찰안_xls][입찰안_xls]_173"/>
      <sheetName val="[입찰안_xls][입찰안_xls][입찰안_xls]_174"/>
      <sheetName val="[입찰안_xls][입찰안_xls][입찰안_xls]_175"/>
      <sheetName val="[입찰안_xls][입찰안_xls][입찰안_xls]_176"/>
      <sheetName val="[입찰안_xls][입찰안_xls][입찰안_xls]_177"/>
      <sheetName val="[입찰안_xls][입찰안_xls][입찰안_xls]_178"/>
      <sheetName val="[입찰안_xls][입찰안_xls][입찰안_xls]_179"/>
      <sheetName val="[입찰안_xls][입찰안_xls][입찰안_xls]_180"/>
      <sheetName val="[입찰안_xls][입찰안_xls][입찰안_xls]_184"/>
      <sheetName val="[입찰안_xls][입찰안_xls][입찰안_xls]_181"/>
      <sheetName val="[입찰안_xls][입찰안_xls][입찰안_xls]_182"/>
      <sheetName val="[입찰안_xls][입찰안_xls][입찰안_xls]_183"/>
      <sheetName val="[입찰안_xls][입찰안_xls][입찰안_xls]_185"/>
      <sheetName val="[입찰안_xls][입찰안_xls][입찰안_xls]_186"/>
      <sheetName val="[입찰안_xls][입찰안_xls][입찰안_xls]_187"/>
      <sheetName val="[입찰안_xls][입찰안_xls][입찰안_xls]_188"/>
      <sheetName val="[입찰안_xls][입찰안_xls][입찰안_xls]_189"/>
      <sheetName val="[입찰안_xls][입찰안_xls][입찰안_xls]_190"/>
      <sheetName val="[입찰안_xls][입찰안_xls][입찰안_xls]_191"/>
      <sheetName val="[입찰안_xls][입찰안_xls][입찰안_xls]_193"/>
      <sheetName val="[입찰안_xls][입찰안_xls][입찰안_xls]_192"/>
      <sheetName val="[입찰안_xls][입찰안_xls][입찰안_xls]_195"/>
      <sheetName val="[입찰안_xls][입찰안_xls][입찰안_xls]_196"/>
      <sheetName val="[입찰안_xls][입찰안_xls][입찰안_xls]_194"/>
      <sheetName val="[입찰안_xls][입찰안_xls][입찰안_xls]_197"/>
      <sheetName val="[입찰안_xls][입찰안_xls][입찰안_xls]_198"/>
      <sheetName val="[입찰안_xls][입찰안_xls][입찰안_xls]_199"/>
      <sheetName val="[입찰안_xls][입찰안_xls][입찰안_xls]_200"/>
      <sheetName val="[입찰안_xls][입찰안_xls][입찰안_xls]_201"/>
      <sheetName val="[입찰안_xls][입찰안_xls][입찰안_xls]_202"/>
      <sheetName val="[입찰안_xls][입찰안_xls][입찰안_xls]_203"/>
      <sheetName val="[입찰안_xls][입찰안_xls][입찰안_xls]_204"/>
      <sheetName val="[입찰안_xls][입찰안_xls][입찰안_xls]_205"/>
      <sheetName val="[입찰안_xls][입찰안_xls][입찰안_xls]_206"/>
      <sheetName val="[입찰안_xls][입찰안_xls][입찰안_xls]_207"/>
      <sheetName val="[입찰안_xls][입찰안_xls][입찰안_xls]_208"/>
      <sheetName val="[입찰안_xls][입찰안_xls][입찰안_xls]_209"/>
      <sheetName val="[입찰안_xls][입찰안_xls][입찰안_xls]_210"/>
      <sheetName val="[입찰안_xls][입찰안_xls][입찰안_xls]_211"/>
      <sheetName val="[입찰안_xls][입찰안_xls][입찰안_xls]_212"/>
      <sheetName val="[입찰안_xls][입찰안_xls][입찰안_xls]_213"/>
      <sheetName val="stability䘢䠂檱䠛檳"/>
      <sheetName val="[입찰안_xls][입찰안_xls][입찰안_xls]_214"/>
      <sheetName val="Sheet2_(2)"/>
      <sheetName val="[입찰안_xls][입찰안_xls][입찰안_xls]_215"/>
      <sheetName val="[입찰안_xls][입찰안_xls][입찰안_xls]_216"/>
      <sheetName val="[입찰안_xls][입찰안_xls][입찰안_xls]_217"/>
      <sheetName val="[입찰안_xls][입찰안_xls][입찰안_xls]_218"/>
      <sheetName val="[입찰안_xls][입찰안_xls][입찰안_xls]_219"/>
      <sheetName val="[입찰안_xls][입찰안_xls][입찰안_xls]_220"/>
      <sheetName val="[입찰안_xls][입찰안_xls][입찰안_xls]_221"/>
      <sheetName val="[입찰안_xls][입찰안_xls][입찰안_xls]_222"/>
      <sheetName val="[입찰안_xls][입찰안_xls][입찰안_xls]_223"/>
      <sheetName val="수량산출서집²_x0000_㘀_x0000__x0000__x0000__x0000_"/>
      <sheetName val="[입찰안.xls][입찰안.xls][입찰안.xls]_837"/>
      <sheetName val="중뀀"/>
      <sheetName val="일위대¼_x0000__x0000__x0000__x0000_"/>
      <sheetName val="[입찰안.xls][입찰안.xls][입찰안.xls]_841"/>
      <sheetName val="[입찰안.xls][입찰안.xls][입찰안.xls]_838"/>
      <sheetName val="[입찰안.xls][입찰안.xls][입찰안.xls]_839"/>
      <sheetName val="[입찰안.xls][입찰안.xls][입찰안.xls]_840"/>
      <sheetName val="[입찰안.xls][입찰안.xls][입찰안.xls]_842"/>
      <sheetName val="[입찰안.xls][입찰안.xls][입찰안.xls]_845"/>
      <sheetName val="[입찰안.xls][입찰안.xls][입찰안.xls]_843"/>
      <sheetName val="[입찰안.xls][입찰안.xls][입찰안.xls]_844"/>
      <sheetName val="[입찰안.xls][입찰안.xls][입찰안.xls]_847"/>
      <sheetName val="[입찰안.xls][입찰안.xls][입찰안.xls]_846"/>
      <sheetName val="[입찰안.xls][입찰안.xls][입찰안.xls]_848"/>
      <sheetName val="[입찰안.xls][입찰안.xls][입찰안.xls]_849"/>
      <sheetName val="[입찰안.xls][입찰안.xls][입찰안.xls]_850"/>
      <sheetName val="[입찰안.xls][입찰안.xls][입찰안.xls]_851"/>
      <sheetName val="[입찰안.xls][입찰안.xls][입찰안.xls]_853"/>
      <sheetName val="[입찰안.xls][입찰안.xls][입찰안.xls]_852"/>
      <sheetName val="제잡비 산출내역(실적공사비)"/>
      <sheetName val="XXXXXX"/>
      <sheetName val="시중노羄9臈"/>
      <sheetName val="시중노忕き_x0005_"/>
      <sheetName val="[입찰안.xls][입찰안.xls][입찰안.xls]_859"/>
      <sheetName val="[입찰안.xls][입찰안.xls][입찰안.xls]_860"/>
      <sheetName val="[입찰안.xls][입찰안.xls][입찰안.xls]_858"/>
      <sheetName val="[입찰안.xls][입찰안.xls][입찰안.xls]_854"/>
      <sheetName val="[입찰안.xls][입찰안.xls][입찰안.xls]_855"/>
      <sheetName val="[입찰안.xls][입찰안.xls][입찰안.xls]_856"/>
      <sheetName val="[입찰안.xls][입찰안.xls][입찰안.xls]_857"/>
      <sheetName val="[입찰안.xls][입찰안.xls][입찰안.xls]_861"/>
      <sheetName val="[입찰안.xls][입찰안.xls][입찰안.xls]_862"/>
      <sheetName val="[입찰안.xls][입찰안.xls][입찰안.xls]_865"/>
      <sheetName val="[입찰안.xls][입찰안.xls][입찰안.xls]_866"/>
      <sheetName val="[입찰안.xls][입찰안.xls][입찰안.xls]_863"/>
      <sheetName val="[입찰안.xls][입찰안.xls][입찰안.xls]_867"/>
      <sheetName val="[입찰안.xls][입찰안.xls][입찰안.xls]_864"/>
      <sheetName val="[입찰안.xls][입찰안.xls][입찰안.xls]_868"/>
      <sheetName val="[입찰안.xls][입찰안.xls][입찰안.xls]_869"/>
      <sheetName val="[입찰안.xls][입찰안.xls]_____xls_1273"/>
      <sheetName val="[입찰안.xls][입찰안.xls]_____xls_1268"/>
      <sheetName val="[입찰안.xls][입찰안.xls]_____xls_1271"/>
      <sheetName val="이름표"/>
      <sheetName val="물건조서"/>
      <sheetName val="콤보박스와 리스트박스의 연결"/>
      <sheetName val="[입찰안.xls][입찰안.xls]_____xls_1263"/>
      <sheetName val="[입찰안.xls][입찰안.xls]_____xls_1265"/>
      <sheetName val="[입찰안.xls][입찰안.xls]_____xls_1264"/>
      <sheetName val="6__안전_x0000_䶁_x0000_"/>
      <sheetName val="수문일위1"/>
      <sheetName val="집계장(Â_x0000_Ԁ_x0000_怀㲨"/>
      <sheetName val="내역서을"/>
      <sheetName val="Cash"/>
      <sheetName val="6-1.Summary Of Cost"/>
      <sheetName val="6-2.In-Direct Cost"/>
      <sheetName val="6-3.EQ Cost"/>
      <sheetName val="6-4-1.MP Status(107,125,12)"/>
      <sheetName val="6-4-2.MP Status(144)"/>
      <sheetName val="6-5-1.EQ Status(107,125,12)"/>
      <sheetName val="6-5-2.EQ Status(144)"/>
      <sheetName val="6-6.Agree.Other&amp;Expanse.(Att.1)"/>
      <sheetName val="6-7.EQ Apply"/>
      <sheetName val="제출&lt;--------&gt;참조"/>
      <sheetName val="MP U107,125,12"/>
      <sheetName val="MP U144"/>
      <sheetName val="EQ U107,125,12"/>
      <sheetName val="EQ U144"/>
      <sheetName val="Agrement Day W.Cost"/>
      <sheetName val="Agrement Day EQ Cost"/>
      <sheetName val="Indirect Cost"/>
      <sheetName val="공종코드"/>
      <sheetName val="BD"/>
      <sheetName val="로더"/>
      <sheetName val="그레이더"/>
      <sheetName val="제요율표"/>
      <sheetName val="DT"/>
      <sheetName val="롤러"/>
      <sheetName val="BH"/>
      <sheetName val="BD운반거리"/>
      <sheetName val="디젤파일해머"/>
      <sheetName val="인력터파기품"/>
      <sheetName val="+-"/>
      <sheetName val="원가집계"/>
      <sheetName val="협가표"/>
      <sheetName val="CF"/>
      <sheetName val="음료실행"/>
      <sheetName val="견적을지"/>
      <sheetName val="제조원가"/>
      <sheetName val="Khoi_luong"/>
      <sheetName val="_입찰안_xls__입찰안_xls__입찰안_xls____2"/>
      <sheetName val="_입찰안_xls__입찰안_xls__입찰안_xls____3"/>
      <sheetName val="DTICH_(Full)"/>
      <sheetName val="sh1"/>
      <sheetName val="TONG HOP GIA TRI"/>
      <sheetName val="CHITIET VL-NC-TT -1p"/>
      <sheetName val="CHITIET VL-NC-TT-3p"/>
      <sheetName val="TONG HOP VL-NC TT"/>
      <sheetName val="TDTKP1"/>
      <sheetName val="KPVC-BD "/>
      <sheetName val="GIAVLIEU"/>
      <sheetName val="[입찰안.xls][입찰안.xls]_____xls_1221"/>
      <sheetName val="[입찰안.xls][입찰안.xls]_____xls_1054"/>
      <sheetName val="[입찰안.xls][입찰안.xls]_____xls_1056"/>
      <sheetName val="[입찰안.xls][입찰안.xls]_____xls_1055"/>
      <sheetName val="[입찰안.xls][입찰안.xls][입찰안.xls]_886"/>
      <sheetName val="[입찰안.xls][입찰안.xls][입찰안.xls]_870"/>
      <sheetName val="[입찰안.xls][입찰안.xls][입찰안.xls]_871"/>
      <sheetName val="[입찰안.xls][입찰안.xls][입찰안.xls]_872"/>
      <sheetName val="[입찰안.xls][입찰안.xls][입찰안.xls]_873"/>
      <sheetName val="[입찰안.xls][입찰안.xls][입찰안.xls]_874"/>
      <sheetName val="[입찰안.xls][입찰안.xls][입찰안.xls]_895"/>
      <sheetName val="[입찰안.xls][입찰안.xls][입찰안.xls]_894"/>
      <sheetName val="[입찰안.xls][입찰안.xls][입찰안.xls]_875"/>
      <sheetName val="[입찰안.xls][입찰안.xls][입찰안.xls]_876"/>
      <sheetName val="[입찰안.xls][입찰안.xls][입찰안.xls]_877"/>
      <sheetName val="[입찰안.xls][입찰안.xls][입찰안.xls]_878"/>
      <sheetName val="[입찰안.xls][입찰안.xls][입찰안.xls]_879"/>
      <sheetName val="[입찰안.xls][입찰안.xls][입찰안.xls]_880"/>
      <sheetName val="[입찰안.xls][입찰안.xls][입찰안.xls]_881"/>
      <sheetName val="[입찰안.xls][입찰안.xls][입찰안.xls]_882"/>
      <sheetName val="[입찰안.xls][입찰안.xls][입찰안.xls]_883"/>
      <sheetName val="[입찰안.xls][입찰안.xls][입찰안.xls]_884"/>
      <sheetName val="[입찰안.xls][입찰안.xls][입찰안.xls]_885"/>
      <sheetName val="[입찰안.xls][입찰안.xls][입찰안.xls]_887"/>
      <sheetName val="[입찰안.xls][입찰안.xls][입찰안.xls]_889"/>
      <sheetName val="[입찰안.xls][입찰안.xls][입찰안.xls]_888"/>
      <sheetName val="[입찰안.xls][입찰안.xls][입찰안.xls]_890"/>
      <sheetName val="[입찰안.xls][입찰안.xls][입찰안.xls]_891"/>
      <sheetName val="[입찰안.xls][입찰안.xls][입찰안.xls]_892"/>
      <sheetName val="[입찰안.xls][입찰안.xls][입찰안.xls]_893"/>
      <sheetName val="[입찰안.xls][입찰안.xls][입찰안.xls]_908"/>
      <sheetName val="[입찰안.xls][입찰안.xls][입찰안.xls]_899"/>
      <sheetName val="[입찰안.xls][입찰안.xls][입찰안.xls]_896"/>
      <sheetName val="[입찰안.xls][입찰안.xls][입찰안.xls]_897"/>
      <sheetName val="[입찰안.xls][입찰안.xls][입찰안.xls]_898"/>
      <sheetName val="[입찰안.xls][입찰안.xls][입찰안.xls]_959"/>
      <sheetName val="[입찰안.xls][입찰안.xls][입찰안.xls]_950"/>
      <sheetName val="[입찰안.xls][입찰안.xls][입찰안.xls]_900"/>
      <sheetName val="[입찰안.xls][입찰안.xls][입찰안.xls]_902"/>
      <sheetName val="[입찰안.xls][입찰안.xls][입찰안.xls]_901"/>
      <sheetName val="[입찰안.xls][입찰안.xls][입찰안.xls]_906"/>
      <sheetName val="[입찰안.xls][입찰안.xls][입찰안.xls]_905"/>
      <sheetName val="[입찰안.xls][입찰안.xls][입찰안.xls]_903"/>
      <sheetName val="[입찰안.xls][입찰안.xls][입찰안.xls]_904"/>
      <sheetName val="[입찰안.xls][입찰안.xls][입찰안.xls]_907"/>
      <sheetName val="[입찰안.xls][입찰안.xls][입찰안.xls]_939"/>
      <sheetName val="[입찰안.xls][입찰안.xls][입찰안.xls]_921"/>
      <sheetName val="[입찰안.xls][입찰안.xls][입찰안.xls]_912"/>
      <sheetName val="[입찰안.xls][입찰안.xls][입찰안.xls]_911"/>
      <sheetName val="[입찰안.xls][입찰안.xls][입찰안.xls]_909"/>
      <sheetName val="[입찰안.xls][입찰안.xls][입찰안.xls]_910"/>
      <sheetName val="[입찰안.xls][입찰안.xls][입찰안.xls]_914"/>
      <sheetName val="[입찰안.xls][입찰안.xls][입찰안.xls]_913"/>
      <sheetName val="[입찰안.xls][입찰안.xls][입찰안.xls]_915"/>
      <sheetName val="[입찰안.xls][입찰안.xls][입찰안.xls]_916"/>
      <sheetName val="[입찰안.xls][입찰안.xls][입찰안.xls]_917"/>
      <sheetName val="[입찰안.xls][입찰안.xls][입찰안.xls]_918"/>
      <sheetName val="[입찰안.xls][입찰안.xls][입찰안.xls]_919"/>
      <sheetName val="[입찰안.xls][입찰안.xls][입찰안.xls]_920"/>
      <sheetName val="[입찰안.xls][입찰안.xls][입찰안.xls]_922"/>
      <sheetName val="[입찰안.xls][입찰안.xls][입찰안.xls]_928"/>
      <sheetName val="[입찰안.xls][입찰안.xls][입찰안.xls]_926"/>
      <sheetName val="[입찰안.xls][입찰안.xls][입찰안.xls]_924"/>
      <sheetName val="[입찰안.xls][입찰안.xls][입찰안.xls]_923"/>
      <sheetName val="[입찰안.xls][입찰안.xls][입찰안.xls]_925"/>
      <sheetName val="[입찰안.xls][입찰안.xls][입찰안.xls]_927"/>
      <sheetName val="[입찰안.xls][입찰안.xls][입찰안.xls]_929"/>
      <sheetName val="[입찰안.xls][입찰안.xls][입찰안.xls]_930"/>
      <sheetName val="[입찰안.xls][입찰안.xls][입찰안.xls]_933"/>
      <sheetName val="[입찰안.xls][입찰안.xls][입찰안.xls]_931"/>
      <sheetName val="[입찰안.xls][입찰안.xls][입찰안.xls]_932"/>
      <sheetName val="[입찰안.xls][입찰안.xls][입찰안.xls]_934"/>
      <sheetName val="[입찰안.xls][입찰안.xls][입찰안.xls]_937"/>
      <sheetName val="[입찰안.xls][입찰안.xls][입찰안.xls]_935"/>
      <sheetName val="[입찰안.xls][입찰안.xls][입찰안.xls]_936"/>
      <sheetName val="[입찰안.xls][입찰안.xls][입찰안.xls]_938"/>
      <sheetName val="[입찰안.xls][입찰안.xls][입찰안.xls]_940"/>
      <sheetName val="[입찰안.xls][입찰안.xls][입찰안.xls]_941"/>
      <sheetName val="[입찰안.xls][입찰안.xls][입찰안.xls]_942"/>
      <sheetName val="[입찰안.xls][입찰안.xls][입찰안.xls]_944"/>
      <sheetName val="[입찰안.xls][입찰안.xls][입찰안.xls]_943"/>
      <sheetName val="[입찰안.xls][입찰안.xls][입찰안.xls]_945"/>
      <sheetName val="[입찰안.xls][입찰안.xls][입찰안.xls]_946"/>
      <sheetName val="[입찰안.xls][입찰안.xls][입찰안.xls]_947"/>
      <sheetName val="[입찰안.xls][입찰안.xls][입찰안.xls]_948"/>
      <sheetName val="[입찰안.xls][입찰안.xls][입찰안.xls]_949"/>
      <sheetName val="[입찰안.xls][입찰안.xls][입찰안.xls]_954"/>
      <sheetName val="[입찰안.xls][입찰안.xls][입찰안.xls]_953"/>
      <sheetName val="[입찰안.xls][입찰안.xls][입찰안.xls]_952"/>
      <sheetName val="[입찰안.xls][입찰안.xls][입찰안.xls]_951"/>
      <sheetName val="[입찰안.xls][입찰안.xls][입찰안.xls]_956"/>
      <sheetName val="[입찰안.xls][입찰안.xls][입찰안.xls]_955"/>
      <sheetName val="[입찰안.xls][입찰안.xls][입찰안.xls]_957"/>
      <sheetName val="[입찰안.xls][입찰안.xls][입찰안.xls]_958"/>
      <sheetName val="[입찰안.xls][입찰안.xls][입찰안.xls]_962"/>
      <sheetName val="[입찰안.xls][입찰안.xls][입찰안.xls]_969"/>
      <sheetName val="[입찰안.xls][입찰안.xls][입찰안.xls]_960"/>
      <sheetName val="[입찰안.xls][입찰안.xls][입찰안.xls]_961"/>
      <sheetName val="[입찰안.xls][입찰안.xls][입찰안.xls]_963"/>
      <sheetName val="[입찰안.xls][입찰안.xls][입찰안.xls]_972"/>
      <sheetName val="[입찰안.xls][입찰안.xls][입찰안.xls]_964"/>
      <sheetName val="[입찰안.xls][입찰안.xls][입찰안.xls]_965"/>
      <sheetName val="[입찰안.xls][입찰안.xls][입찰안.xls]_967"/>
      <sheetName val="[입찰안.xls][입찰안.xls][입찰안.xls]_966"/>
      <sheetName val="[입찰안.xls][입찰안.xls][입찰안.xls]_968"/>
      <sheetName val="[입찰안.xls][입찰안.xls][입찰안.xls]_975"/>
      <sheetName val="[입찰안.xls][입찰안.xls][입찰안.xls]_976"/>
      <sheetName val="[입찰안.xls][입찰안.xls][입찰안.xls]_970"/>
      <sheetName val="[입찰안.xls][입찰안.xls][입찰안.xls]_971"/>
      <sheetName val="[입찰안.xls][입찰안.xls][입찰안.xls]_973"/>
      <sheetName val="[입찰안.xls][입찰안.xls][입찰안.xls]_974"/>
      <sheetName val="[입찰안.xls][입찰안.xls][입찰안.xls]_978"/>
      <sheetName val="[입찰안.xls][입찰안.xls][입찰안.xls]_977"/>
      <sheetName val="[입찰안.xls][입찰안.xls][입찰안.xls]_985"/>
      <sheetName val="[입찰안.xls][입찰안.xls][입찰안.xls]_979"/>
      <sheetName val="[입찰안.xls][입찰안.xls][입찰안.xls]_997"/>
      <sheetName val="[입찰안.xls][입찰안.xls][입찰안.xls]_980"/>
      <sheetName val="[입찰안.xls][입찰안.xls][입찰안.xls]_981"/>
      <sheetName val="[입찰안.xls][입찰안.xls][입찰안.xls]_982"/>
      <sheetName val="[입찰안.xls][입찰안.xls][입찰안.xls]_983"/>
      <sheetName val="[입찰안.xls][입찰안.xls][입찰안.xls]_984"/>
      <sheetName val="[입찰안.xls][입찰안.xls][입찰안.xls]_986"/>
      <sheetName val="[입찰안.xls][입찰안.xls][입찰안.xls]_987"/>
      <sheetName val="[입찰안.xls][입찰안.xls][입찰안.xls]_988"/>
      <sheetName val="[입찰안.xls][입찰안.xls][입찰안.xls]_989"/>
      <sheetName val="[입찰안.xls][입찰안.xls]_____xls_1006"/>
      <sheetName val="[입찰안.xls][입찰안.xls][입찰안.xls]_990"/>
      <sheetName val="[입찰안.xls][입찰안.xls][입찰안.xls]_991"/>
      <sheetName val="[입찰안.xls][입찰안.xls][입찰안.xls]_992"/>
      <sheetName val="[입찰안.xls][입찰안.xls][입찰안.xls]_994"/>
      <sheetName val="[입찰안.xls][입찰안.xls][입찰안.xls]_993"/>
      <sheetName val="[입찰안.xls][입찰안.xls][입찰안.xls]_995"/>
      <sheetName val="[입찰안.xls][입찰안.xls][입찰안.xls]_996"/>
      <sheetName val="[입찰안.xls][입찰안.xls]_____xls_1001"/>
      <sheetName val="[입찰안.xls][입찰안.xls][입찰안.xls]_998"/>
      <sheetName val="[입찰안.xls][입찰안.xls][입찰안.xls]_999"/>
      <sheetName val="[입찰안.xls][입찰안.xls]_____xls_1000"/>
      <sheetName val="[입찰안.xls][입찰안.xls]_____xls_1005"/>
      <sheetName val="[입찰안.xls][입찰안.xls]_____xls_1002"/>
      <sheetName val="[입찰안.xls][입찰안.xls]_____xls_1003"/>
      <sheetName val="[입찰안.xls][입찰안.xls]_____xls_1004"/>
      <sheetName val="[입찰안.xls][입찰안.xls]_____xls_1024"/>
      <sheetName val="[입찰안.xls][입찰안.xls]_____xls_1007"/>
      <sheetName val="[입찰안.xls][입찰안.xls]_____xls_1016"/>
      <sheetName val="[입찰안.xls][입찰안.xls]_____xls_1008"/>
      <sheetName val="[입찰안.xls][입찰안.xls]_____xls_1019"/>
      <sheetName val="[입찰안.xls][입찰안.xls]_____xls_1009"/>
      <sheetName val="[입찰안.xls][입찰안.xls]_____xls_1010"/>
      <sheetName val="[입찰안.xls][입찰안.xls]_____xls_1015"/>
      <sheetName val="[입찰안.xls][입찰안.xls]_____xls_1012"/>
      <sheetName val="[입찰안.xls][입찰안.xls]_____xls_1011"/>
      <sheetName val="[입찰안.xls][입찰안.xls]_____xls_1014"/>
      <sheetName val="[입찰안.xls][입찰안.xls]_____xls_1013"/>
      <sheetName val="[입찰안.xls][입찰안.xls]_____xls_1017"/>
      <sheetName val="[입찰안.xls][입찰안.xls]_____xls_1018"/>
      <sheetName val="[입찰안.xls][입찰안.xls]_____xls_1023"/>
      <sheetName val="[입찰안.xls][입찰안.xls]_____xls_1020"/>
      <sheetName val="[입찰안.xls][입찰안.xls]_____xls_1021"/>
      <sheetName val="[입찰안.xls][입찰안.xls]_____xls_1022"/>
      <sheetName val="[입찰안.xls][입찰안.xls]_____xls_1025"/>
      <sheetName val="[입찰안.xls][입찰안.xls]_____xls_1031"/>
      <sheetName val="[입찰안.xls][입찰안.xls]_____xls_1032"/>
      <sheetName val="[입찰안.xls][입찰안.xls]_____xls_1026"/>
      <sheetName val="[입찰안.xls][입찰안.xls]_____xls_1028"/>
      <sheetName val="[입찰안.xls][입찰안.xls]_____xls_1027"/>
      <sheetName val="[입찰안.xls][입찰안.xls]_____xls_1030"/>
      <sheetName val="[입찰안.xls][입찰안.xls]_____xls_1029"/>
      <sheetName val="[입찰안.xls][입찰안.xls]_____xls_1037"/>
      <sheetName val="[입찰안.xls][입찰안.xls]_____xls_1033"/>
      <sheetName val="[입찰안.xls][입찰안.xls]_____xls_1036"/>
      <sheetName val="[입찰안.xls][입찰안.xls]_____xls_1034"/>
      <sheetName val="[입찰안.xls][입찰안.xls]_____xls_1035"/>
      <sheetName val="[입찰안.xls][입찰안.xls]_____xls_1049"/>
      <sheetName val="[입찰안.xls][입찰안.xls]_____xls_1038"/>
      <sheetName val="[입찰안.xls][입찰안.xls]_____xls_1050"/>
      <sheetName val="[입찰안.xls][입찰안.xls]_____xls_1039"/>
      <sheetName val="[입찰안.xls][입찰안.xls]_____xls_1042"/>
      <sheetName val="[입찰안.xls][입찰안.xls]_____xls_1040"/>
      <sheetName val="[입찰안.xls][입찰안.xls]_____xls_1041"/>
      <sheetName val="[입찰안.xls][입찰안.xls]_____xls_1045"/>
      <sheetName val="[입찰안.xls][입찰안.xls]_____xls_1043"/>
      <sheetName val="[입찰안.xls][입찰안.xls]_____xls_1044"/>
      <sheetName val="[입찰안.xls][입찰안.xls]_____xls_1046"/>
      <sheetName val="[입찰안.xls][입찰안.xls]_____xls_1047"/>
      <sheetName val="[입찰안.xls][입찰안.xls]_____xls_1048"/>
      <sheetName val="[입찰안.xls][입찰안.xls]_____xls_1053"/>
      <sheetName val="[입찰안.xls][입찰안.xls]_____xls_1052"/>
      <sheetName val="[입찰안.xls][입찰안.xls]_____xls_1051"/>
      <sheetName val="[입찰안.xls][입찰안.xls]_____xls_1058"/>
      <sheetName val="[입찰안.xls][입찰안.xls]_____xls_1060"/>
      <sheetName val="[입찰안.xls][입찰안.xls]_____xls_1059"/>
      <sheetName val="[입찰안.xls][입찰안.xls]_____xls_1057"/>
      <sheetName val="[입찰안.xls][입찰안.xls]_____xls_1061"/>
      <sheetName val="[입찰안.xls][입찰안.xls]_____xls_1216"/>
      <sheetName val="[입찰안.xls][입찰안.xls]_____xls_1218"/>
      <sheetName val="[입찰안.xls][입찰안.xls]_____xls_1217"/>
      <sheetName val="[입찰안.xls][입찰안.xls]_____xls_1063"/>
      <sheetName val="[입찰안.xls][입찰안.xls]_____xls_1062"/>
      <sheetName val="[입찰안.xls][입찰안.xls]_____xls_1066"/>
      <sheetName val="[입찰안.xls][입찰안.xls]_____xls_1064"/>
      <sheetName val="[입찰안.xls][입찰안.xls]_____xls_1065"/>
      <sheetName val="[입찰안.xls][입찰안.xls]_____xls_1068"/>
      <sheetName val="[입찰안.xls][입찰안.xls]_____xls_1094"/>
      <sheetName val="[입찰안.xls][입찰안.xls]_____xls_1067"/>
      <sheetName val="[입찰안.xls][입찰안.xls]_____xls_1069"/>
      <sheetName val="[입찰안.xls][입찰안.xls]_____xls_1072"/>
      <sheetName val="[입찰안.xls][입찰안.xls]_____xls_1071"/>
      <sheetName val="[입찰안.xls][입찰안.xls]_____xls_1070"/>
      <sheetName val="[입찰안.xls][입찰안.xls]_____xls_1074"/>
      <sheetName val="[입찰안.xls][입찰안.xls]_____xls_1073"/>
      <sheetName val="[입찰안.xls][입찰안.xls]_____xls_1075"/>
      <sheetName val="[입찰안.xls][입찰안.xls]_____xls_1076"/>
      <sheetName val="[입찰안.xls][입찰안.xls]_____xls_1079"/>
      <sheetName val="[입찰안.xls][입찰안.xls]_____xls_1078"/>
      <sheetName val="[입찰안.xls][입찰안.xls]_____xls_1077"/>
      <sheetName val="[입찰안.xls][입찰안.xls]_____xls_1080"/>
      <sheetName val="[입찰안.xls][입찰안.xls]_____xls_1081"/>
      <sheetName val="[입찰안.xls][입찰안.xls]_____xls_1083"/>
      <sheetName val="[입찰안.xls][입찰안.xls]_____xls_1082"/>
      <sheetName val="[입찰안.xls][입찰안.xls]_____xls_1086"/>
      <sheetName val="[입찰안.xls][입찰안.xls]_____xls_1084"/>
      <sheetName val="[입찰안.xls][입찰안.xls]_____xls_1085"/>
      <sheetName val="[입찰안.xls][입찰안.xls]_____xls_1088"/>
      <sheetName val="[입찰안.xls][입찰안.xls]_____xls_1089"/>
      <sheetName val="[입찰안.xls][입찰안.xls]_____xls_1087"/>
      <sheetName val="[입찰안.xls][입찰안.xls]_____xls_1095"/>
      <sheetName val="[입찰안.xls][입찰안.xls]_____xls_1090"/>
      <sheetName val="[입찰안.xls][입찰안.xls]_____xls_1091"/>
      <sheetName val="[입찰안.xls][입찰안.xls]_____xls_1092"/>
      <sheetName val="[입찰안.xls][입찰안.xls]_____xls_1093"/>
      <sheetName val="[입찰안.xls][입찰안.xls]_____xls_1115"/>
      <sheetName val="[입찰안.xls][입찰안.xls]_____xls_1096"/>
      <sheetName val="[입찰안.xls][입찰안.xls]_____xls_1097"/>
      <sheetName val="[입찰안.xls][입찰안.xls]_____xls_1098"/>
      <sheetName val="[입찰안.xls][입찰안.xls]_____xls_1099"/>
      <sheetName val="[입찰안.xls][입찰안.xls]_____xls_1100"/>
      <sheetName val="[입찰안.xls][입찰안.xls]_____xls_1101"/>
      <sheetName val="[입찰안.xls][입찰안.xls]_____xls_1102"/>
      <sheetName val="[입찰안.xls][입찰안.xls]_____xls_1103"/>
      <sheetName val="[입찰안.xls][입찰안.xls]_____xls_1104"/>
      <sheetName val="[입찰안.xls][입찰안.xls]_____xls_1105"/>
      <sheetName val="[입찰안.xls][입찰안.xls]_____xls_1106"/>
      <sheetName val="[입찰안.xls][입찰안.xls]_____xls_1107"/>
      <sheetName val="[입찰안.xls][입찰안.xls]_____xls_1112"/>
      <sheetName val="[입찰안.xls][입찰안.xls]_____xls_1108"/>
      <sheetName val="[입찰안.xls][입찰안.xls]_____xls_1110"/>
      <sheetName val="[입찰안.xls][입찰안.xls]_____xls_1109"/>
      <sheetName val="[입찰안.xls][입찰안.xls]_____xls_1111"/>
      <sheetName val="[입찰안.xls][입찰안.xls]_____xls_1113"/>
      <sheetName val="[입찰안.xls][입찰안.xls]_____xls_1114"/>
      <sheetName val="[입찰안.xls][입찰안.xls]_____xls_1147"/>
      <sheetName val="[입찰안.xls][입찰안.xls]_____xls_1135"/>
      <sheetName val="[입찰안.xls][입찰안.xls]_____xls_1130"/>
      <sheetName val="[입찰안.xls][입찰안.xls]_____xls_1118"/>
      <sheetName val="[입찰안.xls][입찰안.xls]_____xls_1116"/>
      <sheetName val="[입찰안.xls][입찰안.xls]_____xls_1117"/>
      <sheetName val="[입찰안.xls][입찰안.xls]_____xls_1119"/>
      <sheetName val="[입찰안.xls][입찰안.xls]_____xls_1120"/>
      <sheetName val="[입찰안.xls][입찰안.xls]_____xls_1121"/>
      <sheetName val="[입찰안.xls][입찰안.xls]_____xls_1122"/>
      <sheetName val="[입찰안.xls][입찰안.xls]_____xls_1123"/>
      <sheetName val="[입찰안.xls][입찰안.xls]_____xls_1124"/>
      <sheetName val="[입찰안.xls][입찰안.xls]_____xls_1125"/>
      <sheetName val="[입찰안.xls][입찰안.xls]_____xls_1126"/>
      <sheetName val="[입찰안.xls][입찰안.xls]_____xls_1127"/>
      <sheetName val="[입찰안.xls][입찰안.xls]_____xls_1128"/>
      <sheetName val="[입찰안.xls][입찰안.xls]_____xls_1129"/>
      <sheetName val="[입찰안.xls][입찰안.xls]_____xls_1131"/>
      <sheetName val="[입찰안.xls][입찰안.xls]_____xls_1132"/>
      <sheetName val="[입찰안.xls][입찰안.xls]_____xls_1134"/>
      <sheetName val="[입찰안.xls][입찰안.xls]_____xls_1133"/>
      <sheetName val="[입찰안.xls][입찰안.xls]_____xls_1146"/>
      <sheetName val="[입찰안.xls][입찰안.xls]_____xls_1140"/>
      <sheetName val="[입찰안.xls][입찰안.xls]_____xls_1136"/>
      <sheetName val="[입찰안.xls][입찰안.xls]_____xls_1137"/>
      <sheetName val="[입찰안.xls][입찰안.xls]_____xls_1138"/>
      <sheetName val="[입찰안.xls][입찰안.xls]_____xls_1139"/>
      <sheetName val="[입찰안.xls][입찰안.xls]_____xls_1141"/>
      <sheetName val="[입찰안.xls][입찰안.xls]_____xls_1142"/>
      <sheetName val="[입찰안.xls][입찰안.xls]_____xls_1143"/>
      <sheetName val="[입찰안.xls][입찰안.xls]_____xls_1144"/>
      <sheetName val="[입찰안.xls][입찰안.xls]_____xls_1145"/>
      <sheetName val="[입찰안.xls][입찰안.xls]_____xls_1166"/>
      <sheetName val="[입찰안.xls][입찰안.xls]_____xls_1149"/>
      <sheetName val="[입찰안.xls][입찰안.xls]_____xls_1148"/>
      <sheetName val="[입찰안.xls][입찰안.xls]_____xls_1154"/>
      <sheetName val="[입찰안.xls][입찰안.xls]_____xls_1150"/>
      <sheetName val="[입찰안.xls][입찰안.xls]_____xls_1152"/>
      <sheetName val="[입찰안.xls][입찰안.xls]_____xls_1151"/>
      <sheetName val="[입찰안.xls][입찰안.xls]_____xls_1153"/>
      <sheetName val="[입찰안.xls][입찰안.xls]_____xls_1155"/>
      <sheetName val="[입찰안.xls][입찰안.xls]_____xls_1156"/>
      <sheetName val="[입찰안.xls][입찰안.xls]_____xls_1157"/>
      <sheetName val="[입찰안.xls][입찰안.xls]_____xls_1158"/>
      <sheetName val="[입찰안.xls][입찰안.xls]_____xls_1159"/>
      <sheetName val="[입찰안.xls][입찰안.xls]_____xls_1162"/>
      <sheetName val="[입찰안.xls][입찰안.xls]_____xls_1160"/>
      <sheetName val="[입찰안.xls][입찰안.xls]_____xls_1161"/>
      <sheetName val="[입찰안.xls][입찰안.xls]_____xls_1165"/>
      <sheetName val="[입찰안.xls][입찰안.xls]_____xls_1163"/>
      <sheetName val="[입찰안.xls][입찰안.xls]_____xls_1164"/>
      <sheetName val="[입찰안.xls][입찰안.xls]_____xls_1184"/>
      <sheetName val="[입찰안.xls][입찰안.xls]_____xls_1168"/>
      <sheetName val="[입찰안.xls][입찰안.xls]_____xls_1167"/>
      <sheetName val="[입찰안.xls][입찰안.xls]_____xls_1169"/>
      <sheetName val="[입찰안.xls][입찰안.xls]_____xls_1170"/>
      <sheetName val="[입찰안.xls][입찰안.xls]_____xls_1171"/>
      <sheetName val="[입찰안.xls][입찰안.xls]_____xls_1176"/>
      <sheetName val="[입찰안.xls][입찰안.xls]_____xls_1172"/>
      <sheetName val="[입찰안.xls][입찰안.xls]_____xls_1173"/>
      <sheetName val="[입찰안.xls][입찰안.xls]_____xls_1174"/>
      <sheetName val="[입찰안.xls][입찰안.xls]_____xls_1175"/>
      <sheetName val="[입찰안.xls][입찰안.xls]_____xls_1177"/>
      <sheetName val="[입찰안.xls][입찰안.xls]_____xls_1179"/>
      <sheetName val="[입찰안.xls][입찰안.xls]_____xls_1178"/>
      <sheetName val="[입찰안.xls][입찰안.xls]_____xls_1191"/>
      <sheetName val="[입찰안.xls][입찰안.xls]_____xls_1182"/>
      <sheetName val="[입찰안.xls][입찰안.xls]_____xls_1180"/>
      <sheetName val="[입찰안.xls][입찰안.xls]_____xls_1181"/>
      <sheetName val="[입찰안.xls][입찰안.xls]_____xls_1183"/>
      <sheetName val="[입찰안.xls][입찰안.xls]_____xls_1185"/>
      <sheetName val="[입찰안.xls][입찰안.xls]_____xls_1186"/>
      <sheetName val="[입찰안.xls][입찰안.xls]_____xls_1187"/>
      <sheetName val="[입찰안.xls][입찰안.xls]_____xls_1190"/>
      <sheetName val="[입찰안.xls][입찰안.xls]_____xls_1188"/>
      <sheetName val="[입찰안.xls][입찰안.xls]_____xls_1189"/>
      <sheetName val="[입찰안.xls][입찰안.xls]_____xls_1195"/>
      <sheetName val="[입찰안.xls][입찰안.xls]_____xls_1194"/>
      <sheetName val="[입찰안.xls][입찰안.xls]_____xls_1192"/>
      <sheetName val="[입찰안.xls][입찰안.xls]_____xls_1193"/>
      <sheetName val="[입찰안.xls][입찰안.xls]_____xls_1196"/>
      <sheetName val="[입찰안.xls][입찰안.xls]_____xls_1200"/>
      <sheetName val="[입찰안.xls][입찰안.xls]_____xls_1199"/>
      <sheetName val="[입찰안.xls][입찰안.xls]_____xls_1197"/>
      <sheetName val="[입찰안.xls][입찰안.xls]_____xls_1198"/>
      <sheetName val="[입찰안.xls][입찰안.xls]_____xls_1206"/>
      <sheetName val="[입찰안.xls][입찰안.xls]_____xls_1203"/>
      <sheetName val="[입찰안.xls][입찰안.xls]_____xls_1201"/>
      <sheetName val="[입찰안.xls][입찰안.xls]_____xls_1202"/>
      <sheetName val="[입찰안.xls][입찰안.xls]_____xls_1204"/>
      <sheetName val="[입찰안.xls][입찰안.xls]_____xls_1205"/>
      <sheetName val="[입찰안.xls][입찰안.xls]_____xls_1214"/>
      <sheetName val="[입찰안.xls][입찰안.xls]_____xls_1209"/>
      <sheetName val="[입찰안.xls][입찰안.xls]_____xls_1207"/>
      <sheetName val="[입찰안.xls][입찰안.xls]_____xls_1208"/>
      <sheetName val="[입찰안.xls][입찰안.xls]_____xls_1210"/>
      <sheetName val="[입찰안.xls][입찰안.xls]_____xls_1211"/>
      <sheetName val="[입찰안.xls][입찰안.xls]_____xls_1212"/>
      <sheetName val="[입찰안.xls][입찰안.xls]_____xls_1213"/>
      <sheetName val="[입찰안.xls][입찰안.xls]_____xls_1215"/>
      <sheetName val="[입찰안.xls][입찰안.xls]_____xls_1219"/>
      <sheetName val="[입찰안.xls][입찰안.xls]_____xls_1220"/>
      <sheetName val="[입찰안.xls][입찰안.xls]_____xls_1227"/>
      <sheetName val="[입찰안.xls][입찰안.xls]_____xls_1225"/>
      <sheetName val="[입찰안.xls][입찰안.xls]_____xls_1226"/>
      <sheetName val="[입찰안.xls][입찰안.xls]_____xls_1224"/>
      <sheetName val="[입찰안.xls][입찰안.xls]_____xls_1222"/>
      <sheetName val="[입찰안.xls][입찰안.xls]_____xls_1223"/>
      <sheetName val="[입찰안.xls][입찰안.xls]_____xls_1232"/>
      <sheetName val="[입찰안.xls][입찰안.xls]_____xls_1230"/>
      <sheetName val="[입찰안.xls][입찰안.xls]_____xls_1231"/>
      <sheetName val="[입찰안.xls][입찰안.xls]_____xls_1229"/>
      <sheetName val="[입찰안.xls][입찰안.xls]_____xls_1228"/>
      <sheetName val="[입찰안.xls][입찰안.xls]_____xls_1234"/>
      <sheetName val="[입찰안.xls][입찰안.xls]_____xls_1235"/>
      <sheetName val="[입찰안.xls][입찰안.xls]_____xls_1233"/>
      <sheetName val="[입찰안.xls][입찰안.xls]_____xls_1237"/>
      <sheetName val="[입찰안.xls][입찰안.xls]_____xls_1236"/>
      <sheetName val="[입찰안.xls][입찰안.xls]_____xls_1262"/>
      <sheetName val="[입찰안.xls][입찰안.xls]_____xls_1255"/>
      <sheetName val="[입찰안.xls][입찰안.xls]_____xls_1254"/>
      <sheetName val="[입찰안.xls][입찰안.xls]_____xls_1256"/>
      <sheetName val="산출서"/>
      <sheetName val="위치도"/>
      <sheetName val="토공집계(rp)"/>
      <sheetName val="[입찰안.xls][입찰안.xls]_____xls_1245"/>
      <sheetName val="[입찰안.xls][입찰안.xls]_____xls_1247"/>
      <sheetName val="[입찰안.xls][입찰안.xls]_____xls_1246"/>
      <sheetName val="DM_BBNT"/>
      <sheetName val="TCVN"/>
      <sheetName val="[입찰안.xls]B_17"/>
      <sheetName val="[입찰안.xls]B__5"/>
      <sheetName val="[입찰안.xls]B__4"/>
      <sheetName val="[입찰안.xls]B__8"/>
      <sheetName val="[입찰안.xls]B__6"/>
      <sheetName val="[입찰안.xls]B_23"/>
      <sheetName val="[입찰안.xls]B__7"/>
      <sheetName val="[입찰안.xls]B__9"/>
      <sheetName val="[입찰안.xls]B_10"/>
      <sheetName val="[입찰안.xls]B_11"/>
      <sheetName val="[입찰안.xls]B_12"/>
      <sheetName val="[입찰안.xls]B_13"/>
      <sheetName val="[입찰안.xls]B_14"/>
      <sheetName val="[입찰안.xls]B_15"/>
      <sheetName val="[입찰안.xls]B_16"/>
      <sheetName val="[입찰안.xls]B_18"/>
      <sheetName val="[입찰안.xls]B_19"/>
      <sheetName val="[입찰안.xls]B_20"/>
      <sheetName val="[입찰안.xls]B_21"/>
      <sheetName val="[입찰안.xls]B_22"/>
      <sheetName val="[입찰안.xls]B_25"/>
      <sheetName val="[입찰안.xls]B_24"/>
      <sheetName val="[입찰안.xls]B_26"/>
      <sheetName val="[입찰안.xls]B_27"/>
      <sheetName val="[입찰안_xls]___2"/>
      <sheetName val="[입찰안_xls]___1"/>
      <sheetName val="[입찰안_xls]B__2"/>
      <sheetName val="[입찰안_xls]B__3"/>
      <sheetName val="[입찰안_xls]___3"/>
      <sheetName val="[입찰안_xls]B__1"/>
      <sheetName val="[입찰안_xls]B__4"/>
      <sheetName val="[입찰안.xls]B_28"/>
      <sheetName val="[입찰안.xls]B_46"/>
      <sheetName val="[입찰안.xls]B_45"/>
      <sheetName val="[입찰안.xls]B_44"/>
      <sheetName val="[입찰안.xls]B_33"/>
      <sheetName val="[입찰안.xls]B_31"/>
      <sheetName val="[입찰안.xls]B_30"/>
      <sheetName val="[입찰안.xls]B_29"/>
      <sheetName val="[입찰안.xls]B_35"/>
      <sheetName val="[입찰안.xls]B_32"/>
      <sheetName val="[입찰안.xls]B_40"/>
      <sheetName val="[입찰안.xls]B_34"/>
      <sheetName val="[입찰안.xls]B_41"/>
      <sheetName val="[입찰안.xls]B_36"/>
      <sheetName val="[입찰안.xls]B_37"/>
      <sheetName val="[입찰안.xls]B_42"/>
      <sheetName val="[입찰안.xls]B_38"/>
      <sheetName val="[입찰안.xls]B_39"/>
      <sheetName val="[입찰안.xls]B_43"/>
      <sheetName val="[입찰안.xls]B_54"/>
      <sheetName val="[입찰안.xls]B_53"/>
      <sheetName val="[입찰안.xls]B_47"/>
      <sheetName val="[입찰안.xls]B_48"/>
      <sheetName val="[입찰안.xls]B_51"/>
      <sheetName val="[입찰안.xls]B_50"/>
      <sheetName val="[입찰안.xls]B_49"/>
      <sheetName val="[입찰안.xls]B_52"/>
      <sheetName val="[입찰안.xls]B_55"/>
      <sheetName val="[입찰안.xls]B_56"/>
      <sheetName val="[입찰안.xls]B_57"/>
      <sheetName val="[입찰안.xls]B_60"/>
      <sheetName val="[입찰안.xls]B_59"/>
      <sheetName val="[입찰안.xls]B_58"/>
      <sheetName val="(1)본선수량집ው"/>
      <sheetName val="[입찰안.xls][입찰안.xls]_____xls_1238"/>
      <sheetName val="[입찰안.xls][입찰안.xls]_____xls_1239"/>
      <sheetName val="[입찰안.xls][입찰안.xls]_____xls_1244"/>
      <sheetName val="[입찰안.xls][입찰안.xls]_____xls_1240"/>
      <sheetName val="[입찰안.xls][입찰안.xls]_____xls_1241"/>
      <sheetName val="[입찰안.xls][입찰안.xls]_____xls_1242"/>
      <sheetName val="[입찰안.xls][입찰안.xls]_____xls_1243"/>
      <sheetName val="[입찰안.xls][입찰안.xls]_____xls_1249"/>
      <sheetName val="[입찰안.xls][입찰안.xls]_____xls_1248"/>
      <sheetName val="[입찰안.xls][입찰안.xls]_____xls_1250"/>
      <sheetName val="[입찰안.xls][입찰안.xls]_____xls_1252"/>
      <sheetName val="[입찰안.xls][입찰안.xls]_____xls_1251"/>
      <sheetName val="[입찰안.xls][입찰안.xls]_____xls_1253"/>
      <sheetName val="[입찰안.xls][입찰안.xls]_____xls_1257"/>
      <sheetName val="[입찰안.xls][입찰안.xls]_____xls_1258"/>
      <sheetName val="세부내역(직접인건비)"/>
      <sheetName val="세부내역(직접경비)"/>
      <sheetName val="조건표 (2)"/>
      <sheetName val="코_x005f_x0000_"/>
      <sheetName val="7_산출(⠀榅弁䘿_x005f_x0000_"/>
      <sheetName val="10공-_x005f_x0000_Ԁ"/>
      <sheetName val="1,2,3,4_x005f_x0000__x005f_x0000_界Þ多⽬"/>
      <sheetName val="[입찰안.xls][입찰안.xls]_____xls_1259"/>
      <sheetName val="[입찰안.xls][입찰안.xls]_____xls_1261"/>
      <sheetName val="[입찰안.xls][입찰안.xls]_____xls_1260"/>
      <sheetName val="기초데이타"/>
      <sheetName val="장비코드표_0506015"/>
      <sheetName val="2007년_생산1부장비5"/>
      <sheetName val="2008년_생산부전장비코드5"/>
      <sheetName val="DDB부_장비_관리현황5"/>
      <sheetName val="Xunit_(단위환산)5"/>
      <sheetName val="01__DATA4"/>
      <sheetName val="SCOPE_OF_WORK4"/>
      <sheetName val="DGCT_(01)4"/>
      <sheetName val="Chi_tiet4"/>
      <sheetName val="nhôm_1,2mm4"/>
      <sheetName val="nhôm_1,4mm4"/>
      <sheetName val="Phan_tich_ca_may3"/>
      <sheetName val="Chenh_lech_ca_may3"/>
      <sheetName val="TLg_CN&amp;Laixe3"/>
      <sheetName val="TLg_CN&amp;Laixe_(2)3"/>
      <sheetName val="TLg_Laitau3"/>
      <sheetName val="TLg_Laitau_(2)3"/>
      <sheetName val="Cọc_nhồi3"/>
      <sheetName val="Gia_VLNCMTC3"/>
      <sheetName val="Dầm_13"/>
      <sheetName val="Chiet_tinh_don_gia_CM3"/>
      <sheetName val="Sàn_T13"/>
      <sheetName val="Lỗ_thông_gió3"/>
      <sheetName val="Sàn_tầng_01_(_old_)3"/>
      <sheetName val="Measure_13063"/>
      <sheetName val="EE_(3)3"/>
      <sheetName val="Div26_-_Elect2"/>
      <sheetName val="RAB_AR&amp;STR2"/>
      <sheetName val="Isolasi_Luar_Dalam2"/>
      <sheetName val="Isolasi_Luar2"/>
      <sheetName val="U_P_Breakdown2"/>
      <sheetName val="할증_2"/>
      <sheetName val="간접비_총괄표2"/>
      <sheetName val="B:\입찰안_xls"/>
      <sheetName val="[입찰안_xls][입찰안_xls]B:\입찰안_xls"/>
      <sheetName val="[입찰안_xls]B:\입찰안_xls"/>
      <sheetName val="1_R18_BF2"/>
      <sheetName val="6_External_works-R182"/>
      <sheetName val="Bill_01_-_CTN2"/>
      <sheetName val="020_235_23632"/>
      <sheetName val="CHITIET_VL-NC-TT1p2"/>
      <sheetName val="Project_Infor2"/>
      <sheetName val="Data_input2"/>
      <sheetName val="_입찰안_xls_직접뀀鞖_2"/>
      <sheetName val="_입찰안_xls__입찰안_xls_직접뀀鞖_2"/>
      <sheetName val="bang_TH2"/>
      <sheetName val="[입찰안_xls][입찰안_xls][입찰안_xls]___9"/>
      <sheetName val="[입찰안_xls][입찰안_xls][입찰안_xls]__10"/>
      <sheetName val="[입찰안_xls][입찰안_xls]직접뀀鞖/3"/>
      <sheetName val="[입찰안_xls][입찰안_xls][입찰안_xls]__11"/>
      <sheetName val="A_LINE"/>
      <sheetName val="[입찰안_xls][입찰안_xls][입찰안_xls]_256"/>
      <sheetName val="[입찰안_xls][입찰안_xls][입찰안_xls]_257"/>
      <sheetName val="[입찰안_xls][입찰안_xls][입찰안_xls]_224"/>
      <sheetName val="[입찰안_xls][입찰안_xls][입찰안_xls]_225"/>
      <sheetName val="[입찰안_xls][입찰안_xls][입찰안_xls]_226"/>
      <sheetName val="[입찰안_xls][입찰안_xls][입찰안_xls]_227"/>
      <sheetName val="[입찰안_xls][입찰안_xls][입찰안_xls]_228"/>
      <sheetName val="[입찰안_xls][입찰안_xls][입찰안_xls]_229"/>
      <sheetName val="[입찰안_xls][입찰안_xls][입찰안_xls]_230"/>
      <sheetName val="[입찰안_xls][입찰안_xls][입찰안_xls]_231"/>
      <sheetName val="[입찰안_xls][입찰안_xls][입찰안_xls]_232"/>
      <sheetName val="[입찰안_xls][입찰안_xls][입찰안_xls]_233"/>
      <sheetName val="[입찰안_xls][입찰안_xls][입찰안_xls]_234"/>
      <sheetName val="[입찰안_xls][입찰안_xls][입찰안_xls]_235"/>
      <sheetName val="[입찰안_xls][입찰안_xls][입찰안_xls]_236"/>
      <sheetName val="[입찰안_xls][입찰안_xls][입찰안_xls]_237"/>
      <sheetName val="[입찰안_xls][입찰안_xls][입찰안_xls]_238"/>
      <sheetName val="[입찰안_xls][입찰안_xls][입찰안_xls]_239"/>
      <sheetName val="[입찰안_xls][입찰안_xls][입찰안_xls]_240"/>
      <sheetName val="[입찰안_xls][입찰안_xls][입찰안_xls]_241"/>
      <sheetName val="[입찰안_xls][입찰안_xls][입찰안_xls]_242"/>
      <sheetName val="[입찰안_xls][입찰안_xls][입찰안_xls]_243"/>
      <sheetName val="[입찰안_xls][입찰안_xls][입찰안_xls]_244"/>
      <sheetName val="[입찰안_xls][입찰안_xls][입찰안_xls]_245"/>
      <sheetName val="[입찰안_xls][입찰안_xls][입찰안_xls]_246"/>
      <sheetName val="[입찰안_xls][입찰안_xls][입찰안_xls]_247"/>
      <sheetName val="[입찰안_xls][입찰안_xls][입찰안_xls]_248"/>
      <sheetName val="[입찰안_xls][입찰안_xls][입찰안_xls]_249"/>
      <sheetName val="[입찰안_xls][입찰안_xls][입찰안_xls]_250"/>
      <sheetName val="[입찰안_xls][입찰안_xls][입찰안_xls]_251"/>
      <sheetName val="[입찰안_xls][입찰안_xls][입찰안_xls]_252"/>
      <sheetName val="[입찰안_xls][입찰안_xls][입찰안_xls]_253"/>
      <sheetName val="[입찰안_xls][입찰안_xls][입찰안_xls]_254"/>
      <sheetName val="[입찰안_xls][입찰안_xls][입찰안_xls]_255"/>
      <sheetName val="[입찰안_xls][입찰안_xls][입찰안_xls]_258"/>
      <sheetName val="[입찰안_xls][입찰안_xls][입찰안_xls]_259"/>
      <sheetName val="[입찰안_xls][입찰안_xls][입찰안_xls]_260"/>
      <sheetName val="[입찰안_xls][입찰안_xls][입찰안_xls]_261"/>
      <sheetName val="[입찰안_xls][입찰안_xls][입찰안_xls]_262"/>
      <sheetName val="[입찰안_xls][입찰안_xls][입찰안_xls]_263"/>
      <sheetName val="[입찰안_xls][입찰안_xls][입찰안_xls]_264"/>
      <sheetName val="Phan_tho2"/>
      <sheetName val="Tien_Thuong2"/>
      <sheetName val="NC_XL_6T_cuoi_01_CTy2"/>
      <sheetName val="Data_-6T_dau2"/>
      <sheetName val="Cong_6T2"/>
      <sheetName val="[입찰안_xls][입찰안_xls][입찰안_xls]_265"/>
      <sheetName val="[입찰안_xls][입찰안_xls][입찰안_xls]_266"/>
      <sheetName val="[입찰안_xls][입찰안_xls][입찰안_xls]_267"/>
      <sheetName val="[입찰안_xls][입찰안_xls][입찰안_xls]_268"/>
      <sheetName val="[입찰안_xls][입찰안_xls][입찰안_xls]_269"/>
      <sheetName val="[입찰안_xls][입찰안_xls][입찰안_xls]_270"/>
      <sheetName val="[입찰안_xls][입찰안_xls][입찰안_xls]_271"/>
      <sheetName val="[입찰안_xls][입찰안_xls][입찰안_xls]_272"/>
      <sheetName val="[입찰안_xls][입찰안_xls][입찰안_xls]_273"/>
      <sheetName val="[입찰안_xls][입찰안_xls][입찰안_xls]_274"/>
      <sheetName val="[입찰안_xls][입찰안_xls][입찰안_xls]_275"/>
      <sheetName val="[입찰안_xls][입찰안_xls][입찰안_xls]_276"/>
      <sheetName val="[입찰안_xls][입찰안_xls][입찰안_xls]_277"/>
      <sheetName val="[입찰안_xls][입찰안_xls][입찰안_xls]_291"/>
      <sheetName val="[입찰안_xls][입찰안_xls][입찰안_xls]_290"/>
      <sheetName val="[입찰안_xls][입찰안_xls][입찰안_xls]_289"/>
      <sheetName val="새로이_설치할_정비기반시설_조서_나번_(2)"/>
      <sheetName val="plan&amp;section_of勉"/>
      <sheetName val="[입찰안_xls][입찰안_xls][입찰안_xls]_278"/>
      <sheetName val="[입찰안_xls][입찰안_xls][입찰안_xls]_279"/>
      <sheetName val="[입찰안_xls][입찰안_xls][입찰안_xls]_280"/>
      <sheetName val="[입찰안_xls][입찰안_xls][입찰안_xls]_288"/>
      <sheetName val="[입찰안_xls][입찰안_xls][입찰안_xls]_287"/>
      <sheetName val="[입찰안_xls][입찰안_xls][입찰안_xls]_286"/>
      <sheetName val="[입찰안_xls][입찰안_xls][입찰안_xls]_285"/>
      <sheetName val="[입찰안_xls][입찰안_xls][입찰안_xls]_284"/>
      <sheetName val="[입찰안_xls][입찰안_xls][입찰안_xls]_281"/>
      <sheetName val="[입찰안_xls][입찰안_xls][입찰안_xls]_282"/>
      <sheetName val="[입찰안_xls][입찰안_xls][입찰안_xls]_283"/>
      <sheetName val="[입찰안_xls][입찰안_xls][입찰안_xls]_292"/>
      <sheetName val="[입찰안_xls][입찰안_xls][입찰안_xls]_293"/>
      <sheetName val="[입찰안_xls][입찰안_xls][입찰안_xls]_294"/>
      <sheetName val="[입찰안_xls][입찰안_xls][입찰안_xls]_295"/>
      <sheetName val="co-no_2"/>
      <sheetName val="(1)2002년_매출목표_산출"/>
      <sheetName val="[입찰안_xls][입찰안_xls][입찰안_xls]_296"/>
      <sheetName val="[입찰안_xls][입찰안_xls][입찰안_xls]_297"/>
      <sheetName val="[입찰안_xls][입찰안_xls][입찰안_xls]_298"/>
      <sheetName val="[입찰안_xls][입찰안_xls][입찰안_xls]_299"/>
      <sheetName val="[입찰안_xls][입찰안_xls][입찰안_xls]_300"/>
      <sheetName val="[입찰안_xls][입찰안_xls][입찰안_xls]_301"/>
      <sheetName val="[입찰안_xls][입찰안_xls][입찰안_xls]_302"/>
      <sheetName val="[입찰안_xls][입찰안_xls][입찰안_xls]_303"/>
      <sheetName val="[입찰안_xls][입찰안_xls][입찰안_xls]_304"/>
      <sheetName val="[입찰안_xls][입찰안_xls][입찰안_xls]_305"/>
      <sheetName val="[입찰안_xls][입찰안_xls][입찰안_xls]_306"/>
      <sheetName val="[입찰안_xls][입찰안_xls][입찰안_xls]_307"/>
      <sheetName val="[입찰안_xls][입찰안_xls][입찰안_xls]_308"/>
      <sheetName val="[입찰안_xls][입찰안_xls][입찰안_xls]_309"/>
      <sheetName val="[입찰안_xls][입찰안_xls][입찰안_xls]_310"/>
      <sheetName val="[입찰안_xls][입찰안_xls][입찰안_xls]_311"/>
      <sheetName val="[입찰안_xls][입찰안_xls][입찰안_xls]_312"/>
      <sheetName val="[입찰안_xls][입찰안_xls][입찰안_xls]_347"/>
      <sheetName val="[입찰안_xls][입찰안_xls][입찰안_xls]_313"/>
      <sheetName val="[입찰안_xls][입찰안_xls][입찰안_xls]_314"/>
      <sheetName val="[입찰안_xls][입찰안_xls][입찰안_xls]_315"/>
      <sheetName val="[입찰안_xls][입찰안_xls][입찰안_xls]_316"/>
      <sheetName val="[입찰안_xls][입찰안_xls][입찰안_xls]_317"/>
      <sheetName val="[입찰안_xls][입찰안_xls][입찰안_xls]_318"/>
      <sheetName val="[입찰안_xls][입찰안_xls][입찰안_xls]_319"/>
      <sheetName val="[입찰안_xls][입찰안_xls][입찰안_xls]_320"/>
      <sheetName val="[입찰안_xls][입찰안_xls][입찰안_xls]_321"/>
      <sheetName val="[입찰안_xls][입찰안_xls][입찰안_xls]_322"/>
      <sheetName val="[입찰안_xls][입찰안_xls][입찰안_xls]_323"/>
      <sheetName val="[입찰안_xls][입찰안_xls][입찰안_xls]_324"/>
      <sheetName val="[입찰안_xls][입찰안_xls][입찰안_xls]_325"/>
      <sheetName val="[입찰안_xls][입찰안_xls][입찰안_xls]_326"/>
      <sheetName val="[입찰안_xls][입찰안_xls][입찰안_xls]_327"/>
      <sheetName val="[입찰안_xls][입찰안_xls][입찰안_xls]_328"/>
      <sheetName val="F_D_SEC__PROP"/>
      <sheetName val="[입찰안_xls][입찰안_xls][입찰안_xls]_329"/>
      <sheetName val="[입찰안_xls][입찰안_xls][입찰안_xls]_330"/>
      <sheetName val="[입찰안_xls][입찰안_xls][입찰안_xls]_331"/>
      <sheetName val="[입찰안_xls][입찰안_xls][입찰안_xls]_332"/>
      <sheetName val="[입찰안_xls][입찰안_xls][입찰안_xls]_333"/>
      <sheetName val="[입찰안_xls][입찰안_xls][입찰안_xls]_334"/>
      <sheetName val="[입찰안_xls][입찰안_xls][입찰안_xls]_335"/>
      <sheetName val="[입찰안_xls][입찰안_xls][입찰안_xls]_336"/>
      <sheetName val="[입찰안_xls][입찰안_xls][입찰안_xls]_337"/>
      <sheetName val="[입찰안_xls][입찰안_xls][입찰안_xls]_338"/>
      <sheetName val="[입찰안_xls][입찰안_xls][입찰안_xls]_339"/>
      <sheetName val="[입찰안_xls][입찰안_xls][입찰안_xls]_340"/>
      <sheetName val="[입찰안_xls][입찰안_xls][입찰안_xls]_341"/>
      <sheetName val="[입찰안_xls][입찰안_xls][입찰안_xls]_342"/>
      <sheetName val="[입찰안_xls][입찰안_xls][입찰안_xls]_343"/>
      <sheetName val="[입찰안_xls][입찰안_xls][입찰안_xls]_344"/>
      <sheetName val="[입찰안_xls][입찰안_xls][입찰안_xls]_345"/>
      <sheetName val="[입찰안_xls][입찰안_xls][입찰안_xls]_346"/>
      <sheetName val="[입찰안_xls][입찰안_xls][입찰안_xls]_348"/>
      <sheetName val="[입찰안_xls][입찰안_xls][입찰안_xls]_349"/>
      <sheetName val="[입찰안_xls][입찰안_xls][입찰안_xls]_350"/>
      <sheetName val="[입찰안_xls][입찰안_xls][입찰안_xls]_351"/>
      <sheetName val="[입찰안_xls][입찰안_xls][입찰안_xls]_352"/>
      <sheetName val="[입찰안_xls][입찰안_xls][입찰안_xls]_353"/>
      <sheetName val="GRAND_SUM"/>
      <sheetName val="[입찰안_xls][입찰안_xls][입찰안_xls]_354"/>
      <sheetName val="[입찰안_xls][입찰안_xls][입찰안_xls]_355"/>
      <sheetName val="[입찰안_xls][입찰안_xls][입찰안_xls]_356"/>
      <sheetName val="[입찰안_xls][입찰안_xls][입찰안_xls]_357"/>
      <sheetName val="[입찰안_xls][입찰안_xls][입찰안_xls]_395"/>
      <sheetName val="[입찰안_xls][입찰안_xls][입찰안_xls]_396"/>
      <sheetName val="[입찰안_xls][입찰안_xls][입찰안_xls]_397"/>
      <sheetName val="PA"/>
      <sheetName val="[입찰안_xls][입찰안_xls][입찰안_xls]_385"/>
      <sheetName val="[입찰안_xls][입찰안_xls][입찰안_xls]_386"/>
      <sheetName val="[입찰안_xls][입찰안_xls][입찰안_xls]_391"/>
      <sheetName val="[입찰안_xls][입찰안_xls][입찰안_xls]_361"/>
      <sheetName val="[입찰안_xls][입찰안_xls][입찰안_xls]_358"/>
      <sheetName val="[입찰안_xls][입찰안_xls][입찰안_xls]_359"/>
      <sheetName val="[입찰안_xls][입찰안_xls][입찰안_xls]_360"/>
      <sheetName val="[입찰안_xls][입찰안_xls][입찰안_xls]_362"/>
      <sheetName val="[입찰안_xls][입찰안_xls][입찰안_xls]_363"/>
      <sheetName val="[입찰안_xls][입찰안_xls][입찰안_xls]_364"/>
      <sheetName val="[입찰안_xls][입찰안_xls][입찰안_xls]_365"/>
      <sheetName val="[입찰안_xls][입찰안_xls][입찰안_xls]_366"/>
      <sheetName val="[입찰안_xls][입찰안_xls][입찰안_xls]_367"/>
      <sheetName val="[입찰안_xls][입찰안_xls][입찰안_xls]_368"/>
      <sheetName val="[입찰안_xls][입찰안_xls][입찰안_xls]_369"/>
      <sheetName val="[입찰안_xls][입찰안_xls][입찰안_xls]_370"/>
      <sheetName val="[입찰안_xls][입찰안_xls][입찰안_xls]_371"/>
      <sheetName val="[입찰안_xls][입찰안_xls][입찰안_xls]_372"/>
      <sheetName val="[입찰안_xls][입찰안_xls][입찰안_xls]_374"/>
      <sheetName val="[입찰안_xls][입찰안_xls][입찰안_xls]_373"/>
      <sheetName val="[입찰안_xls][입찰안_xls][입찰안_xls]_375"/>
      <sheetName val="[입찰안_xls][입찰안_xls][입찰안_xls]_376"/>
      <sheetName val="[입찰안_xls][입찰안_xls][입찰안_xls]_377"/>
      <sheetName val="[입찰안_xls][입찰안_xls][입찰안_xls]_378"/>
      <sheetName val="[입찰안_xls][입찰안_xls][입찰안_xls]_379"/>
      <sheetName val="[입찰안_xls][입찰안_xls][입찰안_xls]_380"/>
      <sheetName val="[입찰안_xls][입찰안_xls][입찰안_xls]_381"/>
      <sheetName val="[입찰안_xls][입찰안_xls][입찰안_xls]_382"/>
      <sheetName val="[입찰안_xls][입찰안_xls][입찰안_xls]_383"/>
      <sheetName val="[입찰안_xls][입찰안_xls][입찰안_xls]_384"/>
      <sheetName val="[입찰안_xls][입찰안_xls][입찰안_xls]_387"/>
      <sheetName val="[입찰안_xls][입찰안_xls][입찰안_xls]_388"/>
      <sheetName val="[입찰안_xls][입찰안_xls][입찰안_xls]_389"/>
      <sheetName val="[입찰안_xls][입찰안_xls][입찰안_xls]_390"/>
      <sheetName val="[입찰안_xls][입찰안_xls][입찰안_xls]_392"/>
      <sheetName val="[입찰안_xls][입찰안_xls][입찰안_xls]_393"/>
      <sheetName val="[입찰안_xls][입찰안_xls][입찰안_xls]_394"/>
      <sheetName val="[입찰안_xls][입찰안_xls][입찰안_xls]_398"/>
      <sheetName val="[입찰안_xls][입찰안_xls][입찰안_xls]_399"/>
      <sheetName val="[입찰안_xls][입찰안_xls][입찰안_xls]_400"/>
      <sheetName val="[입찰안_xls][입찰안_xls][입찰안_xls]_401"/>
      <sheetName val="[입찰안_xls][입찰안_xls][입찰안_xls]_402"/>
      <sheetName val="[입찰안_xls][입찰안_xls][입찰안_xls]_420"/>
      <sheetName val="[입찰안_xls][입찰안_xls][입찰안_xls]_413"/>
      <sheetName val="[입찰안_xls][입찰안_xls][입찰안_xls]_414"/>
      <sheetName val="[입찰안_xls][입찰안_xls][입찰안_xls]_410"/>
      <sheetName val="[입찰안_xls][입찰안_xls][입찰안_xls]_411"/>
      <sheetName val="[입찰안_xls][입찰안_xls][입찰안_xls]_407"/>
      <sheetName val="[입찰안_xls][입찰안_xls][입찰안_xls]_409"/>
      <sheetName val="[입찰안_xls][입찰안_xls][입찰안_xls]_408"/>
      <sheetName val="COST_SUMMARY"/>
      <sheetName val="Xuly_Data"/>
      <sheetName val="TL_rieng"/>
      <sheetName val="Thuc_thanh"/>
      <sheetName val="Cost_factor"/>
      <sheetName val="Item_list"/>
      <sheetName val="Sheet_Template_Empty"/>
      <sheetName val="[입찰안_xls][입찰안_xls][입찰안_xls]_403"/>
      <sheetName val="[입찰안_xls][입찰안_xls][입찰안_xls]_404"/>
      <sheetName val="[입찰안_xls][입찰안_xls][입찰안_xls]_405"/>
      <sheetName val="[입찰안_xls][입찰안_xls][입찰안_xls]_406"/>
      <sheetName val="[입찰안_xls][입찰안_xls][입찰안_xls]_412"/>
      <sheetName val="[입찰안_xls][입찰안_xls][입찰안_xls]_415"/>
      <sheetName val="[입찰안_xls][입찰안_xls][입찰안_xls]_416"/>
      <sheetName val="[입찰안_xls][입찰안_xls][입찰안_xls]_417"/>
      <sheetName val="[입찰안_xls][입찰안_xls][입찰안_xls]_418"/>
      <sheetName val="[입찰안_xls][입찰안_xls][입찰안_xls]_419"/>
      <sheetName val="[입찰안_xls][입찰안_xls][입찰안_xls]_421"/>
      <sheetName val="[입찰안_xls][입찰안_xls][입찰안_xls]_422"/>
      <sheetName val="[입찰안_xls][입찰안_xls][입찰안_xls]_423"/>
      <sheetName val="[입찰안_xls][입찰안_xls][입찰안_xls]_424"/>
      <sheetName val="[입찰안_xls][입찰안_xls][입찰안_xls]_425"/>
      <sheetName val="[입찰안_xls][입찰안_xls][입찰안_xls]_426"/>
      <sheetName val="[입찰안_xls][입찰안_xls][입찰안_xls]_427"/>
      <sheetName val="[입찰안_xls][입찰안_xls][입찰안_xls]_428"/>
      <sheetName val="[입찰안_xls][입찰안_xls][입찰안_xls]_429"/>
      <sheetName val="[입찰안_xls][입찰안_xls][입찰안_xls]_430"/>
      <sheetName val="[입찰안_xls][입찰안_xls][입찰안_xls]_431"/>
      <sheetName val="[입찰안_xls][입찰안_xls][입찰안_xls]_432"/>
      <sheetName val="[입찰안_xls][입찰안_xls][입찰안_xls]_433"/>
      <sheetName val="[입찰안_xls][입찰안_xls][입찰안_xls]_434"/>
      <sheetName val="[입찰안_xls][입찰안_xls][입찰안_xls]_435"/>
      <sheetName val="[입찰안_xls][입찰안_xls][입찰안_xls]_436"/>
      <sheetName val="[입찰안_xls][입찰안_xls][입찰안_xls]_437"/>
      <sheetName val="[입찰안_xls][입찰안_xls][입찰안_xls]_438"/>
      <sheetName val="[입찰안_xls][입찰안_xls][입찰안_xls]_439"/>
      <sheetName val="[입찰안_xls][입찰안_xls][입찰안_xls]_440"/>
      <sheetName val="[입찰안_xls][입찰안_xls][입찰안_xls]_441"/>
      <sheetName val="[입찰안_xls][입찰안_xls][입찰안_xls]_442"/>
      <sheetName val="[입찰안_xls][입찰안_xls][입찰안_xls]_443"/>
      <sheetName val="Macro(전"/>
      <sheetName val="[입찰안_xls][입찰안_xls][입찰안_xls]_444"/>
      <sheetName val="[입찰안_xls][입찰안_xls][입찰안_xls]_445"/>
      <sheetName val="[입찰안_xls][입찰안_xls][입찰안_xls]_446"/>
      <sheetName val="[입찰안_xls][입찰안_xls][입찰안_xls]_447"/>
      <sheetName val="[입찰안_xls][입찰안_xls][입찰안_xls]_448"/>
      <sheetName val="[입찰안_xls][입찰안_xls][입찰안_xls]_449"/>
      <sheetName val="[입찰안_xls][입찰안_xls][입찰안_xls]_450"/>
      <sheetName val="[입찰안_xls][입찰안_xls][입찰안_xls]_451"/>
      <sheetName val="[입찰안_xls][입찰안_xls][입찰안_xls]_452"/>
      <sheetName val="[입찰안_xls][입찰안_xls][입찰안_xls]_453"/>
      <sheetName val="[입찰안_xls][입찰안_xls][입찰안_xls]_454"/>
      <sheetName val="[입찰안_xls][입찰안_xls][입찰안_xls]_455"/>
      <sheetName val="[입찰안_xls][입찰안_xls][입찰안_xls]_456"/>
      <sheetName val="[입찰안_xls][입찰안_xls][입찰안_xls]_457"/>
      <sheetName val="[입찰안_xls][입찰안_xls][입찰안_xls]_458"/>
      <sheetName val="[입찰안_xls][입찰안_xls][입찰안_xls]_459"/>
      <sheetName val="[입찰안_xls][입찰안_xls][입찰안_xls]_460"/>
      <sheetName val="[입찰안_xls][입찰안_xls][입찰안_xls]_461"/>
      <sheetName val="[입찰안_xls][입찰안_xls][입찰안_xls]_462"/>
      <sheetName val="Code_02"/>
      <sheetName val="Code_03"/>
      <sheetName val="Code_04"/>
      <sheetName val="Code_05"/>
      <sheetName val="Code_06"/>
      <sheetName val="Code_07"/>
      <sheetName val="Code_09"/>
      <sheetName val="[입찰안_xls][입찰안_xls][입찰안_xls]_463"/>
      <sheetName val="[입찰안_xls][입찰안_xls][입찰안_xls]_464"/>
      <sheetName val="[입찰안_xls][입찰안_xls][입찰안_xls]_465"/>
      <sheetName val="[입찰안_xls][입찰안_xls][입찰안_xls]_466"/>
      <sheetName val="[입찰안_xls][입찰안_xls][입찰안_xls]_467"/>
      <sheetName val="[입찰안_xls][입찰안_xls][입찰안_xls]_468"/>
      <sheetName val="[입찰안_xls][입찰안_xls][입찰안_xls]_469"/>
      <sheetName val="[입찰안.xls][입찰안.xls]_____xls_1267"/>
      <sheetName val="[입찰안.xls][입찰안.xls]_____xls_1266"/>
      <sheetName val="[입찰안.xls][입찰안.xls]_____xls_1269"/>
      <sheetName val="[입찰안.xls][입찰안.xls]_____xls_1270"/>
      <sheetName val="[입찰안.xls][입찰안.xls]_____xls_1272"/>
      <sheetName val="[입찰안.xls][입찰안.xls]_____xls_1276"/>
      <sheetName val="[입찰안.xls][입찰안.xls]_____xls_1274"/>
      <sheetName val="[입찰안.xls][입찰안.xls]_____xls_1275"/>
      <sheetName val="확약서"/>
      <sheetName val="단가조견"/>
      <sheetName val="[입찰안.xls][입찰안.xls]_____xls_1285"/>
      <sheetName val="[입찰안.xls][입찰안.xls]_____xls_1286"/>
      <sheetName val="[입찰안.xls][입찰안.xls]_____xls_1287"/>
      <sheetName val="4_전痠"/>
      <sheetName val="4_전矰"/>
      <sheetName val="[입찰안.xls][입찰안.xls]_____xls_1277"/>
      <sheetName val="[입찰안.xls][입찰안.xls]_____xls_1278"/>
      <sheetName val="[입찰안.xls][입찰안.xls]_____xls_1279"/>
      <sheetName val="[입찰안.xls][입찰안.xls]_____xls_1280"/>
      <sheetName val="[입찰안.xls][입찰안.xls]_____xls_1281"/>
      <sheetName val="[입찰안.xls][입찰안.xls]_____xls_1282"/>
      <sheetName val="[입찰안.xls][입찰안.xls]_____xls_1283"/>
      <sheetName val="[입찰안.xls][입찰안.xls]_____xls_1284"/>
      <sheetName val="[입찰안.xls][입찰안.xls]_____xls_1288"/>
      <sheetName val="[입찰안.xls][입찰안.xls]_____xls_1289"/>
      <sheetName val="[입찰안.xls][입찰안.xls]_____xls_1290"/>
      <sheetName val="[입찰안.xls][입찰안.xls]_____xls_1308"/>
      <sheetName val="[입찰안.xls][입찰안.xls]_____xls_1292"/>
      <sheetName val="[입찰안.xls][입찰안.xls]_____xls_1294"/>
      <sheetName val="[입찰안.xls][입찰안.xls]_____xls_1293"/>
      <sheetName val="[입찰안.xls][입찰안.xls]_____xls_1291"/>
      <sheetName val="[입찰안.xls][입찰안.xls]_____xls_1298"/>
      <sheetName val="[입찰안.xls][입찰안.xls]_____xls_1297"/>
      <sheetName val="[입찰안.xls][입찰안.xls]_____xls_1295"/>
      <sheetName val="[입찰안.xls][입찰안.xls]_____xls_1296"/>
      <sheetName val="[입찰안.xls][입찰안.xls]_____xls_1299"/>
      <sheetName val="[입찰안.xls][입찰안.xls]_____xls_1300"/>
      <sheetName val="[입찰안.xls][입찰안.xls]_____xls_1301"/>
      <sheetName val="[입찰안.xls][입찰안.xls]_____xls_1302"/>
      <sheetName val="[입찰안.xls][입찰안.xls]_____xls_1303"/>
      <sheetName val="[입찰안.xls][입찰안.xls]_____xls_1304"/>
      <sheetName val="[입찰안.xls][입찰안.xls]_____xls_1305"/>
      <sheetName val="[입찰안.xls][입찰안.xls]_____xls_1306"/>
      <sheetName val="[입찰안.xls][입찰안.xls]_____xls_1307"/>
      <sheetName val="[입찰안.xls][입찰안.xls]_____xls_1312"/>
      <sheetName val="[입찰안.xls][입찰안.xls]_____xls_1313"/>
      <sheetName val="[입찰안.xls][입찰안.xls]_____xls_1309"/>
      <sheetName val="[입찰안.xls][입찰안.xls]_____xls_1310"/>
      <sheetName val="[입찰안.xls][입찰안.xls]_____xls_1311"/>
      <sheetName val="[입찰안.xls][입찰안.xls]_____xls_1314"/>
      <sheetName val="[입찰안.xls][입찰안.xls]_____xls_1318"/>
      <sheetName val="[입찰안.xls][입찰안.xls]_____xls_1315"/>
      <sheetName val="[입찰안.xls][입찰안.xls]_____xls_1316"/>
      <sheetName val="[입찰안.xls][입찰안.xls]_____xls_1317"/>
      <sheetName val="[입찰안.xls][입찰안.xls]_입_안_xls_1000"/>
      <sheetName val="설계기준"/>
      <sheetName val="[입찰안.xls][입찰안.xls]_____xls_1323"/>
      <sheetName val="[입찰안.xls][입찰안.xls]_____xls_1319"/>
      <sheetName val="[입찰안.xls][입찰안.xls]_____xls_1320"/>
      <sheetName val="[입찰안.xls][입찰안.xls]_____xls_1321"/>
      <sheetName val="[입찰안.xls][입찰안.xls]_____xls_1322"/>
      <sheetName val="[입찰안.xls][입찰안.xls]_____xls_1326"/>
      <sheetName val="[입찰안.xls][입찰안.xls]_____xls_1324"/>
      <sheetName val="[입찰안.xls][입찰안.xls]_____xls_1325"/>
      <sheetName val="[입찰안.xls][입찰안.xls]_____xls_1328"/>
      <sheetName val="[입찰안.xls][입찰안.xls]_____xls_1330"/>
      <sheetName val="[입찰안.xls][입찰안.xls]_____xls_1327"/>
      <sheetName val="[입찰안.xls][입찰안.xls]_____xls_1331"/>
      <sheetName val="[입찰안.xls][입찰안.xls]_____xls_1329"/>
      <sheetName val="[입찰안.xls][입찰안.xls]_____xls_1332"/>
      <sheetName val="집수정단면도 (2)"/>
      <sheetName val="평가표"/>
      <sheetName val="[입찰안.xls][입찰안.xls]_____xls_1366"/>
      <sheetName val="[입찰안.xls][입찰안.xls]_____xls_1334"/>
      <sheetName val="[입찰안.xls][입찰안.xls]_____xls_1333"/>
      <sheetName val="[입찰안.xls][입찰안.xls]_____xls_1335"/>
      <sheetName val="[입찰안.xls][입찰안.xls]_____xls_1344"/>
      <sheetName val="[입찰안.xls][입찰안.xls]_____xls_1348"/>
      <sheetName val="[입찰안.xls][입찰안.xls]_____xls_1336"/>
      <sheetName val="[입찰안.xls][입찰안.xls]_____xls_1337"/>
      <sheetName val="[입찰안.xls][입찰안.xls]_____xls_1338"/>
      <sheetName val="[입찰안.xls][입찰안.xls]_____xls_1339"/>
      <sheetName val="[입찰안.xls][입찰안.xls]_____xls_1340"/>
      <sheetName val="[입찰안.xls][입찰안.xls]_____xls_1341"/>
      <sheetName val="[입찰안.xls][입찰안.xls]_____xls_1342"/>
      <sheetName val="[입찰안.xls][입찰안.xls]_____xls_1343"/>
      <sheetName val="[입찰안.xls][입찰안.xls]_____xls_1347"/>
      <sheetName val="[입찰안.xls][입찰안.xls]_____xls_1345"/>
      <sheetName val="[입찰안.xls][입찰안.xls]_____xls_1346"/>
      <sheetName val="[입찰안.xls][입찰안.xls]_____xls_1356"/>
      <sheetName val="[입찰안.xls][입찰안.xls]_____xls_1349"/>
      <sheetName val="[입찰안.xls][입찰안.xls]_____xls_1352"/>
      <sheetName val="[입찰안.xls][입찰안.xls]_____xls_1350"/>
      <sheetName val="[입찰안.xls][입찰안.xls]_____xls_1351"/>
      <sheetName val="[입찰안.xls][입찰안.xls]_____xls_1353"/>
      <sheetName val="[입찰안.xls][입찰안.xls]_____xls_1354"/>
      <sheetName val="[입찰안.xls][입찰안.xls]_____xls_1355"/>
      <sheetName val="[입찰안.xls][입찰안.xls]_____xls_1358"/>
      <sheetName val="[입찰안.xls][입찰안.xls]_____xls_1357"/>
      <sheetName val="[입찰안.xls][입찰안.xls]_____xls_1361"/>
      <sheetName val="[입찰안.xls][입찰안.xls]_____xls_1367"/>
      <sheetName val="[입찰안.xls][입찰안.xls]_____xls_1359"/>
      <sheetName val="[입찰안.xls][입찰안.xls]_____xls_1360"/>
      <sheetName val="[입찰안.xls][입찰안.xls]_____xls_1363"/>
      <sheetName val="[입찰안.xls][입찰안.xls]_____xls_1362"/>
      <sheetName val="[입찰안.xls][입찰안.xls]_____xls_1364"/>
      <sheetName val="[입찰안.xls][입찰안.xls]_____xls_1365"/>
      <sheetName val="[입찰안_xls][입찰안_xls][입찰안_xls]_485"/>
      <sheetName val="[입찰안_xls][입찰안_xls][입찰안_xls]_471"/>
      <sheetName val="[입찰안_xls][입찰안_xls][입찰안_xls]_472"/>
      <sheetName val="[입찰안_xls][입찰안_xls][입찰안_xls]_477"/>
      <sheetName val="[입찰안_xls][입찰안_xls][입찰안_xls]_470"/>
      <sheetName val="[입찰안_xls][입찰안_xls][입찰안_xls]_473"/>
      <sheetName val="[입찰안_xls][입찰안_xls][입찰안_xls]_474"/>
      <sheetName val="[입찰안_xls][입찰안_xls][입찰안_xls]_475"/>
      <sheetName val="[입찰안_xls][입찰안_xls][입찰안_xls]_476"/>
      <sheetName val="[입찰안_xls][입찰안_xls][입찰안_xls]_478"/>
      <sheetName val="[입찰안_xls][입찰안_xls][입찰안_xls]_479"/>
      <sheetName val="[입찰안_xls][입찰안_xls][입찰안_xls]_480"/>
      <sheetName val="[입찰안_xls][입찰안_xls][입찰안_xls]_481"/>
      <sheetName val="[입찰안_xls][입찰안_xls][입찰안_xls]_482"/>
      <sheetName val="[입찰안_xls][입찰안_xls][입찰안_xls]_483"/>
      <sheetName val="[입찰안_xls][입찰안_xls][입찰안_xls]_484"/>
      <sheetName val="[입찰안_xls][입찰안_xls][입찰안_xls]_486"/>
      <sheetName val="[입찰안_xls][입찰안_xls][입찰안_xls]_487"/>
      <sheetName val="[입찰안_xls][입찰안_xls][입찰안_xls]_488"/>
      <sheetName val="[입찰안_xls][입찰안_xls][입찰안_xls]_489"/>
      <sheetName val="[입찰안_xls][입찰안_xls][입찰안_xls]_490"/>
      <sheetName val="[입찰안.xls][입찰안.xls]_____xls_1380"/>
      <sheetName val="[입찰안.xls][입찰안.xls]_____xls_1389"/>
      <sheetName val="[입찰안.xls][입찰안.xls]_____xls_1368"/>
      <sheetName val="[입찰안.xls][입찰안.xls]_____xls_1370"/>
      <sheetName val="[입찰안.xls][입찰안.xls]_____xls_1369"/>
      <sheetName val="[입찰안.xls][입찰안.xls]_____xls_1374"/>
      <sheetName val="[입찰안.xls][입찰안.xls]_____xls_1371"/>
      <sheetName val="[입찰안.xls][입찰안.xls]_____xls_1372"/>
      <sheetName val="[입찰안.xls][입찰안.xls]_____xls_1373"/>
      <sheetName val="[입찰안.xls][입찰안.xls]_____xls_1375"/>
      <sheetName val="[입찰안.xls][입찰안.xls]_____xls_1378"/>
      <sheetName val="[입찰안.xls][입찰안.xls]_____xls_1376"/>
      <sheetName val="[입찰안.xls][입찰안.xls]_____xls_1377"/>
      <sheetName val="[입찰안.xls][입찰안.xls]_____xls_1379"/>
      <sheetName val="[입찰안.xls][입찰안.xls]_____xls_1382"/>
      <sheetName val="[입찰안.xls][입찰안.xls]_____xls_1381"/>
      <sheetName val="[입찰안.xls][입찰안.xls]_____xls_1383"/>
      <sheetName val="[입찰안.xls][입찰안.xls]_____xls_1384"/>
      <sheetName val="[입찰안.xls][입찰안.xls]_____xls_1385"/>
      <sheetName val="[입찰안.xls][입찰안.xls]_____xls_1386"/>
      <sheetName val="[입찰안.xls][입찰안.xls]_____xls_1387"/>
      <sheetName val="[입찰안.xls][입찰안.xls]_____xls_1388"/>
      <sheetName val="생산직"/>
      <sheetName val="[입찰안.xls][입찰안.xls]_____xls_1393"/>
      <sheetName val="[입찰안.xls][입찰안.xls]_____xls_1410"/>
      <sheetName val="[입찰안.xls][입찰안.xls]_____xls_1395"/>
      <sheetName val="전산"/>
      <sheetName val="[입찰안.xls][입찰안.xls]_____xls_1390"/>
      <sheetName val="[입찰안.xls][입찰안.xls]_____xls_1391"/>
      <sheetName val="[입찰안.xls][입찰안.xls]_____xls_1392"/>
      <sheetName val="[입찰안.xls][입찰안.xls]_____xls_1394"/>
      <sheetName val="[입찰안.xls][입찰안.xls]_____xls_1396"/>
      <sheetName val="[입찰안.xls][입찰안.xls]_____xls_1397"/>
      <sheetName val="[입찰안.xls][입찰안.xls]_____xls_1398"/>
      <sheetName val="[입찰안.xls][입찰안.xls]_____xls_1399"/>
      <sheetName val="[입찰안.xls][입찰안.xls]_____xls_1400"/>
      <sheetName val="[입찰안.xls][입찰안.xls]_____xls_1401"/>
      <sheetName val="[입찰안.xls][입찰안.xls]_____xls_1402"/>
      <sheetName val="[입찰안.xls][입찰안.xls]_____xls_1403"/>
      <sheetName val="[입찰안.xls][입찰안.xls]_____xls_1404"/>
      <sheetName val="[입찰안.xls][입찰안.xls]_____xls_1405"/>
      <sheetName val="[입찰안.xls][입찰안.xls]_____xls_1406"/>
      <sheetName val="[입찰안.xls][입찰안.xls]_____xls_1407"/>
      <sheetName val="[입찰안.xls][입찰안.xls]_____xls_1408"/>
      <sheetName val="[입찰안.xls][입찰안.xls]_____xls_1409"/>
      <sheetName val="[입찰안.xls][입찰안.xls]_____xls_1412"/>
      <sheetName val="[입찰안.xls][입찰안.xls]_____xls_1411"/>
      <sheetName val="항목등록"/>
      <sheetName val="[입찰안.xls][입찰안.xls]_____xls_1417"/>
      <sheetName val="[입찰안.xls][입찰안.xls]_____xls_1415"/>
      <sheetName val="[입찰안.xls][입찰안.xls]_____xls_1413"/>
      <sheetName val="[입찰안.xls][입찰안.xls]_____xls_1414"/>
      <sheetName val="[입찰안.xls][입찰안.xls]_____xls_1416"/>
      <sheetName val="[입찰안.xls][입찰안.xls]_____xls_1450"/>
      <sheetName val="[입찰안.xls][입찰안.xls]_____xls_1449"/>
      <sheetName val="[입찰안.xls][입찰안.xls]_____xls_1429"/>
      <sheetName val="[입찰안.xls][입찰안.xls]_____xls_1418"/>
      <sheetName val="[입찰안.xls][입찰안.xls]_____xls_1419"/>
      <sheetName val="[입찰안.xls][입찰안.xls]_____xls_1420"/>
      <sheetName val="[입찰안.xls][입찰안.xls]_____xls_1421"/>
      <sheetName val="[입찰안.xls][입찰안.xls]_____xls_1422"/>
      <sheetName val="[입찰안.xls][입찰안.xls]_____xls_1423"/>
      <sheetName val="[입찰안.xls][입찰안.xls]_____xls_1424"/>
      <sheetName val="[입찰안.xls][입찰안.xls]_____xls_1425"/>
      <sheetName val="[입찰안.xls][입찰안.xls]_____xls_1426"/>
      <sheetName val="[입찰안.xls][입찰안.xls]_____xls_1427"/>
      <sheetName val="[입찰안.xls][입찰안.xls]_____xls_1428"/>
      <sheetName val="[입찰안.xls][입찰안.xls]_____xls_1430"/>
      <sheetName val="[입찰안.xls][입찰안.xls]_____xls_1431"/>
      <sheetName val="[입찰안.xls][입찰안.xls]_____xls_1432"/>
      <sheetName val="[입찰안.xls][입찰안.xls]_____xls_1433"/>
      <sheetName val="[입찰안.xls][입찰안.xls]_____xls_1434"/>
      <sheetName val="[입찰안.xls][입찰안.xls]_____xls_1435"/>
      <sheetName val="[입찰안.xls][입찰안.xls]_____xls_1436"/>
      <sheetName val="[입찰안.xls][입찰안.xls]_____xls_1437"/>
      <sheetName val="[입찰안.xls][입찰안.xls]_____xls_1438"/>
      <sheetName val="[입찰안.xls][입찰안.xls]_____xls_1439"/>
      <sheetName val="[입찰안.xls][입찰안.xls]_____xls_1440"/>
      <sheetName val="[입찰안.xls][입찰안.xls]_____xls_1441"/>
      <sheetName val="[입찰안.xls][입찰안.xls]_____xls_1442"/>
      <sheetName val="[입찰안.xls][입찰안.xls]_____xls_1443"/>
      <sheetName val="[입찰안.xls][입찰안.xls]_____xls_1444"/>
      <sheetName val="[입찰안.xls][입찰안.xls]_____xls_1445"/>
      <sheetName val="[입찰안.xls][입찰안.xls]_____xls_1446"/>
      <sheetName val="[입찰안.xls][입찰안.xls]_____xls_1447"/>
      <sheetName val="[입찰안.xls][입찰안.xls]_____xls_1448"/>
      <sheetName val="6__안培¹_x0000__x0000_"/>
      <sheetName val="6__안培ú_x0000__x0000_"/>
      <sheetName val="[입찰안.xls][입찰안.xls]_____xls_1452"/>
      <sheetName val="[입찰안.xls][입찰안.xls]_____xls_1451"/>
      <sheetName val="[입찰안.xls][입찰안.xls]_____xls_1453"/>
      <sheetName val="[입찰안.xls][입찰안.xls]_____xls_1460"/>
      <sheetName val="[입찰안.xls][입찰안.xls]_____xls_1454"/>
      <sheetName val="[입찰안.xls][입찰안.xls]_____xls_1455"/>
      <sheetName val="[입찰안.xls][입찰안.xls]_____xls_1456"/>
      <sheetName val="[입찰안.xls][입찰안.xls]_____xls_1457"/>
      <sheetName val="[입찰안.xls][입찰안.xls]_____xls_1458"/>
      <sheetName val="[입찰안.xls][입찰안.xls]_____xls_1459"/>
      <sheetName val="[입찰안.xls][입찰안.xls]_____xls_1463"/>
      <sheetName val="[입찰안.xls][입찰안.xls]_____xls_1461"/>
      <sheetName val="[입찰안.xls][입찰안.xls]_____xls_1462"/>
      <sheetName val="[입찰안.xls][입찰안.xls]_____xls_1466"/>
      <sheetName val="[입찰안.xls][입찰안.xls]_____xls_1468"/>
      <sheetName val="[입찰안.xls][입찰안.xls]_____xls_1464"/>
      <sheetName val="[입찰안.xls][입찰안.xls]_____xls_1465"/>
      <sheetName val="[입찰안.xls][입찰안.xls]_____xls_1467"/>
      <sheetName val="[입찰안.xls][입찰안.xls]_____xls_1472"/>
      <sheetName val="[입찰안.xls][입찰안.xls]_____xls_1469"/>
      <sheetName val="[입찰안.xls][입찰안.xls]_____xls_1470"/>
      <sheetName val="[입찰안.xls][입찰안.xls]_____xls_1471"/>
      <sheetName val="11_산출_x0000__x0000__x0005__x0000_"/>
      <sheetName val="일용직"/>
      <sheetName val="일위대가-내역 "/>
      <sheetName val="5호광장_(만점)11"/>
      <sheetName val="인천국제_(만점)_(2)11"/>
      <sheetName val="Total_단위경유량집계11"/>
      <sheetName val="BH-1_(2)11"/>
      <sheetName val="표__지11"/>
      <sheetName val="준검_내역서11"/>
      <sheetName val="토공유동표(전체_당초)11"/>
      <sheetName val="1_수인터널11"/>
      <sheetName val="앉음벽_(2)11"/>
      <sheetName val="_HIT__HMC_견적_3900_11"/>
      <sheetName val="I_설계조건11"/>
      <sheetName val="4_전기11"/>
      <sheetName val="7__현장관리비_11"/>
      <sheetName val="6__안전관리비11"/>
      <sheetName val="1_설계조건11"/>
      <sheetName val="소포내역_(2)11"/>
      <sheetName val="노원열병합__건축공사기성내역서11"/>
      <sheetName val="조도계산서_(도서)11"/>
      <sheetName val="3련_BOX11"/>
      <sheetName val="11_산출(전열)11"/>
      <sheetName val="6_산출(동력)11"/>
      <sheetName val="7_산출(TRAY)11"/>
      <sheetName val="5_산출(전력)10"/>
      <sheetName val="수량산출서(전력간선_지하D_C)10"/>
      <sheetName val="MSS_211"/>
      <sheetName val="우수관매설및_우수받이11"/>
      <sheetName val="11_우각부_보강11"/>
      <sheetName val="제출내역_(2)11"/>
      <sheetName val="플랜트_설치10"/>
      <sheetName val="보고서_기기리스트10"/>
      <sheetName val="2_1__노무비_평균단가산출10"/>
      <sheetName val="내역_ver1_011"/>
      <sheetName val="내___역10"/>
      <sheetName val="plan&amp;section_of_foundation11"/>
      <sheetName val="pile_bearing_capa_&amp;_arrenge11"/>
      <sheetName val="working_load_at_the_btm_ft_11"/>
      <sheetName val="stability_check11"/>
      <sheetName val="design_criteria11"/>
      <sheetName val="배수내역_(2)10"/>
      <sheetName val="배수공_시멘트_및_골재량_산출10"/>
      <sheetName val="A_견적10"/>
      <sheetName val="Customer_Databas10"/>
      <sheetName val="목차_10"/>
      <sheetName val="6PILE__(돌출)10"/>
      <sheetName val="_HIT-&gt;HMC_견적(3900)10"/>
      <sheetName val="전_기10"/>
      <sheetName val="spc_배관견적10"/>
      <sheetName val="SHEET_PILE단가10"/>
      <sheetName val="unit_410"/>
      <sheetName val="BH_1__2_10"/>
      <sheetName val="도담구내_개소별_명세10"/>
      <sheetName val="화재_탐지_설비10"/>
      <sheetName val="귀래_설계_공내역서10"/>
      <sheetName val="2차전체변경예정_(2)10"/>
      <sheetName val="3_1공사현황_공정표10"/>
      <sheetName val="개인별_순위표10"/>
      <sheetName val="세골재__T2_변경_현황10"/>
      <sheetName val="8_현장관리비10"/>
      <sheetName val="7_안전관리비10"/>
      <sheetName val="1_설계기준10"/>
      <sheetName val="1_취수장10"/>
      <sheetName val="설_계10"/>
      <sheetName val="Cash_Flow-110"/>
      <sheetName val="노임_단가10"/>
      <sheetName val="投标材料清单_10"/>
      <sheetName val="별표_10"/>
      <sheetName val="3_공통공사대비10"/>
      <sheetName val="단가_및_재료비10"/>
      <sheetName val="내역서_10"/>
      <sheetName val="집_계_표10"/>
      <sheetName val="RETAIL_(ABOVE)10"/>
      <sheetName val="5__현장관리비(new)_10"/>
      <sheetName val="노임단가_(2)10"/>
      <sheetName val="7_공정표10"/>
      <sheetName val="단면_(2)10"/>
      <sheetName val="장비비_명세서110"/>
      <sheetName val="단___산9"/>
      <sheetName val="실____단9"/>
      <sheetName val="6__수량산출서9"/>
      <sheetName val="노무비_근거9"/>
      <sheetName val="참조_(2)9"/>
      <sheetName val="2_대외공문10"/>
      <sheetName val="Eq__Mobilization10"/>
      <sheetName val="_갑지9"/>
      <sheetName val="제수변_수량집계표(보통)9"/>
      <sheetName val="장비_(2)9"/>
      <sheetName val="3BL공동구_수량9"/>
      <sheetName val="전선_및_전선관9"/>
      <sheetName val="CM_19"/>
      <sheetName val="5_동별횡주관경9"/>
      <sheetName val="암거_제원표9"/>
      <sheetName val="내역서1999_8최종9"/>
      <sheetName val="Sheet1_(2)9"/>
      <sheetName val="수량산출서_(2)8"/>
      <sheetName val="토공_total8"/>
      <sheetName val="기성(1차)_8"/>
      <sheetName val="전사_(2)8"/>
      <sheetName val="BA_(2)8"/>
      <sheetName val="CP_(2)8"/>
      <sheetName val="일위대가56-1_8"/>
      <sheetName val="일위대가71-1_8"/>
      <sheetName val="일위대가74-1_8"/>
      <sheetName val="일위대가76-1_8"/>
      <sheetName val="일위대가77-1_8"/>
      <sheetName val="일위대가78-1_8"/>
      <sheetName val="_소방공사_산출근거8"/>
      <sheetName val="습식및_셀프레벨링9"/>
      <sheetName val="1차_내역서9"/>
      <sheetName val="BSD_(2)8"/>
      <sheetName val="바_한일양산8"/>
      <sheetName val="Project_Brief8"/>
      <sheetName val="영업_일18"/>
      <sheetName val="기기_내역서8"/>
      <sheetName val="일위대가_9"/>
      <sheetName val="4_LINE9"/>
      <sheetName val="7_th9"/>
      <sheetName val="1_CB8"/>
      <sheetName val="유효폭의_계산7"/>
      <sheetName val="아파트_7"/>
      <sheetName val="변경명신물량_(2)8"/>
      <sheetName val="토공_토적표8"/>
      <sheetName val="갑지_을지7"/>
      <sheetName val="2-2_매출분석7"/>
      <sheetName val="미납품_현황7"/>
      <sheetName val="STEEL_BOX_단면설계(SEC_8)7"/>
      <sheetName val="도담구내_개소별_명柖9"/>
      <sheetName val="danh_muc_vat_tu9"/>
      <sheetName val="Register-BG_NCC9"/>
      <sheetName val="Data_29"/>
      <sheetName val="TB_chính9"/>
      <sheetName val="Steel_pipe9"/>
      <sheetName val="Ref_pipe+Ins9"/>
      <sheetName val="Plastic_pipe9"/>
      <sheetName val="Air_Grilles9"/>
      <sheetName val="Cost_bd-&quot;A&quot;9"/>
      <sheetName val="갑지_설계_내역서7"/>
      <sheetName val="기존단가_(2)8"/>
      <sheetName val="설명서_7"/>
      <sheetName val="_FURNACE현설6"/>
      <sheetName val="97_사업추정(WEKI)6"/>
      <sheetName val="8_설치품셈6"/>
      <sheetName val="ITB_COST7"/>
      <sheetName val="자격_땡겨오기7"/>
      <sheetName val="05년_상7"/>
      <sheetName val="영흥TL(UP,DOWN)_7"/>
      <sheetName val="단양_00_아파트-세부내역7"/>
      <sheetName val="2_단면가정_(양곡1교)7"/>
      <sheetName val="8_PILE__(돌출)7"/>
      <sheetName val="1_내역(청_하역장전등)7"/>
      <sheetName val="2000_056"/>
      <sheetName val="표지_(2)7"/>
      <sheetName val="Xunit_(단위환산)7"/>
      <sheetName val="4__VOs_summary8"/>
      <sheetName val="수량산출서_갑지7"/>
      <sheetName val="장비코드표_0506017"/>
      <sheetName val="2007년_생산1부장비7"/>
      <sheetName val="2008년_생산부전장비코드7"/>
      <sheetName val="DDB부_장비_관리현황7"/>
      <sheetName val="Chiet_tinh_dz358"/>
      <sheetName val="Bảng_mã_VT8"/>
      <sheetName val="DATA_LISTS6"/>
      <sheetName val="4_2_1_마루높이_검토7"/>
      <sheetName val="_견적서7"/>
      <sheetName val="품셈_6"/>
      <sheetName val="M-EMS_GP-570(BIT)6"/>
      <sheetName val="내역서_제출7"/>
      <sheetName val="19_07월_세_계6"/>
      <sheetName val="19_07항목별(시트복사금지100번쓰기)6"/>
      <sheetName val="19_05월6"/>
      <sheetName val="TABLE_DB6"/>
      <sheetName val="쌍용_data_base6"/>
      <sheetName val="내역(인테리어_실내)(도급)6"/>
      <sheetName val="내역(인테리어_실외)(도급)6"/>
      <sheetName val="Elec_LG6"/>
      <sheetName val="ESTI_6"/>
      <sheetName val="D_&amp;_W_sizes6"/>
      <sheetName val="Gia_vat_tu6"/>
      <sheetName val="dtct_cong6"/>
      <sheetName val="DGCT_(01)6"/>
      <sheetName val="SCOPE_OF_WORK6"/>
      <sheetName val="Chi_tiet6"/>
      <sheetName val="nhôm_1,2mm6"/>
      <sheetName val="nhôm_1,4mm6"/>
      <sheetName val="01__DATA6"/>
      <sheetName val="중기조종사_단위단가6"/>
      <sheetName val="자재기성_신청서_xlsx6"/>
      <sheetName val="0_목록16"/>
      <sheetName val="So_sanh5"/>
      <sheetName val="[입찰안_xls][입찰안_xls][입찰안_xls]B299"/>
      <sheetName val="[입찰안_xls][입찰안_xls][입찰안_xls]B300"/>
      <sheetName val="[입찰안_xls][입찰안_xls][입찰안_xls]B301"/>
      <sheetName val="[입찰안_xls][입찰안_xls][입찰안_xls]B302"/>
      <sheetName val="[입찰안_xls][입찰안_xls][입찰안_xls]B303"/>
      <sheetName val="[입찰안_xls][입찰안_xls][입찰안_xls]B304"/>
      <sheetName val="[입찰안_xls][입찰안_xls][입찰안_xls]B305"/>
      <sheetName val="[입찰안_xls][입찰안_xls][입찰안_xls]B306"/>
      <sheetName val="PROJ__DATA5"/>
      <sheetName val="_Beams_Sched_5"/>
      <sheetName val="[입찰안_xls][입찰안_xls][입찰안_xls]B307"/>
      <sheetName val="[입찰안_xls][입찰안_xls][입찰안_xls]B308"/>
      <sheetName val="[입찰안_xls][입찰안_xls][입찰안_xls]B309"/>
      <sheetName val="[입찰안_xls][입찰안_xls][입찰안_xls]B310"/>
      <sheetName val="[입찰안_xls][입찰안_xls][입찰안_xls]B311"/>
      <sheetName val="[입찰안_xls][입찰안_xls][입찰안_xls]B312"/>
      <sheetName val="[입찰안_xls][입찰안_xls][입찰안_xls]B313"/>
      <sheetName val="[입찰안_xls][입찰안_xls][입찰안_xls]B314"/>
      <sheetName val="[입찰안_xls][입찰안_xls][입찰안_xls]B315"/>
      <sheetName val="[입찰안_xls][입찰안_xls][입찰안_xls]B316"/>
      <sheetName val="[입찰안_xls][입찰안_xls][입찰안_xls]B317"/>
      <sheetName val="[입찰안_xls][입찰안_xls][입찰안_xls]B318"/>
      <sheetName val="[입찰안_xls][입찰안_xls][입찰안_xls]B319"/>
      <sheetName val="[입찰안_xls][입찰안_xls][입찰안_xls]B320"/>
      <sheetName val="[입찰안_xls][입찰안_xls][입찰안_xls]B321"/>
      <sheetName val="[입찰안_xls][입찰안_xls][입찰안_xls]B322"/>
      <sheetName val="[입찰안_xls][입찰안_xls][입찰안_xls]B323"/>
      <sheetName val="[입찰안_xls][입찰안_xls][입찰안_xls]B324"/>
      <sheetName val="[입찰안_xls][입찰안_xls][입찰안_xls]__24"/>
      <sheetName val="[입찰안_xls][입찰안_xls][입찰안_xls]__25"/>
      <sheetName val="[입찰안_xls][입찰안_xls][입찰안_xls]B325"/>
      <sheetName val="[입찰안_xls][입찰안_xls][입찰안_xls]B326"/>
      <sheetName val="[입찰안_xls][입찰안_xls][입찰안_xls]B327"/>
      <sheetName val="[입찰안_xls][입찰안_xls][입찰안_xls]B328"/>
      <sheetName val="Cọc_nhồi5"/>
      <sheetName val="Phan_tich_ca_may5"/>
      <sheetName val="Chenh_lech_ca_may5"/>
      <sheetName val="TLg_CN&amp;Laixe5"/>
      <sheetName val="TLg_CN&amp;Laixe_(2)5"/>
      <sheetName val="TLg_Laitau5"/>
      <sheetName val="TLg_Laitau_(2)5"/>
      <sheetName val="Dầm_15"/>
      <sheetName val="Gia_VLNCMTC5"/>
      <sheetName val="Sàn_T15"/>
      <sheetName val="Lỗ_thông_gió5"/>
      <sheetName val="Sàn_tầng_01_(_old_)5"/>
      <sheetName val="Chiet_tinh_don_gia_CM5"/>
      <sheetName val="Measure_13065"/>
      <sheetName val="EE_(3)5"/>
      <sheetName val="RAB_AR&amp;STR4"/>
      <sheetName val="Isolasi_Luar_Dalam4"/>
      <sheetName val="Isolasi_Luar4"/>
      <sheetName val="Div26_-_Elect4"/>
      <sheetName val="U_P_Breakdown4"/>
      <sheetName val="1_R18_BF4"/>
      <sheetName val="6_External_works-R184"/>
      <sheetName val="[입찰안_xls][입찰안_xls][입찰안_xls]B329"/>
      <sheetName val="[입찰안_xls][입찰안_xls][입찰안_xls]B330"/>
      <sheetName val="[입찰안_xls][입찰안_xls][입찰안_xls]B331"/>
      <sheetName val="[입찰안_xls][입찰안_xls][입찰안_xls]B332"/>
      <sheetName val="[입찰안_xls][입찰안_xls][입찰안_xls]B333"/>
      <sheetName val="[입찰안_xls][입찰안_xls][입찰안_xls]B334"/>
      <sheetName val="[입찰안_xls][입찰안_xls][입찰안_xls]B335"/>
      <sheetName val="[입찰안_xls][입찰안_xls][입찰안_xls]B336"/>
      <sheetName val="[입찰안_xls][입찰안_xls][입찰안_xls]B337"/>
      <sheetName val="[입찰안_xls][입찰안_xls][입찰안_xls]B338"/>
      <sheetName val="[입찰안_xls][입찰안_xls][입찰안_xls]B339"/>
      <sheetName val="[입찰안_xls][입찰안_xls][입찰안_xls]B340"/>
      <sheetName val="[입찰안_xls][입찰안_xls][입찰안_xls]B341"/>
      <sheetName val="[입찰안_xls][입찰안_xls][입찰안_xls]B342"/>
      <sheetName val="견적비교표_(2)3"/>
      <sheetName val="결재방(지우지_마세요)3"/>
      <sheetName val="EXCHANGE_RATE3"/>
      <sheetName val="[입찰안_xls][입찰안_xls][입찰안_xls]B343"/>
      <sheetName val="[입찰안_xls][입찰안_xls][입찰안_xls]B344"/>
      <sheetName val="TOWER_12TON3"/>
      <sheetName val="공사투입계획(변경결의)19_93"/>
      <sheetName val="노무비_월별지급현황19_93"/>
      <sheetName val="갑지(외주기성)19_93"/>
      <sheetName val="[입찰안_xls][입찰안_xls][입찰안_xls]B345"/>
      <sheetName val="노임단가_및_기계경비3"/>
      <sheetName val="실행내역서_3"/>
      <sheetName val="[입찰안_xls][입찰안_xls][입찰안_xls]B346"/>
      <sheetName val="[입찰안_xls][입찰안_xls][입찰안_xls]B347"/>
      <sheetName val="[입찰안_xls][입찰안_xls][입찰안_xls]B348"/>
      <sheetName val="[입찰안_xls][입찰안_xls][입찰안_xls]B349"/>
      <sheetName val="[입찰안_xls][입찰안_xls][입찰안_xls]B350"/>
      <sheetName val="[입찰안_xls][입찰안_xls][입찰안_xls]B351"/>
      <sheetName val="중강당_내역3"/>
      <sheetName val="[입찰안_xls][입찰안_xls][입찰안_xls]B352"/>
      <sheetName val="[입찰안_xls][입찰안_xls][입찰안_xls]B353"/>
      <sheetName val="[입찰안_xls][입찰안_xls][입찰안_xls]B354"/>
      <sheetName val="[입찰안_xls][입찰안_xls][입찰안_xls]B355"/>
      <sheetName val="[입찰안_xls][입찰안_xls][입찰안_xls]B356"/>
      <sheetName val="[입찰안_xls][입찰안_xls][입찰안_xls]B357"/>
      <sheetName val="[입찰안_xls][입찰안_xls][입찰안_xls]B358"/>
      <sheetName val="[입찰안_xls][입찰안_xls][입찰안_xls]B359"/>
      <sheetName val="[입찰안_xls][입찰안_xls][입찰안_xls]B360"/>
      <sheetName val="[입찰안_xls][입찰안_xls][입찰안_xls]B361"/>
      <sheetName val="[입찰안_xls][입찰안_xls][입찰안_xls]B362"/>
      <sheetName val="[입찰안_xls][입찰안_xls][입찰안_xls]B363"/>
      <sheetName val="[입찰안_xls][입찰안_xls][입찰안_xls]B364"/>
      <sheetName val="[입찰안_xls][입찰안_xls][입찰안_xls]B365"/>
      <sheetName val="6-1_보오링(1)3"/>
      <sheetName val="할증_4"/>
      <sheetName val="간접비_총괄표4"/>
      <sheetName val="노_표-조2"/>
      <sheetName val="[입찰안_xls][입찰안_xls][입찰안_xls]B366"/>
      <sheetName val="[입찰안_xls][입찰안_xls][입찰안_xls]B367"/>
      <sheetName val="Requirement(Work_Crew)2"/>
      <sheetName val="[입찰안_xls][입찰안_xls][입찰안_xls]B368"/>
      <sheetName val="[입찰안_xls][입찰안_xls][입찰안_xls]B369"/>
      <sheetName val="[입찰안_xls][입찰안_xls][입찰안_xls]B370"/>
      <sheetName val="[입찰안_xls][입찰안_xls][입찰안_xls]B371"/>
      <sheetName val="[입찰안_xls][입찰안_xls][입찰안_xls]B372"/>
      <sheetName val="[입찰안_xls][입찰안_xls][입찰안_xls]B373"/>
      <sheetName val="[입찰안_xls][입찰안_xls][입찰안_xls]B374"/>
      <sheetName val="[입찰안_xls][입찰안_xls][입찰안_xls]B375"/>
      <sheetName val="[입찰안_xls][입찰안_xls][입찰안_xls]B376"/>
      <sheetName val="[입찰안_xls][입찰안_xls][입찰안_xls]B377"/>
      <sheetName val="[입찰안_xls][입찰안_xls][입찰안_xls]B378"/>
      <sheetName val="[입찰안_xls][입찰안_xls][입찰안_xls]B379"/>
      <sheetName val="[입찰안_xls][입찰안_xls][입찰안_xls]B380"/>
      <sheetName val="[입찰안_xls][입찰안_xls][입찰안_xls]B381"/>
      <sheetName val="[입찰안_xls][입찰안_xls][입찰안_xls]B382"/>
      <sheetName val="[입찰안_xls][입찰안_xls][입찰안_xls]B383"/>
      <sheetName val="[입찰안_xls][입찰안_xls][입찰안_xls]B384"/>
      <sheetName val="[입찰안_xls][입찰안_xls][입찰안_xls]B385"/>
      <sheetName val="[입찰안_xls][입찰안_xls][입찰안_xls]B386"/>
      <sheetName val="[입찰안_xls][입찰안_xls][입찰안_xls]B387"/>
      <sheetName val="[입찰안_xls][입찰안_xls][입찰안_xls]B388"/>
      <sheetName val="[입찰안_xls][입찰안_xls][입찰안_xls]B389"/>
      <sheetName val="[입찰안_xls][입찰안_xls][입찰안_xls]B390"/>
      <sheetName val="[입찰안_xls][입찰안_xls][입찰안_xls]B391"/>
      <sheetName val="[입찰안_xls][입찰안_xls][입찰안_xls]B392"/>
      <sheetName val="[입찰안_xls][입찰안_xls][입찰안_xls]B393"/>
      <sheetName val="[입찰안_xls][입찰안_xls][입찰안_xls]B394"/>
      <sheetName val="[입찰안_xls][입찰안_xls][입찰안_xls]B395"/>
      <sheetName val="[입찰안_xls][입찰안_xls][입찰안_xls]_978"/>
      <sheetName val="[입찰안_xls][입찰안_xls][입찰안_xls]_979"/>
      <sheetName val="[입찰안_xls][입찰안_xls][입찰안_xls]B396"/>
      <sheetName val="[입찰안_xls][입찰안_xls][입찰안_xls]_980"/>
      <sheetName val="[입찰안_xls][입찰안_xls][입찰안_xls]_981"/>
      <sheetName val="[입찰안_xls][입찰안_xls][입찰안_xls]_982"/>
      <sheetName val="[입찰안_xls][입찰안_xls][입찰안_xls]_983"/>
      <sheetName val="[입찰안_xls][입찰안_xls][입찰안_xls]_984"/>
      <sheetName val="[입찰안_xls][입찰안_xls][입찰안_xls]_985"/>
      <sheetName val="[입찰안_xls][입찰안_xls][입찰안_xls]_986"/>
      <sheetName val="[입찰안_xls][입찰안_xls][입찰안_xls]_987"/>
      <sheetName val="[입찰안_xls][입찰안_xls][입찰안_xls]_988"/>
      <sheetName val="[입찰안_xls][입찰안_xls][입찰안_xls]_989"/>
      <sheetName val="[입찰안_xls][입찰안_xls][입찰안_xls]_990"/>
      <sheetName val="[입찰안_xls][입찰안_xls][입찰안_xls]_991"/>
      <sheetName val="[입찰안_xls][입찰안_xls][입찰안_xls]_992"/>
      <sheetName val="[입찰안_xls][입찰안_xls][입찰안_xls]_993"/>
      <sheetName val="[입찰안_xls][입찰안_xls][입찰안_xls]_994"/>
      <sheetName val="[입찰안_xls][입찰안_xls][입찰안_xls]_995"/>
      <sheetName val="[입찰안_xls][입찰안_xls][입찰안_xls]_996"/>
      <sheetName val="[입찰안_xls][입찰안_xls][입찰안_xls]_997"/>
      <sheetName val="[입찰안_xls][입찰안_xls][입찰안_xls]__26"/>
      <sheetName val="[입찰안_xls][입찰안_xls][입찰안_xls]_998"/>
      <sheetName val="[입찰안_xls][입찰안_xls][입찰안_xls]_999"/>
      <sheetName val="[입찰안_xls][입찰안_xls][입찰안_xls]1000"/>
      <sheetName val="[입찰안_xls][입찰안_xls][입찰안_xls]1001"/>
      <sheetName val="[입찰안_xls][입찰안_xls][입찰안_xls]1002"/>
      <sheetName val="[입찰안_xls][입찰안_xls][입찰안_xls]1003"/>
      <sheetName val="[입찰안_xls][입찰안_xls][입찰안_xls]1004"/>
      <sheetName val="[입찰안_xls][입찰안_xls][입찰안_xls]1005"/>
      <sheetName val="사__업__비__수__지__예__산__서2"/>
      <sheetName val="[입찰안_xls][입찰안_xls][입찰안_xls]1006"/>
      <sheetName val="General_Data2"/>
      <sheetName val="Bill_01_-_CTN4"/>
      <sheetName val="020_235_23634"/>
      <sheetName val="CHITIET_VL-NC-TT1p4"/>
      <sheetName val="Project_Infor4"/>
      <sheetName val="Data_input4"/>
      <sheetName val="[입찰안_xls][입찰안_xls][입찰안_xls]1007"/>
      <sheetName val="[입찰안_xls][입찰안_xls][입찰안_xls]1008"/>
      <sheetName val="[입찰안_xls][입찰안_xls][입찰안_xls]1009"/>
      <sheetName val="[입찰안_xls][입찰안_xls][입찰안_xls]1010"/>
      <sheetName val="[입찰안_xls][입찰안_xls][입찰안_xls]1011"/>
      <sheetName val="[입찰안_xls][입찰안_xls][입찰안_xls]1012"/>
      <sheetName val="[입찰안_xls][입찰안_xls][입찰안_xls]1013"/>
      <sheetName val="[입찰안_xls][입찰안_xls][입찰안_xls]1014"/>
      <sheetName val="[입찰안_xls][입찰안_xls][입찰안_xls]1015"/>
      <sheetName val="[입찰안_xls][입찰안_xls][입찰안_xls]1016"/>
      <sheetName val="[입찰안_xls][입찰안_xls][입찰안_xls]1017"/>
      <sheetName val="[입찰안_xls][입찰안_xls][입찰안_xls]1018"/>
      <sheetName val="[입찰안_xls][입찰안_xls][입찰안_xls]1019"/>
      <sheetName val="[입찰안_xls][입찰안_xls][입찰안_xls]1020"/>
      <sheetName val="[입찰안_xls][입찰안_xls][입찰안_xls]1021"/>
      <sheetName val="[입찰안_xls][입찰안_xls][입찰안_xls]1022"/>
      <sheetName val="[입찰안_xls][입찰안_xls][입찰안_xls]1023"/>
      <sheetName val="[입찰안_xls][입찰안_xls][입찰안_xls]1024"/>
      <sheetName val="[입찰안_xls][입찰안_xls][입찰안_xls]1025"/>
      <sheetName val="[입찰안_xls][입찰안_xls][입찰안_xls]1026"/>
      <sheetName val="[입찰안_xls][입찰안_xls][입찰안_xls]1027"/>
      <sheetName val="[입찰안_xls][입찰안_xls][입찰안_xls]1028"/>
      <sheetName val="[입찰안_xls][입찰안_xls][입찰안_xls]1029"/>
      <sheetName val="[입찰안_xls][입찰안_xls][입찰안_xls]1030"/>
      <sheetName val="[입찰안_xls][입찰안_xls][입찰안_xls]1031"/>
      <sheetName val="[입찰안_xls][입찰안_xls][입찰안_xls]1032"/>
      <sheetName val="[입찰안_xls][입찰안_xls][입찰안_xls]1033"/>
      <sheetName val="[입찰안_xls][입찰안_xls][입찰안_xls]1034"/>
      <sheetName val="[입찰안_xls][입찰안_xls][입찰안_xls]1035"/>
      <sheetName val="[입찰안_xls][입찰안_xls][입찰안_xls]1036"/>
      <sheetName val="[입찰안_xls][입찰안_xls][입찰안_xls]1037"/>
      <sheetName val="[입찰안_xls][입찰안_xls][입찰안_xls]1038"/>
      <sheetName val="[입찰안_xls][입찰안_xls][입찰안_xls]1039"/>
      <sheetName val="[입찰안_xls][입찰안_xls][입찰안_xls]1040"/>
      <sheetName val="[입찰안_xls][입찰안_xls][입찰안_xls]1041"/>
      <sheetName val="[입찰안_xls][입찰안_xls][입찰안_xls]1042"/>
      <sheetName val="[입찰안_xls][입찰안_xls][입찰안_xls]1043"/>
      <sheetName val="[입찰안_xls][입찰안_xls][입찰안_xls]1044"/>
      <sheetName val="[입찰안_xls][입찰안_xls][입찰안_xls]1045"/>
      <sheetName val="[입찰안_xls][입찰안_xls][입찰안_xls]1046"/>
      <sheetName val="[입찰안_xls][입찰안_xls][입찰안_xls]1047"/>
      <sheetName val="[입찰안_xls][입찰안_xls][입찰안_xls]1048"/>
      <sheetName val="[입찰안_xls][입찰안_xls][입찰안_xls]1049"/>
      <sheetName val="[입찰안_xls][입찰안_xls][입찰안_xls]1050"/>
      <sheetName val="[입찰안_xls][입찰안_xls][입찰안_xls]1051"/>
      <sheetName val="[입찰안_xls][입찰안_xls][입찰안_xls]1052"/>
      <sheetName val="[입찰안_xls][입찰안_xls][입찰안_xls]1053"/>
      <sheetName val="[입찰안_xls][입찰안_xls][입찰안_xls]1054"/>
      <sheetName val="[입찰안_xls][입찰안_xls][입찰안_xls]1055"/>
      <sheetName val="[입찰안_xls][입찰안_xls][입찰안_xls]1056"/>
      <sheetName val="[입찰안_xls][입찰안_xls][입찰안_xls]1057"/>
      <sheetName val="[입찰안_xls][입찰안_xls][입찰안_xls]1058"/>
      <sheetName val="[입찰안_xls][입찰안_xls][입찰안_xls]1059"/>
      <sheetName val="[입찰안_xls][입찰안_xls][입찰안_xls]1060"/>
      <sheetName val="[입찰안_xls][입찰안_xls][입찰안_xls]1061"/>
      <sheetName val="[입찰안_xls][입찰안_xls][입찰안_xls]1062"/>
      <sheetName val="[입찰안_xls][입찰안_xls][입찰안_xls]1063"/>
      <sheetName val="[입찰안_xls][입찰안_xls][입찰안_xls]1064"/>
      <sheetName val="[입찰안_xls][입찰안_xls][입찰안_xls]1065"/>
      <sheetName val="[입찰안_xls][입찰안_xls][입찰안_xls]1066"/>
      <sheetName val="[입찰안_xls][입찰안_xls][입찰안_xls]1067"/>
      <sheetName val="[입찰안_xls][입찰안_xls][입찰안_xls]1068"/>
      <sheetName val="[입찰안_xls][입찰안_xls][입찰안_xls]1069"/>
      <sheetName val="[입찰안_xls][입찰안_xls][입찰안_xls]1070"/>
      <sheetName val="[입찰안_xls][입찰안_xls][입찰안_xls]1071"/>
      <sheetName val="[입찰안_xls][입찰안_xls][입찰안_xls]1072"/>
      <sheetName val="[입찰안_xls][입찰안_xls][입찰안_xls]1073"/>
      <sheetName val="[입찰안_xls][입찰안_xls][입찰안_xls]1074"/>
      <sheetName val="[입찰안_xls][입찰안_xls][입찰안_xls]1075"/>
      <sheetName val="[입찰안_xls][입찰안_xls][입찰안_xls]1076"/>
      <sheetName val="[입찰안_xls][입찰안_xls][입찰안_xls]1077"/>
      <sheetName val="[입찰안_xls][입찰안_xls][입찰안_xls]1078"/>
      <sheetName val="[입찰안_xls][입찰안_xls][입찰안_xls]1079"/>
      <sheetName val="[입찰안_xls][입찰안_xls][입찰안_xls]1080"/>
      <sheetName val="[입찰안_xls][입찰안_xls][입찰안_xls]1081"/>
      <sheetName val="[입찰안_xls][입찰안_xls][입찰안_xls]1082"/>
      <sheetName val="[입찰안_xls][입찰안_xls][입찰안_xls]1083"/>
      <sheetName val="[입찰안_xls][입찰안_xls][입찰안_xls]1084"/>
      <sheetName val="[입찰안_xls][입찰안_xls][입찰안_xls]1085"/>
      <sheetName val="[입찰안_xls][입찰안_xls][입찰안_xls]1086"/>
      <sheetName val="[입찰안_xls][입찰안_xls][입찰안_xls]1087"/>
      <sheetName val="[입찰안_xls][입찰안_xls][입찰안_xls]1088"/>
      <sheetName val="[입찰안_xls][입찰안_xls][입찰안_xls]1089"/>
      <sheetName val="[입찰안_xls][입찰안_xls][입찰안_xls]1090"/>
      <sheetName val="[입찰안_xls][입찰안_xls][입찰안_xls]1091"/>
      <sheetName val="[입찰안_xls][입찰안_xls][입찰안_xls]1092"/>
      <sheetName val="_입찰안_xls_직접뀀鞖_4"/>
      <sheetName val="_입찰안_xls__입찰안_xls_직접뀀鞖_4"/>
      <sheetName val="bang_TH4"/>
      <sheetName val="Sheet2_(2)2"/>
      <sheetName val="[입찰안_xls][입찰안_xls][입찰안_xls]1093"/>
      <sheetName val="[입찰안_xls][입찰안_xls][입찰안_xls]1094"/>
      <sheetName val="[입찰안_xls][입찰안_xls][입찰안_xls]1095"/>
      <sheetName val="[입찰안_xls][입찰안_xls][입찰안_xls]1096"/>
      <sheetName val="[입찰안_xls][입찰안_xls][입찰안_xls]1097"/>
      <sheetName val="[입찰안_xls][입찰안_xls][입찰안_xls]1098"/>
      <sheetName val="[입찰안_xls][입찰안_xls][입찰안_xls]1099"/>
      <sheetName val="[입찰안_xls][입찰안_xls][입찰안_xls]1100"/>
      <sheetName val="[입찰안_xls][입찰안_xls][입찰안_xls]1101"/>
      <sheetName val="A_LINE2"/>
      <sheetName val="[입찰안_xls][입찰안_xls][입찰안_xls]1102"/>
      <sheetName val="[입찰안_xls][입찰안_xls][입찰안_xls]1103"/>
      <sheetName val="[입찰안_xls][입찰안_xls][입찰안_xls]1104"/>
      <sheetName val="[입찰안_xls][입찰안_xls][입찰안_xls]1105"/>
      <sheetName val="[입찰안_xls][입찰안_xls][입찰안_xls]1106"/>
      <sheetName val="[입찰안_xls][입찰안_xls][입찰안_xls]1107"/>
      <sheetName val="[입찰안_xls][입찰안_xls][입찰안_xls]1108"/>
      <sheetName val="[입찰안_xls][입찰안_xls][입찰안_xls]1109"/>
      <sheetName val="[입찰안_xls][입찰안_xls][입찰안_xls]1110"/>
      <sheetName val="[입찰안_xls][입찰안_xls][입찰안_xls]1111"/>
      <sheetName val="[입찰안_xls][입찰안_xls][입찰안_xls]1112"/>
      <sheetName val="[입찰안_xls][입찰안_xls][입찰안_xls]1113"/>
      <sheetName val="[입찰안_xls][입찰안_xls][입찰안_xls]1114"/>
      <sheetName val="[입찰안_xls][입찰안_xls][입찰안_xls]1115"/>
      <sheetName val="[입찰안_xls][입찰안_xls][입찰안_xls]1116"/>
      <sheetName val="[입찰안_xls][입찰안_xls][입찰안_xls]1117"/>
      <sheetName val="[입찰안_xls][입찰안_xls][입찰안_xls]1118"/>
      <sheetName val="[입찰안_xls][입찰안_xls][입찰안_xls]1119"/>
      <sheetName val="[입찰안_xls][입찰안_xls][입찰안_xls]1120"/>
      <sheetName val="[입찰안_xls][입찰안_xls][입찰안_xls]1121"/>
      <sheetName val="[입찰안_xls][입찰안_xls][입찰안_xls]1122"/>
      <sheetName val="[입찰안_xls][입찰안_xls][입찰안_xls]1123"/>
      <sheetName val="[입찰안_xls][입찰안_xls][입찰안_xls]1124"/>
      <sheetName val="[입찰안_xls][입찰안_xls][입찰안_xls]1125"/>
      <sheetName val="[입찰안_xls][입찰안_xls][입찰안_xls]1126"/>
      <sheetName val="[입찰안_xls][입찰안_xls][입찰안_xls]1127"/>
      <sheetName val="[입찰안_xls][입찰안_xls][입찰안_xls]1128"/>
      <sheetName val="[입찰안_xls][입찰안_xls][입찰안_xls]1129"/>
      <sheetName val="[입찰안_xls][입찰안_xls][입찰안_xls]1130"/>
      <sheetName val="[입찰안_xls][입찰안_xls][입찰안_xls]1131"/>
      <sheetName val="[입찰안_xls][입찰안_xls][입찰안_xls]1132"/>
      <sheetName val="[입찰안_xls][입찰안_xls][입찰안_xls]1133"/>
      <sheetName val="[입찰안_xls][입찰안_xls][입찰안_xls]1134"/>
      <sheetName val="[입찰안_xls][입찰안_xls][입찰안_xls]1135"/>
      <sheetName val="[입찰안_xls][입찰안_xls][입찰안_xls]1136"/>
      <sheetName val="[입찰안_xls][입찰안_xls][입찰안_xls]1137"/>
      <sheetName val="[입찰안_xls][입찰안_xls][입찰안_xls]1138"/>
      <sheetName val="[입찰안_xls][입찰안_xls][입찰안_xls]1139"/>
      <sheetName val="[입찰안_xls][입찰안_xls][입찰안_xls]1140"/>
      <sheetName val="[입찰안_xls][입찰안_xls][입찰안_xls]1141"/>
      <sheetName val="[입찰안_xls][입찰안_xls][입찰안_xls]1142"/>
      <sheetName val="[입찰안_xls][입찰안_xls][입찰안_xls]1143"/>
      <sheetName val="[입찰안_xls][입찰안_xls][입찰안_xls]1144"/>
      <sheetName val="[입찰안_xls][입찰안_xls][입찰안_xls]1145"/>
      <sheetName val="[입찰안_xls][입찰안_xls][입찰안_xls]1146"/>
      <sheetName val="Phan_tho4"/>
      <sheetName val="Tien_Thuong4"/>
      <sheetName val="NC_XL_6T_cuoi_01_CTy4"/>
      <sheetName val="Data_-6T_dau4"/>
      <sheetName val="Cong_6T4"/>
      <sheetName val="[입찰안_xls][입찰안_xls][입찰안_xls]1147"/>
      <sheetName val="[입찰안_xls][입찰안_xls][입찰안_xls]__27"/>
      <sheetName val="[입찰안_xls][입찰안_xls][입찰안_xls]__28"/>
      <sheetName val="[입찰안_xls][입찰안_xls]직접뀀鞖/5"/>
      <sheetName val="[입찰안_xls][입찰안_xls][입찰안_xls]__29"/>
      <sheetName val="[입찰안_xls][입찰안_xls][입찰안_xls]1148"/>
      <sheetName val="[입찰안_xls][입찰안_xls][입찰안_xls]1149"/>
      <sheetName val="Khoi_luong2"/>
      <sheetName val="_입찰안_xls__입찰안_xls__입찰안_xls____5"/>
      <sheetName val="_입찰안_xls__입찰안_xls__입찰안_xls____6"/>
      <sheetName val="[입찰안_xls][입찰안_xls][입찰안_xls]1150"/>
      <sheetName val="[입찰안_xls][입찰안_xls][입찰안_xls]1151"/>
      <sheetName val="[입찰안_xls][입찰안_xls][입찰안_xls]1152"/>
      <sheetName val="[입찰안_xls][입찰안_xls][입찰안_xls]1153"/>
      <sheetName val="[입찰안_xls][입찰안_xls][입찰안_xls]1154"/>
      <sheetName val="[입찰안_xls][입찰안_xls][입찰안_xls]1155"/>
      <sheetName val="[입찰안_xls][입찰안_xls][입찰안_xls]1156"/>
      <sheetName val="[입찰안_xls][입찰안_xls][입찰안_xls]1157"/>
      <sheetName val="[입찰안_xls][입찰안_xls][입찰안_xls]1158"/>
      <sheetName val="[입찰안_xls][입찰안_xls][입찰안_xls]1159"/>
      <sheetName val="[입찰안_xls][입찰안_xls][입찰안_xls]1160"/>
      <sheetName val="[입찰안_xls][입찰안_xls][입찰안_xls]1161"/>
      <sheetName val="[입찰안_xls][입찰안_xls][입찰안_xls]1162"/>
      <sheetName val="[입찰안_xls][입찰안_xls][입찰안_xls]1163"/>
      <sheetName val="[입찰안_xls][입찰안_xls][입찰안_xls]1164"/>
      <sheetName val="[입찰안_xls][입찰안_xls][입찰안_xls]1165"/>
      <sheetName val="[입찰안_xls][입찰안_xls][입찰안_xls]1166"/>
      <sheetName val="[입찰안_xls][입찰안_xls][입찰안_xls]1167"/>
      <sheetName val="[입찰안_xls][입찰안_xls][입찰안_xls]1168"/>
      <sheetName val="[입찰안_xls][입찰안_xls][입찰안_xls]1169"/>
      <sheetName val="[입찰안_xls][입찰안_xls][입찰안_xls]1170"/>
      <sheetName val="[입찰안_xls][입찰안_xls][입찰안_xls]1171"/>
      <sheetName val="[입찰안_xls][입찰안_xls][입찰안_xls]1172"/>
      <sheetName val="[입찰안_xls][입찰안_xls][입찰안_xls]1173"/>
      <sheetName val="[입찰안_xls][입찰안_xls][입찰안_xls]1174"/>
      <sheetName val="[입찰안_xls][입찰안_xls][입찰안_xls]1175"/>
      <sheetName val="[입찰안_xls][입찰안_xls][입찰안_xls]1176"/>
      <sheetName val="[입찰안_xls][입찰안_xls][입찰안_xls]1177"/>
      <sheetName val="[입찰안_xls][입찰안_xls][입찰안_xls]1178"/>
      <sheetName val="[입찰안_xls][입찰안_xls][입찰안_xls]1179"/>
      <sheetName val="[입찰안_xls][입찰안_xls][입찰안_xls]1180"/>
      <sheetName val="[입찰안_xls][입찰안_xls][입찰안_xls]1181"/>
      <sheetName val="[입찰안_xls][입찰안_xls][입찰안_xls]1182"/>
      <sheetName val="[입찰안_xls][입찰안_xls][입찰안_xls]1183"/>
      <sheetName val="[입찰안_xls][입찰안_xls][입찰안_xls]1184"/>
      <sheetName val="[입찰안_xls][입찰안_xls][입찰안_xls]1185"/>
      <sheetName val="[입찰안_xls][입찰안_xls][입찰안_xls]1186"/>
      <sheetName val="[입찰안_xls][입찰안_xls][입찰안_xls]1187"/>
      <sheetName val="[입찰안_xls][입찰안_xls][입찰안_xls]1188"/>
      <sheetName val="[입찰안_xls][입찰안_xls][입찰안_xls]1189"/>
      <sheetName val="[입찰안_xls][입찰안_xls][입찰안_xls]1190"/>
      <sheetName val="[입찰안_xls][입찰안_xls][입찰안_xls]1191"/>
      <sheetName val="[입찰안_xls][입찰안_xls][입찰안_xls]1192"/>
      <sheetName val="[입찰안_xls][입찰안_xls][입찰안_xls]1193"/>
      <sheetName val="[입찰안_xls][입찰안_xls][입찰안_xls]1194"/>
      <sheetName val="[입찰안_xls][입찰안_xls][입찰안_xls]1195"/>
      <sheetName val="[입찰안_xls][입찰안_xls][입찰안_xls]1196"/>
      <sheetName val="[입찰안_xls][입찰안_xls][입찰안_xls]1197"/>
      <sheetName val="[입찰안_xls][입찰안_xls][입찰안_xls]1198"/>
      <sheetName val="[입찰안_xls][입찰안_xls][입찰안_xls]1199"/>
      <sheetName val="[입찰안_xls][입찰안_xls][입찰안_xls]1200"/>
      <sheetName val="[입찰안_xls][입찰안_xls][입찰안_xls]1201"/>
      <sheetName val="[입찰안_xls][입찰안_xls][입찰안_xls]1202"/>
      <sheetName val="[입찰안_xls][입찰안_xls][입찰안_xls]1203"/>
      <sheetName val="[입찰안_xls][입찰안_xls][입찰안_xls]1204"/>
      <sheetName val="[입찰안_xls][입찰안_xls][입찰안_xls]1205"/>
      <sheetName val="[입찰안_xls][입찰안_xls][입찰안_xls]1206"/>
      <sheetName val="[입찰안_xls][입찰안_xls][입찰안_xls]1207"/>
      <sheetName val="[입찰안_xls][입찰안_xls][입찰안_xls]1208"/>
      <sheetName val="[입찰안_xls][입찰안_xls][입찰안_xls]1209"/>
      <sheetName val="[입찰안_xls][입찰안_xls][입찰안_xls]1210"/>
      <sheetName val="[입찰안_xls][입찰안_xls][입찰안_xls]1211"/>
      <sheetName val="[입찰안_xls][입찰안_xls][입찰안_xls]1212"/>
      <sheetName val="[입찰안_xls][입찰안_xls][입찰안_xls]1213"/>
      <sheetName val="[입찰안_xls][입찰안_xls][입찰안_xls]1214"/>
      <sheetName val="[입찰안_xls][입찰안_xls][입찰안_xls]1215"/>
      <sheetName val="[입찰안_xls][입찰안_xls][입찰안_xls]1216"/>
      <sheetName val="[입찰안_xls][입찰안_xls][입찰안_xls]1217"/>
      <sheetName val="[입찰안_xls][입찰안_xls][입찰안_xls]1218"/>
      <sheetName val="[입찰안_xls][입찰안_xls][입찰안_xls]1219"/>
      <sheetName val="[입찰안_xls][입찰안_xls][입찰안_xls]1220"/>
      <sheetName val="[입찰안_xls][입찰안_xls][입찰안_xls]1221"/>
      <sheetName val="[입찰안_xls][입찰안_xls][입찰안_xls]1222"/>
      <sheetName val="[입찰안_xls][입찰안_xls][입찰안_xls]1223"/>
      <sheetName val="[입찰안_xls][입찰안_xls][입찰안_xls]1224"/>
      <sheetName val="[입찰안_xls][입찰안_xls][입찰안_xls]1225"/>
      <sheetName val="[입찰안_xls][입찰안_xls][입찰안_xls]1226"/>
      <sheetName val="[입찰안_xls][입찰안_xls][입찰안_xls]1227"/>
      <sheetName val="[입찰안_xls][입찰안_xls][입찰안_xls]1228"/>
      <sheetName val="[입찰안_xls][입찰안_xls][입찰안_xls]1229"/>
      <sheetName val="[입찰안_xls][입찰안_xls][입찰안_xls]1230"/>
      <sheetName val="[입찰안_xls][입찰안_xls][입찰안_xls]1231"/>
      <sheetName val="[입찰안_xls][입찰안_xls][입찰안_xls]1232"/>
      <sheetName val="[입찰안_xls][입찰안_xls][입찰안_xls]1233"/>
      <sheetName val="[입찰안_xls][입찰안_xls][입찰안_xls]1234"/>
      <sheetName val="[입찰안_xls][입찰안_xls][입찰안_xls]1235"/>
      <sheetName val="[입찰안_xls][입찰안_xls][입찰안_xls]1236"/>
      <sheetName val="[입찰안_xls][입찰안_xls][입찰안_xls]1237"/>
      <sheetName val="[입찰안_xls][입찰안_xls][입찰안_xls]1238"/>
      <sheetName val="[입찰안_xls][입찰안_xls][입찰안_xls]1239"/>
      <sheetName val="[입찰안_xls][입찰안_xls][입찰안_xls]1240"/>
      <sheetName val="[입찰안_xls][입찰안_xls][입찰안_xls]1241"/>
      <sheetName val="[입찰안_xls][입찰안_xls][입찰안_xls]1242"/>
      <sheetName val="[입찰안_xls][입찰안_xls][입찰안_xls]1243"/>
      <sheetName val="[입찰안_xls][입찰안_xls][입찰안_xls]1244"/>
      <sheetName val="[입찰안_xls][입찰안_xls][입찰안_xls]1245"/>
      <sheetName val="[입찰안_xls][입찰안_xls][입찰안_xls]1246"/>
      <sheetName val="[입찰안_xls][입찰안_xls][입찰안_xls]1247"/>
      <sheetName val="[입찰안_xls][입찰안_xls][입찰안_xls]1248"/>
      <sheetName val="[입찰안_xls][입찰안_xls][입찰안_xls]1249"/>
      <sheetName val="[입찰안_xls][입찰안_xls][입찰안_xls]1250"/>
      <sheetName val="[입찰안_xls][입찰안_xls][입찰안_xls]1251"/>
      <sheetName val="[입찰안_xls][입찰안_xls][입찰안_xls]1252"/>
      <sheetName val="새로이_설치할_정비기반시설_조서_나번_(2)2"/>
      <sheetName val="[입찰안_xls][입찰안_xls][입찰안_xls]1253"/>
      <sheetName val="[입찰안_xls][입찰안_xls][입찰안_xls]__30"/>
      <sheetName val="[입찰안_xls][입찰안_xls][입찰안_xls]__31"/>
      <sheetName val="[입찰안_xls][입찰안_xls][입찰안_xls]__32"/>
      <sheetName val="[입찰안_xls][입찰안_xls][입찰안_xls]1254"/>
      <sheetName val="DTICH_(Full)2"/>
      <sheetName val="COST_SUMMARY2"/>
      <sheetName val="Xuly_Data2"/>
      <sheetName val="TL_rieng2"/>
      <sheetName val="Thuc_thanh2"/>
      <sheetName val="Cost_factor2"/>
      <sheetName val="Item_list2"/>
      <sheetName val="Sheet_Template_Empty2"/>
      <sheetName val="[입찰안_xls][입찰안_xls][입찰안_xls]1255"/>
      <sheetName val="[입찰안_xls][입찰안_xls][입찰안_xls]1256"/>
      <sheetName val="[입찰안_xls][입찰안_xls][입찰안_xls]1257"/>
      <sheetName val="[입찰안_xls][입찰안_xls][입찰안_xls]1258"/>
      <sheetName val="[입찰안_xls][입찰안_xls][입찰안_xls]1259"/>
      <sheetName val="[입찰안_xls][입찰안_xls][입찰안_xls]1260"/>
      <sheetName val="[입찰안_xls][입찰안_xls][입찰안_xls]1261"/>
      <sheetName val="[입찰안_xls][입찰안_xls][입찰안_xls]1262"/>
      <sheetName val="[입찰안_xls][입찰안_xls][입찰안_xls]1263"/>
      <sheetName val="[입찰안_xls][입찰안_xls][입찰안_xls]1264"/>
      <sheetName val="[입찰안_xls][입찰안_xls][입찰안_xls]1265"/>
      <sheetName val="[입찰안_xls][입찰안_xls][입찰안_xls]1266"/>
      <sheetName val="[입찰안_xls][입찰안_xls][입찰안_xls]1267"/>
      <sheetName val="[입찰안_xls][입찰안_xls][입찰안_xls]1268"/>
      <sheetName val="[입찰안_xls][입찰안_xls][입찰안_xls]1269"/>
      <sheetName val="[입찰안_xls][입찰안_xls][입찰안_xls]1270"/>
      <sheetName val="[입찰안_xls][입찰안_xls][입찰안_xls]1271"/>
      <sheetName val="[입찰안_xls][입찰안_xls][입찰안_xls]1272"/>
      <sheetName val="[입찰안_xls][입찰안_xls][입찰안_xls]1273"/>
      <sheetName val="[입찰안_xls][입찰안_xls][입찰안_xls]1274"/>
      <sheetName val="[입찰안_xls][입찰안_xls][입찰안_xls]1275"/>
      <sheetName val="[입찰안_xls][입찰안_xls][입찰안_xls]1276"/>
      <sheetName val="[입찰안_xls][입찰안_xls][입찰안_xls]1277"/>
      <sheetName val="[입찰안_xls][입찰안_xls][입찰안_xls]1278"/>
      <sheetName val="[입찰안_xls][입찰안_xls][입찰안_xls]1279"/>
      <sheetName val="[입찰안_xls][입찰안_xls][입찰안_xls]1280"/>
      <sheetName val="[입찰안_xls][입찰안_xls][입찰안_xls]1281"/>
      <sheetName val="[입찰안_xls][입찰안_xls][입찰안_xls]1282"/>
      <sheetName val="[입찰안_xls][입찰안_xls][입찰안_xls]1283"/>
      <sheetName val="[입찰안_xls][입찰안_xls][입찰안_xls]1284"/>
      <sheetName val="[입찰안_xls][입찰안_xls][입찰안_xls]1285"/>
      <sheetName val="[입찰안_xls][입찰안_xls][입찰안_xls]1286"/>
      <sheetName val="[입찰안_xls][입찰안_xls][입찰안_xls]1287"/>
      <sheetName val="[입찰안_xls][입찰안_xls][입찰안_xls]1288"/>
      <sheetName val="[입찰안_xls][입찰안_xls][입찰안_xls]1289"/>
      <sheetName val="[입찰안_xls][입찰안_xls][입찰안_xls]1290"/>
      <sheetName val="[입찰안_xls][입찰안_xls][입찰안_xls]1291"/>
      <sheetName val="[입찰안_xls][입찰안_xls][입찰안_xls]1292"/>
      <sheetName val="[입찰안_xls][입찰안_xls][입찰안_xls]1293"/>
      <sheetName val="[입찰안_xls][입찰안_xls][입찰안_xls]1294"/>
      <sheetName val="[입찰안_xls][입찰안_xls][입찰안_xls]1295"/>
      <sheetName val="[입찰안_xls][입찰안_xls][입찰안_xls]1296"/>
      <sheetName val="[입찰안_xls][입찰안_xls][입찰안_xls]1297"/>
      <sheetName val="[입찰안_xls][입찰안_xls][입찰안_xls]1298"/>
      <sheetName val="[입찰안_xls][입찰안_xls][입찰안_xls]1299"/>
      <sheetName val="[입찰안_xls][입찰안_xls][입찰안_xls]1300"/>
      <sheetName val="[입찰안_xls][입찰안_xls][입찰안_xls]1301"/>
      <sheetName val="[입찰안_xls][입찰안_xls][입찰안_xls]1302"/>
      <sheetName val="[입찰안_xls][입찰안_xls][입찰안_xls]1303"/>
      <sheetName val="F_D_SEC__PROP2"/>
      <sheetName val="[입찰안_xls][입찰안_xls][입찰안_xls]1304"/>
      <sheetName val="[입찰안_xls][입찰안_xls][입찰안_xls]1305"/>
      <sheetName val="[입찰안_xls][입찰안_xls][입찰안_xls]1306"/>
      <sheetName val="[입찰안_xls][입찰안_xls][입찰안_xls]1307"/>
      <sheetName val="[입찰안_xls][입찰안_xls][입찰안_xls]1308"/>
      <sheetName val="[입찰안_xls][입찰안_xls][입찰안_xls]1309"/>
      <sheetName val="[입찰안_xls][입찰안_xls][입찰안_xls]1310"/>
      <sheetName val="[입찰안_xls][입찰안_xls][입찰안_xls]1311"/>
      <sheetName val="[입찰안_xls][입찰안_xls][입찰안_xls]1312"/>
      <sheetName val="[입찰안_xls][입찰안_xls][입찰안_xls]1313"/>
      <sheetName val="[입찰안_xls][입찰안_xls][입찰안_xls]1314"/>
      <sheetName val="[입찰안_xls][입찰안_xls][입찰안_xls]1315"/>
      <sheetName val="[입찰안_xls][입찰안_xls][입찰안_xls]1316"/>
      <sheetName val="[입찰안_xls][입찰안_xls][입찰안_xls]1317"/>
      <sheetName val="[입찰안_xls][입찰안_xls][입찰안_xls]1318"/>
      <sheetName val="[입찰안_xls][입찰안_xls][입찰안_xls]1319"/>
      <sheetName val="[입찰안_xls][입찰안_xls][입찰안_xls]1320"/>
      <sheetName val="[입찰안_xls][입찰안_xls][입찰안_xls]1321"/>
      <sheetName val="[입찰안_xls][입찰안_xls][입찰안_xls]1322"/>
      <sheetName val="[입찰안_xls][입찰안_xls][입찰안_xls]1323"/>
      <sheetName val="[입찰안_xls][입찰안_xls][입찰안_xls]1324"/>
      <sheetName val="[입찰안_xls][입찰안_xls][입찰안_xls]1325"/>
      <sheetName val="[입찰안_xls][입찰안_xls][입찰안_xls]1326"/>
      <sheetName val="[입찰안_xls][입찰안_xls][입찰안_xls]1327"/>
      <sheetName val="[입찰안_xls][입찰안_xls][입찰안_xls]1328"/>
      <sheetName val="[입찰안_xls][입찰안_xls][입찰안_xls]1329"/>
      <sheetName val="[입찰안_xls][입찰안_xls][입찰안_xls]1330"/>
      <sheetName val="[입찰안_xls][입찰안_xls][입찰안_xls]1331"/>
      <sheetName val="[입찰안_xls][입찰안_xls][입찰안_xls]1332"/>
      <sheetName val="[입찰안_xls][입찰안_xls][입찰안_xls]1333"/>
      <sheetName val="[입찰안_xls][입찰안_xls][입찰안_xls]1334"/>
      <sheetName val="[입찰안_xls][입찰안_xls][입찰안_xls]1335"/>
      <sheetName val="[입찰안_xls][입찰안_xls][입찰안_xls]1336"/>
      <sheetName val="[입찰안_xls][입찰안_xls][입찰안_xls]1337"/>
      <sheetName val="[입찰안_xls][입찰안_xls][입찰안_xls]1338"/>
      <sheetName val="[입찰안_xls][입찰안_xls][입찰안_xls]1339"/>
      <sheetName val="[입찰안_xls][입찰안_xls][입찰안_xls]1340"/>
      <sheetName val="[입찰안_xls][입찰안_xls][입찰안_xls]1341"/>
      <sheetName val="Code_022"/>
      <sheetName val="Code_032"/>
      <sheetName val="Code_042"/>
      <sheetName val="Code_052"/>
      <sheetName val="Code_062"/>
      <sheetName val="Code_072"/>
      <sheetName val="Code_092"/>
      <sheetName val="[입찰안_xls][입찰안_xls][입찰안_xls]1342"/>
      <sheetName val="[입찰안_xls][입찰안_xls][입찰안_xls]1343"/>
      <sheetName val="[입찰안_xls][입찰안_xls][입찰안_xls]1344"/>
      <sheetName val="[입찰안_xls][입찰안_xls][입찰안_xls]1345"/>
      <sheetName val="[입찰안_xls][입찰안_xls][입찰안_xls]1346"/>
      <sheetName val="[입찰안_xls][입찰안_xls][입찰안_xls]1347"/>
      <sheetName val="[입찰안_xls][입찰안_xls][입찰안_xls]1348"/>
      <sheetName val="[입찰안_xls][입찰안_xls][입찰안_xls]1349"/>
      <sheetName val="[입찰안_xls][입찰안_xls][입찰안_xls]1350"/>
      <sheetName val="[입찰안_xls][입찰안_xls][입찰안_xls]1351"/>
      <sheetName val="[입찰안_xls][입찰안_xls][입찰안_xls]1352"/>
      <sheetName val="[입찰안_xls][입찰안_xls][입찰안_xls]1353"/>
      <sheetName val="[입찰안_xls][입찰안_xls][입찰안_xls]1354"/>
      <sheetName val="[입찰안_xls][입찰안_xls][입찰안_xls]1355"/>
      <sheetName val="[입찰안_xls][입찰안_xls][입찰안_xls]1356"/>
      <sheetName val="[입찰안_xls][입찰안_xls][입찰안_xls]1357"/>
      <sheetName val="[입찰안_xls][입찰안_xls][입찰안_xls]1358"/>
      <sheetName val="[입찰안_xls][입찰안_xls][입찰안_xls]1359"/>
      <sheetName val="[입찰안_xls][입찰안_xls][입찰안_xls]1360"/>
      <sheetName val="[입찰안_xls][입찰안_xls][입찰안_xls]1361"/>
      <sheetName val="[입찰안_xls][입찰안_xls][입찰안_xls]1362"/>
      <sheetName val="[입찰안_xls][입찰안_xls][입찰안_xls]1363"/>
      <sheetName val="[입찰안_xls][입찰안_xls][입찰안_xls]1364"/>
      <sheetName val="[입찰안_xls][입찰안_xls][입찰안_xls]1365"/>
      <sheetName val="[입찰안_xls][입찰안_xls][입찰안_xls]1366"/>
      <sheetName val="[입찰안_xls][입찰안_xls][입찰안_xls]1367"/>
      <sheetName val="[입찰안_xls][입찰안_xls][입찰안_xls]1368"/>
      <sheetName val="[입찰안_xls][입찰안_xls][입찰안_xls]1369"/>
      <sheetName val="[입찰안_xls][입찰안_xls][입찰안_xls]1370"/>
      <sheetName val="[입찰안_xls][입찰안_xls][입찰안_xls]1371"/>
      <sheetName val="[입찰안_xls][입찰안_xls][입찰안_xls]1372"/>
      <sheetName val="[입찰안_xls][입찰안_xls][입찰안_xls]1373"/>
      <sheetName val="[입찰안_xls][입찰안_xls][입찰안_xls]1374"/>
      <sheetName val="[입찰안_xls][입찰안_xls][입찰안_xls]1375"/>
      <sheetName val="[입찰안_xls][입찰안_xls][입찰안_xls]1376"/>
      <sheetName val="[입찰안_xls][입찰안_xls][입찰안_xls]1377"/>
      <sheetName val="co-no_22"/>
      <sheetName val="(1)2002년_매출목표_산출2"/>
      <sheetName val="[입찰안_xls][입찰안_xls][입찰안_xls]1378"/>
      <sheetName val="[입찰안_xls][입찰안_xls][입찰안_xls]1379"/>
      <sheetName val="[입찰안_xls][입찰안_xls][입찰안_xls]1380"/>
      <sheetName val="[입찰안_xls][입찰안_xls][입찰안_xls]1381"/>
      <sheetName val="[입찰안_xls][입찰안_xls][입찰안_xls]1382"/>
      <sheetName val="[입찰안_xls][입찰안_xls][입찰안_xls]1383"/>
      <sheetName val="[입찰안_xls][입찰안_xls][입찰안_xls]1384"/>
      <sheetName val="[입찰안_xls][입찰안_xls][입찰안_xls]1385"/>
      <sheetName val="[입찰안_xls][입찰안_xls][입찰안_xls]1386"/>
      <sheetName val="[입찰안_xls][입찰안_xls][입찰안_xls]1387"/>
      <sheetName val="[입찰안_xls][입찰안_xls][입찰안_xls]1388"/>
      <sheetName val="[입찰안_xls][입찰안_xls][입찰안_xls]1389"/>
      <sheetName val="[입찰안_xls][입찰안_xls][입찰안_xls]1390"/>
      <sheetName val="[입찰안_xls][입찰안_xls][입찰안_xls]1391"/>
      <sheetName val="[입찰안_xls][입찰안_xls][입찰안_xls]1392"/>
      <sheetName val="[입찰안_xls][입찰안_xls][입찰안_xls]1393"/>
      <sheetName val="[입찰안_xls][입찰안_xls][입찰안_xls]1394"/>
      <sheetName val="[입찰안_xls][입찰안_xls][입찰안_xls]1395"/>
      <sheetName val="[입찰안_xls][입찰안_xls][입찰안_xls]1396"/>
      <sheetName val="[입찰안_xls][입찰안_xls][입찰안_xls]1397"/>
      <sheetName val="[입찰안_xls][입찰안_xls][입찰안_xls]1398"/>
      <sheetName val="[입찰안_xls][입찰안_xls][입찰안_xls]1399"/>
      <sheetName val="[입찰안_xls][입찰안_xls][입찰안_xls]1400"/>
      <sheetName val="[입찰안_xls][입찰안_xls][입찰안_xls]1401"/>
      <sheetName val="[입찰안_xls][입찰안_xls][입찰안_xls]1402"/>
      <sheetName val="[입찰안_xls][입찰안_xls][입찰안_xls]1403"/>
      <sheetName val="[입찰안_xls][입찰안_xls][입찰안_xls]1404"/>
      <sheetName val="[입찰안_xls][입찰안_xls][입찰안_xls]1405"/>
      <sheetName val="[입찰안_xls][입찰안_xls][입찰안_xls]1406"/>
      <sheetName val="[입찰안_xls][입찰안_xls][입찰안_xls]1407"/>
      <sheetName val="[입찰안_xls][입찰안_xls][입찰안_xls]1408"/>
      <sheetName val="[입찰안_xls][입찰안_xls][입찰안_xls]1409"/>
      <sheetName val="[입찰안_xls][입찰안_xls][입찰안_xls]1410"/>
      <sheetName val="[입찰안_xls][입찰안_xls][입찰안_xls]1411"/>
      <sheetName val="[입찰안_xls][입찰안_xls][입찰안_xls]1412"/>
      <sheetName val="[입찰안_xls][입찰안_xls][입찰안_xls]1413"/>
      <sheetName val="[입찰안_xls][입찰안_xls][입찰안_xls]1414"/>
      <sheetName val="[입찰안_xls][입찰안_xls][입찰안_xls]_531"/>
      <sheetName val="[입찰안_xls][입찰안_xls][입찰안_xls]_530"/>
      <sheetName val="[입찰안_xls][입찰안_xls][입찰안_xls]__12"/>
      <sheetName val="[입찰안_xls][입찰안_xls][입찰안_xls]__13"/>
      <sheetName val="[입찰안_xls][입찰안_xls][입찰안_xls]__14"/>
      <sheetName val="[입찰안_xls][입찰안_xls][입찰안_xls]_491"/>
      <sheetName val="[입찰안_xls][입찰안_xls][입찰안_xls]_492"/>
      <sheetName val="[입찰안_xls][입찰안_xls][입찰안_xls]_493"/>
      <sheetName val="[입찰안_xls][입찰안_xls][입찰안_xls]_494"/>
      <sheetName val="[입찰안_xls][입찰안_xls][입찰안_xls]_495"/>
      <sheetName val="[입찰안_xls][입찰안_xls][입찰안_xls]_496"/>
      <sheetName val="[입찰안_xls][입찰안_xls][입찰안_xls]_497"/>
      <sheetName val="[입찰안_xls][입찰안_xls][입찰안_xls]_498"/>
      <sheetName val="[입찰안_xls][입찰안_xls][입찰안_xls]_499"/>
      <sheetName val="[입찰안_xls][입찰안_xls][입찰안_xls]_500"/>
      <sheetName val="[입찰안_xls][입찰안_xls][입찰안_xls]_501"/>
      <sheetName val="[입찰안_xls][입찰안_xls][입찰안_xls]_502"/>
      <sheetName val="[입찰안_xls][입찰안_xls][입찰안_xls]_503"/>
      <sheetName val="[입찰안_xls][입찰안_xls][입찰안_xls]_504"/>
      <sheetName val="[입찰안_xls][입찰안_xls][입찰안_xls]_505"/>
      <sheetName val="[입찰안_xls][입찰안_xls][입찰안_xls]_506"/>
      <sheetName val="[입찰안_xls][입찰안_xls][입찰안_xls]_507"/>
      <sheetName val="[입찰안_xls][입찰안_xls][입찰안_xls]_508"/>
      <sheetName val="[입찰안_xls][입찰안_xls][입찰안_xls]_521"/>
      <sheetName val="[입찰안_xls][입찰안_xls][입찰안_xls]_519"/>
      <sheetName val="[입찰안_xls][입찰안_xls][입찰안_xls]_520"/>
      <sheetName val="[입찰안_xls][입찰안_xls][입찰안_xls]_509"/>
      <sheetName val="[입찰안_xls][입찰안_xls][입찰안_xls]_510"/>
      <sheetName val="[입찰안_xls][입찰안_xls][입찰안_xls]_511"/>
      <sheetName val="[입찰안_xls][입찰안_xls][입찰안_xls]_512"/>
      <sheetName val="[입찰안_xls][입찰안_xls][입찰안_xls]_513"/>
      <sheetName val="[입찰안_xls][입찰안_xls][입찰안_xls]_514"/>
      <sheetName val="[입찰안_xls][입찰안_xls][입찰안_xls]_515"/>
      <sheetName val="[입찰안_xls][입찰안_xls][입찰안_xls]_516"/>
      <sheetName val="[입찰안_xls][입찰안_xls][입찰안_xls]_517"/>
      <sheetName val="[입찰안_xls][입찰안_xls][입찰안_xls]_518"/>
      <sheetName val="[입찰안_xls][입찰안_xls][입찰안_xls]_522"/>
      <sheetName val="[입찰안_xls][입찰안_xls][입찰안_xls]_523"/>
      <sheetName val="[입찰안_xls][입찰안_xls][입찰안_xls]_524"/>
      <sheetName val="[입찰안_xls][입찰안_xls][입찰안_xls]_525"/>
      <sheetName val="[입찰안_xls][입찰안_xls][입찰안_xls]_526"/>
      <sheetName val="[입찰안_xls][입찰안_xls][입찰안_xls]_527"/>
      <sheetName val="[입찰안_xls][입찰안_xls][입찰안_xls]_528"/>
      <sheetName val="[입찰안_xls][입찰안_xls][입찰안_xls]_529"/>
      <sheetName val="[입찰안_xls][입찰안_xls][입찰안_xls]_532"/>
      <sheetName val="[입찰안_xls][입찰안_xls][입찰안_xls]_533"/>
      <sheetName val="[입찰안_xls][입찰안_xls][입찰안_xls]_534"/>
      <sheetName val="[입찰안_xls][입찰안_xls][입찰안_xls]_535"/>
      <sheetName val="[입찰안_xls][입찰안_xls][입찰안_xls]_536"/>
      <sheetName val="[입찰안_xls][입찰안_xls][입찰안_xls]_537"/>
      <sheetName val="[입찰안_xls][입찰안_xls][입찰안_xls]_538"/>
      <sheetName val="[입찰안_xls][입찰안_xls][입찰안_xls]_539"/>
      <sheetName val="[입찰안_xls][입찰안_xls][입찰안_xls]_540"/>
      <sheetName val="[입찰안_xls][입찰안_xls]B:\입찰안_xls1"/>
      <sheetName val="5호광장_(만점)10"/>
      <sheetName val="인천국제_(만점)_(2)10"/>
      <sheetName val="Total_단위경유량집계10"/>
      <sheetName val="BH-1_(2)10"/>
      <sheetName val="표__지10"/>
      <sheetName val="준검_내역서10"/>
      <sheetName val="토공유동표(전체_당초)10"/>
      <sheetName val="1_수인터널10"/>
      <sheetName val="앉음벽_(2)10"/>
      <sheetName val="_HIT__HMC_견적_3900_10"/>
      <sheetName val="I_설계조건10"/>
      <sheetName val="4_전기10"/>
      <sheetName val="7__현장관리비_10"/>
      <sheetName val="6__안전관리비10"/>
      <sheetName val="1_설계조건10"/>
      <sheetName val="소포내역_(2)10"/>
      <sheetName val="노원열병합__건축공사기성내역서10"/>
      <sheetName val="조도계산서_(도서)10"/>
      <sheetName val="3련_BOX10"/>
      <sheetName val="11_산출(전열)10"/>
      <sheetName val="6_산출(동력)10"/>
      <sheetName val="7_산출(TRAY)10"/>
      <sheetName val="5_산출(전력)9"/>
      <sheetName val="수량산출서(전력간선_지하D_C)9"/>
      <sheetName val="MSS_210"/>
      <sheetName val="우수관매설및_우수받이10"/>
      <sheetName val="11_우각부_보강10"/>
      <sheetName val="제출내역_(2)10"/>
      <sheetName val="플랜트_설치9"/>
      <sheetName val="보고서_기기리스트9"/>
      <sheetName val="2_1__노무비_평균단가산출9"/>
      <sheetName val="내역_ver1_010"/>
      <sheetName val="내___역9"/>
      <sheetName val="plan&amp;section_of_foundation10"/>
      <sheetName val="pile_bearing_capa_&amp;_arrenge10"/>
      <sheetName val="working_load_at_the_btm_ft_10"/>
      <sheetName val="stability_check10"/>
      <sheetName val="design_criteria10"/>
      <sheetName val="배수내역_(2)9"/>
      <sheetName val="배수공_시멘트_및_골재량_산출9"/>
      <sheetName val="A_견적9"/>
      <sheetName val="Customer_Databas9"/>
      <sheetName val="목차_9"/>
      <sheetName val="6PILE__(돌출)9"/>
      <sheetName val="_HIT-&gt;HMC_견적(3900)9"/>
      <sheetName val="전_기9"/>
      <sheetName val="spc_배관견적9"/>
      <sheetName val="SHEET_PILE단가9"/>
      <sheetName val="unit_49"/>
      <sheetName val="BH_1__2_9"/>
      <sheetName val="도담구내_개소별_명세9"/>
      <sheetName val="화재_탐지_설비9"/>
      <sheetName val="귀래_설계_공내역서9"/>
      <sheetName val="2차전체변경예정_(2)9"/>
      <sheetName val="3_1공사현황_공정표9"/>
      <sheetName val="개인별_순위표9"/>
      <sheetName val="세골재__T2_변경_현황9"/>
      <sheetName val="8_현장관리비9"/>
      <sheetName val="7_안전관리비9"/>
      <sheetName val="1_설계기준9"/>
      <sheetName val="1_취수장9"/>
      <sheetName val="설_계9"/>
      <sheetName val="Cash_Flow-19"/>
      <sheetName val="노임_단가9"/>
      <sheetName val="投标材料清单_9"/>
      <sheetName val="별표_9"/>
      <sheetName val="3_공통공사대비9"/>
      <sheetName val="단가_및_재료비9"/>
      <sheetName val="내역서_9"/>
      <sheetName val="집_계_표9"/>
      <sheetName val="RETAIL_(ABOVE)9"/>
      <sheetName val="5__현장관리비(new)_9"/>
      <sheetName val="노임단가_(2)9"/>
      <sheetName val="7_공정표9"/>
      <sheetName val="단면_(2)9"/>
      <sheetName val="장비비_명세서19"/>
      <sheetName val="단___산8"/>
      <sheetName val="실____단8"/>
      <sheetName val="6__수량산출서8"/>
      <sheetName val="노무비_근거8"/>
      <sheetName val="참조_(2)8"/>
      <sheetName val="2_대외공문9"/>
      <sheetName val="Eq__Mobilization9"/>
      <sheetName val="_갑지8"/>
      <sheetName val="제수변_수량집계표(보통)8"/>
      <sheetName val="장비_(2)8"/>
      <sheetName val="3BL공동구_수량8"/>
      <sheetName val="전선_및_전선관8"/>
      <sheetName val="CM_18"/>
      <sheetName val="5_동별횡주관경8"/>
      <sheetName val="암거_제원표8"/>
      <sheetName val="내역서1999_8최종8"/>
      <sheetName val="Sheet1_(2)8"/>
      <sheetName val="수량산출서_(2)7"/>
      <sheetName val="토공_total7"/>
      <sheetName val="기성(1차)_7"/>
      <sheetName val="전사_(2)7"/>
      <sheetName val="BA_(2)7"/>
      <sheetName val="CP_(2)7"/>
      <sheetName val="일위대가56-1_7"/>
      <sheetName val="일위대가71-1_7"/>
      <sheetName val="일위대가74-1_7"/>
      <sheetName val="일위대가76-1_7"/>
      <sheetName val="일위대가77-1_7"/>
      <sheetName val="일위대가78-1_7"/>
      <sheetName val="_소방공사_산출근거7"/>
      <sheetName val="습식및_셀프레벨링8"/>
      <sheetName val="1차_내역서8"/>
      <sheetName val="BSD_(2)7"/>
      <sheetName val="바_한일양산7"/>
      <sheetName val="Project_Brief7"/>
      <sheetName val="영업_일17"/>
      <sheetName val="기기_내역서7"/>
      <sheetName val="일위대가_8"/>
      <sheetName val="4_LINE8"/>
      <sheetName val="7_th8"/>
      <sheetName val="1_CB7"/>
      <sheetName val="유효폭의_계산6"/>
      <sheetName val="아파트_6"/>
      <sheetName val="변경명신물량_(2)7"/>
      <sheetName val="토공_토적표7"/>
      <sheetName val="갑지_을지6"/>
      <sheetName val="2-2_매출분석6"/>
      <sheetName val="미납품_현황6"/>
      <sheetName val="STEEL_BOX_단면설계(SEC_8)6"/>
      <sheetName val="도담구내_개소별_명柖8"/>
      <sheetName val="danh_muc_vat_tu8"/>
      <sheetName val="Register-BG_NCC8"/>
      <sheetName val="Data_28"/>
      <sheetName val="TB_chính8"/>
      <sheetName val="Steel_pipe8"/>
      <sheetName val="Ref_pipe+Ins8"/>
      <sheetName val="Plastic_pipe8"/>
      <sheetName val="Air_Grilles8"/>
      <sheetName val="Cost_bd-&quot;A&quot;8"/>
      <sheetName val="갑지_설계_내역서6"/>
      <sheetName val="기존단가_(2)7"/>
      <sheetName val="설명서_6"/>
      <sheetName val="_FURNACE현설5"/>
      <sheetName val="97_사업추정(WEKI)5"/>
      <sheetName val="8_설치품셈5"/>
      <sheetName val="ITB_COST6"/>
      <sheetName val="자격_땡겨오기6"/>
      <sheetName val="05년_상6"/>
      <sheetName val="영흥TL(UP,DOWN)_6"/>
      <sheetName val="단양_00_아파트-세부내역6"/>
      <sheetName val="2_단면가정_(양곡1교)6"/>
      <sheetName val="8_PILE__(돌출)6"/>
      <sheetName val="1_내역(청_하역장전등)6"/>
      <sheetName val="2000_055"/>
      <sheetName val="표지_(2)6"/>
      <sheetName val="Xunit_(단위환산)6"/>
      <sheetName val="4__VOs_summary7"/>
      <sheetName val="수량산출서_갑지6"/>
      <sheetName val="장비코드표_0506016"/>
      <sheetName val="2007년_생산1부장비6"/>
      <sheetName val="2008년_생산부전장비코드6"/>
      <sheetName val="DDB부_장비_관리현황6"/>
      <sheetName val="Chiet_tinh_dz357"/>
      <sheetName val="Bảng_mã_VT7"/>
      <sheetName val="DATA_LISTS5"/>
      <sheetName val="4_2_1_마루높이_검토6"/>
      <sheetName val="_견적서6"/>
      <sheetName val="품셈_5"/>
      <sheetName val="M-EMS_GP-570(BIT)5"/>
      <sheetName val="내역서_제출6"/>
      <sheetName val="19_07월_세_계5"/>
      <sheetName val="19_07항목별(시트복사금지100번쓰기)5"/>
      <sheetName val="19_05월5"/>
      <sheetName val="TABLE_DB5"/>
      <sheetName val="쌍용_data_base5"/>
      <sheetName val="내역(인테리어_실내)(도급)5"/>
      <sheetName val="내역(인테리어_실외)(도급)5"/>
      <sheetName val="Elec_LG5"/>
      <sheetName val="ESTI_5"/>
      <sheetName val="D_&amp;_W_sizes5"/>
      <sheetName val="Gia_vat_tu5"/>
      <sheetName val="dtct_cong5"/>
      <sheetName val="DGCT_(01)5"/>
      <sheetName val="SCOPE_OF_WORK5"/>
      <sheetName val="Chi_tiet5"/>
      <sheetName val="nhôm_1,2mm5"/>
      <sheetName val="nhôm_1,4mm5"/>
      <sheetName val="01__DATA5"/>
      <sheetName val="중기조종사_단위단가5"/>
      <sheetName val="자재기성_신청서_xlsx5"/>
      <sheetName val="0_목록15"/>
      <sheetName val="So_sanh4"/>
      <sheetName val="[입찰안_xls][입찰안_xls][입찰안_xls]B201"/>
      <sheetName val="[입찰안_xls][입찰안_xls][입찰안_xls]B202"/>
      <sheetName val="[입찰안_xls][입찰안_xls][입찰안_xls]B203"/>
      <sheetName val="[입찰안_xls][입찰안_xls][입찰안_xls]B204"/>
      <sheetName val="[입찰안_xls][입찰안_xls][입찰안_xls]B205"/>
      <sheetName val="[입찰안_xls][입찰안_xls][입찰안_xls]B206"/>
      <sheetName val="[입찰안_xls][입찰안_xls][입찰안_xls]B207"/>
      <sheetName val="[입찰안_xls][입찰안_xls][입찰안_xls]B208"/>
      <sheetName val="PROJ__DATA4"/>
      <sheetName val="_Beams_Sched_4"/>
      <sheetName val="[입찰안_xls][입찰안_xls][입찰안_xls]B209"/>
      <sheetName val="[입찰안_xls][입찰안_xls][입찰안_xls]B210"/>
      <sheetName val="[입찰안_xls][입찰안_xls][입찰안_xls]B211"/>
      <sheetName val="[입찰안_xls][입찰안_xls][입찰안_xls]B212"/>
      <sheetName val="[입찰안_xls][입찰안_xls][입찰안_xls]B213"/>
      <sheetName val="[입찰안_xls][입찰안_xls][입찰안_xls]B214"/>
      <sheetName val="[입찰안_xls][입찰안_xls][입찰안_xls]B215"/>
      <sheetName val="[입찰안_xls][입찰안_xls][입찰안_xls]B216"/>
      <sheetName val="[입찰안_xls][입찰안_xls][입찰안_xls]B217"/>
      <sheetName val="[입찰안_xls][입찰안_xls][입찰안_xls]B218"/>
      <sheetName val="[입찰안_xls][입찰안_xls][입찰안_xls]B219"/>
      <sheetName val="[입찰안_xls][입찰안_xls][입찰안_xls]B220"/>
      <sheetName val="[입찰안_xls][입찰안_xls][입찰안_xls]B221"/>
      <sheetName val="[입찰안_xls][입찰안_xls][입찰안_xls]B222"/>
      <sheetName val="[입찰안_xls][입찰안_xls][입찰안_xls]B223"/>
      <sheetName val="[입찰안_xls][입찰안_xls][입찰안_xls]B224"/>
      <sheetName val="[입찰안_xls][입찰안_xls][입찰안_xls]B225"/>
      <sheetName val="[입찰안_xls][입찰안_xls][입찰안_xls]B226"/>
      <sheetName val="[입찰안_xls][입찰안_xls][입찰안_xls]__15"/>
      <sheetName val="[입찰안_xls][입찰안_xls][입찰안_xls]__16"/>
      <sheetName val="[입찰안_xls][입찰안_xls][입찰안_xls]B227"/>
      <sheetName val="[입찰안_xls][입찰안_xls][입찰안_xls]B228"/>
      <sheetName val="[입찰안_xls][입찰안_xls][입찰안_xls]B229"/>
      <sheetName val="[입찰안_xls][입찰안_xls][입찰안_xls]B230"/>
      <sheetName val="Cọc_nhồi4"/>
      <sheetName val="Phan_tich_ca_may4"/>
      <sheetName val="Chenh_lech_ca_may4"/>
      <sheetName val="TLg_CN&amp;Laixe4"/>
      <sheetName val="TLg_CN&amp;Laixe_(2)4"/>
      <sheetName val="TLg_Laitau4"/>
      <sheetName val="TLg_Laitau_(2)4"/>
      <sheetName val="Dầm_14"/>
      <sheetName val="Gia_VLNCMTC4"/>
      <sheetName val="Sàn_T14"/>
      <sheetName val="Lỗ_thông_gió4"/>
      <sheetName val="Sàn_tầng_01_(_old_)4"/>
      <sheetName val="Chiet_tinh_don_gia_CM4"/>
      <sheetName val="Measure_13064"/>
      <sheetName val="EE_(3)4"/>
      <sheetName val="RAB_AR&amp;STR3"/>
      <sheetName val="Isolasi_Luar_Dalam3"/>
      <sheetName val="Isolasi_Luar3"/>
      <sheetName val="Div26_-_Elect3"/>
      <sheetName val="U_P_Breakdown3"/>
      <sheetName val="1_R18_BF3"/>
      <sheetName val="6_External_works-R183"/>
      <sheetName val="[입찰안_xls][입찰안_xls][입찰안_xls]B231"/>
      <sheetName val="[입찰안_xls][입찰안_xls][입찰안_xls]B232"/>
      <sheetName val="[입찰안_xls][입찰안_xls][입찰안_xls]B233"/>
      <sheetName val="[입찰안_xls][입찰안_xls][입찰안_xls]B234"/>
      <sheetName val="[입찰안_xls][입찰안_xls][입찰안_xls]B235"/>
      <sheetName val="[입찰안_xls][입찰안_xls][입찰안_xls]B236"/>
      <sheetName val="[입찰안_xls][입찰안_xls][입찰안_xls]B237"/>
      <sheetName val="[입찰안_xls][입찰안_xls][입찰안_xls]B238"/>
      <sheetName val="[입찰안_xls][입찰안_xls][입찰안_xls]B239"/>
      <sheetName val="[입찰안_xls][입찰안_xls][입찰안_xls]B240"/>
      <sheetName val="[입찰안_xls][입찰안_xls][입찰안_xls]B241"/>
      <sheetName val="[입찰안_xls][입찰안_xls][입찰안_xls]B242"/>
      <sheetName val="[입찰안_xls][입찰안_xls][입찰안_xls]B243"/>
      <sheetName val="[입찰안_xls][입찰안_xls][입찰안_xls]B244"/>
      <sheetName val="견적비교표_(2)2"/>
      <sheetName val="결재방(지우지_마세요)2"/>
      <sheetName val="EXCHANGE_RATE2"/>
      <sheetName val="[입찰안_xls][입찰안_xls][입찰안_xls]B245"/>
      <sheetName val="[입찰안_xls][입찰안_xls][입찰안_xls]B246"/>
      <sheetName val="TOWER_12TON2"/>
      <sheetName val="공사투입계획(변경결의)19_92"/>
      <sheetName val="노무비_월별지급현황19_92"/>
      <sheetName val="갑지(외주기성)19_92"/>
      <sheetName val="[입찰안_xls][입찰안_xls][입찰안_xls]B247"/>
      <sheetName val="노임단가_및_기계경비2"/>
      <sheetName val="실행내역서_2"/>
      <sheetName val="[입찰안_xls][입찰안_xls][입찰안_xls]B248"/>
      <sheetName val="[입찰안_xls][입찰안_xls][입찰안_xls]B249"/>
      <sheetName val="[입찰안_xls][입찰안_xls][입찰안_xls]B250"/>
      <sheetName val="[입찰안_xls][입찰안_xls][입찰안_xls]B251"/>
      <sheetName val="[입찰안_xls][입찰안_xls][입찰안_xls]B252"/>
      <sheetName val="[입찰안_xls][입찰안_xls][입찰안_xls]B253"/>
      <sheetName val="중강당_내역2"/>
      <sheetName val="[입찰안_xls][입찰안_xls][입찰안_xls]B254"/>
      <sheetName val="[입찰안_xls][입찰안_xls][입찰안_xls]B255"/>
      <sheetName val="[입찰안_xls][입찰안_xls][입찰안_xls]B256"/>
      <sheetName val="[입찰안_xls][입찰안_xls][입찰안_xls]B257"/>
      <sheetName val="[입찰안_xls][입찰안_xls][입찰안_xls]B258"/>
      <sheetName val="[입찰안_xls][입찰안_xls][입찰안_xls]B259"/>
      <sheetName val="[입찰안_xls][입찰안_xls][입찰안_xls]B260"/>
      <sheetName val="[입찰안_xls][입찰안_xls][입찰안_xls]B261"/>
      <sheetName val="[입찰안_xls][입찰안_xls][입찰안_xls]B262"/>
      <sheetName val="[입찰안_xls][입찰안_xls][입찰안_xls]B263"/>
      <sheetName val="[입찰안_xls][입찰안_xls][입찰안_xls]B264"/>
      <sheetName val="[입찰안_xls][입찰안_xls][입찰안_xls]B265"/>
      <sheetName val="[입찰안_xls][입찰안_xls][입찰안_xls]B266"/>
      <sheetName val="[입찰안_xls][입찰안_xls][입찰안_xls]B267"/>
      <sheetName val="6-1_보오링(1)2"/>
      <sheetName val="할증_3"/>
      <sheetName val="간접비_총괄표3"/>
      <sheetName val="노_표-조1"/>
      <sheetName val="[입찰안_xls][입찰안_xls][입찰안_xls]B268"/>
      <sheetName val="[입찰안_xls][입찰안_xls][입찰안_xls]B269"/>
      <sheetName val="Requirement(Work_Crew)1"/>
      <sheetName val="[입찰안_xls][입찰안_xls][입찰안_xls]B270"/>
      <sheetName val="[입찰안_xls][입찰안_xls][입찰안_xls]B271"/>
      <sheetName val="[입찰안_xls][입찰안_xls][입찰안_xls]B272"/>
      <sheetName val="[입찰안_xls][입찰안_xls][입찰안_xls]B273"/>
      <sheetName val="[입찰안_xls][입찰안_xls][입찰안_xls]B274"/>
      <sheetName val="[입찰안_xls][입찰안_xls][입찰안_xls]B275"/>
      <sheetName val="[입찰안_xls][입찰안_xls][입찰안_xls]B276"/>
      <sheetName val="[입찰안_xls][입찰안_xls][입찰안_xls]B277"/>
      <sheetName val="[입찰안_xls][입찰안_xls][입찰안_xls]B278"/>
      <sheetName val="[입찰안_xls][입찰안_xls][입찰안_xls]B279"/>
      <sheetName val="[입찰안_xls][입찰안_xls][입찰안_xls]B280"/>
      <sheetName val="[입찰안_xls][입찰안_xls][입찰안_xls]B281"/>
      <sheetName val="[입찰안_xls][입찰안_xls][입찰안_xls]B282"/>
      <sheetName val="[입찰안_xls][입찰안_xls][입찰안_xls]B283"/>
      <sheetName val="[입찰안_xls][입찰안_xls][입찰안_xls]B284"/>
      <sheetName val="[입찰안_xls][입찰안_xls][입찰안_xls]B285"/>
      <sheetName val="[입찰안_xls][입찰안_xls][입찰안_xls]B286"/>
      <sheetName val="[입찰안_xls][입찰안_xls][입찰안_xls]B287"/>
      <sheetName val="[입찰안_xls][입찰안_xls][입찰안_xls]B288"/>
      <sheetName val="[입찰안_xls][입찰안_xls][입찰안_xls]B289"/>
      <sheetName val="[입찰안_xls][입찰안_xls][입찰안_xls]B290"/>
      <sheetName val="[입찰안_xls][입찰안_xls][입찰안_xls]B291"/>
      <sheetName val="[입찰안_xls][입찰안_xls][입찰안_xls]B292"/>
      <sheetName val="[입찰안_xls][입찰안_xls][입찰안_xls]B293"/>
      <sheetName val="[입찰안_xls][입찰안_xls][입찰안_xls]B294"/>
      <sheetName val="[입찰안_xls][입찰안_xls][입찰안_xls]B295"/>
      <sheetName val="[입찰안_xls][입찰안_xls][입찰안_xls]B296"/>
      <sheetName val="[입찰안_xls][입찰안_xls][입찰안_xls]B297"/>
      <sheetName val="[입찰안_xls][입찰안_xls][입찰안_xls]_541"/>
      <sheetName val="[입찰안_xls][입찰안_xls][입찰안_xls]_542"/>
      <sheetName val="[입찰안_xls][입찰안_xls][입찰안_xls]B298"/>
      <sheetName val="[입찰안_xls][입찰안_xls][입찰안_xls]_543"/>
      <sheetName val="[입찰안_xls][입찰안_xls][입찰안_xls]_544"/>
      <sheetName val="[입찰안_xls][입찰안_xls][입찰안_xls]_545"/>
      <sheetName val="[입찰안_xls][입찰안_xls][입찰안_xls]_546"/>
      <sheetName val="[입찰안_xls][입찰안_xls][입찰안_xls]_547"/>
      <sheetName val="[입찰안_xls][입찰안_xls][입찰안_xls]_548"/>
      <sheetName val="[입찰안_xls][입찰안_xls][입찰안_xls]_549"/>
      <sheetName val="[입찰안_xls][입찰안_xls][입찰안_xls]_550"/>
      <sheetName val="[입찰안_xls][입찰안_xls][입찰안_xls]_551"/>
      <sheetName val="[입찰안_xls][입찰안_xls][입찰안_xls]_552"/>
      <sheetName val="[입찰안_xls][입찰안_xls][입찰안_xls]_553"/>
      <sheetName val="[입찰안_xls][입찰안_xls][입찰안_xls]_554"/>
      <sheetName val="[입찰안_xls][입찰안_xls][입찰안_xls]_555"/>
      <sheetName val="[입찰안_xls][입찰안_xls][입찰안_xls]_556"/>
      <sheetName val="[입찰안_xls][입찰안_xls][입찰안_xls]_557"/>
      <sheetName val="[입찰안_xls][입찰안_xls][입찰안_xls]_558"/>
      <sheetName val="[입찰안_xls][입찰안_xls][입찰안_xls]_559"/>
      <sheetName val="[입찰안_xls][입찰안_xls][입찰안_xls]_560"/>
      <sheetName val="[입찰안_xls][입찰안_xls][입찰안_xls]__17"/>
      <sheetName val="[입찰안_xls][입찰안_xls][입찰안_xls]_561"/>
      <sheetName val="[입찰안_xls][입찰안_xls][입찰안_xls]_562"/>
      <sheetName val="[입찰안_xls][입찰안_xls][입찰안_xls]_563"/>
      <sheetName val="[입찰안_xls][입찰안_xls][입찰안_xls]_564"/>
      <sheetName val="[입찰안_xls][입찰안_xls][입찰안_xls]_565"/>
      <sheetName val="[입찰안_xls][입찰안_xls][입찰안_xls]_566"/>
      <sheetName val="[입찰안_xls][입찰안_xls][입찰안_xls]_567"/>
      <sheetName val="[입찰안_xls][입찰안_xls][입찰안_xls]_568"/>
      <sheetName val="사__업__비__수__지__예__산__서1"/>
      <sheetName val="[입찰안_xls][입찰안_xls][입찰안_xls]_569"/>
      <sheetName val="General_Data1"/>
      <sheetName val="Bill_01_-_CTN3"/>
      <sheetName val="020_235_23633"/>
      <sheetName val="CHITIET_VL-NC-TT1p3"/>
      <sheetName val="Project_Infor3"/>
      <sheetName val="Data_input3"/>
      <sheetName val="[입찰안_xls][입찰안_xls][입찰안_xls]_570"/>
      <sheetName val="[입찰안_xls][입찰안_xls][입찰안_xls]_571"/>
      <sheetName val="[입찰안_xls][입찰안_xls][입찰안_xls]_572"/>
      <sheetName val="[입찰안_xls][입찰안_xls][입찰안_xls]_573"/>
      <sheetName val="[입찰안_xls][입찰안_xls][입찰안_xls]_574"/>
      <sheetName val="[입찰안_xls][입찰안_xls][입찰안_xls]_575"/>
      <sheetName val="[입찰안_xls][입찰안_xls][입찰안_xls]_576"/>
      <sheetName val="[입찰안_xls][입찰안_xls][입찰안_xls]_577"/>
      <sheetName val="[입찰안_xls][입찰안_xls][입찰안_xls]_578"/>
      <sheetName val="[입찰안_xls][입찰안_xls][입찰안_xls]_579"/>
      <sheetName val="[입찰안_xls][입찰안_xls][입찰안_xls]_580"/>
      <sheetName val="[입찰안_xls][입찰안_xls][입찰안_xls]_581"/>
      <sheetName val="[입찰안_xls][입찰안_xls][입찰안_xls]_582"/>
      <sheetName val="[입찰안_xls][입찰안_xls][입찰안_xls]_583"/>
      <sheetName val="[입찰안_xls][입찰안_xls][입찰안_xls]_584"/>
      <sheetName val="[입찰안_xls][입찰안_xls][입찰안_xls]_585"/>
      <sheetName val="[입찰안_xls][입찰안_xls][입찰안_xls]_586"/>
      <sheetName val="[입찰안_xls][입찰안_xls][입찰안_xls]_587"/>
      <sheetName val="[입찰안_xls][입찰안_xls][입찰안_xls]_588"/>
      <sheetName val="[입찰안_xls][입찰안_xls][입찰안_xls]_589"/>
      <sheetName val="[입찰안_xls][입찰안_xls][입찰안_xls]_590"/>
      <sheetName val="[입찰안_xls][입찰안_xls][입찰안_xls]_591"/>
      <sheetName val="[입찰안_xls][입찰안_xls][입찰안_xls]_592"/>
      <sheetName val="[입찰안_xls][입찰안_xls][입찰안_xls]_593"/>
      <sheetName val="[입찰안_xls][입찰안_xls][입찰안_xls]_594"/>
      <sheetName val="[입찰안_xls][입찰안_xls][입찰안_xls]_595"/>
      <sheetName val="[입찰안_xls][입찰안_xls][입찰안_xls]_596"/>
      <sheetName val="[입찰안_xls][입찰안_xls][입찰안_xls]_597"/>
      <sheetName val="[입찰안_xls][입찰안_xls][입찰안_xls]_598"/>
      <sheetName val="[입찰안_xls][입찰안_xls][입찰안_xls]_599"/>
      <sheetName val="[입찰안_xls][입찰안_xls][입찰안_xls]_600"/>
      <sheetName val="[입찰안_xls][입찰안_xls][입찰안_xls]_601"/>
      <sheetName val="[입찰안_xls][입찰안_xls][입찰안_xls]_602"/>
      <sheetName val="[입찰안_xls][입찰안_xls][입찰안_xls]_603"/>
      <sheetName val="[입찰안_xls][입찰안_xls][입찰안_xls]_604"/>
      <sheetName val="[입찰안_xls][입찰안_xls][입찰안_xls]_605"/>
      <sheetName val="[입찰안_xls][입찰안_xls][입찰안_xls]_606"/>
      <sheetName val="[입찰안_xls][입찰안_xls][입찰안_xls]_607"/>
      <sheetName val="[입찰안_xls][입찰안_xls][입찰안_xls]_608"/>
      <sheetName val="[입찰안_xls][입찰안_xls][입찰안_xls]_609"/>
      <sheetName val="[입찰안_xls][입찰안_xls][입찰안_xls]_610"/>
      <sheetName val="[입찰안_xls][입찰안_xls][입찰안_xls]_611"/>
      <sheetName val="[입찰안_xls][입찰안_xls][입찰안_xls]_612"/>
      <sheetName val="[입찰안_xls][입찰안_xls][입찰안_xls]_613"/>
      <sheetName val="[입찰안_xls][입찰안_xls][입찰안_xls]_614"/>
      <sheetName val="[입찰안_xls][입찰안_xls][입찰안_xls]_615"/>
      <sheetName val="[입찰안_xls][입찰안_xls][입찰안_xls]_616"/>
      <sheetName val="[입찰안_xls][입찰안_xls][입찰안_xls]_617"/>
      <sheetName val="[입찰안_xls][입찰안_xls][입찰안_xls]_618"/>
      <sheetName val="[입찰안_xls][입찰안_xls][입찰안_xls]_619"/>
      <sheetName val="[입찰안_xls][입찰안_xls][입찰안_xls]_620"/>
      <sheetName val="[입찰안_xls][입찰안_xls][입찰안_xls]_621"/>
      <sheetName val="[입찰안_xls][입찰안_xls][입찰안_xls]_622"/>
      <sheetName val="[입찰안_xls][입찰안_xls][입찰안_xls]_623"/>
      <sheetName val="[입찰안_xls][입찰안_xls][입찰안_xls]_624"/>
      <sheetName val="[입찰안_xls][입찰안_xls][입찰안_xls]_625"/>
      <sheetName val="[입찰안_xls][입찰안_xls][입찰안_xls]_626"/>
      <sheetName val="[입찰안_xls][입찰안_xls][입찰안_xls]_627"/>
      <sheetName val="[입찰안_xls][입찰안_xls][입찰안_xls]_628"/>
      <sheetName val="[입찰안_xls][입찰안_xls][입찰안_xls]_629"/>
      <sheetName val="[입찰안_xls][입찰안_xls][입찰안_xls]_630"/>
      <sheetName val="[입찰안_xls][입찰안_xls][입찰안_xls]_631"/>
      <sheetName val="[입찰안_xls][입찰안_xls][입찰안_xls]_632"/>
      <sheetName val="[입찰안_xls][입찰안_xls][입찰안_xls]_633"/>
      <sheetName val="[입찰안_xls][입찰안_xls][입찰안_xls]_634"/>
      <sheetName val="[입찰안_xls][입찰안_xls][입찰안_xls]_635"/>
      <sheetName val="[입찰안_xls][입찰안_xls][입찰안_xls]_636"/>
      <sheetName val="[입찰안_xls][입찰안_xls][입찰안_xls]_637"/>
      <sheetName val="[입찰안_xls][입찰안_xls][입찰안_xls]_638"/>
      <sheetName val="[입찰안_xls][입찰안_xls][입찰안_xls]_639"/>
      <sheetName val="[입찰안_xls][입찰안_xls][입찰안_xls]_640"/>
      <sheetName val="[입찰안_xls][입찰안_xls][입찰안_xls]_641"/>
      <sheetName val="[입찰안_xls][입찰안_xls][입찰안_xls]_642"/>
      <sheetName val="[입찰안_xls][입찰안_xls][입찰안_xls]_643"/>
      <sheetName val="[입찰안_xls][입찰안_xls][입찰안_xls]_644"/>
      <sheetName val="[입찰안_xls][입찰안_xls][입찰안_xls]_645"/>
      <sheetName val="[입찰안_xls][입찰안_xls][입찰안_xls]_646"/>
      <sheetName val="[입찰안_xls][입찰안_xls][입찰안_xls]_647"/>
      <sheetName val="[입찰안_xls][입찰안_xls][입찰안_xls]_648"/>
      <sheetName val="[입찰안_xls][입찰안_xls][입찰안_xls]_649"/>
      <sheetName val="[입찰안_xls][입찰안_xls][입찰안_xls]_650"/>
      <sheetName val="[입찰안_xls][입찰안_xls][입찰안_xls]_651"/>
      <sheetName val="[입찰안_xls][입찰안_xls][입찰안_xls]_652"/>
      <sheetName val="[입찰안_xls][입찰안_xls][입찰안_xls]_653"/>
      <sheetName val="[입찰안_xls][입찰안_xls][입찰안_xls]_654"/>
      <sheetName val="[입찰안_xls][입찰안_xls][입찰안_xls]_655"/>
      <sheetName val="_입찰안_xls_직접뀀鞖_3"/>
      <sheetName val="_입찰안_xls__입찰안_xls_직접뀀鞖_3"/>
      <sheetName val="bang_TH3"/>
      <sheetName val="Sheet2_(2)1"/>
      <sheetName val="[입찰안_xls][입찰안_xls][입찰안_xls]_656"/>
      <sheetName val="[입찰안_xls][입찰안_xls][입찰안_xls]_657"/>
      <sheetName val="[입찰안_xls][입찰안_xls][입찰안_xls]_658"/>
      <sheetName val="[입찰안_xls][입찰안_xls][입찰안_xls]_659"/>
      <sheetName val="[입찰안_xls][입찰안_xls][입찰안_xls]_660"/>
      <sheetName val="[입찰안_xls][입찰안_xls][입찰안_xls]_661"/>
      <sheetName val="[입찰안_xls][입찰안_xls][입찰안_xls]_662"/>
      <sheetName val="[입찰안_xls][입찰안_xls][입찰안_xls]_663"/>
      <sheetName val="[입찰안_xls][입찰안_xls][입찰안_xls]_664"/>
      <sheetName val="A_LINE1"/>
      <sheetName val="[입찰안_xls][입찰안_xls][입찰안_xls]_665"/>
      <sheetName val="[입찰안_xls][입찰안_xls][입찰안_xls]_666"/>
      <sheetName val="[입찰안_xls][입찰안_xls][입찰안_xls]_667"/>
      <sheetName val="[입찰안_xls][입찰안_xls][입찰안_xls]_668"/>
      <sheetName val="[입찰안_xls][입찰안_xls][입찰안_xls]_669"/>
      <sheetName val="[입찰안_xls][입찰안_xls][입찰안_xls]_670"/>
      <sheetName val="[입찰안_xls][입찰안_xls][입찰안_xls]_671"/>
      <sheetName val="[입찰안_xls][입찰안_xls][입찰안_xls]_672"/>
      <sheetName val="[입찰안_xls][입찰안_xls][입찰안_xls]_673"/>
      <sheetName val="[입찰안_xls][입찰안_xls][입찰안_xls]_674"/>
      <sheetName val="[입찰안_xls][입찰안_xls][입찰안_xls]_675"/>
      <sheetName val="[입찰안_xls][입찰안_xls][입찰안_xls]_676"/>
      <sheetName val="[입찰안_xls][입찰안_xls][입찰안_xls]_677"/>
      <sheetName val="[입찰안_xls][입찰안_xls][입찰안_xls]_678"/>
      <sheetName val="[입찰안_xls][입찰안_xls][입찰안_xls]_679"/>
      <sheetName val="[입찰안_xls][입찰안_xls][입찰안_xls]_680"/>
      <sheetName val="[입찰안_xls][입찰안_xls][입찰안_xls]_681"/>
      <sheetName val="[입찰안_xls][입찰안_xls][입찰안_xls]_682"/>
      <sheetName val="[입찰안_xls][입찰안_xls][입찰안_xls]_683"/>
      <sheetName val="[입찰안_xls][입찰안_xls][입찰안_xls]_684"/>
      <sheetName val="[입찰안_xls][입찰안_xls][입찰안_xls]_685"/>
      <sheetName val="[입찰안_xls][입찰안_xls][입찰안_xls]_686"/>
      <sheetName val="[입찰안_xls][입찰안_xls][입찰안_xls]_687"/>
      <sheetName val="[입찰안_xls][입찰안_xls][입찰안_xls]_688"/>
      <sheetName val="[입찰안_xls][입찰안_xls][입찰안_xls]_689"/>
      <sheetName val="[입찰안_xls][입찰안_xls][입찰안_xls]_690"/>
      <sheetName val="[입찰안_xls][입찰안_xls][입찰안_xls]_691"/>
      <sheetName val="[입찰안_xls][입찰안_xls][입찰안_xls]_692"/>
      <sheetName val="[입찰안_xls][입찰안_xls][입찰안_xls]_693"/>
      <sheetName val="[입찰안_xls][입찰안_xls][입찰안_xls]_694"/>
      <sheetName val="[입찰안_xls][입찰안_xls][입찰안_xls]_695"/>
      <sheetName val="[입찰안_xls][입찰안_xls][입찰안_xls]_696"/>
      <sheetName val="[입찰안_xls][입찰안_xls][입찰안_xls]_697"/>
      <sheetName val="[입찰안_xls][입찰안_xls][입찰안_xls]_698"/>
      <sheetName val="[입찰안_xls][입찰안_xls][입찰안_xls]_699"/>
      <sheetName val="[입찰안_xls][입찰안_xls][입찰안_xls]_700"/>
      <sheetName val="[입찰안_xls][입찰안_xls][입찰안_xls]_701"/>
      <sheetName val="[입찰안_xls][입찰안_xls][입찰안_xls]_702"/>
      <sheetName val="[입찰안_xls][입찰안_xls][입찰안_xls]_703"/>
      <sheetName val="[입찰안_xls][입찰안_xls][입찰안_xls]_704"/>
      <sheetName val="[입찰안_xls][입찰안_xls][입찰안_xls]_705"/>
      <sheetName val="[입찰안_xls][입찰안_xls][입찰안_xls]_706"/>
      <sheetName val="[입찰안_xls][입찰안_xls][입찰안_xls]_707"/>
      <sheetName val="[입찰안_xls][입찰안_xls][입찰안_xls]_708"/>
      <sheetName val="[입찰안_xls][입찰안_xls][입찰안_xls]_709"/>
      <sheetName val="Phan_tho3"/>
      <sheetName val="Tien_Thuong3"/>
      <sheetName val="NC_XL_6T_cuoi_01_CTy3"/>
      <sheetName val="Data_-6T_dau3"/>
      <sheetName val="Cong_6T3"/>
      <sheetName val="[입찰안_xls][입찰안_xls][입찰안_xls]_710"/>
      <sheetName val="[입찰안_xls][입찰안_xls][입찰안_xls]__18"/>
      <sheetName val="[입찰안_xls][입찰안_xls][입찰안_xls]__19"/>
      <sheetName val="[입찰안_xls][입찰안_xls]직접뀀鞖/4"/>
      <sheetName val="[입찰안_xls][입찰안_xls][입찰안_xls]__20"/>
      <sheetName val="[입찰안_xls][입찰안_xls][입찰안_xls]_711"/>
      <sheetName val="[입찰안_xls][입찰안_xls][입찰안_xls]_712"/>
      <sheetName val="Khoi_luong1"/>
      <sheetName val="_입찰안_xls__입찰안_xls__입찰안_xls____1"/>
      <sheetName val="_입찰안_xls__입찰안_xls__입찰안_xls____4"/>
      <sheetName val="[입찰안_xls][입찰안_xls][입찰안_xls]_713"/>
      <sheetName val="[입찰안_xls][입찰안_xls][입찰안_xls]_714"/>
      <sheetName val="[입찰안_xls][입찰안_xls][입찰안_xls]_715"/>
      <sheetName val="[입찰안_xls][입찰안_xls][입찰안_xls]_716"/>
      <sheetName val="[입찰안_xls][입찰안_xls][입찰안_xls]_717"/>
      <sheetName val="[입찰안_xls][입찰안_xls][입찰안_xls]_718"/>
      <sheetName val="[입찰안_xls][입찰안_xls][입찰안_xls]_719"/>
      <sheetName val="[입찰안_xls][입찰안_xls][입찰안_xls]_720"/>
      <sheetName val="[입찰안_xls][입찰안_xls][입찰안_xls]_721"/>
      <sheetName val="[입찰안_xls][입찰안_xls][입찰안_xls]_722"/>
      <sheetName val="[입찰안_xls][입찰안_xls][입찰안_xls]_723"/>
      <sheetName val="[입찰안_xls][입찰안_xls][입찰안_xls]_724"/>
      <sheetName val="[입찰안_xls][입찰안_xls][입찰안_xls]_725"/>
      <sheetName val="[입찰안_xls][입찰안_xls][입찰안_xls]_726"/>
      <sheetName val="[입찰안_xls][입찰안_xls][입찰안_xls]_727"/>
      <sheetName val="[입찰안_xls][입찰안_xls][입찰안_xls]_728"/>
      <sheetName val="[입찰안_xls][입찰안_xls][입찰안_xls]_729"/>
      <sheetName val="[입찰안_xls][입찰안_xls][입찰안_xls]_730"/>
      <sheetName val="[입찰안_xls][입찰안_xls][입찰안_xls]_731"/>
      <sheetName val="[입찰안_xls][입찰안_xls][입찰안_xls]_732"/>
      <sheetName val="[입찰안_xls][입찰안_xls][입찰안_xls]_733"/>
      <sheetName val="[입찰안_xls][입찰안_xls][입찰안_xls]_734"/>
      <sheetName val="[입찰안_xls][입찰안_xls][입찰안_xls]_735"/>
      <sheetName val="[입찰안_xls][입찰안_xls][입찰안_xls]_736"/>
      <sheetName val="[입찰안_xls][입찰안_xls][입찰안_xls]_737"/>
      <sheetName val="[입찰안_xls][입찰안_xls][입찰안_xls]_738"/>
      <sheetName val="[입찰안_xls][입찰안_xls][입찰안_xls]_739"/>
      <sheetName val="[입찰안_xls][입찰안_xls][입찰안_xls]_740"/>
      <sheetName val="[입찰안_xls][입찰안_xls][입찰안_xls]_741"/>
      <sheetName val="[입찰안_xls][입찰안_xls][입찰안_xls]_742"/>
      <sheetName val="[입찰안_xls][입찰안_xls][입찰안_xls]_743"/>
      <sheetName val="[입찰안_xls][입찰안_xls][입찰안_xls]_744"/>
      <sheetName val="[입찰안_xls][입찰안_xls][입찰안_xls]_745"/>
      <sheetName val="[입찰안_xls][입찰안_xls][입찰안_xls]_746"/>
      <sheetName val="[입찰안_xls][입찰안_xls][입찰안_xls]_747"/>
      <sheetName val="[입찰안_xls][입찰안_xls][입찰안_xls]_748"/>
      <sheetName val="[입찰안_xls][입찰안_xls][입찰안_xls]_749"/>
      <sheetName val="[입찰안_xls][입찰안_xls][입찰안_xls]_750"/>
      <sheetName val="[입찰안_xls][입찰안_xls][입찰안_xls]_751"/>
      <sheetName val="[입찰안_xls][입찰안_xls][입찰안_xls]_752"/>
      <sheetName val="[입찰안_xls][입찰안_xls][입찰안_xls]_753"/>
      <sheetName val="[입찰안_xls][입찰안_xls][입찰안_xls]_754"/>
      <sheetName val="[입찰안_xls][입찰안_xls][입찰안_xls]_755"/>
      <sheetName val="[입찰안_xls][입찰안_xls][입찰안_xls]_756"/>
      <sheetName val="[입찰안_xls][입찰안_xls][입찰안_xls]_757"/>
      <sheetName val="[입찰안_xls][입찰안_xls][입찰안_xls]_758"/>
      <sheetName val="[입찰안_xls][입찰안_xls][입찰안_xls]_759"/>
      <sheetName val="[입찰안_xls][입찰안_xls][입찰안_xls]_760"/>
      <sheetName val="[입찰안_xls][입찰안_xls][입찰안_xls]_761"/>
      <sheetName val="[입찰안_xls][입찰안_xls][입찰안_xls]_762"/>
      <sheetName val="[입찰안_xls][입찰안_xls][입찰안_xls]_763"/>
      <sheetName val="[입찰안_xls][입찰안_xls][입찰안_xls]_764"/>
      <sheetName val="[입찰안_xls][입찰안_xls][입찰안_xls]_765"/>
      <sheetName val="[입찰안_xls][입찰안_xls][입찰안_xls]_766"/>
      <sheetName val="[입찰안_xls][입찰안_xls][입찰안_xls]_767"/>
      <sheetName val="[입찰안_xls][입찰안_xls][입찰안_xls]_768"/>
      <sheetName val="[입찰안_xls][입찰안_xls][입찰안_xls]_769"/>
      <sheetName val="[입찰안_xls][입찰안_xls][입찰안_xls]_770"/>
      <sheetName val="[입찰안_xls][입찰안_xls][입찰안_xls]_771"/>
      <sheetName val="[입찰안_xls][입찰안_xls][입찰안_xls]_772"/>
      <sheetName val="[입찰안_xls][입찰안_xls][입찰안_xls]_773"/>
      <sheetName val="[입찰안_xls][입찰안_xls][입찰안_xls]_774"/>
      <sheetName val="[입찰안_xls][입찰안_xls][입찰안_xls]_775"/>
      <sheetName val="[입찰안_xls][입찰안_xls][입찰안_xls]_776"/>
      <sheetName val="[입찰안_xls][입찰안_xls][입찰안_xls]_777"/>
      <sheetName val="[입찰안_xls][입찰안_xls][입찰안_xls]_778"/>
      <sheetName val="[입찰안_xls][입찰안_xls][입찰안_xls]_779"/>
      <sheetName val="[입찰안_xls][입찰안_xls][입찰안_xls]_780"/>
      <sheetName val="[입찰안_xls][입찰안_xls][입찰안_xls]_781"/>
      <sheetName val="[입찰안_xls][입찰안_xls][입찰안_xls]_782"/>
      <sheetName val="[입찰안_xls][입찰안_xls][입찰안_xls]_783"/>
      <sheetName val="[입찰안_xls][입찰안_xls][입찰안_xls]_784"/>
      <sheetName val="[입찰안_xls][입찰안_xls][입찰안_xls]_785"/>
      <sheetName val="[입찰안_xls][입찰안_xls][입찰안_xls]_786"/>
      <sheetName val="[입찰안_xls][입찰안_xls][입찰안_xls]_787"/>
      <sheetName val="[입찰안_xls][입찰안_xls][입찰안_xls]_788"/>
      <sheetName val="[입찰안_xls][입찰안_xls][입찰안_xls]_789"/>
      <sheetName val="[입찰안_xls][입찰안_xls][입찰안_xls]_790"/>
      <sheetName val="[입찰안_xls][입찰안_xls][입찰안_xls]_791"/>
      <sheetName val="[입찰안_xls][입찰안_xls][입찰안_xls]_792"/>
      <sheetName val="[입찰안_xls][입찰안_xls][입찰안_xls]_793"/>
      <sheetName val="[입찰안_xls][입찰안_xls][입찰안_xls]_794"/>
      <sheetName val="[입찰안_xls][입찰안_xls][입찰안_xls]_795"/>
      <sheetName val="[입찰안_xls][입찰안_xls][입찰안_xls]_796"/>
      <sheetName val="[입찰안_xls][입찰안_xls][입찰안_xls]_797"/>
      <sheetName val="[입찰안_xls][입찰안_xls][입찰안_xls]_798"/>
      <sheetName val="[입찰안_xls][입찰안_xls][입찰안_xls]_799"/>
      <sheetName val="[입찰안_xls][입찰안_xls][입찰안_xls]_800"/>
      <sheetName val="[입찰안_xls][입찰안_xls][입찰안_xls]_801"/>
      <sheetName val="[입찰안_xls][입찰안_xls][입찰안_xls]_802"/>
      <sheetName val="[입찰안_xls][입찰안_xls][입찰안_xls]_803"/>
      <sheetName val="[입찰안_xls][입찰안_xls][입찰안_xls]_804"/>
      <sheetName val="[입찰안_xls][입찰안_xls][입찰안_xls]_805"/>
      <sheetName val="[입찰안_xls][입찰안_xls][입찰안_xls]_806"/>
      <sheetName val="[입찰안_xls][입찰안_xls][입찰안_xls]_807"/>
      <sheetName val="[입찰안_xls][입찰안_xls][입찰안_xls]_808"/>
      <sheetName val="[입찰안_xls][입찰안_xls][입찰안_xls]_809"/>
      <sheetName val="[입찰안_xls][입찰안_xls][입찰안_xls]_810"/>
      <sheetName val="[입찰안_xls][입찰안_xls][입찰안_xls]_811"/>
      <sheetName val="[입찰안_xls][입찰안_xls][입찰안_xls]_812"/>
      <sheetName val="[입찰안_xls][입찰안_xls][입찰안_xls]_813"/>
      <sheetName val="[입찰안_xls][입찰안_xls][입찰안_xls]_814"/>
      <sheetName val="[입찰안_xls][입찰안_xls][입찰안_xls]_815"/>
      <sheetName val="새로이_설치할_정비기반시설_조서_나번_(2)1"/>
      <sheetName val="[입찰안_xls][입찰안_xls][입찰안_xls]_816"/>
      <sheetName val="[입찰안_xls][입찰안_xls][입찰안_xls]__21"/>
      <sheetName val="[입찰안_xls][입찰안_xls][입찰안_xls]__22"/>
      <sheetName val="[입찰안_xls][입찰안_xls][입찰안_xls]__23"/>
      <sheetName val="[입찰안_xls][입찰안_xls][입찰안_xls]_817"/>
      <sheetName val="DTICH_(Full)1"/>
      <sheetName val="COST_SUMMARY1"/>
      <sheetName val="Xuly_Data1"/>
      <sheetName val="TL_rieng1"/>
      <sheetName val="Thuc_thanh1"/>
      <sheetName val="Cost_factor1"/>
      <sheetName val="Item_list1"/>
      <sheetName val="Sheet_Template_Empty1"/>
      <sheetName val="[입찰안_xls][입찰안_xls][입찰안_xls]_818"/>
      <sheetName val="[입찰안_xls][입찰안_xls][입찰안_xls]_819"/>
      <sheetName val="[입찰안_xls][입찰안_xls][입찰안_xls]_820"/>
      <sheetName val="[입찰안_xls][입찰안_xls][입찰안_xls]_821"/>
      <sheetName val="[입찰안_xls][입찰안_xls][입찰안_xls]_822"/>
      <sheetName val="[입찰안_xls][입찰안_xls][입찰안_xls]_823"/>
      <sheetName val="[입찰안_xls][입찰안_xls][입찰안_xls]_824"/>
      <sheetName val="[입찰안_xls][입찰안_xls][입찰안_xls]_825"/>
      <sheetName val="[입찰안_xls][입찰안_xls][입찰안_xls]_826"/>
      <sheetName val="[입찰안_xls][입찰안_xls][입찰안_xls]_827"/>
      <sheetName val="[입찰안_xls][입찰안_xls][입찰안_xls]_828"/>
      <sheetName val="[입찰안_xls][입찰안_xls][입찰안_xls]_829"/>
      <sheetName val="[입찰안_xls][입찰안_xls][입찰안_xls]_830"/>
      <sheetName val="[입찰안_xls][입찰안_xls][입찰안_xls]_831"/>
      <sheetName val="[입찰안_xls][입찰안_xls][입찰안_xls]_832"/>
      <sheetName val="[입찰안_xls][입찰안_xls][입찰안_xls]_833"/>
      <sheetName val="[입찰안_xls][입찰안_xls][입찰안_xls]_834"/>
      <sheetName val="[입찰안_xls][입찰안_xls][입찰안_xls]_835"/>
      <sheetName val="[입찰안_xls][입찰안_xls][입찰안_xls]_836"/>
      <sheetName val="[입찰안_xls][입찰안_xls][입찰안_xls]_837"/>
      <sheetName val="[입찰안_xls][입찰안_xls][입찰안_xls]_838"/>
      <sheetName val="[입찰안_xls][입찰안_xls][입찰안_xls]_839"/>
      <sheetName val="[입찰안_xls][입찰안_xls][입찰안_xls]_840"/>
      <sheetName val="[입찰안_xls][입찰안_xls][입찰안_xls]_841"/>
      <sheetName val="[입찰안_xls][입찰안_xls][입찰안_xls]_842"/>
      <sheetName val="[입찰안_xls][입찰안_xls][입찰안_xls]_843"/>
      <sheetName val="[입찰안_xls][입찰안_xls][입찰안_xls]_844"/>
      <sheetName val="[입찰안_xls][입찰안_xls][입찰안_xls]_845"/>
      <sheetName val="[입찰안_xls][입찰안_xls][입찰안_xls]_846"/>
      <sheetName val="[입찰안_xls][입찰안_xls][입찰안_xls]_847"/>
      <sheetName val="[입찰안_xls][입찰안_xls][입찰안_xls]_848"/>
      <sheetName val="[입찰안_xls][입찰안_xls][입찰안_xls]_849"/>
      <sheetName val="[입찰안_xls][입찰안_xls][입찰안_xls]_850"/>
      <sheetName val="[입찰안_xls][입찰안_xls][입찰안_xls]_851"/>
      <sheetName val="[입찰안_xls][입찰안_xls][입찰안_xls]_852"/>
      <sheetName val="[입찰안_xls][입찰안_xls][입찰안_xls]_853"/>
      <sheetName val="[입찰안_xls][입찰안_xls][입찰안_xls]_854"/>
      <sheetName val="[입찰안_xls][입찰안_xls][입찰안_xls]_855"/>
      <sheetName val="[입찰안_xls][입찰안_xls][입찰안_xls]_856"/>
      <sheetName val="[입찰안_xls][입찰안_xls][입찰안_xls]_857"/>
      <sheetName val="[입찰안_xls][입찰안_xls][입찰안_xls]_858"/>
      <sheetName val="[입찰안_xls][입찰안_xls][입찰안_xls]_859"/>
      <sheetName val="[입찰안_xls][입찰안_xls][입찰안_xls]_860"/>
      <sheetName val="[입찰안_xls][입찰안_xls][입찰안_xls]_861"/>
      <sheetName val="[입찰안_xls][입찰안_xls][입찰안_xls]_862"/>
      <sheetName val="[입찰안_xls][입찰안_xls][입찰안_xls]_863"/>
      <sheetName val="[입찰안_xls][입찰안_xls][입찰안_xls]_864"/>
      <sheetName val="[입찰안_xls][입찰안_xls][입찰안_xls]_865"/>
      <sheetName val="[입찰안_xls][입찰안_xls][입찰안_xls]_866"/>
      <sheetName val="F_D_SEC__PROP1"/>
      <sheetName val="[입찰안_xls][입찰안_xls][입찰안_xls]_867"/>
      <sheetName val="[입찰안_xls][입찰안_xls][입찰안_xls]_868"/>
      <sheetName val="[입찰안_xls][입찰안_xls][입찰안_xls]_869"/>
      <sheetName val="[입찰안_xls][입찰안_xls][입찰안_xls]_870"/>
      <sheetName val="[입찰안_xls][입찰안_xls][입찰안_xls]_871"/>
      <sheetName val="[입찰안_xls][입찰안_xls][입찰안_xls]_872"/>
      <sheetName val="[입찰안_xls][입찰안_xls][입찰안_xls]_873"/>
      <sheetName val="[입찰안_xls][입찰안_xls][입찰안_xls]_874"/>
      <sheetName val="[입찰안_xls][입찰안_xls][입찰안_xls]_875"/>
      <sheetName val="[입찰안_xls][입찰안_xls][입찰안_xls]_876"/>
      <sheetName val="[입찰안_xls][입찰안_xls][입찰안_xls]_877"/>
      <sheetName val="[입찰안_xls][입찰안_xls][입찰안_xls]_878"/>
      <sheetName val="[입찰안_xls][입찰안_xls][입찰안_xls]_879"/>
      <sheetName val="[입찰안_xls][입찰안_xls][입찰안_xls]_880"/>
      <sheetName val="[입찰안_xls][입찰안_xls][입찰안_xls]_881"/>
      <sheetName val="[입찰안_xls][입찰안_xls][입찰안_xls]_882"/>
      <sheetName val="[입찰안_xls][입찰안_xls][입찰안_xls]_883"/>
      <sheetName val="[입찰안_xls][입찰안_xls][입찰안_xls]_884"/>
      <sheetName val="[입찰안_xls][입찰안_xls][입찰안_xls]_885"/>
      <sheetName val="[입찰안_xls][입찰안_xls][입찰안_xls]_886"/>
      <sheetName val="[입찰안_xls][입찰안_xls][입찰안_xls]_887"/>
      <sheetName val="[입찰안_xls][입찰안_xls][입찰안_xls]_888"/>
      <sheetName val="[입찰안_xls][입찰안_xls][입찰안_xls]_889"/>
      <sheetName val="[입찰안_xls][입찰안_xls][입찰안_xls]_890"/>
      <sheetName val="[입찰안_xls][입찰안_xls][입찰안_xls]_891"/>
      <sheetName val="[입찰안_xls][입찰안_xls][입찰안_xls]_892"/>
      <sheetName val="[입찰안_xls][입찰안_xls][입찰안_xls]_893"/>
      <sheetName val="[입찰안_xls][입찰안_xls][입찰안_xls]_894"/>
      <sheetName val="[입찰안_xls][입찰안_xls][입찰안_xls]_895"/>
      <sheetName val="[입찰안_xls][입찰안_xls][입찰안_xls]_896"/>
      <sheetName val="[입찰안_xls][입찰안_xls][입찰안_xls]_897"/>
      <sheetName val="[입찰안_xls][입찰안_xls][입찰안_xls]_898"/>
      <sheetName val="[입찰안_xls][입찰안_xls][입찰안_xls]_899"/>
      <sheetName val="[입찰안_xls][입찰안_xls][입찰안_xls]_900"/>
      <sheetName val="[입찰안_xls][입찰안_xls][입찰안_xls]_901"/>
      <sheetName val="[입찰안_xls][입찰안_xls][입찰안_xls]_902"/>
      <sheetName val="[입찰안_xls][입찰안_xls][입찰안_xls]_903"/>
      <sheetName val="[입찰안_xls][입찰안_xls][입찰안_xls]_904"/>
      <sheetName val="Code_021"/>
      <sheetName val="Code_031"/>
      <sheetName val="Code_041"/>
      <sheetName val="Code_051"/>
      <sheetName val="Code_061"/>
      <sheetName val="Code_071"/>
      <sheetName val="Code_091"/>
      <sheetName val="[입찰안_xls][입찰안_xls][입찰안_xls]_905"/>
      <sheetName val="[입찰안_xls][입찰안_xls][입찰안_xls]_906"/>
      <sheetName val="[입찰안_xls][입찰안_xls][입찰안_xls]_907"/>
      <sheetName val="[입찰안_xls][입찰안_xls][입찰안_xls]_908"/>
      <sheetName val="[입찰안_xls][입찰안_xls][입찰안_xls]_909"/>
      <sheetName val="[입찰안_xls][입찰안_xls][입찰안_xls]_910"/>
      <sheetName val="[입찰안_xls][입찰안_xls][입찰안_xls]_911"/>
      <sheetName val="[입찰안_xls][입찰안_xls][입찰안_xls]_912"/>
      <sheetName val="[입찰안_xls][입찰안_xls][입찰안_xls]_913"/>
      <sheetName val="[입찰안_xls][입찰안_xls][입찰안_xls]_914"/>
      <sheetName val="[입찰안_xls][입찰안_xls][입찰안_xls]_915"/>
      <sheetName val="[입찰안_xls][입찰안_xls][입찰안_xls]_916"/>
      <sheetName val="[입찰안_xls][입찰안_xls][입찰안_xls]_917"/>
      <sheetName val="[입찰안_xls][입찰안_xls][입찰안_xls]_918"/>
      <sheetName val="[입찰안_xls][입찰안_xls][입찰안_xls]_919"/>
      <sheetName val="[입찰안_xls][입찰안_xls][입찰안_xls]_920"/>
      <sheetName val="[입찰안_xls][입찰안_xls][입찰안_xls]_921"/>
      <sheetName val="[입찰안_xls][입찰안_xls][입찰안_xls]_922"/>
      <sheetName val="[입찰안_xls][입찰안_xls][입찰안_xls]_923"/>
      <sheetName val="[입찰안_xls][입찰안_xls][입찰안_xls]_924"/>
      <sheetName val="[입찰안_xls][입찰안_xls][입찰안_xls]_925"/>
      <sheetName val="[입찰안_xls][입찰안_xls][입찰안_xls]_926"/>
      <sheetName val="[입찰안_xls][입찰안_xls][입찰안_xls]_927"/>
      <sheetName val="[입찰안_xls][입찰안_xls][입찰안_xls]_928"/>
      <sheetName val="[입찰안_xls][입찰안_xls][입찰안_xls]_929"/>
      <sheetName val="[입찰안_xls][입찰안_xls][입찰안_xls]_930"/>
      <sheetName val="[입찰안_xls][입찰안_xls][입찰안_xls]_931"/>
      <sheetName val="[입찰안_xls][입찰안_xls][입찰안_xls]_932"/>
      <sheetName val="[입찰안_xls][입찰안_xls][입찰안_xls]_933"/>
      <sheetName val="[입찰안_xls][입찰안_xls][입찰안_xls]_934"/>
      <sheetName val="[입찰안_xls][입찰안_xls][입찰안_xls]_935"/>
      <sheetName val="[입찰안_xls][입찰안_xls][입찰안_xls]_936"/>
      <sheetName val="[입찰안_xls][입찰안_xls][입찰안_xls]_937"/>
      <sheetName val="[입찰안_xls][입찰안_xls][입찰안_xls]_938"/>
      <sheetName val="[입찰안_xls][입찰안_xls][입찰안_xls]_939"/>
      <sheetName val="[입찰안_xls][입찰안_xls][입찰안_xls]_940"/>
      <sheetName val="co-no_21"/>
      <sheetName val="(1)2002년_매출목표_산출1"/>
      <sheetName val="[입찰안_xls][입찰안_xls][입찰안_xls]_941"/>
      <sheetName val="[입찰안_xls][입찰안_xls][입찰안_xls]_942"/>
      <sheetName val="[입찰안_xls][입찰안_xls][입찰안_xls]_943"/>
      <sheetName val="[입찰안_xls][입찰안_xls][입찰안_xls]_944"/>
      <sheetName val="[입찰안_xls][입찰안_xls][입찰안_xls]_945"/>
      <sheetName val="[입찰안_xls][입찰안_xls][입찰안_xls]_946"/>
      <sheetName val="[입찰안_xls][입찰안_xls][입찰안_xls]_947"/>
      <sheetName val="[입찰안_xls][입찰안_xls][입찰안_xls]_948"/>
      <sheetName val="[입찰안_xls][입찰안_xls][입찰안_xls]_949"/>
      <sheetName val="[입찰안_xls][입찰안_xls][입찰안_xls]_950"/>
      <sheetName val="[입찰안_xls][입찰안_xls][입찰안_xls]_951"/>
      <sheetName val="[입찰안_xls][입찰안_xls][입찰안_xls]_952"/>
      <sheetName val="[입찰안_xls][입찰안_xls][입찰안_xls]_953"/>
      <sheetName val="[입찰안_xls][입찰안_xls][입찰안_xls]_954"/>
      <sheetName val="[입찰안_xls][입찰안_xls][입찰안_xls]_955"/>
      <sheetName val="[입찰안_xls][입찰안_xls][입찰안_xls]_956"/>
      <sheetName val="[입찰안_xls][입찰안_xls][입찰안_xls]_957"/>
      <sheetName val="[입찰안_xls][입찰안_xls][입찰안_xls]_958"/>
      <sheetName val="[입찰안_xls][입찰안_xls][입찰안_xls]_959"/>
      <sheetName val="[입찰안_xls][입찰안_xls][입찰안_xls]_960"/>
      <sheetName val="[입찰안_xls][입찰안_xls][입찰안_xls]_961"/>
      <sheetName val="[입찰안_xls][입찰안_xls][입찰안_xls]_962"/>
      <sheetName val="[입찰안_xls][입찰안_xls][입찰안_xls]_963"/>
      <sheetName val="[입찰안_xls][입찰안_xls][입찰안_xls]_964"/>
      <sheetName val="[입찰안_xls][입찰안_xls][입찰안_xls]_965"/>
      <sheetName val="[입찰안_xls][입찰안_xls][입찰안_xls]_966"/>
      <sheetName val="[입찰안_xls][입찰안_xls][입찰안_xls]_967"/>
      <sheetName val="[입찰안_xls][입찰안_xls][입찰안_xls]_968"/>
      <sheetName val="[입찰안_xls][입찰안_xls][입찰안_xls]_969"/>
      <sheetName val="[입찰안_xls][입찰안_xls][입찰안_xls]_970"/>
      <sheetName val="[입찰안_xls][입찰안_xls][입찰안_xls]_971"/>
      <sheetName val="[입찰안_xls][입찰안_xls][입찰안_xls]_972"/>
      <sheetName val="[입찰안_xls][입찰안_xls][입찰안_xls]_973"/>
      <sheetName val="[입찰안_xls][입찰안_xls][입찰안_xls]_974"/>
      <sheetName val="[입찰안_xls][입찰안_xls][입찰안_xls]_975"/>
      <sheetName val="[입찰안_xls][입찰안_xls][입찰안_xls]_976"/>
      <sheetName val="[입찰안_xls][입찰안_xls][입찰안_xls]_977"/>
      <sheetName val="_입찰안.xls__입찰안.xls__입찰안.xls_B_30"/>
      <sheetName val="_입찰안.xls__입찰안.xls__입찰안.xls_B_31"/>
      <sheetName val="_입찰안.xls__입찰안.xls__입찰안.xls_B_32"/>
      <sheetName val="_입찰안.xls__입찰안.xls__입찰안.xls_B_47"/>
      <sheetName val="_입찰안.xls__입찰안.xls__입찰안.xls_B_46"/>
      <sheetName val="_입찰안.xls__입찰안.xls__입찰안.xls_B_45"/>
      <sheetName val="_입찰안.xls__입찰안.xls__입찰안.xls_B_33"/>
      <sheetName val="_입찰안.xls__입찰안.xls__입찰안.xls_B_35"/>
      <sheetName val="_입찰안.xls__입찰안.xls__입찰안.xls_B_40"/>
      <sheetName val="_입찰안.xls__입찰안.xls__입찰안.xls_B_34"/>
      <sheetName val="_입찰안.xls__입찰안.xls__입찰안.xls_B_41"/>
      <sheetName val="_입찰안.xls__입찰안.xls__입찰안.xls_B_36"/>
      <sheetName val="_입찰안.xls__입찰안.xls__입찰안.xls_B_37"/>
      <sheetName val="_입찰안.xls__입찰안.xls__입찰안.xls_B_42"/>
      <sheetName val="_입찰안.xls__입찰안.xls__입찰안.xls_B_38"/>
      <sheetName val="_입찰안.xls__입찰안.xls__입찰안.xls_B_39"/>
      <sheetName val="_입찰안.xls__입찰안.xls__입찰안.xls_B_43"/>
      <sheetName val="_입찰안.xls__입찰안.xls__입찰안.xls_B_44"/>
      <sheetName val="_입찰안.xls__입찰안.xls__입찰안.xls_B_48"/>
      <sheetName val="_입찰안_xls__입찰안_xls__입찰안_xls_B__2"/>
      <sheetName val="_입찰안_xls__입찰안_xls__입찰안_xls_B__3"/>
      <sheetName val="_입찰안_xls__입찰안_xls__입찰안_xls_B__1"/>
      <sheetName val="_입찰안_xls__입찰안_xls__입찰안_xls_B__4"/>
      <sheetName val="_입찰안.xls__입찰안.xls__입찰안.xls_B_53"/>
      <sheetName val="_입찰안.xls__입찰안.xls__입찰안.xls_B_49"/>
      <sheetName val="_입찰안.xls__입찰안.xls__입찰안.xls_B_50"/>
      <sheetName val="_입찰안.xls__입찰안.xls__입찰안.xls_B_51"/>
      <sheetName val="_입찰안.xls__입찰안.xls__입찰안.xls_B_52"/>
      <sheetName val="_입찰안.xls__입찰안.xls__입찰안.xls_B_54"/>
      <sheetName val="_입찰안.xls__입찰안.xls__입찰안.xls_B_55"/>
      <sheetName val="_입찰안.xls__입찰안.xls__입찰안.xls_B_57"/>
      <sheetName val="_입찰안.xls__입찰안.xls__입찰안.xls_B_58"/>
      <sheetName val="_입찰안.xls__입찰안.xls__입찰안.xls_B_56"/>
      <sheetName val="_입찰안.xls__입찰안.xls__입찰안.xls_B_64"/>
      <sheetName val="_입찰안.xls__입찰안.xls__입찰안.xls_B_63"/>
      <sheetName val="_입찰안.xls__입찰안.xls__입찰안.xls_B_62"/>
      <sheetName val="_입찰안.xls__입찰안.xls__입찰안.xls_B_61"/>
      <sheetName val="_입찰안.xls__입찰안.xls__입찰안.xls_B_60"/>
      <sheetName val="_입찰안.xls__입찰안.xls__입찰안.xls_B_59"/>
      <sheetName val="_입찰안.xls__입찰안.xls__입찰안.xls_B_67"/>
      <sheetName val="_입찰안.xls__입찰안.xls__입찰안.xls_B_66"/>
      <sheetName val="_입찰안.xls__입찰안.xls__입찰안.xls_B_65"/>
      <sheetName val="_입찰안.xls__입찰안.xls__입찰안.xls_B_68"/>
      <sheetName val="_입찰안.xls__입찰안.xls__입찰안.xls_B_70"/>
      <sheetName val="_입찰안.xls__입찰안.xls__입찰안.xls_B_69"/>
      <sheetName val="_입찰안.xls__입찰안.xls__입찰안.xls_B_71"/>
      <sheetName val="_입찰안.xls__입찰안.xls__입찰안.xls_B_84"/>
      <sheetName val="_입찰안.xls__입찰안.xls__입찰안.xls_B_86"/>
      <sheetName val="_입찰안.xls__입찰안.xls__입찰안.xls_B_85"/>
      <sheetName val="_입찰안.xls__입찰안.xls__입찰안.xls_B_82"/>
      <sheetName val="_입찰안.xls__입찰안.xls__입찰안.xls_B_73"/>
      <sheetName val="_입찰안.xls__입찰안.xls__입찰안.xls_B_72"/>
      <sheetName val="_입찰안.xls__입찰안.xls__입찰안.xls_B_77"/>
      <sheetName val="_입찰안.xls__입찰안.xls__입찰안.xls_B_83"/>
      <sheetName val="_입찰안.xls__입찰안.xls__입찰안.xls_B_74"/>
      <sheetName val="_입찰안.xls__입찰안.xls__입찰안.xls_B_75"/>
      <sheetName val="_입찰안.xls__입찰안.xls__입찰안.xls_B_76"/>
      <sheetName val="_입찰안.xls__입찰안.xls__입찰안.xls_B_79"/>
      <sheetName val="_입찰안.xls__입찰안.xls__입찰안.xls_B_78"/>
      <sheetName val="_입찰안.xls__입찰안.xls__입찰안.xls_B_80"/>
      <sheetName val="_입찰안.xls__입찰안.xls__입찰안.xls_B_81"/>
      <sheetName val="_입찰안.xls__입찰안.xls__입찰안.xls_B_88"/>
      <sheetName val="_입찰안.xls__입찰안.xls__입찰안.xls_B_87"/>
      <sheetName val="_입찰안.xls__입찰안.xls__입찰안.xls_B_95"/>
      <sheetName val="_입찰안.xls__입찰안.xls__입찰안.xls_B_97"/>
      <sheetName val="_입찰안.xls__입찰안.xls__입찰안.xls_B_96"/>
      <sheetName val="_입찰안.xls__입찰안.xls__입찰안.xls_B_89"/>
      <sheetName val="_입찰안.xls__입찰안.xls__입찰안.xls_B_90"/>
      <sheetName val="_입찰안.xls__입찰안.xls__입찰안.xls_B_91"/>
      <sheetName val="_입찰안.xls__입찰안.xls__입찰안.xls_B_93"/>
      <sheetName val="_입찰안.xls__입찰안.xls__입찰안.xls_B_92"/>
      <sheetName val="_입찰안.xls__입찰안.xls__입찰안.xls_B_94"/>
      <sheetName val="_입찰안.xls__입찰안.xls__입찰안.xls_B_99"/>
      <sheetName val="_입찰안.xls__입찰안.xls__입찰안.xls__102"/>
      <sheetName val="_입찰안.xls__입찰안.xls__입찰안.xls__101"/>
      <sheetName val="_입찰안.xls__입찰안.xls__입찰안.xls_B_98"/>
      <sheetName val="_입찰안.xls__입찰안.xls__입찰안.xls__103"/>
      <sheetName val="_입찰안.xls__입찰안.xls__입찰안.xls__100"/>
      <sheetName val="_입찰안.xls__입찰안.xls__입찰안.xls__104"/>
      <sheetName val="_입찰안.xls__입찰안.xls__입찰안.xls__105"/>
      <sheetName val="_입찰안.xls__입찰안.xls__입찰안.xls__107"/>
      <sheetName val="_입찰안.xls__입찰안.xls__입찰안.xls__106"/>
      <sheetName val="_입찰안.xls__입찰안.xls__입찰안.xls__108"/>
      <sheetName val="_입찰안.xls__입찰안.xls__입찰안.xls__112"/>
      <sheetName val="_입찰안.xls__입찰안.xls__입찰안.xls__110"/>
      <sheetName val="_입찰안.xls__입찰안.xls__입찰안.xls__109"/>
      <sheetName val="_입찰안.xls__입찰안.xls__입찰안.xls__111"/>
      <sheetName val="품셈표"/>
      <sheetName val="제잡비계산"/>
      <sheetName val="Sens&amp;Anal"/>
      <sheetName val="1.일위"/>
      <sheetName val="명단"/>
      <sheetName val="제조 경영"/>
      <sheetName val="3련_BÇ_x0000_"/>
      <sheetName val="08하"/>
      <sheetName val="_입찰안_xls__입찰안_xls__입찰안_xls_B__6"/>
      <sheetName val="_입찰안_xls__입찰안_xls__입찰안_xls_B__5"/>
      <sheetName val="_입찰안_xls__입찰안_xls__입찰안_xls_B_11"/>
      <sheetName val="_입찰안_xls__입찰안_xls__입찰안_xls_B__7"/>
      <sheetName val="_입찰안_xls__입찰안_xls__입찰안_xls_B__8"/>
      <sheetName val="_입찰안_xls__입찰안_xls__입찰안_xls_B__9"/>
      <sheetName val="_입찰안_xls__입찰안_xls__입찰안_xls_B_10"/>
      <sheetName val="_입찰안_xls__입찰안_xls__입찰안_xls_B_13"/>
      <sheetName val="_입찰안_xls__입찰안_xls__입찰안_xls_B_12"/>
      <sheetName val="_입찰안_xls__입찰안_xls__입찰안_xls_B_14"/>
      <sheetName val="_입찰안_xls__입찰안_xls__입찰안_xls_B_15"/>
      <sheetName val="_입찰안_xls__입찰안_xls__입찰안_xls_B_16"/>
      <sheetName val="_입찰안_xls__입찰안_xls__입찰안_xls_B_17"/>
      <sheetName val="_입찰안_xls__입찰안_xls__입찰안_xls_B_23"/>
      <sheetName val="_입찰안_xls__입찰안_xls__입찰안_xls_B_18"/>
      <sheetName val="_입찰안_xls__입찰안_xls__입찰안_xls_B_19"/>
      <sheetName val="_입찰안_xls__입찰안_xls__입찰안_xls_B_20"/>
      <sheetName val="_입찰안_xls__입찰안_xls__입찰안_xls_B_21"/>
      <sheetName val="_입찰안_xls__입찰안_xls__입찰안_xls_B_22"/>
      <sheetName val="_입찰안_xls__입찰안_xls__입찰안_xls_B_25"/>
      <sheetName val="_입찰안_xls__입찰안_xls__입찰안_xls_B_24"/>
      <sheetName val="_입찰안_xls__입찰안_xls__입찰안_xls_B_26"/>
      <sheetName val="_입찰안_xls__입찰안_xls__입찰안_xls_B_27"/>
      <sheetName val="_입찰안_xls__입찰안_xls__입찰안_xls_B_29"/>
      <sheetName val="_입찰안_xls__입찰안_xls__입찰안_xls_B_28"/>
      <sheetName val="1공구원가계산서"/>
      <sheetName val="환율c­_x0000_Ԁ_x0000_쀀"/>
      <sheetName val="[입찰안.xls][입찰안.xls]_입___xls_1000"/>
      <sheetName val="참고2.조달내역"/>
      <sheetName val="working_load_¾_x0000_Ԁ_x0000_䀀ꄲ_x0007__x0000__x0000__x0000_Ā_x0000_ऀ_x0008_"/>
      <sheetName val="working_load_¾_x0000_Ԁ_x0000__x0000_툇_x000f__x0000__x0000__x0000_Ā_x0000_ऀ_x0008_"/>
      <sheetName val="working_load_¾_x0000_Ԁ_x0000_䀀붚_x000f__x0000__x0000__x0000_Ā_x0000_ऀ_x0008_"/>
      <sheetName val="working_load_¾_x0000_Ԁ_x0000__x0000_㾃_x000b__x0000__x0000__x0000_Ā_x0000_ऀ_x0008_"/>
      <sheetName val="working_load_¾_x0000_Ԁ_x0000_쀀毾_x0009__x0000__x0000__x0000_Ā_x0000_ऀ_x0008_"/>
      <sheetName val="working_load_¾_x0000_Ԁ_x0000__x0000_덯_x000e__x0000__x0000__x0000_Ā_x0000_ऀ_x0008_"/>
      <sheetName val="working_load_¾_x0000_Ԁ_x0000_쀀毾 _x0000__x0000__x0000_Ā_x0000_ऀ_x0008_"/>
      <sheetName val="working_load__x0000__x0000_Ԁ_x0000_쀀哦깠_x0001__x0000__x0000_Ā_x0000_倀"/>
      <sheetName val="working_load__x0000__x0000_Ԁ_x0000_退秚㎆_x0002__x0000__x0000_Ā_x0000_က鼪"/>
      <sheetName val="working_load__x0000__x0000_Ԁ_x0000_瀀즫㎒_x0002__x0000__x0000_Ā_x0000_က鼪"/>
      <sheetName val="working_load__x0000__x0000_Ԁ_x0000_က晻㎆_x0002__x0000__x0000_Ā_x0000_က鼪"/>
      <sheetName val="working_load__x0000__x0000_Ԁ_x0000_ 탮㎒_x0002__x0000__x0000_Ā_x0000_က鼪"/>
      <sheetName val="working_load__x0000__x0000_Ԁ_x0000_᠉㎘_x0002__x0000__x0000_Ā_x0000_က鼪"/>
      <sheetName val="working_load__x0000__x0000_Ԁ_x0000_ᕅ㎏_x0002__x0000__x0000_Ā_x0000_က鼪"/>
      <sheetName val="working_load__x0000__x0000_Ԁ_x0000_뀀㪫쏩_x0002__x0000__x0000_Ā_x0000_退렱"/>
      <sheetName val="[입찰안.xls][입찰안.xls]_입찰안_xls_1000"/>
      <sheetName val="[입찰안.xls][입찰안.xls]__찰안_xls_1000"/>
      <sheetName val="재공품(3)"/>
      <sheetName val="표준원가표(2)"/>
      <sheetName val="관현간선입력"/>
      <sheetName val="design_critఀ_x0002_땚"/>
      <sheetName val="패널"/>
      <sheetName val="기안문"/>
      <sheetName val="E䣉᜵᠀"/>
      <sheetName val="작업일보"/>
      <sheetName val="equip"/>
      <sheetName val="주안3차A-A"/>
      <sheetName val="[입찰안.xls][입찰안.xls]_____xls_1473"/>
      <sheetName val="[입찰안.xls][입찰안.xls]_____xls_1474"/>
      <sheetName val="[입찰안.xls][입찰안.xls]_____xls_1478"/>
      <sheetName val="[입찰안.xls][입찰안.xls]_____xls_1475"/>
      <sheetName val="[입찰안.xls][입찰안.xls]_____xls_1476"/>
      <sheetName val="[입찰안.xls][입찰안.xls]_____xls_1477"/>
      <sheetName val="[입찰안.xls][입찰안.xls]_____xls_1479"/>
      <sheetName val="Div10"/>
      <sheetName val="Div13"/>
      <sheetName val="Div4"/>
      <sheetName val="Div5"/>
      <sheetName val="Div6"/>
      <sheetName val="Div7"/>
      <sheetName val="Div9"/>
      <sheetName val="Earthwork"/>
      <sheetName val="Đơn giá theo m2"/>
      <sheetName val="plan&amp;section_of勉_x0010__x0000__x0000__x0000__x0000__x0000__x0001_Ԁ_x0000_�"/>
      <sheetName val="노원열병합__"/>
      <sheetName val="덕"/>
      <sheetName val="수량산출서집²"/>
      <sheetName val="장비단"/>
      <sheetName val="[입찰안.xls][입찰안.xls]_입찰__xls_1000"/>
      <sheetName val="97_사업추정(їEKI)"/>
      <sheetName val="Bill No.1.6"/>
      <sheetName val="Bill No.1.10"/>
      <sheetName val="Bill No.3.3"/>
      <sheetName val="Bill No.1.4"/>
      <sheetName val="Bill No.1.7"/>
      <sheetName val="Summary Bill No. 3"/>
      <sheetName val="COA-17"/>
      <sheetName val="C-18"/>
      <sheetName val="VTP tham khảo"/>
      <sheetName val="Bang THKP-DMDT"/>
      <sheetName val="[입찰안.xls][입찰안.xls]_____xls_2233"/>
      <sheetName val="[입찰안.xls][입찰안.xls]_____xls_2234"/>
      <sheetName val="[입찰안.xls][입찰안.xls]_____xls_2225"/>
      <sheetName val="[입찰안.xls][입찰안.xls]_____xls_2229"/>
      <sheetName val="[입찰안.xls][입찰안.xls]_____xls_2228"/>
      <sheetName val="[입찰안.xls][입찰안.xls]_____xls_2214"/>
      <sheetName val="[입찰안.xls][입찰안.xls]_____xls_2213"/>
      <sheetName val="[입찰안.xls][입찰안.xls]_____xls_2198"/>
      <sheetName val="[입찰안.xls][입찰안.xls]_____xls_2197"/>
      <sheetName val="[입찰안.xls][입찰안.xls]_____xls_2196"/>
      <sheetName val="[입찰안.xls][입찰안.xls]_____xls_2154"/>
      <sheetName val="pile_bearing_capa_&amp;_¬_x0000_Ԁ_x0000_　촖蹻"/>
      <sheetName val="pile_bearing_capa_&amp;_¬_x0000_Ԁ_x0000_瀀濓蹮"/>
      <sheetName val="pile_bearing_capa_&amp;_¬_x0000_Ԁ_x0000_팉蹨"/>
      <sheetName val="pile_bearing_capa_&amp;_¬_x0000_Ԁ_x0000_瀀竒蹩"/>
      <sheetName val="pile_bearing_capa_&amp;_¬_x0000_Ԁ_x0000_뀀蹭"/>
      <sheetName val="pile_bearing_capa_&amp;_¬_x0000_Ԁ_x0000_℘撦"/>
      <sheetName val="[입찰안.xls][입찰안.xls]_____xls_2145"/>
      <sheetName val="[입찰안.xls][입찰안.xls]_____xls_2146"/>
      <sheetName val="[입찰안.xls][입찰안.xls]_____xls_1972"/>
      <sheetName val="[입찰안.xls][입찰안.xls]_____xls_1995"/>
      <sheetName val="[입찰안.xls][입찰안.xls]_____xls_1994"/>
      <sheetName val="[입찰안.xls][입찰안.xls]_____xls_1483"/>
      <sheetName val="[입찰안.xls][입찰안.xls]_____xls_1482"/>
      <sheetName val="[입찰안.xls][입찰안.xls]_____xls_1480"/>
      <sheetName val="[입찰안.xls][입찰안.xls]_____xls_1481"/>
      <sheetName val="[입찰안.xls][입찰안.xls]_____xls_1484"/>
      <sheetName val="[입찰안.xls][입찰안.xls]_____xls_1485"/>
      <sheetName val="[입찰안.xls][입찰안.xls]_____xls_1497"/>
      <sheetName val="[입찰안.xls][입찰안.xls]_____xls_1489"/>
      <sheetName val="[입찰안.xls][입찰안.xls]_____xls_1488"/>
      <sheetName val="[입찰안.xls][입찰안.xls]_____xls_1486"/>
      <sheetName val="[입찰안.xls][입찰안.xls]_____xls_1487"/>
      <sheetName val="[입찰안.xls][입찰안.xls]_____xls_1501"/>
      <sheetName val="[입찰안.xls][입찰안.xls]_____xls_1490"/>
      <sheetName val="[입찰안.xls][입찰안.xls]_____xls_1491"/>
      <sheetName val="[입찰안.xls][입찰안.xls]_____xls_1492"/>
      <sheetName val="[입찰안.xls][입찰안.xls]_____xls_1493"/>
      <sheetName val="[입찰안.xls][입찰안.xls]_____xls_1494"/>
      <sheetName val="[입찰안.xls][입찰안.xls]_____xls_1495"/>
      <sheetName val="[입찰안.xls][입찰안.xls]_____xls_1496"/>
      <sheetName val="[입찰안.xls][입찰안.xls]_____xls_1498"/>
      <sheetName val="[입찰안.xls][입찰안.xls]_____xls_1500"/>
      <sheetName val="[입찰안.xls][입찰안.xls]_____xls_1499"/>
      <sheetName val="[입찰안.xls][입찰안.xls]_____xls_1505"/>
      <sheetName val="[입찰안.xls][입찰안.xls]_____xls_1507"/>
      <sheetName val="[입찰안.xls][입찰안.xls]_____xls_1502"/>
      <sheetName val="[입찰안.xls][입찰안.xls]_____xls_1503"/>
      <sheetName val="[입찰안.xls][입찰안.xls]_____xls_1504"/>
      <sheetName val="[입찰안.xls][입찰안.xls]_____xls_1518"/>
      <sheetName val="[입찰안.xls][입찰안.xls]_____xls_1506"/>
      <sheetName val="[입찰안.xls][입찰안.xls]_____xls_1530"/>
      <sheetName val="[입찰안.xls][입찰안.xls]_____xls_1508"/>
      <sheetName val="[입찰안.xls][입찰안.xls]_____xls_1509"/>
      <sheetName val="[입찰안.xls][입찰안.xls]_____xls_1510"/>
      <sheetName val="[입찰안.xls][입찰안.xls]_____xls_1511"/>
      <sheetName val="[입찰안.xls][입찰안.xls]_____xls_1513"/>
      <sheetName val="[입찰안.xls][입찰안.xls]_____xls_1512"/>
      <sheetName val="[입찰안.xls][입찰안.xls]_____xls_1514"/>
      <sheetName val="[입찰안.xls][입찰안.xls]_____xls_1515"/>
      <sheetName val="[입찰안.xls][입찰안.xls]_____xls_1517"/>
      <sheetName val="[입찰안.xls][입찰안.xls]_____xls_1516"/>
      <sheetName val="[입찰안.xls][입찰안.xls]_____xls_1526"/>
      <sheetName val="[입찰안.xls][입찰안.xls]_____xls_1519"/>
      <sheetName val="[입찰안.xls][입찰안.xls]_____xls_1520"/>
      <sheetName val="[입찰안.xls][입찰안.xls]_____xls_1522"/>
      <sheetName val="[입찰안.xls][입찰안.xls]_____xls_1521"/>
      <sheetName val="[입찰안.xls][입찰안.xls]_____xls_1523"/>
      <sheetName val="[입찰안.xls][입찰안.xls]_____xls_1525"/>
      <sheetName val="[입찰안.xls][입찰안.xls]_____xls_1524"/>
      <sheetName val="[입찰안.xls][입찰안.xls]_____xls_1527"/>
      <sheetName val="[입찰안.xls][입찰안.xls]_____xls_1543"/>
      <sheetName val="[입찰안.xls][입찰안.xls]_____xls_1528"/>
      <sheetName val="[입찰안.xls][입찰안.xls]_____xls_1529"/>
      <sheetName val="[입찰안.xls][입찰안.xls]_____xls_1535"/>
      <sheetName val="[입찰안.xls][입찰안.xls]_____xls_1531"/>
      <sheetName val="[입찰안.xls][입찰안.xls]_____xls_1532"/>
      <sheetName val="[입찰안.xls][입찰안.xls]_____xls_1534"/>
      <sheetName val="[입찰안.xls][입찰안.xls]_____xls_1533"/>
      <sheetName val="[입찰안.xls][입찰안.xls]_____xls_1536"/>
      <sheetName val="[입찰안.xls][입찰안.xls]_____xls_1538"/>
      <sheetName val="[입찰안.xls][입찰안.xls]_____xls_1537"/>
      <sheetName val="[입찰안.xls][입찰안.xls]_____xls_1539"/>
      <sheetName val="[입찰안.xls][입찰안.xls]_____xls_1540"/>
      <sheetName val="[입찰안.xls][입찰안.xls]_____xls_1541"/>
      <sheetName val="[입찰안.xls][입찰안.xls]_____xls_1542"/>
      <sheetName val="[입찰안.xls][입찰안.xls]_____xls_1544"/>
      <sheetName val="[입찰안.xls][입찰안.xls]_____xls_1547"/>
      <sheetName val="[입찰안.xls][입찰안.xls]_____xls_1545"/>
      <sheetName val="[입찰안.xls][입찰안.xls]_____xls_1546"/>
      <sheetName val="[입찰안.xls][입찰안.xls]_____xls_1552"/>
      <sheetName val="[입찰안.xls][입찰안.xls]_____xls_1548"/>
      <sheetName val="[입찰안.xls][입찰안.xls]_____xls_1549"/>
      <sheetName val="[입찰안.xls][입찰안.xls]_____xls_1560"/>
      <sheetName val="[입찰안.xls][입찰안.xls]_____xls_1550"/>
      <sheetName val="[입찰안.xls][입찰안.xls]_____xls_1551"/>
      <sheetName val="[입찰안.xls][입찰안.xls]_____xls_1572"/>
      <sheetName val="[입찰안.xls][입찰안.xls]_____xls_1553"/>
      <sheetName val="[입찰안.xls][입찰안.xls]_____xls_1558"/>
      <sheetName val="[입찰안.xls][입찰안.xls]_____xls_1554"/>
      <sheetName val="[입찰안.xls][입찰안.xls]_____xls_1556"/>
      <sheetName val="[입찰안.xls][입찰안.xls]_____xls_1555"/>
      <sheetName val="[입찰안.xls][입찰안.xls]_____xls_1557"/>
      <sheetName val="[입찰안.xls][입찰안.xls]_____xls_1559"/>
      <sheetName val="[입찰안.xls][입찰안.xls]_____xls_1561"/>
      <sheetName val="[입찰안.xls][입찰안.xls]_____xls_1563"/>
      <sheetName val="[입찰안.xls][입찰안.xls]_____xls_1562"/>
      <sheetName val="[입찰안.xls][입찰안.xls]_____xls_1581"/>
      <sheetName val="[입찰안.xls][입찰안.xls]_____xls_1564"/>
      <sheetName val="[입찰안.xls][입찰안.xls]_____xls_1566"/>
      <sheetName val="[입찰안.xls][입찰안.xls]_____xls_1565"/>
      <sheetName val="[입찰안.xls][입찰안.xls]_____xls_1568"/>
      <sheetName val="[입찰안.xls][입찰안.xls]_____xls_1567"/>
      <sheetName val="[입찰안.xls][입찰안.xls]_____xls_1569"/>
      <sheetName val="[입찰안.xls][입찰안.xls]_____xls_1570"/>
      <sheetName val="[입찰안.xls][입찰안.xls]_____xls_1571"/>
      <sheetName val="[입찰안.xls][입찰안.xls]_____xls_1580"/>
      <sheetName val="[입찰안.xls][입찰안.xls]_____xls_1579"/>
      <sheetName val="[입찰안.xls][입찰안.xls]_____xls_1574"/>
      <sheetName val="[입찰안.xls][입찰안.xls]_____xls_1573"/>
      <sheetName val="[입찰안.xls][입찰안.xls]_____xls_1575"/>
      <sheetName val="[입찰안.xls][입찰안.xls]_____xls_1576"/>
      <sheetName val="[입찰안.xls][입찰안.xls]_____xls_1577"/>
      <sheetName val="[입찰안.xls][입찰안.xls]_____xls_1578"/>
      <sheetName val="[입찰안.xls][입찰안.xls]_____xls_1582"/>
      <sheetName val="[입찰안.xls][입찰안.xls]_____xls_1583"/>
      <sheetName val="[입찰안.xls][입찰안.xls]_____xls_1593"/>
      <sheetName val="[입찰안.xls][입찰안.xls]_____xls_1586"/>
      <sheetName val="[입찰안.xls][입찰안.xls]_____xls_1584"/>
      <sheetName val="[입찰안.xls][입찰안.xls]_____xls_1585"/>
      <sheetName val="[입찰안.xls][입찰안.xls]_____xls_1587"/>
      <sheetName val="[입찰안.xls][입찰안.xls]_____xls_1588"/>
      <sheetName val="[입찰안.xls][입찰안.xls]_____xls_1591"/>
      <sheetName val="[입찰안.xls][입찰안.xls]_____xls_1589"/>
      <sheetName val="[입찰안.xls][입찰안.xls]_____xls_1590"/>
      <sheetName val="[입찰안.xls][입찰안.xls]_____xls_1592"/>
      <sheetName val="[입찰안.xls][입찰안.xls]_____xls_1598"/>
      <sheetName val="[입찰안.xls][입찰안.xls]_____xls_1594"/>
      <sheetName val="[입찰안.xls][입찰안.xls]_____xls_1595"/>
      <sheetName val="[입찰안.xls][입찰안.xls]_____xls_1596"/>
      <sheetName val="[입찰안.xls][입찰안.xls]_____xls_1613"/>
      <sheetName val="[입찰안.xls][입찰안.xls]_____xls_1597"/>
      <sheetName val="[입찰안.xls][입찰안.xls]_____xls_1603"/>
      <sheetName val="[입찰안.xls][입찰안.xls]_____xls_1601"/>
      <sheetName val="[입찰안.xls][입찰안.xls]_____xls_1599"/>
      <sheetName val="[입찰안.xls][입찰안.xls]_____xls_1600"/>
      <sheetName val="[입찰안.xls][입찰안.xls]_____xls_1602"/>
      <sheetName val="[입찰안.xls][입찰안.xls]_____xls_1604"/>
      <sheetName val="[입찰안.xls][입찰안.xls]_____xls_1612"/>
      <sheetName val="[입찰안.xls][입찰안.xls]_____xls_1609"/>
      <sheetName val="[입찰안.xls][입찰안.xls]_____xls_1605"/>
      <sheetName val="[입찰안.xls][입찰안.xls]_____xls_1608"/>
      <sheetName val="[입찰안.xls][입찰안.xls]_____xls_1606"/>
      <sheetName val="[입찰안.xls][입찰안.xls]_____xls_1607"/>
      <sheetName val="[입찰안.xls][입찰안.xls]_____xls_1617"/>
      <sheetName val="[입찰안.xls][입찰안.xls]_____xls_1610"/>
      <sheetName val="[입찰안.xls][입찰안.xls]_____xls_1611"/>
      <sheetName val="[입찰안.xls][입찰안.xls]_____xls_1614"/>
      <sheetName val="[입찰안.xls][입찰안.xls]_____xls_1653"/>
      <sheetName val="[입찰안.xls][입찰안.xls]_____xls_1615"/>
      <sheetName val="[입찰안.xls][입찰안.xls]_____xls_1616"/>
      <sheetName val="[입찰안.xls][입찰안.xls]_____xls_1619"/>
      <sheetName val="[입찰안.xls][입찰안.xls]_____xls_1618"/>
      <sheetName val="[입찰안.xls][입찰안.xls]_____xls_1620"/>
      <sheetName val="[입찰안.xls][입찰안.xls]_____xls_1621"/>
      <sheetName val="[입찰안.xls][입찰안.xls]_____xls_1622"/>
      <sheetName val="[입찰안.xls][입찰안.xls]_____xls_1623"/>
      <sheetName val="[입찰안.xls][입찰안.xls]_____xls_1625"/>
      <sheetName val="[입찰안.xls][입찰안.xls]_____xls_1624"/>
      <sheetName val="[입찰안.xls][입찰안.xls]_____xls_1626"/>
      <sheetName val="[입찰안.xls][입찰안.xls]_____xls_1630"/>
      <sheetName val="[입찰안.xls][입찰안.xls]_____xls_1627"/>
      <sheetName val="[입찰안.xls][입찰안.xls]_____xls_1628"/>
      <sheetName val="[입찰안.xls][입찰안.xls]_____xls_1629"/>
      <sheetName val="[입찰안.xls][입찰안.xls]_____xls_1635"/>
      <sheetName val="[입찰안.xls][입찰안.xls]_____xls_1631"/>
      <sheetName val="[입찰안.xls][입찰안.xls]_____xls_1632"/>
      <sheetName val="[입찰안.xls][입찰안.xls]_____xls_1633"/>
      <sheetName val="[입찰안.xls][입찰안.xls]_____xls_1634"/>
      <sheetName val="[입찰안.xls][입찰안.xls]_____xls_1636"/>
      <sheetName val="[입찰안.xls][입찰안.xls]_____xls_1637"/>
      <sheetName val="[입찰안.xls][입찰안.xls]_____xls_1638"/>
      <sheetName val="[입찰안.xls][입찰안.xls]_____xls_1649"/>
      <sheetName val="[입찰안.xls][입찰안.xls]_____xls_1643"/>
      <sheetName val="[입찰안.xls][입찰안.xls]_____xls_1639"/>
      <sheetName val="[입찰안.xls][입찰안.xls]_____xls_1640"/>
      <sheetName val="[입찰안.xls][입찰안.xls]_____xls_1641"/>
      <sheetName val="[입찰안.xls][입찰안.xls]_____xls_1642"/>
      <sheetName val="[입찰안.xls][입찰안.xls]_____xls_1644"/>
      <sheetName val="[입찰안.xls][입찰안.xls]_____xls_1645"/>
      <sheetName val="[입찰안.xls][입찰안.xls]_____xls_1647"/>
      <sheetName val="[입찰안.xls][입찰안.xls]_____xls_1646"/>
      <sheetName val="[입찰안.xls][입찰안.xls]_____xls_1648"/>
      <sheetName val="[입찰안.xls][입찰안.xls]_____xls_1668"/>
      <sheetName val="[입찰안.xls][입찰안.xls]_____xls_1650"/>
      <sheetName val="[입찰안.xls][입찰안.xls]_____xls_1651"/>
      <sheetName val="[입찰안.xls][입찰안.xls]_____xls_1652"/>
      <sheetName val="[입찰안.xls][입찰안.xls]_____xls_1655"/>
      <sheetName val="[입찰안.xls][입찰안.xls]_____xls_1654"/>
      <sheetName val="[입찰안.xls][입찰안.xls]_____xls_1656"/>
      <sheetName val="[입찰안.xls][입찰안.xls]_____xls_1657"/>
      <sheetName val="[입찰안.xls][입찰안.xls]_____xls_1658"/>
      <sheetName val="[입찰안.xls][입찰안.xls]_____xls_1659"/>
      <sheetName val="[입찰안.xls][입찰안.xls]_____xls_1662"/>
      <sheetName val="[입찰안.xls][입찰안.xls]_____xls_1660"/>
      <sheetName val="[입찰안.xls][입찰안.xls]_____xls_1661"/>
      <sheetName val="[입찰안.xls][입찰안.xls]_____xls_1675"/>
      <sheetName val="[입찰안.xls][입찰안.xls]_____xls_1663"/>
      <sheetName val="[입찰안.xls][입찰안.xls]_____xls_1664"/>
      <sheetName val="[입찰안.xls][입찰안.xls]_____xls_1667"/>
      <sheetName val="[입찰안.xls][입찰안.xls]_____xls_1665"/>
      <sheetName val="[입찰안.xls][입찰안.xls]_____xls_1666"/>
      <sheetName val="[입찰안.xls][입찰안.xls]_____xls_1671"/>
      <sheetName val="[입찰안.xls][입찰안.xls]_____xls_1669"/>
      <sheetName val="[입찰안.xls][입찰안.xls]_____xls_1670"/>
      <sheetName val="[입찰안.xls][입찰안.xls]_____xls_1672"/>
      <sheetName val="[입찰안.xls][입찰안.xls]_____xls_1673"/>
      <sheetName val="[입찰안.xls][입찰안.xls]_____xls_1674"/>
      <sheetName val="[입찰안.xls][입찰안.xls]_____xls_1681"/>
      <sheetName val="[입찰안.xls][입찰안.xls]_____xls_1676"/>
      <sheetName val="[입찰안.xls][입찰안.xls]_____xls_1677"/>
      <sheetName val="[입찰안.xls][입찰안.xls]_____xls_1678"/>
      <sheetName val="[입찰안.xls][입찰안.xls]_____xls_1679"/>
      <sheetName val="[입찰안.xls][입찰안.xls]_____xls_1680"/>
      <sheetName val="[입찰안.xls][입찰안.xls]_____xls_1686"/>
      <sheetName val="[입찰안.xls][입찰안.xls]_____xls_1682"/>
      <sheetName val="[입찰안.xls][입찰안.xls]_____xls_1683"/>
      <sheetName val="[입찰안.xls][입찰안.xls]_____xls_1684"/>
      <sheetName val="[입찰안.xls][입찰안.xls]_____xls_1685"/>
      <sheetName val="[입찰안.xls][입찰안.xls]_____xls_1693"/>
      <sheetName val="[입찰안.xls][입찰안.xls]_____xls_1695"/>
      <sheetName val="[입찰안.xls][입찰안.xls]_____xls_1694"/>
      <sheetName val="[입찰안.xls][입찰안.xls]_____xls_1687"/>
      <sheetName val="[입찰안.xls][입찰안.xls]_____xls_1688"/>
      <sheetName val="[입찰안.xls][입찰안.xls]_____xls_1689"/>
      <sheetName val="[입찰안.xls][입찰안.xls]_____xls_1690"/>
      <sheetName val="[입찰안.xls][입찰안.xls]_____xls_1691"/>
      <sheetName val="[입찰안.xls][입찰안.xls]_____xls_1692"/>
      <sheetName val="[입찰안.xls][입찰안.xls]_____xls_1707"/>
      <sheetName val="[입찰안.xls][입찰안.xls]_____xls_1708"/>
      <sheetName val="[입찰안.xls][입찰안.xls]_____xls_1698"/>
      <sheetName val="[입찰안.xls][입찰안.xls]_____xls_1696"/>
      <sheetName val="[입찰안.xls][입찰안.xls]_____xls_1697"/>
      <sheetName val="[입찰안.xls][입찰안.xls]_____xls_1699"/>
      <sheetName val="[입찰안.xls][입찰안.xls]_____xls_1700"/>
      <sheetName val="[입찰안.xls][입찰안.xls]_____xls_1701"/>
      <sheetName val="[입찰안.xls][입찰안.xls]_____xls_1702"/>
      <sheetName val="[입찰안.xls][입찰안.xls]_____xls_1703"/>
      <sheetName val="[입찰안.xls][입찰안.xls]_____xls_1704"/>
      <sheetName val="[입찰안.xls][입찰안.xls]_____xls_1705"/>
      <sheetName val="[입찰안.xls][입찰안.xls]_____xls_1706"/>
      <sheetName val="[입찰안.xls][입찰안.xls]_____xls_1739"/>
      <sheetName val="[입찰안.xls][입찰안.xls]_____xls_1733"/>
      <sheetName val="[입찰안.xls][입찰안.xls]_____xls_1730"/>
      <sheetName val="[입찰안.xls][입찰안.xls]_____xls_1715"/>
      <sheetName val="[입찰안.xls][입찰안.xls]_____xls_1709"/>
      <sheetName val="[입찰안.xls][입찰안.xls]_____xls_1710"/>
      <sheetName val="[입찰안.xls][입찰안.xls]_____xls_1711"/>
      <sheetName val="[입찰안.xls][입찰안.xls]_____xls_1713"/>
      <sheetName val="[입찰안.xls][입찰안.xls]_____xls_1712"/>
      <sheetName val="[입찰안.xls][입찰안.xls]_____xls_1714"/>
      <sheetName val="[입찰안.xls][입찰안.xls]_____xls_1723"/>
      <sheetName val="[입찰안.xls][입찰안.xls]_____xls_1719"/>
      <sheetName val="[입찰안.xls][입찰안.xls]_____xls_1718"/>
      <sheetName val="[입찰안.xls][입찰안.xls]_____xls_1716"/>
      <sheetName val="[입찰안.xls][입찰안.xls]_____xls_1717"/>
      <sheetName val="[입찰안.xls][입찰안.xls]_____xls_1720"/>
      <sheetName val="[입찰안.xls][입찰안.xls]_____xls_1721"/>
      <sheetName val="[입찰안.xls][입찰안.xls]_____xls_1722"/>
      <sheetName val="[입찰안.xls][입찰안.xls]_____xls_1725"/>
      <sheetName val="[입찰안.xls][입찰안.xls]_____xls_1724"/>
      <sheetName val="[입찰안.xls][입찰안.xls]_____xls_1729"/>
      <sheetName val="[입찰안.xls][입찰안.xls]_____xls_1726"/>
      <sheetName val="[입찰안.xls][입찰안.xls]_____xls_1727"/>
      <sheetName val="[입찰안.xls][입찰안.xls]_____xls_1728"/>
      <sheetName val="[입찰안.xls][입찰안.xls]_____xls_1731"/>
      <sheetName val="[입찰안.xls][입찰안.xls]_____xls_1732"/>
      <sheetName val="[입찰안.xls][입찰안.xls]_____xls_1734"/>
      <sheetName val="[입찰안.xls][입찰안.xls]_____xls_1736"/>
      <sheetName val="[입찰안.xls][입찰안.xls]_____xls_1735"/>
      <sheetName val="[입찰안.xls][입찰안.xls]_____xls_1737"/>
      <sheetName val="[입찰안.xls][입찰안.xls]_____xls_1738"/>
      <sheetName val="[입찰안.xls][입찰안.xls]_____xls_1787"/>
      <sheetName val="[입찰안.xls][입찰안.xls]_____xls_1740"/>
      <sheetName val="[입찰안.xls][입찰안.xls]_____xls_1746"/>
      <sheetName val="[입찰안.xls][입찰안.xls]_____xls_1741"/>
      <sheetName val="[입찰안.xls][입찰안.xls]_____xls_1742"/>
      <sheetName val="[입찰안.xls][입찰안.xls]_____xls_1745"/>
      <sheetName val="[입찰안.xls][입찰안.xls]_____xls_1743"/>
      <sheetName val="[입찰안.xls][입찰안.xls]_____xls_1744"/>
      <sheetName val="[입찰안.xls][입찰안.xls]_____xls_1750"/>
      <sheetName val="[입찰안.xls][입찰안.xls]_____xls_1747"/>
      <sheetName val="[입찰안.xls][입찰안.xls]_____xls_1758"/>
      <sheetName val="[입찰안.xls][입찰안.xls]_____xls_1748"/>
      <sheetName val="[입찰안.xls][입찰안.xls]_____xls_1749"/>
      <sheetName val="[입찰안.xls][입찰안.xls]_____xls_1751"/>
      <sheetName val="[입찰안.xls][입찰안.xls]_____xls_1752"/>
      <sheetName val="[입찰안.xls][입찰안.xls]_____xls_1753"/>
      <sheetName val="[입찰안.xls][입찰안.xls]_____xls_1754"/>
      <sheetName val="[입찰안.xls][입찰안.xls]_____xls_1755"/>
      <sheetName val="[입찰안.xls][입찰안.xls]_____xls_1756"/>
      <sheetName val="[입찰안.xls][입찰안.xls]_____xls_1757"/>
      <sheetName val="[입찰안.xls][입찰안.xls]_____xls_1761"/>
      <sheetName val="[입찰안.xls][입찰안.xls]_____xls_1759"/>
      <sheetName val="[입찰안.xls][입찰안.xls]_____xls_1768"/>
      <sheetName val="[입찰안.xls][입찰안.xls]_____xls_1760"/>
      <sheetName val="[입찰안.xls][입찰안.xls]_____xls_1762"/>
      <sheetName val="[입찰안.xls][입찰안.xls]_____xls_1763"/>
      <sheetName val="[입찰안.xls][입찰안.xls]_____xls_1764"/>
      <sheetName val="[입찰안.xls][입찰안.xls]_____xls_1769"/>
      <sheetName val="[입찰안.xls][입찰안.xls]_____xls_1765"/>
      <sheetName val="[입찰안.xls][입찰안.xls]_____xls_1766"/>
      <sheetName val="[입찰안.xls][입찰안.xls]_____xls_1767"/>
      <sheetName val="[입찰안.xls][입찰안.xls]_____xls_1770"/>
      <sheetName val="[입찰안.xls][입찰안.xls]_____xls_1772"/>
      <sheetName val="[입찰안.xls][입찰안.xls]_____xls_1774"/>
      <sheetName val="[입찰안.xls][입찰안.xls]_____xls_1771"/>
      <sheetName val="[입찰안.xls][입찰안.xls]_____xls_1773"/>
      <sheetName val="[입찰안.xls][입찰안.xls]_____xls_1775"/>
      <sheetName val="[입찰안.xls][입찰안.xls]_____xls_1776"/>
      <sheetName val="[입찰안.xls][입찰안.xls]_____xls_1827"/>
      <sheetName val="[입찰안.xls][입찰안.xls]_____xls_1777"/>
      <sheetName val="[입찰안.xls][입찰안.xls]_____xls_1778"/>
      <sheetName val="[입찰안.xls][입찰안.xls]_____xls_1828"/>
      <sheetName val="[입찰안.xls][입찰안.xls]_____xls_1779"/>
      <sheetName val="[입찰안.xls][입찰안.xls]_____xls_1780"/>
      <sheetName val="[입찰안.xls][입찰안.xls]_____xls_1781"/>
      <sheetName val="[입찰안.xls][입찰안.xls]_____xls_1782"/>
      <sheetName val="[입찰안.xls][입찰안.xls]_____xls_1783"/>
      <sheetName val="[입찰안.xls][입찰안.xls]_____xls_1784"/>
      <sheetName val="[입찰안.xls][입찰안.xls]_____xls_1785"/>
      <sheetName val="[입찰안.xls][입찰안.xls]_____xls_1786"/>
      <sheetName val="[입찰안.xls][입찰안.xls]_____xls_1788"/>
      <sheetName val="[입찰안.xls][입찰안.xls]_____xls_1793"/>
      <sheetName val="[입찰안.xls][입찰안.xls]_____xls_1801"/>
      <sheetName val="[입찰안.xls][입찰안.xls]_____xls_1789"/>
      <sheetName val="[입찰안.xls][입찰안.xls]_____xls_1790"/>
      <sheetName val="[입찰안.xls][입찰안.xls]_____xls_1791"/>
      <sheetName val="[입찰안.xls][입찰안.xls]_____xls_1792"/>
      <sheetName val="[입찰안.xls][입찰안.xls]_____xls_1794"/>
      <sheetName val="[입찰안.xls][입찰안.xls]_____xls_1802"/>
      <sheetName val="[입찰안.xls][입찰안.xls]_____xls_1795"/>
      <sheetName val="[입찰안.xls][입찰안.xls]_____xls_1796"/>
      <sheetName val="[입찰안.xls][입찰안.xls]_____xls_1797"/>
      <sheetName val="[입찰안.xls][입찰안.xls]_____xls_1798"/>
      <sheetName val="[입찰안.xls][입찰안.xls]_____xls_1799"/>
      <sheetName val="[입찰안.xls][입찰안.xls]_____xls_1800"/>
      <sheetName val="[입찰안.xls][입찰안.xls]_____xls_1815"/>
      <sheetName val="[입찰안.xls][입찰안.xls]_____xls_1803"/>
      <sheetName val="[입찰안.xls][입찰안.xls]_____xls_1804"/>
      <sheetName val="[입찰안.xls][입찰안.xls]_____xls_1805"/>
      <sheetName val="[입찰안.xls][입찰안.xls]_____xls_1806"/>
      <sheetName val="[입찰안.xls][입찰안.xls]_____xls_1807"/>
      <sheetName val="[입찰안.xls][입찰안.xls]_____xls_1811"/>
      <sheetName val="[입찰안.xls][입찰안.xls]_____xls_1808"/>
      <sheetName val="[입찰안.xls][입찰안.xls]_____xls_1809"/>
      <sheetName val="[입찰안.xls][입찰안.xls]_____xls_1810"/>
      <sheetName val="[입찰안.xls][입찰안.xls]_____xls_1813"/>
      <sheetName val="[입찰안.xls][입찰안.xls]_____xls_1812"/>
      <sheetName val="[입찰안.xls][입찰안.xls]_____xls_1814"/>
      <sheetName val="[입찰안.xls][입찰안.xls]_____xls_1816"/>
      <sheetName val="[입찰안.xls][입찰안.xls]_____xls_1819"/>
      <sheetName val="[입찰안.xls][입찰안.xls]_____xls_1817"/>
      <sheetName val="[입찰안.xls][입찰안.xls]_____xls_1818"/>
      <sheetName val="[입찰안.xls][입찰안.xls]_____xls_1820"/>
      <sheetName val="[입찰안.xls][입찰안.xls]_____xls_1824"/>
      <sheetName val="[입찰안.xls][입찰안.xls]_____xls_1821"/>
      <sheetName val="[입찰안.xls][입찰안.xls]_____xls_1822"/>
      <sheetName val="[입찰안.xls][입찰안.xls]_____xls_1823"/>
      <sheetName val="[입찰안.xls][입찰안.xls]_____xls_1825"/>
      <sheetName val="[입찰안.xls][입찰안.xls]_____xls_1826"/>
      <sheetName val="[입찰안.xls][입찰안.xls]_____xls_1842"/>
      <sheetName val="[입찰안.xls][입찰안.xls]_____xls_1855"/>
      <sheetName val="[입찰안.xls][입찰안.xls]_____xls_1844"/>
      <sheetName val="[입찰안.xls][입찰안.xls]_____xls_1830"/>
      <sheetName val="[입찰안.xls][입찰안.xls]_____xls_1829"/>
      <sheetName val="[입찰안.xls][입찰안.xls]_____xls_1833"/>
      <sheetName val="[입찰안.xls][입찰안.xls]_____xls_1831"/>
      <sheetName val="[입찰안.xls][입찰안.xls]_____xls_1832"/>
      <sheetName val="[입찰안.xls][입찰안.xls]_____xls_1835"/>
      <sheetName val="[입찰안.xls][입찰안.xls]_____xls_1834"/>
      <sheetName val="[입찰안.xls][입찰안.xls]_____xls_1837"/>
      <sheetName val="[입찰안.xls][입찰안.xls]_____xls_1836"/>
      <sheetName val="[입찰안.xls][입찰안.xls]_____xls_1838"/>
      <sheetName val="[입찰안.xls][입찰안.xls]_____xls_1839"/>
      <sheetName val="[입찰안.xls][입찰안.xls]_____xls_1840"/>
      <sheetName val="[입찰안.xls][입찰안.xls]_____xls_1841"/>
      <sheetName val="[입찰안.xls][입찰안.xls]_____xls_1843"/>
      <sheetName val="[입찰안.xls][입찰안.xls]_____xls_1857"/>
      <sheetName val="[입찰안.xls][입찰안.xls]_____xls_1899"/>
      <sheetName val="[입찰안.xls][입찰안.xls]_____xls_1845"/>
      <sheetName val="[입찰안.xls][입찰안.xls]_____xls_1846"/>
      <sheetName val="[입찰안.xls][입찰안.xls]_____xls_1847"/>
      <sheetName val="[입찰안.xls][입찰안.xls]_____xls_1848"/>
      <sheetName val="[입찰안.xls][입찰안.xls]_____xls_1849"/>
      <sheetName val="[입찰안.xls][입찰안.xls]_____xls_1850"/>
      <sheetName val="[입찰안.xls][입찰안.xls]_____xls_1851"/>
      <sheetName val="[입찰안.xls][입찰안.xls]_____xls_1852"/>
      <sheetName val="[입찰안.xls][입찰안.xls]_____xls_1853"/>
      <sheetName val="[입찰안.xls][입찰안.xls]_____xls_1854"/>
      <sheetName val="[입찰안.xls][입찰안.xls]_____xls_1856"/>
      <sheetName val="[입찰안.xls][입찰안.xls]_____xls_1861"/>
      <sheetName val="[입찰안.xls][입찰안.xls]_____xls_1860"/>
      <sheetName val="[입찰안.xls][입찰안.xls]_____xls_1859"/>
      <sheetName val="[입찰안.xls][입찰안.xls]_____xls_1858"/>
      <sheetName val="[입찰안.xls][입찰안.xls]_____xls_1909"/>
      <sheetName val="[입찰안.xls][입찰안.xls]_____xls_1862"/>
      <sheetName val="[입찰안.xls][입찰안.xls]_____xls_1863"/>
      <sheetName val="[입찰안.xls][입찰안.xls]_____xls_1864"/>
      <sheetName val="[입찰안.xls][입찰안.xls]_____xls_1865"/>
      <sheetName val="[입찰안.xls][입찰안.xls]_____xls_1866"/>
      <sheetName val="[입찰안.xls][입찰안.xls]_____xls_1867"/>
      <sheetName val="[입찰안.xls][입찰안.xls]_____xls_1868"/>
      <sheetName val="[입찰안.xls][입찰안.xls]_____xls_1869"/>
      <sheetName val="[입찰안.xls][입찰안.xls]_____xls_1870"/>
      <sheetName val="[입찰안.xls][입찰안.xls]_____xls_1871"/>
      <sheetName val="[입찰안.xls][입찰안.xls]_____xls_1872"/>
      <sheetName val="[입찰안.xls][입찰안.xls]_____xls_1874"/>
      <sheetName val="[입찰안.xls][입찰안.xls]_____xls_1873"/>
      <sheetName val="[입찰안.xls][입찰안.xls]_____xls_1875"/>
      <sheetName val="[입찰안.xls][입찰안.xls]_____xls_1877"/>
      <sheetName val="[입찰안.xls][입찰안.xls]_____xls_1876"/>
      <sheetName val="[입찰안.xls][입찰안.xls]_____xls_1878"/>
      <sheetName val="[입찰안.xls][입찰안.xls]_____xls_1879"/>
      <sheetName val="[입찰안.xls][입찰안.xls]_____xls_1880"/>
      <sheetName val="[입찰안.xls][입찰안.xls]_____xls_1881"/>
      <sheetName val="[입찰안.xls][입찰안.xls]_____xls_1882"/>
      <sheetName val="[입찰안.xls][입찰안.xls]_____xls_1891"/>
      <sheetName val="[입찰안.xls][입찰안.xls]_____xls_1883"/>
      <sheetName val="[입찰안.xls][입찰안.xls]_____xls_1884"/>
      <sheetName val="[입찰안.xls][입찰안.xls]_____xls_1885"/>
      <sheetName val="[입찰안.xls][입찰안.xls]_____xls_1886"/>
      <sheetName val="[입찰안.xls][입찰안.xls]_____xls_1889"/>
      <sheetName val="[입찰안.xls][입찰안.xls]_____xls_1887"/>
      <sheetName val="[입찰안.xls][입찰안.xls]_____xls_1888"/>
      <sheetName val="[입찰안.xls][입찰안.xls]_____xls_1890"/>
      <sheetName val="[입찰안.xls][입찰안.xls]_____xls_1894"/>
      <sheetName val="[입찰안.xls][입찰안.xls]_____xls_1892"/>
      <sheetName val="[입찰안.xls][입찰안.xls]_____xls_1893"/>
      <sheetName val="[입찰안.xls][입찰안.xls]_____xls_1895"/>
      <sheetName val="[입찰안.xls][입찰안.xls]_____xls_1896"/>
      <sheetName val="[입찰안.xls][입찰안.xls]_____xls_1897"/>
      <sheetName val="[입찰안.xls][입찰안.xls]_____xls_1898"/>
      <sheetName val="[입찰안.xls][입찰안.xls]_____xls_1902"/>
      <sheetName val="[입찰안.xls][입찰안.xls]_____xls_1900"/>
      <sheetName val="[입찰안.xls][입찰안.xls]_____xls_1901"/>
      <sheetName val="[입찰안.xls][입찰안.xls]_____xls_1914"/>
      <sheetName val="[입찰안.xls][입찰안.xls]_____xls_1903"/>
      <sheetName val="[입찰안.xls][입찰안.xls]_____xls_1905"/>
      <sheetName val="[입찰안.xls][입찰안.xls]_____xls_1904"/>
      <sheetName val="[입찰안.xls][입찰안.xls]_____xls_1906"/>
      <sheetName val="[입찰안.xls][입찰안.xls]_____xls_1907"/>
      <sheetName val="[입찰안.xls][입찰안.xls]_____xls_1908"/>
      <sheetName val="[입찰안.xls][입찰안.xls]_____xls_1928"/>
      <sheetName val="[입찰안.xls][입찰안.xls]_____xls_1913"/>
      <sheetName val="[입찰안.xls][입찰안.xls]_____xls_1911"/>
      <sheetName val="[입찰안.xls][입찰안.xls]_____xls_1910"/>
      <sheetName val="[입찰안.xls][입찰안.xls]_____xls_1912"/>
      <sheetName val="[입찰안.xls][입찰안.xls]_____xls_1917"/>
      <sheetName val="[입찰안.xls][입찰안.xls]_____xls_1916"/>
      <sheetName val="[입찰안.xls][입찰안.xls]_____xls_1915"/>
      <sheetName val="[입찰안.xls][입찰안.xls]_____xls_1925"/>
      <sheetName val="[입찰안.xls][입찰안.xls]_____xls_1920"/>
      <sheetName val="[입찰안.xls][입찰안.xls]_____xls_1918"/>
      <sheetName val="[입찰안.xls][입찰안.xls]_____xls_1919"/>
      <sheetName val="[입찰안.xls][입찰안.xls]_____xls_1924"/>
      <sheetName val="[입찰안.xls][입찰안.xls]_____xls_1921"/>
      <sheetName val="[입찰안.xls][입찰안.xls]_____xls_1922"/>
      <sheetName val="[입찰안.xls][입찰안.xls]_____xls_1923"/>
      <sheetName val="[입찰안.xls][입찰안.xls]_____xls_1926"/>
      <sheetName val="[입찰안.xls][입찰안.xls]_____xls_1927"/>
      <sheetName val="[입찰안.xls][입찰안.xls]_____xls_1929"/>
      <sheetName val="[입찰안.xls][입찰안.xls]_____xls_1930"/>
      <sheetName val="[입찰안.xls][입찰안.xls]_____xls_1932"/>
      <sheetName val="[입찰안.xls][입찰안.xls]_____xls_1953"/>
      <sheetName val="[입찰안.xls][입찰안.xls]_____xls_1931"/>
      <sheetName val="[입찰안.xls][입찰안.xls]_____xls_1939"/>
      <sheetName val="[입찰안.xls][입찰안.xls]_____xls_1933"/>
      <sheetName val="[입찰안.xls][입찰안.xls]_____xls_1934"/>
      <sheetName val="[입찰안.xls][입찰안.xls]_____xls_1935"/>
      <sheetName val="[입찰안.xls][입찰안.xls]_____xls_1936"/>
      <sheetName val="[입찰안.xls][입찰안.xls]_____xls_1937"/>
      <sheetName val="[입찰안.xls][입찰안.xls]_____xls_1938"/>
      <sheetName val="[입찰안.xls][입찰안.xls]_____xls_1941"/>
      <sheetName val="[입찰안.xls][입찰안.xls]_____xls_1940"/>
      <sheetName val="[입찰안.xls][입찰안.xls]_____xls_1942"/>
      <sheetName val="[입찰안.xls][입찰안.xls]_____xls_1954"/>
      <sheetName val="[입찰안.xls][입찰안.xls]_____xls_1943"/>
      <sheetName val="[입찰안.xls][입찰안.xls]_____xls_1949"/>
      <sheetName val="[입찰안.xls][입찰안.xls]_____xls_1944"/>
      <sheetName val="[입찰안.xls][입찰안.xls]_____xls_1945"/>
      <sheetName val="[입찰안.xls][입찰안.xls]_____xls_1946"/>
      <sheetName val="[입찰안.xls][입찰안.xls]_____xls_1947"/>
      <sheetName val="[입찰안.xls][입찰안.xls]_____xls_1948"/>
      <sheetName val="[입찰안.xls][입찰안.xls]_____xls_1950"/>
      <sheetName val="[입찰안.xls][입찰안.xls]_____xls_1951"/>
      <sheetName val="[입찰안.xls][입찰안.xls]_____xls_1952"/>
      <sheetName val="[입찰안.xls][입찰안.xls]_____xls_1957"/>
      <sheetName val="[입찰안.xls][입찰안.xls]_____xls_1956"/>
      <sheetName val="[입찰안.xls][입찰안.xls]_____xls_1955"/>
      <sheetName val="[입찰안.xls][입찰안.xls]_____xls_1971"/>
      <sheetName val="[입찰안.xls][입찰안.xls]_____xls_1958"/>
      <sheetName val="[입찰안.xls][입찰안.xls]_____xls_1959"/>
      <sheetName val="[입찰안.xls][입찰안.xls]_____xls_1961"/>
      <sheetName val="[입찰안.xls][입찰안.xls]_____xls_1960"/>
      <sheetName val="[입찰안.xls][입찰안.xls]_____xls_1962"/>
      <sheetName val="[입찰안.xls][입찰안.xls]_____xls_1963"/>
      <sheetName val="[입찰안.xls][입찰안.xls]_____xls_1965"/>
      <sheetName val="[입찰안.xls][입찰안.xls]_____xls_1964"/>
      <sheetName val="[입찰안.xls][입찰안.xls]_____xls_1966"/>
      <sheetName val="[입찰안.xls][입찰안.xls]_____xls_1967"/>
      <sheetName val="[입찰안.xls][입찰안.xls]_____xls_1968"/>
      <sheetName val="[입찰안.xls][입찰안.xls]_____xls_1969"/>
      <sheetName val="[입찰안.xls][입찰안.xls]_____xls_1970"/>
      <sheetName val="[입찰안.xls][입찰안.xls]_____xls_1991"/>
      <sheetName val="[입찰안.xls][입찰안.xls]_____xls_1992"/>
      <sheetName val="[입찰안.xls][입찰안.xls]_____xls_1973"/>
      <sheetName val="[입찰안.xls][입찰안.xls]_____xls_1975"/>
      <sheetName val="[입찰안.xls][입찰안.xls]_____xls_1974"/>
      <sheetName val="[입찰안.xls][입찰안.xls]_____xls_1979"/>
      <sheetName val="[입찰안.xls][입찰안.xls]_____xls_1978"/>
      <sheetName val="[입찰안.xls][입찰안.xls]_____xls_1980"/>
      <sheetName val="[입찰안.xls][입찰안.xls]_____xls_1976"/>
      <sheetName val="[입찰안.xls][입찰안.xls]_____xls_1977"/>
      <sheetName val="[입찰안.xls][입찰안.xls]_____xls_1981"/>
      <sheetName val="[입찰안.xls][입찰안.xls]_____xls_1984"/>
      <sheetName val="[입찰안.xls][입찰안.xls]_____xls_1982"/>
      <sheetName val="[입찰안.xls][입찰안.xls]_____xls_1983"/>
      <sheetName val="[입찰안.xls][입찰안.xls]_____xls_1985"/>
      <sheetName val="[입찰안.xls][입찰안.xls]_____xls_1986"/>
      <sheetName val="[입찰안.xls][입찰안.xls]_____xls_1987"/>
      <sheetName val="[입찰안.xls][입찰안.xls]_____xls_1989"/>
      <sheetName val="[입찰안.xls][입찰안.xls]_____xls_1988"/>
      <sheetName val="[입찰안.xls][입찰안.xls]_____xls_1990"/>
      <sheetName val="[입찰안.xls][입찰안.xls]_____xls_1993"/>
      <sheetName val="VAT duoc khau tru"/>
      <sheetName val="VAT_duoc_khau_tru"/>
      <sheetName val="[입찰안.xls][입찰안.xls]_____xls_1997"/>
      <sheetName val="[입찰안.xls][입찰안.xls]_____xls_1998"/>
      <sheetName val="[입찰안.xls][입찰안.xls]_____xls_1996"/>
      <sheetName val="[입찰안.xls][입찰안.xls]_____xls_2006"/>
      <sheetName val="[입찰안.xls][입찰안.xls]_____xls_2001"/>
      <sheetName val="[입찰안.xls][입찰안.xls]_____xls_1999"/>
      <sheetName val="[입찰안.xls][입찰안.xls]_____xls_2000"/>
      <sheetName val="[입찰안.xls][입찰안.xls]_____xls_2003"/>
      <sheetName val="[입찰안.xls][입찰안.xls]_____xls_2002"/>
      <sheetName val="[입찰안.xls][입찰안.xls]_____xls_2005"/>
      <sheetName val="[입찰안.xls][입찰안.xls]_____xls_2004"/>
      <sheetName val="[입찰안.xls][입찰안.xls]_____xls_2007"/>
      <sheetName val="[입찰안.xls][입찰안.xls]_____xls_2014"/>
      <sheetName val="[입찰안.xls][입찰안.xls]_____xls_2038"/>
      <sheetName val="[입찰안.xls][입찰안.xls]_____xls_2008"/>
      <sheetName val="[입찰안.xls][입찰안.xls]_____xls_2009"/>
      <sheetName val="[입찰안.xls][입찰안.xls]_____xls_2010"/>
      <sheetName val="[입찰안.xls][입찰안.xls]_____xls_2011"/>
      <sheetName val="[입찰안.xls][입찰안.xls]_____xls_2012"/>
      <sheetName val="[입찰안.xls][입찰안.xls]_____xls_2013"/>
      <sheetName val="[입찰안.xls][입찰안.xls]_____xls_2015"/>
      <sheetName val="[입찰안.xls][입찰안.xls]_____xls_2016"/>
      <sheetName val="[입찰안.xls][입찰안.xls]_____xls_2017"/>
      <sheetName val="[입찰안.xls][입찰안.xls]_____xls_2018"/>
      <sheetName val="[입찰안.xls][입찰안.xls]_____xls_2019"/>
      <sheetName val="[입찰안.xls][입찰안.xls]_____xls_2026"/>
      <sheetName val="[입찰안.xls][입찰안.xls]_____xls_2020"/>
      <sheetName val="[입찰안.xls][입찰안.xls]_____xls_2021"/>
      <sheetName val="[입찰안.xls][입찰안.xls]_____xls_2022"/>
      <sheetName val="[입찰안.xls][입찰안.xls]_____xls_2023"/>
      <sheetName val="[입찰안.xls][입찰안.xls]_____xls_2024"/>
      <sheetName val="[입찰안.xls][입찰안.xls]_____xls_2025"/>
      <sheetName val="[입찰안.xls][입찰안.xls]_____xls_2028"/>
      <sheetName val="[입찰안.xls][입찰안.xls]_____xls_2027"/>
      <sheetName val="[입찰안.xls][입찰안.xls]_____xls_2029"/>
      <sheetName val="[입찰안.xls][입찰안.xls]_____xls_2041"/>
      <sheetName val="[입찰안.xls][입찰안.xls]_____xls_2030"/>
      <sheetName val="[입찰안.xls][입찰안.xls]_____xls_2032"/>
      <sheetName val="[입찰안.xls][입찰안.xls]_____xls_2031"/>
      <sheetName val="[입찰안.xls][입찰안.xls]_____xls_2034"/>
      <sheetName val="[입찰안.xls][입찰안.xls]_____xls_2033"/>
      <sheetName val="[입찰안.xls][입찰안.xls]_____xls_2035"/>
      <sheetName val="[입찰안.xls][입찰안.xls]_____xls_2036"/>
      <sheetName val="[입찰안.xls][입찰안.xls]_____xls_2037"/>
      <sheetName val="[입찰안.xls][입찰안.xls]_____xls_2039"/>
      <sheetName val="[입찰안.xls][입찰안.xls]_____xls_2040"/>
      <sheetName val="[입찰안.xls][입찰안.xls]_____xls_2043"/>
      <sheetName val="[입찰안.xls][입찰안.xls]_____xls_2045"/>
      <sheetName val="[입찰안.xls][입찰안.xls]_____xls_2042"/>
      <sheetName val="[입찰안.xls][입찰안.xls]_____xls_2044"/>
      <sheetName val="[입찰안.xls][입찰안.xls]_____xls_2072"/>
      <sheetName val="[입찰안.xls][입찰안.xls]_____xls_2050"/>
      <sheetName val="[입찰안.xls][입찰안.xls]_____xls_2053"/>
      <sheetName val="[입찰안.xls][입찰안.xls]_____xls_2047"/>
      <sheetName val="[입찰안.xls][입찰안.xls]_____xls_2046"/>
      <sheetName val="[입찰안.xls][입찰안.xls]_____xls_2048"/>
      <sheetName val="[입찰안.xls][입찰안.xls]_____xls_2049"/>
      <sheetName val="[입찰안.xls][입찰안.xls]_____xls_2051"/>
      <sheetName val="[입찰안.xls][입찰안.xls]_____xls_2052"/>
      <sheetName val="[입찰안.xls][입찰안.xls]_____xls_2054"/>
      <sheetName val="[입찰안.xls][입찰안.xls]_____xls_2055"/>
      <sheetName val="[입찰안.xls][입찰안.xls]_____xls_2056"/>
      <sheetName val="[입찰안.xls][입찰안.xls]_____xls_2057"/>
      <sheetName val="[입찰안.xls][입찰안.xls]_____xls_2060"/>
      <sheetName val="[입찰안.xls][입찰안.xls]_____xls_2059"/>
      <sheetName val="[입찰안.xls][입찰안.xls]_____xls_2058"/>
      <sheetName val="[입찰안.xls][입찰안.xls]_____xls_2061"/>
      <sheetName val="[입찰안.xls][입찰안.xls]_____xls_2074"/>
      <sheetName val="[입찰안.xls][입찰안.xls]_____xls_2062"/>
      <sheetName val="[입찰안.xls][입찰안.xls]_____xls_2063"/>
      <sheetName val="[입찰안.xls][입찰안.xls]_____xls_2064"/>
      <sheetName val="[입찰안.xls][입찰안.xls]_____xls_2066"/>
      <sheetName val="[입찰안.xls][입찰안.xls]_____xls_2065"/>
      <sheetName val="[입찰안.xls][입찰안.xls]_____xls_2067"/>
      <sheetName val="[입찰안.xls][입찰안.xls]_____xls_2070"/>
      <sheetName val="[입찰안.xls][입찰안.xls]_____xls_2068"/>
      <sheetName val="[입찰안.xls][입찰안.xls]_____xls_2069"/>
      <sheetName val="[입찰안.xls][입찰안.xls]_____xls_2071"/>
      <sheetName val="[입찰안.xls][입찰안.xls]_____xls_2073"/>
      <sheetName val="[입찰안.xls][입찰안.xls]_____xls_2082"/>
      <sheetName val="[입찰안.xls][입찰안.xls]_____xls_2075"/>
      <sheetName val="[입찰안.xls][입찰안.xls]_____xls_2076"/>
      <sheetName val="[입찰안.xls][입찰안.xls]_____xls_2077"/>
      <sheetName val="[입찰안.xls][입찰안.xls]_____xls_2079"/>
      <sheetName val="[입찰안.xls][입찰안.xls]_____xls_2078"/>
      <sheetName val="[입찰안.xls][입찰안.xls]_____xls_2104"/>
      <sheetName val="[입찰안.xls][입찰안.xls]_____xls_2080"/>
      <sheetName val="[입찰안.xls][입찰안.xls]_____xls_2081"/>
      <sheetName val="[입찰안.xls][입찰안.xls]_____xls_2103"/>
      <sheetName val="[입찰안.xls][입찰안.xls]_____xls_2083"/>
      <sheetName val="[입찰안.xls][입찰안.xls]_____xls_2087"/>
      <sheetName val="[입찰안.xls][입찰안.xls]_____xls_2095"/>
      <sheetName val="[입찰안.xls][입찰안.xls]_____xls_2085"/>
      <sheetName val="[입찰안.xls][입찰안.xls]_____xls_2084"/>
      <sheetName val="[입찰안.xls][입찰안.xls]_____xls_2086"/>
      <sheetName val="[입찰안.xls][입찰안.xls]_____xls_2088"/>
      <sheetName val="[입찰안.xls][입찰안.xls]_____xls_2090"/>
      <sheetName val="[입찰안.xls][입찰안.xls]_____xls_2089"/>
      <sheetName val="[입찰안.xls][입찰안.xls]_____xls_2091"/>
      <sheetName val="[입찰안.xls][입찰안.xls]_____xls_2092"/>
      <sheetName val="[입찰안.xls][입찰안.xls]_____xls_2093"/>
      <sheetName val="[입찰안.xls][입찰안.xls]_____xls_2094"/>
      <sheetName val="[입찰안.xls][입찰안.xls]_____xls_2096"/>
      <sheetName val="[입찰안.xls][입찰안.xls]_____xls_2097"/>
      <sheetName val="[입찰안.xls][입찰안.xls]_____xls_2098"/>
      <sheetName val="[입찰안.xls][입찰안.xls]_____xls_2100"/>
      <sheetName val="[입찰안.xls][입찰안.xls]_____xls_2099"/>
      <sheetName val="[입찰안.xls][입찰안.xls]_____xls_2101"/>
      <sheetName val="[입찰안.xls][입찰안.xls]_____xls_2102"/>
      <sheetName val="[입찰안.xls][입찰안.xls]_____xls_2105"/>
      <sheetName val="[입찰안.xls][입찰안.xls]_____xls_2129"/>
      <sheetName val="[입찰안.xls][입찰안.xls]_____xls_2128"/>
      <sheetName val="[입찰안.xls][입찰안.xls]_____xls_2107"/>
      <sheetName val="[입찰안.xls][입찰안.xls]_____xls_2106"/>
      <sheetName val="[입찰안.xls][입찰안.xls]_____xls_2110"/>
      <sheetName val="[입찰안.xls][입찰안.xls]_____xls_2108"/>
      <sheetName val="[입찰안.xls][입찰안.xls]_____xls_2109"/>
      <sheetName val="[입찰안.xls][입찰안.xls]_____xls_2112"/>
      <sheetName val="[입찰안.xls][입찰안.xls]_____xls_2111"/>
      <sheetName val="[입찰안.xls][입찰안.xls]_____xls_2114"/>
      <sheetName val="[입찰안.xls][입찰안.xls]_____xls_2113"/>
      <sheetName val="[입찰안.xls][입찰안.xls]_____xls_2115"/>
      <sheetName val="[입찰안.xls][입찰안.xls]_____xls_2116"/>
      <sheetName val="[입찰안.xls][입찰안.xls]_____xls_2119"/>
      <sheetName val="[입찰안.xls][입찰안.xls]_____xls_2117"/>
      <sheetName val="[입찰안.xls][입찰안.xls]_____xls_2118"/>
      <sheetName val="[입찰안.xls][입찰안.xls]_____xls_2120"/>
      <sheetName val="[입찰안.xls][입찰안.xls]_____xls_2121"/>
      <sheetName val="[입찰안.xls][입찰안.xls]_____xls_2122"/>
      <sheetName val="[입찰안.xls][입찰안.xls]_____xls_2123"/>
      <sheetName val="[입찰안.xls][입찰안.xls]_____xls_2127"/>
      <sheetName val="[입찰안.xls][입찰안.xls]_____xls_2124"/>
      <sheetName val="[입찰안.xls][입찰안.xls]_____xls_2125"/>
      <sheetName val="[입찰안.xls][입찰안.xls]_____xls_2126"/>
      <sheetName val="[입찰안.xls][입찰안.xls]_____xls_2134"/>
      <sheetName val="[입찰안.xls][입찰안.xls]_____xls_2130"/>
      <sheetName val="[입찰안.xls][입찰안.xls]_____xls_2131"/>
      <sheetName val="[입찰안.xls][입찰안.xls]_____xls_2132"/>
      <sheetName val="[입찰안.xls][입찰안.xls]_____xls_2133"/>
      <sheetName val="[입찰안.xls][입찰안.xls]_____xls_2135"/>
      <sheetName val="[입찰안.xls][입찰안.xls]_____xls_2136"/>
      <sheetName val="[입찰안.xls][입찰안.xls]_____xls_2138"/>
      <sheetName val="[입찰안.xls][입찰안.xls]_____xls_2137"/>
      <sheetName val="[입찰안.xls][입찰안.xls]_____xls_2139"/>
      <sheetName val="[입찰안.xls][입찰안.xls]_____xls_2141"/>
      <sheetName val="[입찰안.xls][입찰안.xls]_____xls_2140"/>
      <sheetName val="[입찰안.xls][입찰안.xls]_____xls_2142"/>
      <sheetName val="[입찰안.xls][입찰안.xls]_____xls_2143"/>
      <sheetName val="[입찰안.xls][입찰안.xls]_____xls_2144"/>
      <sheetName val="[입찰안.xls][입찰안.xls]_____xls_2147"/>
      <sheetName val="[입찰안.xls][입찰안.xls]_____xls_2148"/>
      <sheetName val="[입찰안.xls][입찰안.xls]_____xls_2151"/>
      <sheetName val="[입찰안.xls][입찰안.xls]_____xls_2149"/>
      <sheetName val="[입찰안.xls][입찰안.xls]_____xls_2152"/>
      <sheetName val="[입찰안.xls][입찰안.xls]_____xls_2153"/>
      <sheetName val="[입찰안.xls][입찰안.xls]_____xls_2150"/>
      <sheetName val="[입찰안.xls][입찰안.xls]_____xls_2195"/>
      <sheetName val="[입찰안.xls][입찰안.xls]_____xls_2187"/>
      <sheetName val="[입찰안.xls][입찰안.xls]_____xls_2189"/>
      <sheetName val="[입찰안.xls][입찰안.xls]_____xls_2190"/>
      <sheetName val="[입찰안.xls][입찰안.xls]_____xls_2184"/>
      <sheetName val="[입찰안.xls][입찰안.xls]_____xls_2185"/>
      <sheetName val="[입찰안.xls][입찰안.xls]_____xls_2158"/>
      <sheetName val="[입찰안.xls][입찰안.xls]_____xls_2160"/>
      <sheetName val="[입찰안.xls][입찰안.xls]_____xls_2157"/>
      <sheetName val="[입찰안.xls][입찰안.xls]_____xls_2155"/>
      <sheetName val="[입찰안.xls][입찰안.xls]_____xls_2156"/>
      <sheetName val="[입찰안.xls][입찰안.xls]_____xls_2159"/>
      <sheetName val="[입찰안.xls][입찰안.xls]_____xls_2164"/>
      <sheetName val="[입찰안.xls][입찰안.xls]_____xls_2165"/>
      <sheetName val="[입찰안.xls][입찰안.xls]_____xls_2163"/>
      <sheetName val="[입찰안.xls][입찰안.xls]_____xls_2161"/>
      <sheetName val="[입찰안.xls][입찰안.xls]_____xls_2162"/>
      <sheetName val="[입찰안.xls][입찰안.xls]_____xls_2166"/>
      <sheetName val="[입찰안.xls][입찰안.xls]_____xls_2180"/>
      <sheetName val="[입찰안.xls][입찰안.xls]_____xls_2167"/>
      <sheetName val="[입찰안.xls][입찰안.xls]_____xls_2169"/>
      <sheetName val="[입찰안.xls][입찰안.xls]_____xls_2170"/>
      <sheetName val="[입찰안.xls][입찰안.xls]_____xls_2177"/>
      <sheetName val="[입찰안.xls][입찰안.xls]_____xls_2168"/>
      <sheetName val="[입찰안.xls][입찰안.xls]_____xls_2181"/>
      <sheetName val="[입찰안.xls][입찰안.xls]_____xls_2171"/>
      <sheetName val="[입찰안.xls][입찰안.xls]_____xls_2172"/>
      <sheetName val="[입찰안.xls][입찰안.xls]_____xls_2173"/>
      <sheetName val="[입찰안.xls][입찰안.xls]_____xls_2174"/>
      <sheetName val="[입찰안.xls][입찰안.xls]_____xls_2175"/>
      <sheetName val="[입찰안.xls][입찰안.xls]_____xls_2176"/>
      <sheetName val="[입찰안.xls][입찰안.xls]_____xls_2182"/>
      <sheetName val="[입찰안.xls][입찰안.xls]_____xls_2178"/>
      <sheetName val="[입찰안.xls][입찰안.xls]_____xls_2179"/>
      <sheetName val="[입찰안.xls][입찰안.xls]_____xls_2183"/>
      <sheetName val="[입찰안.xls][입찰안.xls]_____xls_2186"/>
      <sheetName val="[입찰안.xls][입찰안.xls]_____xls_2191"/>
      <sheetName val="[입찰안.xls][입찰안.xls]_____xls_2188"/>
      <sheetName val="[입찰안.xls][입찰안.xls]_____xls_2193"/>
      <sheetName val="[입찰안.xls][입찰안.xls]_____xls_2194"/>
      <sheetName val="[입찰안.xls][입찰안.xls]_____xls_2192"/>
      <sheetName val="해평견적"/>
      <sheetName val="SS"/>
      <sheetName val="인계"/>
      <sheetName val="0226"/>
      <sheetName val="[입찰안.xls][입찰안.xls]_____xls_2199"/>
      <sheetName val="[입찰안.xls][입찰안.xls]_____xls_2200"/>
      <sheetName val="[입찰안.xls][입찰안.xls]_____xls_2203"/>
      <sheetName val="[입찰안.xls][입찰안.xls]_____xls_2204"/>
      <sheetName val="[입찰안.xls][입찰안.xls]_____xls_2202"/>
      <sheetName val="[입찰안.xls][입찰안.xls]_____xls_2201"/>
      <sheetName val="[입찰안.xls][입찰안.xls]_____xls_2205"/>
      <sheetName val="[입찰안.xls][입찰안.xls]_____xls_2206"/>
      <sheetName val="[입찰안.xls][입찰안.xls]_____xls_2207"/>
      <sheetName val="[입찰안.xls][입찰안.xls]_____xls_2212"/>
      <sheetName val="[입찰안.xls][입찰안.xls]_____xls_2208"/>
      <sheetName val="[입찰안.xls][입찰안.xls]_____xls_2209"/>
      <sheetName val="[입찰안.xls][입찰안.xls]_____xls_2210"/>
      <sheetName val="[입찰안.xls][입찰안.xls]_____xls_2211"/>
      <sheetName val="[입찰안.xls][입찰안.xls]_____xls_2221"/>
      <sheetName val="[입찰안.xls][입찰안.xls]_____xls_2223"/>
      <sheetName val="원데이타"/>
      <sheetName val="노원열병합__건축공사기성내역ၒ"/>
      <sheetName val="[입찰안.xls][입찰안.xls]_____xls_2220"/>
      <sheetName val="[입찰안.xls][입찰안.xls]_____xls_2215"/>
      <sheetName val="[입찰안.xls][입찰안.xls]_____xls_2219"/>
      <sheetName val="[입찰안.xls][입찰안.xls]_____xls_2217"/>
      <sheetName val="[입찰안.xls][입찰안.xls]_____xls_2216"/>
      <sheetName val="[입찰안.xls][입찰안.xls]_____xls_2218"/>
      <sheetName val="[입찰안.xls][입찰안.xls]_____xls_2224"/>
      <sheetName val="[입찰안.xls][입찰안.xls]_____xls_2222"/>
      <sheetName val="[입찰안.xls][입찰안.xls]_____xls_2226"/>
      <sheetName val="[입찰안.xls][입찰안.xls]_____xls_2230"/>
      <sheetName val="[입찰안.xls][입찰안.xls]_____xls_2227"/>
      <sheetName val="[입찰안.xls][입찰안.xls]_입___xls_1002"/>
      <sheetName val="[입찰안.xls][입찰안.xls]_입___xls_1001"/>
      <sheetName val="UXSLCNK4"/>
      <sheetName val="직접뀀鞖/_x005f_x0000_"/>
      <sheetName val="정리계槜〚_x005f_x0000__x005f_x0000_䇀"/>
      <sheetName val="design_crit_x005f_x0000__x005f_x0000__x00_2"/>
      <sheetName val="내역_verᔈ_x005f_x0000__x005f_x0000_"/>
      <sheetName val="계산_x005f_x0000__x005f_x0000_"/>
      <sheetName val="1_2_3_4_x005f_x0005__x005f_x0000___x005f_x0000__2"/>
      <sheetName val="6_산출닑⾱_x005f_x0005__x005f_x0000_"/>
      <sheetName val="조도계산서Å_x005f_x0000_Ԁ_x005f_x0000__x005f_x0000_"/>
      <sheetName val="조도계산서Å_x005f_x0000_Ԁ_x005f_x0000_耀"/>
      <sheetName val="공량·_x005f_x0000__x005f_x0000_"/>
      <sheetName val="working_load_at_______x005f_x0000___2"/>
      <sheetName val="[입찰안.xls]직접뀀鞖/_x005f_x0000_"/>
      <sheetName val="[입찰안.xls][입찰안.xls]직접뀀鞖/_x005f_x0000_"/>
      <sheetName val="_____x005f_x0000__x005f_x0000__x005f_x0005__x00_2"/>
      <sheetName val="plan_section_of__x005f_x0000__x005f_x0000_2"/>
      <sheetName val="원_x005f_x0000__x005f_x0000_"/>
      <sheetName val="1,2,3,4_x005f_x0005_"/>
      <sheetName val="단_x005f_x0005__x005f_x0000_"/>
      <sheetName val="공기압¬_x005f_x0000_Ԁ"/>
      <sheetName val="pile_bearing_capa__________x0_2"/>
      <sheetName val="pile_bearing_capa________x000_2"/>
      <sheetName val="일위대가(집계_x005f_x0000_"/>
      <sheetName val="정리계槜で_x005f_x0000__x005f_x0000_ｐ"/>
      <sheetName val="정리계槜で_x005f_x0000__x005f_x0000_㟠"/>
      <sheetName val="_________x005f_x0000__x005f_x0000__x005f_x0005__2"/>
      <sheetName val="_________x005f_x0000__x005f_x0000__x005f_x0005__3"/>
      <sheetName val="pile_bearing_ca____x005f_x0000______2"/>
      <sheetName val="__x005f_x0000__x005f_x0000____x005f_x0000__x000_2"/>
      <sheetName val="__x005f_x0000__x005f_x0000____x005f_x0000__x000_3"/>
      <sheetName val="__x005f_x0000__x005f_x0000____x005f_x0000__x000_4"/>
      <sheetName val="__x005f_x0000__x005f_x0000____x005f_x0000__x000_5"/>
      <sheetName val="__x005f_x0000__x005f_x0000____x005f_x0000__x000_6"/>
      <sheetName val="__x005f_x0000__x005f_x0000____x005f_x0000__x000_7"/>
      <sheetName val="__x005f_x0000__x005f_x0000____x005f_x0000__x000_8"/>
      <sheetName val="__x005f_x0000__x005f_x0000____x005f_x0000__x000_9"/>
      <sheetName val="__x005f_x0000__x005f_x0000____x005f_x0000__x00_10"/>
      <sheetName val="__x005f_x0000__x005f_x0000____x005f_x0000__x00_11"/>
      <sheetName val="__x005f_x0000__x005f_x0000____x005f_x0000__x00_12"/>
      <sheetName val="__x005f_x0000__x005f_x0000____x005f_x0000__x00_13"/>
      <sheetName val="__x005f_x0000__x005f_x0000____x005f_x0000__x00_14"/>
      <sheetName val="__x005f_x0000__x005f_x0000____x005f_x0000__x00_15"/>
      <sheetName val="__x005f_x0000__x005f_x0000____x005f_x0000__x00_16"/>
      <sheetName val="__x005f_x0000__x005f_x0000____x005f_x0000__x00_17"/>
      <sheetName val="__x005f_x0000__x005f_x0000____x005f_x0000__x00_18"/>
      <sheetName val="__x005f_x0000__x005f_x0000____x005f_x0000__x00_19"/>
      <sheetName val="__x005f_x0000__x005f_x0000____x005f_x0000__x00_20"/>
      <sheetName val="__x005f_x0000__x005f_x0000____x005f_x0000__x00_21"/>
      <sheetName val="__x005f_x0000__x005f_x0000____x005f_x0000__x00_22"/>
      <sheetName val="__x005f_x0000__x005f_x0000____x005f_x0000__x00_23"/>
      <sheetName val="__x005f_x0000__x005f_x0000____x005f_x0000__x00_24"/>
      <sheetName val="__x005f_x0000__x005f_x0000____x005f_x0000__x00_25"/>
      <sheetName val="__x005f_x0000__x005f_x0000____x005f_x0000__x00_26"/>
      <sheetName val="__x005f_x0000__x005f_x0000____x005f_x0000__x00_27"/>
      <sheetName val="__x005f_x0000__x005f_x0000____x005f_x0000__x00_28"/>
      <sheetName val="__x005f_x0000__x005f_x0000____x005f_x0000__x00_29"/>
      <sheetName val="__x005f_x0000__x005f_x0000____x005f_x0000__x00_30"/>
      <sheetName val="__x005f_x0000__x005f_x0000____x005f_x0000__x00_31"/>
      <sheetName val="__x005f_x0000__x005f_x0000____x005f_x0000__x00_32"/>
      <sheetName val="__x005f_x0000__x005f_x0000____x005f_x0000__x00_33"/>
      <sheetName val="__x005f_x0000__x005f_x0000____x005f_x0000__x00_34"/>
      <sheetName val="__x005f_x0000__x005f_x0000____x005f_x0000__x00_35"/>
      <sheetName val="__x005f_x0000__x005f_x0000____x005f_x0000__x00_36"/>
      <sheetName val="__x005f_x0000__x005f_x0000____x005f_x0000__x00_37"/>
      <sheetName val="__x005f_x0000__x005f_x0000____x005f_x0000__x00_38"/>
      <sheetName val="__x005f_x0000__x005f_x0000____x005f_x0000__x00_39"/>
      <sheetName val="__x005f_x0000__x005f_x0000____x005f_x0000__x00_40"/>
      <sheetName val="__x005f_x0000__x005f_x0000____x005f_x0000__x00_41"/>
      <sheetName val="__x005f_x0000__x005f_x0000____x005f_x0000__x00_42"/>
      <sheetName val="__x005f_x0000__x005f_x0000____x005f_x0000__x00_43"/>
      <sheetName val="__x005f_x0000__x005f_x0000____x005f_x0000__x00_44"/>
      <sheetName val="__x005f_x0000__x005f_x0000____x005f_x0000__x00_45"/>
      <sheetName val="__x005f_x0000__x005f_x0000____x005f_x0000__x00_46"/>
      <sheetName val="__x005f_x0000__x005f_x0000____x005f_x0000__x00_47"/>
      <sheetName val="__x005f_x0000__x005f_x0000____x005f_x0000__x00_48"/>
      <sheetName val="__x005f_x0000__x005f_x0000____x005f_x0000__x00_49"/>
      <sheetName val="__x005f_x0000__x005f_x0000____x005f_x0000__x00_50"/>
      <sheetName val="__x005f_x0000__x005f_x0000____x005f_x0000__x00_51"/>
      <sheetName val="__x005f_x0000__x005f_x0000____x005f_x0000__x00_52"/>
      <sheetName val="__x005f_x0000__x005f_x0000____x005f_x0000__x00_53"/>
      <sheetName val="__x005f_x0000__x005f_x0000____x005f_x0000__x00_54"/>
      <sheetName val="__x005f_x0000__x005f_x0000____x005f_x0000__x00_55"/>
      <sheetName val="__x005f_x0000__x005f_x0000____x005f_x0000__x00_56"/>
      <sheetName val="__x005f_x0000__x005f_x0000____x005f_x0000__x00_57"/>
      <sheetName val="__x005f_x0000__x005f_x0000____x005f_x0000__x00_58"/>
      <sheetName val="__x005f_x0000__x005f_x0000____x005f_x0000__x00_59"/>
      <sheetName val="__x005f_x0000__x005f_x0000____x005f_x0000__x00_60"/>
      <sheetName val="__x005f_x0000__x005f_x0000____x005f_x0000__x00_61"/>
      <sheetName val="__x005f_x0000__x005f_x0000____x005f_x0000__x00_62"/>
      <sheetName val="__x005f_x0000__x005f_x0000____x005f_x0000__x00_63"/>
      <sheetName val="__x005f_x0000__x005f_x0000____x005f_x0000__x00_64"/>
      <sheetName val="__x005f_x0000__x005f_x0000____x005f_x0000__x00_65"/>
      <sheetName val="__x005f_x0000__x005f_x0000____x005f_x0000__x00_66"/>
      <sheetName val="__x005f_x0000__x005f_x0000____x005f_x0000__x00_67"/>
      <sheetName val="__x005f_x0000__x005f_x0000____x005f_x0000__x00_68"/>
      <sheetName val="__x005f_x0000__x005f_x0000____x005f_x0000__x00_69"/>
      <sheetName val="__x005f_x0000__x005f_x0000____x005f_x0000__x00_70"/>
      <sheetName val="__x005f_x0000__x005f_x0000____x005f_x0000__x00_71"/>
      <sheetName val="__x005f_x0000__x005f_x0000____x005f_x0000__x00_72"/>
      <sheetName val="__x005f_x0000__x005f_x0000____x005f_x0000__x00_73"/>
      <sheetName val="__x005f_x0000__x005f_x0000____x005f_x0000__x00_74"/>
      <sheetName val="__x005f_x0000__x005f_x0000____x005f_x0000__x00_75"/>
      <sheetName val="__x005f_x0000__x005f_x0000____x005f_x0000__x00_76"/>
      <sheetName val="__x005f_x0000__x005f_x0000____x005f_x0000__x00_77"/>
      <sheetName val="__x005f_x0000__x005f_x0000____x005f_x0000__x00_78"/>
      <sheetName val="__x005f_x0000__x005f_x0000____x005f_x0000__x00_79"/>
      <sheetName val="__x005f_x0000__x005f_x0000____x005f_x0000__x00_80"/>
      <sheetName val="__x005f_x0000__x005f_x0000____x005f_x0000__x00_81"/>
      <sheetName val="__x005f_x0000__x005f_x0000____x005f_x0000__x00_82"/>
      <sheetName val="__x005f_x0000__x005f_x0000____x005f_x0000__x00_83"/>
      <sheetName val="__x005f_x0000__x005f_x0000____x005f_x0000__x00_84"/>
      <sheetName val="__x005f_x0000__x005f_x0000____x005f_x0000__x00_85"/>
      <sheetName val="__x005f_x0000__x005f_x0000____x005f_x0000__x00_86"/>
      <sheetName val="__x005f_x0000__x005f_x0000____x005f_x0000__x00_87"/>
      <sheetName val="__x005f_x0000__x005f_x0000____x005f_x0000__x00_88"/>
      <sheetName val="수량산출서집´_x005f_x0000_Ԁ_x005f_x0000_耀֜䌛"/>
      <sheetName val="전기혼잡제경⻉ⴋԯ_x005f_x0000_缀"/>
      <sheetName val="일위대가_x005f_x0000__x005f_x0000_렀"/>
      <sheetName val="일위대가耀쾑_x005f_x0000_"/>
      <sheetName val="조도계산서Ì_x005f_x0000_Ԁ_x005f_x0000_耀"/>
      <sheetName val="______x005f_x005f_x005f_x0000__x005f_x005f_x000_2"/>
      <sheetName val="____x005f_x005f_x005f_x0000__x005f_x005f_x005f_x0000__2"/>
      <sheetName val="공기압舓⿫_x005f_x005f_x005f_x0005_"/>
      <sheetName val="I_설계조_x005f_x005f_x005f_x0000_"/>
      <sheetName val="조도계산서_(도서_x005f_x005f_x005f_x0000_"/>
      <sheetName val="주bea_x005f_x005f_x005f_xdcf0_"/>
      <sheetName val="대_x005f_x005f_x005f_x0000__x005f_x005f_x005f_x0000_"/>
      <sheetName val="장悱_x005f_x0017_"/>
      <sheetName val="3련_BÈ_x005f_x0000_"/>
      <sheetName val="plan_section_of__x005f_x0010__x005f_x0000_2"/>
      <sheetName val="집계장(Â_x005f_x0000_蠀1_x005f_x0000__x005f_x0000_"/>
      <sheetName val="집계장(뀀ﰡ_x005f_x0000_䀰"/>
      <sheetName val="design_c_x005f_x0000__x005f_x0000______x0_2"/>
      <sheetName val="POL6차-PIPÁ_x005f_x0000_Ԁ"/>
      <sheetName val="stability_x005f_xdc00_䘢䠂檱䠛檳"/>
      <sheetName val="노원열병합__건축공사기성내역_x005f_x0000_"/>
      <sheetName val="[입찰안.xls][입찰안.xls]_____xls_2231"/>
      <sheetName val="[입찰안.xls][입찰안.xls]_____xls_2232"/>
      <sheetName val="지하시설물작성"/>
      <sheetName val="기초입력 DATA"/>
      <sheetName val="[입찰안.xls][입찰안.xls]_____xls_2425"/>
      <sheetName val="[입찰안.xls][입찰안.xls]_입_안_xls_1004"/>
      <sheetName val="[입찰안.xls][입찰안.xls]_입_안_xls_1003"/>
      <sheetName val="[입찰안.xls][입찰안.xls]_입_안_xls_1001"/>
      <sheetName val="[입찰안.xls][입찰안.xls]_입_안_xls_1002"/>
      <sheetName val="[입찰안.xls][입찰안.xls]_입_안_xls_1005"/>
      <sheetName val="[입찰안.xls][입찰안.xls]_입_안_xls_1008"/>
      <sheetName val="[입찰안.xls][입찰안.xls]_입_안_xls_1009"/>
      <sheetName val="[입찰안.xls][입찰안.xls]_입_안_xls_1010"/>
      <sheetName val="[입찰안.xls][입찰안.xls]_입_안_xls_1006"/>
      <sheetName val="[입찰안.xls][입찰안.xls]_입_안_xls_1007"/>
      <sheetName val="[입찰안.xls][입찰안.xls]_입_안_xls_1011"/>
      <sheetName val="[입찰안.xls][입찰안.xls]_입찰안_xls_1001"/>
      <sheetName val="[입찰안.xls][입찰안.xls]_입_안_xls_1012"/>
      <sheetName val="[입찰안.xls][입찰안.xls]_입_안_xls_1013"/>
      <sheetName val="[입찰안.xls][입찰안.xls]_입찰안_xls_1002"/>
      <sheetName val="[입찰안.xls][입찰안.xls]_입찰안_xls_1003"/>
      <sheetName val="[입찰안.xls][입찰안.xls]_입_안_xls_1015"/>
      <sheetName val="[입찰안.xls][입찰안.xls]_입_안_xls_1014"/>
      <sheetName val="[입찰안.xls][입찰안.xls]_입찰안_xls_1004"/>
      <sheetName val="[입찰안.xls][입찰안.xls]_입_안_xls_1016"/>
      <sheetName val="[입찰안.xls][입찰안.xls]_입찰안_xls_1005"/>
      <sheetName val="[입찰안.xls][입찰안.xls]_입_안_xls_1017"/>
      <sheetName val="[입찰안.xls][입찰안.xls]_입찰안_xls_1006"/>
      <sheetName val="[입찰안.xls][입찰안.xls]_입_안_xls_1018"/>
      <sheetName val="[입찰안.xls][입찰안.xls]_입_안_xls_1019"/>
      <sheetName val="[입찰안.xls][입찰안.xls]_입찰안_xls_1009"/>
      <sheetName val="[입찰안.xls][입찰안.xls]_입찰안_xls_1007"/>
      <sheetName val="[입찰안.xls][입찰안.xls]_입찰안_xls_1008"/>
      <sheetName val="[입찰안.xls][입찰안.xls]_입_안_xls_1020"/>
      <sheetName val="[입찰안.xls][입찰안.xls]_입_안_xls_1021"/>
      <sheetName val="[입찰안.xls][입찰안.xls]_입_안_xls_1022"/>
      <sheetName val="[입찰안.xls][입찰안.xls]_____xls_2399"/>
      <sheetName val="[입찰안.xls][입찰안.xls]_____xls_2338"/>
      <sheetName val="[입찰안.xls][입찰안.xls]_____xls_2340"/>
      <sheetName val="[입찰안.xls][입찰안.xls]_____xls_2336"/>
      <sheetName val="[입찰안.xls][입찰안.xls]_____xls_2337"/>
      <sheetName val="[입찰안.xls][입찰안.xls]_____xls_2331"/>
      <sheetName val="[입찰안.xls][입찰안.xls]_____xls_2235"/>
      <sheetName val="[입찰안.xls][입찰안.xls]_____xls_2236"/>
      <sheetName val="[입찰안.xls][입찰안.xls]_____xls_2237"/>
      <sheetName val="[입찰안.xls][입찰안.xls]_____xls_2240"/>
      <sheetName val="[입찰안.xls][입찰안.xls]_____xls_2239"/>
      <sheetName val="[입찰안.xls][입찰안.xls]_____xls_2242"/>
      <sheetName val="[입찰안.xls][입찰안.xls]_____xls_2238"/>
      <sheetName val="[입찰안.xls][입찰안.xls]_____xls_2243"/>
      <sheetName val="[입찰안.xls][입찰안.xls]_____xls_2241"/>
      <sheetName val="[입찰안.xls][입찰안.xls]_____xls_2244"/>
      <sheetName val="[입찰안.xls][입찰안.xls]_____xls_2245"/>
      <sheetName val="[입찰안.xls][입찰안.xls]_____xls_2246"/>
      <sheetName val="[입찰안.xls][입찰안.xls]_____xls_2316"/>
      <sheetName val="[입찰안.xls][입찰안.xls]_____xls_2317"/>
      <sheetName val="[입찰안.xls][입찰안.xls]_____xls_2247"/>
      <sheetName val="[입찰안.xls][입찰안.xls]_____xls_2315"/>
      <sheetName val="[입찰안.xls][입찰안.xls]_____xls_2273"/>
      <sheetName val="[입찰안.xls][입찰안.xls]_____xls_2275"/>
      <sheetName val="[입찰안.xls][입찰안.xls]_____xls_2268"/>
      <sheetName val="[입찰안.xls][입찰안.xls]_____xls_2271"/>
      <sheetName val="[입찰안.xls][입찰안.xls]_____xls_2267"/>
      <sheetName val="[입찰안.xls][입찰안.xls]_____xls_2265"/>
      <sheetName val="[입찰안.xls][입찰안.xls]_____xls_2266"/>
      <sheetName val="[입찰안.xls][입찰안.xls]_____xls_2248"/>
      <sheetName val="[입찰안.xls][입찰안.xls]_____xls_2257"/>
      <sheetName val="[입찰안.xls][입찰안.xls]_____xls_2249"/>
      <sheetName val="[입찰안.xls][입찰안.xls]_____xls_2255"/>
      <sheetName val="[입찰안.xls][입찰안.xls]_____xls_2256"/>
      <sheetName val="[입찰안.xls][입찰안.xls]_____xls_2250"/>
      <sheetName val="[입찰안.xls][입찰안.xls]_____xls_2251"/>
      <sheetName val="[입찰안.xls][입찰안.xls]_____xls_2252"/>
      <sheetName val="[입찰안.xls][입찰안.xls]_____xls_2253"/>
      <sheetName val="[입찰안.xls][입찰안.xls]_____xls_2254"/>
      <sheetName val="[입찰안.xls][입찰안.xls]_____xls_2258"/>
      <sheetName val="[입찰안.xls][입찰안.xls]_____xls_2259"/>
      <sheetName val="[입찰안.xls][입찰안.xls]_____xls_2260"/>
      <sheetName val="[입찰안.xls][입찰안.xls]_____xls_2261"/>
      <sheetName val="[입찰안.xls][입찰안.xls]_____xls_2262"/>
      <sheetName val="[입찰안.xls][입찰안.xls]_____xls_2263"/>
      <sheetName val="[입찰안.xls][입찰안.xls]_____xls_2264"/>
      <sheetName val="[입찰안.xls][입찰안.xls]_____xls_2272"/>
      <sheetName val="[입찰안.xls][입찰안.xls]_____xls_2269"/>
      <sheetName val="[입찰안.xls][입찰안.xls]_____xls_2270"/>
      <sheetName val="[입찰안.xls][입찰안.xls]_____xls_2276"/>
      <sheetName val="[입찰안.xls][입찰안.xls]_____xls_2274"/>
      <sheetName val="[입찰안.xls][입찰안.xls]_____xls_2280"/>
      <sheetName val="[입찰안.xls][입찰안.xls]_____xls_2277"/>
      <sheetName val="[입찰안.xls][입찰안.xls]_____xls_2278"/>
      <sheetName val="[입찰안.xls][입찰안.xls]_____xls_2279"/>
      <sheetName val="[입찰안.xls][입찰안.xls]_____xls_2281"/>
      <sheetName val="[입찰안.xls][입찰안.xls]_____xls_2286"/>
      <sheetName val="[입찰안.xls][입찰안.xls]_____xls_2285"/>
      <sheetName val="PSCbeam설계"/>
      <sheetName val="[입찰안.xls][입찰안.xls]_____xls_2287"/>
      <sheetName val="[입찰안.xls][입찰안.xls]_____xls_2282"/>
      <sheetName val="[입찰안.xls][입찰안.xls]_____xls_2283"/>
      <sheetName val="[입찰안.xls][입찰안.xls]_____xls_2284"/>
      <sheetName val="[입찰안.xls][입찰안.xls]_____xls_2289"/>
      <sheetName val="[입찰안.xls][입찰안.xls]_____xls_2288"/>
      <sheetName val="[입찰안.xls][입찰안.xls]_____xls_2293"/>
      <sheetName val="[입찰안.xls][입찰안.xls]_____xls_2292"/>
      <sheetName val="[입찰안.xls][입찰안.xls]_____xls_2290"/>
      <sheetName val="[입찰안.xls][입찰안.xls]_____xls_2291"/>
      <sheetName val="[입찰안.xls][입찰안.xls]_____xls_2294"/>
      <sheetName val="[입찰안.xls][입찰안.xls]_____xls_2295"/>
      <sheetName val="[입찰안.xls][입찰안.xls]_____xls_2296"/>
      <sheetName val="[입찰안.xls][입찰안.xls]_____xls_2297"/>
      <sheetName val="[입찰안.xls][입찰안.xls]_____xls_2299"/>
      <sheetName val="[입찰안.xls][입찰안.xls]_____xls_2301"/>
      <sheetName val="[입찰안.xls][입찰안.xls]_____xls_2302"/>
      <sheetName val="[입찰안.xls][입찰안.xls]_____xls_2298"/>
      <sheetName val="[입찰안.xls][입찰안.xls]_____xls_2300"/>
      <sheetName val="[입찰안.xls][입찰안.xls]_____xls_2304"/>
      <sheetName val="[입찰안.xls][입찰안.xls]_____xls_2303"/>
      <sheetName val="[입찰안.xls][입찰안.xls]_____xls_2313"/>
      <sheetName val="[입찰안.xls][입찰안.xls]_____xls_2306"/>
      <sheetName val="[입찰안.xls][입찰안.xls]_____xls_2305"/>
      <sheetName val="[입찰안.xls][입찰안.xls]_____xls_2307"/>
      <sheetName val="[입찰안.xls][입찰안.xls]_____xls_2309"/>
      <sheetName val="[입찰안.xls][입찰안.xls]_____xls_2308"/>
      <sheetName val="[입찰안.xls][입찰안.xls]_____xls_2310"/>
      <sheetName val="[입찰안.xls][입찰안.xls]_____xls_2311"/>
      <sheetName val="[입찰안.xls][입찰안.xls]_____xls_2312"/>
      <sheetName val="[입찰안.xls][입찰안.xls]_____xls_2314"/>
      <sheetName val="[입찰안.xls][입찰안.xls]_____xls_2318"/>
      <sheetName val="[입찰안.xls][입찰안.xls]_____xls_2320"/>
      <sheetName val="[입찰안.xls][입찰안.xls]_____xls_2322"/>
      <sheetName val="[입찰안.xls][입찰안.xls]_____xls_2319"/>
      <sheetName val="[입찰안.xls][입찰안.xls]_____xls_2321"/>
      <sheetName val="[입찰안.xls][입찰안.xls]_____xls_2323"/>
      <sheetName val="[입찰안.xls][입찰안.xls]_____xls_2324"/>
      <sheetName val="[입찰안.xls][입찰안.xls]_____xls_2325"/>
      <sheetName val="(A)내역서"/>
      <sheetName val="[입찰안.xls][입찰안.xls]_____xls_2326"/>
      <sheetName val="[입찰안.xls][입찰안.xls]_____xls_2327"/>
      <sheetName val="[입찰안.xls][입찰안.xls]_____xls_2328"/>
      <sheetName val="[입찰안.xls][입찰안.xls]_____xls_2329"/>
      <sheetName val="[입찰안.xls][입찰안.xls]_____xls_2330"/>
      <sheetName val="[입찰안.xls][입찰안.xls]_____xls_2335"/>
      <sheetName val="[입찰안.xls][입찰안.xls]_____xls_2332"/>
      <sheetName val="[입찰안.xls][입찰안.xls]_____xls_2333"/>
      <sheetName val="[입찰안.xls][입찰안.xls]_____xls_2334"/>
      <sheetName val="[입찰안.xls][입찰안.xls]_____xls_2339"/>
      <sheetName val="[입찰안.xls][입찰안.xls]_____xls_2345"/>
      <sheetName val="[입찰안.xls][입찰안.xls]_____xls_2341"/>
      <sheetName val="[입찰안.xls][입찰안.xls]_____xls_2347"/>
      <sheetName val="[입찰안.xls][입찰안.xls]_____xls_2342"/>
      <sheetName val="[입찰안.xls][입찰안.xls]_____xls_2343"/>
      <sheetName val="[입찰안.xls][입찰안.xls]_____xls_2344"/>
      <sheetName val="[입찰안.xls][입찰안.xls]_____xls_2346"/>
      <sheetName val="[입찰안.xls][입찰안.xls]_____xls_2349"/>
      <sheetName val="[입찰안.xls][입찰안.xls]_____xls_2356"/>
      <sheetName val="[입찰안.xls][입찰안.xls]_____xls_2355"/>
      <sheetName val="[입찰안.xls][입찰안.xls]_____xls_2348"/>
      <sheetName val="[입찰안.xls][입찰안.xls]_____xls_2350"/>
      <sheetName val="[입찰안.xls][입찰안.xls]_____xls_2351"/>
      <sheetName val="[입찰안.xls][입찰안.xls]_____xls_2352"/>
      <sheetName val="[입찰안.xls][입찰안.xls]_____xls_2353"/>
      <sheetName val="[입찰안.xls][입찰안.xls]_____xls_2354"/>
      <sheetName val="[입찰안.xls][입찰안.xls]_____xls_2357"/>
      <sheetName val="[입찰안.xls][입찰안.xls]_____xls_2359"/>
      <sheetName val="[입찰안.xls][입찰안.xls]_____xls_2360"/>
      <sheetName val="[입찰안.xls][입찰안.xls]_____xls_2358"/>
      <sheetName val="[입찰안.xls][입찰안.xls]_____xls_2361"/>
      <sheetName val="[입찰안.xls][입찰안.xls]_____xls_2362"/>
      <sheetName val="[입찰안.xls][입찰안.xls]_____xls_2363"/>
      <sheetName val="[입찰안.xls][입찰안.xls]_____xls_2365"/>
      <sheetName val="[입찰안.xls][입찰안.xls]_____xls_2366"/>
      <sheetName val="[입찰안.xls][입찰안.xls]_____xls_2364"/>
      <sheetName val="[입찰안.xls][입찰안.xls]_____xls_2367"/>
      <sheetName val="[입찰안.xls][입찰안.xls]_____xls_2368"/>
      <sheetName val="[입찰안.xls][입찰안.xls]_____xls_2369"/>
      <sheetName val="[입찰안.xls][입찰안.xls]_____xls_2370"/>
      <sheetName val="[입찰안.xls][입찰안.xls]_____xls_2373"/>
      <sheetName val="[입찰안.xls][입찰안.xls]_____xls_2372"/>
      <sheetName val="[입찰안.xls][입찰안.xls]_____xls_2371"/>
      <sheetName val="[입찰안.xls][입찰안.xls]_____xls_2374"/>
      <sheetName val="[입찰안.xls][입찰안.xls]_____xls_2377"/>
      <sheetName val="[입찰안.xls][입찰안.xls]_____xls_2376"/>
      <sheetName val="[입찰안.xls][입찰안.xls]_____xls_2378"/>
      <sheetName val="[입찰안.xls][입찰안.xls]_입_안_xls_1023"/>
      <sheetName val="[입찰안.xls][입찰안.xls]_입_안_xls_1024"/>
      <sheetName val="[입찰안.xls][입찰안.xls]_입찰안_xls_1010"/>
      <sheetName val="[입찰안.xls][입찰안.xls]_입_안_xls_1025"/>
      <sheetName val="[입찰안.xls][입찰안.xls]_입찰안_xls_1011"/>
      <sheetName val="[입찰안.xls][입찰안.xls]_입_안_xls_1028"/>
      <sheetName val="[입찰안.xls][입찰안.xls]_입_안_xls_1026"/>
      <sheetName val="[입찰안.xls][입찰안.xls]_입찰안_xls_1012"/>
      <sheetName val="[입찰안.xls][입찰안.xls]_입_안_xls_1027"/>
      <sheetName val="[입찰안.xls][입찰안.xls]_입_안_xls_1029"/>
      <sheetName val="[입찰안.xls][입찰안.xls]_입_안_xls_1030"/>
      <sheetName val="[입찰안.xls][입찰안.xls]_입_안_xls_1032"/>
      <sheetName val="[입찰안.xls][입찰안.xls]_입_안_xls_1031"/>
      <sheetName val="[입찰안.xls][입찰안.xls]_입찰안_xls_1014"/>
      <sheetName val="[입찰안.xls][입찰안.xls]_입_안_xls_1034"/>
      <sheetName val="[입찰안.xls][입찰안.xls]_입찰안_xls_1013"/>
      <sheetName val="[입찰안.xls][입찰안.xls]_입_안_xls_1033"/>
      <sheetName val="[입찰안.xls][입찰안.xls]_입찰안_xls_1015"/>
      <sheetName val="[입찰안.xls][입찰안.xls]_입찰안_xls_1016"/>
      <sheetName val="[입찰안.xls][입찰안.xls]_입_안_xls_1035"/>
      <sheetName val="[입찰안.xls][입찰안.xls]_입_안_xls_1036"/>
      <sheetName val="[입찰안.xls][입찰안.xls]_입찰안_xls_1020"/>
      <sheetName val="[입찰안.xls][입찰안.xls]_입찰안_xls_1017"/>
      <sheetName val="[입찰안.xls][입찰안.xls]_입찰안_xls_1018"/>
      <sheetName val="[입찰안.xls][입찰안.xls]_입찰안_xls_1019"/>
      <sheetName val="[입찰안.xls][입찰안.xls]_입찰안_xls_1021"/>
      <sheetName val="[입찰안.xls][입찰안.xls]_입_안_xls_1038"/>
      <sheetName val="[입찰안.xls][입찰안.xls]_입_안_xls_1037"/>
      <sheetName val="[입찰안.xls][입찰안.xls]_입찰안_xls_1022"/>
      <sheetName val="[입찰안.xls][입찰안.xls]_입찰안_xls_1023"/>
      <sheetName val="[입찰안.xls][입찰안.xls]_입찰안_xls_1024"/>
      <sheetName val="[입찰안.xls][입찰안.xls]_입찰안_xls_1025"/>
      <sheetName val="[입찰안.xls][입찰안.xls]_입_안_xls_1040"/>
      <sheetName val="[입찰안.xls][입찰안.xls]_입_안_xls_1048"/>
      <sheetName val="[입찰안.xls][입찰안.xls]_입_안_xls_1049"/>
      <sheetName val="[입찰안.xls][입찰안.xls]_입_안_xls_1039"/>
      <sheetName val="[입찰안.xls][입찰안.xls]_입_안_xls_1041"/>
      <sheetName val="[입찰안.xls][입찰안.xls]_입_안_xls_1042"/>
      <sheetName val="[입찰안.xls][입찰안.xls]_입_안_xls_1043"/>
      <sheetName val="[입찰안.xls][입찰안.xls]_입찰안_xls_1026"/>
      <sheetName val="[입찰안.xls][입찰안.xls]_입_안_xls_1044"/>
      <sheetName val="[입찰안.xls][입찰안.xls]_입_안_xls_1045"/>
      <sheetName val="[입찰안.xls][입찰안.xls]_입_안_xls_1046"/>
      <sheetName val="[입찰안.xls][입찰안.xls]_입_안_xls_1047"/>
      <sheetName val="[입찰안.xls][입찰안.xls]_입_안_xls_1052"/>
      <sheetName val="[입찰안.xls][입찰안.xls]_입찰안_xls_1028"/>
      <sheetName val="[입찰안.xls][입찰안.xls]_입찰안_xls_1027"/>
      <sheetName val="기초단가"/>
      <sheetName val="[입찰안.xls][입찰안.xls]__찰안_xls_1001"/>
      <sheetName val="_HIT__HM_x0000__x0000__x0005__x0000_᱀倨Ǖ_x0000__x0000__x0000_"/>
      <sheetName val="[입찰안.xls][입찰안.xls]_입_안_xls_1050"/>
      <sheetName val="[입찰안.xls][입찰안.xls]_입_안_xls_1051"/>
      <sheetName val="[입찰안.xls][입찰안.xls]_____xls_2375"/>
      <sheetName val="[입찰안.xls][입찰안.xls]_____xls_2379"/>
      <sheetName val="[입찰안.xls][입찰안.xls]_____xls_2380"/>
      <sheetName val="[입찰안.xls][입찰안.xls]_____xls_2381"/>
      <sheetName val="[입찰안.xls][입찰안.xls]_____xls_2382"/>
      <sheetName val="[입찰안.xls][입찰안.xls]_____xls_2386"/>
      <sheetName val="[입찰안.xls][입찰안.xls]_____xls_2384"/>
      <sheetName val="[입찰안.xls][입찰안.xls]_____xls_2387"/>
      <sheetName val="[입찰안.xls][입찰안.xls]_____xls_2383"/>
      <sheetName val="[입찰안.xls][입찰안.xls]_____xls_2385"/>
      <sheetName val="[입찰안.xls][입찰안.xls]_____xls_2388"/>
      <sheetName val="[입찰안.xls][입찰안.xls]_____xls_2389"/>
      <sheetName val="[입찰안.xls][입찰안.xls]_____xls_2390"/>
      <sheetName val="[입찰안.xls][입찰안.xls]_____xls_2391"/>
      <sheetName val="[입찰안.xls][입찰안.xls]_____xls_2393"/>
      <sheetName val="[입찰안.xls][입찰안.xls]_____xls_2392"/>
      <sheetName val="[입찰안.xls][입찰안.xls]_____xls_2396"/>
      <sheetName val="[입찰안.xls][입찰안.xls]_____xls_2394"/>
      <sheetName val="[입찰안.xls][입찰안.xls]_____xls_2395"/>
      <sheetName val="[입찰안.xls][입찰안.xls]_____xls_2397"/>
      <sheetName val="[입찰안.xls][입찰안.xls]_____xls_2398"/>
      <sheetName val="[입찰안.xls][입찰안.xls]_____xls_2401"/>
      <sheetName val="[입찰안.xls][입찰안.xls]_____xls_2400"/>
      <sheetName val="[입찰안.xls][입찰안.xls]_____xls_2403"/>
      <sheetName val="[입찰안.xls][입찰안.xls]_____xls_2402"/>
      <sheetName val="[입찰안.xls][입찰안.xls]_____xls_2404"/>
      <sheetName val="[입찰안.xls][입찰안.xls]_____xls_2405"/>
      <sheetName val="[입찰안.xls][입찰안.xls]_____xls_2407"/>
      <sheetName val="[입찰안.xls][입찰안.xls]_____xls_2406"/>
      <sheetName val="[입찰안.xls][입찰안.xls]_____xls_2408"/>
      <sheetName val="[입찰안.xls][입찰안.xls]_____xls_2409"/>
      <sheetName val="[입찰안.xls][입찰안.xls]_____xls_2410"/>
      <sheetName val="[입찰안.xls][입찰안.xls]_____xls_2412"/>
      <sheetName val="[입찰안.xls][입찰안.xls]_____xls_2411"/>
      <sheetName val="[입찰안.xls][입찰안.xls]_____xls_2413"/>
      <sheetName val="[입찰안.xls][입찰안.xls]_____xls_2415"/>
      <sheetName val="[입찰안.xls][입찰안.xls]_____xls_2418"/>
      <sheetName val="[입찰안.xls][입찰안.xls]_____xls_2414"/>
      <sheetName val="[입찰안.xls][입찰안.xls]_____xls_2416"/>
      <sheetName val="[입찰안.xls][입찰안.xls]_____xls_2417"/>
      <sheetName val="[입찰안.xls][입찰안.xls]_____xls_2421"/>
      <sheetName val="[입찰안.xls][입찰안.xls]_____xls_2419"/>
      <sheetName val="[입찰안.xls][입찰안.xls]_____xls_2420"/>
      <sheetName val="[입찰안.xls][입찰안.xls]_____xls_2424"/>
      <sheetName val="[입찰안.xls][입찰안.xls]_____xls_2422"/>
      <sheetName val="[입찰안.xls][입찰안.xls]_____xls_2423"/>
      <sheetName val="[입찰안.xls][입찰안.xls]_____xls_2426"/>
      <sheetName val="[입찰안.xls][입찰안.xls]_____xls_2427"/>
      <sheetName val="[입찰안.xls][입찰안.xls]_____xls_2428"/>
      <sheetName val="[입찰안.xls][입찰안.xls]_____xls_2429"/>
      <sheetName val="지질조사분석"/>
      <sheetName val="대비2"/>
      <sheetName val="SCE_LOG"/>
      <sheetName val="[입찰안.xls][입찰안.xls]_____xls_2430"/>
      <sheetName val="[입찰안.xls][입찰안.xls]_____xls_2442"/>
      <sheetName val="[입찰안.xls][입찰안.xls]_____xls_2432"/>
      <sheetName val="[입찰안.xls][입찰안.xls]_____xls_2431"/>
      <sheetName val="[입찰안.xls][입찰안.xls]_____xls_2433"/>
      <sheetName val="[입찰안.xls][입찰안.xls]_____xls_2434"/>
      <sheetName val="[입찰안.xls][입찰안.xls]_____xls_2435"/>
      <sheetName val="[입찰안.xls][입찰안.xls]_____xls_2436"/>
      <sheetName val="[입찰안.xls][입찰안.xls]_____xls_2437"/>
      <sheetName val="[입찰안.xls][입찰안.xls]_____xls_2438"/>
      <sheetName val="[입찰안.xls][입찰안.xls]_____xls_2439"/>
      <sheetName val="[입찰안.xls][입찰안.xls]_____xls_2440"/>
      <sheetName val="[입찰안.xls][입찰안.xls]_____xls_2441"/>
      <sheetName val="[입찰안.xls][입찰안.xls]_____xls_2443"/>
      <sheetName val="[입찰안.xls][입찰안.xls]_____xls_2444"/>
      <sheetName val="[입찰안.xls][입찰안.xls]_____xls_2448"/>
      <sheetName val="[입찰안.xls][입찰안.xls]_____xls_2445"/>
      <sheetName val="[입찰안.xls][입찰안.xls]_____xls_2446"/>
      <sheetName val="[입찰안.xls][입찰안.xls]_____xls_2447"/>
      <sheetName val="[입찰안.xls][입찰안.xls]_____xls_2450"/>
      <sheetName val="[입찰안.xls][입찰안.xls]_____xls_2449"/>
      <sheetName val="[입찰안.xls][입찰안.xls]_____xls_2451"/>
      <sheetName val="design_crit_x0000__x0000__x0005"/>
      <sheetName val="1,2,3,4_x0005__x0000__x0000__x"/>
      <sheetName val="소포내역_x0000__x0000__x0005__x0000"/>
      <sheetName val="working_load_at０ʵŚÃ堠ᴕ_x0000__x0"/>
      <sheetName val="plan&amp;section_of__x0000__x0000__"/>
      <sheetName val="pile_bearing_capa_&amp;_¬웰ﾕ쀀_x000"/>
      <sheetName val="수량산출서집계(_x0000__x0000__x0005__x"/>
      <sheetName val="ጵ_x0000__x0000_Ոጶ_x0000__x0000_"/>
      <sheetName val="ጲ_x0000__x0000_Ոፍ_x0000__x0000_"/>
      <sheetName val="ጳ_x0000__x0000_Ոጴ_x0000__x0000_"/>
      <sheetName val="ጳ_x0000__x0000_Ոጳ_x0000__x0000_"/>
      <sheetName val="ፋ_x0000__x0000_Ոፌ_x0000__x0000_"/>
      <sheetName val="ጴ_x0000__x0000_Ոጳ_x0000__x0000_"/>
      <sheetName val="ጿ_x0000__x0000_Ոጊ_x0000__x0000_"/>
      <sheetName val="ጱ_x0000__x0000_Ոጼ_x0000__x0000_"/>
      <sheetName val="ጷ_x0000__x0000_Ոጸ_x0000__x0000_"/>
      <sheetName val="ጿ_x0000__x0000_Ոጿ_x0000__x0000_"/>
      <sheetName val="ጵ_x0000__x0000_Ոፋ_x0000__x0000_"/>
      <sheetName val="ጻ_x0000__x0000_Ոጻ_x0000__x0000_"/>
      <sheetName val="ጴ_x0000__x0000_Ոጾ_x0000__x0000_"/>
      <sheetName val="ጶ_x0000__x0000_Ոጷ_x0000__x0000_"/>
      <sheetName val="ጊ_x0000__x0000_Ոጊ_x0000__x0000_"/>
      <sheetName val="ጸ_x0000__x0000_Ոጿ_x0000__x0000_"/>
      <sheetName val="ጴ_x0000__x0000_Ոጵ_x0000__x0000_"/>
      <sheetName val="ፍ_x0000__x0000_Ոጳ_x0000__x0000_"/>
      <sheetName val="ጊ_x0000__x0000_Ոጱ_x0000__x0000_"/>
      <sheetName val="ጱ_x0000__x0000_Ոጲ_x0000__x0000_"/>
      <sheetName val="ጴ_x0000__x0000_Ոፊ_x0000__x0000_"/>
      <sheetName val="ድ_x0000__x0000_Ոጳ_x0000__x0000_"/>
      <sheetName val="ፊ_x0000__x0000_Ոጵ_x0000__x0000_"/>
      <sheetName val="ፌ_x0000__x0000_Ոጿ_x0000__x0000_"/>
      <sheetName val="ጴ_x0000__x0000_Ոጴ_x0000__x0000_"/>
      <sheetName val="ጲ_x0000__x0000_Ոድ_x0000__x0000_"/>
      <sheetName val="일위대㐀븁_x005f_x0000__x005f_x0000_"/>
      <sheetName val="일위대_x005f_x0000__x005f_x0000_Ԁ_"/>
      <sheetName val="pile_bearing_ca怀꿟세_x0000_䘀뤙_x"/>
      <sheetName val="plan&amp;section_of勉_x0010__x0000__"/>
      <sheetName val="design_c_x0000__x0000_Ȑꙭî_x000"/>
      <sheetName val="_HIT__HMC_견_x0000__x0000__x0005"/>
      <sheetName val="정리계_x0000__x0000__x0005__x0000_"/>
      <sheetName val="plan&amp;section_of__x0000__x0000_Ā"/>
      <sheetName val="노원열병합___x0000__x0000__x0005__x0"/>
      <sheetName val="1,2,3,4_x005f_x0000__x000"/>
      <sheetName val="_HIT__HM_x0000__x0000__x0005__x"/>
      <sheetName val="수량산출서집²_x0000_㘀_x0000__x0000__x"/>
      <sheetName val="pile_bearing_capa_&amp;_¬_x0000_Ԁ_x"/>
      <sheetName val="plan&amp;section_of_fo뮽◽_x0000__x00"/>
      <sheetName val="plan&amp;section_of_fo_xd8e4_꼉_x00"/>
      <sheetName val="일위대¼_x0000__x0000__x0000__x0000"/>
      <sheetName val="[입찰안.xls][입찰안.xls]__찰안_xls_1002"/>
      <sheetName val="[입찰안.xls][입찰안.xls]_____xls_2455"/>
      <sheetName val="[입찰안.xls][입찰안.xls]_____xls_2452"/>
      <sheetName val="[입찰안.xls][입찰안.xls]_____xls_2453"/>
      <sheetName val="[입찰안.xls][입찰안.xls]_____xls_2454"/>
      <sheetName val="[입찰안.xls][입찰안.xls]_____xls_2457"/>
      <sheetName val="[입찰안.xls][입찰안.xls]_____xls_2456"/>
      <sheetName val="[입찰안.xls][입찰안.xls]_____xls_2458"/>
      <sheetName val="[입찰안.xls][입찰안.xls]_____xls_2459"/>
      <sheetName val="[입찰안.xls][입찰안.xls]_____xls_2460"/>
      <sheetName val="[입찰안.xls][입찰안.xls]_____xls_2476"/>
      <sheetName val="[입찰안.xls][입찰안.xls]_____xls_2474"/>
      <sheetName val="design_cꙭķ_x0000__x0000_㻰Ⅽ㿔"/>
      <sheetName val="[입찰안.xls][입찰안.xls]_____xls_2461"/>
      <sheetName val="[입찰안.xls][입찰안.xls]_____xls_2462"/>
      <sheetName val="[입찰안.xls][입찰안.xls]_____xls_2463"/>
      <sheetName val="[입찰안.xls][입찰안.xls]_____xls_2466"/>
      <sheetName val="[입찰안.xls][입찰안.xls]_____xls_2464"/>
      <sheetName val="[입찰안.xls][입찰안.xls]_____xls_2465"/>
      <sheetName val="[입찰안.xls][입찰안.xls]_____xls_2467"/>
      <sheetName val="[입찰안.xls][입찰안.xls]_____xls_2468"/>
      <sheetName val="[입찰안.xls][입찰안.xls]_____xls_2469"/>
      <sheetName val="[입찰안.xls][입찰안.xls]_____xls_2470"/>
      <sheetName val="[입찰안.xls][입찰안.xls]_____xls_2471"/>
      <sheetName val="[입찰안.xls][입찰안.xls]_____xls_2472"/>
      <sheetName val="[입찰안.xls][입찰안.xls]_____xls_2473"/>
      <sheetName val="[입찰안.xls][입찰안.xls]_____xls_2481"/>
      <sheetName val="[입찰안.xls][입찰안.xls]_____xls_2475"/>
      <sheetName val="공조기휀"/>
      <sheetName val="PAC(전자기기실)"/>
      <sheetName val="[입찰안.xls][입찰안.xls]_____xls_2477"/>
      <sheetName val="[입찰안.xls][입찰안.xls]_____xls_2478"/>
      <sheetName val="[입찰안.xls][입찰안.xls]_____xls_2479"/>
      <sheetName val="[입찰안.xls][입찰안.xls]_____xls_2480"/>
      <sheetName val="Du lieu"/>
      <sheetName val="건물"/>
      <sheetName val="수리결과"/>
      <sheetName val="B:\입찰안_xls1"/>
      <sheetName val="[입찰안_xls]B:\입찰안_xls1"/>
      <sheetName val="À_x0000__x0000__x0000__x0000__x0000__x0000__x0000__x0000_"/>
      <sheetName val="현금및현금등가물1"/>
      <sheetName val="1221"/>
      <sheetName val="가격표"/>
      <sheetName val="환율차"/>
      <sheetName val="[입찰안.xls][입찰안.xls][입찰안.xls]___9"/>
      <sheetName val="[입찰안.xls][입찰안_xls][입찰안_xls]___5"/>
      <sheetName val="[입찰안.xls][입찰안.xls][입찰안_xls]___4"/>
      <sheetName val="VAT_duoc_khau_tru1"/>
      <sheetName val="자산TOTAL"/>
      <sheetName val="Job Assign"/>
      <sheetName val="정미시간"/>
      <sheetName val="주민번호"/>
      <sheetName val="CAUDIT"/>
      <sheetName val="콤보박스와_리스트박스의_연결"/>
      <sheetName val="chiet_tinh"/>
      <sheetName val="남양시작동자105노65기1_3화1_2"/>
      <sheetName val="Thoat_nuoc"/>
      <sheetName val="1__Dashboard"/>
      <sheetName val="PHU_LUC_01"/>
      <sheetName val="Đầu_vào"/>
      <sheetName val="Bill_02_INF"/>
      <sheetName val="7_"/>
      <sheetName val="6-1_Summary_Of_Cost"/>
      <sheetName val="6-2_In-Direct_Cost"/>
      <sheetName val="6-3_EQ_Cost"/>
      <sheetName val="6-4-1_MP_Status(107,125,12)"/>
      <sheetName val="6-4-2_MP_Status(144)"/>
      <sheetName val="6-5-1_EQ_Status(107,125,12)"/>
      <sheetName val="6-5-2_EQ_Status(144)"/>
      <sheetName val="6-6_Agree_Other&amp;Expanse_(Att_1)"/>
      <sheetName val="6-7_EQ_Apply"/>
      <sheetName val="MP_U107,125,12"/>
      <sheetName val="MP_U144"/>
      <sheetName val="EQ_U107,125,12"/>
      <sheetName val="EQ_U144"/>
      <sheetName val="Agrement_Day_W_Cost"/>
      <sheetName val="Agrement_Day_EQ_Cost"/>
      <sheetName val="Indirect_Cost"/>
      <sheetName val="MAIN_GATE_HOUSE"/>
      <sheetName val="worksheet_inchican"/>
      <sheetName val="combined_9-30"/>
      <sheetName val="CT_Thang_Mo"/>
      <sheetName val="Cst_Pkg-Eden"/>
      <sheetName val="Unt_rate_SS"/>
      <sheetName val="TONG_HOP_GIA_TRI"/>
      <sheetName val="CHITIET_VL-NC-TT_-1p"/>
      <sheetName val="CHITIET_VL-NC-TT-3p"/>
      <sheetName val="TONG_HOP_VL-NC_TT"/>
      <sheetName val="KPVC-BD_"/>
      <sheetName val="KLDT_DIEN"/>
      <sheetName val="전기혼잡제경비(45"/>
      <sheetName val="#2_노임단가"/>
      <sheetName val="원료비2(2000_10-09)"/>
      <sheetName val="노임단가(인쇄제외)"/>
      <sheetName val="자재목록"/>
      <sheetName val="DD EST."/>
      <sheetName val="단면A-A(TR)"/>
      <sheetName val="DG ke"/>
      <sheetName val="DTXL"/>
      <sheetName val="수정시산표"/>
      <sheetName val="CT35"/>
      <sheetName val="Calculations"/>
      <sheetName val="PSW_Sheet"/>
      <sheetName val="7.안전관㣸C"/>
      <sheetName val="기성금내역서"/>
      <sheetName val="집계장(뀀刡䠀減蠌渙"/>
      <sheetName val="[입찰안.xls][입찰안.xls]_____xls_2492"/>
      <sheetName val="[입찰안.xls][입찰안.xls]_____xls_2482"/>
      <sheetName val="[입찰안.xls][입찰안.xls]_____xls_2483"/>
      <sheetName val="[입찰안.xls][입찰안.xls]_____xls_2484"/>
      <sheetName val="[입찰안.xls][입찰안.xls]_____xls_2485"/>
      <sheetName val="[입찰안.xls][입찰안.xls]_____xls_2486"/>
      <sheetName val="[입찰안.xls][입찰안.xls]_____xls_2487"/>
      <sheetName val="[입찰안.xls][입찰안.xls]_____xls_2488"/>
      <sheetName val="[입찰안.xls][입찰안.xls]_____xls_2489"/>
      <sheetName val="[입찰안.xls][입찰안.xls]_____xls_2490"/>
      <sheetName val="[입찰안.xls][입찰안.xls]_____xls_2491"/>
      <sheetName val="[입찰안.xls][입찰안.xls]_____xls_2493"/>
      <sheetName val="FORM-0"/>
      <sheetName val="stability?䘢䠂檱䠛檳"/>
      <sheetName val="6__안전"/>
      <sheetName val="unitpric"/>
      <sheetName val="기성(1차)_9"/>
      <sheetName val="5호광장_(만점)12"/>
      <sheetName val="인천국제_(만점)_(2)12"/>
      <sheetName val="Total_단위경유량집계12"/>
      <sheetName val="앉음벽_(2)12"/>
      <sheetName val="BH-1_(2)12"/>
      <sheetName val="표__지12"/>
      <sheetName val="준검_내역서12"/>
      <sheetName val="토공유동표(전체_당초)12"/>
      <sheetName val="1_수인터널12"/>
      <sheetName val="4_전기12"/>
      <sheetName val="I_설계조건12"/>
      <sheetName val="노원열병합__건축공사기성내역서12"/>
      <sheetName val="1_설계조건12"/>
      <sheetName val="조도계산서_(도서)12"/>
      <sheetName val="_HIT__HMC_견적_3900_12"/>
      <sheetName val="7__현장관리비_12"/>
      <sheetName val="6__안전관리비12"/>
      <sheetName val="보고서_기기리스트11"/>
      <sheetName val="소포내역_(2)12"/>
      <sheetName val="unit_411"/>
      <sheetName val="plan&amp;section_of_foundation12"/>
      <sheetName val="pile_bearing_capa_&amp;_arrenge12"/>
      <sheetName val="working_load_at_the_btm_ft_12"/>
      <sheetName val="stability_check12"/>
      <sheetName val="design_criteria12"/>
      <sheetName val="내역_ver1_012"/>
      <sheetName val="11_산출(전열)12"/>
      <sheetName val="6_산출(동력)12"/>
      <sheetName val="7_산출(TRAY)12"/>
      <sheetName val="우수관매설및_우수받이12"/>
      <sheetName val="11_우각부_보강12"/>
      <sheetName val="제출내역_(2)12"/>
      <sheetName val="배수공_시멘트_및_골재량_산출11"/>
      <sheetName val="내___역11"/>
      <sheetName val="플랜트_설치11"/>
      <sheetName val="3련_BOX12"/>
      <sheetName val="2_1__노무비_평균단가산출11"/>
      <sheetName val="5_산출(전력)11"/>
      <sheetName val="A_견적11"/>
      <sheetName val="배수내역_(2)11"/>
      <sheetName val="수량산출서(전력간선_지하D_C)11"/>
      <sheetName val="Customer_Databas11"/>
      <sheetName val="개인별_순위표11"/>
      <sheetName val="投标材料清单_11"/>
      <sheetName val="spc_배관견적11"/>
      <sheetName val="_HIT-&gt;HMC_견적(3900)11"/>
      <sheetName val="1_취수장11"/>
      <sheetName val="Cash_Flow-111"/>
      <sheetName val="3_1공사현황_공정표11"/>
      <sheetName val="전_기11"/>
      <sheetName val="SHEET_PILE단가11"/>
      <sheetName val="화재_탐지_설비11"/>
      <sheetName val="2차전체변경예정_(2)11"/>
      <sheetName val="노임_단가11"/>
      <sheetName val="6PILE__(돌출)11"/>
      <sheetName val="내역서_11"/>
      <sheetName val="8_현장관리비11"/>
      <sheetName val="7_안전관리비11"/>
      <sheetName val="BH_1__2_11"/>
      <sheetName val="목차_11"/>
      <sheetName val="귀래_설계_공내역서11"/>
      <sheetName val="설_계11"/>
      <sheetName val="1_설계기준11"/>
      <sheetName val="집_계_표11"/>
      <sheetName val="세골재__T2_변경_현황11"/>
      <sheetName val="별표_11"/>
      <sheetName val="일위대가_10"/>
      <sheetName val="4_LINE10"/>
      <sheetName val="7_th10"/>
      <sheetName val="도담구내_개소별_명세11"/>
      <sheetName val="단___산10"/>
      <sheetName val="실____단10"/>
      <sheetName val="노무비_근거10"/>
      <sheetName val="암거_제원표10"/>
      <sheetName val="5_동별횡주관경10"/>
      <sheetName val="장비_(2)10"/>
      <sheetName val="참조_(2)10"/>
      <sheetName val="Sheet1_(2)10"/>
      <sheetName val="제수변_수량집계표(보통)10"/>
      <sheetName val="3BL공동구_수량10"/>
      <sheetName val="전선_및_전선관10"/>
      <sheetName val="내역서1999_8최종10"/>
      <sheetName val="기성(1차)_10"/>
      <sheetName val="_갑지10"/>
      <sheetName val="5F_계약단가"/>
      <sheetName val="5호광장_(만점)13"/>
      <sheetName val="인천국제_(만점)_(2)13"/>
      <sheetName val="Total_단위경유량집계13"/>
      <sheetName val="앉음벽_(2)13"/>
      <sheetName val="BH-1_(2)13"/>
      <sheetName val="표__지13"/>
      <sheetName val="준검_내역서13"/>
      <sheetName val="토공유동표(전체_당초)13"/>
      <sheetName val="1_수인터널13"/>
      <sheetName val="4_전기13"/>
      <sheetName val="I_설계조건13"/>
      <sheetName val="노원열병합__건축공사기성내역서13"/>
      <sheetName val="1_설계조건13"/>
      <sheetName val="조도계산서_(도서)13"/>
      <sheetName val="_HIT__HMC_견적_3900_13"/>
      <sheetName val="7__현장관리비_13"/>
      <sheetName val="6__안전관리비13"/>
      <sheetName val="보고서_기기리스트12"/>
      <sheetName val="소포내역_(2)13"/>
      <sheetName val="unit_412"/>
      <sheetName val="plan&amp;section_of_foundation13"/>
      <sheetName val="pile_bearing_capa_&amp;_arrenge13"/>
      <sheetName val="working_load_at_the_btm_ft_13"/>
      <sheetName val="stability_check13"/>
      <sheetName val="design_criteria13"/>
      <sheetName val="내역_ver1_013"/>
      <sheetName val="11_산출(전열)13"/>
      <sheetName val="6_산출(동력)13"/>
      <sheetName val="7_산출(TRAY)13"/>
      <sheetName val="우수관매설및_우수받이13"/>
      <sheetName val="11_우각부_보강13"/>
      <sheetName val="제출내역_(2)13"/>
      <sheetName val="배수공_시멘트_및_골재량_산출12"/>
      <sheetName val="내___역12"/>
      <sheetName val="플랜트_설치12"/>
      <sheetName val="3련_BOX13"/>
      <sheetName val="MSS_212"/>
      <sheetName val="2_1__노무비_평균단가산출12"/>
      <sheetName val="5_산출(전력)12"/>
      <sheetName val="A_견적12"/>
      <sheetName val="배수내역_(2)12"/>
      <sheetName val="수량산출서(전력간선_지하D_C)12"/>
      <sheetName val="Customer_Databas12"/>
      <sheetName val="개인별_순위표12"/>
      <sheetName val="投标材料清单_12"/>
      <sheetName val="spc_배관견적12"/>
      <sheetName val="_HIT-&gt;HMC_견적(3900)12"/>
      <sheetName val="1_취수장12"/>
      <sheetName val="Cash_Flow-112"/>
      <sheetName val="3_1공사현황_공정표12"/>
      <sheetName val="전_기12"/>
      <sheetName val="SHEET_PILE단가12"/>
      <sheetName val="화재_탐지_설비12"/>
      <sheetName val="2차전체변경예정_(2)12"/>
      <sheetName val="노임_단가12"/>
      <sheetName val="6PILE__(돌출)12"/>
      <sheetName val="내역서_12"/>
      <sheetName val="8_현장관리비12"/>
      <sheetName val="7_안전관리비12"/>
      <sheetName val="BH_1__2_12"/>
      <sheetName val="목차_12"/>
      <sheetName val="귀래_설계_공내역서12"/>
      <sheetName val="설_계12"/>
      <sheetName val="1_설계기준12"/>
      <sheetName val="집_계_표12"/>
      <sheetName val="세골재__T2_변경_현황12"/>
      <sheetName val="별표_12"/>
      <sheetName val="일위대가_11"/>
      <sheetName val="4_LINE11"/>
      <sheetName val="7_th11"/>
      <sheetName val="도담구내_개소별_명세12"/>
      <sheetName val="3_공통공사대비11"/>
      <sheetName val="단가_및_재료비11"/>
      <sheetName val="노임단가_(2)11"/>
      <sheetName val="단___산11"/>
      <sheetName val="실____단11"/>
      <sheetName val="7_공정표11"/>
      <sheetName val="단면_(2)11"/>
      <sheetName val="장비비_명세서111"/>
      <sheetName val="RETAIL_(ABOVE)11"/>
      <sheetName val="5__현장관리비(new)_11"/>
      <sheetName val="노무비_근거11"/>
      <sheetName val="암거_제원표11"/>
      <sheetName val="5_동별횡주관경11"/>
      <sheetName val="2_대외공문11"/>
      <sheetName val="장비_(2)11"/>
      <sheetName val="참조_(2)11"/>
      <sheetName val="Sheet1_(2)11"/>
      <sheetName val="제수변_수량집계표(보통)11"/>
      <sheetName val="Eq__Mobilization11"/>
      <sheetName val="3BL공동구_수량11"/>
      <sheetName val="전선_및_전선관11"/>
      <sheetName val="내역서1999_8최종11"/>
      <sheetName val="_갑지11"/>
      <sheetName val="기성(1차)_11"/>
      <sheetName val="[입찰안_xls]직접뀀鞖/3"/>
      <sheetName val="5F_계약단가1"/>
      <sheetName val="MAIN_GATE_HOUSE1"/>
      <sheetName val="PHU_LUC_011"/>
      <sheetName val="Đầu_vào1"/>
      <sheetName val="chiet_tinh1"/>
      <sheetName val="1__Dashboard1"/>
      <sheetName val="제조_경영"/>
      <sheetName val="Báo_cáo2"/>
      <sheetName val="Đơn_giá_theo_m2"/>
      <sheetName val="Bill_No_1_6"/>
      <sheetName val="Bill_No_1_10"/>
      <sheetName val="Bill_No_3_3"/>
      <sheetName val="Bill_No_1_4"/>
      <sheetName val="Bill_No_1_7"/>
      <sheetName val="Summary_Bill_No__3"/>
      <sheetName val="[입찰안.xls][입찰안.xls]_____xls_2547"/>
      <sheetName val="[입찰안.xls][입찰안.xls]_____xls_2542"/>
      <sheetName val="[입찰안.xls][입찰안.xls]_____xls_2548"/>
      <sheetName val="대가표(품셈)"/>
      <sheetName val="요약&amp;결과"/>
      <sheetName val="7내역"/>
      <sheetName val="결재탔"/>
      <sheetName val="[입찰안.xls][입찰안.xls]__찰안_xls_1003"/>
      <sheetName val="[입찰안.xls][입찰안.xls]__찰안_xls_1005"/>
      <sheetName val="[입찰안.xls][입찰안.xls]__찰안_xls_1004"/>
      <sheetName val="[입찰안.xls][입찰안.xls]_____xls_2527"/>
      <sheetName val="[입찰안.xls][입찰안.xls]_____xls_2526"/>
      <sheetName val="[입찰안.xls][입찰안.xls]_____xls_2530"/>
      <sheetName val="[입찰안.xls][입찰안.xls]_____xls_2506"/>
      <sheetName val="[입찰안.xls][입찰안.xls]_____xls_2505"/>
      <sheetName val="[입찰안.xls][입찰안.xls]_____xls_2507"/>
      <sheetName val="[입찰안.xls][입찰안.xls]_____xls_2502"/>
      <sheetName val="[입찰안.xls][입찰안.xls]_____xls_2504"/>
      <sheetName val="증감조서"/>
      <sheetName val="Main"/>
      <sheetName val="ENG_prog"/>
      <sheetName val="2선재"/>
      <sheetName val="Regenerator  Concrete Structure"/>
      <sheetName val="Ts&amp;Cs"/>
      <sheetName val="Variables"/>
      <sheetName val="대운산출"/>
      <sheetName val="공사비"/>
      <sheetName val="산출서양식01"/>
      <sheetName val="B__입찰안.xls"/>
      <sheetName val="_입찰안.xls_B__입찰안.xls"/>
      <sheetName val="_입찰안.xls__입찰안.xls_B__입찰안.xls"/>
      <sheetName val="_입찰안.xls__입찰안.xls__입찰안.xls__267"/>
      <sheetName val="_입찰안.xls__입찰안.xls__입찰안.xls__269"/>
      <sheetName val="_입찰안.xls__입찰안.xls__입찰안.xls__268"/>
      <sheetName val="_입찰안.xls__입찰안.xls__입찰안.xls__115"/>
      <sheetName val="_입찰안.xls__입찰안.xls__입찰안.xls__113"/>
      <sheetName val="_입찰안.xls__입찰안.xls__입찰안.xls__114"/>
      <sheetName val="_입찰안.xls__입찰안.xls__입찰안.xls__117"/>
      <sheetName val="_입찰안.xls__입찰안.xls__입찰안.xls__116"/>
      <sheetName val="_입찰안.xls__입찰안.xls__입찰안.xls__122"/>
      <sheetName val="_입찰안.xls__입찰안.xls__입찰안.xls__120"/>
      <sheetName val="_입찰안.xls__입찰안.xls__입찰안.xls__118"/>
      <sheetName val="_입찰안.xls__입찰안.xls__입찰안.xls__119"/>
      <sheetName val="_입찰안.xls__입찰안.xls__입찰안.xls__121"/>
      <sheetName val="_입찰안.xls__입찰안.xls__입찰안.xls__124"/>
      <sheetName val="_입찰안.xls__입찰안.xls__입찰안.xls__123"/>
      <sheetName val="_입찰안.xls__입찰안.xls__입찰안.xls__131"/>
      <sheetName val="_입찰안.xls__입찰안.xls__입찰안.xls__128"/>
      <sheetName val="_입찰안.xls__입찰안.xls__입찰안.xls__125"/>
      <sheetName val="_입찰안.xls__입찰안.xls__입찰안.xls__126"/>
      <sheetName val="_입찰안.xls__입찰안.xls__입찰안.xls__127"/>
      <sheetName val="_입찰안.xls__입찰안.xls__입찰안.xls__129"/>
      <sheetName val="_입찰안.xls__입찰안.xls__입찰안.xls__130"/>
      <sheetName val="_입찰안.xls__입찰안.xls__입찰안.xls__132"/>
      <sheetName val="_입찰안.xls__입찰안.xls__입찰안.xls__140"/>
      <sheetName val="_입찰안.xls__입찰안.xls__입찰안.xls__135"/>
      <sheetName val="_입찰안.xls__입찰안.xls__입찰안.xls__134"/>
      <sheetName val="_입찰안.xls__입찰안.xls__입찰안.xls__133"/>
      <sheetName val="_입찰안.xls__입찰안.xls__입찰안.xls__139"/>
      <sheetName val="_입찰안.xls__입찰안.xls__입찰안.xls__136"/>
      <sheetName val="_입찰안.xls__입찰안.xls__입찰안.xls__137"/>
      <sheetName val="_입찰안.xls__입찰안.xls__입찰안.xls__138"/>
      <sheetName val="_입찰안.xls__입찰안.xls__입찰안.xls__142"/>
      <sheetName val="_입찰안.xls__입찰안.xls__입찰안.xls__141"/>
      <sheetName val="_입찰안.xls__입찰안.xls__입찰안.xls__143"/>
      <sheetName val="_입찰안.xls__입찰안.xls__입찰안.xls__145"/>
      <sheetName val="_입찰안.xls__입찰안.xls__입찰안.xls__144"/>
      <sheetName val="_입찰안.xls__입찰안.xls__입찰안.xls__146"/>
      <sheetName val="_입찰안.xls__입찰안.xls__입찰안.xls__147"/>
      <sheetName val="_입찰안.xls__입찰안.xls__입찰안.xls__149"/>
      <sheetName val="_입찰안.xls__입찰안.xls__입찰안.xls__148"/>
      <sheetName val="_입찰안.xls__입찰안.xls__입찰안.xls__152"/>
      <sheetName val="_입찰안.xls__입찰안.xls__입찰안.xls__153"/>
      <sheetName val="_입찰안.xls__입찰안.xls__입찰안.xls__150"/>
      <sheetName val="_입찰안.xls__입찰안.xls__입찰안.xls__151"/>
      <sheetName val="_입찰안.xls__입찰안.xls__입찰안.xls__155"/>
      <sheetName val="_입찰안.xls__입찰안.xls__입찰안.xls__154"/>
      <sheetName val="_입찰안.xls__입찰안.xls__입찰안.xls__156"/>
      <sheetName val="_입찰안.xls__입찰안.xls__입찰안.xls__158"/>
      <sheetName val="_입찰안.xls__입찰안.xls__입찰안.xls__157"/>
      <sheetName val="_입찰안.xls__입찰안.xls__입찰안.xls__159"/>
      <sheetName val="_입찰안.xls__입찰안.xls__입찰안.xls__160"/>
      <sheetName val="_입찰안.xls__입찰안.xls__입찰안.xls__164"/>
      <sheetName val="_입찰안.xls__입찰안.xls__입찰안.xls__163"/>
      <sheetName val="_입찰안.xls__입찰안.xls__입찰안.xls__162"/>
      <sheetName val="_입찰안.xls__입찰안.xls__입찰안.xls__161"/>
      <sheetName val="_입찰안.xls__입찰안.xls__입찰안.xls____4"/>
      <sheetName val="_입찰안.xls__입찰안.xls__입찰안.xls__166"/>
      <sheetName val="_입찰안.xls__입찰안.xls__입찰안.xls__165"/>
      <sheetName val="_입찰안.xls__입찰안.xls__입찰안.xls__170"/>
      <sheetName val="_입찰안.xls__입찰안.xls__입찰안.xls__171"/>
      <sheetName val="_입찰안.xls__입찰안.xls__입찰안.xls__167"/>
      <sheetName val="_입찰안.xls__입찰안.xls__입찰안.xls__169"/>
      <sheetName val="_입찰안.xls__입찰안.xls__입찰안.xls__168"/>
      <sheetName val="_입찰안.xls__입찰안.xls__입찰안.xls__175"/>
      <sheetName val="_입찰안.xls__입찰안.xls__입찰안.xls__172"/>
      <sheetName val="_입찰안.xls__입찰안.xls__입찰안.xls__174"/>
      <sheetName val="_입찰안.xls__입찰안.xls__입찰안.xls__173"/>
      <sheetName val="_입찰안.xls__입찰안.xls__입찰안.xls__176"/>
      <sheetName val="_입찰안.xls__입찰안.xls__입찰안.xls__177"/>
      <sheetName val="_입찰안.xls__입찰안.xls__입찰안.xls__178"/>
      <sheetName val="_입찰안.xls__입찰안.xls__입찰안.xls__179"/>
      <sheetName val="_입찰안.xls__입찰안.xls__입찰안.xls__181"/>
      <sheetName val="_입찰안.xls__입찰안.xls__입찰안.xls__180"/>
      <sheetName val="_입찰안.xls__입찰안.xls__입찰안.xls__182"/>
      <sheetName val="_입찰안.xls__입찰안.xls__입찰안.xls__184"/>
      <sheetName val="_입찰안.xls__입찰안.xls__입찰안.xls__183"/>
      <sheetName val="_입찰안.xls__입찰안.xls__입찰안.xls__185"/>
      <sheetName val="_입찰안.xls__입찰안.xls__입찰안.xls__186"/>
      <sheetName val="_입찰안.xls__입찰안.xls__입찰안.xls__187"/>
      <sheetName val="_입찰안.xls__입찰안.xls__입찰안.xls__188"/>
      <sheetName val="_입찰안.xls__입찰안.xls__입찰안.xls__190"/>
      <sheetName val="_입찰안.xls__입찰안.xls__입찰안.xls__189"/>
      <sheetName val="_입찰안.xls__입찰안.xls__입찰안.xls__253"/>
      <sheetName val="_입찰안.xls__입찰안.xls__입찰안.xls__255"/>
      <sheetName val="_입찰안.xls__입찰안.xls__입찰안.xls__258"/>
      <sheetName val="_입찰안.xls__입찰안.xls__입찰안.xls__222"/>
      <sheetName val="_입찰안.xls__입찰안.xls__입찰안.xls__200"/>
      <sheetName val="_입찰안.xls__입찰안.xls__입찰안.xls__199"/>
      <sheetName val="_입찰안.xls__입찰안.xls__입찰안.xls__202"/>
      <sheetName val="_입찰안.xls__입찰안.xls__입찰안.xls__193"/>
      <sheetName val="_입찰안.xls__입찰안.xls__입찰안.xls__191"/>
      <sheetName val="_입찰안.xls__입찰안.xls__입찰안.xls__196"/>
      <sheetName val="_입찰안.xls__입찰안.xls__입찰안.xls__192"/>
      <sheetName val="_입찰안.xls__입찰안.xls__입찰안.xls__194"/>
      <sheetName val="_입찰안.xls__입찰안.xls__입찰안.xls__195"/>
      <sheetName val="_입찰안.xls__입찰안.xls__입찰안.xls__197"/>
      <sheetName val="_입찰안.xls__입찰안.xls__입찰안.xls__198"/>
      <sheetName val="_입찰안.xls__입찰안.xls__입찰안.xls__201"/>
      <sheetName val="_입찰안.xls__입찰안.xls__입찰안.xls__203"/>
      <sheetName val="_입찰안.xls__입찰안.xls__입찰안.xls__205"/>
      <sheetName val="_입찰안.xls__입찰안.xls__입찰안.xls__206"/>
      <sheetName val="_입찰안.xls__입찰안.xls__입찰안.xls__204"/>
      <sheetName val="_입찰안.xls__입찰안.xls__입찰안.xls__207"/>
      <sheetName val="_입찰안.xls__입찰안.xls__입찰안.xls__208"/>
      <sheetName val="_입찰안.xls__입찰안.xls__입찰안.xls__209"/>
      <sheetName val="_입찰안.xls__입찰안.xls__입찰안.xls__211"/>
      <sheetName val="_입찰안.xls__입찰안.xls__입찰안.xls__210"/>
      <sheetName val="_입찰안.xls__입찰안.xls__입찰안.xls__212"/>
      <sheetName val="_입찰안.xls__입찰안.xls__입찰안.xls__213"/>
      <sheetName val="_입찰안.xls__입찰안.xls__입찰안.xls__214"/>
      <sheetName val="_입찰안.xls__입찰안.xls__입찰안.xls__216"/>
      <sheetName val="_입찰안.xls__입찰안.xls__입찰안.xls__217"/>
      <sheetName val="_입찰안.xls__입찰안.xls__입찰안.xls__215"/>
      <sheetName val="_입찰안.xls__입찰안.xls__입찰안.xls__218"/>
      <sheetName val="_입찰안.xls__입찰안.xls__입찰안.xls__220"/>
      <sheetName val="_입찰안.xls__입찰안.xls__입찰안.xls__221"/>
      <sheetName val="_입찰안.xls__입찰안.xls__입찰안.xls__219"/>
      <sheetName val="_입찰안.xls__입찰안.xls__입찰안.xls__226"/>
      <sheetName val="_입찰안.xls__입찰안.xls__입찰안.xls__225"/>
      <sheetName val="_입찰안.xls__입찰안.xls__입찰안.xls__223"/>
      <sheetName val="_입찰안.xls__입찰안.xls__입찰안.xls__224"/>
      <sheetName val="_입찰안.xls__입찰안.xls__입찰안.xls__228"/>
      <sheetName val="_입찰안.xls__입찰안.xls__입찰안.xls__227"/>
      <sheetName val="_입찰안.xls__입찰안.xls__입찰안.xls__230"/>
      <sheetName val="_입찰안.xls__입찰안.xls__입찰안.xls__229"/>
      <sheetName val="_입찰안.xls__입찰안.xls__입찰안.xls__231"/>
      <sheetName val="_입찰안.xls__입찰안.xls__입찰안.xls__235"/>
      <sheetName val="_입찰안.xls__입찰안.xls__입찰안.xls__238"/>
      <sheetName val="_입찰안.xls__입찰안.xls__입찰안.xls__237"/>
      <sheetName val="_입찰안.xls__입찰안.xls__입찰안.xls__232"/>
      <sheetName val="_입찰안.xls__입찰안.xls__입찰안.xls__233"/>
      <sheetName val="_입찰안.xls__입찰안.xls__입찰안.xls__234"/>
      <sheetName val="_입찰안.xls__입찰안.xls__입찰안.xls__236"/>
      <sheetName val="_입찰안.xls__입찰안.xls__입찰안.xls__240"/>
      <sheetName val="_입찰안.xls__입찰안.xls__입찰안.xls__239"/>
      <sheetName val="_입찰안.xls__입찰안.xls__입찰안.xls__246"/>
      <sheetName val="_입찰안.xls__입찰안.xls__입찰안.xls__241"/>
      <sheetName val="_입찰안.xls__입찰안.xls__입찰안.xls__242"/>
      <sheetName val="_입찰안.xls__입찰안.xls__입찰안.xls__243"/>
      <sheetName val="_입찰안.xls__입찰안.xls__입찰안.xls__244"/>
      <sheetName val="_입찰안.xls__입찰안.xls__입찰안.xls__245"/>
      <sheetName val="_입찰안.xls__입찰안.xls__입찰안.xls__248"/>
      <sheetName val="_입찰안.xls__입찰안.xls__입찰안.xls__247"/>
      <sheetName val="_입찰안.xls__입찰안.xls__입찰안.xls__249"/>
      <sheetName val="_입찰안.xls__입찰안.xls__입찰안.xls__250"/>
      <sheetName val="_입찰안.xls__입찰안.xls__입찰안.xls__251"/>
      <sheetName val="_입찰안.xls__입찰안.xls__입찰안.xls__252"/>
      <sheetName val="_입찰안.xls__입찰안.xls__입찰안.xls__254"/>
      <sheetName val="_입찰안.xls__입찰안.xls__입찰안.xls__259"/>
      <sheetName val="_입찰안.xls__입찰안.xls__입찰안.xls__256"/>
      <sheetName val="_입찰안.xls__입찰안.xls__입찰안.xls__257"/>
      <sheetName val="_입찰안.xls__입찰안.xls__입찰안.xls__260"/>
      <sheetName val="_입찰안.xls__입찰안.xls__입찰안.xls__261"/>
      <sheetName val="_입찰안.xls__입찰안.xls__입찰안.xls__264"/>
      <sheetName val="_입찰안.xls__입찰안.xls__입찰안.xls__263"/>
      <sheetName val="_입찰안.xls__입찰안.xls__입찰안.xls__262"/>
      <sheetName val="_입찰안.xls__입찰안.xls__입찰안.xls__265"/>
      <sheetName val="_입찰안.xls__입찰안.xls__입찰안.xls__266"/>
      <sheetName val="_입찰안.xls__입찰안.xls__입찰안.xls__270"/>
      <sheetName val="_입찰안.xls__입찰안.xls__입찰안.xls__272"/>
      <sheetName val="_입찰안.xls__입찰안.xls__입찰안.xls__271"/>
      <sheetName val="_입찰안.xls__입찰안.xls__입찰안.xls__283"/>
      <sheetName val="_입찰안.xls__입찰안.xls__입찰안.xls__285"/>
      <sheetName val="_입찰안.xls__입찰안.xls__입찰안.xls__284"/>
      <sheetName val="_입찰안.xls__입찰안.xls__입찰안.xls__282"/>
      <sheetName val="_입찰안.xls__입찰안.xls__입찰안.xls__273"/>
      <sheetName val="_입찰안.xls__입찰안.xls__입찰안.xls__274"/>
      <sheetName val="_입찰안.xls__입찰안.xls__입찰안.xls__275"/>
      <sheetName val="_입찰안.xls__입찰안.xls__입찰안.xls__276"/>
      <sheetName val="_입찰안.xls__입찰안.xls__입찰안.xls__278"/>
      <sheetName val="_입찰안.xls__입찰안.xls__입찰안.xls____5"/>
      <sheetName val="_입찰안.xls__입찰안.xls__입찰안.xls__277"/>
      <sheetName val="_입찰안.xls__입찰안.xls__입찰안.xls__280"/>
      <sheetName val="_입찰안.xls__입찰안.xls__입찰안.xls__279"/>
      <sheetName val="_입찰안.xls__입찰안.xls__입찰안.xls__281"/>
      <sheetName val="_입찰안.xls__입찰안.xls__입찰안.xls__286"/>
      <sheetName val="_입찰안.xls__입찰안.xls__입찰안.xls__287"/>
      <sheetName val="_입찰안.xls__입찰안.xls__입찰안.xls__289"/>
      <sheetName val="_입찰안.xls__입찰안.xls__입찰안.xls__288"/>
      <sheetName val="_입찰안.xls__입찰안.xls__입찰안.xls__290"/>
      <sheetName val="_입찰안.xls__입찰안.xls__입찰안.xls____6"/>
      <sheetName val="_입찰안.xls__입찰안_xls_직접뀀鞖_"/>
      <sheetName val="_입찰안.xls__입찰안_xls__입찰안_xls____2"/>
      <sheetName val="_입찰안.xls__입찰안.xls__입찰안.xls__291"/>
      <sheetName val="_입찰안.xls__입찰안.xls__입찰안.xls__298"/>
      <sheetName val="_입찰안.xls__입찰안.xls__입찰안.xls__292"/>
      <sheetName val="_입찰안.xls__입찰안.xls__입찰안.xls__294"/>
      <sheetName val="_입찰안.xls__입찰안.xls__입찰안.xls__293"/>
      <sheetName val="_입찰안.xls__입찰안.xls__입찰안.xls__295"/>
      <sheetName val="_입찰안.xls__입찰안.xls__입찰안.xls__297"/>
      <sheetName val="_입찰안.xls__입찰안.xls__입찰안.xls__296"/>
      <sheetName val="_입찰안.xls__입찰안.xls__입찰안.xls__299"/>
      <sheetName val="_입찰안.xls____2"/>
      <sheetName val="_입찰안.xls____3"/>
      <sheetName val="_입찰안.xls_B__2"/>
      <sheetName val="_입찰안.xls_B__3"/>
      <sheetName val="_입찰안.xls__입찰안.xls__입찰안.xls__316"/>
      <sheetName val="_입찰안.xls__입찰안.xls__입찰안.xls__302"/>
      <sheetName val="_입찰안.xls__입찰안.xls__입찰안.xls__300"/>
      <sheetName val="_입찰안.xls__입찰안.xls__입찰안.xls__301"/>
      <sheetName val="_입찰안.xls__입찰안.xls__입찰안.xls__313"/>
      <sheetName val="_입찰안.xls__입찰안.xls__입찰안.xls__304"/>
      <sheetName val="_입찰안.xls__입찰안.xls__입찰안.xls__303"/>
      <sheetName val="_입찰안.xls__입찰안.xls__입찰안.xls__306"/>
      <sheetName val="_입찰안.xls__입찰안.xls__입찰안.xls__305"/>
      <sheetName val="_입찰안.xls__입찰안.xls__입찰안.xls__308"/>
      <sheetName val="_입찰안.xls__입찰안.xls__입찰안.xls__307"/>
      <sheetName val="_입찰안.xls__입찰안.xls__입찰안.xls__309"/>
      <sheetName val="_입찰안.xls__입찰안.xls__입찰안.xls__310"/>
      <sheetName val="_입찰안.xls__입찰안.xls__입찰안.xls__311"/>
      <sheetName val="_입찰안.xls__입찰안.xls__입찰안.xls__312"/>
      <sheetName val="_입찰안.xls__입찰안.xls__입찰안.xls__314"/>
      <sheetName val="_입찰안.xls__입찰안.xls__입찰안.xls__315"/>
      <sheetName val="_입찰안.xls__입찰안.xls__입찰안.xls__319"/>
      <sheetName val="_입찰안.xls__입찰안.xls__입찰안.xls__318"/>
      <sheetName val="_입찰안.xls__입찰안.xls__입찰안.xls__317"/>
      <sheetName val="_입찰안.xls__입찰안.xls__입찰안.xls__321"/>
      <sheetName val="_입찰안.xls__입찰안.xls__입찰안.xls__320"/>
      <sheetName val="_입찰안.xls__입찰안.xls__입찰안.xls__322"/>
      <sheetName val="_입찰안.xls__입찰안.xls__입찰안.xls__323"/>
      <sheetName val="_입찰안.xls__입찰안.xls__입찰안.xls__324"/>
      <sheetName val="_입찰안.xls__입찰안.xls__입찰안.xls__339"/>
      <sheetName val="_입찰안.xls__입찰안.xls__입찰안.xls__338"/>
      <sheetName val="_입찰안.xls__입찰안.xls__입찰안.xls__337"/>
      <sheetName val="_입찰안.xls__입찰안.xls__입찰안.xls__335"/>
      <sheetName val="_입찰안.xls__입찰안.xls__입찰안.xls__328"/>
      <sheetName val="_입찰안.xls__입찰안.xls__입찰안.xls__326"/>
      <sheetName val="_입찰안.xls__입찰안.xls__입찰안.xls__330"/>
      <sheetName val="_입찰안.xls__입찰안.xls__입찰안.xls__325"/>
      <sheetName val="_입찰안.xls__입찰안.xls__입찰안.xls__327"/>
      <sheetName val="_입찰안.xls__입찰안.xls__입찰안.xls__332"/>
      <sheetName val="_입찰안.xls__입찰안.xls__입찰안.xls__331"/>
      <sheetName val="_입찰안.xls__입찰안.xls__입찰안.xls__329"/>
      <sheetName val="_입찰안.xls__입찰안.xls__입찰안.xls__334"/>
      <sheetName val="_입찰안.xls__입찰안.xls__입찰안.xls__336"/>
      <sheetName val="_입찰안.xls__입찰안.xls__입찰안.xls__333"/>
      <sheetName val="_입찰안.xls__입찰안.xls__입찰안.xls__341"/>
      <sheetName val="_입찰안.xls__입찰안.xls__입찰안.xls__340"/>
      <sheetName val="_입찰안.xls__입찰안.xls__입찰안.xls__744"/>
      <sheetName val="_입찰안.xls__입찰안.xls__입찰안.xls__343"/>
      <sheetName val="_입찰안.xls__입찰안.xls__입찰안.xls__347"/>
      <sheetName val="_입찰안.xls__입찰안.xls__입찰안.xls__342"/>
      <sheetName val="_입찰안.xls__입찰안.xls__입찰안.xls__355"/>
      <sheetName val="_입찰안.xls__입찰안.xls__입찰안.xls__346"/>
      <sheetName val="_입찰안.xls__입찰안.xls__입찰안.xls__344"/>
      <sheetName val="_입찰안.xls__입찰안.xls__입찰안.xls__345"/>
      <sheetName val="_입찰안.xls__입찰안.xls__입찰안.xls__375"/>
      <sheetName val="_입찰안.xls__입찰안.xls__입찰안.xls__348"/>
      <sheetName val="_입찰안.xls__입찰안.xls__입찰안.xls__349"/>
      <sheetName val="_입찰안.xls__입찰안.xls__입찰안.xls__351"/>
      <sheetName val="_입찰안.xls__입찰안.xls__입찰안.xls__350"/>
      <sheetName val="_입찰안.xls__입찰안.xls__입찰안.xls__352"/>
      <sheetName val="_입찰안.xls__입찰안.xls__입찰안.xls__353"/>
      <sheetName val="_입찰안.xls__입찰안.xls__입찰안.xls__354"/>
      <sheetName val="_입찰안.xls__입찰안.xls__입찰안.xls__357"/>
      <sheetName val="_입찰안.xls__입찰안.xls__입찰안.xls__356"/>
      <sheetName val="_입찰안.xls__입찰안.xls__입찰안.xls__389"/>
      <sheetName val="_입찰안.xls__입찰안.xls__입찰안.xls__358"/>
      <sheetName val="_입찰안.xls__입찰안.xls__입찰안.xls__359"/>
      <sheetName val="_입찰안.xls__입찰안.xls__입찰안.xls__360"/>
      <sheetName val="_입찰안.xls__입찰안.xls__입찰안.xls__361"/>
      <sheetName val="_입찰안.xls__입찰안.xls__입찰안.xls__362"/>
      <sheetName val="_입찰안.xls__입찰안.xls__입찰안.xls__363"/>
      <sheetName val="_입찰안.xls__입찰안.xls__입찰안.xls__364"/>
      <sheetName val="_입찰안.xls__입찰안.xls__입찰안.xls__365"/>
      <sheetName val="_입찰안.xls__입찰안.xls__입찰안.xls__366"/>
      <sheetName val="_입찰안.xls__입찰안.xls__입찰안.xls__367"/>
      <sheetName val="_입찰안.xls__입찰안.xls__입찰안.xls__368"/>
      <sheetName val="_입찰안.xls__입찰안.xls__입찰안.xls__370"/>
      <sheetName val="_입찰안.xls__입찰안.xls__입찰안.xls__369"/>
      <sheetName val="_입찰안.xls__입찰안.xls__입찰안.xls__373"/>
      <sheetName val="_입찰안.xls__입찰안.xls__입찰안.xls__371"/>
      <sheetName val="_입찰안.xls__입찰안.xls__입찰안.xls__372"/>
      <sheetName val="_입찰안.xls__입찰안.xls__입찰안.xls__374"/>
      <sheetName val="_입찰안.xls__입찰안.xls__입찰안.xls__390"/>
      <sheetName val="_입찰안.xls__입찰안.xls__입찰안.xls__388"/>
      <sheetName val="_입찰안.xls__입찰안.xls__입찰안.xls__376"/>
      <sheetName val="_입찰안.xls__입찰안.xls__입찰안.xls__377"/>
      <sheetName val="_입찰안.xls__입찰안.xls__입찰안.xls__378"/>
      <sheetName val="_입찰안.xls__입찰안.xls__입찰안.xls__379"/>
      <sheetName val="_입찰안.xls__입찰안.xls__입찰안.xls__380"/>
      <sheetName val="_입찰안.xls__입찰안.xls__입찰안.xls__381"/>
      <sheetName val="_입찰안.xls__입찰안.xls__입찰안.xls__382"/>
      <sheetName val="_입찰안.xls__입찰안.xls__입찰안.xls__384"/>
      <sheetName val="_입찰안.xls__입찰안.xls__입찰안.xls__383"/>
      <sheetName val="_입찰안.xls__입찰안.xls__입찰안.xls__387"/>
      <sheetName val="_입찰안.xls__입찰안.xls__입찰안.xls__385"/>
      <sheetName val="_입찰안.xls__입찰안.xls__입찰안.xls__386"/>
      <sheetName val="_입찰안.xls__입찰안.xls__입찰안.xls__412"/>
      <sheetName val="_입찰안.xls__입찰안.xls__입찰안.xls__419"/>
      <sheetName val="_입찰안.xls__입찰안.xls__입찰안.xls__391"/>
      <sheetName val="_입찰안.xls__입찰안.xls__입찰안.xls__392"/>
      <sheetName val="_입찰안.xls__입찰안.xls__입찰안.xls__394"/>
      <sheetName val="_입찰안.xls__입찰안.xls__입찰안.xls__393"/>
      <sheetName val="_입찰안.xls__입찰안.xls__입찰안.xls__395"/>
      <sheetName val="_입찰안.xls__입찰안.xls__입찰안.xls__396"/>
      <sheetName val="_입찰안.xls__입찰안.xls__입찰안.xls__397"/>
      <sheetName val="_입찰안.xls__입찰안.xls__입찰안.xls__398"/>
      <sheetName val="_입찰안.xls__입찰안.xls__입찰안.xls__399"/>
      <sheetName val="_입찰안.xls__입찰안.xls__입찰안.xls__400"/>
      <sheetName val="_입찰안.xls__입찰안.xls__입찰안.xls__401"/>
      <sheetName val="_입찰안.xls__입찰안.xls__입찰안.xls__402"/>
      <sheetName val="_입찰안.xls__입찰안.xls__입찰안.xls__403"/>
      <sheetName val="_입찰안.xls__입찰안.xls__입찰안.xls__405"/>
      <sheetName val="_입찰안.xls__입찰안.xls__입찰안.xls__404"/>
      <sheetName val="_입찰안.xls__입찰안.xls__입찰안.xls__406"/>
      <sheetName val="_입찰안.xls__입찰안.xls__입찰안.xls__407"/>
      <sheetName val="_입찰안.xls__입찰안.xls__입찰안.xls__409"/>
      <sheetName val="_입찰안.xls__입찰안.xls__입찰안.xls__408"/>
      <sheetName val="_입찰안.xls__입찰안.xls__입찰안.xls__410"/>
      <sheetName val="_입찰안.xls__입찰안.xls__입찰안.xls__411"/>
      <sheetName val="_입찰안.xls__입찰안.xls__입찰안.xls__418"/>
      <sheetName val="_입찰안.xls__입찰안.xls__입찰안.xls__416"/>
      <sheetName val="_입찰안.xls__입찰안.xls__입찰안.xls__413"/>
      <sheetName val="_입찰안.xls__입찰안.xls__입찰안.xls__414"/>
      <sheetName val="_입찰안.xls__입찰안.xls__입찰안.xls__415"/>
      <sheetName val="_입찰안.xls__입찰안.xls__입찰안.xls__417"/>
      <sheetName val="_입찰안.xls__입찰안.xls__입찰안.xls__421"/>
      <sheetName val="_입찰안.xls__입찰안.xls__입찰안.xls__420"/>
      <sheetName val="_입찰안.xls__입찰안.xls__입찰안.xls__483"/>
      <sheetName val="_입찰안.xls__입찰안.xls__입찰안.xls__424"/>
      <sheetName val="_입찰안.xls__입찰안.xls__입찰안.xls__422"/>
      <sheetName val="_입찰안.xls__입찰안.xls__입찰안.xls__423"/>
      <sheetName val="_입찰안.xls__입찰안.xls__입찰안.xls__426"/>
      <sheetName val="_입찰안.xls__입찰안.xls__입찰안.xls__425"/>
      <sheetName val="_입찰안.xls__입찰안.xls__입찰안.xls__427"/>
      <sheetName val="_입찰안.xls__입찰안.xls__입찰안.xls__485"/>
      <sheetName val="_입찰안.xls__입찰안.xls__입찰안.xls__428"/>
      <sheetName val="_입찰안.xls__입찰안.xls__입찰안.xls__429"/>
      <sheetName val="_입찰안.xls__입찰안.xls__입찰안.xls__432"/>
      <sheetName val="_입찰안.xls__입찰안.xls__입찰안.xls__430"/>
      <sheetName val="_입찰안.xls__입찰안.xls__입찰안.xls__431"/>
      <sheetName val="_입찰안.xls__입찰안.xls__입찰안.xls__433"/>
      <sheetName val="_입찰안.xls__입찰안.xls__입찰안.xls__435"/>
      <sheetName val="_입찰안.xls__입찰안.xls__입찰안.xls__434"/>
      <sheetName val="_입찰안.xls__입찰안.xls__입찰안.xls__436"/>
      <sheetName val="_입찰안.xls__입찰안.xls__입찰안.xls__437"/>
      <sheetName val="_입찰안.xls__입찰안.xls__입찰안.xls__438"/>
      <sheetName val="_입찰안.xls__입찰안.xls__입찰안.xls__439"/>
      <sheetName val="_입찰안.xls__입찰안.xls__입찰안.xls__441"/>
      <sheetName val="_입찰안.xls__입찰안.xls__입찰안.xls__440"/>
      <sheetName val="_입찰안.xls__입찰안.xls__입찰안.xls__442"/>
      <sheetName val="_입찰안.xls__입찰안.xls__입찰안.xls__443"/>
      <sheetName val="_입찰안.xls__입찰안.xls__입찰안.xls__444"/>
      <sheetName val="_입찰안.xls__입찰안.xls__입찰안.xls__446"/>
      <sheetName val="_입찰안.xls__입찰안.xls__입찰안.xls__445"/>
      <sheetName val="_입찰안.xls__입찰안.xls__입찰안.xls__450"/>
      <sheetName val="_입찰안.xls__입찰안.xls__입찰안.xls__447"/>
      <sheetName val="_입찰안.xls__입찰안.xls__입찰안.xls__448"/>
      <sheetName val="_입찰안.xls__입찰안.xls__입찰안.xls__449"/>
      <sheetName val="_입찰안.xls__입찰안.xls__입찰안.xls__452"/>
      <sheetName val="_입찰안.xls__입찰안.xls__입찰안.xls__451"/>
      <sheetName val="_입찰안.xls__입찰안.xls__입찰안.xls__453"/>
      <sheetName val="_입찰안.xls__입찰안.xls__입찰안.xls__454"/>
      <sheetName val="_입찰안.xls__입찰안.xls__입찰안.xls__455"/>
      <sheetName val="_입찰안.xls__입찰안.xls__입찰안.xls__456"/>
      <sheetName val="_입찰안.xls__입찰안.xls__입찰안.xls__457"/>
      <sheetName val="_입찰안.xls__입찰안.xls__입찰안.xls__458"/>
      <sheetName val="_입찰안.xls__입찰안.xls__입찰안.xls__459"/>
      <sheetName val="_입찰안.xls__입찰안.xls__입찰안.xls__460"/>
      <sheetName val="_입찰안.xls__입찰안.xls__입찰안.xls__462"/>
      <sheetName val="_입찰안.xls__입찰안.xls__입찰안.xls__461"/>
      <sheetName val="_입찰안.xls__입찰안.xls__입찰안.xls__463"/>
      <sheetName val="_입찰안.xls__입찰안.xls__입찰안.xls__464"/>
      <sheetName val="_입찰안.xls__입찰안.xls__입찰안.xls__465"/>
      <sheetName val="_입찰안.xls__입찰안.xls__입찰안.xls__466"/>
      <sheetName val="_입찰안.xls__입찰안.xls__입찰안.xls__467"/>
      <sheetName val="_입찰안.xls__입찰안.xls__입찰안.xls__468"/>
      <sheetName val="_입찰안.xls__입찰안.xls__입찰안.xls__470"/>
      <sheetName val="_입찰안.xls__입찰안.xls__입찰안.xls__469"/>
      <sheetName val="_입찰안.xls__입찰안.xls__입찰안.xls__472"/>
      <sheetName val="_입찰안.xls__입찰안.xls__입찰안.xls__471"/>
      <sheetName val="_입찰안.xls__입찰안.xls__입찰안.xls__476"/>
      <sheetName val="_입찰안.xls__입찰안.xls__입찰안.xls__474"/>
      <sheetName val="_입찰안.xls__입찰안.xls__입찰안.xls__473"/>
      <sheetName val="_입찰안.xls__입찰안.xls__입찰안.xls__475"/>
      <sheetName val="_입찰안.xls__입찰안.xls__입찰안.xls__478"/>
      <sheetName val="_입찰안.xls__입찰안.xls__입찰안.xls__477"/>
      <sheetName val="_입찰안.xls__입찰안.xls__입찰안.xls__480"/>
      <sheetName val="_입찰안.xls__입찰안.xls__입찰안.xls__479"/>
      <sheetName val="_입찰안.xls__입찰안.xls__입찰안.xls__482"/>
      <sheetName val="_입찰안.xls__입찰안.xls__입찰안.xls__481"/>
      <sheetName val="_입찰안.xls__입찰안.xls__입찰안.xls__486"/>
      <sheetName val="_입찰안.xls__입찰안.xls__입찰안.xls__484"/>
      <sheetName val="_입찰안.xls__입찰안.xls__입찰안.xls__496"/>
      <sheetName val="_입찰안.xls__입찰안.xls__입찰안.xls__487"/>
      <sheetName val="_입찰안.xls__입찰안.xls__입찰안.xls__488"/>
      <sheetName val="_입찰안.xls__입찰안.xls__입찰안.xls__527"/>
      <sheetName val="_입찰안.xls__입찰안.xls__입찰안.xls__521"/>
      <sheetName val="_입찰안.xls__입찰안.xls__입찰안.xls__489"/>
      <sheetName val="_입찰안.xls__입찰안.xls__입찰안.xls__490"/>
      <sheetName val="_입찰안.xls__입찰안.xls__입찰안.xls__492"/>
      <sheetName val="_입찰안.xls__입찰안.xls__입찰안.xls__491"/>
      <sheetName val="_입찰안.xls__입찰안.xls__입찰안.xls__495"/>
      <sheetName val="_입찰안.xls__입찰안.xls__입찰안.xls__494"/>
      <sheetName val="_입찰안.xls__입찰안.xls__입찰안.xls__493"/>
      <sheetName val="_입찰안.xls__입찰안.xls__입찰안.xls__512"/>
      <sheetName val="_입찰안.xls__입찰안.xls__입찰안.xls__502"/>
      <sheetName val="_입찰안.xls__입찰안.xls__입찰안.xls__499"/>
      <sheetName val="_입찰안.xls__입찰안.xls__입찰안.xls__497"/>
      <sheetName val="_입찰안.xls__입찰안.xls__입찰안.xls__498"/>
      <sheetName val="_입찰안.xls__입찰안.xls__입찰안.xls__500"/>
      <sheetName val="_입찰안.xls__입찰안.xls__입찰안.xls__501"/>
      <sheetName val="_입찰안.xls__입찰안.xls__입찰안.xls__504"/>
      <sheetName val="_입찰안.xls__입찰안.xls__입찰안.xls__503"/>
      <sheetName val="_입찰안.xls__입찰안.xls__입찰안.xls__505"/>
      <sheetName val="_입찰안.xls__입찰안.xls__입찰안.xls__508"/>
      <sheetName val="_입찰안.xls__입찰안.xls__입찰안.xls__506"/>
      <sheetName val="_입찰안.xls__입찰안.xls__입찰안.xls__507"/>
      <sheetName val="_입찰안.xls__입찰안.xls__입찰안.xls__509"/>
      <sheetName val="_입찰안.xls__입찰안.xls__입찰안.xls__511"/>
      <sheetName val="_입찰안.xls__입찰안.xls__입찰안.xls__510"/>
      <sheetName val="_입찰안.xls__입찰안.xls__입찰안.xls__514"/>
      <sheetName val="_입찰안.xls__입찰안.xls__입찰안.xls__513"/>
      <sheetName val="_입찰안.xls__입찰안.xls__입찰안.xls__515"/>
      <sheetName val="_입찰안.xls__입찰안.xls__입찰안.xls__517"/>
      <sheetName val="_입찰안.xls__입찰안.xls__입찰안.xls__516"/>
      <sheetName val="_입찰안.xls__입찰안.xls__입찰안.xls__518"/>
      <sheetName val="_입찰안.xls__입찰안.xls__입찰안.xls__520"/>
      <sheetName val="_입찰안.xls__입찰안.xls__입찰안.xls__519"/>
      <sheetName val="_입찰안.xls__입찰안.xls__입찰안.xls__526"/>
      <sheetName val="_입찰안.xls__입찰안.xls__입찰안.xls__523"/>
      <sheetName val="_입찰안.xls__입찰안.xls__입찰안.xls__522"/>
      <sheetName val="_입찰안.xls__입찰안.xls__입찰안.xls__524"/>
      <sheetName val="_입찰안.xls__입찰안.xls__입찰안.xls__525"/>
      <sheetName val="_입찰안.xls__입찰안.xls__입찰안.xls__533"/>
      <sheetName val="_입찰안.xls__입찰안.xls__입찰안.xls__529"/>
      <sheetName val="_입찰안.xls__입찰안.xls__입찰안.xls__528"/>
      <sheetName val="_입찰안.xls__입찰안.xls__입찰안.xls__530"/>
      <sheetName val="_입찰안.xls__입찰안.xls__입찰안.xls__531"/>
      <sheetName val="_입찰안.xls__입찰안.xls__입찰안.xls__562"/>
      <sheetName val="_입찰안.xls__입찰안.xls__입찰안.xls__532"/>
      <sheetName val="_입찰안.xls__입찰안.xls__입찰안.xls__574"/>
      <sheetName val="_입찰안.xls__입찰안.xls__입찰안.xls__535"/>
      <sheetName val="_입찰안.xls__입찰안.xls__입찰안.xls__534"/>
      <sheetName val="_입찰안.xls__입찰안.xls__입찰안.xls__536"/>
      <sheetName val="_입찰안.xls__입찰안.xls__입찰안.xls__537"/>
      <sheetName val="_입찰안.xls__입찰안.xls__입찰안.xls__538"/>
      <sheetName val="_입찰안.xls__입찰안.xls__입찰안.xls__539"/>
      <sheetName val="_입찰안.xls__입찰안.xls__입찰안.xls__541"/>
      <sheetName val="_입찰안.xls__입찰안.xls__입찰안.xls__540"/>
      <sheetName val="_입찰안.xls__입찰안.xls__입찰안.xls__542"/>
      <sheetName val="_입찰안.xls__입찰안.xls__입찰안.xls__543"/>
      <sheetName val="_입찰안.xls__입찰안.xls__입찰안.xls__544"/>
      <sheetName val="_입찰안.xls__입찰안.xls__입찰안.xls__546"/>
      <sheetName val="_입찰안.xls__입찰안.xls__입찰안.xls__545"/>
      <sheetName val="_입찰안.xls__입찰안.xls__입찰안.xls__547"/>
      <sheetName val="_입찰안.xls__입찰안.xls__입찰안.xls__548"/>
      <sheetName val="_입찰안.xls__입찰안.xls__입찰안.xls__549"/>
      <sheetName val="_입찰안.xls__입찰안.xls__입찰안.xls__551"/>
      <sheetName val="_입찰안.xls__입찰안.xls__입찰안.xls__550"/>
      <sheetName val="_입찰안.xls__입찰안.xls__입찰안.xls__554"/>
      <sheetName val="_입찰안.xls__입찰안.xls__입찰안.xls__552"/>
      <sheetName val="_입찰안.xls__입찰안.xls__입찰안.xls__553"/>
      <sheetName val="_입찰안.xls__입찰안.xls__입찰안.xls__556"/>
      <sheetName val="_입찰안.xls__입찰안.xls__입찰안.xls__555"/>
      <sheetName val="_입찰안.xls__입찰안.xls__입찰안.xls__559"/>
      <sheetName val="_입찰안.xls__입찰안.xls__입찰안.xls__557"/>
      <sheetName val="_입찰안.xls__입찰안.xls__입찰안.xls__558"/>
      <sheetName val="_입찰안.xls__입찰안.xls__입찰안.xls__561"/>
      <sheetName val="_입찰안.xls__입찰안.xls__입찰안.xls__560"/>
      <sheetName val="_입찰안.xls__입찰안.xls__입찰안.xls__563"/>
      <sheetName val="_입찰안.xls__입찰안.xls__입찰안.xls__564"/>
      <sheetName val="_입찰안.xls__입찰안.xls__입찰안.xls__575"/>
      <sheetName val="_입찰안.xls__입찰안.xls__입찰안.xls__566"/>
      <sheetName val="_입찰안.xls__입찰안.xls__입찰안.xls__565"/>
      <sheetName val="_입찰안.xls__입찰안.xls__입찰안.xls__567"/>
      <sheetName val="_입찰안.xls__입찰안.xls__입찰안.xls__568"/>
      <sheetName val="_입찰안.xls__입찰안.xls__입찰안.xls__569"/>
      <sheetName val="_입찰안.xls__입찰안.xls__입찰안.xls__570"/>
      <sheetName val="_입찰안.xls__입찰안.xls__입찰안.xls__571"/>
      <sheetName val="_입찰안.xls__입찰안.xls__입찰안.xls__572"/>
      <sheetName val="_입찰안.xls__입찰안.xls__입찰안.xls__573"/>
      <sheetName val="_입찰안.xls__입찰안.xls__입찰안.xls__576"/>
      <sheetName val="_입찰안.xls__입찰안.xls__입찰안.xls__585"/>
      <sheetName val="_입찰안.xls__입찰안.xls__입찰안.xls__577"/>
      <sheetName val="_입찰안.xls__입찰안.xls__입찰안.xls__578"/>
      <sheetName val="_입찰안.xls__입찰안.xls__입찰안.xls__579"/>
      <sheetName val="_입찰안.xls__입찰안.xls__입찰안.xls__580"/>
      <sheetName val="_입찰안.xls__입찰안.xls__입찰안.xls__581"/>
      <sheetName val="_입찰안.xls__입찰안.xls__입찰안.xls__582"/>
      <sheetName val="_입찰안.xls__입찰안.xls__입찰안.xls__583"/>
      <sheetName val="_입찰안.xls__입찰안.xls__입찰안.xls__584"/>
      <sheetName val="_입찰안.xls__입찰안.xls__입찰안.xls__589"/>
      <sheetName val="_입찰안.xls__입찰안.xls__입찰안.xls__590"/>
      <sheetName val="_입찰안.xls__입찰안.xls__입찰안.xls__586"/>
      <sheetName val="_입찰안.xls__입찰안.xls__입찰안.xls__587"/>
      <sheetName val="_입찰안.xls__입찰안.xls__입찰안.xls__588"/>
      <sheetName val="_입찰안.xls__입찰안.xls__입찰안.xls__591"/>
      <sheetName val="_입찰안.xls__입찰안.xls__입찰안.xls__597"/>
      <sheetName val="_입찰안.xls__입찰안.xls__입찰안.xls__596"/>
      <sheetName val="_입찰안.xls__입찰안.xls__입찰안.xls__593"/>
      <sheetName val="_입찰안.xls__입찰안.xls__입찰안.xls__592"/>
      <sheetName val="_입찰안.xls__입찰안.xls__입찰안.xls__594"/>
      <sheetName val="_입찰안.xls__입찰안.xls__입찰안.xls__595"/>
      <sheetName val="_입찰안.xls__입찰안.xls__입찰안.xls__614"/>
      <sheetName val="_입찰안.xls__입찰안.xls__입찰안.xls__598"/>
      <sheetName val="_입찰안.xls__입찰안.xls__입찰안.xls__599"/>
      <sheetName val="_입찰안.xls__입찰안.xls__입찰안.xls__600"/>
      <sheetName val="_입찰안.xls__입찰안.xls__입찰안.xls__628"/>
      <sheetName val="_입찰안.xls__입찰안.xls__입찰안.xls__601"/>
      <sheetName val="_입찰안.xls__입찰안.xls__입찰안.xls__602"/>
      <sheetName val="_입찰안.xls__입찰안.xls__입찰안.xls__606"/>
      <sheetName val="_입찰안.xls__입찰안.xls__입찰안.xls__603"/>
      <sheetName val="_입찰안.xls__입찰안.xls__입찰안.xls__604"/>
      <sheetName val="_입찰안.xls__입찰안.xls__입찰안.xls__605"/>
      <sheetName val="_입찰안.xls__입찰안.xls__입찰안.xls__607"/>
      <sheetName val="_입찰안.xls__입찰안.xls__입찰안.xls__608"/>
      <sheetName val="_입찰안.xls__입찰안.xls__입찰안.xls__609"/>
      <sheetName val="_입찰안.xls__입찰안.xls__입찰안.xls__610"/>
      <sheetName val="_입찰안.xls__입찰안.xls__입찰안.xls__613"/>
      <sheetName val="_입찰안.xls__입찰안.xls__입찰안.xls__611"/>
      <sheetName val="_입찰안.xls__입찰안.xls__입찰안.xls__612"/>
      <sheetName val="_입찰안.xls__입찰안.xls__입찰안.xls__615"/>
      <sheetName val="_입찰안.xls__입찰안.xls__입찰안.xls__616"/>
      <sheetName val="_입찰안.xls__입찰안.xls__입찰안.xls__617"/>
      <sheetName val="_입찰안.xls__입찰안.xls__입찰안.xls__618"/>
      <sheetName val="_입찰안.xls__입찰안.xls__입찰안.xls__619"/>
      <sheetName val="_입찰안.xls__입찰안.xls__입찰안.xls__620"/>
      <sheetName val="_입찰안.xls__입찰안.xls__입찰안.xls__621"/>
      <sheetName val="_입찰안.xls__입찰안.xls__입찰안.xls__622"/>
      <sheetName val="_입찰안.xls__입찰안.xls__입찰안.xls__623"/>
      <sheetName val="_입찰안.xls__입찰안.xls__입찰안.xls__624"/>
      <sheetName val="_입찰안.xls__입찰안.xls__입찰안.xls__625"/>
      <sheetName val="_입찰안.xls__입찰안.xls__입찰안.xls__626"/>
      <sheetName val="_입찰안.xls__입찰안.xls__입찰안.xls__627"/>
      <sheetName val="_입찰안.xls__입찰안.xls__입찰안.xls__635"/>
      <sheetName val="_입찰안.xls__입찰안.xls__입찰안.xls__629"/>
      <sheetName val="_입찰안.xls__입찰안.xls__입찰안.xls__630"/>
      <sheetName val="_입찰안.xls__입찰안.xls__입찰안.xls__631"/>
      <sheetName val="_입찰안.xls__입찰안.xls__입찰안.xls__632"/>
      <sheetName val="_입찰안.xls__입찰안.xls__입찰안.xls__633"/>
      <sheetName val="_입찰안.xls__입찰안.xls__입찰안.xls__634"/>
      <sheetName val="_입찰안.xls__입찰안.xls__입찰안.xls__639"/>
      <sheetName val="_입찰안.xls__입찰안.xls__입찰안.xls__636"/>
      <sheetName val="_입찰안.xls__입찰안.xls__입찰안.xls__638"/>
      <sheetName val="_입찰안.xls__입찰안.xls__입찰안.xls__637"/>
      <sheetName val="_입찰안.xls__입찰안.xls__입찰안.xls__640"/>
      <sheetName val="_입찰안.xls__입찰안.xls__입찰안.xls__641"/>
      <sheetName val="_입찰안.xls__입찰안.xls__입찰안.xls__644"/>
      <sheetName val="_입찰안.xls__입찰안.xls__입찰안.xls__642"/>
      <sheetName val="_입찰안.xls__입찰안.xls__입찰안.xls__643"/>
      <sheetName val="_입찰안.xls__입찰안.xls__입찰안.xls__647"/>
      <sheetName val="_입찰안.xls__입찰안.xls__입찰안.xls__645"/>
      <sheetName val="_입찰안.xls__입찰안.xls__입찰안.xls__646"/>
      <sheetName val="_입찰안.xls__입찰안.xls__입찰안.xls__667"/>
      <sheetName val="_입찰안.xls__입찰안.xls__입찰안.xls__651"/>
      <sheetName val="_입찰안.xls__입찰안.xls__입찰안.xls__649"/>
      <sheetName val="_입찰안.xls__입찰안.xls__입찰안.xls__648"/>
      <sheetName val="_입찰안.xls__입찰안.xls__입찰안.xls__650"/>
      <sheetName val="_입찰안.xls__입찰안.xls__입찰안.xls__652"/>
      <sheetName val="_입찰안.xls__입찰안.xls__입찰안.xls__654"/>
      <sheetName val="_입찰안.xls__입찰안.xls__입찰안.xls__653"/>
      <sheetName val="_입찰안.xls__입찰안.xls__입찰안.xls__672"/>
      <sheetName val="_입찰안.xls__입찰안.xls__입찰안.xls__655"/>
      <sheetName val="_입찰안.xls__입찰안.xls__입찰안.xls__656"/>
      <sheetName val="_입찰안.xls__입찰안.xls__입찰안.xls__657"/>
      <sheetName val="_입찰안.xls__입찰안.xls__입찰안.xls__658"/>
      <sheetName val="_입찰안.xls__입찰안.xls__입찰안.xls__660"/>
      <sheetName val="_입찰안.xls__입찰안.xls__입찰안.xls__659"/>
      <sheetName val="_입찰안.xls__입찰안.xls__입찰안.xls__661"/>
      <sheetName val="_입찰안.xls__입찰안.xls__입찰안.xls__662"/>
      <sheetName val="_입찰안.xls__입찰안.xls__입찰안.xls__663"/>
      <sheetName val="_입찰안.xls__입찰안.xls__입찰안.xls__664"/>
      <sheetName val="_입찰안.xls__입찰안.xls__입찰안.xls__666"/>
      <sheetName val="_입찰안.xls__입찰안.xls__입찰안.xls__665"/>
      <sheetName val="_입찰안.xls__입찰안.xls__입찰안.xls__684"/>
      <sheetName val="_입찰안.xls__입찰안.xls__입찰안.xls__668"/>
      <sheetName val="_입찰안.xls__입찰안.xls__입찰안.xls__669"/>
      <sheetName val="_입찰안.xls__입찰안.xls__입찰안.xls__670"/>
      <sheetName val="_입찰안.xls__입찰안.xls__입찰안.xls__671"/>
      <sheetName val="_입찰안.xls__입찰안.xls__입찰안.xls__674"/>
      <sheetName val="_입찰안.xls__입찰안.xls__입찰안.xls__673"/>
      <sheetName val="_입찰안.xls__입찰안.xls__입찰안.xls__675"/>
      <sheetName val="_입찰안.xls__입찰안.xls__입찰안.xls__693"/>
      <sheetName val="_입찰안.xls__입찰안.xls__입찰안.xls__676"/>
      <sheetName val="_입찰안.xls__입찰안.xls__입찰안.xls__678"/>
      <sheetName val="_입찰안.xls__입찰안.xls__입찰안.xls__677"/>
      <sheetName val="_입찰안.xls__입찰안.xls__입찰안.xls__679"/>
      <sheetName val="_입찰안.xls__입찰안.xls__입찰안.xls__680"/>
      <sheetName val="_입찰안.xls__입찰안.xls__입찰안.xls__681"/>
      <sheetName val="_입찰안.xls__입찰안.xls__입찰안.xls__682"/>
      <sheetName val="_입찰안.xls__입찰안.xls__입찰안.xls__683"/>
      <sheetName val="_입찰안.xls__입찰안.xls__입찰안.xls__685"/>
      <sheetName val="_입찰안.xls__입찰안.xls__입찰안.xls__686"/>
      <sheetName val="_입찰안.xls__입찰안.xls__입찰안.xls__687"/>
      <sheetName val="_입찰안.xls__입찰안.xls__입찰안.xls__688"/>
      <sheetName val="_입찰안.xls__입찰안.xls__입찰안.xls__692"/>
      <sheetName val="_입찰안.xls__입찰안.xls__입찰안.xls__689"/>
      <sheetName val="_입찰안.xls__입찰안.xls__입찰안.xls__690"/>
      <sheetName val="_입찰안.xls__입찰안.xls__입찰안.xls__691"/>
      <sheetName val="_입찰안.xls__입찰안.xls__입찰안.xls__699"/>
      <sheetName val="_입찰안.xls__입찰안.xls__입찰안.xls__694"/>
      <sheetName val="_입찰안.xls__입찰안.xls__입찰안.xls__695"/>
      <sheetName val="_입찰안.xls__입찰안.xls__입찰안.xls__698"/>
      <sheetName val="_입찰안.xls__입찰안.xls__입찰안.xls__696"/>
      <sheetName val="_입찰안.xls__입찰안.xls__입찰안.xls__697"/>
      <sheetName val="_입찰안.xls__입찰안.xls__입찰안.xls__718"/>
      <sheetName val="_입찰안.xls__입찰안.xls__입찰안.xls__704"/>
      <sheetName val="_입찰안.xls__입찰안.xls__입찰안.xls__700"/>
      <sheetName val="_입찰안.xls__입찰안.xls__입찰안.xls__701"/>
      <sheetName val="_입찰안.xls__입찰안.xls__입찰안.xls__702"/>
      <sheetName val="_입찰안.xls__입찰안.xls__입찰안.xls__703"/>
      <sheetName val="_입찰안.xls__입찰안.xls__입찰안.xls__705"/>
      <sheetName val="_입찰안.xls__입찰안.xls__입찰안.xls__706"/>
      <sheetName val="_입찰안.xls__입찰안.xls__입찰안.xls__707"/>
      <sheetName val="_입찰안.xls__입찰안.xls__입찰안.xls__708"/>
      <sheetName val="_입찰안.xls__입찰안.xls__입찰안.xls__728"/>
      <sheetName val="_입찰안.xls__입찰안.xls__입찰안.xls__710"/>
      <sheetName val="_입찰안.xls__입찰안.xls__입찰안.xls__709"/>
      <sheetName val="_입찰안.xls__입찰안.xls__입찰안.xls__711"/>
      <sheetName val="_입찰안.xls__입찰안.xls__입찰안.xls__712"/>
      <sheetName val="_입찰안.xls__입찰안.xls__입찰안.xls__713"/>
      <sheetName val="_입찰안.xls__입찰안.xls__입찰안.xls__715"/>
      <sheetName val="_입찰안.xls__입찰안.xls__입찰안.xls__714"/>
      <sheetName val="_입찰안.xls__입찰안.xls__입찰안.xls__716"/>
      <sheetName val="_입찰안.xls__입찰안.xls__입찰안.xls__717"/>
      <sheetName val="_입찰안.xls__입찰안.xls__입찰안.xls__720"/>
      <sheetName val="_입찰안.xls__입찰안.xls__입찰안.xls__719"/>
      <sheetName val="_입찰안.xls__입찰안.xls__입찰안.xls__721"/>
      <sheetName val="_입찰안.xls__입찰안.xls__입찰안.xls__722"/>
      <sheetName val="_입찰안.xls__입찰안.xls__입찰안.xls__723"/>
      <sheetName val="_입찰안.xls__입찰안.xls__입찰안.xls__724"/>
      <sheetName val="_입찰안.xls__입찰안.xls__입찰안.xls__725"/>
      <sheetName val="_입찰안.xls__입찰안.xls__입찰안.xls__726"/>
      <sheetName val="_입찰안.xls__입찰안.xls__입찰안.xls__727"/>
      <sheetName val="_입찰안.xls__입찰안.xls__입찰안.xls__729"/>
      <sheetName val="_입찰안.xls__입찰안.xls__입찰안.xls__730"/>
      <sheetName val="_입찰안.xls__입찰안.xls__입찰안.xls__732"/>
      <sheetName val="_입찰안.xls__입찰안.xls__입찰안.xls__731"/>
      <sheetName val="_입찰안.xls__입찰안.xls__입찰안.xls__739"/>
      <sheetName val="_입찰안.xls__입찰안.xls__입찰안.xls__733"/>
      <sheetName val="_입찰안.xls__입찰안.xls__입찰안.xls__734"/>
      <sheetName val="_입찰안.xls__입찰안.xls__입찰안.xls__735"/>
      <sheetName val="_입찰안.xls__입찰안.xls__입찰안.xls__736"/>
      <sheetName val="_입찰안.xls__입찰안.xls__입찰안.xls__737"/>
      <sheetName val="_입찰안.xls__입찰안.xls__입찰안.xls__738"/>
      <sheetName val="_입찰안.xls__입찰안.xls__입찰안.xls__743"/>
      <sheetName val="_입찰안.xls__입찰안.xls__입찰안.xls__740"/>
      <sheetName val="_입찰안.xls__입찰안.xls__입찰안.xls__741"/>
      <sheetName val="_입찰안.xls__입찰안.xls__입찰안.xls__742"/>
      <sheetName val="_입찰안.xls__입찰안.xls__입찰안.xls____7"/>
      <sheetName val="_입찰안.xls__입찰안_xls__입찰안_xls____3"/>
      <sheetName val="_입찰안.xls__입찰안.xls__입찰안_xls____2"/>
      <sheetName val="_입찰안.xls__입찰안.xls__입찰안.xls____8"/>
      <sheetName val="_입찰안.xls__입찰안_xls__입찰안_xls____4"/>
      <sheetName val="_입찰안.xls__입찰안.xls__입찰안_xls____3"/>
      <sheetName val="_입찰안.xls__입찰안.xls__입찰안.xls__752"/>
      <sheetName val="_입찰안.xls__입찰안.xls__입찰안.xls__749"/>
      <sheetName val="_입찰안.xls__입찰안.xls__입찰안.xls__745"/>
      <sheetName val="_입찰안.xls__입찰안.xls__입찰안.xls__746"/>
      <sheetName val="_입찰안.xls__입찰안.xls__입찰안.xls__747"/>
      <sheetName val="_입찰안.xls__입찰안.xls__입찰안.xls__748"/>
      <sheetName val="_입찰안.xls__입찰안.xls__입찰안.xls__750"/>
      <sheetName val="_입찰안.xls__입찰안.xls__입찰안.xls__751"/>
      <sheetName val="_입찰안.xls__입찰안.xls__입찰안.xls__754"/>
      <sheetName val="_입찰안.xls__입찰안.xls__입찰안.xls__753"/>
      <sheetName val="_입찰안.xls__입찰안.xls__입찰안.xls__755"/>
      <sheetName val="_입찰안.xls__입찰안.xls__입찰안.xls__759"/>
      <sheetName val="_입찰안.xls__입찰안.xls__입찰안.xls__756"/>
      <sheetName val="_입찰안.xls__입찰안.xls__입찰안.xls__762"/>
      <sheetName val="_입찰안.xls__입찰안.xls__입찰안.xls__757"/>
      <sheetName val="_입찰안.xls__입찰안.xls__입찰안.xls__758"/>
      <sheetName val="_입찰안.xls__입찰안.xls__입찰안.xls__760"/>
      <sheetName val="_입찰안.xls__입찰안.xls__입찰안.xls__761"/>
      <sheetName val="_입찰안.xls__입찰안.xls__입찰안.xls__763"/>
      <sheetName val="_입찰안.xls__입찰안.xls__입찰안.xls__765"/>
      <sheetName val="_입찰안.xls__입찰안.xls__입찰안.xls__764"/>
      <sheetName val="_입찰안_xls__입찰안_xls__입찰안_xls_B_30"/>
      <sheetName val="_입찰안_xls__입찰안_xls__입찰안_xls_B_46"/>
      <sheetName val="_입찰안_xls__입찰안_xls__입찰안_xls_B_45"/>
      <sheetName val="_입찰안_xls__입찰안_xls__입찰안_xls_B_44"/>
      <sheetName val="_입찰안_xls__입찰안_xls__입찰안_xls_B_33"/>
      <sheetName val="_입찰안_xls__입찰안_xls__입찰안_xls_B_31"/>
      <sheetName val="_입찰안_xls__입찰안_xls__입찰안_xls_B_32"/>
      <sheetName val="_입찰안_xls__입찰안_xls__입찰안_xls_B_34"/>
      <sheetName val="_입찰안_xls__입찰안_xls__입찰안_xls_B_35"/>
      <sheetName val="_입찰안_xls__입찰안_xls__입찰안_xls_B_36"/>
      <sheetName val="_입찰안_xls__입찰안_xls__입찰안_xls_B_37"/>
      <sheetName val="_입찰안_xls__입찰안_xls__입찰안_xls_B_40"/>
      <sheetName val="_입찰안_xls__입찰안_xls__입찰안_xls_B_38"/>
      <sheetName val="_입찰안_xls__입찰안_xls__입찰안_xls_B_41"/>
      <sheetName val="_입찰안_xls__입찰안_xls__입찰안_xls_B_39"/>
      <sheetName val="_입찰안_xls__입찰안_xls__입찰안_xls_B_42"/>
      <sheetName val="_입찰안_xls__입찰안_xls__입찰안_xls_B_43"/>
      <sheetName val="_입찰안_xls__입찰안_xls__입찰안_xls_B_47"/>
      <sheetName val="_입찰안_xls__입찰안_xls__입찰안_xls_B_48"/>
      <sheetName val="_입찰안_xls__입찰안_xls__입찰안_xls_B_49"/>
      <sheetName val="_입찰안_xls__입찰안_xls__입찰안_xls_B_54"/>
      <sheetName val="_입찰안_xls__입찰안_xls__입찰안_xls_B_53"/>
      <sheetName val="_입찰안_xls__입찰안_xls__입찰안_xls_B_50"/>
      <sheetName val="_입찰안_xls__입찰안_xls__입찰안_xls_B_51"/>
      <sheetName val="_입찰안_xls__입찰안_xls__입찰안_xls_B_52"/>
      <sheetName val="_입찰안_xls__입찰안_xls__입찰안_xls_B_55"/>
      <sheetName val="_입찰안_xls__입찰안_xls__입찰안_xls_B_56"/>
      <sheetName val="_입찰안_xls__입찰안_xls__입찰안_xls_B_57"/>
      <sheetName val="_입찰안_xls__입찰안_xls__입찰안_xls_B_58"/>
      <sheetName val="_입찰안_xls__입찰안_xls__입찰안_xls_B_59"/>
      <sheetName val="_입찰안_xls__입찰안_xls__입찰안_xls_B_60"/>
      <sheetName val="_입찰안_xls__입찰안_xls__입찰안_xls_B_61"/>
      <sheetName val="_입찰안_xls__입찰안_xls__입찰안_xls_B_62"/>
      <sheetName val="_입찰안_xls__입찰안_xls__입찰안_xls_B_63"/>
      <sheetName val="_입찰안_xls__입찰안_xls__입찰안_xls_B_64"/>
      <sheetName val="_입찰안_xls__입찰안_xls__입찰안_xls__103"/>
      <sheetName val="_입찰안_xls__입찰안_xls__입찰안_xls_B_68"/>
      <sheetName val="_입찰안_xls__입찰안_xls__입찰안_xls_B_79"/>
      <sheetName val="_입찰안_xls__입찰안_xls__입찰안_xls_B_80"/>
      <sheetName val="_입찰안_xls__입찰안_xls__입찰안_xls_B_66"/>
      <sheetName val="_입찰안_xls__입찰안_xls__입찰안_xls_B_67"/>
      <sheetName val="_입찰안_xls__입찰안_xls__입찰안_xls_B_65"/>
      <sheetName val="_입찰안_xls__입찰안_xls__입찰안_xls_B_69"/>
      <sheetName val="_입찰안_xls__입찰안_xls__입찰안_xls_B_70"/>
      <sheetName val="_입찰안_xls__입찰안_xls__입찰안_xls_B_71"/>
      <sheetName val="_입찰안_xls__입찰안_xls__입찰안_xls_B_73"/>
      <sheetName val="_입찰안_xls__입찰안_xls__입찰안_xls_B_74"/>
      <sheetName val="_입찰안_xls__입찰안_xls__입찰안_xls_B_72"/>
      <sheetName val="_입찰안_xls__입찰안_xls__입찰안_xls_B_75"/>
      <sheetName val="_입찰안_xls__입찰안_xls__입찰안_xls_B_76"/>
      <sheetName val="_입찰안_xls__입찰안_xls__입찰안_xls_B_77"/>
      <sheetName val="_입찰안_xls__입찰안_xls__입찰안_xls_B_78"/>
      <sheetName val="_입찰안_xls__입찰안_xls__입찰안_xls_B_81"/>
      <sheetName val="_입찰안_xls__입찰안_xls__입찰안_xls_B_82"/>
      <sheetName val="_입찰안_xls__입찰안_xls__입찰안_xls_B_83"/>
      <sheetName val="_입찰안_xls__입찰안_xls__입찰안_xls_B_93"/>
      <sheetName val="_입찰안_xls__입찰안_xls__입찰안_xls_B_96"/>
      <sheetName val="_입찰안_xls__입찰안_xls__입찰안_xls_B_86"/>
      <sheetName val="_입찰안_xls__입찰안_xls__입찰안_xls_B_87"/>
      <sheetName val="_입찰안_xls__입찰안_xls__입찰안_xls_B_84"/>
      <sheetName val="_입찰안_xls__입찰안_xls__입찰안_xls_B_85"/>
      <sheetName val="_입찰안_xls__입찰안_xls__입찰안_xls_B_88"/>
      <sheetName val="_입찰안_xls__입찰안_xls__입찰안_xls_B_89"/>
      <sheetName val="_입찰안_xls__입찰안_xls__입찰안_xls_B_90"/>
      <sheetName val="_입찰안_xls__입찰안_xls__입찰안_xls_B_91"/>
      <sheetName val="_입찰안_xls__입찰안_xls__입찰안_xls_B_92"/>
      <sheetName val="_입찰안_xls__입찰안_xls__입찰안_xls_B_94"/>
      <sheetName val="_입찰안_xls__입찰안_xls__입찰안_xls_B_95"/>
      <sheetName val="_입찰안_xls__입찰안_xls__입찰안_xls_B_97"/>
      <sheetName val="_입찰안_xls__입찰안_xls__입찰안_xls_B_98"/>
      <sheetName val="_입찰안_xls__입찰안_xls__입찰안_xls_B_99"/>
      <sheetName val="_입찰안_xls__입찰안_xls__입찰안_xls_B100"/>
      <sheetName val="_입찰안_xls__입찰안_xls__입찰안_xls_B101"/>
      <sheetName val="_입찰안_xls__입찰안_xls__입찰안_xls__100"/>
      <sheetName val="_입찰안_xls__입찰안_xls__입찰안_xls_B102"/>
      <sheetName val="_입찰안_xls__입찰안_xls__입찰안_xls__101"/>
      <sheetName val="_입찰안_xls__입찰안_xls__입찰안_xls__102"/>
      <sheetName val="_입찰안.xls__입찰안.xls__입찰안.xls__778"/>
      <sheetName val="_입찰안.xls__입찰안.xls__입찰안.xls__770"/>
      <sheetName val="_입찰안.xls__입찰안.xls__입찰안.xls__773"/>
      <sheetName val="_입찰안.xls__입찰안.xls__입찰안.xls__772"/>
      <sheetName val="_입찰안.xls__입찰안.xls__입찰안.xls__766"/>
      <sheetName val="_입찰안.xls__입찰안.xls__입찰안.xls__767"/>
      <sheetName val="_입찰안.xls__입찰안.xls__입찰안.xls__768"/>
      <sheetName val="_입찰안.xls__입찰안.xls__입찰안.xls__769"/>
      <sheetName val="_입찰안.xls__입찰안.xls__입찰안.xls__771"/>
      <sheetName val="_입찰안.xls__입찰안.xls__입찰안.xls__774"/>
      <sheetName val="_입찰안.xls__입찰안.xls__입찰안.xls__777"/>
      <sheetName val="_입찰안.xls__입찰안.xls__입찰안.xls__775"/>
      <sheetName val="_입찰안.xls__입찰안.xls__입찰안.xls__776"/>
      <sheetName val="_입찰안.xls__입찰안.xls__입찰안.xls__779"/>
      <sheetName val="_입찰안.xls__입찰안.xls__입찰안.xls__797"/>
      <sheetName val="_입찰안.xls__입찰안.xls__입찰안.xls__781"/>
      <sheetName val="_입찰안.xls__입찰안.xls__입찰안.xls__785"/>
      <sheetName val="_입찰안.xls__입찰안.xls__입찰안.xls__784"/>
      <sheetName val="_입찰안.xls__입찰안.xls__입찰안.xls__780"/>
      <sheetName val="_입찰안.xls__입찰안.xls__입찰안.xls__783"/>
      <sheetName val="_입찰안.xls__입찰안.xls__입찰안.xls__782"/>
      <sheetName val="_입찰안.xls__입찰안.xls__입찰안.xls__790"/>
      <sheetName val="_입찰안.xls__입찰안.xls__입찰안.xls__791"/>
      <sheetName val="_입찰안.xls__입찰안.xls__입찰안.xls__787"/>
      <sheetName val="_입찰안.xls__입찰안.xls__입찰안.xls__789"/>
      <sheetName val="_입찰안.xls__입찰안.xls__입찰안.xls__786"/>
      <sheetName val="_입찰안.xls__입찰안.xls__입찰안.xls__788"/>
      <sheetName val="_입찰안.xls__입찰안.xls__입찰안.xls__793"/>
      <sheetName val="_입찰안.xls__입찰안.xls__입찰안.xls__792"/>
      <sheetName val="_입찰안.xls__입찰안.xls__입찰안.xls__794"/>
      <sheetName val="_입찰안.xls__입찰안.xls__입찰안.xls__796"/>
      <sheetName val="_입찰안.xls__입찰안.xls__입찰안.xls__795"/>
      <sheetName val="_입찰안.xls__입찰안.xls__입찰안.xls__798"/>
      <sheetName val="_입찰안.xls__입찰안.xls__입찰안.xls__799"/>
      <sheetName val="[입찰안.xls][입찰안.xls]_입___xls_1004"/>
      <sheetName val="[입찰안.xls][입찰안.xls]_입___xls_1003"/>
      <sheetName val="가시설수량"/>
      <sheetName val="04.01"/>
      <sheetName val="[입찰안.xls][입찰안.xls]_____xls_2500"/>
      <sheetName val="[입찰안.xls][입찰안.xls]_____xls_2497"/>
      <sheetName val="[입찰안.xls][입찰안.xls]_____xls_2498"/>
      <sheetName val="[입찰안.xls][입찰안.xls]_____xls_2499"/>
      <sheetName val="[입찰안.xls][입찰안.xls]_____xls_2494"/>
      <sheetName val="[입찰안.xls][입찰안.xls]_____xls_2495"/>
      <sheetName val="[입찰안.xls][입찰안.xls]_____xls_2496"/>
      <sheetName val="[입찰안.xls][입찰안.xls]_____xls_2501"/>
      <sheetName val="[입찰안.xls][입찰안.xls]_____xls_2503"/>
      <sheetName val="[입찰안.xls][입찰안.xls]_____xls_2508"/>
      <sheetName val="[입찰안.xls][입찰안.xls]_____xls_2509"/>
      <sheetName val="[입찰안.xls][입찰안.xls]_____xls_2511"/>
      <sheetName val="[입찰안.xls][입찰안.xls]_____xls_2510"/>
      <sheetName val="[입찰안.xls][입찰안.xls]_____xls_2525"/>
      <sheetName val="[입찰안.xls][입찰안.xls]_____xls_2524"/>
      <sheetName val="[입찰안.xls][입찰안.xls]_____xls_2513"/>
      <sheetName val="18.공내수압탄성자연"/>
      <sheetName val="내역_v濐Ȫ)⋘"/>
      <sheetName val="[입찰안.xls][입찰안.xls]_____xls_2512"/>
      <sheetName val="[입찰안.xls][입찰안.xls]_____xls_2523"/>
      <sheetName val="환율c­"/>
      <sheetName val="pile_bearing_capa_&amp;_¬"/>
      <sheetName val="내역전기"/>
      <sheetName val="공종별예산조서"/>
      <sheetName val="[입찰안.xls][입찰안.xls]_____xls_2514"/>
      <sheetName val="[입찰안.xls][입찰안.xls]_____xls_2515"/>
      <sheetName val="[입찰안.xls][입찰안.xls]_____xls_2516"/>
      <sheetName val="[입찰안.xls][입찰안.xls]_____xls_2518"/>
      <sheetName val="[입찰안.xls][입찰안.xls]_____xls_2517"/>
      <sheetName val="[입찰안.xls][입찰안.xls]_____xls_2519"/>
      <sheetName val="[입찰안.xls][입찰안.xls]_____xls_2522"/>
      <sheetName val="[입찰안.xls][입찰안.xls]_____xls_2520"/>
      <sheetName val="[입찰안.xls][입찰안.xls]_____xls_2521"/>
      <sheetName val="[입찰안.xls][입찰안.xls]_____xls_2533"/>
      <sheetName val="[입찰안.xls][입찰안.xls]_____xls_2528"/>
      <sheetName val="[입찰안.xls][입찰안.xls]_____xls_2529"/>
      <sheetName val="[입찰안.xls][입찰안.xls]_____xls_2531"/>
      <sheetName val="[입찰안.xls][입찰안.xls]_____xls_2532"/>
      <sheetName val="[입찰안.xls][입찰안.xls]_____xls_2534"/>
      <sheetName val="[입찰안.xls][입찰안.xls]_____xls_2535"/>
      <sheetName val="[입찰안.xls][입찰안.xls]_____xls_2536"/>
      <sheetName val="[입찰안.xls][입찰안.xls]_____xls_2537"/>
      <sheetName val="[입찰안.xls][입찰안.xls]_____xls_2538"/>
      <sheetName val="[입찰안.xls][입찰안.xls]_____xls_2540"/>
      <sheetName val="[입찰안.xls][입찰안.xls]_____xls_2539"/>
      <sheetName val="[입찰안.xls][입찰안.xls]_____xls_2541"/>
      <sheetName val="[입찰안.xls][입찰안.xls]_____xls_2545"/>
      <sheetName val="[입찰안.xls][입찰안.xls]_____xls_2546"/>
      <sheetName val="[입찰안.xls][입찰안.xls]_____xls_2543"/>
      <sheetName val="[입찰안.xls][입찰안.xls]_____xls_2544"/>
      <sheetName val="[입찰안.xls][입찰안.xls]_____xls_2549"/>
      <sheetName val="[입찰안.xls][입찰안.xls]_____xls_2554"/>
      <sheetName val="[입찰안.xls][입찰안.xls]_____xls_2550"/>
      <sheetName val="[입찰안.xls][입찰안.xls]_____xls_2551"/>
      <sheetName val="[입찰안.xls][입찰안.xls]_____xls_2559"/>
      <sheetName val="ysn"/>
      <sheetName val="[입찰안.xls][입찰안.xls]_____xls_2560"/>
      <sheetName val="[입찰안.xls][입찰안.xls]_____xls_2552"/>
      <sheetName val="[입찰안.xls][입찰안.xls]_____xls_2553"/>
      <sheetName val="[입찰안.xls][입찰안.xls]_____xls_2561"/>
      <sheetName val="[입찰안.xls][입찰안.xls]_____xls_2555"/>
      <sheetName val="[입찰안.xls][입찰안.xls]_____xls_2556"/>
      <sheetName val="[입찰안.xls][입찰안.xls]_____xls_2557"/>
      <sheetName val="[입찰안.xls][입찰안.xls]_____xls_2558"/>
      <sheetName val="[입찰안.xls][입찰안.xls]_____xls_2562"/>
      <sheetName val="[입찰안.xls][입찰안.xls]_____xls_2563"/>
      <sheetName val="[입찰안.xls][입찰안.xls]_____xls_2565"/>
      <sheetName val="[입찰안.xls][입찰안.xls]_____xls_2566"/>
      <sheetName val="[입찰안.xls][입찰안.xls]_____xls_256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/>
      <sheetData sheetId="858"/>
      <sheetData sheetId="859"/>
      <sheetData sheetId="860"/>
      <sheetData sheetId="861"/>
      <sheetData sheetId="862"/>
      <sheetData sheetId="863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/>
      <sheetData sheetId="1112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/>
      <sheetData sheetId="1173" refreshError="1"/>
      <sheetData sheetId="1174" refreshError="1"/>
      <sheetData sheetId="1175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/>
      <sheetData sheetId="119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/>
      <sheetData sheetId="1207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/>
      <sheetData sheetId="1297" refreshError="1"/>
      <sheetData sheetId="1298" refreshError="1"/>
      <sheetData sheetId="1299" refreshError="1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/>
      <sheetData sheetId="1604"/>
      <sheetData sheetId="1605"/>
      <sheetData sheetId="1606" refreshError="1"/>
      <sheetData sheetId="1607" refreshError="1"/>
      <sheetData sheetId="1608" refreshError="1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/>
      <sheetData sheetId="1876"/>
      <sheetData sheetId="1877"/>
      <sheetData sheetId="1878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/>
      <sheetData sheetId="1900"/>
      <sheetData sheetId="1901"/>
      <sheetData sheetId="1902"/>
      <sheetData sheetId="1903"/>
      <sheetData sheetId="1904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/>
      <sheetData sheetId="1981" refreshError="1"/>
      <sheetData sheetId="1982"/>
      <sheetData sheetId="1983" refreshError="1"/>
      <sheetData sheetId="1984"/>
      <sheetData sheetId="1985"/>
      <sheetData sheetId="1986"/>
      <sheetData sheetId="1987"/>
      <sheetData sheetId="1988"/>
      <sheetData sheetId="1989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 refreshError="1"/>
      <sheetData sheetId="2007" refreshError="1"/>
      <sheetData sheetId="2008" refreshError="1"/>
      <sheetData sheetId="2009" refreshError="1"/>
      <sheetData sheetId="2010"/>
      <sheetData sheetId="2011"/>
      <sheetData sheetId="2012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/>
      <sheetData sheetId="2021"/>
      <sheetData sheetId="2022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/>
      <sheetData sheetId="2031" refreshError="1"/>
      <sheetData sheetId="2032" refreshError="1"/>
      <sheetData sheetId="2033" refreshError="1"/>
      <sheetData sheetId="2034" refreshError="1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 refreshError="1"/>
      <sheetData sheetId="2052" refreshError="1"/>
      <sheetData sheetId="2053"/>
      <sheetData sheetId="2054"/>
      <sheetData sheetId="2055" refreshError="1"/>
      <sheetData sheetId="2056" refreshError="1"/>
      <sheetData sheetId="2057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 refreshError="1"/>
      <sheetData sheetId="2200" refreshError="1"/>
      <sheetData sheetId="2201"/>
      <sheetData sheetId="2202"/>
      <sheetData sheetId="2203"/>
      <sheetData sheetId="2204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 refreshError="1"/>
      <sheetData sheetId="2263" refreshError="1"/>
      <sheetData sheetId="2264" refreshError="1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 refreshError="1"/>
      <sheetData sheetId="2299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/>
      <sheetData sheetId="2325" refreshError="1"/>
      <sheetData sheetId="2326"/>
      <sheetData sheetId="2327"/>
      <sheetData sheetId="2328"/>
      <sheetData sheetId="2329"/>
      <sheetData sheetId="2330" refreshError="1"/>
      <sheetData sheetId="2331"/>
      <sheetData sheetId="2332"/>
      <sheetData sheetId="2333"/>
      <sheetData sheetId="2334" refreshError="1"/>
      <sheetData sheetId="2335"/>
      <sheetData sheetId="2336"/>
      <sheetData sheetId="2337"/>
      <sheetData sheetId="2338"/>
      <sheetData sheetId="2339"/>
      <sheetData sheetId="2340" refreshError="1"/>
      <sheetData sheetId="234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/>
      <sheetData sheetId="235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 refreshError="1"/>
      <sheetData sheetId="2507" refreshError="1"/>
      <sheetData sheetId="2508" refreshError="1"/>
      <sheetData sheetId="2509"/>
      <sheetData sheetId="2510"/>
      <sheetData sheetId="2511"/>
      <sheetData sheetId="2512"/>
      <sheetData sheetId="2513"/>
      <sheetData sheetId="2514"/>
      <sheetData sheetId="2515" refreshError="1"/>
      <sheetData sheetId="2516"/>
      <sheetData sheetId="2517"/>
      <sheetData sheetId="2518"/>
      <sheetData sheetId="2519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/>
      <sheetData sheetId="2595" refreshError="1"/>
      <sheetData sheetId="2596" refreshError="1"/>
      <sheetData sheetId="2597" refreshError="1"/>
      <sheetData sheetId="2598"/>
      <sheetData sheetId="2599" refreshError="1"/>
      <sheetData sheetId="2600"/>
      <sheetData sheetId="2601"/>
      <sheetData sheetId="2602" refreshError="1"/>
      <sheetData sheetId="2603" refreshError="1"/>
      <sheetData sheetId="2604"/>
      <sheetData sheetId="2605"/>
      <sheetData sheetId="2606"/>
      <sheetData sheetId="2607"/>
      <sheetData sheetId="2608"/>
      <sheetData sheetId="2609" refreshError="1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/>
      <sheetData sheetId="2618"/>
      <sheetData sheetId="2619" refreshError="1"/>
      <sheetData sheetId="2620" refreshError="1"/>
      <sheetData sheetId="2621"/>
      <sheetData sheetId="2622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/>
      <sheetData sheetId="2866"/>
      <sheetData sheetId="2867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/>
      <sheetData sheetId="288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/>
      <sheetData sheetId="2945"/>
      <sheetData sheetId="2946"/>
      <sheetData sheetId="2947" refreshError="1"/>
      <sheetData sheetId="2948" refreshError="1"/>
      <sheetData sheetId="2949" refreshError="1"/>
      <sheetData sheetId="2950"/>
      <sheetData sheetId="295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/>
      <sheetData sheetId="2962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/>
      <sheetData sheetId="2971"/>
      <sheetData sheetId="2972"/>
      <sheetData sheetId="2973"/>
      <sheetData sheetId="2974"/>
      <sheetData sheetId="2975" refreshError="1"/>
      <sheetData sheetId="2976"/>
      <sheetData sheetId="2977"/>
      <sheetData sheetId="2978"/>
      <sheetData sheetId="2979" refreshError="1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/>
      <sheetData sheetId="3012"/>
      <sheetData sheetId="3013" refreshError="1"/>
      <sheetData sheetId="3014"/>
      <sheetData sheetId="3015"/>
      <sheetData sheetId="3016"/>
      <sheetData sheetId="3017"/>
      <sheetData sheetId="3018" refreshError="1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 refreshError="1"/>
      <sheetData sheetId="3028" refreshError="1"/>
      <sheetData sheetId="3029"/>
      <sheetData sheetId="3030"/>
      <sheetData sheetId="3031" refreshError="1"/>
      <sheetData sheetId="3032" refreshError="1"/>
      <sheetData sheetId="3033" refreshError="1"/>
      <sheetData sheetId="3034"/>
      <sheetData sheetId="3035"/>
      <sheetData sheetId="3036"/>
      <sheetData sheetId="3037"/>
      <sheetData sheetId="3038" refreshError="1"/>
      <sheetData sheetId="3039"/>
      <sheetData sheetId="3040" refreshError="1"/>
      <sheetData sheetId="3041" refreshError="1"/>
      <sheetData sheetId="3042" refreshError="1"/>
      <sheetData sheetId="3043" refreshError="1"/>
      <sheetData sheetId="3044"/>
      <sheetData sheetId="3045" refreshError="1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 refreshError="1"/>
      <sheetData sheetId="3070"/>
      <sheetData sheetId="3071"/>
      <sheetData sheetId="3072" refreshError="1"/>
      <sheetData sheetId="3073"/>
      <sheetData sheetId="3074"/>
      <sheetData sheetId="3075" refreshError="1"/>
      <sheetData sheetId="3076"/>
      <sheetData sheetId="3077" refreshError="1"/>
      <sheetData sheetId="3078"/>
      <sheetData sheetId="3079"/>
      <sheetData sheetId="3080"/>
      <sheetData sheetId="3081"/>
      <sheetData sheetId="3082"/>
      <sheetData sheetId="3083"/>
      <sheetData sheetId="3084" refreshError="1"/>
      <sheetData sheetId="3085" refreshError="1"/>
      <sheetData sheetId="3086" refreshError="1"/>
      <sheetData sheetId="3087"/>
      <sheetData sheetId="3088"/>
      <sheetData sheetId="3089"/>
      <sheetData sheetId="3090" refreshError="1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 refreshError="1"/>
      <sheetData sheetId="3102"/>
      <sheetData sheetId="3103" refreshError="1"/>
      <sheetData sheetId="3104"/>
      <sheetData sheetId="3105"/>
      <sheetData sheetId="3106" refreshError="1"/>
      <sheetData sheetId="3107"/>
      <sheetData sheetId="3108" refreshError="1"/>
      <sheetData sheetId="3109"/>
      <sheetData sheetId="3110"/>
      <sheetData sheetId="3111" refreshError="1"/>
      <sheetData sheetId="3112" refreshError="1"/>
      <sheetData sheetId="3113" refreshError="1"/>
      <sheetData sheetId="3114"/>
      <sheetData sheetId="3115" refreshError="1"/>
      <sheetData sheetId="3116" refreshError="1"/>
      <sheetData sheetId="3117" refreshError="1"/>
      <sheetData sheetId="3118" refreshError="1"/>
      <sheetData sheetId="3119"/>
      <sheetData sheetId="3120"/>
      <sheetData sheetId="3121" refreshError="1"/>
      <sheetData sheetId="3122"/>
      <sheetData sheetId="3123" refreshError="1"/>
      <sheetData sheetId="3124"/>
      <sheetData sheetId="3125"/>
      <sheetData sheetId="3126"/>
      <sheetData sheetId="3127"/>
      <sheetData sheetId="3128"/>
      <sheetData sheetId="3129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/>
      <sheetData sheetId="3140" refreshError="1"/>
      <sheetData sheetId="3141"/>
      <sheetData sheetId="3142" refreshError="1"/>
      <sheetData sheetId="3143" refreshError="1"/>
      <sheetData sheetId="3144" refreshError="1"/>
      <sheetData sheetId="3145" refreshError="1"/>
      <sheetData sheetId="3146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/>
      <sheetData sheetId="3174"/>
      <sheetData sheetId="3175"/>
      <sheetData sheetId="3176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/>
      <sheetData sheetId="3193" refreshError="1"/>
      <sheetData sheetId="3194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/>
      <sheetData sheetId="3217"/>
      <sheetData sheetId="3218"/>
      <sheetData sheetId="3219"/>
      <sheetData sheetId="3220"/>
      <sheetData sheetId="3221" refreshError="1"/>
      <sheetData sheetId="3222"/>
      <sheetData sheetId="3223"/>
      <sheetData sheetId="3224" refreshError="1"/>
      <sheetData sheetId="3225" refreshError="1"/>
      <sheetData sheetId="3226" refreshError="1"/>
      <sheetData sheetId="3227" refreshError="1"/>
      <sheetData sheetId="3228"/>
      <sheetData sheetId="3229" refreshError="1"/>
      <sheetData sheetId="3230" refreshError="1"/>
      <sheetData sheetId="3231" refreshError="1"/>
      <sheetData sheetId="3232"/>
      <sheetData sheetId="3233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 refreshError="1"/>
      <sheetData sheetId="3288"/>
      <sheetData sheetId="3289"/>
      <sheetData sheetId="3290"/>
      <sheetData sheetId="3291" refreshError="1"/>
      <sheetData sheetId="3292" refreshError="1"/>
      <sheetData sheetId="3293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 refreshError="1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 refreshError="1"/>
      <sheetData sheetId="3685" refreshError="1"/>
      <sheetData sheetId="3686"/>
      <sheetData sheetId="3687"/>
      <sheetData sheetId="3688"/>
      <sheetData sheetId="3689"/>
      <sheetData sheetId="3690"/>
      <sheetData sheetId="3691" refreshError="1"/>
      <sheetData sheetId="3692"/>
      <sheetData sheetId="3693"/>
      <sheetData sheetId="3694"/>
      <sheetData sheetId="3695" refreshError="1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/>
      <sheetData sheetId="3750"/>
      <sheetData sheetId="3751" refreshError="1"/>
      <sheetData sheetId="3752"/>
      <sheetData sheetId="3753"/>
      <sheetData sheetId="3754"/>
      <sheetData sheetId="3755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/>
      <sheetData sheetId="3763"/>
      <sheetData sheetId="3764"/>
      <sheetData sheetId="3765"/>
      <sheetData sheetId="3766"/>
      <sheetData sheetId="3767" refreshError="1"/>
      <sheetData sheetId="3768"/>
      <sheetData sheetId="3769"/>
      <sheetData sheetId="3770"/>
      <sheetData sheetId="3771" refreshError="1"/>
      <sheetData sheetId="3772" refreshError="1"/>
      <sheetData sheetId="3773" refreshError="1"/>
      <sheetData sheetId="3774"/>
      <sheetData sheetId="3775"/>
      <sheetData sheetId="3776"/>
      <sheetData sheetId="3777"/>
      <sheetData sheetId="3778" refreshError="1"/>
      <sheetData sheetId="3779" refreshError="1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 refreshError="1"/>
      <sheetData sheetId="3921"/>
      <sheetData sheetId="3922"/>
      <sheetData sheetId="3923" refreshError="1"/>
      <sheetData sheetId="3924" refreshError="1"/>
      <sheetData sheetId="3925"/>
      <sheetData sheetId="3926"/>
      <sheetData sheetId="3927"/>
      <sheetData sheetId="3928" refreshError="1"/>
      <sheetData sheetId="3929" refreshError="1"/>
      <sheetData sheetId="3930"/>
      <sheetData sheetId="3931"/>
      <sheetData sheetId="3932" refreshError="1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 refreshError="1"/>
      <sheetData sheetId="3946" refreshError="1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 refreshError="1"/>
      <sheetData sheetId="4070"/>
      <sheetData sheetId="4071"/>
      <sheetData sheetId="4072" refreshError="1"/>
      <sheetData sheetId="4073" refreshError="1"/>
      <sheetData sheetId="4074" refreshError="1"/>
      <sheetData sheetId="4075"/>
      <sheetData sheetId="4076"/>
      <sheetData sheetId="4077"/>
      <sheetData sheetId="4078"/>
      <sheetData sheetId="4079" refreshError="1"/>
      <sheetData sheetId="4080"/>
      <sheetData sheetId="4081"/>
      <sheetData sheetId="4082"/>
      <sheetData sheetId="4083"/>
      <sheetData sheetId="4084"/>
      <sheetData sheetId="4085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/>
      <sheetData sheetId="4103" refreshError="1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 refreshError="1"/>
      <sheetData sheetId="4116"/>
      <sheetData sheetId="4117"/>
      <sheetData sheetId="4118"/>
      <sheetData sheetId="4119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/>
      <sheetData sheetId="4126" refreshError="1"/>
      <sheetData sheetId="4127" refreshError="1"/>
      <sheetData sheetId="4128" refreshError="1"/>
      <sheetData sheetId="4129"/>
      <sheetData sheetId="4130"/>
      <sheetData sheetId="4131"/>
      <sheetData sheetId="4132"/>
      <sheetData sheetId="4133" refreshError="1"/>
      <sheetData sheetId="4134" refreshError="1"/>
      <sheetData sheetId="4135"/>
      <sheetData sheetId="4136"/>
      <sheetData sheetId="4137"/>
      <sheetData sheetId="4138" refreshError="1"/>
      <sheetData sheetId="4139" refreshError="1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 refreshError="1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/>
      <sheetData sheetId="4200" refreshError="1"/>
      <sheetData sheetId="4201" refreshError="1"/>
      <sheetData sheetId="4202" refreshError="1"/>
      <sheetData sheetId="4203" refreshError="1"/>
      <sheetData sheetId="4204"/>
      <sheetData sheetId="4205"/>
      <sheetData sheetId="4206"/>
      <sheetData sheetId="4207"/>
      <sheetData sheetId="4208"/>
      <sheetData sheetId="4209"/>
      <sheetData sheetId="4210" refreshError="1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/>
      <sheetData sheetId="4227"/>
      <sheetData sheetId="4228"/>
      <sheetData sheetId="4229"/>
      <sheetData sheetId="4230"/>
      <sheetData sheetId="4231" refreshError="1"/>
      <sheetData sheetId="4232" refreshError="1"/>
      <sheetData sheetId="4233"/>
      <sheetData sheetId="4234"/>
      <sheetData sheetId="4235"/>
      <sheetData sheetId="4236"/>
      <sheetData sheetId="4237"/>
      <sheetData sheetId="4238"/>
      <sheetData sheetId="4239"/>
      <sheetData sheetId="4240" refreshError="1"/>
      <sheetData sheetId="4241"/>
      <sheetData sheetId="4242" refreshError="1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 refreshError="1"/>
      <sheetData sheetId="4414" refreshError="1"/>
      <sheetData sheetId="4415" refreshError="1"/>
      <sheetData sheetId="4416"/>
      <sheetData sheetId="4417" refreshError="1"/>
      <sheetData sheetId="4418" refreshError="1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 refreshError="1"/>
      <sheetData sheetId="4435"/>
      <sheetData sheetId="4436"/>
      <sheetData sheetId="4437"/>
      <sheetData sheetId="4438"/>
      <sheetData sheetId="4439"/>
      <sheetData sheetId="4440" refreshError="1"/>
      <sheetData sheetId="4441" refreshError="1"/>
      <sheetData sheetId="4442" refreshError="1"/>
      <sheetData sheetId="4443"/>
      <sheetData sheetId="4444"/>
      <sheetData sheetId="4445" refreshError="1"/>
      <sheetData sheetId="4446"/>
      <sheetData sheetId="4447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/>
      <sheetData sheetId="4459"/>
      <sheetData sheetId="4460"/>
      <sheetData sheetId="4461" refreshError="1"/>
      <sheetData sheetId="4462" refreshError="1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 refreshError="1"/>
      <sheetData sheetId="4928"/>
      <sheetData sheetId="4929" refreshError="1"/>
      <sheetData sheetId="4930" refreshError="1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 refreshError="1"/>
      <sheetData sheetId="4948"/>
      <sheetData sheetId="4949" refreshError="1"/>
      <sheetData sheetId="4950" refreshError="1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 refreshError="1"/>
      <sheetData sheetId="4971" refreshError="1"/>
      <sheetData sheetId="4972" refreshError="1"/>
      <sheetData sheetId="4973"/>
      <sheetData sheetId="4974"/>
      <sheetData sheetId="4975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/>
      <sheetData sheetId="5017"/>
      <sheetData sheetId="5018"/>
      <sheetData sheetId="5019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 refreshError="1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 refreshError="1"/>
      <sheetData sheetId="5222" refreshError="1"/>
      <sheetData sheetId="5223"/>
      <sheetData sheetId="5224" refreshError="1"/>
      <sheetData sheetId="5225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 refreshError="1"/>
      <sheetData sheetId="5259"/>
      <sheetData sheetId="5260"/>
      <sheetData sheetId="5261"/>
      <sheetData sheetId="5262"/>
      <sheetData sheetId="5263"/>
      <sheetData sheetId="5264"/>
      <sheetData sheetId="5265"/>
      <sheetData sheetId="5266" refreshError="1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 refreshError="1"/>
      <sheetData sheetId="5279" refreshError="1"/>
      <sheetData sheetId="5280" refreshError="1"/>
      <sheetData sheetId="5281"/>
      <sheetData sheetId="5282" refreshError="1"/>
      <sheetData sheetId="5283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/>
      <sheetData sheetId="5320"/>
      <sheetData sheetId="5321"/>
      <sheetData sheetId="5322"/>
      <sheetData sheetId="5323" refreshError="1"/>
      <sheetData sheetId="5324"/>
      <sheetData sheetId="5325" refreshError="1"/>
      <sheetData sheetId="5326" refreshError="1"/>
      <sheetData sheetId="5327" refreshError="1"/>
      <sheetData sheetId="5328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/>
      <sheetData sheetId="5336" refreshError="1"/>
      <sheetData sheetId="5337" refreshError="1"/>
      <sheetData sheetId="5338" refreshError="1"/>
      <sheetData sheetId="5339"/>
      <sheetData sheetId="5340" refreshError="1"/>
      <sheetData sheetId="5341" refreshError="1"/>
      <sheetData sheetId="5342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/>
      <sheetData sheetId="5352" refreshError="1"/>
      <sheetData sheetId="5353" refreshError="1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 refreshError="1"/>
      <sheetData sheetId="5378" refreshError="1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 refreshError="1"/>
      <sheetData sheetId="5401" refreshError="1"/>
      <sheetData sheetId="5402"/>
      <sheetData sheetId="5403"/>
      <sheetData sheetId="5404"/>
      <sheetData sheetId="5405"/>
      <sheetData sheetId="5406" refreshError="1"/>
      <sheetData sheetId="5407" refreshError="1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 refreshError="1"/>
      <sheetData sheetId="5473" refreshError="1"/>
      <sheetData sheetId="5474" refreshError="1"/>
      <sheetData sheetId="5475"/>
      <sheetData sheetId="5476" refreshError="1"/>
      <sheetData sheetId="5477" refreshError="1"/>
      <sheetData sheetId="5478" refreshError="1"/>
      <sheetData sheetId="5479"/>
      <sheetData sheetId="5480" refreshError="1"/>
      <sheetData sheetId="5481"/>
      <sheetData sheetId="5482"/>
      <sheetData sheetId="5483"/>
      <sheetData sheetId="5484"/>
      <sheetData sheetId="5485"/>
      <sheetData sheetId="5486"/>
      <sheetData sheetId="5487"/>
      <sheetData sheetId="5488" refreshError="1"/>
      <sheetData sheetId="5489" refreshError="1"/>
      <sheetData sheetId="5490"/>
      <sheetData sheetId="5491" refreshError="1"/>
      <sheetData sheetId="5492" refreshError="1"/>
      <sheetData sheetId="5493" refreshError="1"/>
      <sheetData sheetId="5494" refreshError="1"/>
      <sheetData sheetId="5495"/>
      <sheetData sheetId="5496"/>
      <sheetData sheetId="5497"/>
      <sheetData sheetId="5498"/>
      <sheetData sheetId="5499" refreshError="1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 refreshError="1"/>
      <sheetData sheetId="5826" refreshError="1"/>
      <sheetData sheetId="5827"/>
      <sheetData sheetId="5828"/>
      <sheetData sheetId="5829"/>
      <sheetData sheetId="5830"/>
      <sheetData sheetId="5831" refreshError="1"/>
      <sheetData sheetId="5832" refreshError="1"/>
      <sheetData sheetId="5833"/>
      <sheetData sheetId="5834"/>
      <sheetData sheetId="5835"/>
      <sheetData sheetId="5836" refreshError="1"/>
      <sheetData sheetId="5837" refreshError="1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 refreshError="1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 refreshError="1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 refreshError="1"/>
      <sheetData sheetId="5952" refreshError="1"/>
      <sheetData sheetId="5953"/>
      <sheetData sheetId="5954"/>
      <sheetData sheetId="5955"/>
      <sheetData sheetId="5956" refreshError="1"/>
      <sheetData sheetId="5957"/>
      <sheetData sheetId="5958"/>
      <sheetData sheetId="5959" refreshError="1"/>
      <sheetData sheetId="5960" refreshError="1"/>
      <sheetData sheetId="5961" refreshError="1"/>
      <sheetData sheetId="5962"/>
      <sheetData sheetId="5963"/>
      <sheetData sheetId="5964"/>
      <sheetData sheetId="5965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/>
      <sheetData sheetId="5983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/>
      <sheetData sheetId="5997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/>
      <sheetData sheetId="6036"/>
      <sheetData sheetId="6037" refreshError="1"/>
      <sheetData sheetId="6038" refreshError="1"/>
      <sheetData sheetId="6039"/>
      <sheetData sheetId="6040" refreshError="1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 refreshError="1"/>
      <sheetData sheetId="6062" refreshError="1"/>
      <sheetData sheetId="6063" refreshError="1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 refreshError="1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 refreshError="1"/>
      <sheetData sheetId="7861" refreshError="1"/>
      <sheetData sheetId="7862" refreshError="1"/>
      <sheetData sheetId="7863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/>
      <sheetData sheetId="7892"/>
      <sheetData sheetId="7893"/>
      <sheetData sheetId="7894"/>
      <sheetData sheetId="7895"/>
      <sheetData sheetId="7896"/>
      <sheetData sheetId="7897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/>
      <sheetData sheetId="7913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/>
      <sheetData sheetId="7925"/>
      <sheetData sheetId="7926" refreshError="1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 refreshError="1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 refreshError="1"/>
      <sheetData sheetId="8554" refreshError="1"/>
      <sheetData sheetId="8555"/>
      <sheetData sheetId="8556"/>
      <sheetData sheetId="8557" refreshError="1"/>
      <sheetData sheetId="8558"/>
      <sheetData sheetId="8559"/>
      <sheetData sheetId="8560" refreshError="1"/>
      <sheetData sheetId="8561" refreshError="1"/>
      <sheetData sheetId="8562"/>
      <sheetData sheetId="8563" refreshError="1"/>
      <sheetData sheetId="8564"/>
      <sheetData sheetId="8565"/>
      <sheetData sheetId="8566"/>
      <sheetData sheetId="8567" refreshError="1"/>
      <sheetData sheetId="8568" refreshError="1"/>
      <sheetData sheetId="8569" refreshError="1"/>
      <sheetData sheetId="8570"/>
      <sheetData sheetId="8571"/>
      <sheetData sheetId="8572" refreshError="1"/>
      <sheetData sheetId="8573"/>
      <sheetData sheetId="8574"/>
      <sheetData sheetId="8575"/>
      <sheetData sheetId="8576"/>
      <sheetData sheetId="8577" refreshError="1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 refreshError="1"/>
      <sheetData sheetId="8606"/>
      <sheetData sheetId="8607" refreshError="1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 refreshError="1"/>
      <sheetData sheetId="8660" refreshError="1"/>
      <sheetData sheetId="8661" refreshError="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 refreshError="1"/>
      <sheetData sheetId="8679" refreshError="1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/>
      <sheetData sheetId="8830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/>
      <sheetData sheetId="8860" refreshError="1"/>
      <sheetData sheetId="8861" refreshError="1"/>
      <sheetData sheetId="8862" refreshError="1"/>
      <sheetData sheetId="8863"/>
      <sheetData sheetId="8864"/>
      <sheetData sheetId="8865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 refreshError="1"/>
      <sheetData sheetId="8884" refreshError="1"/>
      <sheetData sheetId="8885"/>
      <sheetData sheetId="8886" refreshError="1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/>
      <sheetData sheetId="8975" refreshError="1"/>
      <sheetData sheetId="8976"/>
      <sheetData sheetId="8977" refreshError="1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/>
      <sheetData sheetId="9107" refreshError="1"/>
      <sheetData sheetId="9108"/>
      <sheetData sheetId="9109"/>
      <sheetData sheetId="9110"/>
      <sheetData sheetId="9111"/>
      <sheetData sheetId="9112"/>
      <sheetData sheetId="9113"/>
      <sheetData sheetId="9114" refreshError="1"/>
      <sheetData sheetId="9115" refreshError="1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 refreshError="1"/>
      <sheetData sheetId="9132"/>
      <sheetData sheetId="9133"/>
      <sheetData sheetId="9134"/>
      <sheetData sheetId="9135"/>
      <sheetData sheetId="9136"/>
      <sheetData sheetId="9137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/>
      <sheetData sheetId="9185" refreshError="1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 refreshError="1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 refreshError="1"/>
      <sheetData sheetId="9209"/>
      <sheetData sheetId="9210"/>
      <sheetData sheetId="9211"/>
      <sheetData sheetId="9212"/>
      <sheetData sheetId="9213"/>
      <sheetData sheetId="9214"/>
      <sheetData sheetId="9215" refreshError="1"/>
      <sheetData sheetId="9216" refreshError="1"/>
      <sheetData sheetId="9217"/>
      <sheetData sheetId="9218"/>
      <sheetData sheetId="9219"/>
      <sheetData sheetId="9220"/>
      <sheetData sheetId="9221" refreshError="1"/>
      <sheetData sheetId="9222" refreshError="1"/>
      <sheetData sheetId="9223" refreshError="1"/>
      <sheetData sheetId="9224"/>
      <sheetData sheetId="9225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/>
      <sheetData sheetId="9233"/>
      <sheetData sheetId="9234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 refreshError="1"/>
      <sheetData sheetId="928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/>
      <sheetData sheetId="9289"/>
      <sheetData sheetId="9290" refreshError="1"/>
      <sheetData sheetId="9291" refreshError="1"/>
      <sheetData sheetId="9292" refreshError="1"/>
      <sheetData sheetId="9293"/>
      <sheetData sheetId="9294"/>
      <sheetData sheetId="9295"/>
      <sheetData sheetId="9296"/>
      <sheetData sheetId="9297" refreshError="1"/>
      <sheetData sheetId="9298"/>
      <sheetData sheetId="9299"/>
      <sheetData sheetId="9300"/>
      <sheetData sheetId="9301"/>
      <sheetData sheetId="9302"/>
      <sheetData sheetId="9303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/>
      <sheetData sheetId="9507"/>
      <sheetData sheetId="9508"/>
      <sheetData sheetId="9509" refreshError="1"/>
      <sheetData sheetId="9510" refreshError="1"/>
      <sheetData sheetId="9511" refreshError="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 refreshError="1"/>
      <sheetData sheetId="9525" refreshError="1"/>
      <sheetData sheetId="9526" refreshError="1"/>
      <sheetData sheetId="9527"/>
      <sheetData sheetId="9528" refreshError="1"/>
      <sheetData sheetId="9529" refreshError="1"/>
      <sheetData sheetId="9530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/>
      <sheetData sheetId="10318" refreshError="1"/>
      <sheetData sheetId="10319" refreshError="1"/>
      <sheetData sheetId="10320"/>
      <sheetData sheetId="10321"/>
      <sheetData sheetId="10322"/>
      <sheetData sheetId="10323"/>
      <sheetData sheetId="10324"/>
      <sheetData sheetId="10325"/>
      <sheetData sheetId="10326" refreshError="1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 refreshError="1"/>
      <sheetData sheetId="10337" refreshError="1"/>
      <sheetData sheetId="10338"/>
      <sheetData sheetId="10339"/>
      <sheetData sheetId="10340" refreshError="1"/>
      <sheetData sheetId="10341" refreshError="1"/>
      <sheetData sheetId="10342" refreshError="1"/>
      <sheetData sheetId="10343" refreshError="1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/>
      <sheetData sheetId="10379" refreshError="1"/>
      <sheetData sheetId="10380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내역서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안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임이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YO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액보증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실행철강하도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실행철강하도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H23"/>
  <sheetViews>
    <sheetView tabSelected="1" view="pageBreakPreview" topLeftCell="A3" zoomScale="145" zoomScaleNormal="100" zoomScaleSheetLayoutView="145" workbookViewId="0">
      <selection activeCell="F14" sqref="F14"/>
    </sheetView>
  </sheetViews>
  <sheetFormatPr defaultColWidth="9" defaultRowHeight="18" customHeight="1"/>
  <cols>
    <col min="1" max="1" width="13.5703125" style="14" customWidth="1"/>
    <col min="2" max="2" width="8.140625" style="14" customWidth="1"/>
    <col min="3" max="3" width="8.85546875" style="14" customWidth="1"/>
    <col min="4" max="4" width="23.140625" style="14" customWidth="1"/>
    <col min="5" max="5" width="16.85546875" style="14" customWidth="1"/>
    <col min="6" max="6" width="30.85546875" style="14" customWidth="1"/>
    <col min="7" max="7" width="17.85546875" style="14" customWidth="1"/>
    <col min="8" max="8" width="22.140625" style="14" customWidth="1"/>
    <col min="9" max="9" width="5.5703125" style="14" customWidth="1"/>
    <col min="10" max="256" width="9.140625" style="14"/>
    <col min="257" max="257" width="13.5703125" style="14" customWidth="1"/>
    <col min="258" max="258" width="8.140625" style="14" customWidth="1"/>
    <col min="259" max="259" width="8.85546875" style="14" customWidth="1"/>
    <col min="260" max="260" width="23.140625" style="14" customWidth="1"/>
    <col min="261" max="261" width="16.85546875" style="14" customWidth="1"/>
    <col min="262" max="262" width="18.85546875" style="14" customWidth="1"/>
    <col min="263" max="263" width="17.85546875" style="14" customWidth="1"/>
    <col min="264" max="264" width="22.140625" style="14" customWidth="1"/>
    <col min="265" max="265" width="5.5703125" style="14" customWidth="1"/>
    <col min="266" max="512" width="9.140625" style="14"/>
    <col min="513" max="513" width="13.5703125" style="14" customWidth="1"/>
    <col min="514" max="514" width="8.140625" style="14" customWidth="1"/>
    <col min="515" max="515" width="8.85546875" style="14" customWidth="1"/>
    <col min="516" max="516" width="23.140625" style="14" customWidth="1"/>
    <col min="517" max="517" width="16.85546875" style="14" customWidth="1"/>
    <col min="518" max="518" width="18.85546875" style="14" customWidth="1"/>
    <col min="519" max="519" width="17.85546875" style="14" customWidth="1"/>
    <col min="520" max="520" width="22.140625" style="14" customWidth="1"/>
    <col min="521" max="521" width="5.5703125" style="14" customWidth="1"/>
    <col min="522" max="768" width="9.140625" style="14"/>
    <col min="769" max="769" width="13.5703125" style="14" customWidth="1"/>
    <col min="770" max="770" width="8.140625" style="14" customWidth="1"/>
    <col min="771" max="771" width="8.85546875" style="14" customWidth="1"/>
    <col min="772" max="772" width="23.140625" style="14" customWidth="1"/>
    <col min="773" max="773" width="16.85546875" style="14" customWidth="1"/>
    <col min="774" max="774" width="18.85546875" style="14" customWidth="1"/>
    <col min="775" max="775" width="17.85546875" style="14" customWidth="1"/>
    <col min="776" max="776" width="22.140625" style="14" customWidth="1"/>
    <col min="777" max="777" width="5.5703125" style="14" customWidth="1"/>
    <col min="778" max="1024" width="9.140625" style="14"/>
    <col min="1025" max="1025" width="13.5703125" style="14" customWidth="1"/>
    <col min="1026" max="1026" width="8.140625" style="14" customWidth="1"/>
    <col min="1027" max="1027" width="8.85546875" style="14" customWidth="1"/>
    <col min="1028" max="1028" width="23.140625" style="14" customWidth="1"/>
    <col min="1029" max="1029" width="16.85546875" style="14" customWidth="1"/>
    <col min="1030" max="1030" width="18.85546875" style="14" customWidth="1"/>
    <col min="1031" max="1031" width="17.85546875" style="14" customWidth="1"/>
    <col min="1032" max="1032" width="22.140625" style="14" customWidth="1"/>
    <col min="1033" max="1033" width="5.5703125" style="14" customWidth="1"/>
    <col min="1034" max="1280" width="9.140625" style="14"/>
    <col min="1281" max="1281" width="13.5703125" style="14" customWidth="1"/>
    <col min="1282" max="1282" width="8.140625" style="14" customWidth="1"/>
    <col min="1283" max="1283" width="8.85546875" style="14" customWidth="1"/>
    <col min="1284" max="1284" width="23.140625" style="14" customWidth="1"/>
    <col min="1285" max="1285" width="16.85546875" style="14" customWidth="1"/>
    <col min="1286" max="1286" width="18.85546875" style="14" customWidth="1"/>
    <col min="1287" max="1287" width="17.85546875" style="14" customWidth="1"/>
    <col min="1288" max="1288" width="22.140625" style="14" customWidth="1"/>
    <col min="1289" max="1289" width="5.5703125" style="14" customWidth="1"/>
    <col min="1290" max="1536" width="9.140625" style="14"/>
    <col min="1537" max="1537" width="13.5703125" style="14" customWidth="1"/>
    <col min="1538" max="1538" width="8.140625" style="14" customWidth="1"/>
    <col min="1539" max="1539" width="8.85546875" style="14" customWidth="1"/>
    <col min="1540" max="1540" width="23.140625" style="14" customWidth="1"/>
    <col min="1541" max="1541" width="16.85546875" style="14" customWidth="1"/>
    <col min="1542" max="1542" width="18.85546875" style="14" customWidth="1"/>
    <col min="1543" max="1543" width="17.85546875" style="14" customWidth="1"/>
    <col min="1544" max="1544" width="22.140625" style="14" customWidth="1"/>
    <col min="1545" max="1545" width="5.5703125" style="14" customWidth="1"/>
    <col min="1546" max="1792" width="9.140625" style="14"/>
    <col min="1793" max="1793" width="13.5703125" style="14" customWidth="1"/>
    <col min="1794" max="1794" width="8.140625" style="14" customWidth="1"/>
    <col min="1795" max="1795" width="8.85546875" style="14" customWidth="1"/>
    <col min="1796" max="1796" width="23.140625" style="14" customWidth="1"/>
    <col min="1797" max="1797" width="16.85546875" style="14" customWidth="1"/>
    <col min="1798" max="1798" width="18.85546875" style="14" customWidth="1"/>
    <col min="1799" max="1799" width="17.85546875" style="14" customWidth="1"/>
    <col min="1800" max="1800" width="22.140625" style="14" customWidth="1"/>
    <col min="1801" max="1801" width="5.5703125" style="14" customWidth="1"/>
    <col min="1802" max="2048" width="9.140625" style="14"/>
    <col min="2049" max="2049" width="13.5703125" style="14" customWidth="1"/>
    <col min="2050" max="2050" width="8.140625" style="14" customWidth="1"/>
    <col min="2051" max="2051" width="8.85546875" style="14" customWidth="1"/>
    <col min="2052" max="2052" width="23.140625" style="14" customWidth="1"/>
    <col min="2053" max="2053" width="16.85546875" style="14" customWidth="1"/>
    <col min="2054" max="2054" width="18.85546875" style="14" customWidth="1"/>
    <col min="2055" max="2055" width="17.85546875" style="14" customWidth="1"/>
    <col min="2056" max="2056" width="22.140625" style="14" customWidth="1"/>
    <col min="2057" max="2057" width="5.5703125" style="14" customWidth="1"/>
    <col min="2058" max="2304" width="9.140625" style="14"/>
    <col min="2305" max="2305" width="13.5703125" style="14" customWidth="1"/>
    <col min="2306" max="2306" width="8.140625" style="14" customWidth="1"/>
    <col min="2307" max="2307" width="8.85546875" style="14" customWidth="1"/>
    <col min="2308" max="2308" width="23.140625" style="14" customWidth="1"/>
    <col min="2309" max="2309" width="16.85546875" style="14" customWidth="1"/>
    <col min="2310" max="2310" width="18.85546875" style="14" customWidth="1"/>
    <col min="2311" max="2311" width="17.85546875" style="14" customWidth="1"/>
    <col min="2312" max="2312" width="22.140625" style="14" customWidth="1"/>
    <col min="2313" max="2313" width="5.5703125" style="14" customWidth="1"/>
    <col min="2314" max="2560" width="9.140625" style="14"/>
    <col min="2561" max="2561" width="13.5703125" style="14" customWidth="1"/>
    <col min="2562" max="2562" width="8.140625" style="14" customWidth="1"/>
    <col min="2563" max="2563" width="8.85546875" style="14" customWidth="1"/>
    <col min="2564" max="2564" width="23.140625" style="14" customWidth="1"/>
    <col min="2565" max="2565" width="16.85546875" style="14" customWidth="1"/>
    <col min="2566" max="2566" width="18.85546875" style="14" customWidth="1"/>
    <col min="2567" max="2567" width="17.85546875" style="14" customWidth="1"/>
    <col min="2568" max="2568" width="22.140625" style="14" customWidth="1"/>
    <col min="2569" max="2569" width="5.5703125" style="14" customWidth="1"/>
    <col min="2570" max="2816" width="9.140625" style="14"/>
    <col min="2817" max="2817" width="13.5703125" style="14" customWidth="1"/>
    <col min="2818" max="2818" width="8.140625" style="14" customWidth="1"/>
    <col min="2819" max="2819" width="8.85546875" style="14" customWidth="1"/>
    <col min="2820" max="2820" width="23.140625" style="14" customWidth="1"/>
    <col min="2821" max="2821" width="16.85546875" style="14" customWidth="1"/>
    <col min="2822" max="2822" width="18.85546875" style="14" customWidth="1"/>
    <col min="2823" max="2823" width="17.85546875" style="14" customWidth="1"/>
    <col min="2824" max="2824" width="22.140625" style="14" customWidth="1"/>
    <col min="2825" max="2825" width="5.5703125" style="14" customWidth="1"/>
    <col min="2826" max="3072" width="9.140625" style="14"/>
    <col min="3073" max="3073" width="13.5703125" style="14" customWidth="1"/>
    <col min="3074" max="3074" width="8.140625" style="14" customWidth="1"/>
    <col min="3075" max="3075" width="8.85546875" style="14" customWidth="1"/>
    <col min="3076" max="3076" width="23.140625" style="14" customWidth="1"/>
    <col min="3077" max="3077" width="16.85546875" style="14" customWidth="1"/>
    <col min="3078" max="3078" width="18.85546875" style="14" customWidth="1"/>
    <col min="3079" max="3079" width="17.85546875" style="14" customWidth="1"/>
    <col min="3080" max="3080" width="22.140625" style="14" customWidth="1"/>
    <col min="3081" max="3081" width="5.5703125" style="14" customWidth="1"/>
    <col min="3082" max="3328" width="9.140625" style="14"/>
    <col min="3329" max="3329" width="13.5703125" style="14" customWidth="1"/>
    <col min="3330" max="3330" width="8.140625" style="14" customWidth="1"/>
    <col min="3331" max="3331" width="8.85546875" style="14" customWidth="1"/>
    <col min="3332" max="3332" width="23.140625" style="14" customWidth="1"/>
    <col min="3333" max="3333" width="16.85546875" style="14" customWidth="1"/>
    <col min="3334" max="3334" width="18.85546875" style="14" customWidth="1"/>
    <col min="3335" max="3335" width="17.85546875" style="14" customWidth="1"/>
    <col min="3336" max="3336" width="22.140625" style="14" customWidth="1"/>
    <col min="3337" max="3337" width="5.5703125" style="14" customWidth="1"/>
    <col min="3338" max="3584" width="9.140625" style="14"/>
    <col min="3585" max="3585" width="13.5703125" style="14" customWidth="1"/>
    <col min="3586" max="3586" width="8.140625" style="14" customWidth="1"/>
    <col min="3587" max="3587" width="8.85546875" style="14" customWidth="1"/>
    <col min="3588" max="3588" width="23.140625" style="14" customWidth="1"/>
    <col min="3589" max="3589" width="16.85546875" style="14" customWidth="1"/>
    <col min="3590" max="3590" width="18.85546875" style="14" customWidth="1"/>
    <col min="3591" max="3591" width="17.85546875" style="14" customWidth="1"/>
    <col min="3592" max="3592" width="22.140625" style="14" customWidth="1"/>
    <col min="3593" max="3593" width="5.5703125" style="14" customWidth="1"/>
    <col min="3594" max="3840" width="9.140625" style="14"/>
    <col min="3841" max="3841" width="13.5703125" style="14" customWidth="1"/>
    <col min="3842" max="3842" width="8.140625" style="14" customWidth="1"/>
    <col min="3843" max="3843" width="8.85546875" style="14" customWidth="1"/>
    <col min="3844" max="3844" width="23.140625" style="14" customWidth="1"/>
    <col min="3845" max="3845" width="16.85546875" style="14" customWidth="1"/>
    <col min="3846" max="3846" width="18.85546875" style="14" customWidth="1"/>
    <col min="3847" max="3847" width="17.85546875" style="14" customWidth="1"/>
    <col min="3848" max="3848" width="22.140625" style="14" customWidth="1"/>
    <col min="3849" max="3849" width="5.5703125" style="14" customWidth="1"/>
    <col min="3850" max="4096" width="9.140625" style="14"/>
    <col min="4097" max="4097" width="13.5703125" style="14" customWidth="1"/>
    <col min="4098" max="4098" width="8.140625" style="14" customWidth="1"/>
    <col min="4099" max="4099" width="8.85546875" style="14" customWidth="1"/>
    <col min="4100" max="4100" width="23.140625" style="14" customWidth="1"/>
    <col min="4101" max="4101" width="16.85546875" style="14" customWidth="1"/>
    <col min="4102" max="4102" width="18.85546875" style="14" customWidth="1"/>
    <col min="4103" max="4103" width="17.85546875" style="14" customWidth="1"/>
    <col min="4104" max="4104" width="22.140625" style="14" customWidth="1"/>
    <col min="4105" max="4105" width="5.5703125" style="14" customWidth="1"/>
    <col min="4106" max="4352" width="9.140625" style="14"/>
    <col min="4353" max="4353" width="13.5703125" style="14" customWidth="1"/>
    <col min="4354" max="4354" width="8.140625" style="14" customWidth="1"/>
    <col min="4355" max="4355" width="8.85546875" style="14" customWidth="1"/>
    <col min="4356" max="4356" width="23.140625" style="14" customWidth="1"/>
    <col min="4357" max="4357" width="16.85546875" style="14" customWidth="1"/>
    <col min="4358" max="4358" width="18.85546875" style="14" customWidth="1"/>
    <col min="4359" max="4359" width="17.85546875" style="14" customWidth="1"/>
    <col min="4360" max="4360" width="22.140625" style="14" customWidth="1"/>
    <col min="4361" max="4361" width="5.5703125" style="14" customWidth="1"/>
    <col min="4362" max="4608" width="9.140625" style="14"/>
    <col min="4609" max="4609" width="13.5703125" style="14" customWidth="1"/>
    <col min="4610" max="4610" width="8.140625" style="14" customWidth="1"/>
    <col min="4611" max="4611" width="8.85546875" style="14" customWidth="1"/>
    <col min="4612" max="4612" width="23.140625" style="14" customWidth="1"/>
    <col min="4613" max="4613" width="16.85546875" style="14" customWidth="1"/>
    <col min="4614" max="4614" width="18.85546875" style="14" customWidth="1"/>
    <col min="4615" max="4615" width="17.85546875" style="14" customWidth="1"/>
    <col min="4616" max="4616" width="22.140625" style="14" customWidth="1"/>
    <col min="4617" max="4617" width="5.5703125" style="14" customWidth="1"/>
    <col min="4618" max="4864" width="9.140625" style="14"/>
    <col min="4865" max="4865" width="13.5703125" style="14" customWidth="1"/>
    <col min="4866" max="4866" width="8.140625" style="14" customWidth="1"/>
    <col min="4867" max="4867" width="8.85546875" style="14" customWidth="1"/>
    <col min="4868" max="4868" width="23.140625" style="14" customWidth="1"/>
    <col min="4869" max="4869" width="16.85546875" style="14" customWidth="1"/>
    <col min="4870" max="4870" width="18.85546875" style="14" customWidth="1"/>
    <col min="4871" max="4871" width="17.85546875" style="14" customWidth="1"/>
    <col min="4872" max="4872" width="22.140625" style="14" customWidth="1"/>
    <col min="4873" max="4873" width="5.5703125" style="14" customWidth="1"/>
    <col min="4874" max="5120" width="9.140625" style="14"/>
    <col min="5121" max="5121" width="13.5703125" style="14" customWidth="1"/>
    <col min="5122" max="5122" width="8.140625" style="14" customWidth="1"/>
    <col min="5123" max="5123" width="8.85546875" style="14" customWidth="1"/>
    <col min="5124" max="5124" width="23.140625" style="14" customWidth="1"/>
    <col min="5125" max="5125" width="16.85546875" style="14" customWidth="1"/>
    <col min="5126" max="5126" width="18.85546875" style="14" customWidth="1"/>
    <col min="5127" max="5127" width="17.85546875" style="14" customWidth="1"/>
    <col min="5128" max="5128" width="22.140625" style="14" customWidth="1"/>
    <col min="5129" max="5129" width="5.5703125" style="14" customWidth="1"/>
    <col min="5130" max="5376" width="9.140625" style="14"/>
    <col min="5377" max="5377" width="13.5703125" style="14" customWidth="1"/>
    <col min="5378" max="5378" width="8.140625" style="14" customWidth="1"/>
    <col min="5379" max="5379" width="8.85546875" style="14" customWidth="1"/>
    <col min="5380" max="5380" width="23.140625" style="14" customWidth="1"/>
    <col min="5381" max="5381" width="16.85546875" style="14" customWidth="1"/>
    <col min="5382" max="5382" width="18.85546875" style="14" customWidth="1"/>
    <col min="5383" max="5383" width="17.85546875" style="14" customWidth="1"/>
    <col min="5384" max="5384" width="22.140625" style="14" customWidth="1"/>
    <col min="5385" max="5385" width="5.5703125" style="14" customWidth="1"/>
    <col min="5386" max="5632" width="9.140625" style="14"/>
    <col min="5633" max="5633" width="13.5703125" style="14" customWidth="1"/>
    <col min="5634" max="5634" width="8.140625" style="14" customWidth="1"/>
    <col min="5635" max="5635" width="8.85546875" style="14" customWidth="1"/>
    <col min="5636" max="5636" width="23.140625" style="14" customWidth="1"/>
    <col min="5637" max="5637" width="16.85546875" style="14" customWidth="1"/>
    <col min="5638" max="5638" width="18.85546875" style="14" customWidth="1"/>
    <col min="5639" max="5639" width="17.85546875" style="14" customWidth="1"/>
    <col min="5640" max="5640" width="22.140625" style="14" customWidth="1"/>
    <col min="5641" max="5641" width="5.5703125" style="14" customWidth="1"/>
    <col min="5642" max="5888" width="9.140625" style="14"/>
    <col min="5889" max="5889" width="13.5703125" style="14" customWidth="1"/>
    <col min="5890" max="5890" width="8.140625" style="14" customWidth="1"/>
    <col min="5891" max="5891" width="8.85546875" style="14" customWidth="1"/>
    <col min="5892" max="5892" width="23.140625" style="14" customWidth="1"/>
    <col min="5893" max="5893" width="16.85546875" style="14" customWidth="1"/>
    <col min="5894" max="5894" width="18.85546875" style="14" customWidth="1"/>
    <col min="5895" max="5895" width="17.85546875" style="14" customWidth="1"/>
    <col min="5896" max="5896" width="22.140625" style="14" customWidth="1"/>
    <col min="5897" max="5897" width="5.5703125" style="14" customWidth="1"/>
    <col min="5898" max="6144" width="9.140625" style="14"/>
    <col min="6145" max="6145" width="13.5703125" style="14" customWidth="1"/>
    <col min="6146" max="6146" width="8.140625" style="14" customWidth="1"/>
    <col min="6147" max="6147" width="8.85546875" style="14" customWidth="1"/>
    <col min="6148" max="6148" width="23.140625" style="14" customWidth="1"/>
    <col min="6149" max="6149" width="16.85546875" style="14" customWidth="1"/>
    <col min="6150" max="6150" width="18.85546875" style="14" customWidth="1"/>
    <col min="6151" max="6151" width="17.85546875" style="14" customWidth="1"/>
    <col min="6152" max="6152" width="22.140625" style="14" customWidth="1"/>
    <col min="6153" max="6153" width="5.5703125" style="14" customWidth="1"/>
    <col min="6154" max="6400" width="9.140625" style="14"/>
    <col min="6401" max="6401" width="13.5703125" style="14" customWidth="1"/>
    <col min="6402" max="6402" width="8.140625" style="14" customWidth="1"/>
    <col min="6403" max="6403" width="8.85546875" style="14" customWidth="1"/>
    <col min="6404" max="6404" width="23.140625" style="14" customWidth="1"/>
    <col min="6405" max="6405" width="16.85546875" style="14" customWidth="1"/>
    <col min="6406" max="6406" width="18.85546875" style="14" customWidth="1"/>
    <col min="6407" max="6407" width="17.85546875" style="14" customWidth="1"/>
    <col min="6408" max="6408" width="22.140625" style="14" customWidth="1"/>
    <col min="6409" max="6409" width="5.5703125" style="14" customWidth="1"/>
    <col min="6410" max="6656" width="9.140625" style="14"/>
    <col min="6657" max="6657" width="13.5703125" style="14" customWidth="1"/>
    <col min="6658" max="6658" width="8.140625" style="14" customWidth="1"/>
    <col min="6659" max="6659" width="8.85546875" style="14" customWidth="1"/>
    <col min="6660" max="6660" width="23.140625" style="14" customWidth="1"/>
    <col min="6661" max="6661" width="16.85546875" style="14" customWidth="1"/>
    <col min="6662" max="6662" width="18.85546875" style="14" customWidth="1"/>
    <col min="6663" max="6663" width="17.85546875" style="14" customWidth="1"/>
    <col min="6664" max="6664" width="22.140625" style="14" customWidth="1"/>
    <col min="6665" max="6665" width="5.5703125" style="14" customWidth="1"/>
    <col min="6666" max="6912" width="9.140625" style="14"/>
    <col min="6913" max="6913" width="13.5703125" style="14" customWidth="1"/>
    <col min="6914" max="6914" width="8.140625" style="14" customWidth="1"/>
    <col min="6915" max="6915" width="8.85546875" style="14" customWidth="1"/>
    <col min="6916" max="6916" width="23.140625" style="14" customWidth="1"/>
    <col min="6917" max="6917" width="16.85546875" style="14" customWidth="1"/>
    <col min="6918" max="6918" width="18.85546875" style="14" customWidth="1"/>
    <col min="6919" max="6919" width="17.85546875" style="14" customWidth="1"/>
    <col min="6920" max="6920" width="22.140625" style="14" customWidth="1"/>
    <col min="6921" max="6921" width="5.5703125" style="14" customWidth="1"/>
    <col min="6922" max="7168" width="9.140625" style="14"/>
    <col min="7169" max="7169" width="13.5703125" style="14" customWidth="1"/>
    <col min="7170" max="7170" width="8.140625" style="14" customWidth="1"/>
    <col min="7171" max="7171" width="8.85546875" style="14" customWidth="1"/>
    <col min="7172" max="7172" width="23.140625" style="14" customWidth="1"/>
    <col min="7173" max="7173" width="16.85546875" style="14" customWidth="1"/>
    <col min="7174" max="7174" width="18.85546875" style="14" customWidth="1"/>
    <col min="7175" max="7175" width="17.85546875" style="14" customWidth="1"/>
    <col min="7176" max="7176" width="22.140625" style="14" customWidth="1"/>
    <col min="7177" max="7177" width="5.5703125" style="14" customWidth="1"/>
    <col min="7178" max="7424" width="9.140625" style="14"/>
    <col min="7425" max="7425" width="13.5703125" style="14" customWidth="1"/>
    <col min="7426" max="7426" width="8.140625" style="14" customWidth="1"/>
    <col min="7427" max="7427" width="8.85546875" style="14" customWidth="1"/>
    <col min="7428" max="7428" width="23.140625" style="14" customWidth="1"/>
    <col min="7429" max="7429" width="16.85546875" style="14" customWidth="1"/>
    <col min="7430" max="7430" width="18.85546875" style="14" customWidth="1"/>
    <col min="7431" max="7431" width="17.85546875" style="14" customWidth="1"/>
    <col min="7432" max="7432" width="22.140625" style="14" customWidth="1"/>
    <col min="7433" max="7433" width="5.5703125" style="14" customWidth="1"/>
    <col min="7434" max="7680" width="9.140625" style="14"/>
    <col min="7681" max="7681" width="13.5703125" style="14" customWidth="1"/>
    <col min="7682" max="7682" width="8.140625" style="14" customWidth="1"/>
    <col min="7683" max="7683" width="8.85546875" style="14" customWidth="1"/>
    <col min="7684" max="7684" width="23.140625" style="14" customWidth="1"/>
    <col min="7685" max="7685" width="16.85546875" style="14" customWidth="1"/>
    <col min="7686" max="7686" width="18.85546875" style="14" customWidth="1"/>
    <col min="7687" max="7687" width="17.85546875" style="14" customWidth="1"/>
    <col min="7688" max="7688" width="22.140625" style="14" customWidth="1"/>
    <col min="7689" max="7689" width="5.5703125" style="14" customWidth="1"/>
    <col min="7690" max="7936" width="9.140625" style="14"/>
    <col min="7937" max="7937" width="13.5703125" style="14" customWidth="1"/>
    <col min="7938" max="7938" width="8.140625" style="14" customWidth="1"/>
    <col min="7939" max="7939" width="8.85546875" style="14" customWidth="1"/>
    <col min="7940" max="7940" width="23.140625" style="14" customWidth="1"/>
    <col min="7941" max="7941" width="16.85546875" style="14" customWidth="1"/>
    <col min="7942" max="7942" width="18.85546875" style="14" customWidth="1"/>
    <col min="7943" max="7943" width="17.85546875" style="14" customWidth="1"/>
    <col min="7944" max="7944" width="22.140625" style="14" customWidth="1"/>
    <col min="7945" max="7945" width="5.5703125" style="14" customWidth="1"/>
    <col min="7946" max="8192" width="9.140625" style="14"/>
    <col min="8193" max="8193" width="13.5703125" style="14" customWidth="1"/>
    <col min="8194" max="8194" width="8.140625" style="14" customWidth="1"/>
    <col min="8195" max="8195" width="8.85546875" style="14" customWidth="1"/>
    <col min="8196" max="8196" width="23.140625" style="14" customWidth="1"/>
    <col min="8197" max="8197" width="16.85546875" style="14" customWidth="1"/>
    <col min="8198" max="8198" width="18.85546875" style="14" customWidth="1"/>
    <col min="8199" max="8199" width="17.85546875" style="14" customWidth="1"/>
    <col min="8200" max="8200" width="22.140625" style="14" customWidth="1"/>
    <col min="8201" max="8201" width="5.5703125" style="14" customWidth="1"/>
    <col min="8202" max="8448" width="9.140625" style="14"/>
    <col min="8449" max="8449" width="13.5703125" style="14" customWidth="1"/>
    <col min="8450" max="8450" width="8.140625" style="14" customWidth="1"/>
    <col min="8451" max="8451" width="8.85546875" style="14" customWidth="1"/>
    <col min="8452" max="8452" width="23.140625" style="14" customWidth="1"/>
    <col min="8453" max="8453" width="16.85546875" style="14" customWidth="1"/>
    <col min="8454" max="8454" width="18.85546875" style="14" customWidth="1"/>
    <col min="8455" max="8455" width="17.85546875" style="14" customWidth="1"/>
    <col min="8456" max="8456" width="22.140625" style="14" customWidth="1"/>
    <col min="8457" max="8457" width="5.5703125" style="14" customWidth="1"/>
    <col min="8458" max="8704" width="9.140625" style="14"/>
    <col min="8705" max="8705" width="13.5703125" style="14" customWidth="1"/>
    <col min="8706" max="8706" width="8.140625" style="14" customWidth="1"/>
    <col min="8707" max="8707" width="8.85546875" style="14" customWidth="1"/>
    <col min="8708" max="8708" width="23.140625" style="14" customWidth="1"/>
    <col min="8709" max="8709" width="16.85546875" style="14" customWidth="1"/>
    <col min="8710" max="8710" width="18.85546875" style="14" customWidth="1"/>
    <col min="8711" max="8711" width="17.85546875" style="14" customWidth="1"/>
    <col min="8712" max="8712" width="22.140625" style="14" customWidth="1"/>
    <col min="8713" max="8713" width="5.5703125" style="14" customWidth="1"/>
    <col min="8714" max="8960" width="9.140625" style="14"/>
    <col min="8961" max="8961" width="13.5703125" style="14" customWidth="1"/>
    <col min="8962" max="8962" width="8.140625" style="14" customWidth="1"/>
    <col min="8963" max="8963" width="8.85546875" style="14" customWidth="1"/>
    <col min="8964" max="8964" width="23.140625" style="14" customWidth="1"/>
    <col min="8965" max="8965" width="16.85546875" style="14" customWidth="1"/>
    <col min="8966" max="8966" width="18.85546875" style="14" customWidth="1"/>
    <col min="8967" max="8967" width="17.85546875" style="14" customWidth="1"/>
    <col min="8968" max="8968" width="22.140625" style="14" customWidth="1"/>
    <col min="8969" max="8969" width="5.5703125" style="14" customWidth="1"/>
    <col min="8970" max="9216" width="9.140625" style="14"/>
    <col min="9217" max="9217" width="13.5703125" style="14" customWidth="1"/>
    <col min="9218" max="9218" width="8.140625" style="14" customWidth="1"/>
    <col min="9219" max="9219" width="8.85546875" style="14" customWidth="1"/>
    <col min="9220" max="9220" width="23.140625" style="14" customWidth="1"/>
    <col min="9221" max="9221" width="16.85546875" style="14" customWidth="1"/>
    <col min="9222" max="9222" width="18.85546875" style="14" customWidth="1"/>
    <col min="9223" max="9223" width="17.85546875" style="14" customWidth="1"/>
    <col min="9224" max="9224" width="22.140625" style="14" customWidth="1"/>
    <col min="9225" max="9225" width="5.5703125" style="14" customWidth="1"/>
    <col min="9226" max="9472" width="9.140625" style="14"/>
    <col min="9473" max="9473" width="13.5703125" style="14" customWidth="1"/>
    <col min="9474" max="9474" width="8.140625" style="14" customWidth="1"/>
    <col min="9475" max="9475" width="8.85546875" style="14" customWidth="1"/>
    <col min="9476" max="9476" width="23.140625" style="14" customWidth="1"/>
    <col min="9477" max="9477" width="16.85546875" style="14" customWidth="1"/>
    <col min="9478" max="9478" width="18.85546875" style="14" customWidth="1"/>
    <col min="9479" max="9479" width="17.85546875" style="14" customWidth="1"/>
    <col min="9480" max="9480" width="22.140625" style="14" customWidth="1"/>
    <col min="9481" max="9481" width="5.5703125" style="14" customWidth="1"/>
    <col min="9482" max="9728" width="9.140625" style="14"/>
    <col min="9729" max="9729" width="13.5703125" style="14" customWidth="1"/>
    <col min="9730" max="9730" width="8.140625" style="14" customWidth="1"/>
    <col min="9731" max="9731" width="8.85546875" style="14" customWidth="1"/>
    <col min="9732" max="9732" width="23.140625" style="14" customWidth="1"/>
    <col min="9733" max="9733" width="16.85546875" style="14" customWidth="1"/>
    <col min="9734" max="9734" width="18.85546875" style="14" customWidth="1"/>
    <col min="9735" max="9735" width="17.85546875" style="14" customWidth="1"/>
    <col min="9736" max="9736" width="22.140625" style="14" customWidth="1"/>
    <col min="9737" max="9737" width="5.5703125" style="14" customWidth="1"/>
    <col min="9738" max="9984" width="9.140625" style="14"/>
    <col min="9985" max="9985" width="13.5703125" style="14" customWidth="1"/>
    <col min="9986" max="9986" width="8.140625" style="14" customWidth="1"/>
    <col min="9987" max="9987" width="8.85546875" style="14" customWidth="1"/>
    <col min="9988" max="9988" width="23.140625" style="14" customWidth="1"/>
    <col min="9989" max="9989" width="16.85546875" style="14" customWidth="1"/>
    <col min="9990" max="9990" width="18.85546875" style="14" customWidth="1"/>
    <col min="9991" max="9991" width="17.85546875" style="14" customWidth="1"/>
    <col min="9992" max="9992" width="22.140625" style="14" customWidth="1"/>
    <col min="9993" max="9993" width="5.5703125" style="14" customWidth="1"/>
    <col min="9994" max="10240" width="9.140625" style="14"/>
    <col min="10241" max="10241" width="13.5703125" style="14" customWidth="1"/>
    <col min="10242" max="10242" width="8.140625" style="14" customWidth="1"/>
    <col min="10243" max="10243" width="8.85546875" style="14" customWidth="1"/>
    <col min="10244" max="10244" width="23.140625" style="14" customWidth="1"/>
    <col min="10245" max="10245" width="16.85546875" style="14" customWidth="1"/>
    <col min="10246" max="10246" width="18.85546875" style="14" customWidth="1"/>
    <col min="10247" max="10247" width="17.85546875" style="14" customWidth="1"/>
    <col min="10248" max="10248" width="22.140625" style="14" customWidth="1"/>
    <col min="10249" max="10249" width="5.5703125" style="14" customWidth="1"/>
    <col min="10250" max="10496" width="9.140625" style="14"/>
    <col min="10497" max="10497" width="13.5703125" style="14" customWidth="1"/>
    <col min="10498" max="10498" width="8.140625" style="14" customWidth="1"/>
    <col min="10499" max="10499" width="8.85546875" style="14" customWidth="1"/>
    <col min="10500" max="10500" width="23.140625" style="14" customWidth="1"/>
    <col min="10501" max="10501" width="16.85546875" style="14" customWidth="1"/>
    <col min="10502" max="10502" width="18.85546875" style="14" customWidth="1"/>
    <col min="10503" max="10503" width="17.85546875" style="14" customWidth="1"/>
    <col min="10504" max="10504" width="22.140625" style="14" customWidth="1"/>
    <col min="10505" max="10505" width="5.5703125" style="14" customWidth="1"/>
    <col min="10506" max="10752" width="9.140625" style="14"/>
    <col min="10753" max="10753" width="13.5703125" style="14" customWidth="1"/>
    <col min="10754" max="10754" width="8.140625" style="14" customWidth="1"/>
    <col min="10755" max="10755" width="8.85546875" style="14" customWidth="1"/>
    <col min="10756" max="10756" width="23.140625" style="14" customWidth="1"/>
    <col min="10757" max="10757" width="16.85546875" style="14" customWidth="1"/>
    <col min="10758" max="10758" width="18.85546875" style="14" customWidth="1"/>
    <col min="10759" max="10759" width="17.85546875" style="14" customWidth="1"/>
    <col min="10760" max="10760" width="22.140625" style="14" customWidth="1"/>
    <col min="10761" max="10761" width="5.5703125" style="14" customWidth="1"/>
    <col min="10762" max="11008" width="9.140625" style="14"/>
    <col min="11009" max="11009" width="13.5703125" style="14" customWidth="1"/>
    <col min="11010" max="11010" width="8.140625" style="14" customWidth="1"/>
    <col min="11011" max="11011" width="8.85546875" style="14" customWidth="1"/>
    <col min="11012" max="11012" width="23.140625" style="14" customWidth="1"/>
    <col min="11013" max="11013" width="16.85546875" style="14" customWidth="1"/>
    <col min="11014" max="11014" width="18.85546875" style="14" customWidth="1"/>
    <col min="11015" max="11015" width="17.85546875" style="14" customWidth="1"/>
    <col min="11016" max="11016" width="22.140625" style="14" customWidth="1"/>
    <col min="11017" max="11017" width="5.5703125" style="14" customWidth="1"/>
    <col min="11018" max="11264" width="9.140625" style="14"/>
    <col min="11265" max="11265" width="13.5703125" style="14" customWidth="1"/>
    <col min="11266" max="11266" width="8.140625" style="14" customWidth="1"/>
    <col min="11267" max="11267" width="8.85546875" style="14" customWidth="1"/>
    <col min="11268" max="11268" width="23.140625" style="14" customWidth="1"/>
    <col min="11269" max="11269" width="16.85546875" style="14" customWidth="1"/>
    <col min="11270" max="11270" width="18.85546875" style="14" customWidth="1"/>
    <col min="11271" max="11271" width="17.85546875" style="14" customWidth="1"/>
    <col min="11272" max="11272" width="22.140625" style="14" customWidth="1"/>
    <col min="11273" max="11273" width="5.5703125" style="14" customWidth="1"/>
    <col min="11274" max="11520" width="9.140625" style="14"/>
    <col min="11521" max="11521" width="13.5703125" style="14" customWidth="1"/>
    <col min="11522" max="11522" width="8.140625" style="14" customWidth="1"/>
    <col min="11523" max="11523" width="8.85546875" style="14" customWidth="1"/>
    <col min="11524" max="11524" width="23.140625" style="14" customWidth="1"/>
    <col min="11525" max="11525" width="16.85546875" style="14" customWidth="1"/>
    <col min="11526" max="11526" width="18.85546875" style="14" customWidth="1"/>
    <col min="11527" max="11527" width="17.85546875" style="14" customWidth="1"/>
    <col min="11528" max="11528" width="22.140625" style="14" customWidth="1"/>
    <col min="11529" max="11529" width="5.5703125" style="14" customWidth="1"/>
    <col min="11530" max="11776" width="9.140625" style="14"/>
    <col min="11777" max="11777" width="13.5703125" style="14" customWidth="1"/>
    <col min="11778" max="11778" width="8.140625" style="14" customWidth="1"/>
    <col min="11779" max="11779" width="8.85546875" style="14" customWidth="1"/>
    <col min="11780" max="11780" width="23.140625" style="14" customWidth="1"/>
    <col min="11781" max="11781" width="16.85546875" style="14" customWidth="1"/>
    <col min="11782" max="11782" width="18.85546875" style="14" customWidth="1"/>
    <col min="11783" max="11783" width="17.85546875" style="14" customWidth="1"/>
    <col min="11784" max="11784" width="22.140625" style="14" customWidth="1"/>
    <col min="11785" max="11785" width="5.5703125" style="14" customWidth="1"/>
    <col min="11786" max="12032" width="9.140625" style="14"/>
    <col min="12033" max="12033" width="13.5703125" style="14" customWidth="1"/>
    <col min="12034" max="12034" width="8.140625" style="14" customWidth="1"/>
    <col min="12035" max="12035" width="8.85546875" style="14" customWidth="1"/>
    <col min="12036" max="12036" width="23.140625" style="14" customWidth="1"/>
    <col min="12037" max="12037" width="16.85546875" style="14" customWidth="1"/>
    <col min="12038" max="12038" width="18.85546875" style="14" customWidth="1"/>
    <col min="12039" max="12039" width="17.85546875" style="14" customWidth="1"/>
    <col min="12040" max="12040" width="22.140625" style="14" customWidth="1"/>
    <col min="12041" max="12041" width="5.5703125" style="14" customWidth="1"/>
    <col min="12042" max="12288" width="9.140625" style="14"/>
    <col min="12289" max="12289" width="13.5703125" style="14" customWidth="1"/>
    <col min="12290" max="12290" width="8.140625" style="14" customWidth="1"/>
    <col min="12291" max="12291" width="8.85546875" style="14" customWidth="1"/>
    <col min="12292" max="12292" width="23.140625" style="14" customWidth="1"/>
    <col min="12293" max="12293" width="16.85546875" style="14" customWidth="1"/>
    <col min="12294" max="12294" width="18.85546875" style="14" customWidth="1"/>
    <col min="12295" max="12295" width="17.85546875" style="14" customWidth="1"/>
    <col min="12296" max="12296" width="22.140625" style="14" customWidth="1"/>
    <col min="12297" max="12297" width="5.5703125" style="14" customWidth="1"/>
    <col min="12298" max="12544" width="9.140625" style="14"/>
    <col min="12545" max="12545" width="13.5703125" style="14" customWidth="1"/>
    <col min="12546" max="12546" width="8.140625" style="14" customWidth="1"/>
    <col min="12547" max="12547" width="8.85546875" style="14" customWidth="1"/>
    <col min="12548" max="12548" width="23.140625" style="14" customWidth="1"/>
    <col min="12549" max="12549" width="16.85546875" style="14" customWidth="1"/>
    <col min="12550" max="12550" width="18.85546875" style="14" customWidth="1"/>
    <col min="12551" max="12551" width="17.85546875" style="14" customWidth="1"/>
    <col min="12552" max="12552" width="22.140625" style="14" customWidth="1"/>
    <col min="12553" max="12553" width="5.5703125" style="14" customWidth="1"/>
    <col min="12554" max="12800" width="9.140625" style="14"/>
    <col min="12801" max="12801" width="13.5703125" style="14" customWidth="1"/>
    <col min="12802" max="12802" width="8.140625" style="14" customWidth="1"/>
    <col min="12803" max="12803" width="8.85546875" style="14" customWidth="1"/>
    <col min="12804" max="12804" width="23.140625" style="14" customWidth="1"/>
    <col min="12805" max="12805" width="16.85546875" style="14" customWidth="1"/>
    <col min="12806" max="12806" width="18.85546875" style="14" customWidth="1"/>
    <col min="12807" max="12807" width="17.85546875" style="14" customWidth="1"/>
    <col min="12808" max="12808" width="22.140625" style="14" customWidth="1"/>
    <col min="12809" max="12809" width="5.5703125" style="14" customWidth="1"/>
    <col min="12810" max="13056" width="9.140625" style="14"/>
    <col min="13057" max="13057" width="13.5703125" style="14" customWidth="1"/>
    <col min="13058" max="13058" width="8.140625" style="14" customWidth="1"/>
    <col min="13059" max="13059" width="8.85546875" style="14" customWidth="1"/>
    <col min="13060" max="13060" width="23.140625" style="14" customWidth="1"/>
    <col min="13061" max="13061" width="16.85546875" style="14" customWidth="1"/>
    <col min="13062" max="13062" width="18.85546875" style="14" customWidth="1"/>
    <col min="13063" max="13063" width="17.85546875" style="14" customWidth="1"/>
    <col min="13064" max="13064" width="22.140625" style="14" customWidth="1"/>
    <col min="13065" max="13065" width="5.5703125" style="14" customWidth="1"/>
    <col min="13066" max="13312" width="9.140625" style="14"/>
    <col min="13313" max="13313" width="13.5703125" style="14" customWidth="1"/>
    <col min="13314" max="13314" width="8.140625" style="14" customWidth="1"/>
    <col min="13315" max="13315" width="8.85546875" style="14" customWidth="1"/>
    <col min="13316" max="13316" width="23.140625" style="14" customWidth="1"/>
    <col min="13317" max="13317" width="16.85546875" style="14" customWidth="1"/>
    <col min="13318" max="13318" width="18.85546875" style="14" customWidth="1"/>
    <col min="13319" max="13319" width="17.85546875" style="14" customWidth="1"/>
    <col min="13320" max="13320" width="22.140625" style="14" customWidth="1"/>
    <col min="13321" max="13321" width="5.5703125" style="14" customWidth="1"/>
    <col min="13322" max="13568" width="9.140625" style="14"/>
    <col min="13569" max="13569" width="13.5703125" style="14" customWidth="1"/>
    <col min="13570" max="13570" width="8.140625" style="14" customWidth="1"/>
    <col min="13571" max="13571" width="8.85546875" style="14" customWidth="1"/>
    <col min="13572" max="13572" width="23.140625" style="14" customWidth="1"/>
    <col min="13573" max="13573" width="16.85546875" style="14" customWidth="1"/>
    <col min="13574" max="13574" width="18.85546875" style="14" customWidth="1"/>
    <col min="13575" max="13575" width="17.85546875" style="14" customWidth="1"/>
    <col min="13576" max="13576" width="22.140625" style="14" customWidth="1"/>
    <col min="13577" max="13577" width="5.5703125" style="14" customWidth="1"/>
    <col min="13578" max="13824" width="9.140625" style="14"/>
    <col min="13825" max="13825" width="13.5703125" style="14" customWidth="1"/>
    <col min="13826" max="13826" width="8.140625" style="14" customWidth="1"/>
    <col min="13827" max="13827" width="8.85546875" style="14" customWidth="1"/>
    <col min="13828" max="13828" width="23.140625" style="14" customWidth="1"/>
    <col min="13829" max="13829" width="16.85546875" style="14" customWidth="1"/>
    <col min="13830" max="13830" width="18.85546875" style="14" customWidth="1"/>
    <col min="13831" max="13831" width="17.85546875" style="14" customWidth="1"/>
    <col min="13832" max="13832" width="22.140625" style="14" customWidth="1"/>
    <col min="13833" max="13833" width="5.5703125" style="14" customWidth="1"/>
    <col min="13834" max="14080" width="9.140625" style="14"/>
    <col min="14081" max="14081" width="13.5703125" style="14" customWidth="1"/>
    <col min="14082" max="14082" width="8.140625" style="14" customWidth="1"/>
    <col min="14083" max="14083" width="8.85546875" style="14" customWidth="1"/>
    <col min="14084" max="14084" width="23.140625" style="14" customWidth="1"/>
    <col min="14085" max="14085" width="16.85546875" style="14" customWidth="1"/>
    <col min="14086" max="14086" width="18.85546875" style="14" customWidth="1"/>
    <col min="14087" max="14087" width="17.85546875" style="14" customWidth="1"/>
    <col min="14088" max="14088" width="22.140625" style="14" customWidth="1"/>
    <col min="14089" max="14089" width="5.5703125" style="14" customWidth="1"/>
    <col min="14090" max="14336" width="9.140625" style="14"/>
    <col min="14337" max="14337" width="13.5703125" style="14" customWidth="1"/>
    <col min="14338" max="14338" width="8.140625" style="14" customWidth="1"/>
    <col min="14339" max="14339" width="8.85546875" style="14" customWidth="1"/>
    <col min="14340" max="14340" width="23.140625" style="14" customWidth="1"/>
    <col min="14341" max="14341" width="16.85546875" style="14" customWidth="1"/>
    <col min="14342" max="14342" width="18.85546875" style="14" customWidth="1"/>
    <col min="14343" max="14343" width="17.85546875" style="14" customWidth="1"/>
    <col min="14344" max="14344" width="22.140625" style="14" customWidth="1"/>
    <col min="14345" max="14345" width="5.5703125" style="14" customWidth="1"/>
    <col min="14346" max="14592" width="9.140625" style="14"/>
    <col min="14593" max="14593" width="13.5703125" style="14" customWidth="1"/>
    <col min="14594" max="14594" width="8.140625" style="14" customWidth="1"/>
    <col min="14595" max="14595" width="8.85546875" style="14" customWidth="1"/>
    <col min="14596" max="14596" width="23.140625" style="14" customWidth="1"/>
    <col min="14597" max="14597" width="16.85546875" style="14" customWidth="1"/>
    <col min="14598" max="14598" width="18.85546875" style="14" customWidth="1"/>
    <col min="14599" max="14599" width="17.85546875" style="14" customWidth="1"/>
    <col min="14600" max="14600" width="22.140625" style="14" customWidth="1"/>
    <col min="14601" max="14601" width="5.5703125" style="14" customWidth="1"/>
    <col min="14602" max="14848" width="9.140625" style="14"/>
    <col min="14849" max="14849" width="13.5703125" style="14" customWidth="1"/>
    <col min="14850" max="14850" width="8.140625" style="14" customWidth="1"/>
    <col min="14851" max="14851" width="8.85546875" style="14" customWidth="1"/>
    <col min="14852" max="14852" width="23.140625" style="14" customWidth="1"/>
    <col min="14853" max="14853" width="16.85546875" style="14" customWidth="1"/>
    <col min="14854" max="14854" width="18.85546875" style="14" customWidth="1"/>
    <col min="14855" max="14855" width="17.85546875" style="14" customWidth="1"/>
    <col min="14856" max="14856" width="22.140625" style="14" customWidth="1"/>
    <col min="14857" max="14857" width="5.5703125" style="14" customWidth="1"/>
    <col min="14858" max="15104" width="9.140625" style="14"/>
    <col min="15105" max="15105" width="13.5703125" style="14" customWidth="1"/>
    <col min="15106" max="15106" width="8.140625" style="14" customWidth="1"/>
    <col min="15107" max="15107" width="8.85546875" style="14" customWidth="1"/>
    <col min="15108" max="15108" width="23.140625" style="14" customWidth="1"/>
    <col min="15109" max="15109" width="16.85546875" style="14" customWidth="1"/>
    <col min="15110" max="15110" width="18.85546875" style="14" customWidth="1"/>
    <col min="15111" max="15111" width="17.85546875" style="14" customWidth="1"/>
    <col min="15112" max="15112" width="22.140625" style="14" customWidth="1"/>
    <col min="15113" max="15113" width="5.5703125" style="14" customWidth="1"/>
    <col min="15114" max="15360" width="9.140625" style="14"/>
    <col min="15361" max="15361" width="13.5703125" style="14" customWidth="1"/>
    <col min="15362" max="15362" width="8.140625" style="14" customWidth="1"/>
    <col min="15363" max="15363" width="8.85546875" style="14" customWidth="1"/>
    <col min="15364" max="15364" width="23.140625" style="14" customWidth="1"/>
    <col min="15365" max="15365" width="16.85546875" style="14" customWidth="1"/>
    <col min="15366" max="15366" width="18.85546875" style="14" customWidth="1"/>
    <col min="15367" max="15367" width="17.85546875" style="14" customWidth="1"/>
    <col min="15368" max="15368" width="22.140625" style="14" customWidth="1"/>
    <col min="15369" max="15369" width="5.5703125" style="14" customWidth="1"/>
    <col min="15370" max="15616" width="9.140625" style="14"/>
    <col min="15617" max="15617" width="13.5703125" style="14" customWidth="1"/>
    <col min="15618" max="15618" width="8.140625" style="14" customWidth="1"/>
    <col min="15619" max="15619" width="8.85546875" style="14" customWidth="1"/>
    <col min="15620" max="15620" width="23.140625" style="14" customWidth="1"/>
    <col min="15621" max="15621" width="16.85546875" style="14" customWidth="1"/>
    <col min="15622" max="15622" width="18.85546875" style="14" customWidth="1"/>
    <col min="15623" max="15623" width="17.85546875" style="14" customWidth="1"/>
    <col min="15624" max="15624" width="22.140625" style="14" customWidth="1"/>
    <col min="15625" max="15625" width="5.5703125" style="14" customWidth="1"/>
    <col min="15626" max="15872" width="9.140625" style="14"/>
    <col min="15873" max="15873" width="13.5703125" style="14" customWidth="1"/>
    <col min="15874" max="15874" width="8.140625" style="14" customWidth="1"/>
    <col min="15875" max="15875" width="8.85546875" style="14" customWidth="1"/>
    <col min="15876" max="15876" width="23.140625" style="14" customWidth="1"/>
    <col min="15877" max="15877" width="16.85546875" style="14" customWidth="1"/>
    <col min="15878" max="15878" width="18.85546875" style="14" customWidth="1"/>
    <col min="15879" max="15879" width="17.85546875" style="14" customWidth="1"/>
    <col min="15880" max="15880" width="22.140625" style="14" customWidth="1"/>
    <col min="15881" max="15881" width="5.5703125" style="14" customWidth="1"/>
    <col min="15882" max="16128" width="9.140625" style="14"/>
    <col min="16129" max="16129" width="13.5703125" style="14" customWidth="1"/>
    <col min="16130" max="16130" width="8.140625" style="14" customWidth="1"/>
    <col min="16131" max="16131" width="8.85546875" style="14" customWidth="1"/>
    <col min="16132" max="16132" width="23.140625" style="14" customWidth="1"/>
    <col min="16133" max="16133" width="16.85546875" style="14" customWidth="1"/>
    <col min="16134" max="16134" width="18.85546875" style="14" customWidth="1"/>
    <col min="16135" max="16135" width="17.85546875" style="14" customWidth="1"/>
    <col min="16136" max="16136" width="22.140625" style="14" customWidth="1"/>
    <col min="16137" max="16137" width="5.5703125" style="14" customWidth="1"/>
    <col min="16138" max="16384" width="9.140625" style="14"/>
  </cols>
  <sheetData>
    <row r="1" spans="1:8" ht="22.5">
      <c r="A1" s="455" t="s">
        <v>59</v>
      </c>
      <c r="B1" s="456"/>
      <c r="C1" s="456"/>
      <c r="D1" s="456"/>
      <c r="E1" s="456"/>
      <c r="F1" s="456"/>
      <c r="G1" s="456"/>
      <c r="H1" s="456"/>
    </row>
    <row r="2" spans="1:8" ht="22.5">
      <c r="A2" s="15"/>
      <c r="B2" s="16"/>
      <c r="C2" s="16"/>
      <c r="D2" s="16"/>
      <c r="E2" s="16"/>
      <c r="F2" s="16"/>
      <c r="G2" s="16"/>
      <c r="H2" s="16"/>
    </row>
    <row r="3" spans="1:8" ht="14.25">
      <c r="A3" s="17" t="s">
        <v>458</v>
      </c>
      <c r="B3" s="17"/>
      <c r="C3" s="17"/>
      <c r="D3" s="17"/>
      <c r="E3" s="18"/>
      <c r="F3" s="457">
        <f ca="1">TODAY()</f>
        <v>46105</v>
      </c>
      <c r="G3" s="457"/>
      <c r="H3" s="457"/>
    </row>
    <row r="4" spans="1:8" ht="13.5">
      <c r="A4" s="16"/>
      <c r="B4" s="19"/>
      <c r="C4" s="19"/>
      <c r="D4" s="19"/>
      <c r="E4" s="19"/>
      <c r="F4" s="19"/>
      <c r="G4" s="19"/>
      <c r="H4" s="19"/>
    </row>
    <row r="5" spans="1:8" ht="13.5">
      <c r="A5" s="458" t="s">
        <v>58</v>
      </c>
      <c r="B5" s="458"/>
      <c r="C5" s="20" t="s">
        <v>463</v>
      </c>
      <c r="D5" s="20"/>
      <c r="E5" s="20"/>
      <c r="F5" s="20"/>
      <c r="G5" s="20"/>
      <c r="H5" s="19"/>
    </row>
    <row r="6" spans="1:8" ht="13.5">
      <c r="A6" s="16"/>
      <c r="B6" s="19"/>
      <c r="C6" s="19"/>
      <c r="D6" s="19"/>
      <c r="E6" s="19"/>
      <c r="F6" s="19"/>
      <c r="G6" s="19"/>
      <c r="H6" s="19"/>
    </row>
    <row r="7" spans="1:8" ht="13.5">
      <c r="A7" s="458" t="s">
        <v>57</v>
      </c>
      <c r="B7" s="458"/>
      <c r="C7" s="21" t="s">
        <v>56</v>
      </c>
      <c r="D7" s="21" t="str">
        <f>NUMBERSTRING(D8,1)&amp;"원정-부가세 별도"</f>
        <v>삼억일백삼십구만이천팔백사십육원정-부가세 별도</v>
      </c>
      <c r="E7" s="20"/>
      <c r="F7" s="20"/>
      <c r="G7" s="20"/>
      <c r="H7" s="19"/>
    </row>
    <row r="8" spans="1:8" ht="13.5">
      <c r="A8" s="16"/>
      <c r="B8" s="19"/>
      <c r="C8" s="22" t="s">
        <v>55</v>
      </c>
      <c r="D8" s="23">
        <f>' 갑지-1'!L26</f>
        <v>301392845.62037075</v>
      </c>
      <c r="E8" s="19" t="s">
        <v>54</v>
      </c>
      <c r="F8" s="19"/>
      <c r="G8" s="19"/>
      <c r="H8" s="19"/>
    </row>
    <row r="9" spans="1:8" ht="13.5">
      <c r="A9" s="16"/>
      <c r="B9" s="19"/>
      <c r="C9" s="19"/>
      <c r="D9" s="19"/>
      <c r="E9" s="19"/>
      <c r="F9" s="19"/>
      <c r="G9" s="19"/>
      <c r="H9" s="19"/>
    </row>
    <row r="10" spans="1:8" ht="16.5">
      <c r="A10" s="144" t="s">
        <v>216</v>
      </c>
      <c r="B10" s="19"/>
      <c r="C10" s="19"/>
      <c r="D10" s="19"/>
      <c r="E10" s="19"/>
      <c r="F10" s="19"/>
      <c r="G10" s="19"/>
      <c r="H10" s="19"/>
    </row>
    <row r="11" spans="1:8" ht="13.5">
      <c r="A11" s="16"/>
      <c r="B11" s="16"/>
      <c r="C11" s="16"/>
      <c r="D11" s="16"/>
      <c r="E11" s="19"/>
      <c r="F11" s="19"/>
      <c r="G11" s="19"/>
      <c r="H11" s="19"/>
    </row>
    <row r="12" spans="1:8" ht="15.75" customHeight="1">
      <c r="A12" s="103"/>
      <c r="B12" s="104"/>
      <c r="C12" s="104"/>
      <c r="D12" s="104"/>
      <c r="E12" s="105"/>
      <c r="F12" s="105"/>
      <c r="G12" s="105"/>
      <c r="H12" s="106"/>
    </row>
    <row r="13" spans="1:8" ht="15.75" customHeight="1">
      <c r="A13" s="107" t="s">
        <v>53</v>
      </c>
      <c r="B13" s="108"/>
      <c r="C13" s="24"/>
      <c r="D13" s="24"/>
      <c r="E13" s="24"/>
      <c r="F13" s="109"/>
      <c r="G13" s="109"/>
      <c r="H13" s="110"/>
    </row>
    <row r="14" spans="1:8" ht="15.75" customHeight="1">
      <c r="A14" s="111" t="s">
        <v>52</v>
      </c>
      <c r="B14" s="112" t="s">
        <v>155</v>
      </c>
      <c r="C14" s="108"/>
      <c r="D14" s="19"/>
      <c r="E14" s="25"/>
      <c r="F14" s="19"/>
      <c r="G14" s="19"/>
      <c r="H14" s="113"/>
    </row>
    <row r="15" spans="1:8" ht="15.75" customHeight="1">
      <c r="A15" s="111" t="s">
        <v>16</v>
      </c>
      <c r="B15" s="112" t="s">
        <v>139</v>
      </c>
      <c r="C15" s="24"/>
      <c r="D15" s="24"/>
      <c r="E15" s="24"/>
      <c r="F15" s="24"/>
      <c r="G15" s="24"/>
      <c r="H15" s="114" t="s">
        <v>51</v>
      </c>
    </row>
    <row r="16" spans="1:8" ht="15.75" customHeight="1">
      <c r="A16" s="111" t="s">
        <v>17</v>
      </c>
      <c r="B16" s="112"/>
      <c r="C16" s="24"/>
      <c r="D16" s="24"/>
      <c r="E16" s="24"/>
      <c r="F16" s="24"/>
      <c r="G16" s="24"/>
      <c r="H16" s="114"/>
    </row>
    <row r="17" spans="1:8" ht="15.75" customHeight="1">
      <c r="A17" s="111" t="s">
        <v>18</v>
      </c>
      <c r="B17" s="112"/>
      <c r="C17" s="24"/>
      <c r="D17" s="24"/>
      <c r="E17" s="24"/>
      <c r="F17" s="24"/>
      <c r="G17" s="24"/>
      <c r="H17" s="114"/>
    </row>
    <row r="18" spans="1:8" ht="15.75" customHeight="1">
      <c r="A18" s="111" t="s">
        <v>19</v>
      </c>
      <c r="B18" s="112"/>
      <c r="C18" s="24"/>
      <c r="D18" s="24"/>
      <c r="E18" s="24"/>
      <c r="F18" s="24"/>
      <c r="G18" s="24"/>
      <c r="H18" s="114"/>
    </row>
    <row r="19" spans="1:8" ht="15.75" customHeight="1">
      <c r="A19" s="111" t="s">
        <v>20</v>
      </c>
      <c r="B19" s="112"/>
      <c r="C19" s="24"/>
      <c r="D19" s="24"/>
      <c r="E19" s="24"/>
      <c r="F19" s="24"/>
      <c r="G19" s="24"/>
      <c r="H19" s="114"/>
    </row>
    <row r="20" spans="1:8" ht="15.75" customHeight="1">
      <c r="A20" s="115" t="s">
        <v>50</v>
      </c>
      <c r="B20" s="116"/>
      <c r="C20" s="117"/>
      <c r="D20" s="117"/>
      <c r="E20" s="117"/>
      <c r="F20" s="118"/>
      <c r="G20" s="118"/>
      <c r="H20" s="119"/>
    </row>
    <row r="21" spans="1:8" ht="22.5">
      <c r="A21" s="24"/>
      <c r="B21" s="26"/>
      <c r="C21" s="26"/>
      <c r="D21" s="26"/>
      <c r="E21" s="27"/>
      <c r="F21" s="27"/>
      <c r="G21" s="459" t="s">
        <v>410</v>
      </c>
      <c r="H21" s="460"/>
    </row>
    <row r="22" spans="1:8" ht="22.5">
      <c r="A22" s="24"/>
      <c r="B22" s="28"/>
      <c r="C22" s="28"/>
      <c r="D22" s="26"/>
      <c r="E22" s="27"/>
      <c r="F22" s="27"/>
      <c r="G22" s="191" t="s">
        <v>408</v>
      </c>
      <c r="H22" s="26"/>
    </row>
    <row r="23" spans="1:8" ht="22.5">
      <c r="A23" s="24"/>
      <c r="B23" s="26"/>
      <c r="C23" s="26"/>
      <c r="D23" s="26"/>
      <c r="E23" s="27"/>
      <c r="F23" s="27"/>
      <c r="G23" s="25" t="s">
        <v>409</v>
      </c>
      <c r="H23" s="26"/>
    </row>
  </sheetData>
  <mergeCells count="5">
    <mergeCell ref="A1:H1"/>
    <mergeCell ref="F3:H3"/>
    <mergeCell ref="A5:B5"/>
    <mergeCell ref="A7:B7"/>
    <mergeCell ref="G21:H21"/>
  </mergeCells>
  <phoneticPr fontId="21" type="noConversion"/>
  <pageMargins left="0.7" right="0.7" top="0.75" bottom="0.75" header="0.3" footer="0.3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  <pageSetUpPr fitToPage="1"/>
  </sheetPr>
  <dimension ref="A1:Q36"/>
  <sheetViews>
    <sheetView tabSelected="1" view="pageBreakPreview" zoomScaleSheetLayoutView="100" workbookViewId="0">
      <selection activeCell="F14" sqref="F14"/>
    </sheetView>
  </sheetViews>
  <sheetFormatPr defaultColWidth="9.140625" defaultRowHeight="19.5" customHeight="1" outlineLevelCol="1"/>
  <cols>
    <col min="1" max="1" width="19.140625" style="85" bestFit="1" customWidth="1"/>
    <col min="2" max="2" width="32.85546875" style="86" customWidth="1"/>
    <col min="3" max="3" width="24.5703125" style="54" customWidth="1"/>
    <col min="4" max="5" width="8.85546875" style="87" customWidth="1"/>
    <col min="6" max="6" width="21.5703125" style="88" customWidth="1"/>
    <col min="7" max="7" width="14.85546875" style="89" customWidth="1" outlineLevel="1"/>
    <col min="8" max="8" width="17.85546875" style="89" customWidth="1" outlineLevel="1"/>
    <col min="9" max="9" width="14.85546875" style="89" customWidth="1" outlineLevel="1"/>
    <col min="10" max="10" width="17.85546875" style="89" customWidth="1" outlineLevel="1"/>
    <col min="11" max="11" width="14.85546875" style="89" customWidth="1"/>
    <col min="12" max="12" width="17.85546875" style="89" customWidth="1"/>
    <col min="13" max="13" width="23.140625" style="90" customWidth="1"/>
    <col min="14" max="16" width="9.140625" style="46"/>
    <col min="17" max="17" width="15.140625" style="46" bestFit="1" customWidth="1"/>
    <col min="18" max="16384" width="9.140625" style="46"/>
  </cols>
  <sheetData>
    <row r="1" spans="1:13" s="29" customFormat="1" ht="35.1" customHeight="1">
      <c r="A1" s="463" t="s">
        <v>462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465"/>
    </row>
    <row r="2" spans="1:13" s="29" customFormat="1" ht="24" customHeight="1">
      <c r="A2" s="16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161"/>
    </row>
    <row r="3" spans="1:13" s="29" customFormat="1" ht="24" customHeight="1">
      <c r="A3" s="162" t="s">
        <v>458</v>
      </c>
      <c r="B3" s="30"/>
      <c r="C3" s="30"/>
      <c r="D3" s="30"/>
      <c r="E3" s="30"/>
      <c r="F3" s="92"/>
      <c r="G3" s="30"/>
      <c r="H3" s="30"/>
      <c r="I3" s="30"/>
      <c r="J3" s="30"/>
      <c r="K3" s="30"/>
      <c r="L3" s="30"/>
      <c r="M3" s="161"/>
    </row>
    <row r="4" spans="1:13" s="31" customFormat="1" ht="18" customHeight="1">
      <c r="A4" s="466" t="s">
        <v>10</v>
      </c>
      <c r="B4" s="468" t="s">
        <v>4</v>
      </c>
      <c r="C4" s="470" t="s">
        <v>5</v>
      </c>
      <c r="D4" s="470" t="s">
        <v>37</v>
      </c>
      <c r="E4" s="470" t="s">
        <v>6</v>
      </c>
      <c r="F4" s="472" t="s">
        <v>7</v>
      </c>
      <c r="G4" s="474" t="s">
        <v>60</v>
      </c>
      <c r="H4" s="474"/>
      <c r="I4" s="474" t="s">
        <v>61</v>
      </c>
      <c r="J4" s="474"/>
      <c r="K4" s="474" t="s">
        <v>62</v>
      </c>
      <c r="L4" s="474"/>
      <c r="M4" s="461" t="s">
        <v>8</v>
      </c>
    </row>
    <row r="5" spans="1:13" s="31" customFormat="1" ht="18" customHeight="1">
      <c r="A5" s="467"/>
      <c r="B5" s="469"/>
      <c r="C5" s="471"/>
      <c r="D5" s="471"/>
      <c r="E5" s="471"/>
      <c r="F5" s="473"/>
      <c r="G5" s="32" t="s">
        <v>0</v>
      </c>
      <c r="H5" s="32" t="s">
        <v>1</v>
      </c>
      <c r="I5" s="32" t="s">
        <v>0</v>
      </c>
      <c r="J5" s="32" t="s">
        <v>1</v>
      </c>
      <c r="K5" s="32" t="s">
        <v>0</v>
      </c>
      <c r="L5" s="32" t="s">
        <v>1</v>
      </c>
      <c r="M5" s="462"/>
    </row>
    <row r="6" spans="1:13" s="39" customFormat="1" ht="18" customHeight="1">
      <c r="A6" s="163" t="s">
        <v>14</v>
      </c>
      <c r="B6" s="33" t="s">
        <v>461</v>
      </c>
      <c r="C6" s="34"/>
      <c r="D6" s="35"/>
      <c r="E6" s="36"/>
      <c r="F6" s="37"/>
      <c r="G6" s="38"/>
      <c r="H6" s="38"/>
      <c r="I6" s="38"/>
      <c r="J6" s="38"/>
      <c r="K6" s="38"/>
      <c r="L6" s="38"/>
      <c r="M6" s="164"/>
    </row>
    <row r="7" spans="1:13" ht="18" customHeight="1">
      <c r="A7" s="165" t="s">
        <v>45</v>
      </c>
      <c r="B7" s="40" t="s">
        <v>352</v>
      </c>
      <c r="C7" s="41"/>
      <c r="D7" s="42"/>
      <c r="E7" s="43" t="s">
        <v>36</v>
      </c>
      <c r="F7" s="44">
        <v>1</v>
      </c>
      <c r="G7" s="45"/>
      <c r="H7" s="45">
        <f>상세!H10</f>
        <v>166944292.12121212</v>
      </c>
      <c r="I7" s="45"/>
      <c r="J7" s="45">
        <v>0</v>
      </c>
      <c r="K7" s="45"/>
      <c r="L7" s="45">
        <f>H7</f>
        <v>166944292.12121212</v>
      </c>
      <c r="M7" s="166"/>
    </row>
    <row r="8" spans="1:13" ht="18" customHeight="1">
      <c r="A8" s="165" t="s">
        <v>25</v>
      </c>
      <c r="B8" s="40" t="s">
        <v>353</v>
      </c>
      <c r="C8" s="41"/>
      <c r="D8" s="42"/>
      <c r="E8" s="43" t="s">
        <v>36</v>
      </c>
      <c r="F8" s="44">
        <v>1</v>
      </c>
      <c r="G8" s="45"/>
      <c r="H8" s="45">
        <v>0</v>
      </c>
      <c r="I8" s="45"/>
      <c r="J8" s="45">
        <f>상세!J10</f>
        <v>77577800</v>
      </c>
      <c r="K8" s="45"/>
      <c r="L8" s="45">
        <f>J8</f>
        <v>77577800</v>
      </c>
      <c r="M8" s="166"/>
    </row>
    <row r="9" spans="1:13" ht="18" customHeight="1">
      <c r="A9" s="165"/>
      <c r="B9" s="40"/>
      <c r="C9" s="41"/>
      <c r="D9" s="42"/>
      <c r="E9" s="43"/>
      <c r="F9" s="44"/>
      <c r="G9" s="45"/>
      <c r="H9" s="45"/>
      <c r="I9" s="45"/>
      <c r="J9" s="45"/>
      <c r="K9" s="45"/>
      <c r="L9" s="45"/>
      <c r="M9" s="166"/>
    </row>
    <row r="10" spans="1:13" s="53" customFormat="1" ht="18" customHeight="1">
      <c r="A10" s="167"/>
      <c r="B10" s="47" t="s">
        <v>94</v>
      </c>
      <c r="C10" s="48"/>
      <c r="D10" s="49"/>
      <c r="E10" s="50"/>
      <c r="F10" s="51"/>
      <c r="G10" s="52"/>
      <c r="H10" s="52">
        <f>상세!H10</f>
        <v>166944292.12121212</v>
      </c>
      <c r="I10" s="52"/>
      <c r="J10" s="52">
        <f>상세!J10</f>
        <v>77577800</v>
      </c>
      <c r="K10" s="52"/>
      <c r="L10" s="52">
        <f>L8+L7</f>
        <v>244522092.12121212</v>
      </c>
      <c r="M10" s="168"/>
    </row>
    <row r="11" spans="1:13" ht="18" customHeight="1">
      <c r="A11" s="169"/>
      <c r="B11" s="95"/>
      <c r="C11" s="96"/>
      <c r="D11" s="97"/>
      <c r="E11" s="98"/>
      <c r="F11" s="155"/>
      <c r="G11" s="100"/>
      <c r="H11" s="100"/>
      <c r="I11" s="45"/>
      <c r="J11" s="45"/>
      <c r="K11" s="45"/>
      <c r="L11" s="45"/>
      <c r="M11" s="166"/>
    </row>
    <row r="12" spans="1:13" ht="18" customHeight="1">
      <c r="A12" s="169" t="s">
        <v>354</v>
      </c>
      <c r="B12" s="40" t="s">
        <v>355</v>
      </c>
      <c r="C12" s="96" t="s">
        <v>361</v>
      </c>
      <c r="D12" s="60"/>
      <c r="E12" s="154">
        <v>3.56E-2</v>
      </c>
      <c r="F12" s="99">
        <v>1</v>
      </c>
      <c r="G12" s="57"/>
      <c r="H12" s="57"/>
      <c r="I12" s="148"/>
      <c r="J12" s="45"/>
      <c r="K12" s="45"/>
      <c r="L12" s="45">
        <f>J10*E12</f>
        <v>2761769.68</v>
      </c>
      <c r="M12" s="166"/>
    </row>
    <row r="13" spans="1:13" ht="18" customHeight="1">
      <c r="A13" s="169" t="s">
        <v>367</v>
      </c>
      <c r="B13" s="95" t="s">
        <v>356</v>
      </c>
      <c r="C13" s="96" t="s">
        <v>362</v>
      </c>
      <c r="D13" s="60"/>
      <c r="E13" s="151">
        <v>1.01E-2</v>
      </c>
      <c r="F13" s="152">
        <v>1</v>
      </c>
      <c r="G13" s="57"/>
      <c r="H13" s="57"/>
      <c r="I13" s="148"/>
      <c r="J13" s="45"/>
      <c r="K13" s="45"/>
      <c r="L13" s="45">
        <f>J10*E13</f>
        <v>783535.77999999991</v>
      </c>
      <c r="M13" s="166"/>
    </row>
    <row r="14" spans="1:13" ht="18" customHeight="1">
      <c r="A14" s="169" t="s">
        <v>354</v>
      </c>
      <c r="B14" s="95" t="s">
        <v>357</v>
      </c>
      <c r="C14" s="96" t="s">
        <v>363</v>
      </c>
      <c r="D14" s="97"/>
      <c r="E14" s="154">
        <v>3.5450000000000002E-2</v>
      </c>
      <c r="F14" s="155">
        <v>1</v>
      </c>
      <c r="G14" s="156"/>
      <c r="H14" s="57"/>
      <c r="I14" s="148"/>
      <c r="J14" s="45"/>
      <c r="K14" s="45"/>
      <c r="L14" s="45">
        <f>J10*E14</f>
        <v>2750133.0100000002</v>
      </c>
      <c r="M14" s="166"/>
    </row>
    <row r="15" spans="1:13" ht="18" customHeight="1">
      <c r="A15" s="169" t="s">
        <v>367</v>
      </c>
      <c r="B15" s="95" t="s">
        <v>358</v>
      </c>
      <c r="C15" s="96" t="s">
        <v>364</v>
      </c>
      <c r="D15" s="60"/>
      <c r="E15" s="154">
        <v>4.4999999999999998E-2</v>
      </c>
      <c r="F15" s="155">
        <v>1</v>
      </c>
      <c r="G15" s="156"/>
      <c r="H15" s="57"/>
      <c r="I15" s="148"/>
      <c r="J15" s="45"/>
      <c r="K15" s="45"/>
      <c r="L15" s="45">
        <f>J10*E15</f>
        <v>3491001</v>
      </c>
      <c r="M15" s="166"/>
    </row>
    <row r="16" spans="1:13" ht="18" customHeight="1">
      <c r="A16" s="169" t="s">
        <v>367</v>
      </c>
      <c r="B16" s="95" t="s">
        <v>359</v>
      </c>
      <c r="C16" s="96" t="s">
        <v>365</v>
      </c>
      <c r="D16" s="97"/>
      <c r="E16" s="149">
        <v>0.1295</v>
      </c>
      <c r="F16" s="152">
        <v>1</v>
      </c>
      <c r="G16" s="57"/>
      <c r="H16" s="57"/>
      <c r="I16" s="148"/>
      <c r="J16" s="45"/>
      <c r="K16" s="45"/>
      <c r="L16" s="45">
        <f>L14*E16</f>
        <v>356142.22479500005</v>
      </c>
      <c r="M16" s="166"/>
    </row>
    <row r="17" spans="1:17" ht="18" customHeight="1">
      <c r="A17" s="169" t="s">
        <v>354</v>
      </c>
      <c r="B17" s="95" t="s">
        <v>360</v>
      </c>
      <c r="C17" s="96" t="s">
        <v>366</v>
      </c>
      <c r="D17" s="60"/>
      <c r="E17" s="153">
        <v>3.1099999999999999E-2</v>
      </c>
      <c r="F17" s="152">
        <v>1</v>
      </c>
      <c r="G17" s="100"/>
      <c r="H17" s="57"/>
      <c r="I17" s="148"/>
      <c r="J17" s="45"/>
      <c r="K17" s="45"/>
      <c r="L17" s="45">
        <f>L10*E17</f>
        <v>7604637.064969697</v>
      </c>
      <c r="M17" s="166"/>
    </row>
    <row r="18" spans="1:17" ht="18" customHeight="1">
      <c r="A18" s="169" t="s">
        <v>354</v>
      </c>
      <c r="B18" s="95" t="s">
        <v>368</v>
      </c>
      <c r="C18" s="96"/>
      <c r="D18" s="60"/>
      <c r="E18" s="154">
        <v>0.02</v>
      </c>
      <c r="F18" s="155"/>
      <c r="G18" s="57"/>
      <c r="H18" s="57"/>
      <c r="I18" s="148"/>
      <c r="J18" s="45"/>
      <c r="K18" s="45"/>
      <c r="L18" s="45">
        <f>L10*E18</f>
        <v>4890441.8424242428</v>
      </c>
      <c r="M18" s="166"/>
      <c r="Q18" s="157"/>
    </row>
    <row r="19" spans="1:17" ht="18" customHeight="1">
      <c r="A19" s="170" t="s">
        <v>23</v>
      </c>
      <c r="B19" s="41" t="s">
        <v>140</v>
      </c>
      <c r="C19" s="41"/>
      <c r="D19" s="91"/>
      <c r="E19" s="149">
        <v>0.04</v>
      </c>
      <c r="F19" s="55">
        <v>1</v>
      </c>
      <c r="G19" s="56"/>
      <c r="H19" s="57"/>
      <c r="I19" s="93"/>
      <c r="J19" s="57"/>
      <c r="K19" s="57"/>
      <c r="L19" s="145">
        <f>L10*E19</f>
        <v>9780883.6848484855</v>
      </c>
      <c r="M19" s="166"/>
      <c r="Q19" s="157"/>
    </row>
    <row r="20" spans="1:17" s="137" customFormat="1" ht="18" customHeight="1">
      <c r="A20" s="171" t="s">
        <v>23</v>
      </c>
      <c r="B20" s="131" t="s">
        <v>141</v>
      </c>
      <c r="C20" s="131"/>
      <c r="D20" s="132"/>
      <c r="E20" s="154">
        <v>0.1</v>
      </c>
      <c r="F20" s="133">
        <v>1</v>
      </c>
      <c r="G20" s="134"/>
      <c r="H20" s="135"/>
      <c r="I20" s="136"/>
      <c r="J20" s="135"/>
      <c r="K20" s="135"/>
      <c r="L20" s="145">
        <f>L10*E20</f>
        <v>24452209.212121215</v>
      </c>
      <c r="M20" s="172"/>
    </row>
    <row r="21" spans="1:17" ht="18" customHeight="1">
      <c r="A21" s="170"/>
      <c r="B21" s="41"/>
      <c r="C21" s="102"/>
      <c r="D21" s="101"/>
      <c r="E21" s="43"/>
      <c r="F21" s="150"/>
      <c r="G21" s="56"/>
      <c r="H21" s="57"/>
      <c r="I21" s="93"/>
      <c r="J21" s="57"/>
      <c r="K21" s="57"/>
      <c r="L21" s="58"/>
      <c r="M21" s="166"/>
      <c r="Q21" s="157"/>
    </row>
    <row r="22" spans="1:17" ht="18" customHeight="1">
      <c r="A22" s="170"/>
      <c r="B22" s="41"/>
      <c r="C22" s="59"/>
      <c r="D22" s="60"/>
      <c r="E22" s="61"/>
      <c r="F22" s="55"/>
      <c r="G22" s="56"/>
      <c r="H22" s="57"/>
      <c r="I22" s="93"/>
      <c r="J22" s="57"/>
      <c r="K22" s="57"/>
      <c r="L22" s="57"/>
      <c r="M22" s="166"/>
    </row>
    <row r="23" spans="1:17" s="68" customFormat="1" ht="18" customHeight="1">
      <c r="A23" s="173"/>
      <c r="B23" s="47" t="s">
        <v>128</v>
      </c>
      <c r="C23" s="62"/>
      <c r="D23" s="63"/>
      <c r="E23" s="64"/>
      <c r="F23" s="65"/>
      <c r="G23" s="66"/>
      <c r="H23" s="67"/>
      <c r="I23" s="94"/>
      <c r="J23" s="67"/>
      <c r="K23" s="67"/>
      <c r="L23" s="67">
        <f>SUM(L12:L22)</f>
        <v>56870753.499158636</v>
      </c>
      <c r="M23" s="174"/>
    </row>
    <row r="24" spans="1:17" s="68" customFormat="1" ht="18" customHeight="1">
      <c r="A24" s="173"/>
      <c r="B24" s="47"/>
      <c r="C24" s="62"/>
      <c r="D24" s="63"/>
      <c r="E24" s="64"/>
      <c r="F24" s="65" t="s">
        <v>176</v>
      </c>
      <c r="G24" s="66"/>
      <c r="H24" s="67"/>
      <c r="I24" s="94"/>
      <c r="J24" s="67"/>
      <c r="K24" s="67"/>
      <c r="L24" s="67"/>
      <c r="M24" s="174"/>
    </row>
    <row r="25" spans="1:17" ht="18" customHeight="1">
      <c r="A25" s="175"/>
      <c r="B25" s="101"/>
      <c r="C25" s="102"/>
      <c r="D25" s="42"/>
      <c r="E25" s="43"/>
      <c r="F25" s="44"/>
      <c r="G25" s="45"/>
      <c r="H25" s="45"/>
      <c r="I25" s="45"/>
      <c r="J25" s="45"/>
      <c r="K25" s="45" t="s">
        <v>135</v>
      </c>
      <c r="L25" s="45"/>
      <c r="M25" s="166"/>
    </row>
    <row r="26" spans="1:17" s="75" customFormat="1" ht="18" customHeight="1">
      <c r="A26" s="176"/>
      <c r="B26" s="69" t="s">
        <v>129</v>
      </c>
      <c r="C26" s="70"/>
      <c r="D26" s="71"/>
      <c r="E26" s="72"/>
      <c r="F26" s="73"/>
      <c r="G26" s="74"/>
      <c r="H26" s="74"/>
      <c r="I26" s="74"/>
      <c r="J26" s="74"/>
      <c r="K26" s="74"/>
      <c r="L26" s="74">
        <f>L10+L23+L24-L25</f>
        <v>301392845.62037075</v>
      </c>
      <c r="M26" s="177" t="s">
        <v>154</v>
      </c>
    </row>
    <row r="27" spans="1:17" ht="18" customHeight="1">
      <c r="A27" s="178"/>
      <c r="B27" s="76"/>
      <c r="C27" s="77"/>
      <c r="D27" s="78"/>
      <c r="E27" s="78"/>
      <c r="F27" s="79"/>
      <c r="G27" s="80"/>
      <c r="H27" s="80"/>
      <c r="I27" s="80"/>
      <c r="J27" s="80"/>
      <c r="K27" s="80"/>
      <c r="L27" s="80"/>
      <c r="M27" s="179"/>
    </row>
    <row r="28" spans="1:17" ht="18" customHeight="1">
      <c r="A28" s="180"/>
      <c r="B28" s="81"/>
      <c r="C28" s="82"/>
      <c r="D28" s="181"/>
      <c r="E28" s="181"/>
      <c r="F28" s="83"/>
      <c r="G28" s="84"/>
      <c r="H28" s="84"/>
      <c r="I28" s="84"/>
      <c r="J28" s="84"/>
      <c r="K28" s="84"/>
      <c r="L28" s="84"/>
      <c r="M28" s="182"/>
    </row>
    <row r="29" spans="1:17" ht="18" customHeight="1">
      <c r="A29" s="180"/>
      <c r="B29" s="81"/>
      <c r="C29" s="82"/>
      <c r="D29" s="181"/>
      <c r="E29" s="181"/>
      <c r="F29" s="83"/>
      <c r="G29" s="84"/>
      <c r="H29" s="84"/>
      <c r="I29" s="84"/>
      <c r="J29" s="84"/>
      <c r="K29" s="84"/>
      <c r="L29" s="84"/>
      <c r="M29" s="182"/>
    </row>
    <row r="30" spans="1:17" ht="18" customHeight="1">
      <c r="A30" s="180"/>
      <c r="B30" s="81"/>
      <c r="C30" s="82"/>
      <c r="D30" s="181"/>
      <c r="E30" s="181"/>
      <c r="F30" s="83"/>
      <c r="G30" s="84"/>
      <c r="H30" s="84"/>
      <c r="I30" s="84"/>
      <c r="J30" s="84"/>
      <c r="K30" s="84"/>
      <c r="L30" s="84"/>
      <c r="M30" s="182"/>
    </row>
    <row r="31" spans="1:17" ht="18" customHeight="1">
      <c r="A31" s="180"/>
      <c r="B31" s="129" t="s">
        <v>176</v>
      </c>
      <c r="C31" s="82"/>
      <c r="D31" s="181"/>
      <c r="E31" s="181"/>
      <c r="F31" s="83"/>
      <c r="G31" s="84"/>
      <c r="H31" s="84"/>
      <c r="I31" s="84"/>
      <c r="J31" s="84"/>
      <c r="K31" s="84"/>
      <c r="L31" s="84"/>
      <c r="M31" s="182"/>
    </row>
    <row r="32" spans="1:17" ht="18" customHeight="1">
      <c r="A32" s="180" t="s">
        <v>40</v>
      </c>
      <c r="B32" s="81" t="s">
        <v>49</v>
      </c>
      <c r="C32" s="82"/>
      <c r="D32" s="181"/>
      <c r="E32" s="181"/>
      <c r="F32" s="83"/>
      <c r="G32" s="84"/>
      <c r="H32" s="84"/>
      <c r="I32" s="84"/>
      <c r="J32" s="84"/>
      <c r="K32" s="84"/>
      <c r="L32" s="84"/>
      <c r="M32" s="182"/>
    </row>
    <row r="33" spans="1:13" ht="18" customHeight="1">
      <c r="A33" s="180" t="s">
        <v>44</v>
      </c>
      <c r="B33" s="81" t="s">
        <v>155</v>
      </c>
      <c r="C33" s="82"/>
      <c r="D33" s="181"/>
      <c r="E33" s="181"/>
      <c r="F33" s="83"/>
      <c r="G33" s="84"/>
      <c r="H33" s="84"/>
      <c r="I33" s="84"/>
      <c r="J33" s="84"/>
      <c r="K33" s="84"/>
      <c r="L33" s="84"/>
      <c r="M33" s="182"/>
    </row>
    <row r="34" spans="1:13" ht="18" customHeight="1">
      <c r="A34" s="183" t="s">
        <v>44</v>
      </c>
      <c r="B34" s="81" t="s">
        <v>138</v>
      </c>
      <c r="C34" s="82"/>
      <c r="D34" s="181"/>
      <c r="E34" s="181"/>
      <c r="F34" s="83"/>
      <c r="G34" s="84"/>
      <c r="H34" s="84"/>
      <c r="I34" s="84"/>
      <c r="J34" s="84"/>
      <c r="K34" s="84"/>
      <c r="L34" s="84"/>
      <c r="M34" s="182"/>
    </row>
    <row r="35" spans="1:13" ht="18" customHeight="1">
      <c r="A35" s="180"/>
      <c r="B35" s="81"/>
      <c r="C35" s="82"/>
      <c r="D35" s="181"/>
      <c r="E35" s="181"/>
      <c r="F35" s="83"/>
      <c r="G35" s="84"/>
      <c r="H35" s="84"/>
      <c r="I35" s="84"/>
      <c r="J35" s="84"/>
      <c r="K35" s="84"/>
      <c r="L35" s="84"/>
      <c r="M35" s="182"/>
    </row>
    <row r="36" spans="1:13" ht="18" customHeight="1">
      <c r="A36" s="184"/>
      <c r="B36" s="185"/>
      <c r="C36" s="186"/>
      <c r="D36" s="187"/>
      <c r="E36" s="187"/>
      <c r="F36" s="188"/>
      <c r="G36" s="189"/>
      <c r="H36" s="189"/>
      <c r="I36" s="189"/>
      <c r="J36" s="189"/>
      <c r="K36" s="189"/>
      <c r="L36" s="189"/>
      <c r="M36" s="190"/>
    </row>
  </sheetData>
  <mergeCells count="11">
    <mergeCell ref="M4:M5"/>
    <mergeCell ref="A1:M1"/>
    <mergeCell ref="A4:A5"/>
    <mergeCell ref="B4:B5"/>
    <mergeCell ref="C4:C5"/>
    <mergeCell ref="D4:D5"/>
    <mergeCell ref="E4:E5"/>
    <mergeCell ref="F4:F5"/>
    <mergeCell ref="G4:H4"/>
    <mergeCell ref="I4:J4"/>
    <mergeCell ref="K4:L4"/>
  </mergeCells>
  <phoneticPr fontId="21" type="noConversion"/>
  <pageMargins left="0.7" right="0.7" top="0.75" bottom="0.75" header="0.3" footer="0.3"/>
  <pageSetup paperSize="9" scale="6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  <pageSetUpPr fitToPage="1"/>
  </sheetPr>
  <dimension ref="A1:S473"/>
  <sheetViews>
    <sheetView tabSelected="1" view="pageBreakPreview" zoomScaleSheetLayoutView="100" workbookViewId="0">
      <pane ySplit="4" topLeftCell="A5" activePane="bottomLeft" state="frozen"/>
      <selection activeCell="F14" sqref="F14"/>
      <selection pane="bottomLeft" activeCell="F14" sqref="F14"/>
    </sheetView>
  </sheetViews>
  <sheetFormatPr defaultColWidth="9.140625" defaultRowHeight="19.5" customHeight="1"/>
  <cols>
    <col min="1" max="1" width="8.85546875" style="8" bestFit="1" customWidth="1"/>
    <col min="2" max="2" width="32.85546875" style="9" customWidth="1"/>
    <col min="3" max="3" width="27.85546875" style="10" customWidth="1"/>
    <col min="4" max="4" width="17.85546875" style="11" customWidth="1"/>
    <col min="5" max="5" width="8.85546875" style="11" customWidth="1"/>
    <col min="6" max="6" width="13" style="12" customWidth="1"/>
    <col min="7" max="7" width="14.85546875" style="13" customWidth="1"/>
    <col min="8" max="8" width="18" style="13" customWidth="1"/>
    <col min="9" max="9" width="14.85546875" style="13" customWidth="1"/>
    <col min="10" max="10" width="18" style="13" customWidth="1"/>
    <col min="11" max="11" width="18.85546875" style="13" customWidth="1"/>
    <col min="12" max="12" width="18" style="13" customWidth="1"/>
    <col min="13" max="13" width="20.5703125" style="125" customWidth="1"/>
    <col min="14" max="16384" width="9.140625" style="2"/>
  </cols>
  <sheetData>
    <row r="1" spans="1:14" s="1" customFormat="1" ht="35.1" customHeight="1">
      <c r="A1" s="477" t="s">
        <v>459</v>
      </c>
      <c r="B1" s="477"/>
      <c r="C1" s="477"/>
      <c r="D1" s="477"/>
      <c r="E1" s="477"/>
      <c r="F1" s="477"/>
      <c r="G1" s="477"/>
      <c r="H1" s="477"/>
      <c r="I1" s="477"/>
      <c r="J1" s="477"/>
      <c r="K1" s="477"/>
      <c r="L1" s="477"/>
      <c r="M1" s="477"/>
    </row>
    <row r="2" spans="1:14" s="126" customFormat="1" ht="18" customHeight="1">
      <c r="A2" s="478" t="s">
        <v>10</v>
      </c>
      <c r="B2" s="479" t="s">
        <v>4</v>
      </c>
      <c r="C2" s="480" t="s">
        <v>108</v>
      </c>
      <c r="D2" s="480" t="s">
        <v>130</v>
      </c>
      <c r="E2" s="480" t="s">
        <v>6</v>
      </c>
      <c r="F2" s="481" t="s">
        <v>7</v>
      </c>
      <c r="G2" s="482" t="s">
        <v>2</v>
      </c>
      <c r="H2" s="482"/>
      <c r="I2" s="482" t="s">
        <v>9</v>
      </c>
      <c r="J2" s="482"/>
      <c r="K2" s="482" t="s">
        <v>3</v>
      </c>
      <c r="L2" s="482"/>
      <c r="M2" s="476" t="s">
        <v>8</v>
      </c>
    </row>
    <row r="3" spans="1:14" s="126" customFormat="1" ht="18" customHeight="1">
      <c r="A3" s="478"/>
      <c r="B3" s="479"/>
      <c r="C3" s="480"/>
      <c r="D3" s="480"/>
      <c r="E3" s="480"/>
      <c r="F3" s="481"/>
      <c r="G3" s="197" t="s">
        <v>0</v>
      </c>
      <c r="H3" s="197" t="s">
        <v>1</v>
      </c>
      <c r="I3" s="197" t="s">
        <v>0</v>
      </c>
      <c r="J3" s="197" t="s">
        <v>1</v>
      </c>
      <c r="K3" s="197" t="s">
        <v>0</v>
      </c>
      <c r="L3" s="197" t="s">
        <v>1</v>
      </c>
      <c r="M3" s="476"/>
    </row>
    <row r="4" spans="1:14" ht="18" customHeight="1">
      <c r="A4" s="198"/>
      <c r="B4" s="199"/>
      <c r="C4" s="200"/>
      <c r="D4" s="201"/>
      <c r="E4" s="201"/>
      <c r="F4" s="202"/>
      <c r="G4" s="203"/>
      <c r="H4" s="203"/>
      <c r="I4" s="203"/>
      <c r="J4" s="203"/>
      <c r="K4" s="203"/>
      <c r="L4" s="203"/>
      <c r="M4" s="204"/>
    </row>
    <row r="5" spans="1:14" ht="18" customHeight="1">
      <c r="A5" s="205"/>
      <c r="B5" s="206"/>
      <c r="C5" s="200"/>
      <c r="D5" s="201"/>
      <c r="E5" s="201"/>
      <c r="F5" s="202"/>
      <c r="G5" s="203"/>
      <c r="H5" s="203"/>
      <c r="I5" s="203"/>
      <c r="J5" s="203"/>
      <c r="K5" s="203"/>
      <c r="L5" s="203"/>
      <c r="M5" s="204"/>
    </row>
    <row r="6" spans="1:14" s="3" customFormat="1" ht="18" customHeight="1">
      <c r="A6" s="207" t="s">
        <v>14</v>
      </c>
      <c r="B6" s="208" t="s">
        <v>460</v>
      </c>
      <c r="C6" s="209"/>
      <c r="D6" s="210"/>
      <c r="E6" s="210"/>
      <c r="F6" s="211"/>
      <c r="G6" s="212"/>
      <c r="H6" s="212"/>
      <c r="I6" s="212"/>
      <c r="J6" s="212"/>
      <c r="K6" s="212"/>
      <c r="L6" s="212"/>
      <c r="M6" s="213"/>
    </row>
    <row r="7" spans="1:14" ht="18" customHeight="1">
      <c r="A7" s="205" t="s">
        <v>22</v>
      </c>
      <c r="B7" s="206" t="str">
        <f>B12</f>
        <v>가설공사</v>
      </c>
      <c r="C7" s="200"/>
      <c r="D7" s="201"/>
      <c r="E7" s="201" t="s">
        <v>36</v>
      </c>
      <c r="F7" s="202">
        <v>1</v>
      </c>
      <c r="G7" s="203"/>
      <c r="H7" s="203">
        <f>H27</f>
        <v>4483200</v>
      </c>
      <c r="I7" s="203"/>
      <c r="J7" s="203">
        <f>J27</f>
        <v>3832800</v>
      </c>
      <c r="K7" s="203"/>
      <c r="L7" s="203">
        <f>L27</f>
        <v>8316000</v>
      </c>
      <c r="M7" s="204"/>
    </row>
    <row r="8" spans="1:14" ht="18" customHeight="1">
      <c r="A8" s="205" t="s">
        <v>25</v>
      </c>
      <c r="B8" s="206" t="str">
        <f>B29</f>
        <v>인테리어 공사</v>
      </c>
      <c r="C8" s="200"/>
      <c r="D8" s="201"/>
      <c r="E8" s="201" t="s">
        <v>36</v>
      </c>
      <c r="F8" s="202">
        <v>1</v>
      </c>
      <c r="G8" s="203"/>
      <c r="H8" s="203">
        <f>H40</f>
        <v>162461092.12121212</v>
      </c>
      <c r="I8" s="203"/>
      <c r="J8" s="203">
        <f>J40</f>
        <v>73745000</v>
      </c>
      <c r="K8" s="203"/>
      <c r="L8" s="203">
        <f>L40</f>
        <v>236206092.12121212</v>
      </c>
      <c r="M8" s="204"/>
    </row>
    <row r="9" spans="1:14" ht="18" customHeight="1">
      <c r="A9" s="205"/>
      <c r="B9" s="206"/>
      <c r="C9" s="200"/>
      <c r="D9" s="201"/>
      <c r="E9" s="201"/>
      <c r="F9" s="202"/>
      <c r="G9" s="203"/>
      <c r="H9" s="203"/>
      <c r="I9" s="203"/>
      <c r="J9" s="203"/>
      <c r="K9" s="203"/>
      <c r="L9" s="203"/>
      <c r="M9" s="204"/>
    </row>
    <row r="10" spans="1:14" s="4" customFormat="1" ht="18" customHeight="1">
      <c r="A10" s="214"/>
      <c r="B10" s="214" t="s">
        <v>94</v>
      </c>
      <c r="C10" s="215"/>
      <c r="D10" s="215"/>
      <c r="E10" s="216"/>
      <c r="F10" s="217"/>
      <c r="G10" s="218"/>
      <c r="H10" s="218">
        <f>SUM(H7:H9)</f>
        <v>166944292.12121212</v>
      </c>
      <c r="I10" s="218"/>
      <c r="J10" s="218">
        <f>SUM(J7:J9)</f>
        <v>77577800</v>
      </c>
      <c r="K10" s="218"/>
      <c r="L10" s="218">
        <f>SUM(L7:L9)</f>
        <v>244522092.12121212</v>
      </c>
      <c r="M10" s="219"/>
    </row>
    <row r="11" spans="1:14" s="120" customFormat="1" ht="18" customHeight="1">
      <c r="A11" s="205"/>
      <c r="B11" s="206"/>
      <c r="C11" s="200"/>
      <c r="D11" s="201"/>
      <c r="E11" s="201"/>
      <c r="F11" s="202"/>
      <c r="G11" s="203"/>
      <c r="H11" s="203"/>
      <c r="I11" s="203"/>
      <c r="J11" s="203"/>
      <c r="K11" s="203"/>
      <c r="L11" s="203"/>
      <c r="M11" s="204"/>
      <c r="N11" s="192"/>
    </row>
    <row r="12" spans="1:14" s="121" customFormat="1" ht="18" customHeight="1">
      <c r="A12" s="228" t="s">
        <v>22</v>
      </c>
      <c r="B12" s="229" t="s">
        <v>74</v>
      </c>
      <c r="C12" s="230"/>
      <c r="D12" s="230"/>
      <c r="E12" s="231"/>
      <c r="F12" s="232"/>
      <c r="G12" s="233"/>
      <c r="H12" s="233"/>
      <c r="I12" s="233"/>
      <c r="J12" s="233"/>
      <c r="K12" s="233"/>
      <c r="L12" s="233"/>
      <c r="M12" s="234"/>
      <c r="N12" s="193"/>
    </row>
    <row r="13" spans="1:14" s="120" customFormat="1" ht="18" customHeight="1">
      <c r="A13" s="205" t="s">
        <v>63</v>
      </c>
      <c r="B13" s="206" t="s">
        <v>72</v>
      </c>
      <c r="C13" s="200"/>
      <c r="D13" s="201"/>
      <c r="E13" s="201" t="s">
        <v>11</v>
      </c>
      <c r="F13" s="202">
        <v>216.6</v>
      </c>
      <c r="G13" s="235">
        <v>2000</v>
      </c>
      <c r="H13" s="235">
        <f t="shared" ref="H13:H22" si="0">F13*G13</f>
        <v>433200</v>
      </c>
      <c r="I13" s="235">
        <v>8000</v>
      </c>
      <c r="J13" s="235">
        <f t="shared" ref="J13:J17" si="1">F13*I13</f>
        <v>1732800</v>
      </c>
      <c r="K13" s="235">
        <f t="shared" ref="K13:K17" si="2">G13+I13</f>
        <v>10000</v>
      </c>
      <c r="L13" s="235">
        <f t="shared" ref="L13:L17" si="3">F13*K13</f>
        <v>2166000</v>
      </c>
      <c r="M13" s="204"/>
      <c r="N13" s="192"/>
    </row>
    <row r="14" spans="1:14" s="120" customFormat="1" ht="18" customHeight="1">
      <c r="A14" s="205" t="s">
        <v>63</v>
      </c>
      <c r="B14" s="206" t="s">
        <v>24</v>
      </c>
      <c r="C14" s="200"/>
      <c r="D14" s="201" t="s">
        <v>176</v>
      </c>
      <c r="E14" s="201" t="s">
        <v>131</v>
      </c>
      <c r="F14" s="202">
        <v>7</v>
      </c>
      <c r="G14" s="235">
        <v>0</v>
      </c>
      <c r="H14" s="235">
        <f t="shared" si="0"/>
        <v>0</v>
      </c>
      <c r="I14" s="235">
        <v>200000</v>
      </c>
      <c r="J14" s="235">
        <f t="shared" si="1"/>
        <v>1400000</v>
      </c>
      <c r="K14" s="235">
        <f t="shared" si="2"/>
        <v>200000</v>
      </c>
      <c r="L14" s="235">
        <f t="shared" si="3"/>
        <v>1400000</v>
      </c>
      <c r="M14" s="204"/>
      <c r="N14" s="192"/>
    </row>
    <row r="15" spans="1:14" s="120" customFormat="1" ht="18" customHeight="1">
      <c r="A15" s="205" t="s">
        <v>63</v>
      </c>
      <c r="B15" s="206" t="s">
        <v>313</v>
      </c>
      <c r="C15" s="200" t="s">
        <v>389</v>
      </c>
      <c r="D15" s="201" t="s">
        <v>176</v>
      </c>
      <c r="E15" s="201" t="s">
        <v>314</v>
      </c>
      <c r="F15" s="202">
        <v>2</v>
      </c>
      <c r="G15" s="235">
        <v>0</v>
      </c>
      <c r="H15" s="235">
        <f t="shared" ref="H15" si="4">F15*G15</f>
        <v>0</v>
      </c>
      <c r="I15" s="235">
        <v>350000</v>
      </c>
      <c r="J15" s="235">
        <f t="shared" ref="J15" si="5">F15*I15</f>
        <v>700000</v>
      </c>
      <c r="K15" s="235">
        <f t="shared" ref="K15" si="6">G15+I15</f>
        <v>350000</v>
      </c>
      <c r="L15" s="235">
        <f t="shared" ref="L15" si="7">F15*K15</f>
        <v>700000</v>
      </c>
      <c r="M15" s="204"/>
      <c r="N15" s="192"/>
    </row>
    <row r="16" spans="1:14" s="120" customFormat="1" ht="18" customHeight="1">
      <c r="A16" s="205" t="s">
        <v>77</v>
      </c>
      <c r="B16" s="206" t="s">
        <v>84</v>
      </c>
      <c r="C16" s="200" t="s">
        <v>388</v>
      </c>
      <c r="D16" s="201" t="s">
        <v>176</v>
      </c>
      <c r="E16" s="201" t="s">
        <v>75</v>
      </c>
      <c r="F16" s="202">
        <v>1</v>
      </c>
      <c r="G16" s="235">
        <v>350000</v>
      </c>
      <c r="H16" s="235">
        <f>F16*G16</f>
        <v>350000</v>
      </c>
      <c r="I16" s="235">
        <v>0</v>
      </c>
      <c r="J16" s="235">
        <f>F16*I16</f>
        <v>0</v>
      </c>
      <c r="K16" s="235">
        <f>G16+I16</f>
        <v>350000</v>
      </c>
      <c r="L16" s="235">
        <f>F16*K16</f>
        <v>350000</v>
      </c>
      <c r="M16" s="204"/>
      <c r="N16" s="192"/>
    </row>
    <row r="17" spans="1:14" s="120" customFormat="1" ht="18" customHeight="1">
      <c r="A17" s="205" t="s">
        <v>64</v>
      </c>
      <c r="B17" s="206" t="s">
        <v>300</v>
      </c>
      <c r="C17" s="200"/>
      <c r="D17" s="201"/>
      <c r="E17" s="201" t="s">
        <v>76</v>
      </c>
      <c r="F17" s="202">
        <v>1</v>
      </c>
      <c r="G17" s="235">
        <v>200000</v>
      </c>
      <c r="H17" s="235">
        <f t="shared" si="0"/>
        <v>200000</v>
      </c>
      <c r="I17" s="235">
        <v>0</v>
      </c>
      <c r="J17" s="235">
        <f t="shared" si="1"/>
        <v>0</v>
      </c>
      <c r="K17" s="235">
        <f t="shared" si="2"/>
        <v>200000</v>
      </c>
      <c r="L17" s="235">
        <f t="shared" si="3"/>
        <v>200000</v>
      </c>
      <c r="M17" s="204"/>
      <c r="N17" s="192"/>
    </row>
    <row r="18" spans="1:14" s="376" customFormat="1" ht="18" customHeight="1">
      <c r="A18" s="243" t="s">
        <v>157</v>
      </c>
      <c r="B18" s="276" t="s">
        <v>156</v>
      </c>
      <c r="C18" s="277" t="s">
        <v>412</v>
      </c>
      <c r="D18" s="278" t="s">
        <v>176</v>
      </c>
      <c r="E18" s="278" t="s">
        <v>158</v>
      </c>
      <c r="F18" s="374">
        <v>1</v>
      </c>
      <c r="G18" s="280">
        <v>0</v>
      </c>
      <c r="H18" s="280">
        <f>F18*G18</f>
        <v>0</v>
      </c>
      <c r="I18" s="280">
        <v>0</v>
      </c>
      <c r="J18" s="280">
        <f>F18*I18</f>
        <v>0</v>
      </c>
      <c r="K18" s="280">
        <f>G18+I18</f>
        <v>0</v>
      </c>
      <c r="L18" s="280">
        <f>F18*K18</f>
        <v>0</v>
      </c>
      <c r="M18" s="281"/>
      <c r="N18" s="375"/>
    </row>
    <row r="19" spans="1:14" s="376" customFormat="1" ht="18" customHeight="1">
      <c r="A19" s="243" t="s">
        <v>400</v>
      </c>
      <c r="B19" s="276" t="s">
        <v>397</v>
      </c>
      <c r="C19" s="277" t="s">
        <v>413</v>
      </c>
      <c r="D19" s="278"/>
      <c r="E19" s="278" t="s">
        <v>75</v>
      </c>
      <c r="F19" s="374">
        <v>1</v>
      </c>
      <c r="G19" s="280">
        <v>0</v>
      </c>
      <c r="H19" s="280">
        <f>F19*G19</f>
        <v>0</v>
      </c>
      <c r="I19" s="280">
        <v>0</v>
      </c>
      <c r="J19" s="280">
        <f>F19*I19</f>
        <v>0</v>
      </c>
      <c r="K19" s="280">
        <f>G19+I19</f>
        <v>0</v>
      </c>
      <c r="L19" s="280">
        <f>F19*K19</f>
        <v>0</v>
      </c>
      <c r="M19" s="281"/>
      <c r="N19" s="375"/>
    </row>
    <row r="20" spans="1:14" s="376" customFormat="1" ht="18" customHeight="1">
      <c r="A20" s="243" t="s">
        <v>401</v>
      </c>
      <c r="B20" s="276" t="s">
        <v>398</v>
      </c>
      <c r="C20" s="277" t="s">
        <v>399</v>
      </c>
      <c r="D20" s="278"/>
      <c r="E20" s="278" t="s">
        <v>75</v>
      </c>
      <c r="F20" s="374">
        <v>1</v>
      </c>
      <c r="G20" s="280">
        <v>0</v>
      </c>
      <c r="H20" s="280">
        <f>F20*G20</f>
        <v>0</v>
      </c>
      <c r="I20" s="280">
        <v>0</v>
      </c>
      <c r="J20" s="280">
        <f>F20*I20</f>
        <v>0</v>
      </c>
      <c r="K20" s="280">
        <f>G20+I20</f>
        <v>0</v>
      </c>
      <c r="L20" s="280">
        <f>F20*K20</f>
        <v>0</v>
      </c>
      <c r="M20" s="281"/>
      <c r="N20" s="375"/>
    </row>
    <row r="21" spans="1:14" s="158" customFormat="1" ht="18" customHeight="1">
      <c r="A21" s="236" t="s">
        <v>212</v>
      </c>
      <c r="B21" s="237" t="s">
        <v>402</v>
      </c>
      <c r="C21" s="238" t="s">
        <v>203</v>
      </c>
      <c r="D21" s="239"/>
      <c r="E21" s="239" t="s">
        <v>75</v>
      </c>
      <c r="F21" s="240">
        <v>1</v>
      </c>
      <c r="G21" s="241"/>
      <c r="H21" s="241"/>
      <c r="I21" s="241"/>
      <c r="J21" s="241"/>
      <c r="K21" s="241"/>
      <c r="L21" s="241"/>
      <c r="M21" s="242"/>
      <c r="N21" s="194"/>
    </row>
    <row r="22" spans="1:14" s="122" customFormat="1" ht="18" customHeight="1">
      <c r="A22" s="243" t="s">
        <v>78</v>
      </c>
      <c r="B22" s="244" t="s">
        <v>396</v>
      </c>
      <c r="C22" s="245" t="s">
        <v>203</v>
      </c>
      <c r="D22" s="246"/>
      <c r="E22" s="246" t="s">
        <v>204</v>
      </c>
      <c r="F22" s="247">
        <v>0</v>
      </c>
      <c r="G22" s="248">
        <v>0</v>
      </c>
      <c r="H22" s="248">
        <f t="shared" si="0"/>
        <v>0</v>
      </c>
      <c r="I22" s="248">
        <v>0</v>
      </c>
      <c r="J22" s="248">
        <f t="shared" ref="J22" si="8">F22*I22</f>
        <v>0</v>
      </c>
      <c r="K22" s="248">
        <f t="shared" ref="K22" si="9">G22+I22</f>
        <v>0</v>
      </c>
      <c r="L22" s="248">
        <f t="shared" ref="L22" si="10">F22*K22</f>
        <v>0</v>
      </c>
      <c r="M22" s="204"/>
      <c r="N22" s="195"/>
    </row>
    <row r="23" spans="1:14" s="122" customFormat="1" ht="18" hidden="1" customHeight="1">
      <c r="A23" s="243" t="s">
        <v>164</v>
      </c>
      <c r="B23" s="244" t="s">
        <v>163</v>
      </c>
      <c r="C23" s="245" t="s">
        <v>132</v>
      </c>
      <c r="D23" s="246"/>
      <c r="E23" s="246" t="s">
        <v>158</v>
      </c>
      <c r="F23" s="247">
        <v>0</v>
      </c>
      <c r="G23" s="248">
        <v>0</v>
      </c>
      <c r="H23" s="248">
        <f>F23*G23</f>
        <v>0</v>
      </c>
      <c r="I23" s="248">
        <v>0</v>
      </c>
      <c r="J23" s="248">
        <f>F23*I23</f>
        <v>0</v>
      </c>
      <c r="K23" s="248">
        <f>G23+I23</f>
        <v>0</v>
      </c>
      <c r="L23" s="248">
        <f>F23*K23</f>
        <v>0</v>
      </c>
      <c r="M23" s="249"/>
      <c r="N23" s="195"/>
    </row>
    <row r="24" spans="1:14" s="120" customFormat="1" ht="18" customHeight="1">
      <c r="A24" s="205" t="s">
        <v>81</v>
      </c>
      <c r="B24" s="206" t="s">
        <v>82</v>
      </c>
      <c r="C24" s="200" t="s">
        <v>83</v>
      </c>
      <c r="D24" s="201"/>
      <c r="E24" s="201" t="s">
        <v>73</v>
      </c>
      <c r="F24" s="202">
        <v>7</v>
      </c>
      <c r="G24" s="235">
        <v>500000</v>
      </c>
      <c r="H24" s="235">
        <f>F24*G24</f>
        <v>3500000</v>
      </c>
      <c r="I24" s="235">
        <v>0</v>
      </c>
      <c r="J24" s="235">
        <f>F24*I24</f>
        <v>0</v>
      </c>
      <c r="K24" s="235">
        <f>G24+I24</f>
        <v>500000</v>
      </c>
      <c r="L24" s="235">
        <f>F24*K24</f>
        <v>3500000</v>
      </c>
      <c r="M24" s="204"/>
      <c r="N24" s="192"/>
    </row>
    <row r="25" spans="1:14" s="122" customFormat="1" ht="18" customHeight="1">
      <c r="A25" s="243" t="s">
        <v>79</v>
      </c>
      <c r="B25" s="244" t="s">
        <v>80</v>
      </c>
      <c r="C25" s="245" t="s">
        <v>184</v>
      </c>
      <c r="D25" s="246" t="s">
        <v>185</v>
      </c>
      <c r="E25" s="246" t="s">
        <v>70</v>
      </c>
      <c r="F25" s="247">
        <v>64</v>
      </c>
      <c r="G25" s="248">
        <v>3000</v>
      </c>
      <c r="H25" s="248">
        <f>F25*G25</f>
        <v>192000</v>
      </c>
      <c r="I25" s="248">
        <v>15000</v>
      </c>
      <c r="J25" s="248">
        <f>F25*I25</f>
        <v>960000</v>
      </c>
      <c r="K25" s="248">
        <f>G25+I25</f>
        <v>18000</v>
      </c>
      <c r="L25" s="250">
        <f>F25*K25</f>
        <v>1152000</v>
      </c>
      <c r="M25" s="248" t="s">
        <v>188</v>
      </c>
      <c r="N25" s="195"/>
    </row>
    <row r="26" spans="1:14" s="120" customFormat="1" ht="18" customHeight="1">
      <c r="A26" s="205"/>
      <c r="B26" s="206"/>
      <c r="C26" s="200"/>
      <c r="D26" s="201"/>
      <c r="E26" s="201"/>
      <c r="F26" s="201"/>
      <c r="G26" s="235"/>
      <c r="H26" s="235"/>
      <c r="I26" s="235"/>
      <c r="J26" s="235"/>
      <c r="K26" s="235"/>
      <c r="L26" s="235"/>
      <c r="M26" s="204"/>
      <c r="N26" s="192"/>
    </row>
    <row r="27" spans="1:14" s="123" customFormat="1" ht="18" customHeight="1">
      <c r="A27" s="251"/>
      <c r="B27" s="252" t="s">
        <v>35</v>
      </c>
      <c r="C27" s="253"/>
      <c r="D27" s="253"/>
      <c r="E27" s="254"/>
      <c r="F27" s="254"/>
      <c r="G27" s="255"/>
      <c r="H27" s="255">
        <f>SUM(H13:H24)</f>
        <v>4483200</v>
      </c>
      <c r="I27" s="255"/>
      <c r="J27" s="255">
        <f>SUM(J13:J24)</f>
        <v>3832800</v>
      </c>
      <c r="K27" s="255"/>
      <c r="L27" s="255">
        <f>SUM(L13:L24)</f>
        <v>8316000</v>
      </c>
      <c r="M27" s="204"/>
      <c r="N27" s="196"/>
    </row>
    <row r="28" spans="1:14" s="120" customFormat="1" ht="18" customHeight="1">
      <c r="A28" s="205"/>
      <c r="B28" s="206"/>
      <c r="C28" s="200"/>
      <c r="D28" s="201"/>
      <c r="E28" s="201"/>
      <c r="F28" s="201"/>
      <c r="G28" s="235"/>
      <c r="H28" s="235"/>
      <c r="I28" s="235"/>
      <c r="J28" s="256"/>
      <c r="K28" s="235"/>
      <c r="L28" s="235"/>
      <c r="M28" s="204"/>
      <c r="N28" s="192"/>
    </row>
    <row r="29" spans="1:14" s="5" customFormat="1" ht="18" customHeight="1">
      <c r="A29" s="228" t="s">
        <v>25</v>
      </c>
      <c r="B29" s="229" t="s">
        <v>95</v>
      </c>
      <c r="C29" s="230"/>
      <c r="D29" s="230"/>
      <c r="E29" s="231"/>
      <c r="F29" s="231"/>
      <c r="G29" s="257"/>
      <c r="H29" s="257"/>
      <c r="I29" s="257"/>
      <c r="J29" s="257"/>
      <c r="K29" s="257"/>
      <c r="L29" s="257"/>
      <c r="M29" s="234"/>
    </row>
    <row r="30" spans="1:14" ht="18" customHeight="1">
      <c r="A30" s="258" t="s">
        <v>15</v>
      </c>
      <c r="B30" s="206" t="str">
        <f>B43</f>
        <v>철거 / 설비 공사</v>
      </c>
      <c r="C30" s="200"/>
      <c r="D30" s="201"/>
      <c r="E30" s="201" t="s">
        <v>36</v>
      </c>
      <c r="F30" s="202">
        <v>1</v>
      </c>
      <c r="G30" s="235"/>
      <c r="H30" s="235">
        <f>H68</f>
        <v>5605000</v>
      </c>
      <c r="I30" s="235"/>
      <c r="J30" s="235">
        <f>J68</f>
        <v>11199000</v>
      </c>
      <c r="K30" s="235"/>
      <c r="L30" s="235">
        <f>L68</f>
        <v>16804000</v>
      </c>
      <c r="M30" s="204"/>
    </row>
    <row r="31" spans="1:14" ht="18" customHeight="1">
      <c r="A31" s="258" t="s">
        <v>16</v>
      </c>
      <c r="B31" s="206" t="str">
        <f>B70</f>
        <v>필름 공사</v>
      </c>
      <c r="C31" s="200"/>
      <c r="D31" s="201"/>
      <c r="E31" s="201" t="s">
        <v>36</v>
      </c>
      <c r="F31" s="202">
        <v>1</v>
      </c>
      <c r="G31" s="235"/>
      <c r="H31" s="235">
        <f>H81</f>
        <v>2092200</v>
      </c>
      <c r="I31" s="235"/>
      <c r="J31" s="235">
        <f>J81</f>
        <v>1621600</v>
      </c>
      <c r="K31" s="235"/>
      <c r="L31" s="235">
        <f>L81</f>
        <v>3713800</v>
      </c>
      <c r="M31" s="204"/>
    </row>
    <row r="32" spans="1:14" ht="18" customHeight="1">
      <c r="A32" s="258" t="s">
        <v>17</v>
      </c>
      <c r="B32" s="206" t="str">
        <f>B83</f>
        <v>가구 공사</v>
      </c>
      <c r="C32" s="200"/>
      <c r="D32" s="201"/>
      <c r="E32" s="201" t="s">
        <v>36</v>
      </c>
      <c r="F32" s="202">
        <v>1</v>
      </c>
      <c r="G32" s="235"/>
      <c r="H32" s="235">
        <f>H190</f>
        <v>31339000</v>
      </c>
      <c r="I32" s="235"/>
      <c r="J32" s="235">
        <f>J190</f>
        <v>6510000</v>
      </c>
      <c r="K32" s="235"/>
      <c r="L32" s="235">
        <f>L190</f>
        <v>37849000</v>
      </c>
      <c r="M32" s="204"/>
    </row>
    <row r="33" spans="1:13" ht="18" customHeight="1">
      <c r="A33" s="258" t="s">
        <v>18</v>
      </c>
      <c r="B33" s="206" t="str">
        <f>B192</f>
        <v>전기 공사</v>
      </c>
      <c r="C33" s="200"/>
      <c r="D33" s="201"/>
      <c r="E33" s="201" t="s">
        <v>36</v>
      </c>
      <c r="F33" s="202">
        <v>1</v>
      </c>
      <c r="G33" s="235"/>
      <c r="H33" s="235">
        <f>H314</f>
        <v>11135300</v>
      </c>
      <c r="I33" s="235"/>
      <c r="J33" s="235">
        <f>J314</f>
        <v>4452400</v>
      </c>
      <c r="K33" s="235"/>
      <c r="L33" s="235">
        <f>L314</f>
        <v>15587700</v>
      </c>
      <c r="M33" s="204"/>
    </row>
    <row r="34" spans="1:13" s="7" customFormat="1" ht="18" customHeight="1">
      <c r="A34" s="259" t="s">
        <v>19</v>
      </c>
      <c r="B34" s="260" t="str">
        <f>B316</f>
        <v>화장실 공사</v>
      </c>
      <c r="C34" s="261"/>
      <c r="D34" s="201"/>
      <c r="E34" s="262" t="s">
        <v>36</v>
      </c>
      <c r="F34" s="263">
        <v>1</v>
      </c>
      <c r="G34" s="264"/>
      <c r="H34" s="264">
        <f>H369</f>
        <v>35247200</v>
      </c>
      <c r="I34" s="264"/>
      <c r="J34" s="264">
        <f>J369</f>
        <v>3342500</v>
      </c>
      <c r="K34" s="264"/>
      <c r="L34" s="264">
        <f>L369</f>
        <v>38589700</v>
      </c>
      <c r="M34" s="249"/>
    </row>
    <row r="35" spans="1:13" s="7" customFormat="1" ht="18" customHeight="1">
      <c r="A35" s="259" t="s">
        <v>20</v>
      </c>
      <c r="B35" s="260" t="str">
        <f>B371</f>
        <v>타일 공사</v>
      </c>
      <c r="C35" s="261"/>
      <c r="D35" s="201"/>
      <c r="E35" s="262" t="s">
        <v>36</v>
      </c>
      <c r="F35" s="263">
        <v>1</v>
      </c>
      <c r="G35" s="264"/>
      <c r="H35" s="264">
        <f>H409</f>
        <v>21287200</v>
      </c>
      <c r="I35" s="264"/>
      <c r="J35" s="264">
        <f>J409</f>
        <v>15489600</v>
      </c>
      <c r="K35" s="264"/>
      <c r="L35" s="264">
        <f>L409</f>
        <v>36776800</v>
      </c>
      <c r="M35" s="249"/>
    </row>
    <row r="36" spans="1:13" ht="18" customHeight="1">
      <c r="A36" s="258" t="s">
        <v>21</v>
      </c>
      <c r="B36" s="206" t="str">
        <f>B411</f>
        <v>도배 공사</v>
      </c>
      <c r="C36" s="200"/>
      <c r="D36" s="201"/>
      <c r="E36" s="201" t="s">
        <v>36</v>
      </c>
      <c r="F36" s="202">
        <v>1</v>
      </c>
      <c r="G36" s="235"/>
      <c r="H36" s="235">
        <f>H419</f>
        <v>5143480</v>
      </c>
      <c r="I36" s="235"/>
      <c r="J36" s="235">
        <f>J419</f>
        <v>7075200</v>
      </c>
      <c r="K36" s="235"/>
      <c r="L36" s="235">
        <f>L419</f>
        <v>12218680</v>
      </c>
      <c r="M36" s="204"/>
    </row>
    <row r="37" spans="1:13" ht="18" customHeight="1">
      <c r="A37" s="258" t="s">
        <v>26</v>
      </c>
      <c r="B37" s="206" t="str">
        <f>B421</f>
        <v>도장 공사</v>
      </c>
      <c r="C37" s="200"/>
      <c r="D37" s="201"/>
      <c r="E37" s="201" t="s">
        <v>36</v>
      </c>
      <c r="F37" s="202">
        <v>1</v>
      </c>
      <c r="G37" s="235"/>
      <c r="H37" s="235">
        <f>H428</f>
        <v>1310000</v>
      </c>
      <c r="I37" s="235"/>
      <c r="J37" s="235">
        <f>J428</f>
        <v>2640000</v>
      </c>
      <c r="K37" s="235"/>
      <c r="L37" s="235">
        <f>L428</f>
        <v>3950000</v>
      </c>
      <c r="M37" s="204"/>
    </row>
    <row r="38" spans="1:13" ht="18" customHeight="1">
      <c r="A38" s="258" t="s">
        <v>27</v>
      </c>
      <c r="B38" s="206" t="str">
        <f>B430</f>
        <v>마루 공사</v>
      </c>
      <c r="C38" s="200"/>
      <c r="D38" s="201"/>
      <c r="E38" s="201" t="s">
        <v>36</v>
      </c>
      <c r="F38" s="202">
        <v>1</v>
      </c>
      <c r="G38" s="235"/>
      <c r="H38" s="235">
        <f>H433</f>
        <v>24073212.121212125</v>
      </c>
      <c r="I38" s="235"/>
      <c r="J38" s="235">
        <f>J433</f>
        <v>0</v>
      </c>
      <c r="K38" s="235"/>
      <c r="L38" s="235">
        <f>L433</f>
        <v>24073212.121212125</v>
      </c>
      <c r="M38" s="204"/>
    </row>
    <row r="39" spans="1:13" ht="18" customHeight="1">
      <c r="A39" s="258" t="s">
        <v>47</v>
      </c>
      <c r="B39" s="206" t="str">
        <f>B435</f>
        <v>목공사</v>
      </c>
      <c r="C39" s="200"/>
      <c r="D39" s="201"/>
      <c r="E39" s="201" t="s">
        <v>36</v>
      </c>
      <c r="F39" s="202">
        <v>1</v>
      </c>
      <c r="G39" s="235"/>
      <c r="H39" s="235">
        <f>H470</f>
        <v>25228500</v>
      </c>
      <c r="I39" s="235"/>
      <c r="J39" s="235">
        <f>J470</f>
        <v>21414700</v>
      </c>
      <c r="K39" s="235"/>
      <c r="L39" s="235">
        <f>L470</f>
        <v>46643200</v>
      </c>
      <c r="M39" s="204"/>
    </row>
    <row r="40" spans="1:13" s="6" customFormat="1" ht="18" customHeight="1">
      <c r="A40" s="251"/>
      <c r="B40" s="252" t="s">
        <v>35</v>
      </c>
      <c r="C40" s="253"/>
      <c r="D40" s="253"/>
      <c r="E40" s="254"/>
      <c r="F40" s="254"/>
      <c r="G40" s="255"/>
      <c r="H40" s="255">
        <f>SUM(H30:H39)</f>
        <v>162461092.12121212</v>
      </c>
      <c r="I40" s="255"/>
      <c r="J40" s="255">
        <f>SUM(J30:J39)</f>
        <v>73745000</v>
      </c>
      <c r="K40" s="255"/>
      <c r="L40" s="255">
        <f>SUM(L30:L39)</f>
        <v>236206092.12121212</v>
      </c>
      <c r="M40" s="265"/>
    </row>
    <row r="41" spans="1:13" ht="18" customHeight="1">
      <c r="A41" s="205"/>
      <c r="B41" s="206"/>
      <c r="C41" s="200"/>
      <c r="D41" s="201"/>
      <c r="E41" s="201"/>
      <c r="F41" s="201"/>
      <c r="G41" s="235"/>
      <c r="H41" s="235"/>
      <c r="I41" s="235"/>
      <c r="J41" s="235"/>
      <c r="K41" s="235"/>
      <c r="L41" s="235"/>
      <c r="M41" s="204"/>
    </row>
    <row r="42" spans="1:13" ht="18" customHeight="1">
      <c r="A42" s="205"/>
      <c r="B42" s="206"/>
      <c r="C42" s="200"/>
      <c r="D42" s="201"/>
      <c r="E42" s="201"/>
      <c r="F42" s="201"/>
      <c r="G42" s="235"/>
      <c r="H42" s="235"/>
      <c r="I42" s="235"/>
      <c r="J42" s="256"/>
      <c r="K42" s="235"/>
      <c r="L42" s="235"/>
      <c r="M42" s="204"/>
    </row>
    <row r="43" spans="1:13" s="3" customFormat="1" ht="18" customHeight="1">
      <c r="A43" s="266" t="s">
        <v>28</v>
      </c>
      <c r="B43" s="267" t="s">
        <v>90</v>
      </c>
      <c r="C43" s="268"/>
      <c r="D43" s="210"/>
      <c r="E43" s="210"/>
      <c r="F43" s="210"/>
      <c r="G43" s="269"/>
      <c r="H43" s="269"/>
      <c r="I43" s="269"/>
      <c r="J43" s="269"/>
      <c r="K43" s="269"/>
      <c r="L43" s="269"/>
      <c r="M43" s="213"/>
    </row>
    <row r="44" spans="1:13" s="378" customFormat="1" ht="18" customHeight="1">
      <c r="A44" s="205">
        <v>-1</v>
      </c>
      <c r="B44" s="206" t="s">
        <v>464</v>
      </c>
      <c r="C44" s="206"/>
      <c r="D44" s="206"/>
      <c r="E44" s="206"/>
      <c r="F44" s="206"/>
      <c r="G44" s="206"/>
      <c r="H44" s="206"/>
      <c r="I44" s="206"/>
      <c r="J44" s="206"/>
      <c r="K44" s="206"/>
      <c r="L44" s="206"/>
      <c r="M44" s="377"/>
    </row>
    <row r="45" spans="1:13" ht="18" customHeight="1">
      <c r="A45" s="205" t="s">
        <v>65</v>
      </c>
      <c r="B45" s="206" t="s">
        <v>87</v>
      </c>
      <c r="C45" s="200"/>
      <c r="D45" s="201" t="s">
        <v>218</v>
      </c>
      <c r="E45" s="201" t="s">
        <v>70</v>
      </c>
      <c r="F45" s="270">
        <v>59</v>
      </c>
      <c r="G45" s="235">
        <v>3000</v>
      </c>
      <c r="H45" s="235">
        <f t="shared" ref="H45:H65" si="11">F45*G45</f>
        <v>177000</v>
      </c>
      <c r="I45" s="235">
        <v>25000</v>
      </c>
      <c r="J45" s="235">
        <f t="shared" ref="J45:J65" si="12">F45*I45</f>
        <v>1475000</v>
      </c>
      <c r="K45" s="235">
        <f t="shared" ref="K45:K65" si="13">G45+I45</f>
        <v>28000</v>
      </c>
      <c r="L45" s="235">
        <f t="shared" ref="L45:L65" si="14">F45*K45</f>
        <v>1652000</v>
      </c>
      <c r="M45" s="204"/>
    </row>
    <row r="46" spans="1:13" ht="18" customHeight="1">
      <c r="A46" s="205" t="s">
        <v>65</v>
      </c>
      <c r="B46" s="206" t="s">
        <v>136</v>
      </c>
      <c r="C46" s="200"/>
      <c r="D46" s="201" t="s">
        <v>217</v>
      </c>
      <c r="E46" s="201" t="s">
        <v>301</v>
      </c>
      <c r="F46" s="270">
        <v>10</v>
      </c>
      <c r="G46" s="235">
        <v>15000</v>
      </c>
      <c r="H46" s="235">
        <f t="shared" si="11"/>
        <v>150000</v>
      </c>
      <c r="I46" s="235">
        <v>70000</v>
      </c>
      <c r="J46" s="235">
        <f t="shared" si="12"/>
        <v>700000</v>
      </c>
      <c r="K46" s="235">
        <f t="shared" si="13"/>
        <v>85000</v>
      </c>
      <c r="L46" s="235">
        <f t="shared" si="14"/>
        <v>850000</v>
      </c>
      <c r="M46" s="204"/>
    </row>
    <row r="47" spans="1:13" ht="18" customHeight="1">
      <c r="A47" s="205" t="s">
        <v>66</v>
      </c>
      <c r="B47" s="206" t="s">
        <v>85</v>
      </c>
      <c r="C47" s="200"/>
      <c r="D47" s="201" t="s">
        <v>219</v>
      </c>
      <c r="E47" s="201" t="s">
        <v>75</v>
      </c>
      <c r="F47" s="270">
        <v>3</v>
      </c>
      <c r="G47" s="235">
        <v>0</v>
      </c>
      <c r="H47" s="235">
        <f t="shared" si="11"/>
        <v>0</v>
      </c>
      <c r="I47" s="235">
        <v>650000</v>
      </c>
      <c r="J47" s="235">
        <f t="shared" si="12"/>
        <v>1950000</v>
      </c>
      <c r="K47" s="235">
        <f t="shared" si="13"/>
        <v>650000</v>
      </c>
      <c r="L47" s="235">
        <f t="shared" si="14"/>
        <v>1950000</v>
      </c>
      <c r="M47" s="235"/>
    </row>
    <row r="48" spans="1:13" ht="18" customHeight="1">
      <c r="A48" s="205" t="s">
        <v>65</v>
      </c>
      <c r="B48" s="206" t="s">
        <v>86</v>
      </c>
      <c r="C48" s="200"/>
      <c r="D48" s="201" t="s">
        <v>219</v>
      </c>
      <c r="E48" s="201" t="s">
        <v>11</v>
      </c>
      <c r="F48" s="270">
        <v>193</v>
      </c>
      <c r="G48" s="235">
        <v>8000</v>
      </c>
      <c r="H48" s="235">
        <f t="shared" si="11"/>
        <v>1544000</v>
      </c>
      <c r="I48" s="235">
        <v>18000</v>
      </c>
      <c r="J48" s="235">
        <f t="shared" si="12"/>
        <v>3474000</v>
      </c>
      <c r="K48" s="235">
        <f t="shared" si="13"/>
        <v>26000</v>
      </c>
      <c r="L48" s="235">
        <f t="shared" si="14"/>
        <v>5018000</v>
      </c>
      <c r="M48" s="204"/>
    </row>
    <row r="49" spans="1:13" ht="18" customHeight="1">
      <c r="A49" s="205" t="s">
        <v>65</v>
      </c>
      <c r="B49" s="206" t="s">
        <v>194</v>
      </c>
      <c r="C49" s="200"/>
      <c r="D49" s="393" t="s">
        <v>302</v>
      </c>
      <c r="E49" s="201" t="s">
        <v>11</v>
      </c>
      <c r="F49" s="270">
        <v>193</v>
      </c>
      <c r="G49" s="235">
        <v>8000</v>
      </c>
      <c r="H49" s="235">
        <f t="shared" ref="H49" si="15">F49*G49</f>
        <v>1544000</v>
      </c>
      <c r="I49" s="235">
        <v>7000</v>
      </c>
      <c r="J49" s="235">
        <f t="shared" ref="J49" si="16">F49*I49</f>
        <v>1351000</v>
      </c>
      <c r="K49" s="235">
        <f t="shared" ref="K49" si="17">G49+I49</f>
        <v>15000</v>
      </c>
      <c r="L49" s="235">
        <f t="shared" ref="L49" si="18">F49*K49</f>
        <v>2895000</v>
      </c>
      <c r="M49" s="273"/>
    </row>
    <row r="50" spans="1:13" s="127" customFormat="1" ht="18" hidden="1" customHeight="1">
      <c r="A50" s="243" t="s">
        <v>65</v>
      </c>
      <c r="B50" s="244" t="s">
        <v>194</v>
      </c>
      <c r="C50" s="245"/>
      <c r="D50" s="394" t="s">
        <v>197</v>
      </c>
      <c r="E50" s="246" t="s">
        <v>11</v>
      </c>
      <c r="F50" s="274">
        <v>0</v>
      </c>
      <c r="G50" s="248">
        <v>8000</v>
      </c>
      <c r="H50" s="248">
        <f t="shared" ref="H50" si="19">F50*G50</f>
        <v>0</v>
      </c>
      <c r="I50" s="248">
        <v>7000</v>
      </c>
      <c r="J50" s="248">
        <f t="shared" ref="J50" si="20">F50*I50</f>
        <v>0</v>
      </c>
      <c r="K50" s="248">
        <f t="shared" ref="K50" si="21">G50+I50</f>
        <v>15000</v>
      </c>
      <c r="L50" s="248">
        <f t="shared" ref="L50" si="22">F50*K50</f>
        <v>0</v>
      </c>
      <c r="M50" s="275" t="s">
        <v>242</v>
      </c>
    </row>
    <row r="51" spans="1:13" ht="18" customHeight="1">
      <c r="A51" s="205" t="s">
        <v>65</v>
      </c>
      <c r="B51" s="206" t="s">
        <v>162</v>
      </c>
      <c r="C51" s="200"/>
      <c r="D51" s="201" t="s">
        <v>208</v>
      </c>
      <c r="E51" s="201" t="s">
        <v>161</v>
      </c>
      <c r="F51" s="270">
        <v>1</v>
      </c>
      <c r="G51" s="235"/>
      <c r="H51" s="235">
        <f t="shared" si="11"/>
        <v>0</v>
      </c>
      <c r="I51" s="235">
        <v>200000</v>
      </c>
      <c r="J51" s="235">
        <f t="shared" si="12"/>
        <v>200000</v>
      </c>
      <c r="K51" s="235">
        <f t="shared" si="13"/>
        <v>200000</v>
      </c>
      <c r="L51" s="235">
        <f t="shared" si="14"/>
        <v>200000</v>
      </c>
      <c r="M51" s="204"/>
    </row>
    <row r="52" spans="1:13" s="143" customFormat="1" ht="18" hidden="1" customHeight="1">
      <c r="A52" s="243" t="s">
        <v>209</v>
      </c>
      <c r="B52" s="276" t="s">
        <v>210</v>
      </c>
      <c r="C52" s="277"/>
      <c r="D52" s="278"/>
      <c r="E52" s="278" t="s">
        <v>211</v>
      </c>
      <c r="F52" s="279">
        <v>0</v>
      </c>
      <c r="G52" s="280"/>
      <c r="H52" s="280"/>
      <c r="I52" s="280"/>
      <c r="J52" s="280"/>
      <c r="K52" s="280"/>
      <c r="L52" s="280"/>
      <c r="M52" s="281" t="s">
        <v>241</v>
      </c>
    </row>
    <row r="53" spans="1:13" s="143" customFormat="1" ht="18" customHeight="1">
      <c r="A53" s="243"/>
      <c r="B53" s="276"/>
      <c r="C53" s="277"/>
      <c r="D53" s="278"/>
      <c r="E53" s="278"/>
      <c r="F53" s="279"/>
      <c r="G53" s="280"/>
      <c r="H53" s="280"/>
      <c r="I53" s="280"/>
      <c r="J53" s="280"/>
      <c r="K53" s="280"/>
      <c r="L53" s="280"/>
      <c r="M53" s="281"/>
    </row>
    <row r="54" spans="1:13" s="378" customFormat="1" ht="18" customHeight="1">
      <c r="A54" s="205">
        <v>-1</v>
      </c>
      <c r="B54" s="206" t="s">
        <v>465</v>
      </c>
      <c r="C54" s="206"/>
      <c r="D54" s="206"/>
      <c r="E54" s="206"/>
      <c r="F54" s="206"/>
      <c r="G54" s="206"/>
      <c r="H54" s="206"/>
      <c r="I54" s="206"/>
      <c r="J54" s="206"/>
      <c r="K54" s="206"/>
      <c r="L54" s="206"/>
      <c r="M54" s="377"/>
    </row>
    <row r="55" spans="1:13" s="385" customFormat="1" ht="18" customHeight="1">
      <c r="A55" s="398" t="s">
        <v>89</v>
      </c>
      <c r="B55" s="381" t="s">
        <v>282</v>
      </c>
      <c r="C55" s="399"/>
      <c r="D55" s="395" t="s">
        <v>312</v>
      </c>
      <c r="E55" s="382" t="s">
        <v>283</v>
      </c>
      <c r="F55" s="400">
        <v>64</v>
      </c>
      <c r="G55" s="383">
        <v>0</v>
      </c>
      <c r="H55" s="383">
        <f t="shared" ref="H55" si="23">F55*G55</f>
        <v>0</v>
      </c>
      <c r="I55" s="383">
        <v>5000</v>
      </c>
      <c r="J55" s="383">
        <f t="shared" ref="J55" si="24">F55*I55</f>
        <v>320000</v>
      </c>
      <c r="K55" s="383">
        <f t="shared" ref="K55" si="25">G55+I55</f>
        <v>5000</v>
      </c>
      <c r="L55" s="383">
        <f t="shared" ref="L55" si="26">F55*K55</f>
        <v>320000</v>
      </c>
      <c r="M55" s="384"/>
    </row>
    <row r="56" spans="1:13" s="385" customFormat="1" ht="18" customHeight="1">
      <c r="A56" s="398" t="s">
        <v>212</v>
      </c>
      <c r="B56" s="381" t="s">
        <v>305</v>
      </c>
      <c r="C56" s="399" t="s">
        <v>311</v>
      </c>
      <c r="D56" s="395" t="s">
        <v>308</v>
      </c>
      <c r="E56" s="382" t="s">
        <v>309</v>
      </c>
      <c r="F56" s="400">
        <v>9</v>
      </c>
      <c r="G56" s="383">
        <v>35000</v>
      </c>
      <c r="H56" s="383">
        <f>F56*G56</f>
        <v>315000</v>
      </c>
      <c r="I56" s="383">
        <v>11000</v>
      </c>
      <c r="J56" s="383">
        <f t="shared" ref="J56:J57" si="27">F56*I56</f>
        <v>99000</v>
      </c>
      <c r="K56" s="383">
        <f t="shared" ref="K56:K57" si="28">G56+I56</f>
        <v>46000</v>
      </c>
      <c r="L56" s="383">
        <f t="shared" ref="L56:L57" si="29">F56*K56</f>
        <v>414000</v>
      </c>
      <c r="M56" s="377"/>
    </row>
    <row r="57" spans="1:13" s="378" customFormat="1" ht="18" customHeight="1">
      <c r="A57" s="401" t="s">
        <v>212</v>
      </c>
      <c r="B57" s="402" t="s">
        <v>304</v>
      </c>
      <c r="C57" s="403" t="s">
        <v>306</v>
      </c>
      <c r="D57" s="395" t="s">
        <v>307</v>
      </c>
      <c r="E57" s="395" t="s">
        <v>309</v>
      </c>
      <c r="F57" s="404">
        <v>1</v>
      </c>
      <c r="G57" s="405">
        <v>120000</v>
      </c>
      <c r="H57" s="405">
        <f>F57*G57</f>
        <v>120000</v>
      </c>
      <c r="I57" s="405">
        <v>30000</v>
      </c>
      <c r="J57" s="405">
        <f t="shared" si="27"/>
        <v>30000</v>
      </c>
      <c r="K57" s="405">
        <f t="shared" si="28"/>
        <v>150000</v>
      </c>
      <c r="L57" s="405">
        <f t="shared" si="29"/>
        <v>150000</v>
      </c>
      <c r="M57" s="377"/>
    </row>
    <row r="58" spans="1:13" s="453" customFormat="1" ht="18" hidden="1" customHeight="1">
      <c r="A58" s="446" t="s">
        <v>212</v>
      </c>
      <c r="B58" s="447" t="s">
        <v>174</v>
      </c>
      <c r="C58" s="448" t="s">
        <v>612</v>
      </c>
      <c r="D58" s="449" t="s">
        <v>307</v>
      </c>
      <c r="E58" s="449" t="s">
        <v>38</v>
      </c>
      <c r="F58" s="450">
        <v>0</v>
      </c>
      <c r="G58" s="451">
        <v>110000</v>
      </c>
      <c r="H58" s="451">
        <f>F58*G58</f>
        <v>0</v>
      </c>
      <c r="I58" s="451">
        <v>50000</v>
      </c>
      <c r="J58" s="451">
        <f t="shared" ref="J58:J59" si="30">F58*I58</f>
        <v>0</v>
      </c>
      <c r="K58" s="451">
        <f t="shared" ref="K58:K59" si="31">G58+I58</f>
        <v>160000</v>
      </c>
      <c r="L58" s="451">
        <f t="shared" ref="L58:L59" si="32">F58*K58</f>
        <v>0</v>
      </c>
      <c r="M58" s="452"/>
    </row>
    <row r="59" spans="1:13" s="453" customFormat="1" ht="18" customHeight="1">
      <c r="A59" s="446" t="s">
        <v>212</v>
      </c>
      <c r="B59" s="447" t="s">
        <v>174</v>
      </c>
      <c r="C59" s="448" t="s">
        <v>656</v>
      </c>
      <c r="D59" s="449" t="s">
        <v>197</v>
      </c>
      <c r="E59" s="449" t="s">
        <v>38</v>
      </c>
      <c r="F59" s="450">
        <v>1</v>
      </c>
      <c r="G59" s="451">
        <v>105000</v>
      </c>
      <c r="H59" s="451">
        <f t="shared" ref="H59" si="33">F59*G59</f>
        <v>105000</v>
      </c>
      <c r="I59" s="451">
        <v>50000</v>
      </c>
      <c r="J59" s="451">
        <f t="shared" si="30"/>
        <v>50000</v>
      </c>
      <c r="K59" s="451">
        <f t="shared" si="31"/>
        <v>155000</v>
      </c>
      <c r="L59" s="451">
        <f t="shared" si="32"/>
        <v>155000</v>
      </c>
      <c r="M59" s="452"/>
    </row>
    <row r="60" spans="1:13" s="453" customFormat="1" ht="18" hidden="1" customHeight="1">
      <c r="A60" s="446" t="s">
        <v>212</v>
      </c>
      <c r="B60" s="447" t="s">
        <v>174</v>
      </c>
      <c r="C60" s="448" t="s">
        <v>613</v>
      </c>
      <c r="D60" s="449" t="s">
        <v>197</v>
      </c>
      <c r="E60" s="449" t="s">
        <v>175</v>
      </c>
      <c r="F60" s="450">
        <v>0</v>
      </c>
      <c r="G60" s="451">
        <v>394000</v>
      </c>
      <c r="H60" s="451">
        <f t="shared" ref="H60" si="34">F60*G60</f>
        <v>0</v>
      </c>
      <c r="I60" s="451">
        <v>50000</v>
      </c>
      <c r="J60" s="451">
        <f t="shared" ref="J60" si="35">F60*I60</f>
        <v>0</v>
      </c>
      <c r="K60" s="451">
        <f t="shared" ref="K60" si="36">G60+I60</f>
        <v>444000</v>
      </c>
      <c r="L60" s="451">
        <f t="shared" ref="L60" si="37">F60*K60</f>
        <v>0</v>
      </c>
      <c r="M60" s="452"/>
    </row>
    <row r="61" spans="1:13" s="421" customFormat="1" ht="18" hidden="1" customHeight="1">
      <c r="A61" s="401" t="s">
        <v>303</v>
      </c>
      <c r="B61" s="402" t="s">
        <v>304</v>
      </c>
      <c r="C61" s="403"/>
      <c r="D61" s="418"/>
      <c r="E61" s="418"/>
      <c r="F61" s="442"/>
      <c r="G61" s="405"/>
      <c r="H61" s="405"/>
      <c r="I61" s="405"/>
      <c r="J61" s="405"/>
      <c r="K61" s="405"/>
      <c r="L61" s="405"/>
      <c r="M61" s="420"/>
    </row>
    <row r="62" spans="1:13" s="421" customFormat="1" ht="18" hidden="1" customHeight="1">
      <c r="A62" s="401"/>
      <c r="B62" s="402"/>
      <c r="C62" s="403"/>
      <c r="D62" s="418"/>
      <c r="E62" s="418"/>
      <c r="F62" s="442"/>
      <c r="G62" s="405"/>
      <c r="H62" s="405"/>
      <c r="I62" s="405"/>
      <c r="J62" s="405"/>
      <c r="K62" s="405"/>
      <c r="L62" s="405"/>
      <c r="M62" s="420"/>
    </row>
    <row r="63" spans="1:13" s="421" customFormat="1" ht="18" customHeight="1">
      <c r="A63" s="401" t="s">
        <v>212</v>
      </c>
      <c r="B63" s="402" t="s">
        <v>174</v>
      </c>
      <c r="C63" s="403" t="s">
        <v>657</v>
      </c>
      <c r="D63" s="418" t="s">
        <v>310</v>
      </c>
      <c r="E63" s="418" t="s">
        <v>38</v>
      </c>
      <c r="F63" s="442">
        <v>4</v>
      </c>
      <c r="G63" s="405">
        <v>70000</v>
      </c>
      <c r="H63" s="405">
        <f t="shared" ref="H63" si="38">F63*G63</f>
        <v>280000</v>
      </c>
      <c r="I63" s="405">
        <v>20000</v>
      </c>
      <c r="J63" s="405">
        <f t="shared" ref="J63" si="39">F63*I63</f>
        <v>80000</v>
      </c>
      <c r="K63" s="405">
        <f t="shared" ref="K63" si="40">G63+I63</f>
        <v>90000</v>
      </c>
      <c r="L63" s="405">
        <f t="shared" ref="L63" si="41">F63*K63</f>
        <v>360000</v>
      </c>
      <c r="M63" s="420"/>
    </row>
    <row r="64" spans="1:13" s="128" customFormat="1" ht="18" customHeight="1">
      <c r="A64" s="443" t="s">
        <v>89</v>
      </c>
      <c r="B64" s="315" t="s">
        <v>88</v>
      </c>
      <c r="C64" s="444" t="s">
        <v>191</v>
      </c>
      <c r="D64" s="317" t="s">
        <v>414</v>
      </c>
      <c r="E64" s="317" t="s">
        <v>38</v>
      </c>
      <c r="F64" s="445">
        <v>3</v>
      </c>
      <c r="G64" s="319">
        <v>100000</v>
      </c>
      <c r="H64" s="319">
        <f t="shared" ref="H64" si="42">F64*G64</f>
        <v>300000</v>
      </c>
      <c r="I64" s="319">
        <v>250000</v>
      </c>
      <c r="J64" s="319">
        <f t="shared" ref="J64" si="43">F64*I64</f>
        <v>750000</v>
      </c>
      <c r="K64" s="319">
        <f t="shared" ref="K64" si="44">G64+I64</f>
        <v>350000</v>
      </c>
      <c r="L64" s="319">
        <f t="shared" ref="L64" si="45">F64*K64</f>
        <v>1050000</v>
      </c>
      <c r="M64" s="320"/>
    </row>
    <row r="65" spans="1:14" s="128" customFormat="1" ht="18" customHeight="1">
      <c r="A65" s="443" t="s">
        <v>89</v>
      </c>
      <c r="B65" s="315" t="s">
        <v>88</v>
      </c>
      <c r="C65" s="444" t="s">
        <v>374</v>
      </c>
      <c r="D65" s="317" t="s">
        <v>414</v>
      </c>
      <c r="E65" s="317" t="s">
        <v>151</v>
      </c>
      <c r="F65" s="445">
        <v>3</v>
      </c>
      <c r="G65" s="319">
        <v>240000</v>
      </c>
      <c r="H65" s="319">
        <f t="shared" si="11"/>
        <v>720000</v>
      </c>
      <c r="I65" s="319">
        <v>240000</v>
      </c>
      <c r="J65" s="319">
        <f t="shared" si="12"/>
        <v>720000</v>
      </c>
      <c r="K65" s="319">
        <f t="shared" si="13"/>
        <v>480000</v>
      </c>
      <c r="L65" s="319">
        <f t="shared" si="14"/>
        <v>1440000</v>
      </c>
      <c r="M65" s="320"/>
    </row>
    <row r="66" spans="1:14" s="141" customFormat="1" ht="18" customHeight="1">
      <c r="A66" s="288" t="s">
        <v>198</v>
      </c>
      <c r="B66" s="282" t="s">
        <v>199</v>
      </c>
      <c r="C66" s="283"/>
      <c r="D66" s="284"/>
      <c r="E66" s="284" t="s">
        <v>38</v>
      </c>
      <c r="F66" s="285">
        <v>1</v>
      </c>
      <c r="G66" s="286">
        <v>350000</v>
      </c>
      <c r="H66" s="286">
        <f t="shared" ref="H66" si="46">F66*G66</f>
        <v>350000</v>
      </c>
      <c r="I66" s="286">
        <v>0</v>
      </c>
      <c r="J66" s="286">
        <f t="shared" ref="J66" si="47">F66*I66</f>
        <v>0</v>
      </c>
      <c r="K66" s="286">
        <f t="shared" ref="K66" si="48">G66+I66</f>
        <v>350000</v>
      </c>
      <c r="L66" s="286">
        <f t="shared" ref="L66" si="49">F66*K66</f>
        <v>350000</v>
      </c>
      <c r="M66" s="287"/>
    </row>
    <row r="67" spans="1:14" s="127" customFormat="1" ht="18" customHeight="1">
      <c r="A67" s="243"/>
      <c r="B67" s="244"/>
      <c r="C67" s="244"/>
      <c r="D67" s="244"/>
      <c r="E67" s="244"/>
      <c r="F67" s="244"/>
      <c r="G67" s="244"/>
      <c r="H67" s="244"/>
      <c r="I67" s="244"/>
      <c r="J67" s="244"/>
      <c r="K67" s="244"/>
      <c r="L67" s="244"/>
      <c r="M67" s="289"/>
    </row>
    <row r="68" spans="1:14" s="3" customFormat="1" ht="18" customHeight="1">
      <c r="A68" s="207"/>
      <c r="B68" s="207" t="s">
        <v>13</v>
      </c>
      <c r="C68" s="209"/>
      <c r="D68" s="210"/>
      <c r="E68" s="210"/>
      <c r="F68" s="290"/>
      <c r="G68" s="269" t="s">
        <v>176</v>
      </c>
      <c r="H68" s="269">
        <f>SUM(H45:H66)</f>
        <v>5605000</v>
      </c>
      <c r="I68" s="269"/>
      <c r="J68" s="269">
        <f>SUM(J45:J66)</f>
        <v>11199000</v>
      </c>
      <c r="K68" s="269"/>
      <c r="L68" s="269">
        <f>SUM(L45:L66)</f>
        <v>16804000</v>
      </c>
      <c r="M68" s="204"/>
    </row>
    <row r="69" spans="1:14" ht="18" customHeight="1">
      <c r="A69" s="207"/>
      <c r="B69" s="208"/>
      <c r="C69" s="200"/>
      <c r="D69" s="201"/>
      <c r="E69" s="201"/>
      <c r="F69" s="270"/>
      <c r="G69" s="235"/>
      <c r="H69" s="235"/>
      <c r="I69" s="235"/>
      <c r="J69" s="235"/>
      <c r="K69" s="235"/>
      <c r="L69" s="235"/>
      <c r="M69" s="204"/>
    </row>
    <row r="70" spans="1:14" s="3" customFormat="1" ht="18" customHeight="1">
      <c r="A70" s="266" t="s">
        <v>29</v>
      </c>
      <c r="B70" s="267" t="s">
        <v>91</v>
      </c>
      <c r="C70" s="291"/>
      <c r="D70" s="210"/>
      <c r="E70" s="210"/>
      <c r="F70" s="290"/>
      <c r="G70" s="269"/>
      <c r="H70" s="269"/>
      <c r="I70" s="269"/>
      <c r="J70" s="269"/>
      <c r="K70" s="269"/>
      <c r="L70" s="269"/>
      <c r="M70" s="204"/>
    </row>
    <row r="71" spans="1:14" s="7" customFormat="1" ht="18" customHeight="1">
      <c r="A71" s="271">
        <v>-1</v>
      </c>
      <c r="B71" s="260" t="s">
        <v>92</v>
      </c>
      <c r="C71" s="261"/>
      <c r="D71" s="201"/>
      <c r="E71" s="262"/>
      <c r="F71" s="272"/>
      <c r="G71" s="264"/>
      <c r="H71" s="264"/>
      <c r="I71" s="264"/>
      <c r="J71" s="264"/>
      <c r="K71" s="264"/>
      <c r="L71" s="264"/>
      <c r="M71" s="204"/>
    </row>
    <row r="72" spans="1:14" s="7" customFormat="1" ht="18" customHeight="1">
      <c r="A72" s="292" t="s">
        <v>147</v>
      </c>
      <c r="B72" s="260" t="s">
        <v>189</v>
      </c>
      <c r="C72" s="293" t="s">
        <v>224</v>
      </c>
      <c r="D72" s="201" t="s">
        <v>225</v>
      </c>
      <c r="E72" s="262" t="s">
        <v>145</v>
      </c>
      <c r="F72" s="294">
        <v>1</v>
      </c>
      <c r="G72" s="264">
        <v>50000</v>
      </c>
      <c r="H72" s="264">
        <f t="shared" ref="H72:H78" si="50">F72*G72</f>
        <v>50000</v>
      </c>
      <c r="I72" s="264">
        <v>150000</v>
      </c>
      <c r="J72" s="264">
        <f t="shared" ref="J72" si="51">F72*I72</f>
        <v>150000</v>
      </c>
      <c r="K72" s="264">
        <f t="shared" ref="K72:K75" si="52">G72+I72</f>
        <v>200000</v>
      </c>
      <c r="L72" s="264">
        <f t="shared" ref="L72:L75" si="53">F72*K72</f>
        <v>200000</v>
      </c>
      <c r="M72" s="295"/>
    </row>
    <row r="73" spans="1:14" s="7" customFormat="1" ht="18" customHeight="1">
      <c r="A73" s="292" t="s">
        <v>44</v>
      </c>
      <c r="B73" s="260" t="s">
        <v>190</v>
      </c>
      <c r="C73" s="293" t="s">
        <v>224</v>
      </c>
      <c r="D73" s="201" t="s">
        <v>223</v>
      </c>
      <c r="E73" s="262" t="s">
        <v>39</v>
      </c>
      <c r="F73" s="294">
        <v>74</v>
      </c>
      <c r="G73" s="264">
        <v>3300</v>
      </c>
      <c r="H73" s="264">
        <f t="shared" si="50"/>
        <v>244200</v>
      </c>
      <c r="I73" s="264">
        <v>6600</v>
      </c>
      <c r="J73" s="264">
        <f t="shared" ref="J73:J74" si="54">F73*I73</f>
        <v>488400</v>
      </c>
      <c r="K73" s="264">
        <f t="shared" si="52"/>
        <v>9900</v>
      </c>
      <c r="L73" s="264">
        <f t="shared" si="53"/>
        <v>732600</v>
      </c>
      <c r="M73" s="295"/>
    </row>
    <row r="74" spans="1:14" s="128" customFormat="1" ht="18" customHeight="1">
      <c r="A74" s="314" t="s">
        <v>44</v>
      </c>
      <c r="B74" s="315" t="s">
        <v>652</v>
      </c>
      <c r="C74" s="316" t="s">
        <v>505</v>
      </c>
      <c r="D74" s="317" t="s">
        <v>223</v>
      </c>
      <c r="E74" s="317" t="s">
        <v>75</v>
      </c>
      <c r="F74" s="318">
        <v>1</v>
      </c>
      <c r="G74" s="319">
        <v>270000</v>
      </c>
      <c r="H74" s="319">
        <f t="shared" ref="H74" si="55">F74*G74</f>
        <v>270000</v>
      </c>
      <c r="I74" s="319">
        <v>300000</v>
      </c>
      <c r="J74" s="319">
        <f t="shared" si="54"/>
        <v>300000</v>
      </c>
      <c r="K74" s="319">
        <f t="shared" ref="K74" si="56">G74+I74</f>
        <v>570000</v>
      </c>
      <c r="L74" s="319">
        <f t="shared" ref="L74" si="57">F74*K74</f>
        <v>570000</v>
      </c>
      <c r="M74" s="327"/>
    </row>
    <row r="75" spans="1:14" s="409" customFormat="1" ht="18" customHeight="1">
      <c r="A75" s="336" t="s">
        <v>147</v>
      </c>
      <c r="B75" s="206" t="s">
        <v>142</v>
      </c>
      <c r="C75" s="337" t="s">
        <v>505</v>
      </c>
      <c r="D75" s="407" t="s">
        <v>223</v>
      </c>
      <c r="E75" s="407" t="s">
        <v>41</v>
      </c>
      <c r="F75" s="408">
        <v>49</v>
      </c>
      <c r="G75" s="235">
        <v>27000</v>
      </c>
      <c r="H75" s="235">
        <f t="shared" si="50"/>
        <v>1323000</v>
      </c>
      <c r="I75" s="235">
        <v>12200</v>
      </c>
      <c r="J75" s="235">
        <f t="shared" ref="J75" si="58">F75*I75</f>
        <v>597800</v>
      </c>
      <c r="K75" s="235">
        <f t="shared" si="52"/>
        <v>39200</v>
      </c>
      <c r="L75" s="235">
        <f t="shared" si="53"/>
        <v>1920800</v>
      </c>
      <c r="M75" s="412"/>
    </row>
    <row r="76" spans="1:14" s="7" customFormat="1" ht="18" customHeight="1">
      <c r="A76" s="292" t="s">
        <v>44</v>
      </c>
      <c r="B76" s="260" t="s">
        <v>142</v>
      </c>
      <c r="C76" s="293" t="s">
        <v>224</v>
      </c>
      <c r="D76" s="201" t="s">
        <v>223</v>
      </c>
      <c r="E76" s="262" t="s">
        <v>41</v>
      </c>
      <c r="F76" s="294">
        <v>7</v>
      </c>
      <c r="G76" s="264">
        <v>15000</v>
      </c>
      <c r="H76" s="264">
        <f t="shared" ref="H76" si="59">F76*G76</f>
        <v>105000</v>
      </c>
      <c r="I76" s="264">
        <v>12200</v>
      </c>
      <c r="J76" s="264">
        <f t="shared" ref="J76" si="60">F76*I76</f>
        <v>85400</v>
      </c>
      <c r="K76" s="264">
        <f t="shared" ref="K76" si="61">G76+I76</f>
        <v>27200</v>
      </c>
      <c r="L76" s="264">
        <f t="shared" ref="L76" si="62">F76*K76</f>
        <v>190400</v>
      </c>
      <c r="M76" s="295"/>
    </row>
    <row r="77" spans="1:14" s="7" customFormat="1" ht="18" hidden="1" customHeight="1">
      <c r="A77" s="292" t="s">
        <v>237</v>
      </c>
      <c r="B77" s="260" t="s">
        <v>238</v>
      </c>
      <c r="C77" s="293" t="s">
        <v>247</v>
      </c>
      <c r="D77" s="201" t="s">
        <v>236</v>
      </c>
      <c r="E77" s="262" t="s">
        <v>239</v>
      </c>
      <c r="F77" s="296"/>
      <c r="G77" s="264">
        <f>18000*15</f>
        <v>270000</v>
      </c>
      <c r="H77" s="264">
        <f t="shared" si="50"/>
        <v>0</v>
      </c>
      <c r="I77" s="264">
        <v>150000</v>
      </c>
      <c r="J77" s="264">
        <f t="shared" ref="J77" si="63">F77*I77</f>
        <v>0</v>
      </c>
      <c r="K77" s="264">
        <f t="shared" ref="K77" si="64">G77+I77</f>
        <v>420000</v>
      </c>
      <c r="L77" s="264">
        <f t="shared" ref="L77" si="65">F77*K77</f>
        <v>0</v>
      </c>
      <c r="M77" s="295"/>
      <c r="N77" s="138"/>
    </row>
    <row r="78" spans="1:14" s="7" customFormat="1" ht="18" customHeight="1">
      <c r="A78" s="292" t="s">
        <v>220</v>
      </c>
      <c r="B78" s="260" t="s">
        <v>221</v>
      </c>
      <c r="C78" s="293"/>
      <c r="D78" s="201" t="s">
        <v>226</v>
      </c>
      <c r="E78" s="262" t="s">
        <v>222</v>
      </c>
      <c r="F78" s="296">
        <v>1</v>
      </c>
      <c r="G78" s="264">
        <v>100000</v>
      </c>
      <c r="H78" s="264">
        <f t="shared" si="50"/>
        <v>100000</v>
      </c>
      <c r="I78" s="264">
        <v>0</v>
      </c>
      <c r="J78" s="264">
        <v>0</v>
      </c>
      <c r="K78" s="264">
        <f t="shared" ref="K78" si="66">G78+I78</f>
        <v>100000</v>
      </c>
      <c r="L78" s="264">
        <f t="shared" ref="L78" si="67">F78*K78</f>
        <v>100000</v>
      </c>
      <c r="M78" s="295"/>
      <c r="N78" s="138"/>
    </row>
    <row r="79" spans="1:14" s="143" customFormat="1" ht="18" hidden="1" customHeight="1">
      <c r="A79" s="297" t="s">
        <v>147</v>
      </c>
      <c r="B79" s="276" t="s">
        <v>93</v>
      </c>
      <c r="C79" s="293"/>
      <c r="D79" s="278"/>
      <c r="E79" s="278" t="s">
        <v>39</v>
      </c>
      <c r="F79" s="298">
        <v>0</v>
      </c>
      <c r="G79" s="280">
        <v>3300</v>
      </c>
      <c r="H79" s="280">
        <f>F79*G79</f>
        <v>0</v>
      </c>
      <c r="I79" s="280"/>
      <c r="J79" s="280"/>
      <c r="K79" s="280">
        <f>G79+I79</f>
        <v>3300</v>
      </c>
      <c r="L79" s="280">
        <f>F79*K79</f>
        <v>0</v>
      </c>
      <c r="M79" s="295" t="s">
        <v>298</v>
      </c>
    </row>
    <row r="80" spans="1:14" s="143" customFormat="1" ht="18" customHeight="1">
      <c r="A80" s="297"/>
      <c r="B80" s="276"/>
      <c r="C80" s="293"/>
      <c r="D80" s="278"/>
      <c r="E80" s="278"/>
      <c r="F80" s="298"/>
      <c r="G80" s="280"/>
      <c r="H80" s="280"/>
      <c r="I80" s="280"/>
      <c r="J80" s="280"/>
      <c r="K80" s="280"/>
      <c r="L80" s="280"/>
      <c r="M80" s="295"/>
    </row>
    <row r="81" spans="1:19" s="124" customFormat="1" ht="18" customHeight="1">
      <c r="A81" s="299"/>
      <c r="B81" s="299" t="s">
        <v>13</v>
      </c>
      <c r="C81" s="300"/>
      <c r="D81" s="210"/>
      <c r="E81" s="301"/>
      <c r="F81" s="302"/>
      <c r="G81" s="303"/>
      <c r="H81" s="303">
        <f>SUM(H72:H79)</f>
        <v>2092200</v>
      </c>
      <c r="I81" s="303"/>
      <c r="J81" s="303">
        <f>SUM(J72:J79)</f>
        <v>1621600</v>
      </c>
      <c r="K81" s="303"/>
      <c r="L81" s="303">
        <f>SUM(L72:L79)</f>
        <v>3713800</v>
      </c>
      <c r="M81" s="249"/>
    </row>
    <row r="82" spans="1:19" ht="18" customHeight="1">
      <c r="A82" s="205"/>
      <c r="B82" s="206"/>
      <c r="C82" s="200"/>
      <c r="D82" s="201"/>
      <c r="E82" s="201"/>
      <c r="F82" s="270"/>
      <c r="G82" s="235"/>
      <c r="H82" s="235"/>
      <c r="I82" s="235"/>
      <c r="J82" s="235"/>
      <c r="K82" s="235"/>
      <c r="L82" s="235"/>
      <c r="M82" s="204"/>
    </row>
    <row r="83" spans="1:19" s="3" customFormat="1" ht="18" customHeight="1">
      <c r="A83" s="266" t="s">
        <v>30</v>
      </c>
      <c r="B83" s="267" t="s">
        <v>96</v>
      </c>
      <c r="C83" s="291"/>
      <c r="D83" s="210"/>
      <c r="E83" s="210"/>
      <c r="F83" s="290"/>
      <c r="G83" s="269"/>
      <c r="H83" s="269"/>
      <c r="I83" s="269"/>
      <c r="J83" s="269"/>
      <c r="K83" s="269"/>
      <c r="L83" s="269"/>
      <c r="M83" s="204"/>
    </row>
    <row r="84" spans="1:19" s="7" customFormat="1" ht="18" customHeight="1">
      <c r="A84" s="271">
        <v>-1</v>
      </c>
      <c r="B84" s="260" t="s">
        <v>383</v>
      </c>
      <c r="C84" s="261"/>
      <c r="D84" s="201"/>
      <c r="E84" s="262"/>
      <c r="F84" s="272"/>
      <c r="G84" s="264"/>
      <c r="H84" s="264"/>
      <c r="I84" s="264"/>
      <c r="J84" s="264"/>
      <c r="K84" s="264"/>
      <c r="L84" s="264"/>
      <c r="M84" s="204"/>
    </row>
    <row r="85" spans="1:19" s="409" customFormat="1" ht="18" customHeight="1">
      <c r="A85" s="336" t="s">
        <v>147</v>
      </c>
      <c r="B85" s="206" t="s">
        <v>580</v>
      </c>
      <c r="C85" s="436" t="s">
        <v>585</v>
      </c>
      <c r="D85" s="407" t="s">
        <v>248</v>
      </c>
      <c r="E85" s="437" t="s">
        <v>38</v>
      </c>
      <c r="F85" s="408">
        <v>4</v>
      </c>
      <c r="G85" s="235">
        <v>305800</v>
      </c>
      <c r="H85" s="235">
        <f>F85*G85</f>
        <v>1223200</v>
      </c>
      <c r="I85" s="235">
        <v>0</v>
      </c>
      <c r="J85" s="235">
        <f>F85*I85</f>
        <v>0</v>
      </c>
      <c r="K85" s="235">
        <f>G85+I85</f>
        <v>305800</v>
      </c>
      <c r="L85" s="235">
        <f>F85*K85</f>
        <v>1223200</v>
      </c>
      <c r="M85" s="411"/>
    </row>
    <row r="86" spans="1:19" s="409" customFormat="1" ht="18" customHeight="1">
      <c r="A86" s="336" t="s">
        <v>44</v>
      </c>
      <c r="B86" s="206" t="s">
        <v>580</v>
      </c>
      <c r="C86" s="436" t="s">
        <v>586</v>
      </c>
      <c r="D86" s="407" t="s">
        <v>208</v>
      </c>
      <c r="E86" s="437" t="s">
        <v>38</v>
      </c>
      <c r="F86" s="408">
        <v>2</v>
      </c>
      <c r="G86" s="235">
        <v>870000</v>
      </c>
      <c r="H86" s="235">
        <f>F86*G86</f>
        <v>1740000</v>
      </c>
      <c r="I86" s="235">
        <v>0</v>
      </c>
      <c r="J86" s="235">
        <f>F86*I86</f>
        <v>0</v>
      </c>
      <c r="K86" s="235">
        <f>G86+I86</f>
        <v>870000</v>
      </c>
      <c r="L86" s="235">
        <f>F86*K86</f>
        <v>1740000</v>
      </c>
      <c r="M86" s="411"/>
    </row>
    <row r="87" spans="1:19" s="409" customFormat="1" ht="18" customHeight="1">
      <c r="A87" s="336" t="s">
        <v>44</v>
      </c>
      <c r="B87" s="206" t="s">
        <v>580</v>
      </c>
      <c r="C87" s="436" t="s">
        <v>581</v>
      </c>
      <c r="D87" s="407" t="s">
        <v>492</v>
      </c>
      <c r="E87" s="437" t="s">
        <v>38</v>
      </c>
      <c r="F87" s="408">
        <v>2</v>
      </c>
      <c r="G87" s="235">
        <v>998400</v>
      </c>
      <c r="H87" s="235">
        <f>F87*G87</f>
        <v>1996800</v>
      </c>
      <c r="I87" s="235">
        <v>0</v>
      </c>
      <c r="J87" s="235">
        <f>F87*I87</f>
        <v>0</v>
      </c>
      <c r="K87" s="235">
        <f>G87+I87</f>
        <v>998400</v>
      </c>
      <c r="L87" s="235">
        <f>F87*K87</f>
        <v>1996800</v>
      </c>
      <c r="M87" s="411"/>
    </row>
    <row r="88" spans="1:19" s="409" customFormat="1" ht="18" customHeight="1">
      <c r="A88" s="336" t="s">
        <v>44</v>
      </c>
      <c r="B88" s="206" t="s">
        <v>584</v>
      </c>
      <c r="C88" s="436" t="s">
        <v>582</v>
      </c>
      <c r="D88" s="407" t="s">
        <v>583</v>
      </c>
      <c r="E88" s="437" t="s">
        <v>75</v>
      </c>
      <c r="F88" s="408">
        <v>1</v>
      </c>
      <c r="G88" s="235">
        <v>0</v>
      </c>
      <c r="H88" s="235">
        <f>F88*G88</f>
        <v>0</v>
      </c>
      <c r="I88" s="235">
        <v>0</v>
      </c>
      <c r="J88" s="235">
        <f>F88*I88</f>
        <v>0</v>
      </c>
      <c r="K88" s="235">
        <f>G88+I88</f>
        <v>0</v>
      </c>
      <c r="L88" s="235">
        <f>F88*K88</f>
        <v>0</v>
      </c>
      <c r="M88" s="411"/>
    </row>
    <row r="89" spans="1:19" s="409" customFormat="1" ht="18" customHeight="1">
      <c r="A89" s="336"/>
      <c r="B89" s="206"/>
      <c r="C89" s="436"/>
      <c r="D89" s="407"/>
      <c r="E89" s="437"/>
      <c r="F89" s="408"/>
      <c r="G89" s="235"/>
      <c r="H89" s="235"/>
      <c r="I89" s="235"/>
      <c r="J89" s="235"/>
      <c r="K89" s="235"/>
      <c r="L89" s="235"/>
      <c r="M89" s="411"/>
    </row>
    <row r="90" spans="1:19" s="409" customFormat="1" ht="18" customHeight="1">
      <c r="A90" s="336" t="s">
        <v>44</v>
      </c>
      <c r="B90" s="206" t="s">
        <v>319</v>
      </c>
      <c r="C90" s="337" t="s">
        <v>444</v>
      </c>
      <c r="D90" s="407" t="s">
        <v>229</v>
      </c>
      <c r="E90" s="407" t="s">
        <v>98</v>
      </c>
      <c r="F90" s="408">
        <v>2</v>
      </c>
      <c r="G90" s="235">
        <v>130000</v>
      </c>
      <c r="H90" s="235">
        <f>F90*G90</f>
        <v>260000</v>
      </c>
      <c r="I90" s="235">
        <v>50000</v>
      </c>
      <c r="J90" s="235">
        <f>F90*I90</f>
        <v>100000</v>
      </c>
      <c r="K90" s="235">
        <f>G90+I90</f>
        <v>180000</v>
      </c>
      <c r="L90" s="235">
        <f>F90*K90</f>
        <v>360000</v>
      </c>
      <c r="M90" s="411"/>
      <c r="O90" s="434"/>
      <c r="P90" s="434"/>
    </row>
    <row r="91" spans="1:19" s="409" customFormat="1" ht="18" customHeight="1">
      <c r="A91" s="418" t="s">
        <v>473</v>
      </c>
      <c r="B91" s="438" t="s">
        <v>514</v>
      </c>
      <c r="C91" s="439" t="s">
        <v>515</v>
      </c>
      <c r="D91" s="418" t="s">
        <v>516</v>
      </c>
      <c r="E91" s="418" t="s">
        <v>517</v>
      </c>
      <c r="F91" s="419">
        <v>1.4</v>
      </c>
      <c r="G91" s="440">
        <v>160000</v>
      </c>
      <c r="H91" s="440">
        <v>192000</v>
      </c>
      <c r="I91" s="440">
        <v>50000</v>
      </c>
      <c r="J91" s="440">
        <v>60000</v>
      </c>
      <c r="K91" s="440">
        <v>210000</v>
      </c>
      <c r="L91" s="440">
        <v>252000</v>
      </c>
      <c r="M91" s="420"/>
      <c r="N91" s="421"/>
      <c r="O91" s="421"/>
      <c r="P91" s="421"/>
      <c r="Q91" s="421"/>
      <c r="R91" s="421"/>
      <c r="S91" s="421"/>
    </row>
    <row r="92" spans="1:19" s="409" customFormat="1" ht="18" customHeight="1">
      <c r="A92" s="336" t="s">
        <v>44</v>
      </c>
      <c r="B92" s="206" t="s">
        <v>319</v>
      </c>
      <c r="C92" s="337" t="s">
        <v>444</v>
      </c>
      <c r="D92" s="407" t="s">
        <v>208</v>
      </c>
      <c r="E92" s="407" t="s">
        <v>98</v>
      </c>
      <c r="F92" s="408">
        <v>4</v>
      </c>
      <c r="G92" s="235">
        <v>130000</v>
      </c>
      <c r="H92" s="235">
        <f>F92*G92</f>
        <v>520000</v>
      </c>
      <c r="I92" s="235">
        <v>50000</v>
      </c>
      <c r="J92" s="235">
        <f>F92*I92</f>
        <v>200000</v>
      </c>
      <c r="K92" s="235">
        <f>G92+I92</f>
        <v>180000</v>
      </c>
      <c r="L92" s="235">
        <f>F92*K92</f>
        <v>720000</v>
      </c>
      <c r="M92" s="411"/>
      <c r="O92" s="434"/>
      <c r="P92" s="434"/>
    </row>
    <row r="93" spans="1:19" s="409" customFormat="1" ht="18" customHeight="1">
      <c r="A93" s="336" t="s">
        <v>44</v>
      </c>
      <c r="B93" s="206" t="s">
        <v>518</v>
      </c>
      <c r="C93" s="337"/>
      <c r="D93" s="407" t="s">
        <v>208</v>
      </c>
      <c r="E93" s="407" t="s">
        <v>38</v>
      </c>
      <c r="F93" s="408">
        <v>1</v>
      </c>
      <c r="G93" s="235">
        <v>120000</v>
      </c>
      <c r="H93" s="235">
        <f t="shared" ref="H93" si="68">F93*G93</f>
        <v>120000</v>
      </c>
      <c r="I93" s="235">
        <v>20000</v>
      </c>
      <c r="J93" s="235">
        <f t="shared" ref="J93" si="69">F93*I93</f>
        <v>20000</v>
      </c>
      <c r="K93" s="235">
        <f t="shared" ref="K93" si="70">G93+I93</f>
        <v>140000</v>
      </c>
      <c r="L93" s="235">
        <f t="shared" ref="L93" si="71">F93*K93</f>
        <v>140000</v>
      </c>
      <c r="M93" s="411"/>
    </row>
    <row r="94" spans="1:19" s="409" customFormat="1" ht="18" customHeight="1">
      <c r="A94" s="336" t="s">
        <v>44</v>
      </c>
      <c r="B94" s="206" t="s">
        <v>165</v>
      </c>
      <c r="C94" s="337" t="s">
        <v>444</v>
      </c>
      <c r="D94" s="407" t="s">
        <v>249</v>
      </c>
      <c r="E94" s="407" t="s">
        <v>39</v>
      </c>
      <c r="F94" s="408">
        <v>3.6</v>
      </c>
      <c r="G94" s="235">
        <v>160000</v>
      </c>
      <c r="H94" s="235">
        <f t="shared" ref="H94" si="72">F94*G94</f>
        <v>576000</v>
      </c>
      <c r="I94" s="235">
        <v>50000</v>
      </c>
      <c r="J94" s="235">
        <f t="shared" ref="J94" si="73">F94*I94</f>
        <v>180000</v>
      </c>
      <c r="K94" s="235">
        <f t="shared" ref="K94" si="74">G94+I94</f>
        <v>210000</v>
      </c>
      <c r="L94" s="235">
        <f t="shared" ref="L94" si="75">F94*K94</f>
        <v>756000</v>
      </c>
      <c r="M94" s="411"/>
    </row>
    <row r="95" spans="1:19" s="409" customFormat="1" ht="18" customHeight="1">
      <c r="A95" s="336" t="s">
        <v>44</v>
      </c>
      <c r="B95" s="206" t="s">
        <v>317</v>
      </c>
      <c r="C95" s="337"/>
      <c r="D95" s="407" t="s">
        <v>208</v>
      </c>
      <c r="E95" s="407" t="s">
        <v>315</v>
      </c>
      <c r="F95" s="408">
        <v>1</v>
      </c>
      <c r="G95" s="235">
        <v>150000</v>
      </c>
      <c r="H95" s="235">
        <f t="shared" ref="H95:H96" si="76">F95*G95</f>
        <v>150000</v>
      </c>
      <c r="I95" s="235">
        <v>50000</v>
      </c>
      <c r="J95" s="235">
        <f t="shared" ref="J95:J96" si="77">F95*I95</f>
        <v>50000</v>
      </c>
      <c r="K95" s="235">
        <f t="shared" ref="K95:K96" si="78">G95+I95</f>
        <v>200000</v>
      </c>
      <c r="L95" s="235">
        <f t="shared" ref="L95:L96" si="79">F95*K95</f>
        <v>200000</v>
      </c>
      <c r="M95" s="411"/>
    </row>
    <row r="96" spans="1:19" s="409" customFormat="1" ht="18" customHeight="1">
      <c r="A96" s="336" t="s">
        <v>44</v>
      </c>
      <c r="B96" s="206" t="s">
        <v>318</v>
      </c>
      <c r="C96" s="337"/>
      <c r="D96" s="407" t="s">
        <v>208</v>
      </c>
      <c r="E96" s="407" t="s">
        <v>315</v>
      </c>
      <c r="F96" s="408">
        <v>1</v>
      </c>
      <c r="G96" s="235">
        <v>20000</v>
      </c>
      <c r="H96" s="235">
        <f t="shared" si="76"/>
        <v>20000</v>
      </c>
      <c r="I96" s="235">
        <v>0</v>
      </c>
      <c r="J96" s="235">
        <f t="shared" si="77"/>
        <v>0</v>
      </c>
      <c r="K96" s="235">
        <f t="shared" si="78"/>
        <v>20000</v>
      </c>
      <c r="L96" s="235">
        <f t="shared" si="79"/>
        <v>20000</v>
      </c>
      <c r="M96" s="411"/>
    </row>
    <row r="97" spans="1:19" s="409" customFormat="1" ht="18" customHeight="1">
      <c r="A97" s="336" t="s">
        <v>147</v>
      </c>
      <c r="B97" s="206" t="s">
        <v>160</v>
      </c>
      <c r="C97" s="337" t="s">
        <v>444</v>
      </c>
      <c r="D97" s="407" t="s">
        <v>248</v>
      </c>
      <c r="E97" s="407" t="s">
        <v>39</v>
      </c>
      <c r="F97" s="408">
        <v>3.6</v>
      </c>
      <c r="G97" s="235">
        <v>160000</v>
      </c>
      <c r="H97" s="235">
        <f>F97*G97</f>
        <v>576000</v>
      </c>
      <c r="I97" s="235">
        <v>50000</v>
      </c>
      <c r="J97" s="235">
        <f>F97*I97</f>
        <v>180000</v>
      </c>
      <c r="K97" s="235">
        <f>G97+I97</f>
        <v>210000</v>
      </c>
      <c r="L97" s="235">
        <f>F97*K97</f>
        <v>756000</v>
      </c>
      <c r="M97" s="411"/>
    </row>
    <row r="98" spans="1:19" s="409" customFormat="1" ht="18" customHeight="1">
      <c r="A98" s="336" t="s">
        <v>44</v>
      </c>
      <c r="B98" s="206" t="s">
        <v>519</v>
      </c>
      <c r="C98" s="337"/>
      <c r="D98" s="407" t="s">
        <v>208</v>
      </c>
      <c r="E98" s="407" t="s">
        <v>38</v>
      </c>
      <c r="F98" s="408">
        <v>1</v>
      </c>
      <c r="G98" s="235">
        <v>60000</v>
      </c>
      <c r="H98" s="235">
        <f>F98*G98</f>
        <v>60000</v>
      </c>
      <c r="I98" s="235">
        <v>20000</v>
      </c>
      <c r="J98" s="235">
        <f>F98*I98</f>
        <v>20000</v>
      </c>
      <c r="K98" s="235">
        <f>G98+I98</f>
        <v>80000</v>
      </c>
      <c r="L98" s="235">
        <f>F98*K98</f>
        <v>80000</v>
      </c>
      <c r="M98" s="411"/>
    </row>
    <row r="99" spans="1:19" s="421" customFormat="1" ht="18" customHeight="1">
      <c r="A99" s="417" t="s">
        <v>147</v>
      </c>
      <c r="B99" s="402" t="s">
        <v>390</v>
      </c>
      <c r="C99" s="424" t="s">
        <v>614</v>
      </c>
      <c r="D99" s="417" t="s">
        <v>229</v>
      </c>
      <c r="E99" s="418" t="s">
        <v>42</v>
      </c>
      <c r="F99" s="419">
        <v>1</v>
      </c>
      <c r="G99" s="405">
        <v>569000</v>
      </c>
      <c r="H99" s="405">
        <f>F99*G99</f>
        <v>569000</v>
      </c>
      <c r="I99" s="405">
        <v>50000</v>
      </c>
      <c r="J99" s="405">
        <f>F99*I99</f>
        <v>50000</v>
      </c>
      <c r="K99" s="405">
        <f t="shared" ref="K99" si="80">G99+I99</f>
        <v>619000</v>
      </c>
      <c r="L99" s="405">
        <f>F99*K99</f>
        <v>619000</v>
      </c>
      <c r="M99" s="420"/>
    </row>
    <row r="100" spans="1:19" s="409" customFormat="1" ht="18" customHeight="1">
      <c r="A100" s="336" t="s">
        <v>147</v>
      </c>
      <c r="B100" s="206" t="s">
        <v>391</v>
      </c>
      <c r="C100" s="436" t="s">
        <v>615</v>
      </c>
      <c r="D100" s="336" t="s">
        <v>229</v>
      </c>
      <c r="E100" s="407" t="s">
        <v>42</v>
      </c>
      <c r="F100" s="408">
        <v>1</v>
      </c>
      <c r="G100" s="235">
        <v>880000</v>
      </c>
      <c r="H100" s="235">
        <f>F100*G100</f>
        <v>880000</v>
      </c>
      <c r="I100" s="235">
        <v>50000</v>
      </c>
      <c r="J100" s="235">
        <f>F100*I100</f>
        <v>50000</v>
      </c>
      <c r="K100" s="235">
        <f>G100+I100</f>
        <v>930000</v>
      </c>
      <c r="L100" s="235">
        <f>F100*K100</f>
        <v>930000</v>
      </c>
      <c r="M100" s="441"/>
    </row>
    <row r="101" spans="1:19" s="409" customFormat="1" ht="18" customHeight="1">
      <c r="A101" s="336" t="s">
        <v>44</v>
      </c>
      <c r="B101" s="206" t="s">
        <v>319</v>
      </c>
      <c r="C101" s="337" t="s">
        <v>444</v>
      </c>
      <c r="D101" s="407" t="s">
        <v>208</v>
      </c>
      <c r="E101" s="407" t="s">
        <v>98</v>
      </c>
      <c r="F101" s="408">
        <v>2</v>
      </c>
      <c r="G101" s="235">
        <v>130000</v>
      </c>
      <c r="H101" s="235">
        <f>F101*G101</f>
        <v>260000</v>
      </c>
      <c r="I101" s="235">
        <v>50000</v>
      </c>
      <c r="J101" s="235">
        <f>F101*I101</f>
        <v>100000</v>
      </c>
      <c r="K101" s="235">
        <f>G101+I101</f>
        <v>180000</v>
      </c>
      <c r="L101" s="235">
        <f>F101*K101</f>
        <v>360000</v>
      </c>
      <c r="M101" s="411"/>
      <c r="O101" s="434"/>
      <c r="P101" s="434"/>
    </row>
    <row r="102" spans="1:19" s="409" customFormat="1" ht="18" customHeight="1">
      <c r="A102" s="336" t="s">
        <v>44</v>
      </c>
      <c r="B102" s="206" t="s">
        <v>518</v>
      </c>
      <c r="C102" s="337"/>
      <c r="D102" s="407" t="s">
        <v>208</v>
      </c>
      <c r="E102" s="407" t="s">
        <v>38</v>
      </c>
      <c r="F102" s="408">
        <v>1</v>
      </c>
      <c r="G102" s="235">
        <v>120000</v>
      </c>
      <c r="H102" s="235">
        <f t="shared" ref="H102" si="81">F102*G102</f>
        <v>120000</v>
      </c>
      <c r="I102" s="235">
        <v>20000</v>
      </c>
      <c r="J102" s="235">
        <f t="shared" ref="J102" si="82">F102*I102</f>
        <v>20000</v>
      </c>
      <c r="K102" s="235">
        <f t="shared" ref="K102" si="83">G102+I102</f>
        <v>140000</v>
      </c>
      <c r="L102" s="235">
        <f t="shared" ref="L102" si="84">F102*K102</f>
        <v>140000</v>
      </c>
      <c r="M102" s="411"/>
    </row>
    <row r="103" spans="1:19" s="409" customFormat="1" ht="18" customHeight="1">
      <c r="A103" s="418" t="s">
        <v>473</v>
      </c>
      <c r="B103" s="438" t="s">
        <v>514</v>
      </c>
      <c r="C103" s="439" t="s">
        <v>515</v>
      </c>
      <c r="D103" s="418" t="s">
        <v>516</v>
      </c>
      <c r="E103" s="418" t="s">
        <v>517</v>
      </c>
      <c r="F103" s="419">
        <v>0.6</v>
      </c>
      <c r="G103" s="440">
        <v>160000</v>
      </c>
      <c r="H103" s="440">
        <v>192000</v>
      </c>
      <c r="I103" s="440">
        <v>50000</v>
      </c>
      <c r="J103" s="440">
        <v>60000</v>
      </c>
      <c r="K103" s="440">
        <v>210000</v>
      </c>
      <c r="L103" s="440">
        <v>252000</v>
      </c>
      <c r="M103" s="420"/>
      <c r="N103" s="421"/>
      <c r="O103" s="421"/>
      <c r="P103" s="421"/>
      <c r="Q103" s="421"/>
      <c r="R103" s="421"/>
      <c r="S103" s="421"/>
    </row>
    <row r="104" spans="1:19" s="409" customFormat="1" ht="18" customHeight="1">
      <c r="A104" s="336" t="s">
        <v>44</v>
      </c>
      <c r="B104" s="206" t="s">
        <v>532</v>
      </c>
      <c r="C104" s="337" t="s">
        <v>444</v>
      </c>
      <c r="D104" s="407" t="s">
        <v>208</v>
      </c>
      <c r="E104" s="407" t="s">
        <v>39</v>
      </c>
      <c r="F104" s="408">
        <v>1.2</v>
      </c>
      <c r="G104" s="235">
        <v>160000</v>
      </c>
      <c r="H104" s="235">
        <f>F104*G104</f>
        <v>192000</v>
      </c>
      <c r="I104" s="235">
        <v>50000</v>
      </c>
      <c r="J104" s="235">
        <f>F104*I104</f>
        <v>60000</v>
      </c>
      <c r="K104" s="235">
        <f>G104+I104</f>
        <v>210000</v>
      </c>
      <c r="L104" s="235">
        <f>F104*K104</f>
        <v>252000</v>
      </c>
      <c r="M104" s="411"/>
    </row>
    <row r="105" spans="1:19" s="409" customFormat="1" ht="18" customHeight="1">
      <c r="A105" s="336" t="s">
        <v>44</v>
      </c>
      <c r="B105" s="206" t="s">
        <v>522</v>
      </c>
      <c r="C105" s="337" t="s">
        <v>444</v>
      </c>
      <c r="D105" s="407" t="s">
        <v>208</v>
      </c>
      <c r="E105" s="407" t="s">
        <v>39</v>
      </c>
      <c r="F105" s="408">
        <f>2.8*2</f>
        <v>5.6</v>
      </c>
      <c r="G105" s="235">
        <v>160000</v>
      </c>
      <c r="H105" s="235">
        <f>F105*G105</f>
        <v>896000</v>
      </c>
      <c r="I105" s="235">
        <v>50000</v>
      </c>
      <c r="J105" s="235">
        <f>F105*I105</f>
        <v>280000</v>
      </c>
      <c r="K105" s="235">
        <f>G105+I105</f>
        <v>210000</v>
      </c>
      <c r="L105" s="235">
        <f>F105*K105</f>
        <v>1176000</v>
      </c>
      <c r="M105" s="411"/>
    </row>
    <row r="106" spans="1:19" s="409" customFormat="1" ht="18" hidden="1" customHeight="1">
      <c r="A106" s="336"/>
      <c r="B106" s="206"/>
      <c r="C106" s="337"/>
      <c r="D106" s="407"/>
      <c r="E106" s="407"/>
      <c r="F106" s="408"/>
      <c r="G106" s="235"/>
      <c r="H106" s="235"/>
      <c r="I106" s="235"/>
      <c r="J106" s="235"/>
      <c r="K106" s="235"/>
      <c r="L106" s="235"/>
      <c r="M106" s="411"/>
    </row>
    <row r="107" spans="1:19" s="409" customFormat="1" ht="18" customHeight="1">
      <c r="A107" s="336"/>
      <c r="B107" s="206"/>
      <c r="C107" s="337"/>
      <c r="D107" s="407"/>
      <c r="E107" s="407"/>
      <c r="F107" s="408"/>
      <c r="G107" s="235"/>
      <c r="H107" s="235"/>
      <c r="I107" s="235"/>
      <c r="J107" s="235"/>
      <c r="K107" s="235"/>
      <c r="L107" s="235"/>
      <c r="M107" s="411"/>
    </row>
    <row r="108" spans="1:19" s="409" customFormat="1" ht="18" customHeight="1">
      <c r="A108" s="336">
        <v>-1</v>
      </c>
      <c r="B108" s="206" t="s">
        <v>329</v>
      </c>
      <c r="C108" s="337"/>
      <c r="D108" s="407"/>
      <c r="E108" s="407"/>
      <c r="F108" s="408"/>
      <c r="G108" s="235"/>
      <c r="H108" s="235"/>
      <c r="I108" s="235"/>
      <c r="J108" s="235"/>
      <c r="K108" s="235"/>
      <c r="L108" s="235"/>
      <c r="M108" s="411"/>
    </row>
    <row r="109" spans="1:19" s="409" customFormat="1" ht="18" customHeight="1">
      <c r="A109" s="336" t="s">
        <v>44</v>
      </c>
      <c r="B109" s="206" t="s">
        <v>616</v>
      </c>
      <c r="C109" s="337" t="s">
        <v>617</v>
      </c>
      <c r="D109" s="407" t="s">
        <v>329</v>
      </c>
      <c r="E109" s="407" t="s">
        <v>41</v>
      </c>
      <c r="F109" s="408">
        <v>1</v>
      </c>
      <c r="G109" s="235">
        <v>200000</v>
      </c>
      <c r="H109" s="235">
        <f>F109*G109</f>
        <v>200000</v>
      </c>
      <c r="I109" s="235">
        <v>50000</v>
      </c>
      <c r="J109" s="235">
        <f>F109*I109</f>
        <v>50000</v>
      </c>
      <c r="K109" s="235">
        <f>G109+I109</f>
        <v>250000</v>
      </c>
      <c r="L109" s="235">
        <f>F109*K109</f>
        <v>250000</v>
      </c>
      <c r="M109" s="411"/>
    </row>
    <row r="110" spans="1:19" s="7" customFormat="1" ht="18" customHeight="1">
      <c r="A110" s="292" t="s">
        <v>44</v>
      </c>
      <c r="B110" s="260" t="s">
        <v>259</v>
      </c>
      <c r="C110" s="293" t="s">
        <v>444</v>
      </c>
      <c r="D110" s="201" t="s">
        <v>329</v>
      </c>
      <c r="E110" s="262" t="s">
        <v>39</v>
      </c>
      <c r="F110" s="294">
        <v>1.7</v>
      </c>
      <c r="G110" s="264">
        <v>160000</v>
      </c>
      <c r="H110" s="264">
        <f>F110*G110</f>
        <v>272000</v>
      </c>
      <c r="I110" s="264">
        <v>50000</v>
      </c>
      <c r="J110" s="264">
        <f>F110*I110</f>
        <v>85000</v>
      </c>
      <c r="K110" s="264">
        <f>G110+I110</f>
        <v>210000</v>
      </c>
      <c r="L110" s="264">
        <f>F110*K110</f>
        <v>357000</v>
      </c>
      <c r="M110" s="204"/>
    </row>
    <row r="111" spans="1:19" s="7" customFormat="1" ht="18" customHeight="1">
      <c r="A111" s="292" t="s">
        <v>44</v>
      </c>
      <c r="B111" s="260" t="s">
        <v>521</v>
      </c>
      <c r="C111" s="293"/>
      <c r="D111" s="201" t="s">
        <v>329</v>
      </c>
      <c r="E111" s="262" t="s">
        <v>38</v>
      </c>
      <c r="F111" s="294">
        <v>1</v>
      </c>
      <c r="G111" s="264">
        <v>60000</v>
      </c>
      <c r="H111" s="264">
        <f t="shared" ref="H111" si="85">F111*G111</f>
        <v>60000</v>
      </c>
      <c r="I111" s="264">
        <v>20000</v>
      </c>
      <c r="J111" s="264">
        <f t="shared" ref="J111" si="86">F111*I111</f>
        <v>20000</v>
      </c>
      <c r="K111" s="264">
        <f t="shared" ref="K111" si="87">G111+I111</f>
        <v>80000</v>
      </c>
      <c r="L111" s="264">
        <f t="shared" ref="L111" si="88">F111*K111</f>
        <v>80000</v>
      </c>
      <c r="M111" s="249"/>
    </row>
    <row r="112" spans="1:19" s="128" customFormat="1" ht="18" customHeight="1">
      <c r="A112" s="314" t="s">
        <v>44</v>
      </c>
      <c r="B112" s="315" t="s">
        <v>660</v>
      </c>
      <c r="C112" s="316"/>
      <c r="D112" s="317" t="s">
        <v>329</v>
      </c>
      <c r="E112" s="317" t="s">
        <v>75</v>
      </c>
      <c r="F112" s="318">
        <v>1</v>
      </c>
      <c r="G112" s="319">
        <v>300000</v>
      </c>
      <c r="H112" s="319">
        <f>F112*G112</f>
        <v>300000</v>
      </c>
      <c r="I112" s="319">
        <v>0</v>
      </c>
      <c r="J112" s="319">
        <f>F112*I112</f>
        <v>0</v>
      </c>
      <c r="K112" s="319">
        <f>G112+I112</f>
        <v>300000</v>
      </c>
      <c r="L112" s="319">
        <f>F112*K112</f>
        <v>300000</v>
      </c>
      <c r="M112" s="320"/>
    </row>
    <row r="113" spans="1:16" s="7" customFormat="1" ht="18" customHeight="1">
      <c r="A113" s="292"/>
      <c r="B113" s="260"/>
      <c r="C113" s="293"/>
      <c r="D113" s="201"/>
      <c r="E113" s="262"/>
      <c r="F113" s="294"/>
      <c r="G113" s="264"/>
      <c r="H113" s="264"/>
      <c r="I113" s="264"/>
      <c r="J113" s="264"/>
      <c r="K113" s="264"/>
      <c r="L113" s="264"/>
      <c r="M113" s="204"/>
      <c r="O113" s="130"/>
      <c r="P113" s="130"/>
    </row>
    <row r="114" spans="1:16" s="7" customFormat="1" ht="18" hidden="1" customHeight="1">
      <c r="A114" s="271">
        <v>-1</v>
      </c>
      <c r="B114" s="260" t="s">
        <v>439</v>
      </c>
      <c r="C114" s="261"/>
      <c r="D114" s="201"/>
      <c r="E114" s="262"/>
      <c r="F114" s="272"/>
      <c r="G114" s="264"/>
      <c r="H114" s="264"/>
      <c r="I114" s="264"/>
      <c r="J114" s="264"/>
      <c r="K114" s="264"/>
      <c r="L114" s="264"/>
      <c r="M114" s="204"/>
    </row>
    <row r="115" spans="1:16" s="7" customFormat="1" ht="18" hidden="1" customHeight="1">
      <c r="A115" s="292" t="s">
        <v>147</v>
      </c>
      <c r="B115" s="260" t="s">
        <v>390</v>
      </c>
      <c r="C115" s="293" t="s">
        <v>284</v>
      </c>
      <c r="D115" s="336" t="s">
        <v>441</v>
      </c>
      <c r="E115" s="262" t="s">
        <v>42</v>
      </c>
      <c r="F115" s="294"/>
      <c r="G115" s="264">
        <v>286000</v>
      </c>
      <c r="H115" s="264">
        <f>F115*G115</f>
        <v>0</v>
      </c>
      <c r="I115" s="264">
        <v>50000</v>
      </c>
      <c r="J115" s="264">
        <f>F115*I115</f>
        <v>0</v>
      </c>
      <c r="K115" s="264">
        <f t="shared" ref="K115" si="89">G115+I115</f>
        <v>336000</v>
      </c>
      <c r="L115" s="264">
        <f>F115*K115</f>
        <v>0</v>
      </c>
      <c r="M115" s="295"/>
    </row>
    <row r="116" spans="1:16" s="7" customFormat="1" ht="18" hidden="1" customHeight="1">
      <c r="A116" s="292" t="s">
        <v>147</v>
      </c>
      <c r="B116" s="260" t="s">
        <v>231</v>
      </c>
      <c r="C116" s="304" t="s">
        <v>279</v>
      </c>
      <c r="D116" s="336" t="s">
        <v>442</v>
      </c>
      <c r="E116" s="262" t="s">
        <v>42</v>
      </c>
      <c r="F116" s="294"/>
      <c r="G116" s="264">
        <v>295000</v>
      </c>
      <c r="H116" s="264">
        <f t="shared" ref="H116" si="90">F116*G116</f>
        <v>0</v>
      </c>
      <c r="I116" s="264">
        <v>50000</v>
      </c>
      <c r="J116" s="264">
        <f t="shared" ref="J116" si="91">F116*I116</f>
        <v>0</v>
      </c>
      <c r="K116" s="264">
        <f t="shared" ref="K116" si="92">G116+I116</f>
        <v>345000</v>
      </c>
      <c r="L116" s="264">
        <f t="shared" ref="L116" si="93">F116*K116</f>
        <v>0</v>
      </c>
      <c r="M116" s="249"/>
    </row>
    <row r="117" spans="1:16" s="7" customFormat="1" ht="18" hidden="1" customHeight="1">
      <c r="A117" s="292" t="s">
        <v>147</v>
      </c>
      <c r="B117" s="260" t="s">
        <v>440</v>
      </c>
      <c r="C117" s="293" t="s">
        <v>444</v>
      </c>
      <c r="D117" s="201" t="s">
        <v>443</v>
      </c>
      <c r="E117" s="262" t="s">
        <v>39</v>
      </c>
      <c r="F117" s="294"/>
      <c r="G117" s="264">
        <v>160000</v>
      </c>
      <c r="H117" s="264">
        <f>F117*G117</f>
        <v>0</v>
      </c>
      <c r="I117" s="264">
        <v>50000</v>
      </c>
      <c r="J117" s="264">
        <f>F117*I117</f>
        <v>0</v>
      </c>
      <c r="K117" s="264">
        <f>G117+I117</f>
        <v>210000</v>
      </c>
      <c r="L117" s="264">
        <f>F117*K117</f>
        <v>0</v>
      </c>
      <c r="M117" s="204"/>
    </row>
    <row r="118" spans="1:16" s="7" customFormat="1" ht="18" hidden="1" customHeight="1">
      <c r="A118" s="292"/>
      <c r="B118" s="260"/>
      <c r="C118" s="293"/>
      <c r="D118" s="201"/>
      <c r="E118" s="262"/>
      <c r="F118" s="264"/>
      <c r="G118" s="264"/>
      <c r="H118" s="264"/>
      <c r="I118" s="264"/>
      <c r="J118" s="264"/>
      <c r="K118" s="264"/>
      <c r="L118" s="264"/>
      <c r="M118" s="204"/>
    </row>
    <row r="119" spans="1:16" s="7" customFormat="1" ht="18" hidden="1" customHeight="1">
      <c r="A119" s="271">
        <v>-1</v>
      </c>
      <c r="B119" s="260" t="s">
        <v>324</v>
      </c>
      <c r="C119" s="261"/>
      <c r="D119" s="201"/>
      <c r="E119" s="262"/>
      <c r="F119" s="294"/>
      <c r="G119" s="264"/>
      <c r="H119" s="264"/>
      <c r="I119" s="264"/>
      <c r="J119" s="264"/>
      <c r="K119" s="264"/>
      <c r="L119" s="264"/>
      <c r="M119" s="204"/>
    </row>
    <row r="120" spans="1:16" s="7" customFormat="1" ht="18" hidden="1" customHeight="1">
      <c r="A120" s="292" t="s">
        <v>12</v>
      </c>
      <c r="B120" s="260" t="s">
        <v>183</v>
      </c>
      <c r="C120" s="293" t="s">
        <v>445</v>
      </c>
      <c r="D120" s="201"/>
      <c r="E120" s="262" t="s">
        <v>98</v>
      </c>
      <c r="F120" s="294"/>
      <c r="G120" s="264">
        <v>130000</v>
      </c>
      <c r="H120" s="264">
        <f>F120*G120</f>
        <v>0</v>
      </c>
      <c r="I120" s="264">
        <v>30000</v>
      </c>
      <c r="J120" s="264">
        <f>F120*I120</f>
        <v>0</v>
      </c>
      <c r="K120" s="264">
        <f>G120+I120</f>
        <v>160000</v>
      </c>
      <c r="L120" s="264">
        <f>F120*K120</f>
        <v>0</v>
      </c>
      <c r="M120" s="204"/>
    </row>
    <row r="121" spans="1:16" s="7" customFormat="1" ht="18" hidden="1" customHeight="1">
      <c r="A121" s="292" t="s">
        <v>12</v>
      </c>
      <c r="B121" s="260" t="s">
        <v>183</v>
      </c>
      <c r="C121" s="293" t="s">
        <v>446</v>
      </c>
      <c r="D121" s="201"/>
      <c r="E121" s="262" t="s">
        <v>98</v>
      </c>
      <c r="F121" s="294"/>
      <c r="G121" s="264">
        <v>130000</v>
      </c>
      <c r="H121" s="264">
        <f>F121*G121</f>
        <v>0</v>
      </c>
      <c r="I121" s="264">
        <v>30000</v>
      </c>
      <c r="J121" s="264">
        <f>F121*I121</f>
        <v>0</v>
      </c>
      <c r="K121" s="264">
        <f>G121+I121</f>
        <v>160000</v>
      </c>
      <c r="L121" s="264">
        <f>F121*K121</f>
        <v>0</v>
      </c>
      <c r="M121" s="204"/>
    </row>
    <row r="122" spans="1:16" s="7" customFormat="1" ht="18" hidden="1" customHeight="1">
      <c r="A122" s="292"/>
      <c r="B122" s="260"/>
      <c r="C122" s="293"/>
      <c r="D122" s="201"/>
      <c r="E122" s="262"/>
      <c r="F122" s="294"/>
      <c r="G122" s="264"/>
      <c r="H122" s="264"/>
      <c r="I122" s="264"/>
      <c r="J122" s="264"/>
      <c r="K122" s="264"/>
      <c r="L122" s="264"/>
      <c r="M122" s="204"/>
    </row>
    <row r="123" spans="1:16" s="7" customFormat="1" ht="18" customHeight="1">
      <c r="A123" s="271">
        <v>-1</v>
      </c>
      <c r="B123" s="260" t="s">
        <v>322</v>
      </c>
      <c r="C123" s="261"/>
      <c r="D123" s="201"/>
      <c r="E123" s="262"/>
      <c r="F123" s="272"/>
      <c r="G123" s="264"/>
      <c r="H123" s="264"/>
      <c r="I123" s="264"/>
      <c r="J123" s="264"/>
      <c r="K123" s="264"/>
      <c r="L123" s="264"/>
      <c r="M123" s="204"/>
    </row>
    <row r="124" spans="1:16" s="409" customFormat="1" ht="18" customHeight="1">
      <c r="A124" s="336" t="s">
        <v>44</v>
      </c>
      <c r="B124" s="206" t="s">
        <v>253</v>
      </c>
      <c r="C124" s="337" t="s">
        <v>498</v>
      </c>
      <c r="D124" s="407" t="s">
        <v>159</v>
      </c>
      <c r="E124" s="407" t="s">
        <v>98</v>
      </c>
      <c r="F124" s="408">
        <v>15</v>
      </c>
      <c r="G124" s="235">
        <v>450000</v>
      </c>
      <c r="H124" s="235">
        <f t="shared" ref="H124:H128" si="94">F124*G124</f>
        <v>6750000</v>
      </c>
      <c r="I124" s="235">
        <v>50000</v>
      </c>
      <c r="J124" s="235">
        <f>F124*I124</f>
        <v>750000</v>
      </c>
      <c r="K124" s="235">
        <f t="shared" ref="K124" si="95">G124+I124</f>
        <v>500000</v>
      </c>
      <c r="L124" s="235">
        <f>F124*K124</f>
        <v>7500000</v>
      </c>
      <c r="M124" s="411"/>
      <c r="O124" s="434"/>
      <c r="P124" s="434"/>
    </row>
    <row r="125" spans="1:16" s="409" customFormat="1" ht="18" hidden="1" customHeight="1">
      <c r="A125" s="336" t="s">
        <v>44</v>
      </c>
      <c r="B125" s="206" t="s">
        <v>447</v>
      </c>
      <c r="C125" s="337" t="s">
        <v>449</v>
      </c>
      <c r="D125" s="407" t="s">
        <v>159</v>
      </c>
      <c r="E125" s="407" t="s">
        <v>98</v>
      </c>
      <c r="F125" s="408"/>
      <c r="G125" s="235">
        <v>30000</v>
      </c>
      <c r="H125" s="235">
        <f t="shared" si="94"/>
        <v>0</v>
      </c>
      <c r="I125" s="235">
        <v>50000</v>
      </c>
      <c r="J125" s="235">
        <f>F125*I125</f>
        <v>0</v>
      </c>
      <c r="K125" s="235">
        <f t="shared" ref="K125" si="96">G125+I125</f>
        <v>80000</v>
      </c>
      <c r="L125" s="235">
        <f>F125*K125</f>
        <v>0</v>
      </c>
      <c r="M125" s="411"/>
      <c r="O125" s="434"/>
      <c r="P125" s="434"/>
    </row>
    <row r="126" spans="1:16" s="409" customFormat="1" ht="18" customHeight="1">
      <c r="A126" s="336" t="s">
        <v>44</v>
      </c>
      <c r="B126" s="206" t="s">
        <v>275</v>
      </c>
      <c r="C126" s="337" t="s">
        <v>513</v>
      </c>
      <c r="D126" s="407" t="s">
        <v>159</v>
      </c>
      <c r="E126" s="407" t="s">
        <v>75</v>
      </c>
      <c r="F126" s="408">
        <v>1</v>
      </c>
      <c r="G126" s="235">
        <v>50000</v>
      </c>
      <c r="H126" s="235">
        <f t="shared" ref="H126" si="97">F126*G126</f>
        <v>50000</v>
      </c>
      <c r="I126" s="235">
        <v>20000</v>
      </c>
      <c r="J126" s="235">
        <f>F126*I126</f>
        <v>20000</v>
      </c>
      <c r="K126" s="235">
        <f t="shared" ref="K126" si="98">G126+I126</f>
        <v>70000</v>
      </c>
      <c r="L126" s="235">
        <f>F126*K126</f>
        <v>70000</v>
      </c>
      <c r="M126" s="411"/>
      <c r="O126" s="434"/>
      <c r="P126" s="434"/>
    </row>
    <row r="127" spans="1:16" s="409" customFormat="1" ht="18" customHeight="1">
      <c r="A127" s="336" t="s">
        <v>376</v>
      </c>
      <c r="B127" s="206" t="s">
        <v>448</v>
      </c>
      <c r="C127" s="337" t="s">
        <v>450</v>
      </c>
      <c r="D127" s="407" t="s">
        <v>159</v>
      </c>
      <c r="E127" s="407" t="s">
        <v>451</v>
      </c>
      <c r="F127" s="408">
        <v>2</v>
      </c>
      <c r="G127" s="235">
        <v>150000</v>
      </c>
      <c r="H127" s="235">
        <f t="shared" si="94"/>
        <v>300000</v>
      </c>
      <c r="I127" s="235">
        <v>50000</v>
      </c>
      <c r="J127" s="235">
        <f t="shared" ref="J127" si="99">F127*I127</f>
        <v>100000</v>
      </c>
      <c r="K127" s="235">
        <f>G127+I127</f>
        <v>200000</v>
      </c>
      <c r="L127" s="235">
        <f t="shared" ref="L127" si="100">F127*K127</f>
        <v>400000</v>
      </c>
      <c r="M127" s="411"/>
      <c r="O127" s="434"/>
      <c r="P127" s="434"/>
    </row>
    <row r="128" spans="1:16" s="409" customFormat="1" ht="18" customHeight="1">
      <c r="A128" s="336" t="s">
        <v>44</v>
      </c>
      <c r="B128" s="206" t="s">
        <v>510</v>
      </c>
      <c r="C128" s="337" t="s">
        <v>511</v>
      </c>
      <c r="D128" s="407" t="s">
        <v>159</v>
      </c>
      <c r="E128" s="407" t="s">
        <v>75</v>
      </c>
      <c r="F128" s="408">
        <v>1</v>
      </c>
      <c r="G128" s="235">
        <v>150000</v>
      </c>
      <c r="H128" s="235">
        <f t="shared" si="94"/>
        <v>150000</v>
      </c>
      <c r="I128" s="235">
        <v>200000</v>
      </c>
      <c r="J128" s="235">
        <f t="shared" ref="J128" si="101">F128*I128</f>
        <v>200000</v>
      </c>
      <c r="K128" s="235">
        <f>G128+I128</f>
        <v>350000</v>
      </c>
      <c r="L128" s="235">
        <f t="shared" ref="L128" si="102">F128*K128</f>
        <v>350000</v>
      </c>
      <c r="M128" s="411"/>
      <c r="O128" s="434"/>
      <c r="P128" s="434"/>
    </row>
    <row r="129" spans="1:16" s="416" customFormat="1" ht="18" customHeight="1">
      <c r="A129" s="422" t="s">
        <v>44</v>
      </c>
      <c r="B129" s="237" t="s">
        <v>512</v>
      </c>
      <c r="C129" s="428" t="s">
        <v>264</v>
      </c>
      <c r="D129" s="413" t="s">
        <v>159</v>
      </c>
      <c r="E129" s="413"/>
      <c r="F129" s="414">
        <v>0</v>
      </c>
      <c r="G129" s="241">
        <v>0</v>
      </c>
      <c r="H129" s="241">
        <f t="shared" ref="H129" si="103">F129*G129</f>
        <v>0</v>
      </c>
      <c r="I129" s="241">
        <v>0</v>
      </c>
      <c r="J129" s="241">
        <f t="shared" ref="J129" si="104">F129*I129</f>
        <v>0</v>
      </c>
      <c r="K129" s="241">
        <f>G129+I129</f>
        <v>0</v>
      </c>
      <c r="L129" s="241">
        <f t="shared" ref="L129" si="105">F129*K129</f>
        <v>0</v>
      </c>
      <c r="M129" s="415"/>
      <c r="O129" s="435"/>
      <c r="P129" s="435"/>
    </row>
    <row r="130" spans="1:16" s="409" customFormat="1" ht="18" customHeight="1">
      <c r="A130" s="336" t="s">
        <v>44</v>
      </c>
      <c r="B130" s="206" t="s">
        <v>523</v>
      </c>
      <c r="C130" s="337" t="s">
        <v>450</v>
      </c>
      <c r="D130" s="407" t="s">
        <v>159</v>
      </c>
      <c r="E130" s="407" t="s">
        <v>38</v>
      </c>
      <c r="F130" s="408">
        <v>0</v>
      </c>
      <c r="G130" s="235">
        <v>150000</v>
      </c>
      <c r="H130" s="235">
        <f>F130*G130</f>
        <v>0</v>
      </c>
      <c r="I130" s="235">
        <v>50000</v>
      </c>
      <c r="J130" s="235">
        <f>F130*I130</f>
        <v>0</v>
      </c>
      <c r="K130" s="235">
        <f>G130+I130</f>
        <v>200000</v>
      </c>
      <c r="L130" s="235">
        <f>F130*K130</f>
        <v>0</v>
      </c>
      <c r="M130" s="411"/>
      <c r="O130" s="434"/>
      <c r="P130" s="434"/>
    </row>
    <row r="131" spans="1:16" s="128" customFormat="1" ht="18" customHeight="1">
      <c r="A131" s="314" t="s">
        <v>44</v>
      </c>
      <c r="B131" s="315" t="s">
        <v>658</v>
      </c>
      <c r="C131" s="316" t="s">
        <v>659</v>
      </c>
      <c r="D131" s="317" t="s">
        <v>159</v>
      </c>
      <c r="E131" s="317" t="s">
        <v>38</v>
      </c>
      <c r="F131" s="318">
        <v>20</v>
      </c>
      <c r="G131" s="319">
        <v>30000</v>
      </c>
      <c r="H131" s="319">
        <f>F131*G131</f>
        <v>600000</v>
      </c>
      <c r="I131" s="319">
        <v>0</v>
      </c>
      <c r="J131" s="319">
        <f>F131*I131</f>
        <v>0</v>
      </c>
      <c r="K131" s="319">
        <f>G131+I131</f>
        <v>30000</v>
      </c>
      <c r="L131" s="319">
        <f>F131*K131</f>
        <v>600000</v>
      </c>
      <c r="M131" s="320"/>
      <c r="O131" s="130"/>
      <c r="P131" s="130"/>
    </row>
    <row r="132" spans="1:16" s="7" customFormat="1" ht="18" customHeight="1">
      <c r="A132" s="292"/>
      <c r="B132" s="260"/>
      <c r="C132" s="293"/>
      <c r="D132" s="201"/>
      <c r="E132" s="262"/>
      <c r="F132" s="294"/>
      <c r="G132" s="264"/>
      <c r="H132" s="264"/>
      <c r="I132" s="264"/>
      <c r="J132" s="264"/>
      <c r="K132" s="264"/>
      <c r="L132" s="264"/>
      <c r="M132" s="204"/>
    </row>
    <row r="133" spans="1:16" s="7" customFormat="1" ht="18" customHeight="1">
      <c r="A133" s="292">
        <v>-1</v>
      </c>
      <c r="B133" s="260" t="s">
        <v>625</v>
      </c>
      <c r="C133" s="293"/>
      <c r="D133" s="201"/>
      <c r="E133" s="262"/>
      <c r="F133" s="294"/>
      <c r="G133" s="264"/>
      <c r="H133" s="264"/>
      <c r="I133" s="264"/>
      <c r="J133" s="264"/>
      <c r="K133" s="264"/>
      <c r="L133" s="264"/>
      <c r="M133" s="204"/>
    </row>
    <row r="134" spans="1:16" s="7" customFormat="1" ht="18" customHeight="1">
      <c r="A134" s="292" t="s">
        <v>44</v>
      </c>
      <c r="B134" s="260" t="s">
        <v>254</v>
      </c>
      <c r="C134" s="293" t="s">
        <v>176</v>
      </c>
      <c r="D134" s="201" t="s">
        <v>618</v>
      </c>
      <c r="E134" s="262" t="s">
        <v>98</v>
      </c>
      <c r="F134" s="294">
        <v>6</v>
      </c>
      <c r="G134" s="264">
        <v>130000</v>
      </c>
      <c r="H134" s="264">
        <f t="shared" ref="H134:H141" si="106">F134*G134</f>
        <v>780000</v>
      </c>
      <c r="I134" s="264">
        <v>50000</v>
      </c>
      <c r="J134" s="264">
        <f t="shared" ref="J134:J141" si="107">F134*I134</f>
        <v>300000</v>
      </c>
      <c r="K134" s="264">
        <f t="shared" ref="K134:K141" si="108">G134+I134</f>
        <v>180000</v>
      </c>
      <c r="L134" s="264">
        <f t="shared" ref="L134:L141" si="109">F134*K134</f>
        <v>1080000</v>
      </c>
      <c r="M134" s="204"/>
    </row>
    <row r="135" spans="1:16" s="7" customFormat="1" ht="18" customHeight="1">
      <c r="A135" s="292" t="s">
        <v>44</v>
      </c>
      <c r="B135" s="260" t="s">
        <v>524</v>
      </c>
      <c r="C135" s="293"/>
      <c r="D135" s="201" t="s">
        <v>618</v>
      </c>
      <c r="E135" s="262" t="s">
        <v>38</v>
      </c>
      <c r="F135" s="294">
        <v>2</v>
      </c>
      <c r="G135" s="264">
        <v>120000</v>
      </c>
      <c r="H135" s="264">
        <f t="shared" si="106"/>
        <v>240000</v>
      </c>
      <c r="I135" s="264">
        <v>20000</v>
      </c>
      <c r="J135" s="264">
        <f t="shared" si="107"/>
        <v>40000</v>
      </c>
      <c r="K135" s="264">
        <f t="shared" si="108"/>
        <v>140000</v>
      </c>
      <c r="L135" s="264">
        <f t="shared" si="109"/>
        <v>280000</v>
      </c>
      <c r="M135" s="204"/>
    </row>
    <row r="136" spans="1:16" s="7" customFormat="1" ht="18" customHeight="1">
      <c r="A136" s="292" t="s">
        <v>44</v>
      </c>
      <c r="B136" s="260" t="s">
        <v>525</v>
      </c>
      <c r="C136" s="293" t="s">
        <v>528</v>
      </c>
      <c r="D136" s="201" t="s">
        <v>618</v>
      </c>
      <c r="E136" s="262" t="s">
        <v>75</v>
      </c>
      <c r="F136" s="294">
        <v>1</v>
      </c>
      <c r="G136" s="264">
        <v>1500000</v>
      </c>
      <c r="H136" s="264">
        <f t="shared" si="106"/>
        <v>1500000</v>
      </c>
      <c r="I136" s="264">
        <v>500000</v>
      </c>
      <c r="J136" s="264">
        <f t="shared" si="107"/>
        <v>500000</v>
      </c>
      <c r="K136" s="264">
        <f t="shared" si="108"/>
        <v>2000000</v>
      </c>
      <c r="L136" s="264">
        <f t="shared" si="109"/>
        <v>2000000</v>
      </c>
      <c r="M136" s="289" t="s">
        <v>527</v>
      </c>
    </row>
    <row r="137" spans="1:16" s="7" customFormat="1" ht="18" customHeight="1">
      <c r="A137" s="292" t="s">
        <v>44</v>
      </c>
      <c r="B137" s="260" t="s">
        <v>526</v>
      </c>
      <c r="C137" s="293" t="s">
        <v>528</v>
      </c>
      <c r="D137" s="201" t="s">
        <v>618</v>
      </c>
      <c r="E137" s="262" t="s">
        <v>75</v>
      </c>
      <c r="F137" s="294">
        <v>1</v>
      </c>
      <c r="G137" s="264">
        <v>800000</v>
      </c>
      <c r="H137" s="264">
        <f t="shared" si="106"/>
        <v>800000</v>
      </c>
      <c r="I137" s="264">
        <v>200000</v>
      </c>
      <c r="J137" s="264">
        <f t="shared" si="107"/>
        <v>200000</v>
      </c>
      <c r="K137" s="264">
        <f t="shared" si="108"/>
        <v>1000000</v>
      </c>
      <c r="L137" s="264">
        <f t="shared" si="109"/>
        <v>1000000</v>
      </c>
      <c r="M137" s="242" t="s">
        <v>527</v>
      </c>
    </row>
    <row r="138" spans="1:16" s="7" customFormat="1" ht="18" customHeight="1">
      <c r="A138" s="292" t="s">
        <v>44</v>
      </c>
      <c r="B138" s="260" t="s">
        <v>529</v>
      </c>
      <c r="C138" s="293" t="s">
        <v>528</v>
      </c>
      <c r="D138" s="201" t="s">
        <v>618</v>
      </c>
      <c r="E138" s="262" t="s">
        <v>75</v>
      </c>
      <c r="F138" s="294">
        <v>1</v>
      </c>
      <c r="G138" s="264">
        <v>100000</v>
      </c>
      <c r="H138" s="264">
        <f t="shared" si="106"/>
        <v>100000</v>
      </c>
      <c r="I138" s="264">
        <v>150000</v>
      </c>
      <c r="J138" s="264">
        <f t="shared" si="107"/>
        <v>150000</v>
      </c>
      <c r="K138" s="264">
        <f t="shared" si="108"/>
        <v>250000</v>
      </c>
      <c r="L138" s="264">
        <f t="shared" si="109"/>
        <v>250000</v>
      </c>
      <c r="M138" s="204"/>
    </row>
    <row r="139" spans="1:16" s="7" customFormat="1" ht="18" customHeight="1">
      <c r="A139" s="292" t="s">
        <v>44</v>
      </c>
      <c r="B139" s="260" t="s">
        <v>530</v>
      </c>
      <c r="C139" s="293" t="s">
        <v>531</v>
      </c>
      <c r="D139" s="201" t="s">
        <v>618</v>
      </c>
      <c r="E139" s="262" t="s">
        <v>39</v>
      </c>
      <c r="F139" s="294">
        <v>1</v>
      </c>
      <c r="G139" s="264">
        <v>160000</v>
      </c>
      <c r="H139" s="264">
        <f t="shared" si="106"/>
        <v>160000</v>
      </c>
      <c r="I139" s="264">
        <v>50000</v>
      </c>
      <c r="J139" s="264">
        <f t="shared" si="107"/>
        <v>50000</v>
      </c>
      <c r="K139" s="264">
        <f t="shared" si="108"/>
        <v>210000</v>
      </c>
      <c r="L139" s="264">
        <f t="shared" si="109"/>
        <v>210000</v>
      </c>
      <c r="M139" s="204"/>
    </row>
    <row r="140" spans="1:16" s="7" customFormat="1" ht="18" customHeight="1">
      <c r="A140" s="292" t="s">
        <v>44</v>
      </c>
      <c r="B140" s="260" t="s">
        <v>533</v>
      </c>
      <c r="C140" s="380" t="s">
        <v>534</v>
      </c>
      <c r="D140" s="201" t="s">
        <v>618</v>
      </c>
      <c r="E140" s="262" t="s">
        <v>75</v>
      </c>
      <c r="F140" s="294">
        <v>0</v>
      </c>
      <c r="G140" s="264">
        <v>0</v>
      </c>
      <c r="H140" s="264">
        <f t="shared" si="106"/>
        <v>0</v>
      </c>
      <c r="I140" s="264">
        <v>0</v>
      </c>
      <c r="J140" s="264">
        <f t="shared" si="107"/>
        <v>0</v>
      </c>
      <c r="K140" s="264">
        <f t="shared" si="108"/>
        <v>0</v>
      </c>
      <c r="L140" s="264">
        <f t="shared" si="109"/>
        <v>0</v>
      </c>
      <c r="M140" s="204"/>
    </row>
    <row r="141" spans="1:16" s="7" customFormat="1" ht="18" customHeight="1">
      <c r="A141" s="292" t="s">
        <v>44</v>
      </c>
      <c r="B141" s="260" t="s">
        <v>535</v>
      </c>
      <c r="C141" s="293" t="s">
        <v>343</v>
      </c>
      <c r="D141" s="201" t="s">
        <v>618</v>
      </c>
      <c r="E141" s="262" t="s">
        <v>75</v>
      </c>
      <c r="F141" s="294">
        <v>1</v>
      </c>
      <c r="G141" s="264">
        <v>400000</v>
      </c>
      <c r="H141" s="264">
        <f t="shared" si="106"/>
        <v>400000</v>
      </c>
      <c r="I141" s="264">
        <v>80000</v>
      </c>
      <c r="J141" s="264">
        <f t="shared" si="107"/>
        <v>80000</v>
      </c>
      <c r="K141" s="264">
        <f t="shared" si="108"/>
        <v>480000</v>
      </c>
      <c r="L141" s="264">
        <f t="shared" si="109"/>
        <v>480000</v>
      </c>
      <c r="M141" s="242" t="s">
        <v>527</v>
      </c>
    </row>
    <row r="142" spans="1:16" s="7" customFormat="1" ht="18" customHeight="1">
      <c r="A142" s="292"/>
      <c r="B142" s="260"/>
      <c r="C142" s="293"/>
      <c r="D142" s="201"/>
      <c r="E142" s="262"/>
      <c r="F142" s="294"/>
      <c r="G142" s="264"/>
      <c r="H142" s="264"/>
      <c r="I142" s="264"/>
      <c r="J142" s="264"/>
      <c r="K142" s="264"/>
      <c r="L142" s="264"/>
      <c r="M142" s="204"/>
    </row>
    <row r="143" spans="1:16" s="7" customFormat="1" ht="18" customHeight="1">
      <c r="A143" s="292">
        <v>-1</v>
      </c>
      <c r="B143" s="260" t="s">
        <v>624</v>
      </c>
      <c r="C143" s="293"/>
      <c r="D143" s="201"/>
      <c r="E143" s="262"/>
      <c r="F143" s="294"/>
      <c r="G143" s="264"/>
      <c r="H143" s="264"/>
      <c r="I143" s="264"/>
      <c r="J143" s="264"/>
      <c r="K143" s="264"/>
      <c r="L143" s="264"/>
      <c r="M143" s="204"/>
    </row>
    <row r="144" spans="1:16" s="7" customFormat="1" ht="18" customHeight="1">
      <c r="A144" s="292" t="s">
        <v>44</v>
      </c>
      <c r="B144" s="260" t="s">
        <v>254</v>
      </c>
      <c r="C144" s="293" t="s">
        <v>176</v>
      </c>
      <c r="D144" s="201" t="s">
        <v>619</v>
      </c>
      <c r="E144" s="262" t="s">
        <v>98</v>
      </c>
      <c r="F144" s="294">
        <v>14</v>
      </c>
      <c r="G144" s="264">
        <v>130000</v>
      </c>
      <c r="H144" s="264">
        <f>F144*G144</f>
        <v>1820000</v>
      </c>
      <c r="I144" s="264">
        <v>50000</v>
      </c>
      <c r="J144" s="264">
        <f>F144*I144</f>
        <v>700000</v>
      </c>
      <c r="K144" s="264">
        <f>G144+I144</f>
        <v>180000</v>
      </c>
      <c r="L144" s="264">
        <f>F144*K144</f>
        <v>2520000</v>
      </c>
      <c r="M144" s="204"/>
    </row>
    <row r="145" spans="1:16" s="7" customFormat="1" ht="18" customHeight="1">
      <c r="A145" s="292" t="s">
        <v>44</v>
      </c>
      <c r="B145" s="260" t="s">
        <v>524</v>
      </c>
      <c r="C145" s="293"/>
      <c r="D145" s="201" t="s">
        <v>619</v>
      </c>
      <c r="E145" s="262" t="s">
        <v>38</v>
      </c>
      <c r="F145" s="294">
        <v>2</v>
      </c>
      <c r="G145" s="264">
        <v>120000</v>
      </c>
      <c r="H145" s="264">
        <f>F145*G145</f>
        <v>240000</v>
      </c>
      <c r="I145" s="264">
        <v>20000</v>
      </c>
      <c r="J145" s="264">
        <f>F145*I145</f>
        <v>40000</v>
      </c>
      <c r="K145" s="264">
        <f>G145+I145</f>
        <v>140000</v>
      </c>
      <c r="L145" s="264">
        <f>F145*K145</f>
        <v>280000</v>
      </c>
      <c r="M145" s="204"/>
    </row>
    <row r="146" spans="1:16" s="7" customFormat="1" ht="18" hidden="1" customHeight="1">
      <c r="A146" s="292" t="s">
        <v>376</v>
      </c>
      <c r="B146" s="260" t="s">
        <v>377</v>
      </c>
      <c r="C146" s="293" t="s">
        <v>378</v>
      </c>
      <c r="D146" s="201" t="s">
        <v>452</v>
      </c>
      <c r="E146" s="262" t="s">
        <v>320</v>
      </c>
      <c r="F146" s="294"/>
      <c r="G146" s="264">
        <v>60000</v>
      </c>
      <c r="H146" s="264">
        <f>F146*G146</f>
        <v>0</v>
      </c>
      <c r="I146" s="264">
        <v>20000</v>
      </c>
      <c r="J146" s="264">
        <f>F146*I146</f>
        <v>0</v>
      </c>
      <c r="K146" s="264">
        <f>G146+I146</f>
        <v>80000</v>
      </c>
      <c r="L146" s="264">
        <f>F146*K146</f>
        <v>0</v>
      </c>
      <c r="M146" s="204"/>
    </row>
    <row r="147" spans="1:16" s="7" customFormat="1" ht="18" hidden="1" customHeight="1">
      <c r="A147" s="292" t="s">
        <v>376</v>
      </c>
      <c r="B147" s="260" t="s">
        <v>377</v>
      </c>
      <c r="C147" s="293" t="s">
        <v>379</v>
      </c>
      <c r="D147" s="201" t="s">
        <v>452</v>
      </c>
      <c r="E147" s="262" t="s">
        <v>320</v>
      </c>
      <c r="F147" s="294"/>
      <c r="G147" s="264">
        <v>120000</v>
      </c>
      <c r="H147" s="264">
        <f>F147*G147</f>
        <v>0</v>
      </c>
      <c r="I147" s="264">
        <v>20000</v>
      </c>
      <c r="J147" s="264">
        <f>F147*I147</f>
        <v>0</v>
      </c>
      <c r="K147" s="264">
        <f>G147+I147</f>
        <v>140000</v>
      </c>
      <c r="L147" s="264">
        <f>F147*K147</f>
        <v>0</v>
      </c>
      <c r="M147" s="204"/>
    </row>
    <row r="148" spans="1:16" s="7" customFormat="1" ht="18" hidden="1" customHeight="1">
      <c r="A148" s="292" t="s">
        <v>44</v>
      </c>
      <c r="B148" s="260" t="s">
        <v>453</v>
      </c>
      <c r="C148" s="293" t="s">
        <v>449</v>
      </c>
      <c r="D148" s="201" t="s">
        <v>159</v>
      </c>
      <c r="E148" s="262" t="s">
        <v>98</v>
      </c>
      <c r="F148" s="294"/>
      <c r="G148" s="264">
        <v>30000</v>
      </c>
      <c r="H148" s="264">
        <f t="shared" ref="H148:H149" si="110">F148*G148</f>
        <v>0</v>
      </c>
      <c r="I148" s="264">
        <v>50000</v>
      </c>
      <c r="J148" s="264">
        <f>F148*I148</f>
        <v>0</v>
      </c>
      <c r="K148" s="264">
        <f t="shared" ref="K148" si="111">G148+I148</f>
        <v>80000</v>
      </c>
      <c r="L148" s="264">
        <f>F148*K148</f>
        <v>0</v>
      </c>
      <c r="M148" s="204"/>
      <c r="O148" s="130"/>
      <c r="P148" s="130"/>
    </row>
    <row r="149" spans="1:16" s="7" customFormat="1" ht="18" hidden="1" customHeight="1">
      <c r="A149" s="292" t="s">
        <v>376</v>
      </c>
      <c r="B149" s="260" t="s">
        <v>454</v>
      </c>
      <c r="C149" s="293" t="s">
        <v>450</v>
      </c>
      <c r="D149" s="201" t="s">
        <v>159</v>
      </c>
      <c r="E149" s="262" t="s">
        <v>451</v>
      </c>
      <c r="F149" s="294"/>
      <c r="G149" s="264">
        <v>150000</v>
      </c>
      <c r="H149" s="264">
        <f t="shared" si="110"/>
        <v>0</v>
      </c>
      <c r="I149" s="264">
        <v>50000</v>
      </c>
      <c r="J149" s="264">
        <f t="shared" ref="J149" si="112">F149*I149</f>
        <v>0</v>
      </c>
      <c r="K149" s="264">
        <f>G149+I149</f>
        <v>200000</v>
      </c>
      <c r="L149" s="264">
        <f t="shared" ref="L149" si="113">F149*K149</f>
        <v>0</v>
      </c>
      <c r="M149" s="204"/>
      <c r="O149" s="130"/>
      <c r="P149" s="130"/>
    </row>
    <row r="150" spans="1:16" s="7" customFormat="1" ht="18" hidden="1" customHeight="1">
      <c r="A150" s="292" t="s">
        <v>147</v>
      </c>
      <c r="B150" s="260" t="s">
        <v>323</v>
      </c>
      <c r="C150" s="293" t="s">
        <v>316</v>
      </c>
      <c r="D150" s="201" t="s">
        <v>200</v>
      </c>
      <c r="E150" s="262" t="s">
        <v>38</v>
      </c>
      <c r="F150" s="294"/>
      <c r="G150" s="264">
        <v>120000</v>
      </c>
      <c r="H150" s="264">
        <f>F150*G150</f>
        <v>0</v>
      </c>
      <c r="I150" s="264">
        <v>20000</v>
      </c>
      <c r="J150" s="264">
        <f>F150*I150</f>
        <v>0</v>
      </c>
      <c r="K150" s="264">
        <f>G150+I150</f>
        <v>140000</v>
      </c>
      <c r="L150" s="264">
        <f>F150*K150</f>
        <v>0</v>
      </c>
      <c r="M150" s="204"/>
    </row>
    <row r="151" spans="1:16" s="7" customFormat="1" ht="18" hidden="1" customHeight="1">
      <c r="A151" s="292" t="s">
        <v>330</v>
      </c>
      <c r="B151" s="260" t="s">
        <v>331</v>
      </c>
      <c r="C151" s="293"/>
      <c r="D151" s="201" t="s">
        <v>332</v>
      </c>
      <c r="E151" s="262" t="s">
        <v>39</v>
      </c>
      <c r="F151" s="294"/>
      <c r="G151" s="264">
        <v>160000</v>
      </c>
      <c r="H151" s="264">
        <f t="shared" ref="H151" si="114">F151*G151</f>
        <v>0</v>
      </c>
      <c r="I151" s="264">
        <v>50000</v>
      </c>
      <c r="J151" s="264">
        <f t="shared" ref="J151" si="115">F151*I151</f>
        <v>0</v>
      </c>
      <c r="K151" s="264">
        <f t="shared" ref="K151" si="116">G151+I151</f>
        <v>210000</v>
      </c>
      <c r="L151" s="264">
        <f t="shared" ref="L151" si="117">F151*K151</f>
        <v>0</v>
      </c>
      <c r="M151" s="204"/>
    </row>
    <row r="152" spans="1:16" s="7" customFormat="1" ht="18" customHeight="1">
      <c r="A152" s="292"/>
      <c r="B152" s="260"/>
      <c r="C152" s="293"/>
      <c r="D152" s="201"/>
      <c r="E152" s="262"/>
      <c r="F152" s="294"/>
      <c r="G152" s="264"/>
      <c r="H152" s="264"/>
      <c r="I152" s="264"/>
      <c r="J152" s="264"/>
      <c r="K152" s="264"/>
      <c r="L152" s="264"/>
      <c r="M152" s="204"/>
    </row>
    <row r="153" spans="1:16" s="7" customFormat="1" ht="18" customHeight="1">
      <c r="A153" s="292">
        <v>-1</v>
      </c>
      <c r="B153" s="260" t="s">
        <v>623</v>
      </c>
      <c r="C153" s="293"/>
      <c r="D153" s="201"/>
      <c r="E153" s="262"/>
      <c r="F153" s="294"/>
      <c r="G153" s="264"/>
      <c r="H153" s="264"/>
      <c r="I153" s="264"/>
      <c r="J153" s="264"/>
      <c r="K153" s="264"/>
      <c r="L153" s="264"/>
      <c r="M153" s="204"/>
    </row>
    <row r="154" spans="1:16" s="7" customFormat="1" ht="18" customHeight="1">
      <c r="A154" s="292" t="s">
        <v>44</v>
      </c>
      <c r="B154" s="260" t="s">
        <v>254</v>
      </c>
      <c r="C154" s="293" t="s">
        <v>176</v>
      </c>
      <c r="D154" s="201" t="s">
        <v>620</v>
      </c>
      <c r="E154" s="262" t="s">
        <v>98</v>
      </c>
      <c r="F154" s="294">
        <v>10</v>
      </c>
      <c r="G154" s="264">
        <v>130000</v>
      </c>
      <c r="H154" s="264">
        <f>F154*G154</f>
        <v>1300000</v>
      </c>
      <c r="I154" s="264">
        <v>50000</v>
      </c>
      <c r="J154" s="264">
        <f>F154*I154</f>
        <v>500000</v>
      </c>
      <c r="K154" s="264">
        <f>G154+I154</f>
        <v>180000</v>
      </c>
      <c r="L154" s="264">
        <f>F154*K154</f>
        <v>1800000</v>
      </c>
      <c r="M154" s="204"/>
    </row>
    <row r="155" spans="1:16" s="7" customFormat="1" ht="18" customHeight="1">
      <c r="A155" s="292" t="s">
        <v>44</v>
      </c>
      <c r="B155" s="260" t="s">
        <v>524</v>
      </c>
      <c r="C155" s="293"/>
      <c r="D155" s="201" t="s">
        <v>620</v>
      </c>
      <c r="E155" s="262" t="s">
        <v>38</v>
      </c>
      <c r="F155" s="294">
        <v>2</v>
      </c>
      <c r="G155" s="264">
        <v>120000</v>
      </c>
      <c r="H155" s="264">
        <f>F155*G155</f>
        <v>240000</v>
      </c>
      <c r="I155" s="264">
        <v>20000</v>
      </c>
      <c r="J155" s="264">
        <f>F155*I155</f>
        <v>40000</v>
      </c>
      <c r="K155" s="264">
        <f>G155+I155</f>
        <v>140000</v>
      </c>
      <c r="L155" s="264">
        <f>F155*K155</f>
        <v>280000</v>
      </c>
      <c r="M155" s="204"/>
    </row>
    <row r="156" spans="1:16" s="128" customFormat="1" ht="18" customHeight="1">
      <c r="A156" s="314" t="s">
        <v>44</v>
      </c>
      <c r="B156" s="315" t="s">
        <v>660</v>
      </c>
      <c r="C156" s="316"/>
      <c r="D156" s="317" t="s">
        <v>661</v>
      </c>
      <c r="E156" s="317" t="s">
        <v>75</v>
      </c>
      <c r="F156" s="318">
        <v>1</v>
      </c>
      <c r="G156" s="319">
        <v>300000</v>
      </c>
      <c r="H156" s="319">
        <f>F156*G156</f>
        <v>300000</v>
      </c>
      <c r="I156" s="319">
        <v>0</v>
      </c>
      <c r="J156" s="319">
        <f>F156*I156</f>
        <v>0</v>
      </c>
      <c r="K156" s="319">
        <f>G156+I156</f>
        <v>300000</v>
      </c>
      <c r="L156" s="319">
        <f>F156*K156</f>
        <v>300000</v>
      </c>
      <c r="M156" s="320"/>
      <c r="O156" s="130"/>
      <c r="P156" s="130"/>
    </row>
    <row r="157" spans="1:16" s="7" customFormat="1" ht="18" customHeight="1">
      <c r="A157" s="292"/>
      <c r="B157" s="260"/>
      <c r="C157" s="293"/>
      <c r="D157" s="201"/>
      <c r="E157" s="262"/>
      <c r="F157" s="294"/>
      <c r="G157" s="264"/>
      <c r="H157" s="264"/>
      <c r="I157" s="264"/>
      <c r="J157" s="264"/>
      <c r="K157" s="264"/>
      <c r="L157" s="264"/>
      <c r="M157" s="204"/>
    </row>
    <row r="158" spans="1:16" s="7" customFormat="1" ht="18" hidden="1" customHeight="1">
      <c r="A158" s="292">
        <v>-1</v>
      </c>
      <c r="B158" s="260" t="s">
        <v>455</v>
      </c>
      <c r="C158" s="293"/>
      <c r="D158" s="201"/>
      <c r="E158" s="262"/>
      <c r="F158" s="294"/>
      <c r="G158" s="264"/>
      <c r="H158" s="264"/>
      <c r="I158" s="264"/>
      <c r="J158" s="264"/>
      <c r="K158" s="264"/>
      <c r="L158" s="264"/>
      <c r="M158" s="204"/>
    </row>
    <row r="159" spans="1:16" s="7" customFormat="1" ht="18" hidden="1" customHeight="1">
      <c r="A159" s="292" t="s">
        <v>44</v>
      </c>
      <c r="B159" s="260" t="s">
        <v>254</v>
      </c>
      <c r="C159" s="293" t="s">
        <v>176</v>
      </c>
      <c r="D159" s="201" t="s">
        <v>456</v>
      </c>
      <c r="E159" s="262" t="s">
        <v>98</v>
      </c>
      <c r="F159" s="294"/>
      <c r="G159" s="264">
        <v>130000</v>
      </c>
      <c r="H159" s="264">
        <f>F159*G159</f>
        <v>0</v>
      </c>
      <c r="I159" s="264">
        <v>50000</v>
      </c>
      <c r="J159" s="264">
        <f>F159*I159</f>
        <v>0</v>
      </c>
      <c r="K159" s="264">
        <f>G159+I159</f>
        <v>180000</v>
      </c>
      <c r="L159" s="264">
        <f>F159*K159</f>
        <v>0</v>
      </c>
      <c r="M159" s="204"/>
    </row>
    <row r="160" spans="1:16" s="7" customFormat="1" ht="18" hidden="1" customHeight="1">
      <c r="A160" s="292"/>
      <c r="B160" s="260"/>
      <c r="C160" s="293"/>
      <c r="D160" s="201"/>
      <c r="E160" s="262"/>
      <c r="F160" s="294"/>
      <c r="G160" s="264"/>
      <c r="H160" s="264"/>
      <c r="I160" s="264"/>
      <c r="J160" s="264"/>
      <c r="K160" s="264"/>
      <c r="L160" s="264"/>
      <c r="M160" s="204"/>
    </row>
    <row r="161" spans="1:13" s="7" customFormat="1" ht="18" customHeight="1">
      <c r="A161" s="292">
        <v>-1</v>
      </c>
      <c r="B161" s="260" t="s">
        <v>622</v>
      </c>
      <c r="C161" s="293"/>
      <c r="D161" s="201"/>
      <c r="E161" s="262"/>
      <c r="F161" s="294"/>
      <c r="G161" s="264"/>
      <c r="H161" s="264"/>
      <c r="I161" s="264"/>
      <c r="J161" s="264"/>
      <c r="K161" s="264"/>
      <c r="L161" s="264"/>
      <c r="M161" s="204"/>
    </row>
    <row r="162" spans="1:13" s="7" customFormat="1" ht="18" customHeight="1">
      <c r="A162" s="292" t="s">
        <v>44</v>
      </c>
      <c r="B162" s="260" t="s">
        <v>254</v>
      </c>
      <c r="C162" s="293" t="s">
        <v>176</v>
      </c>
      <c r="D162" s="201" t="s">
        <v>621</v>
      </c>
      <c r="E162" s="262" t="s">
        <v>98</v>
      </c>
      <c r="F162" s="294">
        <v>13</v>
      </c>
      <c r="G162" s="264">
        <v>130000</v>
      </c>
      <c r="H162" s="264">
        <f>F162*G162</f>
        <v>1690000</v>
      </c>
      <c r="I162" s="264">
        <v>50000</v>
      </c>
      <c r="J162" s="264">
        <f>F162*I162</f>
        <v>650000</v>
      </c>
      <c r="K162" s="264">
        <f>G162+I162</f>
        <v>180000</v>
      </c>
      <c r="L162" s="264">
        <f>F162*K162</f>
        <v>2340000</v>
      </c>
      <c r="M162" s="204"/>
    </row>
    <row r="163" spans="1:13" s="7" customFormat="1" ht="18" hidden="1" customHeight="1">
      <c r="A163" s="292"/>
      <c r="B163" s="260"/>
      <c r="C163" s="293"/>
      <c r="D163" s="201"/>
      <c r="E163" s="262"/>
      <c r="F163" s="294"/>
      <c r="G163" s="264"/>
      <c r="H163" s="264"/>
      <c r="I163" s="264"/>
      <c r="J163" s="264"/>
      <c r="K163" s="264"/>
      <c r="L163" s="264"/>
      <c r="M163" s="204"/>
    </row>
    <row r="164" spans="1:13" s="7" customFormat="1" ht="18" hidden="1" customHeight="1">
      <c r="A164" s="292">
        <v>-1</v>
      </c>
      <c r="B164" s="260" t="s">
        <v>325</v>
      </c>
      <c r="C164" s="293"/>
      <c r="D164" s="201"/>
      <c r="E164" s="262"/>
      <c r="F164" s="294"/>
      <c r="G164" s="264"/>
      <c r="H164" s="264"/>
      <c r="I164" s="264"/>
      <c r="J164" s="264"/>
      <c r="K164" s="264"/>
      <c r="L164" s="264"/>
      <c r="M164" s="204"/>
    </row>
    <row r="165" spans="1:13" s="7" customFormat="1" ht="18" hidden="1" customHeight="1">
      <c r="A165" s="292" t="s">
        <v>369</v>
      </c>
      <c r="B165" s="260" t="s">
        <v>370</v>
      </c>
      <c r="C165" s="293"/>
      <c r="D165" s="201" t="s">
        <v>327</v>
      </c>
      <c r="E165" s="262" t="s">
        <v>38</v>
      </c>
      <c r="F165" s="294"/>
      <c r="G165" s="264">
        <v>100000</v>
      </c>
      <c r="H165" s="264">
        <f>F165*G165</f>
        <v>0</v>
      </c>
      <c r="I165" s="264">
        <v>30000</v>
      </c>
      <c r="J165" s="264">
        <f>F165*I165</f>
        <v>0</v>
      </c>
      <c r="K165" s="264">
        <f>G165+I165</f>
        <v>130000</v>
      </c>
      <c r="L165" s="264">
        <f>F165*K165</f>
        <v>0</v>
      </c>
      <c r="M165" s="204"/>
    </row>
    <row r="166" spans="1:13" s="7" customFormat="1" ht="18" hidden="1" customHeight="1">
      <c r="A166" s="292" t="s">
        <v>369</v>
      </c>
      <c r="B166" s="260" t="s">
        <v>371</v>
      </c>
      <c r="C166" s="293"/>
      <c r="D166" s="201" t="s">
        <v>328</v>
      </c>
      <c r="E166" s="262" t="s">
        <v>38</v>
      </c>
      <c r="F166" s="294"/>
      <c r="G166" s="264">
        <v>100000</v>
      </c>
      <c r="H166" s="264">
        <f>F166*G166</f>
        <v>0</v>
      </c>
      <c r="I166" s="264">
        <v>30000</v>
      </c>
      <c r="J166" s="264">
        <f>F166*I166</f>
        <v>0</v>
      </c>
      <c r="K166" s="264">
        <f>G166+I166</f>
        <v>130000</v>
      </c>
      <c r="L166" s="264">
        <f>F166*K166</f>
        <v>0</v>
      </c>
      <c r="M166" s="204"/>
    </row>
    <row r="167" spans="1:13" s="7" customFormat="1" ht="18" hidden="1" customHeight="1">
      <c r="A167" s="292" t="s">
        <v>12</v>
      </c>
      <c r="B167" s="260" t="s">
        <v>326</v>
      </c>
      <c r="C167" s="293"/>
      <c r="D167" s="201" t="s">
        <v>327</v>
      </c>
      <c r="E167" s="262" t="s">
        <v>38</v>
      </c>
      <c r="F167" s="294"/>
      <c r="G167" s="264">
        <v>120000</v>
      </c>
      <c r="H167" s="264">
        <f>F167*G167</f>
        <v>0</v>
      </c>
      <c r="I167" s="264">
        <v>20000</v>
      </c>
      <c r="J167" s="264">
        <f>F167*I167</f>
        <v>0</v>
      </c>
      <c r="K167" s="264">
        <f>G167+I167</f>
        <v>140000</v>
      </c>
      <c r="L167" s="264">
        <f>F167*K167</f>
        <v>0</v>
      </c>
      <c r="M167" s="204"/>
    </row>
    <row r="168" spans="1:13" s="7" customFormat="1" ht="18" hidden="1" customHeight="1">
      <c r="A168" s="292" t="s">
        <v>147</v>
      </c>
      <c r="B168" s="260" t="s">
        <v>326</v>
      </c>
      <c r="C168" s="293"/>
      <c r="D168" s="201" t="s">
        <v>328</v>
      </c>
      <c r="E168" s="262" t="s">
        <v>38</v>
      </c>
      <c r="F168" s="294"/>
      <c r="G168" s="264">
        <v>120000</v>
      </c>
      <c r="H168" s="264">
        <f>F168*G168</f>
        <v>0</v>
      </c>
      <c r="I168" s="264">
        <v>20000</v>
      </c>
      <c r="J168" s="264">
        <f>F168*I168</f>
        <v>0</v>
      </c>
      <c r="K168" s="264">
        <f>G168+I168</f>
        <v>140000</v>
      </c>
      <c r="L168" s="264">
        <f>F168*K168</f>
        <v>0</v>
      </c>
      <c r="M168" s="204"/>
    </row>
    <row r="169" spans="1:13" s="7" customFormat="1" ht="18" hidden="1" customHeight="1">
      <c r="A169" s="292" t="s">
        <v>147</v>
      </c>
      <c r="B169" s="260" t="s">
        <v>259</v>
      </c>
      <c r="C169" s="293"/>
      <c r="D169" s="201" t="s">
        <v>329</v>
      </c>
      <c r="E169" s="262" t="s">
        <v>39</v>
      </c>
      <c r="F169" s="294"/>
      <c r="G169" s="264">
        <v>160000</v>
      </c>
      <c r="H169" s="264">
        <f t="shared" ref="H169" si="118">F169*G169</f>
        <v>0</v>
      </c>
      <c r="I169" s="264">
        <v>50000</v>
      </c>
      <c r="J169" s="264">
        <f t="shared" ref="J169" si="119">F169*I169</f>
        <v>0</v>
      </c>
      <c r="K169" s="264">
        <f t="shared" ref="K169" si="120">G169+I169</f>
        <v>210000</v>
      </c>
      <c r="L169" s="264">
        <f t="shared" ref="L169" si="121">F169*K169</f>
        <v>0</v>
      </c>
      <c r="M169" s="204"/>
    </row>
    <row r="170" spans="1:13" s="7" customFormat="1" ht="18" hidden="1" customHeight="1">
      <c r="A170" s="292" t="s">
        <v>250</v>
      </c>
      <c r="B170" s="312" t="s">
        <v>251</v>
      </c>
      <c r="C170" s="293"/>
      <c r="D170" s="201" t="s">
        <v>252</v>
      </c>
      <c r="E170" s="262" t="s">
        <v>151</v>
      </c>
      <c r="F170" s="294"/>
      <c r="G170" s="264">
        <v>150000</v>
      </c>
      <c r="H170" s="264">
        <f>F170*G170</f>
        <v>0</v>
      </c>
      <c r="I170" s="264">
        <v>30000</v>
      </c>
      <c r="J170" s="264">
        <f>F170*I170</f>
        <v>0</v>
      </c>
      <c r="K170" s="264">
        <f>G170+I170</f>
        <v>180000</v>
      </c>
      <c r="L170" s="264">
        <f>F170*K170</f>
        <v>0</v>
      </c>
      <c r="M170" s="204"/>
    </row>
    <row r="171" spans="1:13" s="7" customFormat="1" ht="18" customHeight="1">
      <c r="A171" s="292" t="s">
        <v>44</v>
      </c>
      <c r="B171" s="260" t="s">
        <v>524</v>
      </c>
      <c r="C171" s="293"/>
      <c r="D171" s="201" t="s">
        <v>621</v>
      </c>
      <c r="E171" s="262" t="s">
        <v>38</v>
      </c>
      <c r="F171" s="294">
        <v>2</v>
      </c>
      <c r="G171" s="264">
        <v>120000</v>
      </c>
      <c r="H171" s="264">
        <f>F171*G171</f>
        <v>240000</v>
      </c>
      <c r="I171" s="264">
        <v>20000</v>
      </c>
      <c r="J171" s="264">
        <f>F171*I171</f>
        <v>40000</v>
      </c>
      <c r="K171" s="264">
        <f>G171+I171</f>
        <v>140000</v>
      </c>
      <c r="L171" s="264">
        <f>F171*K171</f>
        <v>280000</v>
      </c>
      <c r="M171" s="204"/>
    </row>
    <row r="172" spans="1:13" s="7" customFormat="1" ht="18" customHeight="1">
      <c r="A172" s="292"/>
      <c r="B172" s="260"/>
      <c r="C172" s="293"/>
      <c r="D172" s="201"/>
      <c r="E172" s="262"/>
      <c r="F172" s="294"/>
      <c r="G172" s="264"/>
      <c r="H172" s="264"/>
      <c r="I172" s="264"/>
      <c r="J172" s="264"/>
      <c r="K172" s="264"/>
      <c r="L172" s="264"/>
      <c r="M172" s="204"/>
    </row>
    <row r="173" spans="1:13" s="7" customFormat="1" ht="18" customHeight="1">
      <c r="A173" s="292">
        <v>-1</v>
      </c>
      <c r="B173" s="260" t="s">
        <v>536</v>
      </c>
      <c r="C173" s="293"/>
      <c r="D173" s="201"/>
      <c r="E173" s="262"/>
      <c r="F173" s="294"/>
      <c r="G173" s="264"/>
      <c r="H173" s="264"/>
      <c r="I173" s="264"/>
      <c r="J173" s="264"/>
      <c r="K173" s="264"/>
      <c r="L173" s="264"/>
      <c r="M173" s="204"/>
    </row>
    <row r="174" spans="1:13" s="7" customFormat="1" ht="18" customHeight="1">
      <c r="A174" s="292" t="s">
        <v>44</v>
      </c>
      <c r="B174" s="260" t="s">
        <v>575</v>
      </c>
      <c r="C174" s="293" t="s">
        <v>343</v>
      </c>
      <c r="D174" s="201" t="s">
        <v>492</v>
      </c>
      <c r="E174" s="262" t="s">
        <v>75</v>
      </c>
      <c r="F174" s="294">
        <v>1</v>
      </c>
      <c r="G174" s="264">
        <v>150000</v>
      </c>
      <c r="H174" s="264">
        <f>F174*G174</f>
        <v>150000</v>
      </c>
      <c r="I174" s="264">
        <v>100000</v>
      </c>
      <c r="J174" s="264">
        <f>F174*I174</f>
        <v>100000</v>
      </c>
      <c r="K174" s="264">
        <f>G174+I174</f>
        <v>250000</v>
      </c>
      <c r="L174" s="264">
        <f>F174*K174</f>
        <v>250000</v>
      </c>
      <c r="M174" s="204"/>
    </row>
    <row r="175" spans="1:13" s="7" customFormat="1" ht="18" customHeight="1">
      <c r="A175" s="292" t="s">
        <v>44</v>
      </c>
      <c r="B175" s="260" t="s">
        <v>537</v>
      </c>
      <c r="C175" s="293"/>
      <c r="D175" s="201" t="s">
        <v>492</v>
      </c>
      <c r="E175" s="262" t="s">
        <v>98</v>
      </c>
      <c r="F175" s="294">
        <v>2</v>
      </c>
      <c r="G175" s="264">
        <v>130000</v>
      </c>
      <c r="H175" s="264">
        <f>F175*G175</f>
        <v>260000</v>
      </c>
      <c r="I175" s="264">
        <v>50000</v>
      </c>
      <c r="J175" s="264">
        <f>F175*I175</f>
        <v>100000</v>
      </c>
      <c r="K175" s="264">
        <f>G175+I175</f>
        <v>180000</v>
      </c>
      <c r="L175" s="264">
        <f>F175*K175</f>
        <v>360000</v>
      </c>
      <c r="M175" s="204"/>
    </row>
    <row r="176" spans="1:13" s="7" customFormat="1" ht="18" customHeight="1">
      <c r="A176" s="292" t="s">
        <v>44</v>
      </c>
      <c r="B176" s="260" t="s">
        <v>524</v>
      </c>
      <c r="C176" s="293"/>
      <c r="D176" s="201" t="s">
        <v>492</v>
      </c>
      <c r="E176" s="262" t="s">
        <v>38</v>
      </c>
      <c r="F176" s="294">
        <v>1</v>
      </c>
      <c r="G176" s="264">
        <v>120000</v>
      </c>
      <c r="H176" s="264">
        <f>F176*G176</f>
        <v>120000</v>
      </c>
      <c r="I176" s="264">
        <v>20000</v>
      </c>
      <c r="J176" s="264">
        <f>F176*I176</f>
        <v>20000</v>
      </c>
      <c r="K176" s="264">
        <f>G176+I176</f>
        <v>140000</v>
      </c>
      <c r="L176" s="264">
        <f>F176*K176</f>
        <v>140000</v>
      </c>
      <c r="M176" s="204"/>
    </row>
    <row r="177" spans="1:13" s="7" customFormat="1" ht="18" customHeight="1">
      <c r="A177" s="292" t="s">
        <v>44</v>
      </c>
      <c r="B177" s="260" t="s">
        <v>259</v>
      </c>
      <c r="C177" s="293" t="s">
        <v>444</v>
      </c>
      <c r="D177" s="201" t="s">
        <v>492</v>
      </c>
      <c r="E177" s="262" t="s">
        <v>39</v>
      </c>
      <c r="F177" s="294">
        <v>1.9</v>
      </c>
      <c r="G177" s="264">
        <v>160000</v>
      </c>
      <c r="H177" s="264">
        <f>F177*G177</f>
        <v>304000</v>
      </c>
      <c r="I177" s="264">
        <v>50000</v>
      </c>
      <c r="J177" s="264">
        <f>F177*I177</f>
        <v>95000</v>
      </c>
      <c r="K177" s="264">
        <f>G177+I177</f>
        <v>210000</v>
      </c>
      <c r="L177" s="264">
        <f>F177*K177</f>
        <v>399000</v>
      </c>
      <c r="M177" s="204"/>
    </row>
    <row r="178" spans="1:13" s="7" customFormat="1" ht="18" customHeight="1">
      <c r="A178" s="292"/>
      <c r="B178" s="260"/>
      <c r="C178" s="293"/>
      <c r="D178" s="201"/>
      <c r="E178" s="262"/>
      <c r="F178" s="294"/>
      <c r="G178" s="264"/>
      <c r="H178" s="264"/>
      <c r="I178" s="264"/>
      <c r="J178" s="264"/>
      <c r="K178" s="264"/>
      <c r="L178" s="264"/>
      <c r="M178" s="204"/>
    </row>
    <row r="179" spans="1:13" s="7" customFormat="1" ht="18" customHeight="1">
      <c r="A179" s="292">
        <v>-1</v>
      </c>
      <c r="B179" s="260" t="s">
        <v>541</v>
      </c>
      <c r="C179" s="293"/>
      <c r="D179" s="201"/>
      <c r="E179" s="262"/>
      <c r="F179" s="294"/>
      <c r="G179" s="264"/>
      <c r="H179" s="264"/>
      <c r="I179" s="264"/>
      <c r="J179" s="264"/>
      <c r="K179" s="264"/>
      <c r="L179" s="264"/>
      <c r="M179" s="204"/>
    </row>
    <row r="180" spans="1:13" s="128" customFormat="1" ht="18" customHeight="1">
      <c r="A180" s="314" t="s">
        <v>44</v>
      </c>
      <c r="B180" s="315" t="s">
        <v>542</v>
      </c>
      <c r="C180" s="316" t="s">
        <v>544</v>
      </c>
      <c r="D180" s="317" t="s">
        <v>543</v>
      </c>
      <c r="E180" s="317" t="s">
        <v>75</v>
      </c>
      <c r="F180" s="318">
        <v>1</v>
      </c>
      <c r="G180" s="319">
        <v>1320000</v>
      </c>
      <c r="H180" s="319">
        <f>F180*G180</f>
        <v>1320000</v>
      </c>
      <c r="I180" s="319">
        <v>200000</v>
      </c>
      <c r="J180" s="319">
        <f>F180*I180</f>
        <v>200000</v>
      </c>
      <c r="K180" s="319">
        <f>G180+I180</f>
        <v>1520000</v>
      </c>
      <c r="L180" s="319">
        <f>F180*K180</f>
        <v>1520000</v>
      </c>
      <c r="M180" s="320"/>
    </row>
    <row r="181" spans="1:13" s="7" customFormat="1" ht="18" hidden="1" customHeight="1">
      <c r="A181" s="292" t="s">
        <v>44</v>
      </c>
      <c r="B181" s="260" t="s">
        <v>520</v>
      </c>
      <c r="C181" s="293"/>
      <c r="D181" s="201" t="s">
        <v>538</v>
      </c>
      <c r="E181" s="262" t="s">
        <v>39</v>
      </c>
      <c r="F181" s="294"/>
      <c r="G181" s="264">
        <v>160000</v>
      </c>
      <c r="H181" s="264">
        <f>F181*G181</f>
        <v>0</v>
      </c>
      <c r="I181" s="264">
        <v>50000</v>
      </c>
      <c r="J181" s="264">
        <f>F181*I181</f>
        <v>0</v>
      </c>
      <c r="K181" s="264">
        <f>G181+I181</f>
        <v>210000</v>
      </c>
      <c r="L181" s="264">
        <f>F181*K181</f>
        <v>0</v>
      </c>
      <c r="M181" s="204"/>
    </row>
    <row r="182" spans="1:13" s="7" customFormat="1" ht="18" hidden="1" customHeight="1">
      <c r="A182" s="292" t="s">
        <v>44</v>
      </c>
      <c r="B182" s="260" t="s">
        <v>539</v>
      </c>
      <c r="C182" s="293"/>
      <c r="D182" s="201" t="s">
        <v>538</v>
      </c>
      <c r="E182" s="262" t="s">
        <v>38</v>
      </c>
      <c r="F182" s="294"/>
      <c r="G182" s="264">
        <v>60000</v>
      </c>
      <c r="H182" s="264">
        <f t="shared" ref="H182" si="122">F182*G182</f>
        <v>0</v>
      </c>
      <c r="I182" s="264">
        <v>20000</v>
      </c>
      <c r="J182" s="264">
        <f t="shared" ref="J182" si="123">F182*I182</f>
        <v>0</v>
      </c>
      <c r="K182" s="264">
        <f t="shared" ref="K182" si="124">G182+I182</f>
        <v>80000</v>
      </c>
      <c r="L182" s="264">
        <f t="shared" ref="L182" si="125">F182*K182</f>
        <v>0</v>
      </c>
      <c r="M182" s="204"/>
    </row>
    <row r="183" spans="1:13" s="7" customFormat="1" ht="18" customHeight="1">
      <c r="A183" s="292" t="s">
        <v>44</v>
      </c>
      <c r="B183" s="260" t="s">
        <v>540</v>
      </c>
      <c r="C183" s="293" t="s">
        <v>343</v>
      </c>
      <c r="D183" s="201" t="s">
        <v>538</v>
      </c>
      <c r="E183" s="262" t="s">
        <v>75</v>
      </c>
      <c r="F183" s="294">
        <v>1</v>
      </c>
      <c r="G183" s="264">
        <v>150000</v>
      </c>
      <c r="H183" s="264">
        <f t="shared" ref="H183" si="126">F183*G183</f>
        <v>150000</v>
      </c>
      <c r="I183" s="264">
        <v>50000</v>
      </c>
      <c r="J183" s="264">
        <f t="shared" ref="J183" si="127">F183*I183</f>
        <v>50000</v>
      </c>
      <c r="K183" s="264">
        <f t="shared" ref="K183" si="128">G183+I183</f>
        <v>200000</v>
      </c>
      <c r="L183" s="264">
        <f t="shared" ref="L183" si="129">F183*K183</f>
        <v>200000</v>
      </c>
      <c r="M183" s="204"/>
    </row>
    <row r="184" spans="1:13" s="7" customFormat="1" ht="18" hidden="1" customHeight="1">
      <c r="A184" s="292"/>
      <c r="B184" s="260"/>
      <c r="C184" s="293"/>
      <c r="D184" s="201"/>
      <c r="E184" s="262"/>
      <c r="F184" s="294"/>
      <c r="G184" s="264"/>
      <c r="H184" s="264"/>
      <c r="I184" s="264"/>
      <c r="J184" s="264"/>
      <c r="K184" s="264"/>
      <c r="L184" s="264"/>
      <c r="M184" s="204"/>
    </row>
    <row r="185" spans="1:13" s="7" customFormat="1" ht="18" hidden="1" customHeight="1">
      <c r="A185" s="292"/>
      <c r="B185" s="260"/>
      <c r="C185" s="293"/>
      <c r="D185" s="201"/>
      <c r="E185" s="262"/>
      <c r="F185" s="294"/>
      <c r="G185" s="264"/>
      <c r="H185" s="264"/>
      <c r="I185" s="264"/>
      <c r="J185" s="264"/>
      <c r="K185" s="264"/>
      <c r="L185" s="264"/>
      <c r="M185" s="204"/>
    </row>
    <row r="186" spans="1:13" s="7" customFormat="1" ht="18" hidden="1" customHeight="1">
      <c r="A186" s="292"/>
      <c r="B186" s="260"/>
      <c r="C186" s="293"/>
      <c r="D186" s="201"/>
      <c r="E186" s="262"/>
      <c r="F186" s="294"/>
      <c r="G186" s="264"/>
      <c r="H186" s="264"/>
      <c r="I186" s="264"/>
      <c r="J186" s="264"/>
      <c r="K186" s="264"/>
      <c r="L186" s="264"/>
      <c r="M186" s="204"/>
    </row>
    <row r="187" spans="1:13" s="7" customFormat="1" ht="18" customHeight="1">
      <c r="A187" s="292"/>
      <c r="B187" s="312"/>
      <c r="C187" s="293"/>
      <c r="D187" s="201"/>
      <c r="E187" s="262"/>
      <c r="F187" s="294"/>
      <c r="G187" s="264"/>
      <c r="H187" s="264"/>
      <c r="I187" s="264"/>
      <c r="J187" s="264"/>
      <c r="K187" s="264"/>
      <c r="L187" s="264"/>
      <c r="M187" s="204"/>
    </row>
    <row r="188" spans="1:13" s="7" customFormat="1" ht="18" customHeight="1">
      <c r="A188" s="243" t="s">
        <v>255</v>
      </c>
      <c r="B188" s="244" t="s">
        <v>256</v>
      </c>
      <c r="C188" s="245"/>
      <c r="D188" s="246"/>
      <c r="E188" s="246" t="s">
        <v>38</v>
      </c>
      <c r="F188" s="274">
        <v>1</v>
      </c>
      <c r="G188" s="248">
        <v>0</v>
      </c>
      <c r="H188" s="248">
        <f t="shared" ref="H188" si="130">F188*G188</f>
        <v>0</v>
      </c>
      <c r="I188" s="248">
        <v>0</v>
      </c>
      <c r="J188" s="248">
        <f t="shared" ref="J188" si="131">F188*I188</f>
        <v>0</v>
      </c>
      <c r="K188" s="248">
        <f t="shared" ref="K188" si="132">G188+I188</f>
        <v>0</v>
      </c>
      <c r="L188" s="248">
        <f t="shared" ref="L188" si="133">F188*K188</f>
        <v>0</v>
      </c>
      <c r="M188" s="204"/>
    </row>
    <row r="189" spans="1:13" ht="18" customHeight="1">
      <c r="A189" s="243"/>
      <c r="B189" s="475" t="s">
        <v>380</v>
      </c>
      <c r="C189" s="475"/>
      <c r="D189" s="475"/>
      <c r="E189" s="475"/>
      <c r="F189" s="475"/>
      <c r="G189" s="475"/>
      <c r="H189" s="475"/>
      <c r="I189" s="475"/>
      <c r="J189" s="475"/>
      <c r="K189" s="475"/>
      <c r="L189" s="475"/>
      <c r="M189" s="204"/>
    </row>
    <row r="190" spans="1:13" s="3" customFormat="1" ht="18" customHeight="1">
      <c r="A190" s="207"/>
      <c r="B190" s="207" t="s">
        <v>13</v>
      </c>
      <c r="C190" s="209"/>
      <c r="D190" s="210"/>
      <c r="E190" s="210"/>
      <c r="F190" s="313"/>
      <c r="G190" s="269"/>
      <c r="H190" s="269">
        <f>SUM(H85:H189)</f>
        <v>31339000</v>
      </c>
      <c r="I190" s="269"/>
      <c r="J190" s="269">
        <f>SUM(J85:J189)</f>
        <v>6510000</v>
      </c>
      <c r="K190" s="269"/>
      <c r="L190" s="269">
        <f>SUM(L85:L189)</f>
        <v>37849000</v>
      </c>
      <c r="M190" s="204"/>
    </row>
    <row r="191" spans="1:13" ht="18" customHeight="1">
      <c r="A191" s="207"/>
      <c r="B191" s="208"/>
      <c r="C191" s="200"/>
      <c r="D191" s="201"/>
      <c r="E191" s="201"/>
      <c r="F191" s="313"/>
      <c r="G191" s="235"/>
      <c r="H191" s="235"/>
      <c r="I191" s="235"/>
      <c r="J191" s="235"/>
      <c r="K191" s="235"/>
      <c r="L191" s="235"/>
      <c r="M191" s="204"/>
    </row>
    <row r="192" spans="1:13" s="3" customFormat="1" ht="18" customHeight="1">
      <c r="A192" s="266" t="s">
        <v>31</v>
      </c>
      <c r="B192" s="267" t="s">
        <v>99</v>
      </c>
      <c r="C192" s="291"/>
      <c r="D192" s="210"/>
      <c r="E192" s="210"/>
      <c r="F192" s="313"/>
      <c r="G192" s="269"/>
      <c r="H192" s="269"/>
      <c r="I192" s="269"/>
      <c r="J192" s="269"/>
      <c r="K192" s="269"/>
      <c r="L192" s="269"/>
      <c r="M192" s="204"/>
    </row>
    <row r="193" spans="1:15" s="7" customFormat="1" ht="18" customHeight="1">
      <c r="A193" s="271">
        <v>-1</v>
      </c>
      <c r="B193" s="260" t="s">
        <v>100</v>
      </c>
      <c r="C193" s="261"/>
      <c r="D193" s="201"/>
      <c r="E193" s="262"/>
      <c r="F193" s="272"/>
      <c r="G193" s="264"/>
      <c r="H193" s="264"/>
      <c r="I193" s="264"/>
      <c r="J193" s="264"/>
      <c r="K193" s="264"/>
      <c r="L193" s="264"/>
      <c r="M193" s="204"/>
    </row>
    <row r="194" spans="1:15" s="7" customFormat="1" ht="18" customHeight="1">
      <c r="A194" s="271">
        <v>-1</v>
      </c>
      <c r="B194" s="260" t="s">
        <v>600</v>
      </c>
      <c r="C194" s="261"/>
      <c r="D194" s="201"/>
      <c r="E194" s="262"/>
      <c r="F194" s="272"/>
      <c r="G194" s="264"/>
      <c r="H194" s="264"/>
      <c r="I194" s="264"/>
      <c r="J194" s="264"/>
      <c r="K194" s="264"/>
      <c r="L194" s="264"/>
      <c r="M194" s="204"/>
    </row>
    <row r="195" spans="1:15" s="128" customFormat="1" ht="18" hidden="1" customHeight="1">
      <c r="A195" s="314" t="s">
        <v>12</v>
      </c>
      <c r="B195" s="315" t="s">
        <v>288</v>
      </c>
      <c r="C195" s="316" t="s">
        <v>292</v>
      </c>
      <c r="D195" s="336" t="s">
        <v>200</v>
      </c>
      <c r="E195" s="317" t="s">
        <v>151</v>
      </c>
      <c r="F195" s="318">
        <v>0</v>
      </c>
      <c r="G195" s="319">
        <v>31000</v>
      </c>
      <c r="H195" s="319">
        <f t="shared" ref="H195" si="134">F195*G195</f>
        <v>0</v>
      </c>
      <c r="I195" s="319">
        <v>10000</v>
      </c>
      <c r="J195" s="319">
        <f t="shared" ref="J195" si="135">F195*I195</f>
        <v>0</v>
      </c>
      <c r="K195" s="319">
        <f t="shared" ref="K195" si="136">G195+I195</f>
        <v>41000</v>
      </c>
      <c r="L195" s="319">
        <f t="shared" ref="L195" si="137">F195*K195</f>
        <v>0</v>
      </c>
      <c r="M195" s="320"/>
    </row>
    <row r="196" spans="1:15" s="146" customFormat="1" ht="18" hidden="1" customHeight="1">
      <c r="A196" s="321" t="s">
        <v>257</v>
      </c>
      <c r="B196" s="322" t="s">
        <v>295</v>
      </c>
      <c r="C196" s="323" t="s">
        <v>296</v>
      </c>
      <c r="D196" s="246" t="s">
        <v>258</v>
      </c>
      <c r="E196" s="324" t="s">
        <v>38</v>
      </c>
      <c r="F196" s="325">
        <v>0</v>
      </c>
      <c r="G196" s="326">
        <v>58100</v>
      </c>
      <c r="H196" s="326">
        <f>F196*G196</f>
        <v>0</v>
      </c>
      <c r="I196" s="326">
        <v>20000</v>
      </c>
      <c r="J196" s="326">
        <f t="shared" ref="J196:J222" si="138">F196*I196</f>
        <v>0</v>
      </c>
      <c r="K196" s="326">
        <f t="shared" ref="K196:K222" si="139">G196+I196</f>
        <v>78100</v>
      </c>
      <c r="L196" s="326">
        <f t="shared" ref="L196:L222" si="140">F196*K196</f>
        <v>0</v>
      </c>
      <c r="M196" s="327"/>
      <c r="O196" s="146" t="s">
        <v>297</v>
      </c>
    </row>
    <row r="197" spans="1:15" s="127" customFormat="1" ht="18" customHeight="1">
      <c r="A197" s="243"/>
      <c r="B197" s="244"/>
      <c r="C197" s="245"/>
      <c r="D197" s="246"/>
      <c r="E197" s="246"/>
      <c r="F197" s="392"/>
      <c r="G197" s="248"/>
      <c r="H197" s="248"/>
      <c r="I197" s="248"/>
      <c r="J197" s="248"/>
      <c r="K197" s="248"/>
      <c r="L197" s="248"/>
      <c r="M197" s="289"/>
    </row>
    <row r="198" spans="1:15" s="127" customFormat="1" ht="18" customHeight="1">
      <c r="A198" s="243" t="s">
        <v>44</v>
      </c>
      <c r="B198" s="244" t="s">
        <v>607</v>
      </c>
      <c r="C198" s="245"/>
      <c r="D198" s="246"/>
      <c r="E198" s="246"/>
      <c r="F198" s="392"/>
      <c r="G198" s="248"/>
      <c r="H198" s="248"/>
      <c r="I198" s="248"/>
      <c r="J198" s="248"/>
      <c r="K198" s="248"/>
      <c r="L198" s="248"/>
      <c r="M198" s="289"/>
    </row>
    <row r="199" spans="1:15" s="409" customFormat="1" ht="18" customHeight="1">
      <c r="A199" s="336" t="s">
        <v>147</v>
      </c>
      <c r="B199" s="206" t="s">
        <v>405</v>
      </c>
      <c r="C199" s="337" t="s">
        <v>606</v>
      </c>
      <c r="D199" s="407" t="s">
        <v>333</v>
      </c>
      <c r="E199" s="407" t="s">
        <v>151</v>
      </c>
      <c r="F199" s="408">
        <v>1</v>
      </c>
      <c r="G199" s="235">
        <v>35000</v>
      </c>
      <c r="H199" s="235">
        <f t="shared" ref="H199:H208" si="141">F199*G199</f>
        <v>35000</v>
      </c>
      <c r="I199" s="235">
        <v>5000</v>
      </c>
      <c r="J199" s="235">
        <f t="shared" ref="J199:J208" si="142">F199*I199</f>
        <v>5000</v>
      </c>
      <c r="K199" s="235">
        <f t="shared" ref="K199:K208" si="143">G199+I199</f>
        <v>40000</v>
      </c>
      <c r="L199" s="235">
        <f t="shared" ref="L199:L208" si="144">F199*K199</f>
        <v>40000</v>
      </c>
      <c r="M199" s="427"/>
    </row>
    <row r="200" spans="1:15" s="409" customFormat="1" ht="18" customHeight="1">
      <c r="A200" s="336" t="s">
        <v>44</v>
      </c>
      <c r="B200" s="206" t="s">
        <v>405</v>
      </c>
      <c r="C200" s="337" t="s">
        <v>334</v>
      </c>
      <c r="D200" s="407" t="s">
        <v>333</v>
      </c>
      <c r="E200" s="407" t="s">
        <v>38</v>
      </c>
      <c r="F200" s="408">
        <v>1</v>
      </c>
      <c r="G200" s="235">
        <v>22000</v>
      </c>
      <c r="H200" s="235">
        <f t="shared" si="141"/>
        <v>22000</v>
      </c>
      <c r="I200" s="235">
        <v>5000</v>
      </c>
      <c r="J200" s="235">
        <f t="shared" si="142"/>
        <v>5000</v>
      </c>
      <c r="K200" s="235">
        <f t="shared" si="143"/>
        <v>27000</v>
      </c>
      <c r="L200" s="235">
        <f t="shared" si="144"/>
        <v>27000</v>
      </c>
      <c r="M200" s="427"/>
    </row>
    <row r="201" spans="1:15" s="409" customFormat="1" ht="18" customHeight="1">
      <c r="A201" s="336" t="s">
        <v>44</v>
      </c>
      <c r="B201" s="206" t="s">
        <v>405</v>
      </c>
      <c r="C201" s="337" t="s">
        <v>606</v>
      </c>
      <c r="D201" s="407" t="s">
        <v>159</v>
      </c>
      <c r="E201" s="407" t="s">
        <v>38</v>
      </c>
      <c r="F201" s="408">
        <v>1</v>
      </c>
      <c r="G201" s="235">
        <v>35000</v>
      </c>
      <c r="H201" s="235">
        <f t="shared" si="141"/>
        <v>35000</v>
      </c>
      <c r="I201" s="235">
        <v>5000</v>
      </c>
      <c r="J201" s="235">
        <f t="shared" si="142"/>
        <v>5000</v>
      </c>
      <c r="K201" s="235">
        <f t="shared" si="143"/>
        <v>40000</v>
      </c>
      <c r="L201" s="235">
        <f t="shared" si="144"/>
        <v>40000</v>
      </c>
      <c r="M201" s="427"/>
    </row>
    <row r="202" spans="1:15" s="409" customFormat="1" ht="18" customHeight="1">
      <c r="A202" s="336" t="s">
        <v>147</v>
      </c>
      <c r="B202" s="206" t="s">
        <v>405</v>
      </c>
      <c r="C202" s="337" t="s">
        <v>334</v>
      </c>
      <c r="D202" s="407" t="s">
        <v>605</v>
      </c>
      <c r="E202" s="407" t="s">
        <v>38</v>
      </c>
      <c r="F202" s="408">
        <f>1</f>
        <v>1</v>
      </c>
      <c r="G202" s="235">
        <v>22000</v>
      </c>
      <c r="H202" s="235">
        <f t="shared" si="141"/>
        <v>22000</v>
      </c>
      <c r="I202" s="235">
        <v>5000</v>
      </c>
      <c r="J202" s="235">
        <f t="shared" si="142"/>
        <v>5000</v>
      </c>
      <c r="K202" s="235">
        <f t="shared" si="143"/>
        <v>27000</v>
      </c>
      <c r="L202" s="235">
        <f t="shared" si="144"/>
        <v>27000</v>
      </c>
      <c r="M202" s="427"/>
    </row>
    <row r="203" spans="1:15" s="409" customFormat="1" ht="18" customHeight="1">
      <c r="A203" s="336" t="s">
        <v>193</v>
      </c>
      <c r="B203" s="206" t="s">
        <v>405</v>
      </c>
      <c r="C203" s="337" t="s">
        <v>207</v>
      </c>
      <c r="D203" s="407" t="s">
        <v>572</v>
      </c>
      <c r="E203" s="407" t="s">
        <v>205</v>
      </c>
      <c r="F203" s="408">
        <v>1</v>
      </c>
      <c r="G203" s="235">
        <v>32500</v>
      </c>
      <c r="H203" s="235">
        <f t="shared" si="141"/>
        <v>32500</v>
      </c>
      <c r="I203" s="235">
        <v>5000</v>
      </c>
      <c r="J203" s="235">
        <f t="shared" si="142"/>
        <v>5000</v>
      </c>
      <c r="K203" s="235">
        <f t="shared" si="143"/>
        <v>37500</v>
      </c>
      <c r="L203" s="235">
        <f t="shared" si="144"/>
        <v>37500</v>
      </c>
      <c r="M203" s="427"/>
    </row>
    <row r="204" spans="1:15" s="409" customFormat="1" ht="18" customHeight="1">
      <c r="A204" s="336" t="s">
        <v>147</v>
      </c>
      <c r="B204" s="206" t="s">
        <v>405</v>
      </c>
      <c r="C204" s="337" t="s">
        <v>334</v>
      </c>
      <c r="D204" s="407" t="s">
        <v>572</v>
      </c>
      <c r="E204" s="407" t="s">
        <v>38</v>
      </c>
      <c r="F204" s="408">
        <v>1</v>
      </c>
      <c r="G204" s="235">
        <v>22000</v>
      </c>
      <c r="H204" s="235">
        <f t="shared" si="141"/>
        <v>22000</v>
      </c>
      <c r="I204" s="235">
        <v>5000</v>
      </c>
      <c r="J204" s="235">
        <f t="shared" si="142"/>
        <v>5000</v>
      </c>
      <c r="K204" s="235">
        <f t="shared" si="143"/>
        <v>27000</v>
      </c>
      <c r="L204" s="235">
        <f t="shared" si="144"/>
        <v>27000</v>
      </c>
      <c r="M204" s="427"/>
    </row>
    <row r="205" spans="1:15" s="409" customFormat="1" ht="18" customHeight="1">
      <c r="A205" s="336" t="s">
        <v>44</v>
      </c>
      <c r="B205" s="206" t="s">
        <v>405</v>
      </c>
      <c r="C205" s="337" t="s">
        <v>207</v>
      </c>
      <c r="D205" s="407" t="s">
        <v>329</v>
      </c>
      <c r="E205" s="407" t="s">
        <v>38</v>
      </c>
      <c r="F205" s="408">
        <v>0</v>
      </c>
      <c r="G205" s="235">
        <v>32500</v>
      </c>
      <c r="H205" s="235">
        <f t="shared" si="141"/>
        <v>0</v>
      </c>
      <c r="I205" s="235">
        <v>5000</v>
      </c>
      <c r="J205" s="235">
        <f t="shared" si="142"/>
        <v>0</v>
      </c>
      <c r="K205" s="235">
        <f t="shared" si="143"/>
        <v>37500</v>
      </c>
      <c r="L205" s="235">
        <f t="shared" si="144"/>
        <v>0</v>
      </c>
      <c r="M205" s="427"/>
    </row>
    <row r="206" spans="1:15" s="409" customFormat="1" ht="18" customHeight="1">
      <c r="A206" s="336" t="s">
        <v>44</v>
      </c>
      <c r="B206" s="206" t="s">
        <v>405</v>
      </c>
      <c r="C206" s="337" t="s">
        <v>334</v>
      </c>
      <c r="D206" s="407" t="s">
        <v>329</v>
      </c>
      <c r="E206" s="407" t="s">
        <v>38</v>
      </c>
      <c r="F206" s="408">
        <v>0</v>
      </c>
      <c r="G206" s="235">
        <v>22000</v>
      </c>
      <c r="H206" s="235">
        <f t="shared" si="141"/>
        <v>0</v>
      </c>
      <c r="I206" s="235">
        <v>5000</v>
      </c>
      <c r="J206" s="235">
        <f t="shared" si="142"/>
        <v>0</v>
      </c>
      <c r="K206" s="235">
        <f t="shared" si="143"/>
        <v>27000</v>
      </c>
      <c r="L206" s="235">
        <f t="shared" si="144"/>
        <v>0</v>
      </c>
      <c r="M206" s="427"/>
    </row>
    <row r="207" spans="1:15" s="409" customFormat="1" ht="18" customHeight="1">
      <c r="A207" s="336" t="s">
        <v>44</v>
      </c>
      <c r="B207" s="206" t="s">
        <v>405</v>
      </c>
      <c r="C207" s="337" t="s">
        <v>606</v>
      </c>
      <c r="D207" s="407" t="s">
        <v>208</v>
      </c>
      <c r="E207" s="407" t="s">
        <v>38</v>
      </c>
      <c r="F207" s="408">
        <v>1</v>
      </c>
      <c r="G207" s="235">
        <v>35000</v>
      </c>
      <c r="H207" s="235">
        <f t="shared" si="141"/>
        <v>35000</v>
      </c>
      <c r="I207" s="235">
        <v>5000</v>
      </c>
      <c r="J207" s="235">
        <f t="shared" si="142"/>
        <v>5000</v>
      </c>
      <c r="K207" s="235">
        <f t="shared" si="143"/>
        <v>40000</v>
      </c>
      <c r="L207" s="235">
        <f t="shared" si="144"/>
        <v>40000</v>
      </c>
      <c r="M207" s="427"/>
    </row>
    <row r="208" spans="1:15" s="409" customFormat="1" ht="18" customHeight="1">
      <c r="A208" s="336" t="s">
        <v>44</v>
      </c>
      <c r="B208" s="206" t="s">
        <v>405</v>
      </c>
      <c r="C208" s="337" t="s">
        <v>207</v>
      </c>
      <c r="D208" s="407" t="s">
        <v>208</v>
      </c>
      <c r="E208" s="407" t="s">
        <v>38</v>
      </c>
      <c r="F208" s="408">
        <v>1</v>
      </c>
      <c r="G208" s="235">
        <v>32500</v>
      </c>
      <c r="H208" s="235">
        <f t="shared" si="141"/>
        <v>32500</v>
      </c>
      <c r="I208" s="235">
        <v>5000</v>
      </c>
      <c r="J208" s="235">
        <f t="shared" si="142"/>
        <v>5000</v>
      </c>
      <c r="K208" s="235">
        <f t="shared" si="143"/>
        <v>37500</v>
      </c>
      <c r="L208" s="235">
        <f t="shared" si="144"/>
        <v>37500</v>
      </c>
      <c r="M208" s="427"/>
    </row>
    <row r="209" spans="1:13" s="409" customFormat="1" ht="18" customHeight="1">
      <c r="A209" s="336" t="s">
        <v>44</v>
      </c>
      <c r="B209" s="206" t="s">
        <v>405</v>
      </c>
      <c r="C209" s="337" t="s">
        <v>335</v>
      </c>
      <c r="D209" s="407" t="s">
        <v>208</v>
      </c>
      <c r="E209" s="407" t="s">
        <v>38</v>
      </c>
      <c r="F209" s="408">
        <v>1</v>
      </c>
      <c r="G209" s="235">
        <v>28500</v>
      </c>
      <c r="H209" s="235">
        <f t="shared" ref="H209" si="145">F209*G209</f>
        <v>28500</v>
      </c>
      <c r="I209" s="235">
        <v>5000</v>
      </c>
      <c r="J209" s="235">
        <f t="shared" ref="J209" si="146">F209*I209</f>
        <v>5000</v>
      </c>
      <c r="K209" s="235">
        <f t="shared" ref="K209" si="147">G209+I209</f>
        <v>33500</v>
      </c>
      <c r="L209" s="235">
        <f t="shared" ref="L209" si="148">F209*K209</f>
        <v>33500</v>
      </c>
      <c r="M209" s="427"/>
    </row>
    <row r="210" spans="1:13" s="409" customFormat="1" ht="18" customHeight="1">
      <c r="A210" s="336" t="s">
        <v>44</v>
      </c>
      <c r="B210" s="206" t="s">
        <v>405</v>
      </c>
      <c r="C210" s="337" t="s">
        <v>606</v>
      </c>
      <c r="D210" s="407" t="s">
        <v>252</v>
      </c>
      <c r="E210" s="407" t="s">
        <v>38</v>
      </c>
      <c r="F210" s="408">
        <v>1</v>
      </c>
      <c r="G210" s="235">
        <v>35000</v>
      </c>
      <c r="H210" s="235">
        <f>F210*G210</f>
        <v>35000</v>
      </c>
      <c r="I210" s="235">
        <v>5000</v>
      </c>
      <c r="J210" s="235">
        <f>F210*I210</f>
        <v>5000</v>
      </c>
      <c r="K210" s="235">
        <f>G210+I210</f>
        <v>40000</v>
      </c>
      <c r="L210" s="235">
        <f>F210*K210</f>
        <v>40000</v>
      </c>
      <c r="M210" s="427"/>
    </row>
    <row r="211" spans="1:13" s="409" customFormat="1" ht="18" customHeight="1">
      <c r="A211" s="336" t="s">
        <v>44</v>
      </c>
      <c r="B211" s="206" t="s">
        <v>405</v>
      </c>
      <c r="C211" s="337" t="s">
        <v>207</v>
      </c>
      <c r="D211" s="407" t="s">
        <v>252</v>
      </c>
      <c r="E211" s="407" t="s">
        <v>38</v>
      </c>
      <c r="F211" s="408">
        <v>2</v>
      </c>
      <c r="G211" s="235">
        <v>32500</v>
      </c>
      <c r="H211" s="235">
        <f>F211*G211</f>
        <v>65000</v>
      </c>
      <c r="I211" s="235">
        <v>5000</v>
      </c>
      <c r="J211" s="235">
        <f>F211*I211</f>
        <v>10000</v>
      </c>
      <c r="K211" s="235">
        <f>G211+I211</f>
        <v>37500</v>
      </c>
      <c r="L211" s="235">
        <f>F211*K211</f>
        <v>75000</v>
      </c>
      <c r="M211" s="427"/>
    </row>
    <row r="212" spans="1:13" s="409" customFormat="1" ht="18" customHeight="1">
      <c r="A212" s="336" t="s">
        <v>44</v>
      </c>
      <c r="B212" s="206" t="s">
        <v>405</v>
      </c>
      <c r="C212" s="337" t="s">
        <v>403</v>
      </c>
      <c r="D212" s="407" t="s">
        <v>252</v>
      </c>
      <c r="E212" s="407" t="s">
        <v>38</v>
      </c>
      <c r="F212" s="408">
        <v>1</v>
      </c>
      <c r="G212" s="235">
        <v>47300</v>
      </c>
      <c r="H212" s="235">
        <f t="shared" ref="H212" si="149">F212*G212</f>
        <v>47300</v>
      </c>
      <c r="I212" s="235">
        <v>5000</v>
      </c>
      <c r="J212" s="235">
        <f t="shared" ref="J212" si="150">F212*I212</f>
        <v>5000</v>
      </c>
      <c r="K212" s="235">
        <f t="shared" ref="K212" si="151">G212+I212</f>
        <v>52300</v>
      </c>
      <c r="L212" s="235">
        <f t="shared" ref="L212" si="152">F212*K212</f>
        <v>52300</v>
      </c>
      <c r="M212" s="427"/>
    </row>
    <row r="213" spans="1:13" s="409" customFormat="1" ht="18" customHeight="1">
      <c r="A213" s="336" t="s">
        <v>44</v>
      </c>
      <c r="B213" s="206" t="s">
        <v>405</v>
      </c>
      <c r="C213" s="337" t="s">
        <v>606</v>
      </c>
      <c r="D213" s="407" t="s">
        <v>551</v>
      </c>
      <c r="E213" s="407" t="s">
        <v>38</v>
      </c>
      <c r="F213" s="408">
        <v>1</v>
      </c>
      <c r="G213" s="235">
        <v>35000</v>
      </c>
      <c r="H213" s="235">
        <f>F213*G213</f>
        <v>35000</v>
      </c>
      <c r="I213" s="235">
        <v>5000</v>
      </c>
      <c r="J213" s="235">
        <f>F213*I213</f>
        <v>5000</v>
      </c>
      <c r="K213" s="235">
        <f>G213+I213</f>
        <v>40000</v>
      </c>
      <c r="L213" s="235">
        <f>F213*K213</f>
        <v>40000</v>
      </c>
      <c r="M213" s="427"/>
    </row>
    <row r="214" spans="1:13" s="409" customFormat="1" ht="18" customHeight="1">
      <c r="A214" s="336" t="s">
        <v>44</v>
      </c>
      <c r="B214" s="206" t="s">
        <v>405</v>
      </c>
      <c r="C214" s="337" t="s">
        <v>207</v>
      </c>
      <c r="D214" s="407" t="s">
        <v>551</v>
      </c>
      <c r="E214" s="407" t="s">
        <v>38</v>
      </c>
      <c r="F214" s="408">
        <v>1</v>
      </c>
      <c r="G214" s="235">
        <v>32500</v>
      </c>
      <c r="H214" s="235">
        <f>F214*G214</f>
        <v>32500</v>
      </c>
      <c r="I214" s="235">
        <v>5000</v>
      </c>
      <c r="J214" s="235">
        <f>F214*I214</f>
        <v>5000</v>
      </c>
      <c r="K214" s="235">
        <f>G214+I214</f>
        <v>37500</v>
      </c>
      <c r="L214" s="235">
        <f>F214*K214</f>
        <v>37500</v>
      </c>
      <c r="M214" s="427"/>
    </row>
    <row r="215" spans="1:13" s="409" customFormat="1" ht="18" customHeight="1">
      <c r="A215" s="336" t="s">
        <v>44</v>
      </c>
      <c r="B215" s="206" t="s">
        <v>405</v>
      </c>
      <c r="C215" s="337" t="s">
        <v>335</v>
      </c>
      <c r="D215" s="407" t="s">
        <v>551</v>
      </c>
      <c r="E215" s="407" t="s">
        <v>38</v>
      </c>
      <c r="F215" s="408">
        <v>1</v>
      </c>
      <c r="G215" s="235">
        <v>28500</v>
      </c>
      <c r="H215" s="235">
        <f t="shared" ref="H215" si="153">F215*G215</f>
        <v>28500</v>
      </c>
      <c r="I215" s="235">
        <v>5000</v>
      </c>
      <c r="J215" s="235">
        <f t="shared" ref="J215" si="154">F215*I215</f>
        <v>5000</v>
      </c>
      <c r="K215" s="235">
        <f t="shared" ref="K215" si="155">G215+I215</f>
        <v>33500</v>
      </c>
      <c r="L215" s="235">
        <f t="shared" ref="L215" si="156">F215*K215</f>
        <v>33500</v>
      </c>
      <c r="M215" s="427"/>
    </row>
    <row r="216" spans="1:13" s="409" customFormat="1" ht="18" customHeight="1">
      <c r="A216" s="336" t="s">
        <v>44</v>
      </c>
      <c r="B216" s="206" t="s">
        <v>405</v>
      </c>
      <c r="C216" s="337" t="s">
        <v>207</v>
      </c>
      <c r="D216" s="407" t="s">
        <v>492</v>
      </c>
      <c r="E216" s="407" t="s">
        <v>38</v>
      </c>
      <c r="F216" s="408">
        <v>0</v>
      </c>
      <c r="G216" s="235">
        <v>32500</v>
      </c>
      <c r="H216" s="235">
        <f>F216*G216</f>
        <v>0</v>
      </c>
      <c r="I216" s="235">
        <v>5000</v>
      </c>
      <c r="J216" s="235">
        <f>F216*I216</f>
        <v>0</v>
      </c>
      <c r="K216" s="235">
        <f>G216+I216</f>
        <v>37500</v>
      </c>
      <c r="L216" s="235">
        <f>F216*K216</f>
        <v>0</v>
      </c>
      <c r="M216" s="427"/>
    </row>
    <row r="217" spans="1:13" s="409" customFormat="1" ht="18" customHeight="1">
      <c r="A217" s="336" t="s">
        <v>44</v>
      </c>
      <c r="B217" s="206" t="s">
        <v>405</v>
      </c>
      <c r="C217" s="337" t="s">
        <v>334</v>
      </c>
      <c r="D217" s="407" t="s">
        <v>492</v>
      </c>
      <c r="E217" s="407" t="s">
        <v>38</v>
      </c>
      <c r="F217" s="408">
        <v>0</v>
      </c>
      <c r="G217" s="235">
        <v>22000</v>
      </c>
      <c r="H217" s="235">
        <f>F217*G217</f>
        <v>0</v>
      </c>
      <c r="I217" s="235">
        <v>5000</v>
      </c>
      <c r="J217" s="235">
        <f>F217*I217</f>
        <v>0</v>
      </c>
      <c r="K217" s="235">
        <f>G217+I217</f>
        <v>27000</v>
      </c>
      <c r="L217" s="235">
        <f>F217*K217</f>
        <v>0</v>
      </c>
      <c r="M217" s="427"/>
    </row>
    <row r="218" spans="1:13" s="409" customFormat="1" ht="18" customHeight="1">
      <c r="A218" s="336" t="s">
        <v>44</v>
      </c>
      <c r="B218" s="206" t="s">
        <v>405</v>
      </c>
      <c r="C218" s="337" t="s">
        <v>606</v>
      </c>
      <c r="D218" s="407" t="s">
        <v>325</v>
      </c>
      <c r="E218" s="407" t="s">
        <v>38</v>
      </c>
      <c r="F218" s="408">
        <v>0</v>
      </c>
      <c r="G218" s="235">
        <v>35000</v>
      </c>
      <c r="H218" s="235">
        <f>F218*G218</f>
        <v>0</v>
      </c>
      <c r="I218" s="235">
        <v>5000</v>
      </c>
      <c r="J218" s="235">
        <f>F218*I218</f>
        <v>0</v>
      </c>
      <c r="K218" s="235">
        <f>G218+I218</f>
        <v>40000</v>
      </c>
      <c r="L218" s="235">
        <f>F218*K218</f>
        <v>0</v>
      </c>
      <c r="M218" s="427"/>
    </row>
    <row r="219" spans="1:13" s="409" customFormat="1" ht="18" customHeight="1">
      <c r="A219" s="336" t="s">
        <v>44</v>
      </c>
      <c r="B219" s="206" t="s">
        <v>405</v>
      </c>
      <c r="C219" s="337" t="s">
        <v>334</v>
      </c>
      <c r="D219" s="407" t="s">
        <v>325</v>
      </c>
      <c r="E219" s="407" t="s">
        <v>38</v>
      </c>
      <c r="F219" s="408">
        <v>0</v>
      </c>
      <c r="G219" s="235">
        <v>22000</v>
      </c>
      <c r="H219" s="235">
        <f>F219*G219</f>
        <v>0</v>
      </c>
      <c r="I219" s="235">
        <v>5000</v>
      </c>
      <c r="J219" s="235">
        <f>F219*I219</f>
        <v>0</v>
      </c>
      <c r="K219" s="235">
        <f>G219+I219</f>
        <v>27000</v>
      </c>
      <c r="L219" s="235">
        <f>F219*K219</f>
        <v>0</v>
      </c>
      <c r="M219" s="427"/>
    </row>
    <row r="220" spans="1:13" s="409" customFormat="1" ht="18" customHeight="1">
      <c r="A220" s="336"/>
      <c r="B220" s="206"/>
      <c r="C220" s="337"/>
      <c r="D220" s="407"/>
      <c r="E220" s="407"/>
      <c r="F220" s="408"/>
      <c r="G220" s="235"/>
      <c r="H220" s="235"/>
      <c r="I220" s="235"/>
      <c r="J220" s="235"/>
      <c r="K220" s="235"/>
      <c r="L220" s="235"/>
      <c r="M220" s="427"/>
    </row>
    <row r="221" spans="1:13" s="416" customFormat="1" ht="18" customHeight="1">
      <c r="A221" s="297" t="s">
        <v>44</v>
      </c>
      <c r="B221" s="237" t="s">
        <v>608</v>
      </c>
      <c r="C221" s="428"/>
      <c r="D221" s="413"/>
      <c r="E221" s="413"/>
      <c r="F221" s="414"/>
      <c r="G221" s="241"/>
      <c r="H221" s="241"/>
      <c r="I221" s="241"/>
      <c r="J221" s="241"/>
      <c r="K221" s="241"/>
      <c r="L221" s="241"/>
      <c r="M221" s="429"/>
    </row>
    <row r="222" spans="1:13" s="409" customFormat="1" ht="18" customHeight="1">
      <c r="A222" s="336" t="s">
        <v>193</v>
      </c>
      <c r="B222" s="206" t="s">
        <v>405</v>
      </c>
      <c r="C222" s="337" t="s">
        <v>335</v>
      </c>
      <c r="D222" s="407" t="s">
        <v>197</v>
      </c>
      <c r="E222" s="407" t="s">
        <v>205</v>
      </c>
      <c r="F222" s="408">
        <v>6</v>
      </c>
      <c r="G222" s="235">
        <v>28500</v>
      </c>
      <c r="H222" s="235">
        <f t="shared" ref="H222" si="157">F222*G222</f>
        <v>171000</v>
      </c>
      <c r="I222" s="235">
        <v>5000</v>
      </c>
      <c r="J222" s="235">
        <f t="shared" si="138"/>
        <v>30000</v>
      </c>
      <c r="K222" s="235">
        <f t="shared" si="139"/>
        <v>33500</v>
      </c>
      <c r="L222" s="235">
        <f t="shared" si="140"/>
        <v>201000</v>
      </c>
      <c r="M222" s="427"/>
    </row>
    <row r="223" spans="1:13" s="433" customFormat="1" ht="18" customHeight="1">
      <c r="A223" s="336" t="s">
        <v>193</v>
      </c>
      <c r="B223" s="206" t="s">
        <v>405</v>
      </c>
      <c r="C223" s="367" t="s">
        <v>206</v>
      </c>
      <c r="D223" s="407" t="s">
        <v>197</v>
      </c>
      <c r="E223" s="430" t="s">
        <v>205</v>
      </c>
      <c r="F223" s="431">
        <v>12</v>
      </c>
      <c r="G223" s="286">
        <v>22600</v>
      </c>
      <c r="H223" s="286">
        <f>F223*G223</f>
        <v>271200</v>
      </c>
      <c r="I223" s="286">
        <v>5000</v>
      </c>
      <c r="J223" s="286">
        <f>F223*I223</f>
        <v>60000</v>
      </c>
      <c r="K223" s="286">
        <f>G223+I223</f>
        <v>27600</v>
      </c>
      <c r="L223" s="286">
        <f>F223*K223</f>
        <v>331200</v>
      </c>
      <c r="M223" s="432"/>
    </row>
    <row r="224" spans="1:13" s="409" customFormat="1" ht="18" hidden="1" customHeight="1">
      <c r="A224" s="336" t="s">
        <v>147</v>
      </c>
      <c r="B224" s="206" t="s">
        <v>405</v>
      </c>
      <c r="C224" s="337" t="s">
        <v>404</v>
      </c>
      <c r="D224" s="407" t="s">
        <v>197</v>
      </c>
      <c r="E224" s="407" t="s">
        <v>38</v>
      </c>
      <c r="F224" s="408"/>
      <c r="G224" s="235">
        <v>73300</v>
      </c>
      <c r="H224" s="235">
        <f t="shared" ref="H224" si="158">F224*G224</f>
        <v>0</v>
      </c>
      <c r="I224" s="235">
        <v>5000</v>
      </c>
      <c r="J224" s="235">
        <f t="shared" ref="J224" si="159">F224*I224</f>
        <v>0</v>
      </c>
      <c r="K224" s="235">
        <f t="shared" ref="K224" si="160">G224+I224</f>
        <v>78300</v>
      </c>
      <c r="L224" s="235">
        <f t="shared" ref="L224" si="161">F224*K224</f>
        <v>0</v>
      </c>
      <c r="M224" s="427"/>
    </row>
    <row r="225" spans="1:13" s="409" customFormat="1" ht="18" hidden="1" customHeight="1">
      <c r="A225" s="336" t="s">
        <v>44</v>
      </c>
      <c r="B225" s="206" t="s">
        <v>405</v>
      </c>
      <c r="C225" s="337" t="s">
        <v>335</v>
      </c>
      <c r="D225" s="407" t="s">
        <v>197</v>
      </c>
      <c r="E225" s="407" t="s">
        <v>38</v>
      </c>
      <c r="F225" s="408"/>
      <c r="G225" s="235">
        <v>28500</v>
      </c>
      <c r="H225" s="235">
        <f t="shared" ref="H225" si="162">F225*G225</f>
        <v>0</v>
      </c>
      <c r="I225" s="235">
        <v>5000</v>
      </c>
      <c r="J225" s="235">
        <f t="shared" ref="J225" si="163">F225*I225</f>
        <v>0</v>
      </c>
      <c r="K225" s="235">
        <f t="shared" ref="K225" si="164">G225+I225</f>
        <v>33500</v>
      </c>
      <c r="L225" s="235">
        <f t="shared" ref="L225" si="165">F225*K225</f>
        <v>0</v>
      </c>
      <c r="M225" s="427"/>
    </row>
    <row r="226" spans="1:13" s="409" customFormat="1" ht="18" hidden="1" customHeight="1">
      <c r="A226" s="336" t="s">
        <v>44</v>
      </c>
      <c r="B226" s="206" t="s">
        <v>405</v>
      </c>
      <c r="C226" s="337" t="s">
        <v>403</v>
      </c>
      <c r="D226" s="407" t="s">
        <v>197</v>
      </c>
      <c r="E226" s="407" t="s">
        <v>38</v>
      </c>
      <c r="F226" s="408"/>
      <c r="G226" s="235">
        <v>47300</v>
      </c>
      <c r="H226" s="235">
        <f t="shared" ref="H226" si="166">F226*G226</f>
        <v>0</v>
      </c>
      <c r="I226" s="235">
        <v>5000</v>
      </c>
      <c r="J226" s="235">
        <f t="shared" ref="J226" si="167">F226*I226</f>
        <v>0</v>
      </c>
      <c r="K226" s="235">
        <f t="shared" ref="K226" si="168">G226+I226</f>
        <v>52300</v>
      </c>
      <c r="L226" s="235">
        <f t="shared" ref="L226" si="169">F226*K226</f>
        <v>0</v>
      </c>
      <c r="M226" s="427"/>
    </row>
    <row r="227" spans="1:13" s="409" customFormat="1" ht="18" hidden="1" customHeight="1">
      <c r="A227" s="336" t="s">
        <v>12</v>
      </c>
      <c r="B227" s="206" t="s">
        <v>406</v>
      </c>
      <c r="C227" s="337" t="s">
        <v>407</v>
      </c>
      <c r="D227" s="407" t="s">
        <v>197</v>
      </c>
      <c r="E227" s="407" t="s">
        <v>38</v>
      </c>
      <c r="F227" s="408"/>
      <c r="G227" s="235">
        <v>70000</v>
      </c>
      <c r="H227" s="235">
        <f>F227*G227</f>
        <v>0</v>
      </c>
      <c r="I227" s="235">
        <v>20000</v>
      </c>
      <c r="J227" s="235">
        <f>F227*I227</f>
        <v>0</v>
      </c>
      <c r="K227" s="235">
        <f>G227+I227</f>
        <v>90000</v>
      </c>
      <c r="L227" s="235">
        <f>F227*K227</f>
        <v>0</v>
      </c>
      <c r="M227" s="411"/>
    </row>
    <row r="228" spans="1:13" s="409" customFormat="1" ht="18" customHeight="1">
      <c r="A228" s="336"/>
      <c r="B228" s="206"/>
      <c r="C228" s="337"/>
      <c r="D228" s="407"/>
      <c r="E228" s="407"/>
      <c r="F228" s="408"/>
      <c r="G228" s="235"/>
      <c r="H228" s="235"/>
      <c r="I228" s="235"/>
      <c r="J228" s="235"/>
      <c r="K228" s="235"/>
      <c r="L228" s="235"/>
      <c r="M228" s="411"/>
    </row>
    <row r="229" spans="1:13" s="421" customFormat="1" ht="18" customHeight="1">
      <c r="A229" s="417" t="s">
        <v>44</v>
      </c>
      <c r="B229" s="402" t="s">
        <v>609</v>
      </c>
      <c r="C229" s="424"/>
      <c r="D229" s="418"/>
      <c r="E229" s="418"/>
      <c r="F229" s="419"/>
      <c r="G229" s="405"/>
      <c r="H229" s="405"/>
      <c r="I229" s="405"/>
      <c r="J229" s="405"/>
      <c r="K229" s="405"/>
      <c r="L229" s="405"/>
      <c r="M229" s="420"/>
    </row>
    <row r="230" spans="1:13" s="409" customFormat="1" ht="18" customHeight="1">
      <c r="A230" s="336" t="s">
        <v>44</v>
      </c>
      <c r="B230" s="206" t="s">
        <v>213</v>
      </c>
      <c r="C230" s="337" t="s">
        <v>601</v>
      </c>
      <c r="D230" s="407" t="s">
        <v>197</v>
      </c>
      <c r="E230" s="407" t="s">
        <v>38</v>
      </c>
      <c r="F230" s="408">
        <v>1</v>
      </c>
      <c r="G230" s="235">
        <v>154000</v>
      </c>
      <c r="H230" s="235">
        <f t="shared" ref="H230" si="170">F230*G230</f>
        <v>154000</v>
      </c>
      <c r="I230" s="235">
        <v>5000</v>
      </c>
      <c r="J230" s="235">
        <f t="shared" ref="J230" si="171">F230*I230</f>
        <v>5000</v>
      </c>
      <c r="K230" s="235">
        <f t="shared" ref="K230" si="172">G230+I230</f>
        <v>159000</v>
      </c>
      <c r="L230" s="235">
        <f t="shared" ref="L230" si="173">F230*K230</f>
        <v>159000</v>
      </c>
      <c r="M230" s="411"/>
    </row>
    <row r="231" spans="1:13" s="409" customFormat="1" ht="18" hidden="1" customHeight="1">
      <c r="A231" s="336"/>
      <c r="B231" s="206"/>
      <c r="C231" s="337"/>
      <c r="D231" s="407"/>
      <c r="E231" s="407"/>
      <c r="F231" s="408"/>
      <c r="G231" s="235"/>
      <c r="H231" s="235"/>
      <c r="I231" s="235"/>
      <c r="J231" s="235"/>
      <c r="K231" s="235"/>
      <c r="L231" s="235"/>
      <c r="M231" s="411"/>
    </row>
    <row r="232" spans="1:13" s="409" customFormat="1" ht="18" hidden="1" customHeight="1">
      <c r="A232" s="336"/>
      <c r="B232" s="206"/>
      <c r="C232" s="337"/>
      <c r="D232" s="407"/>
      <c r="E232" s="407"/>
      <c r="F232" s="408"/>
      <c r="G232" s="235"/>
      <c r="H232" s="235"/>
      <c r="I232" s="235"/>
      <c r="J232" s="235"/>
      <c r="K232" s="235"/>
      <c r="L232" s="235"/>
      <c r="M232" s="411"/>
    </row>
    <row r="233" spans="1:13" s="409" customFormat="1" ht="18" customHeight="1">
      <c r="A233" s="336" t="s">
        <v>44</v>
      </c>
      <c r="B233" s="206" t="s">
        <v>213</v>
      </c>
      <c r="C233" s="337" t="s">
        <v>626</v>
      </c>
      <c r="D233" s="407" t="s">
        <v>197</v>
      </c>
      <c r="E233" s="407" t="s">
        <v>38</v>
      </c>
      <c r="F233" s="408">
        <v>1</v>
      </c>
      <c r="G233" s="235">
        <v>99000</v>
      </c>
      <c r="H233" s="235">
        <f t="shared" ref="H233" si="174">F233*G233</f>
        <v>99000</v>
      </c>
      <c r="I233" s="235">
        <v>5000</v>
      </c>
      <c r="J233" s="235">
        <f t="shared" ref="J233" si="175">F233*I233</f>
        <v>5000</v>
      </c>
      <c r="K233" s="235">
        <f t="shared" ref="K233" si="176">G233+I233</f>
        <v>104000</v>
      </c>
      <c r="L233" s="235">
        <f t="shared" ref="L233" si="177">F233*K233</f>
        <v>104000</v>
      </c>
      <c r="M233" s="411"/>
    </row>
    <row r="234" spans="1:13" s="409" customFormat="1" ht="18" customHeight="1">
      <c r="A234" s="336" t="s">
        <v>12</v>
      </c>
      <c r="B234" s="206" t="s">
        <v>591</v>
      </c>
      <c r="C234" s="337" t="s">
        <v>604</v>
      </c>
      <c r="D234" s="407" t="s">
        <v>197</v>
      </c>
      <c r="E234" s="407" t="s">
        <v>38</v>
      </c>
      <c r="F234" s="408">
        <v>3</v>
      </c>
      <c r="G234" s="235">
        <v>44000</v>
      </c>
      <c r="H234" s="235">
        <f>F234*G234</f>
        <v>132000</v>
      </c>
      <c r="I234" s="235">
        <v>8000</v>
      </c>
      <c r="J234" s="235">
        <f>F234*I234</f>
        <v>24000</v>
      </c>
      <c r="K234" s="235">
        <f>G234+I234</f>
        <v>52000</v>
      </c>
      <c r="L234" s="235">
        <f>F234*K234</f>
        <v>156000</v>
      </c>
      <c r="M234" s="411"/>
    </row>
    <row r="235" spans="1:13" s="409" customFormat="1" ht="18" customHeight="1">
      <c r="A235" s="336" t="s">
        <v>12</v>
      </c>
      <c r="B235" s="206" t="s">
        <v>591</v>
      </c>
      <c r="C235" s="337" t="s">
        <v>593</v>
      </c>
      <c r="D235" s="407" t="s">
        <v>197</v>
      </c>
      <c r="E235" s="407" t="s">
        <v>38</v>
      </c>
      <c r="F235" s="408">
        <v>9</v>
      </c>
      <c r="G235" s="235">
        <v>68000</v>
      </c>
      <c r="H235" s="235">
        <f>F235*G235</f>
        <v>612000</v>
      </c>
      <c r="I235" s="235">
        <v>8000</v>
      </c>
      <c r="J235" s="235">
        <f>F235*I235</f>
        <v>72000</v>
      </c>
      <c r="K235" s="235">
        <f>G235+I235</f>
        <v>76000</v>
      </c>
      <c r="L235" s="235">
        <f>F235*K235</f>
        <v>684000</v>
      </c>
      <c r="M235" s="411"/>
    </row>
    <row r="236" spans="1:13" s="416" customFormat="1" ht="18" customHeight="1">
      <c r="A236" s="297" t="s">
        <v>12</v>
      </c>
      <c r="B236" s="237" t="s">
        <v>230</v>
      </c>
      <c r="C236" s="428" t="s">
        <v>627</v>
      </c>
      <c r="D236" s="413" t="s">
        <v>337</v>
      </c>
      <c r="E236" s="413" t="s">
        <v>38</v>
      </c>
      <c r="F236" s="414">
        <v>0</v>
      </c>
      <c r="G236" s="241">
        <v>5000</v>
      </c>
      <c r="H236" s="241">
        <f>F236*G236</f>
        <v>0</v>
      </c>
      <c r="I236" s="241">
        <v>8000</v>
      </c>
      <c r="J236" s="241">
        <f>F236*I236</f>
        <v>0</v>
      </c>
      <c r="K236" s="241">
        <f>G236+I236</f>
        <v>13000</v>
      </c>
      <c r="L236" s="241">
        <f>F236*K236</f>
        <v>0</v>
      </c>
      <c r="M236" s="415"/>
    </row>
    <row r="237" spans="1:13" s="7" customFormat="1" ht="18" customHeight="1">
      <c r="A237" s="292" t="s">
        <v>44</v>
      </c>
      <c r="B237" s="260" t="s">
        <v>603</v>
      </c>
      <c r="C237" s="293"/>
      <c r="D237" s="201" t="s">
        <v>197</v>
      </c>
      <c r="E237" s="262" t="s">
        <v>38</v>
      </c>
      <c r="F237" s="294">
        <v>3</v>
      </c>
      <c r="G237" s="264">
        <v>50000</v>
      </c>
      <c r="H237" s="264">
        <f>F237*G237</f>
        <v>150000</v>
      </c>
      <c r="I237" s="264">
        <v>10000</v>
      </c>
      <c r="J237" s="264">
        <f>F237*I237</f>
        <v>30000</v>
      </c>
      <c r="K237" s="264">
        <f>G237+I237</f>
        <v>60000</v>
      </c>
      <c r="L237" s="264">
        <f>F237*K237</f>
        <v>180000</v>
      </c>
      <c r="M237" s="204"/>
    </row>
    <row r="238" spans="1:13" s="159" customFormat="1" ht="18" customHeight="1">
      <c r="A238" s="328" t="s">
        <v>268</v>
      </c>
      <c r="B238" s="329" t="s">
        <v>602</v>
      </c>
      <c r="C238" s="330" t="s">
        <v>264</v>
      </c>
      <c r="D238" s="239" t="s">
        <v>197</v>
      </c>
      <c r="E238" s="331" t="s">
        <v>38</v>
      </c>
      <c r="F238" s="332">
        <v>2</v>
      </c>
      <c r="G238" s="333">
        <v>0</v>
      </c>
      <c r="H238" s="333">
        <f>F238*G238</f>
        <v>0</v>
      </c>
      <c r="I238" s="333">
        <v>8000</v>
      </c>
      <c r="J238" s="333">
        <f>F238*I238</f>
        <v>16000</v>
      </c>
      <c r="K238" s="333">
        <f>G238+I238</f>
        <v>8000</v>
      </c>
      <c r="L238" s="333">
        <f>F238*K238</f>
        <v>16000</v>
      </c>
      <c r="M238" s="334"/>
    </row>
    <row r="239" spans="1:13" s="7" customFormat="1" ht="18" customHeight="1">
      <c r="A239" s="292" t="s">
        <v>12</v>
      </c>
      <c r="B239" s="260" t="s">
        <v>101</v>
      </c>
      <c r="C239" s="293" t="s">
        <v>227</v>
      </c>
      <c r="D239" s="336" t="s">
        <v>197</v>
      </c>
      <c r="E239" s="262" t="s">
        <v>39</v>
      </c>
      <c r="F239" s="294">
        <f>2.2+3.6+5.6+1.8+1.8+1.5+4.3+4.3+1.4</f>
        <v>26.5</v>
      </c>
      <c r="G239" s="264">
        <v>24000</v>
      </c>
      <c r="H239" s="264">
        <f t="shared" ref="H239:H240" si="178">F239*G239</f>
        <v>636000</v>
      </c>
      <c r="I239" s="264">
        <v>20000</v>
      </c>
      <c r="J239" s="264">
        <f t="shared" ref="J239:J240" si="179">F239*I239</f>
        <v>530000</v>
      </c>
      <c r="K239" s="264">
        <f t="shared" ref="K239:K240" si="180">G239+I239</f>
        <v>44000</v>
      </c>
      <c r="L239" s="264">
        <f t="shared" ref="L239:L240" si="181">F239*K239</f>
        <v>1166000</v>
      </c>
      <c r="M239" s="204"/>
    </row>
    <row r="240" spans="1:13" s="7" customFormat="1" ht="18" customHeight="1">
      <c r="A240" s="292" t="s">
        <v>246</v>
      </c>
      <c r="B240" s="260" t="s">
        <v>101</v>
      </c>
      <c r="C240" s="293" t="s">
        <v>228</v>
      </c>
      <c r="D240" s="201" t="s">
        <v>197</v>
      </c>
      <c r="E240" s="262" t="s">
        <v>151</v>
      </c>
      <c r="F240" s="294">
        <v>8</v>
      </c>
      <c r="G240" s="264">
        <v>18000</v>
      </c>
      <c r="H240" s="264">
        <f t="shared" si="178"/>
        <v>144000</v>
      </c>
      <c r="I240" s="264">
        <v>5000</v>
      </c>
      <c r="J240" s="264">
        <f t="shared" si="179"/>
        <v>40000</v>
      </c>
      <c r="K240" s="264">
        <f t="shared" si="180"/>
        <v>23000</v>
      </c>
      <c r="L240" s="264">
        <f t="shared" si="181"/>
        <v>184000</v>
      </c>
      <c r="M240" s="335"/>
    </row>
    <row r="241" spans="1:14" s="128" customFormat="1" ht="18" customHeight="1">
      <c r="A241" s="314" t="s">
        <v>12</v>
      </c>
      <c r="B241" s="315" t="s">
        <v>340</v>
      </c>
      <c r="C241" s="316" t="s">
        <v>662</v>
      </c>
      <c r="D241" s="317" t="s">
        <v>197</v>
      </c>
      <c r="E241" s="317" t="s">
        <v>39</v>
      </c>
      <c r="F241" s="318">
        <f>3.2+3.2+3.9+3.9+2.8+2.8+1.6+1.6+6.5+8.3+1.4+14.1</f>
        <v>53.300000000000004</v>
      </c>
      <c r="G241" s="319">
        <v>39000</v>
      </c>
      <c r="H241" s="319">
        <f t="shared" ref="H241:H242" si="182">F241*G241</f>
        <v>2078700.0000000002</v>
      </c>
      <c r="I241" s="319">
        <v>8000</v>
      </c>
      <c r="J241" s="319">
        <f t="shared" ref="J241:J242" si="183">F241*I241</f>
        <v>426400.00000000006</v>
      </c>
      <c r="K241" s="319">
        <f t="shared" ref="K241" si="184">G241+I241</f>
        <v>47000</v>
      </c>
      <c r="L241" s="319">
        <f t="shared" ref="L241" si="185">F241*K241</f>
        <v>2505100</v>
      </c>
      <c r="M241" s="320"/>
      <c r="N241" s="128">
        <v>37000</v>
      </c>
    </row>
    <row r="242" spans="1:14" s="159" customFormat="1" ht="18" customHeight="1">
      <c r="A242" s="338" t="s">
        <v>257</v>
      </c>
      <c r="B242" s="329" t="s">
        <v>340</v>
      </c>
      <c r="C242" s="330" t="s">
        <v>351</v>
      </c>
      <c r="D242" s="239" t="s">
        <v>197</v>
      </c>
      <c r="E242" s="331" t="s">
        <v>151</v>
      </c>
      <c r="F242" s="332">
        <v>4</v>
      </c>
      <c r="G242" s="333">
        <v>130000</v>
      </c>
      <c r="H242" s="241">
        <f t="shared" si="182"/>
        <v>520000</v>
      </c>
      <c r="I242" s="241">
        <v>5000</v>
      </c>
      <c r="J242" s="241">
        <f t="shared" si="183"/>
        <v>20000</v>
      </c>
      <c r="K242" s="333">
        <f>G242+I242</f>
        <v>135000</v>
      </c>
      <c r="L242" s="333">
        <f>F242*K242</f>
        <v>540000</v>
      </c>
      <c r="M242" s="334"/>
    </row>
    <row r="243" spans="1:14" s="159" customFormat="1" ht="18" customHeight="1">
      <c r="A243" s="338" t="s">
        <v>147</v>
      </c>
      <c r="B243" s="329" t="s">
        <v>340</v>
      </c>
      <c r="C243" s="330" t="s">
        <v>341</v>
      </c>
      <c r="D243" s="239" t="s">
        <v>197</v>
      </c>
      <c r="E243" s="331" t="s">
        <v>38</v>
      </c>
      <c r="F243" s="332"/>
      <c r="G243" s="333">
        <v>0</v>
      </c>
      <c r="H243" s="241">
        <f t="shared" ref="H243" si="186">F243*G243</f>
        <v>0</v>
      </c>
      <c r="I243" s="241">
        <v>0</v>
      </c>
      <c r="J243" s="241">
        <f t="shared" ref="J243" si="187">F243*I243</f>
        <v>0</v>
      </c>
      <c r="K243" s="333">
        <f>G243+I243</f>
        <v>0</v>
      </c>
      <c r="L243" s="333">
        <f>F243*K243</f>
        <v>0</v>
      </c>
      <c r="M243" s="334"/>
    </row>
    <row r="244" spans="1:14" s="7" customFormat="1" ht="18" customHeight="1">
      <c r="A244" s="292"/>
      <c r="B244" s="260"/>
      <c r="C244" s="293"/>
      <c r="D244" s="201"/>
      <c r="E244" s="262"/>
      <c r="F244" s="294"/>
      <c r="G244" s="264"/>
      <c r="H244" s="264"/>
      <c r="I244" s="264"/>
      <c r="J244" s="264"/>
      <c r="K244" s="264"/>
      <c r="L244" s="264"/>
      <c r="M244" s="335"/>
    </row>
    <row r="245" spans="1:14" s="7" customFormat="1" ht="18" customHeight="1">
      <c r="A245" s="292">
        <v>-1</v>
      </c>
      <c r="B245" s="260" t="s">
        <v>572</v>
      </c>
      <c r="C245" s="293"/>
      <c r="D245" s="201"/>
      <c r="E245" s="262"/>
      <c r="F245" s="294"/>
      <c r="G245" s="264"/>
      <c r="H245" s="264"/>
      <c r="I245" s="264"/>
      <c r="J245" s="264"/>
      <c r="K245" s="264"/>
      <c r="L245" s="264"/>
      <c r="M245" s="335"/>
    </row>
    <row r="246" spans="1:14" s="409" customFormat="1" ht="18" customHeight="1">
      <c r="A246" s="336" t="s">
        <v>12</v>
      </c>
      <c r="B246" s="206" t="s">
        <v>230</v>
      </c>
      <c r="C246" s="337" t="s">
        <v>628</v>
      </c>
      <c r="D246" s="407" t="s">
        <v>265</v>
      </c>
      <c r="E246" s="407" t="s">
        <v>38</v>
      </c>
      <c r="F246" s="408">
        <v>4</v>
      </c>
      <c r="G246" s="235">
        <v>38000</v>
      </c>
      <c r="H246" s="235">
        <f>F246*G246</f>
        <v>152000</v>
      </c>
      <c r="I246" s="235">
        <v>8000</v>
      </c>
      <c r="J246" s="235">
        <f>F246*I246</f>
        <v>32000</v>
      </c>
      <c r="K246" s="235">
        <f>G246+I246</f>
        <v>46000</v>
      </c>
      <c r="L246" s="235">
        <f>F246*K246</f>
        <v>184000</v>
      </c>
      <c r="M246" s="411"/>
    </row>
    <row r="247" spans="1:14" s="409" customFormat="1" ht="18" customHeight="1">
      <c r="A247" s="336" t="s">
        <v>12</v>
      </c>
      <c r="B247" s="206" t="s">
        <v>101</v>
      </c>
      <c r="C247" s="337" t="s">
        <v>227</v>
      </c>
      <c r="D247" s="407" t="s">
        <v>265</v>
      </c>
      <c r="E247" s="407" t="s">
        <v>39</v>
      </c>
      <c r="F247" s="408">
        <f>1.6+1.8+0.7</f>
        <v>4.1000000000000005</v>
      </c>
      <c r="G247" s="235">
        <v>24000</v>
      </c>
      <c r="H247" s="235">
        <f t="shared" ref="H247:H248" si="188">F247*G247</f>
        <v>98400.000000000015</v>
      </c>
      <c r="I247" s="235">
        <v>20000</v>
      </c>
      <c r="J247" s="235">
        <f t="shared" ref="J247:J248" si="189">F247*I247</f>
        <v>82000.000000000015</v>
      </c>
      <c r="K247" s="235">
        <f t="shared" ref="K247:K248" si="190">G247+I247</f>
        <v>44000</v>
      </c>
      <c r="L247" s="235">
        <f t="shared" ref="L247:L248" si="191">F247*K247</f>
        <v>180400.00000000003</v>
      </c>
      <c r="M247" s="411"/>
    </row>
    <row r="248" spans="1:14" s="409" customFormat="1" ht="18" customHeight="1">
      <c r="A248" s="336" t="s">
        <v>246</v>
      </c>
      <c r="B248" s="206" t="s">
        <v>101</v>
      </c>
      <c r="C248" s="337" t="s">
        <v>228</v>
      </c>
      <c r="D248" s="407" t="s">
        <v>265</v>
      </c>
      <c r="E248" s="407" t="s">
        <v>151</v>
      </c>
      <c r="F248" s="408">
        <v>1</v>
      </c>
      <c r="G248" s="235">
        <v>18000</v>
      </c>
      <c r="H248" s="235">
        <f t="shared" si="188"/>
        <v>18000</v>
      </c>
      <c r="I248" s="235">
        <v>5000</v>
      </c>
      <c r="J248" s="235">
        <f t="shared" si="189"/>
        <v>5000</v>
      </c>
      <c r="K248" s="235">
        <f t="shared" si="190"/>
        <v>23000</v>
      </c>
      <c r="L248" s="235">
        <f t="shared" si="191"/>
        <v>23000</v>
      </c>
      <c r="M248" s="426"/>
    </row>
    <row r="249" spans="1:14" s="409" customFormat="1" ht="18" customHeight="1">
      <c r="A249" s="336"/>
      <c r="B249" s="206"/>
      <c r="C249" s="337"/>
      <c r="D249" s="407"/>
      <c r="E249" s="407"/>
      <c r="F249" s="408"/>
      <c r="G249" s="235"/>
      <c r="H249" s="235"/>
      <c r="I249" s="235"/>
      <c r="J249" s="235"/>
      <c r="K249" s="235"/>
      <c r="L249" s="235"/>
      <c r="M249" s="426"/>
    </row>
    <row r="250" spans="1:14" s="409" customFormat="1" ht="18" customHeight="1">
      <c r="A250" s="336">
        <v>-1</v>
      </c>
      <c r="B250" s="206" t="s">
        <v>588</v>
      </c>
      <c r="C250" s="337"/>
      <c r="D250" s="407"/>
      <c r="E250" s="407"/>
      <c r="F250" s="408"/>
      <c r="G250" s="235"/>
      <c r="H250" s="235"/>
      <c r="I250" s="235"/>
      <c r="J250" s="235"/>
      <c r="K250" s="235"/>
      <c r="L250" s="235"/>
      <c r="M250" s="426"/>
    </row>
    <row r="251" spans="1:14" s="409" customFormat="1" ht="18" customHeight="1">
      <c r="A251" s="336" t="s">
        <v>12</v>
      </c>
      <c r="B251" s="206" t="s">
        <v>230</v>
      </c>
      <c r="C251" s="337" t="s">
        <v>628</v>
      </c>
      <c r="D251" s="407" t="s">
        <v>588</v>
      </c>
      <c r="E251" s="407" t="s">
        <v>38</v>
      </c>
      <c r="F251" s="408">
        <v>4</v>
      </c>
      <c r="G251" s="235">
        <v>38000</v>
      </c>
      <c r="H251" s="235">
        <f>F251*G251</f>
        <v>152000</v>
      </c>
      <c r="I251" s="235">
        <v>8000</v>
      </c>
      <c r="J251" s="235">
        <f>F251*I251</f>
        <v>32000</v>
      </c>
      <c r="K251" s="235">
        <f>G251+I251</f>
        <v>46000</v>
      </c>
      <c r="L251" s="235">
        <f>F251*K251</f>
        <v>184000</v>
      </c>
      <c r="M251" s="411"/>
    </row>
    <row r="252" spans="1:14" s="409" customFormat="1" ht="18" customHeight="1">
      <c r="A252" s="336" t="s">
        <v>12</v>
      </c>
      <c r="B252" s="206" t="s">
        <v>101</v>
      </c>
      <c r="C252" s="337" t="s">
        <v>227</v>
      </c>
      <c r="D252" s="407" t="s">
        <v>588</v>
      </c>
      <c r="E252" s="407" t="s">
        <v>39</v>
      </c>
      <c r="F252" s="408">
        <f>1.3</f>
        <v>1.3</v>
      </c>
      <c r="G252" s="235">
        <v>24000</v>
      </c>
      <c r="H252" s="235">
        <f t="shared" ref="H252:H253" si="192">F252*G252</f>
        <v>31200</v>
      </c>
      <c r="I252" s="235">
        <v>20000</v>
      </c>
      <c r="J252" s="235">
        <f t="shared" ref="J252:J253" si="193">F252*I252</f>
        <v>26000</v>
      </c>
      <c r="K252" s="235">
        <f t="shared" ref="K252:K253" si="194">G252+I252</f>
        <v>44000</v>
      </c>
      <c r="L252" s="235">
        <f t="shared" ref="L252:L253" si="195">F252*K252</f>
        <v>57200</v>
      </c>
      <c r="M252" s="411"/>
    </row>
    <row r="253" spans="1:14" s="409" customFormat="1" ht="18" customHeight="1">
      <c r="A253" s="336" t="s">
        <v>246</v>
      </c>
      <c r="B253" s="206" t="s">
        <v>101</v>
      </c>
      <c r="C253" s="337" t="s">
        <v>228</v>
      </c>
      <c r="D253" s="407" t="s">
        <v>588</v>
      </c>
      <c r="E253" s="407" t="s">
        <v>151</v>
      </c>
      <c r="F253" s="408">
        <v>1</v>
      </c>
      <c r="G253" s="235">
        <v>18000</v>
      </c>
      <c r="H253" s="235">
        <f t="shared" si="192"/>
        <v>18000</v>
      </c>
      <c r="I253" s="235">
        <v>5000</v>
      </c>
      <c r="J253" s="235">
        <f t="shared" si="193"/>
        <v>5000</v>
      </c>
      <c r="K253" s="235">
        <f t="shared" si="194"/>
        <v>23000</v>
      </c>
      <c r="L253" s="235">
        <f t="shared" si="195"/>
        <v>23000</v>
      </c>
      <c r="M253" s="426"/>
    </row>
    <row r="254" spans="1:14" s="409" customFormat="1" ht="18" customHeight="1">
      <c r="A254" s="336"/>
      <c r="B254" s="206"/>
      <c r="C254" s="337"/>
      <c r="D254" s="407"/>
      <c r="E254" s="407"/>
      <c r="F254" s="408"/>
      <c r="G254" s="235"/>
      <c r="H254" s="235"/>
      <c r="I254" s="235"/>
      <c r="J254" s="235"/>
      <c r="K254" s="235"/>
      <c r="L254" s="235"/>
      <c r="M254" s="426"/>
    </row>
    <row r="255" spans="1:14" s="409" customFormat="1" ht="18" customHeight="1">
      <c r="A255" s="336">
        <v>-1</v>
      </c>
      <c r="B255" s="206" t="s">
        <v>551</v>
      </c>
      <c r="C255" s="337"/>
      <c r="D255" s="407"/>
      <c r="E255" s="407"/>
      <c r="F255" s="408"/>
      <c r="G255" s="235"/>
      <c r="H255" s="235"/>
      <c r="I255" s="235"/>
      <c r="J255" s="235"/>
      <c r="K255" s="235"/>
      <c r="L255" s="235"/>
      <c r="M255" s="426"/>
    </row>
    <row r="256" spans="1:14" s="409" customFormat="1" ht="18" customHeight="1">
      <c r="A256" s="336" t="s">
        <v>12</v>
      </c>
      <c r="B256" s="206" t="s">
        <v>230</v>
      </c>
      <c r="C256" s="337" t="s">
        <v>628</v>
      </c>
      <c r="D256" s="407" t="s">
        <v>551</v>
      </c>
      <c r="E256" s="407" t="s">
        <v>38</v>
      </c>
      <c r="F256" s="408">
        <v>6</v>
      </c>
      <c r="G256" s="235">
        <v>38000</v>
      </c>
      <c r="H256" s="235">
        <f>F256*G256</f>
        <v>228000</v>
      </c>
      <c r="I256" s="235">
        <v>8000</v>
      </c>
      <c r="J256" s="235">
        <f>F256*I256</f>
        <v>48000</v>
      </c>
      <c r="K256" s="235">
        <f>G256+I256</f>
        <v>46000</v>
      </c>
      <c r="L256" s="235">
        <f>F256*K256</f>
        <v>276000</v>
      </c>
      <c r="M256" s="411"/>
    </row>
    <row r="257" spans="1:13" s="159" customFormat="1" ht="18" customHeight="1">
      <c r="A257" s="328" t="s">
        <v>44</v>
      </c>
      <c r="B257" s="329" t="s">
        <v>602</v>
      </c>
      <c r="C257" s="330" t="s">
        <v>264</v>
      </c>
      <c r="D257" s="239" t="s">
        <v>197</v>
      </c>
      <c r="E257" s="331" t="s">
        <v>38</v>
      </c>
      <c r="F257" s="332">
        <v>2</v>
      </c>
      <c r="G257" s="333">
        <v>0</v>
      </c>
      <c r="H257" s="333">
        <f>F257*G257</f>
        <v>0</v>
      </c>
      <c r="I257" s="333">
        <v>8000</v>
      </c>
      <c r="J257" s="333">
        <f>F257*I257</f>
        <v>16000</v>
      </c>
      <c r="K257" s="333">
        <f>G257+I257</f>
        <v>8000</v>
      </c>
      <c r="L257" s="333">
        <f>F257*K257</f>
        <v>16000</v>
      </c>
      <c r="M257" s="334"/>
    </row>
    <row r="258" spans="1:13" s="7" customFormat="1" ht="18" customHeight="1">
      <c r="A258" s="292" t="s">
        <v>12</v>
      </c>
      <c r="B258" s="260" t="s">
        <v>101</v>
      </c>
      <c r="C258" s="293" t="s">
        <v>227</v>
      </c>
      <c r="D258" s="336" t="s">
        <v>551</v>
      </c>
      <c r="E258" s="262" t="s">
        <v>39</v>
      </c>
      <c r="F258" s="294">
        <f>1.2+1.2+2.4+1.7</f>
        <v>6.5</v>
      </c>
      <c r="G258" s="264">
        <v>24000</v>
      </c>
      <c r="H258" s="264">
        <f t="shared" ref="H258:H259" si="196">F258*G258</f>
        <v>156000</v>
      </c>
      <c r="I258" s="264">
        <v>20000</v>
      </c>
      <c r="J258" s="264">
        <f t="shared" ref="J258:J259" si="197">F258*I258</f>
        <v>130000</v>
      </c>
      <c r="K258" s="264">
        <f t="shared" ref="K258:K259" si="198">G258+I258</f>
        <v>44000</v>
      </c>
      <c r="L258" s="264">
        <f t="shared" ref="L258:L259" si="199">F258*K258</f>
        <v>286000</v>
      </c>
      <c r="M258" s="204"/>
    </row>
    <row r="259" spans="1:13" s="7" customFormat="1" ht="18" customHeight="1">
      <c r="A259" s="292" t="s">
        <v>246</v>
      </c>
      <c r="B259" s="260" t="s">
        <v>101</v>
      </c>
      <c r="C259" s="293" t="s">
        <v>228</v>
      </c>
      <c r="D259" s="201" t="s">
        <v>551</v>
      </c>
      <c r="E259" s="262" t="s">
        <v>151</v>
      </c>
      <c r="F259" s="294">
        <v>2</v>
      </c>
      <c r="G259" s="264">
        <v>18000</v>
      </c>
      <c r="H259" s="264">
        <f t="shared" si="196"/>
        <v>36000</v>
      </c>
      <c r="I259" s="264">
        <v>5000</v>
      </c>
      <c r="J259" s="264">
        <f t="shared" si="197"/>
        <v>10000</v>
      </c>
      <c r="K259" s="264">
        <f t="shared" si="198"/>
        <v>23000</v>
      </c>
      <c r="L259" s="264">
        <f t="shared" si="199"/>
        <v>46000</v>
      </c>
      <c r="M259" s="335"/>
    </row>
    <row r="260" spans="1:13" s="7" customFormat="1" ht="18" customHeight="1">
      <c r="A260" s="292"/>
      <c r="B260" s="260"/>
      <c r="C260" s="293"/>
      <c r="D260" s="201"/>
      <c r="E260" s="262"/>
      <c r="F260" s="294"/>
      <c r="G260" s="264"/>
      <c r="H260" s="264"/>
      <c r="I260" s="264"/>
      <c r="J260" s="264"/>
      <c r="K260" s="264"/>
      <c r="L260" s="264"/>
      <c r="M260" s="335"/>
    </row>
    <row r="261" spans="1:13" s="7" customFormat="1" ht="18" customHeight="1">
      <c r="A261" s="292">
        <v>-1</v>
      </c>
      <c r="B261" s="260" t="s">
        <v>486</v>
      </c>
      <c r="C261" s="293"/>
      <c r="D261" s="201"/>
      <c r="E261" s="262"/>
      <c r="F261" s="294"/>
      <c r="G261" s="264"/>
      <c r="H261" s="264"/>
      <c r="I261" s="264"/>
      <c r="J261" s="264"/>
      <c r="K261" s="264"/>
      <c r="L261" s="264"/>
      <c r="M261" s="335"/>
    </row>
    <row r="262" spans="1:13" s="7" customFormat="1" ht="18" customHeight="1">
      <c r="A262" s="292" t="s">
        <v>12</v>
      </c>
      <c r="B262" s="260" t="s">
        <v>591</v>
      </c>
      <c r="C262" s="293" t="s">
        <v>593</v>
      </c>
      <c r="D262" s="201" t="s">
        <v>486</v>
      </c>
      <c r="E262" s="262" t="s">
        <v>38</v>
      </c>
      <c r="F262" s="294">
        <v>3</v>
      </c>
      <c r="G262" s="264">
        <v>68000</v>
      </c>
      <c r="H262" s="264">
        <f>F262*G262</f>
        <v>204000</v>
      </c>
      <c r="I262" s="264">
        <v>8000</v>
      </c>
      <c r="J262" s="264">
        <f>F262*I262</f>
        <v>24000</v>
      </c>
      <c r="K262" s="264">
        <f>G262+I262</f>
        <v>76000</v>
      </c>
      <c r="L262" s="264">
        <f>F262*K262</f>
        <v>228000</v>
      </c>
      <c r="M262" s="204"/>
    </row>
    <row r="263" spans="1:13" s="7" customFormat="1" ht="18" customHeight="1">
      <c r="A263" s="292" t="s">
        <v>12</v>
      </c>
      <c r="B263" s="260" t="s">
        <v>592</v>
      </c>
      <c r="C263" s="293" t="s">
        <v>227</v>
      </c>
      <c r="D263" s="201" t="s">
        <v>486</v>
      </c>
      <c r="E263" s="262" t="s">
        <v>39</v>
      </c>
      <c r="F263" s="294">
        <v>4.5</v>
      </c>
      <c r="G263" s="264">
        <v>60000</v>
      </c>
      <c r="H263" s="264">
        <f>F263*G263</f>
        <v>270000</v>
      </c>
      <c r="I263" s="264">
        <v>8000</v>
      </c>
      <c r="J263" s="264">
        <f>F263*I263</f>
        <v>36000</v>
      </c>
      <c r="K263" s="264">
        <f>G263+I263</f>
        <v>68000</v>
      </c>
      <c r="L263" s="264">
        <f>F263*K263</f>
        <v>306000</v>
      </c>
      <c r="M263" s="204"/>
    </row>
    <row r="264" spans="1:13" s="7" customFormat="1" ht="18" customHeight="1">
      <c r="A264" s="292" t="s">
        <v>12</v>
      </c>
      <c r="B264" s="260" t="s">
        <v>592</v>
      </c>
      <c r="C264" s="293" t="s">
        <v>594</v>
      </c>
      <c r="D264" s="201" t="s">
        <v>486</v>
      </c>
      <c r="E264" s="262" t="s">
        <v>38</v>
      </c>
      <c r="F264" s="294">
        <v>1</v>
      </c>
      <c r="G264" s="264">
        <v>40000</v>
      </c>
      <c r="H264" s="264">
        <f>F264*G264</f>
        <v>40000</v>
      </c>
      <c r="I264" s="264">
        <v>8000</v>
      </c>
      <c r="J264" s="264">
        <f>F264*I264</f>
        <v>8000</v>
      </c>
      <c r="K264" s="264">
        <f>G264+I264</f>
        <v>48000</v>
      </c>
      <c r="L264" s="264">
        <f>F264*K264</f>
        <v>48000</v>
      </c>
      <c r="M264" s="204"/>
    </row>
    <row r="265" spans="1:13" s="7" customFormat="1" ht="18" customHeight="1">
      <c r="A265" s="292" t="s">
        <v>12</v>
      </c>
      <c r="B265" s="260" t="s">
        <v>101</v>
      </c>
      <c r="C265" s="293" t="s">
        <v>227</v>
      </c>
      <c r="D265" s="201" t="s">
        <v>486</v>
      </c>
      <c r="E265" s="262" t="s">
        <v>39</v>
      </c>
      <c r="F265" s="294">
        <v>3.2</v>
      </c>
      <c r="G265" s="264">
        <v>24000</v>
      </c>
      <c r="H265" s="264">
        <f t="shared" ref="H265:H266" si="200">F265*G265</f>
        <v>76800</v>
      </c>
      <c r="I265" s="264">
        <v>20000</v>
      </c>
      <c r="J265" s="264">
        <f t="shared" ref="J265:J266" si="201">F265*I265</f>
        <v>64000</v>
      </c>
      <c r="K265" s="264">
        <f t="shared" ref="K265:K266" si="202">G265+I265</f>
        <v>44000</v>
      </c>
      <c r="L265" s="264">
        <f t="shared" ref="L265:L266" si="203">F265*K265</f>
        <v>140800</v>
      </c>
      <c r="M265" s="204"/>
    </row>
    <row r="266" spans="1:13" s="7" customFormat="1" ht="18" customHeight="1">
      <c r="A266" s="292" t="s">
        <v>246</v>
      </c>
      <c r="B266" s="260" t="s">
        <v>101</v>
      </c>
      <c r="C266" s="293" t="s">
        <v>595</v>
      </c>
      <c r="D266" s="201" t="s">
        <v>486</v>
      </c>
      <c r="E266" s="262" t="s">
        <v>151</v>
      </c>
      <c r="F266" s="294">
        <v>1</v>
      </c>
      <c r="G266" s="264">
        <v>18000</v>
      </c>
      <c r="H266" s="264">
        <f t="shared" si="200"/>
        <v>18000</v>
      </c>
      <c r="I266" s="264">
        <v>5000</v>
      </c>
      <c r="J266" s="264">
        <f t="shared" si="201"/>
        <v>5000</v>
      </c>
      <c r="K266" s="264">
        <f t="shared" si="202"/>
        <v>23000</v>
      </c>
      <c r="L266" s="264">
        <f t="shared" si="203"/>
        <v>23000</v>
      </c>
      <c r="M266" s="335"/>
    </row>
    <row r="267" spans="1:13" s="7" customFormat="1" ht="18" customHeight="1">
      <c r="A267" s="292"/>
      <c r="B267" s="260"/>
      <c r="C267" s="293"/>
      <c r="D267" s="201"/>
      <c r="E267" s="262"/>
      <c r="F267" s="294"/>
      <c r="G267" s="264"/>
      <c r="H267" s="264"/>
      <c r="I267" s="264"/>
      <c r="J267" s="264"/>
      <c r="K267" s="264"/>
      <c r="L267" s="264"/>
      <c r="M267" s="335"/>
    </row>
    <row r="268" spans="1:13" s="7" customFormat="1" ht="18" customHeight="1">
      <c r="A268" s="292">
        <v>-1</v>
      </c>
      <c r="B268" s="260" t="s">
        <v>589</v>
      </c>
      <c r="C268" s="293"/>
      <c r="D268" s="201"/>
      <c r="E268" s="262"/>
      <c r="F268" s="294"/>
      <c r="G268" s="264"/>
      <c r="H268" s="264"/>
      <c r="I268" s="264"/>
      <c r="J268" s="264"/>
      <c r="K268" s="264"/>
      <c r="L268" s="264"/>
      <c r="M268" s="335"/>
    </row>
    <row r="269" spans="1:13" s="7" customFormat="1" ht="18" customHeight="1">
      <c r="A269" s="292" t="s">
        <v>12</v>
      </c>
      <c r="B269" s="260" t="s">
        <v>591</v>
      </c>
      <c r="C269" s="293" t="s">
        <v>593</v>
      </c>
      <c r="D269" s="201" t="s">
        <v>589</v>
      </c>
      <c r="E269" s="262" t="s">
        <v>38</v>
      </c>
      <c r="F269" s="294">
        <v>2</v>
      </c>
      <c r="G269" s="264">
        <v>68000</v>
      </c>
      <c r="H269" s="264">
        <f>F269*G269</f>
        <v>136000</v>
      </c>
      <c r="I269" s="264">
        <v>8000</v>
      </c>
      <c r="J269" s="264">
        <f>F269*I269</f>
        <v>16000</v>
      </c>
      <c r="K269" s="264">
        <f>G269+I269</f>
        <v>76000</v>
      </c>
      <c r="L269" s="264">
        <f>F269*K269</f>
        <v>152000</v>
      </c>
      <c r="M269" s="204"/>
    </row>
    <row r="270" spans="1:13" s="7" customFormat="1" ht="18" customHeight="1">
      <c r="A270" s="292" t="s">
        <v>12</v>
      </c>
      <c r="B270" s="260" t="s">
        <v>592</v>
      </c>
      <c r="C270" s="293" t="s">
        <v>227</v>
      </c>
      <c r="D270" s="201" t="s">
        <v>589</v>
      </c>
      <c r="E270" s="262" t="s">
        <v>39</v>
      </c>
      <c r="F270" s="294">
        <v>4.5</v>
      </c>
      <c r="G270" s="264">
        <v>60000</v>
      </c>
      <c r="H270" s="264">
        <f>F270*G270</f>
        <v>270000</v>
      </c>
      <c r="I270" s="264">
        <v>8000</v>
      </c>
      <c r="J270" s="264">
        <f>F270*I270</f>
        <v>36000</v>
      </c>
      <c r="K270" s="264">
        <f>G270+I270</f>
        <v>68000</v>
      </c>
      <c r="L270" s="264">
        <f>F270*K270</f>
        <v>306000</v>
      </c>
      <c r="M270" s="204"/>
    </row>
    <row r="271" spans="1:13" s="7" customFormat="1" ht="18" customHeight="1">
      <c r="A271" s="292" t="s">
        <v>12</v>
      </c>
      <c r="B271" s="260" t="s">
        <v>592</v>
      </c>
      <c r="C271" s="293" t="s">
        <v>594</v>
      </c>
      <c r="D271" s="201" t="s">
        <v>589</v>
      </c>
      <c r="E271" s="262" t="s">
        <v>38</v>
      </c>
      <c r="F271" s="294">
        <v>1</v>
      </c>
      <c r="G271" s="264">
        <v>40000</v>
      </c>
      <c r="H271" s="264">
        <f>F271*G271</f>
        <v>40000</v>
      </c>
      <c r="I271" s="264">
        <v>8000</v>
      </c>
      <c r="J271" s="264">
        <f>F271*I271</f>
        <v>8000</v>
      </c>
      <c r="K271" s="264">
        <f>G271+I271</f>
        <v>48000</v>
      </c>
      <c r="L271" s="264">
        <f>F271*K271</f>
        <v>48000</v>
      </c>
      <c r="M271" s="204"/>
    </row>
    <row r="272" spans="1:13" s="7" customFormat="1" ht="18" customHeight="1">
      <c r="A272" s="292" t="s">
        <v>12</v>
      </c>
      <c r="B272" s="260" t="s">
        <v>101</v>
      </c>
      <c r="C272" s="293" t="s">
        <v>227</v>
      </c>
      <c r="D272" s="201" t="s">
        <v>589</v>
      </c>
      <c r="E272" s="262" t="s">
        <v>39</v>
      </c>
      <c r="F272" s="294">
        <v>3</v>
      </c>
      <c r="G272" s="264">
        <v>24000</v>
      </c>
      <c r="H272" s="264">
        <f t="shared" ref="H272:H273" si="204">F272*G272</f>
        <v>72000</v>
      </c>
      <c r="I272" s="264">
        <v>20000</v>
      </c>
      <c r="J272" s="264">
        <f t="shared" ref="J272:J273" si="205">F272*I272</f>
        <v>60000</v>
      </c>
      <c r="K272" s="264">
        <f t="shared" ref="K272:K273" si="206">G272+I272</f>
        <v>44000</v>
      </c>
      <c r="L272" s="264">
        <f t="shared" ref="L272:L273" si="207">F272*K272</f>
        <v>132000</v>
      </c>
      <c r="M272" s="204"/>
    </row>
    <row r="273" spans="1:13" s="7" customFormat="1" ht="18" customHeight="1">
      <c r="A273" s="292" t="s">
        <v>44</v>
      </c>
      <c r="B273" s="260" t="s">
        <v>101</v>
      </c>
      <c r="C273" s="293" t="s">
        <v>595</v>
      </c>
      <c r="D273" s="201" t="s">
        <v>589</v>
      </c>
      <c r="E273" s="262" t="s">
        <v>38</v>
      </c>
      <c r="F273" s="294">
        <v>1</v>
      </c>
      <c r="G273" s="264">
        <v>18000</v>
      </c>
      <c r="H273" s="264">
        <f t="shared" si="204"/>
        <v>18000</v>
      </c>
      <c r="I273" s="264">
        <v>5000</v>
      </c>
      <c r="J273" s="264">
        <f t="shared" si="205"/>
        <v>5000</v>
      </c>
      <c r="K273" s="264">
        <f t="shared" si="206"/>
        <v>23000</v>
      </c>
      <c r="L273" s="264">
        <f t="shared" si="207"/>
        <v>23000</v>
      </c>
      <c r="M273" s="335"/>
    </row>
    <row r="274" spans="1:13" s="7" customFormat="1" ht="18" customHeight="1">
      <c r="A274" s="292"/>
      <c r="B274" s="260"/>
      <c r="C274" s="293"/>
      <c r="D274" s="201"/>
      <c r="E274" s="262"/>
      <c r="F274" s="294"/>
      <c r="G274" s="264"/>
      <c r="H274" s="264"/>
      <c r="I274" s="264"/>
      <c r="J274" s="264"/>
      <c r="K274" s="264"/>
      <c r="L274" s="264"/>
      <c r="M274" s="204"/>
    </row>
    <row r="275" spans="1:13" s="7" customFormat="1" ht="18" customHeight="1">
      <c r="A275" s="292">
        <v>-1</v>
      </c>
      <c r="B275" s="260" t="s">
        <v>590</v>
      </c>
      <c r="C275" s="293"/>
      <c r="D275" s="201"/>
      <c r="E275" s="262"/>
      <c r="F275" s="294"/>
      <c r="G275" s="264"/>
      <c r="H275" s="264"/>
      <c r="I275" s="264"/>
      <c r="J275" s="264"/>
      <c r="K275" s="264"/>
      <c r="L275" s="264"/>
      <c r="M275" s="335"/>
    </row>
    <row r="276" spans="1:13" s="7" customFormat="1" ht="18" customHeight="1">
      <c r="A276" s="292" t="s">
        <v>12</v>
      </c>
      <c r="B276" s="260" t="s">
        <v>591</v>
      </c>
      <c r="C276" s="293" t="s">
        <v>593</v>
      </c>
      <c r="D276" s="201" t="s">
        <v>590</v>
      </c>
      <c r="E276" s="262" t="s">
        <v>38</v>
      </c>
      <c r="F276" s="294">
        <v>1</v>
      </c>
      <c r="G276" s="264">
        <v>68000</v>
      </c>
      <c r="H276" s="264">
        <f>F276*G276</f>
        <v>68000</v>
      </c>
      <c r="I276" s="264">
        <v>8000</v>
      </c>
      <c r="J276" s="264">
        <f>F276*I276</f>
        <v>8000</v>
      </c>
      <c r="K276" s="264">
        <f>G276+I276</f>
        <v>76000</v>
      </c>
      <c r="L276" s="264">
        <f>F276*K276</f>
        <v>76000</v>
      </c>
      <c r="M276" s="204"/>
    </row>
    <row r="277" spans="1:13" s="7" customFormat="1" ht="18" customHeight="1">
      <c r="A277" s="292" t="s">
        <v>12</v>
      </c>
      <c r="B277" s="260" t="s">
        <v>592</v>
      </c>
      <c r="C277" s="293" t="s">
        <v>227</v>
      </c>
      <c r="D277" s="201" t="s">
        <v>590</v>
      </c>
      <c r="E277" s="262" t="s">
        <v>39</v>
      </c>
      <c r="F277" s="294">
        <v>4</v>
      </c>
      <c r="G277" s="264">
        <v>60000</v>
      </c>
      <c r="H277" s="264">
        <f>F277*G277</f>
        <v>240000</v>
      </c>
      <c r="I277" s="264">
        <v>8000</v>
      </c>
      <c r="J277" s="264">
        <f>F277*I277</f>
        <v>32000</v>
      </c>
      <c r="K277" s="264">
        <f>G277+I277</f>
        <v>68000</v>
      </c>
      <c r="L277" s="264">
        <f>F277*K277</f>
        <v>272000</v>
      </c>
      <c r="M277" s="204"/>
    </row>
    <row r="278" spans="1:13" s="7" customFormat="1" ht="18" customHeight="1">
      <c r="A278" s="292" t="s">
        <v>12</v>
      </c>
      <c r="B278" s="260" t="s">
        <v>592</v>
      </c>
      <c r="C278" s="293" t="s">
        <v>594</v>
      </c>
      <c r="D278" s="201" t="s">
        <v>590</v>
      </c>
      <c r="E278" s="262" t="s">
        <v>38</v>
      </c>
      <c r="F278" s="294">
        <v>1</v>
      </c>
      <c r="G278" s="264">
        <v>40000</v>
      </c>
      <c r="H278" s="264">
        <f>F278*G278</f>
        <v>40000</v>
      </c>
      <c r="I278" s="264">
        <v>8000</v>
      </c>
      <c r="J278" s="264">
        <f>F278*I278</f>
        <v>8000</v>
      </c>
      <c r="K278" s="264">
        <f>G278+I278</f>
        <v>48000</v>
      </c>
      <c r="L278" s="264">
        <f>F278*K278</f>
        <v>48000</v>
      </c>
      <c r="M278" s="204"/>
    </row>
    <row r="279" spans="1:13" s="7" customFormat="1" ht="18" customHeight="1">
      <c r="A279" s="292" t="s">
        <v>12</v>
      </c>
      <c r="B279" s="260" t="s">
        <v>101</v>
      </c>
      <c r="C279" s="293" t="s">
        <v>227</v>
      </c>
      <c r="D279" s="201" t="s">
        <v>590</v>
      </c>
      <c r="E279" s="262" t="s">
        <v>39</v>
      </c>
      <c r="F279" s="294">
        <v>3</v>
      </c>
      <c r="G279" s="264">
        <v>24000</v>
      </c>
      <c r="H279" s="264">
        <f t="shared" ref="H279:H280" si="208">F279*G279</f>
        <v>72000</v>
      </c>
      <c r="I279" s="264">
        <v>20000</v>
      </c>
      <c r="J279" s="264">
        <f t="shared" ref="J279:J280" si="209">F279*I279</f>
        <v>60000</v>
      </c>
      <c r="K279" s="264">
        <f t="shared" ref="K279:K280" si="210">G279+I279</f>
        <v>44000</v>
      </c>
      <c r="L279" s="264">
        <f t="shared" ref="L279:L280" si="211">F279*K279</f>
        <v>132000</v>
      </c>
      <c r="M279" s="204"/>
    </row>
    <row r="280" spans="1:13" s="7" customFormat="1" ht="18" customHeight="1">
      <c r="A280" s="292" t="s">
        <v>44</v>
      </c>
      <c r="B280" s="260" t="s">
        <v>101</v>
      </c>
      <c r="C280" s="293" t="s">
        <v>595</v>
      </c>
      <c r="D280" s="201" t="s">
        <v>590</v>
      </c>
      <c r="E280" s="262" t="s">
        <v>38</v>
      </c>
      <c r="F280" s="294">
        <v>1</v>
      </c>
      <c r="G280" s="264">
        <v>18000</v>
      </c>
      <c r="H280" s="264">
        <f t="shared" si="208"/>
        <v>18000</v>
      </c>
      <c r="I280" s="264">
        <v>5000</v>
      </c>
      <c r="J280" s="264">
        <f t="shared" si="209"/>
        <v>5000</v>
      </c>
      <c r="K280" s="264">
        <f t="shared" si="210"/>
        <v>23000</v>
      </c>
      <c r="L280" s="264">
        <f t="shared" si="211"/>
        <v>23000</v>
      </c>
      <c r="M280" s="335"/>
    </row>
    <row r="281" spans="1:13" s="7" customFormat="1" ht="18" customHeight="1">
      <c r="A281" s="292"/>
      <c r="B281" s="260"/>
      <c r="C281" s="293"/>
      <c r="D281" s="201"/>
      <c r="E281" s="262"/>
      <c r="F281" s="294"/>
      <c r="G281" s="264"/>
      <c r="H281" s="264"/>
      <c r="I281" s="264"/>
      <c r="J281" s="264"/>
      <c r="K281" s="264"/>
      <c r="L281" s="264"/>
      <c r="M281" s="335"/>
    </row>
    <row r="282" spans="1:13" s="7" customFormat="1" ht="18" customHeight="1">
      <c r="A282" s="292">
        <v>-1</v>
      </c>
      <c r="B282" s="260" t="s">
        <v>200</v>
      </c>
      <c r="C282" s="293"/>
      <c r="D282" s="201"/>
      <c r="E282" s="262"/>
      <c r="F282" s="294"/>
      <c r="G282" s="264"/>
      <c r="H282" s="264"/>
      <c r="I282" s="264"/>
      <c r="J282" s="264"/>
      <c r="K282" s="264"/>
      <c r="L282" s="264"/>
      <c r="M282" s="335"/>
    </row>
    <row r="283" spans="1:13" s="7" customFormat="1" ht="18" customHeight="1">
      <c r="A283" s="292" t="s">
        <v>12</v>
      </c>
      <c r="B283" s="260" t="s">
        <v>591</v>
      </c>
      <c r="C283" s="293" t="s">
        <v>593</v>
      </c>
      <c r="D283" s="201" t="s">
        <v>200</v>
      </c>
      <c r="E283" s="262" t="s">
        <v>38</v>
      </c>
      <c r="F283" s="294">
        <v>3</v>
      </c>
      <c r="G283" s="264">
        <v>68000</v>
      </c>
      <c r="H283" s="264">
        <f>F283*G283</f>
        <v>204000</v>
      </c>
      <c r="I283" s="264">
        <v>8000</v>
      </c>
      <c r="J283" s="264">
        <f>F283*I283</f>
        <v>24000</v>
      </c>
      <c r="K283" s="264">
        <f>G283+I283</f>
        <v>76000</v>
      </c>
      <c r="L283" s="264">
        <f>F283*K283</f>
        <v>228000</v>
      </c>
      <c r="M283" s="204"/>
    </row>
    <row r="284" spans="1:13" s="7" customFormat="1" ht="18" customHeight="1">
      <c r="A284" s="292" t="s">
        <v>12</v>
      </c>
      <c r="B284" s="260" t="s">
        <v>592</v>
      </c>
      <c r="C284" s="293" t="s">
        <v>227</v>
      </c>
      <c r="D284" s="201" t="s">
        <v>200</v>
      </c>
      <c r="E284" s="262" t="s">
        <v>39</v>
      </c>
      <c r="F284" s="294">
        <v>3.5</v>
      </c>
      <c r="G284" s="264">
        <v>60000</v>
      </c>
      <c r="H284" s="264">
        <f>F284*G284</f>
        <v>210000</v>
      </c>
      <c r="I284" s="264">
        <v>8000</v>
      </c>
      <c r="J284" s="264">
        <f>F284*I284</f>
        <v>28000</v>
      </c>
      <c r="K284" s="264">
        <f>G284+I284</f>
        <v>68000</v>
      </c>
      <c r="L284" s="264">
        <f>F284*K284</f>
        <v>238000</v>
      </c>
      <c r="M284" s="204"/>
    </row>
    <row r="285" spans="1:13" s="7" customFormat="1" ht="18" customHeight="1">
      <c r="A285" s="292" t="s">
        <v>12</v>
      </c>
      <c r="B285" s="260" t="s">
        <v>592</v>
      </c>
      <c r="C285" s="293" t="s">
        <v>594</v>
      </c>
      <c r="D285" s="201" t="s">
        <v>200</v>
      </c>
      <c r="E285" s="262" t="s">
        <v>38</v>
      </c>
      <c r="F285" s="294">
        <v>1</v>
      </c>
      <c r="G285" s="264">
        <v>40000</v>
      </c>
      <c r="H285" s="264">
        <f>F285*G285</f>
        <v>40000</v>
      </c>
      <c r="I285" s="264">
        <v>8000</v>
      </c>
      <c r="J285" s="264">
        <f>F285*I285</f>
        <v>8000</v>
      </c>
      <c r="K285" s="264">
        <f>G285+I285</f>
        <v>48000</v>
      </c>
      <c r="L285" s="264">
        <f>F285*K285</f>
        <v>48000</v>
      </c>
      <c r="M285" s="204"/>
    </row>
    <row r="286" spans="1:13" s="7" customFormat="1" ht="18" customHeight="1">
      <c r="A286" s="292" t="s">
        <v>12</v>
      </c>
      <c r="B286" s="260" t="s">
        <v>101</v>
      </c>
      <c r="C286" s="293" t="s">
        <v>227</v>
      </c>
      <c r="D286" s="201" t="s">
        <v>200</v>
      </c>
      <c r="E286" s="262" t="s">
        <v>39</v>
      </c>
      <c r="F286" s="294">
        <v>4.8</v>
      </c>
      <c r="G286" s="264">
        <v>24000</v>
      </c>
      <c r="H286" s="264">
        <f t="shared" ref="H286:H287" si="212">F286*G286</f>
        <v>115200</v>
      </c>
      <c r="I286" s="264">
        <v>20000</v>
      </c>
      <c r="J286" s="264">
        <f t="shared" ref="J286:J287" si="213">F286*I286</f>
        <v>96000</v>
      </c>
      <c r="K286" s="264">
        <f t="shared" ref="K286:K287" si="214">G286+I286</f>
        <v>44000</v>
      </c>
      <c r="L286" s="264">
        <f t="shared" ref="L286:L287" si="215">F286*K286</f>
        <v>211200</v>
      </c>
      <c r="M286" s="204"/>
    </row>
    <row r="287" spans="1:13" s="7" customFormat="1" ht="18" customHeight="1">
      <c r="A287" s="292" t="s">
        <v>44</v>
      </c>
      <c r="B287" s="260" t="s">
        <v>101</v>
      </c>
      <c r="C287" s="293" t="s">
        <v>595</v>
      </c>
      <c r="D287" s="201" t="s">
        <v>200</v>
      </c>
      <c r="E287" s="262" t="s">
        <v>38</v>
      </c>
      <c r="F287" s="294">
        <v>1</v>
      </c>
      <c r="G287" s="264">
        <v>18000</v>
      </c>
      <c r="H287" s="264">
        <f t="shared" si="212"/>
        <v>18000</v>
      </c>
      <c r="I287" s="264">
        <v>5000</v>
      </c>
      <c r="J287" s="264">
        <f t="shared" si="213"/>
        <v>5000</v>
      </c>
      <c r="K287" s="264">
        <f t="shared" si="214"/>
        <v>23000</v>
      </c>
      <c r="L287" s="264">
        <f t="shared" si="215"/>
        <v>23000</v>
      </c>
      <c r="M287" s="335"/>
    </row>
    <row r="288" spans="1:13" s="7" customFormat="1" ht="18" customHeight="1">
      <c r="A288" s="292"/>
      <c r="B288" s="260"/>
      <c r="C288" s="293"/>
      <c r="D288" s="201"/>
      <c r="E288" s="262"/>
      <c r="F288" s="294"/>
      <c r="G288" s="264"/>
      <c r="H288" s="264"/>
      <c r="I288" s="264"/>
      <c r="J288" s="264"/>
      <c r="K288" s="264"/>
      <c r="L288" s="264"/>
      <c r="M288" s="335"/>
    </row>
    <row r="289" spans="1:13" s="7" customFormat="1" ht="18" hidden="1" customHeight="1">
      <c r="A289" s="292">
        <v>-1</v>
      </c>
      <c r="B289" s="260" t="s">
        <v>262</v>
      </c>
      <c r="C289" s="293"/>
      <c r="D289" s="201"/>
      <c r="E289" s="262"/>
      <c r="F289" s="294"/>
      <c r="G289" s="264"/>
      <c r="H289" s="264"/>
      <c r="I289" s="264"/>
      <c r="J289" s="264"/>
      <c r="K289" s="264"/>
      <c r="L289" s="264"/>
      <c r="M289" s="335"/>
    </row>
    <row r="290" spans="1:13" ht="18" hidden="1" customHeight="1">
      <c r="A290" s="336" t="s">
        <v>12</v>
      </c>
      <c r="B290" s="206" t="s">
        <v>288</v>
      </c>
      <c r="C290" s="337" t="s">
        <v>294</v>
      </c>
      <c r="D290" s="201" t="s">
        <v>159</v>
      </c>
      <c r="E290" s="262" t="s">
        <v>289</v>
      </c>
      <c r="F290" s="313"/>
      <c r="G290" s="235">
        <v>31000</v>
      </c>
      <c r="H290" s="235">
        <f t="shared" ref="H290" si="216">F290*G290</f>
        <v>0</v>
      </c>
      <c r="I290" s="235">
        <v>10000</v>
      </c>
      <c r="J290" s="235">
        <f t="shared" ref="J290" si="217">F290*I290</f>
        <v>0</v>
      </c>
      <c r="K290" s="235">
        <f t="shared" ref="K290" si="218">G290+I290</f>
        <v>41000</v>
      </c>
      <c r="L290" s="235">
        <f t="shared" ref="L290" si="219">F290*K290</f>
        <v>0</v>
      </c>
      <c r="M290" s="204"/>
    </row>
    <row r="291" spans="1:13" s="7" customFormat="1" ht="18" hidden="1" customHeight="1">
      <c r="A291" s="292" t="s">
        <v>12</v>
      </c>
      <c r="B291" s="260" t="s">
        <v>230</v>
      </c>
      <c r="C291" s="293"/>
      <c r="D291" s="201" t="s">
        <v>159</v>
      </c>
      <c r="E291" s="262" t="s">
        <v>38</v>
      </c>
      <c r="F291" s="294"/>
      <c r="G291" s="264">
        <v>5000</v>
      </c>
      <c r="H291" s="264">
        <f>F291*G291</f>
        <v>0</v>
      </c>
      <c r="I291" s="264">
        <v>8000</v>
      </c>
      <c r="J291" s="264">
        <f>F291*I291</f>
        <v>0</v>
      </c>
      <c r="K291" s="264">
        <f>G291+I291</f>
        <v>13000</v>
      </c>
      <c r="L291" s="264">
        <f>F291*K291</f>
        <v>0</v>
      </c>
      <c r="M291" s="204"/>
    </row>
    <row r="292" spans="1:13" s="7" customFormat="1" ht="18" hidden="1" customHeight="1">
      <c r="A292" s="292" t="s">
        <v>12</v>
      </c>
      <c r="B292" s="260" t="s">
        <v>101</v>
      </c>
      <c r="C292" s="293" t="s">
        <v>227</v>
      </c>
      <c r="D292" s="336" t="s">
        <v>266</v>
      </c>
      <c r="E292" s="262" t="s">
        <v>39</v>
      </c>
      <c r="F292" s="294"/>
      <c r="G292" s="264">
        <v>22000</v>
      </c>
      <c r="H292" s="264">
        <f t="shared" ref="H292:H293" si="220">F292*G292</f>
        <v>0</v>
      </c>
      <c r="I292" s="264">
        <v>20000</v>
      </c>
      <c r="J292" s="264">
        <f t="shared" ref="J292:J293" si="221">F292*I292</f>
        <v>0</v>
      </c>
      <c r="K292" s="264">
        <f t="shared" ref="K292:K293" si="222">G292+I292</f>
        <v>42000</v>
      </c>
      <c r="L292" s="264">
        <f t="shared" ref="L292:L293" si="223">F292*K292</f>
        <v>0</v>
      </c>
      <c r="M292" s="204"/>
    </row>
    <row r="293" spans="1:13" s="7" customFormat="1" ht="18" hidden="1" customHeight="1">
      <c r="A293" s="292" t="s">
        <v>246</v>
      </c>
      <c r="B293" s="260" t="s">
        <v>101</v>
      </c>
      <c r="C293" s="293" t="s">
        <v>228</v>
      </c>
      <c r="D293" s="201" t="s">
        <v>267</v>
      </c>
      <c r="E293" s="262" t="s">
        <v>151</v>
      </c>
      <c r="F293" s="294"/>
      <c r="G293" s="264">
        <v>13500</v>
      </c>
      <c r="H293" s="264">
        <f t="shared" si="220"/>
        <v>0</v>
      </c>
      <c r="I293" s="264">
        <v>5000</v>
      </c>
      <c r="J293" s="264">
        <f t="shared" si="221"/>
        <v>0</v>
      </c>
      <c r="K293" s="264">
        <f t="shared" si="222"/>
        <v>18500</v>
      </c>
      <c r="L293" s="264">
        <f t="shared" si="223"/>
        <v>0</v>
      </c>
      <c r="M293" s="335"/>
    </row>
    <row r="294" spans="1:13" s="147" customFormat="1" ht="18" hidden="1" customHeight="1">
      <c r="A294" s="339" t="s">
        <v>257</v>
      </c>
      <c r="B294" s="340" t="s">
        <v>263</v>
      </c>
      <c r="C294" s="341" t="s">
        <v>264</v>
      </c>
      <c r="D294" s="278" t="s">
        <v>266</v>
      </c>
      <c r="E294" s="342" t="s">
        <v>151</v>
      </c>
      <c r="F294" s="343"/>
      <c r="G294" s="344">
        <v>0</v>
      </c>
      <c r="H294" s="344">
        <f t="shared" ref="H294" si="224">F294*G294</f>
        <v>0</v>
      </c>
      <c r="I294" s="344">
        <v>0</v>
      </c>
      <c r="J294" s="344">
        <f t="shared" ref="J294" si="225">F294*I294</f>
        <v>0</v>
      </c>
      <c r="K294" s="344">
        <f t="shared" ref="K294" si="226">G294+I294</f>
        <v>0</v>
      </c>
      <c r="L294" s="344">
        <f t="shared" ref="L294" si="227">F294*K294</f>
        <v>0</v>
      </c>
      <c r="M294" s="345" t="s">
        <v>299</v>
      </c>
    </row>
    <row r="295" spans="1:13" s="7" customFormat="1" ht="18" hidden="1" customHeight="1">
      <c r="A295" s="292"/>
      <c r="B295" s="260"/>
      <c r="C295" s="293"/>
      <c r="D295" s="201"/>
      <c r="E295" s="262"/>
      <c r="F295" s="294"/>
      <c r="G295" s="264"/>
      <c r="H295" s="264"/>
      <c r="I295" s="264"/>
      <c r="J295" s="264"/>
      <c r="K295" s="264"/>
      <c r="L295" s="264"/>
      <c r="M295" s="335"/>
    </row>
    <row r="296" spans="1:13" s="7" customFormat="1" ht="18" customHeight="1">
      <c r="A296" s="292">
        <v>-1</v>
      </c>
      <c r="B296" s="260" t="s">
        <v>598</v>
      </c>
      <c r="C296" s="293"/>
      <c r="D296" s="201"/>
      <c r="E296" s="262"/>
      <c r="F296" s="294"/>
      <c r="G296" s="264"/>
      <c r="H296" s="264"/>
      <c r="I296" s="264"/>
      <c r="J296" s="264"/>
      <c r="K296" s="264"/>
      <c r="L296" s="264"/>
      <c r="M296" s="335"/>
    </row>
    <row r="297" spans="1:13" s="409" customFormat="1" ht="18" customHeight="1">
      <c r="A297" s="336" t="s">
        <v>12</v>
      </c>
      <c r="B297" s="206" t="s">
        <v>596</v>
      </c>
      <c r="C297" s="337" t="s">
        <v>597</v>
      </c>
      <c r="D297" s="407" t="s">
        <v>599</v>
      </c>
      <c r="E297" s="407" t="s">
        <v>38</v>
      </c>
      <c r="F297" s="408">
        <v>4</v>
      </c>
      <c r="G297" s="235">
        <v>15000</v>
      </c>
      <c r="H297" s="235">
        <f t="shared" ref="H297" si="228">F297*G297</f>
        <v>60000</v>
      </c>
      <c r="I297" s="235">
        <v>10000</v>
      </c>
      <c r="J297" s="235">
        <f t="shared" ref="J297" si="229">F297*I297</f>
        <v>40000</v>
      </c>
      <c r="K297" s="235">
        <f t="shared" ref="K297" si="230">G297+I297</f>
        <v>25000</v>
      </c>
      <c r="L297" s="235">
        <f t="shared" ref="L297" si="231">F297*K297</f>
        <v>100000</v>
      </c>
      <c r="M297" s="411"/>
    </row>
    <row r="298" spans="1:13" s="7" customFormat="1" ht="18" customHeight="1">
      <c r="A298" s="292"/>
      <c r="B298" s="260"/>
      <c r="C298" s="293"/>
      <c r="D298" s="201"/>
      <c r="E298" s="262"/>
      <c r="F298" s="294"/>
      <c r="G298" s="264"/>
      <c r="H298" s="264"/>
      <c r="I298" s="264"/>
      <c r="J298" s="264"/>
      <c r="K298" s="264"/>
      <c r="L298" s="264"/>
      <c r="M298" s="335"/>
    </row>
    <row r="299" spans="1:13" s="7" customFormat="1" ht="18" hidden="1" customHeight="1">
      <c r="A299" s="292">
        <v>-1</v>
      </c>
      <c r="B299" s="260" t="s">
        <v>269</v>
      </c>
      <c r="C299" s="293"/>
      <c r="D299" s="201"/>
      <c r="E299" s="262"/>
      <c r="F299" s="294"/>
      <c r="G299" s="264"/>
      <c r="H299" s="264"/>
      <c r="I299" s="264"/>
      <c r="J299" s="264"/>
      <c r="K299" s="264"/>
      <c r="L299" s="264"/>
      <c r="M299" s="335"/>
    </row>
    <row r="300" spans="1:13" ht="18" hidden="1" customHeight="1">
      <c r="A300" s="336" t="s">
        <v>12</v>
      </c>
      <c r="B300" s="206" t="s">
        <v>288</v>
      </c>
      <c r="C300" s="337" t="s">
        <v>290</v>
      </c>
      <c r="D300" s="336" t="s">
        <v>291</v>
      </c>
      <c r="E300" s="262" t="s">
        <v>289</v>
      </c>
      <c r="F300" s="313"/>
      <c r="G300" s="235">
        <v>92700</v>
      </c>
      <c r="H300" s="235">
        <f t="shared" ref="H300" si="232">F300*G300</f>
        <v>0</v>
      </c>
      <c r="I300" s="235">
        <v>10000</v>
      </c>
      <c r="J300" s="235">
        <f t="shared" ref="J300" si="233">F300*I300</f>
        <v>0</v>
      </c>
      <c r="K300" s="235">
        <f t="shared" ref="K300" si="234">G300+I300</f>
        <v>102700</v>
      </c>
      <c r="L300" s="235">
        <f t="shared" ref="L300" si="235">F300*K300</f>
        <v>0</v>
      </c>
      <c r="M300" s="204"/>
    </row>
    <row r="301" spans="1:13" s="128" customFormat="1" ht="18" hidden="1" customHeight="1">
      <c r="A301" s="314" t="s">
        <v>12</v>
      </c>
      <c r="B301" s="315" t="s">
        <v>288</v>
      </c>
      <c r="C301" s="316" t="s">
        <v>292</v>
      </c>
      <c r="D301" s="336" t="s">
        <v>293</v>
      </c>
      <c r="E301" s="317" t="s">
        <v>289</v>
      </c>
      <c r="F301" s="318"/>
      <c r="G301" s="319">
        <v>31000</v>
      </c>
      <c r="H301" s="319">
        <f t="shared" ref="H301" si="236">F301*G301</f>
        <v>0</v>
      </c>
      <c r="I301" s="319">
        <v>10000</v>
      </c>
      <c r="J301" s="319">
        <f t="shared" ref="J301" si="237">F301*I301</f>
        <v>0</v>
      </c>
      <c r="K301" s="319">
        <f t="shared" ref="K301" si="238">G301+I301</f>
        <v>41000</v>
      </c>
      <c r="L301" s="319">
        <f t="shared" ref="L301" si="239">F301*K301</f>
        <v>0</v>
      </c>
      <c r="M301" s="320"/>
    </row>
    <row r="302" spans="1:13" s="7" customFormat="1" ht="18" hidden="1" customHeight="1">
      <c r="A302" s="292" t="s">
        <v>12</v>
      </c>
      <c r="B302" s="260" t="s">
        <v>230</v>
      </c>
      <c r="C302" s="293"/>
      <c r="D302" s="201" t="s">
        <v>159</v>
      </c>
      <c r="E302" s="262" t="s">
        <v>38</v>
      </c>
      <c r="F302" s="294"/>
      <c r="G302" s="264">
        <v>5000</v>
      </c>
      <c r="H302" s="264">
        <f>F302*G302</f>
        <v>0</v>
      </c>
      <c r="I302" s="264">
        <v>8000</v>
      </c>
      <c r="J302" s="264">
        <f>F302*I302</f>
        <v>0</v>
      </c>
      <c r="K302" s="264">
        <f>G302+I302</f>
        <v>13000</v>
      </c>
      <c r="L302" s="264">
        <f>F302*K302</f>
        <v>0</v>
      </c>
      <c r="M302" s="204"/>
    </row>
    <row r="303" spans="1:13" s="7" customFormat="1" ht="18" hidden="1" customHeight="1">
      <c r="A303" s="292"/>
      <c r="B303" s="260"/>
      <c r="C303" s="293"/>
      <c r="D303" s="201"/>
      <c r="E303" s="262"/>
      <c r="F303" s="294"/>
      <c r="G303" s="264"/>
      <c r="H303" s="264"/>
      <c r="I303" s="264"/>
      <c r="J303" s="264"/>
      <c r="K303" s="264"/>
      <c r="L303" s="264"/>
      <c r="M303" s="335"/>
    </row>
    <row r="304" spans="1:13" s="7" customFormat="1" ht="18" customHeight="1">
      <c r="A304" s="292">
        <v>-1</v>
      </c>
      <c r="B304" s="260" t="s">
        <v>270</v>
      </c>
      <c r="C304" s="293"/>
      <c r="D304" s="201"/>
      <c r="E304" s="262"/>
      <c r="F304" s="294"/>
      <c r="G304" s="264"/>
      <c r="H304" s="264"/>
      <c r="I304" s="264"/>
      <c r="J304" s="264"/>
      <c r="K304" s="264"/>
      <c r="L304" s="264"/>
      <c r="M304" s="335"/>
    </row>
    <row r="305" spans="1:17" s="7" customFormat="1" ht="18" customHeight="1">
      <c r="A305" s="292" t="s">
        <v>12</v>
      </c>
      <c r="B305" s="260" t="s">
        <v>102</v>
      </c>
      <c r="C305" s="293" t="s">
        <v>382</v>
      </c>
      <c r="D305" s="201" t="s">
        <v>348</v>
      </c>
      <c r="E305" s="262" t="s">
        <v>39</v>
      </c>
      <c r="F305" s="294">
        <f>73*2</f>
        <v>146</v>
      </c>
      <c r="G305" s="264">
        <v>10000</v>
      </c>
      <c r="H305" s="264">
        <f t="shared" ref="H305:H312" si="240">F305*G305</f>
        <v>1460000</v>
      </c>
      <c r="I305" s="264">
        <v>12000</v>
      </c>
      <c r="J305" s="264">
        <f>F305*I305</f>
        <v>1752000</v>
      </c>
      <c r="K305" s="264">
        <f t="shared" ref="K305:K309" si="241">G305+I305</f>
        <v>22000</v>
      </c>
      <c r="L305" s="264">
        <f t="shared" ref="L305:L309" si="242">F305*K305</f>
        <v>3212000</v>
      </c>
      <c r="M305" s="249"/>
      <c r="N305" s="7" t="s">
        <v>381</v>
      </c>
    </row>
    <row r="306" spans="1:17" s="7" customFormat="1" ht="18" customHeight="1">
      <c r="A306" s="292" t="s">
        <v>12</v>
      </c>
      <c r="B306" s="260" t="s">
        <v>144</v>
      </c>
      <c r="C306" s="293" t="s">
        <v>235</v>
      </c>
      <c r="D306" s="201" t="s">
        <v>349</v>
      </c>
      <c r="E306" s="262" t="s">
        <v>75</v>
      </c>
      <c r="F306" s="294">
        <v>1</v>
      </c>
      <c r="G306" s="264">
        <v>680000</v>
      </c>
      <c r="H306" s="264">
        <f t="shared" si="240"/>
        <v>680000</v>
      </c>
      <c r="I306" s="264">
        <v>350000</v>
      </c>
      <c r="J306" s="264">
        <f t="shared" ref="J306:J307" si="243">F306*I306</f>
        <v>350000</v>
      </c>
      <c r="K306" s="264">
        <f t="shared" si="241"/>
        <v>1030000</v>
      </c>
      <c r="L306" s="264">
        <f t="shared" si="242"/>
        <v>1030000</v>
      </c>
      <c r="M306" s="335"/>
    </row>
    <row r="307" spans="1:17" s="7" customFormat="1" ht="18" customHeight="1">
      <c r="A307" s="292" t="s">
        <v>12</v>
      </c>
      <c r="B307" s="260" t="s">
        <v>177</v>
      </c>
      <c r="C307" s="293" t="s">
        <v>178</v>
      </c>
      <c r="D307" s="201" t="s">
        <v>345</v>
      </c>
      <c r="E307" s="262" t="s">
        <v>75</v>
      </c>
      <c r="F307" s="294">
        <v>1</v>
      </c>
      <c r="G307" s="264">
        <v>100000</v>
      </c>
      <c r="H307" s="264">
        <f t="shared" si="240"/>
        <v>100000</v>
      </c>
      <c r="I307" s="264">
        <v>50000</v>
      </c>
      <c r="J307" s="264">
        <f t="shared" si="243"/>
        <v>50000</v>
      </c>
      <c r="K307" s="264">
        <f t="shared" si="241"/>
        <v>150000</v>
      </c>
      <c r="L307" s="264">
        <f t="shared" si="242"/>
        <v>150000</v>
      </c>
      <c r="M307" s="249"/>
    </row>
    <row r="308" spans="1:17" s="128" customFormat="1" ht="18" hidden="1" customHeight="1">
      <c r="A308" s="314" t="s">
        <v>44</v>
      </c>
      <c r="B308" s="315" t="s">
        <v>214</v>
      </c>
      <c r="C308" s="316" t="s">
        <v>213</v>
      </c>
      <c r="D308" s="201"/>
      <c r="E308" s="317" t="s">
        <v>38</v>
      </c>
      <c r="F308" s="318">
        <v>0</v>
      </c>
      <c r="G308" s="319">
        <v>0</v>
      </c>
      <c r="H308" s="319">
        <f t="shared" ref="H308" si="244">F308*G308</f>
        <v>0</v>
      </c>
      <c r="I308" s="319">
        <v>30000</v>
      </c>
      <c r="J308" s="319">
        <f>F308*I308</f>
        <v>0</v>
      </c>
      <c r="K308" s="319">
        <f t="shared" ref="K308" si="245">G308+I308</f>
        <v>30000</v>
      </c>
      <c r="L308" s="319">
        <f t="shared" ref="L308" si="246">F308*K308</f>
        <v>0</v>
      </c>
      <c r="M308" s="320"/>
    </row>
    <row r="309" spans="1:17" s="143" customFormat="1" ht="18" hidden="1" customHeight="1">
      <c r="A309" s="297" t="s">
        <v>147</v>
      </c>
      <c r="B309" s="276" t="s">
        <v>214</v>
      </c>
      <c r="C309" s="346" t="s">
        <v>213</v>
      </c>
      <c r="D309" s="278"/>
      <c r="E309" s="278" t="s">
        <v>38</v>
      </c>
      <c r="F309" s="298">
        <v>0</v>
      </c>
      <c r="G309" s="280">
        <v>0</v>
      </c>
      <c r="H309" s="280">
        <f t="shared" si="240"/>
        <v>0</v>
      </c>
      <c r="I309" s="280">
        <v>0</v>
      </c>
      <c r="J309" s="280">
        <f>F309*I309</f>
        <v>0</v>
      </c>
      <c r="K309" s="280">
        <f t="shared" si="241"/>
        <v>0</v>
      </c>
      <c r="L309" s="280">
        <f t="shared" si="242"/>
        <v>0</v>
      </c>
      <c r="M309" s="347" t="s">
        <v>187</v>
      </c>
    </row>
    <row r="310" spans="1:17" s="7" customFormat="1" ht="18" customHeight="1">
      <c r="A310" s="292"/>
      <c r="B310" s="260"/>
      <c r="C310" s="293"/>
      <c r="D310" s="201"/>
      <c r="E310" s="262"/>
      <c r="F310" s="294"/>
      <c r="G310" s="264"/>
      <c r="H310" s="264"/>
      <c r="I310" s="264"/>
      <c r="J310" s="264"/>
      <c r="K310" s="264"/>
      <c r="L310" s="264"/>
      <c r="M310" s="335"/>
    </row>
    <row r="311" spans="1:17" s="421" customFormat="1" ht="18" hidden="1" customHeight="1">
      <c r="A311" s="417" t="s">
        <v>257</v>
      </c>
      <c r="B311" s="402" t="s">
        <v>339</v>
      </c>
      <c r="C311" s="424"/>
      <c r="D311" s="418" t="s">
        <v>350</v>
      </c>
      <c r="E311" s="418" t="s">
        <v>276</v>
      </c>
      <c r="F311" s="419">
        <v>0</v>
      </c>
      <c r="G311" s="405">
        <v>250000</v>
      </c>
      <c r="H311" s="405">
        <f t="shared" si="240"/>
        <v>0</v>
      </c>
      <c r="I311" s="405">
        <v>350000</v>
      </c>
      <c r="J311" s="405">
        <f>F311*I311</f>
        <v>0</v>
      </c>
      <c r="K311" s="405">
        <f t="shared" ref="K311" si="247">G311+I311</f>
        <v>600000</v>
      </c>
      <c r="L311" s="405">
        <f t="shared" ref="L311" si="248">F311*K311</f>
        <v>0</v>
      </c>
      <c r="M311" s="425"/>
    </row>
    <row r="312" spans="1:17" s="139" customFormat="1" ht="18" customHeight="1">
      <c r="A312" s="328" t="s">
        <v>250</v>
      </c>
      <c r="B312" s="348" t="s">
        <v>281</v>
      </c>
      <c r="C312" s="349" t="s">
        <v>338</v>
      </c>
      <c r="D312" s="278" t="s">
        <v>336</v>
      </c>
      <c r="E312" s="350" t="s">
        <v>276</v>
      </c>
      <c r="F312" s="351">
        <v>1</v>
      </c>
      <c r="G312" s="352">
        <v>300000</v>
      </c>
      <c r="H312" s="248">
        <f t="shared" si="240"/>
        <v>300000</v>
      </c>
      <c r="I312" s="352">
        <v>0</v>
      </c>
      <c r="J312" s="248">
        <f>F312*I312</f>
        <v>0</v>
      </c>
      <c r="K312" s="248">
        <f t="shared" ref="K312" si="249">G312+I312</f>
        <v>300000</v>
      </c>
      <c r="L312" s="248">
        <f t="shared" ref="L312" si="250">F312*K312</f>
        <v>300000</v>
      </c>
      <c r="M312" s="353"/>
    </row>
    <row r="313" spans="1:17" s="7" customFormat="1" ht="18" customHeight="1">
      <c r="A313" s="299"/>
      <c r="B313" s="354"/>
      <c r="C313" s="261"/>
      <c r="D313" s="201"/>
      <c r="E313" s="262"/>
      <c r="F313" s="272"/>
      <c r="G313" s="264"/>
      <c r="H313" s="264"/>
      <c r="I313" s="264"/>
      <c r="J313" s="264"/>
      <c r="K313" s="264"/>
      <c r="L313" s="264"/>
      <c r="M313" s="249"/>
    </row>
    <row r="314" spans="1:17" s="124" customFormat="1" ht="18" customHeight="1">
      <c r="A314" s="299"/>
      <c r="B314" s="299" t="s">
        <v>13</v>
      </c>
      <c r="C314" s="300"/>
      <c r="D314" s="210"/>
      <c r="E314" s="301"/>
      <c r="F314" s="302"/>
      <c r="G314" s="303"/>
      <c r="H314" s="303">
        <f>SUM(H195:H312)</f>
        <v>11135300</v>
      </c>
      <c r="I314" s="303"/>
      <c r="J314" s="303">
        <f>SUM(J195:J312)</f>
        <v>4452400</v>
      </c>
      <c r="K314" s="303"/>
      <c r="L314" s="303">
        <f>SUM(L195:L312)</f>
        <v>15587700</v>
      </c>
      <c r="M314" s="249"/>
    </row>
    <row r="315" spans="1:17" ht="18" customHeight="1">
      <c r="A315" s="207"/>
      <c r="B315" s="208"/>
      <c r="C315" s="200"/>
      <c r="D315" s="201"/>
      <c r="E315" s="201"/>
      <c r="F315" s="270"/>
      <c r="G315" s="235"/>
      <c r="H315" s="235"/>
      <c r="I315" s="235"/>
      <c r="J315" s="235"/>
      <c r="K315" s="235"/>
      <c r="L315" s="235"/>
      <c r="M315" s="204"/>
    </row>
    <row r="316" spans="1:17" s="3" customFormat="1" ht="18" customHeight="1">
      <c r="A316" s="266" t="s">
        <v>32</v>
      </c>
      <c r="B316" s="267" t="s">
        <v>106</v>
      </c>
      <c r="C316" s="291"/>
      <c r="D316" s="210"/>
      <c r="E316" s="210"/>
      <c r="F316" s="290"/>
      <c r="G316" s="269"/>
      <c r="H316" s="269"/>
      <c r="I316" s="269"/>
      <c r="J316" s="269"/>
      <c r="K316" s="269"/>
      <c r="L316" s="269"/>
      <c r="M316" s="204"/>
    </row>
    <row r="317" spans="1:17" s="7" customFormat="1" ht="18" customHeight="1">
      <c r="A317" s="271">
        <v>-1</v>
      </c>
      <c r="B317" s="260" t="s">
        <v>149</v>
      </c>
      <c r="C317" s="261"/>
      <c r="D317" s="201"/>
      <c r="E317" s="262"/>
      <c r="F317" s="272"/>
      <c r="G317" s="264"/>
      <c r="H317" s="264"/>
      <c r="I317" s="264"/>
      <c r="J317" s="264"/>
      <c r="K317" s="264"/>
      <c r="L317" s="264"/>
      <c r="M317" s="204"/>
    </row>
    <row r="318" spans="1:17" s="7" customFormat="1" ht="18" hidden="1" customHeight="1">
      <c r="A318" s="292" t="s">
        <v>12</v>
      </c>
      <c r="B318" s="260" t="s">
        <v>133</v>
      </c>
      <c r="C318" s="261"/>
      <c r="D318" s="201" t="s">
        <v>372</v>
      </c>
      <c r="E318" s="262" t="s">
        <v>42</v>
      </c>
      <c r="F318" s="294"/>
      <c r="G318" s="264">
        <v>300000</v>
      </c>
      <c r="H318" s="264">
        <f>F318*G318</f>
        <v>0</v>
      </c>
      <c r="I318" s="264">
        <v>100000</v>
      </c>
      <c r="J318" s="264">
        <f>F318*I318</f>
        <v>0</v>
      </c>
      <c r="K318" s="264">
        <f>G318+I318</f>
        <v>400000</v>
      </c>
      <c r="L318" s="264">
        <f t="shared" ref="L318:L362" si="251">F318*K318</f>
        <v>0</v>
      </c>
      <c r="M318" s="355"/>
    </row>
    <row r="319" spans="1:17" s="409" customFormat="1" ht="18" customHeight="1">
      <c r="A319" s="336" t="s">
        <v>260</v>
      </c>
      <c r="B319" s="206" t="s">
        <v>261</v>
      </c>
      <c r="C319" s="200"/>
      <c r="D319" s="396" t="s">
        <v>265</v>
      </c>
      <c r="E319" s="407" t="s">
        <v>41</v>
      </c>
      <c r="F319" s="408">
        <v>0</v>
      </c>
      <c r="G319" s="235">
        <v>40000</v>
      </c>
      <c r="H319" s="235">
        <f>F319*G319</f>
        <v>0</v>
      </c>
      <c r="I319" s="235">
        <v>5000</v>
      </c>
      <c r="J319" s="235">
        <f>F319*I319</f>
        <v>0</v>
      </c>
      <c r="K319" s="235">
        <f>G319+I319</f>
        <v>45000</v>
      </c>
      <c r="L319" s="235">
        <f t="shared" ref="L319" si="252">F319*K319</f>
        <v>0</v>
      </c>
      <c r="M319" s="423"/>
    </row>
    <row r="320" spans="1:17" s="409" customFormat="1" ht="18" customHeight="1">
      <c r="A320" s="336" t="s">
        <v>147</v>
      </c>
      <c r="B320" s="206" t="s">
        <v>261</v>
      </c>
      <c r="C320" s="200"/>
      <c r="D320" s="407" t="s">
        <v>630</v>
      </c>
      <c r="E320" s="407" t="s">
        <v>387</v>
      </c>
      <c r="F320" s="408">
        <v>3.9</v>
      </c>
      <c r="G320" s="235">
        <v>40000</v>
      </c>
      <c r="H320" s="235">
        <f>F320*G320</f>
        <v>156000</v>
      </c>
      <c r="I320" s="235">
        <v>5000</v>
      </c>
      <c r="J320" s="235">
        <f>F320*I320</f>
        <v>19500</v>
      </c>
      <c r="K320" s="235">
        <f>G320+I320</f>
        <v>45000</v>
      </c>
      <c r="L320" s="235">
        <f t="shared" ref="L320" si="253">F320*K320</f>
        <v>175500</v>
      </c>
      <c r="M320" s="423"/>
      <c r="N320" s="409">
        <v>35000</v>
      </c>
      <c r="O320" s="409">
        <v>6.13</v>
      </c>
      <c r="Q320" s="409">
        <f>O320*N320</f>
        <v>214550</v>
      </c>
    </row>
    <row r="321" spans="1:17" s="409" customFormat="1" ht="17.100000000000001" customHeight="1">
      <c r="A321" s="336" t="s">
        <v>147</v>
      </c>
      <c r="B321" s="206" t="s">
        <v>261</v>
      </c>
      <c r="C321" s="200"/>
      <c r="D321" s="407" t="s">
        <v>631</v>
      </c>
      <c r="E321" s="407" t="s">
        <v>387</v>
      </c>
      <c r="F321" s="408">
        <v>6.6</v>
      </c>
      <c r="G321" s="235">
        <v>40000</v>
      </c>
      <c r="H321" s="235">
        <f>F321*G321</f>
        <v>264000</v>
      </c>
      <c r="I321" s="235">
        <v>5000</v>
      </c>
      <c r="J321" s="235">
        <f>F321*I321</f>
        <v>33000</v>
      </c>
      <c r="K321" s="235">
        <f>G321+I321</f>
        <v>45000</v>
      </c>
      <c r="L321" s="235">
        <f t="shared" ref="L321" si="254">F321*K321</f>
        <v>297000</v>
      </c>
      <c r="M321" s="423"/>
      <c r="N321" s="409">
        <v>35000</v>
      </c>
      <c r="O321" s="409">
        <v>6.13</v>
      </c>
      <c r="Q321" s="409">
        <f>O321*N321</f>
        <v>214550</v>
      </c>
    </row>
    <row r="322" spans="1:17" s="409" customFormat="1" ht="18" customHeight="1">
      <c r="A322" s="336"/>
      <c r="B322" s="206"/>
      <c r="C322" s="200"/>
      <c r="D322" s="407"/>
      <c r="E322" s="407"/>
      <c r="F322" s="408"/>
      <c r="G322" s="235"/>
      <c r="H322" s="235"/>
      <c r="I322" s="235"/>
      <c r="J322" s="235"/>
      <c r="K322" s="235"/>
      <c r="L322" s="235"/>
      <c r="M322" s="423"/>
    </row>
    <row r="323" spans="1:17" s="421" customFormat="1" ht="18" customHeight="1">
      <c r="A323" s="417" t="s">
        <v>12</v>
      </c>
      <c r="B323" s="402" t="s">
        <v>104</v>
      </c>
      <c r="C323" s="424" t="s">
        <v>632</v>
      </c>
      <c r="D323" s="417" t="s">
        <v>545</v>
      </c>
      <c r="E323" s="418" t="s">
        <v>38</v>
      </c>
      <c r="F323" s="419">
        <v>3</v>
      </c>
      <c r="G323" s="405">
        <v>88000</v>
      </c>
      <c r="H323" s="405">
        <f>F323*G323</f>
        <v>264000</v>
      </c>
      <c r="I323" s="405">
        <v>30000</v>
      </c>
      <c r="J323" s="405">
        <f>F323*I323</f>
        <v>90000</v>
      </c>
      <c r="K323" s="405">
        <f>G323+I323</f>
        <v>118000</v>
      </c>
      <c r="L323" s="405">
        <f t="shared" ref="L323" si="255">F323*K323</f>
        <v>354000</v>
      </c>
      <c r="M323" s="420"/>
    </row>
    <row r="324" spans="1:17" s="421" customFormat="1" ht="18" customHeight="1">
      <c r="A324" s="417" t="s">
        <v>12</v>
      </c>
      <c r="B324" s="402" t="s">
        <v>104</v>
      </c>
      <c r="C324" s="424" t="s">
        <v>633</v>
      </c>
      <c r="D324" s="417" t="s">
        <v>545</v>
      </c>
      <c r="E324" s="418" t="s">
        <v>38</v>
      </c>
      <c r="F324" s="419">
        <v>3</v>
      </c>
      <c r="G324" s="405">
        <v>237000</v>
      </c>
      <c r="H324" s="405">
        <f>F324*G324</f>
        <v>711000</v>
      </c>
      <c r="I324" s="405">
        <v>30000</v>
      </c>
      <c r="J324" s="405">
        <f>F324*I324</f>
        <v>90000</v>
      </c>
      <c r="K324" s="405">
        <f>G324+I324</f>
        <v>267000</v>
      </c>
      <c r="L324" s="405">
        <f t="shared" ref="L324" si="256">F324*K324</f>
        <v>801000</v>
      </c>
      <c r="M324" s="420"/>
    </row>
    <row r="325" spans="1:17" s="140" customFormat="1" ht="18" hidden="1" customHeight="1">
      <c r="A325" s="356" t="s">
        <v>12</v>
      </c>
      <c r="B325" s="357" t="s">
        <v>104</v>
      </c>
      <c r="C325" s="358" t="s">
        <v>489</v>
      </c>
      <c r="D325" s="396"/>
      <c r="E325" s="359" t="s">
        <v>38</v>
      </c>
      <c r="F325" s="360">
        <v>0</v>
      </c>
      <c r="G325" s="361">
        <v>380000</v>
      </c>
      <c r="H325" s="264">
        <f>F325*G325</f>
        <v>0</v>
      </c>
      <c r="I325" s="361">
        <v>30000</v>
      </c>
      <c r="J325" s="264">
        <f>F325*I325</f>
        <v>0</v>
      </c>
      <c r="K325" s="264">
        <f>G325+I325</f>
        <v>410000</v>
      </c>
      <c r="L325" s="264">
        <f t="shared" si="251"/>
        <v>0</v>
      </c>
      <c r="M325" s="362"/>
    </row>
    <row r="326" spans="1:17" s="7" customFormat="1" ht="18" customHeight="1">
      <c r="A326" s="271"/>
      <c r="B326" s="260"/>
      <c r="C326" s="261"/>
      <c r="D326" s="201"/>
      <c r="E326" s="262"/>
      <c r="F326" s="363"/>
      <c r="G326" s="264"/>
      <c r="H326" s="264"/>
      <c r="I326" s="264"/>
      <c r="J326" s="264"/>
      <c r="K326" s="264"/>
      <c r="L326" s="264"/>
      <c r="M326" s="249"/>
    </row>
    <row r="327" spans="1:17" s="7" customFormat="1" ht="18" customHeight="1">
      <c r="A327" s="271">
        <v>-1</v>
      </c>
      <c r="B327" s="260" t="s">
        <v>103</v>
      </c>
      <c r="C327" s="261"/>
      <c r="D327" s="201"/>
      <c r="E327" s="262"/>
      <c r="F327" s="272"/>
      <c r="G327" s="264"/>
      <c r="H327" s="264"/>
      <c r="I327" s="264"/>
      <c r="J327" s="264"/>
      <c r="K327" s="264"/>
      <c r="L327" s="264"/>
      <c r="M327" s="249"/>
    </row>
    <row r="328" spans="1:17" s="7" customFormat="1" ht="18" hidden="1" customHeight="1">
      <c r="A328" s="292" t="s">
        <v>147</v>
      </c>
      <c r="B328" s="260" t="s">
        <v>433</v>
      </c>
      <c r="C328" s="261"/>
      <c r="D328" s="201" t="s">
        <v>434</v>
      </c>
      <c r="E328" s="262" t="s">
        <v>431</v>
      </c>
      <c r="F328" s="294"/>
      <c r="G328" s="264">
        <v>230000</v>
      </c>
      <c r="H328" s="264">
        <f t="shared" ref="H328:H334" si="257">F328*G328</f>
        <v>0</v>
      </c>
      <c r="I328" s="264">
        <v>100000</v>
      </c>
      <c r="J328" s="264">
        <f t="shared" ref="J328:J334" si="258">F328*I328</f>
        <v>0</v>
      </c>
      <c r="K328" s="264">
        <f t="shared" ref="K328:K333" si="259">G328+I328</f>
        <v>330000</v>
      </c>
      <c r="L328" s="264">
        <f t="shared" ref="L328:L333" si="260">F328*K328</f>
        <v>0</v>
      </c>
      <c r="M328" s="249"/>
    </row>
    <row r="329" spans="1:17" s="490" customFormat="1" ht="18" customHeight="1">
      <c r="A329" s="314" t="s">
        <v>44</v>
      </c>
      <c r="B329" s="483" t="s">
        <v>664</v>
      </c>
      <c r="C329" s="484" t="s">
        <v>665</v>
      </c>
      <c r="D329" s="485" t="s">
        <v>667</v>
      </c>
      <c r="E329" s="486" t="s">
        <v>38</v>
      </c>
      <c r="F329" s="487">
        <v>2</v>
      </c>
      <c r="G329" s="488">
        <v>296900</v>
      </c>
      <c r="H329" s="488">
        <f t="shared" ref="H329" si="261">F329*G329</f>
        <v>593800</v>
      </c>
      <c r="I329" s="488">
        <v>50000</v>
      </c>
      <c r="J329" s="488">
        <f t="shared" ref="J329" si="262">F329*I329</f>
        <v>100000</v>
      </c>
      <c r="K329" s="488">
        <f t="shared" si="259"/>
        <v>346900</v>
      </c>
      <c r="L329" s="488">
        <f t="shared" si="260"/>
        <v>693800</v>
      </c>
      <c r="M329" s="489"/>
    </row>
    <row r="330" spans="1:17" s="490" customFormat="1" ht="18" customHeight="1">
      <c r="A330" s="314" t="s">
        <v>147</v>
      </c>
      <c r="B330" s="491" t="s">
        <v>546</v>
      </c>
      <c r="C330" s="492" t="s">
        <v>548</v>
      </c>
      <c r="D330" s="485" t="s">
        <v>666</v>
      </c>
      <c r="E330" s="486" t="s">
        <v>38</v>
      </c>
      <c r="F330" s="487">
        <v>1</v>
      </c>
      <c r="G330" s="488">
        <v>366000</v>
      </c>
      <c r="H330" s="488">
        <f t="shared" si="257"/>
        <v>366000</v>
      </c>
      <c r="I330" s="488">
        <v>50000</v>
      </c>
      <c r="J330" s="488">
        <f t="shared" si="258"/>
        <v>50000</v>
      </c>
      <c r="K330" s="488">
        <f t="shared" ref="K330" si="263">G330+I330</f>
        <v>416000</v>
      </c>
      <c r="L330" s="488">
        <f t="shared" ref="L330" si="264">F330*K330</f>
        <v>416000</v>
      </c>
      <c r="M330" s="489"/>
    </row>
    <row r="331" spans="1:17" s="490" customFormat="1" ht="18" customHeight="1">
      <c r="A331" s="314" t="s">
        <v>44</v>
      </c>
      <c r="B331" s="491" t="s">
        <v>547</v>
      </c>
      <c r="C331" s="492" t="s">
        <v>343</v>
      </c>
      <c r="D331" s="486" t="s">
        <v>545</v>
      </c>
      <c r="E331" s="486" t="s">
        <v>38</v>
      </c>
      <c r="F331" s="487">
        <v>1</v>
      </c>
      <c r="G331" s="488">
        <v>150000</v>
      </c>
      <c r="H331" s="488">
        <f t="shared" si="257"/>
        <v>150000</v>
      </c>
      <c r="I331" s="488">
        <v>70000</v>
      </c>
      <c r="J331" s="488">
        <f t="shared" ref="J331" si="265">F331*I331</f>
        <v>70000</v>
      </c>
      <c r="K331" s="488">
        <f t="shared" ref="K331" si="266">G331+I331</f>
        <v>220000</v>
      </c>
      <c r="L331" s="488">
        <f t="shared" ref="L331" si="267">F331*K331</f>
        <v>220000</v>
      </c>
      <c r="M331" s="489"/>
    </row>
    <row r="332" spans="1:17" s="7" customFormat="1" ht="18" hidden="1" customHeight="1">
      <c r="A332" s="292" t="s">
        <v>147</v>
      </c>
      <c r="B332" s="260" t="s">
        <v>433</v>
      </c>
      <c r="C332" s="261"/>
      <c r="D332" s="201" t="s">
        <v>435</v>
      </c>
      <c r="E332" s="262" t="s">
        <v>432</v>
      </c>
      <c r="F332" s="294"/>
      <c r="G332" s="264">
        <v>230000</v>
      </c>
      <c r="H332" s="264">
        <f t="shared" ref="H332" si="268">F332*G332</f>
        <v>0</v>
      </c>
      <c r="I332" s="264">
        <v>100000</v>
      </c>
      <c r="J332" s="264">
        <f t="shared" ref="J332" si="269">F332*I332</f>
        <v>0</v>
      </c>
      <c r="K332" s="264">
        <f t="shared" ref="K332" si="270">G332+I332</f>
        <v>330000</v>
      </c>
      <c r="L332" s="264">
        <f t="shared" ref="L332" si="271">F332*K332</f>
        <v>0</v>
      </c>
      <c r="M332" s="249"/>
    </row>
    <row r="333" spans="1:17" s="142" customFormat="1" ht="18" hidden="1" customHeight="1">
      <c r="A333" s="292" t="s">
        <v>147</v>
      </c>
      <c r="B333" s="306" t="s">
        <v>375</v>
      </c>
      <c r="C333" s="364" t="s">
        <v>373</v>
      </c>
      <c r="D333" s="284" t="s">
        <v>429</v>
      </c>
      <c r="E333" s="308" t="s">
        <v>38</v>
      </c>
      <c r="F333" s="309"/>
      <c r="G333" s="310">
        <v>190000</v>
      </c>
      <c r="H333" s="310">
        <f t="shared" ref="H333" si="272">F333*G333</f>
        <v>0</v>
      </c>
      <c r="I333" s="310">
        <v>50000</v>
      </c>
      <c r="J333" s="310">
        <f t="shared" ref="J333" si="273">F333*I333</f>
        <v>0</v>
      </c>
      <c r="K333" s="310">
        <f t="shared" si="259"/>
        <v>240000</v>
      </c>
      <c r="L333" s="310">
        <f t="shared" si="260"/>
        <v>0</v>
      </c>
      <c r="M333" s="311"/>
    </row>
    <row r="334" spans="1:17" s="139" customFormat="1" ht="18" hidden="1" customHeight="1">
      <c r="A334" s="328" t="s">
        <v>250</v>
      </c>
      <c r="B334" s="348" t="s">
        <v>271</v>
      </c>
      <c r="C334" s="365" t="s">
        <v>287</v>
      </c>
      <c r="D334" s="278" t="s">
        <v>430</v>
      </c>
      <c r="E334" s="350" t="s">
        <v>38</v>
      </c>
      <c r="F334" s="351"/>
      <c r="G334" s="352">
        <v>180000</v>
      </c>
      <c r="H334" s="352">
        <f t="shared" si="257"/>
        <v>0</v>
      </c>
      <c r="I334" s="352">
        <v>50000</v>
      </c>
      <c r="J334" s="352">
        <f t="shared" si="258"/>
        <v>0</v>
      </c>
      <c r="K334" s="352">
        <f t="shared" ref="K334:K335" si="274">G334+I334</f>
        <v>230000</v>
      </c>
      <c r="L334" s="352">
        <f t="shared" ref="L334" si="275">F334*K334</f>
        <v>0</v>
      </c>
      <c r="M334" s="305"/>
    </row>
    <row r="335" spans="1:17" s="7" customFormat="1" ht="18" customHeight="1">
      <c r="A335" s="292" t="s">
        <v>12</v>
      </c>
      <c r="B335" s="260" t="s">
        <v>105</v>
      </c>
      <c r="C335" s="261" t="s">
        <v>549</v>
      </c>
      <c r="D335" s="201" t="s">
        <v>545</v>
      </c>
      <c r="E335" s="262" t="s">
        <v>38</v>
      </c>
      <c r="F335" s="294">
        <v>3</v>
      </c>
      <c r="G335" s="264">
        <v>7245000</v>
      </c>
      <c r="H335" s="264">
        <f t="shared" ref="H335:H362" si="276">F335*G335</f>
        <v>21735000</v>
      </c>
      <c r="I335" s="264">
        <v>50000</v>
      </c>
      <c r="J335" s="264">
        <f t="shared" ref="J335:J362" si="277">F335*I335</f>
        <v>150000</v>
      </c>
      <c r="K335" s="264">
        <f t="shared" si="274"/>
        <v>7295000</v>
      </c>
      <c r="L335" s="264">
        <f t="shared" si="251"/>
        <v>21885000</v>
      </c>
      <c r="M335" s="249"/>
    </row>
    <row r="336" spans="1:17" s="7" customFormat="1" ht="18" customHeight="1">
      <c r="A336" s="292" t="s">
        <v>44</v>
      </c>
      <c r="B336" s="260" t="s">
        <v>240</v>
      </c>
      <c r="C336" s="261" t="s">
        <v>550</v>
      </c>
      <c r="D336" s="201" t="s">
        <v>631</v>
      </c>
      <c r="E336" s="262" t="s">
        <v>38</v>
      </c>
      <c r="F336" s="294">
        <v>1</v>
      </c>
      <c r="G336" s="264">
        <v>250000</v>
      </c>
      <c r="H336" s="264">
        <f t="shared" ref="H336" si="278">F336*G336</f>
        <v>250000</v>
      </c>
      <c r="I336" s="264">
        <v>50000</v>
      </c>
      <c r="J336" s="264">
        <f t="shared" ref="J336" si="279">F336*I336</f>
        <v>50000</v>
      </c>
      <c r="K336" s="264">
        <f t="shared" ref="K336" si="280">G336+I336</f>
        <v>300000</v>
      </c>
      <c r="L336" s="264">
        <f t="shared" ref="L336" si="281">F336*K336</f>
        <v>300000</v>
      </c>
      <c r="M336" s="249"/>
    </row>
    <row r="337" spans="1:13" s="7" customFormat="1" ht="18" customHeight="1">
      <c r="A337" s="292"/>
      <c r="B337" s="260"/>
      <c r="C337" s="293"/>
      <c r="D337" s="201"/>
      <c r="E337" s="262"/>
      <c r="F337" s="294"/>
      <c r="G337" s="264"/>
      <c r="H337" s="264"/>
      <c r="I337" s="264"/>
      <c r="J337" s="264"/>
      <c r="K337" s="264"/>
      <c r="L337" s="264"/>
      <c r="M337" s="249"/>
    </row>
    <row r="338" spans="1:13" s="7" customFormat="1" ht="18" customHeight="1">
      <c r="A338" s="271">
        <v>-1</v>
      </c>
      <c r="B338" s="260" t="s">
        <v>97</v>
      </c>
      <c r="C338" s="261"/>
      <c r="D338" s="201"/>
      <c r="E338" s="262"/>
      <c r="F338" s="272"/>
      <c r="G338" s="264"/>
      <c r="H338" s="264"/>
      <c r="I338" s="264"/>
      <c r="J338" s="264"/>
      <c r="K338" s="264"/>
      <c r="L338" s="264"/>
      <c r="M338" s="249"/>
    </row>
    <row r="339" spans="1:13" s="142" customFormat="1" ht="18" customHeight="1">
      <c r="A339" s="271" t="s">
        <v>193</v>
      </c>
      <c r="B339" s="306" t="s">
        <v>386</v>
      </c>
      <c r="C339" s="364" t="s">
        <v>552</v>
      </c>
      <c r="D339" s="201" t="s">
        <v>631</v>
      </c>
      <c r="E339" s="308" t="s">
        <v>42</v>
      </c>
      <c r="F339" s="366">
        <v>1</v>
      </c>
      <c r="G339" s="310">
        <v>397000</v>
      </c>
      <c r="H339" s="310">
        <f t="shared" si="276"/>
        <v>397000</v>
      </c>
      <c r="I339" s="310">
        <v>50000</v>
      </c>
      <c r="J339" s="310">
        <f t="shared" ref="J339" si="282">F339*I339</f>
        <v>50000</v>
      </c>
      <c r="K339" s="310">
        <f t="shared" ref="K339" si="283">G339+I339</f>
        <v>447000</v>
      </c>
      <c r="L339" s="310">
        <f t="shared" ref="L339" si="284">F339*K339</f>
        <v>447000</v>
      </c>
      <c r="M339" s="311"/>
    </row>
    <row r="340" spans="1:13" s="142" customFormat="1" ht="18" hidden="1" customHeight="1">
      <c r="A340" s="271" t="s">
        <v>44</v>
      </c>
      <c r="B340" s="306" t="s">
        <v>286</v>
      </c>
      <c r="C340" s="364" t="s">
        <v>285</v>
      </c>
      <c r="D340" s="284" t="s">
        <v>107</v>
      </c>
      <c r="E340" s="308" t="s">
        <v>42</v>
      </c>
      <c r="F340" s="366"/>
      <c r="G340" s="310">
        <v>11000</v>
      </c>
      <c r="H340" s="310">
        <f t="shared" ref="H340:H341" si="285">F340*G340</f>
        <v>0</v>
      </c>
      <c r="I340" s="310">
        <v>30000</v>
      </c>
      <c r="J340" s="310">
        <f t="shared" ref="J340:J341" si="286">F340*I340</f>
        <v>0</v>
      </c>
      <c r="K340" s="310">
        <f t="shared" ref="K340:K341" si="287">G340+I340</f>
        <v>41000</v>
      </c>
      <c r="L340" s="310">
        <f t="shared" ref="L340:L341" si="288">F340*K340</f>
        <v>0</v>
      </c>
      <c r="M340" s="311"/>
    </row>
    <row r="341" spans="1:13" s="142" customFormat="1" ht="18" customHeight="1">
      <c r="A341" s="271" t="s">
        <v>44</v>
      </c>
      <c r="B341" s="306" t="s">
        <v>553</v>
      </c>
      <c r="C341" s="364" t="s">
        <v>554</v>
      </c>
      <c r="D341" s="201" t="s">
        <v>631</v>
      </c>
      <c r="E341" s="308" t="s">
        <v>42</v>
      </c>
      <c r="F341" s="366">
        <v>1</v>
      </c>
      <c r="G341" s="310">
        <f>36000+32000+28000</f>
        <v>96000</v>
      </c>
      <c r="H341" s="310">
        <f t="shared" si="285"/>
        <v>96000</v>
      </c>
      <c r="I341" s="310">
        <v>0</v>
      </c>
      <c r="J341" s="310">
        <f t="shared" si="286"/>
        <v>0</v>
      </c>
      <c r="K341" s="310">
        <f t="shared" si="287"/>
        <v>96000</v>
      </c>
      <c r="L341" s="310">
        <f t="shared" si="288"/>
        <v>96000</v>
      </c>
      <c r="M341" s="311"/>
    </row>
    <row r="342" spans="1:13" s="142" customFormat="1" ht="18" customHeight="1">
      <c r="A342" s="271" t="s">
        <v>44</v>
      </c>
      <c r="B342" s="306" t="s">
        <v>555</v>
      </c>
      <c r="C342" s="364" t="s">
        <v>556</v>
      </c>
      <c r="D342" s="284" t="s">
        <v>545</v>
      </c>
      <c r="E342" s="308" t="s">
        <v>42</v>
      </c>
      <c r="F342" s="366">
        <v>3</v>
      </c>
      <c r="G342" s="310">
        <v>343000</v>
      </c>
      <c r="H342" s="310">
        <f t="shared" ref="H342" si="289">F342*G342</f>
        <v>1029000</v>
      </c>
      <c r="I342" s="310">
        <v>250000</v>
      </c>
      <c r="J342" s="310">
        <f t="shared" ref="J342" si="290">F342*I342</f>
        <v>750000</v>
      </c>
      <c r="K342" s="310">
        <f t="shared" ref="K342" si="291">G342+I342</f>
        <v>593000</v>
      </c>
      <c r="L342" s="310">
        <f t="shared" ref="L342" si="292">F342*K342</f>
        <v>1779000</v>
      </c>
      <c r="M342" s="311"/>
    </row>
    <row r="343" spans="1:13" s="142" customFormat="1" ht="18" customHeight="1">
      <c r="A343" s="271" t="s">
        <v>44</v>
      </c>
      <c r="B343" s="306" t="s">
        <v>557</v>
      </c>
      <c r="C343" s="364" t="s">
        <v>558</v>
      </c>
      <c r="D343" s="284" t="s">
        <v>545</v>
      </c>
      <c r="E343" s="308" t="s">
        <v>42</v>
      </c>
      <c r="F343" s="366">
        <v>3</v>
      </c>
      <c r="G343" s="310">
        <v>269000</v>
      </c>
      <c r="H343" s="310">
        <f t="shared" ref="H343" si="293">F343*G343</f>
        <v>807000</v>
      </c>
      <c r="I343" s="310">
        <v>0</v>
      </c>
      <c r="J343" s="310">
        <f t="shared" ref="J343" si="294">F343*I343</f>
        <v>0</v>
      </c>
      <c r="K343" s="310">
        <f t="shared" ref="K343" si="295">G343+I343</f>
        <v>269000</v>
      </c>
      <c r="L343" s="310">
        <f t="shared" ref="L343" si="296">F343*K343</f>
        <v>807000</v>
      </c>
      <c r="M343" s="311"/>
    </row>
    <row r="344" spans="1:13" s="142" customFormat="1" ht="18" customHeight="1">
      <c r="A344" s="271" t="s">
        <v>44</v>
      </c>
      <c r="B344" s="306" t="s">
        <v>559</v>
      </c>
      <c r="C344" s="364" t="s">
        <v>560</v>
      </c>
      <c r="D344" s="284" t="s">
        <v>545</v>
      </c>
      <c r="E344" s="308" t="s">
        <v>42</v>
      </c>
      <c r="F344" s="366">
        <v>3</v>
      </c>
      <c r="G344" s="310">
        <v>699800</v>
      </c>
      <c r="H344" s="310">
        <f t="shared" ref="H344:H345" si="297">F344*G344</f>
        <v>2099400</v>
      </c>
      <c r="I344" s="310">
        <v>300000</v>
      </c>
      <c r="J344" s="310">
        <f t="shared" ref="J344:J345" si="298">F344*I344</f>
        <v>900000</v>
      </c>
      <c r="K344" s="310">
        <f t="shared" ref="K344:K345" si="299">G344+I344</f>
        <v>999800</v>
      </c>
      <c r="L344" s="310">
        <f t="shared" ref="L344:L345" si="300">F344*K344</f>
        <v>2999400</v>
      </c>
      <c r="M344" s="311"/>
    </row>
    <row r="345" spans="1:13" s="142" customFormat="1" ht="18" customHeight="1">
      <c r="A345" s="271" t="s">
        <v>44</v>
      </c>
      <c r="B345" s="306" t="s">
        <v>561</v>
      </c>
      <c r="C345" s="364" t="s">
        <v>562</v>
      </c>
      <c r="D345" s="284" t="s">
        <v>545</v>
      </c>
      <c r="E345" s="308" t="s">
        <v>42</v>
      </c>
      <c r="F345" s="366">
        <v>3</v>
      </c>
      <c r="G345" s="310">
        <v>133000</v>
      </c>
      <c r="H345" s="310">
        <f t="shared" si="297"/>
        <v>399000</v>
      </c>
      <c r="I345" s="310">
        <v>0</v>
      </c>
      <c r="J345" s="310">
        <f t="shared" si="298"/>
        <v>0</v>
      </c>
      <c r="K345" s="310">
        <f t="shared" si="299"/>
        <v>133000</v>
      </c>
      <c r="L345" s="310">
        <f t="shared" si="300"/>
        <v>399000</v>
      </c>
      <c r="M345" s="311"/>
    </row>
    <row r="346" spans="1:13" s="142" customFormat="1" ht="18" customHeight="1">
      <c r="A346" s="271" t="s">
        <v>44</v>
      </c>
      <c r="B346" s="306" t="s">
        <v>563</v>
      </c>
      <c r="C346" s="364" t="s">
        <v>564</v>
      </c>
      <c r="D346" s="284" t="s">
        <v>545</v>
      </c>
      <c r="E346" s="308" t="s">
        <v>42</v>
      </c>
      <c r="F346" s="366">
        <v>3</v>
      </c>
      <c r="G346" s="310">
        <f>474000+119000+117000+144000</f>
        <v>854000</v>
      </c>
      <c r="H346" s="310">
        <f t="shared" ref="H346" si="301">F346*G346</f>
        <v>2562000</v>
      </c>
      <c r="I346" s="310">
        <v>0</v>
      </c>
      <c r="J346" s="310">
        <f t="shared" ref="J346" si="302">F346*I346</f>
        <v>0</v>
      </c>
      <c r="K346" s="310">
        <f t="shared" ref="K346" si="303">G346+I346</f>
        <v>854000</v>
      </c>
      <c r="L346" s="310">
        <f t="shared" ref="L346" si="304">F346*K346</f>
        <v>2562000</v>
      </c>
      <c r="M346" s="311"/>
    </row>
    <row r="347" spans="1:13" s="142" customFormat="1" ht="18" hidden="1" customHeight="1">
      <c r="A347" s="271"/>
      <c r="B347" s="306"/>
      <c r="C347" s="364"/>
      <c r="D347" s="284"/>
      <c r="E347" s="308"/>
      <c r="F347" s="366"/>
      <c r="G347" s="310"/>
      <c r="H347" s="310"/>
      <c r="I347" s="310"/>
      <c r="J347" s="310"/>
      <c r="K347" s="310"/>
      <c r="L347" s="310"/>
      <c r="M347" s="311"/>
    </row>
    <row r="348" spans="1:13" s="142" customFormat="1" ht="18" hidden="1" customHeight="1">
      <c r="A348" s="271"/>
      <c r="B348" s="306"/>
      <c r="C348" s="364"/>
      <c r="D348" s="284"/>
      <c r="E348" s="308"/>
      <c r="F348" s="366"/>
      <c r="G348" s="310"/>
      <c r="H348" s="310"/>
      <c r="I348" s="310"/>
      <c r="J348" s="310"/>
      <c r="K348" s="310"/>
      <c r="L348" s="310"/>
      <c r="M348" s="311"/>
    </row>
    <row r="349" spans="1:13" s="142" customFormat="1" ht="18" hidden="1" customHeight="1">
      <c r="A349" s="271"/>
      <c r="B349" s="306"/>
      <c r="C349" s="364"/>
      <c r="D349" s="284"/>
      <c r="E349" s="308"/>
      <c r="F349" s="366"/>
      <c r="G349" s="310"/>
      <c r="H349" s="310"/>
      <c r="I349" s="310"/>
      <c r="J349" s="310"/>
      <c r="K349" s="310"/>
      <c r="L349" s="310"/>
      <c r="M349" s="311"/>
    </row>
    <row r="350" spans="1:13" s="142" customFormat="1" ht="18" hidden="1" customHeight="1">
      <c r="A350" s="271" t="s">
        <v>193</v>
      </c>
      <c r="B350" s="306" t="s">
        <v>109</v>
      </c>
      <c r="C350" s="364"/>
      <c r="D350" s="284" t="s">
        <v>107</v>
      </c>
      <c r="E350" s="308" t="s">
        <v>42</v>
      </c>
      <c r="F350" s="366"/>
      <c r="G350" s="310">
        <v>250000</v>
      </c>
      <c r="H350" s="310">
        <f t="shared" ref="H350" si="305">F350*G350</f>
        <v>0</v>
      </c>
      <c r="I350" s="310">
        <v>50000</v>
      </c>
      <c r="J350" s="310">
        <f t="shared" ref="J350" si="306">F350*I350</f>
        <v>0</v>
      </c>
      <c r="K350" s="310">
        <f>G350+I350</f>
        <v>300000</v>
      </c>
      <c r="L350" s="310">
        <f t="shared" ref="L350" si="307">F350*K350</f>
        <v>0</v>
      </c>
      <c r="M350" s="311"/>
    </row>
    <row r="351" spans="1:13" s="142" customFormat="1" ht="18" hidden="1" customHeight="1">
      <c r="A351" s="271" t="s">
        <v>44</v>
      </c>
      <c r="B351" s="306" t="s">
        <v>386</v>
      </c>
      <c r="C351" s="364"/>
      <c r="D351" s="284" t="s">
        <v>107</v>
      </c>
      <c r="E351" s="308" t="s">
        <v>42</v>
      </c>
      <c r="F351" s="366"/>
      <c r="G351" s="310">
        <v>237000</v>
      </c>
      <c r="H351" s="310">
        <f t="shared" ref="H351" si="308">F351*G351</f>
        <v>0</v>
      </c>
      <c r="I351" s="310">
        <v>50000</v>
      </c>
      <c r="J351" s="310">
        <f t="shared" ref="J351" si="309">F351*I351</f>
        <v>0</v>
      </c>
      <c r="K351" s="310">
        <f>G351+I351</f>
        <v>287000</v>
      </c>
      <c r="L351" s="310">
        <f t="shared" ref="L351" si="310">F351*K351</f>
        <v>0</v>
      </c>
      <c r="M351" s="311"/>
    </row>
    <row r="352" spans="1:13" s="7" customFormat="1" ht="18" customHeight="1">
      <c r="A352" s="292"/>
      <c r="B352" s="260"/>
      <c r="C352" s="293"/>
      <c r="D352" s="201"/>
      <c r="E352" s="262"/>
      <c r="F352" s="294"/>
      <c r="G352" s="264"/>
      <c r="H352" s="264"/>
      <c r="I352" s="264"/>
      <c r="J352" s="264"/>
      <c r="K352" s="264"/>
      <c r="L352" s="264"/>
      <c r="M352" s="204"/>
    </row>
    <row r="353" spans="1:13" s="7" customFormat="1" ht="18" customHeight="1">
      <c r="A353" s="271">
        <v>-1</v>
      </c>
      <c r="B353" s="260" t="s">
        <v>438</v>
      </c>
      <c r="C353" s="261"/>
      <c r="D353" s="201"/>
      <c r="E353" s="262"/>
      <c r="F353" s="272"/>
      <c r="G353" s="264"/>
      <c r="H353" s="264"/>
      <c r="I353" s="264"/>
      <c r="J353" s="264"/>
      <c r="K353" s="264"/>
      <c r="L353" s="264"/>
      <c r="M353" s="204"/>
    </row>
    <row r="354" spans="1:13" s="7" customFormat="1" ht="18" hidden="1" customHeight="1">
      <c r="A354" s="292" t="s">
        <v>44</v>
      </c>
      <c r="B354" s="260" t="s">
        <v>342</v>
      </c>
      <c r="C354" s="261" t="s">
        <v>343</v>
      </c>
      <c r="D354" s="201" t="s">
        <v>107</v>
      </c>
      <c r="E354" s="262" t="s">
        <v>42</v>
      </c>
      <c r="F354" s="294"/>
      <c r="G354" s="264">
        <v>270000</v>
      </c>
      <c r="H354" s="264">
        <f>F354*G354</f>
        <v>0</v>
      </c>
      <c r="I354" s="264">
        <v>50000</v>
      </c>
      <c r="J354" s="310">
        <f t="shared" ref="J354:J357" si="311">F354*I354</f>
        <v>0</v>
      </c>
      <c r="K354" s="264">
        <f>G354+I354</f>
        <v>320000</v>
      </c>
      <c r="L354" s="264">
        <f>F354*K354</f>
        <v>0</v>
      </c>
      <c r="M354" s="249"/>
    </row>
    <row r="355" spans="1:13" s="421" customFormat="1" ht="18" customHeight="1">
      <c r="A355" s="417" t="s">
        <v>44</v>
      </c>
      <c r="B355" s="402" t="s">
        <v>274</v>
      </c>
      <c r="C355" s="403" t="s">
        <v>635</v>
      </c>
      <c r="D355" s="418" t="s">
        <v>436</v>
      </c>
      <c r="E355" s="418" t="s">
        <v>42</v>
      </c>
      <c r="F355" s="419">
        <v>3</v>
      </c>
      <c r="G355" s="405">
        <v>150000</v>
      </c>
      <c r="H355" s="405">
        <f>F355*G355</f>
        <v>450000</v>
      </c>
      <c r="I355" s="405">
        <v>30000</v>
      </c>
      <c r="J355" s="405">
        <f t="shared" si="311"/>
        <v>90000</v>
      </c>
      <c r="K355" s="405">
        <f>G355+I355</f>
        <v>180000</v>
      </c>
      <c r="L355" s="405">
        <f>F355*K355</f>
        <v>540000</v>
      </c>
      <c r="M355" s="420"/>
    </row>
    <row r="356" spans="1:13" s="142" customFormat="1" ht="18" customHeight="1">
      <c r="A356" s="292" t="s">
        <v>12</v>
      </c>
      <c r="B356" s="306" t="s">
        <v>111</v>
      </c>
      <c r="C356" s="367" t="s">
        <v>574</v>
      </c>
      <c r="D356" s="201" t="s">
        <v>545</v>
      </c>
      <c r="E356" s="308" t="s">
        <v>42</v>
      </c>
      <c r="F356" s="309">
        <v>3</v>
      </c>
      <c r="G356" s="310">
        <v>60000</v>
      </c>
      <c r="H356" s="310">
        <f>F356*G356</f>
        <v>180000</v>
      </c>
      <c r="I356" s="310">
        <v>20000</v>
      </c>
      <c r="J356" s="310">
        <f>F356*I356</f>
        <v>60000</v>
      </c>
      <c r="K356" s="310">
        <f t="shared" ref="K356" si="312">G356+I356</f>
        <v>80000</v>
      </c>
      <c r="L356" s="310">
        <f t="shared" ref="L356" si="313">F356*K356</f>
        <v>240000</v>
      </c>
      <c r="M356" s="287"/>
    </row>
    <row r="357" spans="1:13" s="142" customFormat="1" ht="18" customHeight="1">
      <c r="A357" s="292" t="s">
        <v>12</v>
      </c>
      <c r="B357" s="306" t="s">
        <v>110</v>
      </c>
      <c r="C357" s="307" t="s">
        <v>571</v>
      </c>
      <c r="D357" s="201" t="s">
        <v>107</v>
      </c>
      <c r="E357" s="308" t="s">
        <v>42</v>
      </c>
      <c r="F357" s="309">
        <v>1</v>
      </c>
      <c r="G357" s="310">
        <v>91000</v>
      </c>
      <c r="H357" s="310">
        <f t="shared" ref="H357" si="314">F357*G357</f>
        <v>91000</v>
      </c>
      <c r="I357" s="310">
        <v>20000</v>
      </c>
      <c r="J357" s="310">
        <f t="shared" si="311"/>
        <v>20000</v>
      </c>
      <c r="K357" s="310">
        <f t="shared" ref="K357" si="315">G357+I357</f>
        <v>111000</v>
      </c>
      <c r="L357" s="310">
        <f t="shared" ref="L357" si="316">F357*K357</f>
        <v>111000</v>
      </c>
      <c r="M357" s="287"/>
    </row>
    <row r="358" spans="1:13" s="142" customFormat="1" ht="18" customHeight="1">
      <c r="A358" s="292" t="s">
        <v>44</v>
      </c>
      <c r="B358" s="306" t="s">
        <v>573</v>
      </c>
      <c r="C358" s="367" t="s">
        <v>576</v>
      </c>
      <c r="D358" s="201" t="s">
        <v>634</v>
      </c>
      <c r="E358" s="308" t="s">
        <v>42</v>
      </c>
      <c r="F358" s="309">
        <v>2</v>
      </c>
      <c r="G358" s="310">
        <v>36000</v>
      </c>
      <c r="H358" s="310">
        <f t="shared" ref="H358:H360" si="317">F358*G358</f>
        <v>72000</v>
      </c>
      <c r="I358" s="310">
        <v>20000</v>
      </c>
      <c r="J358" s="310">
        <f t="shared" ref="J358:J360" si="318">F358*I358</f>
        <v>40000</v>
      </c>
      <c r="K358" s="264">
        <f>G358+I358</f>
        <v>56000</v>
      </c>
      <c r="L358" s="264">
        <f>F358*K358</f>
        <v>112000</v>
      </c>
      <c r="M358" s="287"/>
    </row>
    <row r="359" spans="1:13" s="142" customFormat="1" ht="18" customHeight="1">
      <c r="A359" s="292" t="s">
        <v>44</v>
      </c>
      <c r="B359" s="306" t="s">
        <v>573</v>
      </c>
      <c r="C359" s="367" t="s">
        <v>577</v>
      </c>
      <c r="D359" s="201" t="s">
        <v>545</v>
      </c>
      <c r="E359" s="308" t="s">
        <v>42</v>
      </c>
      <c r="F359" s="309">
        <v>3</v>
      </c>
      <c r="G359" s="310">
        <v>18000</v>
      </c>
      <c r="H359" s="310">
        <f t="shared" si="317"/>
        <v>54000</v>
      </c>
      <c r="I359" s="310">
        <v>20000</v>
      </c>
      <c r="J359" s="310">
        <f t="shared" si="318"/>
        <v>60000</v>
      </c>
      <c r="K359" s="264">
        <f>G359+I359</f>
        <v>38000</v>
      </c>
      <c r="L359" s="264">
        <f>F359*K359</f>
        <v>114000</v>
      </c>
      <c r="M359" s="287"/>
    </row>
    <row r="360" spans="1:13" s="142" customFormat="1" ht="18" customHeight="1">
      <c r="A360" s="292" t="s">
        <v>44</v>
      </c>
      <c r="B360" s="306" t="s">
        <v>578</v>
      </c>
      <c r="C360" s="367" t="s">
        <v>579</v>
      </c>
      <c r="D360" s="201" t="s">
        <v>545</v>
      </c>
      <c r="E360" s="308" t="s">
        <v>42</v>
      </c>
      <c r="F360" s="309">
        <v>3</v>
      </c>
      <c r="G360" s="310">
        <v>33000</v>
      </c>
      <c r="H360" s="310">
        <f t="shared" si="317"/>
        <v>99000</v>
      </c>
      <c r="I360" s="310">
        <v>20000</v>
      </c>
      <c r="J360" s="310">
        <f t="shared" si="318"/>
        <v>60000</v>
      </c>
      <c r="K360" s="264">
        <f>G360+I360</f>
        <v>53000</v>
      </c>
      <c r="L360" s="264">
        <f>F360*K360</f>
        <v>159000</v>
      </c>
      <c r="M360" s="287"/>
    </row>
    <row r="361" spans="1:13" s="142" customFormat="1" ht="18" customHeight="1">
      <c r="A361" s="292"/>
      <c r="B361" s="306"/>
      <c r="C361" s="367"/>
      <c r="D361" s="201"/>
      <c r="E361" s="308"/>
      <c r="F361" s="309"/>
      <c r="G361" s="310"/>
      <c r="H361" s="310"/>
      <c r="I361" s="310"/>
      <c r="J361" s="310"/>
      <c r="K361" s="310"/>
      <c r="L361" s="310"/>
      <c r="M361" s="287"/>
    </row>
    <row r="362" spans="1:13" s="7" customFormat="1" ht="18" customHeight="1">
      <c r="A362" s="292" t="s">
        <v>12</v>
      </c>
      <c r="B362" s="260" t="s">
        <v>134</v>
      </c>
      <c r="C362" s="261" t="s">
        <v>137</v>
      </c>
      <c r="D362" s="201" t="s">
        <v>545</v>
      </c>
      <c r="E362" s="262" t="s">
        <v>75</v>
      </c>
      <c r="F362" s="294">
        <v>6</v>
      </c>
      <c r="G362" s="264">
        <v>32000</v>
      </c>
      <c r="H362" s="264">
        <f t="shared" si="276"/>
        <v>192000</v>
      </c>
      <c r="I362" s="264">
        <v>10000</v>
      </c>
      <c r="J362" s="264">
        <f t="shared" si="277"/>
        <v>60000</v>
      </c>
      <c r="K362" s="264">
        <f>G362+I362</f>
        <v>42000</v>
      </c>
      <c r="L362" s="264">
        <f t="shared" si="251"/>
        <v>252000</v>
      </c>
      <c r="M362" s="204"/>
    </row>
    <row r="363" spans="1:13" s="453" customFormat="1" ht="18" customHeight="1">
      <c r="A363" s="314" t="s">
        <v>166</v>
      </c>
      <c r="B363" s="447" t="s">
        <v>167</v>
      </c>
      <c r="C363" s="448" t="s">
        <v>437</v>
      </c>
      <c r="D363" s="449" t="s">
        <v>545</v>
      </c>
      <c r="E363" s="449" t="s">
        <v>168</v>
      </c>
      <c r="F363" s="454">
        <v>2</v>
      </c>
      <c r="G363" s="451">
        <v>250000</v>
      </c>
      <c r="H363" s="451">
        <f>F363*G363</f>
        <v>500000</v>
      </c>
      <c r="I363" s="451">
        <v>100000</v>
      </c>
      <c r="J363" s="451">
        <f>F363*I363</f>
        <v>200000</v>
      </c>
      <c r="K363" s="451">
        <f>G363+I363</f>
        <v>350000</v>
      </c>
      <c r="L363" s="451">
        <f>F363*K363</f>
        <v>700000</v>
      </c>
      <c r="M363" s="452"/>
    </row>
    <row r="364" spans="1:13" s="453" customFormat="1" ht="18" customHeight="1">
      <c r="A364" s="314" t="s">
        <v>44</v>
      </c>
      <c r="B364" s="447" t="s">
        <v>167</v>
      </c>
      <c r="C364" s="448" t="s">
        <v>654</v>
      </c>
      <c r="D364" s="449" t="s">
        <v>107</v>
      </c>
      <c r="E364" s="449" t="s">
        <v>75</v>
      </c>
      <c r="F364" s="454">
        <v>1</v>
      </c>
      <c r="G364" s="451">
        <v>280000</v>
      </c>
      <c r="H364" s="451">
        <f>F364*G364</f>
        <v>280000</v>
      </c>
      <c r="I364" s="451">
        <v>0</v>
      </c>
      <c r="J364" s="451">
        <f>F364*I364</f>
        <v>0</v>
      </c>
      <c r="K364" s="451">
        <f>G364+I364</f>
        <v>280000</v>
      </c>
      <c r="L364" s="451">
        <f>F364*K364</f>
        <v>280000</v>
      </c>
      <c r="M364" s="452"/>
    </row>
    <row r="365" spans="1:13" s="453" customFormat="1" ht="18" customHeight="1">
      <c r="A365" s="314" t="s">
        <v>44</v>
      </c>
      <c r="B365" s="447" t="s">
        <v>167</v>
      </c>
      <c r="C365" s="448" t="s">
        <v>655</v>
      </c>
      <c r="D365" s="449" t="s">
        <v>653</v>
      </c>
      <c r="E365" s="449" t="s">
        <v>75</v>
      </c>
      <c r="F365" s="454">
        <v>2</v>
      </c>
      <c r="G365" s="451">
        <v>560000</v>
      </c>
      <c r="H365" s="451">
        <f>F365*G365</f>
        <v>1120000</v>
      </c>
      <c r="I365" s="451">
        <v>0</v>
      </c>
      <c r="J365" s="451">
        <f>F365*I365</f>
        <v>0</v>
      </c>
      <c r="K365" s="451">
        <f>G365+I365</f>
        <v>560000</v>
      </c>
      <c r="L365" s="451">
        <f>F365*K365</f>
        <v>1120000</v>
      </c>
      <c r="M365" s="452"/>
    </row>
    <row r="366" spans="1:13" s="7" customFormat="1" ht="18" customHeight="1">
      <c r="A366" s="292" t="s">
        <v>44</v>
      </c>
      <c r="B366" s="260" t="s">
        <v>167</v>
      </c>
      <c r="C366" s="261" t="s">
        <v>487</v>
      </c>
      <c r="D366" s="201" t="s">
        <v>631</v>
      </c>
      <c r="E366" s="262" t="s">
        <v>75</v>
      </c>
      <c r="F366" s="294">
        <v>1</v>
      </c>
      <c r="G366" s="264">
        <f>(10000*20)+30000+50000+50000</f>
        <v>330000</v>
      </c>
      <c r="H366" s="264">
        <f>F366*G366</f>
        <v>330000</v>
      </c>
      <c r="I366" s="264">
        <v>400000</v>
      </c>
      <c r="J366" s="264">
        <f>F366*I366</f>
        <v>400000</v>
      </c>
      <c r="K366" s="264">
        <f>G366+I366</f>
        <v>730000</v>
      </c>
      <c r="L366" s="264">
        <f>F366*K366</f>
        <v>730000</v>
      </c>
      <c r="M366" s="204"/>
    </row>
    <row r="367" spans="1:13" s="7" customFormat="1" ht="18" customHeight="1">
      <c r="A367" s="292"/>
      <c r="B367" s="260"/>
      <c r="C367" s="293"/>
      <c r="D367" s="201"/>
      <c r="E367" s="262"/>
      <c r="F367" s="294"/>
      <c r="G367" s="264"/>
      <c r="H367" s="264"/>
      <c r="I367" s="264"/>
      <c r="J367" s="264"/>
      <c r="K367" s="264"/>
      <c r="L367" s="264"/>
      <c r="M367" s="204"/>
    </row>
    <row r="368" spans="1:13" ht="18" hidden="1" customHeight="1">
      <c r="A368" s="205"/>
      <c r="B368" s="206"/>
      <c r="C368" s="200"/>
      <c r="D368" s="201"/>
      <c r="E368" s="201"/>
      <c r="F368" s="270"/>
      <c r="G368" s="235"/>
      <c r="H368" s="235"/>
      <c r="I368" s="235"/>
      <c r="J368" s="235"/>
      <c r="K368" s="235"/>
      <c r="L368" s="235"/>
      <c r="M368" s="204"/>
    </row>
    <row r="369" spans="1:13" s="3" customFormat="1" ht="18" customHeight="1">
      <c r="A369" s="207"/>
      <c r="B369" s="207" t="s">
        <v>13</v>
      </c>
      <c r="C369" s="209"/>
      <c r="D369" s="210"/>
      <c r="E369" s="210"/>
      <c r="F369" s="290"/>
      <c r="G369" s="269"/>
      <c r="H369" s="269">
        <f>SUM(H318:H367)</f>
        <v>35247200</v>
      </c>
      <c r="I369" s="269"/>
      <c r="J369" s="269">
        <f>SUM(J318:J367)</f>
        <v>3342500</v>
      </c>
      <c r="K369" s="269"/>
      <c r="L369" s="269">
        <f>SUM(L318:L367)</f>
        <v>38589700</v>
      </c>
      <c r="M369" s="204"/>
    </row>
    <row r="370" spans="1:13" ht="18" customHeight="1">
      <c r="A370" s="205"/>
      <c r="B370" s="206"/>
      <c r="C370" s="200"/>
      <c r="D370" s="201"/>
      <c r="E370" s="201"/>
      <c r="F370" s="270"/>
      <c r="G370" s="235"/>
      <c r="H370" s="235"/>
      <c r="I370" s="235"/>
      <c r="J370" s="235"/>
      <c r="K370" s="235"/>
      <c r="L370" s="235"/>
      <c r="M370" s="204"/>
    </row>
    <row r="371" spans="1:13" s="3" customFormat="1" ht="18" customHeight="1">
      <c r="A371" s="266" t="s">
        <v>33</v>
      </c>
      <c r="B371" s="267" t="s">
        <v>67</v>
      </c>
      <c r="C371" s="291"/>
      <c r="D371" s="210"/>
      <c r="E371" s="210"/>
      <c r="F371" s="290"/>
      <c r="G371" s="269"/>
      <c r="H371" s="269"/>
      <c r="I371" s="269"/>
      <c r="J371" s="269"/>
      <c r="K371" s="269"/>
      <c r="L371" s="269"/>
      <c r="M371" s="204"/>
    </row>
    <row r="372" spans="1:13" s="7" customFormat="1" ht="18" customHeight="1">
      <c r="A372" s="271">
        <v>-1</v>
      </c>
      <c r="B372" s="260" t="s">
        <v>114</v>
      </c>
      <c r="C372" s="261"/>
      <c r="D372" s="201"/>
      <c r="E372" s="262"/>
      <c r="F372" s="272"/>
      <c r="G372" s="264"/>
      <c r="H372" s="264"/>
      <c r="I372" s="264"/>
      <c r="J372" s="264"/>
      <c r="K372" s="264"/>
      <c r="L372" s="264"/>
      <c r="M372" s="289"/>
    </row>
    <row r="373" spans="1:13" s="7" customFormat="1" ht="18" customHeight="1">
      <c r="A373" s="292" t="s">
        <v>12</v>
      </c>
      <c r="B373" s="260" t="s">
        <v>115</v>
      </c>
      <c r="C373" s="261" t="s">
        <v>639</v>
      </c>
      <c r="D373" s="201" t="s">
        <v>159</v>
      </c>
      <c r="E373" s="262" t="s">
        <v>11</v>
      </c>
      <c r="F373" s="294">
        <f>10*1.44</f>
        <v>14.399999999999999</v>
      </c>
      <c r="G373" s="264">
        <v>63000</v>
      </c>
      <c r="H373" s="264">
        <f>F373*G373</f>
        <v>907199.99999999988</v>
      </c>
      <c r="I373" s="264">
        <v>70000</v>
      </c>
      <c r="J373" s="264">
        <f t="shared" ref="J373:J376" si="319">F373*I373</f>
        <v>1007999.9999999999</v>
      </c>
      <c r="K373" s="264">
        <f>G373+I373</f>
        <v>133000</v>
      </c>
      <c r="L373" s="264">
        <f>F373*K373</f>
        <v>1915199.9999999998</v>
      </c>
      <c r="M373" s="289"/>
    </row>
    <row r="374" spans="1:13" s="7" customFormat="1" ht="18" customHeight="1">
      <c r="A374" s="292" t="s">
        <v>12</v>
      </c>
      <c r="B374" s="260" t="s">
        <v>476</v>
      </c>
      <c r="C374" s="261" t="s">
        <v>639</v>
      </c>
      <c r="D374" s="201" t="s">
        <v>159</v>
      </c>
      <c r="E374" s="262" t="s">
        <v>11</v>
      </c>
      <c r="F374" s="294">
        <f>12*1.44</f>
        <v>17.28</v>
      </c>
      <c r="G374" s="264">
        <v>63000</v>
      </c>
      <c r="H374" s="264">
        <f>F374*G374</f>
        <v>1088640</v>
      </c>
      <c r="I374" s="264">
        <v>70000</v>
      </c>
      <c r="J374" s="264">
        <f t="shared" si="319"/>
        <v>1209600</v>
      </c>
      <c r="K374" s="264">
        <f>G374+I374</f>
        <v>133000</v>
      </c>
      <c r="L374" s="264">
        <f>F374*K374</f>
        <v>2298240</v>
      </c>
      <c r="M374" s="289"/>
    </row>
    <row r="375" spans="1:13" s="391" customFormat="1" ht="18" customHeight="1">
      <c r="A375" s="339" t="s">
        <v>12</v>
      </c>
      <c r="B375" s="386" t="s">
        <v>476</v>
      </c>
      <c r="C375" s="387" t="s">
        <v>496</v>
      </c>
      <c r="D375" s="379" t="s">
        <v>159</v>
      </c>
      <c r="E375" s="379" t="s">
        <v>11</v>
      </c>
      <c r="F375" s="388">
        <v>4.5999999999999996</v>
      </c>
      <c r="G375" s="389">
        <v>0</v>
      </c>
      <c r="H375" s="389">
        <f>F375*G375</f>
        <v>0</v>
      </c>
      <c r="I375" s="389">
        <v>0</v>
      </c>
      <c r="J375" s="389">
        <f t="shared" ref="J375" si="320">F375*I375</f>
        <v>0</v>
      </c>
      <c r="K375" s="389">
        <f>G375+I375</f>
        <v>0</v>
      </c>
      <c r="L375" s="389">
        <f>F375*K375</f>
        <v>0</v>
      </c>
      <c r="M375" s="390" t="s">
        <v>611</v>
      </c>
    </row>
    <row r="376" spans="1:13" s="7" customFormat="1" ht="18" customHeight="1">
      <c r="A376" s="292" t="s">
        <v>44</v>
      </c>
      <c r="B376" s="260" t="s">
        <v>113</v>
      </c>
      <c r="C376" s="293" t="s">
        <v>488</v>
      </c>
      <c r="D376" s="201"/>
      <c r="E376" s="262" t="s">
        <v>75</v>
      </c>
      <c r="F376" s="294">
        <v>1</v>
      </c>
      <c r="G376" s="264">
        <v>350000</v>
      </c>
      <c r="H376" s="264">
        <f t="shared" ref="H376" si="321">F376*G376</f>
        <v>350000</v>
      </c>
      <c r="I376" s="264">
        <v>0</v>
      </c>
      <c r="J376" s="264">
        <f t="shared" si="319"/>
        <v>0</v>
      </c>
      <c r="K376" s="264">
        <f t="shared" ref="K376" si="322">G376+I376</f>
        <v>350000</v>
      </c>
      <c r="L376" s="264">
        <f t="shared" ref="L376" si="323">F376*K376</f>
        <v>350000</v>
      </c>
      <c r="M376" s="289"/>
    </row>
    <row r="377" spans="1:13" s="7" customFormat="1" ht="18" customHeight="1">
      <c r="A377" s="271"/>
      <c r="B377" s="260"/>
      <c r="C377" s="261"/>
      <c r="D377" s="201"/>
      <c r="E377" s="262"/>
      <c r="F377" s="272"/>
      <c r="G377" s="264"/>
      <c r="H377" s="264"/>
      <c r="I377" s="264"/>
      <c r="J377" s="264"/>
      <c r="K377" s="264"/>
      <c r="L377" s="264"/>
      <c r="M377" s="204"/>
    </row>
    <row r="378" spans="1:13" s="7" customFormat="1" ht="18" customHeight="1">
      <c r="A378" s="271">
        <v>-1</v>
      </c>
      <c r="B378" s="260" t="s">
        <v>112</v>
      </c>
      <c r="C378" s="261"/>
      <c r="D378" s="201"/>
      <c r="E378" s="262"/>
      <c r="F378" s="272"/>
      <c r="G378" s="264"/>
      <c r="H378" s="264"/>
      <c r="I378" s="264"/>
      <c r="J378" s="264"/>
      <c r="K378" s="264"/>
      <c r="L378" s="264"/>
      <c r="M378" s="204"/>
    </row>
    <row r="379" spans="1:13" s="421" customFormat="1" ht="18" customHeight="1">
      <c r="A379" s="417" t="s">
        <v>147</v>
      </c>
      <c r="B379" s="402" t="s">
        <v>646</v>
      </c>
      <c r="C379" s="403" t="s">
        <v>490</v>
      </c>
      <c r="D379" s="418" t="s">
        <v>265</v>
      </c>
      <c r="E379" s="418" t="s">
        <v>143</v>
      </c>
      <c r="F379" s="419">
        <f>14*1.44</f>
        <v>20.16</v>
      </c>
      <c r="G379" s="405">
        <v>100000</v>
      </c>
      <c r="H379" s="405">
        <f t="shared" ref="H379:H390" si="324">F379*G379</f>
        <v>2016000</v>
      </c>
      <c r="I379" s="405">
        <v>70000</v>
      </c>
      <c r="J379" s="405">
        <f t="shared" ref="J379:J390" si="325">F379*I379</f>
        <v>1411200</v>
      </c>
      <c r="K379" s="405">
        <f t="shared" ref="K379:K390" si="326">G379+I379</f>
        <v>170000</v>
      </c>
      <c r="L379" s="405">
        <f>F379*K379</f>
        <v>3427200</v>
      </c>
      <c r="M379" s="420"/>
    </row>
    <row r="380" spans="1:13" s="421" customFormat="1" ht="18" customHeight="1">
      <c r="A380" s="417" t="s">
        <v>44</v>
      </c>
      <c r="B380" s="402" t="s">
        <v>646</v>
      </c>
      <c r="C380" s="403" t="s">
        <v>491</v>
      </c>
      <c r="D380" s="418" t="s">
        <v>265</v>
      </c>
      <c r="E380" s="418" t="s">
        <v>41</v>
      </c>
      <c r="F380" s="419">
        <f>19*1.44</f>
        <v>27.36</v>
      </c>
      <c r="G380" s="405">
        <v>65000</v>
      </c>
      <c r="H380" s="405">
        <f t="shared" ref="H380" si="327">F380*G380</f>
        <v>1778400</v>
      </c>
      <c r="I380" s="405">
        <v>70000</v>
      </c>
      <c r="J380" s="405">
        <f t="shared" ref="J380" si="328">F380*I380</f>
        <v>1915200</v>
      </c>
      <c r="K380" s="405">
        <f t="shared" ref="K380" si="329">G380+I380</f>
        <v>135000</v>
      </c>
      <c r="L380" s="405">
        <f>F380*K380</f>
        <v>3693600</v>
      </c>
      <c r="M380" s="420"/>
    </row>
    <row r="381" spans="1:13" s="421" customFormat="1" ht="18" customHeight="1">
      <c r="A381" s="417" t="s">
        <v>147</v>
      </c>
      <c r="B381" s="402" t="s">
        <v>647</v>
      </c>
      <c r="C381" s="403" t="s">
        <v>491</v>
      </c>
      <c r="D381" s="418" t="s">
        <v>265</v>
      </c>
      <c r="E381" s="418" t="s">
        <v>143</v>
      </c>
      <c r="F381" s="419">
        <f>6*1.44</f>
        <v>8.64</v>
      </c>
      <c r="G381" s="405">
        <v>65000</v>
      </c>
      <c r="H381" s="405">
        <f t="shared" ref="H381:H383" si="330">F381*G381</f>
        <v>561600</v>
      </c>
      <c r="I381" s="405">
        <v>70000</v>
      </c>
      <c r="J381" s="405">
        <f t="shared" si="325"/>
        <v>604800</v>
      </c>
      <c r="K381" s="405">
        <f t="shared" si="326"/>
        <v>135000</v>
      </c>
      <c r="L381" s="405">
        <f>F381*K381</f>
        <v>1166400</v>
      </c>
      <c r="M381" s="420"/>
    </row>
    <row r="382" spans="1:13" s="421" customFormat="1" ht="18" customHeight="1">
      <c r="A382" s="417" t="s">
        <v>44</v>
      </c>
      <c r="B382" s="402" t="s">
        <v>648</v>
      </c>
      <c r="C382" s="403" t="s">
        <v>494</v>
      </c>
      <c r="D382" s="418" t="s">
        <v>265</v>
      </c>
      <c r="E382" s="418" t="s">
        <v>41</v>
      </c>
      <c r="F382" s="419">
        <v>1.44</v>
      </c>
      <c r="G382" s="405">
        <v>88000</v>
      </c>
      <c r="H382" s="405">
        <f t="shared" ref="H382" si="331">F382*G382</f>
        <v>126720</v>
      </c>
      <c r="I382" s="405">
        <v>70000</v>
      </c>
      <c r="J382" s="405">
        <f t="shared" ref="J382" si="332">F382*I382</f>
        <v>100800</v>
      </c>
      <c r="K382" s="405">
        <f t="shared" ref="K382" si="333">G382+I382</f>
        <v>158000</v>
      </c>
      <c r="L382" s="405">
        <f>F382*K382</f>
        <v>227520</v>
      </c>
      <c r="M382" s="420"/>
    </row>
    <row r="383" spans="1:13" s="421" customFormat="1" ht="18" customHeight="1">
      <c r="A383" s="417" t="s">
        <v>147</v>
      </c>
      <c r="B383" s="402" t="s">
        <v>640</v>
      </c>
      <c r="C383" s="403" t="s">
        <v>494</v>
      </c>
      <c r="D383" s="418" t="s">
        <v>630</v>
      </c>
      <c r="E383" s="418" t="s">
        <v>143</v>
      </c>
      <c r="F383" s="419">
        <f>14*1.44</f>
        <v>20.16</v>
      </c>
      <c r="G383" s="405">
        <v>88000</v>
      </c>
      <c r="H383" s="405">
        <f t="shared" si="330"/>
        <v>1774080</v>
      </c>
      <c r="I383" s="405">
        <v>70000</v>
      </c>
      <c r="J383" s="405">
        <f t="shared" si="325"/>
        <v>1411200</v>
      </c>
      <c r="K383" s="405">
        <f t="shared" si="326"/>
        <v>158000</v>
      </c>
      <c r="L383" s="405">
        <f t="shared" ref="L383" si="334">F383*K383</f>
        <v>3185280</v>
      </c>
      <c r="M383" s="420"/>
    </row>
    <row r="384" spans="1:13" s="421" customFormat="1" ht="18" customHeight="1">
      <c r="A384" s="417" t="s">
        <v>147</v>
      </c>
      <c r="B384" s="402" t="s">
        <v>641</v>
      </c>
      <c r="C384" s="403" t="s">
        <v>495</v>
      </c>
      <c r="D384" s="418" t="s">
        <v>630</v>
      </c>
      <c r="E384" s="418" t="s">
        <v>143</v>
      </c>
      <c r="F384" s="419">
        <f>6*1.44</f>
        <v>8.64</v>
      </c>
      <c r="G384" s="405">
        <v>68000</v>
      </c>
      <c r="H384" s="405">
        <f t="shared" si="324"/>
        <v>587520</v>
      </c>
      <c r="I384" s="405">
        <v>70000</v>
      </c>
      <c r="J384" s="405">
        <f t="shared" si="325"/>
        <v>604800</v>
      </c>
      <c r="K384" s="405">
        <f t="shared" si="326"/>
        <v>138000</v>
      </c>
      <c r="L384" s="405">
        <f t="shared" ref="L384:L390" si="335">F384*K384</f>
        <v>1192320</v>
      </c>
      <c r="M384" s="420"/>
    </row>
    <row r="385" spans="1:13" s="421" customFormat="1" ht="18" customHeight="1">
      <c r="A385" s="417" t="s">
        <v>44</v>
      </c>
      <c r="B385" s="402" t="s">
        <v>642</v>
      </c>
      <c r="C385" s="403" t="s">
        <v>494</v>
      </c>
      <c r="D385" s="418" t="s">
        <v>630</v>
      </c>
      <c r="E385" s="418" t="s">
        <v>41</v>
      </c>
      <c r="F385" s="419">
        <v>1.44</v>
      </c>
      <c r="G385" s="405">
        <v>88000</v>
      </c>
      <c r="H385" s="405">
        <f t="shared" si="324"/>
        <v>126720</v>
      </c>
      <c r="I385" s="405">
        <v>70000</v>
      </c>
      <c r="J385" s="405">
        <f t="shared" si="325"/>
        <v>100800</v>
      </c>
      <c r="K385" s="405">
        <f t="shared" si="326"/>
        <v>158000</v>
      </c>
      <c r="L385" s="405">
        <f>F385*K385</f>
        <v>227520</v>
      </c>
      <c r="M385" s="420"/>
    </row>
    <row r="386" spans="1:13" s="421" customFormat="1" ht="18" customHeight="1">
      <c r="A386" s="417" t="s">
        <v>147</v>
      </c>
      <c r="B386" s="402" t="s">
        <v>643</v>
      </c>
      <c r="C386" s="403" t="s">
        <v>587</v>
      </c>
      <c r="D386" s="418" t="s">
        <v>631</v>
      </c>
      <c r="E386" s="418" t="s">
        <v>143</v>
      </c>
      <c r="F386" s="419">
        <f>7*3.36</f>
        <v>23.52</v>
      </c>
      <c r="G386" s="405">
        <v>135000</v>
      </c>
      <c r="H386" s="405">
        <f t="shared" si="324"/>
        <v>3175200</v>
      </c>
      <c r="I386" s="405">
        <v>70000</v>
      </c>
      <c r="J386" s="405">
        <f t="shared" ref="J386:J389" si="336">F386*I386</f>
        <v>1646400</v>
      </c>
      <c r="K386" s="405">
        <f t="shared" si="326"/>
        <v>205000</v>
      </c>
      <c r="L386" s="405">
        <f t="shared" si="335"/>
        <v>4821600</v>
      </c>
      <c r="M386" s="420"/>
    </row>
    <row r="387" spans="1:13" s="421" customFormat="1" ht="18" customHeight="1">
      <c r="A387" s="417" t="s">
        <v>44</v>
      </c>
      <c r="B387" s="402" t="s">
        <v>643</v>
      </c>
      <c r="C387" s="403" t="s">
        <v>494</v>
      </c>
      <c r="D387" s="418" t="s">
        <v>631</v>
      </c>
      <c r="E387" s="418" t="s">
        <v>41</v>
      </c>
      <c r="F387" s="419">
        <f>5*1.44</f>
        <v>7.1999999999999993</v>
      </c>
      <c r="G387" s="405">
        <v>88000</v>
      </c>
      <c r="H387" s="405">
        <f t="shared" si="324"/>
        <v>633599.99999999988</v>
      </c>
      <c r="I387" s="405">
        <v>70000</v>
      </c>
      <c r="J387" s="405">
        <f t="shared" ref="J387" si="337">F387*I387</f>
        <v>503999.99999999994</v>
      </c>
      <c r="K387" s="405">
        <f t="shared" si="326"/>
        <v>158000</v>
      </c>
      <c r="L387" s="405">
        <f>F387*K387</f>
        <v>1137600</v>
      </c>
      <c r="M387" s="420"/>
    </row>
    <row r="388" spans="1:13" s="421" customFormat="1" ht="18" customHeight="1">
      <c r="A388" s="417" t="s">
        <v>147</v>
      </c>
      <c r="B388" s="402" t="s">
        <v>644</v>
      </c>
      <c r="C388" s="403" t="s">
        <v>493</v>
      </c>
      <c r="D388" s="418" t="s">
        <v>631</v>
      </c>
      <c r="E388" s="418" t="s">
        <v>143</v>
      </c>
      <c r="F388" s="419">
        <f>7*1.44</f>
        <v>10.08</v>
      </c>
      <c r="G388" s="405">
        <v>85000</v>
      </c>
      <c r="H388" s="405">
        <f t="shared" ref="H388:H389" si="338">F388*G388</f>
        <v>856800</v>
      </c>
      <c r="I388" s="405">
        <v>70000</v>
      </c>
      <c r="J388" s="405">
        <f t="shared" si="336"/>
        <v>705600</v>
      </c>
      <c r="K388" s="405">
        <f t="shared" si="326"/>
        <v>155000</v>
      </c>
      <c r="L388" s="405">
        <f t="shared" ref="L388" si="339">F388*K388</f>
        <v>1562400</v>
      </c>
      <c r="M388" s="420"/>
    </row>
    <row r="389" spans="1:13" s="421" customFormat="1" ht="18" customHeight="1">
      <c r="A389" s="417" t="s">
        <v>44</v>
      </c>
      <c r="B389" s="402" t="s">
        <v>645</v>
      </c>
      <c r="C389" s="403" t="s">
        <v>494</v>
      </c>
      <c r="D389" s="418" t="s">
        <v>631</v>
      </c>
      <c r="E389" s="418" t="s">
        <v>41</v>
      </c>
      <c r="F389" s="419">
        <v>1.44</v>
      </c>
      <c r="G389" s="405">
        <v>88000</v>
      </c>
      <c r="H389" s="405">
        <f t="shared" si="338"/>
        <v>126720</v>
      </c>
      <c r="I389" s="405">
        <v>70000</v>
      </c>
      <c r="J389" s="405">
        <f t="shared" si="336"/>
        <v>100800</v>
      </c>
      <c r="K389" s="405">
        <f t="shared" ref="K389" si="340">G389+I389</f>
        <v>158000</v>
      </c>
      <c r="L389" s="405">
        <f>F389*K389</f>
        <v>227520</v>
      </c>
      <c r="M389" s="420"/>
    </row>
    <row r="390" spans="1:13" s="7" customFormat="1" ht="18" customHeight="1">
      <c r="A390" s="292" t="s">
        <v>147</v>
      </c>
      <c r="B390" s="260" t="s">
        <v>113</v>
      </c>
      <c r="C390" s="293" t="s">
        <v>488</v>
      </c>
      <c r="D390" s="201"/>
      <c r="E390" s="262" t="s">
        <v>75</v>
      </c>
      <c r="F390" s="294">
        <v>4</v>
      </c>
      <c r="G390" s="264">
        <v>350000</v>
      </c>
      <c r="H390" s="264">
        <f t="shared" si="324"/>
        <v>1400000</v>
      </c>
      <c r="I390" s="264">
        <v>0</v>
      </c>
      <c r="J390" s="264">
        <f t="shared" si="325"/>
        <v>0</v>
      </c>
      <c r="K390" s="264">
        <f t="shared" si="326"/>
        <v>350000</v>
      </c>
      <c r="L390" s="264">
        <f t="shared" si="335"/>
        <v>1400000</v>
      </c>
      <c r="M390" s="289"/>
    </row>
    <row r="391" spans="1:13" s="7" customFormat="1" ht="18" customHeight="1">
      <c r="A391" s="271"/>
      <c r="B391" s="260"/>
      <c r="C391" s="261"/>
      <c r="D391" s="201"/>
      <c r="E391" s="262"/>
      <c r="F391" s="272"/>
      <c r="G391" s="264"/>
      <c r="H391" s="264"/>
      <c r="I391" s="264"/>
      <c r="J391" s="264"/>
      <c r="K391" s="264"/>
      <c r="L391" s="264"/>
      <c r="M391" s="289"/>
    </row>
    <row r="392" spans="1:13" s="7" customFormat="1" ht="18" customHeight="1">
      <c r="A392" s="271">
        <v>-1</v>
      </c>
      <c r="B392" s="260" t="s">
        <v>484</v>
      </c>
      <c r="C392" s="261"/>
      <c r="D392" s="201"/>
      <c r="E392" s="262"/>
      <c r="F392" s="272"/>
      <c r="G392" s="264"/>
      <c r="H392" s="264"/>
      <c r="I392" s="264"/>
      <c r="J392" s="264"/>
      <c r="K392" s="264"/>
      <c r="L392" s="264"/>
      <c r="M392" s="289"/>
    </row>
    <row r="393" spans="1:13" s="128" customFormat="1" ht="18" customHeight="1">
      <c r="A393" s="443" t="s">
        <v>44</v>
      </c>
      <c r="B393" s="315" t="s">
        <v>485</v>
      </c>
      <c r="C393" s="444" t="s">
        <v>663</v>
      </c>
      <c r="D393" s="317"/>
      <c r="E393" s="317" t="s">
        <v>11</v>
      </c>
      <c r="F393" s="445">
        <v>12</v>
      </c>
      <c r="G393" s="319">
        <v>82500</v>
      </c>
      <c r="H393" s="319">
        <f>F393*G393</f>
        <v>990000</v>
      </c>
      <c r="I393" s="319">
        <v>70000</v>
      </c>
      <c r="J393" s="319">
        <f t="shared" ref="J393" si="341">F393*I393</f>
        <v>840000</v>
      </c>
      <c r="K393" s="319">
        <f>G393+I393</f>
        <v>152500</v>
      </c>
      <c r="L393" s="319">
        <f>F393*K393</f>
        <v>1830000</v>
      </c>
      <c r="M393" s="327"/>
    </row>
    <row r="394" spans="1:13" s="7" customFormat="1" ht="18" customHeight="1">
      <c r="A394" s="271"/>
      <c r="B394" s="260"/>
      <c r="C394" s="261"/>
      <c r="D394" s="201"/>
      <c r="E394" s="262"/>
      <c r="F394" s="272"/>
      <c r="G394" s="264"/>
      <c r="H394" s="264"/>
      <c r="I394" s="264"/>
      <c r="J394" s="264"/>
      <c r="K394" s="264"/>
      <c r="L394" s="264"/>
      <c r="M394" s="289"/>
    </row>
    <row r="395" spans="1:13" s="7" customFormat="1" ht="18" customHeight="1">
      <c r="A395" s="271">
        <v>-1</v>
      </c>
      <c r="B395" s="260" t="s">
        <v>479</v>
      </c>
      <c r="C395" s="261"/>
      <c r="D395" s="201"/>
      <c r="E395" s="262"/>
      <c r="F395" s="272"/>
      <c r="G395" s="264"/>
      <c r="H395" s="264"/>
      <c r="I395" s="264"/>
      <c r="J395" s="264"/>
      <c r="K395" s="264"/>
      <c r="L395" s="264"/>
      <c r="M395" s="289"/>
    </row>
    <row r="396" spans="1:13" s="7" customFormat="1" ht="18" customHeight="1">
      <c r="A396" s="292" t="s">
        <v>12</v>
      </c>
      <c r="B396" s="260" t="s">
        <v>477</v>
      </c>
      <c r="C396" s="261" t="s">
        <v>497</v>
      </c>
      <c r="D396" s="201"/>
      <c r="E396" s="262" t="s">
        <v>11</v>
      </c>
      <c r="F396" s="294">
        <f>6*1.44</f>
        <v>8.64</v>
      </c>
      <c r="G396" s="264">
        <v>25000</v>
      </c>
      <c r="H396" s="264">
        <f t="shared" ref="H396:H403" si="342">F396*G396</f>
        <v>216000</v>
      </c>
      <c r="I396" s="264">
        <v>70000</v>
      </c>
      <c r="J396" s="264">
        <f t="shared" ref="J396:J397" si="343">F396*I396</f>
        <v>604800</v>
      </c>
      <c r="K396" s="264">
        <f t="shared" ref="K396:K403" si="344">G396+I396</f>
        <v>95000</v>
      </c>
      <c r="L396" s="264">
        <f t="shared" ref="L396:L403" si="345">F396*K396</f>
        <v>820800</v>
      </c>
      <c r="M396" s="289"/>
    </row>
    <row r="397" spans="1:13" s="7" customFormat="1" ht="18" customHeight="1">
      <c r="A397" s="292" t="s">
        <v>12</v>
      </c>
      <c r="B397" s="260" t="s">
        <v>478</v>
      </c>
      <c r="C397" s="261" t="s">
        <v>497</v>
      </c>
      <c r="D397" s="201"/>
      <c r="E397" s="262" t="s">
        <v>11</v>
      </c>
      <c r="F397" s="294">
        <f>12*1.44</f>
        <v>17.28</v>
      </c>
      <c r="G397" s="264">
        <v>25000</v>
      </c>
      <c r="H397" s="264">
        <f t="shared" si="342"/>
        <v>432000</v>
      </c>
      <c r="I397" s="264">
        <v>70000</v>
      </c>
      <c r="J397" s="264">
        <f t="shared" si="343"/>
        <v>1209600</v>
      </c>
      <c r="K397" s="264">
        <f t="shared" si="344"/>
        <v>95000</v>
      </c>
      <c r="L397" s="264">
        <f t="shared" si="345"/>
        <v>1641600</v>
      </c>
      <c r="M397" s="289"/>
    </row>
    <row r="398" spans="1:13" s="7" customFormat="1" ht="18" hidden="1" customHeight="1">
      <c r="A398" s="292" t="s">
        <v>12</v>
      </c>
      <c r="B398" s="260"/>
      <c r="C398" s="261" t="s">
        <v>428</v>
      </c>
      <c r="D398" s="201"/>
      <c r="E398" s="262" t="s">
        <v>11</v>
      </c>
      <c r="F398" s="294">
        <v>0</v>
      </c>
      <c r="G398" s="264">
        <v>31000</v>
      </c>
      <c r="H398" s="264">
        <f t="shared" si="342"/>
        <v>0</v>
      </c>
      <c r="I398" s="264">
        <v>70000</v>
      </c>
      <c r="J398" s="264">
        <f t="shared" ref="J398:J399" si="346">F398*I398</f>
        <v>0</v>
      </c>
      <c r="K398" s="264">
        <f t="shared" si="344"/>
        <v>101000</v>
      </c>
      <c r="L398" s="264">
        <f t="shared" si="345"/>
        <v>0</v>
      </c>
      <c r="M398" s="289"/>
    </row>
    <row r="399" spans="1:13" s="7" customFormat="1" ht="18" customHeight="1">
      <c r="A399" s="292" t="s">
        <v>44</v>
      </c>
      <c r="B399" s="260" t="s">
        <v>480</v>
      </c>
      <c r="C399" s="261" t="s">
        <v>497</v>
      </c>
      <c r="D399" s="201"/>
      <c r="E399" s="262" t="s">
        <v>11</v>
      </c>
      <c r="F399" s="294">
        <f>5*1.44</f>
        <v>7.1999999999999993</v>
      </c>
      <c r="G399" s="264">
        <v>25000</v>
      </c>
      <c r="H399" s="264">
        <f t="shared" si="342"/>
        <v>179999.99999999997</v>
      </c>
      <c r="I399" s="264">
        <v>70000</v>
      </c>
      <c r="J399" s="264">
        <f t="shared" si="346"/>
        <v>503999.99999999994</v>
      </c>
      <c r="K399" s="264">
        <f t="shared" si="344"/>
        <v>95000</v>
      </c>
      <c r="L399" s="264">
        <f t="shared" si="345"/>
        <v>683999.99999999988</v>
      </c>
      <c r="M399" s="289"/>
    </row>
    <row r="400" spans="1:13" s="7" customFormat="1" ht="18" customHeight="1">
      <c r="A400" s="292" t="s">
        <v>44</v>
      </c>
      <c r="B400" s="260" t="s">
        <v>481</v>
      </c>
      <c r="C400" s="261" t="s">
        <v>497</v>
      </c>
      <c r="D400" s="201"/>
      <c r="E400" s="262" t="s">
        <v>11</v>
      </c>
      <c r="F400" s="294">
        <f>3*1.44</f>
        <v>4.32</v>
      </c>
      <c r="G400" s="264">
        <v>25000</v>
      </c>
      <c r="H400" s="264">
        <f t="shared" si="342"/>
        <v>108000</v>
      </c>
      <c r="I400" s="264">
        <v>70000</v>
      </c>
      <c r="J400" s="264">
        <f t="shared" ref="J400" si="347">F400*I400</f>
        <v>302400</v>
      </c>
      <c r="K400" s="264">
        <f t="shared" si="344"/>
        <v>95000</v>
      </c>
      <c r="L400" s="264">
        <f t="shared" si="345"/>
        <v>410400</v>
      </c>
      <c r="M400" s="289"/>
    </row>
    <row r="401" spans="1:13" s="7" customFormat="1" ht="18" customHeight="1">
      <c r="A401" s="292" t="s">
        <v>44</v>
      </c>
      <c r="B401" s="260" t="s">
        <v>482</v>
      </c>
      <c r="C401" s="261" t="s">
        <v>497</v>
      </c>
      <c r="D401" s="201"/>
      <c r="E401" s="262" t="s">
        <v>11</v>
      </c>
      <c r="F401" s="294">
        <f>2*1.44</f>
        <v>2.88</v>
      </c>
      <c r="G401" s="264">
        <v>25000</v>
      </c>
      <c r="H401" s="264">
        <f t="shared" si="342"/>
        <v>72000</v>
      </c>
      <c r="I401" s="264">
        <v>70000</v>
      </c>
      <c r="J401" s="264">
        <f t="shared" ref="J401:J403" si="348">F401*I401</f>
        <v>201600</v>
      </c>
      <c r="K401" s="264">
        <f t="shared" si="344"/>
        <v>95000</v>
      </c>
      <c r="L401" s="264">
        <f t="shared" si="345"/>
        <v>273600</v>
      </c>
      <c r="M401" s="289"/>
    </row>
    <row r="402" spans="1:13" s="7" customFormat="1" ht="18" customHeight="1">
      <c r="A402" s="292" t="s">
        <v>44</v>
      </c>
      <c r="B402" s="260" t="s">
        <v>483</v>
      </c>
      <c r="C402" s="261" t="s">
        <v>497</v>
      </c>
      <c r="D402" s="201"/>
      <c r="E402" s="262" t="s">
        <v>11</v>
      </c>
      <c r="F402" s="294">
        <f>5*1.44</f>
        <v>7.1999999999999993</v>
      </c>
      <c r="G402" s="264">
        <v>25000</v>
      </c>
      <c r="H402" s="264">
        <f t="shared" si="342"/>
        <v>179999.99999999997</v>
      </c>
      <c r="I402" s="264">
        <v>70000</v>
      </c>
      <c r="J402" s="264">
        <f t="shared" si="348"/>
        <v>503999.99999999994</v>
      </c>
      <c r="K402" s="264">
        <f t="shared" si="344"/>
        <v>95000</v>
      </c>
      <c r="L402" s="264">
        <f t="shared" si="345"/>
        <v>683999.99999999988</v>
      </c>
      <c r="M402" s="289"/>
    </row>
    <row r="403" spans="1:13" ht="18" customHeight="1">
      <c r="A403" s="336" t="s">
        <v>44</v>
      </c>
      <c r="B403" s="206" t="s">
        <v>113</v>
      </c>
      <c r="C403" s="293" t="s">
        <v>488</v>
      </c>
      <c r="D403" s="201"/>
      <c r="E403" s="201" t="s">
        <v>75</v>
      </c>
      <c r="F403" s="313">
        <v>3</v>
      </c>
      <c r="G403" s="235">
        <v>350000</v>
      </c>
      <c r="H403" s="264">
        <f t="shared" si="342"/>
        <v>1050000</v>
      </c>
      <c r="I403" s="235">
        <v>0</v>
      </c>
      <c r="J403" s="264">
        <f t="shared" si="348"/>
        <v>0</v>
      </c>
      <c r="K403" s="235">
        <f t="shared" si="344"/>
        <v>350000</v>
      </c>
      <c r="L403" s="264">
        <f t="shared" si="345"/>
        <v>1050000</v>
      </c>
      <c r="M403" s="289"/>
    </row>
    <row r="404" spans="1:13" ht="18" customHeight="1">
      <c r="A404" s="336"/>
      <c r="B404" s="206"/>
      <c r="C404" s="293"/>
      <c r="D404" s="201"/>
      <c r="E404" s="201"/>
      <c r="F404" s="313"/>
      <c r="G404" s="235"/>
      <c r="H404" s="264"/>
      <c r="I404" s="235"/>
      <c r="J404" s="264"/>
      <c r="K404" s="235"/>
      <c r="L404" s="264"/>
      <c r="M404" s="289"/>
    </row>
    <row r="405" spans="1:13" s="7" customFormat="1" ht="18" customHeight="1">
      <c r="A405" s="292">
        <v>-1</v>
      </c>
      <c r="B405" s="260" t="s">
        <v>636</v>
      </c>
      <c r="C405" s="261"/>
      <c r="D405" s="201"/>
      <c r="E405" s="262"/>
      <c r="F405" s="294"/>
      <c r="G405" s="264"/>
      <c r="H405" s="264"/>
      <c r="I405" s="264"/>
      <c r="J405" s="264"/>
      <c r="K405" s="264"/>
      <c r="L405" s="264"/>
      <c r="M405" s="289"/>
    </row>
    <row r="406" spans="1:13" s="409" customFormat="1" ht="18" customHeight="1">
      <c r="A406" s="336" t="s">
        <v>44</v>
      </c>
      <c r="B406" s="206" t="s">
        <v>637</v>
      </c>
      <c r="C406" s="337" t="s">
        <v>638</v>
      </c>
      <c r="D406" s="407" t="s">
        <v>545</v>
      </c>
      <c r="E406" s="407" t="s">
        <v>75</v>
      </c>
      <c r="F406" s="408">
        <v>3</v>
      </c>
      <c r="G406" s="235">
        <v>850000</v>
      </c>
      <c r="H406" s="235">
        <f t="shared" ref="H406" si="349">F406*G406</f>
        <v>2550000</v>
      </c>
      <c r="I406" s="235">
        <v>0</v>
      </c>
      <c r="J406" s="235">
        <f t="shared" ref="J406" si="350">F406*I406</f>
        <v>0</v>
      </c>
      <c r="K406" s="235">
        <f t="shared" ref="K406" si="351">G406+I406</f>
        <v>850000</v>
      </c>
      <c r="L406" s="235">
        <f t="shared" ref="L406" si="352">F406*K406</f>
        <v>2550000</v>
      </c>
      <c r="M406" s="412"/>
    </row>
    <row r="407" spans="1:13" s="7" customFormat="1" ht="18" hidden="1" customHeight="1">
      <c r="A407" s="292" t="s">
        <v>12</v>
      </c>
      <c r="B407" s="260" t="s">
        <v>244</v>
      </c>
      <c r="C407" s="261" t="s">
        <v>116</v>
      </c>
      <c r="D407" s="201" t="s">
        <v>245</v>
      </c>
      <c r="E407" s="262" t="s">
        <v>11</v>
      </c>
      <c r="F407" s="294"/>
      <c r="G407" s="264">
        <v>35000</v>
      </c>
      <c r="H407" s="264">
        <f>F407*G407</f>
        <v>0</v>
      </c>
      <c r="I407" s="264">
        <v>70000</v>
      </c>
      <c r="J407" s="264">
        <f t="shared" ref="J407" si="353">F407*I407</f>
        <v>0</v>
      </c>
      <c r="K407" s="264">
        <f>G407+I407</f>
        <v>105000</v>
      </c>
      <c r="L407" s="264">
        <f>F407*K407</f>
        <v>0</v>
      </c>
      <c r="M407" s="289"/>
    </row>
    <row r="408" spans="1:13" ht="18" customHeight="1">
      <c r="A408" s="205"/>
      <c r="B408" s="206"/>
      <c r="C408" s="200"/>
      <c r="D408" s="201"/>
      <c r="E408" s="201"/>
      <c r="F408" s="270"/>
      <c r="G408" s="235"/>
      <c r="H408" s="235"/>
      <c r="I408" s="235"/>
      <c r="J408" s="235"/>
      <c r="K408" s="235"/>
      <c r="L408" s="235"/>
      <c r="M408" s="204"/>
    </row>
    <row r="409" spans="1:13" s="3" customFormat="1" ht="18" customHeight="1">
      <c r="A409" s="207"/>
      <c r="B409" s="207" t="s">
        <v>13</v>
      </c>
      <c r="C409" s="209"/>
      <c r="D409" s="210"/>
      <c r="E409" s="210"/>
      <c r="F409" s="290"/>
      <c r="G409" s="204"/>
      <c r="H409" s="269">
        <f>SUM(H373:H407)</f>
        <v>21287200</v>
      </c>
      <c r="I409" s="269"/>
      <c r="J409" s="269">
        <f>SUM(J373:J407)</f>
        <v>15489600</v>
      </c>
      <c r="K409" s="269"/>
      <c r="L409" s="269">
        <f>SUM(L373:L407)</f>
        <v>36776800</v>
      </c>
      <c r="M409" s="204"/>
    </row>
    <row r="410" spans="1:13" ht="18" customHeight="1">
      <c r="A410" s="205"/>
      <c r="B410" s="206"/>
      <c r="C410" s="200"/>
      <c r="D410" s="201"/>
      <c r="E410" s="201"/>
      <c r="F410" s="270"/>
      <c r="G410" s="235"/>
      <c r="H410" s="235"/>
      <c r="I410" s="235"/>
      <c r="J410" s="235"/>
      <c r="K410" s="235"/>
      <c r="L410" s="235"/>
      <c r="M410" s="204"/>
    </row>
    <row r="411" spans="1:13" s="3" customFormat="1" ht="18" customHeight="1">
      <c r="A411" s="266" t="s">
        <v>34</v>
      </c>
      <c r="B411" s="267" t="s">
        <v>68</v>
      </c>
      <c r="C411" s="291"/>
      <c r="D411" s="210"/>
      <c r="E411" s="210"/>
      <c r="F411" s="290"/>
      <c r="G411" s="269"/>
      <c r="H411" s="269"/>
      <c r="I411" s="269"/>
      <c r="J411" s="269"/>
      <c r="K411" s="269"/>
      <c r="L411" s="269"/>
      <c r="M411" s="204"/>
    </row>
    <row r="412" spans="1:13" ht="18" customHeight="1">
      <c r="A412" s="205">
        <v>-1</v>
      </c>
      <c r="B412" s="206" t="s">
        <v>118</v>
      </c>
      <c r="C412" s="200"/>
      <c r="D412" s="201"/>
      <c r="E412" s="201"/>
      <c r="F412" s="270"/>
      <c r="G412" s="235"/>
      <c r="H412" s="235"/>
      <c r="I412" s="235"/>
      <c r="J412" s="235"/>
      <c r="K412" s="235"/>
      <c r="L412" s="235"/>
      <c r="M412" s="204"/>
    </row>
    <row r="413" spans="1:13" ht="18" customHeight="1">
      <c r="A413" s="205" t="s">
        <v>147</v>
      </c>
      <c r="B413" s="206" t="s">
        <v>470</v>
      </c>
      <c r="C413" s="283" t="s">
        <v>394</v>
      </c>
      <c r="D413" s="201" t="s">
        <v>197</v>
      </c>
      <c r="E413" s="201" t="s">
        <v>41</v>
      </c>
      <c r="F413" s="270">
        <v>114</v>
      </c>
      <c r="G413" s="235">
        <v>13800</v>
      </c>
      <c r="H413" s="235">
        <f>F413*G413</f>
        <v>1573200</v>
      </c>
      <c r="I413" s="235">
        <v>12000</v>
      </c>
      <c r="J413" s="235">
        <f>F413*I413</f>
        <v>1368000</v>
      </c>
      <c r="K413" s="235">
        <f>G413+I413</f>
        <v>25800</v>
      </c>
      <c r="L413" s="235">
        <f>F413*K413</f>
        <v>2941200</v>
      </c>
      <c r="M413" s="289"/>
    </row>
    <row r="414" spans="1:13" ht="18" customHeight="1">
      <c r="A414" s="205" t="s">
        <v>44</v>
      </c>
      <c r="B414" s="206" t="s">
        <v>472</v>
      </c>
      <c r="C414" s="283" t="s">
        <v>394</v>
      </c>
      <c r="D414" s="201" t="s">
        <v>197</v>
      </c>
      <c r="E414" s="201" t="s">
        <v>41</v>
      </c>
      <c r="F414" s="270">
        <v>97</v>
      </c>
      <c r="G414" s="235">
        <v>13800</v>
      </c>
      <c r="H414" s="235">
        <f>F414*G414</f>
        <v>1338600</v>
      </c>
      <c r="I414" s="235">
        <v>12000</v>
      </c>
      <c r="J414" s="235">
        <f>F414*I414</f>
        <v>1164000</v>
      </c>
      <c r="K414" s="235">
        <f>G414+I414</f>
        <v>25800</v>
      </c>
      <c r="L414" s="235">
        <f>F414*K414</f>
        <v>2502600</v>
      </c>
      <c r="M414" s="289"/>
    </row>
    <row r="415" spans="1:13" s="141" customFormat="1" ht="18" customHeight="1">
      <c r="A415" s="205" t="s">
        <v>44</v>
      </c>
      <c r="B415" s="206" t="s">
        <v>471</v>
      </c>
      <c r="C415" s="283" t="s">
        <v>457</v>
      </c>
      <c r="D415" s="284" t="s">
        <v>468</v>
      </c>
      <c r="E415" s="284" t="s">
        <v>41</v>
      </c>
      <c r="F415" s="285">
        <v>76</v>
      </c>
      <c r="G415" s="286">
        <v>8800</v>
      </c>
      <c r="H415" s="235">
        <f>F415*G415</f>
        <v>668800</v>
      </c>
      <c r="I415" s="235">
        <v>12000</v>
      </c>
      <c r="J415" s="235">
        <f>F415*I415</f>
        <v>912000</v>
      </c>
      <c r="K415" s="235">
        <f>G415+I415</f>
        <v>20800</v>
      </c>
      <c r="L415" s="235">
        <f>F415*K415</f>
        <v>1580800</v>
      </c>
      <c r="M415" s="289"/>
    </row>
    <row r="416" spans="1:13" s="141" customFormat="1" ht="18" customHeight="1">
      <c r="A416" s="205" t="s">
        <v>44</v>
      </c>
      <c r="B416" s="206" t="s">
        <v>469</v>
      </c>
      <c r="C416" s="283" t="s">
        <v>457</v>
      </c>
      <c r="D416" s="284" t="s">
        <v>468</v>
      </c>
      <c r="E416" s="284" t="s">
        <v>41</v>
      </c>
      <c r="F416" s="285">
        <f>74*2.4</f>
        <v>177.6</v>
      </c>
      <c r="G416" s="286">
        <v>8800</v>
      </c>
      <c r="H416" s="235">
        <f>F416*G416</f>
        <v>1562880</v>
      </c>
      <c r="I416" s="235">
        <v>12000</v>
      </c>
      <c r="J416" s="235">
        <f>F416*I416</f>
        <v>2131200</v>
      </c>
      <c r="K416" s="235">
        <f>G416+I416</f>
        <v>20800</v>
      </c>
      <c r="L416" s="235">
        <f>F416*K416</f>
        <v>3694080</v>
      </c>
      <c r="M416" s="289"/>
    </row>
    <row r="417" spans="1:13" s="141" customFormat="1" ht="18" customHeight="1">
      <c r="A417" s="205" t="s">
        <v>44</v>
      </c>
      <c r="B417" s="206" t="s">
        <v>474</v>
      </c>
      <c r="C417" s="283" t="s">
        <v>475</v>
      </c>
      <c r="D417" s="284" t="s">
        <v>197</v>
      </c>
      <c r="E417" s="284" t="s">
        <v>131</v>
      </c>
      <c r="F417" s="285">
        <v>5</v>
      </c>
      <c r="G417" s="286">
        <v>0</v>
      </c>
      <c r="H417" s="235">
        <v>0</v>
      </c>
      <c r="I417" s="235">
        <v>300000</v>
      </c>
      <c r="J417" s="235">
        <f>F417*I417</f>
        <v>1500000</v>
      </c>
      <c r="K417" s="235">
        <f>G417+I417</f>
        <v>300000</v>
      </c>
      <c r="L417" s="235">
        <f>F417*K417</f>
        <v>1500000</v>
      </c>
      <c r="M417" s="289"/>
    </row>
    <row r="418" spans="1:13" ht="18" customHeight="1">
      <c r="A418" s="205"/>
      <c r="B418" s="206"/>
      <c r="C418" s="200"/>
      <c r="D418" s="201"/>
      <c r="E418" s="201"/>
      <c r="F418" s="368"/>
      <c r="G418" s="270"/>
      <c r="H418" s="235"/>
      <c r="I418" s="235"/>
      <c r="J418" s="235"/>
      <c r="K418" s="235"/>
      <c r="L418" s="235"/>
      <c r="M418" s="204"/>
    </row>
    <row r="419" spans="1:13" s="3" customFormat="1" ht="18" customHeight="1">
      <c r="A419" s="207"/>
      <c r="B419" s="207" t="s">
        <v>13</v>
      </c>
      <c r="C419" s="209"/>
      <c r="D419" s="210"/>
      <c r="E419" s="210"/>
      <c r="F419" s="290"/>
      <c r="G419" s="269"/>
      <c r="H419" s="269">
        <f>SUM(H412:H418)</f>
        <v>5143480</v>
      </c>
      <c r="I419" s="269"/>
      <c r="J419" s="269">
        <f>SUM(J412:J418)</f>
        <v>7075200</v>
      </c>
      <c r="K419" s="269"/>
      <c r="L419" s="269">
        <f>SUM(L412:L418)</f>
        <v>12218680</v>
      </c>
      <c r="M419" s="204"/>
    </row>
    <row r="420" spans="1:13" ht="18" customHeight="1">
      <c r="A420" s="205"/>
      <c r="B420" s="206"/>
      <c r="C420" s="200"/>
      <c r="D420" s="201"/>
      <c r="E420" s="201"/>
      <c r="F420" s="270"/>
      <c r="G420" s="235"/>
      <c r="H420" s="235"/>
      <c r="I420" s="235"/>
      <c r="J420" s="235"/>
      <c r="K420" s="235"/>
      <c r="L420" s="235"/>
      <c r="M420" s="204"/>
    </row>
    <row r="421" spans="1:13" s="3" customFormat="1" ht="18" customHeight="1">
      <c r="A421" s="266" t="s">
        <v>43</v>
      </c>
      <c r="B421" s="267" t="s">
        <v>69</v>
      </c>
      <c r="C421" s="291"/>
      <c r="D421" s="210"/>
      <c r="E421" s="210"/>
      <c r="F421" s="290"/>
      <c r="G421" s="269"/>
      <c r="H421" s="269"/>
      <c r="I421" s="269"/>
      <c r="J421" s="269"/>
      <c r="K421" s="269"/>
      <c r="L421" s="269"/>
      <c r="M421" s="204"/>
    </row>
    <row r="422" spans="1:13" s="409" customFormat="1" ht="18" customHeight="1">
      <c r="A422" s="205">
        <v>-1</v>
      </c>
      <c r="B422" s="206" t="s">
        <v>120</v>
      </c>
      <c r="C422" s="200" t="s">
        <v>192</v>
      </c>
      <c r="D422" s="407" t="s">
        <v>325</v>
      </c>
      <c r="E422" s="407" t="s">
        <v>173</v>
      </c>
      <c r="F422" s="410">
        <v>0</v>
      </c>
      <c r="G422" s="235">
        <v>250000</v>
      </c>
      <c r="H422" s="235">
        <f>F422*G422</f>
        <v>0</v>
      </c>
      <c r="I422" s="235">
        <v>150000</v>
      </c>
      <c r="J422" s="235">
        <f>F422*I422</f>
        <v>0</v>
      </c>
      <c r="K422" s="235">
        <f>G422+I422</f>
        <v>400000</v>
      </c>
      <c r="L422" s="235">
        <f>F422*K422</f>
        <v>0</v>
      </c>
      <c r="M422" s="411"/>
    </row>
    <row r="423" spans="1:13" s="409" customFormat="1" ht="18" customHeight="1">
      <c r="A423" s="205">
        <v>-1</v>
      </c>
      <c r="B423" s="206" t="s">
        <v>119</v>
      </c>
      <c r="C423" s="200" t="s">
        <v>179</v>
      </c>
      <c r="D423" s="407" t="s">
        <v>226</v>
      </c>
      <c r="E423" s="407" t="s">
        <v>131</v>
      </c>
      <c r="F423" s="410">
        <v>2</v>
      </c>
      <c r="G423" s="235">
        <v>55000</v>
      </c>
      <c r="H423" s="235">
        <f>F423*G423</f>
        <v>110000</v>
      </c>
      <c r="I423" s="235">
        <v>270000</v>
      </c>
      <c r="J423" s="235">
        <f>F423*I423</f>
        <v>540000</v>
      </c>
      <c r="K423" s="235">
        <f>G423+I423</f>
        <v>325000</v>
      </c>
      <c r="L423" s="235">
        <f>F423*K423</f>
        <v>650000</v>
      </c>
      <c r="M423" s="411"/>
    </row>
    <row r="424" spans="1:13" s="409" customFormat="1" ht="18" customHeight="1">
      <c r="A424" s="205">
        <v>-1</v>
      </c>
      <c r="B424" s="206" t="s">
        <v>195</v>
      </c>
      <c r="C424" s="200" t="s">
        <v>196</v>
      </c>
      <c r="D424" s="407" t="s">
        <v>226</v>
      </c>
      <c r="E424" s="407" t="s">
        <v>75</v>
      </c>
      <c r="F424" s="410">
        <v>1</v>
      </c>
      <c r="G424" s="235">
        <v>200000</v>
      </c>
      <c r="H424" s="235">
        <f>F424*G424</f>
        <v>200000</v>
      </c>
      <c r="I424" s="235">
        <v>350000</v>
      </c>
      <c r="J424" s="235">
        <f>F424*I424</f>
        <v>350000</v>
      </c>
      <c r="K424" s="235">
        <f>G424+I424</f>
        <v>550000</v>
      </c>
      <c r="L424" s="235">
        <f>F424*K424</f>
        <v>550000</v>
      </c>
      <c r="M424" s="411"/>
    </row>
    <row r="425" spans="1:13" s="409" customFormat="1" ht="18" customHeight="1">
      <c r="A425" s="205">
        <v>-1</v>
      </c>
      <c r="B425" s="206" t="s">
        <v>649</v>
      </c>
      <c r="C425" s="200" t="s">
        <v>629</v>
      </c>
      <c r="D425" s="407" t="s">
        <v>265</v>
      </c>
      <c r="E425" s="407" t="s">
        <v>75</v>
      </c>
      <c r="F425" s="410">
        <v>1</v>
      </c>
      <c r="G425" s="235">
        <v>200000</v>
      </c>
      <c r="H425" s="235">
        <f>F425*G425</f>
        <v>200000</v>
      </c>
      <c r="I425" s="235">
        <v>350000</v>
      </c>
      <c r="J425" s="235">
        <f>F425*I425</f>
        <v>350000</v>
      </c>
      <c r="K425" s="235">
        <f>G425+I425</f>
        <v>550000</v>
      </c>
      <c r="L425" s="235">
        <f>F425*K425</f>
        <v>550000</v>
      </c>
      <c r="M425" s="411"/>
    </row>
    <row r="426" spans="1:13" s="409" customFormat="1" ht="18" customHeight="1">
      <c r="A426" s="205">
        <v>-1</v>
      </c>
      <c r="B426" s="206" t="s">
        <v>649</v>
      </c>
      <c r="C426" s="200" t="s">
        <v>629</v>
      </c>
      <c r="D426" s="407" t="s">
        <v>650</v>
      </c>
      <c r="E426" s="407" t="s">
        <v>75</v>
      </c>
      <c r="F426" s="410">
        <v>4</v>
      </c>
      <c r="G426" s="235">
        <v>200000</v>
      </c>
      <c r="H426" s="235">
        <f>F426*G426</f>
        <v>800000</v>
      </c>
      <c r="I426" s="235">
        <v>350000</v>
      </c>
      <c r="J426" s="235">
        <f>F426*I426</f>
        <v>1400000</v>
      </c>
      <c r="K426" s="235">
        <f>G426+I426</f>
        <v>550000</v>
      </c>
      <c r="L426" s="235">
        <f>F426*K426</f>
        <v>2200000</v>
      </c>
      <c r="M426" s="411"/>
    </row>
    <row r="427" spans="1:13" ht="18" customHeight="1">
      <c r="A427" s="205"/>
      <c r="B427" s="206"/>
      <c r="C427" s="200"/>
      <c r="D427" s="201"/>
      <c r="E427" s="201"/>
      <c r="F427" s="270"/>
      <c r="G427" s="235"/>
      <c r="H427" s="235"/>
      <c r="I427" s="235"/>
      <c r="J427" s="235"/>
      <c r="K427" s="235"/>
      <c r="L427" s="235"/>
      <c r="M427" s="204"/>
    </row>
    <row r="428" spans="1:13" s="3" customFormat="1" ht="18" customHeight="1">
      <c r="A428" s="207"/>
      <c r="B428" s="207" t="s">
        <v>13</v>
      </c>
      <c r="C428" s="209"/>
      <c r="D428" s="210"/>
      <c r="E428" s="210"/>
      <c r="F428" s="290"/>
      <c r="G428" s="269"/>
      <c r="H428" s="269">
        <f>SUM(H422:H427)</f>
        <v>1310000</v>
      </c>
      <c r="I428" s="269"/>
      <c r="J428" s="269">
        <f>SUM(J422:J427)</f>
        <v>2640000</v>
      </c>
      <c r="K428" s="269"/>
      <c r="L428" s="269">
        <f>SUM(L421:L427)</f>
        <v>3950000</v>
      </c>
      <c r="M428" s="204"/>
    </row>
    <row r="429" spans="1:13" ht="18" customHeight="1">
      <c r="A429" s="205"/>
      <c r="B429" s="206"/>
      <c r="C429" s="200"/>
      <c r="D429" s="201"/>
      <c r="E429" s="201"/>
      <c r="F429" s="270"/>
      <c r="G429" s="235"/>
      <c r="H429" s="235"/>
      <c r="I429" s="235"/>
      <c r="J429" s="235"/>
      <c r="K429" s="235"/>
      <c r="L429" s="235"/>
      <c r="M429" s="204"/>
    </row>
    <row r="430" spans="1:13" s="3" customFormat="1" ht="18" customHeight="1">
      <c r="A430" s="266" t="s">
        <v>46</v>
      </c>
      <c r="B430" s="267" t="s">
        <v>117</v>
      </c>
      <c r="C430" s="291"/>
      <c r="D430" s="210"/>
      <c r="E430" s="210"/>
      <c r="F430" s="290"/>
      <c r="G430" s="269"/>
      <c r="H430" s="269"/>
      <c r="I430" s="269"/>
      <c r="J430" s="269"/>
      <c r="K430" s="269"/>
      <c r="L430" s="269"/>
      <c r="M430" s="204"/>
    </row>
    <row r="431" spans="1:13" s="409" customFormat="1" ht="18" customHeight="1">
      <c r="A431" s="205">
        <v>-1</v>
      </c>
      <c r="B431" s="206" t="s">
        <v>395</v>
      </c>
      <c r="C431" s="200" t="s">
        <v>467</v>
      </c>
      <c r="D431" s="407" t="s">
        <v>226</v>
      </c>
      <c r="E431" s="407" t="s">
        <v>146</v>
      </c>
      <c r="F431" s="410">
        <f>173/3.3*1.12</f>
        <v>58.715151515151526</v>
      </c>
      <c r="G431" s="235">
        <v>410000</v>
      </c>
      <c r="H431" s="235">
        <f>F431*G431</f>
        <v>24073212.121212125</v>
      </c>
      <c r="I431" s="235">
        <v>0</v>
      </c>
      <c r="J431" s="235">
        <f>F431*I431</f>
        <v>0</v>
      </c>
      <c r="K431" s="235">
        <f>G431+I431</f>
        <v>410000</v>
      </c>
      <c r="L431" s="235">
        <f>F431*K431</f>
        <v>24073212.121212125</v>
      </c>
      <c r="M431" s="411" t="s">
        <v>466</v>
      </c>
    </row>
    <row r="432" spans="1:13" ht="18" customHeight="1">
      <c r="A432" s="205"/>
      <c r="B432" s="206"/>
      <c r="C432" s="200"/>
      <c r="D432" s="201"/>
      <c r="E432" s="201"/>
      <c r="F432" s="270" t="s">
        <v>176</v>
      </c>
      <c r="G432" s="269"/>
      <c r="H432" s="264"/>
      <c r="I432" s="235"/>
      <c r="J432" s="264"/>
      <c r="K432" s="235"/>
      <c r="L432" s="235"/>
      <c r="M432" s="204"/>
    </row>
    <row r="433" spans="1:13" s="3" customFormat="1" ht="18" customHeight="1">
      <c r="A433" s="207"/>
      <c r="B433" s="207" t="s">
        <v>13</v>
      </c>
      <c r="C433" s="209"/>
      <c r="D433" s="210"/>
      <c r="E433" s="210"/>
      <c r="F433" s="290"/>
      <c r="G433" s="369"/>
      <c r="H433" s="269">
        <f>SUM(H431:H431)</f>
        <v>24073212.121212125</v>
      </c>
      <c r="I433" s="269"/>
      <c r="J433" s="269">
        <f>SUM(J431:J431)</f>
        <v>0</v>
      </c>
      <c r="K433" s="269"/>
      <c r="L433" s="269">
        <f>SUM(L431:L431)</f>
        <v>24073212.121212125</v>
      </c>
      <c r="M433" s="204"/>
    </row>
    <row r="434" spans="1:13" ht="18" customHeight="1">
      <c r="A434" s="205"/>
      <c r="B434" s="206"/>
      <c r="C434" s="200"/>
      <c r="D434" s="201"/>
      <c r="E434" s="201"/>
      <c r="F434" s="270"/>
      <c r="G434" s="235"/>
      <c r="H434" s="235"/>
      <c r="I434" s="235"/>
      <c r="J434" s="235"/>
      <c r="K434" s="235"/>
      <c r="L434" s="235"/>
      <c r="M434" s="204"/>
    </row>
    <row r="435" spans="1:13" ht="18" customHeight="1">
      <c r="A435" s="266" t="s">
        <v>48</v>
      </c>
      <c r="B435" s="267" t="s">
        <v>121</v>
      </c>
      <c r="C435" s="291"/>
      <c r="D435" s="201"/>
      <c r="E435" s="201"/>
      <c r="F435" s="270"/>
      <c r="G435" s="235"/>
      <c r="H435" s="235"/>
      <c r="I435" s="235"/>
      <c r="J435" s="235"/>
      <c r="K435" s="235"/>
      <c r="L435" s="235"/>
      <c r="M435" s="204"/>
    </row>
    <row r="436" spans="1:13" s="7" customFormat="1" ht="18" customHeight="1">
      <c r="A436" s="292">
        <v>-1</v>
      </c>
      <c r="B436" s="260" t="s">
        <v>122</v>
      </c>
      <c r="C436" s="261" t="s">
        <v>123</v>
      </c>
      <c r="D436" s="201" t="s">
        <v>226</v>
      </c>
      <c r="E436" s="262" t="s">
        <v>75</v>
      </c>
      <c r="F436" s="294">
        <v>1</v>
      </c>
      <c r="G436" s="264"/>
      <c r="H436" s="264">
        <f>F436*G436</f>
        <v>0</v>
      </c>
      <c r="I436" s="264">
        <v>550000</v>
      </c>
      <c r="J436" s="264">
        <f>F436*I436</f>
        <v>550000</v>
      </c>
      <c r="K436" s="264">
        <f>G436+I436</f>
        <v>550000</v>
      </c>
      <c r="L436" s="264">
        <f>F436*K436</f>
        <v>550000</v>
      </c>
      <c r="M436" s="370"/>
    </row>
    <row r="437" spans="1:13" s="7" customFormat="1" ht="18" customHeight="1">
      <c r="A437" s="292"/>
      <c r="B437" s="260"/>
      <c r="C437" s="261"/>
      <c r="D437" s="201"/>
      <c r="E437" s="262"/>
      <c r="F437" s="294"/>
      <c r="G437" s="264"/>
      <c r="H437" s="264"/>
      <c r="I437" s="264"/>
      <c r="J437" s="264"/>
      <c r="K437" s="264"/>
      <c r="L437" s="264"/>
      <c r="M437" s="204"/>
    </row>
    <row r="438" spans="1:13" s="7" customFormat="1" ht="18" customHeight="1">
      <c r="A438" s="271">
        <v>-1</v>
      </c>
      <c r="B438" s="260" t="s">
        <v>148</v>
      </c>
      <c r="C438" s="261"/>
      <c r="D438" s="201"/>
      <c r="E438" s="262"/>
      <c r="F438" s="272"/>
      <c r="G438" s="264"/>
      <c r="H438" s="264"/>
      <c r="I438" s="235"/>
      <c r="J438" s="264"/>
      <c r="K438" s="264"/>
      <c r="L438" s="264"/>
      <c r="M438" s="204"/>
    </row>
    <row r="439" spans="1:13" ht="18" customHeight="1">
      <c r="A439" s="336" t="s">
        <v>12</v>
      </c>
      <c r="B439" s="371" t="s">
        <v>393</v>
      </c>
      <c r="C439" s="200" t="s">
        <v>415</v>
      </c>
      <c r="D439" s="201" t="s">
        <v>344</v>
      </c>
      <c r="E439" s="201" t="s">
        <v>41</v>
      </c>
      <c r="F439" s="313">
        <v>182</v>
      </c>
      <c r="G439" s="235">
        <v>12000</v>
      </c>
      <c r="H439" s="235">
        <f t="shared" ref="H439" si="354">F439*G439</f>
        <v>2184000</v>
      </c>
      <c r="I439" s="235">
        <v>18000</v>
      </c>
      <c r="J439" s="235">
        <f t="shared" ref="J439" si="355">F439*I439</f>
        <v>3276000</v>
      </c>
      <c r="K439" s="235">
        <f t="shared" ref="K439" si="356">G439+I439</f>
        <v>30000</v>
      </c>
      <c r="L439" s="235">
        <f t="shared" ref="L439" si="357">F439*K439</f>
        <v>5460000</v>
      </c>
      <c r="M439" s="370"/>
    </row>
    <row r="440" spans="1:13" ht="18" customHeight="1">
      <c r="A440" s="336" t="s">
        <v>44</v>
      </c>
      <c r="B440" s="206" t="s">
        <v>385</v>
      </c>
      <c r="C440" s="200" t="s">
        <v>343</v>
      </c>
      <c r="D440" s="201" t="s">
        <v>417</v>
      </c>
      <c r="E440" s="201" t="s">
        <v>416</v>
      </c>
      <c r="F440" s="313">
        <v>6</v>
      </c>
      <c r="G440" s="235">
        <v>65000</v>
      </c>
      <c r="H440" s="235">
        <f t="shared" ref="H440" si="358">F440*G440</f>
        <v>390000</v>
      </c>
      <c r="I440" s="235">
        <v>150000</v>
      </c>
      <c r="J440" s="235">
        <f t="shared" ref="J440" si="359">F440*I440</f>
        <v>900000</v>
      </c>
      <c r="K440" s="235">
        <f t="shared" ref="K440" si="360">G440+I440</f>
        <v>215000</v>
      </c>
      <c r="L440" s="235">
        <f t="shared" ref="L440" si="361">F440*K440</f>
        <v>1290000</v>
      </c>
      <c r="M440" s="370"/>
    </row>
    <row r="441" spans="1:13" s="409" customFormat="1" ht="18" customHeight="1">
      <c r="A441" s="336" t="s">
        <v>250</v>
      </c>
      <c r="B441" s="206" t="s">
        <v>277</v>
      </c>
      <c r="C441" s="200" t="s">
        <v>201</v>
      </c>
      <c r="D441" s="407" t="s">
        <v>418</v>
      </c>
      <c r="E441" s="407" t="s">
        <v>41</v>
      </c>
      <c r="F441" s="408">
        <v>19.3</v>
      </c>
      <c r="G441" s="235">
        <v>12000</v>
      </c>
      <c r="H441" s="235">
        <f t="shared" ref="H441" si="362">F441*G441</f>
        <v>231600</v>
      </c>
      <c r="I441" s="235">
        <v>18000</v>
      </c>
      <c r="J441" s="235">
        <f t="shared" ref="J441" si="363">F441*I441</f>
        <v>347400</v>
      </c>
      <c r="K441" s="235">
        <f t="shared" ref="K441" si="364">G441+I441</f>
        <v>30000</v>
      </c>
      <c r="L441" s="235">
        <f t="shared" ref="L441" si="365">F441*K441</f>
        <v>579000</v>
      </c>
      <c r="M441" s="370"/>
    </row>
    <row r="442" spans="1:13" s="409" customFormat="1" ht="18" customHeight="1">
      <c r="A442" s="336" t="s">
        <v>44</v>
      </c>
      <c r="B442" s="206" t="s">
        <v>278</v>
      </c>
      <c r="C442" s="200" t="s">
        <v>272</v>
      </c>
      <c r="D442" s="407" t="s">
        <v>419</v>
      </c>
      <c r="E442" s="407" t="s">
        <v>41</v>
      </c>
      <c r="F442" s="408">
        <v>19.3</v>
      </c>
      <c r="G442" s="235">
        <v>11000</v>
      </c>
      <c r="H442" s="235">
        <f t="shared" ref="H442" si="366">F442*G442</f>
        <v>212300</v>
      </c>
      <c r="I442" s="235">
        <v>8500</v>
      </c>
      <c r="J442" s="235">
        <f t="shared" ref="J442" si="367">F442*I442</f>
        <v>164050</v>
      </c>
      <c r="K442" s="235">
        <f t="shared" ref="K442" si="368">G442+I442</f>
        <v>19500</v>
      </c>
      <c r="L442" s="235">
        <f t="shared" ref="L442" si="369">F442*K442</f>
        <v>376350</v>
      </c>
      <c r="M442" s="370"/>
    </row>
    <row r="443" spans="1:13" ht="18" hidden="1" customHeight="1">
      <c r="A443" s="336" t="s">
        <v>44</v>
      </c>
      <c r="B443" s="206" t="s">
        <v>215</v>
      </c>
      <c r="C443" s="200" t="s">
        <v>124</v>
      </c>
      <c r="D443" s="201" t="s">
        <v>232</v>
      </c>
      <c r="E443" s="201" t="s">
        <v>41</v>
      </c>
      <c r="F443" s="313"/>
      <c r="G443" s="235">
        <v>5000</v>
      </c>
      <c r="H443" s="235">
        <f t="shared" ref="H443" si="370">F443*G443</f>
        <v>0</v>
      </c>
      <c r="I443" s="235">
        <v>8500</v>
      </c>
      <c r="J443" s="235">
        <f t="shared" ref="J443" si="371">F443*I443</f>
        <v>0</v>
      </c>
      <c r="K443" s="235">
        <f t="shared" ref="K443" si="372">G443+I443</f>
        <v>13500</v>
      </c>
      <c r="L443" s="235">
        <f t="shared" ref="L443" si="373">F443*K443</f>
        <v>0</v>
      </c>
      <c r="M443" s="370"/>
    </row>
    <row r="444" spans="1:13" s="7" customFormat="1" ht="18" hidden="1" customHeight="1">
      <c r="A444" s="292" t="s">
        <v>170</v>
      </c>
      <c r="B444" s="260" t="s">
        <v>171</v>
      </c>
      <c r="C444" s="293" t="s">
        <v>233</v>
      </c>
      <c r="D444" s="201" t="s">
        <v>172</v>
      </c>
      <c r="E444" s="262" t="s">
        <v>169</v>
      </c>
      <c r="F444" s="294"/>
      <c r="G444" s="264">
        <v>2200</v>
      </c>
      <c r="H444" s="264">
        <f t="shared" ref="H444" si="374">F444*G444</f>
        <v>0</v>
      </c>
      <c r="I444" s="264">
        <v>5000</v>
      </c>
      <c r="J444" s="264">
        <f t="shared" ref="J444" si="375">F444*I444</f>
        <v>0</v>
      </c>
      <c r="K444" s="264">
        <f t="shared" ref="K444" si="376">G444+I444</f>
        <v>7200</v>
      </c>
      <c r="L444" s="264">
        <f t="shared" ref="L444" si="377">F444*K444</f>
        <v>0</v>
      </c>
      <c r="M444" s="370"/>
    </row>
    <row r="445" spans="1:13" s="142" customFormat="1" ht="18" hidden="1" customHeight="1">
      <c r="A445" s="292" t="s">
        <v>147</v>
      </c>
      <c r="B445" s="306" t="s">
        <v>171</v>
      </c>
      <c r="C445" s="307" t="s">
        <v>234</v>
      </c>
      <c r="D445" s="284" t="s">
        <v>172</v>
      </c>
      <c r="E445" s="308" t="s">
        <v>152</v>
      </c>
      <c r="F445" s="309"/>
      <c r="G445" s="310">
        <v>5500</v>
      </c>
      <c r="H445" s="310">
        <f t="shared" ref="H445:H446" si="378">F445*G445</f>
        <v>0</v>
      </c>
      <c r="I445" s="310">
        <v>5000</v>
      </c>
      <c r="J445" s="310">
        <f t="shared" ref="J445:J446" si="379">F445*I445</f>
        <v>0</v>
      </c>
      <c r="K445" s="310">
        <f t="shared" ref="K445:K446" si="380">G445+I445</f>
        <v>10500</v>
      </c>
      <c r="L445" s="310">
        <f t="shared" ref="L445:L446" si="381">F445*K445</f>
        <v>0</v>
      </c>
      <c r="M445" s="370"/>
    </row>
    <row r="446" spans="1:13" s="142" customFormat="1" ht="18" customHeight="1">
      <c r="A446" s="292" t="s">
        <v>44</v>
      </c>
      <c r="B446" s="306" t="s">
        <v>610</v>
      </c>
      <c r="C446" s="307"/>
      <c r="D446" s="284" t="s">
        <v>232</v>
      </c>
      <c r="E446" s="308" t="s">
        <v>38</v>
      </c>
      <c r="F446" s="309">
        <v>6</v>
      </c>
      <c r="G446" s="310">
        <v>12500</v>
      </c>
      <c r="H446" s="235">
        <f t="shared" si="378"/>
        <v>75000</v>
      </c>
      <c r="I446" s="235">
        <v>5000</v>
      </c>
      <c r="J446" s="235">
        <f t="shared" si="379"/>
        <v>30000</v>
      </c>
      <c r="K446" s="235">
        <f t="shared" si="380"/>
        <v>17500</v>
      </c>
      <c r="L446" s="235">
        <f t="shared" si="381"/>
        <v>105000</v>
      </c>
      <c r="M446" s="370"/>
    </row>
    <row r="447" spans="1:13" s="7" customFormat="1" ht="18" customHeight="1">
      <c r="A447" s="292"/>
      <c r="B447" s="260"/>
      <c r="C447" s="293"/>
      <c r="D447" s="201"/>
      <c r="E447" s="262"/>
      <c r="F447" s="294"/>
      <c r="G447" s="264"/>
      <c r="H447" s="264"/>
      <c r="I447" s="264"/>
      <c r="J447" s="264"/>
      <c r="K447" s="264"/>
      <c r="L447" s="264"/>
      <c r="M447" s="249"/>
    </row>
    <row r="448" spans="1:13" s="7" customFormat="1" ht="18" customHeight="1">
      <c r="A448" s="271">
        <v>-1</v>
      </c>
      <c r="B448" s="260" t="s">
        <v>125</v>
      </c>
      <c r="C448" s="261"/>
      <c r="D448" s="201"/>
      <c r="E448" s="262"/>
      <c r="F448" s="272"/>
      <c r="G448" s="264"/>
      <c r="H448" s="264"/>
      <c r="I448" s="264"/>
      <c r="J448" s="264"/>
      <c r="K448" s="264"/>
      <c r="L448" s="264"/>
      <c r="M448" s="249"/>
    </row>
    <row r="449" spans="1:16" s="7" customFormat="1" ht="18" hidden="1" customHeight="1">
      <c r="A449" s="271" t="s">
        <v>330</v>
      </c>
      <c r="B449" s="260" t="s">
        <v>346</v>
      </c>
      <c r="C449" s="261" t="s">
        <v>347</v>
      </c>
      <c r="D449" s="201" t="s">
        <v>336</v>
      </c>
      <c r="E449" s="262" t="s">
        <v>321</v>
      </c>
      <c r="F449" s="272"/>
      <c r="G449" s="264">
        <v>650000</v>
      </c>
      <c r="H449" s="264">
        <f t="shared" ref="H449:H456" si="382">F449*G449</f>
        <v>0</v>
      </c>
      <c r="I449" s="264">
        <v>700000</v>
      </c>
      <c r="J449" s="264">
        <f t="shared" ref="J449" si="383">F449*I449</f>
        <v>0</v>
      </c>
      <c r="K449" s="264">
        <f t="shared" ref="K449" si="384">G449+I449</f>
        <v>1350000</v>
      </c>
      <c r="L449" s="264">
        <f t="shared" ref="L449" si="385">F449*K449</f>
        <v>0</v>
      </c>
      <c r="M449" s="249"/>
    </row>
    <row r="450" spans="1:16" s="7" customFormat="1" ht="18" customHeight="1">
      <c r="A450" s="292" t="s">
        <v>12</v>
      </c>
      <c r="B450" s="260" t="s">
        <v>126</v>
      </c>
      <c r="C450" s="261" t="s">
        <v>202</v>
      </c>
      <c r="D450" s="201" t="s">
        <v>508</v>
      </c>
      <c r="E450" s="262" t="s">
        <v>41</v>
      </c>
      <c r="F450" s="294">
        <f>65*2.4+40+10.5</f>
        <v>206.5</v>
      </c>
      <c r="G450" s="264">
        <v>12000</v>
      </c>
      <c r="H450" s="264">
        <f t="shared" si="382"/>
        <v>2478000</v>
      </c>
      <c r="I450" s="264">
        <v>28000</v>
      </c>
      <c r="J450" s="264">
        <f t="shared" ref="J450:J456" si="386">F450*I450</f>
        <v>5782000</v>
      </c>
      <c r="K450" s="264">
        <f t="shared" ref="K450:K456" si="387">G450+I450</f>
        <v>40000</v>
      </c>
      <c r="L450" s="264">
        <f t="shared" ref="L450:L456" si="388">F450*K450</f>
        <v>8260000</v>
      </c>
      <c r="M450" s="370"/>
    </row>
    <row r="451" spans="1:16" ht="18" customHeight="1">
      <c r="A451" s="336" t="s">
        <v>44</v>
      </c>
      <c r="B451" s="206" t="s">
        <v>423</v>
      </c>
      <c r="C451" s="200" t="s">
        <v>150</v>
      </c>
      <c r="D451" s="201" t="s">
        <v>508</v>
      </c>
      <c r="E451" s="201" t="s">
        <v>41</v>
      </c>
      <c r="F451" s="294">
        <f>65*2.4+40+10.5</f>
        <v>206.5</v>
      </c>
      <c r="G451" s="235">
        <v>12000</v>
      </c>
      <c r="H451" s="235">
        <f t="shared" si="382"/>
        <v>2478000</v>
      </c>
      <c r="I451" s="235">
        <v>8500</v>
      </c>
      <c r="J451" s="235">
        <f t="shared" si="386"/>
        <v>1755250</v>
      </c>
      <c r="K451" s="235">
        <f t="shared" si="387"/>
        <v>20500</v>
      </c>
      <c r="L451" s="235">
        <f t="shared" si="388"/>
        <v>4233250</v>
      </c>
      <c r="M451" s="370"/>
    </row>
    <row r="452" spans="1:16" s="7" customFormat="1" ht="18" hidden="1" customHeight="1">
      <c r="A452" s="292" t="s">
        <v>44</v>
      </c>
      <c r="B452" s="260" t="s">
        <v>181</v>
      </c>
      <c r="C452" s="293" t="s">
        <v>182</v>
      </c>
      <c r="D452" s="201" t="s">
        <v>273</v>
      </c>
      <c r="E452" s="262" t="s">
        <v>41</v>
      </c>
      <c r="F452" s="294"/>
      <c r="G452" s="264">
        <v>5500</v>
      </c>
      <c r="H452" s="264" t="s">
        <v>280</v>
      </c>
      <c r="I452" s="264">
        <v>15000</v>
      </c>
      <c r="J452" s="264">
        <f>F452*I452</f>
        <v>0</v>
      </c>
      <c r="K452" s="264">
        <f>G452+I452</f>
        <v>20500</v>
      </c>
      <c r="L452" s="264">
        <f t="shared" si="388"/>
        <v>0</v>
      </c>
      <c r="M452" s="370"/>
    </row>
    <row r="453" spans="1:16" s="7" customFormat="1" ht="18" hidden="1" customHeight="1">
      <c r="A453" s="292" t="s">
        <v>44</v>
      </c>
      <c r="B453" s="260" t="s">
        <v>420</v>
      </c>
      <c r="C453" s="293" t="s">
        <v>421</v>
      </c>
      <c r="D453" s="201" t="s">
        <v>422</v>
      </c>
      <c r="E453" s="262" t="s">
        <v>41</v>
      </c>
      <c r="F453" s="294"/>
      <c r="G453" s="264">
        <v>5500</v>
      </c>
      <c r="H453" s="264">
        <f t="shared" si="382"/>
        <v>0</v>
      </c>
      <c r="I453" s="264">
        <v>9000</v>
      </c>
      <c r="J453" s="264">
        <f t="shared" si="386"/>
        <v>0</v>
      </c>
      <c r="K453" s="264">
        <f t="shared" si="387"/>
        <v>14500</v>
      </c>
      <c r="L453" s="264">
        <f t="shared" si="388"/>
        <v>0</v>
      </c>
      <c r="M453" s="370"/>
      <c r="P453" s="7">
        <v>140</v>
      </c>
    </row>
    <row r="454" spans="1:16" s="128" customFormat="1" ht="18" customHeight="1">
      <c r="A454" s="314" t="s">
        <v>44</v>
      </c>
      <c r="B454" s="315" t="s">
        <v>420</v>
      </c>
      <c r="C454" s="316" t="s">
        <v>421</v>
      </c>
      <c r="D454" s="317" t="s">
        <v>127</v>
      </c>
      <c r="E454" s="317" t="s">
        <v>41</v>
      </c>
      <c r="F454" s="318">
        <v>0</v>
      </c>
      <c r="G454" s="319">
        <v>5500</v>
      </c>
      <c r="H454" s="319">
        <f t="shared" si="382"/>
        <v>0</v>
      </c>
      <c r="I454" s="319">
        <v>9000</v>
      </c>
      <c r="J454" s="319">
        <f t="shared" ref="J454" si="389">F454*I454</f>
        <v>0</v>
      </c>
      <c r="K454" s="319">
        <f t="shared" ref="K454" si="390">G454+I454</f>
        <v>14500</v>
      </c>
      <c r="L454" s="319">
        <f t="shared" ref="L454" si="391">F454*K454</f>
        <v>0</v>
      </c>
      <c r="M454" s="406"/>
    </row>
    <row r="455" spans="1:16" s="128" customFormat="1" ht="18" customHeight="1">
      <c r="A455" s="314" t="s">
        <v>44</v>
      </c>
      <c r="B455" s="315" t="s">
        <v>507</v>
      </c>
      <c r="C455" s="316" t="s">
        <v>506</v>
      </c>
      <c r="D455" s="317" t="s">
        <v>197</v>
      </c>
      <c r="E455" s="317" t="s">
        <v>39</v>
      </c>
      <c r="F455" s="318">
        <v>0</v>
      </c>
      <c r="G455" s="319">
        <v>5500</v>
      </c>
      <c r="H455" s="319">
        <f t="shared" ref="H455" si="392">F455*G455</f>
        <v>0</v>
      </c>
      <c r="I455" s="319">
        <v>10000</v>
      </c>
      <c r="J455" s="319">
        <f t="shared" ref="J455" si="393">F455*I455</f>
        <v>0</v>
      </c>
      <c r="K455" s="319">
        <f t="shared" ref="K455" si="394">G455+I455</f>
        <v>15500</v>
      </c>
      <c r="L455" s="319">
        <f t="shared" ref="L455" si="395">F455*K455</f>
        <v>0</v>
      </c>
      <c r="M455" s="406"/>
      <c r="P455" s="128">
        <v>140</v>
      </c>
    </row>
    <row r="456" spans="1:16" s="128" customFormat="1" ht="18" customHeight="1">
      <c r="A456" s="292" t="s">
        <v>44</v>
      </c>
      <c r="B456" s="372" t="s">
        <v>153</v>
      </c>
      <c r="C456" s="293" t="s">
        <v>186</v>
      </c>
      <c r="D456" s="201" t="s">
        <v>424</v>
      </c>
      <c r="E456" s="262" t="s">
        <v>39</v>
      </c>
      <c r="F456" s="294">
        <v>74</v>
      </c>
      <c r="G456" s="264">
        <v>1000</v>
      </c>
      <c r="H456" s="264">
        <f t="shared" si="382"/>
        <v>74000</v>
      </c>
      <c r="I456" s="264">
        <v>5000</v>
      </c>
      <c r="J456" s="264">
        <f t="shared" si="386"/>
        <v>370000</v>
      </c>
      <c r="K456" s="264">
        <f t="shared" si="387"/>
        <v>6000</v>
      </c>
      <c r="L456" s="264">
        <f t="shared" si="388"/>
        <v>444000</v>
      </c>
      <c r="M456" s="370"/>
      <c r="O456" s="128" t="s">
        <v>411</v>
      </c>
    </row>
    <row r="457" spans="1:16" s="7" customFormat="1" ht="18" customHeight="1">
      <c r="A457" s="292"/>
      <c r="B457" s="260"/>
      <c r="C457" s="293"/>
      <c r="D457" s="201"/>
      <c r="E457" s="262"/>
      <c r="F457" s="294"/>
      <c r="G457" s="264"/>
      <c r="H457" s="264"/>
      <c r="I457" s="264"/>
      <c r="J457" s="264"/>
      <c r="K457" s="264"/>
      <c r="L457" s="264"/>
      <c r="M457" s="249"/>
    </row>
    <row r="458" spans="1:16" s="7" customFormat="1" ht="18" customHeight="1">
      <c r="A458" s="271">
        <v>-1</v>
      </c>
      <c r="B458" s="260" t="s">
        <v>509</v>
      </c>
      <c r="C458" s="261"/>
      <c r="D458" s="201"/>
      <c r="E458" s="262" t="s">
        <v>176</v>
      </c>
      <c r="F458" s="272"/>
      <c r="G458" s="264"/>
      <c r="H458" s="264"/>
      <c r="I458" s="264"/>
      <c r="J458" s="264"/>
      <c r="K458" s="264"/>
      <c r="L458" s="264"/>
      <c r="M458" s="249"/>
    </row>
    <row r="459" spans="1:16" s="7" customFormat="1" ht="18" customHeight="1">
      <c r="A459" s="292" t="s">
        <v>12</v>
      </c>
      <c r="B459" s="260" t="s">
        <v>392</v>
      </c>
      <c r="C459" s="293" t="s">
        <v>425</v>
      </c>
      <c r="D459" s="201" t="s">
        <v>127</v>
      </c>
      <c r="E459" s="262" t="s">
        <v>75</v>
      </c>
      <c r="F459" s="294">
        <v>6</v>
      </c>
      <c r="G459" s="264">
        <v>400000</v>
      </c>
      <c r="H459" s="264">
        <f t="shared" ref="H459" si="396">F459*G459</f>
        <v>2400000</v>
      </c>
      <c r="I459" s="264">
        <v>250000</v>
      </c>
      <c r="J459" s="264">
        <f t="shared" ref="J459" si="397">F459*I459</f>
        <v>1500000</v>
      </c>
      <c r="K459" s="264">
        <f t="shared" ref="K459" si="398">G459+I459</f>
        <v>650000</v>
      </c>
      <c r="L459" s="264">
        <f t="shared" ref="L459" si="399">F459*K459</f>
        <v>3900000</v>
      </c>
      <c r="M459" s="370"/>
    </row>
    <row r="460" spans="1:16" s="7" customFormat="1" ht="18" customHeight="1">
      <c r="A460" s="292" t="s">
        <v>12</v>
      </c>
      <c r="B460" s="260" t="s">
        <v>392</v>
      </c>
      <c r="C460" s="293" t="s">
        <v>503</v>
      </c>
      <c r="D460" s="201" t="s">
        <v>630</v>
      </c>
      <c r="E460" s="262" t="s">
        <v>75</v>
      </c>
      <c r="F460" s="294">
        <v>1</v>
      </c>
      <c r="G460" s="264">
        <v>250000</v>
      </c>
      <c r="H460" s="264">
        <f t="shared" ref="H460:H461" si="400">F460*G460</f>
        <v>250000</v>
      </c>
      <c r="I460" s="264">
        <v>250000</v>
      </c>
      <c r="J460" s="264">
        <f t="shared" ref="J460:J461" si="401">F460*I460</f>
        <v>250000</v>
      </c>
      <c r="K460" s="264">
        <f t="shared" ref="K460:K461" si="402">G460+I460</f>
        <v>500000</v>
      </c>
      <c r="L460" s="264">
        <f t="shared" ref="L460:L461" si="403">F460*K460</f>
        <v>500000</v>
      </c>
      <c r="M460" s="370"/>
    </row>
    <row r="461" spans="1:16" s="7" customFormat="1" ht="18" customHeight="1">
      <c r="A461" s="292" t="s">
        <v>12</v>
      </c>
      <c r="B461" s="260" t="s">
        <v>392</v>
      </c>
      <c r="C461" s="293" t="s">
        <v>504</v>
      </c>
      <c r="D461" s="201" t="s">
        <v>651</v>
      </c>
      <c r="E461" s="262" t="s">
        <v>75</v>
      </c>
      <c r="F461" s="294">
        <v>1</v>
      </c>
      <c r="G461" s="264">
        <v>550000</v>
      </c>
      <c r="H461" s="264">
        <f t="shared" si="400"/>
        <v>550000</v>
      </c>
      <c r="I461" s="264">
        <v>250000</v>
      </c>
      <c r="J461" s="264">
        <f t="shared" si="401"/>
        <v>250000</v>
      </c>
      <c r="K461" s="264">
        <f t="shared" si="402"/>
        <v>800000</v>
      </c>
      <c r="L461" s="264">
        <f t="shared" si="403"/>
        <v>800000</v>
      </c>
      <c r="M461" s="370"/>
    </row>
    <row r="462" spans="1:16" s="409" customFormat="1" ht="18" customHeight="1">
      <c r="A462" s="336" t="s">
        <v>44</v>
      </c>
      <c r="B462" s="206" t="s">
        <v>565</v>
      </c>
      <c r="C462" s="337" t="s">
        <v>568</v>
      </c>
      <c r="D462" s="407" t="s">
        <v>127</v>
      </c>
      <c r="E462" s="407" t="s">
        <v>42</v>
      </c>
      <c r="F462" s="408">
        <v>6</v>
      </c>
      <c r="G462" s="235">
        <f>381600</f>
        <v>381600</v>
      </c>
      <c r="H462" s="235">
        <f t="shared" ref="H462:H464" si="404">F462*G462</f>
        <v>2289600</v>
      </c>
      <c r="I462" s="235">
        <v>250000</v>
      </c>
      <c r="J462" s="235">
        <f t="shared" ref="J462:J464" si="405">F462*I462</f>
        <v>1500000</v>
      </c>
      <c r="K462" s="235">
        <f t="shared" ref="K462:K464" si="406">G462+I462</f>
        <v>631600</v>
      </c>
      <c r="L462" s="235">
        <f t="shared" ref="L462:L464" si="407">F462*K462</f>
        <v>3789600</v>
      </c>
      <c r="M462" s="370"/>
    </row>
    <row r="463" spans="1:16" s="409" customFormat="1" ht="18" customHeight="1">
      <c r="A463" s="336" t="s">
        <v>44</v>
      </c>
      <c r="B463" s="206" t="s">
        <v>566</v>
      </c>
      <c r="C463" s="337" t="s">
        <v>569</v>
      </c>
      <c r="D463" s="407" t="s">
        <v>127</v>
      </c>
      <c r="E463" s="407" t="s">
        <v>42</v>
      </c>
      <c r="F463" s="408">
        <v>6</v>
      </c>
      <c r="G463" s="235">
        <v>116000</v>
      </c>
      <c r="H463" s="235">
        <f t="shared" si="404"/>
        <v>696000</v>
      </c>
      <c r="I463" s="235">
        <v>250000</v>
      </c>
      <c r="J463" s="235">
        <f t="shared" si="405"/>
        <v>1500000</v>
      </c>
      <c r="K463" s="235">
        <f t="shared" si="406"/>
        <v>366000</v>
      </c>
      <c r="L463" s="235">
        <f t="shared" si="407"/>
        <v>2196000</v>
      </c>
      <c r="M463" s="370"/>
    </row>
    <row r="464" spans="1:16" s="409" customFormat="1" ht="18" customHeight="1">
      <c r="A464" s="336" t="s">
        <v>44</v>
      </c>
      <c r="B464" s="206" t="s">
        <v>567</v>
      </c>
      <c r="C464" s="337" t="s">
        <v>570</v>
      </c>
      <c r="D464" s="407" t="s">
        <v>127</v>
      </c>
      <c r="E464" s="407" t="s">
        <v>42</v>
      </c>
      <c r="F464" s="408">
        <v>6</v>
      </c>
      <c r="G464" s="235">
        <v>165000</v>
      </c>
      <c r="H464" s="235">
        <f t="shared" si="404"/>
        <v>990000</v>
      </c>
      <c r="I464" s="235">
        <v>250000</v>
      </c>
      <c r="J464" s="235">
        <f t="shared" si="405"/>
        <v>1500000</v>
      </c>
      <c r="K464" s="235">
        <f t="shared" si="406"/>
        <v>415000</v>
      </c>
      <c r="L464" s="235">
        <f t="shared" si="407"/>
        <v>2490000</v>
      </c>
      <c r="M464" s="370"/>
    </row>
    <row r="465" spans="1:13" s="142" customFormat="1" ht="18" customHeight="1">
      <c r="A465" s="292" t="s">
        <v>44</v>
      </c>
      <c r="B465" s="306" t="s">
        <v>180</v>
      </c>
      <c r="C465" s="307" t="s">
        <v>502</v>
      </c>
      <c r="D465" s="284" t="s">
        <v>427</v>
      </c>
      <c r="E465" s="308" t="s">
        <v>426</v>
      </c>
      <c r="F465" s="309">
        <v>95</v>
      </c>
      <c r="G465" s="310">
        <v>28000</v>
      </c>
      <c r="H465" s="310">
        <f t="shared" ref="H465" si="408">F465*G465</f>
        <v>2660000</v>
      </c>
      <c r="I465" s="310">
        <v>12000</v>
      </c>
      <c r="J465" s="310">
        <f t="shared" ref="J465" si="409">F465*I465</f>
        <v>1140000</v>
      </c>
      <c r="K465" s="310">
        <f t="shared" ref="K465" si="410">G465+I465</f>
        <v>40000</v>
      </c>
      <c r="L465" s="310">
        <f>F465*K465</f>
        <v>3800000</v>
      </c>
      <c r="M465" s="373"/>
    </row>
    <row r="466" spans="1:13" ht="18" customHeight="1">
      <c r="A466" s="336" t="s">
        <v>44</v>
      </c>
      <c r="B466" s="206" t="s">
        <v>499</v>
      </c>
      <c r="C466" s="337" t="s">
        <v>384</v>
      </c>
      <c r="D466" s="397" t="s">
        <v>492</v>
      </c>
      <c r="E466" s="201" t="s">
        <v>75</v>
      </c>
      <c r="F466" s="313">
        <v>2</v>
      </c>
      <c r="G466" s="235">
        <v>2300000</v>
      </c>
      <c r="H466" s="235">
        <f>F466*G466</f>
        <v>4600000</v>
      </c>
      <c r="I466" s="235">
        <v>100000</v>
      </c>
      <c r="J466" s="235">
        <f>F466*I466</f>
        <v>200000</v>
      </c>
      <c r="K466" s="235">
        <f>G466+I466</f>
        <v>2400000</v>
      </c>
      <c r="L466" s="235">
        <f t="shared" ref="L466:L467" si="411">F466*K466</f>
        <v>4800000</v>
      </c>
      <c r="M466" s="235"/>
    </row>
    <row r="467" spans="1:13" ht="18" customHeight="1">
      <c r="A467" s="336" t="s">
        <v>44</v>
      </c>
      <c r="B467" s="206" t="s">
        <v>500</v>
      </c>
      <c r="C467" s="337" t="s">
        <v>384</v>
      </c>
      <c r="D467" s="397" t="s">
        <v>618</v>
      </c>
      <c r="E467" s="201" t="s">
        <v>75</v>
      </c>
      <c r="F467" s="313">
        <v>1</v>
      </c>
      <c r="G467" s="235">
        <v>850000</v>
      </c>
      <c r="H467" s="235">
        <f>F467*G467</f>
        <v>850000</v>
      </c>
      <c r="I467" s="235">
        <v>200000</v>
      </c>
      <c r="J467" s="235">
        <f>F467*I467</f>
        <v>200000</v>
      </c>
      <c r="K467" s="235">
        <f>G467+I467</f>
        <v>1050000</v>
      </c>
      <c r="L467" s="235">
        <f t="shared" si="411"/>
        <v>1050000</v>
      </c>
      <c r="M467" s="235"/>
    </row>
    <row r="468" spans="1:13" ht="18" customHeight="1">
      <c r="A468" s="336" t="s">
        <v>243</v>
      </c>
      <c r="B468" s="206" t="s">
        <v>501</v>
      </c>
      <c r="C468" s="337" t="s">
        <v>384</v>
      </c>
      <c r="D468" s="397" t="s">
        <v>159</v>
      </c>
      <c r="E468" s="201" t="s">
        <v>75</v>
      </c>
      <c r="F468" s="313">
        <v>1</v>
      </c>
      <c r="G468" s="235">
        <v>1820000</v>
      </c>
      <c r="H468" s="235">
        <f>F468*G468</f>
        <v>1820000</v>
      </c>
      <c r="I468" s="235">
        <v>200000</v>
      </c>
      <c r="J468" s="235">
        <f>F468*I468</f>
        <v>200000</v>
      </c>
      <c r="K468" s="235">
        <f>G468+I468</f>
        <v>2020000</v>
      </c>
      <c r="L468" s="235">
        <f t="shared" ref="L468" si="412">F468*K468</f>
        <v>2020000</v>
      </c>
      <c r="M468" s="235"/>
    </row>
    <row r="469" spans="1:13" ht="18" customHeight="1">
      <c r="A469" s="336"/>
      <c r="B469" s="206"/>
      <c r="C469" s="337"/>
      <c r="D469" s="397"/>
      <c r="E469" s="201"/>
      <c r="F469" s="313"/>
      <c r="G469" s="235"/>
      <c r="H469" s="235"/>
      <c r="I469" s="235"/>
      <c r="J469" s="235"/>
      <c r="K469" s="235"/>
      <c r="L469" s="235"/>
      <c r="M469" s="280"/>
    </row>
    <row r="470" spans="1:13" ht="18" customHeight="1">
      <c r="A470" s="205"/>
      <c r="B470" s="207" t="s">
        <v>13</v>
      </c>
      <c r="C470" s="200"/>
      <c r="D470" s="201"/>
      <c r="E470" s="201"/>
      <c r="F470" s="270"/>
      <c r="G470" s="269"/>
      <c r="H470" s="269">
        <f>SUM(H436:H468)</f>
        <v>25228500</v>
      </c>
      <c r="I470" s="269"/>
      <c r="J470" s="269">
        <f>SUM(J436:J468)</f>
        <v>21414700</v>
      </c>
      <c r="K470" s="269"/>
      <c r="L470" s="269">
        <f>SUM(L436:L468)</f>
        <v>46643200</v>
      </c>
      <c r="M470" s="204"/>
    </row>
    <row r="471" spans="1:13" ht="18" customHeight="1">
      <c r="A471" s="205"/>
      <c r="B471" s="206"/>
      <c r="C471" s="200"/>
      <c r="D471" s="201"/>
      <c r="E471" s="201"/>
      <c r="F471" s="270"/>
      <c r="G471" s="235"/>
      <c r="H471" s="235"/>
      <c r="I471" s="235"/>
      <c r="J471" s="235"/>
      <c r="K471" s="235"/>
      <c r="L471" s="235"/>
      <c r="M471" s="204"/>
    </row>
    <row r="472" spans="1:13" ht="18" customHeight="1">
      <c r="A472" s="205"/>
      <c r="B472" s="206"/>
      <c r="C472" s="200"/>
      <c r="D472" s="201"/>
      <c r="E472" s="201"/>
      <c r="F472" s="270"/>
      <c r="G472" s="235"/>
      <c r="H472" s="235"/>
      <c r="I472" s="235"/>
      <c r="J472" s="256"/>
      <c r="K472" s="235"/>
      <c r="L472" s="235"/>
      <c r="M472" s="204"/>
    </row>
    <row r="473" spans="1:13" ht="18" customHeight="1">
      <c r="A473" s="220"/>
      <c r="B473" s="221" t="s">
        <v>71</v>
      </c>
      <c r="C473" s="222"/>
      <c r="D473" s="222"/>
      <c r="E473" s="223"/>
      <c r="F473" s="224"/>
      <c r="G473" s="225"/>
      <c r="H473" s="226">
        <f>H470+H433+H428+H419+H409+H369+H314+H190+H81+H68</f>
        <v>162461092.12121212</v>
      </c>
      <c r="I473" s="226"/>
      <c r="J473" s="226">
        <f>J470+J433+J428+J419+J409+J369+J314+J190+J81+J68</f>
        <v>73745000</v>
      </c>
      <c r="K473" s="226"/>
      <c r="L473" s="226">
        <f>L470+L433+L428+L419+L409+L369+L314+L190+L81+L68</f>
        <v>236206092.12121212</v>
      </c>
      <c r="M473" s="227"/>
    </row>
  </sheetData>
  <autoFilter ref="A4:M473" xr:uid="{00000000-0009-0000-0000-000002000000}"/>
  <mergeCells count="12">
    <mergeCell ref="B189:L189"/>
    <mergeCell ref="M2:M3"/>
    <mergeCell ref="A1:M1"/>
    <mergeCell ref="A2:A3"/>
    <mergeCell ref="B2:B3"/>
    <mergeCell ref="C2:C3"/>
    <mergeCell ref="D2:D3"/>
    <mergeCell ref="E2:E3"/>
    <mergeCell ref="F2:F3"/>
    <mergeCell ref="G2:H2"/>
    <mergeCell ref="I2:J2"/>
    <mergeCell ref="K2:L2"/>
  </mergeCells>
  <phoneticPr fontId="21" type="noConversion"/>
  <pageMargins left="0.7" right="0.7" top="0.75" bottom="0.75" header="0.3" footer="0.3"/>
  <pageSetup paperSize="9" scale="63" fitToHeight="0" orientation="landscape" r:id="rId1"/>
  <rowBreaks count="11" manualBreakCount="11">
    <brk id="40" max="12" man="1"/>
    <brk id="82" max="12" man="1"/>
    <brk id="132" max="12" man="1"/>
    <brk id="191" max="12" man="1"/>
    <brk id="228" max="12" man="1"/>
    <brk id="267" max="12" man="1"/>
    <brk id="315" max="12" man="1"/>
    <brk id="352" max="12" man="1"/>
    <brk id="370" max="12" man="1"/>
    <brk id="410" max="12" man="1"/>
    <brk id="434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</vt:i4>
      </vt:variant>
    </vt:vector>
  </HeadingPairs>
  <TitlesOfParts>
    <vt:vector size="7" baseType="lpstr">
      <vt:lpstr>갑지</vt:lpstr>
      <vt:lpstr> 갑지-1</vt:lpstr>
      <vt:lpstr>상세</vt:lpstr>
      <vt:lpstr>' 갑지-1'!Print_Area</vt:lpstr>
      <vt:lpstr>상세!Print_Area</vt:lpstr>
      <vt:lpstr>' 갑지-1'!Print_Titles</vt:lpstr>
      <vt:lpstr>상세!Print_Titles</vt:lpstr>
    </vt:vector>
  </TitlesOfParts>
  <Company>RIDGE P&amp;C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</dc:creator>
  <cp:lastModifiedBy>PC</cp:lastModifiedBy>
  <cp:lastPrinted>2025-12-04T04:28:30Z</cp:lastPrinted>
  <dcterms:created xsi:type="dcterms:W3CDTF">1997-06-17T05:19:13Z</dcterms:created>
  <dcterms:modified xsi:type="dcterms:W3CDTF">2026-03-24T12:44:51Z</dcterms:modified>
</cp:coreProperties>
</file>