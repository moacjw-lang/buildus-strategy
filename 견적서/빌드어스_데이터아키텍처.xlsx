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imjiwoong/Downloads/"/>
    </mc:Choice>
  </mc:AlternateContent>
  <xr:revisionPtr revIDLastSave="0" documentId="8_{C554EBC9-23C2-BC45-BC8C-9CCFCFBBBBB3}" xr6:coauthVersionLast="47" xr6:coauthVersionMax="47" xr10:uidLastSave="{00000000-0000-0000-0000-000000000000}"/>
  <bookViews>
    <workbookView xWindow="0" yWindow="600" windowWidth="25600" windowHeight="14360" xr2:uid="{00000000-000D-0000-FFFF-FFFF00000000}"/>
  </bookViews>
  <sheets>
    <sheet name="1_자재마스터" sheetId="1" r:id="rId1"/>
    <sheet name="2_공정자재매핑" sheetId="2" r:id="rId2"/>
    <sheet name="3_공정마스터" sheetId="3" r:id="rId3"/>
    <sheet name="4_호환성" sheetId="4" r:id="rId4"/>
    <sheet name="5_공급사" sheetId="5" r:id="rId5"/>
    <sheet name="6_면적참조" sheetId="6" r:id="rId6"/>
    <sheet name="견적시뮬레이터" sheetId="7" r:id="rId7"/>
    <sheet name="8_QA" sheetId="8" r:id="rId8"/>
    <sheet name="9_SEO" sheetId="9" r:id="rId9"/>
  </sheets>
  <definedNames>
    <definedName name="_xlnm._FilterDatabase" localSheetId="0" hidden="1">'1_자재마스터'!$A$4:$AF$9</definedName>
    <definedName name="_xlnm._FilterDatabase" localSheetId="1" hidden="1">'2_공정자재매핑'!$A$4:$J$14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7" l="1"/>
  <c r="H32" i="7" s="1"/>
  <c r="J32" i="7" s="1"/>
  <c r="L32" i="7" s="1"/>
  <c r="E31" i="7"/>
  <c r="H31" i="7" s="1"/>
  <c r="J31" i="7" s="1"/>
  <c r="L31" i="7" s="1"/>
  <c r="H30" i="7"/>
  <c r="J30" i="7" s="1"/>
  <c r="L30" i="7" s="1"/>
  <c r="E30" i="7"/>
  <c r="E29" i="7"/>
  <c r="H29" i="7" s="1"/>
  <c r="J29" i="7" s="1"/>
  <c r="L29" i="7" s="1"/>
  <c r="H28" i="7"/>
  <c r="J28" i="7" s="1"/>
  <c r="L28" i="7" s="1"/>
  <c r="E28" i="7"/>
  <c r="J27" i="7"/>
  <c r="L27" i="7" s="1"/>
  <c r="H27" i="7"/>
  <c r="E27" i="7"/>
  <c r="E26" i="7"/>
  <c r="H26" i="7" s="1"/>
  <c r="J26" i="7" s="1"/>
  <c r="L26" i="7" s="1"/>
  <c r="E25" i="7"/>
  <c r="H25" i="7" s="1"/>
  <c r="J25" i="7" s="1"/>
  <c r="L25" i="7" s="1"/>
  <c r="E24" i="7"/>
  <c r="H24" i="7" s="1"/>
  <c r="J24" i="7" s="1"/>
  <c r="L24" i="7" s="1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J14" i="2"/>
  <c r="J13" i="2"/>
  <c r="J12" i="2"/>
  <c r="J11" i="2"/>
  <c r="J10" i="2"/>
  <c r="J9" i="2"/>
  <c r="J8" i="2"/>
  <c r="J7" i="2"/>
  <c r="J6" i="2"/>
  <c r="J5" i="2"/>
  <c r="P9" i="1"/>
  <c r="O9" i="1"/>
  <c r="P8" i="1"/>
  <c r="O8" i="1"/>
  <c r="O7" i="1"/>
  <c r="P7" i="1" s="1"/>
  <c r="O6" i="1"/>
  <c r="P6" i="1" s="1"/>
  <c r="O5" i="1"/>
  <c r="P5" i="1" s="1"/>
  <c r="L33" i="7" l="1"/>
  <c r="B39" i="7" l="1"/>
  <c r="B38" i="7"/>
  <c r="C38" i="7" s="1"/>
  <c r="B37" i="7"/>
  <c r="C39" i="7" l="1"/>
</calcChain>
</file>

<file path=xl/sharedStrings.xml><?xml version="1.0" encoding="utf-8"?>
<sst xmlns="http://schemas.openxmlformats.org/spreadsheetml/2006/main" count="595" uniqueCount="376">
  <si>
    <t>자재 마스터</t>
  </si>
  <si>
    <t>자재 1개 = 1행 | 가격·배송·샘플·설명·등급 통합</t>
  </si>
  <si>
    <t>기본 정보</t>
  </si>
  <si>
    <t>가격</t>
  </si>
  <si>
    <t>물류/배송</t>
  </si>
  <si>
    <t>샘플</t>
  </si>
  <si>
    <t>상품 설명</t>
  </si>
  <si>
    <t>스타일/등급</t>
  </si>
  <si>
    <t>자재코드</t>
  </si>
  <si>
    <t>품명</t>
  </si>
  <si>
    <t>규격</t>
  </si>
  <si>
    <t>브랜드</t>
  </si>
  <si>
    <t>제조사</t>
  </si>
  <si>
    <t>카테고리</t>
  </si>
  <si>
    <t>단위</t>
  </si>
  <si>
    <t>판매단위</t>
  </si>
  <si>
    <t>판매단위수량</t>
  </si>
  <si>
    <t>도매가</t>
  </si>
  <si>
    <t>업체가</t>
  </si>
  <si>
    <t>판매가</t>
  </si>
  <si>
    <t>쿠팡가</t>
  </si>
  <si>
    <t>네이버최저가</t>
  </si>
  <si>
    <t>절약금액</t>
  </si>
  <si>
    <t>절약률(%)</t>
  </si>
  <si>
    <t>시장가조사일</t>
  </si>
  <si>
    <t>무게(kg)</t>
  </si>
  <si>
    <t>배송방법</t>
  </si>
  <si>
    <t>예상배송일</t>
  </si>
  <si>
    <t>배송비기준</t>
  </si>
  <si>
    <t>공급사코드</t>
  </si>
  <si>
    <t>샘플가능</t>
  </si>
  <si>
    <t>샘플크기</t>
  </si>
  <si>
    <t>샘플무료유료</t>
  </si>
  <si>
    <t>샘플비용</t>
  </si>
  <si>
    <t>한줄요약</t>
  </si>
  <si>
    <t>특징</t>
  </si>
  <si>
    <t>주의사항</t>
  </si>
  <si>
    <t>스타일태그</t>
  </si>
  <si>
    <t>등급</t>
  </si>
  <si>
    <t>추천공간</t>
  </si>
  <si>
    <t>WP-001</t>
  </si>
  <si>
    <t>수성 방수액</t>
  </si>
  <si>
    <t>18L</t>
  </si>
  <si>
    <t>아이나비</t>
  </si>
  <si>
    <t>OO화학</t>
  </si>
  <si>
    <t>방수</t>
  </si>
  <si>
    <t>L</t>
  </si>
  <si>
    <t>통(18L)</t>
  </si>
  <si>
    <t>2026-04-01</t>
  </si>
  <si>
    <t>화물</t>
  </si>
  <si>
    <t>2~3일</t>
  </si>
  <si>
    <t>착불/5만이상무료</t>
  </si>
  <si>
    <t>SUP-001</t>
  </si>
  <si>
    <t>N</t>
  </si>
  <si>
    <t>—</t>
  </si>
  <si>
    <t>욕실 바닥/벽 방수. 2회 도포로 완벽 방수.</t>
  </si>
  <si>
    <t>수성/친환경, 2회도포, 부직포보강 권장</t>
  </si>
  <si>
    <t>5도 이하 시공 불가</t>
  </si>
  <si>
    <t>표준</t>
  </si>
  <si>
    <t>욕실, 베란다</t>
  </si>
  <si>
    <t>WP-002</t>
  </si>
  <si>
    <t>부직포</t>
  </si>
  <si>
    <t>1m폭×50m</t>
  </si>
  <si>
    <t>OO섬유</t>
  </si>
  <si>
    <t>㎡</t>
  </si>
  <si>
    <t>롤(50㎡)</t>
  </si>
  <si>
    <t>택배</t>
  </si>
  <si>
    <t>1~2일</t>
  </si>
  <si>
    <t>3만이상무료</t>
  </si>
  <si>
    <t>방수 보강용 부직포. 코너/배관부 집중 시공.</t>
  </si>
  <si>
    <t>겹침5cm, 코너보강</t>
  </si>
  <si>
    <t>접히지 않게 시공</t>
  </si>
  <si>
    <t>욕실</t>
  </si>
  <si>
    <t>TL-012</t>
  </si>
  <si>
    <t>폴리싱 타일</t>
  </si>
  <si>
    <t>600×600</t>
  </si>
  <si>
    <t>동서</t>
  </si>
  <si>
    <t>동서세라믹</t>
  </si>
  <si>
    <t>타일</t>
  </si>
  <si>
    <t>장</t>
  </si>
  <si>
    <t>박스(8장)</t>
  </si>
  <si>
    <t>3~5일</t>
  </si>
  <si>
    <t>착불</t>
  </si>
  <si>
    <t>SUP-002</t>
  </si>
  <si>
    <t>Y</t>
  </si>
  <si>
    <t>1장</t>
  </si>
  <si>
    <t>무료</t>
  </si>
  <si>
    <t>광택 폴리싱 타일. 모던/미니멀 욕실에 적합.</t>
  </si>
  <si>
    <t>내구성높음, 미끄럼주의</t>
  </si>
  <si>
    <t>욕실바닥은 논슬립 권장</t>
  </si>
  <si>
    <t>모던</t>
  </si>
  <si>
    <t>욕실 벽, 거실</t>
  </si>
  <si>
    <t>PT-005</t>
  </si>
  <si>
    <t>수성 페인트</t>
  </si>
  <si>
    <t>4L</t>
  </si>
  <si>
    <t>KCC</t>
  </si>
  <si>
    <t>도장</t>
  </si>
  <si>
    <t>캔(4L)</t>
  </si>
  <si>
    <t>SUP-003</t>
  </si>
  <si>
    <t>100ml</t>
  </si>
  <si>
    <t>실내 벽면/천장용 수성 페인트.</t>
  </si>
  <si>
    <t>냄새적음, 빠른건조, 셀프도장적합</t>
  </si>
  <si>
    <t>환기 필수</t>
  </si>
  <si>
    <t>경제</t>
  </si>
  <si>
    <t>거실, 안방, 작은방</t>
  </si>
  <si>
    <t>FL-003</t>
  </si>
  <si>
    <t>강마루</t>
  </si>
  <si>
    <t>1210×193×8T</t>
  </si>
  <si>
    <t>한화</t>
  </si>
  <si>
    <t>한화L&amp;C</t>
  </si>
  <si>
    <t>마루</t>
  </si>
  <si>
    <t>박스(8장/1.87㎡)</t>
  </si>
  <si>
    <t>SUP-004</t>
  </si>
  <si>
    <t>유료</t>
  </si>
  <si>
    <t>클릭 방식 강마루. 셀프 시공 가능.</t>
  </si>
  <si>
    <t>클릭시공, 고내구성</t>
  </si>
  <si>
    <t>습기 많은 곳 불가</t>
  </si>
  <si>
    <t>거실, 안방</t>
  </si>
  <si>
    <t>※ 절약금액/절약률은 수식 자동 계산 (파란 셀)</t>
  </si>
  <si>
    <t>※ 판매단위수량: 올림 계산에 사용 (예: 18L통 → 수량 2.97L면 1통)</t>
  </si>
  <si>
    <t>※ 시장가조사일: 월 1회 업데이트 권장</t>
  </si>
  <si>
    <t>공정-자재 매핑</t>
  </si>
  <si>
    <t>공정 × 자재 조합 | 소요량·로스율 포함 → 물량 자동 산출</t>
  </si>
  <si>
    <t>공정코드</t>
  </si>
  <si>
    <t>공정명</t>
  </si>
  <si>
    <t>자재명</t>
  </si>
  <si>
    <t>용도</t>
  </si>
  <si>
    <t>필수/선택</t>
  </si>
  <si>
    <t>1㎡당 소요량</t>
  </si>
  <si>
    <t>로스율(%)</t>
  </si>
  <si>
    <t>실소요량(1㎡)</t>
  </si>
  <si>
    <t>PROC-04</t>
  </si>
  <si>
    <t>방수층 형성</t>
  </si>
  <si>
    <t>필수</t>
  </si>
  <si>
    <t>보강재</t>
  </si>
  <si>
    <t>WP-003</t>
  </si>
  <si>
    <t>프라이머</t>
  </si>
  <si>
    <t>바탕 처리</t>
  </si>
  <si>
    <t>선택</t>
  </si>
  <si>
    <t>PROC-08</t>
  </si>
  <si>
    <t>폴리싱 타일 600×600</t>
  </si>
  <si>
    <t>바닥 마감</t>
  </si>
  <si>
    <t>BA-001</t>
  </si>
  <si>
    <t>타일 본드</t>
  </si>
  <si>
    <t>접착</t>
  </si>
  <si>
    <t>kg</t>
  </si>
  <si>
    <t>GR-001</t>
  </si>
  <si>
    <t>줄눈재</t>
  </si>
  <si>
    <t>줄눈</t>
  </si>
  <si>
    <t>PROC-09</t>
  </si>
  <si>
    <t>벽면 도장</t>
  </si>
  <si>
    <t>PT-010</t>
  </si>
  <si>
    <t>퍼티</t>
  </si>
  <si>
    <t>면 고르기</t>
  </si>
  <si>
    <t>PROC-11</t>
  </si>
  <si>
    <t>도배</t>
  </si>
  <si>
    <t>WP-050</t>
  </si>
  <si>
    <t>합지벽지</t>
  </si>
  <si>
    <t>벽면 마감</t>
  </si>
  <si>
    <t>롤</t>
  </si>
  <si>
    <t>PROC-10</t>
  </si>
  <si>
    <t>※ 실소요량 = 소요량 × (1 + 로스율%) — 자동 계산</t>
  </si>
  <si>
    <t>※ 견적 시뮬레이터에서 면적 × 실소요량으로 총 물량 산출</t>
  </si>
  <si>
    <t>공정 마스터</t>
  </si>
  <si>
    <t>공정 1개 = 1행 | 순서·단가·가이드 통합</t>
  </si>
  <si>
    <t>기본 + 순서</t>
  </si>
  <si>
    <t>적정 단가</t>
  </si>
  <si>
    <t>가이드</t>
  </si>
  <si>
    <t>순서</t>
  </si>
  <si>
    <t>선행공정</t>
  </si>
  <si>
    <t>시공일</t>
  </si>
  <si>
    <t>양생일</t>
  </si>
  <si>
    <t>합계일</t>
  </si>
  <si>
    <t>자재비(㎡당)</t>
  </si>
  <si>
    <t>인건비(㎡당)</t>
  </si>
  <si>
    <t>적정합계범위</t>
  </si>
  <si>
    <t>기능공일당</t>
  </si>
  <si>
    <t>㎡당공수(인·일)</t>
  </si>
  <si>
    <t>셀프난이도</t>
  </si>
  <si>
    <t>가이드문서</t>
  </si>
  <si>
    <t>PROC-01</t>
  </si>
  <si>
    <t>철거</t>
  </si>
  <si>
    <t>20만/일</t>
  </si>
  <si>
    <t>하</t>
  </si>
  <si>
    <t>PROC-02</t>
  </si>
  <si>
    <t>설비(배관)</t>
  </si>
  <si>
    <t>25만/일</t>
  </si>
  <si>
    <t>상</t>
  </si>
  <si>
    <t>PROC-03</t>
  </si>
  <si>
    <t>전기</t>
  </si>
  <si>
    <t>1~2만</t>
  </si>
  <si>
    <t>2~3만</t>
  </si>
  <si>
    <t>3~5만/㎡</t>
  </si>
  <si>
    <t>중</t>
  </si>
  <si>
    <t>방수_시공가이드.md</t>
  </si>
  <si>
    <t>PROC-05</t>
  </si>
  <si>
    <t>창호</t>
  </si>
  <si>
    <t>PROC-06</t>
  </si>
  <si>
    <t>목공</t>
  </si>
  <si>
    <t>2~5만</t>
  </si>
  <si>
    <t>3~5만</t>
  </si>
  <si>
    <t>5~10만/㎡</t>
  </si>
  <si>
    <t>28만/일</t>
  </si>
  <si>
    <t>PROC-07</t>
  </si>
  <si>
    <t>필름</t>
  </si>
  <si>
    <t>1~3만</t>
  </si>
  <si>
    <t>2~5만/㎡</t>
  </si>
  <si>
    <t>3~8만</t>
  </si>
  <si>
    <t>6~13만/㎡</t>
  </si>
  <si>
    <t>30만/일</t>
  </si>
  <si>
    <t>타일_시공가이드.md</t>
  </si>
  <si>
    <t>0.3~1만</t>
  </si>
  <si>
    <t>0.5~1만</t>
  </si>
  <si>
    <t>1~2만/㎡</t>
  </si>
  <si>
    <t>도장_시공가이드.md</t>
  </si>
  <si>
    <t>마루/바닥</t>
  </si>
  <si>
    <t>2~6만</t>
  </si>
  <si>
    <t>3~9만/㎡</t>
  </si>
  <si>
    <t>마루_시공가이드.md</t>
  </si>
  <si>
    <t>0.5~2만</t>
  </si>
  <si>
    <t>1~3만/㎡</t>
  </si>
  <si>
    <t>22만/일</t>
  </si>
  <si>
    <t>도배_시공가이드.md</t>
  </si>
  <si>
    <t>PROC-12</t>
  </si>
  <si>
    <t>가구/도기</t>
  </si>
  <si>
    <t>PROC-13</t>
  </si>
  <si>
    <t>준공점검</t>
  </si>
  <si>
    <t>자재 호환성</t>
  </si>
  <si>
    <t>NG/조건부만 기록 (OK는 기록 안 함)</t>
  </si>
  <si>
    <t>자재코드A</t>
  </si>
  <si>
    <t>자재명A</t>
  </si>
  <si>
    <t>자재코드B</t>
  </si>
  <si>
    <t>자재명B</t>
  </si>
  <si>
    <t>판정</t>
  </si>
  <si>
    <t>사유</t>
  </si>
  <si>
    <t>대체추천</t>
  </si>
  <si>
    <t>WP-010</t>
  </si>
  <si>
    <t>유성 방수재</t>
  </si>
  <si>
    <t>BA-003</t>
  </si>
  <si>
    <t>수성 타일본드</t>
  </si>
  <si>
    <t>NG</t>
  </si>
  <si>
    <t>유성 위에 수성 부착력 없음</t>
  </si>
  <si>
    <t>BA-007 (에폭시)</t>
  </si>
  <si>
    <t>WP-020</t>
  </si>
  <si>
    <t>시멘트 방수재</t>
  </si>
  <si>
    <t>TL-050</t>
  </si>
  <si>
    <t>PVC 타일</t>
  </si>
  <si>
    <t>조건부</t>
  </si>
  <si>
    <t>완전 경화(72시간) 후에만 가능</t>
  </si>
  <si>
    <t>PT-020</t>
  </si>
  <si>
    <t>유성 페인트</t>
  </si>
  <si>
    <t>같은 면에 혼용 불가</t>
  </si>
  <si>
    <t>수성으로 통일</t>
  </si>
  <si>
    <t>공급사 테이블</t>
  </si>
  <si>
    <t>공급사 1개 = 1행 | 자재마스터에서 공급사코드(FK)로 연결</t>
  </si>
  <si>
    <t>공급사명</t>
  </si>
  <si>
    <t>취급카테고리</t>
  </si>
  <si>
    <t>리드타임</t>
  </si>
  <si>
    <t>최소주문</t>
  </si>
  <si>
    <t>반품조건</t>
  </si>
  <si>
    <t>결제조건</t>
  </si>
  <si>
    <t>연락처</t>
  </si>
  <si>
    <t>OO건자재</t>
  </si>
  <si>
    <t>방수, 도장</t>
  </si>
  <si>
    <t>2영업일</t>
  </si>
  <si>
    <t>10만원</t>
  </si>
  <si>
    <t>미개봉 7일</t>
  </si>
  <si>
    <t>월말정산</t>
  </si>
  <si>
    <t>010-XXXX-XXXX</t>
  </si>
  <si>
    <t>XX세라믹</t>
  </si>
  <si>
    <t>3~5영업일</t>
  </si>
  <si>
    <t>30만원</t>
  </si>
  <si>
    <t>파손만 교환</t>
  </si>
  <si>
    <t>선결제</t>
  </si>
  <si>
    <t>KCC대리점</t>
  </si>
  <si>
    <t>1~2영업일</t>
  </si>
  <si>
    <t>5만원</t>
  </si>
  <si>
    <t>미개봉 14일</t>
  </si>
  <si>
    <t>한화마루</t>
  </si>
  <si>
    <t>20만원</t>
  </si>
  <si>
    <t>공간 유형별 표준 면적</t>
  </si>
  <si>
    <t>비용 분석기 기본값 | 사용자가 직접 입력 안 할 때 참조</t>
  </si>
  <si>
    <t>평형대</t>
  </si>
  <si>
    <t>전용면적(㎡)</t>
  </si>
  <si>
    <t>욕실(㎡)</t>
  </si>
  <si>
    <t>주방(㎡)</t>
  </si>
  <si>
    <t>거실(㎡)</t>
  </si>
  <si>
    <t>안방(㎡)</t>
  </si>
  <si>
    <t>작은방(㎡)</t>
  </si>
  <si>
    <t>베란다(㎡)</t>
  </si>
  <si>
    <t>18평</t>
  </si>
  <si>
    <t>25평</t>
  </si>
  <si>
    <t>32평</t>
  </si>
  <si>
    <t>34평</t>
  </si>
  <si>
    <t>43평</t>
  </si>
  <si>
    <t>빌드어스 자동 견적 시뮬레이터</t>
  </si>
  <si>
    <t>면적 입력 → 자재 물량·비용 자동 산출 | 자재마스터·매핑 테이블 연동</t>
  </si>
  <si>
    <t>▼ 입력 영역 — 아래 노란 셀에 면적(㎡)을 입력하세요</t>
  </si>
  <si>
    <t>공간</t>
  </si>
  <si>
    <t>면적(㎡)</t>
  </si>
  <si>
    <t>욕실 바닥</t>
  </si>
  <si>
    <t>욕실 벽</t>
  </si>
  <si>
    <t>주방</t>
  </si>
  <si>
    <t>거실</t>
  </si>
  <si>
    <t>안방</t>
  </si>
  <si>
    <t>작은방</t>
  </si>
  <si>
    <t>베란다</t>
  </si>
  <si>
    <t>▼ 공정 선택 — 시공할 공정에 O 입력</t>
  </si>
  <si>
    <t>공정</t>
  </si>
  <si>
    <t>시공 여부</t>
  </si>
  <si>
    <t>적용 공간</t>
  </si>
  <si>
    <t>O</t>
  </si>
  <si>
    <t>욕실 바닥+벽</t>
  </si>
  <si>
    <t>거실+안방+작은방</t>
  </si>
  <si>
    <t>▼ 견적 결과 — 자동 계산</t>
  </si>
  <si>
    <t>적용면적(㎡)</t>
  </si>
  <si>
    <t>1㎡당소요량</t>
  </si>
  <si>
    <t>실소요량(총)</t>
  </si>
  <si>
    <t>필요수량(올림)</t>
  </si>
  <si>
    <t>단가</t>
  </si>
  <si>
    <t>자재비</t>
  </si>
  <si>
    <t>1m×50m</t>
  </si>
  <si>
    <t>20kg</t>
  </si>
  <si>
    <t>5kg</t>
  </si>
  <si>
    <t>10kg</t>
  </si>
  <si>
    <t>1210×193</t>
  </si>
  <si>
    <t>롤(16.5㎡)</t>
  </si>
  <si>
    <t>합계</t>
  </si>
  <si>
    <t>▼ 비용 비교</t>
  </si>
  <si>
    <t>구분</t>
  </si>
  <si>
    <t>금액</t>
  </si>
  <si>
    <t>절약</t>
  </si>
  <si>
    <t>빌드어스 (셀프 자재비)</t>
  </si>
  <si>
    <t>인터넷 최저가 구매 시 (추정)</t>
  </si>
  <si>
    <t>업체 의뢰 시 (자재+인건비)</t>
  </si>
  <si>
    <t>사용법</t>
  </si>
  <si>
    <t>1. 노란색 셀에 실제 면적(㎡)을 입력하세요 (기본값: 25평 기준)</t>
  </si>
  <si>
    <t>2. 공정 선택에서 시공할 공정에 O를 입력하세요</t>
  </si>
  <si>
    <t>3. 견적 결과가 자동으로 계산됩니다</t>
  </si>
  <si>
    <t>4. 자재 단가를 변경하면 자재마스터 시트의 판매가를 수정하세요</t>
  </si>
  <si>
    <t>5. 새로운 자재를 추가하려면 견적 결과 표에 행을 추가하고 수식을 복사하세요</t>
  </si>
  <si>
    <t>※ 파란 셀 = 수식(자동계산) | 노란 셀 = 입력 | 초록 셀 = 결과</t>
  </si>
  <si>
    <t>체크리스트 Q&amp;A 변환</t>
  </si>
  <si>
    <t>질문</t>
  </si>
  <si>
    <t>답변</t>
  </si>
  <si>
    <t>관련자재코드</t>
  </si>
  <si>
    <t>출처</t>
  </si>
  <si>
    <t>욕실 방수 꼭 해야 하나요?</t>
  </si>
  <si>
    <t>네, 필수. 안 하면 아래층 누수 → 보상 문제.</t>
  </si>
  <si>
    <t>체크리스트04 #3</t>
  </si>
  <si>
    <t>방수 위에 타일 바로 붙여도 되나요?</t>
  </si>
  <si>
    <t>경화(24~48시간) 후 가능. 덜 마른 상태 시공 시 방수층 손상.</t>
  </si>
  <si>
    <t>체크리스트04 #7</t>
  </si>
  <si>
    <t>타일 본드 종류가 중요한가요?</t>
  </si>
  <si>
    <t>매우 중요. 방수 위는 반드시 시멘트 기반 or 에폭시 본드 사용.</t>
  </si>
  <si>
    <t>체크리스트08 #5</t>
  </si>
  <si>
    <t>SEO 키워드 리스트</t>
  </si>
  <si>
    <t>키워드</t>
  </si>
  <si>
    <t>월간검색량</t>
  </si>
  <si>
    <t>경쟁도</t>
  </si>
  <si>
    <t>검색의도</t>
  </si>
  <si>
    <t>연결기능</t>
  </si>
  <si>
    <t>래미안 인테리어 비용</t>
  </si>
  <si>
    <t>정보탐색</t>
  </si>
  <si>
    <t>아파트별 비용 페이지</t>
  </si>
  <si>
    <t>셀프 방수 방법</t>
  </si>
  <si>
    <t>시공가이드 + 마켓플레이스</t>
  </si>
  <si>
    <t>인테리어 견적 적정가</t>
  </si>
  <si>
    <t>높</t>
  </si>
  <si>
    <t>비교</t>
  </si>
  <si>
    <t>견적 비교기</t>
  </si>
  <si>
    <t>욕실 타일 셀프 시공</t>
  </si>
  <si>
    <t>낮</t>
  </si>
  <si>
    <t>시공가이드</t>
  </si>
  <si>
    <t>25평 인테리어 비용</t>
  </si>
  <si>
    <t>비용 분석기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</si>
</sst>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11">
    <font>
      <sz val="11"/>
      <color theme="1"/>
      <name val="맑은 고딕"/>
      <family val="2"/>
      <scheme val="minor"/>
    </font>
    <font>
      <b/>
      <sz val="14"/>
      <name val="맑은 고딕"/>
      <charset val="129"/>
    </font>
    <font>
      <b/>
      <sz val="11"/>
      <color rgb="FF4299E1"/>
      <name val="맑은 고딕"/>
      <charset val="129"/>
    </font>
    <font>
      <b/>
      <sz val="10"/>
      <color rgb="FFFFFFFF"/>
      <name val="맑은 고딕"/>
      <charset val="129"/>
    </font>
    <font>
      <sz val="10"/>
      <name val="맑은 고딕"/>
      <charset val="129"/>
    </font>
    <font>
      <i/>
      <sz val="9"/>
      <color rgb="FF718096"/>
      <name val="맑은 고딕"/>
      <charset val="129"/>
    </font>
    <font>
      <b/>
      <sz val="16"/>
      <name val="맑은 고딕"/>
      <charset val="129"/>
    </font>
    <font>
      <b/>
      <sz val="11"/>
      <name val="맑은 고딕"/>
      <charset val="129"/>
    </font>
    <font>
      <b/>
      <sz val="12"/>
      <name val="맑은 고딕"/>
      <charset val="129"/>
    </font>
    <font>
      <b/>
      <sz val="14"/>
      <color rgb="FF22543D"/>
      <name val="맑은 고딕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A5568"/>
        <bgColor rgb="FF4A5568"/>
      </patternFill>
    </fill>
    <fill>
      <patternFill patternType="solid">
        <fgColor rgb="FF2D3748"/>
        <bgColor rgb="FF2D3748"/>
      </patternFill>
    </fill>
    <fill>
      <patternFill patternType="solid">
        <fgColor rgb="FFEBF8FF"/>
        <bgColor rgb="FFEBF8FF"/>
      </patternFill>
    </fill>
    <fill>
      <patternFill patternType="solid">
        <fgColor rgb="FFF7FAFC"/>
        <bgColor rgb="FFF7FAFC"/>
      </patternFill>
    </fill>
    <fill>
      <patternFill patternType="solid">
        <fgColor rgb="FFFFFFF0"/>
        <bgColor rgb="FFFFFFF0"/>
      </patternFill>
    </fill>
    <fill>
      <patternFill patternType="solid">
        <fgColor rgb="FFF0FFF4"/>
        <bgColor rgb="FFF0FFF4"/>
      </patternFill>
    </fill>
    <fill>
      <patternFill patternType="solid">
        <fgColor rgb="FFC6F6D5"/>
        <bgColor rgb="FFC6F6D5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D69E2E"/>
      </left>
      <right style="medium">
        <color rgb="FFD69E2E"/>
      </right>
      <top style="medium">
        <color rgb="FFD69E2E"/>
      </top>
      <bottom style="medium">
        <color rgb="FFD69E2E"/>
      </bottom>
      <diagonal/>
    </border>
    <border>
      <left/>
      <right/>
      <top style="double">
        <color rgb="FF22543D"/>
      </top>
      <bottom style="double">
        <color rgb="FF22543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176" fontId="4" fillId="5" borderId="1" xfId="0" applyNumberFormat="1" applyFont="1" applyFill="1" applyBorder="1" applyAlignment="1">
      <alignment vertical="center" wrapText="1"/>
    </xf>
    <xf numFmtId="177" fontId="4" fillId="5" borderId="1" xfId="0" applyNumberFormat="1" applyFont="1" applyFill="1" applyBorder="1" applyAlignment="1">
      <alignment vertical="center" wrapText="1"/>
    </xf>
    <xf numFmtId="0" fontId="3" fillId="3" borderId="1" xfId="0" applyFont="1" applyFill="1" applyBorder="1"/>
    <xf numFmtId="0" fontId="4" fillId="0" borderId="1" xfId="0" applyFont="1" applyBorder="1"/>
    <xf numFmtId="176" fontId="7" fillId="6" borderId="2" xfId="0" applyNumberFormat="1" applyFont="1" applyFill="1" applyBorder="1"/>
    <xf numFmtId="0" fontId="7" fillId="6" borderId="2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176" fontId="4" fillId="4" borderId="1" xfId="0" applyNumberFormat="1" applyFont="1" applyFill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2" fontId="4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4" fillId="7" borderId="1" xfId="0" applyNumberFormat="1" applyFont="1" applyFill="1" applyBorder="1" applyAlignment="1">
      <alignment vertical="center" wrapText="1"/>
    </xf>
    <xf numFmtId="0" fontId="8" fillId="0" borderId="0" xfId="0" applyFont="1"/>
    <xf numFmtId="3" fontId="9" fillId="8" borderId="3" xfId="0" applyNumberFormat="1" applyFont="1" applyFill="1" applyBorder="1"/>
    <xf numFmtId="0" fontId="5" fillId="0" borderId="0" xfId="0" applyFont="1" applyAlignment="1">
      <alignment wrapText="1"/>
    </xf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8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99E1"/>
  </sheetPr>
  <dimension ref="A1:AF1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12" sqref="A12:AF12"/>
    </sheetView>
  </sheetViews>
  <sheetFormatPr baseColWidth="10" defaultColWidth="8.83203125" defaultRowHeight="17"/>
  <cols>
    <col min="1" max="1" width="11" customWidth="1"/>
    <col min="2" max="2" width="15" customWidth="1"/>
    <col min="3" max="3" width="12" customWidth="1"/>
    <col min="4" max="5" width="10" customWidth="1"/>
    <col min="6" max="6" width="8" customWidth="1"/>
    <col min="7" max="7" width="5" customWidth="1"/>
    <col min="8" max="8" width="12" customWidth="1"/>
    <col min="9" max="9" width="10" customWidth="1"/>
    <col min="10" max="13" width="9" customWidth="1"/>
    <col min="14" max="14" width="11" customWidth="1"/>
    <col min="15" max="15" width="10" customWidth="1"/>
    <col min="16" max="16" width="9" customWidth="1"/>
    <col min="17" max="17" width="12" customWidth="1"/>
    <col min="18" max="19" width="8" customWidth="1"/>
    <col min="20" max="20" width="9" customWidth="1"/>
    <col min="21" max="21" width="15" customWidth="1"/>
    <col min="22" max="22" width="10" customWidth="1"/>
    <col min="23" max="24" width="8" customWidth="1"/>
    <col min="25" max="25" width="10" customWidth="1"/>
    <col min="26" max="26" width="8" customWidth="1"/>
    <col min="27" max="27" width="30" customWidth="1"/>
    <col min="28" max="28" width="25" customWidth="1"/>
    <col min="29" max="29" width="18" customWidth="1"/>
    <col min="30" max="30" width="10" customWidth="1"/>
    <col min="31" max="31" width="8" customWidth="1"/>
    <col min="32" max="32" width="14" customWidth="1"/>
  </cols>
  <sheetData>
    <row r="1" spans="1:32" ht="30" customHeight="1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 ht="20" customHeight="1">
      <c r="A2" s="24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1" t="s">
        <v>3</v>
      </c>
      <c r="K3" s="22"/>
      <c r="L3" s="22"/>
      <c r="M3" s="22"/>
      <c r="N3" s="22"/>
      <c r="O3" s="22"/>
      <c r="P3" s="22"/>
      <c r="Q3" s="22"/>
      <c r="R3" s="21" t="s">
        <v>4</v>
      </c>
      <c r="S3" s="22"/>
      <c r="T3" s="22"/>
      <c r="U3" s="22"/>
      <c r="V3" s="22"/>
      <c r="W3" s="21" t="s">
        <v>5</v>
      </c>
      <c r="X3" s="22"/>
      <c r="Y3" s="22"/>
      <c r="Z3" s="22"/>
      <c r="AA3" s="21" t="s">
        <v>6</v>
      </c>
      <c r="AB3" s="22"/>
      <c r="AC3" s="22"/>
      <c r="AD3" s="21" t="s">
        <v>7</v>
      </c>
      <c r="AE3" s="22"/>
      <c r="AF3" s="22"/>
    </row>
    <row r="4" spans="1:32" ht="32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</row>
    <row r="5" spans="1:32" ht="32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>
        <v>18</v>
      </c>
      <c r="J5" s="3">
        <v>35000</v>
      </c>
      <c r="K5" s="3">
        <v>42000</v>
      </c>
      <c r="L5" s="3">
        <v>45000</v>
      </c>
      <c r="M5" s="3">
        <v>58000</v>
      </c>
      <c r="N5" s="3">
        <v>52000</v>
      </c>
      <c r="O5" s="3">
        <f>MIN(M5,N5)-L5</f>
        <v>7000</v>
      </c>
      <c r="P5" s="4">
        <f>IF(MIN(M5,N5)=0,"",O5/MIN(M5,N5)*100)</f>
        <v>13.461538461538462</v>
      </c>
      <c r="Q5" s="2" t="s">
        <v>48</v>
      </c>
      <c r="R5" s="2">
        <v>20</v>
      </c>
      <c r="S5" s="2" t="s">
        <v>49</v>
      </c>
      <c r="T5" s="2" t="s">
        <v>50</v>
      </c>
      <c r="U5" s="2" t="s">
        <v>51</v>
      </c>
      <c r="V5" s="2" t="s">
        <v>52</v>
      </c>
      <c r="W5" s="2" t="s">
        <v>53</v>
      </c>
      <c r="X5" s="2" t="s">
        <v>54</v>
      </c>
      <c r="Y5" s="2" t="s">
        <v>54</v>
      </c>
      <c r="Z5" s="2"/>
      <c r="AA5" s="2" t="s">
        <v>55</v>
      </c>
      <c r="AB5" s="2" t="s">
        <v>56</v>
      </c>
      <c r="AC5" s="2" t="s">
        <v>57</v>
      </c>
      <c r="AD5" s="2" t="s">
        <v>54</v>
      </c>
      <c r="AE5" s="2" t="s">
        <v>58</v>
      </c>
      <c r="AF5" s="2" t="s">
        <v>59</v>
      </c>
    </row>
    <row r="6" spans="1:32" ht="32">
      <c r="A6" s="2" t="s">
        <v>60</v>
      </c>
      <c r="B6" s="2" t="s">
        <v>61</v>
      </c>
      <c r="C6" s="2" t="s">
        <v>62</v>
      </c>
      <c r="D6" s="2" t="s">
        <v>54</v>
      </c>
      <c r="E6" s="2" t="s">
        <v>63</v>
      </c>
      <c r="F6" s="2" t="s">
        <v>45</v>
      </c>
      <c r="G6" s="2" t="s">
        <v>64</v>
      </c>
      <c r="H6" s="2" t="s">
        <v>65</v>
      </c>
      <c r="I6" s="2">
        <v>50</v>
      </c>
      <c r="J6" s="3">
        <v>12000</v>
      </c>
      <c r="K6" s="3">
        <v>14000</v>
      </c>
      <c r="L6" s="3">
        <v>15000</v>
      </c>
      <c r="M6" s="3">
        <v>22000</v>
      </c>
      <c r="N6" s="3">
        <v>18000</v>
      </c>
      <c r="O6" s="3">
        <f>MIN(M6,N6)-L6</f>
        <v>3000</v>
      </c>
      <c r="P6" s="4">
        <f>IF(MIN(M6,N6)=0,"",O6/MIN(M6,N6)*100)</f>
        <v>16.666666666666664</v>
      </c>
      <c r="Q6" s="2" t="s">
        <v>48</v>
      </c>
      <c r="R6" s="2">
        <v>3</v>
      </c>
      <c r="S6" s="2" t="s">
        <v>66</v>
      </c>
      <c r="T6" s="2" t="s">
        <v>67</v>
      </c>
      <c r="U6" s="2" t="s">
        <v>68</v>
      </c>
      <c r="V6" s="2" t="s">
        <v>52</v>
      </c>
      <c r="W6" s="2" t="s">
        <v>53</v>
      </c>
      <c r="X6" s="2" t="s">
        <v>54</v>
      </c>
      <c r="Y6" s="2" t="s">
        <v>54</v>
      </c>
      <c r="Z6" s="2"/>
      <c r="AA6" s="2" t="s">
        <v>69</v>
      </c>
      <c r="AB6" s="2" t="s">
        <v>70</v>
      </c>
      <c r="AC6" s="2" t="s">
        <v>71</v>
      </c>
      <c r="AD6" s="2" t="s">
        <v>54</v>
      </c>
      <c r="AE6" s="2" t="s">
        <v>58</v>
      </c>
      <c r="AF6" s="2" t="s">
        <v>72</v>
      </c>
    </row>
    <row r="7" spans="1:32" ht="32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>
        <v>8</v>
      </c>
      <c r="J7" s="3">
        <v>3500</v>
      </c>
      <c r="K7" s="3">
        <v>4200</v>
      </c>
      <c r="L7" s="3">
        <v>4800</v>
      </c>
      <c r="M7" s="3">
        <v>6500</v>
      </c>
      <c r="N7" s="3">
        <v>5800</v>
      </c>
      <c r="O7" s="3">
        <f>MIN(M7,N7)-L7</f>
        <v>1000</v>
      </c>
      <c r="P7" s="4">
        <f>IF(MIN(M7,N7)=0,"",O7/MIN(M7,N7)*100)</f>
        <v>17.241379310344829</v>
      </c>
      <c r="Q7" s="2" t="s">
        <v>48</v>
      </c>
      <c r="R7" s="2">
        <v>25</v>
      </c>
      <c r="S7" s="2" t="s">
        <v>49</v>
      </c>
      <c r="T7" s="2" t="s">
        <v>81</v>
      </c>
      <c r="U7" s="2" t="s">
        <v>82</v>
      </c>
      <c r="V7" s="2" t="s">
        <v>83</v>
      </c>
      <c r="W7" s="2" t="s">
        <v>84</v>
      </c>
      <c r="X7" s="2" t="s">
        <v>85</v>
      </c>
      <c r="Y7" s="2" t="s">
        <v>86</v>
      </c>
      <c r="Z7" s="2">
        <v>0</v>
      </c>
      <c r="AA7" s="2" t="s">
        <v>87</v>
      </c>
      <c r="AB7" s="2" t="s">
        <v>88</v>
      </c>
      <c r="AC7" s="2" t="s">
        <v>89</v>
      </c>
      <c r="AD7" s="2" t="s">
        <v>90</v>
      </c>
      <c r="AE7" s="2" t="s">
        <v>58</v>
      </c>
      <c r="AF7" s="2" t="s">
        <v>91</v>
      </c>
    </row>
    <row r="8" spans="1:32" ht="32">
      <c r="A8" s="2" t="s">
        <v>92</v>
      </c>
      <c r="B8" s="2" t="s">
        <v>93</v>
      </c>
      <c r="C8" s="2" t="s">
        <v>94</v>
      </c>
      <c r="D8" s="2" t="s">
        <v>95</v>
      </c>
      <c r="E8" s="2" t="s">
        <v>95</v>
      </c>
      <c r="F8" s="2" t="s">
        <v>96</v>
      </c>
      <c r="G8" s="2" t="s">
        <v>46</v>
      </c>
      <c r="H8" s="2" t="s">
        <v>97</v>
      </c>
      <c r="I8" s="2">
        <v>4</v>
      </c>
      <c r="J8" s="3">
        <v>18000</v>
      </c>
      <c r="K8" s="3">
        <v>22000</v>
      </c>
      <c r="L8" s="3">
        <v>25000</v>
      </c>
      <c r="M8" s="3">
        <v>35000</v>
      </c>
      <c r="N8" s="3">
        <v>32000</v>
      </c>
      <c r="O8" s="3">
        <f>MIN(M8,N8)-L8</f>
        <v>7000</v>
      </c>
      <c r="P8" s="4">
        <f>IF(MIN(M8,N8)=0,"",O8/MIN(M8,N8)*100)</f>
        <v>21.875</v>
      </c>
      <c r="Q8" s="2" t="s">
        <v>48</v>
      </c>
      <c r="R8" s="2">
        <v>5</v>
      </c>
      <c r="S8" s="2" t="s">
        <v>66</v>
      </c>
      <c r="T8" s="2" t="s">
        <v>67</v>
      </c>
      <c r="U8" s="2" t="s">
        <v>68</v>
      </c>
      <c r="V8" s="2" t="s">
        <v>98</v>
      </c>
      <c r="W8" s="2" t="s">
        <v>84</v>
      </c>
      <c r="X8" s="2" t="s">
        <v>99</v>
      </c>
      <c r="Y8" s="2" t="s">
        <v>86</v>
      </c>
      <c r="Z8" s="2">
        <v>0</v>
      </c>
      <c r="AA8" s="2" t="s">
        <v>100</v>
      </c>
      <c r="AB8" s="2" t="s">
        <v>101</v>
      </c>
      <c r="AC8" s="2" t="s">
        <v>102</v>
      </c>
      <c r="AD8" s="2" t="s">
        <v>54</v>
      </c>
      <c r="AE8" s="2" t="s">
        <v>103</v>
      </c>
      <c r="AF8" s="2" t="s">
        <v>104</v>
      </c>
    </row>
    <row r="9" spans="1:32" ht="32">
      <c r="A9" s="2" t="s">
        <v>105</v>
      </c>
      <c r="B9" s="2" t="s">
        <v>106</v>
      </c>
      <c r="C9" s="2" t="s">
        <v>107</v>
      </c>
      <c r="D9" s="2" t="s">
        <v>108</v>
      </c>
      <c r="E9" s="2" t="s">
        <v>109</v>
      </c>
      <c r="F9" s="2" t="s">
        <v>110</v>
      </c>
      <c r="G9" s="2" t="s">
        <v>79</v>
      </c>
      <c r="H9" s="2" t="s">
        <v>111</v>
      </c>
      <c r="I9" s="2">
        <v>8</v>
      </c>
      <c r="J9" s="3">
        <v>4500</v>
      </c>
      <c r="K9" s="3">
        <v>5500</v>
      </c>
      <c r="L9" s="3">
        <v>6200</v>
      </c>
      <c r="M9" s="3">
        <v>9000</v>
      </c>
      <c r="N9" s="3">
        <v>8200</v>
      </c>
      <c r="O9" s="3">
        <f>MIN(M9,N9)-L9</f>
        <v>2000</v>
      </c>
      <c r="P9" s="4">
        <f>IF(MIN(M9,N9)=0,"",O9/MIN(M9,N9)*100)</f>
        <v>24.390243902439025</v>
      </c>
      <c r="Q9" s="2" t="s">
        <v>48</v>
      </c>
      <c r="R9" s="2">
        <v>12</v>
      </c>
      <c r="S9" s="2" t="s">
        <v>49</v>
      </c>
      <c r="T9" s="2" t="s">
        <v>81</v>
      </c>
      <c r="U9" s="2" t="s">
        <v>82</v>
      </c>
      <c r="V9" s="2" t="s">
        <v>112</v>
      </c>
      <c r="W9" s="2" t="s">
        <v>84</v>
      </c>
      <c r="X9" s="2" t="s">
        <v>85</v>
      </c>
      <c r="Y9" s="2" t="s">
        <v>113</v>
      </c>
      <c r="Z9" s="2">
        <v>3000</v>
      </c>
      <c r="AA9" s="2" t="s">
        <v>114</v>
      </c>
      <c r="AB9" s="2" t="s">
        <v>115</v>
      </c>
      <c r="AC9" s="2" t="s">
        <v>116</v>
      </c>
      <c r="AD9" s="2" t="s">
        <v>90</v>
      </c>
      <c r="AE9" s="2" t="s">
        <v>58</v>
      </c>
      <c r="AF9" s="2" t="s">
        <v>117</v>
      </c>
    </row>
    <row r="10" spans="1:32">
      <c r="A10" s="19" t="s">
        <v>118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spans="1:32">
      <c r="A11" s="19" t="s">
        <v>119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2">
      <c r="A12" s="19" t="s">
        <v>120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</sheetData>
  <autoFilter ref="A4:AF9" xr:uid="{00000000-0009-0000-0000-000000000000}"/>
  <mergeCells count="11">
    <mergeCell ref="A12:AF12"/>
    <mergeCell ref="A3:I3"/>
    <mergeCell ref="AA3:AC3"/>
    <mergeCell ref="A2:AF2"/>
    <mergeCell ref="A11:AF11"/>
    <mergeCell ref="A10:AF10"/>
    <mergeCell ref="W3:Z3"/>
    <mergeCell ref="A1:AF1"/>
    <mergeCell ref="J3:Q3"/>
    <mergeCell ref="R3:V3"/>
    <mergeCell ref="AD3:AF3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8BB78"/>
  </sheetPr>
  <dimension ref="A1:J16"/>
  <sheetViews>
    <sheetView workbookViewId="0">
      <pane ySplit="4" topLeftCell="A5" activePane="bottomLeft" state="frozen"/>
      <selection pane="bottomLeft" sqref="A1:J1"/>
    </sheetView>
  </sheetViews>
  <sheetFormatPr baseColWidth="10" defaultColWidth="8.83203125" defaultRowHeight="17"/>
  <cols>
    <col min="1" max="1" width="11" customWidth="1"/>
    <col min="2" max="2" width="8" customWidth="1"/>
    <col min="3" max="3" width="11" customWidth="1"/>
    <col min="4" max="4" width="18" customWidth="1"/>
    <col min="5" max="5" width="12" customWidth="1"/>
    <col min="6" max="6" width="8" customWidth="1"/>
    <col min="7" max="7" width="6" customWidth="1"/>
    <col min="8" max="8" width="12" customWidth="1"/>
    <col min="9" max="9" width="9" customWidth="1"/>
    <col min="10" max="10" width="13" customWidth="1"/>
  </cols>
  <sheetData>
    <row r="1" spans="1:10" ht="20">
      <c r="A1" s="23" t="s">
        <v>121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24" t="s">
        <v>122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32">
      <c r="A4" s="1" t="s">
        <v>123</v>
      </c>
      <c r="B4" s="1" t="s">
        <v>124</v>
      </c>
      <c r="C4" s="1" t="s">
        <v>8</v>
      </c>
      <c r="D4" s="1" t="s">
        <v>125</v>
      </c>
      <c r="E4" s="1" t="s">
        <v>126</v>
      </c>
      <c r="F4" s="1" t="s">
        <v>127</v>
      </c>
      <c r="G4" s="1" t="s">
        <v>14</v>
      </c>
      <c r="H4" s="1" t="s">
        <v>128</v>
      </c>
      <c r="I4" s="1" t="s">
        <v>129</v>
      </c>
      <c r="J4" s="1" t="s">
        <v>130</v>
      </c>
    </row>
    <row r="5" spans="1:10">
      <c r="A5" s="2" t="s">
        <v>131</v>
      </c>
      <c r="B5" s="2" t="s">
        <v>45</v>
      </c>
      <c r="C5" s="2" t="s">
        <v>40</v>
      </c>
      <c r="D5" s="2" t="s">
        <v>41</v>
      </c>
      <c r="E5" s="2" t="s">
        <v>132</v>
      </c>
      <c r="F5" s="2" t="s">
        <v>133</v>
      </c>
      <c r="G5" s="2" t="s">
        <v>46</v>
      </c>
      <c r="H5" s="2">
        <v>0.6</v>
      </c>
      <c r="I5" s="2">
        <v>10</v>
      </c>
      <c r="J5" s="5">
        <f t="shared" ref="J5:J14" si="0">H5*(1+I5/100)</f>
        <v>0.66</v>
      </c>
    </row>
    <row r="6" spans="1:10">
      <c r="A6" s="2" t="s">
        <v>131</v>
      </c>
      <c r="B6" s="2" t="s">
        <v>45</v>
      </c>
      <c r="C6" s="2" t="s">
        <v>60</v>
      </c>
      <c r="D6" s="2" t="s">
        <v>61</v>
      </c>
      <c r="E6" s="2" t="s">
        <v>134</v>
      </c>
      <c r="F6" s="2" t="s">
        <v>133</v>
      </c>
      <c r="G6" s="2" t="s">
        <v>64</v>
      </c>
      <c r="H6" s="2">
        <v>1.05</v>
      </c>
      <c r="I6" s="2">
        <v>5</v>
      </c>
      <c r="J6" s="5">
        <f t="shared" si="0"/>
        <v>1.1025</v>
      </c>
    </row>
    <row r="7" spans="1:10">
      <c r="A7" s="2" t="s">
        <v>131</v>
      </c>
      <c r="B7" s="2" t="s">
        <v>45</v>
      </c>
      <c r="C7" s="2" t="s">
        <v>135</v>
      </c>
      <c r="D7" s="2" t="s">
        <v>136</v>
      </c>
      <c r="E7" s="2" t="s">
        <v>137</v>
      </c>
      <c r="F7" s="2" t="s">
        <v>138</v>
      </c>
      <c r="G7" s="2" t="s">
        <v>46</v>
      </c>
      <c r="H7" s="2">
        <v>0.1</v>
      </c>
      <c r="I7" s="2">
        <v>5</v>
      </c>
      <c r="J7" s="5">
        <f t="shared" si="0"/>
        <v>0.10500000000000001</v>
      </c>
    </row>
    <row r="8" spans="1:10">
      <c r="A8" s="2" t="s">
        <v>139</v>
      </c>
      <c r="B8" s="2" t="s">
        <v>78</v>
      </c>
      <c r="C8" s="2" t="s">
        <v>73</v>
      </c>
      <c r="D8" s="2" t="s">
        <v>140</v>
      </c>
      <c r="E8" s="2" t="s">
        <v>141</v>
      </c>
      <c r="F8" s="2" t="s">
        <v>133</v>
      </c>
      <c r="G8" s="2" t="s">
        <v>79</v>
      </c>
      <c r="H8" s="2">
        <v>2.8</v>
      </c>
      <c r="I8" s="2">
        <v>10</v>
      </c>
      <c r="J8" s="5">
        <f t="shared" si="0"/>
        <v>3.08</v>
      </c>
    </row>
    <row r="9" spans="1:10">
      <c r="A9" s="2" t="s">
        <v>139</v>
      </c>
      <c r="B9" s="2" t="s">
        <v>78</v>
      </c>
      <c r="C9" s="2" t="s">
        <v>142</v>
      </c>
      <c r="D9" s="2" t="s">
        <v>143</v>
      </c>
      <c r="E9" s="2" t="s">
        <v>144</v>
      </c>
      <c r="F9" s="2" t="s">
        <v>133</v>
      </c>
      <c r="G9" s="2" t="s">
        <v>145</v>
      </c>
      <c r="H9" s="2">
        <v>4.5</v>
      </c>
      <c r="I9" s="2">
        <v>5</v>
      </c>
      <c r="J9" s="5">
        <f t="shared" si="0"/>
        <v>4.7250000000000005</v>
      </c>
    </row>
    <row r="10" spans="1:10">
      <c r="A10" s="2" t="s">
        <v>139</v>
      </c>
      <c r="B10" s="2" t="s">
        <v>78</v>
      </c>
      <c r="C10" s="2" t="s">
        <v>146</v>
      </c>
      <c r="D10" s="2" t="s">
        <v>147</v>
      </c>
      <c r="E10" s="2" t="s">
        <v>148</v>
      </c>
      <c r="F10" s="2" t="s">
        <v>133</v>
      </c>
      <c r="G10" s="2" t="s">
        <v>145</v>
      </c>
      <c r="H10" s="2">
        <v>0.5</v>
      </c>
      <c r="I10" s="2">
        <v>10</v>
      </c>
      <c r="J10" s="5">
        <f t="shared" si="0"/>
        <v>0.55000000000000004</v>
      </c>
    </row>
    <row r="11" spans="1:10">
      <c r="A11" s="2" t="s">
        <v>149</v>
      </c>
      <c r="B11" s="2" t="s">
        <v>96</v>
      </c>
      <c r="C11" s="2" t="s">
        <v>92</v>
      </c>
      <c r="D11" s="2" t="s">
        <v>93</v>
      </c>
      <c r="E11" s="2" t="s">
        <v>150</v>
      </c>
      <c r="F11" s="2" t="s">
        <v>133</v>
      </c>
      <c r="G11" s="2" t="s">
        <v>46</v>
      </c>
      <c r="H11" s="2">
        <v>0.15</v>
      </c>
      <c r="I11" s="2">
        <v>5</v>
      </c>
      <c r="J11" s="5">
        <f t="shared" si="0"/>
        <v>0.1575</v>
      </c>
    </row>
    <row r="12" spans="1:10">
      <c r="A12" s="2" t="s">
        <v>149</v>
      </c>
      <c r="B12" s="2" t="s">
        <v>96</v>
      </c>
      <c r="C12" s="2" t="s">
        <v>151</v>
      </c>
      <c r="D12" s="2" t="s">
        <v>152</v>
      </c>
      <c r="E12" s="2" t="s">
        <v>153</v>
      </c>
      <c r="F12" s="2" t="s">
        <v>133</v>
      </c>
      <c r="G12" s="2" t="s">
        <v>145</v>
      </c>
      <c r="H12" s="2">
        <v>0.3</v>
      </c>
      <c r="I12" s="2">
        <v>10</v>
      </c>
      <c r="J12" s="5">
        <f t="shared" si="0"/>
        <v>0.33</v>
      </c>
    </row>
    <row r="13" spans="1:10">
      <c r="A13" s="2" t="s">
        <v>154</v>
      </c>
      <c r="B13" s="2" t="s">
        <v>155</v>
      </c>
      <c r="C13" s="2" t="s">
        <v>156</v>
      </c>
      <c r="D13" s="2" t="s">
        <v>157</v>
      </c>
      <c r="E13" s="2" t="s">
        <v>158</v>
      </c>
      <c r="F13" s="2" t="s">
        <v>133</v>
      </c>
      <c r="G13" s="2" t="s">
        <v>159</v>
      </c>
      <c r="H13" s="2">
        <v>0.12</v>
      </c>
      <c r="I13" s="2">
        <v>8</v>
      </c>
      <c r="J13" s="5">
        <f t="shared" si="0"/>
        <v>0.12959999999999999</v>
      </c>
    </row>
    <row r="14" spans="1:10">
      <c r="A14" s="2" t="s">
        <v>160</v>
      </c>
      <c r="B14" s="2" t="s">
        <v>110</v>
      </c>
      <c r="C14" s="2" t="s">
        <v>105</v>
      </c>
      <c r="D14" s="2" t="s">
        <v>106</v>
      </c>
      <c r="E14" s="2" t="s">
        <v>141</v>
      </c>
      <c r="F14" s="2" t="s">
        <v>133</v>
      </c>
      <c r="G14" s="2" t="s">
        <v>79</v>
      </c>
      <c r="H14" s="2">
        <v>5.35</v>
      </c>
      <c r="I14" s="2">
        <v>5</v>
      </c>
      <c r="J14" s="5">
        <f t="shared" si="0"/>
        <v>5.6174999999999997</v>
      </c>
    </row>
    <row r="15" spans="1:10">
      <c r="A15" s="19" t="s">
        <v>161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0">
      <c r="A16" s="19" t="s">
        <v>162</v>
      </c>
      <c r="B16" s="20"/>
      <c r="C16" s="20"/>
      <c r="D16" s="20"/>
      <c r="E16" s="20"/>
      <c r="F16" s="20"/>
      <c r="G16" s="20"/>
      <c r="H16" s="20"/>
      <c r="I16" s="20"/>
      <c r="J16" s="20"/>
    </row>
  </sheetData>
  <autoFilter ref="A4:J14" xr:uid="{00000000-0009-0000-0000-000001000000}"/>
  <mergeCells count="4">
    <mergeCell ref="A15:J15"/>
    <mergeCell ref="A16:J16"/>
    <mergeCell ref="A1:J1"/>
    <mergeCell ref="A2:J2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8936"/>
  </sheetPr>
  <dimension ref="A1:N17"/>
  <sheetViews>
    <sheetView workbookViewId="0">
      <pane xSplit="2" ySplit="4" topLeftCell="C5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7"/>
  <cols>
    <col min="1" max="2" width="11" customWidth="1"/>
    <col min="3" max="3" width="6" customWidth="1"/>
    <col min="4" max="4" width="10" customWidth="1"/>
    <col min="5" max="7" width="7" customWidth="1"/>
    <col min="8" max="9" width="11" customWidth="1"/>
    <col min="10" max="10" width="12" customWidth="1"/>
    <col min="11" max="11" width="10" customWidth="1"/>
    <col min="12" max="12" width="12" customWidth="1"/>
    <col min="13" max="13" width="8" customWidth="1"/>
    <col min="14" max="14" width="18" customWidth="1"/>
  </cols>
  <sheetData>
    <row r="1" spans="1:14" ht="20">
      <c r="A1" s="23" t="s">
        <v>163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>
      <c r="A2" s="24" t="s">
        <v>164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21" t="s">
        <v>165</v>
      </c>
      <c r="B3" s="22"/>
      <c r="C3" s="22"/>
      <c r="D3" s="22"/>
      <c r="E3" s="22"/>
      <c r="F3" s="22"/>
      <c r="G3" s="22"/>
      <c r="H3" s="21" t="s">
        <v>166</v>
      </c>
      <c r="I3" s="22"/>
      <c r="J3" s="22"/>
      <c r="K3" s="22"/>
      <c r="L3" s="22"/>
      <c r="M3" s="21" t="s">
        <v>167</v>
      </c>
      <c r="N3" s="22"/>
    </row>
    <row r="4" spans="1:14" ht="32">
      <c r="A4" s="1" t="s">
        <v>123</v>
      </c>
      <c r="B4" s="1" t="s">
        <v>124</v>
      </c>
      <c r="C4" s="1" t="s">
        <v>168</v>
      </c>
      <c r="D4" s="1" t="s">
        <v>169</v>
      </c>
      <c r="E4" s="1" t="s">
        <v>170</v>
      </c>
      <c r="F4" s="1" t="s">
        <v>171</v>
      </c>
      <c r="G4" s="1" t="s">
        <v>172</v>
      </c>
      <c r="H4" s="1" t="s">
        <v>173</v>
      </c>
      <c r="I4" s="1" t="s">
        <v>174</v>
      </c>
      <c r="J4" s="1" t="s">
        <v>175</v>
      </c>
      <c r="K4" s="1" t="s">
        <v>176</v>
      </c>
      <c r="L4" s="1" t="s">
        <v>177</v>
      </c>
      <c r="M4" s="1" t="s">
        <v>178</v>
      </c>
      <c r="N4" s="1" t="s">
        <v>179</v>
      </c>
    </row>
    <row r="5" spans="1:14">
      <c r="A5" s="2" t="s">
        <v>180</v>
      </c>
      <c r="B5" s="2" t="s">
        <v>181</v>
      </c>
      <c r="C5" s="2">
        <v>1</v>
      </c>
      <c r="D5" s="2" t="s">
        <v>54</v>
      </c>
      <c r="E5" s="2">
        <v>2</v>
      </c>
      <c r="F5" s="2">
        <v>0</v>
      </c>
      <c r="G5" s="2">
        <f t="shared" ref="G5:G17" si="0">E5+F5</f>
        <v>2</v>
      </c>
      <c r="H5" s="2" t="s">
        <v>54</v>
      </c>
      <c r="I5" s="2" t="s">
        <v>54</v>
      </c>
      <c r="J5" s="2" t="s">
        <v>54</v>
      </c>
      <c r="K5" s="2" t="s">
        <v>182</v>
      </c>
      <c r="L5" s="2">
        <v>0</v>
      </c>
      <c r="M5" s="2" t="s">
        <v>183</v>
      </c>
      <c r="N5" s="2"/>
    </row>
    <row r="6" spans="1:14">
      <c r="A6" s="2" t="s">
        <v>184</v>
      </c>
      <c r="B6" s="2" t="s">
        <v>185</v>
      </c>
      <c r="C6" s="2">
        <v>2</v>
      </c>
      <c r="D6" s="2" t="s">
        <v>180</v>
      </c>
      <c r="E6" s="2">
        <v>2</v>
      </c>
      <c r="F6" s="2">
        <v>0</v>
      </c>
      <c r="G6" s="2">
        <f t="shared" si="0"/>
        <v>2</v>
      </c>
      <c r="H6" s="2" t="s">
        <v>54</v>
      </c>
      <c r="I6" s="2" t="s">
        <v>54</v>
      </c>
      <c r="J6" s="2" t="s">
        <v>54</v>
      </c>
      <c r="K6" s="2" t="s">
        <v>186</v>
      </c>
      <c r="L6" s="2">
        <v>0</v>
      </c>
      <c r="M6" s="2" t="s">
        <v>187</v>
      </c>
      <c r="N6" s="2"/>
    </row>
    <row r="7" spans="1:14">
      <c r="A7" s="2" t="s">
        <v>188</v>
      </c>
      <c r="B7" s="2" t="s">
        <v>189</v>
      </c>
      <c r="C7" s="2">
        <v>3</v>
      </c>
      <c r="D7" s="2" t="s">
        <v>180</v>
      </c>
      <c r="E7" s="2">
        <v>1</v>
      </c>
      <c r="F7" s="2">
        <v>0</v>
      </c>
      <c r="G7" s="2">
        <f t="shared" si="0"/>
        <v>1</v>
      </c>
      <c r="H7" s="2" t="s">
        <v>54</v>
      </c>
      <c r="I7" s="2" t="s">
        <v>54</v>
      </c>
      <c r="J7" s="2" t="s">
        <v>54</v>
      </c>
      <c r="K7" s="2" t="s">
        <v>186</v>
      </c>
      <c r="L7" s="2">
        <v>0</v>
      </c>
      <c r="M7" s="2" t="s">
        <v>187</v>
      </c>
      <c r="N7" s="2"/>
    </row>
    <row r="8" spans="1:14">
      <c r="A8" s="2" t="s">
        <v>131</v>
      </c>
      <c r="B8" s="2" t="s">
        <v>45</v>
      </c>
      <c r="C8" s="2">
        <v>4</v>
      </c>
      <c r="D8" s="2" t="s">
        <v>184</v>
      </c>
      <c r="E8" s="2">
        <v>1</v>
      </c>
      <c r="F8" s="2">
        <v>2</v>
      </c>
      <c r="G8" s="2">
        <f t="shared" si="0"/>
        <v>3</v>
      </c>
      <c r="H8" s="2" t="s">
        <v>190</v>
      </c>
      <c r="I8" s="2" t="s">
        <v>191</v>
      </c>
      <c r="J8" s="2" t="s">
        <v>192</v>
      </c>
      <c r="K8" s="2" t="s">
        <v>186</v>
      </c>
      <c r="L8" s="2">
        <v>0.1</v>
      </c>
      <c r="M8" s="2" t="s">
        <v>193</v>
      </c>
      <c r="N8" s="2" t="s">
        <v>194</v>
      </c>
    </row>
    <row r="9" spans="1:14">
      <c r="A9" s="2" t="s">
        <v>195</v>
      </c>
      <c r="B9" s="2" t="s">
        <v>196</v>
      </c>
      <c r="C9" s="2">
        <v>5</v>
      </c>
      <c r="D9" s="2" t="s">
        <v>180</v>
      </c>
      <c r="E9" s="2">
        <v>1</v>
      </c>
      <c r="F9" s="2">
        <v>0</v>
      </c>
      <c r="G9" s="2">
        <f t="shared" si="0"/>
        <v>1</v>
      </c>
      <c r="H9" s="2" t="s">
        <v>54</v>
      </c>
      <c r="I9" s="2" t="s">
        <v>54</v>
      </c>
      <c r="J9" s="2" t="s">
        <v>54</v>
      </c>
      <c r="K9" s="2" t="s">
        <v>54</v>
      </c>
      <c r="L9" s="2">
        <v>0</v>
      </c>
      <c r="M9" s="2" t="s">
        <v>187</v>
      </c>
      <c r="N9" s="2"/>
    </row>
    <row r="10" spans="1:14">
      <c r="A10" s="2" t="s">
        <v>197</v>
      </c>
      <c r="B10" s="2" t="s">
        <v>198</v>
      </c>
      <c r="C10" s="2">
        <v>6</v>
      </c>
      <c r="D10" s="2" t="s">
        <v>131</v>
      </c>
      <c r="E10" s="2">
        <v>3</v>
      </c>
      <c r="F10" s="2">
        <v>1</v>
      </c>
      <c r="G10" s="2">
        <f t="shared" si="0"/>
        <v>4</v>
      </c>
      <c r="H10" s="2" t="s">
        <v>199</v>
      </c>
      <c r="I10" s="2" t="s">
        <v>200</v>
      </c>
      <c r="J10" s="2" t="s">
        <v>201</v>
      </c>
      <c r="K10" s="2" t="s">
        <v>202</v>
      </c>
      <c r="L10" s="2">
        <v>0.12</v>
      </c>
      <c r="M10" s="2" t="s">
        <v>187</v>
      </c>
      <c r="N10" s="2"/>
    </row>
    <row r="11" spans="1:14">
      <c r="A11" s="2" t="s">
        <v>203</v>
      </c>
      <c r="B11" s="2" t="s">
        <v>204</v>
      </c>
      <c r="C11" s="2">
        <v>7</v>
      </c>
      <c r="D11" s="2" t="s">
        <v>197</v>
      </c>
      <c r="E11" s="2">
        <v>1</v>
      </c>
      <c r="F11" s="2">
        <v>0</v>
      </c>
      <c r="G11" s="2">
        <f t="shared" si="0"/>
        <v>1</v>
      </c>
      <c r="H11" s="2" t="s">
        <v>205</v>
      </c>
      <c r="I11" s="2" t="s">
        <v>190</v>
      </c>
      <c r="J11" s="2" t="s">
        <v>206</v>
      </c>
      <c r="K11" s="2" t="s">
        <v>182</v>
      </c>
      <c r="L11" s="2">
        <v>0.05</v>
      </c>
      <c r="M11" s="2" t="s">
        <v>193</v>
      </c>
      <c r="N11" s="2"/>
    </row>
    <row r="12" spans="1:14">
      <c r="A12" s="2" t="s">
        <v>139</v>
      </c>
      <c r="B12" s="2" t="s">
        <v>78</v>
      </c>
      <c r="C12" s="2">
        <v>8</v>
      </c>
      <c r="D12" s="2" t="s">
        <v>131</v>
      </c>
      <c r="E12" s="2">
        <v>3</v>
      </c>
      <c r="F12" s="2">
        <v>1</v>
      </c>
      <c r="G12" s="2">
        <f t="shared" si="0"/>
        <v>4</v>
      </c>
      <c r="H12" s="2" t="s">
        <v>207</v>
      </c>
      <c r="I12" s="2" t="s">
        <v>200</v>
      </c>
      <c r="J12" s="2" t="s">
        <v>208</v>
      </c>
      <c r="K12" s="2" t="s">
        <v>209</v>
      </c>
      <c r="L12" s="2">
        <v>0.15</v>
      </c>
      <c r="M12" s="2" t="s">
        <v>187</v>
      </c>
      <c r="N12" s="2" t="s">
        <v>210</v>
      </c>
    </row>
    <row r="13" spans="1:14">
      <c r="A13" s="2" t="s">
        <v>149</v>
      </c>
      <c r="B13" s="2" t="s">
        <v>96</v>
      </c>
      <c r="C13" s="2">
        <v>9</v>
      </c>
      <c r="D13" s="2" t="s">
        <v>197</v>
      </c>
      <c r="E13" s="2">
        <v>2</v>
      </c>
      <c r="F13" s="2">
        <v>1</v>
      </c>
      <c r="G13" s="2">
        <f t="shared" si="0"/>
        <v>3</v>
      </c>
      <c r="H13" s="2" t="s">
        <v>211</v>
      </c>
      <c r="I13" s="2" t="s">
        <v>212</v>
      </c>
      <c r="J13" s="2" t="s">
        <v>213</v>
      </c>
      <c r="K13" s="2" t="s">
        <v>182</v>
      </c>
      <c r="L13" s="2">
        <v>0.05</v>
      </c>
      <c r="M13" s="2" t="s">
        <v>183</v>
      </c>
      <c r="N13" s="2" t="s">
        <v>214</v>
      </c>
    </row>
    <row r="14" spans="1:14">
      <c r="A14" s="2" t="s">
        <v>160</v>
      </c>
      <c r="B14" s="2" t="s">
        <v>215</v>
      </c>
      <c r="C14" s="2">
        <v>10</v>
      </c>
      <c r="D14" s="2" t="s">
        <v>149</v>
      </c>
      <c r="E14" s="2">
        <v>2</v>
      </c>
      <c r="F14" s="2">
        <v>0</v>
      </c>
      <c r="G14" s="2">
        <f t="shared" si="0"/>
        <v>2</v>
      </c>
      <c r="H14" s="2" t="s">
        <v>216</v>
      </c>
      <c r="I14" s="2" t="s">
        <v>205</v>
      </c>
      <c r="J14" s="2" t="s">
        <v>217</v>
      </c>
      <c r="K14" s="2" t="s">
        <v>186</v>
      </c>
      <c r="L14" s="2">
        <v>0.08</v>
      </c>
      <c r="M14" s="2" t="s">
        <v>193</v>
      </c>
      <c r="N14" s="2" t="s">
        <v>218</v>
      </c>
    </row>
    <row r="15" spans="1:14">
      <c r="A15" s="2" t="s">
        <v>154</v>
      </c>
      <c r="B15" s="2" t="s">
        <v>155</v>
      </c>
      <c r="C15" s="2">
        <v>11</v>
      </c>
      <c r="D15" s="2" t="s">
        <v>149</v>
      </c>
      <c r="E15" s="2">
        <v>2</v>
      </c>
      <c r="F15" s="2">
        <v>0</v>
      </c>
      <c r="G15" s="2">
        <f t="shared" si="0"/>
        <v>2</v>
      </c>
      <c r="H15" s="2" t="s">
        <v>219</v>
      </c>
      <c r="I15" s="2" t="s">
        <v>212</v>
      </c>
      <c r="J15" s="2" t="s">
        <v>220</v>
      </c>
      <c r="K15" s="2" t="s">
        <v>221</v>
      </c>
      <c r="L15" s="2">
        <v>0.06</v>
      </c>
      <c r="M15" s="2" t="s">
        <v>183</v>
      </c>
      <c r="N15" s="2" t="s">
        <v>222</v>
      </c>
    </row>
    <row r="16" spans="1:14">
      <c r="A16" s="2" t="s">
        <v>223</v>
      </c>
      <c r="B16" s="2" t="s">
        <v>224</v>
      </c>
      <c r="C16" s="2">
        <v>12</v>
      </c>
      <c r="D16" s="2" t="s">
        <v>154</v>
      </c>
      <c r="E16" s="2">
        <v>2</v>
      </c>
      <c r="F16" s="2">
        <v>0</v>
      </c>
      <c r="G16" s="2">
        <f t="shared" si="0"/>
        <v>2</v>
      </c>
      <c r="H16" s="2" t="s">
        <v>54</v>
      </c>
      <c r="I16" s="2" t="s">
        <v>54</v>
      </c>
      <c r="J16" s="2" t="s">
        <v>54</v>
      </c>
      <c r="K16" s="2" t="s">
        <v>54</v>
      </c>
      <c r="L16" s="2">
        <v>0</v>
      </c>
      <c r="M16" s="2" t="s">
        <v>193</v>
      </c>
      <c r="N16" s="2"/>
    </row>
    <row r="17" spans="1:14">
      <c r="A17" s="2" t="s">
        <v>225</v>
      </c>
      <c r="B17" s="2" t="s">
        <v>226</v>
      </c>
      <c r="C17" s="2">
        <v>13</v>
      </c>
      <c r="D17" s="2" t="s">
        <v>223</v>
      </c>
      <c r="E17" s="2">
        <v>1</v>
      </c>
      <c r="F17" s="2">
        <v>0</v>
      </c>
      <c r="G17" s="2">
        <f t="shared" si="0"/>
        <v>1</v>
      </c>
      <c r="H17" s="2" t="s">
        <v>54</v>
      </c>
      <c r="I17" s="2" t="s">
        <v>54</v>
      </c>
      <c r="J17" s="2" t="s">
        <v>54</v>
      </c>
      <c r="K17" s="2" t="s">
        <v>54</v>
      </c>
      <c r="L17" s="2">
        <v>0</v>
      </c>
      <c r="M17" s="2" t="s">
        <v>183</v>
      </c>
      <c r="N17" s="2"/>
    </row>
  </sheetData>
  <mergeCells count="5">
    <mergeCell ref="H3:L3"/>
    <mergeCell ref="A3:G3"/>
    <mergeCell ref="A2:N2"/>
    <mergeCell ref="M3:N3"/>
    <mergeCell ref="A1:N1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C8181"/>
  </sheetPr>
  <dimension ref="A1:G7"/>
  <sheetViews>
    <sheetView workbookViewId="0">
      <pane ySplit="4" topLeftCell="A5" activePane="bottomLeft" state="frozen"/>
      <selection pane="bottomLeft" sqref="A1:F1"/>
    </sheetView>
  </sheetViews>
  <sheetFormatPr baseColWidth="10" defaultColWidth="8.83203125" defaultRowHeight="17"/>
  <cols>
    <col min="1" max="1" width="11" customWidth="1"/>
    <col min="2" max="2" width="15" customWidth="1"/>
    <col min="3" max="3" width="11" customWidth="1"/>
    <col min="4" max="4" width="15" customWidth="1"/>
    <col min="5" max="5" width="8" customWidth="1"/>
    <col min="6" max="6" width="30" customWidth="1"/>
    <col min="7" max="7" width="18" customWidth="1"/>
  </cols>
  <sheetData>
    <row r="1" spans="1:7" ht="20">
      <c r="A1" s="23" t="s">
        <v>227</v>
      </c>
      <c r="B1" s="20"/>
      <c r="C1" s="20"/>
      <c r="D1" s="20"/>
      <c r="E1" s="20"/>
      <c r="F1" s="20"/>
    </row>
    <row r="2" spans="1:7">
      <c r="A2" s="24" t="s">
        <v>228</v>
      </c>
      <c r="B2" s="20"/>
      <c r="C2" s="20"/>
      <c r="D2" s="20"/>
      <c r="E2" s="20"/>
      <c r="F2" s="20"/>
    </row>
    <row r="4" spans="1:7">
      <c r="A4" s="1" t="s">
        <v>229</v>
      </c>
      <c r="B4" s="1" t="s">
        <v>230</v>
      </c>
      <c r="C4" s="1" t="s">
        <v>231</v>
      </c>
      <c r="D4" s="1" t="s">
        <v>232</v>
      </c>
      <c r="E4" s="1" t="s">
        <v>233</v>
      </c>
      <c r="F4" s="1" t="s">
        <v>234</v>
      </c>
      <c r="G4" s="1" t="s">
        <v>235</v>
      </c>
    </row>
    <row r="5" spans="1:7">
      <c r="A5" s="2" t="s">
        <v>236</v>
      </c>
      <c r="B5" s="2" t="s">
        <v>237</v>
      </c>
      <c r="C5" s="2" t="s">
        <v>238</v>
      </c>
      <c r="D5" s="2" t="s">
        <v>239</v>
      </c>
      <c r="E5" s="2" t="s">
        <v>240</v>
      </c>
      <c r="F5" s="2" t="s">
        <v>241</v>
      </c>
      <c r="G5" s="2" t="s">
        <v>242</v>
      </c>
    </row>
    <row r="6" spans="1:7">
      <c r="A6" s="2" t="s">
        <v>243</v>
      </c>
      <c r="B6" s="2" t="s">
        <v>244</v>
      </c>
      <c r="C6" s="2" t="s">
        <v>245</v>
      </c>
      <c r="D6" s="2" t="s">
        <v>246</v>
      </c>
      <c r="E6" s="2" t="s">
        <v>247</v>
      </c>
      <c r="F6" s="2" t="s">
        <v>248</v>
      </c>
      <c r="G6" s="2" t="s">
        <v>54</v>
      </c>
    </row>
    <row r="7" spans="1:7">
      <c r="A7" s="2" t="s">
        <v>92</v>
      </c>
      <c r="B7" s="2" t="s">
        <v>93</v>
      </c>
      <c r="C7" s="2" t="s">
        <v>249</v>
      </c>
      <c r="D7" s="2" t="s">
        <v>250</v>
      </c>
      <c r="E7" s="2" t="s">
        <v>240</v>
      </c>
      <c r="F7" s="2" t="s">
        <v>251</v>
      </c>
      <c r="G7" s="2" t="s">
        <v>252</v>
      </c>
    </row>
  </sheetData>
  <mergeCells count="2">
    <mergeCell ref="A2:F2"/>
    <mergeCell ref="A1:F1"/>
  </mergeCells>
  <phoneticPr fontId="10" type="noConversion"/>
  <dataValidations count="1">
    <dataValidation type="list" allowBlank="1" error="NG 또는 조건부만 입력" sqref="E5:E100" xr:uid="{00000000-0002-0000-0300-000000000000}">
      <formula1>"NG,조건부"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F7AEA"/>
  </sheetPr>
  <dimension ref="A1:H8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7"/>
  <cols>
    <col min="1" max="1" width="11" customWidth="1"/>
    <col min="2" max="3" width="14" customWidth="1"/>
    <col min="4" max="5" width="10" customWidth="1"/>
    <col min="6" max="6" width="14" customWidth="1"/>
    <col min="7" max="7" width="10" customWidth="1"/>
    <col min="8" max="8" width="16" customWidth="1"/>
  </cols>
  <sheetData>
    <row r="1" spans="1:8" ht="20">
      <c r="A1" s="23" t="s">
        <v>253</v>
      </c>
      <c r="B1" s="20"/>
      <c r="C1" s="20"/>
      <c r="D1" s="20"/>
      <c r="E1" s="20"/>
      <c r="F1" s="20"/>
      <c r="G1" s="20"/>
      <c r="H1" s="20"/>
    </row>
    <row r="2" spans="1:8">
      <c r="A2" s="24" t="s">
        <v>254</v>
      </c>
      <c r="B2" s="20"/>
      <c r="C2" s="20"/>
      <c r="D2" s="20"/>
      <c r="E2" s="20"/>
      <c r="F2" s="20"/>
      <c r="G2" s="20"/>
      <c r="H2" s="20"/>
    </row>
    <row r="4" spans="1:8">
      <c r="A4" s="1" t="s">
        <v>29</v>
      </c>
      <c r="B4" s="1" t="s">
        <v>255</v>
      </c>
      <c r="C4" s="1" t="s">
        <v>256</v>
      </c>
      <c r="D4" s="1" t="s">
        <v>257</v>
      </c>
      <c r="E4" s="1" t="s">
        <v>258</v>
      </c>
      <c r="F4" s="1" t="s">
        <v>259</v>
      </c>
      <c r="G4" s="1" t="s">
        <v>260</v>
      </c>
      <c r="H4" s="1" t="s">
        <v>261</v>
      </c>
    </row>
    <row r="5" spans="1:8">
      <c r="A5" s="2" t="s">
        <v>52</v>
      </c>
      <c r="B5" s="2" t="s">
        <v>262</v>
      </c>
      <c r="C5" s="2" t="s">
        <v>263</v>
      </c>
      <c r="D5" s="2" t="s">
        <v>264</v>
      </c>
      <c r="E5" s="2" t="s">
        <v>265</v>
      </c>
      <c r="F5" s="2" t="s">
        <v>266</v>
      </c>
      <c r="G5" s="2" t="s">
        <v>267</v>
      </c>
      <c r="H5" s="2" t="s">
        <v>268</v>
      </c>
    </row>
    <row r="6" spans="1:8">
      <c r="A6" s="2" t="s">
        <v>83</v>
      </c>
      <c r="B6" s="2" t="s">
        <v>269</v>
      </c>
      <c r="C6" s="2" t="s">
        <v>78</v>
      </c>
      <c r="D6" s="2" t="s">
        <v>270</v>
      </c>
      <c r="E6" s="2" t="s">
        <v>271</v>
      </c>
      <c r="F6" s="2" t="s">
        <v>272</v>
      </c>
      <c r="G6" s="2" t="s">
        <v>273</v>
      </c>
      <c r="H6" s="2" t="s">
        <v>268</v>
      </c>
    </row>
    <row r="7" spans="1:8">
      <c r="A7" s="2" t="s">
        <v>98</v>
      </c>
      <c r="B7" s="2" t="s">
        <v>274</v>
      </c>
      <c r="C7" s="2" t="s">
        <v>96</v>
      </c>
      <c r="D7" s="2" t="s">
        <v>275</v>
      </c>
      <c r="E7" s="2" t="s">
        <v>276</v>
      </c>
      <c r="F7" s="2" t="s">
        <v>277</v>
      </c>
      <c r="G7" s="2" t="s">
        <v>267</v>
      </c>
      <c r="H7" s="2" t="s">
        <v>268</v>
      </c>
    </row>
    <row r="8" spans="1:8">
      <c r="A8" s="2" t="s">
        <v>112</v>
      </c>
      <c r="B8" s="2" t="s">
        <v>278</v>
      </c>
      <c r="C8" s="2" t="s">
        <v>110</v>
      </c>
      <c r="D8" s="2" t="s">
        <v>270</v>
      </c>
      <c r="E8" s="2" t="s">
        <v>279</v>
      </c>
      <c r="F8" s="2" t="s">
        <v>266</v>
      </c>
      <c r="G8" s="2" t="s">
        <v>273</v>
      </c>
      <c r="H8" s="2" t="s">
        <v>268</v>
      </c>
    </row>
  </sheetData>
  <mergeCells count="2">
    <mergeCell ref="A2:H2"/>
    <mergeCell ref="A1:H1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B2AC"/>
  </sheetPr>
  <dimension ref="A1:H9"/>
  <sheetViews>
    <sheetView workbookViewId="0">
      <selection sqref="A1:H1"/>
    </sheetView>
  </sheetViews>
  <sheetFormatPr baseColWidth="10" defaultColWidth="8.83203125" defaultRowHeight="17"/>
  <cols>
    <col min="1" max="1" width="10" customWidth="1"/>
    <col min="2" max="2" width="12" customWidth="1"/>
    <col min="3" max="8" width="10" customWidth="1"/>
  </cols>
  <sheetData>
    <row r="1" spans="1:8" ht="20">
      <c r="A1" s="23" t="s">
        <v>280</v>
      </c>
      <c r="B1" s="20"/>
      <c r="C1" s="20"/>
      <c r="D1" s="20"/>
      <c r="E1" s="20"/>
      <c r="F1" s="20"/>
      <c r="G1" s="20"/>
      <c r="H1" s="20"/>
    </row>
    <row r="2" spans="1:8">
      <c r="A2" s="24" t="s">
        <v>281</v>
      </c>
      <c r="B2" s="20"/>
      <c r="C2" s="20"/>
      <c r="D2" s="20"/>
      <c r="E2" s="20"/>
      <c r="F2" s="20"/>
      <c r="G2" s="20"/>
      <c r="H2" s="20"/>
    </row>
    <row r="4" spans="1:8">
      <c r="A4" s="1" t="s">
        <v>282</v>
      </c>
      <c r="B4" s="1" t="s">
        <v>283</v>
      </c>
      <c r="C4" s="1" t="s">
        <v>284</v>
      </c>
      <c r="D4" s="1" t="s">
        <v>285</v>
      </c>
      <c r="E4" s="1" t="s">
        <v>286</v>
      </c>
      <c r="F4" s="1" t="s">
        <v>287</v>
      </c>
      <c r="G4" s="1" t="s">
        <v>288</v>
      </c>
      <c r="H4" s="1" t="s">
        <v>289</v>
      </c>
    </row>
    <row r="5" spans="1:8">
      <c r="A5" s="2" t="s">
        <v>290</v>
      </c>
      <c r="B5" s="2">
        <v>59</v>
      </c>
      <c r="C5" s="2">
        <v>3.5</v>
      </c>
      <c r="D5" s="2">
        <v>5</v>
      </c>
      <c r="E5" s="2">
        <v>14</v>
      </c>
      <c r="F5" s="2">
        <v>10</v>
      </c>
      <c r="G5" s="2">
        <v>7</v>
      </c>
      <c r="H5" s="2">
        <v>5</v>
      </c>
    </row>
    <row r="6" spans="1:8">
      <c r="A6" s="2" t="s">
        <v>291</v>
      </c>
      <c r="B6" s="2">
        <v>84</v>
      </c>
      <c r="C6" s="2">
        <v>4.5</v>
      </c>
      <c r="D6" s="2">
        <v>7</v>
      </c>
      <c r="E6" s="2">
        <v>20</v>
      </c>
      <c r="F6" s="2">
        <v>13</v>
      </c>
      <c r="G6" s="2">
        <v>9</v>
      </c>
      <c r="H6" s="2">
        <v>7</v>
      </c>
    </row>
    <row r="7" spans="1:8">
      <c r="A7" s="2" t="s">
        <v>292</v>
      </c>
      <c r="B7" s="2">
        <v>105</v>
      </c>
      <c r="C7" s="2">
        <v>5</v>
      </c>
      <c r="D7" s="2">
        <v>8</v>
      </c>
      <c r="E7" s="2">
        <v>25</v>
      </c>
      <c r="F7" s="2">
        <v>15</v>
      </c>
      <c r="G7" s="2">
        <v>10</v>
      </c>
      <c r="H7" s="2">
        <v>8</v>
      </c>
    </row>
    <row r="8" spans="1:8">
      <c r="A8" s="2" t="s">
        <v>293</v>
      </c>
      <c r="B8" s="2">
        <v>112</v>
      </c>
      <c r="C8" s="2">
        <v>5.5</v>
      </c>
      <c r="D8" s="2">
        <v>9</v>
      </c>
      <c r="E8" s="2">
        <v>28</v>
      </c>
      <c r="F8" s="2">
        <v>16</v>
      </c>
      <c r="G8" s="2">
        <v>11</v>
      </c>
      <c r="H8" s="2">
        <v>9</v>
      </c>
    </row>
    <row r="9" spans="1:8">
      <c r="A9" s="2" t="s">
        <v>294</v>
      </c>
      <c r="B9" s="2">
        <v>142</v>
      </c>
      <c r="C9" s="2">
        <v>6</v>
      </c>
      <c r="D9" s="2">
        <v>11</v>
      </c>
      <c r="E9" s="2">
        <v>35</v>
      </c>
      <c r="F9" s="2">
        <v>20</v>
      </c>
      <c r="G9" s="2">
        <v>13</v>
      </c>
      <c r="H9" s="2">
        <v>11</v>
      </c>
    </row>
  </sheetData>
  <mergeCells count="2">
    <mergeCell ref="A2:H2"/>
    <mergeCell ref="A1:H1"/>
  </mergeCells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8BB78"/>
  </sheetPr>
  <dimension ref="A1:L48"/>
  <sheetViews>
    <sheetView workbookViewId="0">
      <pane ySplit="22" topLeftCell="A37" activePane="bottomLeft" state="frozen"/>
      <selection pane="bottomLeft" activeCell="I20" sqref="I20"/>
    </sheetView>
  </sheetViews>
  <sheetFormatPr baseColWidth="10" defaultColWidth="8.83203125" defaultRowHeight="17"/>
  <cols>
    <col min="1" max="1" width="14" customWidth="1"/>
    <col min="2" max="2" width="15" customWidth="1"/>
    <col min="3" max="3" width="12" customWidth="1"/>
    <col min="4" max="4" width="6" customWidth="1"/>
    <col min="5" max="6" width="11" customWidth="1"/>
    <col min="7" max="7" width="9" customWidth="1"/>
    <col min="8" max="8" width="11" customWidth="1"/>
    <col min="9" max="9" width="10" customWidth="1"/>
    <col min="10" max="10" width="11" customWidth="1"/>
    <col min="11" max="11" width="10" customWidth="1"/>
    <col min="12" max="12" width="14" customWidth="1"/>
  </cols>
  <sheetData>
    <row r="1" spans="1:12" ht="23">
      <c r="A1" s="26" t="s">
        <v>295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4" t="s">
        <v>296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>
      <c r="A4" s="27" t="s">
        <v>297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>
      <c r="A5" s="6" t="s">
        <v>298</v>
      </c>
      <c r="B5" s="6" t="s">
        <v>299</v>
      </c>
    </row>
    <row r="6" spans="1:12">
      <c r="A6" s="7" t="s">
        <v>300</v>
      </c>
      <c r="B6" s="8">
        <v>4.5</v>
      </c>
    </row>
    <row r="7" spans="1:12">
      <c r="A7" s="7" t="s">
        <v>301</v>
      </c>
      <c r="B7" s="8">
        <v>12</v>
      </c>
    </row>
    <row r="8" spans="1:12">
      <c r="A8" s="7" t="s">
        <v>302</v>
      </c>
      <c r="B8" s="8">
        <v>7</v>
      </c>
    </row>
    <row r="9" spans="1:12">
      <c r="A9" s="7" t="s">
        <v>303</v>
      </c>
      <c r="B9" s="8">
        <v>20</v>
      </c>
    </row>
    <row r="10" spans="1:12">
      <c r="A10" s="7" t="s">
        <v>304</v>
      </c>
      <c r="B10" s="8">
        <v>13</v>
      </c>
    </row>
    <row r="11" spans="1:12">
      <c r="A11" s="7" t="s">
        <v>305</v>
      </c>
      <c r="B11" s="8">
        <v>9</v>
      </c>
    </row>
    <row r="12" spans="1:12">
      <c r="A12" s="7" t="s">
        <v>306</v>
      </c>
      <c r="B12" s="8">
        <v>7</v>
      </c>
    </row>
    <row r="14" spans="1:12">
      <c r="A14" s="27" t="s">
        <v>307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>
      <c r="A15" s="6" t="s">
        <v>308</v>
      </c>
      <c r="B15" s="6" t="s">
        <v>309</v>
      </c>
      <c r="C15" s="6" t="s">
        <v>310</v>
      </c>
    </row>
    <row r="16" spans="1:12">
      <c r="A16" s="7" t="s">
        <v>45</v>
      </c>
      <c r="B16" s="9" t="s">
        <v>311</v>
      </c>
      <c r="C16" s="7" t="s">
        <v>300</v>
      </c>
    </row>
    <row r="17" spans="1:12">
      <c r="A17" s="7" t="s">
        <v>78</v>
      </c>
      <c r="B17" s="9" t="s">
        <v>311</v>
      </c>
      <c r="C17" s="7" t="s">
        <v>312</v>
      </c>
    </row>
    <row r="18" spans="1:12">
      <c r="A18" s="7" t="s">
        <v>96</v>
      </c>
      <c r="B18" s="9" t="s">
        <v>311</v>
      </c>
      <c r="C18" s="7" t="s">
        <v>313</v>
      </c>
    </row>
    <row r="19" spans="1:12">
      <c r="A19" s="7" t="s">
        <v>110</v>
      </c>
      <c r="B19" s="9" t="s">
        <v>311</v>
      </c>
      <c r="C19" s="7" t="s">
        <v>313</v>
      </c>
    </row>
    <row r="20" spans="1:12">
      <c r="A20" s="7" t="s">
        <v>155</v>
      </c>
      <c r="B20" s="9" t="s">
        <v>311</v>
      </c>
      <c r="C20" s="7" t="s">
        <v>313</v>
      </c>
    </row>
    <row r="22" spans="1:12">
      <c r="A22" s="27" t="s">
        <v>314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ht="32">
      <c r="A23" s="1" t="s">
        <v>308</v>
      </c>
      <c r="B23" s="1" t="s">
        <v>125</v>
      </c>
      <c r="C23" s="1" t="s">
        <v>10</v>
      </c>
      <c r="D23" s="1" t="s">
        <v>14</v>
      </c>
      <c r="E23" s="1" t="s">
        <v>315</v>
      </c>
      <c r="F23" s="1" t="s">
        <v>316</v>
      </c>
      <c r="G23" s="1" t="s">
        <v>129</v>
      </c>
      <c r="H23" s="1" t="s">
        <v>317</v>
      </c>
      <c r="I23" s="1" t="s">
        <v>15</v>
      </c>
      <c r="J23" s="1" t="s">
        <v>318</v>
      </c>
      <c r="K23" s="1" t="s">
        <v>319</v>
      </c>
      <c r="L23" s="1" t="s">
        <v>320</v>
      </c>
    </row>
    <row r="24" spans="1:12">
      <c r="A24" s="10" t="s">
        <v>45</v>
      </c>
      <c r="B24" s="10" t="s">
        <v>41</v>
      </c>
      <c r="C24" s="10" t="s">
        <v>42</v>
      </c>
      <c r="D24" s="10" t="s">
        <v>46</v>
      </c>
      <c r="E24" s="11">
        <f>B6</f>
        <v>4.5</v>
      </c>
      <c r="F24" s="12">
        <v>0.6</v>
      </c>
      <c r="G24" s="10">
        <v>10</v>
      </c>
      <c r="H24" s="13">
        <f t="shared" ref="H24:H32" si="0">E24*F24*(1+G24/100)</f>
        <v>2.9699999999999998</v>
      </c>
      <c r="I24" s="10">
        <v>18</v>
      </c>
      <c r="J24" s="14">
        <f t="shared" ref="J24:J32" si="1">CEILING(H24/I24,1)</f>
        <v>1</v>
      </c>
      <c r="K24" s="15">
        <v>45000</v>
      </c>
      <c r="L24" s="16">
        <f t="shared" ref="L24:L32" si="2">J24*K24</f>
        <v>45000</v>
      </c>
    </row>
    <row r="25" spans="1:12">
      <c r="A25" s="10" t="s">
        <v>45</v>
      </c>
      <c r="B25" s="10" t="s">
        <v>61</v>
      </c>
      <c r="C25" s="10" t="s">
        <v>321</v>
      </c>
      <c r="D25" s="10" t="s">
        <v>64</v>
      </c>
      <c r="E25" s="11">
        <f>B6</f>
        <v>4.5</v>
      </c>
      <c r="F25" s="12">
        <v>1.05</v>
      </c>
      <c r="G25" s="10">
        <v>5</v>
      </c>
      <c r="H25" s="13">
        <f t="shared" si="0"/>
        <v>4.9612500000000006</v>
      </c>
      <c r="I25" s="10">
        <v>50</v>
      </c>
      <c r="J25" s="14">
        <f t="shared" si="1"/>
        <v>1</v>
      </c>
      <c r="K25" s="15">
        <v>15000</v>
      </c>
      <c r="L25" s="16">
        <f t="shared" si="2"/>
        <v>15000</v>
      </c>
    </row>
    <row r="26" spans="1:12">
      <c r="A26" s="10" t="s">
        <v>78</v>
      </c>
      <c r="B26" s="10" t="s">
        <v>74</v>
      </c>
      <c r="C26" s="10" t="s">
        <v>75</v>
      </c>
      <c r="D26" s="10" t="s">
        <v>79</v>
      </c>
      <c r="E26" s="11">
        <f>B6+B7</f>
        <v>16.5</v>
      </c>
      <c r="F26" s="12">
        <v>2.8</v>
      </c>
      <c r="G26" s="10">
        <v>10</v>
      </c>
      <c r="H26" s="13">
        <f t="shared" si="0"/>
        <v>50.82</v>
      </c>
      <c r="I26" s="10">
        <v>8</v>
      </c>
      <c r="J26" s="14">
        <f t="shared" si="1"/>
        <v>7</v>
      </c>
      <c r="K26" s="15">
        <v>4800</v>
      </c>
      <c r="L26" s="16">
        <f t="shared" si="2"/>
        <v>33600</v>
      </c>
    </row>
    <row r="27" spans="1:12">
      <c r="A27" s="10" t="s">
        <v>78</v>
      </c>
      <c r="B27" s="10" t="s">
        <v>143</v>
      </c>
      <c r="C27" s="10" t="s">
        <v>322</v>
      </c>
      <c r="D27" s="10" t="s">
        <v>145</v>
      </c>
      <c r="E27" s="11">
        <f>B6+B7</f>
        <v>16.5</v>
      </c>
      <c r="F27" s="12">
        <v>4.5</v>
      </c>
      <c r="G27" s="10">
        <v>5</v>
      </c>
      <c r="H27" s="13">
        <f t="shared" si="0"/>
        <v>77.962500000000006</v>
      </c>
      <c r="I27" s="10">
        <v>20</v>
      </c>
      <c r="J27" s="14">
        <f t="shared" si="1"/>
        <v>4</v>
      </c>
      <c r="K27" s="15">
        <v>18000</v>
      </c>
      <c r="L27" s="16">
        <f t="shared" si="2"/>
        <v>72000</v>
      </c>
    </row>
    <row r="28" spans="1:12">
      <c r="A28" s="10" t="s">
        <v>78</v>
      </c>
      <c r="B28" s="10" t="s">
        <v>147</v>
      </c>
      <c r="C28" s="10" t="s">
        <v>323</v>
      </c>
      <c r="D28" s="10" t="s">
        <v>145</v>
      </c>
      <c r="E28" s="11">
        <f>B6+B7</f>
        <v>16.5</v>
      </c>
      <c r="F28" s="12">
        <v>0.5</v>
      </c>
      <c r="G28" s="10">
        <v>10</v>
      </c>
      <c r="H28" s="13">
        <f t="shared" si="0"/>
        <v>9.0750000000000011</v>
      </c>
      <c r="I28" s="10">
        <v>5</v>
      </c>
      <c r="J28" s="14">
        <f t="shared" si="1"/>
        <v>2</v>
      </c>
      <c r="K28" s="15">
        <v>8000</v>
      </c>
      <c r="L28" s="16">
        <f t="shared" si="2"/>
        <v>16000</v>
      </c>
    </row>
    <row r="29" spans="1:12">
      <c r="A29" s="10" t="s">
        <v>96</v>
      </c>
      <c r="B29" s="10" t="s">
        <v>93</v>
      </c>
      <c r="C29" s="10" t="s">
        <v>94</v>
      </c>
      <c r="D29" s="10" t="s">
        <v>46</v>
      </c>
      <c r="E29" s="11">
        <f>B8+B9+B10</f>
        <v>40</v>
      </c>
      <c r="F29" s="12">
        <v>0.15</v>
      </c>
      <c r="G29" s="10">
        <v>5</v>
      </c>
      <c r="H29" s="13">
        <f t="shared" si="0"/>
        <v>6.3000000000000007</v>
      </c>
      <c r="I29" s="10">
        <v>4</v>
      </c>
      <c r="J29" s="14">
        <f t="shared" si="1"/>
        <v>2</v>
      </c>
      <c r="K29" s="15">
        <v>25000</v>
      </c>
      <c r="L29" s="16">
        <f t="shared" si="2"/>
        <v>50000</v>
      </c>
    </row>
    <row r="30" spans="1:12">
      <c r="A30" s="10" t="s">
        <v>96</v>
      </c>
      <c r="B30" s="10" t="s">
        <v>152</v>
      </c>
      <c r="C30" s="10" t="s">
        <v>324</v>
      </c>
      <c r="D30" s="10" t="s">
        <v>145</v>
      </c>
      <c r="E30" s="11">
        <f>B8+B9+B10</f>
        <v>40</v>
      </c>
      <c r="F30" s="12">
        <v>0.3</v>
      </c>
      <c r="G30" s="10">
        <v>10</v>
      </c>
      <c r="H30" s="13">
        <f t="shared" si="0"/>
        <v>13.200000000000001</v>
      </c>
      <c r="I30" s="10">
        <v>10</v>
      </c>
      <c r="J30" s="14">
        <f t="shared" si="1"/>
        <v>2</v>
      </c>
      <c r="K30" s="15">
        <v>12000</v>
      </c>
      <c r="L30" s="16">
        <f t="shared" si="2"/>
        <v>24000</v>
      </c>
    </row>
    <row r="31" spans="1:12">
      <c r="A31" s="10" t="s">
        <v>110</v>
      </c>
      <c r="B31" s="10" t="s">
        <v>106</v>
      </c>
      <c r="C31" s="10" t="s">
        <v>325</v>
      </c>
      <c r="D31" s="10" t="s">
        <v>79</v>
      </c>
      <c r="E31" s="11">
        <f>B8+B9+B10</f>
        <v>40</v>
      </c>
      <c r="F31" s="12">
        <v>5.35</v>
      </c>
      <c r="G31" s="10">
        <v>5</v>
      </c>
      <c r="H31" s="13">
        <f t="shared" si="0"/>
        <v>224.70000000000002</v>
      </c>
      <c r="I31" s="10">
        <v>8</v>
      </c>
      <c r="J31" s="14">
        <f t="shared" si="1"/>
        <v>29</v>
      </c>
      <c r="K31" s="15">
        <v>6200</v>
      </c>
      <c r="L31" s="16">
        <f t="shared" si="2"/>
        <v>179800</v>
      </c>
    </row>
    <row r="32" spans="1:12">
      <c r="A32" s="10" t="s">
        <v>155</v>
      </c>
      <c r="B32" s="10" t="s">
        <v>157</v>
      </c>
      <c r="C32" s="10" t="s">
        <v>326</v>
      </c>
      <c r="D32" s="10" t="s">
        <v>159</v>
      </c>
      <c r="E32" s="11">
        <f>B8+B9+B10</f>
        <v>40</v>
      </c>
      <c r="F32" s="12">
        <v>0.12</v>
      </c>
      <c r="G32" s="10">
        <v>8</v>
      </c>
      <c r="H32" s="13">
        <f t="shared" si="0"/>
        <v>5.1840000000000002</v>
      </c>
      <c r="I32" s="10">
        <v>1</v>
      </c>
      <c r="J32" s="14">
        <f t="shared" si="1"/>
        <v>6</v>
      </c>
      <c r="K32" s="15">
        <v>15000</v>
      </c>
      <c r="L32" s="16">
        <f t="shared" si="2"/>
        <v>90000</v>
      </c>
    </row>
    <row r="33" spans="1:12" ht="20">
      <c r="A33" s="17" t="s">
        <v>327</v>
      </c>
      <c r="L33" s="18">
        <f>SUM(L24:L32)</f>
        <v>525400</v>
      </c>
    </row>
    <row r="35" spans="1:12">
      <c r="A35" s="27" t="s">
        <v>328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>
      <c r="A36" s="1" t="s">
        <v>329</v>
      </c>
      <c r="B36" s="1" t="s">
        <v>330</v>
      </c>
      <c r="C36" s="1" t="s">
        <v>331</v>
      </c>
    </row>
    <row r="37" spans="1:12" ht="32">
      <c r="A37" s="10" t="s">
        <v>332</v>
      </c>
      <c r="B37" s="15">
        <f>L33</f>
        <v>525400</v>
      </c>
      <c r="C37" s="10" t="s">
        <v>54</v>
      </c>
    </row>
    <row r="38" spans="1:12" ht="32">
      <c r="A38" s="10" t="s">
        <v>333</v>
      </c>
      <c r="B38" s="15">
        <f>L33*1.15</f>
        <v>604210</v>
      </c>
      <c r="C38" s="16">
        <f>B38-B37</f>
        <v>78810</v>
      </c>
    </row>
    <row r="39" spans="1:12" ht="32">
      <c r="A39" s="10" t="s">
        <v>334</v>
      </c>
      <c r="B39" s="15">
        <f>L33*2.5</f>
        <v>1313500</v>
      </c>
      <c r="C39" s="16">
        <f>B39-B37</f>
        <v>788100</v>
      </c>
    </row>
    <row r="42" spans="1:12" ht="18">
      <c r="A42" s="25" t="s">
        <v>335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>
      <c r="A43" s="19" t="s">
        <v>336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>
      <c r="A44" s="19" t="s">
        <v>337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>
      <c r="A45" s="19" t="s">
        <v>338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spans="1:12">
      <c r="A46" s="19" t="s">
        <v>339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spans="1:12">
      <c r="A47" s="19" t="s">
        <v>340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spans="1:12">
      <c r="A48" s="19" t="s">
        <v>341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</sheetData>
  <mergeCells count="13">
    <mergeCell ref="A48:L48"/>
    <mergeCell ref="A2:L2"/>
    <mergeCell ref="A42:L42"/>
    <mergeCell ref="A43:L43"/>
    <mergeCell ref="A47:L47"/>
    <mergeCell ref="A1:L1"/>
    <mergeCell ref="A45:L45"/>
    <mergeCell ref="A46:L46"/>
    <mergeCell ref="A14:L14"/>
    <mergeCell ref="A44:L44"/>
    <mergeCell ref="A22:L22"/>
    <mergeCell ref="A35:L35"/>
    <mergeCell ref="A4:L4"/>
  </mergeCells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B2AC"/>
  </sheetPr>
  <dimension ref="A1:E6"/>
  <sheetViews>
    <sheetView workbookViewId="0">
      <selection sqref="A1:E1"/>
    </sheetView>
  </sheetViews>
  <sheetFormatPr baseColWidth="10" defaultColWidth="8.83203125" defaultRowHeight="17"/>
  <cols>
    <col min="1" max="1" width="8" customWidth="1"/>
    <col min="2" max="2" width="30" customWidth="1"/>
    <col min="3" max="3" width="45" customWidth="1"/>
    <col min="4" max="4" width="12" customWidth="1"/>
    <col min="5" max="5" width="14" customWidth="1"/>
  </cols>
  <sheetData>
    <row r="1" spans="1:5" ht="20">
      <c r="A1" s="23" t="s">
        <v>342</v>
      </c>
      <c r="B1" s="20"/>
      <c r="C1" s="20"/>
      <c r="D1" s="20"/>
      <c r="E1" s="20"/>
    </row>
    <row r="3" spans="1:5">
      <c r="A3" s="1" t="s">
        <v>308</v>
      </c>
      <c r="B3" s="1" t="s">
        <v>343</v>
      </c>
      <c r="C3" s="1" t="s">
        <v>344</v>
      </c>
      <c r="D3" s="1" t="s">
        <v>345</v>
      </c>
      <c r="E3" s="1" t="s">
        <v>346</v>
      </c>
    </row>
    <row r="4" spans="1:5">
      <c r="A4" s="2" t="s">
        <v>45</v>
      </c>
      <c r="B4" s="2" t="s">
        <v>347</v>
      </c>
      <c r="C4" s="2" t="s">
        <v>348</v>
      </c>
      <c r="D4" s="2" t="s">
        <v>40</v>
      </c>
      <c r="E4" s="2" t="s">
        <v>349</v>
      </c>
    </row>
    <row r="5" spans="1:5" ht="32">
      <c r="A5" s="2" t="s">
        <v>45</v>
      </c>
      <c r="B5" s="2" t="s">
        <v>350</v>
      </c>
      <c r="C5" s="2" t="s">
        <v>351</v>
      </c>
      <c r="D5" s="2" t="s">
        <v>142</v>
      </c>
      <c r="E5" s="2" t="s">
        <v>352</v>
      </c>
    </row>
    <row r="6" spans="1:5" ht="32">
      <c r="A6" s="2" t="s">
        <v>78</v>
      </c>
      <c r="B6" s="2" t="s">
        <v>353</v>
      </c>
      <c r="C6" s="2" t="s">
        <v>354</v>
      </c>
      <c r="D6" s="2" t="s">
        <v>142</v>
      </c>
      <c r="E6" s="2" t="s">
        <v>355</v>
      </c>
    </row>
  </sheetData>
  <mergeCells count="1">
    <mergeCell ref="A1:E1"/>
  </mergeCells>
  <phoneticPr fontId="1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8B2AC"/>
  </sheetPr>
  <dimension ref="A1:E8"/>
  <sheetViews>
    <sheetView workbookViewId="0">
      <selection sqref="A1:E1"/>
    </sheetView>
  </sheetViews>
  <sheetFormatPr baseColWidth="10" defaultColWidth="8.83203125" defaultRowHeight="17"/>
  <cols>
    <col min="1" max="1" width="22" customWidth="1"/>
    <col min="2" max="2" width="12" customWidth="1"/>
    <col min="3" max="3" width="8" customWidth="1"/>
    <col min="4" max="4" width="10" customWidth="1"/>
    <col min="5" max="5" width="20" customWidth="1"/>
  </cols>
  <sheetData>
    <row r="1" spans="1:5" ht="20">
      <c r="A1" s="23" t="s">
        <v>356</v>
      </c>
      <c r="B1" s="20"/>
      <c r="C1" s="20"/>
      <c r="D1" s="20"/>
      <c r="E1" s="20"/>
    </row>
    <row r="3" spans="1:5">
      <c r="A3" s="1" t="s">
        <v>357</v>
      </c>
      <c r="B3" s="1" t="s">
        <v>358</v>
      </c>
      <c r="C3" s="1" t="s">
        <v>359</v>
      </c>
      <c r="D3" s="1" t="s">
        <v>360</v>
      </c>
      <c r="E3" s="1" t="s">
        <v>361</v>
      </c>
    </row>
    <row r="4" spans="1:5">
      <c r="A4" s="2" t="s">
        <v>362</v>
      </c>
      <c r="B4" s="3">
        <v>1200</v>
      </c>
      <c r="C4" s="2" t="s">
        <v>193</v>
      </c>
      <c r="D4" s="2" t="s">
        <v>363</v>
      </c>
      <c r="E4" s="2" t="s">
        <v>364</v>
      </c>
    </row>
    <row r="5" spans="1:5" ht="32">
      <c r="A5" s="2" t="s">
        <v>365</v>
      </c>
      <c r="B5" s="3">
        <v>800</v>
      </c>
      <c r="C5" s="2" t="s">
        <v>193</v>
      </c>
      <c r="D5" s="2" t="s">
        <v>167</v>
      </c>
      <c r="E5" s="2" t="s">
        <v>366</v>
      </c>
    </row>
    <row r="6" spans="1:5">
      <c r="A6" s="2" t="s">
        <v>367</v>
      </c>
      <c r="B6" s="3">
        <v>2400</v>
      </c>
      <c r="C6" s="2" t="s">
        <v>368</v>
      </c>
      <c r="D6" s="2" t="s">
        <v>369</v>
      </c>
      <c r="E6" s="2" t="s">
        <v>370</v>
      </c>
    </row>
    <row r="7" spans="1:5">
      <c r="A7" s="2" t="s">
        <v>371</v>
      </c>
      <c r="B7" s="3">
        <v>600</v>
      </c>
      <c r="C7" s="2" t="s">
        <v>372</v>
      </c>
      <c r="D7" s="2" t="s">
        <v>167</v>
      </c>
      <c r="E7" s="2" t="s">
        <v>373</v>
      </c>
    </row>
    <row r="8" spans="1:5">
      <c r="A8" s="2" t="s">
        <v>374</v>
      </c>
      <c r="B8" s="3">
        <v>3200</v>
      </c>
      <c r="C8" s="2" t="s">
        <v>368</v>
      </c>
      <c r="D8" s="2" t="s">
        <v>363</v>
      </c>
      <c r="E8" s="2" t="s">
        <v>375</v>
      </c>
    </row>
  </sheetData>
  <mergeCells count="1">
    <mergeCell ref="A1:E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1_자재마스터</vt:lpstr>
      <vt:lpstr>2_공정자재매핑</vt:lpstr>
      <vt:lpstr>3_공정마스터</vt:lpstr>
      <vt:lpstr>4_호환성</vt:lpstr>
      <vt:lpstr>5_공급사</vt:lpstr>
      <vt:lpstr>6_면적참조</vt:lpstr>
      <vt:lpstr>견적시뮬레이터</vt:lpstr>
      <vt:lpstr>8_QA</vt:lpstr>
      <vt:lpstr>9_SEO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김지웅</cp:lastModifiedBy>
  <dcterms:created xsi:type="dcterms:W3CDTF">2026-03-30T07:38:17Z</dcterms:created>
  <dcterms:modified xsi:type="dcterms:W3CDTF">2026-03-30T07:40:42Z</dcterms:modified>
</cp:coreProperties>
</file>