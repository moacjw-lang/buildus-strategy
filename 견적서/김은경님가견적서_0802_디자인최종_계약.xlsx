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\\park\모해디자인\프로젝트\2024\2024. 08_남산타운아파트 리모델링 공사\02. 공사\10. 견적서\"/>
    </mc:Choice>
  </mc:AlternateContent>
  <xr:revisionPtr revIDLastSave="0" documentId="13_ncr:1_{2000A351-FC29-417E-9652-252BE596F25D}" xr6:coauthVersionLast="47" xr6:coauthVersionMax="47" xr10:uidLastSave="{00000000-0000-0000-0000-000000000000}"/>
  <bookViews>
    <workbookView xWindow="-120" yWindow="-120" windowWidth="29040" windowHeight="15840" tabRatio="680" activeTab="2" xr2:uid="{00000000-000D-0000-FFFF-FFFF00000000}"/>
  </bookViews>
  <sheets>
    <sheet name="갑지" sheetId="23312" r:id="rId1"/>
    <sheet name=" 갑지-1" sheetId="23309" r:id="rId2"/>
    <sheet name="117동 204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2" hidden="1">[1]공문!#REF!</definedName>
    <definedName name="_" localSheetId="0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2" hidden="1">#REF!</definedName>
    <definedName name="___key2" localSheetId="0" hidden="1">#REF!</definedName>
    <definedName name="___key2" hidden="1">#REF!</definedName>
    <definedName name="__123Graph_A" localSheetId="1" hidden="1">[2]금융!#REF!</definedName>
    <definedName name="__123Graph_A" localSheetId="2" hidden="1">[2]금융!#REF!</definedName>
    <definedName name="__123Graph_A" localSheetId="0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2" hidden="1">'[3]입찰내역 발주처 양식'!#REF!</definedName>
    <definedName name="__123Graph_ACHART1" localSheetId="0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2" hidden="1">'[3]입찰내역 발주처 양식'!#REF!</definedName>
    <definedName name="__123Graph_ACURRENT" localSheetId="0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2" hidden="1">[5]목표세부명세!#REF!</definedName>
    <definedName name="__123Graph_B" localSheetId="0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2" hidden="1">'[6]VS P-Q'!#REF!</definedName>
    <definedName name="__123Graph_CPOWERSAV" localSheetId="0" hidden="1">'[6]VS P-Q'!#REF!</definedName>
    <definedName name="__123Graph_CPOWERSAV" hidden="1">'[6]VS P-Q'!#REF!</definedName>
    <definedName name="__123Graph_D" localSheetId="1" hidden="1">'[7]0226'!#REF!</definedName>
    <definedName name="__123Graph_D" localSheetId="2" hidden="1">'[7]0226'!#REF!</definedName>
    <definedName name="__123Graph_D" localSheetId="0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2" hidden="1">'[6]VS P-Q'!#REF!</definedName>
    <definedName name="__123Graph_DPOWERSAV" localSheetId="0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2" hidden="1">'[6]VS P-Q'!#REF!</definedName>
    <definedName name="__123Graph_LBL_APOWERSAV" localSheetId="0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2" hidden="1">'[6]VS P-Q'!#REF!</definedName>
    <definedName name="__123Graph_LBL_B" localSheetId="0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2" hidden="1">'[6]VS P-Q'!#REF!</definedName>
    <definedName name="__123Graph_LBL_BPOWERSAV" localSheetId="0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2" hidden="1">'[6]VS P-Q'!#REF!</definedName>
    <definedName name="__123Graph_LBL_C" localSheetId="0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2" hidden="1">'[6]VS P-Q'!#REF!</definedName>
    <definedName name="__123Graph_LBL_CPOWERSAV" localSheetId="0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2" hidden="1">'[6]VS P-Q'!#REF!</definedName>
    <definedName name="__123Graph_LBL_D" localSheetId="0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2" hidden="1">'[6]VS P-Q'!#REF!</definedName>
    <definedName name="__123Graph_LBL_DPOWERSAV" localSheetId="0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2" hidden="1">[2]금융!#REF!</definedName>
    <definedName name="__123Graph_X" localSheetId="0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2" hidden="1">'[3]입찰내역 발주처 양식'!#REF!</definedName>
    <definedName name="__123Graph_XCHART1" localSheetId="0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2" hidden="1">'[3]입찰내역 발주처 양식'!#REF!</definedName>
    <definedName name="__123Graph_XCURRENT" localSheetId="0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2" hidden="1">#REF!</definedName>
    <definedName name="__key2" localSheetId="0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2" hidden="1">#REF!</definedName>
    <definedName name="_10000" localSheetId="0" hidden="1">#REF!</definedName>
    <definedName name="_10000" hidden="1">#REF!</definedName>
    <definedName name="_3_0__123Grap" localSheetId="1" hidden="1">[2]금융!#REF!</definedName>
    <definedName name="_3_0__123Grap" localSheetId="2" hidden="1">[2]금융!#REF!</definedName>
    <definedName name="_3_0__123Grap" localSheetId="0" hidden="1">[2]금융!#REF!</definedName>
    <definedName name="_3_0__123Grap" hidden="1">[2]금융!#REF!</definedName>
    <definedName name="_7_0__123Grap" localSheetId="1" hidden="1">#REF!</definedName>
    <definedName name="_7_0__123Grap" localSheetId="2" hidden="1">#REF!</definedName>
    <definedName name="_7_0__123Grap" localSheetId="0" hidden="1">#REF!</definedName>
    <definedName name="_7_0__123Grap" hidden="1">#REF!</definedName>
    <definedName name="_Dist_Bin" localSheetId="1" hidden="1">#REF!</definedName>
    <definedName name="_Dist_Bin" localSheetId="2" hidden="1">#REF!</definedName>
    <definedName name="_Dist_Bin" localSheetId="0" hidden="1">#REF!</definedName>
    <definedName name="_Dist_Bin" hidden="1">#REF!</definedName>
    <definedName name="_Dist_Values" localSheetId="1" hidden="1">#REF!</definedName>
    <definedName name="_Dist_Values" localSheetId="2" hidden="1">#REF!</definedName>
    <definedName name="_Dist_Values" localSheetId="0" hidden="1">#REF!</definedName>
    <definedName name="_Dist_Values" hidden="1">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fill2" localSheetId="1" hidden="1">[8]음료실행!#REF!</definedName>
    <definedName name="_fill2" localSheetId="2" hidden="1">[8]음료실행!#REF!</definedName>
    <definedName name="_fill2" localSheetId="0" hidden="1">[8]음료실행!#REF!</definedName>
    <definedName name="_fill2" hidden="1">[8]음료실행!#REF!</definedName>
    <definedName name="_xlnm._FilterDatabase" localSheetId="1" hidden="1">' 갑지-1'!$A$6:$M$32</definedName>
    <definedName name="_xlnm._FilterDatabase" localSheetId="2" hidden="1">'117동 204호'!$A$4:$M$291</definedName>
    <definedName name="_xlnm._FilterDatabase" localSheetId="0" hidden="1">[9]인사자료총집계!#REF!</definedName>
    <definedName name="_xlnm._FilterDatabase" hidden="1">[9]인사자료총집계!#REF!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hidden="1">#REF!</definedName>
    <definedName name="_kfkf" localSheetId="1" hidden="1">#REF!</definedName>
    <definedName name="_kfkf" localSheetId="2" hidden="1">#REF!</definedName>
    <definedName name="_kfkf" localSheetId="0" hidden="1">#REF!</definedName>
    <definedName name="_kfkf" hidden="1">#REF!</definedName>
    <definedName name="_MatInverse_In" localSheetId="1" hidden="1">#REF!</definedName>
    <definedName name="_MatInverse_In" localSheetId="2" hidden="1">#REF!</definedName>
    <definedName name="_MatInverse_In" localSheetId="0" hidden="1">#REF!</definedName>
    <definedName name="_MatInverse_In" hidden="1">#REF!</definedName>
    <definedName name="_MatMult_A" localSheetId="1" hidden="1">#REF!</definedName>
    <definedName name="_MatMult_A" localSheetId="2" hidden="1">#REF!</definedName>
    <definedName name="_MatMult_A" localSheetId="0" hidden="1">#REF!</definedName>
    <definedName name="_MatMult_A" hidden="1">#REF!</definedName>
    <definedName name="_MatMult_AxB" localSheetId="1" hidden="1">#REF!</definedName>
    <definedName name="_MatMult_AxB" localSheetId="2" hidden="1">#REF!</definedName>
    <definedName name="_MatMult_AxB" localSheetId="0" hidden="1">#REF!</definedName>
    <definedName name="_MatMult_AxB" hidden="1">#REF!</definedName>
    <definedName name="_MatMult_B" localSheetId="1" hidden="1">#REF!</definedName>
    <definedName name="_MatMult_B" localSheetId="2" hidden="1">#REF!</definedName>
    <definedName name="_MatMult_B" localSheetId="0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2" hidden="1">#REF!</definedName>
    <definedName name="_Parse_Out" localSheetId="0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2" hidden="1">#REF!</definedName>
    <definedName name="_Table1_Out" localSheetId="0" hidden="1">#REF!</definedName>
    <definedName name="_Table1_Out" hidden="1">#REF!</definedName>
    <definedName name="_woogi" localSheetId="1" hidden="1">#REF!</definedName>
    <definedName name="_woogi" localSheetId="2" hidden="1">#REF!</definedName>
    <definedName name="_woogi" localSheetId="0" hidden="1">#REF!</definedName>
    <definedName name="_woogi" hidden="1">#REF!</definedName>
    <definedName name="_woogi2" localSheetId="1" hidden="1">#REF!</definedName>
    <definedName name="_woogi2" localSheetId="2" hidden="1">#REF!</definedName>
    <definedName name="_woogi2" localSheetId="0" hidden="1">#REF!</definedName>
    <definedName name="_woogi2" hidden="1">#REF!</definedName>
    <definedName name="_woogi24" localSheetId="1" hidden="1">#REF!</definedName>
    <definedName name="_woogi24" localSheetId="2" hidden="1">#REF!</definedName>
    <definedName name="_woogi24" localSheetId="0" hidden="1">#REF!</definedName>
    <definedName name="_woogi24" hidden="1">#REF!</definedName>
    <definedName name="_woogi3" localSheetId="1" hidden="1">#REF!</definedName>
    <definedName name="_woogi3" localSheetId="2" hidden="1">#REF!</definedName>
    <definedName name="_woogi3" localSheetId="0" hidden="1">#REF!</definedName>
    <definedName name="_woogi3" hidden="1">#REF!</definedName>
    <definedName name="_재ㅐ햐" localSheetId="1" hidden="1">#REF!</definedName>
    <definedName name="_재ㅐ햐" localSheetId="2" hidden="1">#REF!</definedName>
    <definedName name="_재ㅐ햐" localSheetId="0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2" hidden="1">[10]노임이!#REF!</definedName>
    <definedName name="abcd" localSheetId="0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2" hidden="1">[11]GAEYO!#REF!</definedName>
    <definedName name="ACDA" localSheetId="0" hidden="1">[11]GAEYO!#REF!</definedName>
    <definedName name="ACDA" hidden="1">[11]GAEYO!#REF!</definedName>
    <definedName name="ADC" localSheetId="1" hidden="1">#REF!</definedName>
    <definedName name="ADC" localSheetId="2" hidden="1">#REF!</definedName>
    <definedName name="ADC" localSheetId="0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2" hidden="1">#REF!</definedName>
    <definedName name="ASDA" localSheetId="0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2" hidden="1">#REF!</definedName>
    <definedName name="BM" localSheetId="0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2" hidden="1">#REF!</definedName>
    <definedName name="CF요인" localSheetId="0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2" hidden="1">#REF!</definedName>
    <definedName name="cvc" localSheetId="0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2" hidden="1">#REF!</definedName>
    <definedName name="D021161명지남양주" localSheetId="0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2" hidden="1">#REF!</definedName>
    <definedName name="dataww" localSheetId="0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2" hidden="1">#REF!</definedName>
    <definedName name="ddddd" localSheetId="0" hidden="1">#REF!</definedName>
    <definedName name="ddddd" hidden="1">#REF!</definedName>
    <definedName name="dddddddd" localSheetId="1" hidden="1">#REF!</definedName>
    <definedName name="dddddddd" localSheetId="2" hidden="1">#REF!</definedName>
    <definedName name="dddddddd" localSheetId="0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2" hidden="1">#REF!</definedName>
    <definedName name="DF" localSheetId="0" hidden="1">#REF!</definedName>
    <definedName name="DF" hidden="1">#REF!</definedName>
    <definedName name="DFEE" localSheetId="1" hidden="1">#REF!</definedName>
    <definedName name="DFEE" localSheetId="2" hidden="1">#REF!</definedName>
    <definedName name="DFEE" localSheetId="0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2" hidden="1">[12]노임이!#REF!</definedName>
    <definedName name="dkdkjf" localSheetId="0" hidden="1">[12]노임이!#REF!</definedName>
    <definedName name="dkdkjf" hidden="1">[12]노임이!#REF!</definedName>
    <definedName name="DKSG" localSheetId="1" hidden="1">#REF!</definedName>
    <definedName name="DKSG" localSheetId="2" hidden="1">#REF!</definedName>
    <definedName name="DKSG" localSheetId="0" hidden="1">#REF!</definedName>
    <definedName name="DKSG" hidden="1">#REF!</definedName>
    <definedName name="DKSGMLWJD" localSheetId="1" hidden="1">#REF!</definedName>
    <definedName name="DKSGMLWJD" localSheetId="2" hidden="1">#REF!</definedName>
    <definedName name="DKSGMLWJD" localSheetId="0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2" hidden="1">#REF!</definedName>
    <definedName name="Dp" localSheetId="0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2" hidden="1">#REF!</definedName>
    <definedName name="dsgfggg" localSheetId="0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2" hidden="1">#REF!</definedName>
    <definedName name="ED" localSheetId="0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2" hidden="1">#REF!</definedName>
    <definedName name="EK" localSheetId="0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2" hidden="1">#REF!</definedName>
    <definedName name="eotkd" localSheetId="0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2" hidden="1">#REF!</definedName>
    <definedName name="fg" localSheetId="0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2" hidden="1">#REF!</definedName>
    <definedName name="GEMCO" localSheetId="0" hidden="1">#REF!</definedName>
    <definedName name="GEMCO" hidden="1">#REF!</definedName>
    <definedName name="GEMCO1" localSheetId="1" hidden="1">#REF!</definedName>
    <definedName name="GEMCO1" localSheetId="2" hidden="1">#REF!</definedName>
    <definedName name="GEMCO1" localSheetId="0" hidden="1">#REF!</definedName>
    <definedName name="GEMCO1" hidden="1">#REF!</definedName>
    <definedName name="gfgdfg" localSheetId="1" hidden="1">[13]차액보증!#REF!</definedName>
    <definedName name="gfgdfg" localSheetId="2" hidden="1">[13]차액보증!#REF!</definedName>
    <definedName name="gfgdfg" localSheetId="0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2" hidden="1">#REF!</definedName>
    <definedName name="GMLWD" localSheetId="0" hidden="1">#REF!</definedName>
    <definedName name="GMLWD" hidden="1">#REF!</definedName>
    <definedName name="grew" localSheetId="1" hidden="1">#REF!</definedName>
    <definedName name="grew" localSheetId="2" hidden="1">#REF!</definedName>
    <definedName name="grew" localSheetId="0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2" hidden="1">#REF!</definedName>
    <definedName name="GUSTLS" localSheetId="0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2" hidden="1">#REF!</definedName>
    <definedName name="han" localSheetId="0" hidden="1">#REF!</definedName>
    <definedName name="han" hidden="1">#REF!</definedName>
    <definedName name="hardwar" localSheetId="1" hidden="1">#REF!</definedName>
    <definedName name="hardwar" localSheetId="2" hidden="1">#REF!</definedName>
    <definedName name="hardwar" localSheetId="0" hidden="1">#REF!</definedName>
    <definedName name="hardwar" hidden="1">#REF!</definedName>
    <definedName name="HARDWAR1" localSheetId="1" hidden="1">#REF!</definedName>
    <definedName name="HARDWAR1" localSheetId="2" hidden="1">#REF!</definedName>
    <definedName name="HARDWAR1" localSheetId="0" hidden="1">#REF!</definedName>
    <definedName name="HARDWAR1" hidden="1">#REF!</definedName>
    <definedName name="hardwar2" localSheetId="1" hidden="1">#REF!</definedName>
    <definedName name="hardwar2" localSheetId="2" hidden="1">#REF!</definedName>
    <definedName name="hardwar2" localSheetId="0" hidden="1">#REF!</definedName>
    <definedName name="hardwar2" hidden="1">#REF!</definedName>
    <definedName name="hdghndgnhg" localSheetId="1" hidden="1">#REF!</definedName>
    <definedName name="hdghndgnhg" localSheetId="2" hidden="1">#REF!</definedName>
    <definedName name="hdghndgnhg" localSheetId="0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2" hidden="1">#REF!</definedName>
    <definedName name="ktf" localSheetId="0" hidden="1">#REF!</definedName>
    <definedName name="ktf" hidden="1">#REF!</definedName>
    <definedName name="kty" localSheetId="1" hidden="1">#REF!</definedName>
    <definedName name="kty" localSheetId="2" hidden="1">#REF!</definedName>
    <definedName name="kty" localSheetId="0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2" hidden="1">#REF!</definedName>
    <definedName name="LIUJHG" localSheetId="0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2" hidden="1">#REF!</definedName>
    <definedName name="ocf" localSheetId="0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2" hidden="1">#REF!</definedName>
    <definedName name="ONP" localSheetId="0" hidden="1">#REF!</definedName>
    <definedName name="ONP" hidden="1">#REF!</definedName>
    <definedName name="OP" localSheetId="1" hidden="1">#REF!</definedName>
    <definedName name="OP" localSheetId="2" hidden="1">#REF!</definedName>
    <definedName name="OP" localSheetId="0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갑지-1'!$A$1:$M$32</definedName>
    <definedName name="_xlnm.Print_Area" localSheetId="2">'117동 204호'!$A$1:$M$289</definedName>
    <definedName name="_xlnm.Print_Area" localSheetId="0">갑지!$A$1:$H$24</definedName>
    <definedName name="_xlnm.Print_Titles" localSheetId="1">' 갑지-1'!$4:$5</definedName>
    <definedName name="_xlnm.Print_Titles" localSheetId="2">'117동 204호'!$2:$3</definedName>
    <definedName name="QA" localSheetId="1" hidden="1">#REF!</definedName>
    <definedName name="QA" localSheetId="2" hidden="1">#REF!</definedName>
    <definedName name="QA" localSheetId="0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2" hidden="1">#REF!</definedName>
    <definedName name="SDF" localSheetId="0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2" hidden="1">#REF!</definedName>
    <definedName name="sdg" localSheetId="0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2" hidden="1">#REF!</definedName>
    <definedName name="SHEET100" localSheetId="0" hidden="1">#REF!</definedName>
    <definedName name="SHEET100" hidden="1">#REF!</definedName>
    <definedName name="sj" localSheetId="1" hidden="1">#REF!</definedName>
    <definedName name="sj" localSheetId="2" hidden="1">#REF!</definedName>
    <definedName name="sj" localSheetId="0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2" hidden="1">#REF!</definedName>
    <definedName name="solver_opt" localSheetId="0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2" hidden="1">#REF!</definedName>
    <definedName name="SWS" localSheetId="0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2" hidden="1">#REF!</definedName>
    <definedName name="TN" localSheetId="0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2" hidden="1">#REF!</definedName>
    <definedName name="uyteyj" localSheetId="0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2" hidden="1">#REF!</definedName>
    <definedName name="xcvc" localSheetId="0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2" hidden="1">#REF!</definedName>
    <definedName name="xx" localSheetId="0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2" hidden="1">#REF!</definedName>
    <definedName name="Z_1F713D72_E6F4_11D3_8E1E_00A0244E179B_.wvu.Cols" localSheetId="0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2" hidden="1">#REF!</definedName>
    <definedName name="Z_1F713D72_E6F4_11D3_8E1E_00A0244E179B_.wvu.PrintArea" localSheetId="0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2" hidden="1">#REF!</definedName>
    <definedName name="Z_BFEEB821_E6AD_11D3_88E4_00E09870C276_.wvu.PrintArea" localSheetId="0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2" hidden="1">#REF!,#REF!,#REF!</definedName>
    <definedName name="Z_F6AB6A24_E5D5_11D3_B573_00104BA1686B_.wvu.Cols" localSheetId="0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2" hidden="1">#REF!</definedName>
    <definedName name="ㄱㅈㅎ" localSheetId="0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2" hidden="1">[12]노임이!#REF!</definedName>
    <definedName name="가리" localSheetId="0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2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2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2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2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2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2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2" hidden="1">#REF!</definedName>
    <definedName name="강릉토목임" localSheetId="0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2" hidden="1">#REF!</definedName>
    <definedName name="건축가실" localSheetId="0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2" hidden="1">#REF!</definedName>
    <definedName name="견적대비표" localSheetId="0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2" hidden="1">#REF!</definedName>
    <definedName name="경비1" localSheetId="0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2" hidden="1">[17]프랜트면허!#REF!</definedName>
    <definedName name="계약의뢰" localSheetId="0" hidden="1">[17]프랜트면허!#REF!</definedName>
    <definedName name="계약의뢰" hidden="1">[17]프랜트면허!#REF!</definedName>
    <definedName name="계전2" localSheetId="1" hidden="1">#REF!</definedName>
    <definedName name="계전2" localSheetId="2" hidden="1">#REF!</definedName>
    <definedName name="계전2" localSheetId="0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2" hidden="1">[18]설계내역서!#REF!</definedName>
    <definedName name="공기1" localSheetId="0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2" hidden="1">#REF!</definedName>
    <definedName name="공통가설현장" localSheetId="0" hidden="1">#REF!</definedName>
    <definedName name="공통가설현장" hidden="1">#REF!</definedName>
    <definedName name="공통비" localSheetId="1" hidden="1">[19]유림골조!#REF!</definedName>
    <definedName name="공통비" localSheetId="2" hidden="1">[19]유림골조!#REF!</definedName>
    <definedName name="공통비" localSheetId="0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2" hidden="1">#REF!</definedName>
    <definedName name="교동토" localSheetId="0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2" hidden="1">#REF!</definedName>
    <definedName name="구산갑지" localSheetId="0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2" hidden="1">[20]노임이!#REF!</definedName>
    <definedName name="기공" localSheetId="0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2" hidden="1">#REF!</definedName>
    <definedName name="기기기" localSheetId="0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2" hidden="1">#REF!</definedName>
    <definedName name="기성갑" localSheetId="0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2" hidden="1">#REF!</definedName>
    <definedName name="김" localSheetId="0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2" hidden="1">#REF!</definedName>
    <definedName name="ㄴㄱㄹ" localSheetId="0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2" hidden="1">#REF!</definedName>
    <definedName name="ㄴㅀ" localSheetId="0" hidden="1">#REF!</definedName>
    <definedName name="ㄴㅀ" hidden="1">#REF!</definedName>
    <definedName name="ㄴㅁ" localSheetId="1" hidden="1">#REF!</definedName>
    <definedName name="ㄴㅁ" localSheetId="2" hidden="1">#REF!</definedName>
    <definedName name="ㄴㅁ" localSheetId="0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2" hidden="1">#REF!</definedName>
    <definedName name="ㄴㅇ" localSheetId="0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2" hidden="1">#REF!</definedName>
    <definedName name="ㄴㅇㄹ" localSheetId="0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2" hidden="1">#REF!</definedName>
    <definedName name="ㄴㅇㄹㅇㄴ" localSheetId="0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2" hidden="1">#REF!</definedName>
    <definedName name="ㄴㅇㅀㄴㅇㅀ" localSheetId="0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2" hidden="1">#REF!</definedName>
    <definedName name="ㄴㅇㅎㄴㄹㅇ" localSheetId="0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2" hidden="1">#REF!</definedName>
    <definedName name="남남" localSheetId="0" hidden="1">#REF!</definedName>
    <definedName name="남남" hidden="1">#REF!</definedName>
    <definedName name="내역" localSheetId="1" hidden="1">[2]금융!#REF!</definedName>
    <definedName name="내역" localSheetId="2" hidden="1">[2]금융!#REF!</definedName>
    <definedName name="내역" localSheetId="0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2" hidden="1">#REF!</definedName>
    <definedName name="ㄷㅎㄹㅇ" localSheetId="0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2" hidden="1">#REF!</definedName>
    <definedName name="단가대" localSheetId="0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2" hidden="1">#REF!</definedName>
    <definedName name="도용" localSheetId="0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2" hidden="1">#REF!</definedName>
    <definedName name="ㄹㄹㄹ" localSheetId="0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2" hidden="1">#REF!</definedName>
    <definedName name="ㄹㅎㄹㅎㅀ" localSheetId="0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2" hidden="1">[21]유림골조!#REF!</definedName>
    <definedName name="ㅁㄴㅁㅇ" localSheetId="0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2" hidden="1">#REF!</definedName>
    <definedName name="ㅁㄴㅇㅁㄴㅇ" localSheetId="0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2" hidden="1">#REF!</definedName>
    <definedName name="ㅁㅁ" localSheetId="0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2" hidden="1">#REF!</definedName>
    <definedName name="ㅁㅁㅁㅁㅁㅁ" localSheetId="0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2" hidden="1">#REF!</definedName>
    <definedName name="ㅁㅎㅎ" localSheetId="0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2" hidden="1">#REF!</definedName>
    <definedName name="ㅂㄷㄳㄷㅂㄱ" localSheetId="0" hidden="1">#REF!</definedName>
    <definedName name="ㅂㄷㄳㄷㅂㄱ" hidden="1">#REF!</definedName>
    <definedName name="ㅂㄷㅅㅄ" localSheetId="1" hidden="1">#REF!</definedName>
    <definedName name="ㅂㄷㅅㅄ" localSheetId="2" hidden="1">#REF!</definedName>
    <definedName name="ㅂㄷㅅㅄ" localSheetId="0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2" hidden="1">#REF!</definedName>
    <definedName name="복지" localSheetId="0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2" hidden="1">[22]유림골조!#REF!</definedName>
    <definedName name="부대건축2" localSheetId="0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2" hidden="1">#REF!</definedName>
    <definedName name="분당공" localSheetId="0" hidden="1">#REF!</definedName>
    <definedName name="분당공" hidden="1">#REF!</definedName>
    <definedName name="분당물가" localSheetId="1" hidden="1">#REF!</definedName>
    <definedName name="분당물가" localSheetId="2" hidden="1">#REF!</definedName>
    <definedName name="분당물가" localSheetId="0" hidden="1">#REF!</definedName>
    <definedName name="분당물가" hidden="1">#REF!</definedName>
    <definedName name="분당코아" localSheetId="1" hidden="1">#REF!</definedName>
    <definedName name="분당코아" localSheetId="2" hidden="1">#REF!</definedName>
    <definedName name="분당코아" localSheetId="0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2" hidden="1">#REF!</definedName>
    <definedName name="비과세" localSheetId="0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2" hidden="1">#REF!</definedName>
    <definedName name="ㅅ54ㅛㄳ" localSheetId="0" hidden="1">#REF!</definedName>
    <definedName name="ㅅ54ㅛㄳ" hidden="1">#REF!</definedName>
    <definedName name="ㅅㄱ" localSheetId="1" hidden="1">[23]내역서!#REF!</definedName>
    <definedName name="ㅅㄱ" localSheetId="2" hidden="1">[23]내역서!#REF!</definedName>
    <definedName name="ㅅㄱ" localSheetId="0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2" hidden="1">#REF!</definedName>
    <definedName name="ㅅ곣ㅈ궈ㅕ" localSheetId="0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2" hidden="1">#REF!</definedName>
    <definedName name="ㅅㅅ" localSheetId="0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2" hidden="1">#REF!</definedName>
    <definedName name="ㅅㅓ" localSheetId="0" hidden="1">#REF!</definedName>
    <definedName name="ㅅㅓ" hidden="1">#REF!</definedName>
    <definedName name="사" localSheetId="1" hidden="1">#REF!</definedName>
    <definedName name="사" localSheetId="2" hidden="1">#REF!</definedName>
    <definedName name="사" localSheetId="0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2" hidden="1">#REF!</definedName>
    <definedName name="수" localSheetId="0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2" hidden="1">#REF!</definedName>
    <definedName name="ㅇㄹ" localSheetId="0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2" hidden="1">#REF!</definedName>
    <definedName name="ㅇㄹㄹ" localSheetId="0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2" hidden="1">#REF!</definedName>
    <definedName name="ㅇㄹㅀ" localSheetId="0" hidden="1">#REF!</definedName>
    <definedName name="ㅇㄹㅀ" hidden="1">#REF!</definedName>
    <definedName name="ㅇㄹㅇㄹ" localSheetId="1" hidden="1">#REF!</definedName>
    <definedName name="ㅇㄹㅇㄹ" localSheetId="2" hidden="1">#REF!</definedName>
    <definedName name="ㅇㄹㅇㄹ" localSheetId="0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2" hidden="1">#REF!</definedName>
    <definedName name="ㅇㅇㄹ" localSheetId="0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2" hidden="1">#REF!</definedName>
    <definedName name="아무거나" localSheetId="0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2" hidden="1">#REF!</definedName>
    <definedName name="언" localSheetId="0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2" hidden="1">#REF!</definedName>
    <definedName name="업체" localSheetId="0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2" hidden="1">[25]추가예산!#REF!</definedName>
    <definedName name="영업외" localSheetId="0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2" hidden="1">[25]추가예산!#REF!</definedName>
    <definedName name="영업외수" localSheetId="0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2" hidden="1">#REF!</definedName>
    <definedName name="완공3" localSheetId="0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2" hidden="1">#REF!</definedName>
    <definedName name="유지관리비" localSheetId="0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2" hidden="1">#REF!</definedName>
    <definedName name="이릉" localSheetId="0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2" hidden="1">#REF!</definedName>
    <definedName name="이일" localSheetId="0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2" hidden="1">#REF!</definedName>
    <definedName name="일위대가" localSheetId="0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2" hidden="1">#REF!</definedName>
    <definedName name="임직" localSheetId="0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2" hidden="1">[27]집계표!#REF!</definedName>
    <definedName name="입찰금액안" localSheetId="0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2" hidden="1">#REF!</definedName>
    <definedName name="장위" localSheetId="0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2" hidden="1">[28]입찰안!#REF!</definedName>
    <definedName name="조사가" localSheetId="0" hidden="1">[28]입찰안!#REF!</definedName>
    <definedName name="조사가" hidden="1">[28]입찰안!#REF!</definedName>
    <definedName name="조정1" localSheetId="1" hidden="1">#REF!</definedName>
    <definedName name="조정1" localSheetId="2" hidden="1">#REF!</definedName>
    <definedName name="조정1" localSheetId="0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2" hidden="1">#REF!</definedName>
    <definedName name="증감내역" localSheetId="0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2" hidden="1">#REF!</definedName>
    <definedName name="총괄내역" localSheetId="0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2" hidden="1">[29]설계내역서!#REF!</definedName>
    <definedName name="충주" localSheetId="0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2" hidden="1">#REF!</definedName>
    <definedName name="토" localSheetId="0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2" hidden="1">#REF!</definedName>
    <definedName name="토목공사강릉" localSheetId="0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2" hidden="1">#REF!</definedName>
    <definedName name="파일산출3" localSheetId="0" hidden="1">#REF!</definedName>
    <definedName name="파일산출3" hidden="1">#REF!</definedName>
    <definedName name="팔" localSheetId="1" hidden="1">#REF!</definedName>
    <definedName name="팔" localSheetId="2" hidden="1">#REF!</definedName>
    <definedName name="팔" localSheetId="0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2" hidden="1">#REF!</definedName>
    <definedName name="표지" localSheetId="0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2" hidden="1">#REF!</definedName>
    <definedName name="표지2" localSheetId="0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2" hidden="1">#REF!</definedName>
    <definedName name="품의서1" localSheetId="0" hidden="1">#REF!</definedName>
    <definedName name="품의서1" hidden="1">#REF!</definedName>
    <definedName name="풍납동" localSheetId="1" hidden="1">#REF!</definedName>
    <definedName name="풍납동" localSheetId="2" hidden="1">#REF!</definedName>
    <definedName name="풍납동" localSheetId="0" hidden="1">#REF!</definedName>
    <definedName name="풍납동" hidden="1">#REF!</definedName>
    <definedName name="풍납동아파트" localSheetId="1" hidden="1">#REF!</definedName>
    <definedName name="풍납동아파트" localSheetId="2" hidden="1">#REF!</definedName>
    <definedName name="풍납동아파트" localSheetId="0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2" hidden="1">#REF!</definedName>
    <definedName name="ㅎㅀㅀ" localSheetId="0" hidden="1">#REF!</definedName>
    <definedName name="ㅎㅀㅀ" hidden="1">#REF!</definedName>
    <definedName name="ㅎㅀㅇ" localSheetId="1" hidden="1">#REF!</definedName>
    <definedName name="ㅎㅀㅇ" localSheetId="2" hidden="1">#REF!</definedName>
    <definedName name="ㅎㅀㅇ" localSheetId="0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2" hidden="1">#REF!</definedName>
    <definedName name="ㅎㅁㄴ" localSheetId="0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2" hidden="1">#REF!</definedName>
    <definedName name="ㅎㅎ" localSheetId="0" hidden="1">#REF!</definedName>
    <definedName name="ㅎㅎ" hidden="1">#REF!</definedName>
    <definedName name="ㅎㅎㅎ" localSheetId="1" hidden="1">#REF!</definedName>
    <definedName name="ㅎㅎㅎ" localSheetId="2" hidden="1">#REF!</definedName>
    <definedName name="ㅎㅎㅎ" localSheetId="0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2" hidden="1">#REF!</definedName>
    <definedName name="하도급사항" localSheetId="0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2" hidden="1">#REF!</definedName>
    <definedName name="한" localSheetId="0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2" hidden="1">#REF!</definedName>
    <definedName name="현장" localSheetId="0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2" hidden="1">#REF!</definedName>
    <definedName name="현조" localSheetId="0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2" hidden="1">#REF!</definedName>
    <definedName name="협조전" localSheetId="0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2" hidden="1">[30]입찰안!#REF!</definedName>
    <definedName name="호ㅓㅕㅏ6ㅅ서ㅛㅓ" localSheetId="0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2" hidden="1">#REF!</definedName>
    <definedName name="ㅔㅐ" localSheetId="0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2" hidden="1">[31]집계표!#REF!</definedName>
    <definedName name="ㅔㅔ" localSheetId="0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2" hidden="1">#REF!</definedName>
    <definedName name="ㅕㅑ" localSheetId="0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2" hidden="1">#REF!</definedName>
    <definedName name="ㅕㅑㅐㅔ" localSheetId="0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2" hidden="1">#REF!</definedName>
    <definedName name="ㅠ뮤ㅐ" localSheetId="0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2" hidden="1">#REF!</definedName>
    <definedName name="ㅡ" localSheetId="0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4" i="23313" l="1"/>
  <c r="L274" i="23313" s="1"/>
  <c r="J274" i="23313"/>
  <c r="H274" i="23313"/>
  <c r="K141" i="23313"/>
  <c r="L141" i="23313" s="1"/>
  <c r="J141" i="23313"/>
  <c r="H141" i="23313"/>
  <c r="K56" i="23313"/>
  <c r="L56" i="23313" s="1"/>
  <c r="J56" i="23313"/>
  <c r="H56" i="23313"/>
  <c r="K271" i="23313"/>
  <c r="L271" i="23313" s="1"/>
  <c r="J271" i="23313"/>
  <c r="H271" i="23313"/>
  <c r="O182" i="23313"/>
  <c r="K182" i="23313"/>
  <c r="L182" i="23313" s="1"/>
  <c r="J182" i="23313"/>
  <c r="H182" i="23313"/>
  <c r="K57" i="23313"/>
  <c r="L57" i="23313" s="1"/>
  <c r="J57" i="23313"/>
  <c r="H57" i="23313"/>
  <c r="K75" i="23313"/>
  <c r="L75" i="23313" s="1"/>
  <c r="J75" i="23313"/>
  <c r="H75" i="23313"/>
  <c r="K77" i="23313"/>
  <c r="L77" i="23313" s="1"/>
  <c r="J77" i="23313"/>
  <c r="H77" i="23313"/>
  <c r="K76" i="23313"/>
  <c r="L76" i="23313" s="1"/>
  <c r="J76" i="23313"/>
  <c r="H76" i="23313"/>
  <c r="K99" i="23313"/>
  <c r="L99" i="23313" s="1"/>
  <c r="J99" i="23313"/>
  <c r="H99" i="23313"/>
  <c r="K98" i="23313"/>
  <c r="L98" i="23313" s="1"/>
  <c r="J98" i="23313"/>
  <c r="H98" i="23313"/>
  <c r="K284" i="23313"/>
  <c r="L284" i="23313" s="1"/>
  <c r="J284" i="23313"/>
  <c r="H284" i="23313"/>
  <c r="K52" i="23313"/>
  <c r="L52" i="23313" s="1"/>
  <c r="J52" i="23313"/>
  <c r="H52" i="23313"/>
  <c r="K147" i="23313"/>
  <c r="L147" i="23313" s="1"/>
  <c r="J147" i="23313"/>
  <c r="H147" i="23313"/>
  <c r="K121" i="23313"/>
  <c r="L121" i="23313" s="1"/>
  <c r="J121" i="23313"/>
  <c r="H121" i="23313"/>
  <c r="K199" i="23313"/>
  <c r="L199" i="23313" s="1"/>
  <c r="J199" i="23313"/>
  <c r="H199" i="23313"/>
  <c r="H198" i="23313"/>
  <c r="K198" i="23313"/>
  <c r="L198" i="23313" s="1"/>
  <c r="J198" i="23313"/>
  <c r="J120" i="23313"/>
  <c r="H105" i="23313" l="1"/>
  <c r="J105" i="23313"/>
  <c r="K105" i="23313"/>
  <c r="L105" i="23313" s="1"/>
  <c r="K53" i="23313"/>
  <c r="L53" i="23313" s="1"/>
  <c r="J53" i="23313"/>
  <c r="H53" i="23313"/>
  <c r="K100" i="23313"/>
  <c r="L100" i="23313" s="1"/>
  <c r="J100" i="23313"/>
  <c r="H100" i="23313"/>
  <c r="K131" i="23313"/>
  <c r="L131" i="23313" s="1"/>
  <c r="K130" i="23313"/>
  <c r="L130" i="23313" s="1"/>
  <c r="J131" i="23313"/>
  <c r="J130" i="23313"/>
  <c r="H131" i="23313"/>
  <c r="H130" i="23313"/>
  <c r="K65" i="23313"/>
  <c r="L65" i="23313" s="1"/>
  <c r="J65" i="23313"/>
  <c r="H65" i="23313"/>
  <c r="O103" i="23313"/>
  <c r="K103" i="23313"/>
  <c r="L103" i="23313" s="1"/>
  <c r="J103" i="23313"/>
  <c r="H103" i="23313"/>
  <c r="K269" i="23313"/>
  <c r="L269" i="23313" s="1"/>
  <c r="J269" i="23313"/>
  <c r="H269" i="23313"/>
  <c r="K146" i="23313"/>
  <c r="L146" i="23313" s="1"/>
  <c r="H146" i="23313"/>
  <c r="H112" i="23313" l="1"/>
  <c r="K51" i="23313"/>
  <c r="L51" i="23313" s="1"/>
  <c r="J51" i="23313"/>
  <c r="H51" i="23313"/>
  <c r="K23" i="23313"/>
  <c r="L23" i="23313" s="1"/>
  <c r="J23" i="23313"/>
  <c r="H23" i="23313"/>
  <c r="K24" i="23313"/>
  <c r="L24" i="23313" s="1"/>
  <c r="J24" i="23313"/>
  <c r="H24" i="23313"/>
  <c r="K123" i="23313"/>
  <c r="L123" i="23313" s="1"/>
  <c r="J123" i="23313"/>
  <c r="H123" i="23313"/>
  <c r="O94" i="23313"/>
  <c r="K94" i="23313"/>
  <c r="L94" i="23313" s="1"/>
  <c r="J94" i="23313"/>
  <c r="H94" i="23313"/>
  <c r="K55" i="23313" l="1"/>
  <c r="L55" i="23313" s="1"/>
  <c r="J55" i="23313"/>
  <c r="H55" i="23313"/>
  <c r="K275" i="23313" l="1"/>
  <c r="L275" i="23313" s="1"/>
  <c r="J275" i="23313"/>
  <c r="H275" i="23313"/>
  <c r="K238" i="23313"/>
  <c r="L238" i="23313" s="1"/>
  <c r="J238" i="23313"/>
  <c r="H238" i="23313"/>
  <c r="P112" i="23313"/>
  <c r="K253" i="23313"/>
  <c r="L253" i="23313" s="1"/>
  <c r="J253" i="23313"/>
  <c r="H253" i="23313"/>
  <c r="K225" i="23313"/>
  <c r="K252" i="23313"/>
  <c r="L252" i="23313" s="1"/>
  <c r="J252" i="23313"/>
  <c r="H252" i="23313"/>
  <c r="O251" i="23313"/>
  <c r="K251" i="23313"/>
  <c r="L251" i="23313" s="1"/>
  <c r="J251" i="23313"/>
  <c r="H251" i="23313"/>
  <c r="K106" i="23313"/>
  <c r="L106" i="23313" s="1"/>
  <c r="J106" i="23313"/>
  <c r="H106" i="23313"/>
  <c r="K90" i="23313"/>
  <c r="L90" i="23313" s="1"/>
  <c r="J90" i="23313"/>
  <c r="H90" i="23313"/>
  <c r="K283" i="23313"/>
  <c r="L283" i="23313" s="1"/>
  <c r="J283" i="23313"/>
  <c r="H283" i="23313"/>
  <c r="H277" i="23313"/>
  <c r="K277" i="23313"/>
  <c r="J277" i="23313"/>
  <c r="H89" i="23313"/>
  <c r="B7" i="23313"/>
  <c r="K104" i="23313" l="1"/>
  <c r="L104" i="23313" s="1"/>
  <c r="J104" i="23313"/>
  <c r="H104" i="23313"/>
  <c r="O254" i="23313"/>
  <c r="K254" i="23313"/>
  <c r="L254" i="23313" s="1"/>
  <c r="J254" i="23313"/>
  <c r="H254" i="23313"/>
  <c r="K206" i="23313" l="1"/>
  <c r="L206" i="23313" s="1"/>
  <c r="J206" i="23313"/>
  <c r="H206" i="23313"/>
  <c r="K205" i="23313"/>
  <c r="L205" i="23313" s="1"/>
  <c r="J205" i="23313"/>
  <c r="H205" i="23313"/>
  <c r="O115" i="23313"/>
  <c r="P73" i="23313"/>
  <c r="K268" i="23313"/>
  <c r="L268" i="23313" s="1"/>
  <c r="J268" i="23313"/>
  <c r="H268" i="23313"/>
  <c r="O113" i="23313"/>
  <c r="K113" i="23313"/>
  <c r="L113" i="23313" s="1"/>
  <c r="J113" i="23313"/>
  <c r="H113" i="23313"/>
  <c r="P115" i="23313"/>
  <c r="K119" i="23313"/>
  <c r="L119" i="23313" s="1"/>
  <c r="J119" i="23313"/>
  <c r="H119" i="23313"/>
  <c r="K120" i="23313"/>
  <c r="L120" i="23313" s="1"/>
  <c r="H120" i="23313"/>
  <c r="K118" i="23313"/>
  <c r="L118" i="23313" s="1"/>
  <c r="J118" i="23313"/>
  <c r="H118" i="23313"/>
  <c r="K117" i="23313"/>
  <c r="L117" i="23313" s="1"/>
  <c r="J117" i="23313"/>
  <c r="H117" i="23313"/>
  <c r="K116" i="23313"/>
  <c r="L116" i="23313" s="1"/>
  <c r="J116" i="23313"/>
  <c r="H116" i="23313"/>
  <c r="K115" i="23313"/>
  <c r="L115" i="23313" s="1"/>
  <c r="J115" i="23313"/>
  <c r="H115" i="23313"/>
  <c r="O114" i="23313"/>
  <c r="K114" i="23313"/>
  <c r="L114" i="23313" s="1"/>
  <c r="J114" i="23313"/>
  <c r="H114" i="23313"/>
  <c r="O112" i="23313"/>
  <c r="K112" i="23313"/>
  <c r="L112" i="23313" s="1"/>
  <c r="J112" i="23313"/>
  <c r="Q62" i="23313" l="1"/>
  <c r="P210" i="23313"/>
  <c r="O184" i="23313"/>
  <c r="O256" i="23313"/>
  <c r="K179" i="23313"/>
  <c r="L179" i="23313" s="1"/>
  <c r="J179" i="23313"/>
  <c r="H179" i="23313"/>
  <c r="H170" i="23313"/>
  <c r="J170" i="23313"/>
  <c r="K170" i="23313"/>
  <c r="L170" i="23313" s="1"/>
  <c r="H171" i="23313"/>
  <c r="J171" i="23313"/>
  <c r="K171" i="23313"/>
  <c r="L171" i="23313" s="1"/>
  <c r="H172" i="23313"/>
  <c r="J172" i="23313"/>
  <c r="K172" i="23313"/>
  <c r="L172" i="23313" s="1"/>
  <c r="H173" i="23313"/>
  <c r="J173" i="23313"/>
  <c r="K173" i="23313"/>
  <c r="L173" i="23313" s="1"/>
  <c r="H174" i="23313"/>
  <c r="J174" i="23313"/>
  <c r="K174" i="23313"/>
  <c r="L174" i="23313" s="1"/>
  <c r="H175" i="23313"/>
  <c r="J175" i="23313"/>
  <c r="K175" i="23313"/>
  <c r="L175" i="23313" s="1"/>
  <c r="H178" i="23313"/>
  <c r="J178" i="23313"/>
  <c r="K178" i="23313"/>
  <c r="L178" i="23313" s="1"/>
  <c r="H50" i="23313"/>
  <c r="H58" i="23313"/>
  <c r="J58" i="23313"/>
  <c r="K58" i="23313"/>
  <c r="L58" i="23313" s="1"/>
  <c r="K239" i="23313" l="1"/>
  <c r="L239" i="23313" s="1"/>
  <c r="J239" i="23313"/>
  <c r="H239" i="23313"/>
  <c r="J241" i="23313"/>
  <c r="K241" i="23313"/>
  <c r="L241" i="23313" s="1"/>
  <c r="H241" i="23313"/>
  <c r="K224" i="23313" l="1"/>
  <c r="L224" i="23313" s="1"/>
  <c r="J224" i="23313"/>
  <c r="H224" i="23313"/>
  <c r="K226" i="23313"/>
  <c r="L226" i="23313" s="1"/>
  <c r="J226" i="23313"/>
  <c r="J227" i="23313"/>
  <c r="J228" i="23313"/>
  <c r="J229" i="23313"/>
  <c r="H226" i="23313"/>
  <c r="H227" i="23313"/>
  <c r="H228" i="23313"/>
  <c r="H229" i="23313"/>
  <c r="O183" i="23313"/>
  <c r="P187" i="23313"/>
  <c r="P167" i="23313"/>
  <c r="F3" i="23312"/>
  <c r="H255" i="23313" l="1"/>
  <c r="J255" i="23313"/>
  <c r="K255" i="23313"/>
  <c r="L255" i="23313" s="1"/>
  <c r="O84" i="23313"/>
  <c r="P168" i="23313"/>
  <c r="K158" i="23313"/>
  <c r="L158" i="23313" s="1"/>
  <c r="J158" i="23313"/>
  <c r="H158" i="23313"/>
  <c r="K93" i="23313"/>
  <c r="L93" i="23313" s="1"/>
  <c r="J93" i="23313"/>
  <c r="H93" i="23313"/>
  <c r="K92" i="23313"/>
  <c r="L92" i="23313" s="1"/>
  <c r="J92" i="23313"/>
  <c r="H92" i="23313"/>
  <c r="K91" i="23313"/>
  <c r="L91" i="23313" s="1"/>
  <c r="J91" i="23313"/>
  <c r="H91" i="23313"/>
  <c r="K89" i="23313"/>
  <c r="L89" i="23313" s="1"/>
  <c r="J89" i="23313"/>
  <c r="O250" i="23313" l="1"/>
  <c r="O68" i="23313"/>
  <c r="O240" i="23313"/>
  <c r="J152" i="23313" l="1"/>
  <c r="K152" i="23313"/>
  <c r="L152" i="23313" s="1"/>
  <c r="H152" i="23313"/>
  <c r="H134" i="23313"/>
  <c r="J134" i="23313"/>
  <c r="K134" i="23313"/>
  <c r="L134" i="23313" s="1"/>
  <c r="J82" i="23313" l="1"/>
  <c r="K82" i="23313"/>
  <c r="L82" i="23313" s="1"/>
  <c r="H82" i="23313"/>
  <c r="H81" i="23313"/>
  <c r="J81" i="23313"/>
  <c r="K81" i="23313"/>
  <c r="L81" i="23313" s="1"/>
  <c r="K276" i="23313" l="1"/>
  <c r="L276" i="23313" s="1"/>
  <c r="J276" i="23313"/>
  <c r="H276" i="23313"/>
  <c r="K237" i="23313"/>
  <c r="L237" i="23313" s="1"/>
  <c r="J237" i="23313"/>
  <c r="H237" i="23313"/>
  <c r="K156" i="23313" l="1"/>
  <c r="L156" i="23313" s="1"/>
  <c r="H156" i="23313"/>
  <c r="K145" i="23313"/>
  <c r="L145" i="23313" s="1"/>
  <c r="J145" i="23313"/>
  <c r="H145" i="23313"/>
  <c r="K151" i="23313"/>
  <c r="L151" i="23313" s="1"/>
  <c r="J151" i="23313"/>
  <c r="H151" i="23313"/>
  <c r="K48" i="23313"/>
  <c r="L48" i="23313" s="1"/>
  <c r="J48" i="23313"/>
  <c r="H48" i="23313"/>
  <c r="K84" i="23313" l="1"/>
  <c r="L84" i="23313" s="1"/>
  <c r="J84" i="23313"/>
  <c r="H84" i="23313"/>
  <c r="K85" i="23313"/>
  <c r="L85" i="23313" s="1"/>
  <c r="J85" i="23313"/>
  <c r="H85" i="23313"/>
  <c r="K272" i="23313" l="1"/>
  <c r="L272" i="23313" s="1"/>
  <c r="J272" i="23313"/>
  <c r="H272" i="23313"/>
  <c r="J168" i="23313"/>
  <c r="J169" i="23313"/>
  <c r="J187" i="23313"/>
  <c r="J184" i="23313"/>
  <c r="J183" i="23313"/>
  <c r="J167" i="23313"/>
  <c r="H168" i="23313"/>
  <c r="H169" i="23313"/>
  <c r="H187" i="23313"/>
  <c r="H184" i="23313"/>
  <c r="H183" i="23313"/>
  <c r="H167" i="23313"/>
  <c r="J132" i="23313"/>
  <c r="J133" i="23313"/>
  <c r="J135" i="23313"/>
  <c r="J136" i="23313"/>
  <c r="J137" i="23313"/>
  <c r="J138" i="23313"/>
  <c r="J139" i="23313"/>
  <c r="J140" i="23313"/>
  <c r="J142" i="23313"/>
  <c r="J143" i="23313"/>
  <c r="J144" i="23313"/>
  <c r="J148" i="23313"/>
  <c r="J149" i="23313"/>
  <c r="J150" i="23313"/>
  <c r="J155" i="23313"/>
  <c r="J157" i="23313"/>
  <c r="J159" i="23313"/>
  <c r="J160" i="23313"/>
  <c r="J129" i="23313"/>
  <c r="H132" i="23313"/>
  <c r="H133" i="23313"/>
  <c r="H135" i="23313"/>
  <c r="H136" i="23313"/>
  <c r="H137" i="23313"/>
  <c r="H138" i="23313"/>
  <c r="H139" i="23313"/>
  <c r="H140" i="23313"/>
  <c r="H142" i="23313"/>
  <c r="H143" i="23313"/>
  <c r="H144" i="23313"/>
  <c r="H148" i="23313"/>
  <c r="H149" i="23313"/>
  <c r="H150" i="23313"/>
  <c r="H155" i="23313"/>
  <c r="H157" i="23313"/>
  <c r="H159" i="23313"/>
  <c r="H160" i="23313"/>
  <c r="H129" i="23313"/>
  <c r="L132" i="23313"/>
  <c r="L133" i="23313"/>
  <c r="L137" i="23313"/>
  <c r="L138" i="23313"/>
  <c r="L142" i="23313"/>
  <c r="L143" i="23313"/>
  <c r="O22" i="23313"/>
  <c r="K22" i="23313"/>
  <c r="L22" i="23313" s="1"/>
  <c r="J22" i="23313"/>
  <c r="H22" i="23313"/>
  <c r="K21" i="23313"/>
  <c r="L21" i="23313" s="1"/>
  <c r="J21" i="23313"/>
  <c r="H21" i="23313"/>
  <c r="J163" i="23313" l="1"/>
  <c r="H163" i="23313"/>
  <c r="H191" i="23313"/>
  <c r="J191" i="23313"/>
  <c r="K191" i="23313"/>
  <c r="L191" i="23313" s="1"/>
  <c r="H192" i="23313"/>
  <c r="J192" i="23313"/>
  <c r="K192" i="23313"/>
  <c r="L192" i="23313" s="1"/>
  <c r="H193" i="23313"/>
  <c r="J193" i="23313"/>
  <c r="K193" i="23313"/>
  <c r="L193" i="23313" s="1"/>
  <c r="H194" i="23313"/>
  <c r="J194" i="23313"/>
  <c r="K194" i="23313"/>
  <c r="L194" i="23313" s="1"/>
  <c r="H195" i="23313"/>
  <c r="J195" i="23313"/>
  <c r="K195" i="23313"/>
  <c r="L195" i="23313" s="1"/>
  <c r="H196" i="23313"/>
  <c r="J196" i="23313"/>
  <c r="K196" i="23313"/>
  <c r="L196" i="23313" s="1"/>
  <c r="K227" i="23313"/>
  <c r="L227" i="23313" s="1"/>
  <c r="H244" i="23313"/>
  <c r="J244" i="23313"/>
  <c r="K244" i="23313"/>
  <c r="L244" i="23313" s="1"/>
  <c r="H245" i="23313"/>
  <c r="J245" i="23313"/>
  <c r="K245" i="23313"/>
  <c r="L245" i="23313" s="1"/>
  <c r="H246" i="23313"/>
  <c r="J246" i="23313"/>
  <c r="K246" i="23313"/>
  <c r="L246" i="23313" s="1"/>
  <c r="H258" i="23313"/>
  <c r="J258" i="23313"/>
  <c r="K258" i="23313"/>
  <c r="L258" i="23313" s="1"/>
  <c r="H259" i="23313"/>
  <c r="J259" i="23313"/>
  <c r="K259" i="23313"/>
  <c r="L259" i="23313" s="1"/>
  <c r="H260" i="23313"/>
  <c r="J260" i="23313"/>
  <c r="K260" i="23313"/>
  <c r="L260" i="23313" s="1"/>
  <c r="J279" i="23313"/>
  <c r="K279" i="23313"/>
  <c r="L279" i="23313" s="1"/>
  <c r="J280" i="23313"/>
  <c r="K280" i="23313"/>
  <c r="L280" i="23313" s="1"/>
  <c r="H281" i="23313"/>
  <c r="J281" i="23313"/>
  <c r="K281" i="23313"/>
  <c r="L281" i="23313" s="1"/>
  <c r="H122" i="23313"/>
  <c r="H125" i="23313" s="1"/>
  <c r="J122" i="23313"/>
  <c r="J125" i="23313" s="1"/>
  <c r="K122" i="23313"/>
  <c r="L122" i="23313" s="1"/>
  <c r="L125" i="23313" s="1"/>
  <c r="H273" i="23313"/>
  <c r="J273" i="23313"/>
  <c r="K273" i="23313"/>
  <c r="L273" i="23313" s="1"/>
  <c r="H250" i="23313"/>
  <c r="J250" i="23313"/>
  <c r="K250" i="23313"/>
  <c r="L250" i="23313" s="1"/>
  <c r="J200" i="23313" l="1"/>
  <c r="H200" i="23313"/>
  <c r="J240" i="23313"/>
  <c r="K240" i="23313"/>
  <c r="L240" i="23313" s="1"/>
  <c r="H240" i="23313"/>
  <c r="K167" i="23313" l="1"/>
  <c r="L167" i="23313" s="1"/>
  <c r="K168" i="23313"/>
  <c r="L168" i="23313" s="1"/>
  <c r="K208" i="23313"/>
  <c r="L208" i="23313" s="1"/>
  <c r="J208" i="23313"/>
  <c r="H208" i="23313"/>
  <c r="L225" i="23313"/>
  <c r="J225" i="23313"/>
  <c r="H225" i="23313"/>
  <c r="K67" i="23313"/>
  <c r="L67" i="23313" s="1"/>
  <c r="J67" i="23313"/>
  <c r="H67" i="23313"/>
  <c r="K216" i="23313"/>
  <c r="L216" i="23313" s="1"/>
  <c r="J216" i="23313"/>
  <c r="H216" i="23313"/>
  <c r="K207" i="23313"/>
  <c r="L207" i="23313" s="1"/>
  <c r="J207" i="23313"/>
  <c r="H207" i="23313"/>
  <c r="K184" i="23313"/>
  <c r="L184" i="23313" s="1"/>
  <c r="K66" i="23313"/>
  <c r="L66" i="23313" s="1"/>
  <c r="J66" i="23313"/>
  <c r="H66" i="23313"/>
  <c r="K45" i="23313"/>
  <c r="L45" i="23313" s="1"/>
  <c r="J45" i="23313"/>
  <c r="H45" i="23313"/>
  <c r="K150" i="23313" l="1"/>
  <c r="L150" i="23313" s="1"/>
  <c r="K160" i="23313"/>
  <c r="L160" i="23313" s="1"/>
  <c r="H270" i="23313"/>
  <c r="K270" i="23313"/>
  <c r="L270" i="23313" s="1"/>
  <c r="J270" i="23313"/>
  <c r="K234" i="23313"/>
  <c r="L234" i="23313" s="1"/>
  <c r="L286" i="23313" s="1"/>
  <c r="J234" i="23313"/>
  <c r="J286" i="23313" s="1"/>
  <c r="H234" i="23313"/>
  <c r="H286" i="23313" s="1"/>
  <c r="K183" i="23313"/>
  <c r="L183" i="23313" s="1"/>
  <c r="K149" i="23313"/>
  <c r="L149" i="23313" s="1"/>
  <c r="K148" i="23313"/>
  <c r="L148" i="23313" s="1"/>
  <c r="K144" i="23313"/>
  <c r="L144" i="23313" s="1"/>
  <c r="K159" i="23313"/>
  <c r="L159" i="23313" s="1"/>
  <c r="K136" i="23313"/>
  <c r="L136" i="23313" s="1"/>
  <c r="K157" i="23313"/>
  <c r="L157" i="23313" s="1"/>
  <c r="K155" i="23313"/>
  <c r="L155" i="23313" s="1"/>
  <c r="K97" i="23313"/>
  <c r="L97" i="23313" s="1"/>
  <c r="J97" i="23313"/>
  <c r="H97" i="23313"/>
  <c r="J79" i="23313"/>
  <c r="K80" i="23313"/>
  <c r="L80" i="23313" s="1"/>
  <c r="J80" i="23313"/>
  <c r="H80" i="23313"/>
  <c r="K79" i="23313"/>
  <c r="L79" i="23313" s="1"/>
  <c r="H79" i="23313"/>
  <c r="H54" i="23313"/>
  <c r="J54" i="23313"/>
  <c r="K54" i="23313"/>
  <c r="L54" i="23313" s="1"/>
  <c r="K16" i="23313"/>
  <c r="L16" i="23313" s="1"/>
  <c r="J16" i="23313"/>
  <c r="H16" i="23313"/>
  <c r="K15" i="23313"/>
  <c r="L15" i="23313" s="1"/>
  <c r="J15" i="23313"/>
  <c r="H15" i="23313"/>
  <c r="J38" i="23313" l="1"/>
  <c r="L38" i="23313"/>
  <c r="H63" i="23313"/>
  <c r="J63" i="23313"/>
  <c r="H38" i="23313"/>
  <c r="B38" i="23313"/>
  <c r="B37" i="23313"/>
  <c r="B36" i="23313"/>
  <c r="B35" i="23313"/>
  <c r="B34" i="23313"/>
  <c r="B33" i="23313"/>
  <c r="B32" i="23313"/>
  <c r="B31" i="23313"/>
  <c r="B30" i="23313"/>
  <c r="B29" i="23313"/>
  <c r="L231" i="23313"/>
  <c r="J231" i="23313"/>
  <c r="H231" i="23313"/>
  <c r="K215" i="23313"/>
  <c r="L215" i="23313" s="1"/>
  <c r="J215" i="23313"/>
  <c r="H215" i="23313"/>
  <c r="K214" i="23313"/>
  <c r="L214" i="23313" s="1"/>
  <c r="J214" i="23313"/>
  <c r="H214" i="23313"/>
  <c r="K204" i="23313"/>
  <c r="L204" i="23313" s="1"/>
  <c r="L211" i="23313" s="1"/>
  <c r="J204" i="23313"/>
  <c r="J211" i="23313" s="1"/>
  <c r="H204" i="23313"/>
  <c r="K169" i="23313"/>
  <c r="L169" i="23313" s="1"/>
  <c r="K187" i="23313"/>
  <c r="L187" i="23313" s="1"/>
  <c r="K140" i="23313"/>
  <c r="L140" i="23313" s="1"/>
  <c r="K139" i="23313"/>
  <c r="L139" i="23313" s="1"/>
  <c r="K135" i="23313"/>
  <c r="L135" i="23313" s="1"/>
  <c r="K129" i="23313"/>
  <c r="L129" i="23313" s="1"/>
  <c r="K78" i="23313"/>
  <c r="L78" i="23313" s="1"/>
  <c r="J78" i="23313"/>
  <c r="H78" i="23313"/>
  <c r="K74" i="23313"/>
  <c r="L74" i="23313" s="1"/>
  <c r="J74" i="23313"/>
  <c r="H74" i="23313"/>
  <c r="K50" i="23313"/>
  <c r="L50" i="23313" s="1"/>
  <c r="J50" i="23313"/>
  <c r="K49" i="23313"/>
  <c r="L49" i="23313" s="1"/>
  <c r="J49" i="23313"/>
  <c r="H49" i="23313"/>
  <c r="K47" i="23313"/>
  <c r="L47" i="23313" s="1"/>
  <c r="J47" i="23313"/>
  <c r="H47" i="23313"/>
  <c r="K68" i="23313"/>
  <c r="L68" i="23313" s="1"/>
  <c r="J68" i="23313"/>
  <c r="H68" i="23313"/>
  <c r="K64" i="23313"/>
  <c r="L64" i="23313" s="1"/>
  <c r="J64" i="23313"/>
  <c r="H64" i="23313"/>
  <c r="K63" i="23313"/>
  <c r="L63" i="23313" s="1"/>
  <c r="H44" i="23313"/>
  <c r="J44" i="23313"/>
  <c r="K44" i="23313"/>
  <c r="L44" i="23313" s="1"/>
  <c r="H46" i="23313"/>
  <c r="J46" i="23313"/>
  <c r="K46" i="23313"/>
  <c r="L46" i="23313" s="1"/>
  <c r="L163" i="23313" l="1"/>
  <c r="L33" i="23313" s="1"/>
  <c r="J70" i="23313"/>
  <c r="L108" i="23313"/>
  <c r="L31" i="23313" s="1"/>
  <c r="L200" i="23313"/>
  <c r="L34" i="23313" s="1"/>
  <c r="J108" i="23313"/>
  <c r="J31" i="23313" s="1"/>
  <c r="H108" i="23313"/>
  <c r="H31" i="23313" s="1"/>
  <c r="O38" i="23313"/>
  <c r="H34" i="23313"/>
  <c r="H33" i="23313"/>
  <c r="J33" i="23313"/>
  <c r="J34" i="23313"/>
  <c r="H221" i="23313"/>
  <c r="L221" i="23313"/>
  <c r="J221" i="23313"/>
  <c r="J32" i="23313"/>
  <c r="H32" i="23313"/>
  <c r="H70" i="23313"/>
  <c r="L70" i="23313"/>
  <c r="L30" i="23313" s="1"/>
  <c r="O32" i="23313" l="1"/>
  <c r="O31" i="23313"/>
  <c r="O34" i="23313"/>
  <c r="O33" i="23313"/>
  <c r="L37" i="23313"/>
  <c r="H37" i="23313"/>
  <c r="J37" i="23313"/>
  <c r="O37" i="23313" l="1"/>
  <c r="K19" i="23313"/>
  <c r="L19" i="23313" s="1"/>
  <c r="J19" i="23313"/>
  <c r="H19" i="23313"/>
  <c r="K18" i="23313"/>
  <c r="L18" i="23313" s="1"/>
  <c r="J18" i="23313"/>
  <c r="H18" i="23313"/>
  <c r="K17" i="23313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6" i="23313" l="1"/>
  <c r="H26" i="23313"/>
  <c r="L26" i="23313"/>
  <c r="H59" i="23313"/>
  <c r="J59" i="23313"/>
  <c r="J30" i="23313"/>
  <c r="L59" i="23313"/>
  <c r="L29" i="23313" s="1"/>
  <c r="H30" i="23313"/>
  <c r="H211" i="23313"/>
  <c r="O30" i="23313" l="1"/>
  <c r="L7" i="23313"/>
  <c r="L8" i="23309"/>
  <c r="H7" i="23313"/>
  <c r="H8" i="23309"/>
  <c r="J7" i="23313"/>
  <c r="J8" i="23309"/>
  <c r="J29" i="23313"/>
  <c r="H29" i="23313"/>
  <c r="J35" i="23313"/>
  <c r="H35" i="23313"/>
  <c r="L35" i="23313"/>
  <c r="O29" i="23313" l="1"/>
  <c r="O35" i="23313"/>
  <c r="L36" i="23313"/>
  <c r="J36" i="23313" l="1"/>
  <c r="J40" i="23313" s="1"/>
  <c r="J7" i="23309" s="1"/>
  <c r="J289" i="23313"/>
  <c r="H289" i="23313"/>
  <c r="H36" i="23313"/>
  <c r="H40" i="23313" l="1"/>
  <c r="H7" i="23309" s="1"/>
  <c r="O36" i="23313"/>
  <c r="J8" i="23313"/>
  <c r="J10" i="23313" s="1"/>
  <c r="J10" i="23309" s="1"/>
  <c r="H8" i="23313" l="1"/>
  <c r="H10" i="23313" s="1"/>
  <c r="H10" i="23309" s="1"/>
  <c r="L32" i="23313"/>
  <c r="L40" i="23313" s="1"/>
  <c r="L289" i="23313"/>
  <c r="L7" i="23309" l="1"/>
  <c r="L8" i="23313"/>
  <c r="L10" i="23313" s="1"/>
  <c r="L10" i="23309" s="1"/>
  <c r="L13" i="23309" l="1"/>
  <c r="L14" i="23309"/>
  <c r="L12" i="23309"/>
  <c r="L15" i="23309"/>
  <c r="L16" i="23309"/>
  <c r="L19" i="23309" l="1"/>
  <c r="L22" i="23309" s="1"/>
  <c r="D8" i="23312" s="1"/>
  <c r="D7" i="23312" s="1"/>
</calcChain>
</file>

<file path=xl/sharedStrings.xml><?xml version="1.0" encoding="utf-8"?>
<sst xmlns="http://schemas.openxmlformats.org/spreadsheetml/2006/main" count="907" uniqueCount="466">
  <si>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</si>
  <si>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</si>
  <si>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</si>
  <si>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</si>
  <si>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</si>
  <si>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</si>
  <si>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</si>
  <si>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</si>
  <si>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</si>
  <si>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</si>
  <si>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</si>
  <si>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</si>
  <si>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</si>
  <si>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</si>
  <si>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</si>
  <si>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</si>
  <si>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</si>
  <si>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</si>
  <si>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</si>
  <si>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</si>
  <si>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</si>
  <si>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</si>
  <si>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</si>
  <si>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</si>
  <si>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</si>
  <si>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</si>
  <si>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</si>
  <si>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</si>
  <si>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</si>
  <si>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</si>
  <si>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</si>
  <si>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3.</t>
    <phoneticPr fontId="22" type="noConversion"/>
  </si>
  <si>
    <t>4.</t>
    <phoneticPr fontId="22" type="noConversion"/>
  </si>
  <si>
    <t>5.</t>
    <phoneticPr fontId="22" type="noConversion"/>
  </si>
  <si>
    <t>6.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</si>
  <si>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</si>
  <si>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</si>
  <si>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</si>
  <si>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</si>
  <si>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</si>
  <si>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</si>
  <si>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</si>
  <si>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</si>
  <si>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</si>
  <si>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10.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</si>
  <si>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</si>
  <si>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</si>
  <si>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</si>
  <si>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12.</t>
  </si>
  <si>
    <t>12.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</si>
  <si>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</si>
  <si>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</si>
  <si>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</si>
  <si>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</si>
  <si>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</si>
  <si>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</si>
  <si>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</si>
  <si>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</si>
  <si>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</si>
  <si>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</si>
  <si>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 xml:space="preserve">工事名(PROJECT)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</si>
  <si>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</si>
  <si>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</si>
  <si>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</si>
  <si>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</si>
  <si>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</si>
  <si>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</si>
  <si>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</si>
  <si>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</si>
  <si>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</si>
  <si>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</si>
  <si>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</si>
  <si>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</si>
  <si>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</si>
  <si>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</si>
  <si>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현장보양 및 현장 정리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</si>
  <si>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</si>
  <si>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</si>
  <si>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</si>
  <si>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</si>
  <si>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엘리베이터 보양</t>
    <phoneticPr fontId="2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</si>
  <si>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</si>
  <si>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</si>
  <si>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</si>
  <si>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</si>
  <si>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</si>
  <si>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</si>
  <si>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</si>
  <si>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</si>
  <si>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</si>
  <si>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</si>
  <si>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</si>
  <si>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</si>
  <si>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</si>
  <si>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</si>
  <si>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</si>
  <si>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</si>
  <si>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</si>
  <si>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수평 몰탈 공사</t>
    <phoneticPr fontId="2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</si>
  <si>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</si>
  <si>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</si>
  <si>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</si>
  <si>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</si>
  <si>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철거 / 설비 공사</t>
    <phoneticPr fontId="2" type="noConversion"/>
  </si>
  <si>
    <t>필름 공사</t>
    <phoneticPr fontId="2" type="noConversion"/>
  </si>
  <si>
    <t>필름 공사</t>
    <phoneticPr fontId="22" type="noConversion"/>
  </si>
  <si>
    <t>PL창호</t>
    <phoneticPr fontId="2" type="noConversion"/>
  </si>
  <si>
    <t>알판</t>
    <phoneticPr fontId="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</si>
  <si>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</si>
  <si>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</si>
  <si>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</si>
  <si>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주방가구</t>
    <phoneticPr fontId="2" type="noConversion"/>
  </si>
  <si>
    <t>수전</t>
    <phoneticPr fontId="2" type="noConversion"/>
  </si>
  <si>
    <t>자</t>
    <phoneticPr fontId="22" type="noConversion"/>
  </si>
  <si>
    <t>패트도어</t>
    <phoneticPr fontId="22" type="noConversion"/>
  </si>
  <si>
    <t>고객님 지급 자재</t>
    <phoneticPr fontId="22" type="noConversion"/>
  </si>
  <si>
    <t>안방 가구</t>
    <phoneticPr fontId="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</si>
  <si>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</si>
  <si>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</si>
  <si>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</si>
  <si>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거실, 방 조명</t>
    <phoneticPr fontId="2" type="noConversion"/>
  </si>
  <si>
    <t>발코니 조명</t>
    <phoneticPr fontId="2" type="noConversion"/>
  </si>
  <si>
    <t>팬던트 조명</t>
    <phoneticPr fontId="2" type="noConversion"/>
  </si>
  <si>
    <t>매립 센서</t>
    <phoneticPr fontId="2" type="noConversion"/>
  </si>
  <si>
    <t>전선 입선 라인</t>
    <phoneticPr fontId="2" type="noConversion"/>
  </si>
  <si>
    <t>별도 구매</t>
    <phoneticPr fontId="2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</si>
  <si>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</si>
  <si>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</si>
  <si>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</si>
  <si>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</si>
  <si>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욕조</t>
    <phoneticPr fontId="2" type="noConversion"/>
  </si>
  <si>
    <t>화장실 공사</t>
    <phoneticPr fontId="2" type="noConversion"/>
  </si>
  <si>
    <t>안방 화장실</t>
    <phoneticPr fontId="22" type="noConversion"/>
  </si>
  <si>
    <t>거실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</si>
  <si>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</si>
  <si>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</si>
  <si>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</si>
  <si>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</si>
  <si>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</si>
  <si>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</si>
  <si>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</si>
  <si>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</si>
  <si>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</si>
  <si>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벽 타일</t>
    <phoneticPr fontId="2" type="noConversion"/>
  </si>
  <si>
    <t>바닥 타일</t>
    <phoneticPr fontId="2" type="noConversion"/>
  </si>
  <si>
    <t>부자재</t>
    <phoneticPr fontId="2" type="noConversion"/>
  </si>
  <si>
    <t>X18, 레미탈</t>
    <phoneticPr fontId="22" type="noConversion"/>
  </si>
  <si>
    <t>현관 타일</t>
    <phoneticPr fontId="2" type="noConversion"/>
  </si>
  <si>
    <t>현관 바닥</t>
    <phoneticPr fontId="2" type="noConversion"/>
  </si>
  <si>
    <t>거실</t>
    <phoneticPr fontId="2" type="noConversion"/>
  </si>
  <si>
    <t>거실 벽체</t>
    <phoneticPr fontId="2" type="noConversion"/>
  </si>
  <si>
    <t>600*1200</t>
    <phoneticPr fontId="22" type="noConversion"/>
  </si>
  <si>
    <t>300*300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</si>
  <si>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</si>
  <si>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</si>
  <si>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</si>
  <si>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</si>
  <si>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</si>
  <si>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</si>
  <si>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</si>
  <si>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1X1 각재, 4.5T 합판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</si>
  <si>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</si>
  <si>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</si>
  <si>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</si>
  <si>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각 방</t>
    <phoneticPr fontId="22" type="noConversion"/>
  </si>
  <si>
    <t>기타 목 공사</t>
    <phoneticPr fontId="2" type="noConversion"/>
  </si>
  <si>
    <t>감리</t>
    <phoneticPr fontId="2" type="noConversion"/>
  </si>
  <si>
    <t xml:space="preserve"> MOHAE DESIGN</t>
    <phoneticPr fontId="2" type="noConversion"/>
  </si>
  <si>
    <t>경기 용인시 수지구 신봉동 242-28</t>
    <phoneticPr fontId="2" type="noConversion"/>
  </si>
  <si>
    <t>Tel : 031-272-2724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</si>
  <si>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</si>
  <si>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</si>
  <si>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</si>
  <si>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</si>
  <si>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</si>
  <si>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</si>
  <si>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</si>
  <si>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인쇼 마루</t>
    <phoneticPr fontId="22" type="noConversion"/>
  </si>
  <si>
    <t>36T ABS 도어 손잡이</t>
    <phoneticPr fontId="22" type="noConversion"/>
  </si>
  <si>
    <t>인쇼 플랫 그레이</t>
    <phoneticPr fontId="22" type="noConversion"/>
  </si>
  <si>
    <t>강마루</t>
    <phoneticPr fontId="22" type="noConversion"/>
  </si>
  <si>
    <t>중문</t>
    <phoneticPr fontId="22" type="noConversion"/>
  </si>
  <si>
    <t>미정</t>
    <phoneticPr fontId="22" type="noConversion"/>
  </si>
  <si>
    <t>거실, 안방</t>
    <phoneticPr fontId="22" type="noConversion"/>
  </si>
  <si>
    <t>유가</t>
    <phoneticPr fontId="22" type="noConversion"/>
  </si>
  <si>
    <t>절사</t>
    <phoneticPr fontId="22" type="noConversion"/>
  </si>
  <si>
    <t>싱크볼</t>
    <phoneticPr fontId="2" type="noConversion"/>
  </si>
  <si>
    <t>타일 철거</t>
    <phoneticPr fontId="22" type="noConversion"/>
  </si>
  <si>
    <t>거실, 방 전체</t>
    <phoneticPr fontId="22" type="noConversion"/>
  </si>
  <si>
    <t>150*150 S150SS 도무스</t>
    <phoneticPr fontId="22" type="noConversion"/>
  </si>
  <si>
    <t>현관, 발코니</t>
    <phoneticPr fontId="22" type="noConversion"/>
  </si>
  <si>
    <t>거실 벽</t>
    <phoneticPr fontId="22" type="noConversion"/>
  </si>
  <si>
    <t>벽체</t>
    <phoneticPr fontId="22" type="noConversion"/>
  </si>
  <si>
    <t>천장</t>
    <phoneticPr fontId="22" type="noConversion"/>
  </si>
  <si>
    <t>조색 실리콘</t>
    <phoneticPr fontId="22" type="noConversion"/>
  </si>
  <si>
    <t>관리사무소 고객 직접 납부</t>
    <phoneticPr fontId="22" type="noConversion"/>
  </si>
  <si>
    <t>가설 공사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</si>
  <si>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</si>
  <si>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</si>
  <si>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</si>
  <si>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</si>
  <si>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</si>
  <si>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</si>
  <si>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</si>
  <si>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</si>
  <si>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</si>
  <si>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</si>
  <si>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벽체</t>
    <phoneticPr fontId="22" type="noConversion"/>
  </si>
  <si>
    <t>거실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</si>
  <si>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</si>
  <si>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</si>
  <si>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</si>
  <si>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</si>
  <si>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</si>
  <si>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</si>
  <si>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</si>
  <si>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</si>
  <si>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</si>
  <si>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</si>
  <si>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</si>
  <si>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45T ABS 도어</t>
    <phoneticPr fontId="22" type="noConversion"/>
  </si>
  <si>
    <t>손잡이있는 히든도어</t>
    <phoneticPr fontId="22" type="noConversion"/>
  </si>
  <si>
    <t>손잡이없는 히든도어</t>
    <phoneticPr fontId="22" type="noConversion"/>
  </si>
  <si>
    <t>각 방</t>
    <phoneticPr fontId="22" type="noConversion"/>
  </si>
  <si>
    <t>EA</t>
    <phoneticPr fontId="22" type="noConversion"/>
  </si>
  <si>
    <t>바닥타일</t>
    <phoneticPr fontId="22" type="noConversion"/>
  </si>
  <si>
    <t>벽 타일</t>
    <phoneticPr fontId="22" type="noConversion"/>
  </si>
  <si>
    <t>평수*2</t>
    <phoneticPr fontId="22" type="noConversion"/>
  </si>
  <si>
    <t>걸레받이 , 몰딩</t>
    <phoneticPr fontId="22" type="noConversion"/>
  </si>
  <si>
    <t>M</t>
    <phoneticPr fontId="22" type="noConversion"/>
  </si>
  <si>
    <t>각 방 벽체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</si>
  <si>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</si>
  <si>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</si>
  <si>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</si>
  <si>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TV 브라켓 벽체 신설 및 매립</t>
    <phoneticPr fontId="22" type="noConversion"/>
  </si>
  <si>
    <t>1X1 각재, 9T 합판</t>
    <phoneticPr fontId="22" type="noConversion"/>
  </si>
  <si>
    <t>식</t>
    <phoneticPr fontId="22" type="noConversion"/>
  </si>
  <si>
    <t>-</t>
    <phoneticPr fontId="22" type="noConversion"/>
  </si>
  <si>
    <t>바닥타일</t>
    <phoneticPr fontId="22" type="noConversion"/>
  </si>
  <si>
    <t>600*600</t>
    <phoneticPr fontId="22" type="noConversion"/>
  </si>
  <si>
    <t>거실 바닥</t>
    <phoneticPr fontId="22" type="noConversion"/>
  </si>
  <si>
    <t>PY</t>
    <phoneticPr fontId="22" type="noConversion"/>
  </si>
  <si>
    <t>부자재</t>
    <phoneticPr fontId="22" type="noConversion"/>
  </si>
  <si>
    <t>식</t>
    <phoneticPr fontId="22" type="noConversion"/>
  </si>
  <si>
    <t>거실 벽체</t>
    <phoneticPr fontId="22" type="noConversion"/>
  </si>
  <si>
    <t>VAT 별도</t>
    <phoneticPr fontId="22" type="noConversion"/>
  </si>
  <si>
    <t>부가세 별도</t>
    <phoneticPr fontId="2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</si>
  <si>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</si>
  <si>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</si>
  <si>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</si>
  <si>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</si>
  <si>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</si>
  <si>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싱크 수전</t>
    <phoneticPr fontId="2" type="noConversion"/>
  </si>
  <si>
    <t>인조대리석</t>
    <phoneticPr fontId="22" type="noConversion"/>
  </si>
  <si>
    <t>식</t>
    <phoneticPr fontId="22" type="noConversion"/>
  </si>
  <si>
    <t>가스관 철거</t>
    <phoneticPr fontId="2" type="noConversion"/>
  </si>
  <si>
    <t>도어씰</t>
    <phoneticPr fontId="22" type="noConversion"/>
  </si>
  <si>
    <t>아메리칸 웨이브S 투피스</t>
    <phoneticPr fontId="22" type="noConversion"/>
  </si>
  <si>
    <t>아메리칸 스탠다드 플랫 반다리</t>
    <phoneticPr fontId="22" type="noConversion"/>
  </si>
  <si>
    <t>디엠 테크 700*1400</t>
    <phoneticPr fontId="22" type="noConversion"/>
  </si>
  <si>
    <t xml:space="preserve">ST-8072NB </t>
    <phoneticPr fontId="22" type="noConversion"/>
  </si>
  <si>
    <t>거울 장</t>
    <phoneticPr fontId="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</si>
  <si>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</si>
  <si>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</si>
  <si>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</si>
  <si>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</si>
  <si>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</si>
  <si>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도무스 905SS</t>
    <phoneticPr fontId="22" type="noConversion"/>
  </si>
  <si>
    <t>거실, 각 방</t>
    <phoneticPr fontId="22" type="noConversion"/>
  </si>
  <si>
    <t>-</t>
    <phoneticPr fontId="22" type="noConversion"/>
  </si>
  <si>
    <t>SET</t>
    <phoneticPr fontId="22" type="noConversion"/>
  </si>
  <si>
    <t>붙박이 장 EP</t>
    <phoneticPr fontId="2" type="noConversion"/>
  </si>
  <si>
    <t>좌우측면</t>
    <phoneticPr fontId="22" type="noConversion"/>
  </si>
  <si>
    <t>홈바 인조대리석</t>
    <phoneticPr fontId="22" type="noConversion"/>
  </si>
  <si>
    <t>-</t>
    <phoneticPr fontId="22" type="noConversion"/>
  </si>
  <si>
    <t>양변기, 세면대 뒷벽</t>
    <phoneticPr fontId="22" type="noConversion"/>
  </si>
  <si>
    <t>파티션</t>
    <phoneticPr fontId="22" type="noConversion"/>
  </si>
  <si>
    <t>식</t>
    <phoneticPr fontId="22" type="noConversion"/>
  </si>
  <si>
    <t>욕조 벽체</t>
    <phoneticPr fontId="22" type="noConversion"/>
  </si>
  <si>
    <t>파티션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</si>
  <si>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</si>
  <si>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</si>
  <si>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냉장고 장 EP</t>
    <phoneticPr fontId="2" type="noConversion"/>
  </si>
  <si>
    <t>홈바 상부장</t>
    <phoneticPr fontId="2" type="noConversion"/>
  </si>
  <si>
    <t>홈바 장 EP</t>
    <phoneticPr fontId="2" type="noConversion"/>
  </si>
  <si>
    <t>강마루</t>
    <phoneticPr fontId="22" type="noConversion"/>
  </si>
  <si>
    <t>각 방</t>
    <phoneticPr fontId="22" type="noConversion"/>
  </si>
  <si>
    <t>인쇼마루</t>
    <phoneticPr fontId="22" type="noConversion"/>
  </si>
  <si>
    <t>에디톤 플로어</t>
    <phoneticPr fontId="22" type="noConversion"/>
  </si>
  <si>
    <t>PY</t>
    <phoneticPr fontId="22" type="noConversion"/>
  </si>
  <si>
    <t>M</t>
    <phoneticPr fontId="22" type="noConversion"/>
  </si>
  <si>
    <t>-</t>
    <phoneticPr fontId="22" type="noConversion"/>
  </si>
  <si>
    <t>락소 히든몰딩</t>
    <phoneticPr fontId="22" type="noConversion"/>
  </si>
  <si>
    <t>M101 19 10MM 도배용</t>
    <phoneticPr fontId="22" type="noConversion"/>
  </si>
  <si>
    <t>거실 천장</t>
    <phoneticPr fontId="22" type="noConversion"/>
  </si>
  <si>
    <t>천장 석고보드 덧붙임 시공</t>
    <phoneticPr fontId="22" type="noConversion"/>
  </si>
  <si>
    <t>M2</t>
    <phoneticPr fontId="22" type="noConversion"/>
  </si>
  <si>
    <t>상판, 미드웨어</t>
    <phoneticPr fontId="22" type="noConversion"/>
  </si>
  <si>
    <t>EA</t>
    <phoneticPr fontId="22" type="noConversion"/>
  </si>
  <si>
    <t>10평에 1.1대</t>
    <phoneticPr fontId="22" type="noConversion"/>
  </si>
  <si>
    <t>온도조절기 공사</t>
    <phoneticPr fontId="22" type="noConversion"/>
  </si>
  <si>
    <t>EA</t>
    <phoneticPr fontId="22" type="noConversion"/>
  </si>
  <si>
    <t>M2</t>
    <phoneticPr fontId="22" type="noConversion"/>
  </si>
  <si>
    <t>600*1200</t>
    <phoneticPr fontId="22" type="noConversion"/>
  </si>
  <si>
    <t>-</t>
    <phoneticPr fontId="22" type="noConversion"/>
  </si>
  <si>
    <t>벽타일</t>
    <phoneticPr fontId="22" type="noConversion"/>
  </si>
  <si>
    <t>거실 타일</t>
    <phoneticPr fontId="22" type="noConversion"/>
  </si>
  <si>
    <t>13+13+10</t>
    <phoneticPr fontId="22" type="noConversion"/>
  </si>
  <si>
    <t>30+27</t>
    <phoneticPr fontId="22" type="noConversion"/>
  </si>
  <si>
    <t>13+13+10*2.4</t>
    <phoneticPr fontId="22" type="noConversion"/>
  </si>
  <si>
    <t xml:space="preserve"> </t>
    <phoneticPr fontId="22" type="noConversion"/>
  </si>
  <si>
    <t>샷</t>
    <phoneticPr fontId="22" type="noConversion"/>
  </si>
  <si>
    <t>싱크대 후드</t>
    <phoneticPr fontId="22" type="noConversion"/>
  </si>
  <si>
    <t>2,3인치 매립등, 스팟 조명</t>
    <phoneticPr fontId="22" type="noConversion"/>
  </si>
  <si>
    <t>LED BAR, SMPS 포함</t>
    <phoneticPr fontId="22" type="noConversion"/>
  </si>
  <si>
    <t>현관 조명</t>
    <phoneticPr fontId="2" type="noConversion"/>
  </si>
  <si>
    <t>2인치 매립등</t>
    <phoneticPr fontId="22" type="noConversion"/>
  </si>
  <si>
    <t>현관히든센서</t>
    <phoneticPr fontId="22" type="noConversion"/>
  </si>
  <si>
    <t>감지기</t>
    <phoneticPr fontId="2" type="noConversion"/>
  </si>
  <si>
    <t>기타 감지기류</t>
    <phoneticPr fontId="22" type="noConversion"/>
  </si>
  <si>
    <t>라인조명</t>
    <phoneticPr fontId="2" type="noConversion"/>
  </si>
  <si>
    <t>커튼박스 공사</t>
    <phoneticPr fontId="22" type="noConversion"/>
  </si>
  <si>
    <t>각 방 / 거실</t>
    <phoneticPr fontId="22" type="noConversion"/>
  </si>
  <si>
    <t>진행</t>
    <phoneticPr fontId="22" type="noConversion"/>
  </si>
  <si>
    <t>디아망 LX하우시스 부자재 포함</t>
    <phoneticPr fontId="22" type="noConversion"/>
  </si>
  <si>
    <t>24*24</t>
    <phoneticPr fontId="22" type="noConversion"/>
  </si>
  <si>
    <t>40*80</t>
    <phoneticPr fontId="22" type="noConversion"/>
  </si>
  <si>
    <t>9칸</t>
    <phoneticPr fontId="22" type="noConversion"/>
  </si>
  <si>
    <t>방둘레</t>
    <phoneticPr fontId="22" type="noConversion"/>
  </si>
  <si>
    <t>문짝</t>
    <phoneticPr fontId="22" type="noConversion"/>
  </si>
  <si>
    <t>디귿자</t>
    <phoneticPr fontId="22" type="noConversion"/>
  </si>
  <si>
    <t>각 방 천정</t>
    <phoneticPr fontId="22" type="noConversion"/>
  </si>
  <si>
    <t>방면적</t>
    <phoneticPr fontId="22" type="noConversion"/>
  </si>
  <si>
    <t>현관 천장</t>
    <phoneticPr fontId="22" type="noConversion"/>
  </si>
  <si>
    <t>현관 천정 1PLY x2</t>
    <phoneticPr fontId="22" type="noConversion"/>
  </si>
  <si>
    <t>방둘레 80 + 거실걸레받이 30</t>
    <phoneticPr fontId="22" type="noConversion"/>
  </si>
  <si>
    <t>단열공사</t>
    <phoneticPr fontId="22" type="noConversion"/>
  </si>
  <si>
    <t>방</t>
    <phoneticPr fontId="22" type="noConversion"/>
  </si>
  <si>
    <t>50T 아이소핑크</t>
    <phoneticPr fontId="22" type="noConversion"/>
  </si>
  <si>
    <t>전체 철거</t>
    <phoneticPr fontId="22" type="noConversion"/>
  </si>
  <si>
    <t>기타 장</t>
    <phoneticPr fontId="2" type="noConversion"/>
  </si>
  <si>
    <t>2SET</t>
    <phoneticPr fontId="22" type="noConversion"/>
  </si>
  <si>
    <t>천장 석고보드 시공</t>
    <phoneticPr fontId="22" type="noConversion"/>
  </si>
  <si>
    <t>방 벽체 석고보드 시공</t>
    <phoneticPr fontId="22" type="noConversion"/>
  </si>
  <si>
    <t>석고보드 덧붙힘 시공</t>
    <phoneticPr fontId="22" type="noConversion"/>
  </si>
  <si>
    <t>고용 산재 보험</t>
    <phoneticPr fontId="22" type="noConversion"/>
  </si>
  <si>
    <t xml:space="preserve">아덱스 도막방수제 2회 </t>
    <phoneticPr fontId="22" type="noConversion"/>
  </si>
  <si>
    <t>화장실 하단 방수</t>
    <phoneticPr fontId="22" type="noConversion"/>
  </si>
  <si>
    <t>화장실 배관 이설</t>
    <phoneticPr fontId="22" type="noConversion"/>
  </si>
  <si>
    <t>v</t>
    <phoneticPr fontId="22" type="noConversion"/>
  </si>
  <si>
    <t xml:space="preserve"> v</t>
    <phoneticPr fontId="22" type="noConversion"/>
  </si>
  <si>
    <t>중문공사</t>
    <phoneticPr fontId="22" type="noConversion"/>
  </si>
  <si>
    <t>붙박이장</t>
    <phoneticPr fontId="2" type="noConversion"/>
  </si>
  <si>
    <t>플랩장</t>
    <phoneticPr fontId="22" type="noConversion"/>
  </si>
  <si>
    <t>모해디자인 진행 사항</t>
    <phoneticPr fontId="22" type="noConversion"/>
  </si>
  <si>
    <t>서비스 품목</t>
    <phoneticPr fontId="22" type="noConversion"/>
  </si>
  <si>
    <t xml:space="preserve">상판 사다리차 </t>
    <phoneticPr fontId="2" type="noConversion"/>
  </si>
  <si>
    <t>원판 자재 반입</t>
    <phoneticPr fontId="22" type="noConversion"/>
  </si>
  <si>
    <t>4.5T</t>
    <phoneticPr fontId="22" type="noConversion"/>
  </si>
  <si>
    <t>보강부</t>
    <phoneticPr fontId="22" type="noConversion"/>
  </si>
  <si>
    <r>
      <t xml:space="preserve"> </t>
    </r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</si>
  <si>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</si>
  <si>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t>가구자리 및 기타 천정 보강 공사</t>
    <phoneticPr fontId="2" type="noConversion"/>
  </si>
  <si>
    <t>덧방 시공 1PLY</t>
    <phoneticPr fontId="22" type="noConversion"/>
  </si>
  <si>
    <t>슬라이딩도어</t>
    <phoneticPr fontId="22" type="noConversion"/>
  </si>
  <si>
    <t>도어 / 포켓 시공</t>
    <phoneticPr fontId="22" type="noConversion"/>
  </si>
  <si>
    <t>아이방 / 거실</t>
    <phoneticPr fontId="22" type="noConversion"/>
  </si>
  <si>
    <t>원목 중문</t>
    <phoneticPr fontId="22" type="noConversion"/>
  </si>
  <si>
    <t>40m</t>
    <phoneticPr fontId="22" type="noConversion"/>
  </si>
  <si>
    <t>스텝도어</t>
    <phoneticPr fontId="22" type="noConversion"/>
  </si>
  <si>
    <t xml:space="preserve"> 상판자재</t>
    <phoneticPr fontId="2" type="noConversion"/>
  </si>
  <si>
    <t>전체</t>
    <phoneticPr fontId="22" type="noConversion"/>
  </si>
  <si>
    <t>고밀도 MDF 1PLY (메지 시공)</t>
    <phoneticPr fontId="22" type="noConversion"/>
  </si>
  <si>
    <t>아일랜드 / 벽체주위 / 현관철거부</t>
    <phoneticPr fontId="22" type="noConversion"/>
  </si>
  <si>
    <t>시스템선반</t>
    <phoneticPr fontId="2" type="noConversion"/>
  </si>
  <si>
    <t>알파룸</t>
    <phoneticPr fontId="22" type="noConversion"/>
  </si>
  <si>
    <t>시스템선반</t>
    <phoneticPr fontId="22" type="noConversion"/>
  </si>
  <si>
    <t>SMPS 포함 /마그네틱</t>
    <phoneticPr fontId="22" type="noConversion"/>
  </si>
  <si>
    <t>SERVICE</t>
    <phoneticPr fontId="22" type="noConversion"/>
  </si>
  <si>
    <t>상판 콘센트</t>
    <phoneticPr fontId="22" type="noConversion"/>
  </si>
  <si>
    <t>바흐만</t>
    <phoneticPr fontId="22" type="noConversion"/>
  </si>
  <si>
    <t>아일랜드</t>
    <phoneticPr fontId="22" type="noConversion"/>
  </si>
  <si>
    <t>모해 서비스 진행</t>
    <phoneticPr fontId="22" type="noConversion"/>
  </si>
  <si>
    <t>급 / 배수 배관이설</t>
    <phoneticPr fontId="22" type="noConversion"/>
  </si>
  <si>
    <t>주방 아일랜드</t>
    <phoneticPr fontId="22" type="noConversion"/>
  </si>
  <si>
    <t>조적 벽체 /젠다이</t>
    <phoneticPr fontId="2" type="noConversion"/>
  </si>
  <si>
    <t>조적 벽체 / 파티션</t>
    <phoneticPr fontId="2" type="noConversion"/>
  </si>
  <si>
    <t>거울장 제작</t>
    <phoneticPr fontId="22" type="noConversion"/>
  </si>
  <si>
    <t>거울장 제작</t>
    <phoneticPr fontId="2" type="noConversion"/>
  </si>
  <si>
    <t>필름 시공 /현관</t>
    <phoneticPr fontId="22" type="noConversion"/>
  </si>
  <si>
    <t>일반도어 9mm 문선</t>
    <phoneticPr fontId="22" type="noConversion"/>
  </si>
  <si>
    <t>별도 협의</t>
    <phoneticPr fontId="22" type="noConversion"/>
  </si>
  <si>
    <t>부분시공</t>
    <phoneticPr fontId="22" type="noConversion"/>
  </si>
  <si>
    <t>행잉신발장</t>
    <phoneticPr fontId="2" type="noConversion"/>
  </si>
  <si>
    <t>현관 신발장</t>
    <phoneticPr fontId="22" type="noConversion"/>
  </si>
  <si>
    <t>현관문</t>
    <phoneticPr fontId="22" type="noConversion"/>
  </si>
  <si>
    <t>천장몰딩</t>
    <phoneticPr fontId="2" type="noConversion"/>
  </si>
  <si>
    <t>걸레받이</t>
    <phoneticPr fontId="2" type="noConversion"/>
  </si>
  <si>
    <t>세탁실</t>
    <phoneticPr fontId="22" type="noConversion"/>
  </si>
  <si>
    <t>힘펠 /제로크</t>
    <phoneticPr fontId="22" type="noConversion"/>
  </si>
  <si>
    <t>힘펠 / 휴젠트</t>
    <phoneticPr fontId="22" type="noConversion"/>
  </si>
  <si>
    <t>공용부</t>
    <phoneticPr fontId="22" type="noConversion"/>
  </si>
  <si>
    <t xml:space="preserve">  </t>
    <phoneticPr fontId="22" type="noConversion"/>
  </si>
  <si>
    <t>세탁실</t>
    <phoneticPr fontId="2" type="noConversion"/>
  </si>
  <si>
    <t>기타</t>
    <phoneticPr fontId="2" type="noConversion"/>
  </si>
  <si>
    <t>SQSR 780 / 스텐거름망</t>
    <phoneticPr fontId="22" type="noConversion"/>
  </si>
  <si>
    <t>방 붙박이장</t>
    <phoneticPr fontId="2" type="noConversion"/>
  </si>
  <si>
    <t>침실2 자녀방</t>
    <phoneticPr fontId="22" type="noConversion"/>
  </si>
  <si>
    <t>냉장고 키큰장</t>
    <phoneticPr fontId="22" type="noConversion"/>
  </si>
  <si>
    <t>액체방수 공사</t>
    <phoneticPr fontId="22" type="noConversion"/>
  </si>
  <si>
    <t>세라믹 코트</t>
    <phoneticPr fontId="22" type="noConversion"/>
  </si>
  <si>
    <t>* 화장실 은경 ?</t>
    <phoneticPr fontId="22" type="noConversion"/>
  </si>
  <si>
    <t>*붙박이장</t>
    <phoneticPr fontId="22" type="noConversion"/>
  </si>
  <si>
    <t>확장부</t>
    <phoneticPr fontId="22" type="noConversion"/>
  </si>
  <si>
    <t>샷시 에어컨 포함 / 7천</t>
    <phoneticPr fontId="22" type="noConversion"/>
  </si>
  <si>
    <t xml:space="preserve">각 방 도어 9mm문선 </t>
    <phoneticPr fontId="22" type="noConversion"/>
  </si>
  <si>
    <t>씨트리 9022NB</t>
    <phoneticPr fontId="22" type="noConversion"/>
  </si>
  <si>
    <t>하부 서랍장</t>
    <phoneticPr fontId="22" type="noConversion"/>
  </si>
  <si>
    <t>화장대</t>
    <phoneticPr fontId="2" type="noConversion"/>
  </si>
  <si>
    <t>주방타일 / 바닥</t>
    <phoneticPr fontId="2" type="noConversion"/>
  </si>
  <si>
    <t>기본보강작업</t>
    <phoneticPr fontId="22" type="noConversion"/>
  </si>
  <si>
    <t>거실 보강부</t>
    <phoneticPr fontId="22" type="noConversion"/>
  </si>
  <si>
    <t xml:space="preserve">PROJECT: </t>
    <phoneticPr fontId="2" type="noConversion"/>
  </si>
  <si>
    <t xml:space="preserve">TO : </t>
    <rPh sb="0" eb="5">
      <t>ｷｶ</t>
    </rPh>
    <phoneticPr fontId="112" type="noConversion"/>
  </si>
  <si>
    <t>세라믹 / 보조주방 / 미드웨이</t>
    <phoneticPr fontId="22" type="noConversion"/>
  </si>
  <si>
    <t>런더리룸</t>
    <phoneticPr fontId="22" type="noConversion"/>
  </si>
  <si>
    <t>인쇼제어함</t>
    <phoneticPr fontId="2" type="noConversion"/>
  </si>
  <si>
    <t>거실 /현관 천장</t>
    <phoneticPr fontId="22" type="noConversion"/>
  </si>
  <si>
    <t>필름 시공 /공용부</t>
    <phoneticPr fontId="22" type="noConversion"/>
  </si>
  <si>
    <t>런드리룸</t>
    <phoneticPr fontId="22" type="noConversion"/>
  </si>
  <si>
    <t>PROJECT: 김은경 고객님 가견적_필름</t>
    <phoneticPr fontId="2" type="noConversion"/>
  </si>
  <si>
    <t>소견서 2장추가</t>
    <phoneticPr fontId="22" type="noConversion"/>
  </si>
  <si>
    <t>주방 하부장</t>
    <phoneticPr fontId="2" type="noConversion"/>
  </si>
  <si>
    <t>세라믹 식탁</t>
    <phoneticPr fontId="22" type="noConversion"/>
  </si>
  <si>
    <t>동일스펙</t>
    <phoneticPr fontId="22" type="noConversion"/>
  </si>
  <si>
    <t>이노솔</t>
    <phoneticPr fontId="2" type="noConversion"/>
  </si>
  <si>
    <t>목공 포함</t>
    <phoneticPr fontId="22" type="noConversion"/>
  </si>
  <si>
    <t>런더리 하부장</t>
    <phoneticPr fontId="2" type="noConversion"/>
  </si>
  <si>
    <t>런더리 세탁장</t>
    <phoneticPr fontId="2" type="noConversion"/>
  </si>
  <si>
    <t>런더리룸 / 세탁장</t>
    <phoneticPr fontId="22" type="noConversion"/>
  </si>
  <si>
    <t>메인 주방</t>
    <phoneticPr fontId="22" type="noConversion"/>
  </si>
  <si>
    <t>주방 상부장</t>
    <phoneticPr fontId="2" type="noConversion"/>
  </si>
  <si>
    <t>홈펜트리</t>
    <phoneticPr fontId="22" type="noConversion"/>
  </si>
  <si>
    <t>유리도어 / 간접등</t>
    <phoneticPr fontId="22" type="noConversion"/>
  </si>
  <si>
    <t>인티보</t>
    <phoneticPr fontId="22" type="noConversion"/>
  </si>
  <si>
    <t xml:space="preserve">서랍장 블룸 하드웨어 </t>
    <phoneticPr fontId="22" type="noConversion"/>
  </si>
  <si>
    <t>철거</t>
    <phoneticPr fontId="22" type="noConversion"/>
  </si>
  <si>
    <t>거실 천장 철거</t>
    <phoneticPr fontId="22" type="noConversion"/>
  </si>
  <si>
    <t>전체 천장 철거</t>
    <phoneticPr fontId="22" type="noConversion"/>
  </si>
  <si>
    <t>천장철거</t>
    <phoneticPr fontId="22" type="noConversion"/>
  </si>
  <si>
    <t>LOSS 20%</t>
    <phoneticPr fontId="22" type="noConversion"/>
  </si>
  <si>
    <t>주방 벽체</t>
    <phoneticPr fontId="2" type="noConversion"/>
  </si>
  <si>
    <t>동선보양</t>
    <phoneticPr fontId="22" type="noConversion"/>
  </si>
  <si>
    <t>마뷸러스 뮤즈</t>
    <phoneticPr fontId="22" type="noConversion"/>
  </si>
  <si>
    <t>거실전체단내림</t>
    <phoneticPr fontId="22" type="noConversion"/>
  </si>
  <si>
    <t>벽체골조 / 공용부</t>
    <phoneticPr fontId="22" type="noConversion"/>
  </si>
  <si>
    <t>히든도어</t>
    <phoneticPr fontId="22" type="noConversion"/>
  </si>
  <si>
    <t>보일러 이설</t>
    <phoneticPr fontId="22" type="noConversion"/>
  </si>
  <si>
    <t>보일러 급수/환수 이설 /기기이설</t>
    <phoneticPr fontId="22" type="noConversion"/>
  </si>
  <si>
    <t xml:space="preserve">급 / 배수 배관이설 </t>
    <phoneticPr fontId="22" type="noConversion"/>
  </si>
  <si>
    <t>인쇼 / 방 국산</t>
    <phoneticPr fontId="22" type="noConversion"/>
  </si>
  <si>
    <t>ST-1029NB</t>
    <phoneticPr fontId="22" type="noConversion"/>
  </si>
  <si>
    <t>거실화장실</t>
    <phoneticPr fontId="22" type="noConversion"/>
  </si>
  <si>
    <t>ST-1018NB</t>
    <phoneticPr fontId="22" type="noConversion"/>
  </si>
  <si>
    <t>윈도우시트</t>
    <phoneticPr fontId="22" type="noConversion"/>
  </si>
  <si>
    <t>ST-1501NB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</si>
</sst>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49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Arial Unicode MS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38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2627" applyNumberFormat="1" applyFont="1" applyFill="1" applyBorder="1" applyAlignment="1">
      <alignment horizontal="left"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7" fillId="0" borderId="20" xfId="2627" applyNumberFormat="1" applyFont="1" applyFill="1" applyBorder="1" applyAlignment="1">
      <alignment horizontal="left"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left"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20" xfId="2627" applyNumberFormat="1" applyFont="1" applyFill="1" applyBorder="1" applyAlignment="1">
      <alignment horizontal="left"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20" xfId="2627" applyNumberFormat="1" applyFont="1" applyFill="1" applyBorder="1" applyAlignment="1">
      <alignment horizontal="left"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8" borderId="20" xfId="2627" applyNumberFormat="1" applyFont="1" applyFill="1" applyBorder="1" applyAlignment="1">
      <alignment horizontal="left"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20" xfId="2627" applyNumberFormat="1" applyFont="1" applyFill="1" applyBorder="1" applyAlignment="1">
      <alignment horizontal="left"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0" fontId="117" fillId="13" borderId="20" xfId="2908" applyNumberFormat="1" applyFont="1" applyFill="1" applyBorder="1" applyAlignment="1">
      <alignment horizontal="left"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left"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3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222" fontId="134" fillId="0" borderId="20" xfId="2627" applyNumberFormat="1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19" fillId="0" borderId="20" xfId="2627" applyNumberFormat="1" applyFont="1" applyFill="1" applyBorder="1" applyAlignment="1">
      <alignment horizontal="left"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0" fontId="117" fillId="0" borderId="20" xfId="2908" applyNumberFormat="1" applyFont="1" applyFill="1" applyBorder="1" applyAlignment="1">
      <alignment horizontal="left" vertical="center"/>
    </xf>
    <xf numFmtId="43" fontId="117" fillId="0" borderId="9" xfId="0" applyNumberFormat="1" applyFont="1" applyBorder="1" applyAlignment="1">
      <alignment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9" fillId="0" borderId="20" xfId="0" applyFont="1" applyBorder="1" applyAlignment="1">
      <alignment horizontal="center" vertical="center"/>
    </xf>
    <xf numFmtId="43" fontId="119" fillId="0" borderId="20" xfId="2627" applyNumberFormat="1" applyFont="1" applyFill="1" applyBorder="1" applyAlignment="1">
      <alignment horizontal="center" vertical="center"/>
    </xf>
    <xf numFmtId="41" fontId="119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29" xfId="2627" applyNumberFormat="1" applyFont="1" applyFill="1" applyBorder="1" applyAlignment="1">
      <alignment horizontal="left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4" xfId="2627" applyNumberFormat="1" applyFont="1" applyFill="1" applyBorder="1" applyAlignment="1">
      <alignment horizontal="left"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9" fillId="0" borderId="20" xfId="0" applyFont="1" applyBorder="1" applyAlignment="1">
      <alignment vertical="center"/>
    </xf>
    <xf numFmtId="0" fontId="119" fillId="0" borderId="20" xfId="0" applyFont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0" fontId="117" fillId="13" borderId="20" xfId="2627" quotePrefix="1" applyNumberFormat="1" applyFont="1" applyFill="1" applyBorder="1" applyAlignment="1">
      <alignment horizontal="center"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20" xfId="2627" applyNumberFormat="1" applyFont="1" applyFill="1" applyBorder="1" applyAlignment="1">
      <alignment horizontal="left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20" xfId="2627" applyNumberFormat="1" applyFont="1" applyFill="1" applyBorder="1" applyAlignment="1">
      <alignment horizontal="left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20" xfId="2908" applyNumberFormat="1" applyFont="1" applyFill="1" applyBorder="1" applyAlignment="1">
      <alignment horizontal="left"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19" fillId="0" borderId="20" xfId="2908" applyNumberFormat="1" applyFont="1" applyFill="1" applyBorder="1" applyAlignment="1">
      <alignment horizontal="center" vertical="center"/>
    </xf>
    <xf numFmtId="0" fontId="119" fillId="0" borderId="20" xfId="2908" applyNumberFormat="1" applyFont="1" applyFill="1" applyBorder="1" applyAlignment="1">
      <alignment horizontal="left" vertical="center"/>
    </xf>
    <xf numFmtId="0" fontId="119" fillId="0" borderId="4" xfId="0" applyFont="1" applyBorder="1" applyAlignment="1">
      <alignment horizontal="center" vertical="center"/>
    </xf>
    <xf numFmtId="43" fontId="119" fillId="0" borderId="9" xfId="0" applyNumberFormat="1" applyFont="1" applyBorder="1" applyAlignment="1">
      <alignment vertical="center"/>
    </xf>
    <xf numFmtId="41" fontId="119" fillId="0" borderId="4" xfId="2908" applyFont="1" applyFill="1" applyBorder="1" applyAlignment="1">
      <alignment vertical="center"/>
    </xf>
    <xf numFmtId="41" fontId="119" fillId="0" borderId="6" xfId="2908" applyFont="1" applyFill="1" applyBorder="1" applyAlignment="1">
      <alignment vertical="center"/>
    </xf>
    <xf numFmtId="0" fontId="119" fillId="0" borderId="4" xfId="0" applyFont="1" applyBorder="1" applyAlignment="1">
      <alignment horizontal="center" vertical="center" shrinkToFit="1"/>
    </xf>
    <xf numFmtId="0" fontId="119" fillId="0" borderId="0" xfId="0" applyFont="1" applyAlignment="1">
      <alignment vertical="center"/>
    </xf>
    <xf numFmtId="0" fontId="119" fillId="0" borderId="2" xfId="0" applyFont="1" applyBorder="1" applyAlignment="1">
      <alignment vertical="center"/>
    </xf>
    <xf numFmtId="0" fontId="119" fillId="0" borderId="2" xfId="0" applyFont="1" applyBorder="1" applyAlignment="1">
      <alignment horizontal="right" vertical="center"/>
    </xf>
    <xf numFmtId="2" fontId="119" fillId="0" borderId="9" xfId="0" applyNumberFormat="1" applyFont="1" applyBorder="1" applyAlignment="1">
      <alignment vertical="center"/>
    </xf>
    <xf numFmtId="0" fontId="119" fillId="13" borderId="20" xfId="2627" applyNumberFormat="1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left" vertical="center"/>
    </xf>
    <xf numFmtId="0" fontId="119" fillId="13" borderId="4" xfId="0" applyFont="1" applyFill="1" applyBorder="1" applyAlignment="1">
      <alignment horizontal="center" vertical="center"/>
    </xf>
    <xf numFmtId="43" fontId="119" fillId="13" borderId="9" xfId="0" applyNumberFormat="1" applyFont="1" applyFill="1" applyBorder="1" applyAlignment="1">
      <alignment vertical="center"/>
    </xf>
    <xf numFmtId="41" fontId="119" fillId="13" borderId="4" xfId="2908" applyFont="1" applyFill="1" applyBorder="1" applyAlignment="1">
      <alignment vertical="center"/>
    </xf>
    <xf numFmtId="41" fontId="119" fillId="13" borderId="6" xfId="2908" applyFont="1" applyFill="1" applyBorder="1" applyAlignment="1">
      <alignment vertical="center"/>
    </xf>
    <xf numFmtId="0" fontId="119" fillId="13" borderId="4" xfId="0" applyFont="1" applyFill="1" applyBorder="1" applyAlignment="1">
      <alignment horizontal="center" vertical="center" shrinkToFit="1"/>
    </xf>
    <xf numFmtId="0" fontId="119" fillId="13" borderId="0" xfId="0" applyFont="1" applyFill="1" applyAlignment="1">
      <alignment vertical="center"/>
    </xf>
    <xf numFmtId="0" fontId="119" fillId="13" borderId="2" xfId="0" applyFont="1" applyFill="1" applyBorder="1" applyAlignment="1">
      <alignment vertical="center"/>
    </xf>
    <xf numFmtId="0" fontId="119" fillId="13" borderId="2" xfId="0" applyFont="1" applyFill="1" applyBorder="1" applyAlignment="1">
      <alignment horizontal="right" vertical="center"/>
    </xf>
    <xf numFmtId="0" fontId="117" fillId="15" borderId="20" xfId="2908" applyNumberFormat="1" applyFont="1" applyFill="1" applyBorder="1" applyAlignment="1">
      <alignment horizontal="center" vertical="center"/>
    </xf>
    <xf numFmtId="0" fontId="117" fillId="15" borderId="20" xfId="2627" applyNumberFormat="1" applyFont="1" applyFill="1" applyBorder="1" applyAlignment="1">
      <alignment vertical="center"/>
    </xf>
    <xf numFmtId="0" fontId="117" fillId="15" borderId="20" xfId="2908" applyNumberFormat="1" applyFont="1" applyFill="1" applyBorder="1" applyAlignment="1">
      <alignment horizontal="left" vertical="center"/>
    </xf>
    <xf numFmtId="0" fontId="117" fillId="15" borderId="4" xfId="0" applyFont="1" applyFill="1" applyBorder="1" applyAlignment="1">
      <alignment horizontal="center" vertical="center"/>
    </xf>
    <xf numFmtId="43" fontId="117" fillId="15" borderId="9" xfId="0" applyNumberFormat="1" applyFont="1" applyFill="1" applyBorder="1" applyAlignment="1">
      <alignment vertical="center"/>
    </xf>
    <xf numFmtId="41" fontId="117" fillId="15" borderId="4" xfId="2908" applyFont="1" applyFill="1" applyBorder="1" applyAlignment="1">
      <alignment vertical="center"/>
    </xf>
    <xf numFmtId="41" fontId="117" fillId="15" borderId="6" xfId="2908" applyFont="1" applyFill="1" applyBorder="1" applyAlignment="1">
      <alignment vertical="center"/>
    </xf>
    <xf numFmtId="0" fontId="117" fillId="15" borderId="4" xfId="0" applyFont="1" applyFill="1" applyBorder="1" applyAlignment="1">
      <alignment horizontal="center" vertical="center" shrinkToFit="1"/>
    </xf>
    <xf numFmtId="0" fontId="117" fillId="15" borderId="0" xfId="0" applyFont="1" applyFill="1" applyAlignment="1">
      <alignment vertical="center"/>
    </xf>
    <xf numFmtId="0" fontId="117" fillId="15" borderId="2" xfId="0" applyFont="1" applyFill="1" applyBorder="1" applyAlignment="1">
      <alignment vertical="center"/>
    </xf>
    <xf numFmtId="0" fontId="117" fillId="15" borderId="2" xfId="0" applyFont="1" applyFill="1" applyBorder="1" applyAlignment="1">
      <alignment horizontal="right" vertical="center"/>
    </xf>
    <xf numFmtId="0" fontId="117" fillId="15" borderId="20" xfId="2627" applyNumberFormat="1" applyFont="1" applyFill="1" applyBorder="1" applyAlignment="1">
      <alignment horizontal="left" vertical="center"/>
    </xf>
    <xf numFmtId="43" fontId="142" fillId="0" borderId="0" xfId="2627" applyNumberFormat="1" applyFont="1" applyFill="1" applyBorder="1" applyAlignment="1">
      <alignment vertical="center"/>
    </xf>
    <xf numFmtId="0" fontId="142" fillId="0" borderId="0" xfId="0" applyFont="1" applyAlignment="1">
      <alignment horizontal="center" vertical="center"/>
    </xf>
    <xf numFmtId="179" fontId="142" fillId="0" borderId="0" xfId="2627" applyFont="1" applyFill="1" applyBorder="1" applyAlignment="1">
      <alignment vertical="center"/>
    </xf>
    <xf numFmtId="0" fontId="144" fillId="8" borderId="20" xfId="2627" applyNumberFormat="1" applyFont="1" applyFill="1" applyBorder="1" applyAlignment="1">
      <alignment horizontal="left" vertical="center"/>
    </xf>
    <xf numFmtId="0" fontId="142" fillId="13" borderId="0" xfId="2627" applyNumberFormat="1" applyFont="1" applyFill="1" applyBorder="1" applyAlignment="1">
      <alignment vertical="center"/>
    </xf>
    <xf numFmtId="41" fontId="145" fillId="15" borderId="0" xfId="2908" applyFont="1" applyFill="1" applyAlignment="1">
      <alignment vertical="center"/>
    </xf>
    <xf numFmtId="43" fontId="146" fillId="13" borderId="9" xfId="0" applyNumberFormat="1" applyFont="1" applyFill="1" applyBorder="1" applyAlignment="1">
      <alignment vertical="center"/>
    </xf>
    <xf numFmtId="41" fontId="146" fillId="13" borderId="4" xfId="2908" applyFont="1" applyFill="1" applyBorder="1" applyAlignment="1">
      <alignment vertical="center"/>
    </xf>
    <xf numFmtId="41" fontId="146" fillId="13" borderId="6" xfId="2908" applyFont="1" applyFill="1" applyBorder="1" applyAlignment="1">
      <alignment vertical="center"/>
    </xf>
    <xf numFmtId="0" fontId="146" fillId="15" borderId="20" xfId="2627" applyNumberFormat="1" applyFont="1" applyFill="1" applyBorder="1" applyAlignment="1">
      <alignment horizontal="center" vertical="center"/>
    </xf>
    <xf numFmtId="0" fontId="146" fillId="15" borderId="20" xfId="2627" applyNumberFormat="1" applyFont="1" applyFill="1" applyBorder="1" applyAlignment="1">
      <alignment vertical="center"/>
    </xf>
    <xf numFmtId="0" fontId="146" fillId="15" borderId="20" xfId="2627" applyNumberFormat="1" applyFont="1" applyFill="1" applyBorder="1" applyAlignment="1">
      <alignment horizontal="left" vertical="center"/>
    </xf>
    <xf numFmtId="0" fontId="146" fillId="15" borderId="4" xfId="0" applyFont="1" applyFill="1" applyBorder="1" applyAlignment="1">
      <alignment horizontal="center" vertical="center"/>
    </xf>
    <xf numFmtId="2" fontId="146" fillId="15" borderId="9" xfId="0" applyNumberFormat="1" applyFont="1" applyFill="1" applyBorder="1" applyAlignment="1">
      <alignment vertical="center"/>
    </xf>
    <xf numFmtId="41" fontId="146" fillId="15" borderId="4" xfId="2908" applyFont="1" applyFill="1" applyBorder="1" applyAlignment="1">
      <alignment vertical="center"/>
    </xf>
    <xf numFmtId="41" fontId="146" fillId="15" borderId="6" xfId="2908" applyFont="1" applyFill="1" applyBorder="1" applyAlignment="1">
      <alignment vertical="center"/>
    </xf>
    <xf numFmtId="41" fontId="146" fillId="0" borderId="20" xfId="2908" applyFont="1" applyFill="1" applyBorder="1" applyAlignment="1">
      <alignment vertical="center"/>
    </xf>
    <xf numFmtId="0" fontId="134" fillId="13" borderId="20" xfId="0" applyFont="1" applyFill="1" applyBorder="1" applyAlignment="1">
      <alignment horizontal="center" vertical="center"/>
    </xf>
    <xf numFmtId="0" fontId="134" fillId="13" borderId="20" xfId="2627" applyNumberFormat="1" applyFont="1" applyFill="1" applyBorder="1" applyAlignment="1">
      <alignment horizontal="left" vertical="center"/>
    </xf>
    <xf numFmtId="0" fontId="134" fillId="13" borderId="20" xfId="2627" applyNumberFormat="1" applyFont="1" applyFill="1" applyBorder="1" applyAlignment="1">
      <alignment vertical="center"/>
    </xf>
    <xf numFmtId="9" fontId="134" fillId="13" borderId="20" xfId="2627" applyNumberFormat="1" applyFont="1" applyFill="1" applyBorder="1" applyAlignment="1">
      <alignment vertical="center" wrapText="1"/>
    </xf>
    <xf numFmtId="43" fontId="134" fillId="13" borderId="20" xfId="0" applyNumberFormat="1" applyFont="1" applyFill="1" applyBorder="1" applyAlignment="1">
      <alignment horizontal="center" vertical="center"/>
    </xf>
    <xf numFmtId="179" fontId="134" fillId="13" borderId="20" xfId="2627" applyFont="1" applyFill="1" applyBorder="1" applyAlignment="1">
      <alignment horizontal="center" vertical="center"/>
    </xf>
    <xf numFmtId="179" fontId="134" fillId="13" borderId="20" xfId="2627" applyFont="1" applyFill="1" applyBorder="1" applyAlignment="1">
      <alignment vertical="center"/>
    </xf>
    <xf numFmtId="179" fontId="134" fillId="13" borderId="26" xfId="2627" applyFont="1" applyFill="1" applyBorder="1" applyAlignment="1">
      <alignment vertical="center"/>
    </xf>
    <xf numFmtId="0" fontId="134" fillId="13" borderId="0" xfId="0" applyFont="1" applyFill="1" applyAlignment="1">
      <alignment vertical="center"/>
    </xf>
    <xf numFmtId="0" fontId="139" fillId="13" borderId="20" xfId="2627" applyNumberFormat="1" applyFont="1" applyFill="1" applyBorder="1" applyAlignment="1">
      <alignment vertical="center"/>
    </xf>
    <xf numFmtId="0" fontId="139" fillId="13" borderId="20" xfId="2908" applyNumberFormat="1" applyFont="1" applyFill="1" applyBorder="1" applyAlignment="1">
      <alignment horizontal="left"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47" fillId="13" borderId="20" xfId="2908" applyNumberFormat="1" applyFont="1" applyFill="1" applyBorder="1" applyAlignment="1">
      <alignment horizontal="center" vertical="center"/>
    </xf>
    <xf numFmtId="0" fontId="147" fillId="13" borderId="20" xfId="2627" applyNumberFormat="1" applyFont="1" applyFill="1" applyBorder="1" applyAlignment="1">
      <alignment vertical="center"/>
    </xf>
    <xf numFmtId="0" fontId="147" fillId="13" borderId="20" xfId="2908" applyNumberFormat="1" applyFont="1" applyFill="1" applyBorder="1" applyAlignment="1">
      <alignment horizontal="left" vertical="center"/>
    </xf>
    <xf numFmtId="0" fontId="147" fillId="13" borderId="4" xfId="0" applyFont="1" applyFill="1" applyBorder="1" applyAlignment="1">
      <alignment horizontal="center" vertical="center"/>
    </xf>
    <xf numFmtId="43" fontId="147" fillId="13" borderId="9" xfId="0" applyNumberFormat="1" applyFont="1" applyFill="1" applyBorder="1" applyAlignment="1">
      <alignment vertical="center"/>
    </xf>
    <xf numFmtId="41" fontId="147" fillId="13" borderId="4" xfId="2908" applyFont="1" applyFill="1" applyBorder="1" applyAlignment="1">
      <alignment vertical="center"/>
    </xf>
    <xf numFmtId="0" fontId="147" fillId="13" borderId="4" xfId="0" applyFont="1" applyFill="1" applyBorder="1" applyAlignment="1">
      <alignment horizontal="center" vertical="center" shrinkToFit="1"/>
    </xf>
    <xf numFmtId="0" fontId="147" fillId="13" borderId="0" xfId="0" applyFont="1" applyFill="1" applyAlignment="1">
      <alignment vertical="center"/>
    </xf>
    <xf numFmtId="0" fontId="147" fillId="13" borderId="2" xfId="0" applyFont="1" applyFill="1" applyBorder="1" applyAlignment="1">
      <alignment vertical="center"/>
    </xf>
    <xf numFmtId="0" fontId="147" fillId="13" borderId="2" xfId="0" applyFont="1" applyFill="1" applyBorder="1" applyAlignment="1">
      <alignment horizontal="right" vertical="center"/>
    </xf>
    <xf numFmtId="0" fontId="141" fillId="13" borderId="20" xfId="2627" applyNumberFormat="1" applyFont="1" applyFill="1" applyBorder="1" applyAlignment="1">
      <alignment vertical="center"/>
    </xf>
    <xf numFmtId="0" fontId="142" fillId="13" borderId="20" xfId="2908" applyNumberFormat="1" applyFont="1" applyFill="1" applyBorder="1" applyAlignment="1">
      <alignment horizontal="left" vertical="center"/>
    </xf>
    <xf numFmtId="0" fontId="117" fillId="15" borderId="20" xfId="2627" applyNumberFormat="1" applyFont="1" applyFill="1" applyBorder="1" applyAlignment="1">
      <alignment horizontal="center" vertical="center"/>
    </xf>
    <xf numFmtId="0" fontId="117" fillId="15" borderId="20" xfId="0" applyFont="1" applyFill="1" applyBorder="1" applyAlignment="1">
      <alignment horizontal="center" vertical="center"/>
    </xf>
    <xf numFmtId="43" fontId="117" fillId="15" borderId="20" xfId="2627" applyNumberFormat="1" applyFont="1" applyFill="1" applyBorder="1" applyAlignment="1">
      <alignment horizontal="center" vertical="center"/>
    </xf>
    <xf numFmtId="41" fontId="117" fillId="15" borderId="20" xfId="2908" applyFont="1" applyFill="1" applyBorder="1" applyAlignment="1">
      <alignment vertical="center"/>
    </xf>
    <xf numFmtId="0" fontId="117" fillId="15" borderId="20" xfId="0" applyFont="1" applyFill="1" applyBorder="1" applyAlignment="1">
      <alignment vertical="center"/>
    </xf>
    <xf numFmtId="0" fontId="117" fillId="15" borderId="20" xfId="0" applyFont="1" applyFill="1" applyBorder="1" applyAlignment="1">
      <alignment horizontal="right" vertical="center"/>
    </xf>
    <xf numFmtId="0" fontId="119" fillId="13" borderId="4" xfId="2908" applyNumberFormat="1" applyFont="1" applyFill="1" applyBorder="1" applyAlignment="1">
      <alignment horizontal="center" vertical="center"/>
    </xf>
    <xf numFmtId="0" fontId="148" fillId="13" borderId="4" xfId="0" applyFont="1" applyFill="1" applyBorder="1" applyAlignment="1">
      <alignment horizontal="center" vertical="center"/>
    </xf>
    <xf numFmtId="0" fontId="119" fillId="15" borderId="0" xfId="0" applyFont="1" applyFill="1" applyAlignment="1">
      <alignment vertical="center"/>
    </xf>
    <xf numFmtId="0" fontId="119" fillId="15" borderId="2" xfId="0" applyFont="1" applyFill="1" applyBorder="1" applyAlignment="1">
      <alignment vertical="center"/>
    </xf>
    <xf numFmtId="0" fontId="119" fillId="15" borderId="2" xfId="0" applyFont="1" applyFill="1" applyBorder="1" applyAlignment="1">
      <alignment horizontal="right" vertical="center"/>
    </xf>
    <xf numFmtId="2" fontId="117" fillId="15" borderId="9" xfId="0" applyNumberFormat="1" applyFont="1" applyFill="1" applyBorder="1" applyAlignment="1">
      <alignment vertical="center"/>
    </xf>
    <xf numFmtId="0" fontId="134" fillId="15" borderId="0" xfId="2627" applyNumberFormat="1" applyFont="1" applyFill="1" applyBorder="1" applyAlignment="1">
      <alignment horizontal="center" vertical="center"/>
    </xf>
    <xf numFmtId="0" fontId="134" fillId="15" borderId="0" xfId="2627" applyNumberFormat="1" applyFont="1" applyFill="1" applyBorder="1" applyAlignment="1">
      <alignment vertical="center"/>
    </xf>
    <xf numFmtId="0" fontId="134" fillId="15" borderId="0" xfId="2627" applyNumberFormat="1" applyFont="1" applyFill="1" applyBorder="1" applyAlignment="1">
      <alignment horizontal="left" vertical="center"/>
    </xf>
    <xf numFmtId="0" fontId="134" fillId="15" borderId="0" xfId="0" applyFont="1" applyFill="1" applyAlignment="1">
      <alignment horizontal="center" vertical="center"/>
    </xf>
    <xf numFmtId="43" fontId="134" fillId="15" borderId="0" xfId="2627" applyNumberFormat="1" applyFont="1" applyFill="1" applyBorder="1" applyAlignment="1">
      <alignment vertical="center"/>
    </xf>
    <xf numFmtId="179" fontId="134" fillId="15" borderId="0" xfId="2627" applyFont="1" applyFill="1" applyBorder="1" applyAlignment="1">
      <alignment vertical="center"/>
    </xf>
    <xf numFmtId="0" fontId="134" fillId="15" borderId="0" xfId="0" applyFont="1" applyFill="1" applyAlignment="1">
      <alignment vertical="center" shrinkToFit="1"/>
    </xf>
    <xf numFmtId="0" fontId="134" fillId="15" borderId="0" xfId="0" applyFont="1" applyFill="1" applyAlignment="1">
      <alignment vertical="center"/>
    </xf>
    <xf numFmtId="0" fontId="122" fillId="15" borderId="0" xfId="0" applyFont="1" applyFill="1" applyAlignment="1">
      <alignment vertical="center"/>
    </xf>
    <xf numFmtId="0" fontId="141" fillId="15" borderId="20" xfId="2627" applyNumberFormat="1" applyFont="1" applyFill="1" applyBorder="1" applyAlignment="1">
      <alignment vertical="center"/>
    </xf>
    <xf numFmtId="0" fontId="117" fillId="13" borderId="20" xfId="0" applyFont="1" applyFill="1" applyBorder="1" applyAlignment="1">
      <alignment horizontal="center" vertical="center"/>
    </xf>
    <xf numFmtId="43" fontId="117" fillId="13" borderId="20" xfId="2627" applyNumberFormat="1" applyFont="1" applyFill="1" applyBorder="1" applyAlignment="1">
      <alignment horizontal="center" vertical="center"/>
    </xf>
    <xf numFmtId="0" fontId="119" fillId="15" borderId="20" xfId="2908" applyNumberFormat="1" applyFont="1" applyFill="1" applyBorder="1" applyAlignment="1">
      <alignment horizontal="center" vertical="center"/>
    </xf>
    <xf numFmtId="0" fontId="119" fillId="15" borderId="20" xfId="2627" applyNumberFormat="1" applyFont="1" applyFill="1" applyBorder="1" applyAlignment="1">
      <alignment vertical="center"/>
    </xf>
    <xf numFmtId="0" fontId="119" fillId="15" borderId="20" xfId="2908" applyNumberFormat="1" applyFont="1" applyFill="1" applyBorder="1" applyAlignment="1">
      <alignment horizontal="left" vertical="center"/>
    </xf>
    <xf numFmtId="0" fontId="119" fillId="15" borderId="4" xfId="0" applyFont="1" applyFill="1" applyBorder="1" applyAlignment="1">
      <alignment horizontal="center" vertical="center"/>
    </xf>
    <xf numFmtId="43" fontId="119" fillId="15" borderId="9" xfId="0" applyNumberFormat="1" applyFont="1" applyFill="1" applyBorder="1" applyAlignment="1">
      <alignment vertical="center"/>
    </xf>
    <xf numFmtId="41" fontId="119" fillId="15" borderId="4" xfId="2908" applyFont="1" applyFill="1" applyBorder="1" applyAlignment="1">
      <alignment vertical="center"/>
    </xf>
    <xf numFmtId="41" fontId="119" fillId="15" borderId="6" xfId="2908" applyFont="1" applyFill="1" applyBorder="1" applyAlignment="1">
      <alignment vertical="center"/>
    </xf>
    <xf numFmtId="0" fontId="119" fillId="15" borderId="4" xfId="0" applyFont="1" applyFill="1" applyBorder="1" applyAlignment="1">
      <alignment horizontal="center" vertical="center" shrinkToFit="1"/>
    </xf>
    <xf numFmtId="0" fontId="125" fillId="13" borderId="42" xfId="2909" quotePrefix="1" applyFont="1" applyFill="1" applyBorder="1" applyAlignment="1">
      <alignment horizontal="right"/>
    </xf>
    <xf numFmtId="0" fontId="125" fillId="13" borderId="0" xfId="2907" applyFont="1" applyFill="1"/>
    <xf numFmtId="0" fontId="125" fillId="13" borderId="0" xfId="2909" applyFont="1" applyFill="1"/>
    <xf numFmtId="0" fontId="125" fillId="13" borderId="43" xfId="2909" applyFont="1" applyFill="1" applyBorder="1"/>
    <xf numFmtId="0" fontId="122" fillId="13" borderId="0" xfId="0" applyFont="1" applyFill="1" applyAlignment="1">
      <alignment vertical="center"/>
    </xf>
    <xf numFmtId="43" fontId="142" fillId="15" borderId="9" xfId="0" applyNumberFormat="1" applyFont="1" applyFill="1" applyBorder="1" applyAlignment="1">
      <alignment vertical="center"/>
    </xf>
    <xf numFmtId="0" fontId="140" fillId="15" borderId="0" xfId="0" applyFont="1" applyFill="1" applyAlignment="1">
      <alignment vertical="center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</cellXfs>
  <cellStyles count="2911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Book1" xfId="6" xr:uid="{00000000-0005-0000-0000-000005000000}"/>
    <cellStyle name=" _Book1_방수-대맥" xfId="7" xr:uid="{00000000-0005-0000-0000-000006000000}"/>
    <cellStyle name=" _방수-대맥" xfId="8" xr:uid="{00000000-0005-0000-0000-000007000000}"/>
    <cellStyle name="&quot;" xfId="9" xr:uid="{00000000-0005-0000-0000-000008000000}"/>
    <cellStyle name="#,##0" xfId="10" xr:uid="{00000000-0005-0000-0000-000009000000}"/>
    <cellStyle name="$" xfId="11" xr:uid="{00000000-0005-0000-0000-00000A000000}"/>
    <cellStyle name="$_db진흥" xfId="12" xr:uid="{00000000-0005-0000-0000-00000B000000}"/>
    <cellStyle name="$_견적2" xfId="13" xr:uid="{00000000-0005-0000-0000-00000C000000}"/>
    <cellStyle name="$_기아" xfId="14" xr:uid="{00000000-0005-0000-0000-00000D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??_x000c_둄_x001b__x000d_|?_x0001_?_x0003__x0014__x0007__x0001__x0001_" xfId="19" xr:uid="{00000000-0005-0000-0000-000012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_pldt" xfId="29" xr:uid="{00000000-0005-0000-0000-00001C000000}"/>
    <cellStyle name="?ðC%U?&amp;H?_x0008_?s_x000a__x0007__x0001__x0001_" xfId="30" xr:uid="{00000000-0005-0000-0000-00001D000000}"/>
    <cellStyle name="?Þ¸¶ [0]_±??¸" xfId="31" xr:uid="{00000000-0005-0000-0000-00001E000000}"/>
    <cellStyle name="?Þ¸¶_±??¸" xfId="32" xr:uid="{00000000-0005-0000-0000-00001F000000}"/>
    <cellStyle name="?W?_laroux" xfId="33" xr:uid="{00000000-0005-0000-0000-000020000000}"/>
    <cellStyle name="?曹%U?&amp;H?_x0008_?s_x000a__x0007__x0001__x0001_" xfId="34" xr:uid="{00000000-0005-0000-0000-000021000000}"/>
    <cellStyle name="?珠??? " xfId="35" xr:uid="{00000000-0005-0000-0000-000022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.본실행" xfId="45" xr:uid="{00000000-0005-0000-0000-00002C000000}"/>
    <cellStyle name="_0106-06-007 금속 및 수장공사 단가견적- 대림" xfId="46" xr:uid="{00000000-0005-0000-0000-00002D000000}"/>
    <cellStyle name="_01-1.본실행.간접비" xfId="47" xr:uid="{00000000-0005-0000-0000-00002E000000}"/>
    <cellStyle name="_01-건축공사" xfId="48" xr:uid="{00000000-0005-0000-0000-00002F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2-도급공사비내역" xfId="52" xr:uid="{00000000-0005-0000-0000-000033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A" xfId="88" xr:uid="{00000000-0005-0000-0000-000057000000}"/>
    <cellStyle name="_A0509-가실행(파주)" xfId="89" xr:uid="{00000000-0005-0000-0000-000058000000}"/>
    <cellStyle name="_A-0902건축공사확정(대안포함)" xfId="90" xr:uid="{00000000-0005-0000-0000-000059000000}"/>
    <cellStyle name="_A-0902조경공사확정(대안포함)" xfId="91" xr:uid="{00000000-0005-0000-0000-00005A000000}"/>
    <cellStyle name="_AA" xfId="92" xr:uid="{00000000-0005-0000-0000-00005B000000}"/>
    <cellStyle name="_A발주자참고내역003-전기공사" xfId="93" xr:uid="{00000000-0005-0000-0000-00005C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)" xfId="97" xr:uid="{00000000-0005-0000-0000-000060000000}"/>
    <cellStyle name="_BOQ(Hang Lung-rev1)" xfId="98" xr:uid="{00000000-0005-0000-0000-000061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건설추정견적" xfId="116" xr:uid="{00000000-0005-0000-0000-000073000000}"/>
    <cellStyle name="_SK-역삼동 Leaders View EST 050711" xfId="117" xr:uid="{00000000-0005-0000-0000-000074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가실행-화물터미널B(수정)" xfId="130" xr:uid="{00000000-0005-0000-0000-000081000000}"/>
    <cellStyle name="_가실행-화물터미널B(재수정)" xfId="131" xr:uid="{00000000-0005-0000-0000-000082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(송파트리플)" xfId="159" xr:uid="{00000000-0005-0000-0000-00009E000000}"/>
    <cellStyle name="_공내역서_토목" xfId="160" xr:uid="{00000000-0005-0000-0000-00009F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028적산수량집계" xfId="242" xr:uid="{00000000-0005-0000-0000-0000F1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KT견적요청" xfId="247" xr:uid="{00000000-0005-0000-0000-0000F6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028적산수량집계" xfId="268" xr:uid="{00000000-0005-0000-0000-00000B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KT견적요청" xfId="273" xr:uid="{00000000-0005-0000-0000-000010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028적산수량집계" xfId="293" xr:uid="{00000000-0005-0000-0000-000024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KT견적요청" xfId="298" xr:uid="{00000000-0005-0000-0000-000029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품의" xfId="321" xr:uid="{00000000-0005-0000-0000-000040010000}"/>
    <cellStyle name="_입찰품의(HANG LUNG)" xfId="322" xr:uid="{00000000-0005-0000-0000-000041010000}"/>
    <cellStyle name="_입찰품의(HANG LUNG-Rev1)" xfId="323" xr:uid="{00000000-0005-0000-0000-000042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028적산수량집계" xfId="332" xr:uid="{00000000-0005-0000-0000-00004B010000}"/>
    <cellStyle name="_적격 _04-가실행(작업중)" xfId="333" xr:uid="{00000000-0005-0000-0000-00004C010000}"/>
    <cellStyle name="_적격 _04-가실행(작업중1)" xfId="334" xr:uid="{00000000-0005-0000-0000-00004D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KT견적요청" xfId="337" xr:uid="{00000000-0005-0000-0000-000050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(화산) " xfId="355" xr:uid="{00000000-0005-0000-0000-000062010000}"/>
    <cellStyle name="_적격(화산) _04028적산수량집계" xfId="356" xr:uid="{00000000-0005-0000-0000-000063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KT견적요청" xfId="361" xr:uid="{00000000-0005-0000-0000-000068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TC현설" xfId="399" xr:uid="{00000000-0005-0000-0000-00008E010000}"/>
    <cellStyle name="_중동골조현설" xfId="400" xr:uid="{00000000-0005-0000-0000-00008F010000}"/>
    <cellStyle name="_집계" xfId="401" xr:uid="{00000000-0005-0000-0000-000090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¡¾¨u￠￢ⓒ÷A¨u," xfId="454" xr:uid="{00000000-0005-0000-0000-0000C5010000}"/>
    <cellStyle name="’E‰Y [0.00]_laroux" xfId="455" xr:uid="{00000000-0005-0000-0000-0000C6010000}"/>
    <cellStyle name="’E‰Y_laroux" xfId="456" xr:uid="{00000000-0005-0000-0000-0000C7010000}"/>
    <cellStyle name="¤@?e_TEST-1 " xfId="457" xr:uid="{00000000-0005-0000-0000-0000C8010000}"/>
    <cellStyle name="\MNPREF32.DLL&amp;" xfId="458" xr:uid="{00000000-0005-0000-0000-0000C9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°ßAu" xfId="465" xr:uid="{00000000-0005-0000-0000-0000D0010000}"/>
    <cellStyle name="µÚ¿¡ ¿À´Â ÇÏÀÌÆÛ¸µÅ©" xfId="466" xr:uid="{00000000-0005-0000-0000-0000D1010000}"/>
    <cellStyle name="æØè [0.00]_PRODUCT DETAIL Q1" xfId="467" xr:uid="{00000000-0005-0000-0000-0000D2010000}"/>
    <cellStyle name="æØè_PRODUCT DETAIL Q1" xfId="468" xr:uid="{00000000-0005-0000-0000-0000D3010000}"/>
    <cellStyle name="ÊÝ [0.00]_PRODUCT DETAIL Q1" xfId="469" xr:uid="{00000000-0005-0000-0000-0000D4010000}"/>
    <cellStyle name="ÊÝ_PRODUCT DETAIL Q1" xfId="470" xr:uid="{00000000-0005-0000-0000-0000D5010000}"/>
    <cellStyle name="W?_BOOKSHIP" xfId="471" xr:uid="{00000000-0005-0000-0000-0000D6010000}"/>
    <cellStyle name="0" xfId="472" xr:uid="{00000000-0005-0000-0000-0000D7010000}"/>
    <cellStyle name="0,0_x000d__x000a_NA_x000d__x000a_" xfId="473" xr:uid="{00000000-0005-0000-0000-0000D8010000}"/>
    <cellStyle name="0.0" xfId="474" xr:uid="{00000000-0005-0000-0000-0000D9010000}"/>
    <cellStyle name="0.00" xfId="475" xr:uid="{00000000-0005-0000-0000-0000DA010000}"/>
    <cellStyle name="00" xfId="476" xr:uid="{00000000-0005-0000-0000-0000DB010000}"/>
    <cellStyle name="1" xfId="477" xr:uid="{00000000-0005-0000-0000-0000DC010000}"/>
    <cellStyle name="1_total" xfId="478" xr:uid="{00000000-0005-0000-0000-0000DD010000}"/>
    <cellStyle name="1_total_1차 기성 내역서 0612023" xfId="479" xr:uid="{00000000-0005-0000-0000-0000DE010000}"/>
    <cellStyle name="1_total_3차네고견적(061017-1)" xfId="480" xr:uid="{00000000-0005-0000-0000-0000DF010000}"/>
    <cellStyle name="1_total_Sheet1" xfId="481" xr:uid="{00000000-0005-0000-0000-0000E0010000}"/>
    <cellStyle name="1_total_Sheet1_1차 기성 내역서 0612023" xfId="482" xr:uid="{00000000-0005-0000-0000-0000E1010000}"/>
    <cellStyle name="1_total_Sheet1_3차네고견적(061017-1)" xfId="483" xr:uid="{00000000-0005-0000-0000-0000E2010000}"/>
    <cellStyle name="1_total_갑지0601" xfId="484" xr:uid="{00000000-0005-0000-0000-0000E3010000}"/>
    <cellStyle name="1_total_갑지0601_00갑지" xfId="485" xr:uid="{00000000-0005-0000-0000-0000E4010000}"/>
    <cellStyle name="1_total_갑지0601_00갑지_1차 기성 내역서 0612023" xfId="486" xr:uid="{00000000-0005-0000-0000-0000E5010000}"/>
    <cellStyle name="1_total_갑지0601_00갑지_3차네고견적(061017-1)" xfId="487" xr:uid="{00000000-0005-0000-0000-0000E6010000}"/>
    <cellStyle name="1_total_갑지0601_00갑지_백화점화장실인테리어" xfId="488" xr:uid="{00000000-0005-0000-0000-0000E7010000}"/>
    <cellStyle name="1_total_갑지0601_00갑지_백화점화장실인테리어_1차 기성 내역서 0612023" xfId="489" xr:uid="{00000000-0005-0000-0000-0000E8010000}"/>
    <cellStyle name="1_total_갑지0601_00갑지_백화점화장실인테리어_3차네고견적(061017-1)" xfId="490" xr:uid="{00000000-0005-0000-0000-0000E9010000}"/>
    <cellStyle name="1_total_갑지0601_00갑지_설계내역서" xfId="491" xr:uid="{00000000-0005-0000-0000-0000EA010000}"/>
    <cellStyle name="1_total_갑지0601_00갑지_설계내역서_1차 기성 내역서 0612023" xfId="492" xr:uid="{00000000-0005-0000-0000-0000EB010000}"/>
    <cellStyle name="1_total_갑지0601_00갑지_설계내역서_3차네고견적(061017-1)" xfId="493" xr:uid="{00000000-0005-0000-0000-0000EC010000}"/>
    <cellStyle name="1_total_갑지0601_00갑지_설계내역서_백화점화장실인테리어" xfId="494" xr:uid="{00000000-0005-0000-0000-0000ED010000}"/>
    <cellStyle name="1_total_갑지0601_00갑지_설계내역서_백화점화장실인테리어_1차 기성 내역서 0612023" xfId="495" xr:uid="{00000000-0005-0000-0000-0000EE010000}"/>
    <cellStyle name="1_total_갑지0601_00갑지_설계내역서_백화점화장실인테리어_3차네고견적(061017-1)" xfId="496" xr:uid="{00000000-0005-0000-0000-0000EF010000}"/>
    <cellStyle name="1_total_갑지0601_00갑지_설계내역서_화명조경" xfId="497" xr:uid="{00000000-0005-0000-0000-0000F0010000}"/>
    <cellStyle name="1_total_갑지0601_00갑지_설계내역서_화명조경_1차 기성 내역서 0612023" xfId="498" xr:uid="{00000000-0005-0000-0000-0000F1010000}"/>
    <cellStyle name="1_total_갑지0601_00갑지_설계내역서_화명조경_3차네고견적(061017-1)" xfId="499" xr:uid="{00000000-0005-0000-0000-0000F2010000}"/>
    <cellStyle name="1_total_갑지0601_00갑지_설계내역서_화명조경_백화점화장실인테리어" xfId="500" xr:uid="{00000000-0005-0000-0000-0000F3010000}"/>
    <cellStyle name="1_total_갑지0601_00갑지_설계내역서_화명조경_백화점화장실인테리어_1차 기성 내역서 0612023" xfId="501" xr:uid="{00000000-0005-0000-0000-0000F4010000}"/>
    <cellStyle name="1_total_갑지0601_00갑지_설계내역서_화명조경_백화점화장실인테리어_3차네고견적(061017-1)" xfId="502" xr:uid="{00000000-0005-0000-0000-0000F5010000}"/>
    <cellStyle name="1_total_갑지0601_00갑지_설계내역서1월7일" xfId="503" xr:uid="{00000000-0005-0000-0000-0000F6010000}"/>
    <cellStyle name="1_total_갑지0601_00갑지_설계내역서1월7일_1차 기성 내역서 0612023" xfId="504" xr:uid="{00000000-0005-0000-0000-0000F7010000}"/>
    <cellStyle name="1_total_갑지0601_00갑지_설계내역서1월7일_3차네고견적(061017-1)" xfId="505" xr:uid="{00000000-0005-0000-0000-0000F8010000}"/>
    <cellStyle name="1_total_갑지0601_00갑지_설계내역서1월7일_백화점화장실인테리어" xfId="506" xr:uid="{00000000-0005-0000-0000-0000F9010000}"/>
    <cellStyle name="1_total_갑지0601_00갑지_설계내역서1월7일_백화점화장실인테리어_1차 기성 내역서 0612023" xfId="507" xr:uid="{00000000-0005-0000-0000-0000FA010000}"/>
    <cellStyle name="1_total_갑지0601_00갑지_설계내역서1월7일_백화점화장실인테리어_3차네고견적(061017-1)" xfId="508" xr:uid="{00000000-0005-0000-0000-0000FB010000}"/>
    <cellStyle name="1_total_갑지0601_00갑지_설계내역서1월7일_화명조경" xfId="509" xr:uid="{00000000-0005-0000-0000-0000FC010000}"/>
    <cellStyle name="1_total_갑지0601_00갑지_설계내역서1월7일_화명조경_1차 기성 내역서 0612023" xfId="510" xr:uid="{00000000-0005-0000-0000-0000FD010000}"/>
    <cellStyle name="1_total_갑지0601_00갑지_설계내역서1월7일_화명조경_3차네고견적(061017-1)" xfId="511" xr:uid="{00000000-0005-0000-0000-0000FE010000}"/>
    <cellStyle name="1_total_갑지0601_00갑지_설계내역서1월7일_화명조경_백화점화장실인테리어" xfId="512" xr:uid="{00000000-0005-0000-0000-0000FF010000}"/>
    <cellStyle name="1_total_갑지0601_00갑지_설계내역서1월7일_화명조경_백화점화장실인테리어_1차 기성 내역서 0612023" xfId="513" xr:uid="{00000000-0005-0000-0000-000000020000}"/>
    <cellStyle name="1_total_갑지0601_00갑지_설계내역서1월7일_화명조경_백화점화장실인테리어_3차네고견적(061017-1)" xfId="514" xr:uid="{00000000-0005-0000-0000-000001020000}"/>
    <cellStyle name="1_total_갑지0601_00갑지_화명조경" xfId="515" xr:uid="{00000000-0005-0000-0000-000002020000}"/>
    <cellStyle name="1_total_갑지0601_00갑지_화명조경_1차 기성 내역서 0612023" xfId="516" xr:uid="{00000000-0005-0000-0000-000003020000}"/>
    <cellStyle name="1_total_갑지0601_00갑지_화명조경_3차네고견적(061017-1)" xfId="517" xr:uid="{00000000-0005-0000-0000-000004020000}"/>
    <cellStyle name="1_total_갑지0601_00갑지_화명조경_백화점화장실인테리어" xfId="518" xr:uid="{00000000-0005-0000-0000-000005020000}"/>
    <cellStyle name="1_total_갑지0601_00갑지_화명조경_백화점화장실인테리어_1차 기성 내역서 0612023" xfId="519" xr:uid="{00000000-0005-0000-0000-000006020000}"/>
    <cellStyle name="1_total_갑지0601_00갑지_화명조경_백화점화장실인테리어_3차네고견적(061017-1)" xfId="520" xr:uid="{00000000-0005-0000-0000-000007020000}"/>
    <cellStyle name="1_total_갑지0601_1차 기성 내역서 0612023" xfId="521" xr:uid="{00000000-0005-0000-0000-000008020000}"/>
    <cellStyle name="1_total_갑지0601_3차네고견적(061017-1)" xfId="522" xr:uid="{00000000-0005-0000-0000-000009020000}"/>
    <cellStyle name="1_total_갑지0601_과천놀이터설계서" xfId="523" xr:uid="{00000000-0005-0000-0000-00000A020000}"/>
    <cellStyle name="1_total_갑지0601_과천놀이터설계서_1차 기성 내역서 0612023" xfId="524" xr:uid="{00000000-0005-0000-0000-00000B020000}"/>
    <cellStyle name="1_total_갑지0601_과천놀이터설계서_3차네고견적(061017-1)" xfId="525" xr:uid="{00000000-0005-0000-0000-00000C020000}"/>
    <cellStyle name="1_total_갑지0601_과천놀이터설계서_백화점화장실인테리어" xfId="526" xr:uid="{00000000-0005-0000-0000-00000D020000}"/>
    <cellStyle name="1_total_갑지0601_과천놀이터설계서_백화점화장실인테리어_1차 기성 내역서 0612023" xfId="527" xr:uid="{00000000-0005-0000-0000-00000E020000}"/>
    <cellStyle name="1_total_갑지0601_과천놀이터설계서_백화점화장실인테리어_3차네고견적(061017-1)" xfId="528" xr:uid="{00000000-0005-0000-0000-00000F020000}"/>
    <cellStyle name="1_total_갑지0601_과천놀이터설계서_설계내역서" xfId="529" xr:uid="{00000000-0005-0000-0000-000010020000}"/>
    <cellStyle name="1_total_갑지0601_과천놀이터설계서_설계내역서_1차 기성 내역서 0612023" xfId="530" xr:uid="{00000000-0005-0000-0000-000011020000}"/>
    <cellStyle name="1_total_갑지0601_과천놀이터설계서_설계내역서_3차네고견적(061017-1)" xfId="531" xr:uid="{00000000-0005-0000-0000-000012020000}"/>
    <cellStyle name="1_total_갑지0601_과천놀이터설계서_설계내역서_백화점화장실인테리어" xfId="532" xr:uid="{00000000-0005-0000-0000-000013020000}"/>
    <cellStyle name="1_total_갑지0601_과천놀이터설계서_설계내역서_백화점화장실인테리어_1차 기성 내역서 0612023" xfId="533" xr:uid="{00000000-0005-0000-0000-000014020000}"/>
    <cellStyle name="1_total_갑지0601_과천놀이터설계서_설계내역서_백화점화장실인테리어_3차네고견적(061017-1)" xfId="534" xr:uid="{00000000-0005-0000-0000-000015020000}"/>
    <cellStyle name="1_total_갑지0601_과천놀이터설계서_설계내역서_화명조경" xfId="535" xr:uid="{00000000-0005-0000-0000-000016020000}"/>
    <cellStyle name="1_total_갑지0601_과천놀이터설계서_설계내역서_화명조경_1차 기성 내역서 0612023" xfId="536" xr:uid="{00000000-0005-0000-0000-000017020000}"/>
    <cellStyle name="1_total_갑지0601_과천놀이터설계서_설계내역서_화명조경_3차네고견적(061017-1)" xfId="537" xr:uid="{00000000-0005-0000-0000-000018020000}"/>
    <cellStyle name="1_total_갑지0601_과천놀이터설계서_설계내역서_화명조경_백화점화장실인테리어" xfId="538" xr:uid="{00000000-0005-0000-0000-000019020000}"/>
    <cellStyle name="1_total_갑지0601_과천놀이터설계서_설계내역서_화명조경_백화점화장실인테리어_1차 기성 내역서 0612023" xfId="539" xr:uid="{00000000-0005-0000-0000-00001A020000}"/>
    <cellStyle name="1_total_갑지0601_과천놀이터설계서_설계내역서_화명조경_백화점화장실인테리어_3차네고견적(061017-1)" xfId="540" xr:uid="{00000000-0005-0000-0000-00001B020000}"/>
    <cellStyle name="1_total_갑지0601_과천놀이터설계서_설계내역서1월7일" xfId="541" xr:uid="{00000000-0005-0000-0000-00001C020000}"/>
    <cellStyle name="1_total_갑지0601_과천놀이터설계서_설계내역서1월7일_1차 기성 내역서 0612023" xfId="542" xr:uid="{00000000-0005-0000-0000-00001D020000}"/>
    <cellStyle name="1_total_갑지0601_과천놀이터설계서_설계내역서1월7일_3차네고견적(061017-1)" xfId="543" xr:uid="{00000000-0005-0000-0000-00001E020000}"/>
    <cellStyle name="1_total_갑지0601_과천놀이터설계서_설계내역서1월7일_백화점화장실인테리어" xfId="544" xr:uid="{00000000-0005-0000-0000-00001F020000}"/>
    <cellStyle name="1_total_갑지0601_과천놀이터설계서_설계내역서1월7일_백화점화장실인테리어_1차 기성 내역서 0612023" xfId="545" xr:uid="{00000000-0005-0000-0000-000020020000}"/>
    <cellStyle name="1_total_갑지0601_과천놀이터설계서_설계내역서1월7일_백화점화장실인테리어_3차네고견적(061017-1)" xfId="546" xr:uid="{00000000-0005-0000-0000-000021020000}"/>
    <cellStyle name="1_total_갑지0601_과천놀이터설계서_설계내역서1월7일_화명조경" xfId="547" xr:uid="{00000000-0005-0000-0000-000022020000}"/>
    <cellStyle name="1_total_갑지0601_과천놀이터설계서_설계내역서1월7일_화명조경_1차 기성 내역서 0612023" xfId="548" xr:uid="{00000000-0005-0000-0000-000023020000}"/>
    <cellStyle name="1_total_갑지0601_과천놀이터설계서_설계내역서1월7일_화명조경_3차네고견적(061017-1)" xfId="549" xr:uid="{00000000-0005-0000-0000-000024020000}"/>
    <cellStyle name="1_total_갑지0601_과천놀이터설계서_설계내역서1월7일_화명조경_백화점화장실인테리어" xfId="550" xr:uid="{00000000-0005-0000-0000-000025020000}"/>
    <cellStyle name="1_total_갑지0601_과천놀이터설계서_설계내역서1월7일_화명조경_백화점화장실인테리어_1차 기성 내역서 0612023" xfId="551" xr:uid="{00000000-0005-0000-0000-000026020000}"/>
    <cellStyle name="1_total_갑지0601_과천놀이터설계서_설계내역서1월7일_화명조경_백화점화장실인테리어_3차네고견적(061017-1)" xfId="552" xr:uid="{00000000-0005-0000-0000-000027020000}"/>
    <cellStyle name="1_total_갑지0601_과천놀이터설계서_화명조경" xfId="553" xr:uid="{00000000-0005-0000-0000-000028020000}"/>
    <cellStyle name="1_total_갑지0601_과천놀이터설계서_화명조경_1차 기성 내역서 0612023" xfId="554" xr:uid="{00000000-0005-0000-0000-000029020000}"/>
    <cellStyle name="1_total_갑지0601_과천놀이터설계서_화명조경_3차네고견적(061017-1)" xfId="555" xr:uid="{00000000-0005-0000-0000-00002A020000}"/>
    <cellStyle name="1_total_갑지0601_과천놀이터설계서_화명조경_백화점화장실인테리어" xfId="556" xr:uid="{00000000-0005-0000-0000-00002B020000}"/>
    <cellStyle name="1_total_갑지0601_과천놀이터설계서_화명조경_백화점화장실인테리어_1차 기성 내역서 0612023" xfId="557" xr:uid="{00000000-0005-0000-0000-00002C020000}"/>
    <cellStyle name="1_total_갑지0601_과천놀이터설계서_화명조경_백화점화장실인테리어_3차네고견적(061017-1)" xfId="558" xr:uid="{00000000-0005-0000-0000-00002D020000}"/>
    <cellStyle name="1_total_갑지0601_백화점화장실인테리어" xfId="559" xr:uid="{00000000-0005-0000-0000-00002E020000}"/>
    <cellStyle name="1_total_갑지0601_백화점화장실인테리어_1차 기성 내역서 0612023" xfId="560" xr:uid="{00000000-0005-0000-0000-00002F020000}"/>
    <cellStyle name="1_total_갑지0601_백화점화장실인테리어_3차네고견적(061017-1)" xfId="561" xr:uid="{00000000-0005-0000-0000-000030020000}"/>
    <cellStyle name="1_total_갑지0601_총괄갑지" xfId="562" xr:uid="{00000000-0005-0000-0000-000031020000}"/>
    <cellStyle name="1_total_갑지0601_총괄갑지_1차 기성 내역서 0612023" xfId="563" xr:uid="{00000000-0005-0000-0000-000032020000}"/>
    <cellStyle name="1_total_갑지0601_총괄갑지_3차네고견적(061017-1)" xfId="564" xr:uid="{00000000-0005-0000-0000-000033020000}"/>
    <cellStyle name="1_total_갑지0601_총괄갑지_백화점화장실인테리어" xfId="565" xr:uid="{00000000-0005-0000-0000-000034020000}"/>
    <cellStyle name="1_total_갑지0601_총괄갑지_백화점화장실인테리어_1차 기성 내역서 0612023" xfId="566" xr:uid="{00000000-0005-0000-0000-000035020000}"/>
    <cellStyle name="1_total_갑지0601_총괄갑지_백화점화장실인테리어_3차네고견적(061017-1)" xfId="567" xr:uid="{00000000-0005-0000-0000-000036020000}"/>
    <cellStyle name="1_total_갑지0601_총괄갑지_설계내역서" xfId="568" xr:uid="{00000000-0005-0000-0000-000037020000}"/>
    <cellStyle name="1_total_갑지0601_총괄갑지_설계내역서_1차 기성 내역서 0612023" xfId="569" xr:uid="{00000000-0005-0000-0000-000038020000}"/>
    <cellStyle name="1_total_갑지0601_총괄갑지_설계내역서_3차네고견적(061017-1)" xfId="570" xr:uid="{00000000-0005-0000-0000-000039020000}"/>
    <cellStyle name="1_total_갑지0601_총괄갑지_설계내역서_백화점화장실인테리어" xfId="571" xr:uid="{00000000-0005-0000-0000-00003A020000}"/>
    <cellStyle name="1_total_갑지0601_총괄갑지_설계내역서_백화점화장실인테리어_1차 기성 내역서 0612023" xfId="572" xr:uid="{00000000-0005-0000-0000-00003B020000}"/>
    <cellStyle name="1_total_갑지0601_총괄갑지_설계내역서_백화점화장실인테리어_3차네고견적(061017-1)" xfId="573" xr:uid="{00000000-0005-0000-0000-00003C020000}"/>
    <cellStyle name="1_total_갑지0601_총괄갑지_설계내역서_화명조경" xfId="574" xr:uid="{00000000-0005-0000-0000-00003D020000}"/>
    <cellStyle name="1_total_갑지0601_총괄갑지_설계내역서_화명조경_1차 기성 내역서 0612023" xfId="575" xr:uid="{00000000-0005-0000-0000-00003E020000}"/>
    <cellStyle name="1_total_갑지0601_총괄갑지_설계내역서_화명조경_3차네고견적(061017-1)" xfId="576" xr:uid="{00000000-0005-0000-0000-00003F020000}"/>
    <cellStyle name="1_total_갑지0601_총괄갑지_설계내역서_화명조경_백화점화장실인테리어" xfId="577" xr:uid="{00000000-0005-0000-0000-000040020000}"/>
    <cellStyle name="1_total_갑지0601_총괄갑지_설계내역서_화명조경_백화점화장실인테리어_1차 기성 내역서 0612023" xfId="578" xr:uid="{00000000-0005-0000-0000-000041020000}"/>
    <cellStyle name="1_total_갑지0601_총괄갑지_설계내역서_화명조경_백화점화장실인테리어_3차네고견적(061017-1)" xfId="579" xr:uid="{00000000-0005-0000-0000-000042020000}"/>
    <cellStyle name="1_total_갑지0601_총괄갑지_설계내역서1월7일" xfId="580" xr:uid="{00000000-0005-0000-0000-000043020000}"/>
    <cellStyle name="1_total_갑지0601_총괄갑지_설계내역서1월7일_1차 기성 내역서 0612023" xfId="581" xr:uid="{00000000-0005-0000-0000-000044020000}"/>
    <cellStyle name="1_total_갑지0601_총괄갑지_설계내역서1월7일_3차네고견적(061017-1)" xfId="582" xr:uid="{00000000-0005-0000-0000-000045020000}"/>
    <cellStyle name="1_total_갑지0601_총괄갑지_설계내역서1월7일_백화점화장실인테리어" xfId="583" xr:uid="{00000000-0005-0000-0000-000046020000}"/>
    <cellStyle name="1_total_갑지0601_총괄갑지_설계내역서1월7일_백화점화장실인테리어_1차 기성 내역서 0612023" xfId="584" xr:uid="{00000000-0005-0000-0000-000047020000}"/>
    <cellStyle name="1_total_갑지0601_총괄갑지_설계내역서1월7일_백화점화장실인테리어_3차네고견적(061017-1)" xfId="585" xr:uid="{00000000-0005-0000-0000-000048020000}"/>
    <cellStyle name="1_total_갑지0601_총괄갑지_설계내역서1월7일_화명조경" xfId="586" xr:uid="{00000000-0005-0000-0000-000049020000}"/>
    <cellStyle name="1_total_갑지0601_총괄갑지_설계내역서1월7일_화명조경_1차 기성 내역서 0612023" xfId="587" xr:uid="{00000000-0005-0000-0000-00004A020000}"/>
    <cellStyle name="1_total_갑지0601_총괄갑지_설계내역서1월7일_화명조경_3차네고견적(061017-1)" xfId="588" xr:uid="{00000000-0005-0000-0000-00004B020000}"/>
    <cellStyle name="1_total_갑지0601_총괄갑지_설계내역서1월7일_화명조경_백화점화장실인테리어" xfId="589" xr:uid="{00000000-0005-0000-0000-00004C020000}"/>
    <cellStyle name="1_total_갑지0601_총괄갑지_설계내역서1월7일_화명조경_백화점화장실인테리어_1차 기성 내역서 0612023" xfId="590" xr:uid="{00000000-0005-0000-0000-00004D020000}"/>
    <cellStyle name="1_total_갑지0601_총괄갑지_설계내역서1월7일_화명조경_백화점화장실인테리어_3차네고견적(061017-1)" xfId="591" xr:uid="{00000000-0005-0000-0000-00004E020000}"/>
    <cellStyle name="1_total_갑지0601_총괄갑지_화명조경" xfId="592" xr:uid="{00000000-0005-0000-0000-00004F020000}"/>
    <cellStyle name="1_total_갑지0601_총괄갑지_화명조경_1차 기성 내역서 0612023" xfId="593" xr:uid="{00000000-0005-0000-0000-000050020000}"/>
    <cellStyle name="1_total_갑지0601_총괄갑지_화명조경_3차네고견적(061017-1)" xfId="594" xr:uid="{00000000-0005-0000-0000-000051020000}"/>
    <cellStyle name="1_total_갑지0601_총괄갑지_화명조경_백화점화장실인테리어" xfId="595" xr:uid="{00000000-0005-0000-0000-000052020000}"/>
    <cellStyle name="1_total_갑지0601_총괄갑지_화명조경_백화점화장실인테리어_1차 기성 내역서 0612023" xfId="596" xr:uid="{00000000-0005-0000-0000-000053020000}"/>
    <cellStyle name="1_total_갑지0601_총괄갑지_화명조경_백화점화장실인테리어_3차네고견적(061017-1)" xfId="597" xr:uid="{00000000-0005-0000-0000-000054020000}"/>
    <cellStyle name="1_total_갑지0601_총괄내역서" xfId="598" xr:uid="{00000000-0005-0000-0000-000055020000}"/>
    <cellStyle name="1_total_갑지0601_총괄내역서_1차 기성 내역서 0612023" xfId="599" xr:uid="{00000000-0005-0000-0000-000056020000}"/>
    <cellStyle name="1_total_갑지0601_총괄내역서_3차네고견적(061017-1)" xfId="600" xr:uid="{00000000-0005-0000-0000-000057020000}"/>
    <cellStyle name="1_total_갑지0601_총괄내역서_백화점화장실인테리어" xfId="601" xr:uid="{00000000-0005-0000-0000-000058020000}"/>
    <cellStyle name="1_total_갑지0601_총괄내역서_백화점화장실인테리어_1차 기성 내역서 0612023" xfId="602" xr:uid="{00000000-0005-0000-0000-000059020000}"/>
    <cellStyle name="1_total_갑지0601_총괄내역서_백화점화장실인테리어_3차네고견적(061017-1)" xfId="603" xr:uid="{00000000-0005-0000-0000-00005A020000}"/>
    <cellStyle name="1_total_갑지0601_총괄내역서_설계내역서" xfId="604" xr:uid="{00000000-0005-0000-0000-00005B020000}"/>
    <cellStyle name="1_total_갑지0601_총괄내역서_설계내역서_1차 기성 내역서 0612023" xfId="605" xr:uid="{00000000-0005-0000-0000-00005C020000}"/>
    <cellStyle name="1_total_갑지0601_총괄내역서_설계내역서_3차네고견적(061017-1)" xfId="606" xr:uid="{00000000-0005-0000-0000-00005D020000}"/>
    <cellStyle name="1_total_갑지0601_총괄내역서_설계내역서_백화점화장실인테리어" xfId="607" xr:uid="{00000000-0005-0000-0000-00005E020000}"/>
    <cellStyle name="1_total_갑지0601_총괄내역서_설계내역서_백화점화장실인테리어_1차 기성 내역서 0612023" xfId="608" xr:uid="{00000000-0005-0000-0000-00005F020000}"/>
    <cellStyle name="1_total_갑지0601_총괄내역서_설계내역서_백화점화장실인테리어_3차네고견적(061017-1)" xfId="609" xr:uid="{00000000-0005-0000-0000-000060020000}"/>
    <cellStyle name="1_total_갑지0601_총괄내역서_설계내역서_화명조경" xfId="610" xr:uid="{00000000-0005-0000-0000-000061020000}"/>
    <cellStyle name="1_total_갑지0601_총괄내역서_설계내역서_화명조경_1차 기성 내역서 0612023" xfId="611" xr:uid="{00000000-0005-0000-0000-000062020000}"/>
    <cellStyle name="1_total_갑지0601_총괄내역서_설계내역서_화명조경_3차네고견적(061017-1)" xfId="612" xr:uid="{00000000-0005-0000-0000-000063020000}"/>
    <cellStyle name="1_total_갑지0601_총괄내역서_설계내역서_화명조경_백화점화장실인테리어" xfId="613" xr:uid="{00000000-0005-0000-0000-000064020000}"/>
    <cellStyle name="1_total_갑지0601_총괄내역서_설계내역서_화명조경_백화점화장실인테리어_1차 기성 내역서 0612023" xfId="614" xr:uid="{00000000-0005-0000-0000-000065020000}"/>
    <cellStyle name="1_total_갑지0601_총괄내역서_설계내역서_화명조경_백화점화장실인테리어_3차네고견적(061017-1)" xfId="615" xr:uid="{00000000-0005-0000-0000-000066020000}"/>
    <cellStyle name="1_total_갑지0601_총괄내역서_설계내역서1월7일" xfId="616" xr:uid="{00000000-0005-0000-0000-000067020000}"/>
    <cellStyle name="1_total_갑지0601_총괄내역서_설계내역서1월7일_1차 기성 내역서 0612023" xfId="617" xr:uid="{00000000-0005-0000-0000-000068020000}"/>
    <cellStyle name="1_total_갑지0601_총괄내역서_설계내역서1월7일_3차네고견적(061017-1)" xfId="618" xr:uid="{00000000-0005-0000-0000-000069020000}"/>
    <cellStyle name="1_total_갑지0601_총괄내역서_설계내역서1월7일_백화점화장실인테리어" xfId="619" xr:uid="{00000000-0005-0000-0000-00006A020000}"/>
    <cellStyle name="1_total_갑지0601_총괄내역서_설계내역서1월7일_백화점화장실인테리어_1차 기성 내역서 0612023" xfId="620" xr:uid="{00000000-0005-0000-0000-00006B020000}"/>
    <cellStyle name="1_total_갑지0601_총괄내역서_설계내역서1월7일_백화점화장실인테리어_3차네고견적(061017-1)" xfId="621" xr:uid="{00000000-0005-0000-0000-00006C020000}"/>
    <cellStyle name="1_total_갑지0601_총괄내역서_설계내역서1월7일_화명조경" xfId="622" xr:uid="{00000000-0005-0000-0000-00006D020000}"/>
    <cellStyle name="1_total_갑지0601_총괄내역서_설계내역서1월7일_화명조경_1차 기성 내역서 0612023" xfId="623" xr:uid="{00000000-0005-0000-0000-00006E020000}"/>
    <cellStyle name="1_total_갑지0601_총괄내역서_설계내역서1월7일_화명조경_3차네고견적(061017-1)" xfId="624" xr:uid="{00000000-0005-0000-0000-00006F020000}"/>
    <cellStyle name="1_total_갑지0601_총괄내역서_설계내역서1월7일_화명조경_백화점화장실인테리어" xfId="625" xr:uid="{00000000-0005-0000-0000-000070020000}"/>
    <cellStyle name="1_total_갑지0601_총괄내역서_설계내역서1월7일_화명조경_백화점화장실인테리어_1차 기성 내역서 0612023" xfId="626" xr:uid="{00000000-0005-0000-0000-000071020000}"/>
    <cellStyle name="1_total_갑지0601_총괄내역서_설계내역서1월7일_화명조경_백화점화장실인테리어_3차네고견적(061017-1)" xfId="627" xr:uid="{00000000-0005-0000-0000-000072020000}"/>
    <cellStyle name="1_total_갑지0601_총괄내역서_화명조경" xfId="628" xr:uid="{00000000-0005-0000-0000-000073020000}"/>
    <cellStyle name="1_total_갑지0601_총괄내역서_화명조경_1차 기성 내역서 0612023" xfId="629" xr:uid="{00000000-0005-0000-0000-000074020000}"/>
    <cellStyle name="1_total_갑지0601_총괄내역서_화명조경_3차네고견적(061017-1)" xfId="630" xr:uid="{00000000-0005-0000-0000-000075020000}"/>
    <cellStyle name="1_total_갑지0601_총괄내역서_화명조경_백화점화장실인테리어" xfId="631" xr:uid="{00000000-0005-0000-0000-000076020000}"/>
    <cellStyle name="1_total_갑지0601_총괄내역서_화명조경_백화점화장실인테리어_1차 기성 내역서 0612023" xfId="632" xr:uid="{00000000-0005-0000-0000-000077020000}"/>
    <cellStyle name="1_total_갑지0601_총괄내역서_화명조경_백화점화장실인테리어_3차네고견적(061017-1)" xfId="633" xr:uid="{00000000-0005-0000-0000-000078020000}"/>
    <cellStyle name="1_total_갑지0601_화명조경" xfId="634" xr:uid="{00000000-0005-0000-0000-000079020000}"/>
    <cellStyle name="1_total_갑지0601_화명조경_1차 기성 내역서 0612023" xfId="635" xr:uid="{00000000-0005-0000-0000-00007A020000}"/>
    <cellStyle name="1_total_갑지0601_화명조경_3차네고견적(061017-1)" xfId="636" xr:uid="{00000000-0005-0000-0000-00007B020000}"/>
    <cellStyle name="1_total_갑지0601_화명조경_백화점화장실인테리어" xfId="637" xr:uid="{00000000-0005-0000-0000-00007C020000}"/>
    <cellStyle name="1_total_갑지0601_화명조경_백화점화장실인테리어_1차 기성 내역서 0612023" xfId="638" xr:uid="{00000000-0005-0000-0000-00007D020000}"/>
    <cellStyle name="1_total_갑지0601_화명조경_백화점화장실인테리어_3차네고견적(061017-1)" xfId="639" xr:uid="{00000000-0005-0000-0000-00007E020000}"/>
    <cellStyle name="1_total_백화점화장실인테리어" xfId="640" xr:uid="{00000000-0005-0000-0000-00007F020000}"/>
    <cellStyle name="1_total_백화점화장실인테리어_1차 기성 내역서 0612023" xfId="641" xr:uid="{00000000-0005-0000-0000-000080020000}"/>
    <cellStyle name="1_total_백화점화장실인테리어_3차네고견적(061017-1)" xfId="642" xr:uid="{00000000-0005-0000-0000-000081020000}"/>
    <cellStyle name="1_total_설계내역서" xfId="643" xr:uid="{00000000-0005-0000-0000-000082020000}"/>
    <cellStyle name="1_total_설계내역서_1차 기성 내역서 0612023" xfId="644" xr:uid="{00000000-0005-0000-0000-000083020000}"/>
    <cellStyle name="1_total_설계내역서_3차네고견적(061017-1)" xfId="645" xr:uid="{00000000-0005-0000-0000-000084020000}"/>
    <cellStyle name="1_total_설계내역서_백화점화장실인테리어" xfId="646" xr:uid="{00000000-0005-0000-0000-000085020000}"/>
    <cellStyle name="1_total_설계내역서_백화점화장실인테리어_1차 기성 내역서 0612023" xfId="647" xr:uid="{00000000-0005-0000-0000-000086020000}"/>
    <cellStyle name="1_total_설계내역서_백화점화장실인테리어_3차네고견적(061017-1)" xfId="648" xr:uid="{00000000-0005-0000-0000-000087020000}"/>
    <cellStyle name="1_total_설계내역서_화명조경" xfId="649" xr:uid="{00000000-0005-0000-0000-000088020000}"/>
    <cellStyle name="1_total_설계내역서_화명조경_1차 기성 내역서 0612023" xfId="650" xr:uid="{00000000-0005-0000-0000-000089020000}"/>
    <cellStyle name="1_total_설계내역서_화명조경_3차네고견적(061017-1)" xfId="651" xr:uid="{00000000-0005-0000-0000-00008A020000}"/>
    <cellStyle name="1_total_설계내역서_화명조경_백화점화장실인테리어" xfId="652" xr:uid="{00000000-0005-0000-0000-00008B020000}"/>
    <cellStyle name="1_total_설계내역서_화명조경_백화점화장실인테리어_1차 기성 내역서 0612023" xfId="653" xr:uid="{00000000-0005-0000-0000-00008C020000}"/>
    <cellStyle name="1_total_설계내역서_화명조경_백화점화장실인테리어_3차네고견적(061017-1)" xfId="654" xr:uid="{00000000-0005-0000-0000-00008D020000}"/>
    <cellStyle name="1_total_설계내역서1월7일" xfId="655" xr:uid="{00000000-0005-0000-0000-00008E020000}"/>
    <cellStyle name="1_total_설계내역서1월7일_1차 기성 내역서 0612023" xfId="656" xr:uid="{00000000-0005-0000-0000-00008F020000}"/>
    <cellStyle name="1_total_설계내역서1월7일_3차네고견적(061017-1)" xfId="657" xr:uid="{00000000-0005-0000-0000-000090020000}"/>
    <cellStyle name="1_total_설계내역서1월7일_백화점화장실인테리어" xfId="658" xr:uid="{00000000-0005-0000-0000-000091020000}"/>
    <cellStyle name="1_total_설계내역서1월7일_백화점화장실인테리어_1차 기성 내역서 0612023" xfId="659" xr:uid="{00000000-0005-0000-0000-000092020000}"/>
    <cellStyle name="1_total_설계내역서1월7일_백화점화장실인테리어_3차네고견적(061017-1)" xfId="660" xr:uid="{00000000-0005-0000-0000-000093020000}"/>
    <cellStyle name="1_total_설계내역서1월7일_화명조경" xfId="661" xr:uid="{00000000-0005-0000-0000-000094020000}"/>
    <cellStyle name="1_total_설계내역서1월7일_화명조경_1차 기성 내역서 0612023" xfId="662" xr:uid="{00000000-0005-0000-0000-000095020000}"/>
    <cellStyle name="1_total_설계내역서1월7일_화명조경_3차네고견적(061017-1)" xfId="663" xr:uid="{00000000-0005-0000-0000-000096020000}"/>
    <cellStyle name="1_total_설계내역서1월7일_화명조경_백화점화장실인테리어" xfId="664" xr:uid="{00000000-0005-0000-0000-000097020000}"/>
    <cellStyle name="1_total_설계내역서1월7일_화명조경_백화점화장실인테리어_1차 기성 내역서 0612023" xfId="665" xr:uid="{00000000-0005-0000-0000-000098020000}"/>
    <cellStyle name="1_total_설계내역서1월7일_화명조경_백화점화장실인테리어_3차네고견적(061017-1)" xfId="666" xr:uid="{00000000-0005-0000-0000-000099020000}"/>
    <cellStyle name="1_total_수원변경수량산출" xfId="667" xr:uid="{00000000-0005-0000-0000-00009A020000}"/>
    <cellStyle name="1_total_수원변경수량산출_1차 기성 내역서 0612023" xfId="668" xr:uid="{00000000-0005-0000-0000-00009B020000}"/>
    <cellStyle name="1_total_수원변경수량산출_3차네고견적(061017-1)" xfId="669" xr:uid="{00000000-0005-0000-0000-00009C020000}"/>
    <cellStyle name="1_total_수원변경수량산출_백화점화장실인테리어" xfId="670" xr:uid="{00000000-0005-0000-0000-00009D020000}"/>
    <cellStyle name="1_total_수원변경수량산출_백화점화장실인테리어_1차 기성 내역서 0612023" xfId="671" xr:uid="{00000000-0005-0000-0000-00009E020000}"/>
    <cellStyle name="1_total_수원변경수량산출_백화점화장실인테리어_3차네고견적(061017-1)" xfId="672" xr:uid="{00000000-0005-0000-0000-00009F020000}"/>
    <cellStyle name="1_total_수원변경수량산출_설계내역서" xfId="673" xr:uid="{00000000-0005-0000-0000-0000A0020000}"/>
    <cellStyle name="1_total_수원변경수량산출_설계내역서_1차 기성 내역서 0612023" xfId="674" xr:uid="{00000000-0005-0000-0000-0000A1020000}"/>
    <cellStyle name="1_total_수원변경수량산출_설계내역서_3차네고견적(061017-1)" xfId="675" xr:uid="{00000000-0005-0000-0000-0000A2020000}"/>
    <cellStyle name="1_total_수원변경수량산출_설계내역서_백화점화장실인테리어" xfId="676" xr:uid="{00000000-0005-0000-0000-0000A3020000}"/>
    <cellStyle name="1_total_수원변경수량산출_설계내역서_백화점화장실인테리어_1차 기성 내역서 0612023" xfId="677" xr:uid="{00000000-0005-0000-0000-0000A4020000}"/>
    <cellStyle name="1_total_수원변경수량산출_설계내역서_백화점화장실인테리어_3차네고견적(061017-1)" xfId="678" xr:uid="{00000000-0005-0000-0000-0000A5020000}"/>
    <cellStyle name="1_total_수원변경수량산출_설계내역서_화명조경" xfId="679" xr:uid="{00000000-0005-0000-0000-0000A6020000}"/>
    <cellStyle name="1_total_수원변경수량산출_설계내역서_화명조경_1차 기성 내역서 0612023" xfId="680" xr:uid="{00000000-0005-0000-0000-0000A7020000}"/>
    <cellStyle name="1_total_수원변경수량산출_설계내역서_화명조경_3차네고견적(061017-1)" xfId="681" xr:uid="{00000000-0005-0000-0000-0000A8020000}"/>
    <cellStyle name="1_total_수원변경수량산출_설계내역서_화명조경_백화점화장실인테리어" xfId="682" xr:uid="{00000000-0005-0000-0000-0000A9020000}"/>
    <cellStyle name="1_total_수원변경수량산출_설계내역서_화명조경_백화점화장실인테리어_1차 기성 내역서 0612023" xfId="683" xr:uid="{00000000-0005-0000-0000-0000AA020000}"/>
    <cellStyle name="1_total_수원변경수량산출_설계내역서_화명조경_백화점화장실인테리어_3차네고견적(061017-1)" xfId="684" xr:uid="{00000000-0005-0000-0000-0000AB020000}"/>
    <cellStyle name="1_total_수원변경수량산출_설계내역서1월7일" xfId="685" xr:uid="{00000000-0005-0000-0000-0000AC020000}"/>
    <cellStyle name="1_total_수원변경수량산출_설계내역서1월7일_1차 기성 내역서 0612023" xfId="686" xr:uid="{00000000-0005-0000-0000-0000AD020000}"/>
    <cellStyle name="1_total_수원변경수량산출_설계내역서1월7일_3차네고견적(061017-1)" xfId="687" xr:uid="{00000000-0005-0000-0000-0000AE020000}"/>
    <cellStyle name="1_total_수원변경수량산출_설계내역서1월7일_백화점화장실인테리어" xfId="688" xr:uid="{00000000-0005-0000-0000-0000AF020000}"/>
    <cellStyle name="1_total_수원변경수량산출_설계내역서1월7일_백화점화장실인테리어_1차 기성 내역서 0612023" xfId="689" xr:uid="{00000000-0005-0000-0000-0000B0020000}"/>
    <cellStyle name="1_total_수원변경수량산출_설계내역서1월7일_백화점화장실인테리어_3차네고견적(061017-1)" xfId="690" xr:uid="{00000000-0005-0000-0000-0000B1020000}"/>
    <cellStyle name="1_total_수원변경수량산출_설계내역서1월7일_화명조경" xfId="691" xr:uid="{00000000-0005-0000-0000-0000B2020000}"/>
    <cellStyle name="1_total_수원변경수량산출_설계내역서1월7일_화명조경_1차 기성 내역서 0612023" xfId="692" xr:uid="{00000000-0005-0000-0000-0000B3020000}"/>
    <cellStyle name="1_total_수원변경수량산출_설계내역서1월7일_화명조경_3차네고견적(061017-1)" xfId="693" xr:uid="{00000000-0005-0000-0000-0000B4020000}"/>
    <cellStyle name="1_total_수원변경수량산출_설계내역서1월7일_화명조경_백화점화장실인테리어" xfId="694" xr:uid="{00000000-0005-0000-0000-0000B5020000}"/>
    <cellStyle name="1_total_수원변경수량산출_설계내역서1월7일_화명조경_백화점화장실인테리어_1차 기성 내역서 0612023" xfId="695" xr:uid="{00000000-0005-0000-0000-0000B6020000}"/>
    <cellStyle name="1_total_수원변경수량산출_설계내역서1월7일_화명조경_백화점화장실인테리어_3차네고견적(061017-1)" xfId="696" xr:uid="{00000000-0005-0000-0000-0000B7020000}"/>
    <cellStyle name="1_total_수원변경수량산출_화명조경" xfId="697" xr:uid="{00000000-0005-0000-0000-0000B8020000}"/>
    <cellStyle name="1_total_수원변경수량산출_화명조경_1차 기성 내역서 0612023" xfId="698" xr:uid="{00000000-0005-0000-0000-0000B9020000}"/>
    <cellStyle name="1_total_수원변경수량산출_화명조경_3차네고견적(061017-1)" xfId="699" xr:uid="{00000000-0005-0000-0000-0000BA020000}"/>
    <cellStyle name="1_total_수원변경수량산출_화명조경_백화점화장실인테리어" xfId="700" xr:uid="{00000000-0005-0000-0000-0000BB020000}"/>
    <cellStyle name="1_total_수원변경수량산출_화명조경_백화점화장실인테리어_1차 기성 내역서 0612023" xfId="701" xr:uid="{00000000-0005-0000-0000-0000BC020000}"/>
    <cellStyle name="1_total_수원변경수량산출_화명조경_백화점화장실인테리어_3차네고견적(061017-1)" xfId="702" xr:uid="{00000000-0005-0000-0000-0000BD020000}"/>
    <cellStyle name="1_total_쌍용수량0905" xfId="703" xr:uid="{00000000-0005-0000-0000-0000BE020000}"/>
    <cellStyle name="1_total_쌍용수량0905_1차 기성 내역서 0612023" xfId="704" xr:uid="{00000000-0005-0000-0000-0000BF020000}"/>
    <cellStyle name="1_total_쌍용수량0905_3차네고견적(061017-1)" xfId="705" xr:uid="{00000000-0005-0000-0000-0000C0020000}"/>
    <cellStyle name="1_total_쌍용수량0905_백화점화장실인테리어" xfId="706" xr:uid="{00000000-0005-0000-0000-0000C1020000}"/>
    <cellStyle name="1_total_쌍용수량0905_백화점화장실인테리어_1차 기성 내역서 0612023" xfId="707" xr:uid="{00000000-0005-0000-0000-0000C2020000}"/>
    <cellStyle name="1_total_쌍용수량0905_백화점화장실인테리어_3차네고견적(061017-1)" xfId="708" xr:uid="{00000000-0005-0000-0000-0000C3020000}"/>
    <cellStyle name="1_total_쌍용수량0905_설계내역서" xfId="709" xr:uid="{00000000-0005-0000-0000-0000C4020000}"/>
    <cellStyle name="1_total_쌍용수량0905_설계내역서_1차 기성 내역서 0612023" xfId="710" xr:uid="{00000000-0005-0000-0000-0000C5020000}"/>
    <cellStyle name="1_total_쌍용수량0905_설계내역서_3차네고견적(061017-1)" xfId="711" xr:uid="{00000000-0005-0000-0000-0000C6020000}"/>
    <cellStyle name="1_total_쌍용수량0905_설계내역서_백화점화장실인테리어" xfId="712" xr:uid="{00000000-0005-0000-0000-0000C7020000}"/>
    <cellStyle name="1_total_쌍용수량0905_설계내역서_백화점화장실인테리어_1차 기성 내역서 0612023" xfId="713" xr:uid="{00000000-0005-0000-0000-0000C8020000}"/>
    <cellStyle name="1_total_쌍용수량0905_설계내역서_백화점화장실인테리어_3차네고견적(061017-1)" xfId="714" xr:uid="{00000000-0005-0000-0000-0000C9020000}"/>
    <cellStyle name="1_total_쌍용수량0905_설계내역서_화명조경" xfId="715" xr:uid="{00000000-0005-0000-0000-0000CA020000}"/>
    <cellStyle name="1_total_쌍용수량0905_설계내역서_화명조경_1차 기성 내역서 0612023" xfId="716" xr:uid="{00000000-0005-0000-0000-0000CB020000}"/>
    <cellStyle name="1_total_쌍용수량0905_설계내역서_화명조경_3차네고견적(061017-1)" xfId="717" xr:uid="{00000000-0005-0000-0000-0000CC020000}"/>
    <cellStyle name="1_total_쌍용수량0905_설계내역서_화명조경_백화점화장실인테리어" xfId="718" xr:uid="{00000000-0005-0000-0000-0000CD020000}"/>
    <cellStyle name="1_total_쌍용수량0905_설계내역서_화명조경_백화점화장실인테리어_1차 기성 내역서 0612023" xfId="719" xr:uid="{00000000-0005-0000-0000-0000CE020000}"/>
    <cellStyle name="1_total_쌍용수량0905_설계내역서_화명조경_백화점화장실인테리어_3차네고견적(061017-1)" xfId="720" xr:uid="{00000000-0005-0000-0000-0000CF020000}"/>
    <cellStyle name="1_total_쌍용수량0905_설계내역서1월7일" xfId="721" xr:uid="{00000000-0005-0000-0000-0000D0020000}"/>
    <cellStyle name="1_total_쌍용수량0905_설계내역서1월7일_1차 기성 내역서 0612023" xfId="722" xr:uid="{00000000-0005-0000-0000-0000D1020000}"/>
    <cellStyle name="1_total_쌍용수량0905_설계내역서1월7일_3차네고견적(061017-1)" xfId="723" xr:uid="{00000000-0005-0000-0000-0000D2020000}"/>
    <cellStyle name="1_total_쌍용수량0905_설계내역서1월7일_백화점화장실인테리어" xfId="724" xr:uid="{00000000-0005-0000-0000-0000D3020000}"/>
    <cellStyle name="1_total_쌍용수량0905_설계내역서1월7일_백화점화장실인테리어_1차 기성 내역서 0612023" xfId="725" xr:uid="{00000000-0005-0000-0000-0000D4020000}"/>
    <cellStyle name="1_total_쌍용수량0905_설계내역서1월7일_백화점화장실인테리어_3차네고견적(061017-1)" xfId="726" xr:uid="{00000000-0005-0000-0000-0000D5020000}"/>
    <cellStyle name="1_total_쌍용수량0905_설계내역서1월7일_화명조경" xfId="727" xr:uid="{00000000-0005-0000-0000-0000D6020000}"/>
    <cellStyle name="1_total_쌍용수량0905_설계내역서1월7일_화명조경_1차 기성 내역서 0612023" xfId="728" xr:uid="{00000000-0005-0000-0000-0000D7020000}"/>
    <cellStyle name="1_total_쌍용수량0905_설계내역서1월7일_화명조경_3차네고견적(061017-1)" xfId="729" xr:uid="{00000000-0005-0000-0000-0000D8020000}"/>
    <cellStyle name="1_total_쌍용수량0905_설계내역서1월7일_화명조경_백화점화장실인테리어" xfId="730" xr:uid="{00000000-0005-0000-0000-0000D9020000}"/>
    <cellStyle name="1_total_쌍용수량0905_설계내역서1월7일_화명조경_백화점화장실인테리어_1차 기성 내역서 0612023" xfId="731" xr:uid="{00000000-0005-0000-0000-0000DA020000}"/>
    <cellStyle name="1_total_쌍용수량0905_설계내역서1월7일_화명조경_백화점화장실인테리어_3차네고견적(061017-1)" xfId="732" xr:uid="{00000000-0005-0000-0000-0000DB020000}"/>
    <cellStyle name="1_total_쌍용수량0905_화명조경" xfId="733" xr:uid="{00000000-0005-0000-0000-0000DC020000}"/>
    <cellStyle name="1_total_쌍용수량0905_화명조경_1차 기성 내역서 0612023" xfId="734" xr:uid="{00000000-0005-0000-0000-0000DD020000}"/>
    <cellStyle name="1_total_쌍용수량0905_화명조경_3차네고견적(061017-1)" xfId="735" xr:uid="{00000000-0005-0000-0000-0000DE020000}"/>
    <cellStyle name="1_total_쌍용수량0905_화명조경_백화점화장실인테리어" xfId="736" xr:uid="{00000000-0005-0000-0000-0000DF020000}"/>
    <cellStyle name="1_total_쌍용수량0905_화명조경_백화점화장실인테리어_1차 기성 내역서 0612023" xfId="737" xr:uid="{00000000-0005-0000-0000-0000E0020000}"/>
    <cellStyle name="1_total_쌍용수량0905_화명조경_백화점화장실인테리어_3차네고견적(061017-1)" xfId="738" xr:uid="{00000000-0005-0000-0000-0000E1020000}"/>
    <cellStyle name="1_total_은파수량집계" xfId="739" xr:uid="{00000000-0005-0000-0000-0000E2020000}"/>
    <cellStyle name="1_total_은파수량집계_1차 기성 내역서 0612023" xfId="740" xr:uid="{00000000-0005-0000-0000-0000E3020000}"/>
    <cellStyle name="1_total_은파수량집계_3차네고견적(061017-1)" xfId="741" xr:uid="{00000000-0005-0000-0000-0000E4020000}"/>
    <cellStyle name="1_total_은파수량집계_백화점화장실인테리어" xfId="742" xr:uid="{00000000-0005-0000-0000-0000E5020000}"/>
    <cellStyle name="1_total_은파수량집계_백화점화장실인테리어_1차 기성 내역서 0612023" xfId="743" xr:uid="{00000000-0005-0000-0000-0000E6020000}"/>
    <cellStyle name="1_total_은파수량집계_백화점화장실인테리어_3차네고견적(061017-1)" xfId="744" xr:uid="{00000000-0005-0000-0000-0000E7020000}"/>
    <cellStyle name="1_total_은파수량집계_설계내역서" xfId="745" xr:uid="{00000000-0005-0000-0000-0000E8020000}"/>
    <cellStyle name="1_total_은파수량집계_설계내역서_1차 기성 내역서 0612023" xfId="746" xr:uid="{00000000-0005-0000-0000-0000E9020000}"/>
    <cellStyle name="1_total_은파수량집계_설계내역서_3차네고견적(061017-1)" xfId="747" xr:uid="{00000000-0005-0000-0000-0000EA020000}"/>
    <cellStyle name="1_total_은파수량집계_설계내역서_백화점화장실인테리어" xfId="748" xr:uid="{00000000-0005-0000-0000-0000EB020000}"/>
    <cellStyle name="1_total_은파수량집계_설계내역서_백화점화장실인테리어_1차 기성 내역서 0612023" xfId="749" xr:uid="{00000000-0005-0000-0000-0000EC020000}"/>
    <cellStyle name="1_total_은파수량집계_설계내역서_백화점화장실인테리어_3차네고견적(061017-1)" xfId="750" xr:uid="{00000000-0005-0000-0000-0000ED020000}"/>
    <cellStyle name="1_total_은파수량집계_설계내역서_화명조경" xfId="751" xr:uid="{00000000-0005-0000-0000-0000EE020000}"/>
    <cellStyle name="1_total_은파수량집계_설계내역서_화명조경_1차 기성 내역서 0612023" xfId="752" xr:uid="{00000000-0005-0000-0000-0000EF020000}"/>
    <cellStyle name="1_total_은파수량집계_설계내역서_화명조경_3차네고견적(061017-1)" xfId="753" xr:uid="{00000000-0005-0000-0000-0000F0020000}"/>
    <cellStyle name="1_total_은파수량집계_설계내역서_화명조경_백화점화장실인테리어" xfId="754" xr:uid="{00000000-0005-0000-0000-0000F1020000}"/>
    <cellStyle name="1_total_은파수량집계_설계내역서_화명조경_백화점화장실인테리어_1차 기성 내역서 0612023" xfId="755" xr:uid="{00000000-0005-0000-0000-0000F2020000}"/>
    <cellStyle name="1_total_은파수량집계_설계내역서_화명조경_백화점화장실인테리어_3차네고견적(061017-1)" xfId="756" xr:uid="{00000000-0005-0000-0000-0000F3020000}"/>
    <cellStyle name="1_total_은파수량집계_설계내역서1월7일" xfId="757" xr:uid="{00000000-0005-0000-0000-0000F4020000}"/>
    <cellStyle name="1_total_은파수량집계_설계내역서1월7일_1차 기성 내역서 0612023" xfId="758" xr:uid="{00000000-0005-0000-0000-0000F5020000}"/>
    <cellStyle name="1_total_은파수량집계_설계내역서1월7일_3차네고견적(061017-1)" xfId="759" xr:uid="{00000000-0005-0000-0000-0000F6020000}"/>
    <cellStyle name="1_total_은파수량집계_설계내역서1월7일_백화점화장실인테리어" xfId="760" xr:uid="{00000000-0005-0000-0000-0000F7020000}"/>
    <cellStyle name="1_total_은파수량집계_설계내역서1월7일_백화점화장실인테리어_1차 기성 내역서 0612023" xfId="761" xr:uid="{00000000-0005-0000-0000-0000F8020000}"/>
    <cellStyle name="1_total_은파수량집계_설계내역서1월7일_백화점화장실인테리어_3차네고견적(061017-1)" xfId="762" xr:uid="{00000000-0005-0000-0000-0000F9020000}"/>
    <cellStyle name="1_total_은파수량집계_설계내역서1월7일_화명조경" xfId="763" xr:uid="{00000000-0005-0000-0000-0000FA020000}"/>
    <cellStyle name="1_total_은파수량집계_설계내역서1월7일_화명조경_1차 기성 내역서 0612023" xfId="764" xr:uid="{00000000-0005-0000-0000-0000FB020000}"/>
    <cellStyle name="1_total_은파수량집계_설계내역서1월7일_화명조경_3차네고견적(061017-1)" xfId="765" xr:uid="{00000000-0005-0000-0000-0000FC020000}"/>
    <cellStyle name="1_total_은파수량집계_설계내역서1월7일_화명조경_백화점화장실인테리어" xfId="766" xr:uid="{00000000-0005-0000-0000-0000FD020000}"/>
    <cellStyle name="1_total_은파수량집계_설계내역서1월7일_화명조경_백화점화장실인테리어_1차 기성 내역서 0612023" xfId="767" xr:uid="{00000000-0005-0000-0000-0000FE020000}"/>
    <cellStyle name="1_total_은파수량집계_설계내역서1월7일_화명조경_백화점화장실인테리어_3차네고견적(061017-1)" xfId="768" xr:uid="{00000000-0005-0000-0000-0000FF020000}"/>
    <cellStyle name="1_total_은파수량집계_화명조경" xfId="769" xr:uid="{00000000-0005-0000-0000-000000030000}"/>
    <cellStyle name="1_total_은파수량집계_화명조경_1차 기성 내역서 0612023" xfId="770" xr:uid="{00000000-0005-0000-0000-000001030000}"/>
    <cellStyle name="1_total_은파수량집계_화명조경_3차네고견적(061017-1)" xfId="771" xr:uid="{00000000-0005-0000-0000-000002030000}"/>
    <cellStyle name="1_total_은파수량집계_화명조경_백화점화장실인테리어" xfId="772" xr:uid="{00000000-0005-0000-0000-000003030000}"/>
    <cellStyle name="1_total_은파수량집계_화명조경_백화점화장실인테리어_1차 기성 내역서 0612023" xfId="773" xr:uid="{00000000-0005-0000-0000-000004030000}"/>
    <cellStyle name="1_total_은파수량집계_화명조경_백화점화장실인테리어_3차네고견적(061017-1)" xfId="774" xr:uid="{00000000-0005-0000-0000-000005030000}"/>
    <cellStyle name="1_total_터미널1-0" xfId="775" xr:uid="{00000000-0005-0000-0000-000006030000}"/>
    <cellStyle name="1_total_터미널1-0_1차 기성 내역서 0612023" xfId="776" xr:uid="{00000000-0005-0000-0000-000007030000}"/>
    <cellStyle name="1_total_터미널1-0_3차네고견적(061017-1)" xfId="777" xr:uid="{00000000-0005-0000-0000-000008030000}"/>
    <cellStyle name="1_total_터미널1-0_백화점화장실인테리어" xfId="778" xr:uid="{00000000-0005-0000-0000-000009030000}"/>
    <cellStyle name="1_total_터미널1-0_백화점화장실인테리어_1차 기성 내역서 0612023" xfId="779" xr:uid="{00000000-0005-0000-0000-00000A030000}"/>
    <cellStyle name="1_total_터미널1-0_백화점화장실인테리어_3차네고견적(061017-1)" xfId="780" xr:uid="{00000000-0005-0000-0000-00000B030000}"/>
    <cellStyle name="1_total_터미널1-0_화명조경" xfId="781" xr:uid="{00000000-0005-0000-0000-00000C030000}"/>
    <cellStyle name="1_total_터미널1-0_화명조경_1차 기성 내역서 0612023" xfId="782" xr:uid="{00000000-0005-0000-0000-00000D030000}"/>
    <cellStyle name="1_total_터미널1-0_화명조경_3차네고견적(061017-1)" xfId="783" xr:uid="{00000000-0005-0000-0000-00000E030000}"/>
    <cellStyle name="1_total_터미널1-0_화명조경_백화점화장실인테리어" xfId="784" xr:uid="{00000000-0005-0000-0000-00000F030000}"/>
    <cellStyle name="1_total_터미널1-0_화명조경_백화점화장실인테리어_1차 기성 내역서 0612023" xfId="785" xr:uid="{00000000-0005-0000-0000-000010030000}"/>
    <cellStyle name="1_total_터미널1-0_화명조경_백화점화장실인테리어_3차네고견적(061017-1)" xfId="786" xr:uid="{00000000-0005-0000-0000-000011030000}"/>
    <cellStyle name="1_total_화명조경" xfId="787" xr:uid="{00000000-0005-0000-0000-000012030000}"/>
    <cellStyle name="1_total_화명조경_1차 기성 내역서 0612023" xfId="788" xr:uid="{00000000-0005-0000-0000-000013030000}"/>
    <cellStyle name="1_total_화명조경_3차네고견적(061017-1)" xfId="789" xr:uid="{00000000-0005-0000-0000-000014030000}"/>
    <cellStyle name="1_total_화명조경_백화점화장실인테리어" xfId="790" xr:uid="{00000000-0005-0000-0000-000015030000}"/>
    <cellStyle name="1_total_화명조경_백화점화장실인테리어_1차 기성 내역서 0612023" xfId="791" xr:uid="{00000000-0005-0000-0000-000016030000}"/>
    <cellStyle name="1_total_화명조경_백화점화장실인테리어_3차네고견적(061017-1)" xfId="792" xr:uid="{00000000-0005-0000-0000-000017030000}"/>
    <cellStyle name="1_tree" xfId="793" xr:uid="{00000000-0005-0000-0000-000018030000}"/>
    <cellStyle name="1_tree_1차 기성 내역서 0612023" xfId="794" xr:uid="{00000000-0005-0000-0000-000019030000}"/>
    <cellStyle name="1_tree_3차네고견적(061017-1)" xfId="795" xr:uid="{00000000-0005-0000-0000-00001A030000}"/>
    <cellStyle name="1_tree_Sheet1" xfId="796" xr:uid="{00000000-0005-0000-0000-00001B030000}"/>
    <cellStyle name="1_tree_Sheet1_1차 기성 내역서 0612023" xfId="797" xr:uid="{00000000-0005-0000-0000-00001C030000}"/>
    <cellStyle name="1_tree_Sheet1_3차네고견적(061017-1)" xfId="798" xr:uid="{00000000-0005-0000-0000-00001D030000}"/>
    <cellStyle name="1_tree_갑지0601" xfId="799" xr:uid="{00000000-0005-0000-0000-00001E030000}"/>
    <cellStyle name="1_tree_갑지0601_00갑지" xfId="800" xr:uid="{00000000-0005-0000-0000-00001F030000}"/>
    <cellStyle name="1_tree_갑지0601_00갑지_1차 기성 내역서 0612023" xfId="801" xr:uid="{00000000-0005-0000-0000-000020030000}"/>
    <cellStyle name="1_tree_갑지0601_00갑지_3차네고견적(061017-1)" xfId="802" xr:uid="{00000000-0005-0000-0000-000021030000}"/>
    <cellStyle name="1_tree_갑지0601_00갑지_백화점화장실인테리어" xfId="803" xr:uid="{00000000-0005-0000-0000-000022030000}"/>
    <cellStyle name="1_tree_갑지0601_00갑지_백화점화장실인테리어_1차 기성 내역서 0612023" xfId="804" xr:uid="{00000000-0005-0000-0000-000023030000}"/>
    <cellStyle name="1_tree_갑지0601_00갑지_백화점화장실인테리어_3차네고견적(061017-1)" xfId="805" xr:uid="{00000000-0005-0000-0000-000024030000}"/>
    <cellStyle name="1_tree_갑지0601_00갑지_설계내역서" xfId="806" xr:uid="{00000000-0005-0000-0000-000025030000}"/>
    <cellStyle name="1_tree_갑지0601_00갑지_설계내역서_1차 기성 내역서 0612023" xfId="807" xr:uid="{00000000-0005-0000-0000-000026030000}"/>
    <cellStyle name="1_tree_갑지0601_00갑지_설계내역서_3차네고견적(061017-1)" xfId="808" xr:uid="{00000000-0005-0000-0000-000027030000}"/>
    <cellStyle name="1_tree_갑지0601_00갑지_설계내역서_백화점화장실인테리어" xfId="809" xr:uid="{00000000-0005-0000-0000-000028030000}"/>
    <cellStyle name="1_tree_갑지0601_00갑지_설계내역서_백화점화장실인테리어_1차 기성 내역서 0612023" xfId="810" xr:uid="{00000000-0005-0000-0000-000029030000}"/>
    <cellStyle name="1_tree_갑지0601_00갑지_설계내역서_백화점화장실인테리어_3차네고견적(061017-1)" xfId="811" xr:uid="{00000000-0005-0000-0000-00002A030000}"/>
    <cellStyle name="1_tree_갑지0601_00갑지_설계내역서_화명조경" xfId="812" xr:uid="{00000000-0005-0000-0000-00002B030000}"/>
    <cellStyle name="1_tree_갑지0601_00갑지_설계내역서_화명조경_1차 기성 내역서 0612023" xfId="813" xr:uid="{00000000-0005-0000-0000-00002C030000}"/>
    <cellStyle name="1_tree_갑지0601_00갑지_설계내역서_화명조경_3차네고견적(061017-1)" xfId="814" xr:uid="{00000000-0005-0000-0000-00002D030000}"/>
    <cellStyle name="1_tree_갑지0601_00갑지_설계내역서_화명조경_백화점화장실인테리어" xfId="815" xr:uid="{00000000-0005-0000-0000-00002E030000}"/>
    <cellStyle name="1_tree_갑지0601_00갑지_설계내역서_화명조경_백화점화장실인테리어_1차 기성 내역서 0612023" xfId="816" xr:uid="{00000000-0005-0000-0000-00002F030000}"/>
    <cellStyle name="1_tree_갑지0601_00갑지_설계내역서_화명조경_백화점화장실인테리어_3차네고견적(061017-1)" xfId="817" xr:uid="{00000000-0005-0000-0000-000030030000}"/>
    <cellStyle name="1_tree_갑지0601_00갑지_설계내역서1월7일" xfId="818" xr:uid="{00000000-0005-0000-0000-000031030000}"/>
    <cellStyle name="1_tree_갑지0601_00갑지_설계내역서1월7일_1차 기성 내역서 0612023" xfId="819" xr:uid="{00000000-0005-0000-0000-000032030000}"/>
    <cellStyle name="1_tree_갑지0601_00갑지_설계내역서1월7일_3차네고견적(061017-1)" xfId="820" xr:uid="{00000000-0005-0000-0000-000033030000}"/>
    <cellStyle name="1_tree_갑지0601_00갑지_설계내역서1월7일_백화점화장실인테리어" xfId="821" xr:uid="{00000000-0005-0000-0000-000034030000}"/>
    <cellStyle name="1_tree_갑지0601_00갑지_설계내역서1월7일_백화점화장실인테리어_1차 기성 내역서 0612023" xfId="822" xr:uid="{00000000-0005-0000-0000-000035030000}"/>
    <cellStyle name="1_tree_갑지0601_00갑지_설계내역서1월7일_백화점화장실인테리어_3차네고견적(061017-1)" xfId="823" xr:uid="{00000000-0005-0000-0000-000036030000}"/>
    <cellStyle name="1_tree_갑지0601_00갑지_설계내역서1월7일_화명조경" xfId="824" xr:uid="{00000000-0005-0000-0000-000037030000}"/>
    <cellStyle name="1_tree_갑지0601_00갑지_설계내역서1월7일_화명조경_1차 기성 내역서 0612023" xfId="825" xr:uid="{00000000-0005-0000-0000-000038030000}"/>
    <cellStyle name="1_tree_갑지0601_00갑지_설계내역서1월7일_화명조경_3차네고견적(061017-1)" xfId="826" xr:uid="{00000000-0005-0000-0000-000039030000}"/>
    <cellStyle name="1_tree_갑지0601_00갑지_설계내역서1월7일_화명조경_백화점화장실인테리어" xfId="827" xr:uid="{00000000-0005-0000-0000-00003A030000}"/>
    <cellStyle name="1_tree_갑지0601_00갑지_설계내역서1월7일_화명조경_백화점화장실인테리어_1차 기성 내역서 0612023" xfId="828" xr:uid="{00000000-0005-0000-0000-00003B030000}"/>
    <cellStyle name="1_tree_갑지0601_00갑지_설계내역서1월7일_화명조경_백화점화장실인테리어_3차네고견적(061017-1)" xfId="829" xr:uid="{00000000-0005-0000-0000-00003C030000}"/>
    <cellStyle name="1_tree_갑지0601_00갑지_화명조경" xfId="830" xr:uid="{00000000-0005-0000-0000-00003D030000}"/>
    <cellStyle name="1_tree_갑지0601_00갑지_화명조경_1차 기성 내역서 0612023" xfId="831" xr:uid="{00000000-0005-0000-0000-00003E030000}"/>
    <cellStyle name="1_tree_갑지0601_00갑지_화명조경_3차네고견적(061017-1)" xfId="832" xr:uid="{00000000-0005-0000-0000-00003F030000}"/>
    <cellStyle name="1_tree_갑지0601_00갑지_화명조경_백화점화장실인테리어" xfId="833" xr:uid="{00000000-0005-0000-0000-000040030000}"/>
    <cellStyle name="1_tree_갑지0601_00갑지_화명조경_백화점화장실인테리어_1차 기성 내역서 0612023" xfId="834" xr:uid="{00000000-0005-0000-0000-000041030000}"/>
    <cellStyle name="1_tree_갑지0601_00갑지_화명조경_백화점화장실인테리어_3차네고견적(061017-1)" xfId="835" xr:uid="{00000000-0005-0000-0000-000042030000}"/>
    <cellStyle name="1_tree_갑지0601_1차 기성 내역서 0612023" xfId="836" xr:uid="{00000000-0005-0000-0000-000043030000}"/>
    <cellStyle name="1_tree_갑지0601_3차네고견적(061017-1)" xfId="837" xr:uid="{00000000-0005-0000-0000-000044030000}"/>
    <cellStyle name="1_tree_갑지0601_과천놀이터설계서" xfId="838" xr:uid="{00000000-0005-0000-0000-000045030000}"/>
    <cellStyle name="1_tree_갑지0601_과천놀이터설계서_1차 기성 내역서 0612023" xfId="839" xr:uid="{00000000-0005-0000-0000-000046030000}"/>
    <cellStyle name="1_tree_갑지0601_과천놀이터설계서_3차네고견적(061017-1)" xfId="840" xr:uid="{00000000-0005-0000-0000-000047030000}"/>
    <cellStyle name="1_tree_갑지0601_과천놀이터설계서_백화점화장실인테리어" xfId="841" xr:uid="{00000000-0005-0000-0000-000048030000}"/>
    <cellStyle name="1_tree_갑지0601_과천놀이터설계서_백화점화장실인테리어_1차 기성 내역서 0612023" xfId="842" xr:uid="{00000000-0005-0000-0000-000049030000}"/>
    <cellStyle name="1_tree_갑지0601_과천놀이터설계서_백화점화장실인테리어_3차네고견적(061017-1)" xfId="843" xr:uid="{00000000-0005-0000-0000-00004A030000}"/>
    <cellStyle name="1_tree_갑지0601_과천놀이터설계서_설계내역서" xfId="844" xr:uid="{00000000-0005-0000-0000-00004B030000}"/>
    <cellStyle name="1_tree_갑지0601_과천놀이터설계서_설계내역서_1차 기성 내역서 0612023" xfId="845" xr:uid="{00000000-0005-0000-0000-00004C030000}"/>
    <cellStyle name="1_tree_갑지0601_과천놀이터설계서_설계내역서_3차네고견적(061017-1)" xfId="846" xr:uid="{00000000-0005-0000-0000-00004D030000}"/>
    <cellStyle name="1_tree_갑지0601_과천놀이터설계서_설계내역서_백화점화장실인테리어" xfId="847" xr:uid="{00000000-0005-0000-0000-00004E030000}"/>
    <cellStyle name="1_tree_갑지0601_과천놀이터설계서_설계내역서_백화점화장실인테리어_1차 기성 내역서 0612023" xfId="848" xr:uid="{00000000-0005-0000-0000-00004F030000}"/>
    <cellStyle name="1_tree_갑지0601_과천놀이터설계서_설계내역서_백화점화장실인테리어_3차네고견적(061017-1)" xfId="849" xr:uid="{00000000-0005-0000-0000-000050030000}"/>
    <cellStyle name="1_tree_갑지0601_과천놀이터설계서_설계내역서_화명조경" xfId="850" xr:uid="{00000000-0005-0000-0000-000051030000}"/>
    <cellStyle name="1_tree_갑지0601_과천놀이터설계서_설계내역서_화명조경_1차 기성 내역서 0612023" xfId="851" xr:uid="{00000000-0005-0000-0000-000052030000}"/>
    <cellStyle name="1_tree_갑지0601_과천놀이터설계서_설계내역서_화명조경_3차네고견적(061017-1)" xfId="852" xr:uid="{00000000-0005-0000-0000-000053030000}"/>
    <cellStyle name="1_tree_갑지0601_과천놀이터설계서_설계내역서_화명조경_백화점화장실인테리어" xfId="853" xr:uid="{00000000-0005-0000-0000-000054030000}"/>
    <cellStyle name="1_tree_갑지0601_과천놀이터설계서_설계내역서_화명조경_백화점화장실인테리어_1차 기성 내역서 0612023" xfId="854" xr:uid="{00000000-0005-0000-0000-000055030000}"/>
    <cellStyle name="1_tree_갑지0601_과천놀이터설계서_설계내역서_화명조경_백화점화장실인테리어_3차네고견적(061017-1)" xfId="855" xr:uid="{00000000-0005-0000-0000-000056030000}"/>
    <cellStyle name="1_tree_갑지0601_과천놀이터설계서_설계내역서1월7일" xfId="856" xr:uid="{00000000-0005-0000-0000-000057030000}"/>
    <cellStyle name="1_tree_갑지0601_과천놀이터설계서_설계내역서1월7일_1차 기성 내역서 0612023" xfId="857" xr:uid="{00000000-0005-0000-0000-000058030000}"/>
    <cellStyle name="1_tree_갑지0601_과천놀이터설계서_설계내역서1월7일_3차네고견적(061017-1)" xfId="858" xr:uid="{00000000-0005-0000-0000-000059030000}"/>
    <cellStyle name="1_tree_갑지0601_과천놀이터설계서_설계내역서1월7일_백화점화장실인테리어" xfId="859" xr:uid="{00000000-0005-0000-0000-00005A030000}"/>
    <cellStyle name="1_tree_갑지0601_과천놀이터설계서_설계내역서1월7일_백화점화장실인테리어_1차 기성 내역서 0612023" xfId="860" xr:uid="{00000000-0005-0000-0000-00005B030000}"/>
    <cellStyle name="1_tree_갑지0601_과천놀이터설계서_설계내역서1월7일_백화점화장실인테리어_3차네고견적(061017-1)" xfId="861" xr:uid="{00000000-0005-0000-0000-00005C030000}"/>
    <cellStyle name="1_tree_갑지0601_과천놀이터설계서_설계내역서1월7일_화명조경" xfId="862" xr:uid="{00000000-0005-0000-0000-00005D030000}"/>
    <cellStyle name="1_tree_갑지0601_과천놀이터설계서_설계내역서1월7일_화명조경_1차 기성 내역서 0612023" xfId="863" xr:uid="{00000000-0005-0000-0000-00005E030000}"/>
    <cellStyle name="1_tree_갑지0601_과천놀이터설계서_설계내역서1월7일_화명조경_3차네고견적(061017-1)" xfId="864" xr:uid="{00000000-0005-0000-0000-00005F030000}"/>
    <cellStyle name="1_tree_갑지0601_과천놀이터설계서_설계내역서1월7일_화명조경_백화점화장실인테리어" xfId="865" xr:uid="{00000000-0005-0000-0000-000060030000}"/>
    <cellStyle name="1_tree_갑지0601_과천놀이터설계서_설계내역서1월7일_화명조경_백화점화장실인테리어_1차 기성 내역서 0612023" xfId="866" xr:uid="{00000000-0005-0000-0000-000061030000}"/>
    <cellStyle name="1_tree_갑지0601_과천놀이터설계서_설계내역서1월7일_화명조경_백화점화장실인테리어_3차네고견적(061017-1)" xfId="867" xr:uid="{00000000-0005-0000-0000-000062030000}"/>
    <cellStyle name="1_tree_갑지0601_과천놀이터설계서_화명조경" xfId="868" xr:uid="{00000000-0005-0000-0000-000063030000}"/>
    <cellStyle name="1_tree_갑지0601_과천놀이터설계서_화명조경_1차 기성 내역서 0612023" xfId="869" xr:uid="{00000000-0005-0000-0000-000064030000}"/>
    <cellStyle name="1_tree_갑지0601_과천놀이터설계서_화명조경_3차네고견적(061017-1)" xfId="870" xr:uid="{00000000-0005-0000-0000-000065030000}"/>
    <cellStyle name="1_tree_갑지0601_과천놀이터설계서_화명조경_백화점화장실인테리어" xfId="871" xr:uid="{00000000-0005-0000-0000-000066030000}"/>
    <cellStyle name="1_tree_갑지0601_과천놀이터설계서_화명조경_백화점화장실인테리어_1차 기성 내역서 0612023" xfId="872" xr:uid="{00000000-0005-0000-0000-000067030000}"/>
    <cellStyle name="1_tree_갑지0601_과천놀이터설계서_화명조경_백화점화장실인테리어_3차네고견적(061017-1)" xfId="873" xr:uid="{00000000-0005-0000-0000-000068030000}"/>
    <cellStyle name="1_tree_갑지0601_백화점화장실인테리어" xfId="874" xr:uid="{00000000-0005-0000-0000-000069030000}"/>
    <cellStyle name="1_tree_갑지0601_백화점화장실인테리어_1차 기성 내역서 0612023" xfId="875" xr:uid="{00000000-0005-0000-0000-00006A030000}"/>
    <cellStyle name="1_tree_갑지0601_백화점화장실인테리어_3차네고견적(061017-1)" xfId="876" xr:uid="{00000000-0005-0000-0000-00006B030000}"/>
    <cellStyle name="1_tree_갑지0601_총괄갑지" xfId="877" xr:uid="{00000000-0005-0000-0000-00006C030000}"/>
    <cellStyle name="1_tree_갑지0601_총괄갑지_1차 기성 내역서 0612023" xfId="878" xr:uid="{00000000-0005-0000-0000-00006D030000}"/>
    <cellStyle name="1_tree_갑지0601_총괄갑지_3차네고견적(061017-1)" xfId="879" xr:uid="{00000000-0005-0000-0000-00006E030000}"/>
    <cellStyle name="1_tree_갑지0601_총괄갑지_백화점화장실인테리어" xfId="880" xr:uid="{00000000-0005-0000-0000-00006F030000}"/>
    <cellStyle name="1_tree_갑지0601_총괄갑지_백화점화장실인테리어_1차 기성 내역서 0612023" xfId="881" xr:uid="{00000000-0005-0000-0000-000070030000}"/>
    <cellStyle name="1_tree_갑지0601_총괄갑지_백화점화장실인테리어_3차네고견적(061017-1)" xfId="882" xr:uid="{00000000-0005-0000-0000-000071030000}"/>
    <cellStyle name="1_tree_갑지0601_총괄갑지_설계내역서" xfId="883" xr:uid="{00000000-0005-0000-0000-000072030000}"/>
    <cellStyle name="1_tree_갑지0601_총괄갑지_설계내역서_1차 기성 내역서 0612023" xfId="884" xr:uid="{00000000-0005-0000-0000-000073030000}"/>
    <cellStyle name="1_tree_갑지0601_총괄갑지_설계내역서_3차네고견적(061017-1)" xfId="885" xr:uid="{00000000-0005-0000-0000-000074030000}"/>
    <cellStyle name="1_tree_갑지0601_총괄갑지_설계내역서_백화점화장실인테리어" xfId="886" xr:uid="{00000000-0005-0000-0000-000075030000}"/>
    <cellStyle name="1_tree_갑지0601_총괄갑지_설계내역서_백화점화장실인테리어_1차 기성 내역서 0612023" xfId="887" xr:uid="{00000000-0005-0000-0000-000076030000}"/>
    <cellStyle name="1_tree_갑지0601_총괄갑지_설계내역서_백화점화장실인테리어_3차네고견적(061017-1)" xfId="888" xr:uid="{00000000-0005-0000-0000-000077030000}"/>
    <cellStyle name="1_tree_갑지0601_총괄갑지_설계내역서_화명조경" xfId="889" xr:uid="{00000000-0005-0000-0000-000078030000}"/>
    <cellStyle name="1_tree_갑지0601_총괄갑지_설계내역서_화명조경_1차 기성 내역서 0612023" xfId="890" xr:uid="{00000000-0005-0000-0000-000079030000}"/>
    <cellStyle name="1_tree_갑지0601_총괄갑지_설계내역서_화명조경_3차네고견적(061017-1)" xfId="891" xr:uid="{00000000-0005-0000-0000-00007A030000}"/>
    <cellStyle name="1_tree_갑지0601_총괄갑지_설계내역서_화명조경_백화점화장실인테리어" xfId="892" xr:uid="{00000000-0005-0000-0000-00007B030000}"/>
    <cellStyle name="1_tree_갑지0601_총괄갑지_설계내역서_화명조경_백화점화장실인테리어_1차 기성 내역서 0612023" xfId="893" xr:uid="{00000000-0005-0000-0000-00007C030000}"/>
    <cellStyle name="1_tree_갑지0601_총괄갑지_설계내역서_화명조경_백화점화장실인테리어_3차네고견적(061017-1)" xfId="894" xr:uid="{00000000-0005-0000-0000-00007D030000}"/>
    <cellStyle name="1_tree_갑지0601_총괄갑지_설계내역서1월7일" xfId="895" xr:uid="{00000000-0005-0000-0000-00007E030000}"/>
    <cellStyle name="1_tree_갑지0601_총괄갑지_설계내역서1월7일_1차 기성 내역서 0612023" xfId="896" xr:uid="{00000000-0005-0000-0000-00007F030000}"/>
    <cellStyle name="1_tree_갑지0601_총괄갑지_설계내역서1월7일_3차네고견적(061017-1)" xfId="897" xr:uid="{00000000-0005-0000-0000-000080030000}"/>
    <cellStyle name="1_tree_갑지0601_총괄갑지_설계내역서1월7일_백화점화장실인테리어" xfId="898" xr:uid="{00000000-0005-0000-0000-000081030000}"/>
    <cellStyle name="1_tree_갑지0601_총괄갑지_설계내역서1월7일_백화점화장실인테리어_1차 기성 내역서 0612023" xfId="899" xr:uid="{00000000-0005-0000-0000-000082030000}"/>
    <cellStyle name="1_tree_갑지0601_총괄갑지_설계내역서1월7일_백화점화장실인테리어_3차네고견적(061017-1)" xfId="900" xr:uid="{00000000-0005-0000-0000-000083030000}"/>
    <cellStyle name="1_tree_갑지0601_총괄갑지_설계내역서1월7일_화명조경" xfId="901" xr:uid="{00000000-0005-0000-0000-000084030000}"/>
    <cellStyle name="1_tree_갑지0601_총괄갑지_설계내역서1월7일_화명조경_1차 기성 내역서 0612023" xfId="902" xr:uid="{00000000-0005-0000-0000-000085030000}"/>
    <cellStyle name="1_tree_갑지0601_총괄갑지_설계내역서1월7일_화명조경_3차네고견적(061017-1)" xfId="903" xr:uid="{00000000-0005-0000-0000-000086030000}"/>
    <cellStyle name="1_tree_갑지0601_총괄갑지_설계내역서1월7일_화명조경_백화점화장실인테리어" xfId="904" xr:uid="{00000000-0005-0000-0000-000087030000}"/>
    <cellStyle name="1_tree_갑지0601_총괄갑지_설계내역서1월7일_화명조경_백화점화장실인테리어_1차 기성 내역서 0612023" xfId="905" xr:uid="{00000000-0005-0000-0000-000088030000}"/>
    <cellStyle name="1_tree_갑지0601_총괄갑지_설계내역서1월7일_화명조경_백화점화장실인테리어_3차네고견적(061017-1)" xfId="906" xr:uid="{00000000-0005-0000-0000-000089030000}"/>
    <cellStyle name="1_tree_갑지0601_총괄갑지_화명조경" xfId="907" xr:uid="{00000000-0005-0000-0000-00008A030000}"/>
    <cellStyle name="1_tree_갑지0601_총괄갑지_화명조경_1차 기성 내역서 0612023" xfId="908" xr:uid="{00000000-0005-0000-0000-00008B030000}"/>
    <cellStyle name="1_tree_갑지0601_총괄갑지_화명조경_3차네고견적(061017-1)" xfId="909" xr:uid="{00000000-0005-0000-0000-00008C030000}"/>
    <cellStyle name="1_tree_갑지0601_총괄갑지_화명조경_백화점화장실인테리어" xfId="910" xr:uid="{00000000-0005-0000-0000-00008D030000}"/>
    <cellStyle name="1_tree_갑지0601_총괄갑지_화명조경_백화점화장실인테리어_1차 기성 내역서 0612023" xfId="911" xr:uid="{00000000-0005-0000-0000-00008E030000}"/>
    <cellStyle name="1_tree_갑지0601_총괄갑지_화명조경_백화점화장실인테리어_3차네고견적(061017-1)" xfId="912" xr:uid="{00000000-0005-0000-0000-00008F030000}"/>
    <cellStyle name="1_tree_갑지0601_총괄내역서" xfId="913" xr:uid="{00000000-0005-0000-0000-000090030000}"/>
    <cellStyle name="1_tree_갑지0601_총괄내역서_1차 기성 내역서 0612023" xfId="914" xr:uid="{00000000-0005-0000-0000-000091030000}"/>
    <cellStyle name="1_tree_갑지0601_총괄내역서_3차네고견적(061017-1)" xfId="915" xr:uid="{00000000-0005-0000-0000-000092030000}"/>
    <cellStyle name="1_tree_갑지0601_총괄내역서_백화점화장실인테리어" xfId="916" xr:uid="{00000000-0005-0000-0000-000093030000}"/>
    <cellStyle name="1_tree_갑지0601_총괄내역서_백화점화장실인테리어_1차 기성 내역서 0612023" xfId="917" xr:uid="{00000000-0005-0000-0000-000094030000}"/>
    <cellStyle name="1_tree_갑지0601_총괄내역서_백화점화장실인테리어_3차네고견적(061017-1)" xfId="918" xr:uid="{00000000-0005-0000-0000-000095030000}"/>
    <cellStyle name="1_tree_갑지0601_총괄내역서_설계내역서" xfId="919" xr:uid="{00000000-0005-0000-0000-000096030000}"/>
    <cellStyle name="1_tree_갑지0601_총괄내역서_설계내역서_1차 기성 내역서 0612023" xfId="920" xr:uid="{00000000-0005-0000-0000-000097030000}"/>
    <cellStyle name="1_tree_갑지0601_총괄내역서_설계내역서_3차네고견적(061017-1)" xfId="921" xr:uid="{00000000-0005-0000-0000-000098030000}"/>
    <cellStyle name="1_tree_갑지0601_총괄내역서_설계내역서_백화점화장실인테리어" xfId="922" xr:uid="{00000000-0005-0000-0000-000099030000}"/>
    <cellStyle name="1_tree_갑지0601_총괄내역서_설계내역서_백화점화장실인테리어_1차 기성 내역서 0612023" xfId="923" xr:uid="{00000000-0005-0000-0000-00009A030000}"/>
    <cellStyle name="1_tree_갑지0601_총괄내역서_설계내역서_백화점화장실인테리어_3차네고견적(061017-1)" xfId="924" xr:uid="{00000000-0005-0000-0000-00009B030000}"/>
    <cellStyle name="1_tree_갑지0601_총괄내역서_설계내역서_화명조경" xfId="925" xr:uid="{00000000-0005-0000-0000-00009C030000}"/>
    <cellStyle name="1_tree_갑지0601_총괄내역서_설계내역서_화명조경_1차 기성 내역서 0612023" xfId="926" xr:uid="{00000000-0005-0000-0000-00009D030000}"/>
    <cellStyle name="1_tree_갑지0601_총괄내역서_설계내역서_화명조경_3차네고견적(061017-1)" xfId="927" xr:uid="{00000000-0005-0000-0000-00009E030000}"/>
    <cellStyle name="1_tree_갑지0601_총괄내역서_설계내역서_화명조경_백화점화장실인테리어" xfId="928" xr:uid="{00000000-0005-0000-0000-00009F030000}"/>
    <cellStyle name="1_tree_갑지0601_총괄내역서_설계내역서_화명조경_백화점화장실인테리어_1차 기성 내역서 0612023" xfId="929" xr:uid="{00000000-0005-0000-0000-0000A0030000}"/>
    <cellStyle name="1_tree_갑지0601_총괄내역서_설계내역서_화명조경_백화점화장실인테리어_3차네고견적(061017-1)" xfId="930" xr:uid="{00000000-0005-0000-0000-0000A1030000}"/>
    <cellStyle name="1_tree_갑지0601_총괄내역서_설계내역서1월7일" xfId="931" xr:uid="{00000000-0005-0000-0000-0000A2030000}"/>
    <cellStyle name="1_tree_갑지0601_총괄내역서_설계내역서1월7일_1차 기성 내역서 0612023" xfId="932" xr:uid="{00000000-0005-0000-0000-0000A3030000}"/>
    <cellStyle name="1_tree_갑지0601_총괄내역서_설계내역서1월7일_3차네고견적(061017-1)" xfId="933" xr:uid="{00000000-0005-0000-0000-0000A4030000}"/>
    <cellStyle name="1_tree_갑지0601_총괄내역서_설계내역서1월7일_백화점화장실인테리어" xfId="934" xr:uid="{00000000-0005-0000-0000-0000A5030000}"/>
    <cellStyle name="1_tree_갑지0601_총괄내역서_설계내역서1월7일_백화점화장실인테리어_1차 기성 내역서 0612023" xfId="935" xr:uid="{00000000-0005-0000-0000-0000A6030000}"/>
    <cellStyle name="1_tree_갑지0601_총괄내역서_설계내역서1월7일_백화점화장실인테리어_3차네고견적(061017-1)" xfId="936" xr:uid="{00000000-0005-0000-0000-0000A7030000}"/>
    <cellStyle name="1_tree_갑지0601_총괄내역서_설계내역서1월7일_화명조경" xfId="937" xr:uid="{00000000-0005-0000-0000-0000A8030000}"/>
    <cellStyle name="1_tree_갑지0601_총괄내역서_설계내역서1월7일_화명조경_1차 기성 내역서 0612023" xfId="938" xr:uid="{00000000-0005-0000-0000-0000A9030000}"/>
    <cellStyle name="1_tree_갑지0601_총괄내역서_설계내역서1월7일_화명조경_3차네고견적(061017-1)" xfId="939" xr:uid="{00000000-0005-0000-0000-0000AA030000}"/>
    <cellStyle name="1_tree_갑지0601_총괄내역서_설계내역서1월7일_화명조경_백화점화장실인테리어" xfId="940" xr:uid="{00000000-0005-0000-0000-0000AB030000}"/>
    <cellStyle name="1_tree_갑지0601_총괄내역서_설계내역서1월7일_화명조경_백화점화장실인테리어_1차 기성 내역서 0612023" xfId="941" xr:uid="{00000000-0005-0000-0000-0000AC030000}"/>
    <cellStyle name="1_tree_갑지0601_총괄내역서_설계내역서1월7일_화명조경_백화점화장실인테리어_3차네고견적(061017-1)" xfId="942" xr:uid="{00000000-0005-0000-0000-0000AD030000}"/>
    <cellStyle name="1_tree_갑지0601_총괄내역서_화명조경" xfId="943" xr:uid="{00000000-0005-0000-0000-0000AE030000}"/>
    <cellStyle name="1_tree_갑지0601_총괄내역서_화명조경_1차 기성 내역서 0612023" xfId="944" xr:uid="{00000000-0005-0000-0000-0000AF030000}"/>
    <cellStyle name="1_tree_갑지0601_총괄내역서_화명조경_3차네고견적(061017-1)" xfId="945" xr:uid="{00000000-0005-0000-0000-0000B0030000}"/>
    <cellStyle name="1_tree_갑지0601_총괄내역서_화명조경_백화점화장실인테리어" xfId="946" xr:uid="{00000000-0005-0000-0000-0000B1030000}"/>
    <cellStyle name="1_tree_갑지0601_총괄내역서_화명조경_백화점화장실인테리어_1차 기성 내역서 0612023" xfId="947" xr:uid="{00000000-0005-0000-0000-0000B2030000}"/>
    <cellStyle name="1_tree_갑지0601_총괄내역서_화명조경_백화점화장실인테리어_3차네고견적(061017-1)" xfId="948" xr:uid="{00000000-0005-0000-0000-0000B3030000}"/>
    <cellStyle name="1_tree_갑지0601_화명조경" xfId="949" xr:uid="{00000000-0005-0000-0000-0000B4030000}"/>
    <cellStyle name="1_tree_갑지0601_화명조경_1차 기성 내역서 0612023" xfId="950" xr:uid="{00000000-0005-0000-0000-0000B5030000}"/>
    <cellStyle name="1_tree_갑지0601_화명조경_3차네고견적(061017-1)" xfId="951" xr:uid="{00000000-0005-0000-0000-0000B6030000}"/>
    <cellStyle name="1_tree_갑지0601_화명조경_백화점화장실인테리어" xfId="952" xr:uid="{00000000-0005-0000-0000-0000B7030000}"/>
    <cellStyle name="1_tree_갑지0601_화명조경_백화점화장실인테리어_1차 기성 내역서 0612023" xfId="953" xr:uid="{00000000-0005-0000-0000-0000B8030000}"/>
    <cellStyle name="1_tree_갑지0601_화명조경_백화점화장실인테리어_3차네고견적(061017-1)" xfId="954" xr:uid="{00000000-0005-0000-0000-0000B9030000}"/>
    <cellStyle name="1_tree_남해총괄표" xfId="955" xr:uid="{00000000-0005-0000-0000-0000BA030000}"/>
    <cellStyle name="1_tree_남해총괄표_1차 기성 내역서 0612023" xfId="956" xr:uid="{00000000-0005-0000-0000-0000BB030000}"/>
    <cellStyle name="1_tree_남해총괄표_3차네고견적(061017-1)" xfId="957" xr:uid="{00000000-0005-0000-0000-0000BC030000}"/>
    <cellStyle name="1_tree_남해총괄표_백화점화장실인테리어" xfId="958" xr:uid="{00000000-0005-0000-0000-0000BD030000}"/>
    <cellStyle name="1_tree_남해총괄표_백화점화장실인테리어_1차 기성 내역서 0612023" xfId="959" xr:uid="{00000000-0005-0000-0000-0000BE030000}"/>
    <cellStyle name="1_tree_남해총괄표_백화점화장실인테리어_3차네고견적(061017-1)" xfId="960" xr:uid="{00000000-0005-0000-0000-0000BF030000}"/>
    <cellStyle name="1_tree_남해총괄표_설계내역서" xfId="961" xr:uid="{00000000-0005-0000-0000-0000C0030000}"/>
    <cellStyle name="1_tree_남해총괄표_설계내역서_1차 기성 내역서 0612023" xfId="962" xr:uid="{00000000-0005-0000-0000-0000C1030000}"/>
    <cellStyle name="1_tree_남해총괄표_설계내역서_3차네고견적(061017-1)" xfId="963" xr:uid="{00000000-0005-0000-0000-0000C2030000}"/>
    <cellStyle name="1_tree_남해총괄표_설계내역서_백화점화장실인테리어" xfId="964" xr:uid="{00000000-0005-0000-0000-0000C3030000}"/>
    <cellStyle name="1_tree_남해총괄표_설계내역서_백화점화장실인테리어_1차 기성 내역서 0612023" xfId="965" xr:uid="{00000000-0005-0000-0000-0000C4030000}"/>
    <cellStyle name="1_tree_남해총괄표_설계내역서_백화점화장실인테리어_3차네고견적(061017-1)" xfId="966" xr:uid="{00000000-0005-0000-0000-0000C5030000}"/>
    <cellStyle name="1_tree_남해총괄표_설계내역서_화명조경" xfId="967" xr:uid="{00000000-0005-0000-0000-0000C6030000}"/>
    <cellStyle name="1_tree_남해총괄표_설계내역서_화명조경_1차 기성 내역서 0612023" xfId="968" xr:uid="{00000000-0005-0000-0000-0000C7030000}"/>
    <cellStyle name="1_tree_남해총괄표_설계내역서_화명조경_3차네고견적(061017-1)" xfId="969" xr:uid="{00000000-0005-0000-0000-0000C8030000}"/>
    <cellStyle name="1_tree_남해총괄표_설계내역서_화명조경_백화점화장실인테리어" xfId="970" xr:uid="{00000000-0005-0000-0000-0000C9030000}"/>
    <cellStyle name="1_tree_남해총괄표_설계내역서_화명조경_백화점화장실인테리어_1차 기성 내역서 0612023" xfId="971" xr:uid="{00000000-0005-0000-0000-0000CA030000}"/>
    <cellStyle name="1_tree_남해총괄표_설계내역서_화명조경_백화점화장실인테리어_3차네고견적(061017-1)" xfId="972" xr:uid="{00000000-0005-0000-0000-0000CB030000}"/>
    <cellStyle name="1_tree_남해총괄표_설계내역서1월7일" xfId="973" xr:uid="{00000000-0005-0000-0000-0000CC030000}"/>
    <cellStyle name="1_tree_남해총괄표_설계내역서1월7일_1차 기성 내역서 0612023" xfId="974" xr:uid="{00000000-0005-0000-0000-0000CD030000}"/>
    <cellStyle name="1_tree_남해총괄표_설계내역서1월7일_3차네고견적(061017-1)" xfId="975" xr:uid="{00000000-0005-0000-0000-0000CE030000}"/>
    <cellStyle name="1_tree_남해총괄표_설계내역서1월7일_백화점화장실인테리어" xfId="976" xr:uid="{00000000-0005-0000-0000-0000CF030000}"/>
    <cellStyle name="1_tree_남해총괄표_설계내역서1월7일_백화점화장실인테리어_1차 기성 내역서 0612023" xfId="977" xr:uid="{00000000-0005-0000-0000-0000D0030000}"/>
    <cellStyle name="1_tree_남해총괄표_설계내역서1월7일_백화점화장실인테리어_3차네고견적(061017-1)" xfId="978" xr:uid="{00000000-0005-0000-0000-0000D1030000}"/>
    <cellStyle name="1_tree_남해총괄표_설계내역서1월7일_화명조경" xfId="979" xr:uid="{00000000-0005-0000-0000-0000D2030000}"/>
    <cellStyle name="1_tree_남해총괄표_설계내역서1월7일_화명조경_1차 기성 내역서 0612023" xfId="980" xr:uid="{00000000-0005-0000-0000-0000D3030000}"/>
    <cellStyle name="1_tree_남해총괄표_설계내역서1월7일_화명조경_3차네고견적(061017-1)" xfId="981" xr:uid="{00000000-0005-0000-0000-0000D4030000}"/>
    <cellStyle name="1_tree_남해총괄표_설계내역서1월7일_화명조경_백화점화장실인테리어" xfId="982" xr:uid="{00000000-0005-0000-0000-0000D5030000}"/>
    <cellStyle name="1_tree_남해총괄표_설계내역서1월7일_화명조경_백화점화장실인테리어_1차 기성 내역서 0612023" xfId="983" xr:uid="{00000000-0005-0000-0000-0000D6030000}"/>
    <cellStyle name="1_tree_남해총괄표_설계내역서1월7일_화명조경_백화점화장실인테리어_3차네고견적(061017-1)" xfId="984" xr:uid="{00000000-0005-0000-0000-0000D7030000}"/>
    <cellStyle name="1_tree_남해총괄표_화명조경" xfId="985" xr:uid="{00000000-0005-0000-0000-0000D8030000}"/>
    <cellStyle name="1_tree_남해총괄표_화명조경_1차 기성 내역서 0612023" xfId="986" xr:uid="{00000000-0005-0000-0000-0000D9030000}"/>
    <cellStyle name="1_tree_남해총괄표_화명조경_3차네고견적(061017-1)" xfId="987" xr:uid="{00000000-0005-0000-0000-0000DA030000}"/>
    <cellStyle name="1_tree_남해총괄표_화명조경_백화점화장실인테리어" xfId="988" xr:uid="{00000000-0005-0000-0000-0000DB030000}"/>
    <cellStyle name="1_tree_남해총괄표_화명조경_백화점화장실인테리어_1차 기성 내역서 0612023" xfId="989" xr:uid="{00000000-0005-0000-0000-0000DC030000}"/>
    <cellStyle name="1_tree_남해총괄표_화명조경_백화점화장실인테리어_3차네고견적(061017-1)" xfId="990" xr:uid="{00000000-0005-0000-0000-0000DD030000}"/>
    <cellStyle name="1_tree_마운딩수량" xfId="991" xr:uid="{00000000-0005-0000-0000-0000DE030000}"/>
    <cellStyle name="1_tree_마운딩수량_1차 기성 내역서 0612023" xfId="992" xr:uid="{00000000-0005-0000-0000-0000DF030000}"/>
    <cellStyle name="1_tree_마운딩수량_3차네고견적(061017-1)" xfId="993" xr:uid="{00000000-0005-0000-0000-0000E0030000}"/>
    <cellStyle name="1_tree_마운딩수량_갑지0601" xfId="994" xr:uid="{00000000-0005-0000-0000-0000E1030000}"/>
    <cellStyle name="1_tree_마운딩수량_갑지0601_00갑지" xfId="995" xr:uid="{00000000-0005-0000-0000-0000E2030000}"/>
    <cellStyle name="1_tree_마운딩수량_갑지0601_00갑지_1차 기성 내역서 0612023" xfId="996" xr:uid="{00000000-0005-0000-0000-0000E3030000}"/>
    <cellStyle name="1_tree_마운딩수량_갑지0601_00갑지_3차네고견적(061017-1)" xfId="997" xr:uid="{00000000-0005-0000-0000-0000E4030000}"/>
    <cellStyle name="1_tree_마운딩수량_갑지0601_00갑지_백화점화장실인테리어" xfId="998" xr:uid="{00000000-0005-0000-0000-0000E5030000}"/>
    <cellStyle name="1_tree_마운딩수량_갑지0601_00갑지_백화점화장실인테리어_1차 기성 내역서 0612023" xfId="999" xr:uid="{00000000-0005-0000-0000-0000E6030000}"/>
    <cellStyle name="1_tree_마운딩수량_갑지0601_00갑지_백화점화장실인테리어_3차네고견적(061017-1)" xfId="1000" xr:uid="{00000000-0005-0000-0000-0000E7030000}"/>
    <cellStyle name="1_tree_마운딩수량_갑지0601_00갑지_설계내역서" xfId="1001" xr:uid="{00000000-0005-0000-0000-0000E8030000}"/>
    <cellStyle name="1_tree_마운딩수량_갑지0601_00갑지_설계내역서_1차 기성 내역서 0612023" xfId="1002" xr:uid="{00000000-0005-0000-0000-0000E9030000}"/>
    <cellStyle name="1_tree_마운딩수량_갑지0601_00갑지_설계내역서_3차네고견적(061017-1)" xfId="1003" xr:uid="{00000000-0005-0000-0000-0000EA030000}"/>
    <cellStyle name="1_tree_마운딩수량_갑지0601_00갑지_설계내역서_백화점화장실인테리어" xfId="1004" xr:uid="{00000000-0005-0000-0000-0000EB030000}"/>
    <cellStyle name="1_tree_마운딩수량_갑지0601_00갑지_설계내역서_백화점화장실인테리어_1차 기성 내역서 0612023" xfId="1005" xr:uid="{00000000-0005-0000-0000-0000EC030000}"/>
    <cellStyle name="1_tree_마운딩수량_갑지0601_00갑지_설계내역서_백화점화장실인테리어_3차네고견적(061017-1)" xfId="1006" xr:uid="{00000000-0005-0000-0000-0000ED030000}"/>
    <cellStyle name="1_tree_마운딩수량_갑지0601_00갑지_설계내역서_화명조경" xfId="1007" xr:uid="{00000000-0005-0000-0000-0000EE030000}"/>
    <cellStyle name="1_tree_마운딩수량_갑지0601_00갑지_설계내역서_화명조경_1차 기성 내역서 0612023" xfId="1008" xr:uid="{00000000-0005-0000-0000-0000EF030000}"/>
    <cellStyle name="1_tree_마운딩수량_갑지0601_00갑지_설계내역서_화명조경_3차네고견적(061017-1)" xfId="1009" xr:uid="{00000000-0005-0000-0000-0000F0030000}"/>
    <cellStyle name="1_tree_마운딩수량_갑지0601_00갑지_설계내역서_화명조경_백화점화장실인테리어" xfId="1010" xr:uid="{00000000-0005-0000-0000-0000F1030000}"/>
    <cellStyle name="1_tree_마운딩수량_갑지0601_00갑지_설계내역서_화명조경_백화점화장실인테리어_1차 기성 내역서 0612023" xfId="1011" xr:uid="{00000000-0005-0000-0000-0000F2030000}"/>
    <cellStyle name="1_tree_마운딩수량_갑지0601_00갑지_설계내역서_화명조경_백화점화장실인테리어_3차네고견적(061017-1)" xfId="1012" xr:uid="{00000000-0005-0000-0000-0000F3030000}"/>
    <cellStyle name="1_tree_마운딩수량_갑지0601_00갑지_설계내역서1월7일" xfId="1013" xr:uid="{00000000-0005-0000-0000-0000F4030000}"/>
    <cellStyle name="1_tree_마운딩수량_갑지0601_00갑지_설계내역서1월7일_1차 기성 내역서 0612023" xfId="1014" xr:uid="{00000000-0005-0000-0000-0000F5030000}"/>
    <cellStyle name="1_tree_마운딩수량_갑지0601_00갑지_설계내역서1월7일_3차네고견적(061017-1)" xfId="1015" xr:uid="{00000000-0005-0000-0000-0000F6030000}"/>
    <cellStyle name="1_tree_마운딩수량_갑지0601_00갑지_설계내역서1월7일_백화점화장실인테리어" xfId="1016" xr:uid="{00000000-0005-0000-0000-0000F7030000}"/>
    <cellStyle name="1_tree_마운딩수량_갑지0601_00갑지_설계내역서1월7일_백화점화장실인테리어_1차 기성 내역서 0612023" xfId="1017" xr:uid="{00000000-0005-0000-0000-0000F8030000}"/>
    <cellStyle name="1_tree_마운딩수량_갑지0601_00갑지_설계내역서1월7일_백화점화장실인테리어_3차네고견적(061017-1)" xfId="1018" xr:uid="{00000000-0005-0000-0000-0000F9030000}"/>
    <cellStyle name="1_tree_마운딩수량_갑지0601_00갑지_설계내역서1월7일_화명조경" xfId="1019" xr:uid="{00000000-0005-0000-0000-0000FA030000}"/>
    <cellStyle name="1_tree_마운딩수량_갑지0601_00갑지_설계내역서1월7일_화명조경_1차 기성 내역서 0612023" xfId="1020" xr:uid="{00000000-0005-0000-0000-0000FB030000}"/>
    <cellStyle name="1_tree_마운딩수량_갑지0601_00갑지_설계내역서1월7일_화명조경_3차네고견적(061017-1)" xfId="1021" xr:uid="{00000000-0005-0000-0000-0000FC030000}"/>
    <cellStyle name="1_tree_마운딩수량_갑지0601_00갑지_설계내역서1월7일_화명조경_백화점화장실인테리어" xfId="1022" xr:uid="{00000000-0005-0000-0000-0000FD030000}"/>
    <cellStyle name="1_tree_마운딩수량_갑지0601_00갑지_설계내역서1월7일_화명조경_백화점화장실인테리어_1차 기성 내역서 0612023" xfId="1023" xr:uid="{00000000-0005-0000-0000-0000FE030000}"/>
    <cellStyle name="1_tree_마운딩수량_갑지0601_00갑지_설계내역서1월7일_화명조경_백화점화장실인테리어_3차네고견적(061017-1)" xfId="1024" xr:uid="{00000000-0005-0000-0000-0000FF030000}"/>
    <cellStyle name="1_tree_마운딩수량_갑지0601_00갑지_화명조경" xfId="1025" xr:uid="{00000000-0005-0000-0000-000000040000}"/>
    <cellStyle name="1_tree_마운딩수량_갑지0601_00갑지_화명조경_1차 기성 내역서 0612023" xfId="1026" xr:uid="{00000000-0005-0000-0000-000001040000}"/>
    <cellStyle name="1_tree_마운딩수량_갑지0601_00갑지_화명조경_3차네고견적(061017-1)" xfId="1027" xr:uid="{00000000-0005-0000-0000-000002040000}"/>
    <cellStyle name="1_tree_마운딩수량_갑지0601_00갑지_화명조경_백화점화장실인테리어" xfId="1028" xr:uid="{00000000-0005-0000-0000-000003040000}"/>
    <cellStyle name="1_tree_마운딩수량_갑지0601_00갑지_화명조경_백화점화장실인테리어_1차 기성 내역서 0612023" xfId="1029" xr:uid="{00000000-0005-0000-0000-000004040000}"/>
    <cellStyle name="1_tree_마운딩수량_갑지0601_00갑지_화명조경_백화점화장실인테리어_3차네고견적(061017-1)" xfId="1030" xr:uid="{00000000-0005-0000-0000-000005040000}"/>
    <cellStyle name="1_tree_마운딩수량_갑지0601_1차 기성 내역서 0612023" xfId="1031" xr:uid="{00000000-0005-0000-0000-000006040000}"/>
    <cellStyle name="1_tree_마운딩수량_갑지0601_3차네고견적(061017-1)" xfId="1032" xr:uid="{00000000-0005-0000-0000-000007040000}"/>
    <cellStyle name="1_tree_마운딩수량_갑지0601_과천놀이터설계서" xfId="1033" xr:uid="{00000000-0005-0000-0000-000008040000}"/>
    <cellStyle name="1_tree_마운딩수량_갑지0601_과천놀이터설계서_1차 기성 내역서 0612023" xfId="1034" xr:uid="{00000000-0005-0000-0000-000009040000}"/>
    <cellStyle name="1_tree_마운딩수량_갑지0601_과천놀이터설계서_3차네고견적(061017-1)" xfId="1035" xr:uid="{00000000-0005-0000-0000-00000A040000}"/>
    <cellStyle name="1_tree_마운딩수량_갑지0601_과천놀이터설계서_백화점화장실인테리어" xfId="1036" xr:uid="{00000000-0005-0000-0000-00000B040000}"/>
    <cellStyle name="1_tree_마운딩수량_갑지0601_과천놀이터설계서_백화점화장실인테리어_1차 기성 내역서 0612023" xfId="1037" xr:uid="{00000000-0005-0000-0000-00000C040000}"/>
    <cellStyle name="1_tree_마운딩수량_갑지0601_과천놀이터설계서_백화점화장실인테리어_3차네고견적(061017-1)" xfId="1038" xr:uid="{00000000-0005-0000-0000-00000D040000}"/>
    <cellStyle name="1_tree_마운딩수량_갑지0601_과천놀이터설계서_설계내역서" xfId="1039" xr:uid="{00000000-0005-0000-0000-00000E040000}"/>
    <cellStyle name="1_tree_마운딩수량_갑지0601_과천놀이터설계서_설계내역서_1차 기성 내역서 0612023" xfId="1040" xr:uid="{00000000-0005-0000-0000-00000F040000}"/>
    <cellStyle name="1_tree_마운딩수량_갑지0601_과천놀이터설계서_설계내역서_3차네고견적(061017-1)" xfId="1041" xr:uid="{00000000-0005-0000-0000-000010040000}"/>
    <cellStyle name="1_tree_마운딩수량_갑지0601_과천놀이터설계서_설계내역서_백화점화장실인테리어" xfId="1042" xr:uid="{00000000-0005-0000-0000-000011040000}"/>
    <cellStyle name="1_tree_마운딩수량_갑지0601_과천놀이터설계서_설계내역서_백화점화장실인테리어_1차 기성 내역서 0612023" xfId="1043" xr:uid="{00000000-0005-0000-0000-000012040000}"/>
    <cellStyle name="1_tree_마운딩수량_갑지0601_과천놀이터설계서_설계내역서_백화점화장실인테리어_3차네고견적(061017-1)" xfId="1044" xr:uid="{00000000-0005-0000-0000-000013040000}"/>
    <cellStyle name="1_tree_마운딩수량_갑지0601_과천놀이터설계서_설계내역서_화명조경" xfId="1045" xr:uid="{00000000-0005-0000-0000-000014040000}"/>
    <cellStyle name="1_tree_마운딩수량_갑지0601_과천놀이터설계서_설계내역서_화명조경_1차 기성 내역서 0612023" xfId="1046" xr:uid="{00000000-0005-0000-0000-000015040000}"/>
    <cellStyle name="1_tree_마운딩수량_갑지0601_과천놀이터설계서_설계내역서_화명조경_3차네고견적(061017-1)" xfId="1047" xr:uid="{00000000-0005-0000-0000-000016040000}"/>
    <cellStyle name="1_tree_마운딩수량_갑지0601_과천놀이터설계서_설계내역서_화명조경_백화점화장실인테리어" xfId="1048" xr:uid="{00000000-0005-0000-0000-000017040000}"/>
    <cellStyle name="1_tree_마운딩수량_갑지0601_과천놀이터설계서_설계내역서_화명조경_백화점화장실인테리어_1차 기성 내역서 0612023" xfId="1049" xr:uid="{00000000-0005-0000-0000-000018040000}"/>
    <cellStyle name="1_tree_마운딩수량_갑지0601_과천놀이터설계서_설계내역서_화명조경_백화점화장실인테리어_3차네고견적(061017-1)" xfId="1050" xr:uid="{00000000-0005-0000-0000-000019040000}"/>
    <cellStyle name="1_tree_마운딩수량_갑지0601_과천놀이터설계서_설계내역서1월7일" xfId="1051" xr:uid="{00000000-0005-0000-0000-00001A040000}"/>
    <cellStyle name="1_tree_마운딩수량_갑지0601_과천놀이터설계서_설계내역서1월7일_1차 기성 내역서 0612023" xfId="1052" xr:uid="{00000000-0005-0000-0000-00001B040000}"/>
    <cellStyle name="1_tree_마운딩수량_갑지0601_과천놀이터설계서_설계내역서1월7일_3차네고견적(061017-1)" xfId="1053" xr:uid="{00000000-0005-0000-0000-00001C040000}"/>
    <cellStyle name="1_tree_마운딩수량_갑지0601_과천놀이터설계서_설계내역서1월7일_백화점화장실인테리어" xfId="1054" xr:uid="{00000000-0005-0000-0000-00001D040000}"/>
    <cellStyle name="1_tree_마운딩수량_갑지0601_과천놀이터설계서_설계내역서1월7일_백화점화장실인테리어_1차 기성 내역서 0612023" xfId="1055" xr:uid="{00000000-0005-0000-0000-00001E040000}"/>
    <cellStyle name="1_tree_마운딩수량_갑지0601_과천놀이터설계서_설계내역서1월7일_백화점화장실인테리어_3차네고견적(061017-1)" xfId="1056" xr:uid="{00000000-0005-0000-0000-00001F040000}"/>
    <cellStyle name="1_tree_마운딩수량_갑지0601_과천놀이터설계서_설계내역서1월7일_화명조경" xfId="1057" xr:uid="{00000000-0005-0000-0000-000020040000}"/>
    <cellStyle name="1_tree_마운딩수량_갑지0601_과천놀이터설계서_설계내역서1월7일_화명조경_1차 기성 내역서 0612023" xfId="1058" xr:uid="{00000000-0005-0000-0000-000021040000}"/>
    <cellStyle name="1_tree_마운딩수량_갑지0601_과천놀이터설계서_설계내역서1월7일_화명조경_3차네고견적(061017-1)" xfId="1059" xr:uid="{00000000-0005-0000-0000-000022040000}"/>
    <cellStyle name="1_tree_마운딩수량_갑지0601_과천놀이터설계서_설계내역서1월7일_화명조경_백화점화장실인테리어" xfId="1060" xr:uid="{00000000-0005-0000-0000-000023040000}"/>
    <cellStyle name="1_tree_마운딩수량_갑지0601_과천놀이터설계서_설계내역서1월7일_화명조경_백화점화장실인테리어_1차 기성 내역서 0612023" xfId="1061" xr:uid="{00000000-0005-0000-0000-000024040000}"/>
    <cellStyle name="1_tree_마운딩수량_갑지0601_과천놀이터설계서_설계내역서1월7일_화명조경_백화점화장실인테리어_3차네고견적(061017-1)" xfId="1062" xr:uid="{00000000-0005-0000-0000-000025040000}"/>
    <cellStyle name="1_tree_마운딩수량_갑지0601_과천놀이터설계서_화명조경" xfId="1063" xr:uid="{00000000-0005-0000-0000-000026040000}"/>
    <cellStyle name="1_tree_마운딩수량_갑지0601_과천놀이터설계서_화명조경_1차 기성 내역서 0612023" xfId="1064" xr:uid="{00000000-0005-0000-0000-000027040000}"/>
    <cellStyle name="1_tree_마운딩수량_갑지0601_과천놀이터설계서_화명조경_3차네고견적(061017-1)" xfId="1065" xr:uid="{00000000-0005-0000-0000-000028040000}"/>
    <cellStyle name="1_tree_마운딩수량_갑지0601_과천놀이터설계서_화명조경_백화점화장실인테리어" xfId="1066" xr:uid="{00000000-0005-0000-0000-000029040000}"/>
    <cellStyle name="1_tree_마운딩수량_갑지0601_과천놀이터설계서_화명조경_백화점화장실인테리어_1차 기성 내역서 0612023" xfId="1067" xr:uid="{00000000-0005-0000-0000-00002A040000}"/>
    <cellStyle name="1_tree_마운딩수량_갑지0601_과천놀이터설계서_화명조경_백화점화장실인테리어_3차네고견적(061017-1)" xfId="1068" xr:uid="{00000000-0005-0000-0000-00002B040000}"/>
    <cellStyle name="1_tree_마운딩수량_갑지0601_백화점화장실인테리어" xfId="1069" xr:uid="{00000000-0005-0000-0000-00002C040000}"/>
    <cellStyle name="1_tree_마운딩수량_갑지0601_백화점화장실인테리어_1차 기성 내역서 0612023" xfId="1070" xr:uid="{00000000-0005-0000-0000-00002D040000}"/>
    <cellStyle name="1_tree_마운딩수량_갑지0601_백화점화장실인테리어_3차네고견적(061017-1)" xfId="1071" xr:uid="{00000000-0005-0000-0000-00002E040000}"/>
    <cellStyle name="1_tree_마운딩수량_갑지0601_총괄갑지" xfId="1072" xr:uid="{00000000-0005-0000-0000-00002F040000}"/>
    <cellStyle name="1_tree_마운딩수량_갑지0601_총괄갑지_1차 기성 내역서 0612023" xfId="1073" xr:uid="{00000000-0005-0000-0000-000030040000}"/>
    <cellStyle name="1_tree_마운딩수량_갑지0601_총괄갑지_3차네고견적(061017-1)" xfId="1074" xr:uid="{00000000-0005-0000-0000-000031040000}"/>
    <cellStyle name="1_tree_마운딩수량_갑지0601_총괄갑지_백화점화장실인테리어" xfId="1075" xr:uid="{00000000-0005-0000-0000-000032040000}"/>
    <cellStyle name="1_tree_마운딩수량_갑지0601_총괄갑지_백화점화장실인테리어_1차 기성 내역서 0612023" xfId="1076" xr:uid="{00000000-0005-0000-0000-000033040000}"/>
    <cellStyle name="1_tree_마운딩수량_갑지0601_총괄갑지_백화점화장실인테리어_3차네고견적(061017-1)" xfId="1077" xr:uid="{00000000-0005-0000-0000-000034040000}"/>
    <cellStyle name="1_tree_마운딩수량_갑지0601_총괄갑지_설계내역서" xfId="1078" xr:uid="{00000000-0005-0000-0000-000035040000}"/>
    <cellStyle name="1_tree_마운딩수량_갑지0601_총괄갑지_설계내역서_1차 기성 내역서 0612023" xfId="1079" xr:uid="{00000000-0005-0000-0000-000036040000}"/>
    <cellStyle name="1_tree_마운딩수량_갑지0601_총괄갑지_설계내역서_3차네고견적(061017-1)" xfId="1080" xr:uid="{00000000-0005-0000-0000-000037040000}"/>
    <cellStyle name="1_tree_마운딩수량_갑지0601_총괄갑지_설계내역서_백화점화장실인테리어" xfId="1081" xr:uid="{00000000-0005-0000-0000-000038040000}"/>
    <cellStyle name="1_tree_마운딩수량_갑지0601_총괄갑지_설계내역서_백화점화장실인테리어_1차 기성 내역서 0612023" xfId="1082" xr:uid="{00000000-0005-0000-0000-000039040000}"/>
    <cellStyle name="1_tree_마운딩수량_갑지0601_총괄갑지_설계내역서_백화점화장실인테리어_3차네고견적(061017-1)" xfId="1083" xr:uid="{00000000-0005-0000-0000-00003A040000}"/>
    <cellStyle name="1_tree_마운딩수량_갑지0601_총괄갑지_설계내역서_화명조경" xfId="1084" xr:uid="{00000000-0005-0000-0000-00003B040000}"/>
    <cellStyle name="1_tree_마운딩수량_갑지0601_총괄갑지_설계내역서_화명조경_1차 기성 내역서 0612023" xfId="1085" xr:uid="{00000000-0005-0000-0000-00003C040000}"/>
    <cellStyle name="1_tree_마운딩수량_갑지0601_총괄갑지_설계내역서_화명조경_3차네고견적(061017-1)" xfId="1086" xr:uid="{00000000-0005-0000-0000-00003D040000}"/>
    <cellStyle name="1_tree_마운딩수량_갑지0601_총괄갑지_설계내역서_화명조경_백화점화장실인테리어" xfId="1087" xr:uid="{00000000-0005-0000-0000-00003E040000}"/>
    <cellStyle name="1_tree_마운딩수량_갑지0601_총괄갑지_설계내역서_화명조경_백화점화장실인테리어_1차 기성 내역서 0612023" xfId="1088" xr:uid="{00000000-0005-0000-0000-00003F040000}"/>
    <cellStyle name="1_tree_마운딩수량_갑지0601_총괄갑지_설계내역서_화명조경_백화점화장실인테리어_3차네고견적(061017-1)" xfId="1089" xr:uid="{00000000-0005-0000-0000-000040040000}"/>
    <cellStyle name="1_tree_마운딩수량_갑지0601_총괄갑지_설계내역서1월7일" xfId="1090" xr:uid="{00000000-0005-0000-0000-000041040000}"/>
    <cellStyle name="1_tree_마운딩수량_갑지0601_총괄갑지_설계내역서1월7일_1차 기성 내역서 0612023" xfId="1091" xr:uid="{00000000-0005-0000-0000-000042040000}"/>
    <cellStyle name="1_tree_마운딩수량_갑지0601_총괄갑지_설계내역서1월7일_3차네고견적(061017-1)" xfId="1092" xr:uid="{00000000-0005-0000-0000-000043040000}"/>
    <cellStyle name="1_tree_마운딩수량_갑지0601_총괄갑지_설계내역서1월7일_백화점화장실인테리어" xfId="1093" xr:uid="{00000000-0005-0000-0000-000044040000}"/>
    <cellStyle name="1_tree_마운딩수량_갑지0601_총괄갑지_설계내역서1월7일_백화점화장실인테리어_1차 기성 내역서 0612023" xfId="1094" xr:uid="{00000000-0005-0000-0000-000045040000}"/>
    <cellStyle name="1_tree_마운딩수량_갑지0601_총괄갑지_설계내역서1월7일_백화점화장실인테리어_3차네고견적(061017-1)" xfId="1095" xr:uid="{00000000-0005-0000-0000-000046040000}"/>
    <cellStyle name="1_tree_마운딩수량_갑지0601_총괄갑지_설계내역서1월7일_화명조경" xfId="1096" xr:uid="{00000000-0005-0000-0000-000047040000}"/>
    <cellStyle name="1_tree_마운딩수량_갑지0601_총괄갑지_설계내역서1월7일_화명조경_1차 기성 내역서 0612023" xfId="1097" xr:uid="{00000000-0005-0000-0000-000048040000}"/>
    <cellStyle name="1_tree_마운딩수량_갑지0601_총괄갑지_설계내역서1월7일_화명조경_3차네고견적(061017-1)" xfId="1098" xr:uid="{00000000-0005-0000-0000-000049040000}"/>
    <cellStyle name="1_tree_마운딩수량_갑지0601_총괄갑지_설계내역서1월7일_화명조경_백화점화장실인테리어" xfId="1099" xr:uid="{00000000-0005-0000-0000-00004A040000}"/>
    <cellStyle name="1_tree_마운딩수량_갑지0601_총괄갑지_설계내역서1월7일_화명조경_백화점화장실인테리어_1차 기성 내역서 0612023" xfId="1100" xr:uid="{00000000-0005-0000-0000-00004B040000}"/>
    <cellStyle name="1_tree_마운딩수량_갑지0601_총괄갑지_설계내역서1월7일_화명조경_백화점화장실인테리어_3차네고견적(061017-1)" xfId="1101" xr:uid="{00000000-0005-0000-0000-00004C040000}"/>
    <cellStyle name="1_tree_마운딩수량_갑지0601_총괄갑지_화명조경" xfId="1102" xr:uid="{00000000-0005-0000-0000-00004D040000}"/>
    <cellStyle name="1_tree_마운딩수량_갑지0601_총괄갑지_화명조경_1차 기성 내역서 0612023" xfId="1103" xr:uid="{00000000-0005-0000-0000-00004E040000}"/>
    <cellStyle name="1_tree_마운딩수량_갑지0601_총괄갑지_화명조경_3차네고견적(061017-1)" xfId="1104" xr:uid="{00000000-0005-0000-0000-00004F040000}"/>
    <cellStyle name="1_tree_마운딩수량_갑지0601_총괄갑지_화명조경_백화점화장실인테리어" xfId="1105" xr:uid="{00000000-0005-0000-0000-000050040000}"/>
    <cellStyle name="1_tree_마운딩수량_갑지0601_총괄갑지_화명조경_백화점화장실인테리어_1차 기성 내역서 0612023" xfId="1106" xr:uid="{00000000-0005-0000-0000-000051040000}"/>
    <cellStyle name="1_tree_마운딩수량_갑지0601_총괄갑지_화명조경_백화점화장실인테리어_3차네고견적(061017-1)" xfId="1107" xr:uid="{00000000-0005-0000-0000-000052040000}"/>
    <cellStyle name="1_tree_마운딩수량_갑지0601_총괄내역서" xfId="1108" xr:uid="{00000000-0005-0000-0000-000053040000}"/>
    <cellStyle name="1_tree_마운딩수량_갑지0601_총괄내역서_1차 기성 내역서 0612023" xfId="1109" xr:uid="{00000000-0005-0000-0000-000054040000}"/>
    <cellStyle name="1_tree_마운딩수량_갑지0601_총괄내역서_3차네고견적(061017-1)" xfId="1110" xr:uid="{00000000-0005-0000-0000-000055040000}"/>
    <cellStyle name="1_tree_마운딩수량_갑지0601_총괄내역서_백화점화장실인테리어" xfId="1111" xr:uid="{00000000-0005-0000-0000-000056040000}"/>
    <cellStyle name="1_tree_마운딩수량_갑지0601_총괄내역서_백화점화장실인테리어_1차 기성 내역서 0612023" xfId="1112" xr:uid="{00000000-0005-0000-0000-000057040000}"/>
    <cellStyle name="1_tree_마운딩수량_갑지0601_총괄내역서_백화점화장실인테리어_3차네고견적(061017-1)" xfId="1113" xr:uid="{00000000-0005-0000-0000-000058040000}"/>
    <cellStyle name="1_tree_마운딩수량_갑지0601_총괄내역서_설계내역서" xfId="1114" xr:uid="{00000000-0005-0000-0000-000059040000}"/>
    <cellStyle name="1_tree_마운딩수량_갑지0601_총괄내역서_설계내역서_1차 기성 내역서 0612023" xfId="1115" xr:uid="{00000000-0005-0000-0000-00005A040000}"/>
    <cellStyle name="1_tree_마운딩수량_갑지0601_총괄내역서_설계내역서_3차네고견적(061017-1)" xfId="1116" xr:uid="{00000000-0005-0000-0000-00005B040000}"/>
    <cellStyle name="1_tree_마운딩수량_갑지0601_총괄내역서_설계내역서_백화점화장실인테리어" xfId="1117" xr:uid="{00000000-0005-0000-0000-00005C040000}"/>
    <cellStyle name="1_tree_마운딩수량_갑지0601_총괄내역서_설계내역서_백화점화장실인테리어_1차 기성 내역서 0612023" xfId="1118" xr:uid="{00000000-0005-0000-0000-00005D040000}"/>
    <cellStyle name="1_tree_마운딩수량_갑지0601_총괄내역서_설계내역서_백화점화장실인테리어_3차네고견적(061017-1)" xfId="1119" xr:uid="{00000000-0005-0000-0000-00005E040000}"/>
    <cellStyle name="1_tree_마운딩수량_갑지0601_총괄내역서_설계내역서_화명조경" xfId="1120" xr:uid="{00000000-0005-0000-0000-00005F040000}"/>
    <cellStyle name="1_tree_마운딩수량_갑지0601_총괄내역서_설계내역서_화명조경_1차 기성 내역서 0612023" xfId="1121" xr:uid="{00000000-0005-0000-0000-000060040000}"/>
    <cellStyle name="1_tree_마운딩수량_갑지0601_총괄내역서_설계내역서_화명조경_3차네고견적(061017-1)" xfId="1122" xr:uid="{00000000-0005-0000-0000-000061040000}"/>
    <cellStyle name="1_tree_마운딩수량_갑지0601_총괄내역서_설계내역서_화명조경_백화점화장실인테리어" xfId="1123" xr:uid="{00000000-0005-0000-0000-000062040000}"/>
    <cellStyle name="1_tree_마운딩수량_갑지0601_총괄내역서_설계내역서_화명조경_백화점화장실인테리어_1차 기성 내역서 0612023" xfId="1124" xr:uid="{00000000-0005-0000-0000-000063040000}"/>
    <cellStyle name="1_tree_마운딩수량_갑지0601_총괄내역서_설계내역서_화명조경_백화점화장실인테리어_3차네고견적(061017-1)" xfId="1125" xr:uid="{00000000-0005-0000-0000-000064040000}"/>
    <cellStyle name="1_tree_마운딩수량_갑지0601_총괄내역서_설계내역서1월7일" xfId="1126" xr:uid="{00000000-0005-0000-0000-000065040000}"/>
    <cellStyle name="1_tree_마운딩수량_갑지0601_총괄내역서_설계내역서1월7일_1차 기성 내역서 0612023" xfId="1127" xr:uid="{00000000-0005-0000-0000-000066040000}"/>
    <cellStyle name="1_tree_마운딩수량_갑지0601_총괄내역서_설계내역서1월7일_3차네고견적(061017-1)" xfId="1128" xr:uid="{00000000-0005-0000-0000-000067040000}"/>
    <cellStyle name="1_tree_마운딩수량_갑지0601_총괄내역서_설계내역서1월7일_백화점화장실인테리어" xfId="1129" xr:uid="{00000000-0005-0000-0000-000068040000}"/>
    <cellStyle name="1_tree_마운딩수량_갑지0601_총괄내역서_설계내역서1월7일_백화점화장실인테리어_1차 기성 내역서 0612023" xfId="1130" xr:uid="{00000000-0005-0000-0000-000069040000}"/>
    <cellStyle name="1_tree_마운딩수량_갑지0601_총괄내역서_설계내역서1월7일_백화점화장실인테리어_3차네고견적(061017-1)" xfId="1131" xr:uid="{00000000-0005-0000-0000-00006A040000}"/>
    <cellStyle name="1_tree_마운딩수량_갑지0601_총괄내역서_설계내역서1월7일_화명조경" xfId="1132" xr:uid="{00000000-0005-0000-0000-00006B040000}"/>
    <cellStyle name="1_tree_마운딩수량_갑지0601_총괄내역서_설계내역서1월7일_화명조경_1차 기성 내역서 0612023" xfId="1133" xr:uid="{00000000-0005-0000-0000-00006C040000}"/>
    <cellStyle name="1_tree_마운딩수량_갑지0601_총괄내역서_설계내역서1월7일_화명조경_3차네고견적(061017-1)" xfId="1134" xr:uid="{00000000-0005-0000-0000-00006D040000}"/>
    <cellStyle name="1_tree_마운딩수량_갑지0601_총괄내역서_설계내역서1월7일_화명조경_백화점화장실인테리어" xfId="1135" xr:uid="{00000000-0005-0000-0000-00006E040000}"/>
    <cellStyle name="1_tree_마운딩수량_갑지0601_총괄내역서_설계내역서1월7일_화명조경_백화점화장실인테리어_1차 기성 내역서 0612023" xfId="1136" xr:uid="{00000000-0005-0000-0000-00006F040000}"/>
    <cellStyle name="1_tree_마운딩수량_갑지0601_총괄내역서_설계내역서1월7일_화명조경_백화점화장실인테리어_3차네고견적(061017-1)" xfId="1137" xr:uid="{00000000-0005-0000-0000-000070040000}"/>
    <cellStyle name="1_tree_마운딩수량_갑지0601_총괄내역서_화명조경" xfId="1138" xr:uid="{00000000-0005-0000-0000-000071040000}"/>
    <cellStyle name="1_tree_마운딩수량_갑지0601_총괄내역서_화명조경_1차 기성 내역서 0612023" xfId="1139" xr:uid="{00000000-0005-0000-0000-000072040000}"/>
    <cellStyle name="1_tree_마운딩수량_갑지0601_총괄내역서_화명조경_3차네고견적(061017-1)" xfId="1140" xr:uid="{00000000-0005-0000-0000-000073040000}"/>
    <cellStyle name="1_tree_마운딩수량_갑지0601_총괄내역서_화명조경_백화점화장실인테리어" xfId="1141" xr:uid="{00000000-0005-0000-0000-000074040000}"/>
    <cellStyle name="1_tree_마운딩수량_갑지0601_총괄내역서_화명조경_백화점화장실인테리어_1차 기성 내역서 0612023" xfId="1142" xr:uid="{00000000-0005-0000-0000-000075040000}"/>
    <cellStyle name="1_tree_마운딩수량_갑지0601_총괄내역서_화명조경_백화점화장실인테리어_3차네고견적(061017-1)" xfId="1143" xr:uid="{00000000-0005-0000-0000-000076040000}"/>
    <cellStyle name="1_tree_마운딩수량_갑지0601_화명조경" xfId="1144" xr:uid="{00000000-0005-0000-0000-000077040000}"/>
    <cellStyle name="1_tree_마운딩수량_갑지0601_화명조경_1차 기성 내역서 0612023" xfId="1145" xr:uid="{00000000-0005-0000-0000-000078040000}"/>
    <cellStyle name="1_tree_마운딩수량_갑지0601_화명조경_3차네고견적(061017-1)" xfId="1146" xr:uid="{00000000-0005-0000-0000-000079040000}"/>
    <cellStyle name="1_tree_마운딩수량_갑지0601_화명조경_백화점화장실인테리어" xfId="1147" xr:uid="{00000000-0005-0000-0000-00007A040000}"/>
    <cellStyle name="1_tree_마운딩수량_갑지0601_화명조경_백화점화장실인테리어_1차 기성 내역서 0612023" xfId="1148" xr:uid="{00000000-0005-0000-0000-00007B040000}"/>
    <cellStyle name="1_tree_마운딩수량_갑지0601_화명조경_백화점화장실인테리어_3차네고견적(061017-1)" xfId="1149" xr:uid="{00000000-0005-0000-0000-00007C040000}"/>
    <cellStyle name="1_tree_마운딩수량_백화점화장실인테리어" xfId="1150" xr:uid="{00000000-0005-0000-0000-00007D040000}"/>
    <cellStyle name="1_tree_마운딩수량_백화점화장실인테리어_1차 기성 내역서 0612023" xfId="1151" xr:uid="{00000000-0005-0000-0000-00007E040000}"/>
    <cellStyle name="1_tree_마운딩수량_백화점화장실인테리어_3차네고견적(061017-1)" xfId="1152" xr:uid="{00000000-0005-0000-0000-00007F040000}"/>
    <cellStyle name="1_tree_마운딩수량_설계내역서" xfId="1153" xr:uid="{00000000-0005-0000-0000-000080040000}"/>
    <cellStyle name="1_tree_마운딩수량_설계내역서_1차 기성 내역서 0612023" xfId="1154" xr:uid="{00000000-0005-0000-0000-000081040000}"/>
    <cellStyle name="1_tree_마운딩수량_설계내역서_3차네고견적(061017-1)" xfId="1155" xr:uid="{00000000-0005-0000-0000-000082040000}"/>
    <cellStyle name="1_tree_마운딩수량_설계내역서_백화점화장실인테리어" xfId="1156" xr:uid="{00000000-0005-0000-0000-000083040000}"/>
    <cellStyle name="1_tree_마운딩수량_설계내역서_백화점화장실인테리어_1차 기성 내역서 0612023" xfId="1157" xr:uid="{00000000-0005-0000-0000-000084040000}"/>
    <cellStyle name="1_tree_마운딩수량_설계내역서_백화점화장실인테리어_3차네고견적(061017-1)" xfId="1158" xr:uid="{00000000-0005-0000-0000-000085040000}"/>
    <cellStyle name="1_tree_마운딩수량_설계내역서_화명조경" xfId="1159" xr:uid="{00000000-0005-0000-0000-000086040000}"/>
    <cellStyle name="1_tree_마운딩수량_설계내역서_화명조경_1차 기성 내역서 0612023" xfId="1160" xr:uid="{00000000-0005-0000-0000-000087040000}"/>
    <cellStyle name="1_tree_마운딩수량_설계내역서_화명조경_3차네고견적(061017-1)" xfId="1161" xr:uid="{00000000-0005-0000-0000-000088040000}"/>
    <cellStyle name="1_tree_마운딩수량_설계내역서_화명조경_백화점화장실인테리어" xfId="1162" xr:uid="{00000000-0005-0000-0000-000089040000}"/>
    <cellStyle name="1_tree_마운딩수량_설계내역서_화명조경_백화점화장실인테리어_1차 기성 내역서 0612023" xfId="1163" xr:uid="{00000000-0005-0000-0000-00008A040000}"/>
    <cellStyle name="1_tree_마운딩수량_설계내역서_화명조경_백화점화장실인테리어_3차네고견적(061017-1)" xfId="1164" xr:uid="{00000000-0005-0000-0000-00008B040000}"/>
    <cellStyle name="1_tree_마운딩수량_설계내역서1월7일" xfId="1165" xr:uid="{00000000-0005-0000-0000-00008C040000}"/>
    <cellStyle name="1_tree_마운딩수량_설계내역서1월7일_1차 기성 내역서 0612023" xfId="1166" xr:uid="{00000000-0005-0000-0000-00008D040000}"/>
    <cellStyle name="1_tree_마운딩수량_설계내역서1월7일_3차네고견적(061017-1)" xfId="1167" xr:uid="{00000000-0005-0000-0000-00008E040000}"/>
    <cellStyle name="1_tree_마운딩수량_설계내역서1월7일_백화점화장실인테리어" xfId="1168" xr:uid="{00000000-0005-0000-0000-00008F040000}"/>
    <cellStyle name="1_tree_마운딩수량_설계내역서1월7일_백화점화장실인테리어_1차 기성 내역서 0612023" xfId="1169" xr:uid="{00000000-0005-0000-0000-000090040000}"/>
    <cellStyle name="1_tree_마운딩수량_설계내역서1월7일_백화점화장실인테리어_3차네고견적(061017-1)" xfId="1170" xr:uid="{00000000-0005-0000-0000-000091040000}"/>
    <cellStyle name="1_tree_마운딩수량_설계내역서1월7일_화명조경" xfId="1171" xr:uid="{00000000-0005-0000-0000-000092040000}"/>
    <cellStyle name="1_tree_마운딩수량_설계내역서1월7일_화명조경_1차 기성 내역서 0612023" xfId="1172" xr:uid="{00000000-0005-0000-0000-000093040000}"/>
    <cellStyle name="1_tree_마운딩수량_설계내역서1월7일_화명조경_3차네고견적(061017-1)" xfId="1173" xr:uid="{00000000-0005-0000-0000-000094040000}"/>
    <cellStyle name="1_tree_마운딩수량_설계내역서1월7일_화명조경_백화점화장실인테리어" xfId="1174" xr:uid="{00000000-0005-0000-0000-000095040000}"/>
    <cellStyle name="1_tree_마운딩수량_설계내역서1월7일_화명조경_백화점화장실인테리어_1차 기성 내역서 0612023" xfId="1175" xr:uid="{00000000-0005-0000-0000-000096040000}"/>
    <cellStyle name="1_tree_마운딩수량_설계내역서1월7일_화명조경_백화점화장실인테리어_3차네고견적(061017-1)" xfId="1176" xr:uid="{00000000-0005-0000-0000-000097040000}"/>
    <cellStyle name="1_tree_마운딩수량_화명조경" xfId="1177" xr:uid="{00000000-0005-0000-0000-000098040000}"/>
    <cellStyle name="1_tree_마운딩수량_화명조경_1차 기성 내역서 0612023" xfId="1178" xr:uid="{00000000-0005-0000-0000-000099040000}"/>
    <cellStyle name="1_tree_마운딩수량_화명조경_3차네고견적(061017-1)" xfId="1179" xr:uid="{00000000-0005-0000-0000-00009A040000}"/>
    <cellStyle name="1_tree_마운딩수량_화명조경_백화점화장실인테리어" xfId="1180" xr:uid="{00000000-0005-0000-0000-00009B040000}"/>
    <cellStyle name="1_tree_마운딩수량_화명조경_백화점화장실인테리어_1차 기성 내역서 0612023" xfId="1181" xr:uid="{00000000-0005-0000-0000-00009C040000}"/>
    <cellStyle name="1_tree_마운딩수량_화명조경_백화점화장실인테리어_3차네고견적(061017-1)" xfId="1182" xr:uid="{00000000-0005-0000-0000-00009D040000}"/>
    <cellStyle name="1_tree_백화점화장실인테리어" xfId="1183" xr:uid="{00000000-0005-0000-0000-00009E040000}"/>
    <cellStyle name="1_tree_백화점화장실인테리어_1차 기성 내역서 0612023" xfId="1184" xr:uid="{00000000-0005-0000-0000-00009F040000}"/>
    <cellStyle name="1_tree_백화점화장실인테리어_3차네고견적(061017-1)" xfId="1185" xr:uid="{00000000-0005-0000-0000-0000A0040000}"/>
    <cellStyle name="1_tree_설계내역서" xfId="1186" xr:uid="{00000000-0005-0000-0000-0000A1040000}"/>
    <cellStyle name="1_tree_설계내역서_1차 기성 내역서 0612023" xfId="1187" xr:uid="{00000000-0005-0000-0000-0000A2040000}"/>
    <cellStyle name="1_tree_설계내역서_3차네고견적(061017-1)" xfId="1188" xr:uid="{00000000-0005-0000-0000-0000A3040000}"/>
    <cellStyle name="1_tree_설계내역서_백화점화장실인테리어" xfId="1189" xr:uid="{00000000-0005-0000-0000-0000A4040000}"/>
    <cellStyle name="1_tree_설계내역서_백화점화장실인테리어_1차 기성 내역서 0612023" xfId="1190" xr:uid="{00000000-0005-0000-0000-0000A5040000}"/>
    <cellStyle name="1_tree_설계내역서_백화점화장실인테리어_3차네고견적(061017-1)" xfId="1191" xr:uid="{00000000-0005-0000-0000-0000A6040000}"/>
    <cellStyle name="1_tree_설계내역서_화명조경" xfId="1192" xr:uid="{00000000-0005-0000-0000-0000A7040000}"/>
    <cellStyle name="1_tree_설계내역서_화명조경_1차 기성 내역서 0612023" xfId="1193" xr:uid="{00000000-0005-0000-0000-0000A8040000}"/>
    <cellStyle name="1_tree_설계내역서_화명조경_3차네고견적(061017-1)" xfId="1194" xr:uid="{00000000-0005-0000-0000-0000A9040000}"/>
    <cellStyle name="1_tree_설계내역서_화명조경_백화점화장실인테리어" xfId="1195" xr:uid="{00000000-0005-0000-0000-0000AA040000}"/>
    <cellStyle name="1_tree_설계내역서_화명조경_백화점화장실인테리어_1차 기성 내역서 0612023" xfId="1196" xr:uid="{00000000-0005-0000-0000-0000AB040000}"/>
    <cellStyle name="1_tree_설계내역서_화명조경_백화점화장실인테리어_3차네고견적(061017-1)" xfId="1197" xr:uid="{00000000-0005-0000-0000-0000AC040000}"/>
    <cellStyle name="1_tree_설계내역서1월7일" xfId="1198" xr:uid="{00000000-0005-0000-0000-0000AD040000}"/>
    <cellStyle name="1_tree_설계내역서1월7일_1차 기성 내역서 0612023" xfId="1199" xr:uid="{00000000-0005-0000-0000-0000AE040000}"/>
    <cellStyle name="1_tree_설계내역서1월7일_3차네고견적(061017-1)" xfId="1200" xr:uid="{00000000-0005-0000-0000-0000AF040000}"/>
    <cellStyle name="1_tree_설계내역서1월7일_백화점화장실인테리어" xfId="1201" xr:uid="{00000000-0005-0000-0000-0000B0040000}"/>
    <cellStyle name="1_tree_설계내역서1월7일_백화점화장실인테리어_1차 기성 내역서 0612023" xfId="1202" xr:uid="{00000000-0005-0000-0000-0000B1040000}"/>
    <cellStyle name="1_tree_설계내역서1월7일_백화점화장실인테리어_3차네고견적(061017-1)" xfId="1203" xr:uid="{00000000-0005-0000-0000-0000B2040000}"/>
    <cellStyle name="1_tree_설계내역서1월7일_화명조경" xfId="1204" xr:uid="{00000000-0005-0000-0000-0000B3040000}"/>
    <cellStyle name="1_tree_설계내역서1월7일_화명조경_1차 기성 내역서 0612023" xfId="1205" xr:uid="{00000000-0005-0000-0000-0000B4040000}"/>
    <cellStyle name="1_tree_설계내역서1월7일_화명조경_3차네고견적(061017-1)" xfId="1206" xr:uid="{00000000-0005-0000-0000-0000B5040000}"/>
    <cellStyle name="1_tree_설계내역서1월7일_화명조경_백화점화장실인테리어" xfId="1207" xr:uid="{00000000-0005-0000-0000-0000B6040000}"/>
    <cellStyle name="1_tree_설계내역서1월7일_화명조경_백화점화장실인테리어_1차 기성 내역서 0612023" xfId="1208" xr:uid="{00000000-0005-0000-0000-0000B7040000}"/>
    <cellStyle name="1_tree_설계내역서1월7일_화명조경_백화점화장실인테리어_3차네고견적(061017-1)" xfId="1209" xr:uid="{00000000-0005-0000-0000-0000B8040000}"/>
    <cellStyle name="1_tree_수원변경수량산출" xfId="1210" xr:uid="{00000000-0005-0000-0000-0000B9040000}"/>
    <cellStyle name="1_tree_수원변경수량산출_1차 기성 내역서 0612023" xfId="1211" xr:uid="{00000000-0005-0000-0000-0000BA040000}"/>
    <cellStyle name="1_tree_수원변경수량산출_3차네고견적(061017-1)" xfId="1212" xr:uid="{00000000-0005-0000-0000-0000BB040000}"/>
    <cellStyle name="1_tree_수원변경수량산출_백화점화장실인테리어" xfId="1213" xr:uid="{00000000-0005-0000-0000-0000BC040000}"/>
    <cellStyle name="1_tree_수원변경수량산출_백화점화장실인테리어_1차 기성 내역서 0612023" xfId="1214" xr:uid="{00000000-0005-0000-0000-0000BD040000}"/>
    <cellStyle name="1_tree_수원변경수량산출_백화점화장실인테리어_3차네고견적(061017-1)" xfId="1215" xr:uid="{00000000-0005-0000-0000-0000BE040000}"/>
    <cellStyle name="1_tree_수원변경수량산출_설계내역서" xfId="1216" xr:uid="{00000000-0005-0000-0000-0000BF040000}"/>
    <cellStyle name="1_tree_수원변경수량산출_설계내역서_1차 기성 내역서 0612023" xfId="1217" xr:uid="{00000000-0005-0000-0000-0000C0040000}"/>
    <cellStyle name="1_tree_수원변경수량산출_설계내역서_3차네고견적(061017-1)" xfId="1218" xr:uid="{00000000-0005-0000-0000-0000C1040000}"/>
    <cellStyle name="1_tree_수원변경수량산출_설계내역서_백화점화장실인테리어" xfId="1219" xr:uid="{00000000-0005-0000-0000-0000C2040000}"/>
    <cellStyle name="1_tree_수원변경수량산출_설계내역서_백화점화장실인테리어_1차 기성 내역서 0612023" xfId="1220" xr:uid="{00000000-0005-0000-0000-0000C3040000}"/>
    <cellStyle name="1_tree_수원변경수량산출_설계내역서_백화점화장실인테리어_3차네고견적(061017-1)" xfId="1221" xr:uid="{00000000-0005-0000-0000-0000C4040000}"/>
    <cellStyle name="1_tree_수원변경수량산출_설계내역서_화명조경" xfId="1222" xr:uid="{00000000-0005-0000-0000-0000C5040000}"/>
    <cellStyle name="1_tree_수원변경수량산출_설계내역서_화명조경_1차 기성 내역서 0612023" xfId="1223" xr:uid="{00000000-0005-0000-0000-0000C6040000}"/>
    <cellStyle name="1_tree_수원변경수량산출_설계내역서_화명조경_3차네고견적(061017-1)" xfId="1224" xr:uid="{00000000-0005-0000-0000-0000C7040000}"/>
    <cellStyle name="1_tree_수원변경수량산출_설계내역서_화명조경_백화점화장실인테리어" xfId="1225" xr:uid="{00000000-0005-0000-0000-0000C8040000}"/>
    <cellStyle name="1_tree_수원변경수량산출_설계내역서_화명조경_백화점화장실인테리어_1차 기성 내역서 0612023" xfId="1226" xr:uid="{00000000-0005-0000-0000-0000C9040000}"/>
    <cellStyle name="1_tree_수원변경수량산출_설계내역서_화명조경_백화점화장실인테리어_3차네고견적(061017-1)" xfId="1227" xr:uid="{00000000-0005-0000-0000-0000CA040000}"/>
    <cellStyle name="1_tree_수원변경수량산출_설계내역서1월7일" xfId="1228" xr:uid="{00000000-0005-0000-0000-0000CB040000}"/>
    <cellStyle name="1_tree_수원변경수량산출_설계내역서1월7일_1차 기성 내역서 0612023" xfId="1229" xr:uid="{00000000-0005-0000-0000-0000CC040000}"/>
    <cellStyle name="1_tree_수원변경수량산출_설계내역서1월7일_3차네고견적(061017-1)" xfId="1230" xr:uid="{00000000-0005-0000-0000-0000CD040000}"/>
    <cellStyle name="1_tree_수원변경수량산출_설계내역서1월7일_백화점화장실인테리어" xfId="1231" xr:uid="{00000000-0005-0000-0000-0000CE040000}"/>
    <cellStyle name="1_tree_수원변경수량산출_설계내역서1월7일_백화점화장실인테리어_1차 기성 내역서 0612023" xfId="1232" xr:uid="{00000000-0005-0000-0000-0000CF040000}"/>
    <cellStyle name="1_tree_수원변경수량산출_설계내역서1월7일_백화점화장실인테리어_3차네고견적(061017-1)" xfId="1233" xr:uid="{00000000-0005-0000-0000-0000D0040000}"/>
    <cellStyle name="1_tree_수원변경수량산출_설계내역서1월7일_화명조경" xfId="1234" xr:uid="{00000000-0005-0000-0000-0000D1040000}"/>
    <cellStyle name="1_tree_수원변경수량산출_설계내역서1월7일_화명조경_1차 기성 내역서 0612023" xfId="1235" xr:uid="{00000000-0005-0000-0000-0000D2040000}"/>
    <cellStyle name="1_tree_수원변경수량산출_설계내역서1월7일_화명조경_3차네고견적(061017-1)" xfId="1236" xr:uid="{00000000-0005-0000-0000-0000D3040000}"/>
    <cellStyle name="1_tree_수원변경수량산출_설계내역서1월7일_화명조경_백화점화장실인테리어" xfId="1237" xr:uid="{00000000-0005-0000-0000-0000D4040000}"/>
    <cellStyle name="1_tree_수원변경수량산출_설계내역서1월7일_화명조경_백화점화장실인테리어_1차 기성 내역서 0612023" xfId="1238" xr:uid="{00000000-0005-0000-0000-0000D5040000}"/>
    <cellStyle name="1_tree_수원변경수량산출_설계내역서1월7일_화명조경_백화점화장실인테리어_3차네고견적(061017-1)" xfId="1239" xr:uid="{00000000-0005-0000-0000-0000D6040000}"/>
    <cellStyle name="1_tree_수원변경수량산출_화명조경" xfId="1240" xr:uid="{00000000-0005-0000-0000-0000D7040000}"/>
    <cellStyle name="1_tree_수원변경수량산출_화명조경_1차 기성 내역서 0612023" xfId="1241" xr:uid="{00000000-0005-0000-0000-0000D8040000}"/>
    <cellStyle name="1_tree_수원변경수량산출_화명조경_3차네고견적(061017-1)" xfId="1242" xr:uid="{00000000-0005-0000-0000-0000D9040000}"/>
    <cellStyle name="1_tree_수원변경수량산출_화명조경_백화점화장실인테리어" xfId="1243" xr:uid="{00000000-0005-0000-0000-0000DA040000}"/>
    <cellStyle name="1_tree_수원변경수량산출_화명조경_백화점화장실인테리어_1차 기성 내역서 0612023" xfId="1244" xr:uid="{00000000-0005-0000-0000-0000DB040000}"/>
    <cellStyle name="1_tree_수원변경수량산출_화명조경_백화점화장실인테리어_3차네고견적(061017-1)" xfId="1245" xr:uid="{00000000-0005-0000-0000-0000DC040000}"/>
    <cellStyle name="1_tree_쌍용수량0905" xfId="1246" xr:uid="{00000000-0005-0000-0000-0000DD040000}"/>
    <cellStyle name="1_tree_쌍용수량0905_1차 기성 내역서 0612023" xfId="1247" xr:uid="{00000000-0005-0000-0000-0000DE040000}"/>
    <cellStyle name="1_tree_쌍용수량0905_3차네고견적(061017-1)" xfId="1248" xr:uid="{00000000-0005-0000-0000-0000DF040000}"/>
    <cellStyle name="1_tree_쌍용수량0905_백화점화장실인테리어" xfId="1249" xr:uid="{00000000-0005-0000-0000-0000E0040000}"/>
    <cellStyle name="1_tree_쌍용수량0905_백화점화장실인테리어_1차 기성 내역서 0612023" xfId="1250" xr:uid="{00000000-0005-0000-0000-0000E1040000}"/>
    <cellStyle name="1_tree_쌍용수량0905_백화점화장실인테리어_3차네고견적(061017-1)" xfId="1251" xr:uid="{00000000-0005-0000-0000-0000E2040000}"/>
    <cellStyle name="1_tree_쌍용수량0905_설계내역서" xfId="1252" xr:uid="{00000000-0005-0000-0000-0000E3040000}"/>
    <cellStyle name="1_tree_쌍용수량0905_설계내역서_1차 기성 내역서 0612023" xfId="1253" xr:uid="{00000000-0005-0000-0000-0000E4040000}"/>
    <cellStyle name="1_tree_쌍용수량0905_설계내역서_3차네고견적(061017-1)" xfId="1254" xr:uid="{00000000-0005-0000-0000-0000E5040000}"/>
    <cellStyle name="1_tree_쌍용수량0905_설계내역서_백화점화장실인테리어" xfId="1255" xr:uid="{00000000-0005-0000-0000-0000E6040000}"/>
    <cellStyle name="1_tree_쌍용수량0905_설계내역서_백화점화장실인테리어_1차 기성 내역서 0612023" xfId="1256" xr:uid="{00000000-0005-0000-0000-0000E7040000}"/>
    <cellStyle name="1_tree_쌍용수량0905_설계내역서_백화점화장실인테리어_3차네고견적(061017-1)" xfId="1257" xr:uid="{00000000-0005-0000-0000-0000E8040000}"/>
    <cellStyle name="1_tree_쌍용수량0905_설계내역서_화명조경" xfId="1258" xr:uid="{00000000-0005-0000-0000-0000E9040000}"/>
    <cellStyle name="1_tree_쌍용수량0905_설계내역서_화명조경_1차 기성 내역서 0612023" xfId="1259" xr:uid="{00000000-0005-0000-0000-0000EA040000}"/>
    <cellStyle name="1_tree_쌍용수량0905_설계내역서_화명조경_3차네고견적(061017-1)" xfId="1260" xr:uid="{00000000-0005-0000-0000-0000EB040000}"/>
    <cellStyle name="1_tree_쌍용수량0905_설계내역서_화명조경_백화점화장실인테리어" xfId="1261" xr:uid="{00000000-0005-0000-0000-0000EC040000}"/>
    <cellStyle name="1_tree_쌍용수량0905_설계내역서_화명조경_백화점화장실인테리어_1차 기성 내역서 0612023" xfId="1262" xr:uid="{00000000-0005-0000-0000-0000ED040000}"/>
    <cellStyle name="1_tree_쌍용수량0905_설계내역서_화명조경_백화점화장실인테리어_3차네고견적(061017-1)" xfId="1263" xr:uid="{00000000-0005-0000-0000-0000EE040000}"/>
    <cellStyle name="1_tree_쌍용수량0905_설계내역서1월7일" xfId="1264" xr:uid="{00000000-0005-0000-0000-0000EF040000}"/>
    <cellStyle name="1_tree_쌍용수량0905_설계내역서1월7일_1차 기성 내역서 0612023" xfId="1265" xr:uid="{00000000-0005-0000-0000-0000F0040000}"/>
    <cellStyle name="1_tree_쌍용수량0905_설계내역서1월7일_3차네고견적(061017-1)" xfId="1266" xr:uid="{00000000-0005-0000-0000-0000F1040000}"/>
    <cellStyle name="1_tree_쌍용수량0905_설계내역서1월7일_백화점화장실인테리어" xfId="1267" xr:uid="{00000000-0005-0000-0000-0000F2040000}"/>
    <cellStyle name="1_tree_쌍용수량0905_설계내역서1월7일_백화점화장실인테리어_1차 기성 내역서 0612023" xfId="1268" xr:uid="{00000000-0005-0000-0000-0000F3040000}"/>
    <cellStyle name="1_tree_쌍용수량0905_설계내역서1월7일_백화점화장실인테리어_3차네고견적(061017-1)" xfId="1269" xr:uid="{00000000-0005-0000-0000-0000F4040000}"/>
    <cellStyle name="1_tree_쌍용수량0905_설계내역서1월7일_화명조경" xfId="1270" xr:uid="{00000000-0005-0000-0000-0000F5040000}"/>
    <cellStyle name="1_tree_쌍용수량0905_설계내역서1월7일_화명조경_1차 기성 내역서 0612023" xfId="1271" xr:uid="{00000000-0005-0000-0000-0000F6040000}"/>
    <cellStyle name="1_tree_쌍용수량0905_설계내역서1월7일_화명조경_3차네고견적(061017-1)" xfId="1272" xr:uid="{00000000-0005-0000-0000-0000F7040000}"/>
    <cellStyle name="1_tree_쌍용수량0905_설계내역서1월7일_화명조경_백화점화장실인테리어" xfId="1273" xr:uid="{00000000-0005-0000-0000-0000F8040000}"/>
    <cellStyle name="1_tree_쌍용수량0905_설계내역서1월7일_화명조경_백화점화장실인테리어_1차 기성 내역서 0612023" xfId="1274" xr:uid="{00000000-0005-0000-0000-0000F9040000}"/>
    <cellStyle name="1_tree_쌍용수량0905_설계내역서1월7일_화명조경_백화점화장실인테리어_3차네고견적(061017-1)" xfId="1275" xr:uid="{00000000-0005-0000-0000-0000FA040000}"/>
    <cellStyle name="1_tree_쌍용수량0905_화명조경" xfId="1276" xr:uid="{00000000-0005-0000-0000-0000FB040000}"/>
    <cellStyle name="1_tree_쌍용수량0905_화명조경_1차 기성 내역서 0612023" xfId="1277" xr:uid="{00000000-0005-0000-0000-0000FC040000}"/>
    <cellStyle name="1_tree_쌍용수량0905_화명조경_3차네고견적(061017-1)" xfId="1278" xr:uid="{00000000-0005-0000-0000-0000FD040000}"/>
    <cellStyle name="1_tree_쌍용수량0905_화명조경_백화점화장실인테리어" xfId="1279" xr:uid="{00000000-0005-0000-0000-0000FE040000}"/>
    <cellStyle name="1_tree_쌍용수량0905_화명조경_백화점화장실인테리어_1차 기성 내역서 0612023" xfId="1280" xr:uid="{00000000-0005-0000-0000-0000FF040000}"/>
    <cellStyle name="1_tree_쌍용수량0905_화명조경_백화점화장실인테리어_3차네고견적(061017-1)" xfId="1281" xr:uid="{00000000-0005-0000-0000-000000050000}"/>
    <cellStyle name="1_tree_원가계산서" xfId="1282" xr:uid="{00000000-0005-0000-0000-000001050000}"/>
    <cellStyle name="1_tree_원가계산서_00갑지" xfId="1283" xr:uid="{00000000-0005-0000-0000-000002050000}"/>
    <cellStyle name="1_tree_원가계산서_00갑지_1차 기성 내역서 0612023" xfId="1284" xr:uid="{00000000-0005-0000-0000-000003050000}"/>
    <cellStyle name="1_tree_원가계산서_00갑지_3차네고견적(061017-1)" xfId="1285" xr:uid="{00000000-0005-0000-0000-000004050000}"/>
    <cellStyle name="1_tree_원가계산서_00갑지_백화점화장실인테리어" xfId="1286" xr:uid="{00000000-0005-0000-0000-000005050000}"/>
    <cellStyle name="1_tree_원가계산서_00갑지_백화점화장실인테리어_1차 기성 내역서 0612023" xfId="1287" xr:uid="{00000000-0005-0000-0000-000006050000}"/>
    <cellStyle name="1_tree_원가계산서_00갑지_백화점화장실인테리어_3차네고견적(061017-1)" xfId="1288" xr:uid="{00000000-0005-0000-0000-000007050000}"/>
    <cellStyle name="1_tree_원가계산서_00갑지_설계내역서" xfId="1289" xr:uid="{00000000-0005-0000-0000-000008050000}"/>
    <cellStyle name="1_tree_원가계산서_00갑지_설계내역서_1차 기성 내역서 0612023" xfId="1290" xr:uid="{00000000-0005-0000-0000-000009050000}"/>
    <cellStyle name="1_tree_원가계산서_00갑지_설계내역서_3차네고견적(061017-1)" xfId="1291" xr:uid="{00000000-0005-0000-0000-00000A050000}"/>
    <cellStyle name="1_tree_원가계산서_00갑지_설계내역서_백화점화장실인테리어" xfId="1292" xr:uid="{00000000-0005-0000-0000-00000B050000}"/>
    <cellStyle name="1_tree_원가계산서_00갑지_설계내역서_백화점화장실인테리어_1차 기성 내역서 0612023" xfId="1293" xr:uid="{00000000-0005-0000-0000-00000C050000}"/>
    <cellStyle name="1_tree_원가계산서_00갑지_설계내역서_백화점화장실인테리어_3차네고견적(061017-1)" xfId="1294" xr:uid="{00000000-0005-0000-0000-00000D050000}"/>
    <cellStyle name="1_tree_원가계산서_00갑지_설계내역서_화명조경" xfId="1295" xr:uid="{00000000-0005-0000-0000-00000E050000}"/>
    <cellStyle name="1_tree_원가계산서_00갑지_설계내역서_화명조경_1차 기성 내역서 0612023" xfId="1296" xr:uid="{00000000-0005-0000-0000-00000F050000}"/>
    <cellStyle name="1_tree_원가계산서_00갑지_설계내역서_화명조경_3차네고견적(061017-1)" xfId="1297" xr:uid="{00000000-0005-0000-0000-000010050000}"/>
    <cellStyle name="1_tree_원가계산서_00갑지_설계내역서_화명조경_백화점화장실인테리어" xfId="1298" xr:uid="{00000000-0005-0000-0000-000011050000}"/>
    <cellStyle name="1_tree_원가계산서_00갑지_설계내역서_화명조경_백화점화장실인테리어_1차 기성 내역서 0612023" xfId="1299" xr:uid="{00000000-0005-0000-0000-000012050000}"/>
    <cellStyle name="1_tree_원가계산서_00갑지_설계내역서_화명조경_백화점화장실인테리어_3차네고견적(061017-1)" xfId="1300" xr:uid="{00000000-0005-0000-0000-000013050000}"/>
    <cellStyle name="1_tree_원가계산서_00갑지_설계내역서1월7일" xfId="1301" xr:uid="{00000000-0005-0000-0000-000014050000}"/>
    <cellStyle name="1_tree_원가계산서_00갑지_설계내역서1월7일_1차 기성 내역서 0612023" xfId="1302" xr:uid="{00000000-0005-0000-0000-000015050000}"/>
    <cellStyle name="1_tree_원가계산서_00갑지_설계내역서1월7일_3차네고견적(061017-1)" xfId="1303" xr:uid="{00000000-0005-0000-0000-000016050000}"/>
    <cellStyle name="1_tree_원가계산서_00갑지_설계내역서1월7일_백화점화장실인테리어" xfId="1304" xr:uid="{00000000-0005-0000-0000-000017050000}"/>
    <cellStyle name="1_tree_원가계산서_00갑지_설계내역서1월7일_백화점화장실인테리어_1차 기성 내역서 0612023" xfId="1305" xr:uid="{00000000-0005-0000-0000-000018050000}"/>
    <cellStyle name="1_tree_원가계산서_00갑지_설계내역서1월7일_백화점화장실인테리어_3차네고견적(061017-1)" xfId="1306" xr:uid="{00000000-0005-0000-0000-000019050000}"/>
    <cellStyle name="1_tree_원가계산서_00갑지_설계내역서1월7일_화명조경" xfId="1307" xr:uid="{00000000-0005-0000-0000-00001A050000}"/>
    <cellStyle name="1_tree_원가계산서_00갑지_설계내역서1월7일_화명조경_1차 기성 내역서 0612023" xfId="1308" xr:uid="{00000000-0005-0000-0000-00001B050000}"/>
    <cellStyle name="1_tree_원가계산서_00갑지_설계내역서1월7일_화명조경_3차네고견적(061017-1)" xfId="1309" xr:uid="{00000000-0005-0000-0000-00001C050000}"/>
    <cellStyle name="1_tree_원가계산서_00갑지_설계내역서1월7일_화명조경_백화점화장실인테리어" xfId="1310" xr:uid="{00000000-0005-0000-0000-00001D050000}"/>
    <cellStyle name="1_tree_원가계산서_00갑지_설계내역서1월7일_화명조경_백화점화장실인테리어_1차 기성 내역서 0612023" xfId="1311" xr:uid="{00000000-0005-0000-0000-00001E050000}"/>
    <cellStyle name="1_tree_원가계산서_00갑지_설계내역서1월7일_화명조경_백화점화장실인테리어_3차네고견적(061017-1)" xfId="1312" xr:uid="{00000000-0005-0000-0000-00001F050000}"/>
    <cellStyle name="1_tree_원가계산서_00갑지_화명조경" xfId="1313" xr:uid="{00000000-0005-0000-0000-000020050000}"/>
    <cellStyle name="1_tree_원가계산서_00갑지_화명조경_1차 기성 내역서 0612023" xfId="1314" xr:uid="{00000000-0005-0000-0000-000021050000}"/>
    <cellStyle name="1_tree_원가계산서_00갑지_화명조경_3차네고견적(061017-1)" xfId="1315" xr:uid="{00000000-0005-0000-0000-000022050000}"/>
    <cellStyle name="1_tree_원가계산서_00갑지_화명조경_백화점화장실인테리어" xfId="1316" xr:uid="{00000000-0005-0000-0000-000023050000}"/>
    <cellStyle name="1_tree_원가계산서_00갑지_화명조경_백화점화장실인테리어_1차 기성 내역서 0612023" xfId="1317" xr:uid="{00000000-0005-0000-0000-000024050000}"/>
    <cellStyle name="1_tree_원가계산서_00갑지_화명조경_백화점화장실인테리어_3차네고견적(061017-1)" xfId="1318" xr:uid="{00000000-0005-0000-0000-000025050000}"/>
    <cellStyle name="1_tree_원가계산서_1차 기성 내역서 0612023" xfId="1319" xr:uid="{00000000-0005-0000-0000-000026050000}"/>
    <cellStyle name="1_tree_원가계산서_3차네고견적(061017-1)" xfId="1320" xr:uid="{00000000-0005-0000-0000-000027050000}"/>
    <cellStyle name="1_tree_원가계산서_과천놀이터설계서" xfId="1321" xr:uid="{00000000-0005-0000-0000-000028050000}"/>
    <cellStyle name="1_tree_원가계산서_과천놀이터설계서_1차 기성 내역서 0612023" xfId="1322" xr:uid="{00000000-0005-0000-0000-000029050000}"/>
    <cellStyle name="1_tree_원가계산서_과천놀이터설계서_3차네고견적(061017-1)" xfId="1323" xr:uid="{00000000-0005-0000-0000-00002A050000}"/>
    <cellStyle name="1_tree_원가계산서_과천놀이터설계서_백화점화장실인테리어" xfId="1324" xr:uid="{00000000-0005-0000-0000-00002B050000}"/>
    <cellStyle name="1_tree_원가계산서_과천놀이터설계서_백화점화장실인테리어_1차 기성 내역서 0612023" xfId="1325" xr:uid="{00000000-0005-0000-0000-00002C050000}"/>
    <cellStyle name="1_tree_원가계산서_과천놀이터설계서_백화점화장실인테리어_3차네고견적(061017-1)" xfId="1326" xr:uid="{00000000-0005-0000-0000-00002D050000}"/>
    <cellStyle name="1_tree_원가계산서_과천놀이터설계서_설계내역서" xfId="1327" xr:uid="{00000000-0005-0000-0000-00002E050000}"/>
    <cellStyle name="1_tree_원가계산서_과천놀이터설계서_설계내역서_1차 기성 내역서 0612023" xfId="1328" xr:uid="{00000000-0005-0000-0000-00002F050000}"/>
    <cellStyle name="1_tree_원가계산서_과천놀이터설계서_설계내역서_3차네고견적(061017-1)" xfId="1329" xr:uid="{00000000-0005-0000-0000-000030050000}"/>
    <cellStyle name="1_tree_원가계산서_과천놀이터설계서_설계내역서_백화점화장실인테리어" xfId="1330" xr:uid="{00000000-0005-0000-0000-000031050000}"/>
    <cellStyle name="1_tree_원가계산서_과천놀이터설계서_설계내역서_백화점화장실인테리어_1차 기성 내역서 0612023" xfId="1331" xr:uid="{00000000-0005-0000-0000-000032050000}"/>
    <cellStyle name="1_tree_원가계산서_과천놀이터설계서_설계내역서_백화점화장실인테리어_3차네고견적(061017-1)" xfId="1332" xr:uid="{00000000-0005-0000-0000-000033050000}"/>
    <cellStyle name="1_tree_원가계산서_과천놀이터설계서_설계내역서_화명조경" xfId="1333" xr:uid="{00000000-0005-0000-0000-000034050000}"/>
    <cellStyle name="1_tree_원가계산서_과천놀이터설계서_설계내역서_화명조경_1차 기성 내역서 0612023" xfId="1334" xr:uid="{00000000-0005-0000-0000-000035050000}"/>
    <cellStyle name="1_tree_원가계산서_과천놀이터설계서_설계내역서_화명조경_3차네고견적(061017-1)" xfId="1335" xr:uid="{00000000-0005-0000-0000-000036050000}"/>
    <cellStyle name="1_tree_원가계산서_과천놀이터설계서_설계내역서_화명조경_백화점화장실인테리어" xfId="1336" xr:uid="{00000000-0005-0000-0000-000037050000}"/>
    <cellStyle name="1_tree_원가계산서_과천놀이터설계서_설계내역서_화명조경_백화점화장실인테리어_1차 기성 내역서 0612023" xfId="1337" xr:uid="{00000000-0005-0000-0000-000038050000}"/>
    <cellStyle name="1_tree_원가계산서_과천놀이터설계서_설계내역서_화명조경_백화점화장실인테리어_3차네고견적(061017-1)" xfId="1338" xr:uid="{00000000-0005-0000-0000-000039050000}"/>
    <cellStyle name="1_tree_원가계산서_과천놀이터설계서_설계내역서1월7일" xfId="1339" xr:uid="{00000000-0005-0000-0000-00003A050000}"/>
    <cellStyle name="1_tree_원가계산서_과천놀이터설계서_설계내역서1월7일_1차 기성 내역서 0612023" xfId="1340" xr:uid="{00000000-0005-0000-0000-00003B050000}"/>
    <cellStyle name="1_tree_원가계산서_과천놀이터설계서_설계내역서1월7일_3차네고견적(061017-1)" xfId="1341" xr:uid="{00000000-0005-0000-0000-00003C050000}"/>
    <cellStyle name="1_tree_원가계산서_과천놀이터설계서_설계내역서1월7일_백화점화장실인테리어" xfId="1342" xr:uid="{00000000-0005-0000-0000-00003D050000}"/>
    <cellStyle name="1_tree_원가계산서_과천놀이터설계서_설계내역서1월7일_백화점화장실인테리어_1차 기성 내역서 0612023" xfId="1343" xr:uid="{00000000-0005-0000-0000-00003E050000}"/>
    <cellStyle name="1_tree_원가계산서_과천놀이터설계서_설계내역서1월7일_백화점화장실인테리어_3차네고견적(061017-1)" xfId="1344" xr:uid="{00000000-0005-0000-0000-00003F050000}"/>
    <cellStyle name="1_tree_원가계산서_과천놀이터설계서_설계내역서1월7일_화명조경" xfId="1345" xr:uid="{00000000-0005-0000-0000-000040050000}"/>
    <cellStyle name="1_tree_원가계산서_과천놀이터설계서_설계내역서1월7일_화명조경_1차 기성 내역서 0612023" xfId="1346" xr:uid="{00000000-0005-0000-0000-000041050000}"/>
    <cellStyle name="1_tree_원가계산서_과천놀이터설계서_설계내역서1월7일_화명조경_3차네고견적(061017-1)" xfId="1347" xr:uid="{00000000-0005-0000-0000-000042050000}"/>
    <cellStyle name="1_tree_원가계산서_과천놀이터설계서_설계내역서1월7일_화명조경_백화점화장실인테리어" xfId="1348" xr:uid="{00000000-0005-0000-0000-000043050000}"/>
    <cellStyle name="1_tree_원가계산서_과천놀이터설계서_설계내역서1월7일_화명조경_백화점화장실인테리어_1차 기성 내역서 0612023" xfId="1349" xr:uid="{00000000-0005-0000-0000-000044050000}"/>
    <cellStyle name="1_tree_원가계산서_과천놀이터설계서_설계내역서1월7일_화명조경_백화점화장실인테리어_3차네고견적(061017-1)" xfId="1350" xr:uid="{00000000-0005-0000-0000-000045050000}"/>
    <cellStyle name="1_tree_원가계산서_과천놀이터설계서_화명조경" xfId="1351" xr:uid="{00000000-0005-0000-0000-000046050000}"/>
    <cellStyle name="1_tree_원가계산서_과천놀이터설계서_화명조경_1차 기성 내역서 0612023" xfId="1352" xr:uid="{00000000-0005-0000-0000-000047050000}"/>
    <cellStyle name="1_tree_원가계산서_과천놀이터설계서_화명조경_3차네고견적(061017-1)" xfId="1353" xr:uid="{00000000-0005-0000-0000-000048050000}"/>
    <cellStyle name="1_tree_원가계산서_과천놀이터설계서_화명조경_백화점화장실인테리어" xfId="1354" xr:uid="{00000000-0005-0000-0000-000049050000}"/>
    <cellStyle name="1_tree_원가계산서_과천놀이터설계서_화명조경_백화점화장실인테리어_1차 기성 내역서 0612023" xfId="1355" xr:uid="{00000000-0005-0000-0000-00004A050000}"/>
    <cellStyle name="1_tree_원가계산서_과천놀이터설계서_화명조경_백화점화장실인테리어_3차네고견적(061017-1)" xfId="1356" xr:uid="{00000000-0005-0000-0000-00004B050000}"/>
    <cellStyle name="1_tree_원가계산서_백화점화장실인테리어" xfId="1357" xr:uid="{00000000-0005-0000-0000-00004C050000}"/>
    <cellStyle name="1_tree_원가계산서_백화점화장실인테리어_1차 기성 내역서 0612023" xfId="1358" xr:uid="{00000000-0005-0000-0000-00004D050000}"/>
    <cellStyle name="1_tree_원가계산서_백화점화장실인테리어_3차네고견적(061017-1)" xfId="1359" xr:uid="{00000000-0005-0000-0000-00004E050000}"/>
    <cellStyle name="1_tree_원가계산서_총괄갑지" xfId="1360" xr:uid="{00000000-0005-0000-0000-00004F050000}"/>
    <cellStyle name="1_tree_원가계산서_총괄갑지_1차 기성 내역서 0612023" xfId="1361" xr:uid="{00000000-0005-0000-0000-000050050000}"/>
    <cellStyle name="1_tree_원가계산서_총괄갑지_3차네고견적(061017-1)" xfId="1362" xr:uid="{00000000-0005-0000-0000-000051050000}"/>
    <cellStyle name="1_tree_원가계산서_총괄갑지_백화점화장실인테리어" xfId="1363" xr:uid="{00000000-0005-0000-0000-000052050000}"/>
    <cellStyle name="1_tree_원가계산서_총괄갑지_백화점화장실인테리어_1차 기성 내역서 0612023" xfId="1364" xr:uid="{00000000-0005-0000-0000-000053050000}"/>
    <cellStyle name="1_tree_원가계산서_총괄갑지_백화점화장실인테리어_3차네고견적(061017-1)" xfId="1365" xr:uid="{00000000-0005-0000-0000-000054050000}"/>
    <cellStyle name="1_tree_원가계산서_총괄갑지_설계내역서" xfId="1366" xr:uid="{00000000-0005-0000-0000-000055050000}"/>
    <cellStyle name="1_tree_원가계산서_총괄갑지_설계내역서_1차 기성 내역서 0612023" xfId="1367" xr:uid="{00000000-0005-0000-0000-000056050000}"/>
    <cellStyle name="1_tree_원가계산서_총괄갑지_설계내역서_3차네고견적(061017-1)" xfId="1368" xr:uid="{00000000-0005-0000-0000-000057050000}"/>
    <cellStyle name="1_tree_원가계산서_총괄갑지_설계내역서_백화점화장실인테리어" xfId="1369" xr:uid="{00000000-0005-0000-0000-000058050000}"/>
    <cellStyle name="1_tree_원가계산서_총괄갑지_설계내역서_백화점화장실인테리어_1차 기성 내역서 0612023" xfId="1370" xr:uid="{00000000-0005-0000-0000-000059050000}"/>
    <cellStyle name="1_tree_원가계산서_총괄갑지_설계내역서_백화점화장실인테리어_3차네고견적(061017-1)" xfId="1371" xr:uid="{00000000-0005-0000-0000-00005A050000}"/>
    <cellStyle name="1_tree_원가계산서_총괄갑지_설계내역서_화명조경" xfId="1372" xr:uid="{00000000-0005-0000-0000-00005B050000}"/>
    <cellStyle name="1_tree_원가계산서_총괄갑지_설계내역서_화명조경_1차 기성 내역서 0612023" xfId="1373" xr:uid="{00000000-0005-0000-0000-00005C050000}"/>
    <cellStyle name="1_tree_원가계산서_총괄갑지_설계내역서_화명조경_3차네고견적(061017-1)" xfId="1374" xr:uid="{00000000-0005-0000-0000-00005D050000}"/>
    <cellStyle name="1_tree_원가계산서_총괄갑지_설계내역서_화명조경_백화점화장실인테리어" xfId="1375" xr:uid="{00000000-0005-0000-0000-00005E050000}"/>
    <cellStyle name="1_tree_원가계산서_총괄갑지_설계내역서_화명조경_백화점화장실인테리어_1차 기성 내역서 0612023" xfId="1376" xr:uid="{00000000-0005-0000-0000-00005F050000}"/>
    <cellStyle name="1_tree_원가계산서_총괄갑지_설계내역서_화명조경_백화점화장실인테리어_3차네고견적(061017-1)" xfId="1377" xr:uid="{00000000-0005-0000-0000-000060050000}"/>
    <cellStyle name="1_tree_원가계산서_총괄갑지_설계내역서1월7일" xfId="1378" xr:uid="{00000000-0005-0000-0000-000061050000}"/>
    <cellStyle name="1_tree_원가계산서_총괄갑지_설계내역서1월7일_1차 기성 내역서 0612023" xfId="1379" xr:uid="{00000000-0005-0000-0000-000062050000}"/>
    <cellStyle name="1_tree_원가계산서_총괄갑지_설계내역서1월7일_3차네고견적(061017-1)" xfId="1380" xr:uid="{00000000-0005-0000-0000-000063050000}"/>
    <cellStyle name="1_tree_원가계산서_총괄갑지_설계내역서1월7일_백화점화장실인테리어" xfId="1381" xr:uid="{00000000-0005-0000-0000-000064050000}"/>
    <cellStyle name="1_tree_원가계산서_총괄갑지_설계내역서1월7일_백화점화장실인테리어_1차 기성 내역서 0612023" xfId="1382" xr:uid="{00000000-0005-0000-0000-000065050000}"/>
    <cellStyle name="1_tree_원가계산서_총괄갑지_설계내역서1월7일_백화점화장실인테리어_3차네고견적(061017-1)" xfId="1383" xr:uid="{00000000-0005-0000-0000-000066050000}"/>
    <cellStyle name="1_tree_원가계산서_총괄갑지_설계내역서1월7일_화명조경" xfId="1384" xr:uid="{00000000-0005-0000-0000-000067050000}"/>
    <cellStyle name="1_tree_원가계산서_총괄갑지_설계내역서1월7일_화명조경_1차 기성 내역서 0612023" xfId="1385" xr:uid="{00000000-0005-0000-0000-000068050000}"/>
    <cellStyle name="1_tree_원가계산서_총괄갑지_설계내역서1월7일_화명조경_3차네고견적(061017-1)" xfId="1386" xr:uid="{00000000-0005-0000-0000-000069050000}"/>
    <cellStyle name="1_tree_원가계산서_총괄갑지_설계내역서1월7일_화명조경_백화점화장실인테리어" xfId="1387" xr:uid="{00000000-0005-0000-0000-00006A050000}"/>
    <cellStyle name="1_tree_원가계산서_총괄갑지_설계내역서1월7일_화명조경_백화점화장실인테리어_1차 기성 내역서 0612023" xfId="1388" xr:uid="{00000000-0005-0000-0000-00006B050000}"/>
    <cellStyle name="1_tree_원가계산서_총괄갑지_설계내역서1월7일_화명조경_백화점화장실인테리어_3차네고견적(061017-1)" xfId="1389" xr:uid="{00000000-0005-0000-0000-00006C050000}"/>
    <cellStyle name="1_tree_원가계산서_총괄갑지_화명조경" xfId="1390" xr:uid="{00000000-0005-0000-0000-00006D050000}"/>
    <cellStyle name="1_tree_원가계산서_총괄갑지_화명조경_1차 기성 내역서 0612023" xfId="1391" xr:uid="{00000000-0005-0000-0000-00006E050000}"/>
    <cellStyle name="1_tree_원가계산서_총괄갑지_화명조경_3차네고견적(061017-1)" xfId="1392" xr:uid="{00000000-0005-0000-0000-00006F050000}"/>
    <cellStyle name="1_tree_원가계산서_총괄갑지_화명조경_백화점화장실인테리어" xfId="1393" xr:uid="{00000000-0005-0000-0000-000070050000}"/>
    <cellStyle name="1_tree_원가계산서_총괄갑지_화명조경_백화점화장실인테리어_1차 기성 내역서 0612023" xfId="1394" xr:uid="{00000000-0005-0000-0000-000071050000}"/>
    <cellStyle name="1_tree_원가계산서_총괄갑지_화명조경_백화점화장실인테리어_3차네고견적(061017-1)" xfId="1395" xr:uid="{00000000-0005-0000-0000-000072050000}"/>
    <cellStyle name="1_tree_원가계산서_총괄내역서" xfId="1396" xr:uid="{00000000-0005-0000-0000-000073050000}"/>
    <cellStyle name="1_tree_원가계산서_총괄내역서_1차 기성 내역서 0612023" xfId="1397" xr:uid="{00000000-0005-0000-0000-000074050000}"/>
    <cellStyle name="1_tree_원가계산서_총괄내역서_3차네고견적(061017-1)" xfId="1398" xr:uid="{00000000-0005-0000-0000-000075050000}"/>
    <cellStyle name="1_tree_원가계산서_총괄내역서_백화점화장실인테리어" xfId="1399" xr:uid="{00000000-0005-0000-0000-000076050000}"/>
    <cellStyle name="1_tree_원가계산서_총괄내역서_백화점화장실인테리어_1차 기성 내역서 0612023" xfId="1400" xr:uid="{00000000-0005-0000-0000-000077050000}"/>
    <cellStyle name="1_tree_원가계산서_총괄내역서_백화점화장실인테리어_3차네고견적(061017-1)" xfId="1401" xr:uid="{00000000-0005-0000-0000-000078050000}"/>
    <cellStyle name="1_tree_원가계산서_총괄내역서_설계내역서" xfId="1402" xr:uid="{00000000-0005-0000-0000-000079050000}"/>
    <cellStyle name="1_tree_원가계산서_총괄내역서_설계내역서_1차 기성 내역서 0612023" xfId="1403" xr:uid="{00000000-0005-0000-0000-00007A050000}"/>
    <cellStyle name="1_tree_원가계산서_총괄내역서_설계내역서_3차네고견적(061017-1)" xfId="1404" xr:uid="{00000000-0005-0000-0000-00007B050000}"/>
    <cellStyle name="1_tree_원가계산서_총괄내역서_설계내역서_백화점화장실인테리어" xfId="1405" xr:uid="{00000000-0005-0000-0000-00007C050000}"/>
    <cellStyle name="1_tree_원가계산서_총괄내역서_설계내역서_백화점화장실인테리어_1차 기성 내역서 0612023" xfId="1406" xr:uid="{00000000-0005-0000-0000-00007D050000}"/>
    <cellStyle name="1_tree_원가계산서_총괄내역서_설계내역서_백화점화장실인테리어_3차네고견적(061017-1)" xfId="1407" xr:uid="{00000000-0005-0000-0000-00007E050000}"/>
    <cellStyle name="1_tree_원가계산서_총괄내역서_설계내역서_화명조경" xfId="1408" xr:uid="{00000000-0005-0000-0000-00007F050000}"/>
    <cellStyle name="1_tree_원가계산서_총괄내역서_설계내역서_화명조경_1차 기성 내역서 0612023" xfId="1409" xr:uid="{00000000-0005-0000-0000-000080050000}"/>
    <cellStyle name="1_tree_원가계산서_총괄내역서_설계내역서_화명조경_3차네고견적(061017-1)" xfId="1410" xr:uid="{00000000-0005-0000-0000-000081050000}"/>
    <cellStyle name="1_tree_원가계산서_총괄내역서_설계내역서_화명조경_백화점화장실인테리어" xfId="1411" xr:uid="{00000000-0005-0000-0000-000082050000}"/>
    <cellStyle name="1_tree_원가계산서_총괄내역서_설계내역서_화명조경_백화점화장실인테리어_1차 기성 내역서 0612023" xfId="1412" xr:uid="{00000000-0005-0000-0000-000083050000}"/>
    <cellStyle name="1_tree_원가계산서_총괄내역서_설계내역서_화명조경_백화점화장실인테리어_3차네고견적(061017-1)" xfId="1413" xr:uid="{00000000-0005-0000-0000-000084050000}"/>
    <cellStyle name="1_tree_원가계산서_총괄내역서_설계내역서1월7일" xfId="1414" xr:uid="{00000000-0005-0000-0000-000085050000}"/>
    <cellStyle name="1_tree_원가계산서_총괄내역서_설계내역서1월7일_1차 기성 내역서 0612023" xfId="1415" xr:uid="{00000000-0005-0000-0000-000086050000}"/>
    <cellStyle name="1_tree_원가계산서_총괄내역서_설계내역서1월7일_3차네고견적(061017-1)" xfId="1416" xr:uid="{00000000-0005-0000-0000-000087050000}"/>
    <cellStyle name="1_tree_원가계산서_총괄내역서_설계내역서1월7일_백화점화장실인테리어" xfId="1417" xr:uid="{00000000-0005-0000-0000-000088050000}"/>
    <cellStyle name="1_tree_원가계산서_총괄내역서_설계내역서1월7일_백화점화장실인테리어_1차 기성 내역서 0612023" xfId="1418" xr:uid="{00000000-0005-0000-0000-000089050000}"/>
    <cellStyle name="1_tree_원가계산서_총괄내역서_설계내역서1월7일_백화점화장실인테리어_3차네고견적(061017-1)" xfId="1419" xr:uid="{00000000-0005-0000-0000-00008A050000}"/>
    <cellStyle name="1_tree_원가계산서_총괄내역서_설계내역서1월7일_화명조경" xfId="1420" xr:uid="{00000000-0005-0000-0000-00008B050000}"/>
    <cellStyle name="1_tree_원가계산서_총괄내역서_설계내역서1월7일_화명조경_1차 기성 내역서 0612023" xfId="1421" xr:uid="{00000000-0005-0000-0000-00008C050000}"/>
    <cellStyle name="1_tree_원가계산서_총괄내역서_설계내역서1월7일_화명조경_3차네고견적(061017-1)" xfId="1422" xr:uid="{00000000-0005-0000-0000-00008D050000}"/>
    <cellStyle name="1_tree_원가계산서_총괄내역서_설계내역서1월7일_화명조경_백화점화장실인테리어" xfId="1423" xr:uid="{00000000-0005-0000-0000-00008E050000}"/>
    <cellStyle name="1_tree_원가계산서_총괄내역서_설계내역서1월7일_화명조경_백화점화장실인테리어_1차 기성 내역서 0612023" xfId="1424" xr:uid="{00000000-0005-0000-0000-00008F050000}"/>
    <cellStyle name="1_tree_원가계산서_총괄내역서_설계내역서1월7일_화명조경_백화점화장실인테리어_3차네고견적(061017-1)" xfId="1425" xr:uid="{00000000-0005-0000-0000-000090050000}"/>
    <cellStyle name="1_tree_원가계산서_총괄내역서_화명조경" xfId="1426" xr:uid="{00000000-0005-0000-0000-000091050000}"/>
    <cellStyle name="1_tree_원가계산서_총괄내역서_화명조경_1차 기성 내역서 0612023" xfId="1427" xr:uid="{00000000-0005-0000-0000-000092050000}"/>
    <cellStyle name="1_tree_원가계산서_총괄내역서_화명조경_3차네고견적(061017-1)" xfId="1428" xr:uid="{00000000-0005-0000-0000-000093050000}"/>
    <cellStyle name="1_tree_원가계산서_총괄내역서_화명조경_백화점화장실인테리어" xfId="1429" xr:uid="{00000000-0005-0000-0000-000094050000}"/>
    <cellStyle name="1_tree_원가계산서_총괄내역서_화명조경_백화점화장실인테리어_1차 기성 내역서 0612023" xfId="1430" xr:uid="{00000000-0005-0000-0000-000095050000}"/>
    <cellStyle name="1_tree_원가계산서_총괄내역서_화명조경_백화점화장실인테리어_3차네고견적(061017-1)" xfId="1431" xr:uid="{00000000-0005-0000-0000-000096050000}"/>
    <cellStyle name="1_tree_원가계산서_화명조경" xfId="1432" xr:uid="{00000000-0005-0000-0000-000097050000}"/>
    <cellStyle name="1_tree_원가계산서_화명조경_1차 기성 내역서 0612023" xfId="1433" xr:uid="{00000000-0005-0000-0000-000098050000}"/>
    <cellStyle name="1_tree_원가계산서_화명조경_3차네고견적(061017-1)" xfId="1434" xr:uid="{00000000-0005-0000-0000-000099050000}"/>
    <cellStyle name="1_tree_원가계산서_화명조경_백화점화장실인테리어" xfId="1435" xr:uid="{00000000-0005-0000-0000-00009A050000}"/>
    <cellStyle name="1_tree_원가계산서_화명조경_백화점화장실인테리어_1차 기성 내역서 0612023" xfId="1436" xr:uid="{00000000-0005-0000-0000-00009B050000}"/>
    <cellStyle name="1_tree_원가계산서_화명조경_백화점화장실인테리어_3차네고견적(061017-1)" xfId="1437" xr:uid="{00000000-0005-0000-0000-00009C050000}"/>
    <cellStyle name="1_tree_은파수량집계" xfId="1438" xr:uid="{00000000-0005-0000-0000-00009D050000}"/>
    <cellStyle name="1_tree_은파수량집계_1차 기성 내역서 0612023" xfId="1439" xr:uid="{00000000-0005-0000-0000-00009E050000}"/>
    <cellStyle name="1_tree_은파수량집계_3차네고견적(061017-1)" xfId="1440" xr:uid="{00000000-0005-0000-0000-00009F050000}"/>
    <cellStyle name="1_tree_은파수량집계_백화점화장실인테리어" xfId="1441" xr:uid="{00000000-0005-0000-0000-0000A0050000}"/>
    <cellStyle name="1_tree_은파수량집계_백화점화장실인테리어_1차 기성 내역서 0612023" xfId="1442" xr:uid="{00000000-0005-0000-0000-0000A1050000}"/>
    <cellStyle name="1_tree_은파수량집계_백화점화장실인테리어_3차네고견적(061017-1)" xfId="1443" xr:uid="{00000000-0005-0000-0000-0000A2050000}"/>
    <cellStyle name="1_tree_은파수량집계_설계내역서" xfId="1444" xr:uid="{00000000-0005-0000-0000-0000A3050000}"/>
    <cellStyle name="1_tree_은파수량집계_설계내역서_1차 기성 내역서 0612023" xfId="1445" xr:uid="{00000000-0005-0000-0000-0000A4050000}"/>
    <cellStyle name="1_tree_은파수량집계_설계내역서_3차네고견적(061017-1)" xfId="1446" xr:uid="{00000000-0005-0000-0000-0000A5050000}"/>
    <cellStyle name="1_tree_은파수량집계_설계내역서_백화점화장실인테리어" xfId="1447" xr:uid="{00000000-0005-0000-0000-0000A6050000}"/>
    <cellStyle name="1_tree_은파수량집계_설계내역서_백화점화장실인테리어_1차 기성 내역서 0612023" xfId="1448" xr:uid="{00000000-0005-0000-0000-0000A7050000}"/>
    <cellStyle name="1_tree_은파수량집계_설계내역서_백화점화장실인테리어_3차네고견적(061017-1)" xfId="1449" xr:uid="{00000000-0005-0000-0000-0000A8050000}"/>
    <cellStyle name="1_tree_은파수량집계_설계내역서_화명조경" xfId="1450" xr:uid="{00000000-0005-0000-0000-0000A9050000}"/>
    <cellStyle name="1_tree_은파수량집계_설계내역서_화명조경_1차 기성 내역서 0612023" xfId="1451" xr:uid="{00000000-0005-0000-0000-0000AA050000}"/>
    <cellStyle name="1_tree_은파수량집계_설계내역서_화명조경_3차네고견적(061017-1)" xfId="1452" xr:uid="{00000000-0005-0000-0000-0000AB050000}"/>
    <cellStyle name="1_tree_은파수량집계_설계내역서_화명조경_백화점화장실인테리어" xfId="1453" xr:uid="{00000000-0005-0000-0000-0000AC050000}"/>
    <cellStyle name="1_tree_은파수량집계_설계내역서_화명조경_백화점화장실인테리어_1차 기성 내역서 0612023" xfId="1454" xr:uid="{00000000-0005-0000-0000-0000AD050000}"/>
    <cellStyle name="1_tree_은파수량집계_설계내역서_화명조경_백화점화장실인테리어_3차네고견적(061017-1)" xfId="1455" xr:uid="{00000000-0005-0000-0000-0000AE050000}"/>
    <cellStyle name="1_tree_은파수량집계_설계내역서1월7일" xfId="1456" xr:uid="{00000000-0005-0000-0000-0000AF050000}"/>
    <cellStyle name="1_tree_은파수량집계_설계내역서1월7일_1차 기성 내역서 0612023" xfId="1457" xr:uid="{00000000-0005-0000-0000-0000B0050000}"/>
    <cellStyle name="1_tree_은파수량집계_설계내역서1월7일_3차네고견적(061017-1)" xfId="1458" xr:uid="{00000000-0005-0000-0000-0000B1050000}"/>
    <cellStyle name="1_tree_은파수량집계_설계내역서1월7일_백화점화장실인테리어" xfId="1459" xr:uid="{00000000-0005-0000-0000-0000B2050000}"/>
    <cellStyle name="1_tree_은파수량집계_설계내역서1월7일_백화점화장실인테리어_1차 기성 내역서 0612023" xfId="1460" xr:uid="{00000000-0005-0000-0000-0000B3050000}"/>
    <cellStyle name="1_tree_은파수량집계_설계내역서1월7일_백화점화장실인테리어_3차네고견적(061017-1)" xfId="1461" xr:uid="{00000000-0005-0000-0000-0000B4050000}"/>
    <cellStyle name="1_tree_은파수량집계_설계내역서1월7일_화명조경" xfId="1462" xr:uid="{00000000-0005-0000-0000-0000B5050000}"/>
    <cellStyle name="1_tree_은파수량집계_설계내역서1월7일_화명조경_1차 기성 내역서 0612023" xfId="1463" xr:uid="{00000000-0005-0000-0000-0000B6050000}"/>
    <cellStyle name="1_tree_은파수량집계_설계내역서1월7일_화명조경_3차네고견적(061017-1)" xfId="1464" xr:uid="{00000000-0005-0000-0000-0000B7050000}"/>
    <cellStyle name="1_tree_은파수량집계_설계내역서1월7일_화명조경_백화점화장실인테리어" xfId="1465" xr:uid="{00000000-0005-0000-0000-0000B8050000}"/>
    <cellStyle name="1_tree_은파수량집계_설계내역서1월7일_화명조경_백화점화장실인테리어_1차 기성 내역서 0612023" xfId="1466" xr:uid="{00000000-0005-0000-0000-0000B9050000}"/>
    <cellStyle name="1_tree_은파수량집계_설계내역서1월7일_화명조경_백화점화장실인테리어_3차네고견적(061017-1)" xfId="1467" xr:uid="{00000000-0005-0000-0000-0000BA050000}"/>
    <cellStyle name="1_tree_은파수량집계_화명조경" xfId="1468" xr:uid="{00000000-0005-0000-0000-0000BB050000}"/>
    <cellStyle name="1_tree_은파수량집계_화명조경_1차 기성 내역서 0612023" xfId="1469" xr:uid="{00000000-0005-0000-0000-0000BC050000}"/>
    <cellStyle name="1_tree_은파수량집계_화명조경_3차네고견적(061017-1)" xfId="1470" xr:uid="{00000000-0005-0000-0000-0000BD050000}"/>
    <cellStyle name="1_tree_은파수량집계_화명조경_백화점화장실인테리어" xfId="1471" xr:uid="{00000000-0005-0000-0000-0000BE050000}"/>
    <cellStyle name="1_tree_은파수량집계_화명조경_백화점화장실인테리어_1차 기성 내역서 0612023" xfId="1472" xr:uid="{00000000-0005-0000-0000-0000BF050000}"/>
    <cellStyle name="1_tree_은파수량집계_화명조경_백화점화장실인테리어_3차네고견적(061017-1)" xfId="1473" xr:uid="{00000000-0005-0000-0000-0000C0050000}"/>
    <cellStyle name="1_tree_터미널1-0" xfId="1474" xr:uid="{00000000-0005-0000-0000-0000C1050000}"/>
    <cellStyle name="1_tree_터미널1-0_1" xfId="1475" xr:uid="{00000000-0005-0000-0000-0000C2050000}"/>
    <cellStyle name="1_tree_터미널1-0_1_1차 기성 내역서 0612023" xfId="1476" xr:uid="{00000000-0005-0000-0000-0000C3050000}"/>
    <cellStyle name="1_tree_터미널1-0_1_3차네고견적(061017-1)" xfId="1477" xr:uid="{00000000-0005-0000-0000-0000C4050000}"/>
    <cellStyle name="1_tree_터미널1-0_1_백화점화장실인테리어" xfId="1478" xr:uid="{00000000-0005-0000-0000-0000C5050000}"/>
    <cellStyle name="1_tree_터미널1-0_1_백화점화장실인테리어_1차 기성 내역서 0612023" xfId="1479" xr:uid="{00000000-0005-0000-0000-0000C6050000}"/>
    <cellStyle name="1_tree_터미널1-0_1_백화점화장실인테리어_3차네고견적(061017-1)" xfId="1480" xr:uid="{00000000-0005-0000-0000-0000C7050000}"/>
    <cellStyle name="1_tree_터미널1-0_1_화명조경" xfId="1481" xr:uid="{00000000-0005-0000-0000-0000C8050000}"/>
    <cellStyle name="1_tree_터미널1-0_1_화명조경_1차 기성 내역서 0612023" xfId="1482" xr:uid="{00000000-0005-0000-0000-0000C9050000}"/>
    <cellStyle name="1_tree_터미널1-0_1_화명조경_3차네고견적(061017-1)" xfId="1483" xr:uid="{00000000-0005-0000-0000-0000CA050000}"/>
    <cellStyle name="1_tree_터미널1-0_1_화명조경_백화점화장실인테리어" xfId="1484" xr:uid="{00000000-0005-0000-0000-0000CB050000}"/>
    <cellStyle name="1_tree_터미널1-0_1_화명조경_백화점화장실인테리어_1차 기성 내역서 0612023" xfId="1485" xr:uid="{00000000-0005-0000-0000-0000CC050000}"/>
    <cellStyle name="1_tree_터미널1-0_1_화명조경_백화점화장실인테리어_3차네고견적(061017-1)" xfId="1486" xr:uid="{00000000-0005-0000-0000-0000CD050000}"/>
    <cellStyle name="1_tree_터미널1-0_1차 기성 내역서 0612023" xfId="1487" xr:uid="{00000000-0005-0000-0000-0000CE050000}"/>
    <cellStyle name="1_tree_터미널1-0_3차네고견적(061017-1)" xfId="1488" xr:uid="{00000000-0005-0000-0000-0000CF050000}"/>
    <cellStyle name="1_tree_터미널1-0_백화점화장실인테리어" xfId="1489" xr:uid="{00000000-0005-0000-0000-0000D0050000}"/>
    <cellStyle name="1_tree_터미널1-0_백화점화장실인테리어_1차 기성 내역서 0612023" xfId="1490" xr:uid="{00000000-0005-0000-0000-0000D1050000}"/>
    <cellStyle name="1_tree_터미널1-0_백화점화장실인테리어_3차네고견적(061017-1)" xfId="1491" xr:uid="{00000000-0005-0000-0000-0000D2050000}"/>
    <cellStyle name="1_tree_터미널1-0_설계내역서" xfId="1492" xr:uid="{00000000-0005-0000-0000-0000D3050000}"/>
    <cellStyle name="1_tree_터미널1-0_설계내역서_1차 기성 내역서 0612023" xfId="1493" xr:uid="{00000000-0005-0000-0000-0000D4050000}"/>
    <cellStyle name="1_tree_터미널1-0_설계내역서_3차네고견적(061017-1)" xfId="1494" xr:uid="{00000000-0005-0000-0000-0000D5050000}"/>
    <cellStyle name="1_tree_터미널1-0_설계내역서_백화점화장실인테리어" xfId="1495" xr:uid="{00000000-0005-0000-0000-0000D6050000}"/>
    <cellStyle name="1_tree_터미널1-0_설계내역서_백화점화장실인테리어_1차 기성 내역서 0612023" xfId="1496" xr:uid="{00000000-0005-0000-0000-0000D7050000}"/>
    <cellStyle name="1_tree_터미널1-0_설계내역서_백화점화장실인테리어_3차네고견적(061017-1)" xfId="1497" xr:uid="{00000000-0005-0000-0000-0000D8050000}"/>
    <cellStyle name="1_tree_터미널1-0_설계내역서_화명조경" xfId="1498" xr:uid="{00000000-0005-0000-0000-0000D9050000}"/>
    <cellStyle name="1_tree_터미널1-0_설계내역서_화명조경_1차 기성 내역서 0612023" xfId="1499" xr:uid="{00000000-0005-0000-0000-0000DA050000}"/>
    <cellStyle name="1_tree_터미널1-0_설계내역서_화명조경_3차네고견적(061017-1)" xfId="1500" xr:uid="{00000000-0005-0000-0000-0000DB050000}"/>
    <cellStyle name="1_tree_터미널1-0_설계내역서_화명조경_백화점화장실인테리어" xfId="1501" xr:uid="{00000000-0005-0000-0000-0000DC050000}"/>
    <cellStyle name="1_tree_터미널1-0_설계내역서_화명조경_백화점화장실인테리어_1차 기성 내역서 0612023" xfId="1502" xr:uid="{00000000-0005-0000-0000-0000DD050000}"/>
    <cellStyle name="1_tree_터미널1-0_설계내역서_화명조경_백화점화장실인테리어_3차네고견적(061017-1)" xfId="1503" xr:uid="{00000000-0005-0000-0000-0000DE050000}"/>
    <cellStyle name="1_tree_터미널1-0_설계내역서1월7일" xfId="1504" xr:uid="{00000000-0005-0000-0000-0000DF050000}"/>
    <cellStyle name="1_tree_터미널1-0_설계내역서1월7일_1차 기성 내역서 0612023" xfId="1505" xr:uid="{00000000-0005-0000-0000-0000E0050000}"/>
    <cellStyle name="1_tree_터미널1-0_설계내역서1월7일_3차네고견적(061017-1)" xfId="1506" xr:uid="{00000000-0005-0000-0000-0000E1050000}"/>
    <cellStyle name="1_tree_터미널1-0_설계내역서1월7일_백화점화장실인테리어" xfId="1507" xr:uid="{00000000-0005-0000-0000-0000E2050000}"/>
    <cellStyle name="1_tree_터미널1-0_설계내역서1월7일_백화점화장실인테리어_1차 기성 내역서 0612023" xfId="1508" xr:uid="{00000000-0005-0000-0000-0000E3050000}"/>
    <cellStyle name="1_tree_터미널1-0_설계내역서1월7일_백화점화장실인테리어_3차네고견적(061017-1)" xfId="1509" xr:uid="{00000000-0005-0000-0000-0000E4050000}"/>
    <cellStyle name="1_tree_터미널1-0_설계내역서1월7일_화명조경" xfId="1510" xr:uid="{00000000-0005-0000-0000-0000E5050000}"/>
    <cellStyle name="1_tree_터미널1-0_설계내역서1월7일_화명조경_1차 기성 내역서 0612023" xfId="1511" xr:uid="{00000000-0005-0000-0000-0000E6050000}"/>
    <cellStyle name="1_tree_터미널1-0_설계내역서1월7일_화명조경_3차네고견적(061017-1)" xfId="1512" xr:uid="{00000000-0005-0000-0000-0000E7050000}"/>
    <cellStyle name="1_tree_터미널1-0_설계내역서1월7일_화명조경_백화점화장실인테리어" xfId="1513" xr:uid="{00000000-0005-0000-0000-0000E8050000}"/>
    <cellStyle name="1_tree_터미널1-0_설계내역서1월7일_화명조경_백화점화장실인테리어_1차 기성 내역서 0612023" xfId="1514" xr:uid="{00000000-0005-0000-0000-0000E9050000}"/>
    <cellStyle name="1_tree_터미널1-0_설계내역서1월7일_화명조경_백화점화장실인테리어_3차네고견적(061017-1)" xfId="1515" xr:uid="{00000000-0005-0000-0000-0000EA050000}"/>
    <cellStyle name="1_tree_터미널1-0_쌍용수량0905" xfId="1516" xr:uid="{00000000-0005-0000-0000-0000EB050000}"/>
    <cellStyle name="1_tree_터미널1-0_쌍용수량0905_1차 기성 내역서 0612023" xfId="1517" xr:uid="{00000000-0005-0000-0000-0000EC050000}"/>
    <cellStyle name="1_tree_터미널1-0_쌍용수량0905_3차네고견적(061017-1)" xfId="1518" xr:uid="{00000000-0005-0000-0000-0000ED050000}"/>
    <cellStyle name="1_tree_터미널1-0_쌍용수량0905_백화점화장실인테리어" xfId="1519" xr:uid="{00000000-0005-0000-0000-0000EE050000}"/>
    <cellStyle name="1_tree_터미널1-0_쌍용수량0905_백화점화장실인테리어_1차 기성 내역서 0612023" xfId="1520" xr:uid="{00000000-0005-0000-0000-0000EF050000}"/>
    <cellStyle name="1_tree_터미널1-0_쌍용수량0905_백화점화장실인테리어_3차네고견적(061017-1)" xfId="1521" xr:uid="{00000000-0005-0000-0000-0000F0050000}"/>
    <cellStyle name="1_tree_터미널1-0_쌍용수량0905_설계내역서" xfId="1522" xr:uid="{00000000-0005-0000-0000-0000F1050000}"/>
    <cellStyle name="1_tree_터미널1-0_쌍용수량0905_설계내역서_1차 기성 내역서 0612023" xfId="1523" xr:uid="{00000000-0005-0000-0000-0000F2050000}"/>
    <cellStyle name="1_tree_터미널1-0_쌍용수량0905_설계내역서_3차네고견적(061017-1)" xfId="1524" xr:uid="{00000000-0005-0000-0000-0000F3050000}"/>
    <cellStyle name="1_tree_터미널1-0_쌍용수량0905_설계내역서_백화점화장실인테리어" xfId="1525" xr:uid="{00000000-0005-0000-0000-0000F4050000}"/>
    <cellStyle name="1_tree_터미널1-0_쌍용수량0905_설계내역서_백화점화장실인테리어_1차 기성 내역서 0612023" xfId="1526" xr:uid="{00000000-0005-0000-0000-0000F5050000}"/>
    <cellStyle name="1_tree_터미널1-0_쌍용수량0905_설계내역서_백화점화장실인테리어_3차네고견적(061017-1)" xfId="1527" xr:uid="{00000000-0005-0000-0000-0000F6050000}"/>
    <cellStyle name="1_tree_터미널1-0_쌍용수량0905_설계내역서_화명조경" xfId="1528" xr:uid="{00000000-0005-0000-0000-0000F7050000}"/>
    <cellStyle name="1_tree_터미널1-0_쌍용수량0905_설계내역서_화명조경_1차 기성 내역서 0612023" xfId="1529" xr:uid="{00000000-0005-0000-0000-0000F8050000}"/>
    <cellStyle name="1_tree_터미널1-0_쌍용수량0905_설계내역서_화명조경_3차네고견적(061017-1)" xfId="1530" xr:uid="{00000000-0005-0000-0000-0000F9050000}"/>
    <cellStyle name="1_tree_터미널1-0_쌍용수량0905_설계내역서_화명조경_백화점화장실인테리어" xfId="1531" xr:uid="{00000000-0005-0000-0000-0000FA050000}"/>
    <cellStyle name="1_tree_터미널1-0_쌍용수량0905_설계내역서_화명조경_백화점화장실인테리어_1차 기성 내역서 0612023" xfId="1532" xr:uid="{00000000-0005-0000-0000-0000FB050000}"/>
    <cellStyle name="1_tree_터미널1-0_쌍용수량0905_설계내역서_화명조경_백화점화장실인테리어_3차네고견적(061017-1)" xfId="1533" xr:uid="{00000000-0005-0000-0000-0000FC050000}"/>
    <cellStyle name="1_tree_터미널1-0_쌍용수량0905_설계내역서1월7일" xfId="1534" xr:uid="{00000000-0005-0000-0000-0000FD050000}"/>
    <cellStyle name="1_tree_터미널1-0_쌍용수량0905_설계내역서1월7일_1차 기성 내역서 0612023" xfId="1535" xr:uid="{00000000-0005-0000-0000-0000FE050000}"/>
    <cellStyle name="1_tree_터미널1-0_쌍용수량0905_설계내역서1월7일_3차네고견적(061017-1)" xfId="1536" xr:uid="{00000000-0005-0000-0000-0000FF050000}"/>
    <cellStyle name="1_tree_터미널1-0_쌍용수량0905_설계내역서1월7일_백화점화장실인테리어" xfId="1537" xr:uid="{00000000-0005-0000-0000-000000060000}"/>
    <cellStyle name="1_tree_터미널1-0_쌍용수량0905_설계내역서1월7일_백화점화장실인테리어_1차 기성 내역서 0612023" xfId="1538" xr:uid="{00000000-0005-0000-0000-000001060000}"/>
    <cellStyle name="1_tree_터미널1-0_쌍용수량0905_설계내역서1월7일_백화점화장실인테리어_3차네고견적(061017-1)" xfId="1539" xr:uid="{00000000-0005-0000-0000-000002060000}"/>
    <cellStyle name="1_tree_터미널1-0_쌍용수량0905_설계내역서1월7일_화명조경" xfId="1540" xr:uid="{00000000-0005-0000-0000-000003060000}"/>
    <cellStyle name="1_tree_터미널1-0_쌍용수량0905_설계내역서1월7일_화명조경_1차 기성 내역서 0612023" xfId="1541" xr:uid="{00000000-0005-0000-0000-000004060000}"/>
    <cellStyle name="1_tree_터미널1-0_쌍용수량0905_설계내역서1월7일_화명조경_3차네고견적(061017-1)" xfId="1542" xr:uid="{00000000-0005-0000-0000-000005060000}"/>
    <cellStyle name="1_tree_터미널1-0_쌍용수량0905_설계내역서1월7일_화명조경_백화점화장실인테리어" xfId="1543" xr:uid="{00000000-0005-0000-0000-000006060000}"/>
    <cellStyle name="1_tree_터미널1-0_쌍용수량0905_설계내역서1월7일_화명조경_백화점화장실인테리어_1차 기성 내역서 0612023" xfId="1544" xr:uid="{00000000-0005-0000-0000-000007060000}"/>
    <cellStyle name="1_tree_터미널1-0_쌍용수량0905_설계내역서1월7일_화명조경_백화점화장실인테리어_3차네고견적(061017-1)" xfId="1545" xr:uid="{00000000-0005-0000-0000-000008060000}"/>
    <cellStyle name="1_tree_터미널1-0_쌍용수량0905_화명조경" xfId="1546" xr:uid="{00000000-0005-0000-0000-000009060000}"/>
    <cellStyle name="1_tree_터미널1-0_쌍용수량0905_화명조경_1차 기성 내역서 0612023" xfId="1547" xr:uid="{00000000-0005-0000-0000-00000A060000}"/>
    <cellStyle name="1_tree_터미널1-0_쌍용수량0905_화명조경_3차네고견적(061017-1)" xfId="1548" xr:uid="{00000000-0005-0000-0000-00000B060000}"/>
    <cellStyle name="1_tree_터미널1-0_쌍용수량0905_화명조경_백화점화장실인테리어" xfId="1549" xr:uid="{00000000-0005-0000-0000-00000C060000}"/>
    <cellStyle name="1_tree_터미널1-0_쌍용수량0905_화명조경_백화점화장실인테리어_1차 기성 내역서 0612023" xfId="1550" xr:uid="{00000000-0005-0000-0000-00000D060000}"/>
    <cellStyle name="1_tree_터미널1-0_쌍용수량0905_화명조경_백화점화장실인테리어_3차네고견적(061017-1)" xfId="1551" xr:uid="{00000000-0005-0000-0000-00000E060000}"/>
    <cellStyle name="1_tree_터미널1-0_화명조경" xfId="1552" xr:uid="{00000000-0005-0000-0000-00000F060000}"/>
    <cellStyle name="1_tree_터미널1-0_화명조경_1차 기성 내역서 0612023" xfId="1553" xr:uid="{00000000-0005-0000-0000-000010060000}"/>
    <cellStyle name="1_tree_터미널1-0_화명조경_3차네고견적(061017-1)" xfId="1554" xr:uid="{00000000-0005-0000-0000-000011060000}"/>
    <cellStyle name="1_tree_터미널1-0_화명조경_백화점화장실인테리어" xfId="1555" xr:uid="{00000000-0005-0000-0000-000012060000}"/>
    <cellStyle name="1_tree_터미널1-0_화명조경_백화점화장실인테리어_1차 기성 내역서 0612023" xfId="1556" xr:uid="{00000000-0005-0000-0000-000013060000}"/>
    <cellStyle name="1_tree_터미널1-0_화명조경_백화점화장실인테리어_3차네고견적(061017-1)" xfId="1557" xr:uid="{00000000-0005-0000-0000-000014060000}"/>
    <cellStyle name="1_tree_한풍집계" xfId="1558" xr:uid="{00000000-0005-0000-0000-000015060000}"/>
    <cellStyle name="1_tree_한풍집계_1차 기성 내역서 0612023" xfId="1559" xr:uid="{00000000-0005-0000-0000-000016060000}"/>
    <cellStyle name="1_tree_한풍집계_3차네고견적(061017-1)" xfId="1560" xr:uid="{00000000-0005-0000-0000-000017060000}"/>
    <cellStyle name="1_tree_한풍집계_갑지0601" xfId="1561" xr:uid="{00000000-0005-0000-0000-000018060000}"/>
    <cellStyle name="1_tree_한풍집계_갑지0601_00갑지" xfId="1562" xr:uid="{00000000-0005-0000-0000-000019060000}"/>
    <cellStyle name="1_tree_한풍집계_갑지0601_00갑지_1차 기성 내역서 0612023" xfId="1563" xr:uid="{00000000-0005-0000-0000-00001A060000}"/>
    <cellStyle name="1_tree_한풍집계_갑지0601_00갑지_3차네고견적(061017-1)" xfId="1564" xr:uid="{00000000-0005-0000-0000-00001B060000}"/>
    <cellStyle name="1_tree_한풍집계_갑지0601_00갑지_백화점화장실인테리어" xfId="1565" xr:uid="{00000000-0005-0000-0000-00001C060000}"/>
    <cellStyle name="1_tree_한풍집계_갑지0601_00갑지_백화점화장실인테리어_1차 기성 내역서 0612023" xfId="1566" xr:uid="{00000000-0005-0000-0000-00001D060000}"/>
    <cellStyle name="1_tree_한풍집계_갑지0601_00갑지_백화점화장실인테리어_3차네고견적(061017-1)" xfId="1567" xr:uid="{00000000-0005-0000-0000-00001E060000}"/>
    <cellStyle name="1_tree_한풍집계_갑지0601_00갑지_설계내역서" xfId="1568" xr:uid="{00000000-0005-0000-0000-00001F060000}"/>
    <cellStyle name="1_tree_한풍집계_갑지0601_00갑지_설계내역서_1차 기성 내역서 0612023" xfId="1569" xr:uid="{00000000-0005-0000-0000-000020060000}"/>
    <cellStyle name="1_tree_한풍집계_갑지0601_00갑지_설계내역서_3차네고견적(061017-1)" xfId="1570" xr:uid="{00000000-0005-0000-0000-000021060000}"/>
    <cellStyle name="1_tree_한풍집계_갑지0601_00갑지_설계내역서_백화점화장실인테리어" xfId="1571" xr:uid="{00000000-0005-0000-0000-000022060000}"/>
    <cellStyle name="1_tree_한풍집계_갑지0601_00갑지_설계내역서_백화점화장실인테리어_1차 기성 내역서 0612023" xfId="1572" xr:uid="{00000000-0005-0000-0000-000023060000}"/>
    <cellStyle name="1_tree_한풍집계_갑지0601_00갑지_설계내역서_백화점화장실인테리어_3차네고견적(061017-1)" xfId="1573" xr:uid="{00000000-0005-0000-0000-000024060000}"/>
    <cellStyle name="1_tree_한풍집계_갑지0601_00갑지_설계내역서_화명조경" xfId="1574" xr:uid="{00000000-0005-0000-0000-000025060000}"/>
    <cellStyle name="1_tree_한풍집계_갑지0601_00갑지_설계내역서_화명조경_1차 기성 내역서 0612023" xfId="1575" xr:uid="{00000000-0005-0000-0000-000026060000}"/>
    <cellStyle name="1_tree_한풍집계_갑지0601_00갑지_설계내역서_화명조경_3차네고견적(061017-1)" xfId="1576" xr:uid="{00000000-0005-0000-0000-000027060000}"/>
    <cellStyle name="1_tree_한풍집계_갑지0601_00갑지_설계내역서_화명조경_백화점화장실인테리어" xfId="1577" xr:uid="{00000000-0005-0000-0000-000028060000}"/>
    <cellStyle name="1_tree_한풍집계_갑지0601_00갑지_설계내역서_화명조경_백화점화장실인테리어_1차 기성 내역서 0612023" xfId="1578" xr:uid="{00000000-0005-0000-0000-000029060000}"/>
    <cellStyle name="1_tree_한풍집계_갑지0601_00갑지_설계내역서_화명조경_백화점화장실인테리어_3차네고견적(061017-1)" xfId="1579" xr:uid="{00000000-0005-0000-0000-00002A060000}"/>
    <cellStyle name="1_tree_한풍집계_갑지0601_00갑지_설계내역서1월7일" xfId="1580" xr:uid="{00000000-0005-0000-0000-00002B060000}"/>
    <cellStyle name="1_tree_한풍집계_갑지0601_00갑지_설계내역서1월7일_1차 기성 내역서 0612023" xfId="1581" xr:uid="{00000000-0005-0000-0000-00002C060000}"/>
    <cellStyle name="1_tree_한풍집계_갑지0601_00갑지_설계내역서1월7일_3차네고견적(061017-1)" xfId="1582" xr:uid="{00000000-0005-0000-0000-00002D060000}"/>
    <cellStyle name="1_tree_한풍집계_갑지0601_00갑지_설계내역서1월7일_백화점화장실인테리어" xfId="1583" xr:uid="{00000000-0005-0000-0000-00002E060000}"/>
    <cellStyle name="1_tree_한풍집계_갑지0601_00갑지_설계내역서1월7일_백화점화장실인테리어_1차 기성 내역서 0612023" xfId="1584" xr:uid="{00000000-0005-0000-0000-00002F060000}"/>
    <cellStyle name="1_tree_한풍집계_갑지0601_00갑지_설계내역서1월7일_백화점화장실인테리어_3차네고견적(061017-1)" xfId="1585" xr:uid="{00000000-0005-0000-0000-000030060000}"/>
    <cellStyle name="1_tree_한풍집계_갑지0601_00갑지_설계내역서1월7일_화명조경" xfId="1586" xr:uid="{00000000-0005-0000-0000-000031060000}"/>
    <cellStyle name="1_tree_한풍집계_갑지0601_00갑지_설계내역서1월7일_화명조경_1차 기성 내역서 0612023" xfId="1587" xr:uid="{00000000-0005-0000-0000-000032060000}"/>
    <cellStyle name="1_tree_한풍집계_갑지0601_00갑지_설계내역서1월7일_화명조경_3차네고견적(061017-1)" xfId="1588" xr:uid="{00000000-0005-0000-0000-000033060000}"/>
    <cellStyle name="1_tree_한풍집계_갑지0601_00갑지_설계내역서1월7일_화명조경_백화점화장실인테리어" xfId="1589" xr:uid="{00000000-0005-0000-0000-000034060000}"/>
    <cellStyle name="1_tree_한풍집계_갑지0601_00갑지_설계내역서1월7일_화명조경_백화점화장실인테리어_1차 기성 내역서 0612023" xfId="1590" xr:uid="{00000000-0005-0000-0000-000035060000}"/>
    <cellStyle name="1_tree_한풍집계_갑지0601_00갑지_설계내역서1월7일_화명조경_백화점화장실인테리어_3차네고견적(061017-1)" xfId="1591" xr:uid="{00000000-0005-0000-0000-000036060000}"/>
    <cellStyle name="1_tree_한풍집계_갑지0601_00갑지_화명조경" xfId="1592" xr:uid="{00000000-0005-0000-0000-000037060000}"/>
    <cellStyle name="1_tree_한풍집계_갑지0601_00갑지_화명조경_1차 기성 내역서 0612023" xfId="1593" xr:uid="{00000000-0005-0000-0000-000038060000}"/>
    <cellStyle name="1_tree_한풍집계_갑지0601_00갑지_화명조경_3차네고견적(061017-1)" xfId="1594" xr:uid="{00000000-0005-0000-0000-000039060000}"/>
    <cellStyle name="1_tree_한풍집계_갑지0601_00갑지_화명조경_백화점화장실인테리어" xfId="1595" xr:uid="{00000000-0005-0000-0000-00003A060000}"/>
    <cellStyle name="1_tree_한풍집계_갑지0601_00갑지_화명조경_백화점화장실인테리어_1차 기성 내역서 0612023" xfId="1596" xr:uid="{00000000-0005-0000-0000-00003B060000}"/>
    <cellStyle name="1_tree_한풍집계_갑지0601_00갑지_화명조경_백화점화장실인테리어_3차네고견적(061017-1)" xfId="1597" xr:uid="{00000000-0005-0000-0000-00003C060000}"/>
    <cellStyle name="1_tree_한풍집계_갑지0601_1차 기성 내역서 0612023" xfId="1598" xr:uid="{00000000-0005-0000-0000-00003D060000}"/>
    <cellStyle name="1_tree_한풍집계_갑지0601_3차네고견적(061017-1)" xfId="1599" xr:uid="{00000000-0005-0000-0000-00003E060000}"/>
    <cellStyle name="1_tree_한풍집계_갑지0601_과천놀이터설계서" xfId="1600" xr:uid="{00000000-0005-0000-0000-00003F060000}"/>
    <cellStyle name="1_tree_한풍집계_갑지0601_과천놀이터설계서_1차 기성 내역서 0612023" xfId="1601" xr:uid="{00000000-0005-0000-0000-000040060000}"/>
    <cellStyle name="1_tree_한풍집계_갑지0601_과천놀이터설계서_3차네고견적(061017-1)" xfId="1602" xr:uid="{00000000-0005-0000-0000-000041060000}"/>
    <cellStyle name="1_tree_한풍집계_갑지0601_과천놀이터설계서_백화점화장실인테리어" xfId="1603" xr:uid="{00000000-0005-0000-0000-000042060000}"/>
    <cellStyle name="1_tree_한풍집계_갑지0601_과천놀이터설계서_백화점화장실인테리어_1차 기성 내역서 0612023" xfId="1604" xr:uid="{00000000-0005-0000-0000-000043060000}"/>
    <cellStyle name="1_tree_한풍집계_갑지0601_과천놀이터설계서_백화점화장실인테리어_3차네고견적(061017-1)" xfId="1605" xr:uid="{00000000-0005-0000-0000-000044060000}"/>
    <cellStyle name="1_tree_한풍집계_갑지0601_과천놀이터설계서_설계내역서" xfId="1606" xr:uid="{00000000-0005-0000-0000-000045060000}"/>
    <cellStyle name="1_tree_한풍집계_갑지0601_과천놀이터설계서_설계내역서_1차 기성 내역서 0612023" xfId="1607" xr:uid="{00000000-0005-0000-0000-000046060000}"/>
    <cellStyle name="1_tree_한풍집계_갑지0601_과천놀이터설계서_설계내역서_3차네고견적(061017-1)" xfId="1608" xr:uid="{00000000-0005-0000-0000-000047060000}"/>
    <cellStyle name="1_tree_한풍집계_갑지0601_과천놀이터설계서_설계내역서_백화점화장실인테리어" xfId="1609" xr:uid="{00000000-0005-0000-0000-000048060000}"/>
    <cellStyle name="1_tree_한풍집계_갑지0601_과천놀이터설계서_설계내역서_백화점화장실인테리어_1차 기성 내역서 0612023" xfId="1610" xr:uid="{00000000-0005-0000-0000-000049060000}"/>
    <cellStyle name="1_tree_한풍집계_갑지0601_과천놀이터설계서_설계내역서_백화점화장실인테리어_3차네고견적(061017-1)" xfId="1611" xr:uid="{00000000-0005-0000-0000-00004A060000}"/>
    <cellStyle name="1_tree_한풍집계_갑지0601_과천놀이터설계서_설계내역서_화명조경" xfId="1612" xr:uid="{00000000-0005-0000-0000-00004B060000}"/>
    <cellStyle name="1_tree_한풍집계_갑지0601_과천놀이터설계서_설계내역서_화명조경_1차 기성 내역서 0612023" xfId="1613" xr:uid="{00000000-0005-0000-0000-00004C060000}"/>
    <cellStyle name="1_tree_한풍집계_갑지0601_과천놀이터설계서_설계내역서_화명조경_3차네고견적(061017-1)" xfId="1614" xr:uid="{00000000-0005-0000-0000-00004D060000}"/>
    <cellStyle name="1_tree_한풍집계_갑지0601_과천놀이터설계서_설계내역서_화명조경_백화점화장실인테리어" xfId="1615" xr:uid="{00000000-0005-0000-0000-00004E060000}"/>
    <cellStyle name="1_tree_한풍집계_갑지0601_과천놀이터설계서_설계내역서_화명조경_백화점화장실인테리어_1차 기성 내역서 0612023" xfId="1616" xr:uid="{00000000-0005-0000-0000-00004F060000}"/>
    <cellStyle name="1_tree_한풍집계_갑지0601_과천놀이터설계서_설계내역서_화명조경_백화점화장실인테리어_3차네고견적(061017-1)" xfId="1617" xr:uid="{00000000-0005-0000-0000-000050060000}"/>
    <cellStyle name="1_tree_한풍집계_갑지0601_과천놀이터설계서_설계내역서1월7일" xfId="1618" xr:uid="{00000000-0005-0000-0000-000051060000}"/>
    <cellStyle name="1_tree_한풍집계_갑지0601_과천놀이터설계서_설계내역서1월7일_1차 기성 내역서 0612023" xfId="1619" xr:uid="{00000000-0005-0000-0000-000052060000}"/>
    <cellStyle name="1_tree_한풍집계_갑지0601_과천놀이터설계서_설계내역서1월7일_3차네고견적(061017-1)" xfId="1620" xr:uid="{00000000-0005-0000-0000-000053060000}"/>
    <cellStyle name="1_tree_한풍집계_갑지0601_과천놀이터설계서_설계내역서1월7일_백화점화장실인테리어" xfId="1621" xr:uid="{00000000-0005-0000-0000-000054060000}"/>
    <cellStyle name="1_tree_한풍집계_갑지0601_과천놀이터설계서_설계내역서1월7일_백화점화장실인테리어_1차 기성 내역서 0612023" xfId="1622" xr:uid="{00000000-0005-0000-0000-000055060000}"/>
    <cellStyle name="1_tree_한풍집계_갑지0601_과천놀이터설계서_설계내역서1월7일_백화점화장실인테리어_3차네고견적(061017-1)" xfId="1623" xr:uid="{00000000-0005-0000-0000-000056060000}"/>
    <cellStyle name="1_tree_한풍집계_갑지0601_과천놀이터설계서_설계내역서1월7일_화명조경" xfId="1624" xr:uid="{00000000-0005-0000-0000-000057060000}"/>
    <cellStyle name="1_tree_한풍집계_갑지0601_과천놀이터설계서_설계내역서1월7일_화명조경_1차 기성 내역서 0612023" xfId="1625" xr:uid="{00000000-0005-0000-0000-000058060000}"/>
    <cellStyle name="1_tree_한풍집계_갑지0601_과천놀이터설계서_설계내역서1월7일_화명조경_3차네고견적(061017-1)" xfId="1626" xr:uid="{00000000-0005-0000-0000-000059060000}"/>
    <cellStyle name="1_tree_한풍집계_갑지0601_과천놀이터설계서_설계내역서1월7일_화명조경_백화점화장실인테리어" xfId="1627" xr:uid="{00000000-0005-0000-0000-00005A060000}"/>
    <cellStyle name="1_tree_한풍집계_갑지0601_과천놀이터설계서_설계내역서1월7일_화명조경_백화점화장실인테리어_1차 기성 내역서 0612023" xfId="1628" xr:uid="{00000000-0005-0000-0000-00005B060000}"/>
    <cellStyle name="1_tree_한풍집계_갑지0601_과천놀이터설계서_설계내역서1월7일_화명조경_백화점화장실인테리어_3차네고견적(061017-1)" xfId="1629" xr:uid="{00000000-0005-0000-0000-00005C060000}"/>
    <cellStyle name="1_tree_한풍집계_갑지0601_과천놀이터설계서_화명조경" xfId="1630" xr:uid="{00000000-0005-0000-0000-00005D060000}"/>
    <cellStyle name="1_tree_한풍집계_갑지0601_과천놀이터설계서_화명조경_1차 기성 내역서 0612023" xfId="1631" xr:uid="{00000000-0005-0000-0000-00005E060000}"/>
    <cellStyle name="1_tree_한풍집계_갑지0601_과천놀이터설계서_화명조경_3차네고견적(061017-1)" xfId="1632" xr:uid="{00000000-0005-0000-0000-00005F060000}"/>
    <cellStyle name="1_tree_한풍집계_갑지0601_과천놀이터설계서_화명조경_백화점화장실인테리어" xfId="1633" xr:uid="{00000000-0005-0000-0000-000060060000}"/>
    <cellStyle name="1_tree_한풍집계_갑지0601_과천놀이터설계서_화명조경_백화점화장실인테리어_1차 기성 내역서 0612023" xfId="1634" xr:uid="{00000000-0005-0000-0000-000061060000}"/>
    <cellStyle name="1_tree_한풍집계_갑지0601_과천놀이터설계서_화명조경_백화점화장실인테리어_3차네고견적(061017-1)" xfId="1635" xr:uid="{00000000-0005-0000-0000-000062060000}"/>
    <cellStyle name="1_tree_한풍집계_갑지0601_백화점화장실인테리어" xfId="1636" xr:uid="{00000000-0005-0000-0000-000063060000}"/>
    <cellStyle name="1_tree_한풍집계_갑지0601_백화점화장실인테리어_1차 기성 내역서 0612023" xfId="1637" xr:uid="{00000000-0005-0000-0000-000064060000}"/>
    <cellStyle name="1_tree_한풍집계_갑지0601_백화점화장실인테리어_3차네고견적(061017-1)" xfId="1638" xr:uid="{00000000-0005-0000-0000-000065060000}"/>
    <cellStyle name="1_tree_한풍집계_갑지0601_총괄갑지" xfId="1639" xr:uid="{00000000-0005-0000-0000-000066060000}"/>
    <cellStyle name="1_tree_한풍집계_갑지0601_총괄갑지_1차 기성 내역서 0612023" xfId="1640" xr:uid="{00000000-0005-0000-0000-000067060000}"/>
    <cellStyle name="1_tree_한풍집계_갑지0601_총괄갑지_3차네고견적(061017-1)" xfId="1641" xr:uid="{00000000-0005-0000-0000-000068060000}"/>
    <cellStyle name="1_tree_한풍집계_갑지0601_총괄갑지_백화점화장실인테리어" xfId="1642" xr:uid="{00000000-0005-0000-0000-000069060000}"/>
    <cellStyle name="1_tree_한풍집계_갑지0601_총괄갑지_백화점화장실인테리어_1차 기성 내역서 0612023" xfId="1643" xr:uid="{00000000-0005-0000-0000-00006A060000}"/>
    <cellStyle name="1_tree_한풍집계_갑지0601_총괄갑지_백화점화장실인테리어_3차네고견적(061017-1)" xfId="1644" xr:uid="{00000000-0005-0000-0000-00006B060000}"/>
    <cellStyle name="1_tree_한풍집계_갑지0601_총괄갑지_설계내역서" xfId="1645" xr:uid="{00000000-0005-0000-0000-00006C060000}"/>
    <cellStyle name="1_tree_한풍집계_갑지0601_총괄갑지_설계내역서_1차 기성 내역서 0612023" xfId="1646" xr:uid="{00000000-0005-0000-0000-00006D060000}"/>
    <cellStyle name="1_tree_한풍집계_갑지0601_총괄갑지_설계내역서_3차네고견적(061017-1)" xfId="1647" xr:uid="{00000000-0005-0000-0000-00006E060000}"/>
    <cellStyle name="1_tree_한풍집계_갑지0601_총괄갑지_설계내역서_백화점화장실인테리어" xfId="1648" xr:uid="{00000000-0005-0000-0000-00006F060000}"/>
    <cellStyle name="1_tree_한풍집계_갑지0601_총괄갑지_설계내역서_백화점화장실인테리어_1차 기성 내역서 0612023" xfId="1649" xr:uid="{00000000-0005-0000-0000-000070060000}"/>
    <cellStyle name="1_tree_한풍집계_갑지0601_총괄갑지_설계내역서_백화점화장실인테리어_3차네고견적(061017-1)" xfId="1650" xr:uid="{00000000-0005-0000-0000-000071060000}"/>
    <cellStyle name="1_tree_한풍집계_갑지0601_총괄갑지_설계내역서_화명조경" xfId="1651" xr:uid="{00000000-0005-0000-0000-000072060000}"/>
    <cellStyle name="1_tree_한풍집계_갑지0601_총괄갑지_설계내역서_화명조경_1차 기성 내역서 0612023" xfId="1652" xr:uid="{00000000-0005-0000-0000-000073060000}"/>
    <cellStyle name="1_tree_한풍집계_갑지0601_총괄갑지_설계내역서_화명조경_3차네고견적(061017-1)" xfId="1653" xr:uid="{00000000-0005-0000-0000-000074060000}"/>
    <cellStyle name="1_tree_한풍집계_갑지0601_총괄갑지_설계내역서_화명조경_백화점화장실인테리어" xfId="1654" xr:uid="{00000000-0005-0000-0000-000075060000}"/>
    <cellStyle name="1_tree_한풍집계_갑지0601_총괄갑지_설계내역서_화명조경_백화점화장실인테리어_1차 기성 내역서 0612023" xfId="1655" xr:uid="{00000000-0005-0000-0000-000076060000}"/>
    <cellStyle name="1_tree_한풍집계_갑지0601_총괄갑지_설계내역서_화명조경_백화점화장실인테리어_3차네고견적(061017-1)" xfId="1656" xr:uid="{00000000-0005-0000-0000-000077060000}"/>
    <cellStyle name="1_tree_한풍집계_갑지0601_총괄갑지_설계내역서1월7일" xfId="1657" xr:uid="{00000000-0005-0000-0000-000078060000}"/>
    <cellStyle name="1_tree_한풍집계_갑지0601_총괄갑지_설계내역서1월7일_1차 기성 내역서 0612023" xfId="1658" xr:uid="{00000000-0005-0000-0000-000079060000}"/>
    <cellStyle name="1_tree_한풍집계_갑지0601_총괄갑지_설계내역서1월7일_3차네고견적(061017-1)" xfId="1659" xr:uid="{00000000-0005-0000-0000-00007A060000}"/>
    <cellStyle name="1_tree_한풍집계_갑지0601_총괄갑지_설계내역서1월7일_백화점화장실인테리어" xfId="1660" xr:uid="{00000000-0005-0000-0000-00007B060000}"/>
    <cellStyle name="1_tree_한풍집계_갑지0601_총괄갑지_설계내역서1월7일_백화점화장실인테리어_1차 기성 내역서 0612023" xfId="1661" xr:uid="{00000000-0005-0000-0000-00007C060000}"/>
    <cellStyle name="1_tree_한풍집계_갑지0601_총괄갑지_설계내역서1월7일_백화점화장실인테리어_3차네고견적(061017-1)" xfId="1662" xr:uid="{00000000-0005-0000-0000-00007D060000}"/>
    <cellStyle name="1_tree_한풍집계_갑지0601_총괄갑지_설계내역서1월7일_화명조경" xfId="1663" xr:uid="{00000000-0005-0000-0000-00007E060000}"/>
    <cellStyle name="1_tree_한풍집계_갑지0601_총괄갑지_설계내역서1월7일_화명조경_1차 기성 내역서 0612023" xfId="1664" xr:uid="{00000000-0005-0000-0000-00007F060000}"/>
    <cellStyle name="1_tree_한풍집계_갑지0601_총괄갑지_설계내역서1월7일_화명조경_3차네고견적(061017-1)" xfId="1665" xr:uid="{00000000-0005-0000-0000-000080060000}"/>
    <cellStyle name="1_tree_한풍집계_갑지0601_총괄갑지_설계내역서1월7일_화명조경_백화점화장실인테리어" xfId="1666" xr:uid="{00000000-0005-0000-0000-000081060000}"/>
    <cellStyle name="1_tree_한풍집계_갑지0601_총괄갑지_설계내역서1월7일_화명조경_백화점화장실인테리어_1차 기성 내역서 0612023" xfId="1667" xr:uid="{00000000-0005-0000-0000-000082060000}"/>
    <cellStyle name="1_tree_한풍집계_갑지0601_총괄갑지_설계내역서1월7일_화명조경_백화점화장실인테리어_3차네고견적(061017-1)" xfId="1668" xr:uid="{00000000-0005-0000-0000-000083060000}"/>
    <cellStyle name="1_tree_한풍집계_갑지0601_총괄갑지_화명조경" xfId="1669" xr:uid="{00000000-0005-0000-0000-000084060000}"/>
    <cellStyle name="1_tree_한풍집계_갑지0601_총괄갑지_화명조경_1차 기성 내역서 0612023" xfId="1670" xr:uid="{00000000-0005-0000-0000-000085060000}"/>
    <cellStyle name="1_tree_한풍집계_갑지0601_총괄갑지_화명조경_3차네고견적(061017-1)" xfId="1671" xr:uid="{00000000-0005-0000-0000-000086060000}"/>
    <cellStyle name="1_tree_한풍집계_갑지0601_총괄갑지_화명조경_백화점화장실인테리어" xfId="1672" xr:uid="{00000000-0005-0000-0000-000087060000}"/>
    <cellStyle name="1_tree_한풍집계_갑지0601_총괄갑지_화명조경_백화점화장실인테리어_1차 기성 내역서 0612023" xfId="1673" xr:uid="{00000000-0005-0000-0000-000088060000}"/>
    <cellStyle name="1_tree_한풍집계_갑지0601_총괄갑지_화명조경_백화점화장실인테리어_3차네고견적(061017-1)" xfId="1674" xr:uid="{00000000-0005-0000-0000-000089060000}"/>
    <cellStyle name="1_tree_한풍집계_갑지0601_총괄내역서" xfId="1675" xr:uid="{00000000-0005-0000-0000-00008A060000}"/>
    <cellStyle name="1_tree_한풍집계_갑지0601_총괄내역서_1차 기성 내역서 0612023" xfId="1676" xr:uid="{00000000-0005-0000-0000-00008B060000}"/>
    <cellStyle name="1_tree_한풍집계_갑지0601_총괄내역서_3차네고견적(061017-1)" xfId="1677" xr:uid="{00000000-0005-0000-0000-00008C060000}"/>
    <cellStyle name="1_tree_한풍집계_갑지0601_총괄내역서_백화점화장실인테리어" xfId="1678" xr:uid="{00000000-0005-0000-0000-00008D060000}"/>
    <cellStyle name="1_tree_한풍집계_갑지0601_총괄내역서_백화점화장실인테리어_1차 기성 내역서 0612023" xfId="1679" xr:uid="{00000000-0005-0000-0000-00008E060000}"/>
    <cellStyle name="1_tree_한풍집계_갑지0601_총괄내역서_백화점화장실인테리어_3차네고견적(061017-1)" xfId="1680" xr:uid="{00000000-0005-0000-0000-00008F060000}"/>
    <cellStyle name="1_tree_한풍집계_갑지0601_총괄내역서_설계내역서" xfId="1681" xr:uid="{00000000-0005-0000-0000-000090060000}"/>
    <cellStyle name="1_tree_한풍집계_갑지0601_총괄내역서_설계내역서_1차 기성 내역서 0612023" xfId="1682" xr:uid="{00000000-0005-0000-0000-000091060000}"/>
    <cellStyle name="1_tree_한풍집계_갑지0601_총괄내역서_설계내역서_3차네고견적(061017-1)" xfId="1683" xr:uid="{00000000-0005-0000-0000-000092060000}"/>
    <cellStyle name="1_tree_한풍집계_갑지0601_총괄내역서_설계내역서_백화점화장실인테리어" xfId="1684" xr:uid="{00000000-0005-0000-0000-000093060000}"/>
    <cellStyle name="1_tree_한풍집계_갑지0601_총괄내역서_설계내역서_백화점화장실인테리어_1차 기성 내역서 0612023" xfId="1685" xr:uid="{00000000-0005-0000-0000-000094060000}"/>
    <cellStyle name="1_tree_한풍집계_갑지0601_총괄내역서_설계내역서_백화점화장실인테리어_3차네고견적(061017-1)" xfId="1686" xr:uid="{00000000-0005-0000-0000-000095060000}"/>
    <cellStyle name="1_tree_한풍집계_갑지0601_총괄내역서_설계내역서_화명조경" xfId="1687" xr:uid="{00000000-0005-0000-0000-000096060000}"/>
    <cellStyle name="1_tree_한풍집계_갑지0601_총괄내역서_설계내역서_화명조경_1차 기성 내역서 0612023" xfId="1688" xr:uid="{00000000-0005-0000-0000-000097060000}"/>
    <cellStyle name="1_tree_한풍집계_갑지0601_총괄내역서_설계내역서_화명조경_3차네고견적(061017-1)" xfId="1689" xr:uid="{00000000-0005-0000-0000-000098060000}"/>
    <cellStyle name="1_tree_한풍집계_갑지0601_총괄내역서_설계내역서_화명조경_백화점화장실인테리어" xfId="1690" xr:uid="{00000000-0005-0000-0000-000099060000}"/>
    <cellStyle name="1_tree_한풍집계_갑지0601_총괄내역서_설계내역서_화명조경_백화점화장실인테리어_1차 기성 내역서 0612023" xfId="1691" xr:uid="{00000000-0005-0000-0000-00009A060000}"/>
    <cellStyle name="1_tree_한풍집계_갑지0601_총괄내역서_설계내역서_화명조경_백화점화장실인테리어_3차네고견적(061017-1)" xfId="1692" xr:uid="{00000000-0005-0000-0000-00009B060000}"/>
    <cellStyle name="1_tree_한풍집계_갑지0601_총괄내역서_설계내역서1월7일" xfId="1693" xr:uid="{00000000-0005-0000-0000-00009C060000}"/>
    <cellStyle name="1_tree_한풍집계_갑지0601_총괄내역서_설계내역서1월7일_1차 기성 내역서 0612023" xfId="1694" xr:uid="{00000000-0005-0000-0000-00009D060000}"/>
    <cellStyle name="1_tree_한풍집계_갑지0601_총괄내역서_설계내역서1월7일_3차네고견적(061017-1)" xfId="1695" xr:uid="{00000000-0005-0000-0000-00009E060000}"/>
    <cellStyle name="1_tree_한풍집계_갑지0601_총괄내역서_설계내역서1월7일_백화점화장실인테리어" xfId="1696" xr:uid="{00000000-0005-0000-0000-00009F060000}"/>
    <cellStyle name="1_tree_한풍집계_갑지0601_총괄내역서_설계내역서1월7일_백화점화장실인테리어_1차 기성 내역서 0612023" xfId="1697" xr:uid="{00000000-0005-0000-0000-0000A0060000}"/>
    <cellStyle name="1_tree_한풍집계_갑지0601_총괄내역서_설계내역서1월7일_백화점화장실인테리어_3차네고견적(061017-1)" xfId="1698" xr:uid="{00000000-0005-0000-0000-0000A1060000}"/>
    <cellStyle name="1_tree_한풍집계_갑지0601_총괄내역서_설계내역서1월7일_화명조경" xfId="1699" xr:uid="{00000000-0005-0000-0000-0000A2060000}"/>
    <cellStyle name="1_tree_한풍집계_갑지0601_총괄내역서_설계내역서1월7일_화명조경_1차 기성 내역서 0612023" xfId="1700" xr:uid="{00000000-0005-0000-0000-0000A3060000}"/>
    <cellStyle name="1_tree_한풍집계_갑지0601_총괄내역서_설계내역서1월7일_화명조경_3차네고견적(061017-1)" xfId="1701" xr:uid="{00000000-0005-0000-0000-0000A4060000}"/>
    <cellStyle name="1_tree_한풍집계_갑지0601_총괄내역서_설계내역서1월7일_화명조경_백화점화장실인테리어" xfId="1702" xr:uid="{00000000-0005-0000-0000-0000A5060000}"/>
    <cellStyle name="1_tree_한풍집계_갑지0601_총괄내역서_설계내역서1월7일_화명조경_백화점화장실인테리어_1차 기성 내역서 0612023" xfId="1703" xr:uid="{00000000-0005-0000-0000-0000A6060000}"/>
    <cellStyle name="1_tree_한풍집계_갑지0601_총괄내역서_설계내역서1월7일_화명조경_백화점화장실인테리어_3차네고견적(061017-1)" xfId="1704" xr:uid="{00000000-0005-0000-0000-0000A7060000}"/>
    <cellStyle name="1_tree_한풍집계_갑지0601_총괄내역서_화명조경" xfId="1705" xr:uid="{00000000-0005-0000-0000-0000A8060000}"/>
    <cellStyle name="1_tree_한풍집계_갑지0601_총괄내역서_화명조경_1차 기성 내역서 0612023" xfId="1706" xr:uid="{00000000-0005-0000-0000-0000A9060000}"/>
    <cellStyle name="1_tree_한풍집계_갑지0601_총괄내역서_화명조경_3차네고견적(061017-1)" xfId="1707" xr:uid="{00000000-0005-0000-0000-0000AA060000}"/>
    <cellStyle name="1_tree_한풍집계_갑지0601_총괄내역서_화명조경_백화점화장실인테리어" xfId="1708" xr:uid="{00000000-0005-0000-0000-0000AB060000}"/>
    <cellStyle name="1_tree_한풍집계_갑지0601_총괄내역서_화명조경_백화점화장실인테리어_1차 기성 내역서 0612023" xfId="1709" xr:uid="{00000000-0005-0000-0000-0000AC060000}"/>
    <cellStyle name="1_tree_한풍집계_갑지0601_총괄내역서_화명조경_백화점화장실인테리어_3차네고견적(061017-1)" xfId="1710" xr:uid="{00000000-0005-0000-0000-0000AD060000}"/>
    <cellStyle name="1_tree_한풍집계_갑지0601_화명조경" xfId="1711" xr:uid="{00000000-0005-0000-0000-0000AE060000}"/>
    <cellStyle name="1_tree_한풍집계_갑지0601_화명조경_1차 기성 내역서 0612023" xfId="1712" xr:uid="{00000000-0005-0000-0000-0000AF060000}"/>
    <cellStyle name="1_tree_한풍집계_갑지0601_화명조경_3차네고견적(061017-1)" xfId="1713" xr:uid="{00000000-0005-0000-0000-0000B0060000}"/>
    <cellStyle name="1_tree_한풍집계_갑지0601_화명조경_백화점화장실인테리어" xfId="1714" xr:uid="{00000000-0005-0000-0000-0000B1060000}"/>
    <cellStyle name="1_tree_한풍집계_갑지0601_화명조경_백화점화장실인테리어_1차 기성 내역서 0612023" xfId="1715" xr:uid="{00000000-0005-0000-0000-0000B2060000}"/>
    <cellStyle name="1_tree_한풍집계_갑지0601_화명조경_백화점화장실인테리어_3차네고견적(061017-1)" xfId="1716" xr:uid="{00000000-0005-0000-0000-0000B3060000}"/>
    <cellStyle name="1_tree_한풍집계_백화점화장실인테리어" xfId="1717" xr:uid="{00000000-0005-0000-0000-0000B4060000}"/>
    <cellStyle name="1_tree_한풍집계_백화점화장실인테리어_1차 기성 내역서 0612023" xfId="1718" xr:uid="{00000000-0005-0000-0000-0000B5060000}"/>
    <cellStyle name="1_tree_한풍집계_백화점화장실인테리어_3차네고견적(061017-1)" xfId="1719" xr:uid="{00000000-0005-0000-0000-0000B6060000}"/>
    <cellStyle name="1_tree_한풍집계_설계내역서" xfId="1720" xr:uid="{00000000-0005-0000-0000-0000B7060000}"/>
    <cellStyle name="1_tree_한풍집계_설계내역서_1차 기성 내역서 0612023" xfId="1721" xr:uid="{00000000-0005-0000-0000-0000B8060000}"/>
    <cellStyle name="1_tree_한풍집계_설계내역서_3차네고견적(061017-1)" xfId="1722" xr:uid="{00000000-0005-0000-0000-0000B9060000}"/>
    <cellStyle name="1_tree_한풍집계_설계내역서_백화점화장실인테리어" xfId="1723" xr:uid="{00000000-0005-0000-0000-0000BA060000}"/>
    <cellStyle name="1_tree_한풍집계_설계내역서_백화점화장실인테리어_1차 기성 내역서 0612023" xfId="1724" xr:uid="{00000000-0005-0000-0000-0000BB060000}"/>
    <cellStyle name="1_tree_한풍집계_설계내역서_백화점화장실인테리어_3차네고견적(061017-1)" xfId="1725" xr:uid="{00000000-0005-0000-0000-0000BC060000}"/>
    <cellStyle name="1_tree_한풍집계_설계내역서_화명조경" xfId="1726" xr:uid="{00000000-0005-0000-0000-0000BD060000}"/>
    <cellStyle name="1_tree_한풍집계_설계내역서_화명조경_1차 기성 내역서 0612023" xfId="1727" xr:uid="{00000000-0005-0000-0000-0000BE060000}"/>
    <cellStyle name="1_tree_한풍집계_설계내역서_화명조경_3차네고견적(061017-1)" xfId="1728" xr:uid="{00000000-0005-0000-0000-0000BF060000}"/>
    <cellStyle name="1_tree_한풍집계_설계내역서_화명조경_백화점화장실인테리어" xfId="1729" xr:uid="{00000000-0005-0000-0000-0000C0060000}"/>
    <cellStyle name="1_tree_한풍집계_설계내역서_화명조경_백화점화장실인테리어_1차 기성 내역서 0612023" xfId="1730" xr:uid="{00000000-0005-0000-0000-0000C1060000}"/>
    <cellStyle name="1_tree_한풍집계_설계내역서_화명조경_백화점화장실인테리어_3차네고견적(061017-1)" xfId="1731" xr:uid="{00000000-0005-0000-0000-0000C2060000}"/>
    <cellStyle name="1_tree_한풍집계_설계내역서1월7일" xfId="1732" xr:uid="{00000000-0005-0000-0000-0000C3060000}"/>
    <cellStyle name="1_tree_한풍집계_설계내역서1월7일_1차 기성 내역서 0612023" xfId="1733" xr:uid="{00000000-0005-0000-0000-0000C4060000}"/>
    <cellStyle name="1_tree_한풍집계_설계내역서1월7일_3차네고견적(061017-1)" xfId="1734" xr:uid="{00000000-0005-0000-0000-0000C5060000}"/>
    <cellStyle name="1_tree_한풍집계_설계내역서1월7일_백화점화장실인테리어" xfId="1735" xr:uid="{00000000-0005-0000-0000-0000C6060000}"/>
    <cellStyle name="1_tree_한풍집계_설계내역서1월7일_백화점화장실인테리어_1차 기성 내역서 0612023" xfId="1736" xr:uid="{00000000-0005-0000-0000-0000C7060000}"/>
    <cellStyle name="1_tree_한풍집계_설계내역서1월7일_백화점화장실인테리어_3차네고견적(061017-1)" xfId="1737" xr:uid="{00000000-0005-0000-0000-0000C8060000}"/>
    <cellStyle name="1_tree_한풍집계_설계내역서1월7일_화명조경" xfId="1738" xr:uid="{00000000-0005-0000-0000-0000C9060000}"/>
    <cellStyle name="1_tree_한풍집계_설계내역서1월7일_화명조경_1차 기성 내역서 0612023" xfId="1739" xr:uid="{00000000-0005-0000-0000-0000CA060000}"/>
    <cellStyle name="1_tree_한풍집계_설계내역서1월7일_화명조경_3차네고견적(061017-1)" xfId="1740" xr:uid="{00000000-0005-0000-0000-0000CB060000}"/>
    <cellStyle name="1_tree_한풍집계_설계내역서1월7일_화명조경_백화점화장실인테리어" xfId="1741" xr:uid="{00000000-0005-0000-0000-0000CC060000}"/>
    <cellStyle name="1_tree_한풍집계_설계내역서1월7일_화명조경_백화점화장실인테리어_1차 기성 내역서 0612023" xfId="1742" xr:uid="{00000000-0005-0000-0000-0000CD060000}"/>
    <cellStyle name="1_tree_한풍집계_설계내역서1월7일_화명조경_백화점화장실인테리어_3차네고견적(061017-1)" xfId="1743" xr:uid="{00000000-0005-0000-0000-0000CE060000}"/>
    <cellStyle name="1_tree_한풍집계_쌍용수량0905" xfId="1744" xr:uid="{00000000-0005-0000-0000-0000CF060000}"/>
    <cellStyle name="1_tree_한풍집계_쌍용수량0905_1차 기성 내역서 0612023" xfId="1745" xr:uid="{00000000-0005-0000-0000-0000D0060000}"/>
    <cellStyle name="1_tree_한풍집계_쌍용수량0905_3차네고견적(061017-1)" xfId="1746" xr:uid="{00000000-0005-0000-0000-0000D1060000}"/>
    <cellStyle name="1_tree_한풍집계_쌍용수량0905_백화점화장실인테리어" xfId="1747" xr:uid="{00000000-0005-0000-0000-0000D2060000}"/>
    <cellStyle name="1_tree_한풍집계_쌍용수량0905_백화점화장실인테리어_1차 기성 내역서 0612023" xfId="1748" xr:uid="{00000000-0005-0000-0000-0000D3060000}"/>
    <cellStyle name="1_tree_한풍집계_쌍용수량0905_백화점화장실인테리어_3차네고견적(061017-1)" xfId="1749" xr:uid="{00000000-0005-0000-0000-0000D4060000}"/>
    <cellStyle name="1_tree_한풍집계_쌍용수량0905_설계내역서" xfId="1750" xr:uid="{00000000-0005-0000-0000-0000D5060000}"/>
    <cellStyle name="1_tree_한풍집계_쌍용수량0905_설계내역서_1차 기성 내역서 0612023" xfId="1751" xr:uid="{00000000-0005-0000-0000-0000D6060000}"/>
    <cellStyle name="1_tree_한풍집계_쌍용수량0905_설계내역서_3차네고견적(061017-1)" xfId="1752" xr:uid="{00000000-0005-0000-0000-0000D7060000}"/>
    <cellStyle name="1_tree_한풍집계_쌍용수량0905_설계내역서_백화점화장실인테리어" xfId="1753" xr:uid="{00000000-0005-0000-0000-0000D8060000}"/>
    <cellStyle name="1_tree_한풍집계_쌍용수량0905_설계내역서_백화점화장실인테리어_1차 기성 내역서 0612023" xfId="1754" xr:uid="{00000000-0005-0000-0000-0000D9060000}"/>
    <cellStyle name="1_tree_한풍집계_쌍용수량0905_설계내역서_백화점화장실인테리어_3차네고견적(061017-1)" xfId="1755" xr:uid="{00000000-0005-0000-0000-0000DA060000}"/>
    <cellStyle name="1_tree_한풍집계_쌍용수량0905_설계내역서_화명조경" xfId="1756" xr:uid="{00000000-0005-0000-0000-0000DB060000}"/>
    <cellStyle name="1_tree_한풍집계_쌍용수량0905_설계내역서_화명조경_1차 기성 내역서 0612023" xfId="1757" xr:uid="{00000000-0005-0000-0000-0000DC060000}"/>
    <cellStyle name="1_tree_한풍집계_쌍용수량0905_설계내역서_화명조경_3차네고견적(061017-1)" xfId="1758" xr:uid="{00000000-0005-0000-0000-0000DD060000}"/>
    <cellStyle name="1_tree_한풍집계_쌍용수량0905_설계내역서_화명조경_백화점화장실인테리어" xfId="1759" xr:uid="{00000000-0005-0000-0000-0000DE060000}"/>
    <cellStyle name="1_tree_한풍집계_쌍용수량0905_설계내역서_화명조경_백화점화장실인테리어_1차 기성 내역서 0612023" xfId="1760" xr:uid="{00000000-0005-0000-0000-0000DF060000}"/>
    <cellStyle name="1_tree_한풍집계_쌍용수량0905_설계내역서_화명조경_백화점화장실인테리어_3차네고견적(061017-1)" xfId="1761" xr:uid="{00000000-0005-0000-0000-0000E0060000}"/>
    <cellStyle name="1_tree_한풍집계_쌍용수량0905_설계내역서1월7일" xfId="1762" xr:uid="{00000000-0005-0000-0000-0000E1060000}"/>
    <cellStyle name="1_tree_한풍집계_쌍용수량0905_설계내역서1월7일_1차 기성 내역서 0612023" xfId="1763" xr:uid="{00000000-0005-0000-0000-0000E2060000}"/>
    <cellStyle name="1_tree_한풍집계_쌍용수량0905_설계내역서1월7일_3차네고견적(061017-1)" xfId="1764" xr:uid="{00000000-0005-0000-0000-0000E3060000}"/>
    <cellStyle name="1_tree_한풍집계_쌍용수량0905_설계내역서1월7일_백화점화장실인테리어" xfId="1765" xr:uid="{00000000-0005-0000-0000-0000E4060000}"/>
    <cellStyle name="1_tree_한풍집계_쌍용수량0905_설계내역서1월7일_백화점화장실인테리어_1차 기성 내역서 0612023" xfId="1766" xr:uid="{00000000-0005-0000-0000-0000E5060000}"/>
    <cellStyle name="1_tree_한풍집계_쌍용수량0905_설계내역서1월7일_백화점화장실인테리어_3차네고견적(061017-1)" xfId="1767" xr:uid="{00000000-0005-0000-0000-0000E6060000}"/>
    <cellStyle name="1_tree_한풍집계_쌍용수량0905_설계내역서1월7일_화명조경" xfId="1768" xr:uid="{00000000-0005-0000-0000-0000E7060000}"/>
    <cellStyle name="1_tree_한풍집계_쌍용수량0905_설계내역서1월7일_화명조경_1차 기성 내역서 0612023" xfId="1769" xr:uid="{00000000-0005-0000-0000-0000E8060000}"/>
    <cellStyle name="1_tree_한풍집계_쌍용수량0905_설계내역서1월7일_화명조경_3차네고견적(061017-1)" xfId="1770" xr:uid="{00000000-0005-0000-0000-0000E9060000}"/>
    <cellStyle name="1_tree_한풍집계_쌍용수량0905_설계내역서1월7일_화명조경_백화점화장실인테리어" xfId="1771" xr:uid="{00000000-0005-0000-0000-0000EA060000}"/>
    <cellStyle name="1_tree_한풍집계_쌍용수량0905_설계내역서1월7일_화명조경_백화점화장실인테리어_1차 기성 내역서 0612023" xfId="1772" xr:uid="{00000000-0005-0000-0000-0000EB060000}"/>
    <cellStyle name="1_tree_한풍집계_쌍용수량0905_설계내역서1월7일_화명조경_백화점화장실인테리어_3차네고견적(061017-1)" xfId="1773" xr:uid="{00000000-0005-0000-0000-0000EC060000}"/>
    <cellStyle name="1_tree_한풍집계_쌍용수량0905_화명조경" xfId="1774" xr:uid="{00000000-0005-0000-0000-0000ED060000}"/>
    <cellStyle name="1_tree_한풍집계_쌍용수량0905_화명조경_1차 기성 내역서 0612023" xfId="1775" xr:uid="{00000000-0005-0000-0000-0000EE060000}"/>
    <cellStyle name="1_tree_한풍집계_쌍용수량0905_화명조경_3차네고견적(061017-1)" xfId="1776" xr:uid="{00000000-0005-0000-0000-0000EF060000}"/>
    <cellStyle name="1_tree_한풍집계_쌍용수량0905_화명조경_백화점화장실인테리어" xfId="1777" xr:uid="{00000000-0005-0000-0000-0000F0060000}"/>
    <cellStyle name="1_tree_한풍집계_쌍용수량0905_화명조경_백화점화장실인테리어_1차 기성 내역서 0612023" xfId="1778" xr:uid="{00000000-0005-0000-0000-0000F1060000}"/>
    <cellStyle name="1_tree_한풍집계_쌍용수량0905_화명조경_백화점화장실인테리어_3차네고견적(061017-1)" xfId="1779" xr:uid="{00000000-0005-0000-0000-0000F2060000}"/>
    <cellStyle name="1_tree_한풍집계_터미널1-0" xfId="1780" xr:uid="{00000000-0005-0000-0000-0000F3060000}"/>
    <cellStyle name="1_tree_한풍집계_터미널1-0_1차 기성 내역서 0612023" xfId="1781" xr:uid="{00000000-0005-0000-0000-0000F4060000}"/>
    <cellStyle name="1_tree_한풍집계_터미널1-0_3차네고견적(061017-1)" xfId="1782" xr:uid="{00000000-0005-0000-0000-0000F5060000}"/>
    <cellStyle name="1_tree_한풍집계_터미널1-0_백화점화장실인테리어" xfId="1783" xr:uid="{00000000-0005-0000-0000-0000F6060000}"/>
    <cellStyle name="1_tree_한풍집계_터미널1-0_백화점화장실인테리어_1차 기성 내역서 0612023" xfId="1784" xr:uid="{00000000-0005-0000-0000-0000F7060000}"/>
    <cellStyle name="1_tree_한풍집계_터미널1-0_백화점화장실인테리어_3차네고견적(061017-1)" xfId="1785" xr:uid="{00000000-0005-0000-0000-0000F8060000}"/>
    <cellStyle name="1_tree_한풍집계_터미널1-0_화명조경" xfId="1786" xr:uid="{00000000-0005-0000-0000-0000F9060000}"/>
    <cellStyle name="1_tree_한풍집계_터미널1-0_화명조경_1차 기성 내역서 0612023" xfId="1787" xr:uid="{00000000-0005-0000-0000-0000FA060000}"/>
    <cellStyle name="1_tree_한풍집계_터미널1-0_화명조경_3차네고견적(061017-1)" xfId="1788" xr:uid="{00000000-0005-0000-0000-0000FB060000}"/>
    <cellStyle name="1_tree_한풍집계_터미널1-0_화명조경_백화점화장실인테리어" xfId="1789" xr:uid="{00000000-0005-0000-0000-0000FC060000}"/>
    <cellStyle name="1_tree_한풍집계_터미널1-0_화명조경_백화점화장실인테리어_1차 기성 내역서 0612023" xfId="1790" xr:uid="{00000000-0005-0000-0000-0000FD060000}"/>
    <cellStyle name="1_tree_한풍집계_터미널1-0_화명조경_백화점화장실인테리어_3차네고견적(061017-1)" xfId="1791" xr:uid="{00000000-0005-0000-0000-0000FE060000}"/>
    <cellStyle name="1_tree_한풍집계_화명조경" xfId="1792" xr:uid="{00000000-0005-0000-0000-0000FF060000}"/>
    <cellStyle name="1_tree_한풍집계_화명조경_1차 기성 내역서 0612023" xfId="1793" xr:uid="{00000000-0005-0000-0000-000000070000}"/>
    <cellStyle name="1_tree_한풍집계_화명조경_3차네고견적(061017-1)" xfId="1794" xr:uid="{00000000-0005-0000-0000-000001070000}"/>
    <cellStyle name="1_tree_한풍집계_화명조경_백화점화장실인테리어" xfId="1795" xr:uid="{00000000-0005-0000-0000-000002070000}"/>
    <cellStyle name="1_tree_한풍집계_화명조경_백화점화장실인테리어_1차 기성 내역서 0612023" xfId="1796" xr:uid="{00000000-0005-0000-0000-000003070000}"/>
    <cellStyle name="1_tree_한풍집계_화명조경_백화점화장실인테리어_3차네고견적(061017-1)" xfId="1797" xr:uid="{00000000-0005-0000-0000-000004070000}"/>
    <cellStyle name="1_tree_화명조경" xfId="1798" xr:uid="{00000000-0005-0000-0000-000005070000}"/>
    <cellStyle name="1_tree_화명조경_1차 기성 내역서 0612023" xfId="1799" xr:uid="{00000000-0005-0000-0000-000006070000}"/>
    <cellStyle name="1_tree_화명조경_3차네고견적(061017-1)" xfId="1800" xr:uid="{00000000-0005-0000-0000-000007070000}"/>
    <cellStyle name="1_tree_화명조경_백화점화장실인테리어" xfId="1801" xr:uid="{00000000-0005-0000-0000-000008070000}"/>
    <cellStyle name="1_tree_화명조경_백화점화장실인테리어_1차 기성 내역서 0612023" xfId="1802" xr:uid="{00000000-0005-0000-0000-000009070000}"/>
    <cellStyle name="1_tree_화명조경_백화점화장실인테리어_3차네고견적(061017-1)" xfId="1803" xr:uid="{00000000-0005-0000-0000-00000A070000}"/>
    <cellStyle name="1_남해총괄표" xfId="1804" xr:uid="{00000000-0005-0000-0000-00000B070000}"/>
    <cellStyle name="1_남해총괄표_1차 기성 내역서 0612023" xfId="1805" xr:uid="{00000000-0005-0000-0000-00000C070000}"/>
    <cellStyle name="1_남해총괄표_3차네고견적(061017-1)" xfId="1806" xr:uid="{00000000-0005-0000-0000-00000D070000}"/>
    <cellStyle name="1_남해총괄표_문화센타" xfId="1807" xr:uid="{00000000-0005-0000-0000-00000E070000}"/>
    <cellStyle name="1_남해총괄표_백화점화장실인테리어" xfId="1808" xr:uid="{00000000-0005-0000-0000-00000F070000}"/>
    <cellStyle name="1_남해총괄표_백화점화장실인테리어_1차 기성 내역서 0612023" xfId="1809" xr:uid="{00000000-0005-0000-0000-000010070000}"/>
    <cellStyle name="1_남해총괄표_백화점화장실인테리어_3차네고견적(061017-1)" xfId="1810" xr:uid="{00000000-0005-0000-0000-000011070000}"/>
    <cellStyle name="1_남해총괄표_백화점화장실인테리어_문화센타" xfId="1811" xr:uid="{00000000-0005-0000-0000-000012070000}"/>
    <cellStyle name="1_남해총괄표_설계내역서" xfId="1812" xr:uid="{00000000-0005-0000-0000-000013070000}"/>
    <cellStyle name="1_남해총괄표_설계내역서_1차 기성 내역서 0612023" xfId="1813" xr:uid="{00000000-0005-0000-0000-000014070000}"/>
    <cellStyle name="1_남해총괄표_설계내역서_3차네고견적(061017-1)" xfId="1814" xr:uid="{00000000-0005-0000-0000-000015070000}"/>
    <cellStyle name="1_남해총괄표_설계내역서_문화센타" xfId="1815" xr:uid="{00000000-0005-0000-0000-000016070000}"/>
    <cellStyle name="1_남해총괄표_설계내역서_백화점화장실인테리어" xfId="1816" xr:uid="{00000000-0005-0000-0000-000017070000}"/>
    <cellStyle name="1_남해총괄표_설계내역서_백화점화장실인테리어_1차 기성 내역서 0612023" xfId="1817" xr:uid="{00000000-0005-0000-0000-000018070000}"/>
    <cellStyle name="1_남해총괄표_설계내역서_백화점화장실인테리어_3차네고견적(061017-1)" xfId="1818" xr:uid="{00000000-0005-0000-0000-000019070000}"/>
    <cellStyle name="1_남해총괄표_설계내역서_백화점화장실인테리어_문화센타" xfId="1819" xr:uid="{00000000-0005-0000-0000-00001A070000}"/>
    <cellStyle name="1_남해총괄표_설계내역서_화명조경" xfId="1820" xr:uid="{00000000-0005-0000-0000-00001B070000}"/>
    <cellStyle name="1_남해총괄표_설계내역서_화명조경_1차 기성 내역서 0612023" xfId="1821" xr:uid="{00000000-0005-0000-0000-00001C070000}"/>
    <cellStyle name="1_남해총괄표_설계내역서_화명조경_3차네고견적(061017-1)" xfId="1822" xr:uid="{00000000-0005-0000-0000-00001D070000}"/>
    <cellStyle name="1_남해총괄표_설계내역서_화명조경_문화센타" xfId="1823" xr:uid="{00000000-0005-0000-0000-00001E070000}"/>
    <cellStyle name="1_남해총괄표_설계내역서_화명조경_백화점화장실인테리어" xfId="1824" xr:uid="{00000000-0005-0000-0000-00001F070000}"/>
    <cellStyle name="1_남해총괄표_설계내역서_화명조경_백화점화장실인테리어_1차 기성 내역서 0612023" xfId="1825" xr:uid="{00000000-0005-0000-0000-000020070000}"/>
    <cellStyle name="1_남해총괄표_설계내역서_화명조경_백화점화장실인테리어_3차네고견적(061017-1)" xfId="1826" xr:uid="{00000000-0005-0000-0000-000021070000}"/>
    <cellStyle name="1_남해총괄표_설계내역서_화명조경_백화점화장실인테리어_문화센타" xfId="1827" xr:uid="{00000000-0005-0000-0000-000022070000}"/>
    <cellStyle name="1_남해총괄표_설계내역서1월7일" xfId="1828" xr:uid="{00000000-0005-0000-0000-000023070000}"/>
    <cellStyle name="1_남해총괄표_설계내역서1월7일_1차 기성 내역서 0612023" xfId="1829" xr:uid="{00000000-0005-0000-0000-000024070000}"/>
    <cellStyle name="1_남해총괄표_설계내역서1월7일_3차네고견적(061017-1)" xfId="1830" xr:uid="{00000000-0005-0000-0000-000025070000}"/>
    <cellStyle name="1_남해총괄표_설계내역서1월7일_문화센타" xfId="1831" xr:uid="{00000000-0005-0000-0000-000026070000}"/>
    <cellStyle name="1_남해총괄표_설계내역서1월7일_백화점화장실인테리어" xfId="1832" xr:uid="{00000000-0005-0000-0000-000027070000}"/>
    <cellStyle name="1_남해총괄표_설계내역서1월7일_백화점화장실인테리어_1차 기성 내역서 0612023" xfId="1833" xr:uid="{00000000-0005-0000-0000-000028070000}"/>
    <cellStyle name="1_남해총괄표_설계내역서1월7일_백화점화장실인테리어_3차네고견적(061017-1)" xfId="1834" xr:uid="{00000000-0005-0000-0000-000029070000}"/>
    <cellStyle name="1_남해총괄표_설계내역서1월7일_백화점화장실인테리어_문화센타" xfId="1835" xr:uid="{00000000-0005-0000-0000-00002A070000}"/>
    <cellStyle name="1_남해총괄표_설계내역서1월7일_화명조경" xfId="1836" xr:uid="{00000000-0005-0000-0000-00002B070000}"/>
    <cellStyle name="1_남해총괄표_설계내역서1월7일_화명조경_1차 기성 내역서 0612023" xfId="1837" xr:uid="{00000000-0005-0000-0000-00002C070000}"/>
    <cellStyle name="1_남해총괄표_설계내역서1월7일_화명조경_3차네고견적(061017-1)" xfId="1838" xr:uid="{00000000-0005-0000-0000-00002D070000}"/>
    <cellStyle name="1_남해총괄표_설계내역서1월7일_화명조경_문화센타" xfId="1839" xr:uid="{00000000-0005-0000-0000-00002E070000}"/>
    <cellStyle name="1_남해총괄표_설계내역서1월7일_화명조경_백화점화장실인테리어" xfId="1840" xr:uid="{00000000-0005-0000-0000-00002F070000}"/>
    <cellStyle name="1_남해총괄표_설계내역서1월7일_화명조경_백화점화장실인테리어_1차 기성 내역서 0612023" xfId="1841" xr:uid="{00000000-0005-0000-0000-000030070000}"/>
    <cellStyle name="1_남해총괄표_설계내역서1월7일_화명조경_백화점화장실인테리어_3차네고견적(061017-1)" xfId="1842" xr:uid="{00000000-0005-0000-0000-000031070000}"/>
    <cellStyle name="1_남해총괄표_설계내역서1월7일_화명조경_백화점화장실인테리어_문화센타" xfId="1843" xr:uid="{00000000-0005-0000-0000-000032070000}"/>
    <cellStyle name="1_남해총괄표_화명조경" xfId="1844" xr:uid="{00000000-0005-0000-0000-000033070000}"/>
    <cellStyle name="1_남해총괄표_화명조경_1차 기성 내역서 0612023" xfId="1845" xr:uid="{00000000-0005-0000-0000-000034070000}"/>
    <cellStyle name="1_남해총괄표_화명조경_3차네고견적(061017-1)" xfId="1846" xr:uid="{00000000-0005-0000-0000-000035070000}"/>
    <cellStyle name="1_남해총괄표_화명조경_백화점화장실인테리어" xfId="1847" xr:uid="{00000000-0005-0000-0000-000036070000}"/>
    <cellStyle name="1_남해총괄표_화명조경_백화점화장실인테리어_1차 기성 내역서 0612023" xfId="1848" xr:uid="{00000000-0005-0000-0000-000037070000}"/>
    <cellStyle name="1_남해총괄표_화명조경_백화점화장실인테리어_3차네고견적(061017-1)" xfId="1849" xr:uid="{00000000-0005-0000-0000-000038070000}"/>
    <cellStyle name="1_단가조사표" xfId="1850" xr:uid="{00000000-0005-0000-0000-000039070000}"/>
    <cellStyle name="1_수원변경수량산출" xfId="1851" xr:uid="{00000000-0005-0000-0000-00003A070000}"/>
    <cellStyle name="1_쌍용수량0905" xfId="1852" xr:uid="{00000000-0005-0000-0000-00003B070000}"/>
    <cellStyle name="1_쌍용수량0905_1차 기성 내역서 0612023" xfId="1853" xr:uid="{00000000-0005-0000-0000-00003C070000}"/>
    <cellStyle name="1_쌍용수량0905_3차네고견적(061017-1)" xfId="1854" xr:uid="{00000000-0005-0000-0000-00003D070000}"/>
    <cellStyle name="1_쌍용수량0905_백화점화장실인테리어" xfId="1855" xr:uid="{00000000-0005-0000-0000-00003E070000}"/>
    <cellStyle name="1_쌍용수량0905_백화점화장실인테리어_1차 기성 내역서 0612023" xfId="1856" xr:uid="{00000000-0005-0000-0000-00003F070000}"/>
    <cellStyle name="1_쌍용수량0905_백화점화장실인테리어_3차네고견적(061017-1)" xfId="1857" xr:uid="{00000000-0005-0000-0000-000040070000}"/>
    <cellStyle name="1_쌍용수량0905_설계내역서" xfId="1858" xr:uid="{00000000-0005-0000-0000-000041070000}"/>
    <cellStyle name="1_쌍용수량0905_설계내역서_1차 기성 내역서 0612023" xfId="1859" xr:uid="{00000000-0005-0000-0000-000042070000}"/>
    <cellStyle name="1_쌍용수량0905_설계내역서_3차네고견적(061017-1)" xfId="1860" xr:uid="{00000000-0005-0000-0000-000043070000}"/>
    <cellStyle name="1_쌍용수량0905_설계내역서_백화점화장실인테리어" xfId="1861" xr:uid="{00000000-0005-0000-0000-000044070000}"/>
    <cellStyle name="1_쌍용수량0905_설계내역서_백화점화장실인테리어_1차 기성 내역서 0612023" xfId="1862" xr:uid="{00000000-0005-0000-0000-000045070000}"/>
    <cellStyle name="1_쌍용수량0905_설계내역서_백화점화장실인테리어_3차네고견적(061017-1)" xfId="1863" xr:uid="{00000000-0005-0000-0000-000046070000}"/>
    <cellStyle name="1_쌍용수량0905_설계내역서_화명조경" xfId="1864" xr:uid="{00000000-0005-0000-0000-000047070000}"/>
    <cellStyle name="1_쌍용수량0905_설계내역서_화명조경_1차 기성 내역서 0612023" xfId="1865" xr:uid="{00000000-0005-0000-0000-000048070000}"/>
    <cellStyle name="1_쌍용수량0905_설계내역서_화명조경_3차네고견적(061017-1)" xfId="1866" xr:uid="{00000000-0005-0000-0000-000049070000}"/>
    <cellStyle name="1_쌍용수량0905_설계내역서_화명조경_백화점화장실인테리어" xfId="1867" xr:uid="{00000000-0005-0000-0000-00004A070000}"/>
    <cellStyle name="1_쌍용수량0905_설계내역서_화명조경_백화점화장실인테리어_1차 기성 내역서 0612023" xfId="1868" xr:uid="{00000000-0005-0000-0000-00004B070000}"/>
    <cellStyle name="1_쌍용수량0905_설계내역서_화명조경_백화점화장실인테리어_3차네고견적(061017-1)" xfId="1869" xr:uid="{00000000-0005-0000-0000-00004C070000}"/>
    <cellStyle name="1_쌍용수량0905_설계내역서1월7일" xfId="1870" xr:uid="{00000000-0005-0000-0000-00004D070000}"/>
    <cellStyle name="1_쌍용수량0905_설계내역서1월7일_1차 기성 내역서 0612023" xfId="1871" xr:uid="{00000000-0005-0000-0000-00004E070000}"/>
    <cellStyle name="1_쌍용수량0905_설계내역서1월7일_3차네고견적(061017-1)" xfId="1872" xr:uid="{00000000-0005-0000-0000-00004F070000}"/>
    <cellStyle name="1_쌍용수량0905_설계내역서1월7일_백화점화장실인테리어" xfId="1873" xr:uid="{00000000-0005-0000-0000-000050070000}"/>
    <cellStyle name="1_쌍용수량0905_설계내역서1월7일_백화점화장실인테리어_1차 기성 내역서 0612023" xfId="1874" xr:uid="{00000000-0005-0000-0000-000051070000}"/>
    <cellStyle name="1_쌍용수량0905_설계내역서1월7일_백화점화장실인테리어_3차네고견적(061017-1)" xfId="1875" xr:uid="{00000000-0005-0000-0000-000052070000}"/>
    <cellStyle name="1_쌍용수량0905_설계내역서1월7일_화명조경" xfId="1876" xr:uid="{00000000-0005-0000-0000-000053070000}"/>
    <cellStyle name="1_쌍용수량0905_설계내역서1월7일_화명조경_1차 기성 내역서 0612023" xfId="1877" xr:uid="{00000000-0005-0000-0000-000054070000}"/>
    <cellStyle name="1_쌍용수량0905_설계내역서1월7일_화명조경_3차네고견적(061017-1)" xfId="1878" xr:uid="{00000000-0005-0000-0000-000055070000}"/>
    <cellStyle name="1_쌍용수량0905_설계내역서1월7일_화명조경_백화점화장실인테리어" xfId="1879" xr:uid="{00000000-0005-0000-0000-000056070000}"/>
    <cellStyle name="1_쌍용수량0905_설계내역서1월7일_화명조경_백화점화장실인테리어_1차 기성 내역서 0612023" xfId="1880" xr:uid="{00000000-0005-0000-0000-000057070000}"/>
    <cellStyle name="1_쌍용수량0905_설계내역서1월7일_화명조경_백화점화장실인테리어_3차네고견적(061017-1)" xfId="1881" xr:uid="{00000000-0005-0000-0000-000058070000}"/>
    <cellStyle name="1_쌍용수량0905_화명조경" xfId="1882" xr:uid="{00000000-0005-0000-0000-000059070000}"/>
    <cellStyle name="1_쌍용수량0905_화명조경_1차 기성 내역서 0612023" xfId="1883" xr:uid="{00000000-0005-0000-0000-00005A070000}"/>
    <cellStyle name="1_쌍용수량0905_화명조경_3차네고견적(061017-1)" xfId="1884" xr:uid="{00000000-0005-0000-0000-00005B070000}"/>
    <cellStyle name="1_쌍용수량0905_화명조경_백화점화장실인테리어" xfId="1885" xr:uid="{00000000-0005-0000-0000-00005C070000}"/>
    <cellStyle name="1_쌍용수량0905_화명조경_백화점화장실인테리어_1차 기성 내역서 0612023" xfId="1886" xr:uid="{00000000-0005-0000-0000-00005D070000}"/>
    <cellStyle name="1_쌍용수량0905_화명조경_백화점화장실인테리어_3차네고견적(061017-1)" xfId="1887" xr:uid="{00000000-0005-0000-0000-00005E070000}"/>
    <cellStyle name="1_원가계산서" xfId="1888" xr:uid="{00000000-0005-0000-0000-00005F070000}"/>
    <cellStyle name="1_원가계산서_00갑지" xfId="1889" xr:uid="{00000000-0005-0000-0000-000060070000}"/>
    <cellStyle name="1_원가계산서_00갑지_1차 기성 내역서 0612023" xfId="1890" xr:uid="{00000000-0005-0000-0000-000061070000}"/>
    <cellStyle name="1_원가계산서_00갑지_3차네고견적(061017-1)" xfId="1891" xr:uid="{00000000-0005-0000-0000-000062070000}"/>
    <cellStyle name="1_원가계산서_00갑지_백화점화장실인테리어" xfId="1892" xr:uid="{00000000-0005-0000-0000-000063070000}"/>
    <cellStyle name="1_원가계산서_00갑지_백화점화장실인테리어_1차 기성 내역서 0612023" xfId="1893" xr:uid="{00000000-0005-0000-0000-000064070000}"/>
    <cellStyle name="1_원가계산서_00갑지_백화점화장실인테리어_3차네고견적(061017-1)" xfId="1894" xr:uid="{00000000-0005-0000-0000-000065070000}"/>
    <cellStyle name="1_원가계산서_00갑지_설계내역서" xfId="1895" xr:uid="{00000000-0005-0000-0000-000066070000}"/>
    <cellStyle name="1_원가계산서_00갑지_설계내역서_1차 기성 내역서 0612023" xfId="1896" xr:uid="{00000000-0005-0000-0000-000067070000}"/>
    <cellStyle name="1_원가계산서_00갑지_설계내역서_3차네고견적(061017-1)" xfId="1897" xr:uid="{00000000-0005-0000-0000-000068070000}"/>
    <cellStyle name="1_원가계산서_00갑지_설계내역서_백화점화장실인테리어" xfId="1898" xr:uid="{00000000-0005-0000-0000-000069070000}"/>
    <cellStyle name="1_원가계산서_00갑지_설계내역서_백화점화장실인테리어_1차 기성 내역서 0612023" xfId="1899" xr:uid="{00000000-0005-0000-0000-00006A070000}"/>
    <cellStyle name="1_원가계산서_00갑지_설계내역서_백화점화장실인테리어_3차네고견적(061017-1)" xfId="1900" xr:uid="{00000000-0005-0000-0000-00006B070000}"/>
    <cellStyle name="1_원가계산서_00갑지_설계내역서_화명조경" xfId="1901" xr:uid="{00000000-0005-0000-0000-00006C070000}"/>
    <cellStyle name="1_원가계산서_00갑지_설계내역서_화명조경_1차 기성 내역서 0612023" xfId="1902" xr:uid="{00000000-0005-0000-0000-00006D070000}"/>
    <cellStyle name="1_원가계산서_00갑지_설계내역서_화명조경_3차네고견적(061017-1)" xfId="1903" xr:uid="{00000000-0005-0000-0000-00006E070000}"/>
    <cellStyle name="1_원가계산서_00갑지_설계내역서_화명조경_백화점화장실인테리어" xfId="1904" xr:uid="{00000000-0005-0000-0000-00006F070000}"/>
    <cellStyle name="1_원가계산서_00갑지_설계내역서_화명조경_백화점화장실인테리어_1차 기성 내역서 0612023" xfId="1905" xr:uid="{00000000-0005-0000-0000-000070070000}"/>
    <cellStyle name="1_원가계산서_00갑지_설계내역서_화명조경_백화점화장실인테리어_3차네고견적(061017-1)" xfId="1906" xr:uid="{00000000-0005-0000-0000-000071070000}"/>
    <cellStyle name="1_원가계산서_00갑지_설계내역서1월7일" xfId="1907" xr:uid="{00000000-0005-0000-0000-000072070000}"/>
    <cellStyle name="1_원가계산서_00갑지_설계내역서1월7일_1차 기성 내역서 0612023" xfId="1908" xr:uid="{00000000-0005-0000-0000-000073070000}"/>
    <cellStyle name="1_원가계산서_00갑지_설계내역서1월7일_3차네고견적(061017-1)" xfId="1909" xr:uid="{00000000-0005-0000-0000-000074070000}"/>
    <cellStyle name="1_원가계산서_00갑지_설계내역서1월7일_백화점화장실인테리어" xfId="1910" xr:uid="{00000000-0005-0000-0000-000075070000}"/>
    <cellStyle name="1_원가계산서_00갑지_설계내역서1월7일_백화점화장실인테리어_1차 기성 내역서 0612023" xfId="1911" xr:uid="{00000000-0005-0000-0000-000076070000}"/>
    <cellStyle name="1_원가계산서_00갑지_설계내역서1월7일_백화점화장실인테리어_3차네고견적(061017-1)" xfId="1912" xr:uid="{00000000-0005-0000-0000-000077070000}"/>
    <cellStyle name="1_원가계산서_00갑지_설계내역서1월7일_화명조경" xfId="1913" xr:uid="{00000000-0005-0000-0000-000078070000}"/>
    <cellStyle name="1_원가계산서_00갑지_설계내역서1월7일_화명조경_1차 기성 내역서 0612023" xfId="1914" xr:uid="{00000000-0005-0000-0000-000079070000}"/>
    <cellStyle name="1_원가계산서_00갑지_설계내역서1월7일_화명조경_3차네고견적(061017-1)" xfId="1915" xr:uid="{00000000-0005-0000-0000-00007A070000}"/>
    <cellStyle name="1_원가계산서_00갑지_설계내역서1월7일_화명조경_백화점화장실인테리어" xfId="1916" xr:uid="{00000000-0005-0000-0000-00007B070000}"/>
    <cellStyle name="1_원가계산서_00갑지_설계내역서1월7일_화명조경_백화점화장실인테리어_1차 기성 내역서 0612023" xfId="1917" xr:uid="{00000000-0005-0000-0000-00007C070000}"/>
    <cellStyle name="1_원가계산서_00갑지_설계내역서1월7일_화명조경_백화점화장실인테리어_3차네고견적(061017-1)" xfId="1918" xr:uid="{00000000-0005-0000-0000-00007D070000}"/>
    <cellStyle name="1_원가계산서_00갑지_화명조경" xfId="1919" xr:uid="{00000000-0005-0000-0000-00007E070000}"/>
    <cellStyle name="1_원가계산서_00갑지_화명조경_1차 기성 내역서 0612023" xfId="1920" xr:uid="{00000000-0005-0000-0000-00007F070000}"/>
    <cellStyle name="1_원가계산서_00갑지_화명조경_3차네고견적(061017-1)" xfId="1921" xr:uid="{00000000-0005-0000-0000-000080070000}"/>
    <cellStyle name="1_원가계산서_00갑지_화명조경_백화점화장실인테리어" xfId="1922" xr:uid="{00000000-0005-0000-0000-000081070000}"/>
    <cellStyle name="1_원가계산서_00갑지_화명조경_백화점화장실인테리어_1차 기성 내역서 0612023" xfId="1923" xr:uid="{00000000-0005-0000-0000-000082070000}"/>
    <cellStyle name="1_원가계산서_00갑지_화명조경_백화점화장실인테리어_3차네고견적(061017-1)" xfId="1924" xr:uid="{00000000-0005-0000-0000-000083070000}"/>
    <cellStyle name="1_원가계산서_1차 기성 내역서 0612023" xfId="1925" xr:uid="{00000000-0005-0000-0000-000084070000}"/>
    <cellStyle name="1_원가계산서_3차네고견적(061017-1)" xfId="1926" xr:uid="{00000000-0005-0000-0000-000085070000}"/>
    <cellStyle name="1_원가계산서_과천놀이터설계서" xfId="1927" xr:uid="{00000000-0005-0000-0000-000086070000}"/>
    <cellStyle name="1_원가계산서_과천놀이터설계서_1차 기성 내역서 0612023" xfId="1928" xr:uid="{00000000-0005-0000-0000-000087070000}"/>
    <cellStyle name="1_원가계산서_과천놀이터설계서_3차네고견적(061017-1)" xfId="1929" xr:uid="{00000000-0005-0000-0000-000088070000}"/>
    <cellStyle name="1_원가계산서_과천놀이터설계서_백화점화장실인테리어" xfId="1930" xr:uid="{00000000-0005-0000-0000-000089070000}"/>
    <cellStyle name="1_원가계산서_과천놀이터설계서_백화점화장실인테리어_1차 기성 내역서 0612023" xfId="1931" xr:uid="{00000000-0005-0000-0000-00008A070000}"/>
    <cellStyle name="1_원가계산서_과천놀이터설계서_백화점화장실인테리어_3차네고견적(061017-1)" xfId="1932" xr:uid="{00000000-0005-0000-0000-00008B070000}"/>
    <cellStyle name="1_원가계산서_과천놀이터설계서_설계내역서" xfId="1933" xr:uid="{00000000-0005-0000-0000-00008C070000}"/>
    <cellStyle name="1_원가계산서_과천놀이터설계서_설계내역서_1차 기성 내역서 0612023" xfId="1934" xr:uid="{00000000-0005-0000-0000-00008D070000}"/>
    <cellStyle name="1_원가계산서_과천놀이터설계서_설계내역서_3차네고견적(061017-1)" xfId="1935" xr:uid="{00000000-0005-0000-0000-00008E070000}"/>
    <cellStyle name="1_원가계산서_과천놀이터설계서_설계내역서_백화점화장실인테리어" xfId="1936" xr:uid="{00000000-0005-0000-0000-00008F070000}"/>
    <cellStyle name="1_원가계산서_과천놀이터설계서_설계내역서_백화점화장실인테리어_1차 기성 내역서 0612023" xfId="1937" xr:uid="{00000000-0005-0000-0000-000090070000}"/>
    <cellStyle name="1_원가계산서_과천놀이터설계서_설계내역서_백화점화장실인테리어_3차네고견적(061017-1)" xfId="1938" xr:uid="{00000000-0005-0000-0000-000091070000}"/>
    <cellStyle name="1_원가계산서_과천놀이터설계서_설계내역서_화명조경" xfId="1939" xr:uid="{00000000-0005-0000-0000-000092070000}"/>
    <cellStyle name="1_원가계산서_과천놀이터설계서_설계내역서_화명조경_1차 기성 내역서 0612023" xfId="1940" xr:uid="{00000000-0005-0000-0000-000093070000}"/>
    <cellStyle name="1_원가계산서_과천놀이터설계서_설계내역서_화명조경_3차네고견적(061017-1)" xfId="1941" xr:uid="{00000000-0005-0000-0000-000094070000}"/>
    <cellStyle name="1_원가계산서_과천놀이터설계서_설계내역서_화명조경_백화점화장실인테리어" xfId="1942" xr:uid="{00000000-0005-0000-0000-000095070000}"/>
    <cellStyle name="1_원가계산서_과천놀이터설계서_설계내역서_화명조경_백화점화장실인테리어_1차 기성 내역서 0612023" xfId="1943" xr:uid="{00000000-0005-0000-0000-000096070000}"/>
    <cellStyle name="1_원가계산서_과천놀이터설계서_설계내역서_화명조경_백화점화장실인테리어_3차네고견적(061017-1)" xfId="1944" xr:uid="{00000000-0005-0000-0000-000097070000}"/>
    <cellStyle name="1_원가계산서_과천놀이터설계서_설계내역서1월7일" xfId="1945" xr:uid="{00000000-0005-0000-0000-000098070000}"/>
    <cellStyle name="1_원가계산서_과천놀이터설계서_설계내역서1월7일_1차 기성 내역서 0612023" xfId="1946" xr:uid="{00000000-0005-0000-0000-000099070000}"/>
    <cellStyle name="1_원가계산서_과천놀이터설계서_설계내역서1월7일_3차네고견적(061017-1)" xfId="1947" xr:uid="{00000000-0005-0000-0000-00009A070000}"/>
    <cellStyle name="1_원가계산서_과천놀이터설계서_설계내역서1월7일_백화점화장실인테리어" xfId="1948" xr:uid="{00000000-0005-0000-0000-00009B070000}"/>
    <cellStyle name="1_원가계산서_과천놀이터설계서_설계내역서1월7일_백화점화장실인테리어_1차 기성 내역서 0612023" xfId="1949" xr:uid="{00000000-0005-0000-0000-00009C070000}"/>
    <cellStyle name="1_원가계산서_과천놀이터설계서_설계내역서1월7일_백화점화장실인테리어_3차네고견적(061017-1)" xfId="1950" xr:uid="{00000000-0005-0000-0000-00009D070000}"/>
    <cellStyle name="1_원가계산서_과천놀이터설계서_설계내역서1월7일_화명조경" xfId="1951" xr:uid="{00000000-0005-0000-0000-00009E070000}"/>
    <cellStyle name="1_원가계산서_과천놀이터설계서_설계내역서1월7일_화명조경_1차 기성 내역서 0612023" xfId="1952" xr:uid="{00000000-0005-0000-0000-00009F070000}"/>
    <cellStyle name="1_원가계산서_과천놀이터설계서_설계내역서1월7일_화명조경_3차네고견적(061017-1)" xfId="1953" xr:uid="{00000000-0005-0000-0000-0000A0070000}"/>
    <cellStyle name="1_원가계산서_과천놀이터설계서_설계내역서1월7일_화명조경_백화점화장실인테리어" xfId="1954" xr:uid="{00000000-0005-0000-0000-0000A1070000}"/>
    <cellStyle name="1_원가계산서_과천놀이터설계서_설계내역서1월7일_화명조경_백화점화장실인테리어_1차 기성 내역서 0612023" xfId="1955" xr:uid="{00000000-0005-0000-0000-0000A2070000}"/>
    <cellStyle name="1_원가계산서_과천놀이터설계서_설계내역서1월7일_화명조경_백화점화장실인테리어_3차네고견적(061017-1)" xfId="1956" xr:uid="{00000000-0005-0000-0000-0000A3070000}"/>
    <cellStyle name="1_원가계산서_과천놀이터설계서_화명조경" xfId="1957" xr:uid="{00000000-0005-0000-0000-0000A4070000}"/>
    <cellStyle name="1_원가계산서_과천놀이터설계서_화명조경_1차 기성 내역서 0612023" xfId="1958" xr:uid="{00000000-0005-0000-0000-0000A5070000}"/>
    <cellStyle name="1_원가계산서_과천놀이터설계서_화명조경_3차네고견적(061017-1)" xfId="1959" xr:uid="{00000000-0005-0000-0000-0000A6070000}"/>
    <cellStyle name="1_원가계산서_과천놀이터설계서_화명조경_백화점화장실인테리어" xfId="1960" xr:uid="{00000000-0005-0000-0000-0000A7070000}"/>
    <cellStyle name="1_원가계산서_과천놀이터설계서_화명조경_백화점화장실인테리어_1차 기성 내역서 0612023" xfId="1961" xr:uid="{00000000-0005-0000-0000-0000A8070000}"/>
    <cellStyle name="1_원가계산서_과천놀이터설계서_화명조경_백화점화장실인테리어_3차네고견적(061017-1)" xfId="1962" xr:uid="{00000000-0005-0000-0000-0000A9070000}"/>
    <cellStyle name="1_원가계산서_백화점화장실인테리어" xfId="1963" xr:uid="{00000000-0005-0000-0000-0000AA070000}"/>
    <cellStyle name="1_원가계산서_백화점화장실인테리어_1차 기성 내역서 0612023" xfId="1964" xr:uid="{00000000-0005-0000-0000-0000AB070000}"/>
    <cellStyle name="1_원가계산서_백화점화장실인테리어_3차네고견적(061017-1)" xfId="1965" xr:uid="{00000000-0005-0000-0000-0000AC070000}"/>
    <cellStyle name="1_원가계산서_총괄갑지" xfId="1966" xr:uid="{00000000-0005-0000-0000-0000AD070000}"/>
    <cellStyle name="1_원가계산서_총괄갑지_1차 기성 내역서 0612023" xfId="1967" xr:uid="{00000000-0005-0000-0000-0000AE070000}"/>
    <cellStyle name="1_원가계산서_총괄갑지_3차네고견적(061017-1)" xfId="1968" xr:uid="{00000000-0005-0000-0000-0000AF070000}"/>
    <cellStyle name="1_원가계산서_총괄갑지_백화점화장실인테리어" xfId="1969" xr:uid="{00000000-0005-0000-0000-0000B0070000}"/>
    <cellStyle name="1_원가계산서_총괄갑지_백화점화장실인테리어_1차 기성 내역서 0612023" xfId="1970" xr:uid="{00000000-0005-0000-0000-0000B1070000}"/>
    <cellStyle name="1_원가계산서_총괄갑지_백화점화장실인테리어_3차네고견적(061017-1)" xfId="1971" xr:uid="{00000000-0005-0000-0000-0000B2070000}"/>
    <cellStyle name="1_원가계산서_총괄갑지_설계내역서" xfId="1972" xr:uid="{00000000-0005-0000-0000-0000B3070000}"/>
    <cellStyle name="1_원가계산서_총괄갑지_설계내역서_1차 기성 내역서 0612023" xfId="1973" xr:uid="{00000000-0005-0000-0000-0000B4070000}"/>
    <cellStyle name="1_원가계산서_총괄갑지_설계내역서_3차네고견적(061017-1)" xfId="1974" xr:uid="{00000000-0005-0000-0000-0000B5070000}"/>
    <cellStyle name="1_원가계산서_총괄갑지_설계내역서_백화점화장실인테리어" xfId="1975" xr:uid="{00000000-0005-0000-0000-0000B6070000}"/>
    <cellStyle name="1_원가계산서_총괄갑지_설계내역서_백화점화장실인테리어_1차 기성 내역서 0612023" xfId="1976" xr:uid="{00000000-0005-0000-0000-0000B7070000}"/>
    <cellStyle name="1_원가계산서_총괄갑지_설계내역서_백화점화장실인테리어_3차네고견적(061017-1)" xfId="1977" xr:uid="{00000000-0005-0000-0000-0000B8070000}"/>
    <cellStyle name="1_원가계산서_총괄갑지_설계내역서_화명조경" xfId="1978" xr:uid="{00000000-0005-0000-0000-0000B9070000}"/>
    <cellStyle name="1_원가계산서_총괄갑지_설계내역서_화명조경_1차 기성 내역서 0612023" xfId="1979" xr:uid="{00000000-0005-0000-0000-0000BA070000}"/>
    <cellStyle name="1_원가계산서_총괄갑지_설계내역서_화명조경_3차네고견적(061017-1)" xfId="1980" xr:uid="{00000000-0005-0000-0000-0000BB070000}"/>
    <cellStyle name="1_원가계산서_총괄갑지_설계내역서_화명조경_백화점화장실인테리어" xfId="1981" xr:uid="{00000000-0005-0000-0000-0000BC070000}"/>
    <cellStyle name="1_원가계산서_총괄갑지_설계내역서_화명조경_백화점화장실인테리어_1차 기성 내역서 0612023" xfId="1982" xr:uid="{00000000-0005-0000-0000-0000BD070000}"/>
    <cellStyle name="1_원가계산서_총괄갑지_설계내역서_화명조경_백화점화장실인테리어_3차네고견적(061017-1)" xfId="1983" xr:uid="{00000000-0005-0000-0000-0000BE070000}"/>
    <cellStyle name="1_원가계산서_총괄갑지_설계내역서1월7일" xfId="1984" xr:uid="{00000000-0005-0000-0000-0000BF070000}"/>
    <cellStyle name="1_원가계산서_총괄갑지_설계내역서1월7일_1차 기성 내역서 0612023" xfId="1985" xr:uid="{00000000-0005-0000-0000-0000C0070000}"/>
    <cellStyle name="1_원가계산서_총괄갑지_설계내역서1월7일_3차네고견적(061017-1)" xfId="1986" xr:uid="{00000000-0005-0000-0000-0000C1070000}"/>
    <cellStyle name="1_원가계산서_총괄갑지_설계내역서1월7일_백화점화장실인테리어" xfId="1987" xr:uid="{00000000-0005-0000-0000-0000C2070000}"/>
    <cellStyle name="1_원가계산서_총괄갑지_설계내역서1월7일_백화점화장실인테리어_1차 기성 내역서 0612023" xfId="1988" xr:uid="{00000000-0005-0000-0000-0000C3070000}"/>
    <cellStyle name="1_원가계산서_총괄갑지_설계내역서1월7일_백화점화장실인테리어_3차네고견적(061017-1)" xfId="1989" xr:uid="{00000000-0005-0000-0000-0000C4070000}"/>
    <cellStyle name="1_원가계산서_총괄갑지_설계내역서1월7일_화명조경" xfId="1990" xr:uid="{00000000-0005-0000-0000-0000C5070000}"/>
    <cellStyle name="1_원가계산서_총괄갑지_설계내역서1월7일_화명조경_1차 기성 내역서 0612023" xfId="1991" xr:uid="{00000000-0005-0000-0000-0000C6070000}"/>
    <cellStyle name="1_원가계산서_총괄갑지_설계내역서1월7일_화명조경_3차네고견적(061017-1)" xfId="1992" xr:uid="{00000000-0005-0000-0000-0000C7070000}"/>
    <cellStyle name="1_원가계산서_총괄갑지_설계내역서1월7일_화명조경_백화점화장실인테리어" xfId="1993" xr:uid="{00000000-0005-0000-0000-0000C8070000}"/>
    <cellStyle name="1_원가계산서_총괄갑지_설계내역서1월7일_화명조경_백화점화장실인테리어_1차 기성 내역서 0612023" xfId="1994" xr:uid="{00000000-0005-0000-0000-0000C9070000}"/>
    <cellStyle name="1_원가계산서_총괄갑지_설계내역서1월7일_화명조경_백화점화장실인테리어_3차네고견적(061017-1)" xfId="1995" xr:uid="{00000000-0005-0000-0000-0000CA070000}"/>
    <cellStyle name="1_원가계산서_총괄갑지_화명조경" xfId="1996" xr:uid="{00000000-0005-0000-0000-0000CB070000}"/>
    <cellStyle name="1_원가계산서_총괄갑지_화명조경_1차 기성 내역서 0612023" xfId="1997" xr:uid="{00000000-0005-0000-0000-0000CC070000}"/>
    <cellStyle name="1_원가계산서_총괄갑지_화명조경_3차네고견적(061017-1)" xfId="1998" xr:uid="{00000000-0005-0000-0000-0000CD070000}"/>
    <cellStyle name="1_원가계산서_총괄갑지_화명조경_백화점화장실인테리어" xfId="1999" xr:uid="{00000000-0005-0000-0000-0000CE070000}"/>
    <cellStyle name="1_원가계산서_총괄갑지_화명조경_백화점화장실인테리어_1차 기성 내역서 0612023" xfId="2000" xr:uid="{00000000-0005-0000-0000-0000CF070000}"/>
    <cellStyle name="1_원가계산서_총괄갑지_화명조경_백화점화장실인테리어_3차네고견적(061017-1)" xfId="2001" xr:uid="{00000000-0005-0000-0000-0000D0070000}"/>
    <cellStyle name="1_원가계산서_총괄내역서" xfId="2002" xr:uid="{00000000-0005-0000-0000-0000D1070000}"/>
    <cellStyle name="1_원가계산서_총괄내역서_1차 기성 내역서 0612023" xfId="2003" xr:uid="{00000000-0005-0000-0000-0000D2070000}"/>
    <cellStyle name="1_원가계산서_총괄내역서_3차네고견적(061017-1)" xfId="2004" xr:uid="{00000000-0005-0000-0000-0000D3070000}"/>
    <cellStyle name="1_원가계산서_총괄내역서_백화점화장실인테리어" xfId="2005" xr:uid="{00000000-0005-0000-0000-0000D4070000}"/>
    <cellStyle name="1_원가계산서_총괄내역서_백화점화장실인테리어_1차 기성 내역서 0612023" xfId="2006" xr:uid="{00000000-0005-0000-0000-0000D5070000}"/>
    <cellStyle name="1_원가계산서_총괄내역서_백화점화장실인테리어_3차네고견적(061017-1)" xfId="2007" xr:uid="{00000000-0005-0000-0000-0000D6070000}"/>
    <cellStyle name="1_원가계산서_총괄내역서_설계내역서" xfId="2008" xr:uid="{00000000-0005-0000-0000-0000D7070000}"/>
    <cellStyle name="1_원가계산서_총괄내역서_설계내역서_1차 기성 내역서 0612023" xfId="2009" xr:uid="{00000000-0005-0000-0000-0000D8070000}"/>
    <cellStyle name="1_원가계산서_총괄내역서_설계내역서_3차네고견적(061017-1)" xfId="2010" xr:uid="{00000000-0005-0000-0000-0000D9070000}"/>
    <cellStyle name="1_원가계산서_총괄내역서_설계내역서_백화점화장실인테리어" xfId="2011" xr:uid="{00000000-0005-0000-0000-0000DA070000}"/>
    <cellStyle name="1_원가계산서_총괄내역서_설계내역서_백화점화장실인테리어_1차 기성 내역서 0612023" xfId="2012" xr:uid="{00000000-0005-0000-0000-0000DB070000}"/>
    <cellStyle name="1_원가계산서_총괄내역서_설계내역서_백화점화장실인테리어_3차네고견적(061017-1)" xfId="2013" xr:uid="{00000000-0005-0000-0000-0000DC070000}"/>
    <cellStyle name="1_원가계산서_총괄내역서_설계내역서_화명조경" xfId="2014" xr:uid="{00000000-0005-0000-0000-0000DD070000}"/>
    <cellStyle name="1_원가계산서_총괄내역서_설계내역서_화명조경_1차 기성 내역서 0612023" xfId="2015" xr:uid="{00000000-0005-0000-0000-0000DE070000}"/>
    <cellStyle name="1_원가계산서_총괄내역서_설계내역서_화명조경_3차네고견적(061017-1)" xfId="2016" xr:uid="{00000000-0005-0000-0000-0000DF070000}"/>
    <cellStyle name="1_원가계산서_총괄내역서_설계내역서_화명조경_백화점화장실인테리어" xfId="2017" xr:uid="{00000000-0005-0000-0000-0000E0070000}"/>
    <cellStyle name="1_원가계산서_총괄내역서_설계내역서_화명조경_백화점화장실인테리어_1차 기성 내역서 0612023" xfId="2018" xr:uid="{00000000-0005-0000-0000-0000E1070000}"/>
    <cellStyle name="1_원가계산서_총괄내역서_설계내역서_화명조경_백화점화장실인테리어_3차네고견적(061017-1)" xfId="2019" xr:uid="{00000000-0005-0000-0000-0000E2070000}"/>
    <cellStyle name="1_원가계산서_총괄내역서_설계내역서1월7일" xfId="2020" xr:uid="{00000000-0005-0000-0000-0000E3070000}"/>
    <cellStyle name="1_원가계산서_총괄내역서_설계내역서1월7일_1차 기성 내역서 0612023" xfId="2021" xr:uid="{00000000-0005-0000-0000-0000E4070000}"/>
    <cellStyle name="1_원가계산서_총괄내역서_설계내역서1월7일_3차네고견적(061017-1)" xfId="2022" xr:uid="{00000000-0005-0000-0000-0000E5070000}"/>
    <cellStyle name="1_원가계산서_총괄내역서_설계내역서1월7일_백화점화장실인테리어" xfId="2023" xr:uid="{00000000-0005-0000-0000-0000E6070000}"/>
    <cellStyle name="1_원가계산서_총괄내역서_설계내역서1월7일_백화점화장실인테리어_1차 기성 내역서 0612023" xfId="2024" xr:uid="{00000000-0005-0000-0000-0000E7070000}"/>
    <cellStyle name="1_원가계산서_총괄내역서_설계내역서1월7일_백화점화장실인테리어_3차네고견적(061017-1)" xfId="2025" xr:uid="{00000000-0005-0000-0000-0000E8070000}"/>
    <cellStyle name="1_원가계산서_총괄내역서_설계내역서1월7일_화명조경" xfId="2026" xr:uid="{00000000-0005-0000-0000-0000E9070000}"/>
    <cellStyle name="1_원가계산서_총괄내역서_설계내역서1월7일_화명조경_1차 기성 내역서 0612023" xfId="2027" xr:uid="{00000000-0005-0000-0000-0000EA070000}"/>
    <cellStyle name="1_원가계산서_총괄내역서_설계내역서1월7일_화명조경_3차네고견적(061017-1)" xfId="2028" xr:uid="{00000000-0005-0000-0000-0000EB070000}"/>
    <cellStyle name="1_원가계산서_총괄내역서_설계내역서1월7일_화명조경_백화점화장실인테리어" xfId="2029" xr:uid="{00000000-0005-0000-0000-0000EC070000}"/>
    <cellStyle name="1_원가계산서_총괄내역서_설계내역서1월7일_화명조경_백화점화장실인테리어_1차 기성 내역서 0612023" xfId="2030" xr:uid="{00000000-0005-0000-0000-0000ED070000}"/>
    <cellStyle name="1_원가계산서_총괄내역서_설계내역서1월7일_화명조경_백화점화장실인테리어_3차네고견적(061017-1)" xfId="2031" xr:uid="{00000000-0005-0000-0000-0000EE070000}"/>
    <cellStyle name="1_원가계산서_총괄내역서_화명조경" xfId="2032" xr:uid="{00000000-0005-0000-0000-0000EF070000}"/>
    <cellStyle name="1_원가계산서_총괄내역서_화명조경_1차 기성 내역서 0612023" xfId="2033" xr:uid="{00000000-0005-0000-0000-0000F0070000}"/>
    <cellStyle name="1_원가계산서_총괄내역서_화명조경_3차네고견적(061017-1)" xfId="2034" xr:uid="{00000000-0005-0000-0000-0000F1070000}"/>
    <cellStyle name="1_원가계산서_총괄내역서_화명조경_백화점화장실인테리어" xfId="2035" xr:uid="{00000000-0005-0000-0000-0000F2070000}"/>
    <cellStyle name="1_원가계산서_총괄내역서_화명조경_백화점화장실인테리어_1차 기성 내역서 0612023" xfId="2036" xr:uid="{00000000-0005-0000-0000-0000F3070000}"/>
    <cellStyle name="1_원가계산서_총괄내역서_화명조경_백화점화장실인테리어_3차네고견적(061017-1)" xfId="2037" xr:uid="{00000000-0005-0000-0000-0000F4070000}"/>
    <cellStyle name="1_원가계산서_화명조경" xfId="2038" xr:uid="{00000000-0005-0000-0000-0000F5070000}"/>
    <cellStyle name="1_원가계산서_화명조경_1차 기성 내역서 0612023" xfId="2039" xr:uid="{00000000-0005-0000-0000-0000F6070000}"/>
    <cellStyle name="1_원가계산서_화명조경_3차네고견적(061017-1)" xfId="2040" xr:uid="{00000000-0005-0000-0000-0000F7070000}"/>
    <cellStyle name="1_원가계산서_화명조경_백화점화장실인테리어" xfId="2041" xr:uid="{00000000-0005-0000-0000-0000F8070000}"/>
    <cellStyle name="1_원가계산서_화명조경_백화점화장실인테리어_1차 기성 내역서 0612023" xfId="2042" xr:uid="{00000000-0005-0000-0000-0000F9070000}"/>
    <cellStyle name="1_원가계산서_화명조경_백화점화장실인테리어_3차네고견적(061017-1)" xfId="2043" xr:uid="{00000000-0005-0000-0000-0000FA070000}"/>
    <cellStyle name="1_은파수량집계" xfId="2044" xr:uid="{00000000-0005-0000-0000-0000FB070000}"/>
    <cellStyle name="1_터미널1-0" xfId="2045" xr:uid="{00000000-0005-0000-0000-0000FC070000}"/>
    <cellStyle name="1_터미널1-0_1차 기성 내역서 0612023" xfId="2046" xr:uid="{00000000-0005-0000-0000-0000FD070000}"/>
    <cellStyle name="1_터미널1-0_3차네고견적(061017-1)" xfId="2047" xr:uid="{00000000-0005-0000-0000-0000FE070000}"/>
    <cellStyle name="1_터미널1-0_백화점화장실인테리어" xfId="2048" xr:uid="{00000000-0005-0000-0000-0000FF070000}"/>
    <cellStyle name="1_터미널1-0_백화점화장실인테리어_1차 기성 내역서 0612023" xfId="2049" xr:uid="{00000000-0005-0000-0000-000000080000}"/>
    <cellStyle name="1_터미널1-0_백화점화장실인테리어_3차네고견적(061017-1)" xfId="2050" xr:uid="{00000000-0005-0000-0000-000001080000}"/>
    <cellStyle name="1_터미널1-0_설계내역서" xfId="2051" xr:uid="{00000000-0005-0000-0000-000002080000}"/>
    <cellStyle name="1_터미널1-0_설계내역서_1차 기성 내역서 0612023" xfId="2052" xr:uid="{00000000-0005-0000-0000-000003080000}"/>
    <cellStyle name="1_터미널1-0_설계내역서_3차네고견적(061017-1)" xfId="2053" xr:uid="{00000000-0005-0000-0000-000004080000}"/>
    <cellStyle name="1_터미널1-0_설계내역서_백화점화장실인테리어" xfId="2054" xr:uid="{00000000-0005-0000-0000-000005080000}"/>
    <cellStyle name="1_터미널1-0_설계내역서_백화점화장실인테리어_1차 기성 내역서 0612023" xfId="2055" xr:uid="{00000000-0005-0000-0000-000006080000}"/>
    <cellStyle name="1_터미널1-0_설계내역서_백화점화장실인테리어_3차네고견적(061017-1)" xfId="2056" xr:uid="{00000000-0005-0000-0000-000007080000}"/>
    <cellStyle name="1_터미널1-0_설계내역서_화명조경" xfId="2057" xr:uid="{00000000-0005-0000-0000-000008080000}"/>
    <cellStyle name="1_터미널1-0_설계내역서_화명조경_1차 기성 내역서 0612023" xfId="2058" xr:uid="{00000000-0005-0000-0000-000009080000}"/>
    <cellStyle name="1_터미널1-0_설계내역서_화명조경_3차네고견적(061017-1)" xfId="2059" xr:uid="{00000000-0005-0000-0000-00000A080000}"/>
    <cellStyle name="1_터미널1-0_설계내역서_화명조경_백화점화장실인테리어" xfId="2060" xr:uid="{00000000-0005-0000-0000-00000B080000}"/>
    <cellStyle name="1_터미널1-0_설계내역서_화명조경_백화점화장실인테리어_1차 기성 내역서 0612023" xfId="2061" xr:uid="{00000000-0005-0000-0000-00000C080000}"/>
    <cellStyle name="1_터미널1-0_설계내역서_화명조경_백화점화장실인테리어_3차네고견적(061017-1)" xfId="2062" xr:uid="{00000000-0005-0000-0000-00000D080000}"/>
    <cellStyle name="1_터미널1-0_설계내역서1월7일" xfId="2063" xr:uid="{00000000-0005-0000-0000-00000E080000}"/>
    <cellStyle name="1_터미널1-0_설계내역서1월7일_1차 기성 내역서 0612023" xfId="2064" xr:uid="{00000000-0005-0000-0000-00000F080000}"/>
    <cellStyle name="1_터미널1-0_설계내역서1월7일_3차네고견적(061017-1)" xfId="2065" xr:uid="{00000000-0005-0000-0000-000010080000}"/>
    <cellStyle name="1_터미널1-0_설계내역서1월7일_백화점화장실인테리어" xfId="2066" xr:uid="{00000000-0005-0000-0000-000011080000}"/>
    <cellStyle name="1_터미널1-0_설계내역서1월7일_백화점화장실인테리어_1차 기성 내역서 0612023" xfId="2067" xr:uid="{00000000-0005-0000-0000-000012080000}"/>
    <cellStyle name="1_터미널1-0_설계내역서1월7일_백화점화장실인테리어_3차네고견적(061017-1)" xfId="2068" xr:uid="{00000000-0005-0000-0000-000013080000}"/>
    <cellStyle name="1_터미널1-0_설계내역서1월7일_화명조경" xfId="2069" xr:uid="{00000000-0005-0000-0000-000014080000}"/>
    <cellStyle name="1_터미널1-0_설계내역서1월7일_화명조경_1차 기성 내역서 0612023" xfId="2070" xr:uid="{00000000-0005-0000-0000-000015080000}"/>
    <cellStyle name="1_터미널1-0_설계내역서1월7일_화명조경_3차네고견적(061017-1)" xfId="2071" xr:uid="{00000000-0005-0000-0000-000016080000}"/>
    <cellStyle name="1_터미널1-0_설계내역서1월7일_화명조경_백화점화장실인테리어" xfId="2072" xr:uid="{00000000-0005-0000-0000-000017080000}"/>
    <cellStyle name="1_터미널1-0_설계내역서1월7일_화명조경_백화점화장실인테리어_1차 기성 내역서 0612023" xfId="2073" xr:uid="{00000000-0005-0000-0000-000018080000}"/>
    <cellStyle name="1_터미널1-0_설계내역서1월7일_화명조경_백화점화장실인테리어_3차네고견적(061017-1)" xfId="2074" xr:uid="{00000000-0005-0000-0000-000019080000}"/>
    <cellStyle name="1_터미널1-0_쌍용수량0905" xfId="2075" xr:uid="{00000000-0005-0000-0000-00001A080000}"/>
    <cellStyle name="1_터미널1-0_쌍용수량0905_1차 기성 내역서 0612023" xfId="2076" xr:uid="{00000000-0005-0000-0000-00001B080000}"/>
    <cellStyle name="1_터미널1-0_쌍용수량0905_3차네고견적(061017-1)" xfId="2077" xr:uid="{00000000-0005-0000-0000-00001C080000}"/>
    <cellStyle name="1_터미널1-0_쌍용수량0905_백화점화장실인테리어" xfId="2078" xr:uid="{00000000-0005-0000-0000-00001D080000}"/>
    <cellStyle name="1_터미널1-0_쌍용수량0905_백화점화장실인테리어_1차 기성 내역서 0612023" xfId="2079" xr:uid="{00000000-0005-0000-0000-00001E080000}"/>
    <cellStyle name="1_터미널1-0_쌍용수량0905_백화점화장실인테리어_3차네고견적(061017-1)" xfId="2080" xr:uid="{00000000-0005-0000-0000-00001F080000}"/>
    <cellStyle name="1_터미널1-0_쌍용수량0905_설계내역서" xfId="2081" xr:uid="{00000000-0005-0000-0000-000020080000}"/>
    <cellStyle name="1_터미널1-0_쌍용수량0905_설계내역서_1차 기성 내역서 0612023" xfId="2082" xr:uid="{00000000-0005-0000-0000-000021080000}"/>
    <cellStyle name="1_터미널1-0_쌍용수량0905_설계내역서_3차네고견적(061017-1)" xfId="2083" xr:uid="{00000000-0005-0000-0000-000022080000}"/>
    <cellStyle name="1_터미널1-0_쌍용수량0905_설계내역서_백화점화장실인테리어" xfId="2084" xr:uid="{00000000-0005-0000-0000-000023080000}"/>
    <cellStyle name="1_터미널1-0_쌍용수량0905_설계내역서_백화점화장실인테리어_1차 기성 내역서 0612023" xfId="2085" xr:uid="{00000000-0005-0000-0000-000024080000}"/>
    <cellStyle name="1_터미널1-0_쌍용수량0905_설계내역서_백화점화장실인테리어_3차네고견적(061017-1)" xfId="2086" xr:uid="{00000000-0005-0000-0000-000025080000}"/>
    <cellStyle name="1_터미널1-0_쌍용수량0905_설계내역서_화명조경" xfId="2087" xr:uid="{00000000-0005-0000-0000-000026080000}"/>
    <cellStyle name="1_터미널1-0_쌍용수량0905_설계내역서_화명조경_1차 기성 내역서 0612023" xfId="2088" xr:uid="{00000000-0005-0000-0000-000027080000}"/>
    <cellStyle name="1_터미널1-0_쌍용수량0905_설계내역서_화명조경_3차네고견적(061017-1)" xfId="2089" xr:uid="{00000000-0005-0000-0000-000028080000}"/>
    <cellStyle name="1_터미널1-0_쌍용수량0905_설계내역서_화명조경_백화점화장실인테리어" xfId="2090" xr:uid="{00000000-0005-0000-0000-000029080000}"/>
    <cellStyle name="1_터미널1-0_쌍용수량0905_설계내역서_화명조경_백화점화장실인테리어_1차 기성 내역서 0612023" xfId="2091" xr:uid="{00000000-0005-0000-0000-00002A080000}"/>
    <cellStyle name="1_터미널1-0_쌍용수량0905_설계내역서_화명조경_백화점화장실인테리어_3차네고견적(061017-1)" xfId="2092" xr:uid="{00000000-0005-0000-0000-00002B080000}"/>
    <cellStyle name="1_터미널1-0_쌍용수량0905_설계내역서1월7일" xfId="2093" xr:uid="{00000000-0005-0000-0000-00002C080000}"/>
    <cellStyle name="1_터미널1-0_쌍용수량0905_설계내역서1월7일_1차 기성 내역서 0612023" xfId="2094" xr:uid="{00000000-0005-0000-0000-00002D080000}"/>
    <cellStyle name="1_터미널1-0_쌍용수량0905_설계내역서1월7일_3차네고견적(061017-1)" xfId="2095" xr:uid="{00000000-0005-0000-0000-00002E080000}"/>
    <cellStyle name="1_터미널1-0_쌍용수량0905_설계내역서1월7일_백화점화장실인테리어" xfId="2096" xr:uid="{00000000-0005-0000-0000-00002F080000}"/>
    <cellStyle name="1_터미널1-0_쌍용수량0905_설계내역서1월7일_백화점화장실인테리어_1차 기성 내역서 0612023" xfId="2097" xr:uid="{00000000-0005-0000-0000-000030080000}"/>
    <cellStyle name="1_터미널1-0_쌍용수량0905_설계내역서1월7일_백화점화장실인테리어_3차네고견적(061017-1)" xfId="2098" xr:uid="{00000000-0005-0000-0000-000031080000}"/>
    <cellStyle name="1_터미널1-0_쌍용수량0905_설계내역서1월7일_화명조경" xfId="2099" xr:uid="{00000000-0005-0000-0000-000032080000}"/>
    <cellStyle name="1_터미널1-0_쌍용수량0905_설계내역서1월7일_화명조경_1차 기성 내역서 0612023" xfId="2100" xr:uid="{00000000-0005-0000-0000-000033080000}"/>
    <cellStyle name="1_터미널1-0_쌍용수량0905_설계내역서1월7일_화명조경_3차네고견적(061017-1)" xfId="2101" xr:uid="{00000000-0005-0000-0000-000034080000}"/>
    <cellStyle name="1_터미널1-0_쌍용수량0905_설계내역서1월7일_화명조경_백화점화장실인테리어" xfId="2102" xr:uid="{00000000-0005-0000-0000-000035080000}"/>
    <cellStyle name="1_터미널1-0_쌍용수량0905_설계내역서1월7일_화명조경_백화점화장실인테리어_1차 기성 내역서 0612023" xfId="2103" xr:uid="{00000000-0005-0000-0000-000036080000}"/>
    <cellStyle name="1_터미널1-0_쌍용수량0905_설계내역서1월7일_화명조경_백화점화장실인테리어_3차네고견적(061017-1)" xfId="2104" xr:uid="{00000000-0005-0000-0000-000037080000}"/>
    <cellStyle name="1_터미널1-0_쌍용수량0905_화명조경" xfId="2105" xr:uid="{00000000-0005-0000-0000-000038080000}"/>
    <cellStyle name="1_터미널1-0_쌍용수량0905_화명조경_1차 기성 내역서 0612023" xfId="2106" xr:uid="{00000000-0005-0000-0000-000039080000}"/>
    <cellStyle name="1_터미널1-0_쌍용수량0905_화명조경_3차네고견적(061017-1)" xfId="2107" xr:uid="{00000000-0005-0000-0000-00003A080000}"/>
    <cellStyle name="1_터미널1-0_쌍용수량0905_화명조경_백화점화장실인테리어" xfId="2108" xr:uid="{00000000-0005-0000-0000-00003B080000}"/>
    <cellStyle name="1_터미널1-0_쌍용수량0905_화명조경_백화점화장실인테리어_1차 기성 내역서 0612023" xfId="2109" xr:uid="{00000000-0005-0000-0000-00003C080000}"/>
    <cellStyle name="1_터미널1-0_쌍용수량0905_화명조경_백화점화장실인테리어_3차네고견적(061017-1)" xfId="2110" xr:uid="{00000000-0005-0000-0000-00003D080000}"/>
    <cellStyle name="1_터미널1-0_화명조경" xfId="2111" xr:uid="{00000000-0005-0000-0000-00003E080000}"/>
    <cellStyle name="1_터미널1-0_화명조경_1차 기성 내역서 0612023" xfId="2112" xr:uid="{00000000-0005-0000-0000-00003F080000}"/>
    <cellStyle name="1_터미널1-0_화명조경_3차네고견적(061017-1)" xfId="2113" xr:uid="{00000000-0005-0000-0000-000040080000}"/>
    <cellStyle name="1_터미널1-0_화명조경_백화점화장실인테리어" xfId="2114" xr:uid="{00000000-0005-0000-0000-000041080000}"/>
    <cellStyle name="1_터미널1-0_화명조경_백화점화장실인테리어_1차 기성 내역서 0612023" xfId="2115" xr:uid="{00000000-0005-0000-0000-000042080000}"/>
    <cellStyle name="1_터미널1-0_화명조경_백화점화장실인테리어_3차네고견적(061017-1)" xfId="2116" xr:uid="{00000000-0005-0000-0000-000043080000}"/>
    <cellStyle name="10" xfId="2117" xr:uid="{00000000-0005-0000-0000-000044080000}"/>
    <cellStyle name="11" xfId="2118" xr:uid="{00000000-0005-0000-0000-000045080000}"/>
    <cellStyle name="111" xfId="2119" xr:uid="{00000000-0005-0000-0000-000046080000}"/>
    <cellStyle name="¹e" xfId="2120" xr:uid="{00000000-0005-0000-0000-000047080000}"/>
    <cellStyle name="¹éº" xfId="2121" xr:uid="{00000000-0005-0000-0000-000048080000}"/>
    <cellStyle name="¹éºÐÀ²_±¸¸Å³³±â" xfId="2122" xr:uid="{00000000-0005-0000-0000-000049080000}"/>
    <cellStyle name="2" xfId="2123" xr:uid="{00000000-0005-0000-0000-00004A080000}"/>
    <cellStyle name="²" xfId="2124" xr:uid="{00000000-0005-0000-0000-00004B080000}"/>
    <cellStyle name="2)" xfId="2125" xr:uid="{00000000-0005-0000-0000-00004C080000}"/>
    <cellStyle name="2_단가조사표" xfId="2126" xr:uid="{00000000-0005-0000-0000-00004D080000}"/>
    <cellStyle name="2자리" xfId="2127" xr:uid="{00000000-0005-0000-0000-00004E080000}"/>
    <cellStyle name="³f¹ô[0]_pldt" xfId="2128" xr:uid="{00000000-0005-0000-0000-00004F080000}"/>
    <cellStyle name="³f¹ô_pldt" xfId="2129" xr:uid="{00000000-0005-0000-0000-000050080000}"/>
    <cellStyle name="60" xfId="2130" xr:uid="{00000000-0005-0000-0000-000051080000}"/>
    <cellStyle name="_x0014_7." xfId="2131" xr:uid="{00000000-0005-0000-0000-000052080000}"/>
    <cellStyle name="82" xfId="2132" xr:uid="{00000000-0005-0000-0000-000053080000}"/>
    <cellStyle name="90" xfId="2133" xr:uid="{00000000-0005-0000-0000-000054080000}"/>
    <cellStyle name="A" xfId="2134" xr:uid="{00000000-0005-0000-0000-000055080000}"/>
    <cellStyle name="A_02-도급공사비내역" xfId="2135" xr:uid="{00000000-0005-0000-0000-000056080000}"/>
    <cellStyle name="A_04028적산수량집계" xfId="2136" xr:uid="{00000000-0005-0000-0000-000057080000}"/>
    <cellStyle name="a_0514회의확정자료" xfId="2137" xr:uid="{00000000-0005-0000-0000-000058080000}"/>
    <cellStyle name="A_0901작업1-금액분리" xfId="2138" xr:uid="{00000000-0005-0000-0000-000059080000}"/>
    <cellStyle name="A_A0509-가실행(파주)" xfId="2139" xr:uid="{00000000-0005-0000-0000-00005A080000}"/>
    <cellStyle name="a_A-0902건축공사확정(대안포함)" xfId="2140" xr:uid="{00000000-0005-0000-0000-00005B080000}"/>
    <cellStyle name="a_A-0902조경공사확정(대안포함)" xfId="2141" xr:uid="{00000000-0005-0000-0000-00005C080000}"/>
    <cellStyle name="A_BOOKCITY(전기)" xfId="2142" xr:uid="{00000000-0005-0000-0000-00005D080000}"/>
    <cellStyle name="A_BOOKCITY(전기)_04028적산수량집계" xfId="2143" xr:uid="{00000000-0005-0000-0000-00005E080000}"/>
    <cellStyle name="A_Z01-본작업" xfId="2144" xr:uid="{00000000-0005-0000-0000-00005F080000}"/>
    <cellStyle name="A_가실행(3th)" xfId="2145" xr:uid="{00000000-0005-0000-0000-000060080000}"/>
    <cellStyle name="A_결정01-총괄가실행(0820)" xfId="2146" xr:uid="{00000000-0005-0000-0000-000061080000}"/>
    <cellStyle name="A_공설운동진입(가실행)" xfId="2147" xr:uid="{00000000-0005-0000-0000-000062080000}"/>
    <cellStyle name="A_공설운동진입(가실행)_04028적산수량집계" xfId="2148" xr:uid="{00000000-0005-0000-0000-000063080000}"/>
    <cellStyle name="A_공설운동진입(가실행)_BOOKCITY(전기)" xfId="2149" xr:uid="{00000000-0005-0000-0000-000064080000}"/>
    <cellStyle name="A_공설운동진입(가실행)_BOOKCITY(전기)_04028적산수량집계" xfId="2150" xr:uid="{00000000-0005-0000-0000-000065080000}"/>
    <cellStyle name="A_공설운동진입(가실행)_사본 - 파주 북시티(이채)" xfId="2151" xr:uid="{00000000-0005-0000-0000-000066080000}"/>
    <cellStyle name="A_공설운동진입(가실행)_사본 - 파주 북시티(이채)_04028적산수량집계" xfId="2152" xr:uid="{00000000-0005-0000-0000-000067080000}"/>
    <cellStyle name="A_공설운동진입(가실행)_파주 BOOK CITY(통보용)" xfId="2153" xr:uid="{00000000-0005-0000-0000-000068080000}"/>
    <cellStyle name="A_공설운동진입(가실행)_파주 BOOK CITY(통보용)_04028적산수량집계" xfId="2154" xr:uid="{00000000-0005-0000-0000-000069080000}"/>
    <cellStyle name="A_공설운동진입(가실행)_파주 BOOK CITY가실행내역" xfId="2155" xr:uid="{00000000-0005-0000-0000-00006A080000}"/>
    <cellStyle name="A_공설운동진입(가실행)_파주 BOOK CITY가실행내역_04028적산수량집계" xfId="2156" xr:uid="{00000000-0005-0000-0000-00006B080000}"/>
    <cellStyle name="A_공설운동진입(가실행)_파주 북시티(이채)제출" xfId="2157" xr:uid="{00000000-0005-0000-0000-00006C080000}"/>
    <cellStyle name="A_공설운동진입(가실행)_파주 북시티(이채)제출_04028적산수량집계" xfId="2158" xr:uid="{00000000-0005-0000-0000-00006D080000}"/>
    <cellStyle name="A_공설운동진입(가실행)_파주 북시티(전체)제출(변경전)" xfId="2159" xr:uid="{00000000-0005-0000-0000-00006E080000}"/>
    <cellStyle name="A_공설운동진입(가실행)_파주 북시티(전체)제출(변경전)_04028적산수량집계" xfId="2160" xr:uid="{00000000-0005-0000-0000-00006F080000}"/>
    <cellStyle name="a_공항관련공사비 비교" xfId="2161" xr:uid="{00000000-0005-0000-0000-000070080000}"/>
    <cellStyle name="A_당팀-가실행작업" xfId="2162" xr:uid="{00000000-0005-0000-0000-000071080000}"/>
    <cellStyle name="A_도급공사변경Ⅰ(0626)" xfId="2163" xr:uid="{00000000-0005-0000-0000-000072080000}"/>
    <cellStyle name="A_보고02-건축공사감액보고서(0714)" xfId="2164" xr:uid="{00000000-0005-0000-0000-000073080000}"/>
    <cellStyle name="A_분석001-구조체투입관련" xfId="2165" xr:uid="{00000000-0005-0000-0000-000074080000}"/>
    <cellStyle name="A_사본 - 0429파본사" xfId="2166" xr:uid="{00000000-0005-0000-0000-000075080000}"/>
    <cellStyle name="A_사본 - 파주 북시티(이채)" xfId="2167" xr:uid="{00000000-0005-0000-0000-000076080000}"/>
    <cellStyle name="A_사본 - 파주 북시티(이채)_04028적산수량집계" xfId="2168" xr:uid="{00000000-0005-0000-0000-000077080000}"/>
    <cellStyle name="A_실행01-총괄가실행(0828)" xfId="2169" xr:uid="{00000000-0005-0000-0000-000078080000}"/>
    <cellStyle name="a_자료03-대안수량조정실행대비표" xfId="2170" xr:uid="{00000000-0005-0000-0000-000079080000}"/>
    <cellStyle name="a_자료06-토목공사" xfId="2171" xr:uid="{00000000-0005-0000-0000-00007A080000}"/>
    <cellStyle name="a_작업01-조경공사0709" xfId="2172" xr:uid="{00000000-0005-0000-0000-00007B080000}"/>
    <cellStyle name="a_참고02-당초가실행" xfId="2173" xr:uid="{00000000-0005-0000-0000-00007C080000}"/>
    <cellStyle name="A_토목내역서" xfId="2174" xr:uid="{00000000-0005-0000-0000-00007D080000}"/>
    <cellStyle name="A_토목내역서_04028적산수량집계" xfId="2175" xr:uid="{00000000-0005-0000-0000-00007E080000}"/>
    <cellStyle name="A_토목내역서_BOOKCITY(전기)" xfId="2176" xr:uid="{00000000-0005-0000-0000-00007F080000}"/>
    <cellStyle name="A_토목내역서_BOOKCITY(전기)_04028적산수량집계" xfId="2177" xr:uid="{00000000-0005-0000-0000-000080080000}"/>
    <cellStyle name="A_토목내역서_공설운동진입(가실행)" xfId="2178" xr:uid="{00000000-0005-0000-0000-000081080000}"/>
    <cellStyle name="A_토목내역서_공설운동진입(가실행)_04028적산수량집계" xfId="2179" xr:uid="{00000000-0005-0000-0000-000082080000}"/>
    <cellStyle name="A_토목내역서_공설운동진입(가실행)_BOOKCITY(전기)" xfId="2180" xr:uid="{00000000-0005-0000-0000-000083080000}"/>
    <cellStyle name="A_토목내역서_공설운동진입(가실행)_BOOKCITY(전기)_04028적산수량집계" xfId="2181" xr:uid="{00000000-0005-0000-0000-000084080000}"/>
    <cellStyle name="A_토목내역서_공설운동진입(가실행)_사본 - 파주 북시티(이채)" xfId="2182" xr:uid="{00000000-0005-0000-0000-000085080000}"/>
    <cellStyle name="A_토목내역서_공설운동진입(가실행)_사본 - 파주 북시티(이채)_04028적산수량집계" xfId="2183" xr:uid="{00000000-0005-0000-0000-000086080000}"/>
    <cellStyle name="A_토목내역서_공설운동진입(가실행)_파주 BOOK CITY(통보용)" xfId="2184" xr:uid="{00000000-0005-0000-0000-000087080000}"/>
    <cellStyle name="A_토목내역서_공설운동진입(가실행)_파주 BOOK CITY(통보용)_04028적산수량집계" xfId="2185" xr:uid="{00000000-0005-0000-0000-000088080000}"/>
    <cellStyle name="A_토목내역서_공설운동진입(가실행)_파주 BOOK CITY가실행내역" xfId="2186" xr:uid="{00000000-0005-0000-0000-000089080000}"/>
    <cellStyle name="A_토목내역서_공설운동진입(가실행)_파주 BOOK CITY가실행내역_04028적산수량집계" xfId="2187" xr:uid="{00000000-0005-0000-0000-00008A080000}"/>
    <cellStyle name="A_토목내역서_공설운동진입(가실행)_파주 북시티(이채)제출" xfId="2188" xr:uid="{00000000-0005-0000-0000-00008B080000}"/>
    <cellStyle name="A_토목내역서_공설운동진입(가실행)_파주 북시티(이채)제출_04028적산수량집계" xfId="2189" xr:uid="{00000000-0005-0000-0000-00008C080000}"/>
    <cellStyle name="A_토목내역서_공설운동진입(가실행)_파주 북시티(전체)제출(변경전)" xfId="2190" xr:uid="{00000000-0005-0000-0000-00008D080000}"/>
    <cellStyle name="A_토목내역서_공설운동진입(가실행)_파주 북시티(전체)제출(변경전)_04028적산수량집계" xfId="2191" xr:uid="{00000000-0005-0000-0000-00008E080000}"/>
    <cellStyle name="A_토목내역서_사본 - 파주 북시티(이채)" xfId="2192" xr:uid="{00000000-0005-0000-0000-00008F080000}"/>
    <cellStyle name="A_토목내역서_사본 - 파주 북시티(이채)_04028적산수량집계" xfId="2193" xr:uid="{00000000-0005-0000-0000-000090080000}"/>
    <cellStyle name="A_토목내역서_파주 BOOK CITY(통보용)" xfId="2194" xr:uid="{00000000-0005-0000-0000-000091080000}"/>
    <cellStyle name="A_토목내역서_파주 BOOK CITY(통보용)_04028적산수량집계" xfId="2195" xr:uid="{00000000-0005-0000-0000-000092080000}"/>
    <cellStyle name="A_토목내역서_파주 BOOK CITY가실행내역" xfId="2196" xr:uid="{00000000-0005-0000-0000-000093080000}"/>
    <cellStyle name="A_토목내역서_파주 BOOK CITY가실행내역_04028적산수량집계" xfId="2197" xr:uid="{00000000-0005-0000-0000-000094080000}"/>
    <cellStyle name="A_토목내역서_파주 북시티(이채)제출" xfId="2198" xr:uid="{00000000-0005-0000-0000-000095080000}"/>
    <cellStyle name="A_토목내역서_파주 북시티(이채)제출_04028적산수량집계" xfId="2199" xr:uid="{00000000-0005-0000-0000-000096080000}"/>
    <cellStyle name="A_토목내역서_파주 북시티(전체)제출(변경전)" xfId="2200" xr:uid="{00000000-0005-0000-0000-000097080000}"/>
    <cellStyle name="A_토목내역서_파주 북시티(전체)제출(변경전)_04028적산수량집계" xfId="2201" xr:uid="{00000000-0005-0000-0000-000098080000}"/>
    <cellStyle name="A_파주 BOOK CITY(통보용)" xfId="2202" xr:uid="{00000000-0005-0000-0000-000099080000}"/>
    <cellStyle name="A_파주 BOOK CITY(통보용)_04028적산수량집계" xfId="2203" xr:uid="{00000000-0005-0000-0000-00009A080000}"/>
    <cellStyle name="A_파주 BOOK CITY가실행내역" xfId="2204" xr:uid="{00000000-0005-0000-0000-00009B080000}"/>
    <cellStyle name="A_파주 BOOK CITY가실행내역_04028적산수량집계" xfId="2205" xr:uid="{00000000-0005-0000-0000-00009C080000}"/>
    <cellStyle name="A_파주 북시티(이채)제출" xfId="2206" xr:uid="{00000000-0005-0000-0000-00009D080000}"/>
    <cellStyle name="A_파주 북시티(이채)제출_04028적산수량집계" xfId="2207" xr:uid="{00000000-0005-0000-0000-00009E080000}"/>
    <cellStyle name="A_파주 북시티(전체)제출(변경전)" xfId="2208" xr:uid="{00000000-0005-0000-0000-00009F080000}"/>
    <cellStyle name="A_파주 북시티(전체)제출(변경전)_04028적산수량집계" xfId="2209" xr:uid="{00000000-0005-0000-0000-0000A0080000}"/>
    <cellStyle name="a_파주1차가실행(통합)-대안1-현장분" xfId="2210" xr:uid="{00000000-0005-0000-0000-0000A1080000}"/>
    <cellStyle name="A¨­￠￢￠O [0]_¨uc¨oA " xfId="2211" xr:uid="{00000000-0005-0000-0000-0000A2080000}"/>
    <cellStyle name="A¨­¢¬¢Ò [0]_INQUIRY ¢¯¥ì¨ú¡ÀA©¬A©ª " xfId="2212" xr:uid="{00000000-0005-0000-0000-0000A3080000}"/>
    <cellStyle name="A¨­￠￢￠O_¨uc¨oA " xfId="2213" xr:uid="{00000000-0005-0000-0000-0000A4080000}"/>
    <cellStyle name="A¨­¢¬¢Ò_INQUIRY ¢¯¥ì¨ú¡ÀA©¬A©ª " xfId="2214" xr:uid="{00000000-0005-0000-0000-0000A5080000}"/>
    <cellStyle name="Aⓒ­" xfId="2215" xr:uid="{00000000-0005-0000-0000-0000A6080000}"/>
    <cellStyle name="Ae" xfId="2216" xr:uid="{00000000-0005-0000-0000-0000A7080000}"/>
    <cellStyle name="Åë" xfId="2217" xr:uid="{00000000-0005-0000-0000-0000A8080000}"/>
    <cellStyle name="Aee­ " xfId="2218" xr:uid="{00000000-0005-0000-0000-0000A9080000}"/>
    <cellStyle name="Åëè­ [" xfId="2219" xr:uid="{00000000-0005-0000-0000-0000AA080000}"/>
    <cellStyle name="AeE­ [0]_ 2ÆAAþº° " xfId="2220" xr:uid="{00000000-0005-0000-0000-0000AB080000}"/>
    <cellStyle name="ÅëÈ­ [0]_´ëºñÇ¥" xfId="2221" xr:uid="{00000000-0005-0000-0000-0000AC080000}"/>
    <cellStyle name="AeE­ [0]_¿­¸° INT" xfId="2222" xr:uid="{00000000-0005-0000-0000-0000AD080000}"/>
    <cellStyle name="ÅëÈ­ [0]_±âÅ¸" xfId="2223" xr:uid="{00000000-0005-0000-0000-0000AE080000}"/>
    <cellStyle name="AeE­ [0]_°ø A¤ C￥  BAR (sample) " xfId="2224" xr:uid="{00000000-0005-0000-0000-0000AF080000}"/>
    <cellStyle name="ÅëÈ­ [0]_¼öÀÍ¼º " xfId="2225" xr:uid="{00000000-0005-0000-0000-0000B0080000}"/>
    <cellStyle name="AeE­ [0]_1C￥Ao" xfId="2226" xr:uid="{00000000-0005-0000-0000-0000B1080000}"/>
    <cellStyle name="ÅëÈ­ [0]_2000¼ÕÈ® " xfId="2227" xr:uid="{00000000-0005-0000-0000-0000B2080000}"/>
    <cellStyle name="AeE­ [0]_95³aAN°y¼o·R " xfId="2228" xr:uid="{00000000-0005-0000-0000-0000B3080000}"/>
    <cellStyle name="ÅëÈ­ [0]_Á¤»ê¼­°©Áö" xfId="2229" xr:uid="{00000000-0005-0000-0000-0000B4080000}"/>
    <cellStyle name="AeE­ [0]_INQUIRY ¿μ¾÷AßAø " xfId="2230" xr:uid="{00000000-0005-0000-0000-0000B5080000}"/>
    <cellStyle name="ÅëÈ­ [0]_kc-elec system check list" xfId="2231" xr:uid="{00000000-0005-0000-0000-0000B6080000}"/>
    <cellStyle name="AeE­ [0]_º≫¼± ±æ¾i±uºI ¼o·R Ay°eC￥ " xfId="2232" xr:uid="{00000000-0005-0000-0000-0000B7080000}"/>
    <cellStyle name="ÅëÈ­ [0]_RESULTS" xfId="2233" xr:uid="{00000000-0005-0000-0000-0000B8080000}"/>
    <cellStyle name="AeE­ [0]_μμ±Þ°ø≫cºn " xfId="2234" xr:uid="{00000000-0005-0000-0000-0000B9080000}"/>
    <cellStyle name="Aee­ _04028적산수량집계" xfId="2235" xr:uid="{00000000-0005-0000-0000-0000BA080000}"/>
    <cellStyle name="AeE­_ 2ÆAAþº° " xfId="2236" xr:uid="{00000000-0005-0000-0000-0000BB080000}"/>
    <cellStyle name="ÅëÈ­_´ëºñÇ¥" xfId="2237" xr:uid="{00000000-0005-0000-0000-0000BC080000}"/>
    <cellStyle name="AeE­_¿­¸° INT" xfId="2238" xr:uid="{00000000-0005-0000-0000-0000BD080000}"/>
    <cellStyle name="ÅëÈ­_±âÅ¸" xfId="2239" xr:uid="{00000000-0005-0000-0000-0000BE080000}"/>
    <cellStyle name="AeE­_°ø A¤ C￥  BAR (sample) " xfId="2240" xr:uid="{00000000-0005-0000-0000-0000BF080000}"/>
    <cellStyle name="ÅëÈ­_¼öÀÍ¼º " xfId="2241" xr:uid="{00000000-0005-0000-0000-0000C0080000}"/>
    <cellStyle name="AeE­_95³aAN°y¼o·R " xfId="2242" xr:uid="{00000000-0005-0000-0000-0000C1080000}"/>
    <cellStyle name="ÅëÈ­_Á¤»ê¼­°©Áö" xfId="2243" xr:uid="{00000000-0005-0000-0000-0000C2080000}"/>
    <cellStyle name="AeE­_INQUIRY ¿μ¾÷AßAø " xfId="2244" xr:uid="{00000000-0005-0000-0000-0000C3080000}"/>
    <cellStyle name="ÅëÈ­_kc-elec system check list" xfId="2245" xr:uid="{00000000-0005-0000-0000-0000C4080000}"/>
    <cellStyle name="AeE­_º≫¼± ±æ¾i±uºI ¼o·R Ay°eC￥ " xfId="2246" xr:uid="{00000000-0005-0000-0000-0000C5080000}"/>
    <cellStyle name="ÅëÈ­_RESULTS" xfId="2247" xr:uid="{00000000-0005-0000-0000-0000C6080000}"/>
    <cellStyle name="Aee¡" xfId="2248" xr:uid="{00000000-0005-0000-0000-0000C7080000}"/>
    <cellStyle name="AeE¡© [0]_INQUIRY ¢¯¥ì¨ú¡ÀA©¬A©ª " xfId="2249" xr:uid="{00000000-0005-0000-0000-0000C8080000}"/>
    <cellStyle name="AeE¡©_INQUIRY ¢¯¥ì¨ú¡ÀA©¬A©ª " xfId="2250" xr:uid="{00000000-0005-0000-0000-0000C9080000}"/>
    <cellStyle name="AeE¡ⓒ [0]_¨uc¨oA " xfId="2251" xr:uid="{00000000-0005-0000-0000-0000CA080000}"/>
    <cellStyle name="AeE¡ⓒ_¨uc¨oA " xfId="2252" xr:uid="{00000000-0005-0000-0000-0000CB080000}"/>
    <cellStyle name="ALIGNMENT" xfId="2253" xr:uid="{00000000-0005-0000-0000-0000CC080000}"/>
    <cellStyle name="args.style" xfId="2254" xr:uid="{00000000-0005-0000-0000-0000CD080000}"/>
    <cellStyle name="Äþ" xfId="2255" xr:uid="{00000000-0005-0000-0000-0000CE080000}"/>
    <cellStyle name="Aþ¸" xfId="2256" xr:uid="{00000000-0005-0000-0000-0000CF080000}"/>
    <cellStyle name="Äþ¸¶ [" xfId="2257" xr:uid="{00000000-0005-0000-0000-0000D0080000}"/>
    <cellStyle name="AÞ¸¶ [0]_ 2ÆAAþº° " xfId="2258" xr:uid="{00000000-0005-0000-0000-0000D1080000}"/>
    <cellStyle name="ÄÞ¸¶ [0]_´ëºñÇ¥" xfId="2259" xr:uid="{00000000-0005-0000-0000-0000D2080000}"/>
    <cellStyle name="AÞ¸¶ [0]_¿­¸° INT" xfId="2260" xr:uid="{00000000-0005-0000-0000-0000D3080000}"/>
    <cellStyle name="ÄÞ¸¶ [0]_±âÅ¸" xfId="2261" xr:uid="{00000000-0005-0000-0000-0000D4080000}"/>
    <cellStyle name="AÞ¸¶ [0]_°¡³ª´U " xfId="2262" xr:uid="{00000000-0005-0000-0000-0000D5080000}"/>
    <cellStyle name="ÄÞ¸¶ [0]_°ø¹®¾ç½Ä" xfId="2263" xr:uid="{00000000-0005-0000-0000-0000D6080000}"/>
    <cellStyle name="AÞ¸¶ [0]_¼oAI¼º " xfId="2264" xr:uid="{00000000-0005-0000-0000-0000D7080000}"/>
    <cellStyle name="ÄÞ¸¶ [0]_¼öÀÍ¼º " xfId="2265" xr:uid="{00000000-0005-0000-0000-0000D8080000}"/>
    <cellStyle name="AÞ¸¶ [0]_1" xfId="2266" xr:uid="{00000000-0005-0000-0000-0000D9080000}"/>
    <cellStyle name="ÄÞ¸¶ [0]_2000¼ÕÈ® " xfId="2267" xr:uid="{00000000-0005-0000-0000-0000DA080000}"/>
    <cellStyle name="AÞ¸¶ [0]_95³aAN°y¼o·R " xfId="2268" xr:uid="{00000000-0005-0000-0000-0000DB080000}"/>
    <cellStyle name="ÄÞ¸¶ [0]_Á¤»ê¼­°©Áö" xfId="2269" xr:uid="{00000000-0005-0000-0000-0000DC080000}"/>
    <cellStyle name="AÞ¸¶ [0]_INQUIRY ¿μ¾÷AßAø " xfId="2270" xr:uid="{00000000-0005-0000-0000-0000DD080000}"/>
    <cellStyle name="ÄÞ¸¶ [0]_º¯°æ¹®Ã³_Àç¹«È°µ¿ " xfId="2271" xr:uid="{00000000-0005-0000-0000-0000DE080000}"/>
    <cellStyle name="AÞ¸¶ [0]_º≫¼± ±æ¾i±uºI ¼o·R Ay°eC￥ " xfId="2272" xr:uid="{00000000-0005-0000-0000-0000DF080000}"/>
    <cellStyle name="ÄÞ¸¶ [0]_Sheet1" xfId="2273" xr:uid="{00000000-0005-0000-0000-0000E0080000}"/>
    <cellStyle name="AÞ¸¶_ 2ÆAAþº° " xfId="2274" xr:uid="{00000000-0005-0000-0000-0000E1080000}"/>
    <cellStyle name="ÄÞ¸¶_´ëºñÇ¥" xfId="2275" xr:uid="{00000000-0005-0000-0000-0000E2080000}"/>
    <cellStyle name="AÞ¸¶_¿­¸° INT" xfId="2276" xr:uid="{00000000-0005-0000-0000-0000E3080000}"/>
    <cellStyle name="ÄÞ¸¶_±âÅ¸" xfId="2277" xr:uid="{00000000-0005-0000-0000-0000E4080000}"/>
    <cellStyle name="AÞ¸¶_°ø A¤ C￥  BAR (sample) " xfId="2278" xr:uid="{00000000-0005-0000-0000-0000E5080000}"/>
    <cellStyle name="ÄÞ¸¶_¼öÀÍ¼º " xfId="2279" xr:uid="{00000000-0005-0000-0000-0000E6080000}"/>
    <cellStyle name="AÞ¸¶_1" xfId="2280" xr:uid="{00000000-0005-0000-0000-0000E7080000}"/>
    <cellStyle name="ÄÞ¸¶_2000¼ÕÈ® " xfId="2281" xr:uid="{00000000-0005-0000-0000-0000E8080000}"/>
    <cellStyle name="AÞ¸¶_95³aAN°y¼o·R " xfId="2282" xr:uid="{00000000-0005-0000-0000-0000E9080000}"/>
    <cellStyle name="ÄÞ¸¶_Á¤»ê¼­°©Áö" xfId="2283" xr:uid="{00000000-0005-0000-0000-0000EA080000}"/>
    <cellStyle name="AÞ¸¶_INQUIRY ¿μ¾÷AßAø " xfId="2284" xr:uid="{00000000-0005-0000-0000-0000EB080000}"/>
    <cellStyle name="ÄÞ¸¶_º¯°æ¹®Ã³_Àç¹«È°µ¿ " xfId="2285" xr:uid="{00000000-0005-0000-0000-0000EC080000}"/>
    <cellStyle name="AÞ¸¶_º≫¼± ±æ¾i±uºI ¼o·R Ay°eC￥ " xfId="2286" xr:uid="{00000000-0005-0000-0000-0000ED080000}"/>
    <cellStyle name="ÄÞ¸¶_Sheet1" xfId="2287" xr:uid="{00000000-0005-0000-0000-0000EE080000}"/>
    <cellStyle name="_x0001_b" xfId="2288" xr:uid="{00000000-0005-0000-0000-0000EF080000}"/>
    <cellStyle name="blank" xfId="2289" xr:uid="{00000000-0005-0000-0000-0000F0080000}"/>
    <cellStyle name="blank - Style1" xfId="2290" xr:uid="{00000000-0005-0000-0000-0000F1080000}"/>
    <cellStyle name="Body" xfId="2291" xr:uid="{00000000-0005-0000-0000-0000F2080000}"/>
    <cellStyle name="C" xfId="2292" xr:uid="{00000000-0005-0000-0000-0000F3080000}"/>
    <cellStyle name="C_04028적산수량집계" xfId="2293" xr:uid="{00000000-0005-0000-0000-0000F4080000}"/>
    <cellStyle name="C_BOOKCITY(전기)" xfId="2294" xr:uid="{00000000-0005-0000-0000-0000F5080000}"/>
    <cellStyle name="C_BOOKCITY(전기)_04028적산수량집계" xfId="2295" xr:uid="{00000000-0005-0000-0000-0000F6080000}"/>
    <cellStyle name="C_공설운동진입(가실행)" xfId="2296" xr:uid="{00000000-0005-0000-0000-0000F7080000}"/>
    <cellStyle name="C_공설운동진입(가실행)_04028적산수량집계" xfId="2297" xr:uid="{00000000-0005-0000-0000-0000F8080000}"/>
    <cellStyle name="C_공설운동진입(가실행)_BOOKCITY(전기)" xfId="2298" xr:uid="{00000000-0005-0000-0000-0000F9080000}"/>
    <cellStyle name="C_공설운동진입(가실행)_BOOKCITY(전기)_04028적산수량집계" xfId="2299" xr:uid="{00000000-0005-0000-0000-0000FA080000}"/>
    <cellStyle name="C_공설운동진입(가실행)_사본 - 파주 북시티(이채)" xfId="2300" xr:uid="{00000000-0005-0000-0000-0000FB080000}"/>
    <cellStyle name="C_공설운동진입(가실행)_사본 - 파주 북시티(이채)_04028적산수량집계" xfId="2301" xr:uid="{00000000-0005-0000-0000-0000FC080000}"/>
    <cellStyle name="C_공설운동진입(가실행)_파주 BOOK CITY(통보용)" xfId="2302" xr:uid="{00000000-0005-0000-0000-0000FD080000}"/>
    <cellStyle name="C_공설운동진입(가실행)_파주 BOOK CITY(통보용)_04028적산수량집계" xfId="2303" xr:uid="{00000000-0005-0000-0000-0000FE080000}"/>
    <cellStyle name="C_공설운동진입(가실행)_파주 BOOK CITY가실행내역" xfId="2304" xr:uid="{00000000-0005-0000-0000-0000FF080000}"/>
    <cellStyle name="C_공설운동진입(가실행)_파주 BOOK CITY가실행내역_04028적산수량집계" xfId="2305" xr:uid="{00000000-0005-0000-0000-000000090000}"/>
    <cellStyle name="C_공설운동진입(가실행)_파주 북시티(이채)제출" xfId="2306" xr:uid="{00000000-0005-0000-0000-000001090000}"/>
    <cellStyle name="C_공설운동진입(가실행)_파주 북시티(이채)제출_04028적산수량집계" xfId="2307" xr:uid="{00000000-0005-0000-0000-000002090000}"/>
    <cellStyle name="C_공설운동진입(가실행)_파주 북시티(전체)제출(변경전)" xfId="2308" xr:uid="{00000000-0005-0000-0000-000003090000}"/>
    <cellStyle name="C_공설운동진입(가실행)_파주 북시티(전체)제출(변경전)_04028적산수량집계" xfId="2309" xr:uid="{00000000-0005-0000-0000-000004090000}"/>
    <cellStyle name="C_사본 - 파주 북시티(이채)" xfId="2310" xr:uid="{00000000-0005-0000-0000-000005090000}"/>
    <cellStyle name="C_사본 - 파주 북시티(이채)_04028적산수량집계" xfId="2311" xr:uid="{00000000-0005-0000-0000-000006090000}"/>
    <cellStyle name="C_토목내역서" xfId="2312" xr:uid="{00000000-0005-0000-0000-000007090000}"/>
    <cellStyle name="C_토목내역서_04028적산수량집계" xfId="2313" xr:uid="{00000000-0005-0000-0000-000008090000}"/>
    <cellStyle name="C_토목내역서_BOOKCITY(전기)" xfId="2314" xr:uid="{00000000-0005-0000-0000-000009090000}"/>
    <cellStyle name="C_토목내역서_BOOKCITY(전기)_04028적산수량집계" xfId="2315" xr:uid="{00000000-0005-0000-0000-00000A090000}"/>
    <cellStyle name="C_토목내역서_공설운동진입(가실행)" xfId="2316" xr:uid="{00000000-0005-0000-0000-00000B090000}"/>
    <cellStyle name="C_토목내역서_공설운동진입(가실행)_04028적산수량집계" xfId="2317" xr:uid="{00000000-0005-0000-0000-00000C090000}"/>
    <cellStyle name="C_토목내역서_공설운동진입(가실행)_BOOKCITY(전기)" xfId="2318" xr:uid="{00000000-0005-0000-0000-00000D090000}"/>
    <cellStyle name="C_토목내역서_공설운동진입(가실행)_BOOKCITY(전기)_04028적산수량집계" xfId="2319" xr:uid="{00000000-0005-0000-0000-00000E090000}"/>
    <cellStyle name="C_토목내역서_공설운동진입(가실행)_사본 - 파주 북시티(이채)" xfId="2320" xr:uid="{00000000-0005-0000-0000-00000F090000}"/>
    <cellStyle name="C_토목내역서_공설운동진입(가실행)_사본 - 파주 북시티(이채)_04028적산수량집계" xfId="2321" xr:uid="{00000000-0005-0000-0000-000010090000}"/>
    <cellStyle name="C_토목내역서_공설운동진입(가실행)_파주 BOOK CITY(통보용)" xfId="2322" xr:uid="{00000000-0005-0000-0000-000011090000}"/>
    <cellStyle name="C_토목내역서_공설운동진입(가실행)_파주 BOOK CITY(통보용)_04028적산수량집계" xfId="2323" xr:uid="{00000000-0005-0000-0000-000012090000}"/>
    <cellStyle name="C_토목내역서_공설운동진입(가실행)_파주 BOOK CITY가실행내역" xfId="2324" xr:uid="{00000000-0005-0000-0000-000013090000}"/>
    <cellStyle name="C_토목내역서_공설운동진입(가실행)_파주 BOOK CITY가실행내역_04028적산수량집계" xfId="2325" xr:uid="{00000000-0005-0000-0000-000014090000}"/>
    <cellStyle name="C_토목내역서_공설운동진입(가실행)_파주 북시티(이채)제출" xfId="2326" xr:uid="{00000000-0005-0000-0000-000015090000}"/>
    <cellStyle name="C_토목내역서_공설운동진입(가실행)_파주 북시티(이채)제출_04028적산수량집계" xfId="2327" xr:uid="{00000000-0005-0000-0000-000016090000}"/>
    <cellStyle name="C_토목내역서_공설운동진입(가실행)_파주 북시티(전체)제출(변경전)" xfId="2328" xr:uid="{00000000-0005-0000-0000-000017090000}"/>
    <cellStyle name="C_토목내역서_공설운동진입(가실행)_파주 북시티(전체)제출(변경전)_04028적산수량집계" xfId="2329" xr:uid="{00000000-0005-0000-0000-000018090000}"/>
    <cellStyle name="C_토목내역서_사본 - 파주 북시티(이채)" xfId="2330" xr:uid="{00000000-0005-0000-0000-000019090000}"/>
    <cellStyle name="C_토목내역서_사본 - 파주 북시티(이채)_04028적산수량집계" xfId="2331" xr:uid="{00000000-0005-0000-0000-00001A090000}"/>
    <cellStyle name="C_토목내역서_파주 BOOK CITY(통보용)" xfId="2332" xr:uid="{00000000-0005-0000-0000-00001B090000}"/>
    <cellStyle name="C_토목내역서_파주 BOOK CITY(통보용)_04028적산수량집계" xfId="2333" xr:uid="{00000000-0005-0000-0000-00001C090000}"/>
    <cellStyle name="C_토목내역서_파주 BOOK CITY가실행내역" xfId="2334" xr:uid="{00000000-0005-0000-0000-00001D090000}"/>
    <cellStyle name="C_토목내역서_파주 BOOK CITY가실행내역_04028적산수량집계" xfId="2335" xr:uid="{00000000-0005-0000-0000-00001E090000}"/>
    <cellStyle name="C_토목내역서_파주 북시티(이채)제출" xfId="2336" xr:uid="{00000000-0005-0000-0000-00001F090000}"/>
    <cellStyle name="C_토목내역서_파주 북시티(이채)제출_04028적산수량집계" xfId="2337" xr:uid="{00000000-0005-0000-0000-000020090000}"/>
    <cellStyle name="C_토목내역서_파주 북시티(전체)제출(변경전)" xfId="2338" xr:uid="{00000000-0005-0000-0000-000021090000}"/>
    <cellStyle name="C_토목내역서_파주 북시티(전체)제출(변경전)_04028적산수량집계" xfId="2339" xr:uid="{00000000-0005-0000-0000-000022090000}"/>
    <cellStyle name="C_파주 BOOK CITY(통보용)" xfId="2340" xr:uid="{00000000-0005-0000-0000-000023090000}"/>
    <cellStyle name="C_파주 BOOK CITY(통보용)_04028적산수량집계" xfId="2341" xr:uid="{00000000-0005-0000-0000-000024090000}"/>
    <cellStyle name="C_파주 BOOK CITY가실행내역" xfId="2342" xr:uid="{00000000-0005-0000-0000-000025090000}"/>
    <cellStyle name="C_파주 BOOK CITY가실행내역_04028적산수량집계" xfId="2343" xr:uid="{00000000-0005-0000-0000-000026090000}"/>
    <cellStyle name="C_파주 북시티(이채)제출" xfId="2344" xr:uid="{00000000-0005-0000-0000-000027090000}"/>
    <cellStyle name="C_파주 북시티(이채)제출_04028적산수량집계" xfId="2345" xr:uid="{00000000-0005-0000-0000-000028090000}"/>
    <cellStyle name="C_파주 북시티(전체)제출(변경전)" xfId="2346" xr:uid="{00000000-0005-0000-0000-000029090000}"/>
    <cellStyle name="C_파주 북시티(전체)제출(변경전)_04028적산수량집계" xfId="2347" xr:uid="{00000000-0005-0000-0000-00002A090000}"/>
    <cellStyle name="C¡IA¨ª_  FAB AIA￠´  " xfId="2348" xr:uid="{00000000-0005-0000-0000-00002B090000}"/>
    <cellStyle name="C¡ÍA¨ª_¡íc¨ú¡À¨¬I¨¬¡Æ AN¡Æe " xfId="2349" xr:uid="{00000000-0005-0000-0000-00002C090000}"/>
    <cellStyle name="C¡IA¨ª_AO¨uRCN¡¾U " xfId="2350" xr:uid="{00000000-0005-0000-0000-00002D090000}"/>
    <cellStyle name="Ç¥" xfId="2351" xr:uid="{00000000-0005-0000-0000-00002E090000}"/>
    <cellStyle name="C￥AØ_  FAB AIA¤  " xfId="2352" xr:uid="{00000000-0005-0000-0000-00002F090000}"/>
    <cellStyle name="Ç¥ÁØ_(Á¤º¸ºÎ¹®)¿ùº°ÀÎ¿ø°èÈ¹" xfId="2353" xr:uid="{00000000-0005-0000-0000-000030090000}"/>
    <cellStyle name="C￥AØ_´eAN°yC￥ " xfId="2354" xr:uid="{00000000-0005-0000-0000-000031090000}"/>
    <cellStyle name="Ç¥ÁØ_´ëºñÇ¥" xfId="2355" xr:uid="{00000000-0005-0000-0000-000032090000}"/>
    <cellStyle name="C￥AØ_´eºnC￥ (2)_1_ºI´eAa°ø " xfId="2356" xr:uid="{00000000-0005-0000-0000-000033090000}"/>
    <cellStyle name="Ç¥ÁØ_´ëºñÇ¥ (2)_1_ºÎ´ëÅä°ø " xfId="2357" xr:uid="{00000000-0005-0000-0000-000034090000}"/>
    <cellStyle name="C￥AØ_´eºnC￥ (2)_ºI´eAa°ø " xfId="2358" xr:uid="{00000000-0005-0000-0000-000035090000}"/>
    <cellStyle name="Ç¥ÁØ_´ëºñÇ¥ (2)_ºÎ´ëÅä°ø " xfId="2359" xr:uid="{00000000-0005-0000-0000-000036090000}"/>
    <cellStyle name="C￥AØ_¿­¸° INT" xfId="2360" xr:uid="{00000000-0005-0000-0000-000037090000}"/>
    <cellStyle name="Ç¥ÁØ_±¸¸Å³³±â" xfId="2361" xr:uid="{00000000-0005-0000-0000-000038090000}"/>
    <cellStyle name="C￥AØ_≫c¾÷ºIº° AN°e " xfId="2362" xr:uid="{00000000-0005-0000-0000-000039090000}"/>
    <cellStyle name="Ç¥ÁØ_°¡¼³" xfId="2363" xr:uid="{00000000-0005-0000-0000-00003A090000}"/>
    <cellStyle name="C￥AØ_°ø≫cºn¿¹≫e¼­ " xfId="2364" xr:uid="{00000000-0005-0000-0000-00003B090000}"/>
    <cellStyle name="Ç¥ÁØ_°ø¹®" xfId="2365" xr:uid="{00000000-0005-0000-0000-00003C090000}"/>
    <cellStyle name="C￥AØ_0N-HANDLING " xfId="2366" xr:uid="{00000000-0005-0000-0000-00003D090000}"/>
    <cellStyle name="Ç¥ÁØ_0N-HANDLING " xfId="2367" xr:uid="{00000000-0005-0000-0000-00003E090000}"/>
    <cellStyle name="C￥AØ_¼³°e¿e¿ª" xfId="2368" xr:uid="{00000000-0005-0000-0000-00003F090000}"/>
    <cellStyle name="Ç¥ÁØ_¼öÀÍ¼º " xfId="2369" xr:uid="{00000000-0005-0000-0000-000040090000}"/>
    <cellStyle name="C￥AØ_¹y¸eº¸E￡ " xfId="2370" xr:uid="{00000000-0005-0000-0000-000041090000}"/>
    <cellStyle name="Ç¥ÁØ_5-1±¤°í " xfId="2371" xr:uid="{00000000-0005-0000-0000-000042090000}"/>
    <cellStyle name="C￥AØ_95³aAN°y¼o·R " xfId="2372" xr:uid="{00000000-0005-0000-0000-000043090000}"/>
    <cellStyle name="Ç¥ÁØ_Áý°èÇ¥(2¿ù) " xfId="2373" xr:uid="{00000000-0005-0000-0000-000044090000}"/>
    <cellStyle name="C￥AØ_CoAo¹yAI °A¾×¿ⓒ½A " xfId="2374" xr:uid="{00000000-0005-0000-0000-000045090000}"/>
    <cellStyle name="Ç¥ÁØ_ÇöÈ²_¹®Á¦Á¡ " xfId="2375" xr:uid="{00000000-0005-0000-0000-000046090000}"/>
    <cellStyle name="C￥AØ_E¸AaAO½A " xfId="2376" xr:uid="{00000000-0005-0000-0000-000047090000}"/>
    <cellStyle name="Ç¥ÁØ_ÈÞÀÏ±Ù·Î" xfId="2377" xr:uid="{00000000-0005-0000-0000-000048090000}"/>
    <cellStyle name="C￥AØ_FIRE " xfId="2378" xr:uid="{00000000-0005-0000-0000-000049090000}"/>
    <cellStyle name="Ç¥ÁØ_HATCO HQ" xfId="2379" xr:uid="{00000000-0005-0000-0000-00004A090000}"/>
    <cellStyle name="C￥AØ_LIGHTNING " xfId="2380" xr:uid="{00000000-0005-0000-0000-00004B090000}"/>
    <cellStyle name="Ç¥ÁØ_º¯°æ(ÃÖÁ¾)" xfId="2381" xr:uid="{00000000-0005-0000-0000-00004C090000}"/>
    <cellStyle name="C￥AØ_PERSONAL" xfId="2382" xr:uid="{00000000-0005-0000-0000-00004D090000}"/>
    <cellStyle name="Ç¥ÁØ_RESULTS" xfId="2383" xr:uid="{00000000-0005-0000-0000-00004E090000}"/>
    <cellStyle name="Calc Currency (0)" xfId="2384" xr:uid="{00000000-0005-0000-0000-00004F090000}"/>
    <cellStyle name="Calc Currency (2)" xfId="2385" xr:uid="{00000000-0005-0000-0000-000050090000}"/>
    <cellStyle name="Calc Percent (0)" xfId="2386" xr:uid="{00000000-0005-0000-0000-000051090000}"/>
    <cellStyle name="Calc Percent (1)" xfId="2387" xr:uid="{00000000-0005-0000-0000-000052090000}"/>
    <cellStyle name="Calc Percent (2)" xfId="2388" xr:uid="{00000000-0005-0000-0000-000053090000}"/>
    <cellStyle name="Calc Units (0)" xfId="2389" xr:uid="{00000000-0005-0000-0000-000054090000}"/>
    <cellStyle name="Calc Units (1)" xfId="2390" xr:uid="{00000000-0005-0000-0000-000055090000}"/>
    <cellStyle name="Calc Units (2)" xfId="2391" xr:uid="{00000000-0005-0000-0000-000056090000}"/>
    <cellStyle name="category" xfId="2392" xr:uid="{00000000-0005-0000-0000-000057090000}"/>
    <cellStyle name="ÇÏÀÌÆÛ¸µÅ©" xfId="2393" xr:uid="{00000000-0005-0000-0000-000058090000}"/>
    <cellStyle name="CIAIÆU¸μAⓒ" xfId="2394" xr:uid="{00000000-0005-0000-0000-000059090000}"/>
    <cellStyle name="ⓒo" xfId="2395" xr:uid="{00000000-0005-0000-0000-00005A090000}"/>
    <cellStyle name="Comma" xfId="2396" xr:uid="{00000000-0005-0000-0000-00005B090000}"/>
    <cellStyle name="Comma  - Style2" xfId="2397" xr:uid="{00000000-0005-0000-0000-00005C090000}"/>
    <cellStyle name="Comma  - Style3" xfId="2398" xr:uid="{00000000-0005-0000-0000-00005D090000}"/>
    <cellStyle name="Comma  - Style4" xfId="2399" xr:uid="{00000000-0005-0000-0000-00005E090000}"/>
    <cellStyle name="Comma  - Style5" xfId="2400" xr:uid="{00000000-0005-0000-0000-00005F090000}"/>
    <cellStyle name="Comma  - Style6" xfId="2401" xr:uid="{00000000-0005-0000-0000-000060090000}"/>
    <cellStyle name="Comma  - Style7" xfId="2402" xr:uid="{00000000-0005-0000-0000-000061090000}"/>
    <cellStyle name="Comma  - Style8" xfId="2403" xr:uid="{00000000-0005-0000-0000-000062090000}"/>
    <cellStyle name="Comma [0]" xfId="2627" xr:uid="{00000000-0005-0000-0000-000063090000}"/>
    <cellStyle name="Comma [00]" xfId="2404" xr:uid="{00000000-0005-0000-0000-000064090000}"/>
    <cellStyle name="comma zerodec" xfId="2405" xr:uid="{00000000-0005-0000-0000-000065090000}"/>
    <cellStyle name="Comma_ SG&amp;A Bridge" xfId="2406" xr:uid="{00000000-0005-0000-0000-000066090000}"/>
    <cellStyle name="Comma0" xfId="2407" xr:uid="{00000000-0005-0000-0000-000067090000}"/>
    <cellStyle name="Copied" xfId="2408" xr:uid="{00000000-0005-0000-0000-000068090000}"/>
    <cellStyle name="Curren?_x0012_퐀_x0017_?" xfId="2409" xr:uid="{00000000-0005-0000-0000-000069090000}"/>
    <cellStyle name="Currency" xfId="2410" xr:uid="{00000000-0005-0000-0000-00006A090000}"/>
    <cellStyle name="Currency [0]" xfId="2411" xr:uid="{00000000-0005-0000-0000-00006B090000}"/>
    <cellStyle name="Currency [00]" xfId="2412" xr:uid="{00000000-0005-0000-0000-00006C090000}"/>
    <cellStyle name="Currency_ SG&amp;A Bridge " xfId="2413" xr:uid="{00000000-0005-0000-0000-00006D090000}"/>
    <cellStyle name="Currency0" xfId="2414" xr:uid="{00000000-0005-0000-0000-00006E090000}"/>
    <cellStyle name="Currency1" xfId="2415" xr:uid="{00000000-0005-0000-0000-00006F090000}"/>
    <cellStyle name="Date" xfId="2416" xr:uid="{00000000-0005-0000-0000-000070090000}"/>
    <cellStyle name="Date Short" xfId="2417" xr:uid="{00000000-0005-0000-0000-000071090000}"/>
    <cellStyle name="Date_견적양식(가로)" xfId="2418" xr:uid="{00000000-0005-0000-0000-000072090000}"/>
    <cellStyle name="DELTA" xfId="2419" xr:uid="{00000000-0005-0000-0000-000073090000}"/>
    <cellStyle name="Dezimal [0]_Compiling Utility Macros" xfId="2420" xr:uid="{00000000-0005-0000-0000-000074090000}"/>
    <cellStyle name="Dezimal_Compiling Utility Macros" xfId="2421" xr:uid="{00000000-0005-0000-0000-000075090000}"/>
    <cellStyle name="Dollar (zero dec)" xfId="2422" xr:uid="{00000000-0005-0000-0000-000076090000}"/>
    <cellStyle name="En-t?e 1" xfId="2423" xr:uid="{00000000-0005-0000-0000-000077090000}"/>
    <cellStyle name="En-t?e 2" xfId="2424" xr:uid="{00000000-0005-0000-0000-000078090000}"/>
    <cellStyle name="Enter Currency (0)" xfId="2425" xr:uid="{00000000-0005-0000-0000-000079090000}"/>
    <cellStyle name="Enter Currency (2)" xfId="2426" xr:uid="{00000000-0005-0000-0000-00007A090000}"/>
    <cellStyle name="Enter Units (0)" xfId="2427" xr:uid="{00000000-0005-0000-0000-00007B090000}"/>
    <cellStyle name="Enter Units (1)" xfId="2428" xr:uid="{00000000-0005-0000-0000-00007C090000}"/>
    <cellStyle name="Enter Units (2)" xfId="2429" xr:uid="{00000000-0005-0000-0000-00007D090000}"/>
    <cellStyle name="Entered" xfId="2430" xr:uid="{00000000-0005-0000-0000-00007E090000}"/>
    <cellStyle name="Euro" xfId="2431" xr:uid="{00000000-0005-0000-0000-00007F090000}"/>
    <cellStyle name="F2" xfId="2432" xr:uid="{00000000-0005-0000-0000-000080090000}"/>
    <cellStyle name="F3" xfId="2433" xr:uid="{00000000-0005-0000-0000-000081090000}"/>
    <cellStyle name="F4" xfId="2434" xr:uid="{00000000-0005-0000-0000-000082090000}"/>
    <cellStyle name="F5" xfId="2435" xr:uid="{00000000-0005-0000-0000-000083090000}"/>
    <cellStyle name="F6" xfId="2436" xr:uid="{00000000-0005-0000-0000-000084090000}"/>
    <cellStyle name="F7" xfId="2437" xr:uid="{00000000-0005-0000-0000-000085090000}"/>
    <cellStyle name="F8" xfId="2438" xr:uid="{00000000-0005-0000-0000-000086090000}"/>
    <cellStyle name="Financier0" xfId="2439" xr:uid="{00000000-0005-0000-0000-000087090000}"/>
    <cellStyle name="Fixed" xfId="2440" xr:uid="{00000000-0005-0000-0000-000088090000}"/>
    <cellStyle name="Followed Hyperlink" xfId="2441" xr:uid="{00000000-0005-0000-0000-000089090000}"/>
    <cellStyle name="G10" xfId="2442" xr:uid="{00000000-0005-0000-0000-00008A090000}"/>
    <cellStyle name="Grey" xfId="2443" xr:uid="{00000000-0005-0000-0000-00008B090000}"/>
    <cellStyle name="H1" xfId="2444" xr:uid="{00000000-0005-0000-0000-00008C090000}"/>
    <cellStyle name="H2" xfId="2445" xr:uid="{00000000-0005-0000-0000-00008D090000}"/>
    <cellStyle name="HEADER" xfId="2446" xr:uid="{00000000-0005-0000-0000-00008E090000}"/>
    <cellStyle name="Header1" xfId="2447" xr:uid="{00000000-0005-0000-0000-00008F090000}"/>
    <cellStyle name="Header2" xfId="2448" xr:uid="{00000000-0005-0000-0000-000090090000}"/>
    <cellStyle name="Heading 1" xfId="2449" xr:uid="{00000000-0005-0000-0000-000091090000}"/>
    <cellStyle name="Heading 2" xfId="2450" xr:uid="{00000000-0005-0000-0000-000092090000}"/>
    <cellStyle name="Heading1" xfId="2451" xr:uid="{00000000-0005-0000-0000-000093090000}"/>
    <cellStyle name="Heading2" xfId="2452" xr:uid="{00000000-0005-0000-0000-000094090000}"/>
    <cellStyle name="HEADINGS" xfId="2453" xr:uid="{00000000-0005-0000-0000-000095090000}"/>
    <cellStyle name="HEADINGSTOP" xfId="2454" xr:uid="{00000000-0005-0000-0000-000096090000}"/>
    <cellStyle name="Helv8_PFD4.XLS" xfId="2455" xr:uid="{00000000-0005-0000-0000-000097090000}"/>
    <cellStyle name="Hyperlink" xfId="2456" xr:uid="{00000000-0005-0000-0000-000098090000}"/>
    <cellStyle name="Input [yellow]" xfId="2457" xr:uid="{00000000-0005-0000-0000-000099090000}"/>
    <cellStyle name="L`" xfId="2458" xr:uid="{00000000-0005-0000-0000-00009A090000}"/>
    <cellStyle name="Link Currency (0)" xfId="2459" xr:uid="{00000000-0005-0000-0000-00009B090000}"/>
    <cellStyle name="Link Currency (2)" xfId="2460" xr:uid="{00000000-0005-0000-0000-00009C090000}"/>
    <cellStyle name="Link Units (0)" xfId="2461" xr:uid="{00000000-0005-0000-0000-00009D090000}"/>
    <cellStyle name="Link Units (1)" xfId="2462" xr:uid="{00000000-0005-0000-0000-00009E090000}"/>
    <cellStyle name="Link Units (2)" xfId="2463" xr:uid="{00000000-0005-0000-0000-00009F090000}"/>
    <cellStyle name="Milliers [0]_399GC10" xfId="2464" xr:uid="{00000000-0005-0000-0000-0000A0090000}"/>
    <cellStyle name="Milliers_399GC10" xfId="2465" xr:uid="{00000000-0005-0000-0000-0000A1090000}"/>
    <cellStyle name="mma_CASH &amp; DSO" xfId="2466" xr:uid="{00000000-0005-0000-0000-0000A2090000}"/>
    <cellStyle name="Model" xfId="2467" xr:uid="{00000000-0005-0000-0000-0000A3090000}"/>
    <cellStyle name="Mon?aire [0]_399GC10" xfId="2468" xr:uid="{00000000-0005-0000-0000-0000A4090000}"/>
    <cellStyle name="Mon?aire_399GC10" xfId="2469" xr:uid="{00000000-0005-0000-0000-0000A5090000}"/>
    <cellStyle name="Mon?aire0" xfId="2470" xr:uid="{00000000-0005-0000-0000-0000A6090000}"/>
    <cellStyle name="no dec" xfId="2471" xr:uid="{00000000-0005-0000-0000-0000A7090000}"/>
    <cellStyle name="Normal - Style1" xfId="2472" xr:uid="{00000000-0005-0000-0000-0000A8090000}"/>
    <cellStyle name="Normal - Style2" xfId="2473" xr:uid="{00000000-0005-0000-0000-0000A9090000}"/>
    <cellStyle name="Normal - Style3" xfId="2474" xr:uid="{00000000-0005-0000-0000-0000AA090000}"/>
    <cellStyle name="Normal - Style4" xfId="2475" xr:uid="{00000000-0005-0000-0000-0000AB090000}"/>
    <cellStyle name="Normal - Style5" xfId="2476" xr:uid="{00000000-0005-0000-0000-0000AC090000}"/>
    <cellStyle name="Normal - Style6" xfId="2477" xr:uid="{00000000-0005-0000-0000-0000AD090000}"/>
    <cellStyle name="Normal - Style7" xfId="2478" xr:uid="{00000000-0005-0000-0000-0000AE090000}"/>
    <cellStyle name="Normal - Style8" xfId="2479" xr:uid="{00000000-0005-0000-0000-0000AF090000}"/>
    <cellStyle name="Normal - 유형1" xfId="2480" xr:uid="{00000000-0005-0000-0000-0000B0090000}"/>
    <cellStyle name="Œ…?æ맖?e [0.00]_guyan" xfId="2481" xr:uid="{00000000-0005-0000-0000-0000B1090000}"/>
    <cellStyle name="Œ…?æ맖?e_guyan" xfId="2482" xr:uid="{00000000-0005-0000-0000-0000B2090000}"/>
    <cellStyle name="oh" xfId="2483" xr:uid="{00000000-0005-0000-0000-0000B3090000}"/>
    <cellStyle name="per.style" xfId="2484" xr:uid="{00000000-0005-0000-0000-0000B4090000}"/>
    <cellStyle name="Percent" xfId="2485" xr:uid="{00000000-0005-0000-0000-0000B5090000}"/>
    <cellStyle name="Percent (0)" xfId="2486" xr:uid="{00000000-0005-0000-0000-0000B6090000}"/>
    <cellStyle name="Percent [0]" xfId="2487" xr:uid="{00000000-0005-0000-0000-0000B7090000}"/>
    <cellStyle name="Percent [00]" xfId="2488" xr:uid="{00000000-0005-0000-0000-0000B8090000}"/>
    <cellStyle name="Percent [2]" xfId="2489" xr:uid="{00000000-0005-0000-0000-0000B9090000}"/>
    <cellStyle name="Percent_#6 Temps &amp; Contractors" xfId="2490" xr:uid="{00000000-0005-0000-0000-0000BA090000}"/>
    <cellStyle name="PrePop Currency (0)" xfId="2491" xr:uid="{00000000-0005-0000-0000-0000BB090000}"/>
    <cellStyle name="PrePop Currency (2)" xfId="2492" xr:uid="{00000000-0005-0000-0000-0000BC090000}"/>
    <cellStyle name="PrePop Units (0)" xfId="2493" xr:uid="{00000000-0005-0000-0000-0000BD090000}"/>
    <cellStyle name="PrePop Units (1)" xfId="2494" xr:uid="{00000000-0005-0000-0000-0000BE090000}"/>
    <cellStyle name="PrePop Units (2)" xfId="2495" xr:uid="{00000000-0005-0000-0000-0000BF090000}"/>
    <cellStyle name="regstoresfromspecstores" xfId="2496" xr:uid="{00000000-0005-0000-0000-0000C0090000}"/>
    <cellStyle name="RevList" xfId="2497" xr:uid="{00000000-0005-0000-0000-0000C1090000}"/>
    <cellStyle name="RLTJD(S" xfId="2498" xr:uid="{00000000-0005-0000-0000-0000C2090000}"/>
    <cellStyle name="s]_x000d__x000a_run=c:\Hedgehog\app31.exe_x000d__x000a_spooler=yes_x000d__x000a_load=_x000d__x000a_run=_x000d__x000a_Beep=yes_x000d__x000a_NullPort=None_x000d__x000a_BorderWidth=3_x000d__x000a_CursorBlinkRate=530_x000d__x000a_D" xfId="2499" xr:uid="{00000000-0005-0000-0000-0000C3090000}"/>
    <cellStyle name="SAPBEXaggData" xfId="2500" xr:uid="{00000000-0005-0000-0000-0000C4090000}"/>
    <cellStyle name="SAPBEXstdData" xfId="2501" xr:uid="{00000000-0005-0000-0000-0000C5090000}"/>
    <cellStyle name="sh" xfId="2502" xr:uid="{00000000-0005-0000-0000-0000C6090000}"/>
    <cellStyle name="SHADEDSTORES" xfId="2503" xr:uid="{00000000-0005-0000-0000-0000C7090000}"/>
    <cellStyle name="specstores" xfId="2504" xr:uid="{00000000-0005-0000-0000-0000C8090000}"/>
    <cellStyle name="ssh" xfId="2505" xr:uid="{00000000-0005-0000-0000-0000C9090000}"/>
    <cellStyle name="STANDARD" xfId="2506" xr:uid="{00000000-0005-0000-0000-0000CA090000}"/>
    <cellStyle name="subhead" xfId="2507" xr:uid="{00000000-0005-0000-0000-0000CB090000}"/>
    <cellStyle name="Subtotal" xfId="2508" xr:uid="{00000000-0005-0000-0000-0000CC090000}"/>
    <cellStyle name="Text Indent A" xfId="2509" xr:uid="{00000000-0005-0000-0000-0000CD090000}"/>
    <cellStyle name="Text Indent B" xfId="2510" xr:uid="{00000000-0005-0000-0000-0000CE090000}"/>
    <cellStyle name="Text Indent C" xfId="2511" xr:uid="{00000000-0005-0000-0000-0000CF090000}"/>
    <cellStyle name="Title" xfId="2512" xr:uid="{00000000-0005-0000-0000-0000D0090000}"/>
    <cellStyle name="title [1]" xfId="2513" xr:uid="{00000000-0005-0000-0000-0000D1090000}"/>
    <cellStyle name="title [2]" xfId="2514" xr:uid="{00000000-0005-0000-0000-0000D2090000}"/>
    <cellStyle name="Title_견적양식(가로)" xfId="2515" xr:uid="{00000000-0005-0000-0000-0000D3090000}"/>
    <cellStyle name="Total" xfId="2516" xr:uid="{00000000-0005-0000-0000-0000D4090000}"/>
    <cellStyle name="UM" xfId="2517" xr:uid="{00000000-0005-0000-0000-0000D5090000}"/>
    <cellStyle name="Virgule fixe" xfId="2518" xr:uid="{00000000-0005-0000-0000-0000D6090000}"/>
    <cellStyle name="W?rung [0]_Compiling Utility Macros" xfId="2519" xr:uid="{00000000-0005-0000-0000-0000D7090000}"/>
    <cellStyle name="W?rung_Compiling Utility Macros" xfId="2520" xr:uid="{00000000-0005-0000-0000-0000D8090000}"/>
    <cellStyle name="_x0008_z" xfId="2521" xr:uid="{00000000-0005-0000-0000-0000D9090000}"/>
    <cellStyle name="μU¿¡ ¿A´A CIAIÆU¸μAⓒ" xfId="2522" xr:uid="{00000000-0005-0000-0000-0000DA090000}"/>
    <cellStyle name="|?ドE" xfId="2523" xr:uid="{00000000-0005-0000-0000-0000DB090000}"/>
    <cellStyle name="견적" xfId="2524" xr:uid="{00000000-0005-0000-0000-0000DC090000}"/>
    <cellStyle name="고정소숫점" xfId="2525" xr:uid="{00000000-0005-0000-0000-0000DD090000}"/>
    <cellStyle name="고정출력1" xfId="2526" xr:uid="{00000000-0005-0000-0000-0000DE090000}"/>
    <cellStyle name="고정출력2" xfId="2527" xr:uid="{00000000-0005-0000-0000-0000DF090000}"/>
    <cellStyle name="공사원가계산서(조경)" xfId="2528" xr:uid="{00000000-0005-0000-0000-0000E0090000}"/>
    <cellStyle name="기계" xfId="2529" xr:uid="{00000000-0005-0000-0000-0000E1090000}"/>
    <cellStyle name="기본숫자" xfId="2530" xr:uid="{00000000-0005-0000-0000-0000E2090000}"/>
    <cellStyle name="기성(내용)" xfId="2531" xr:uid="{00000000-0005-0000-0000-0000E3090000}"/>
    <cellStyle name="기성(내용2)" xfId="2532" xr:uid="{00000000-0005-0000-0000-0000E4090000}"/>
    <cellStyle name="끼_x0001_?" xfId="2533" xr:uid="{00000000-0005-0000-0000-0000E5090000}"/>
    <cellStyle name="날짜" xfId="2534" xr:uid="{00000000-0005-0000-0000-0000E6090000}"/>
    <cellStyle name="내역서" xfId="2535" xr:uid="{00000000-0005-0000-0000-0000E7090000}"/>
    <cellStyle name="단가" xfId="2536" xr:uid="{00000000-0005-0000-0000-0000E8090000}"/>
    <cellStyle name="달러" xfId="2537" xr:uid="{00000000-0005-0000-0000-0000E9090000}"/>
    <cellStyle name="돋움채" xfId="2538" xr:uid="{00000000-0005-0000-0000-0000EA090000}"/>
    <cellStyle name="뒤에 오는 하이퍼링크" xfId="2539" xr:uid="{00000000-0005-0000-0000-0000EB090000}"/>
    <cellStyle name="똿떓죶Ø괻 [0.00]_NT Server " xfId="2540" xr:uid="{00000000-0005-0000-0000-0000EC090000}"/>
    <cellStyle name="똿떓죶Ø괻_NT Server " xfId="2541" xr:uid="{00000000-0005-0000-0000-0000ED090000}"/>
    <cellStyle name="똿뗦먛귟 [0.00]_laroux" xfId="2542" xr:uid="{00000000-0005-0000-0000-0000EE090000}"/>
    <cellStyle name="똿뗦먛귟_laroux" xfId="2543" xr:uid="{00000000-0005-0000-0000-0000EF090000}"/>
    <cellStyle name="마이너스키" xfId="2544" xr:uid="{00000000-0005-0000-0000-0000F0090000}"/>
    <cellStyle name="묮뎋 [0.00]_NT Server " xfId="2545" xr:uid="{00000000-0005-0000-0000-0000F1090000}"/>
    <cellStyle name="묮뎋_NT Server " xfId="2546" xr:uid="{00000000-0005-0000-0000-0000F2090000}"/>
    <cellStyle name="물량집계(갑)" xfId="2547" xr:uid="{00000000-0005-0000-0000-0000F3090000}"/>
    <cellStyle name="믅됞 [0.00]_laroux" xfId="2548" xr:uid="{00000000-0005-0000-0000-0000F4090000}"/>
    <cellStyle name="믅됞_laroux" xfId="2549" xr:uid="{00000000-0005-0000-0000-0000F5090000}"/>
    <cellStyle name="배분" xfId="2550" xr:uid="{00000000-0005-0000-0000-0000F6090000}"/>
    <cellStyle name="백" xfId="2551" xr:uid="{00000000-0005-0000-0000-0000F7090000}"/>
    <cellStyle name="백_04028적산수량집계" xfId="2552" xr:uid="{00000000-0005-0000-0000-0000F8090000}"/>
    <cellStyle name="백_BOOKCITY(전기)" xfId="2553" xr:uid="{00000000-0005-0000-0000-0000F9090000}"/>
    <cellStyle name="백_BOOKCITY(전기)_04028적산수량집계" xfId="2554" xr:uid="{00000000-0005-0000-0000-0000FA090000}"/>
    <cellStyle name="백_TRU내역서" xfId="2555" xr:uid="{00000000-0005-0000-0000-0000FB090000}"/>
    <cellStyle name="백_견적양식(가로)" xfId="2556" xr:uid="{00000000-0005-0000-0000-0000FC090000}"/>
    <cellStyle name="백_공설운동진입(가실행)" xfId="2557" xr:uid="{00000000-0005-0000-0000-0000FD090000}"/>
    <cellStyle name="백_공설운동진입(가실행)_04028적산수량집계" xfId="2558" xr:uid="{00000000-0005-0000-0000-0000FE090000}"/>
    <cellStyle name="백_공설운동진입(가실행)_BOOKCITY(전기)" xfId="2559" xr:uid="{00000000-0005-0000-0000-0000FF090000}"/>
    <cellStyle name="백_공설운동진입(가실행)_BOOKCITY(전기)_04028적산수량집계" xfId="2560" xr:uid="{00000000-0005-0000-0000-0000000A0000}"/>
    <cellStyle name="백_공설운동진입(가실행)_사본 - 파주 북시티(이채)" xfId="2561" xr:uid="{00000000-0005-0000-0000-0000010A0000}"/>
    <cellStyle name="백_공설운동진입(가실행)_사본 - 파주 북시티(이채)_04028적산수량집계" xfId="2562" xr:uid="{00000000-0005-0000-0000-0000020A0000}"/>
    <cellStyle name="백_공설운동진입(가실행)_파주 BOOK CITY(통보용)" xfId="2563" xr:uid="{00000000-0005-0000-0000-0000030A0000}"/>
    <cellStyle name="백_공설운동진입(가실행)_파주 BOOK CITY(통보용)_04028적산수량집계" xfId="2564" xr:uid="{00000000-0005-0000-0000-0000040A0000}"/>
    <cellStyle name="백_공설운동진입(가실행)_파주 BOOK CITY가실행내역" xfId="2565" xr:uid="{00000000-0005-0000-0000-0000050A0000}"/>
    <cellStyle name="백_공설운동진입(가실행)_파주 BOOK CITY가실행내역_04028적산수량집계" xfId="2566" xr:uid="{00000000-0005-0000-0000-0000060A0000}"/>
    <cellStyle name="백_공설운동진입(가실행)_파주 북시티(이채)제출" xfId="2567" xr:uid="{00000000-0005-0000-0000-0000070A0000}"/>
    <cellStyle name="백_공설운동진입(가실행)_파주 북시티(이채)제출_04028적산수량집계" xfId="2568" xr:uid="{00000000-0005-0000-0000-0000080A0000}"/>
    <cellStyle name="백_공설운동진입(가실행)_파주 북시티(전체)제출(변경전)" xfId="2569" xr:uid="{00000000-0005-0000-0000-0000090A0000}"/>
    <cellStyle name="백_공설운동진입(가실행)_파주 북시티(전체)제출(변경전)_04028적산수량집계" xfId="2570" xr:uid="{00000000-0005-0000-0000-00000A0A0000}"/>
    <cellStyle name="백_사본 - 파주 북시티(이채)" xfId="2571" xr:uid="{00000000-0005-0000-0000-00000B0A0000}"/>
    <cellStyle name="백_사본 - 파주 북시티(이채)_04028적산수량집계" xfId="2572" xr:uid="{00000000-0005-0000-0000-00000C0A0000}"/>
    <cellStyle name="백_정산내역(0515)-검토" xfId="2573" xr:uid="{00000000-0005-0000-0000-00000D0A0000}"/>
    <cellStyle name="백_토목내역서" xfId="2574" xr:uid="{00000000-0005-0000-0000-00000E0A0000}"/>
    <cellStyle name="백_토목내역서_04028적산수량집계" xfId="2575" xr:uid="{00000000-0005-0000-0000-00000F0A0000}"/>
    <cellStyle name="백_토목내역서_BOOKCITY(전기)" xfId="2576" xr:uid="{00000000-0005-0000-0000-0000100A0000}"/>
    <cellStyle name="백_토목내역서_BOOKCITY(전기)_04028적산수량집계" xfId="2577" xr:uid="{00000000-0005-0000-0000-0000110A0000}"/>
    <cellStyle name="백_토목내역서_공설운동진입(가실행)" xfId="2578" xr:uid="{00000000-0005-0000-0000-0000120A0000}"/>
    <cellStyle name="백_토목내역서_공설운동진입(가실행)_04028적산수량집계" xfId="2579" xr:uid="{00000000-0005-0000-0000-0000130A0000}"/>
    <cellStyle name="백_토목내역서_공설운동진입(가실행)_BOOKCITY(전기)" xfId="2580" xr:uid="{00000000-0005-0000-0000-0000140A0000}"/>
    <cellStyle name="백_토목내역서_공설운동진입(가실행)_BOOKCITY(전기)_04028적산수량집계" xfId="2581" xr:uid="{00000000-0005-0000-0000-0000150A0000}"/>
    <cellStyle name="백_토목내역서_공설운동진입(가실행)_사본 - 파주 북시티(이채)" xfId="2582" xr:uid="{00000000-0005-0000-0000-0000160A0000}"/>
    <cellStyle name="백_토목내역서_공설운동진입(가실행)_사본 - 파주 북시티(이채)_04028적산수량집계" xfId="2583" xr:uid="{00000000-0005-0000-0000-0000170A0000}"/>
    <cellStyle name="백_토목내역서_공설운동진입(가실행)_파주 BOOK CITY(통보용)" xfId="2584" xr:uid="{00000000-0005-0000-0000-0000180A0000}"/>
    <cellStyle name="백_토목내역서_공설운동진입(가실행)_파주 BOOK CITY(통보용)_04028적산수량집계" xfId="2585" xr:uid="{00000000-0005-0000-0000-0000190A0000}"/>
    <cellStyle name="백_토목내역서_공설운동진입(가실행)_파주 BOOK CITY가실행내역" xfId="2586" xr:uid="{00000000-0005-0000-0000-00001A0A0000}"/>
    <cellStyle name="백_토목내역서_공설운동진입(가실행)_파주 BOOK CITY가실행내역_04028적산수량집계" xfId="2587" xr:uid="{00000000-0005-0000-0000-00001B0A0000}"/>
    <cellStyle name="백_토목내역서_공설운동진입(가실행)_파주 북시티(이채)제출" xfId="2588" xr:uid="{00000000-0005-0000-0000-00001C0A0000}"/>
    <cellStyle name="백_토목내역서_공설운동진입(가실행)_파주 북시티(이채)제출_04028적산수량집계" xfId="2589" xr:uid="{00000000-0005-0000-0000-00001D0A0000}"/>
    <cellStyle name="백_토목내역서_공설운동진입(가실행)_파주 북시티(전체)제출(변경전)" xfId="2590" xr:uid="{00000000-0005-0000-0000-00001E0A0000}"/>
    <cellStyle name="백_토목내역서_공설운동진입(가실행)_파주 북시티(전체)제출(변경전)_04028적산수량집계" xfId="2591" xr:uid="{00000000-0005-0000-0000-00001F0A0000}"/>
    <cellStyle name="백_토목내역서_사본 - 파주 북시티(이채)" xfId="2592" xr:uid="{00000000-0005-0000-0000-0000200A0000}"/>
    <cellStyle name="백_토목내역서_사본 - 파주 북시티(이채)_04028적산수량집계" xfId="2593" xr:uid="{00000000-0005-0000-0000-0000210A0000}"/>
    <cellStyle name="백_토목내역서_파주 BOOK CITY(통보용)" xfId="2594" xr:uid="{00000000-0005-0000-0000-0000220A0000}"/>
    <cellStyle name="백_토목내역서_파주 BOOK CITY(통보용)_04028적산수량집계" xfId="2595" xr:uid="{00000000-0005-0000-0000-0000230A0000}"/>
    <cellStyle name="백_토목내역서_파주 BOOK CITY가실행내역" xfId="2596" xr:uid="{00000000-0005-0000-0000-0000240A0000}"/>
    <cellStyle name="백_토목내역서_파주 BOOK CITY가실행내역_04028적산수량집계" xfId="2597" xr:uid="{00000000-0005-0000-0000-0000250A0000}"/>
    <cellStyle name="백_토목내역서_파주 북시티(이채)제출" xfId="2598" xr:uid="{00000000-0005-0000-0000-0000260A0000}"/>
    <cellStyle name="백_토목내역서_파주 북시티(이채)제출_04028적산수량집계" xfId="2599" xr:uid="{00000000-0005-0000-0000-0000270A0000}"/>
    <cellStyle name="백_토목내역서_파주 북시티(전체)제출(변경전)" xfId="2600" xr:uid="{00000000-0005-0000-0000-0000280A0000}"/>
    <cellStyle name="백_토목내역서_파주 북시티(전체)제출(변경전)_04028적산수량집계" xfId="2601" xr:uid="{00000000-0005-0000-0000-0000290A0000}"/>
    <cellStyle name="백_파주 BOOK CITY(통보용)" xfId="2602" xr:uid="{00000000-0005-0000-0000-00002A0A0000}"/>
    <cellStyle name="백_파주 BOOK CITY(통보용)_04028적산수량집계" xfId="2603" xr:uid="{00000000-0005-0000-0000-00002B0A0000}"/>
    <cellStyle name="백_파주 BOOK CITY가실행내역" xfId="2604" xr:uid="{00000000-0005-0000-0000-00002C0A0000}"/>
    <cellStyle name="백_파주 BOOK CITY가실행내역_04028적산수량집계" xfId="2605" xr:uid="{00000000-0005-0000-0000-00002D0A0000}"/>
    <cellStyle name="백_파주 북시티(이채)제출" xfId="2606" xr:uid="{00000000-0005-0000-0000-00002E0A0000}"/>
    <cellStyle name="백_파주 북시티(이채)제출_04028적산수량집계" xfId="2607" xr:uid="{00000000-0005-0000-0000-00002F0A0000}"/>
    <cellStyle name="백_파주 북시티(전체)제출(변경전)" xfId="2608" xr:uid="{00000000-0005-0000-0000-0000300A0000}"/>
    <cellStyle name="백_파주 북시티(전체)제출(변경전)_04028적산수량집계" xfId="2609" xr:uid="{00000000-0005-0000-0000-0000310A0000}"/>
    <cellStyle name="백분율 [△1]" xfId="2610" xr:uid="{00000000-0005-0000-0000-0000320A0000}"/>
    <cellStyle name="백분율 [△2]" xfId="2611" xr:uid="{00000000-0005-0000-0000-0000330A0000}"/>
    <cellStyle name="백분율 [0]" xfId="2612" xr:uid="{00000000-0005-0000-0000-0000340A0000}"/>
    <cellStyle name="백분율 [2]" xfId="2613" xr:uid="{00000000-0005-0000-0000-0000350A0000}"/>
    <cellStyle name="백분율 2" xfId="2614" xr:uid="{00000000-0005-0000-0000-0000360A0000}"/>
    <cellStyle name="백분율［△1］" xfId="2615" xr:uid="{00000000-0005-0000-0000-0000370A0000}"/>
    <cellStyle name="백분율［△2］" xfId="2616" xr:uid="{00000000-0005-0000-0000-0000380A0000}"/>
    <cellStyle name="분수" xfId="2617" xr:uid="{00000000-0005-0000-0000-0000390A0000}"/>
    <cellStyle name="뷭?" xfId="2618" xr:uid="{00000000-0005-0000-0000-00003A0A0000}"/>
    <cellStyle name="빨간색" xfId="2619" xr:uid="{00000000-0005-0000-0000-00003B0A0000}"/>
    <cellStyle name="常规_PhaseⅡ Detail" xfId="2620" xr:uid="{00000000-0005-0000-0000-00003C0A0000}"/>
    <cellStyle name="선택영역의 가운데로" xfId="2621" xr:uid="{00000000-0005-0000-0000-00003D0A0000}"/>
    <cellStyle name="설계서" xfId="2622" xr:uid="{00000000-0005-0000-0000-00003E0A0000}"/>
    <cellStyle name="수량" xfId="2623" xr:uid="{00000000-0005-0000-0000-00003F0A0000}"/>
    <cellStyle name="수량1" xfId="2624" xr:uid="{00000000-0005-0000-0000-0000400A0000}"/>
    <cellStyle name="수목명" xfId="2625" xr:uid="{00000000-0005-0000-0000-0000410A0000}"/>
    <cellStyle name="숫자(R)" xfId="2626" xr:uid="{00000000-0005-0000-0000-0000420A0000}"/>
    <cellStyle name="쉼표 [0]" xfId="2908" builtinId="6"/>
    <cellStyle name="쉼표 [0] 2" xfId="2628" xr:uid="{00000000-0005-0000-0000-0000440A0000}"/>
    <cellStyle name="쉼표 [0] 2 2" xfId="2629" xr:uid="{00000000-0005-0000-0000-0000450A0000}"/>
    <cellStyle name="쉼표 [0] 2 2 2" xfId="2903" xr:uid="{00000000-0005-0000-0000-0000460A0000}"/>
    <cellStyle name="쉼표 [0] 2 2 2 2" xfId="2904" xr:uid="{00000000-0005-0000-0000-0000470A0000}"/>
    <cellStyle name="쉼표 [0] 3" xfId="2630" xr:uid="{00000000-0005-0000-0000-0000480A0000}"/>
    <cellStyle name="쉼표 [0] 3 2" xfId="2906" xr:uid="{00000000-0005-0000-0000-0000490A0000}"/>
    <cellStyle name="쉼표 [0] 4" xfId="2631" xr:uid="{00000000-0005-0000-0000-00004A0A0000}"/>
    <cellStyle name="쉼표 [0] 5" xfId="2910" xr:uid="{00000000-0005-0000-0000-00004B0A0000}"/>
    <cellStyle name="스타일 1" xfId="2632" xr:uid="{00000000-0005-0000-0000-00004C0A0000}"/>
    <cellStyle name="스타일 10" xfId="2633" xr:uid="{00000000-0005-0000-0000-00004D0A0000}"/>
    <cellStyle name="스타일 11" xfId="2634" xr:uid="{00000000-0005-0000-0000-00004E0A0000}"/>
    <cellStyle name="스타일 12" xfId="2635" xr:uid="{00000000-0005-0000-0000-00004F0A0000}"/>
    <cellStyle name="스타일 13" xfId="2636" xr:uid="{00000000-0005-0000-0000-0000500A0000}"/>
    <cellStyle name="스타일 14" xfId="2637" xr:uid="{00000000-0005-0000-0000-0000510A0000}"/>
    <cellStyle name="스타일 15" xfId="2638" xr:uid="{00000000-0005-0000-0000-0000520A0000}"/>
    <cellStyle name="스타일 16" xfId="2639" xr:uid="{00000000-0005-0000-0000-0000530A0000}"/>
    <cellStyle name="스타일 17" xfId="2640" xr:uid="{00000000-0005-0000-0000-0000540A0000}"/>
    <cellStyle name="스타일 18" xfId="2641" xr:uid="{00000000-0005-0000-0000-0000550A0000}"/>
    <cellStyle name="스타일 19" xfId="2642" xr:uid="{00000000-0005-0000-0000-0000560A0000}"/>
    <cellStyle name="스타일 2" xfId="2643" xr:uid="{00000000-0005-0000-0000-0000570A0000}"/>
    <cellStyle name="스타일 20" xfId="2644" xr:uid="{00000000-0005-0000-0000-0000580A0000}"/>
    <cellStyle name="스타일 21" xfId="2645" xr:uid="{00000000-0005-0000-0000-0000590A0000}"/>
    <cellStyle name="스타일 22" xfId="2646" xr:uid="{00000000-0005-0000-0000-00005A0A0000}"/>
    <cellStyle name="스타일 23" xfId="2647" xr:uid="{00000000-0005-0000-0000-00005B0A0000}"/>
    <cellStyle name="스타일 24" xfId="2648" xr:uid="{00000000-0005-0000-0000-00005C0A0000}"/>
    <cellStyle name="스타일 25" xfId="2649" xr:uid="{00000000-0005-0000-0000-00005D0A0000}"/>
    <cellStyle name="스타일 26" xfId="2650" xr:uid="{00000000-0005-0000-0000-00005E0A0000}"/>
    <cellStyle name="스타일 27" xfId="2651" xr:uid="{00000000-0005-0000-0000-00005F0A0000}"/>
    <cellStyle name="스타일 28" xfId="2652" xr:uid="{00000000-0005-0000-0000-0000600A0000}"/>
    <cellStyle name="스타일 29" xfId="2653" xr:uid="{00000000-0005-0000-0000-0000610A0000}"/>
    <cellStyle name="스타일 3" xfId="2654" xr:uid="{00000000-0005-0000-0000-0000620A0000}"/>
    <cellStyle name="스타일 30" xfId="2655" xr:uid="{00000000-0005-0000-0000-0000630A0000}"/>
    <cellStyle name="스타일 31" xfId="2656" xr:uid="{00000000-0005-0000-0000-0000640A0000}"/>
    <cellStyle name="스타일 32" xfId="2657" xr:uid="{00000000-0005-0000-0000-0000650A0000}"/>
    <cellStyle name="스타일 33" xfId="2658" xr:uid="{00000000-0005-0000-0000-0000660A0000}"/>
    <cellStyle name="스타일 34" xfId="2659" xr:uid="{00000000-0005-0000-0000-0000670A0000}"/>
    <cellStyle name="스타일 35" xfId="2660" xr:uid="{00000000-0005-0000-0000-0000680A0000}"/>
    <cellStyle name="스타일 36" xfId="2661" xr:uid="{00000000-0005-0000-0000-0000690A0000}"/>
    <cellStyle name="스타일 37" xfId="2662" xr:uid="{00000000-0005-0000-0000-00006A0A0000}"/>
    <cellStyle name="스타일 38" xfId="2663" xr:uid="{00000000-0005-0000-0000-00006B0A0000}"/>
    <cellStyle name="스타일 39" xfId="2664" xr:uid="{00000000-0005-0000-0000-00006C0A0000}"/>
    <cellStyle name="스타일 4" xfId="2665" xr:uid="{00000000-0005-0000-0000-00006D0A0000}"/>
    <cellStyle name="스타일 40" xfId="2666" xr:uid="{00000000-0005-0000-0000-00006E0A0000}"/>
    <cellStyle name="스타일 41" xfId="2667" xr:uid="{00000000-0005-0000-0000-00006F0A0000}"/>
    <cellStyle name="스타일 42" xfId="2668" xr:uid="{00000000-0005-0000-0000-0000700A0000}"/>
    <cellStyle name="스타일 43" xfId="2669" xr:uid="{00000000-0005-0000-0000-0000710A0000}"/>
    <cellStyle name="스타일 44" xfId="2670" xr:uid="{00000000-0005-0000-0000-0000720A0000}"/>
    <cellStyle name="스타일 45" xfId="2671" xr:uid="{00000000-0005-0000-0000-0000730A0000}"/>
    <cellStyle name="스타일 5" xfId="2672" xr:uid="{00000000-0005-0000-0000-0000740A0000}"/>
    <cellStyle name="스타일 6" xfId="2673" xr:uid="{00000000-0005-0000-0000-0000750A0000}"/>
    <cellStyle name="스타일 7" xfId="2674" xr:uid="{00000000-0005-0000-0000-0000760A0000}"/>
    <cellStyle name="스타일 8" xfId="2675" xr:uid="{00000000-0005-0000-0000-0000770A0000}"/>
    <cellStyle name="스타일 9" xfId="2676" xr:uid="{00000000-0005-0000-0000-0000780A0000}"/>
    <cellStyle name="안건회계법인" xfId="2677" xr:uid="{00000000-0005-0000-0000-0000790A0000}"/>
    <cellStyle name="열어본 하이퍼링크" xfId="2678" xr:uid="{00000000-0005-0000-0000-00007A0A0000}"/>
    <cellStyle name="옛체" xfId="2679" xr:uid="{00000000-0005-0000-0000-00007B0A0000}"/>
    <cellStyle name="왼쪽2" xfId="2680" xr:uid="{00000000-0005-0000-0000-00007C0A0000}"/>
    <cellStyle name="원" xfId="2681" xr:uid="{00000000-0005-0000-0000-00007D0A0000}"/>
    <cellStyle name="원_02대여금" xfId="2682" xr:uid="{00000000-0005-0000-0000-00007E0A0000}"/>
    <cellStyle name="원_02투자" xfId="2683" xr:uid="{00000000-0005-0000-0000-00007F0A0000}"/>
    <cellStyle name="원_02투자및대여금종합" xfId="2684" xr:uid="{00000000-0005-0000-0000-0000800A0000}"/>
    <cellStyle name="원_NCF6BB2F" xfId="2685" xr:uid="{00000000-0005-0000-0000-0000810A0000}"/>
    <cellStyle name="원_남양주무궁화공정표(03.08.22)" xfId="2686" xr:uid="{00000000-0005-0000-0000-0000820A0000}"/>
    <cellStyle name="원_환경1팀수주최종본" xfId="2687" xr:uid="{00000000-0005-0000-0000-0000830A0000}"/>
    <cellStyle name="일위대가" xfId="2688" xr:uid="{00000000-0005-0000-0000-0000840A0000}"/>
    <cellStyle name="자리수" xfId="2689" xr:uid="{00000000-0005-0000-0000-0000850A0000}"/>
    <cellStyle name="자리수 - 유형1" xfId="2690" xr:uid="{00000000-0005-0000-0000-0000860A0000}"/>
    <cellStyle name="자리수_견적양식(가로)" xfId="2691" xr:uid="{00000000-0005-0000-0000-0000870A0000}"/>
    <cellStyle name="자리수0" xfId="2692" xr:uid="{00000000-0005-0000-0000-0000880A0000}"/>
    <cellStyle name="제목 1(左)" xfId="2693" xr:uid="{00000000-0005-0000-0000-0000890A0000}"/>
    <cellStyle name="제목 1(中)" xfId="2694" xr:uid="{00000000-0005-0000-0000-00008A0A0000}"/>
    <cellStyle name="제목[1 줄]" xfId="2695" xr:uid="{00000000-0005-0000-0000-00008B0A0000}"/>
    <cellStyle name="제목[2줄 아래]" xfId="2696" xr:uid="{00000000-0005-0000-0000-00008C0A0000}"/>
    <cellStyle name="제목[2줄 위]" xfId="2697" xr:uid="{00000000-0005-0000-0000-00008D0A0000}"/>
    <cellStyle name="제목1" xfId="2698" xr:uid="{00000000-0005-0000-0000-00008E0A0000}"/>
    <cellStyle name="지정되지 않음" xfId="2699" xr:uid="{00000000-0005-0000-0000-00008F0A0000}"/>
    <cellStyle name="콤" xfId="2700" xr:uid="{00000000-0005-0000-0000-0000900A0000}"/>
    <cellStyle name="콤_04028적산수량집계" xfId="2701" xr:uid="{00000000-0005-0000-0000-0000910A0000}"/>
    <cellStyle name="콤_BOOKCITY(전기)" xfId="2702" xr:uid="{00000000-0005-0000-0000-0000920A0000}"/>
    <cellStyle name="콤_BOOKCITY(전기)_04028적산수량집계" xfId="2703" xr:uid="{00000000-0005-0000-0000-0000930A0000}"/>
    <cellStyle name="콤_공설운동진입(가실행)" xfId="2704" xr:uid="{00000000-0005-0000-0000-0000940A0000}"/>
    <cellStyle name="콤_공설운동진입(가실행)_04028적산수량집계" xfId="2705" xr:uid="{00000000-0005-0000-0000-0000950A0000}"/>
    <cellStyle name="콤_공설운동진입(가실행)_BOOKCITY(전기)" xfId="2706" xr:uid="{00000000-0005-0000-0000-0000960A0000}"/>
    <cellStyle name="콤_공설운동진입(가실행)_BOOKCITY(전기)_04028적산수량집계" xfId="2707" xr:uid="{00000000-0005-0000-0000-0000970A0000}"/>
    <cellStyle name="콤_공설운동진입(가실행)_사본 - 파주 북시티(이채)" xfId="2708" xr:uid="{00000000-0005-0000-0000-0000980A0000}"/>
    <cellStyle name="콤_공설운동진입(가실행)_사본 - 파주 북시티(이채)_04028적산수량집계" xfId="2709" xr:uid="{00000000-0005-0000-0000-0000990A0000}"/>
    <cellStyle name="콤_공설운동진입(가실행)_파주 BOOK CITY(통보용)" xfId="2710" xr:uid="{00000000-0005-0000-0000-00009A0A0000}"/>
    <cellStyle name="콤_공설운동진입(가실행)_파주 BOOK CITY(통보용)_04028적산수량집계" xfId="2711" xr:uid="{00000000-0005-0000-0000-00009B0A0000}"/>
    <cellStyle name="콤_공설운동진입(가실행)_파주 BOOK CITY가실행내역" xfId="2712" xr:uid="{00000000-0005-0000-0000-00009C0A0000}"/>
    <cellStyle name="콤_공설운동진입(가실행)_파주 BOOK CITY가실행내역_04028적산수량집계" xfId="2713" xr:uid="{00000000-0005-0000-0000-00009D0A0000}"/>
    <cellStyle name="콤_공설운동진입(가실행)_파주 북시티(이채)제출" xfId="2714" xr:uid="{00000000-0005-0000-0000-00009E0A0000}"/>
    <cellStyle name="콤_공설운동진입(가실행)_파주 북시티(이채)제출_04028적산수량집계" xfId="2715" xr:uid="{00000000-0005-0000-0000-00009F0A0000}"/>
    <cellStyle name="콤_공설운동진입(가실행)_파주 북시티(전체)제출(변경전)" xfId="2716" xr:uid="{00000000-0005-0000-0000-0000A00A0000}"/>
    <cellStyle name="콤_공설운동진입(가실행)_파주 북시티(전체)제출(변경전)_04028적산수량집계" xfId="2717" xr:uid="{00000000-0005-0000-0000-0000A10A0000}"/>
    <cellStyle name="콤_사본 - 파주 북시티(이채)" xfId="2718" xr:uid="{00000000-0005-0000-0000-0000A20A0000}"/>
    <cellStyle name="콤_사본 - 파주 북시티(이채)_04028적산수량집계" xfId="2719" xr:uid="{00000000-0005-0000-0000-0000A30A0000}"/>
    <cellStyle name="콤_토목내역서" xfId="2720" xr:uid="{00000000-0005-0000-0000-0000A40A0000}"/>
    <cellStyle name="콤_토목내역서_04028적산수량집계" xfId="2721" xr:uid="{00000000-0005-0000-0000-0000A50A0000}"/>
    <cellStyle name="콤_토목내역서_BOOKCITY(전기)" xfId="2722" xr:uid="{00000000-0005-0000-0000-0000A60A0000}"/>
    <cellStyle name="콤_토목내역서_BOOKCITY(전기)_04028적산수량집계" xfId="2723" xr:uid="{00000000-0005-0000-0000-0000A70A0000}"/>
    <cellStyle name="콤_토목내역서_공설운동진입(가실행)" xfId="2724" xr:uid="{00000000-0005-0000-0000-0000A80A0000}"/>
    <cellStyle name="콤_토목내역서_공설운동진입(가실행)_04028적산수량집계" xfId="2725" xr:uid="{00000000-0005-0000-0000-0000A90A0000}"/>
    <cellStyle name="콤_토목내역서_공설운동진입(가실행)_BOOKCITY(전기)" xfId="2726" xr:uid="{00000000-0005-0000-0000-0000AA0A0000}"/>
    <cellStyle name="콤_토목내역서_공설운동진입(가실행)_BOOKCITY(전기)_04028적산수량집계" xfId="2727" xr:uid="{00000000-0005-0000-0000-0000AB0A0000}"/>
    <cellStyle name="콤_토목내역서_공설운동진입(가실행)_사본 - 파주 북시티(이채)" xfId="2728" xr:uid="{00000000-0005-0000-0000-0000AC0A0000}"/>
    <cellStyle name="콤_토목내역서_공설운동진입(가실행)_사본 - 파주 북시티(이채)_04028적산수량집계" xfId="2729" xr:uid="{00000000-0005-0000-0000-0000AD0A0000}"/>
    <cellStyle name="콤_토목내역서_공설운동진입(가실행)_파주 BOOK CITY(통보용)" xfId="2730" xr:uid="{00000000-0005-0000-0000-0000AE0A0000}"/>
    <cellStyle name="콤_토목내역서_공설운동진입(가실행)_파주 BOOK CITY(통보용)_04028적산수량집계" xfId="2731" xr:uid="{00000000-0005-0000-0000-0000AF0A0000}"/>
    <cellStyle name="콤_토목내역서_공설운동진입(가실행)_파주 BOOK CITY가실행내역" xfId="2732" xr:uid="{00000000-0005-0000-0000-0000B00A0000}"/>
    <cellStyle name="콤_토목내역서_공설운동진입(가실행)_파주 BOOK CITY가실행내역_04028적산수량집계" xfId="2733" xr:uid="{00000000-0005-0000-0000-0000B10A0000}"/>
    <cellStyle name="콤_토목내역서_공설운동진입(가실행)_파주 북시티(이채)제출" xfId="2734" xr:uid="{00000000-0005-0000-0000-0000B20A0000}"/>
    <cellStyle name="콤_토목내역서_공설운동진입(가실행)_파주 북시티(이채)제출_04028적산수량집계" xfId="2735" xr:uid="{00000000-0005-0000-0000-0000B30A0000}"/>
    <cellStyle name="콤_토목내역서_공설운동진입(가실행)_파주 북시티(전체)제출(변경전)" xfId="2736" xr:uid="{00000000-0005-0000-0000-0000B40A0000}"/>
    <cellStyle name="콤_토목내역서_공설운동진입(가실행)_파주 북시티(전체)제출(변경전)_04028적산수량집계" xfId="2737" xr:uid="{00000000-0005-0000-0000-0000B50A0000}"/>
    <cellStyle name="콤_토목내역서_사본 - 파주 북시티(이채)" xfId="2738" xr:uid="{00000000-0005-0000-0000-0000B60A0000}"/>
    <cellStyle name="콤_토목내역서_사본 - 파주 북시티(이채)_04028적산수량집계" xfId="2739" xr:uid="{00000000-0005-0000-0000-0000B70A0000}"/>
    <cellStyle name="콤_토목내역서_파주 BOOK CITY(통보용)" xfId="2740" xr:uid="{00000000-0005-0000-0000-0000B80A0000}"/>
    <cellStyle name="콤_토목내역서_파주 BOOK CITY(통보용)_04028적산수량집계" xfId="2741" xr:uid="{00000000-0005-0000-0000-0000B90A0000}"/>
    <cellStyle name="콤_토목내역서_파주 BOOK CITY가실행내역" xfId="2742" xr:uid="{00000000-0005-0000-0000-0000BA0A0000}"/>
    <cellStyle name="콤_토목내역서_파주 BOOK CITY가실행내역_04028적산수량집계" xfId="2743" xr:uid="{00000000-0005-0000-0000-0000BB0A0000}"/>
    <cellStyle name="콤_토목내역서_파주 북시티(이채)제출" xfId="2744" xr:uid="{00000000-0005-0000-0000-0000BC0A0000}"/>
    <cellStyle name="콤_토목내역서_파주 북시티(이채)제출_04028적산수량집계" xfId="2745" xr:uid="{00000000-0005-0000-0000-0000BD0A0000}"/>
    <cellStyle name="콤_토목내역서_파주 북시티(전체)제출(변경전)" xfId="2746" xr:uid="{00000000-0005-0000-0000-0000BE0A0000}"/>
    <cellStyle name="콤_토목내역서_파주 북시티(전체)제출(변경전)_04028적산수량집계" xfId="2747" xr:uid="{00000000-0005-0000-0000-0000BF0A0000}"/>
    <cellStyle name="콤_파주 BOOK CITY(통보용)" xfId="2748" xr:uid="{00000000-0005-0000-0000-0000C00A0000}"/>
    <cellStyle name="콤_파주 BOOK CITY(통보용)_04028적산수량집계" xfId="2749" xr:uid="{00000000-0005-0000-0000-0000C10A0000}"/>
    <cellStyle name="콤_파주 BOOK CITY가실행내역" xfId="2750" xr:uid="{00000000-0005-0000-0000-0000C20A0000}"/>
    <cellStyle name="콤_파주 BOOK CITY가실행내역_04028적산수량집계" xfId="2751" xr:uid="{00000000-0005-0000-0000-0000C30A0000}"/>
    <cellStyle name="콤_파주 북시티(이채)제출" xfId="2752" xr:uid="{00000000-0005-0000-0000-0000C40A0000}"/>
    <cellStyle name="콤_파주 북시티(이채)제출_04028적산수량집계" xfId="2753" xr:uid="{00000000-0005-0000-0000-0000C50A0000}"/>
    <cellStyle name="콤_파주 북시티(전체)제출(변경전)" xfId="2754" xr:uid="{00000000-0005-0000-0000-0000C60A0000}"/>
    <cellStyle name="콤_파주 북시티(전체)제출(변경전)_04028적산수량집계" xfId="2755" xr:uid="{00000000-0005-0000-0000-0000C70A0000}"/>
    <cellStyle name="콤냡?&lt;_x000f_$??: `1_1 " xfId="2756" xr:uid="{00000000-0005-0000-0000-0000C80A0000}"/>
    <cellStyle name="콤마" xfId="2757" xr:uid="{00000000-0005-0000-0000-0000C90A0000}"/>
    <cellStyle name="콤마 [" xfId="2758" xr:uid="{00000000-0005-0000-0000-0000CA0A0000}"/>
    <cellStyle name="콤마 [#]" xfId="2759" xr:uid="{00000000-0005-0000-0000-0000CB0A0000}"/>
    <cellStyle name="콤마 []" xfId="2760" xr:uid="{00000000-0005-0000-0000-0000CC0A0000}"/>
    <cellStyle name="콤마 [0]" xfId="2761" xr:uid="{00000000-0005-0000-0000-0000CD0A0000}"/>
    <cellStyle name="콤마 [2]" xfId="2762" xr:uid="{00000000-0005-0000-0000-0000CE0A0000}"/>
    <cellStyle name="콤마 [금액]" xfId="2763" xr:uid="{00000000-0005-0000-0000-0000CF0A0000}"/>
    <cellStyle name="콤마 [소수]" xfId="2764" xr:uid="{00000000-0005-0000-0000-0000D00A0000}"/>
    <cellStyle name="콤마 [수량]" xfId="2765" xr:uid="{00000000-0005-0000-0000-0000D10A0000}"/>
    <cellStyle name="콤마 1" xfId="2766" xr:uid="{00000000-0005-0000-0000-0000D20A0000}"/>
    <cellStyle name="콤마[ ]" xfId="2767" xr:uid="{00000000-0005-0000-0000-0000D30A0000}"/>
    <cellStyle name="콤마[*]" xfId="2768" xr:uid="{00000000-0005-0000-0000-0000D40A0000}"/>
    <cellStyle name="콤마[,]" xfId="2769" xr:uid="{00000000-0005-0000-0000-0000D50A0000}"/>
    <cellStyle name="콤마[.]" xfId="2770" xr:uid="{00000000-0005-0000-0000-0000D60A0000}"/>
    <cellStyle name="콤마[0]" xfId="2771" xr:uid="{00000000-0005-0000-0000-0000D70A0000}"/>
    <cellStyle name="콤마_  종  합  " xfId="2772" xr:uid="{00000000-0005-0000-0000-0000D80A0000}"/>
    <cellStyle name="통" xfId="2773" xr:uid="{00000000-0005-0000-0000-0000D90A0000}"/>
    <cellStyle name="통_04028적산수량집계" xfId="2774" xr:uid="{00000000-0005-0000-0000-0000DA0A0000}"/>
    <cellStyle name="통_BOOKCITY(전기)" xfId="2775" xr:uid="{00000000-0005-0000-0000-0000DB0A0000}"/>
    <cellStyle name="통_BOOKCITY(전기)_04028적산수량집계" xfId="2776" xr:uid="{00000000-0005-0000-0000-0000DC0A0000}"/>
    <cellStyle name="통_공설운동진입(가실행)" xfId="2777" xr:uid="{00000000-0005-0000-0000-0000DD0A0000}"/>
    <cellStyle name="통_공설운동진입(가실행)_04028적산수량집계" xfId="2778" xr:uid="{00000000-0005-0000-0000-0000DE0A0000}"/>
    <cellStyle name="통_공설운동진입(가실행)_BOOKCITY(전기)" xfId="2779" xr:uid="{00000000-0005-0000-0000-0000DF0A0000}"/>
    <cellStyle name="통_공설운동진입(가실행)_BOOKCITY(전기)_04028적산수량집계" xfId="2780" xr:uid="{00000000-0005-0000-0000-0000E00A0000}"/>
    <cellStyle name="통_공설운동진입(가실행)_사본 - 파주 북시티(이채)" xfId="2781" xr:uid="{00000000-0005-0000-0000-0000E10A0000}"/>
    <cellStyle name="통_공설운동진입(가실행)_사본 - 파주 북시티(이채)_04028적산수량집계" xfId="2782" xr:uid="{00000000-0005-0000-0000-0000E20A0000}"/>
    <cellStyle name="통_공설운동진입(가실행)_파주 BOOK CITY(통보용)" xfId="2783" xr:uid="{00000000-0005-0000-0000-0000E30A0000}"/>
    <cellStyle name="통_공설운동진입(가실행)_파주 BOOK CITY(통보용)_04028적산수량집계" xfId="2784" xr:uid="{00000000-0005-0000-0000-0000E40A0000}"/>
    <cellStyle name="통_공설운동진입(가실행)_파주 BOOK CITY가실행내역" xfId="2785" xr:uid="{00000000-0005-0000-0000-0000E50A0000}"/>
    <cellStyle name="통_공설운동진입(가실행)_파주 BOOK CITY가실행내역_04028적산수량집계" xfId="2786" xr:uid="{00000000-0005-0000-0000-0000E60A0000}"/>
    <cellStyle name="통_공설운동진입(가실행)_파주 북시티(이채)제출" xfId="2787" xr:uid="{00000000-0005-0000-0000-0000E70A0000}"/>
    <cellStyle name="통_공설운동진입(가실행)_파주 북시티(이채)제출_04028적산수량집계" xfId="2788" xr:uid="{00000000-0005-0000-0000-0000E80A0000}"/>
    <cellStyle name="통_공설운동진입(가실행)_파주 북시티(전체)제출(변경전)" xfId="2789" xr:uid="{00000000-0005-0000-0000-0000E90A0000}"/>
    <cellStyle name="통_공설운동진입(가실행)_파주 북시티(전체)제출(변경전)_04028적산수량집계" xfId="2790" xr:uid="{00000000-0005-0000-0000-0000EA0A0000}"/>
    <cellStyle name="통_사본 - 파주 북시티(이채)" xfId="2791" xr:uid="{00000000-0005-0000-0000-0000EB0A0000}"/>
    <cellStyle name="통_사본 - 파주 북시티(이채)_04028적산수량집계" xfId="2792" xr:uid="{00000000-0005-0000-0000-0000EC0A0000}"/>
    <cellStyle name="통_토목내역서" xfId="2793" xr:uid="{00000000-0005-0000-0000-0000ED0A0000}"/>
    <cellStyle name="통_토목내역서_04028적산수량집계" xfId="2794" xr:uid="{00000000-0005-0000-0000-0000EE0A0000}"/>
    <cellStyle name="통_토목내역서_BOOKCITY(전기)" xfId="2795" xr:uid="{00000000-0005-0000-0000-0000EF0A0000}"/>
    <cellStyle name="통_토목내역서_BOOKCITY(전기)_04028적산수량집계" xfId="2796" xr:uid="{00000000-0005-0000-0000-0000F00A0000}"/>
    <cellStyle name="통_토목내역서_공설운동진입(가실행)" xfId="2797" xr:uid="{00000000-0005-0000-0000-0000F10A0000}"/>
    <cellStyle name="통_토목내역서_공설운동진입(가실행)_04028적산수량집계" xfId="2798" xr:uid="{00000000-0005-0000-0000-0000F20A0000}"/>
    <cellStyle name="통_토목내역서_공설운동진입(가실행)_BOOKCITY(전기)" xfId="2799" xr:uid="{00000000-0005-0000-0000-0000F30A0000}"/>
    <cellStyle name="통_토목내역서_공설운동진입(가실행)_BOOKCITY(전기)_04028적산수량집계" xfId="2800" xr:uid="{00000000-0005-0000-0000-0000F40A0000}"/>
    <cellStyle name="통_토목내역서_공설운동진입(가실행)_사본 - 파주 북시티(이채)" xfId="2801" xr:uid="{00000000-0005-0000-0000-0000F50A0000}"/>
    <cellStyle name="통_토목내역서_공설운동진입(가실행)_사본 - 파주 북시티(이채)_04028적산수량집계" xfId="2802" xr:uid="{00000000-0005-0000-0000-0000F60A0000}"/>
    <cellStyle name="통_토목내역서_공설운동진입(가실행)_파주 BOOK CITY(통보용)" xfId="2803" xr:uid="{00000000-0005-0000-0000-0000F70A0000}"/>
    <cellStyle name="통_토목내역서_공설운동진입(가실행)_파주 BOOK CITY(통보용)_04028적산수량집계" xfId="2804" xr:uid="{00000000-0005-0000-0000-0000F80A0000}"/>
    <cellStyle name="통_토목내역서_공설운동진입(가실행)_파주 BOOK CITY가실행내역" xfId="2805" xr:uid="{00000000-0005-0000-0000-0000F90A0000}"/>
    <cellStyle name="통_토목내역서_공설운동진입(가실행)_파주 BOOK CITY가실행내역_04028적산수량집계" xfId="2806" xr:uid="{00000000-0005-0000-0000-0000FA0A0000}"/>
    <cellStyle name="통_토목내역서_공설운동진입(가실행)_파주 북시티(이채)제출" xfId="2807" xr:uid="{00000000-0005-0000-0000-0000FB0A0000}"/>
    <cellStyle name="통_토목내역서_공설운동진입(가실행)_파주 북시티(이채)제출_04028적산수량집계" xfId="2808" xr:uid="{00000000-0005-0000-0000-0000FC0A0000}"/>
    <cellStyle name="통_토목내역서_공설운동진입(가실행)_파주 북시티(전체)제출(변경전)" xfId="2809" xr:uid="{00000000-0005-0000-0000-0000FD0A0000}"/>
    <cellStyle name="통_토목내역서_공설운동진입(가실행)_파주 북시티(전체)제출(변경전)_04028적산수량집계" xfId="2810" xr:uid="{00000000-0005-0000-0000-0000FE0A0000}"/>
    <cellStyle name="통_토목내역서_사본 - 파주 북시티(이채)" xfId="2811" xr:uid="{00000000-0005-0000-0000-0000FF0A0000}"/>
    <cellStyle name="통_토목내역서_사본 - 파주 북시티(이채)_04028적산수량집계" xfId="2812" xr:uid="{00000000-0005-0000-0000-0000000B0000}"/>
    <cellStyle name="통_토목내역서_파주 BOOK CITY(통보용)" xfId="2813" xr:uid="{00000000-0005-0000-0000-0000010B0000}"/>
    <cellStyle name="통_토목내역서_파주 BOOK CITY(통보용)_04028적산수량집계" xfId="2814" xr:uid="{00000000-0005-0000-0000-0000020B0000}"/>
    <cellStyle name="통_토목내역서_파주 BOOK CITY가실행내역" xfId="2815" xr:uid="{00000000-0005-0000-0000-0000030B0000}"/>
    <cellStyle name="통_토목내역서_파주 BOOK CITY가실행내역_04028적산수량집계" xfId="2816" xr:uid="{00000000-0005-0000-0000-0000040B0000}"/>
    <cellStyle name="통_토목내역서_파주 북시티(이채)제출" xfId="2817" xr:uid="{00000000-0005-0000-0000-0000050B0000}"/>
    <cellStyle name="통_토목내역서_파주 북시티(이채)제출_04028적산수량집계" xfId="2818" xr:uid="{00000000-0005-0000-0000-0000060B0000}"/>
    <cellStyle name="통_토목내역서_파주 북시티(전체)제출(변경전)" xfId="2819" xr:uid="{00000000-0005-0000-0000-0000070B0000}"/>
    <cellStyle name="통_토목내역서_파주 북시티(전체)제출(변경전)_04028적산수량집계" xfId="2820" xr:uid="{00000000-0005-0000-0000-0000080B0000}"/>
    <cellStyle name="통_파주 BOOK CITY(통보용)" xfId="2821" xr:uid="{00000000-0005-0000-0000-0000090B0000}"/>
    <cellStyle name="통_파주 BOOK CITY(통보용)_04028적산수량집계" xfId="2822" xr:uid="{00000000-0005-0000-0000-00000A0B0000}"/>
    <cellStyle name="통_파주 BOOK CITY가실행내역" xfId="2823" xr:uid="{00000000-0005-0000-0000-00000B0B0000}"/>
    <cellStyle name="통_파주 BOOK CITY가실행내역_04028적산수량집계" xfId="2824" xr:uid="{00000000-0005-0000-0000-00000C0B0000}"/>
    <cellStyle name="통_파주 북시티(이채)제출" xfId="2825" xr:uid="{00000000-0005-0000-0000-00000D0B0000}"/>
    <cellStyle name="통_파주 북시티(이채)제출_04028적산수량집계" xfId="2826" xr:uid="{00000000-0005-0000-0000-00000E0B0000}"/>
    <cellStyle name="통_파주 북시티(전체)제출(변경전)" xfId="2827" xr:uid="{00000000-0005-0000-0000-00000F0B0000}"/>
    <cellStyle name="통_파주 북시티(전체)제출(변경전)_04028적산수량집계" xfId="2828" xr:uid="{00000000-0005-0000-0000-0000100B0000}"/>
    <cellStyle name="통화 [" xfId="2829" xr:uid="{00000000-0005-0000-0000-0000110B0000}"/>
    <cellStyle name="퍼센트" xfId="2830" xr:uid="{00000000-0005-0000-0000-0000120B0000}"/>
    <cellStyle name="표" xfId="2831" xr:uid="{00000000-0005-0000-0000-0000130B0000}"/>
    <cellStyle name="표_04028적산수량집계" xfId="2832" xr:uid="{00000000-0005-0000-0000-0000140B0000}"/>
    <cellStyle name="표_BOOKCITY(전기)" xfId="2833" xr:uid="{00000000-0005-0000-0000-0000150B0000}"/>
    <cellStyle name="표_BOOKCITY(전기)_04028적산수량집계" xfId="2834" xr:uid="{00000000-0005-0000-0000-0000160B0000}"/>
    <cellStyle name="표_공설운동진입(가실행)" xfId="2835" xr:uid="{00000000-0005-0000-0000-0000170B0000}"/>
    <cellStyle name="표_공설운동진입(가실행)_04028적산수량집계" xfId="2836" xr:uid="{00000000-0005-0000-0000-0000180B0000}"/>
    <cellStyle name="표_공설운동진입(가실행)_BOOKCITY(전기)" xfId="2837" xr:uid="{00000000-0005-0000-0000-0000190B0000}"/>
    <cellStyle name="표_공설운동진입(가실행)_BOOKCITY(전기)_04028적산수량집계" xfId="2838" xr:uid="{00000000-0005-0000-0000-00001A0B0000}"/>
    <cellStyle name="표_공설운동진입(가실행)_사본 - 파주 북시티(이채)" xfId="2839" xr:uid="{00000000-0005-0000-0000-00001B0B0000}"/>
    <cellStyle name="표_공설운동진입(가실행)_사본 - 파주 북시티(이채)_04028적산수량집계" xfId="2840" xr:uid="{00000000-0005-0000-0000-00001C0B0000}"/>
    <cellStyle name="표_공설운동진입(가실행)_파주 BOOK CITY(통보용)" xfId="2841" xr:uid="{00000000-0005-0000-0000-00001D0B0000}"/>
    <cellStyle name="표_공설운동진입(가실행)_파주 BOOK CITY(통보용)_04028적산수량집계" xfId="2842" xr:uid="{00000000-0005-0000-0000-00001E0B0000}"/>
    <cellStyle name="표_공설운동진입(가실행)_파주 BOOK CITY가실행내역" xfId="2843" xr:uid="{00000000-0005-0000-0000-00001F0B0000}"/>
    <cellStyle name="표_공설운동진입(가실행)_파주 BOOK CITY가실행내역_04028적산수량집계" xfId="2844" xr:uid="{00000000-0005-0000-0000-0000200B0000}"/>
    <cellStyle name="표_공설운동진입(가실행)_파주 북시티(이채)제출" xfId="2845" xr:uid="{00000000-0005-0000-0000-0000210B0000}"/>
    <cellStyle name="표_공설운동진입(가실행)_파주 북시티(이채)제출_04028적산수량집계" xfId="2846" xr:uid="{00000000-0005-0000-0000-0000220B0000}"/>
    <cellStyle name="표_공설운동진입(가실행)_파주 북시티(전체)제출(변경전)" xfId="2847" xr:uid="{00000000-0005-0000-0000-0000230B0000}"/>
    <cellStyle name="표_공설운동진입(가실행)_파주 북시티(전체)제출(변경전)_04028적산수량집계" xfId="2848" xr:uid="{00000000-0005-0000-0000-0000240B0000}"/>
    <cellStyle name="표_사본 - 파주 북시티(이채)" xfId="2849" xr:uid="{00000000-0005-0000-0000-0000250B0000}"/>
    <cellStyle name="표_사본 - 파주 북시티(이채)_04028적산수량집계" xfId="2850" xr:uid="{00000000-0005-0000-0000-0000260B0000}"/>
    <cellStyle name="표_토목내역서" xfId="2851" xr:uid="{00000000-0005-0000-0000-0000270B0000}"/>
    <cellStyle name="표_토목내역서_04028적산수량집계" xfId="2852" xr:uid="{00000000-0005-0000-0000-0000280B0000}"/>
    <cellStyle name="표_토목내역서_BOOKCITY(전기)" xfId="2853" xr:uid="{00000000-0005-0000-0000-0000290B0000}"/>
    <cellStyle name="표_토목내역서_BOOKCITY(전기)_04028적산수량집계" xfId="2854" xr:uid="{00000000-0005-0000-0000-00002A0B0000}"/>
    <cellStyle name="표_토목내역서_공설운동진입(가실행)" xfId="2855" xr:uid="{00000000-0005-0000-0000-00002B0B0000}"/>
    <cellStyle name="표_토목내역서_공설운동진입(가실행)_04028적산수량집계" xfId="2856" xr:uid="{00000000-0005-0000-0000-00002C0B0000}"/>
    <cellStyle name="표_토목내역서_공설운동진입(가실행)_BOOKCITY(전기)" xfId="2857" xr:uid="{00000000-0005-0000-0000-00002D0B0000}"/>
    <cellStyle name="표_토목내역서_공설운동진입(가실행)_BOOKCITY(전기)_04028적산수량집계" xfId="2858" xr:uid="{00000000-0005-0000-0000-00002E0B0000}"/>
    <cellStyle name="표_토목내역서_공설운동진입(가실행)_사본 - 파주 북시티(이채)" xfId="2859" xr:uid="{00000000-0005-0000-0000-00002F0B0000}"/>
    <cellStyle name="표_토목내역서_공설운동진입(가실행)_사본 - 파주 북시티(이채)_04028적산수량집계" xfId="2860" xr:uid="{00000000-0005-0000-0000-0000300B0000}"/>
    <cellStyle name="표_토목내역서_공설운동진입(가실행)_파주 BOOK CITY(통보용)" xfId="2861" xr:uid="{00000000-0005-0000-0000-0000310B0000}"/>
    <cellStyle name="표_토목내역서_공설운동진입(가실행)_파주 BOOK CITY(통보용)_04028적산수량집계" xfId="2862" xr:uid="{00000000-0005-0000-0000-0000320B0000}"/>
    <cellStyle name="표_토목내역서_공설운동진입(가실행)_파주 BOOK CITY가실행내역" xfId="2863" xr:uid="{00000000-0005-0000-0000-0000330B0000}"/>
    <cellStyle name="표_토목내역서_공설운동진입(가실행)_파주 BOOK CITY가실행내역_04028적산수량집계" xfId="2864" xr:uid="{00000000-0005-0000-0000-0000340B0000}"/>
    <cellStyle name="표_토목내역서_공설운동진입(가실행)_파주 북시티(이채)제출" xfId="2865" xr:uid="{00000000-0005-0000-0000-0000350B0000}"/>
    <cellStyle name="표_토목내역서_공설운동진입(가실행)_파주 북시티(이채)제출_04028적산수량집계" xfId="2866" xr:uid="{00000000-0005-0000-0000-0000360B0000}"/>
    <cellStyle name="표_토목내역서_공설운동진입(가실행)_파주 북시티(전체)제출(변경전)" xfId="2867" xr:uid="{00000000-0005-0000-0000-0000370B0000}"/>
    <cellStyle name="표_토목내역서_공설운동진입(가실행)_파주 북시티(전체)제출(변경전)_04028적산수량집계" xfId="2868" xr:uid="{00000000-0005-0000-0000-0000380B0000}"/>
    <cellStyle name="표_토목내역서_사본 - 파주 북시티(이채)" xfId="2869" xr:uid="{00000000-0005-0000-0000-0000390B0000}"/>
    <cellStyle name="표_토목내역서_사본 - 파주 북시티(이채)_04028적산수량집계" xfId="2870" xr:uid="{00000000-0005-0000-0000-00003A0B0000}"/>
    <cellStyle name="표_토목내역서_파주 BOOK CITY(통보용)" xfId="2871" xr:uid="{00000000-0005-0000-0000-00003B0B0000}"/>
    <cellStyle name="표_토목내역서_파주 BOOK CITY(통보용)_04028적산수량집계" xfId="2872" xr:uid="{00000000-0005-0000-0000-00003C0B0000}"/>
    <cellStyle name="표_토목내역서_파주 BOOK CITY가실행내역" xfId="2873" xr:uid="{00000000-0005-0000-0000-00003D0B0000}"/>
    <cellStyle name="표_토목내역서_파주 BOOK CITY가실행내역_04028적산수량집계" xfId="2874" xr:uid="{00000000-0005-0000-0000-00003E0B0000}"/>
    <cellStyle name="표_토목내역서_파주 북시티(이채)제출" xfId="2875" xr:uid="{00000000-0005-0000-0000-00003F0B0000}"/>
    <cellStyle name="표_토목내역서_파주 북시티(이채)제출_04028적산수량집계" xfId="2876" xr:uid="{00000000-0005-0000-0000-0000400B0000}"/>
    <cellStyle name="표_토목내역서_파주 북시티(전체)제출(변경전)" xfId="2877" xr:uid="{00000000-0005-0000-0000-0000410B0000}"/>
    <cellStyle name="표_토목내역서_파주 북시티(전체)제출(변경전)_04028적산수량집계" xfId="2878" xr:uid="{00000000-0005-0000-0000-0000420B0000}"/>
    <cellStyle name="표_파주 BOOK CITY(통보용)" xfId="2879" xr:uid="{00000000-0005-0000-0000-0000430B0000}"/>
    <cellStyle name="표_파주 BOOK CITY(통보용)_04028적산수량집계" xfId="2880" xr:uid="{00000000-0005-0000-0000-0000440B0000}"/>
    <cellStyle name="표_파주 BOOK CITY가실행내역" xfId="2881" xr:uid="{00000000-0005-0000-0000-0000450B0000}"/>
    <cellStyle name="표_파주 BOOK CITY가실행내역_04028적산수량집계" xfId="2882" xr:uid="{00000000-0005-0000-0000-0000460B0000}"/>
    <cellStyle name="표_파주 북시티(이채)제출" xfId="2883" xr:uid="{00000000-0005-0000-0000-0000470B0000}"/>
    <cellStyle name="표_파주 북시티(이채)제출_04028적산수량집계" xfId="2884" xr:uid="{00000000-0005-0000-0000-0000480B0000}"/>
    <cellStyle name="표_파주 북시티(전체)제출(변경전)" xfId="2885" xr:uid="{00000000-0005-0000-0000-0000490B0000}"/>
    <cellStyle name="표_파주 북시티(전체)제출(변경전)_04028적산수량집계" xfId="2886" xr:uid="{00000000-0005-0000-0000-00004A0B0000}"/>
    <cellStyle name="표머릿글(上)" xfId="2887" xr:uid="{00000000-0005-0000-0000-00004B0B0000}"/>
    <cellStyle name="표머릿글(中)" xfId="2888" xr:uid="{00000000-0005-0000-0000-00004C0B0000}"/>
    <cellStyle name="표머릿글(下)" xfId="2889" xr:uid="{00000000-0005-0000-0000-00004D0B0000}"/>
    <cellStyle name="표준" xfId="0" builtinId="0"/>
    <cellStyle name="표준 2" xfId="2890" xr:uid="{00000000-0005-0000-0000-00004F0B0000}"/>
    <cellStyle name="표준 2 2" xfId="2907" xr:uid="{00000000-0005-0000-0000-0000500B0000}"/>
    <cellStyle name="표준 2 32" xfId="2900" xr:uid="{00000000-0005-0000-0000-0000510B0000}"/>
    <cellStyle name="표준 28" xfId="2905" xr:uid="{00000000-0005-0000-0000-0000520B0000}"/>
    <cellStyle name="표준 3" xfId="2891" xr:uid="{00000000-0005-0000-0000-0000530B0000}"/>
    <cellStyle name="표준 3 2" xfId="2902" xr:uid="{00000000-0005-0000-0000-0000540B0000}"/>
    <cellStyle name="표준 3 2 2" xfId="2901" xr:uid="{00000000-0005-0000-0000-0000550B0000}"/>
    <cellStyle name="표준 4" xfId="2892" xr:uid="{00000000-0005-0000-0000-0000560B0000}"/>
    <cellStyle name="표준 5" xfId="2893" xr:uid="{00000000-0005-0000-0000-0000570B0000}"/>
    <cellStyle name="標準_Akia(F）-8" xfId="2894" xr:uid="{00000000-0005-0000-0000-0000580B0000}"/>
    <cellStyle name="표준_NY-FORM 2 2" xfId="2909" xr:uid="{00000000-0005-0000-0000-0000590B0000}"/>
    <cellStyle name="표준1" xfId="2895" xr:uid="{00000000-0005-0000-0000-00005A0B0000}"/>
    <cellStyle name="표쥰" xfId="2896" xr:uid="{00000000-0005-0000-0000-00005B0B0000}"/>
    <cellStyle name="합산" xfId="2897" xr:uid="{00000000-0005-0000-0000-00005C0B0000}"/>
    <cellStyle name="화폐기호" xfId="2898" xr:uid="{00000000-0005-0000-0000-00005D0B0000}"/>
    <cellStyle name="화폐기호0" xfId="2899" xr:uid="{00000000-0005-0000-0000-00005E0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SOFFICE/EXCEL/YOON/&#51473;&#51216;&#49324;&#50629;/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0669;&#54924;&#51032;/96&#45380;10&#50900;/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1077;&#52272;/&#48264;&#50689;&#47196;/&#47924;&#50504;&#54616;&#49688;/&#49892;&#54665;(1)/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49"/>
  <sheetViews>
    <sheetView view="pageBreakPreview" zoomScale="145" zoomScaleNormal="100" zoomScaleSheetLayoutView="145" workbookViewId="0">
      <selection activeCell="E17" sqref="E17"/>
    </sheetView>
  </sheetViews>
  <sheetFormatPr defaultRowHeight="18" customHeight="1"/>
  <cols>
    <col min="1" max="1" width="13.5703125" style="70" customWidth="1"/>
    <col min="2" max="2" width="8.140625" style="70" customWidth="1"/>
    <col min="3" max="3" width="8.7109375" style="70" customWidth="1"/>
    <col min="4" max="4" width="23.140625" style="70" customWidth="1"/>
    <col min="5" max="5" width="16.7109375" style="70" customWidth="1"/>
    <col min="6" max="6" width="30.7109375" style="70" customWidth="1"/>
    <col min="7" max="7" width="17.85546875" style="70" customWidth="1"/>
    <col min="8" max="8" width="22.28515625" style="70" customWidth="1"/>
    <col min="9" max="9" width="5.5703125" style="70" customWidth="1"/>
    <col min="10" max="256" width="9.140625" style="70"/>
    <col min="257" max="257" width="13.5703125" style="70" customWidth="1"/>
    <col min="258" max="258" width="8.140625" style="70" customWidth="1"/>
    <col min="259" max="259" width="8.7109375" style="70" customWidth="1"/>
    <col min="260" max="260" width="23.140625" style="70" customWidth="1"/>
    <col min="261" max="261" width="16.7109375" style="70" customWidth="1"/>
    <col min="262" max="262" width="18.85546875" style="70" customWidth="1"/>
    <col min="263" max="263" width="17.85546875" style="70" customWidth="1"/>
    <col min="264" max="264" width="22.28515625" style="70" customWidth="1"/>
    <col min="265" max="265" width="5.5703125" style="70" customWidth="1"/>
    <col min="266" max="512" width="9.140625" style="70"/>
    <col min="513" max="513" width="13.5703125" style="70" customWidth="1"/>
    <col min="514" max="514" width="8.140625" style="70" customWidth="1"/>
    <col min="515" max="515" width="8.7109375" style="70" customWidth="1"/>
    <col min="516" max="516" width="23.140625" style="70" customWidth="1"/>
    <col min="517" max="517" width="16.7109375" style="70" customWidth="1"/>
    <col min="518" max="518" width="18.85546875" style="70" customWidth="1"/>
    <col min="519" max="519" width="17.85546875" style="70" customWidth="1"/>
    <col min="520" max="520" width="22.28515625" style="70" customWidth="1"/>
    <col min="521" max="521" width="5.5703125" style="70" customWidth="1"/>
    <col min="522" max="768" width="9.140625" style="70"/>
    <col min="769" max="769" width="13.5703125" style="70" customWidth="1"/>
    <col min="770" max="770" width="8.140625" style="70" customWidth="1"/>
    <col min="771" max="771" width="8.7109375" style="70" customWidth="1"/>
    <col min="772" max="772" width="23.140625" style="70" customWidth="1"/>
    <col min="773" max="773" width="16.7109375" style="70" customWidth="1"/>
    <col min="774" max="774" width="18.85546875" style="70" customWidth="1"/>
    <col min="775" max="775" width="17.85546875" style="70" customWidth="1"/>
    <col min="776" max="776" width="22.28515625" style="70" customWidth="1"/>
    <col min="777" max="777" width="5.5703125" style="70" customWidth="1"/>
    <col min="778" max="1024" width="9.140625" style="70"/>
    <col min="1025" max="1025" width="13.5703125" style="70" customWidth="1"/>
    <col min="1026" max="1026" width="8.140625" style="70" customWidth="1"/>
    <col min="1027" max="1027" width="8.7109375" style="70" customWidth="1"/>
    <col min="1028" max="1028" width="23.140625" style="70" customWidth="1"/>
    <col min="1029" max="1029" width="16.7109375" style="70" customWidth="1"/>
    <col min="1030" max="1030" width="18.85546875" style="70" customWidth="1"/>
    <col min="1031" max="1031" width="17.85546875" style="70" customWidth="1"/>
    <col min="1032" max="1032" width="22.28515625" style="70" customWidth="1"/>
    <col min="1033" max="1033" width="5.5703125" style="70" customWidth="1"/>
    <col min="1034" max="1280" width="9.140625" style="70"/>
    <col min="1281" max="1281" width="13.5703125" style="70" customWidth="1"/>
    <col min="1282" max="1282" width="8.140625" style="70" customWidth="1"/>
    <col min="1283" max="1283" width="8.7109375" style="70" customWidth="1"/>
    <col min="1284" max="1284" width="23.140625" style="70" customWidth="1"/>
    <col min="1285" max="1285" width="16.7109375" style="70" customWidth="1"/>
    <col min="1286" max="1286" width="18.85546875" style="70" customWidth="1"/>
    <col min="1287" max="1287" width="17.85546875" style="70" customWidth="1"/>
    <col min="1288" max="1288" width="22.28515625" style="70" customWidth="1"/>
    <col min="1289" max="1289" width="5.5703125" style="70" customWidth="1"/>
    <col min="1290" max="1536" width="9.140625" style="70"/>
    <col min="1537" max="1537" width="13.5703125" style="70" customWidth="1"/>
    <col min="1538" max="1538" width="8.140625" style="70" customWidth="1"/>
    <col min="1539" max="1539" width="8.7109375" style="70" customWidth="1"/>
    <col min="1540" max="1540" width="23.140625" style="70" customWidth="1"/>
    <col min="1541" max="1541" width="16.7109375" style="70" customWidth="1"/>
    <col min="1542" max="1542" width="18.85546875" style="70" customWidth="1"/>
    <col min="1543" max="1543" width="17.85546875" style="70" customWidth="1"/>
    <col min="1544" max="1544" width="22.28515625" style="70" customWidth="1"/>
    <col min="1545" max="1545" width="5.5703125" style="70" customWidth="1"/>
    <col min="1546" max="1792" width="9.140625" style="70"/>
    <col min="1793" max="1793" width="13.5703125" style="70" customWidth="1"/>
    <col min="1794" max="1794" width="8.140625" style="70" customWidth="1"/>
    <col min="1795" max="1795" width="8.7109375" style="70" customWidth="1"/>
    <col min="1796" max="1796" width="23.140625" style="70" customWidth="1"/>
    <col min="1797" max="1797" width="16.7109375" style="70" customWidth="1"/>
    <col min="1798" max="1798" width="18.85546875" style="70" customWidth="1"/>
    <col min="1799" max="1799" width="17.85546875" style="70" customWidth="1"/>
    <col min="1800" max="1800" width="22.28515625" style="70" customWidth="1"/>
    <col min="1801" max="1801" width="5.5703125" style="70" customWidth="1"/>
    <col min="1802" max="2048" width="9.140625" style="70"/>
    <col min="2049" max="2049" width="13.5703125" style="70" customWidth="1"/>
    <col min="2050" max="2050" width="8.140625" style="70" customWidth="1"/>
    <col min="2051" max="2051" width="8.7109375" style="70" customWidth="1"/>
    <col min="2052" max="2052" width="23.140625" style="70" customWidth="1"/>
    <col min="2053" max="2053" width="16.7109375" style="70" customWidth="1"/>
    <col min="2054" max="2054" width="18.85546875" style="70" customWidth="1"/>
    <col min="2055" max="2055" width="17.85546875" style="70" customWidth="1"/>
    <col min="2056" max="2056" width="22.28515625" style="70" customWidth="1"/>
    <col min="2057" max="2057" width="5.5703125" style="70" customWidth="1"/>
    <col min="2058" max="2304" width="9.140625" style="70"/>
    <col min="2305" max="2305" width="13.5703125" style="70" customWidth="1"/>
    <col min="2306" max="2306" width="8.140625" style="70" customWidth="1"/>
    <col min="2307" max="2307" width="8.7109375" style="70" customWidth="1"/>
    <col min="2308" max="2308" width="23.140625" style="70" customWidth="1"/>
    <col min="2309" max="2309" width="16.7109375" style="70" customWidth="1"/>
    <col min="2310" max="2310" width="18.85546875" style="70" customWidth="1"/>
    <col min="2311" max="2311" width="17.85546875" style="70" customWidth="1"/>
    <col min="2312" max="2312" width="22.28515625" style="70" customWidth="1"/>
    <col min="2313" max="2313" width="5.5703125" style="70" customWidth="1"/>
    <col min="2314" max="2560" width="9.140625" style="70"/>
    <col min="2561" max="2561" width="13.5703125" style="70" customWidth="1"/>
    <col min="2562" max="2562" width="8.140625" style="70" customWidth="1"/>
    <col min="2563" max="2563" width="8.7109375" style="70" customWidth="1"/>
    <col min="2564" max="2564" width="23.140625" style="70" customWidth="1"/>
    <col min="2565" max="2565" width="16.7109375" style="70" customWidth="1"/>
    <col min="2566" max="2566" width="18.85546875" style="70" customWidth="1"/>
    <col min="2567" max="2567" width="17.85546875" style="70" customWidth="1"/>
    <col min="2568" max="2568" width="22.28515625" style="70" customWidth="1"/>
    <col min="2569" max="2569" width="5.5703125" style="70" customWidth="1"/>
    <col min="2570" max="2816" width="9.140625" style="70"/>
    <col min="2817" max="2817" width="13.5703125" style="70" customWidth="1"/>
    <col min="2818" max="2818" width="8.140625" style="70" customWidth="1"/>
    <col min="2819" max="2819" width="8.7109375" style="70" customWidth="1"/>
    <col min="2820" max="2820" width="23.140625" style="70" customWidth="1"/>
    <col min="2821" max="2821" width="16.7109375" style="70" customWidth="1"/>
    <col min="2822" max="2822" width="18.85546875" style="70" customWidth="1"/>
    <col min="2823" max="2823" width="17.85546875" style="70" customWidth="1"/>
    <col min="2824" max="2824" width="22.28515625" style="70" customWidth="1"/>
    <col min="2825" max="2825" width="5.5703125" style="70" customWidth="1"/>
    <col min="2826" max="3072" width="9.140625" style="70"/>
    <col min="3073" max="3073" width="13.5703125" style="70" customWidth="1"/>
    <col min="3074" max="3074" width="8.140625" style="70" customWidth="1"/>
    <col min="3075" max="3075" width="8.7109375" style="70" customWidth="1"/>
    <col min="3076" max="3076" width="23.140625" style="70" customWidth="1"/>
    <col min="3077" max="3077" width="16.7109375" style="70" customWidth="1"/>
    <col min="3078" max="3078" width="18.85546875" style="70" customWidth="1"/>
    <col min="3079" max="3079" width="17.85546875" style="70" customWidth="1"/>
    <col min="3080" max="3080" width="22.28515625" style="70" customWidth="1"/>
    <col min="3081" max="3081" width="5.5703125" style="70" customWidth="1"/>
    <col min="3082" max="3328" width="9.140625" style="70"/>
    <col min="3329" max="3329" width="13.5703125" style="70" customWidth="1"/>
    <col min="3330" max="3330" width="8.140625" style="70" customWidth="1"/>
    <col min="3331" max="3331" width="8.7109375" style="70" customWidth="1"/>
    <col min="3332" max="3332" width="23.140625" style="70" customWidth="1"/>
    <col min="3333" max="3333" width="16.7109375" style="70" customWidth="1"/>
    <col min="3334" max="3334" width="18.85546875" style="70" customWidth="1"/>
    <col min="3335" max="3335" width="17.85546875" style="70" customWidth="1"/>
    <col min="3336" max="3336" width="22.28515625" style="70" customWidth="1"/>
    <col min="3337" max="3337" width="5.5703125" style="70" customWidth="1"/>
    <col min="3338" max="3584" width="9.140625" style="70"/>
    <col min="3585" max="3585" width="13.5703125" style="70" customWidth="1"/>
    <col min="3586" max="3586" width="8.140625" style="70" customWidth="1"/>
    <col min="3587" max="3587" width="8.7109375" style="70" customWidth="1"/>
    <col min="3588" max="3588" width="23.140625" style="70" customWidth="1"/>
    <col min="3589" max="3589" width="16.7109375" style="70" customWidth="1"/>
    <col min="3590" max="3590" width="18.85546875" style="70" customWidth="1"/>
    <col min="3591" max="3591" width="17.85546875" style="70" customWidth="1"/>
    <col min="3592" max="3592" width="22.28515625" style="70" customWidth="1"/>
    <col min="3593" max="3593" width="5.5703125" style="70" customWidth="1"/>
    <col min="3594" max="3840" width="9.140625" style="70"/>
    <col min="3841" max="3841" width="13.5703125" style="70" customWidth="1"/>
    <col min="3842" max="3842" width="8.140625" style="70" customWidth="1"/>
    <col min="3843" max="3843" width="8.7109375" style="70" customWidth="1"/>
    <col min="3844" max="3844" width="23.140625" style="70" customWidth="1"/>
    <col min="3845" max="3845" width="16.7109375" style="70" customWidth="1"/>
    <col min="3846" max="3846" width="18.85546875" style="70" customWidth="1"/>
    <col min="3847" max="3847" width="17.85546875" style="70" customWidth="1"/>
    <col min="3848" max="3848" width="22.28515625" style="70" customWidth="1"/>
    <col min="3849" max="3849" width="5.5703125" style="70" customWidth="1"/>
    <col min="3850" max="4096" width="9.140625" style="70"/>
    <col min="4097" max="4097" width="13.5703125" style="70" customWidth="1"/>
    <col min="4098" max="4098" width="8.140625" style="70" customWidth="1"/>
    <col min="4099" max="4099" width="8.7109375" style="70" customWidth="1"/>
    <col min="4100" max="4100" width="23.140625" style="70" customWidth="1"/>
    <col min="4101" max="4101" width="16.7109375" style="70" customWidth="1"/>
    <col min="4102" max="4102" width="18.85546875" style="70" customWidth="1"/>
    <col min="4103" max="4103" width="17.85546875" style="70" customWidth="1"/>
    <col min="4104" max="4104" width="22.28515625" style="70" customWidth="1"/>
    <col min="4105" max="4105" width="5.5703125" style="70" customWidth="1"/>
    <col min="4106" max="4352" width="9.140625" style="70"/>
    <col min="4353" max="4353" width="13.5703125" style="70" customWidth="1"/>
    <col min="4354" max="4354" width="8.140625" style="70" customWidth="1"/>
    <col min="4355" max="4355" width="8.7109375" style="70" customWidth="1"/>
    <col min="4356" max="4356" width="23.140625" style="70" customWidth="1"/>
    <col min="4357" max="4357" width="16.7109375" style="70" customWidth="1"/>
    <col min="4358" max="4358" width="18.85546875" style="70" customWidth="1"/>
    <col min="4359" max="4359" width="17.85546875" style="70" customWidth="1"/>
    <col min="4360" max="4360" width="22.28515625" style="70" customWidth="1"/>
    <col min="4361" max="4361" width="5.5703125" style="70" customWidth="1"/>
    <col min="4362" max="4608" width="9.140625" style="70"/>
    <col min="4609" max="4609" width="13.5703125" style="70" customWidth="1"/>
    <col min="4610" max="4610" width="8.140625" style="70" customWidth="1"/>
    <col min="4611" max="4611" width="8.7109375" style="70" customWidth="1"/>
    <col min="4612" max="4612" width="23.140625" style="70" customWidth="1"/>
    <col min="4613" max="4613" width="16.7109375" style="70" customWidth="1"/>
    <col min="4614" max="4614" width="18.85546875" style="70" customWidth="1"/>
    <col min="4615" max="4615" width="17.85546875" style="70" customWidth="1"/>
    <col min="4616" max="4616" width="22.28515625" style="70" customWidth="1"/>
    <col min="4617" max="4617" width="5.5703125" style="70" customWidth="1"/>
    <col min="4618" max="4864" width="9.140625" style="70"/>
    <col min="4865" max="4865" width="13.5703125" style="70" customWidth="1"/>
    <col min="4866" max="4866" width="8.140625" style="70" customWidth="1"/>
    <col min="4867" max="4867" width="8.7109375" style="70" customWidth="1"/>
    <col min="4868" max="4868" width="23.140625" style="70" customWidth="1"/>
    <col min="4869" max="4869" width="16.7109375" style="70" customWidth="1"/>
    <col min="4870" max="4870" width="18.85546875" style="70" customWidth="1"/>
    <col min="4871" max="4871" width="17.85546875" style="70" customWidth="1"/>
    <col min="4872" max="4872" width="22.28515625" style="70" customWidth="1"/>
    <col min="4873" max="4873" width="5.5703125" style="70" customWidth="1"/>
    <col min="4874" max="5120" width="9.140625" style="70"/>
    <col min="5121" max="5121" width="13.5703125" style="70" customWidth="1"/>
    <col min="5122" max="5122" width="8.140625" style="70" customWidth="1"/>
    <col min="5123" max="5123" width="8.7109375" style="70" customWidth="1"/>
    <col min="5124" max="5124" width="23.140625" style="70" customWidth="1"/>
    <col min="5125" max="5125" width="16.7109375" style="70" customWidth="1"/>
    <col min="5126" max="5126" width="18.85546875" style="70" customWidth="1"/>
    <col min="5127" max="5127" width="17.85546875" style="70" customWidth="1"/>
    <col min="5128" max="5128" width="22.28515625" style="70" customWidth="1"/>
    <col min="5129" max="5129" width="5.5703125" style="70" customWidth="1"/>
    <col min="5130" max="5376" width="9.140625" style="70"/>
    <col min="5377" max="5377" width="13.5703125" style="70" customWidth="1"/>
    <col min="5378" max="5378" width="8.140625" style="70" customWidth="1"/>
    <col min="5379" max="5379" width="8.7109375" style="70" customWidth="1"/>
    <col min="5380" max="5380" width="23.140625" style="70" customWidth="1"/>
    <col min="5381" max="5381" width="16.7109375" style="70" customWidth="1"/>
    <col min="5382" max="5382" width="18.85546875" style="70" customWidth="1"/>
    <col min="5383" max="5383" width="17.85546875" style="70" customWidth="1"/>
    <col min="5384" max="5384" width="22.28515625" style="70" customWidth="1"/>
    <col min="5385" max="5385" width="5.5703125" style="70" customWidth="1"/>
    <col min="5386" max="5632" width="9.140625" style="70"/>
    <col min="5633" max="5633" width="13.5703125" style="70" customWidth="1"/>
    <col min="5634" max="5634" width="8.140625" style="70" customWidth="1"/>
    <col min="5635" max="5635" width="8.7109375" style="70" customWidth="1"/>
    <col min="5636" max="5636" width="23.140625" style="70" customWidth="1"/>
    <col min="5637" max="5637" width="16.7109375" style="70" customWidth="1"/>
    <col min="5638" max="5638" width="18.85546875" style="70" customWidth="1"/>
    <col min="5639" max="5639" width="17.85546875" style="70" customWidth="1"/>
    <col min="5640" max="5640" width="22.28515625" style="70" customWidth="1"/>
    <col min="5641" max="5641" width="5.5703125" style="70" customWidth="1"/>
    <col min="5642" max="5888" width="9.140625" style="70"/>
    <col min="5889" max="5889" width="13.5703125" style="70" customWidth="1"/>
    <col min="5890" max="5890" width="8.140625" style="70" customWidth="1"/>
    <col min="5891" max="5891" width="8.7109375" style="70" customWidth="1"/>
    <col min="5892" max="5892" width="23.140625" style="70" customWidth="1"/>
    <col min="5893" max="5893" width="16.7109375" style="70" customWidth="1"/>
    <col min="5894" max="5894" width="18.85546875" style="70" customWidth="1"/>
    <col min="5895" max="5895" width="17.85546875" style="70" customWidth="1"/>
    <col min="5896" max="5896" width="22.28515625" style="70" customWidth="1"/>
    <col min="5897" max="5897" width="5.5703125" style="70" customWidth="1"/>
    <col min="5898" max="6144" width="9.140625" style="70"/>
    <col min="6145" max="6145" width="13.5703125" style="70" customWidth="1"/>
    <col min="6146" max="6146" width="8.140625" style="70" customWidth="1"/>
    <col min="6147" max="6147" width="8.7109375" style="70" customWidth="1"/>
    <col min="6148" max="6148" width="23.140625" style="70" customWidth="1"/>
    <col min="6149" max="6149" width="16.7109375" style="70" customWidth="1"/>
    <col min="6150" max="6150" width="18.85546875" style="70" customWidth="1"/>
    <col min="6151" max="6151" width="17.85546875" style="70" customWidth="1"/>
    <col min="6152" max="6152" width="22.28515625" style="70" customWidth="1"/>
    <col min="6153" max="6153" width="5.5703125" style="70" customWidth="1"/>
    <col min="6154" max="6400" width="9.140625" style="70"/>
    <col min="6401" max="6401" width="13.5703125" style="70" customWidth="1"/>
    <col min="6402" max="6402" width="8.140625" style="70" customWidth="1"/>
    <col min="6403" max="6403" width="8.7109375" style="70" customWidth="1"/>
    <col min="6404" max="6404" width="23.140625" style="70" customWidth="1"/>
    <col min="6405" max="6405" width="16.7109375" style="70" customWidth="1"/>
    <col min="6406" max="6406" width="18.85546875" style="70" customWidth="1"/>
    <col min="6407" max="6407" width="17.85546875" style="70" customWidth="1"/>
    <col min="6408" max="6408" width="22.28515625" style="70" customWidth="1"/>
    <col min="6409" max="6409" width="5.5703125" style="70" customWidth="1"/>
    <col min="6410" max="6656" width="9.140625" style="70"/>
    <col min="6657" max="6657" width="13.5703125" style="70" customWidth="1"/>
    <col min="6658" max="6658" width="8.140625" style="70" customWidth="1"/>
    <col min="6659" max="6659" width="8.7109375" style="70" customWidth="1"/>
    <col min="6660" max="6660" width="23.140625" style="70" customWidth="1"/>
    <col min="6661" max="6661" width="16.7109375" style="70" customWidth="1"/>
    <col min="6662" max="6662" width="18.85546875" style="70" customWidth="1"/>
    <col min="6663" max="6663" width="17.85546875" style="70" customWidth="1"/>
    <col min="6664" max="6664" width="22.28515625" style="70" customWidth="1"/>
    <col min="6665" max="6665" width="5.5703125" style="70" customWidth="1"/>
    <col min="6666" max="6912" width="9.140625" style="70"/>
    <col min="6913" max="6913" width="13.5703125" style="70" customWidth="1"/>
    <col min="6914" max="6914" width="8.140625" style="70" customWidth="1"/>
    <col min="6915" max="6915" width="8.7109375" style="70" customWidth="1"/>
    <col min="6916" max="6916" width="23.140625" style="70" customWidth="1"/>
    <col min="6917" max="6917" width="16.7109375" style="70" customWidth="1"/>
    <col min="6918" max="6918" width="18.85546875" style="70" customWidth="1"/>
    <col min="6919" max="6919" width="17.85546875" style="70" customWidth="1"/>
    <col min="6920" max="6920" width="22.28515625" style="70" customWidth="1"/>
    <col min="6921" max="6921" width="5.5703125" style="70" customWidth="1"/>
    <col min="6922" max="7168" width="9.140625" style="70"/>
    <col min="7169" max="7169" width="13.5703125" style="70" customWidth="1"/>
    <col min="7170" max="7170" width="8.140625" style="70" customWidth="1"/>
    <col min="7171" max="7171" width="8.7109375" style="70" customWidth="1"/>
    <col min="7172" max="7172" width="23.140625" style="70" customWidth="1"/>
    <col min="7173" max="7173" width="16.7109375" style="70" customWidth="1"/>
    <col min="7174" max="7174" width="18.85546875" style="70" customWidth="1"/>
    <col min="7175" max="7175" width="17.85546875" style="70" customWidth="1"/>
    <col min="7176" max="7176" width="22.28515625" style="70" customWidth="1"/>
    <col min="7177" max="7177" width="5.5703125" style="70" customWidth="1"/>
    <col min="7178" max="7424" width="9.140625" style="70"/>
    <col min="7425" max="7425" width="13.5703125" style="70" customWidth="1"/>
    <col min="7426" max="7426" width="8.140625" style="70" customWidth="1"/>
    <col min="7427" max="7427" width="8.7109375" style="70" customWidth="1"/>
    <col min="7428" max="7428" width="23.140625" style="70" customWidth="1"/>
    <col min="7429" max="7429" width="16.7109375" style="70" customWidth="1"/>
    <col min="7430" max="7430" width="18.85546875" style="70" customWidth="1"/>
    <col min="7431" max="7431" width="17.85546875" style="70" customWidth="1"/>
    <col min="7432" max="7432" width="22.28515625" style="70" customWidth="1"/>
    <col min="7433" max="7433" width="5.5703125" style="70" customWidth="1"/>
    <col min="7434" max="7680" width="9.140625" style="70"/>
    <col min="7681" max="7681" width="13.5703125" style="70" customWidth="1"/>
    <col min="7682" max="7682" width="8.140625" style="70" customWidth="1"/>
    <col min="7683" max="7683" width="8.7109375" style="70" customWidth="1"/>
    <col min="7684" max="7684" width="23.140625" style="70" customWidth="1"/>
    <col min="7685" max="7685" width="16.7109375" style="70" customWidth="1"/>
    <col min="7686" max="7686" width="18.85546875" style="70" customWidth="1"/>
    <col min="7687" max="7687" width="17.85546875" style="70" customWidth="1"/>
    <col min="7688" max="7688" width="22.28515625" style="70" customWidth="1"/>
    <col min="7689" max="7689" width="5.5703125" style="70" customWidth="1"/>
    <col min="7690" max="7936" width="9.140625" style="70"/>
    <col min="7937" max="7937" width="13.5703125" style="70" customWidth="1"/>
    <col min="7938" max="7938" width="8.140625" style="70" customWidth="1"/>
    <col min="7939" max="7939" width="8.7109375" style="70" customWidth="1"/>
    <col min="7940" max="7940" width="23.140625" style="70" customWidth="1"/>
    <col min="7941" max="7941" width="16.7109375" style="70" customWidth="1"/>
    <col min="7942" max="7942" width="18.85546875" style="70" customWidth="1"/>
    <col min="7943" max="7943" width="17.85546875" style="70" customWidth="1"/>
    <col min="7944" max="7944" width="22.28515625" style="70" customWidth="1"/>
    <col min="7945" max="7945" width="5.5703125" style="70" customWidth="1"/>
    <col min="7946" max="8192" width="9.140625" style="70"/>
    <col min="8193" max="8193" width="13.5703125" style="70" customWidth="1"/>
    <col min="8194" max="8194" width="8.140625" style="70" customWidth="1"/>
    <col min="8195" max="8195" width="8.7109375" style="70" customWidth="1"/>
    <col min="8196" max="8196" width="23.140625" style="70" customWidth="1"/>
    <col min="8197" max="8197" width="16.7109375" style="70" customWidth="1"/>
    <col min="8198" max="8198" width="18.85546875" style="70" customWidth="1"/>
    <col min="8199" max="8199" width="17.85546875" style="70" customWidth="1"/>
    <col min="8200" max="8200" width="22.28515625" style="70" customWidth="1"/>
    <col min="8201" max="8201" width="5.5703125" style="70" customWidth="1"/>
    <col min="8202" max="8448" width="9.140625" style="70"/>
    <col min="8449" max="8449" width="13.5703125" style="70" customWidth="1"/>
    <col min="8450" max="8450" width="8.140625" style="70" customWidth="1"/>
    <col min="8451" max="8451" width="8.7109375" style="70" customWidth="1"/>
    <col min="8452" max="8452" width="23.140625" style="70" customWidth="1"/>
    <col min="8453" max="8453" width="16.7109375" style="70" customWidth="1"/>
    <col min="8454" max="8454" width="18.85546875" style="70" customWidth="1"/>
    <col min="8455" max="8455" width="17.85546875" style="70" customWidth="1"/>
    <col min="8456" max="8456" width="22.28515625" style="70" customWidth="1"/>
    <col min="8457" max="8457" width="5.5703125" style="70" customWidth="1"/>
    <col min="8458" max="8704" width="9.140625" style="70"/>
    <col min="8705" max="8705" width="13.5703125" style="70" customWidth="1"/>
    <col min="8706" max="8706" width="8.140625" style="70" customWidth="1"/>
    <col min="8707" max="8707" width="8.7109375" style="70" customWidth="1"/>
    <col min="8708" max="8708" width="23.140625" style="70" customWidth="1"/>
    <col min="8709" max="8709" width="16.7109375" style="70" customWidth="1"/>
    <col min="8710" max="8710" width="18.85546875" style="70" customWidth="1"/>
    <col min="8711" max="8711" width="17.85546875" style="70" customWidth="1"/>
    <col min="8712" max="8712" width="22.28515625" style="70" customWidth="1"/>
    <col min="8713" max="8713" width="5.5703125" style="70" customWidth="1"/>
    <col min="8714" max="8960" width="9.140625" style="70"/>
    <col min="8961" max="8961" width="13.5703125" style="70" customWidth="1"/>
    <col min="8962" max="8962" width="8.140625" style="70" customWidth="1"/>
    <col min="8963" max="8963" width="8.7109375" style="70" customWidth="1"/>
    <col min="8964" max="8964" width="23.140625" style="70" customWidth="1"/>
    <col min="8965" max="8965" width="16.7109375" style="70" customWidth="1"/>
    <col min="8966" max="8966" width="18.85546875" style="70" customWidth="1"/>
    <col min="8967" max="8967" width="17.85546875" style="70" customWidth="1"/>
    <col min="8968" max="8968" width="22.28515625" style="70" customWidth="1"/>
    <col min="8969" max="8969" width="5.5703125" style="70" customWidth="1"/>
    <col min="8970" max="9216" width="9.140625" style="70"/>
    <col min="9217" max="9217" width="13.5703125" style="70" customWidth="1"/>
    <col min="9218" max="9218" width="8.140625" style="70" customWidth="1"/>
    <col min="9219" max="9219" width="8.7109375" style="70" customWidth="1"/>
    <col min="9220" max="9220" width="23.140625" style="70" customWidth="1"/>
    <col min="9221" max="9221" width="16.7109375" style="70" customWidth="1"/>
    <col min="9222" max="9222" width="18.85546875" style="70" customWidth="1"/>
    <col min="9223" max="9223" width="17.85546875" style="70" customWidth="1"/>
    <col min="9224" max="9224" width="22.28515625" style="70" customWidth="1"/>
    <col min="9225" max="9225" width="5.5703125" style="70" customWidth="1"/>
    <col min="9226" max="9472" width="9.140625" style="70"/>
    <col min="9473" max="9473" width="13.5703125" style="70" customWidth="1"/>
    <col min="9474" max="9474" width="8.140625" style="70" customWidth="1"/>
    <col min="9475" max="9475" width="8.7109375" style="70" customWidth="1"/>
    <col min="9476" max="9476" width="23.140625" style="70" customWidth="1"/>
    <col min="9477" max="9477" width="16.7109375" style="70" customWidth="1"/>
    <col min="9478" max="9478" width="18.85546875" style="70" customWidth="1"/>
    <col min="9479" max="9479" width="17.85546875" style="70" customWidth="1"/>
    <col min="9480" max="9480" width="22.28515625" style="70" customWidth="1"/>
    <col min="9481" max="9481" width="5.5703125" style="70" customWidth="1"/>
    <col min="9482" max="9728" width="9.140625" style="70"/>
    <col min="9729" max="9729" width="13.5703125" style="70" customWidth="1"/>
    <col min="9730" max="9730" width="8.140625" style="70" customWidth="1"/>
    <col min="9731" max="9731" width="8.7109375" style="70" customWidth="1"/>
    <col min="9732" max="9732" width="23.140625" style="70" customWidth="1"/>
    <col min="9733" max="9733" width="16.7109375" style="70" customWidth="1"/>
    <col min="9734" max="9734" width="18.85546875" style="70" customWidth="1"/>
    <col min="9735" max="9735" width="17.85546875" style="70" customWidth="1"/>
    <col min="9736" max="9736" width="22.28515625" style="70" customWidth="1"/>
    <col min="9737" max="9737" width="5.5703125" style="70" customWidth="1"/>
    <col min="9738" max="9984" width="9.140625" style="70"/>
    <col min="9985" max="9985" width="13.5703125" style="70" customWidth="1"/>
    <col min="9986" max="9986" width="8.140625" style="70" customWidth="1"/>
    <col min="9987" max="9987" width="8.7109375" style="70" customWidth="1"/>
    <col min="9988" max="9988" width="23.140625" style="70" customWidth="1"/>
    <col min="9989" max="9989" width="16.7109375" style="70" customWidth="1"/>
    <col min="9990" max="9990" width="18.85546875" style="70" customWidth="1"/>
    <col min="9991" max="9991" width="17.85546875" style="70" customWidth="1"/>
    <col min="9992" max="9992" width="22.28515625" style="70" customWidth="1"/>
    <col min="9993" max="9993" width="5.5703125" style="70" customWidth="1"/>
    <col min="9994" max="10240" width="9.140625" style="70"/>
    <col min="10241" max="10241" width="13.5703125" style="70" customWidth="1"/>
    <col min="10242" max="10242" width="8.140625" style="70" customWidth="1"/>
    <col min="10243" max="10243" width="8.7109375" style="70" customWidth="1"/>
    <col min="10244" max="10244" width="23.140625" style="70" customWidth="1"/>
    <col min="10245" max="10245" width="16.7109375" style="70" customWidth="1"/>
    <col min="10246" max="10246" width="18.85546875" style="70" customWidth="1"/>
    <col min="10247" max="10247" width="17.85546875" style="70" customWidth="1"/>
    <col min="10248" max="10248" width="22.28515625" style="70" customWidth="1"/>
    <col min="10249" max="10249" width="5.5703125" style="70" customWidth="1"/>
    <col min="10250" max="10496" width="9.140625" style="70"/>
    <col min="10497" max="10497" width="13.5703125" style="70" customWidth="1"/>
    <col min="10498" max="10498" width="8.140625" style="70" customWidth="1"/>
    <col min="10499" max="10499" width="8.7109375" style="70" customWidth="1"/>
    <col min="10500" max="10500" width="23.140625" style="70" customWidth="1"/>
    <col min="10501" max="10501" width="16.7109375" style="70" customWidth="1"/>
    <col min="10502" max="10502" width="18.85546875" style="70" customWidth="1"/>
    <col min="10503" max="10503" width="17.85546875" style="70" customWidth="1"/>
    <col min="10504" max="10504" width="22.28515625" style="70" customWidth="1"/>
    <col min="10505" max="10505" width="5.5703125" style="70" customWidth="1"/>
    <col min="10506" max="10752" width="9.140625" style="70"/>
    <col min="10753" max="10753" width="13.5703125" style="70" customWidth="1"/>
    <col min="10754" max="10754" width="8.140625" style="70" customWidth="1"/>
    <col min="10755" max="10755" width="8.7109375" style="70" customWidth="1"/>
    <col min="10756" max="10756" width="23.140625" style="70" customWidth="1"/>
    <col min="10757" max="10757" width="16.7109375" style="70" customWidth="1"/>
    <col min="10758" max="10758" width="18.85546875" style="70" customWidth="1"/>
    <col min="10759" max="10759" width="17.85546875" style="70" customWidth="1"/>
    <col min="10760" max="10760" width="22.28515625" style="70" customWidth="1"/>
    <col min="10761" max="10761" width="5.5703125" style="70" customWidth="1"/>
    <col min="10762" max="11008" width="9.140625" style="70"/>
    <col min="11009" max="11009" width="13.5703125" style="70" customWidth="1"/>
    <col min="11010" max="11010" width="8.140625" style="70" customWidth="1"/>
    <col min="11011" max="11011" width="8.7109375" style="70" customWidth="1"/>
    <col min="11012" max="11012" width="23.140625" style="70" customWidth="1"/>
    <col min="11013" max="11013" width="16.7109375" style="70" customWidth="1"/>
    <col min="11014" max="11014" width="18.85546875" style="70" customWidth="1"/>
    <col min="11015" max="11015" width="17.85546875" style="70" customWidth="1"/>
    <col min="11016" max="11016" width="22.28515625" style="70" customWidth="1"/>
    <col min="11017" max="11017" width="5.5703125" style="70" customWidth="1"/>
    <col min="11018" max="11264" width="9.140625" style="70"/>
    <col min="11265" max="11265" width="13.5703125" style="70" customWidth="1"/>
    <col min="11266" max="11266" width="8.140625" style="70" customWidth="1"/>
    <col min="11267" max="11267" width="8.7109375" style="70" customWidth="1"/>
    <col min="11268" max="11268" width="23.140625" style="70" customWidth="1"/>
    <col min="11269" max="11269" width="16.7109375" style="70" customWidth="1"/>
    <col min="11270" max="11270" width="18.85546875" style="70" customWidth="1"/>
    <col min="11271" max="11271" width="17.85546875" style="70" customWidth="1"/>
    <col min="11272" max="11272" width="22.28515625" style="70" customWidth="1"/>
    <col min="11273" max="11273" width="5.5703125" style="70" customWidth="1"/>
    <col min="11274" max="11520" width="9.140625" style="70"/>
    <col min="11521" max="11521" width="13.5703125" style="70" customWidth="1"/>
    <col min="11522" max="11522" width="8.140625" style="70" customWidth="1"/>
    <col min="11523" max="11523" width="8.7109375" style="70" customWidth="1"/>
    <col min="11524" max="11524" width="23.140625" style="70" customWidth="1"/>
    <col min="11525" max="11525" width="16.7109375" style="70" customWidth="1"/>
    <col min="11526" max="11526" width="18.85546875" style="70" customWidth="1"/>
    <col min="11527" max="11527" width="17.85546875" style="70" customWidth="1"/>
    <col min="11528" max="11528" width="22.28515625" style="70" customWidth="1"/>
    <col min="11529" max="11529" width="5.5703125" style="70" customWidth="1"/>
    <col min="11530" max="11776" width="9.140625" style="70"/>
    <col min="11777" max="11777" width="13.5703125" style="70" customWidth="1"/>
    <col min="11778" max="11778" width="8.140625" style="70" customWidth="1"/>
    <col min="11779" max="11779" width="8.7109375" style="70" customWidth="1"/>
    <col min="11780" max="11780" width="23.140625" style="70" customWidth="1"/>
    <col min="11781" max="11781" width="16.7109375" style="70" customWidth="1"/>
    <col min="11782" max="11782" width="18.85546875" style="70" customWidth="1"/>
    <col min="11783" max="11783" width="17.85546875" style="70" customWidth="1"/>
    <col min="11784" max="11784" width="22.28515625" style="70" customWidth="1"/>
    <col min="11785" max="11785" width="5.5703125" style="70" customWidth="1"/>
    <col min="11786" max="12032" width="9.140625" style="70"/>
    <col min="12033" max="12033" width="13.5703125" style="70" customWidth="1"/>
    <col min="12034" max="12034" width="8.140625" style="70" customWidth="1"/>
    <col min="12035" max="12035" width="8.7109375" style="70" customWidth="1"/>
    <col min="12036" max="12036" width="23.140625" style="70" customWidth="1"/>
    <col min="12037" max="12037" width="16.7109375" style="70" customWidth="1"/>
    <col min="12038" max="12038" width="18.85546875" style="70" customWidth="1"/>
    <col min="12039" max="12039" width="17.85546875" style="70" customWidth="1"/>
    <col min="12040" max="12040" width="22.28515625" style="70" customWidth="1"/>
    <col min="12041" max="12041" width="5.5703125" style="70" customWidth="1"/>
    <col min="12042" max="12288" width="9.140625" style="70"/>
    <col min="12289" max="12289" width="13.5703125" style="70" customWidth="1"/>
    <col min="12290" max="12290" width="8.140625" style="70" customWidth="1"/>
    <col min="12291" max="12291" width="8.7109375" style="70" customWidth="1"/>
    <col min="12292" max="12292" width="23.140625" style="70" customWidth="1"/>
    <col min="12293" max="12293" width="16.7109375" style="70" customWidth="1"/>
    <col min="12294" max="12294" width="18.85546875" style="70" customWidth="1"/>
    <col min="12295" max="12295" width="17.85546875" style="70" customWidth="1"/>
    <col min="12296" max="12296" width="22.28515625" style="70" customWidth="1"/>
    <col min="12297" max="12297" width="5.5703125" style="70" customWidth="1"/>
    <col min="12298" max="12544" width="9.140625" style="70"/>
    <col min="12545" max="12545" width="13.5703125" style="70" customWidth="1"/>
    <col min="12546" max="12546" width="8.140625" style="70" customWidth="1"/>
    <col min="12547" max="12547" width="8.7109375" style="70" customWidth="1"/>
    <col min="12548" max="12548" width="23.140625" style="70" customWidth="1"/>
    <col min="12549" max="12549" width="16.7109375" style="70" customWidth="1"/>
    <col min="12550" max="12550" width="18.85546875" style="70" customWidth="1"/>
    <col min="12551" max="12551" width="17.85546875" style="70" customWidth="1"/>
    <col min="12552" max="12552" width="22.28515625" style="70" customWidth="1"/>
    <col min="12553" max="12553" width="5.5703125" style="70" customWidth="1"/>
    <col min="12554" max="12800" width="9.140625" style="70"/>
    <col min="12801" max="12801" width="13.5703125" style="70" customWidth="1"/>
    <col min="12802" max="12802" width="8.140625" style="70" customWidth="1"/>
    <col min="12803" max="12803" width="8.7109375" style="70" customWidth="1"/>
    <col min="12804" max="12804" width="23.140625" style="70" customWidth="1"/>
    <col min="12805" max="12805" width="16.7109375" style="70" customWidth="1"/>
    <col min="12806" max="12806" width="18.85546875" style="70" customWidth="1"/>
    <col min="12807" max="12807" width="17.85546875" style="70" customWidth="1"/>
    <col min="12808" max="12808" width="22.28515625" style="70" customWidth="1"/>
    <col min="12809" max="12809" width="5.5703125" style="70" customWidth="1"/>
    <col min="12810" max="13056" width="9.140625" style="70"/>
    <col min="13057" max="13057" width="13.5703125" style="70" customWidth="1"/>
    <col min="13058" max="13058" width="8.140625" style="70" customWidth="1"/>
    <col min="13059" max="13059" width="8.7109375" style="70" customWidth="1"/>
    <col min="13060" max="13060" width="23.140625" style="70" customWidth="1"/>
    <col min="13061" max="13061" width="16.7109375" style="70" customWidth="1"/>
    <col min="13062" max="13062" width="18.85546875" style="70" customWidth="1"/>
    <col min="13063" max="13063" width="17.85546875" style="70" customWidth="1"/>
    <col min="13064" max="13064" width="22.28515625" style="70" customWidth="1"/>
    <col min="13065" max="13065" width="5.5703125" style="70" customWidth="1"/>
    <col min="13066" max="13312" width="9.140625" style="70"/>
    <col min="13313" max="13313" width="13.5703125" style="70" customWidth="1"/>
    <col min="13314" max="13314" width="8.140625" style="70" customWidth="1"/>
    <col min="13315" max="13315" width="8.7109375" style="70" customWidth="1"/>
    <col min="13316" max="13316" width="23.140625" style="70" customWidth="1"/>
    <col min="13317" max="13317" width="16.7109375" style="70" customWidth="1"/>
    <col min="13318" max="13318" width="18.85546875" style="70" customWidth="1"/>
    <col min="13319" max="13319" width="17.85546875" style="70" customWidth="1"/>
    <col min="13320" max="13320" width="22.28515625" style="70" customWidth="1"/>
    <col min="13321" max="13321" width="5.5703125" style="70" customWidth="1"/>
    <col min="13322" max="13568" width="9.140625" style="70"/>
    <col min="13569" max="13569" width="13.5703125" style="70" customWidth="1"/>
    <col min="13570" max="13570" width="8.140625" style="70" customWidth="1"/>
    <col min="13571" max="13571" width="8.7109375" style="70" customWidth="1"/>
    <col min="13572" max="13572" width="23.140625" style="70" customWidth="1"/>
    <col min="13573" max="13573" width="16.7109375" style="70" customWidth="1"/>
    <col min="13574" max="13574" width="18.85546875" style="70" customWidth="1"/>
    <col min="13575" max="13575" width="17.85546875" style="70" customWidth="1"/>
    <col min="13576" max="13576" width="22.28515625" style="70" customWidth="1"/>
    <col min="13577" max="13577" width="5.5703125" style="70" customWidth="1"/>
    <col min="13578" max="13824" width="9.140625" style="70"/>
    <col min="13825" max="13825" width="13.5703125" style="70" customWidth="1"/>
    <col min="13826" max="13826" width="8.140625" style="70" customWidth="1"/>
    <col min="13827" max="13827" width="8.7109375" style="70" customWidth="1"/>
    <col min="13828" max="13828" width="23.140625" style="70" customWidth="1"/>
    <col min="13829" max="13829" width="16.7109375" style="70" customWidth="1"/>
    <col min="13830" max="13830" width="18.85546875" style="70" customWidth="1"/>
    <col min="13831" max="13831" width="17.85546875" style="70" customWidth="1"/>
    <col min="13832" max="13832" width="22.28515625" style="70" customWidth="1"/>
    <col min="13833" max="13833" width="5.5703125" style="70" customWidth="1"/>
    <col min="13834" max="14080" width="9.140625" style="70"/>
    <col min="14081" max="14081" width="13.5703125" style="70" customWidth="1"/>
    <col min="14082" max="14082" width="8.140625" style="70" customWidth="1"/>
    <col min="14083" max="14083" width="8.7109375" style="70" customWidth="1"/>
    <col min="14084" max="14084" width="23.140625" style="70" customWidth="1"/>
    <col min="14085" max="14085" width="16.7109375" style="70" customWidth="1"/>
    <col min="14086" max="14086" width="18.85546875" style="70" customWidth="1"/>
    <col min="14087" max="14087" width="17.85546875" style="70" customWidth="1"/>
    <col min="14088" max="14088" width="22.28515625" style="70" customWidth="1"/>
    <col min="14089" max="14089" width="5.5703125" style="70" customWidth="1"/>
    <col min="14090" max="14336" width="9.140625" style="70"/>
    <col min="14337" max="14337" width="13.5703125" style="70" customWidth="1"/>
    <col min="14338" max="14338" width="8.140625" style="70" customWidth="1"/>
    <col min="14339" max="14339" width="8.7109375" style="70" customWidth="1"/>
    <col min="14340" max="14340" width="23.140625" style="70" customWidth="1"/>
    <col min="14341" max="14341" width="16.7109375" style="70" customWidth="1"/>
    <col min="14342" max="14342" width="18.85546875" style="70" customWidth="1"/>
    <col min="14343" max="14343" width="17.85546875" style="70" customWidth="1"/>
    <col min="14344" max="14344" width="22.28515625" style="70" customWidth="1"/>
    <col min="14345" max="14345" width="5.5703125" style="70" customWidth="1"/>
    <col min="14346" max="14592" width="9.140625" style="70"/>
    <col min="14593" max="14593" width="13.5703125" style="70" customWidth="1"/>
    <col min="14594" max="14594" width="8.140625" style="70" customWidth="1"/>
    <col min="14595" max="14595" width="8.7109375" style="70" customWidth="1"/>
    <col min="14596" max="14596" width="23.140625" style="70" customWidth="1"/>
    <col min="14597" max="14597" width="16.7109375" style="70" customWidth="1"/>
    <col min="14598" max="14598" width="18.85546875" style="70" customWidth="1"/>
    <col min="14599" max="14599" width="17.85546875" style="70" customWidth="1"/>
    <col min="14600" max="14600" width="22.28515625" style="70" customWidth="1"/>
    <col min="14601" max="14601" width="5.5703125" style="70" customWidth="1"/>
    <col min="14602" max="14848" width="9.140625" style="70"/>
    <col min="14849" max="14849" width="13.5703125" style="70" customWidth="1"/>
    <col min="14850" max="14850" width="8.140625" style="70" customWidth="1"/>
    <col min="14851" max="14851" width="8.7109375" style="70" customWidth="1"/>
    <col min="14852" max="14852" width="23.140625" style="70" customWidth="1"/>
    <col min="14853" max="14853" width="16.7109375" style="70" customWidth="1"/>
    <col min="14854" max="14854" width="18.85546875" style="70" customWidth="1"/>
    <col min="14855" max="14855" width="17.85546875" style="70" customWidth="1"/>
    <col min="14856" max="14856" width="22.28515625" style="70" customWidth="1"/>
    <col min="14857" max="14857" width="5.5703125" style="70" customWidth="1"/>
    <col min="14858" max="15104" width="9.140625" style="70"/>
    <col min="15105" max="15105" width="13.5703125" style="70" customWidth="1"/>
    <col min="15106" max="15106" width="8.140625" style="70" customWidth="1"/>
    <col min="15107" max="15107" width="8.7109375" style="70" customWidth="1"/>
    <col min="15108" max="15108" width="23.140625" style="70" customWidth="1"/>
    <col min="15109" max="15109" width="16.7109375" style="70" customWidth="1"/>
    <col min="15110" max="15110" width="18.85546875" style="70" customWidth="1"/>
    <col min="15111" max="15111" width="17.85546875" style="70" customWidth="1"/>
    <col min="15112" max="15112" width="22.28515625" style="70" customWidth="1"/>
    <col min="15113" max="15113" width="5.5703125" style="70" customWidth="1"/>
    <col min="15114" max="15360" width="9.140625" style="70"/>
    <col min="15361" max="15361" width="13.5703125" style="70" customWidth="1"/>
    <col min="15362" max="15362" width="8.140625" style="70" customWidth="1"/>
    <col min="15363" max="15363" width="8.7109375" style="70" customWidth="1"/>
    <col min="15364" max="15364" width="23.140625" style="70" customWidth="1"/>
    <col min="15365" max="15365" width="16.7109375" style="70" customWidth="1"/>
    <col min="15366" max="15366" width="18.85546875" style="70" customWidth="1"/>
    <col min="15367" max="15367" width="17.85546875" style="70" customWidth="1"/>
    <col min="15368" max="15368" width="22.28515625" style="70" customWidth="1"/>
    <col min="15369" max="15369" width="5.5703125" style="70" customWidth="1"/>
    <col min="15370" max="15616" width="9.140625" style="70"/>
    <col min="15617" max="15617" width="13.5703125" style="70" customWidth="1"/>
    <col min="15618" max="15618" width="8.140625" style="70" customWidth="1"/>
    <col min="15619" max="15619" width="8.7109375" style="70" customWidth="1"/>
    <col min="15620" max="15620" width="23.140625" style="70" customWidth="1"/>
    <col min="15621" max="15621" width="16.7109375" style="70" customWidth="1"/>
    <col min="15622" max="15622" width="18.85546875" style="70" customWidth="1"/>
    <col min="15623" max="15623" width="17.85546875" style="70" customWidth="1"/>
    <col min="15624" max="15624" width="22.28515625" style="70" customWidth="1"/>
    <col min="15625" max="15625" width="5.5703125" style="70" customWidth="1"/>
    <col min="15626" max="15872" width="9.140625" style="70"/>
    <col min="15873" max="15873" width="13.5703125" style="70" customWidth="1"/>
    <col min="15874" max="15874" width="8.140625" style="70" customWidth="1"/>
    <col min="15875" max="15875" width="8.7109375" style="70" customWidth="1"/>
    <col min="15876" max="15876" width="23.140625" style="70" customWidth="1"/>
    <col min="15877" max="15877" width="16.7109375" style="70" customWidth="1"/>
    <col min="15878" max="15878" width="18.85546875" style="70" customWidth="1"/>
    <col min="15879" max="15879" width="17.85546875" style="70" customWidth="1"/>
    <col min="15880" max="15880" width="22.28515625" style="70" customWidth="1"/>
    <col min="15881" max="15881" width="5.5703125" style="70" customWidth="1"/>
    <col min="15882" max="16128" width="9.140625" style="70"/>
    <col min="16129" max="16129" width="13.5703125" style="70" customWidth="1"/>
    <col min="16130" max="16130" width="8.140625" style="70" customWidth="1"/>
    <col min="16131" max="16131" width="8.7109375" style="70" customWidth="1"/>
    <col min="16132" max="16132" width="23.140625" style="70" customWidth="1"/>
    <col min="16133" max="16133" width="16.7109375" style="70" customWidth="1"/>
    <col min="16134" max="16134" width="18.85546875" style="70" customWidth="1"/>
    <col min="16135" max="16135" width="17.85546875" style="70" customWidth="1"/>
    <col min="16136" max="16136" width="22.28515625" style="70" customWidth="1"/>
    <col min="16137" max="16137" width="5.5703125" style="70" customWidth="1"/>
    <col min="16138" max="16384" width="9.140625" style="70"/>
  </cols>
  <sheetData>
    <row r="1" spans="1:8" ht="27">
      <c r="A1" s="417" t="s">
        <v>61</v>
      </c>
      <c r="B1" s="418"/>
      <c r="C1" s="418"/>
      <c r="D1" s="418"/>
      <c r="E1" s="418"/>
      <c r="F1" s="418"/>
      <c r="G1" s="418"/>
      <c r="H1" s="418"/>
    </row>
    <row r="2" spans="1:8" ht="27">
      <c r="A2" s="71"/>
      <c r="B2" s="72"/>
      <c r="C2" s="72"/>
      <c r="D2" s="72"/>
      <c r="E2" s="72"/>
      <c r="F2" s="72"/>
      <c r="G2" s="72"/>
      <c r="H2" s="72"/>
    </row>
    <row r="3" spans="1:8">
      <c r="A3" s="73" t="s">
        <v>423</v>
      </c>
      <c r="B3" s="73"/>
      <c r="C3" s="73"/>
      <c r="D3" s="73"/>
      <c r="E3" s="74"/>
      <c r="F3" s="419">
        <f ca="1">TODAY()</f>
        <v>45511</v>
      </c>
      <c r="G3" s="419"/>
      <c r="H3" s="419"/>
    </row>
    <row r="4" spans="1:8">
      <c r="A4" s="72"/>
      <c r="B4" s="75"/>
      <c r="C4" s="75"/>
      <c r="D4" s="75"/>
      <c r="E4" s="75"/>
      <c r="F4" s="75"/>
      <c r="G4" s="75"/>
      <c r="H4" s="75"/>
    </row>
    <row r="5" spans="1:8">
      <c r="A5" s="420" t="s">
        <v>60</v>
      </c>
      <c r="B5" s="420"/>
      <c r="C5" s="76"/>
      <c r="D5" s="76"/>
      <c r="E5" s="76"/>
      <c r="F5" s="76"/>
      <c r="G5" s="76"/>
      <c r="H5" s="75"/>
    </row>
    <row r="6" spans="1:8">
      <c r="A6" s="72"/>
      <c r="B6" s="75"/>
      <c r="C6" s="75"/>
      <c r="D6" s="75"/>
      <c r="E6" s="75"/>
      <c r="F6" s="75"/>
      <c r="G6" s="75"/>
      <c r="H6" s="75"/>
    </row>
    <row r="7" spans="1:8">
      <c r="A7" s="420" t="s">
        <v>59</v>
      </c>
      <c r="B7" s="420"/>
      <c r="C7" s="77" t="s">
        <v>58</v>
      </c>
      <c r="D7" s="77" t="str">
        <f>NUMBERSTRING(D8,1)&amp;"원정-부가세 별도"</f>
        <v>일억일천팔백사십팔만원정-부가세 별도</v>
      </c>
      <c r="E7" s="76"/>
      <c r="F7" s="76"/>
      <c r="G7" s="76"/>
      <c r="H7" s="75"/>
    </row>
    <row r="8" spans="1:8">
      <c r="A8" s="72"/>
      <c r="B8" s="75"/>
      <c r="C8" s="78" t="s">
        <v>57</v>
      </c>
      <c r="D8" s="79">
        <f>' 갑지-1'!L22</f>
        <v>118480000</v>
      </c>
      <c r="E8" s="75" t="s">
        <v>56</v>
      </c>
      <c r="F8" s="75"/>
      <c r="G8" s="75"/>
      <c r="H8" s="75"/>
    </row>
    <row r="9" spans="1:8">
      <c r="A9" s="72"/>
      <c r="B9" s="75"/>
      <c r="C9" s="75"/>
      <c r="D9" s="75"/>
      <c r="E9" s="75"/>
      <c r="F9" s="75"/>
      <c r="G9" s="75"/>
      <c r="H9" s="75"/>
    </row>
    <row r="10" spans="1:8">
      <c r="A10" s="75" t="s">
        <v>55</v>
      </c>
      <c r="B10" s="75"/>
      <c r="C10" s="75"/>
      <c r="D10" s="75"/>
      <c r="E10" s="75"/>
      <c r="F10" s="75"/>
      <c r="G10" s="75"/>
      <c r="H10" s="75"/>
    </row>
    <row r="11" spans="1:8">
      <c r="A11" s="72"/>
      <c r="B11" s="72"/>
      <c r="C11" s="72"/>
      <c r="D11" s="72"/>
      <c r="E11" s="75"/>
      <c r="F11" s="75"/>
      <c r="G11" s="75"/>
      <c r="H11" s="75"/>
    </row>
    <row r="12" spans="1:8" ht="15.75" customHeight="1">
      <c r="A12" s="202"/>
      <c r="B12" s="203"/>
      <c r="C12" s="203"/>
      <c r="D12" s="203"/>
      <c r="E12" s="204"/>
      <c r="F12" s="204"/>
      <c r="G12" s="204"/>
      <c r="H12" s="205"/>
    </row>
    <row r="13" spans="1:8" ht="15.75" customHeight="1">
      <c r="A13" s="206" t="s">
        <v>54</v>
      </c>
      <c r="B13" s="207"/>
      <c r="C13" s="80"/>
      <c r="D13" s="80"/>
      <c r="E13" s="80"/>
      <c r="F13" s="208"/>
      <c r="G13" s="208"/>
      <c r="H13" s="209"/>
    </row>
    <row r="14" spans="1:8" ht="15.75" customHeight="1">
      <c r="A14" s="210" t="s">
        <v>53</v>
      </c>
      <c r="B14" s="211" t="s">
        <v>246</v>
      </c>
      <c r="C14" s="207"/>
      <c r="D14" s="75"/>
      <c r="E14" s="81"/>
      <c r="F14" s="75"/>
      <c r="G14" s="75"/>
      <c r="H14" s="212"/>
    </row>
    <row r="15" spans="1:8" ht="15.75" customHeight="1">
      <c r="A15" s="210" t="s">
        <v>16</v>
      </c>
      <c r="B15" s="211" t="s">
        <v>198</v>
      </c>
      <c r="C15" s="80"/>
      <c r="D15" s="80"/>
      <c r="E15" s="80"/>
      <c r="F15" s="80"/>
      <c r="G15" s="80"/>
      <c r="H15" s="213" t="s">
        <v>52</v>
      </c>
    </row>
    <row r="16" spans="1:8" s="414" customFormat="1" ht="15.75" customHeight="1">
      <c r="A16" s="410" t="s">
        <v>17</v>
      </c>
      <c r="B16" s="411"/>
      <c r="C16" s="412"/>
      <c r="D16" s="412"/>
      <c r="E16" s="412"/>
      <c r="F16" s="412"/>
      <c r="G16" s="412"/>
      <c r="H16" s="413"/>
    </row>
    <row r="17" spans="1:8" ht="15.75" customHeight="1">
      <c r="A17" s="210" t="s">
        <v>18</v>
      </c>
      <c r="B17" s="211"/>
      <c r="C17" s="80"/>
      <c r="D17" s="80"/>
      <c r="E17" s="80"/>
      <c r="F17" s="80"/>
      <c r="G17" s="80"/>
      <c r="H17" s="213"/>
    </row>
    <row r="18" spans="1:8" ht="15.75" customHeight="1">
      <c r="A18" s="210" t="s">
        <v>19</v>
      </c>
      <c r="B18" s="211"/>
      <c r="C18" s="80"/>
      <c r="D18" s="80"/>
      <c r="E18" s="80"/>
      <c r="F18" s="80"/>
      <c r="G18" s="80"/>
      <c r="H18" s="213"/>
    </row>
    <row r="19" spans="1:8" ht="15.75" customHeight="1">
      <c r="A19" s="210" t="s">
        <v>20</v>
      </c>
      <c r="B19" s="211"/>
      <c r="C19" s="80"/>
      <c r="D19" s="80"/>
      <c r="E19" s="80"/>
      <c r="F19" s="80"/>
      <c r="G19" s="80"/>
      <c r="H19" s="213"/>
    </row>
    <row r="20" spans="1:8" ht="15.75" customHeight="1">
      <c r="A20" s="214" t="s">
        <v>51</v>
      </c>
      <c r="B20" s="215"/>
      <c r="C20" s="216"/>
      <c r="D20" s="216"/>
      <c r="E20" s="216"/>
      <c r="F20" s="217"/>
      <c r="G20" s="217"/>
      <c r="H20" s="218"/>
    </row>
    <row r="21" spans="1:8" ht="27">
      <c r="A21" s="80"/>
      <c r="B21" s="82"/>
      <c r="C21" s="82"/>
      <c r="D21" s="82"/>
      <c r="E21" s="83"/>
      <c r="F21" s="83"/>
      <c r="G21" s="421" t="s">
        <v>167</v>
      </c>
      <c r="H21" s="421"/>
    </row>
    <row r="22" spans="1:8" ht="27">
      <c r="A22" s="80"/>
      <c r="B22" s="84"/>
      <c r="C22" s="84"/>
      <c r="D22" s="82"/>
      <c r="E22" s="83"/>
      <c r="F22" s="83"/>
      <c r="G22" s="81" t="s">
        <v>168</v>
      </c>
      <c r="H22" s="82"/>
    </row>
    <row r="23" spans="1:8" ht="27">
      <c r="A23" s="80"/>
      <c r="B23" s="82"/>
      <c r="C23" s="82"/>
      <c r="D23" s="82"/>
      <c r="E23" s="83"/>
      <c r="F23" s="83"/>
      <c r="G23" s="81" t="s">
        <v>169</v>
      </c>
      <c r="H23" s="82"/>
    </row>
    <row r="49" s="398" customFormat="1" ht="18" customHeight="1"/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M49"/>
  <sheetViews>
    <sheetView view="pageBreakPreview" topLeftCell="A5" zoomScaleSheetLayoutView="100" workbookViewId="0">
      <selection activeCell="H18" sqref="H18"/>
    </sheetView>
  </sheetViews>
  <sheetFormatPr defaultColWidth="9.140625" defaultRowHeight="19.5" customHeight="1" outlineLevelCol="1"/>
  <cols>
    <col min="1" max="1" width="19.28515625" style="161" bestFit="1" customWidth="1"/>
    <col min="2" max="2" width="32.7109375" style="162" customWidth="1"/>
    <col min="3" max="3" width="24.5703125" style="116" customWidth="1"/>
    <col min="4" max="5" width="8.7109375" style="163" customWidth="1"/>
    <col min="6" max="6" width="21.5703125" style="164" customWidth="1"/>
    <col min="7" max="7" width="14.7109375" style="165" customWidth="1" outlineLevel="1"/>
    <col min="8" max="8" width="17.7109375" style="165" customWidth="1" outlineLevel="1"/>
    <col min="9" max="9" width="14.7109375" style="165" customWidth="1" outlineLevel="1"/>
    <col min="10" max="10" width="17.7109375" style="165" customWidth="1" outlineLevel="1"/>
    <col min="11" max="11" width="14.7109375" style="165" customWidth="1"/>
    <col min="12" max="12" width="17.7109375" style="165" customWidth="1"/>
    <col min="13" max="13" width="23.28515625" style="166" customWidth="1"/>
    <col min="14" max="16384" width="9.140625" style="107"/>
  </cols>
  <sheetData>
    <row r="1" spans="1:13" s="85" customFormat="1" ht="35.1" customHeight="1">
      <c r="A1" s="424" t="s">
        <v>430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</row>
    <row r="2" spans="1:13" s="85" customFormat="1" ht="24" customHeight="1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s="85" customFormat="1" ht="24" customHeight="1">
      <c r="A3" s="186" t="s">
        <v>423</v>
      </c>
      <c r="B3" s="87"/>
      <c r="C3" s="87"/>
      <c r="D3" s="87"/>
      <c r="E3" s="87"/>
      <c r="F3" s="189"/>
      <c r="G3" s="87"/>
      <c r="H3" s="87"/>
      <c r="I3" s="87"/>
      <c r="J3" s="87"/>
      <c r="K3" s="87"/>
      <c r="L3" s="87"/>
      <c r="M3" s="87"/>
    </row>
    <row r="4" spans="1:13" s="88" customFormat="1" ht="18" customHeight="1">
      <c r="A4" s="422" t="s">
        <v>10</v>
      </c>
      <c r="B4" s="425" t="s">
        <v>4</v>
      </c>
      <c r="C4" s="422" t="s">
        <v>5</v>
      </c>
      <c r="D4" s="422" t="s">
        <v>38</v>
      </c>
      <c r="E4" s="422" t="s">
        <v>6</v>
      </c>
      <c r="F4" s="427" t="s">
        <v>7</v>
      </c>
      <c r="G4" s="429" t="s">
        <v>62</v>
      </c>
      <c r="H4" s="429"/>
      <c r="I4" s="429" t="s">
        <v>63</v>
      </c>
      <c r="J4" s="429"/>
      <c r="K4" s="429" t="s">
        <v>64</v>
      </c>
      <c r="L4" s="429"/>
      <c r="M4" s="422" t="s">
        <v>8</v>
      </c>
    </row>
    <row r="5" spans="1:13" s="88" customFormat="1" ht="18" customHeight="1">
      <c r="A5" s="423"/>
      <c r="B5" s="426"/>
      <c r="C5" s="423"/>
      <c r="D5" s="423"/>
      <c r="E5" s="423"/>
      <c r="F5" s="428"/>
      <c r="G5" s="89" t="s">
        <v>0</v>
      </c>
      <c r="H5" s="89" t="s">
        <v>1</v>
      </c>
      <c r="I5" s="89" t="s">
        <v>0</v>
      </c>
      <c r="J5" s="89" t="s">
        <v>1</v>
      </c>
      <c r="K5" s="89" t="s">
        <v>0</v>
      </c>
      <c r="L5" s="89" t="s">
        <v>1</v>
      </c>
      <c r="M5" s="423"/>
    </row>
    <row r="6" spans="1:13" s="98" customFormat="1" ht="18" customHeight="1">
      <c r="A6" s="90" t="s">
        <v>14</v>
      </c>
      <c r="B6" s="91"/>
      <c r="C6" s="92"/>
      <c r="D6" s="93"/>
      <c r="E6" s="94"/>
      <c r="F6" s="95"/>
      <c r="G6" s="96"/>
      <c r="H6" s="96"/>
      <c r="I6" s="96"/>
      <c r="J6" s="96"/>
      <c r="K6" s="96"/>
      <c r="L6" s="96"/>
      <c r="M6" s="97"/>
    </row>
    <row r="7" spans="1:13" ht="18" customHeight="1">
      <c r="A7" s="99" t="s">
        <v>46</v>
      </c>
      <c r="B7" s="100" t="s">
        <v>170</v>
      </c>
      <c r="C7" s="101"/>
      <c r="D7" s="102"/>
      <c r="E7" s="103" t="s">
        <v>37</v>
      </c>
      <c r="F7" s="104">
        <v>1</v>
      </c>
      <c r="G7" s="105"/>
      <c r="H7" s="105">
        <f>'117동 204호'!H40</f>
        <v>49232500</v>
      </c>
      <c r="I7" s="105"/>
      <c r="J7" s="105">
        <f>'117동 204호'!J40</f>
        <v>42152800</v>
      </c>
      <c r="K7" s="105"/>
      <c r="L7" s="105">
        <f>'117동 204호'!L40</f>
        <v>91425300</v>
      </c>
      <c r="M7" s="106"/>
    </row>
    <row r="8" spans="1:13" ht="18" customHeight="1">
      <c r="A8" s="99" t="s">
        <v>26</v>
      </c>
      <c r="B8" s="100" t="s">
        <v>196</v>
      </c>
      <c r="C8" s="101"/>
      <c r="D8" s="102"/>
      <c r="E8" s="103" t="s">
        <v>37</v>
      </c>
      <c r="F8" s="104">
        <v>1</v>
      </c>
      <c r="G8" s="105"/>
      <c r="H8" s="105">
        <f>'117동 204호'!H26</f>
        <v>3000000</v>
      </c>
      <c r="I8" s="105"/>
      <c r="J8" s="105">
        <f>'117동 204호'!J26</f>
        <v>680000</v>
      </c>
      <c r="K8" s="105"/>
      <c r="L8" s="105">
        <f>'117동 204호'!L26</f>
        <v>3680000</v>
      </c>
      <c r="M8" s="106"/>
    </row>
    <row r="9" spans="1:13" ht="18" customHeight="1">
      <c r="A9" s="99"/>
      <c r="B9" s="100"/>
      <c r="C9" s="101"/>
      <c r="D9" s="102"/>
      <c r="E9" s="103"/>
      <c r="F9" s="104"/>
      <c r="G9" s="105"/>
      <c r="H9" s="105"/>
      <c r="I9" s="105"/>
      <c r="J9" s="105"/>
      <c r="K9" s="105"/>
      <c r="L9" s="105"/>
      <c r="M9" s="106"/>
    </row>
    <row r="10" spans="1:13" s="115" customFormat="1" ht="18" customHeight="1">
      <c r="A10" s="108"/>
      <c r="B10" s="108" t="s">
        <v>108</v>
      </c>
      <c r="C10" s="109"/>
      <c r="D10" s="110"/>
      <c r="E10" s="111"/>
      <c r="F10" s="112"/>
      <c r="G10" s="113"/>
      <c r="H10" s="113">
        <f>'117동 204호'!H10</f>
        <v>52232500</v>
      </c>
      <c r="I10" s="113"/>
      <c r="J10" s="113">
        <f>'117동 204호'!J10</f>
        <v>42832800</v>
      </c>
      <c r="K10" s="113"/>
      <c r="L10" s="113">
        <f>'117동 204호'!L10</f>
        <v>95105300</v>
      </c>
      <c r="M10" s="114"/>
    </row>
    <row r="11" spans="1:13" ht="18" customHeight="1">
      <c r="A11" s="192"/>
      <c r="B11" s="193"/>
      <c r="C11" s="194"/>
      <c r="D11" s="195"/>
      <c r="E11" s="196"/>
      <c r="F11" s="197"/>
      <c r="G11" s="198"/>
      <c r="H11" s="198"/>
      <c r="I11" s="105"/>
      <c r="J11" s="105"/>
      <c r="K11" s="105"/>
      <c r="L11" s="105"/>
      <c r="M11" s="106"/>
    </row>
    <row r="12" spans="1:13" ht="18" customHeight="1">
      <c r="A12" s="122" t="s">
        <v>23</v>
      </c>
      <c r="B12" s="101" t="s">
        <v>174</v>
      </c>
      <c r="C12" s="101"/>
      <c r="D12" s="167"/>
      <c r="E12" s="167">
        <v>0.05</v>
      </c>
      <c r="F12" s="117">
        <v>1</v>
      </c>
      <c r="G12" s="118"/>
      <c r="H12" s="119"/>
      <c r="I12" s="190"/>
      <c r="J12" s="119"/>
      <c r="K12" s="119"/>
      <c r="L12" s="119">
        <f>L10*E12</f>
        <v>4755265</v>
      </c>
      <c r="M12" s="106"/>
    </row>
    <row r="13" spans="1:13" ht="18" customHeight="1">
      <c r="A13" s="122" t="s">
        <v>23</v>
      </c>
      <c r="B13" s="101" t="s">
        <v>166</v>
      </c>
      <c r="C13" s="101"/>
      <c r="D13" s="167"/>
      <c r="E13" s="167">
        <v>0.03</v>
      </c>
      <c r="F13" s="117">
        <v>1</v>
      </c>
      <c r="G13" s="118"/>
      <c r="H13" s="119"/>
      <c r="I13" s="190"/>
      <c r="J13" s="119"/>
      <c r="K13" s="119"/>
      <c r="L13" s="119">
        <f>L10*E13</f>
        <v>2853159</v>
      </c>
      <c r="M13" s="106"/>
    </row>
    <row r="14" spans="1:13" ht="18" customHeight="1">
      <c r="A14" s="122" t="s">
        <v>23</v>
      </c>
      <c r="B14" s="101" t="s">
        <v>199</v>
      </c>
      <c r="C14" s="101"/>
      <c r="D14" s="167"/>
      <c r="E14" s="167">
        <v>0.04</v>
      </c>
      <c r="F14" s="117">
        <v>1</v>
      </c>
      <c r="G14" s="118"/>
      <c r="H14" s="119"/>
      <c r="I14" s="190"/>
      <c r="J14" s="119"/>
      <c r="K14" s="119"/>
      <c r="L14" s="119">
        <f>L10*E14</f>
        <v>3804212</v>
      </c>
      <c r="M14" s="106"/>
    </row>
    <row r="15" spans="1:13" s="355" customFormat="1" ht="18" customHeight="1">
      <c r="A15" s="347" t="s">
        <v>23</v>
      </c>
      <c r="B15" s="348" t="s">
        <v>200</v>
      </c>
      <c r="C15" s="348"/>
      <c r="D15" s="349"/>
      <c r="E15" s="350">
        <v>0.1</v>
      </c>
      <c r="F15" s="351">
        <v>1</v>
      </c>
      <c r="G15" s="352"/>
      <c r="H15" s="353"/>
      <c r="I15" s="354"/>
      <c r="J15" s="353"/>
      <c r="K15" s="353"/>
      <c r="L15" s="353">
        <f>L10*E15</f>
        <v>9510530</v>
      </c>
      <c r="M15" s="160"/>
    </row>
    <row r="16" spans="1:13" s="355" customFormat="1" ht="18" customHeight="1">
      <c r="A16" s="347" t="s">
        <v>23</v>
      </c>
      <c r="B16" s="348" t="s">
        <v>345</v>
      </c>
      <c r="C16" s="348"/>
      <c r="D16" s="349"/>
      <c r="E16" s="350">
        <v>0.03</v>
      </c>
      <c r="F16" s="351">
        <v>1</v>
      </c>
      <c r="G16" s="352"/>
      <c r="H16" s="353"/>
      <c r="I16" s="354"/>
      <c r="J16" s="353"/>
      <c r="K16" s="353"/>
      <c r="L16" s="353">
        <f>L10*E16</f>
        <v>2853159</v>
      </c>
      <c r="M16" s="160"/>
    </row>
    <row r="17" spans="1:13" ht="18" customHeight="1">
      <c r="A17" s="122"/>
      <c r="B17" s="101"/>
      <c r="C17" s="101"/>
      <c r="D17" s="100"/>
      <c r="E17" s="103"/>
      <c r="F17" s="117"/>
      <c r="G17" s="118"/>
      <c r="H17" s="119"/>
      <c r="I17" s="190"/>
      <c r="J17" s="119"/>
      <c r="K17" s="119"/>
      <c r="L17" s="120"/>
      <c r="M17" s="106"/>
    </row>
    <row r="18" spans="1:13" ht="18" customHeight="1">
      <c r="A18" s="122"/>
      <c r="B18" s="101"/>
      <c r="C18" s="121"/>
      <c r="D18" s="122"/>
      <c r="E18" s="123"/>
      <c r="F18" s="117"/>
      <c r="G18" s="118"/>
      <c r="H18" s="119"/>
      <c r="I18" s="190"/>
      <c r="J18" s="119"/>
      <c r="K18" s="119"/>
      <c r="L18" s="119"/>
      <c r="M18" s="106"/>
    </row>
    <row r="19" spans="1:13" s="131" customFormat="1" ht="18" customHeight="1">
      <c r="A19" s="125"/>
      <c r="B19" s="108" t="s">
        <v>171</v>
      </c>
      <c r="C19" s="124"/>
      <c r="D19" s="125"/>
      <c r="E19" s="126"/>
      <c r="F19" s="127"/>
      <c r="G19" s="128"/>
      <c r="H19" s="129"/>
      <c r="I19" s="191"/>
      <c r="J19" s="129"/>
      <c r="K19" s="129"/>
      <c r="L19" s="129">
        <f>SUM(L12:L18)</f>
        <v>23776325</v>
      </c>
      <c r="M19" s="130"/>
    </row>
    <row r="20" spans="1:13" s="131" customFormat="1" ht="18" customHeight="1">
      <c r="A20" s="125"/>
      <c r="B20" s="108"/>
      <c r="C20" s="124"/>
      <c r="D20" s="125"/>
      <c r="E20" s="126"/>
      <c r="F20" s="127" t="s">
        <v>310</v>
      </c>
      <c r="G20" s="128"/>
      <c r="H20" s="129"/>
      <c r="I20" s="191"/>
      <c r="J20" s="129"/>
      <c r="K20" s="129"/>
      <c r="L20" s="129"/>
      <c r="M20" s="130"/>
    </row>
    <row r="21" spans="1:13" ht="18" customHeight="1">
      <c r="A21" s="199"/>
      <c r="B21" s="200"/>
      <c r="C21" s="201"/>
      <c r="D21" s="102"/>
      <c r="E21" s="103"/>
      <c r="F21" s="104"/>
      <c r="G21" s="105"/>
      <c r="H21" s="105"/>
      <c r="I21" s="105"/>
      <c r="J21" s="105"/>
      <c r="K21" s="105" t="s">
        <v>185</v>
      </c>
      <c r="L21" s="105">
        <v>401625</v>
      </c>
      <c r="M21" s="106"/>
    </row>
    <row r="22" spans="1:13" s="139" customFormat="1" ht="18" customHeight="1">
      <c r="A22" s="132"/>
      <c r="B22" s="132" t="s">
        <v>172</v>
      </c>
      <c r="C22" s="133"/>
      <c r="D22" s="134"/>
      <c r="E22" s="135"/>
      <c r="F22" s="136"/>
      <c r="G22" s="137"/>
      <c r="H22" s="137"/>
      <c r="I22" s="137"/>
      <c r="J22" s="137"/>
      <c r="K22" s="137"/>
      <c r="L22" s="137">
        <f>L10+L19+L20-L21</f>
        <v>118480000</v>
      </c>
      <c r="M22" s="138" t="s">
        <v>245</v>
      </c>
    </row>
    <row r="23" spans="1:13" ht="18" customHeight="1">
      <c r="A23" s="140"/>
      <c r="B23" s="141"/>
      <c r="C23" s="142"/>
      <c r="D23" s="143"/>
      <c r="E23" s="143"/>
      <c r="F23" s="144"/>
      <c r="G23" s="145"/>
      <c r="H23" s="145"/>
      <c r="I23" s="145"/>
      <c r="J23" s="145"/>
      <c r="K23" s="145"/>
      <c r="L23" s="145"/>
      <c r="M23" s="146"/>
    </row>
    <row r="24" spans="1:13" ht="18" customHeight="1">
      <c r="A24" s="147"/>
      <c r="B24" s="148"/>
      <c r="C24" s="149"/>
      <c r="D24" s="150"/>
      <c r="E24" s="150"/>
      <c r="F24" s="151"/>
      <c r="G24" s="152"/>
      <c r="H24" s="152"/>
      <c r="I24" s="152"/>
      <c r="J24" s="152"/>
      <c r="K24" s="152"/>
      <c r="L24" s="152"/>
      <c r="M24" s="153"/>
    </row>
    <row r="25" spans="1:13" ht="18" customHeight="1">
      <c r="A25" s="147"/>
      <c r="B25" s="148"/>
      <c r="C25" s="149"/>
      <c r="D25" s="150"/>
      <c r="E25" s="150"/>
      <c r="F25" s="151"/>
      <c r="G25" s="152"/>
      <c r="H25" s="152"/>
      <c r="I25" s="152"/>
      <c r="J25" s="152"/>
      <c r="K25" s="152"/>
      <c r="L25" s="152"/>
      <c r="M25" s="153"/>
    </row>
    <row r="26" spans="1:13" ht="18" customHeight="1">
      <c r="A26" s="147"/>
      <c r="B26" s="148"/>
      <c r="C26" s="149"/>
      <c r="D26" s="150"/>
      <c r="E26" s="150"/>
      <c r="F26" s="151"/>
      <c r="G26" s="152"/>
      <c r="H26" s="152"/>
      <c r="I26" s="152"/>
      <c r="J26" s="152"/>
      <c r="K26" s="152"/>
      <c r="L26" s="152"/>
      <c r="M26" s="153"/>
    </row>
    <row r="27" spans="1:13" ht="18" customHeight="1">
      <c r="A27" s="147"/>
      <c r="B27" s="334" t="s">
        <v>310</v>
      </c>
      <c r="C27" s="149"/>
      <c r="D27" s="150"/>
      <c r="E27" s="150"/>
      <c r="F27" s="151"/>
      <c r="G27" s="152"/>
      <c r="H27" s="152"/>
      <c r="I27" s="152"/>
      <c r="J27" s="152"/>
      <c r="K27" s="152"/>
      <c r="L27" s="152"/>
      <c r="M27" s="153"/>
    </row>
    <row r="28" spans="1:13" ht="18" customHeight="1">
      <c r="A28" s="147" t="s">
        <v>41</v>
      </c>
      <c r="B28" s="148" t="s">
        <v>50</v>
      </c>
      <c r="C28" s="149"/>
      <c r="D28" s="150"/>
      <c r="E28" s="150"/>
      <c r="F28" s="151"/>
      <c r="G28" s="152"/>
      <c r="H28" s="152"/>
      <c r="I28" s="152"/>
      <c r="J28" s="152"/>
      <c r="K28" s="152"/>
      <c r="L28" s="152"/>
      <c r="M28" s="153"/>
    </row>
    <row r="29" spans="1:13" ht="18" customHeight="1">
      <c r="A29" s="147" t="s">
        <v>45</v>
      </c>
      <c r="B29" s="148" t="s">
        <v>246</v>
      </c>
      <c r="C29" s="149"/>
      <c r="D29" s="150"/>
      <c r="E29" s="150"/>
      <c r="F29" s="151"/>
      <c r="G29" s="152"/>
      <c r="H29" s="152"/>
      <c r="I29" s="152"/>
      <c r="J29" s="152"/>
      <c r="K29" s="152"/>
      <c r="L29" s="152"/>
      <c r="M29" s="153"/>
    </row>
    <row r="30" spans="1:13" ht="18" customHeight="1">
      <c r="A30" s="171" t="s">
        <v>45</v>
      </c>
      <c r="B30" s="148" t="s">
        <v>197</v>
      </c>
      <c r="C30" s="149"/>
      <c r="D30" s="150"/>
      <c r="E30" s="150"/>
      <c r="F30" s="151"/>
      <c r="G30" s="152"/>
      <c r="H30" s="152"/>
      <c r="I30" s="152"/>
      <c r="J30" s="152"/>
      <c r="K30" s="152"/>
      <c r="L30" s="152"/>
      <c r="M30" s="153"/>
    </row>
    <row r="31" spans="1:13" ht="18" customHeight="1">
      <c r="A31" s="147"/>
      <c r="B31" s="148"/>
      <c r="C31" s="149"/>
      <c r="D31" s="150"/>
      <c r="E31" s="150"/>
      <c r="F31" s="151"/>
      <c r="G31" s="152"/>
      <c r="H31" s="152"/>
      <c r="I31" s="152"/>
      <c r="J31" s="152"/>
      <c r="K31" s="152"/>
      <c r="L31" s="152"/>
      <c r="M31" s="153"/>
    </row>
    <row r="32" spans="1:13" ht="18" customHeight="1">
      <c r="A32" s="154"/>
      <c r="B32" s="155"/>
      <c r="C32" s="156"/>
      <c r="D32" s="157"/>
      <c r="E32" s="157"/>
      <c r="F32" s="158"/>
      <c r="G32" s="159"/>
      <c r="H32" s="159"/>
      <c r="I32" s="159"/>
      <c r="J32" s="159"/>
      <c r="K32" s="159"/>
      <c r="L32" s="159"/>
      <c r="M32" s="160"/>
    </row>
    <row r="49" spans="1:13" s="397" customFormat="1" ht="19.5" customHeight="1">
      <c r="A49" s="390"/>
      <c r="B49" s="391"/>
      <c r="C49" s="392"/>
      <c r="D49" s="393"/>
      <c r="E49" s="393"/>
      <c r="F49" s="394"/>
      <c r="G49" s="395"/>
      <c r="H49" s="395"/>
      <c r="I49" s="395"/>
      <c r="J49" s="395"/>
      <c r="K49" s="395"/>
      <c r="L49" s="395"/>
      <c r="M49" s="396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S295"/>
  <sheetViews>
    <sheetView tabSelected="1" view="pageBreakPreview" zoomScaleSheetLayoutView="100" workbookViewId="0">
      <pane ySplit="3" topLeftCell="A131" activePane="bottomLeft" state="frozen"/>
      <selection activeCell="E17" sqref="E17"/>
      <selection pane="bottomLeft" activeCell="J144" sqref="J144"/>
    </sheetView>
  </sheetViews>
  <sheetFormatPr defaultColWidth="9.140625" defaultRowHeight="19.5" customHeight="1"/>
  <cols>
    <col min="1" max="1" width="8.85546875" style="64" bestFit="1" customWidth="1"/>
    <col min="2" max="2" width="32.7109375" style="65" customWidth="1"/>
    <col min="3" max="3" width="27.7109375" style="66" customWidth="1"/>
    <col min="4" max="4" width="17.7109375" style="67" customWidth="1"/>
    <col min="5" max="5" width="8.7109375" style="67" customWidth="1"/>
    <col min="6" max="6" width="13" style="68" customWidth="1"/>
    <col min="7" max="7" width="14.7109375" style="69" customWidth="1"/>
    <col min="8" max="8" width="18" style="69" customWidth="1"/>
    <col min="9" max="9" width="14.7109375" style="69" customWidth="1"/>
    <col min="10" max="10" width="18" style="69" customWidth="1"/>
    <col min="11" max="11" width="14.7109375" style="69" customWidth="1"/>
    <col min="12" max="12" width="18" style="69" customWidth="1"/>
    <col min="13" max="13" width="20.5703125" style="271" customWidth="1"/>
    <col min="14" max="14" width="9.140625" style="9"/>
    <col min="15" max="15" width="13.140625" style="173" customWidth="1"/>
    <col min="16" max="16" width="13.140625" style="178" customWidth="1"/>
    <col min="17" max="16384" width="9.140625" style="9"/>
  </cols>
  <sheetData>
    <row r="1" spans="1:16" s="1" customFormat="1" ht="35.1" customHeight="1">
      <c r="A1" s="432" t="s">
        <v>422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O1" s="172"/>
      <c r="P1" s="177"/>
    </row>
    <row r="2" spans="1:16" s="279" customFormat="1" ht="18" customHeight="1">
      <c r="A2" s="433" t="s">
        <v>10</v>
      </c>
      <c r="B2" s="434" t="s">
        <v>4</v>
      </c>
      <c r="C2" s="435" t="s">
        <v>134</v>
      </c>
      <c r="D2" s="435" t="s">
        <v>173</v>
      </c>
      <c r="E2" s="435" t="s">
        <v>6</v>
      </c>
      <c r="F2" s="436" t="s">
        <v>7</v>
      </c>
      <c r="G2" s="437" t="s">
        <v>2</v>
      </c>
      <c r="H2" s="437"/>
      <c r="I2" s="437" t="s">
        <v>9</v>
      </c>
      <c r="J2" s="437"/>
      <c r="K2" s="437" t="s">
        <v>3</v>
      </c>
      <c r="L2" s="437"/>
      <c r="M2" s="430" t="s">
        <v>8</v>
      </c>
      <c r="O2" s="280"/>
      <c r="P2" s="281"/>
    </row>
    <row r="3" spans="1:16" s="279" customFormat="1" ht="18" customHeight="1">
      <c r="A3" s="433"/>
      <c r="B3" s="434"/>
      <c r="C3" s="435"/>
      <c r="D3" s="435"/>
      <c r="E3" s="435"/>
      <c r="F3" s="436"/>
      <c r="G3" s="286" t="s">
        <v>0</v>
      </c>
      <c r="H3" s="286" t="s">
        <v>1</v>
      </c>
      <c r="I3" s="286" t="s">
        <v>0</v>
      </c>
      <c r="J3" s="286" t="s">
        <v>1</v>
      </c>
      <c r="K3" s="286" t="s">
        <v>0</v>
      </c>
      <c r="L3" s="286" t="s">
        <v>1</v>
      </c>
      <c r="M3" s="431"/>
      <c r="O3" s="282" t="s">
        <v>203</v>
      </c>
      <c r="P3" s="281"/>
    </row>
    <row r="4" spans="1:16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88"/>
    </row>
    <row r="5" spans="1:16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88"/>
    </row>
    <row r="6" spans="1:16" s="20" customFormat="1" ht="18" customHeight="1">
      <c r="A6" s="13" t="s">
        <v>14</v>
      </c>
      <c r="B6" s="14"/>
      <c r="C6" s="15"/>
      <c r="D6" s="16"/>
      <c r="E6" s="16"/>
      <c r="F6" s="17"/>
      <c r="G6" s="18"/>
      <c r="H6" s="18"/>
      <c r="I6" s="18"/>
      <c r="J6" s="18"/>
      <c r="K6" s="18"/>
      <c r="L6" s="19"/>
      <c r="M6" s="272"/>
      <c r="O6" s="174"/>
      <c r="P6" s="179"/>
    </row>
    <row r="7" spans="1:16" ht="18" customHeight="1">
      <c r="A7" s="10" t="s">
        <v>22</v>
      </c>
      <c r="B7" s="11" t="str">
        <f>B12</f>
        <v>가설공사</v>
      </c>
      <c r="C7" s="12"/>
      <c r="D7" s="5"/>
      <c r="E7" s="5" t="s">
        <v>37</v>
      </c>
      <c r="F7" s="6">
        <v>1</v>
      </c>
      <c r="G7" s="7"/>
      <c r="H7" s="7">
        <f>H26</f>
        <v>3000000</v>
      </c>
      <c r="I7" s="7"/>
      <c r="J7" s="7">
        <f>J26</f>
        <v>680000</v>
      </c>
      <c r="K7" s="7"/>
      <c r="L7" s="8">
        <f>L26</f>
        <v>3680000</v>
      </c>
      <c r="M7" s="188"/>
    </row>
    <row r="8" spans="1:16" ht="18" customHeight="1">
      <c r="A8" s="10" t="s">
        <v>26</v>
      </c>
      <c r="B8" s="11" t="str">
        <f>B28</f>
        <v>인테리어 공사</v>
      </c>
      <c r="C8" s="12"/>
      <c r="D8" s="5"/>
      <c r="E8" s="5" t="s">
        <v>37</v>
      </c>
      <c r="F8" s="6">
        <v>1</v>
      </c>
      <c r="G8" s="7"/>
      <c r="H8" s="7">
        <f>H40</f>
        <v>49232500</v>
      </c>
      <c r="I8" s="7"/>
      <c r="J8" s="7">
        <f>J40</f>
        <v>42152800</v>
      </c>
      <c r="K8" s="7"/>
      <c r="L8" s="8">
        <f>L40</f>
        <v>91425300</v>
      </c>
      <c r="M8" s="188"/>
    </row>
    <row r="9" spans="1:16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88"/>
    </row>
    <row r="10" spans="1:16" s="21" customFormat="1" ht="18" customHeight="1">
      <c r="A10" s="226"/>
      <c r="B10" s="226" t="s">
        <v>108</v>
      </c>
      <c r="C10" s="227"/>
      <c r="D10" s="228"/>
      <c r="E10" s="228"/>
      <c r="F10" s="229"/>
      <c r="G10" s="230"/>
      <c r="H10" s="230">
        <f>SUM(H7:H9)</f>
        <v>52232500</v>
      </c>
      <c r="I10" s="230"/>
      <c r="J10" s="230">
        <f>SUM(J7:J9)</f>
        <v>42832800</v>
      </c>
      <c r="K10" s="230"/>
      <c r="L10" s="231">
        <f>SUM(L7:L9)</f>
        <v>95105300</v>
      </c>
      <c r="M10" s="273"/>
      <c r="O10" s="232"/>
      <c r="P10" s="233"/>
    </row>
    <row r="11" spans="1:16" s="240" customFormat="1" ht="18" customHeight="1">
      <c r="A11" s="10"/>
      <c r="B11" s="11"/>
      <c r="C11" s="12"/>
      <c r="D11" s="220"/>
      <c r="E11" s="220"/>
      <c r="F11" s="221"/>
      <c r="G11" s="239"/>
      <c r="H11" s="239"/>
      <c r="I11" s="239"/>
      <c r="J11" s="239"/>
      <c r="K11" s="239"/>
      <c r="L11" s="239"/>
      <c r="M11" s="274"/>
      <c r="P11" s="241"/>
    </row>
    <row r="12" spans="1:16" s="245" customFormat="1" ht="18" customHeight="1">
      <c r="A12" s="22" t="s">
        <v>22</v>
      </c>
      <c r="B12" s="23" t="s">
        <v>79</v>
      </c>
      <c r="C12" s="24" t="s">
        <v>349</v>
      </c>
      <c r="D12" s="242"/>
      <c r="E12" s="242"/>
      <c r="F12" s="243"/>
      <c r="G12" s="244"/>
      <c r="H12" s="244"/>
      <c r="I12" s="244"/>
      <c r="J12" s="244"/>
      <c r="K12" s="244"/>
      <c r="L12" s="244"/>
      <c r="M12" s="275"/>
      <c r="P12" s="246"/>
    </row>
    <row r="13" spans="1:16" s="382" customFormat="1" ht="18" customHeight="1">
      <c r="A13" s="52" t="s">
        <v>65</v>
      </c>
      <c r="B13" s="53" t="s">
        <v>75</v>
      </c>
      <c r="C13" s="54"/>
      <c r="D13" s="400"/>
      <c r="E13" s="400" t="s">
        <v>11</v>
      </c>
      <c r="F13" s="401">
        <v>0</v>
      </c>
      <c r="G13" s="185">
        <v>2000</v>
      </c>
      <c r="H13" s="185">
        <f t="shared" ref="H13:H19" si="0">F13*G13</f>
        <v>0</v>
      </c>
      <c r="I13" s="185">
        <v>8000</v>
      </c>
      <c r="J13" s="185">
        <f t="shared" ref="J13:J19" si="1">F13*I13</f>
        <v>0</v>
      </c>
      <c r="K13" s="185">
        <f t="shared" ref="K13:K19" si="2">G13+I13</f>
        <v>10000</v>
      </c>
      <c r="L13" s="185">
        <f t="shared" ref="L13:L19" si="3">F13*K13</f>
        <v>0</v>
      </c>
      <c r="M13" s="187"/>
      <c r="P13" s="383"/>
    </row>
    <row r="14" spans="1:16" s="240" customFormat="1" ht="18" customHeight="1">
      <c r="A14" s="52" t="s">
        <v>65</v>
      </c>
      <c r="B14" s="53" t="s">
        <v>25</v>
      </c>
      <c r="C14" s="54"/>
      <c r="D14" s="400" t="s">
        <v>310</v>
      </c>
      <c r="E14" s="400" t="s">
        <v>175</v>
      </c>
      <c r="F14" s="401">
        <v>4</v>
      </c>
      <c r="G14" s="185">
        <v>0</v>
      </c>
      <c r="H14" s="185">
        <f t="shared" si="0"/>
        <v>0</v>
      </c>
      <c r="I14" s="185">
        <v>170000</v>
      </c>
      <c r="J14" s="185">
        <f t="shared" si="1"/>
        <v>680000</v>
      </c>
      <c r="K14" s="185">
        <f t="shared" si="2"/>
        <v>170000</v>
      </c>
      <c r="L14" s="185">
        <f t="shared" si="3"/>
        <v>680000</v>
      </c>
      <c r="M14" s="187"/>
      <c r="P14" s="241"/>
    </row>
    <row r="15" spans="1:16" s="240" customFormat="1" ht="18" hidden="1" customHeight="1">
      <c r="A15" s="10" t="s">
        <v>76</v>
      </c>
      <c r="B15" s="11" t="s">
        <v>24</v>
      </c>
      <c r="C15" s="12" t="s">
        <v>77</v>
      </c>
      <c r="D15" s="220"/>
      <c r="E15" s="220" t="s">
        <v>78</v>
      </c>
      <c r="F15" s="221">
        <v>0</v>
      </c>
      <c r="G15" s="222">
        <v>400000</v>
      </c>
      <c r="H15" s="222">
        <f>F15*G15</f>
        <v>0</v>
      </c>
      <c r="I15" s="222">
        <v>0</v>
      </c>
      <c r="J15" s="222">
        <f>F15*I15</f>
        <v>0</v>
      </c>
      <c r="K15" s="222">
        <f>G15+I15</f>
        <v>400000</v>
      </c>
      <c r="L15" s="222">
        <f>F15*K15</f>
        <v>0</v>
      </c>
      <c r="M15" s="188"/>
      <c r="P15" s="241"/>
    </row>
    <row r="16" spans="1:16" s="382" customFormat="1" ht="18" customHeight="1">
      <c r="A16" s="378" t="s">
        <v>83</v>
      </c>
      <c r="B16" s="319" t="s">
        <v>93</v>
      </c>
      <c r="C16" s="329"/>
      <c r="D16" s="379" t="s">
        <v>431</v>
      </c>
      <c r="E16" s="379" t="s">
        <v>81</v>
      </c>
      <c r="F16" s="380">
        <v>1</v>
      </c>
      <c r="G16" s="381">
        <v>650000</v>
      </c>
      <c r="H16" s="381">
        <f>F16*G16</f>
        <v>650000</v>
      </c>
      <c r="I16" s="381">
        <v>0</v>
      </c>
      <c r="J16" s="381">
        <f>F16*I16</f>
        <v>0</v>
      </c>
      <c r="K16" s="381">
        <f>G16+I16</f>
        <v>650000</v>
      </c>
      <c r="L16" s="381">
        <f>F16*K16</f>
        <v>650000</v>
      </c>
      <c r="M16" s="325"/>
      <c r="P16" s="383"/>
    </row>
    <row r="17" spans="1:16" s="382" customFormat="1" ht="18" customHeight="1">
      <c r="A17" s="378" t="s">
        <v>67</v>
      </c>
      <c r="B17" s="319" t="s">
        <v>80</v>
      </c>
      <c r="C17" s="329"/>
      <c r="D17" s="379" t="s">
        <v>452</v>
      </c>
      <c r="E17" s="379" t="s">
        <v>82</v>
      </c>
      <c r="F17" s="380">
        <v>1</v>
      </c>
      <c r="G17" s="381">
        <v>350000</v>
      </c>
      <c r="H17" s="381">
        <f t="shared" si="0"/>
        <v>350000</v>
      </c>
      <c r="I17" s="381">
        <v>0</v>
      </c>
      <c r="J17" s="381">
        <f t="shared" si="1"/>
        <v>0</v>
      </c>
      <c r="K17" s="381">
        <f t="shared" si="2"/>
        <v>350000</v>
      </c>
      <c r="L17" s="381">
        <f t="shared" si="3"/>
        <v>350000</v>
      </c>
      <c r="M17" s="325"/>
      <c r="P17" s="383"/>
    </row>
    <row r="18" spans="1:16" s="247" customFormat="1" ht="18" customHeight="1">
      <c r="A18" s="168" t="s">
        <v>66</v>
      </c>
      <c r="B18" s="169" t="s">
        <v>84</v>
      </c>
      <c r="C18" s="170" t="s">
        <v>195</v>
      </c>
      <c r="D18" s="223"/>
      <c r="E18" s="223" t="s">
        <v>81</v>
      </c>
      <c r="F18" s="224">
        <v>0</v>
      </c>
      <c r="G18" s="225">
        <v>0</v>
      </c>
      <c r="H18" s="225">
        <f t="shared" si="0"/>
        <v>0</v>
      </c>
      <c r="I18" s="225">
        <v>0</v>
      </c>
      <c r="J18" s="225">
        <f t="shared" si="1"/>
        <v>0</v>
      </c>
      <c r="K18" s="225">
        <f t="shared" si="2"/>
        <v>0</v>
      </c>
      <c r="L18" s="225">
        <f t="shared" si="3"/>
        <v>0</v>
      </c>
      <c r="M18" s="187"/>
      <c r="P18" s="248"/>
    </row>
    <row r="19" spans="1:16" s="247" customFormat="1" ht="18" customHeight="1">
      <c r="A19" s="168" t="s">
        <v>89</v>
      </c>
      <c r="B19" s="169" t="s">
        <v>86</v>
      </c>
      <c r="C19" s="170" t="s">
        <v>176</v>
      </c>
      <c r="D19" s="223"/>
      <c r="E19" s="223" t="s">
        <v>11</v>
      </c>
      <c r="F19" s="224">
        <v>0</v>
      </c>
      <c r="G19" s="225">
        <v>0</v>
      </c>
      <c r="H19" s="225">
        <f t="shared" si="0"/>
        <v>0</v>
      </c>
      <c r="I19" s="225">
        <v>0</v>
      </c>
      <c r="J19" s="225">
        <f t="shared" si="1"/>
        <v>0</v>
      </c>
      <c r="K19" s="225">
        <f t="shared" si="2"/>
        <v>0</v>
      </c>
      <c r="L19" s="225">
        <f t="shared" si="3"/>
        <v>0</v>
      </c>
      <c r="M19" s="188"/>
      <c r="P19" s="248"/>
    </row>
    <row r="20" spans="1:16" s="247" customFormat="1" ht="18" customHeight="1">
      <c r="A20" s="168" t="s">
        <v>85</v>
      </c>
      <c r="B20" s="169" t="s">
        <v>85</v>
      </c>
      <c r="C20" s="170" t="s">
        <v>176</v>
      </c>
      <c r="D20" s="223"/>
      <c r="E20" s="223" t="s">
        <v>11</v>
      </c>
      <c r="F20" s="224"/>
      <c r="G20" s="225"/>
      <c r="H20" s="225"/>
      <c r="I20" s="225"/>
      <c r="J20" s="225"/>
      <c r="K20" s="225"/>
      <c r="L20" s="225"/>
      <c r="M20" s="188"/>
      <c r="P20" s="248"/>
    </row>
    <row r="21" spans="1:16" s="247" customFormat="1" ht="18" customHeight="1">
      <c r="A21" s="168" t="s">
        <v>249</v>
      </c>
      <c r="B21" s="169" t="s">
        <v>248</v>
      </c>
      <c r="C21" s="170" t="s">
        <v>176</v>
      </c>
      <c r="D21" s="223" t="s">
        <v>310</v>
      </c>
      <c r="E21" s="223" t="s">
        <v>250</v>
      </c>
      <c r="F21" s="224">
        <v>0</v>
      </c>
      <c r="G21" s="225">
        <v>0</v>
      </c>
      <c r="H21" s="225">
        <f>F21*G21</f>
        <v>0</v>
      </c>
      <c r="I21" s="225">
        <v>0</v>
      </c>
      <c r="J21" s="225">
        <f>F21*I21</f>
        <v>0</v>
      </c>
      <c r="K21" s="225">
        <f>G21+I21</f>
        <v>0</v>
      </c>
      <c r="L21" s="225">
        <f>F21*K21</f>
        <v>0</v>
      </c>
      <c r="M21" s="188"/>
      <c r="P21" s="248"/>
    </row>
    <row r="22" spans="1:16" s="247" customFormat="1" ht="18" customHeight="1">
      <c r="A22" s="168" t="s">
        <v>265</v>
      </c>
      <c r="B22" s="169" t="s">
        <v>264</v>
      </c>
      <c r="C22" s="170" t="s">
        <v>176</v>
      </c>
      <c r="D22" s="223"/>
      <c r="E22" s="223" t="s">
        <v>250</v>
      </c>
      <c r="F22" s="224">
        <v>0</v>
      </c>
      <c r="G22" s="225">
        <v>0</v>
      </c>
      <c r="H22" s="225">
        <f>F22*G22</f>
        <v>0</v>
      </c>
      <c r="I22" s="225">
        <v>0</v>
      </c>
      <c r="J22" s="225">
        <f>F22*I22</f>
        <v>0</v>
      </c>
      <c r="K22" s="225">
        <f>G22+I22</f>
        <v>0</v>
      </c>
      <c r="L22" s="225">
        <f>F22*K22</f>
        <v>0</v>
      </c>
      <c r="M22" s="187"/>
      <c r="O22" s="247">
        <f>(155*0.05)</f>
        <v>7.75</v>
      </c>
      <c r="P22" s="248"/>
    </row>
    <row r="23" spans="1:16" s="240" customFormat="1" ht="18" customHeight="1">
      <c r="A23" s="10" t="s">
        <v>90</v>
      </c>
      <c r="B23" s="11" t="s">
        <v>91</v>
      </c>
      <c r="C23" s="12" t="s">
        <v>92</v>
      </c>
      <c r="D23" s="220"/>
      <c r="E23" s="220" t="s">
        <v>78</v>
      </c>
      <c r="F23" s="221">
        <v>4</v>
      </c>
      <c r="G23" s="222">
        <v>500000</v>
      </c>
      <c r="H23" s="222">
        <f>F23*G23</f>
        <v>2000000</v>
      </c>
      <c r="I23" s="222">
        <v>0</v>
      </c>
      <c r="J23" s="222">
        <f>F23*I23</f>
        <v>0</v>
      </c>
      <c r="K23" s="222">
        <f>G23+I23</f>
        <v>500000</v>
      </c>
      <c r="L23" s="222">
        <f>F23*K23</f>
        <v>2000000</v>
      </c>
      <c r="M23" s="188"/>
      <c r="N23" s="240" t="s">
        <v>299</v>
      </c>
    </row>
    <row r="24" spans="1:16" s="247" customFormat="1" ht="18" customHeight="1">
      <c r="A24" s="168" t="s">
        <v>87</v>
      </c>
      <c r="B24" s="169" t="s">
        <v>88</v>
      </c>
      <c r="C24" s="170" t="s">
        <v>354</v>
      </c>
      <c r="D24" s="223" t="s">
        <v>355</v>
      </c>
      <c r="E24" s="223" t="s">
        <v>73</v>
      </c>
      <c r="F24" s="224">
        <v>42</v>
      </c>
      <c r="G24" s="225">
        <v>3000</v>
      </c>
      <c r="H24" s="225">
        <f>F24*G24</f>
        <v>126000</v>
      </c>
      <c r="I24" s="225">
        <v>15000</v>
      </c>
      <c r="J24" s="225">
        <f>F24*I24</f>
        <v>630000</v>
      </c>
      <c r="K24" s="225">
        <f>G24+I24</f>
        <v>18000</v>
      </c>
      <c r="L24" s="346">
        <f>F24*K24</f>
        <v>756000</v>
      </c>
      <c r="M24" s="225" t="s">
        <v>382</v>
      </c>
      <c r="P24" s="248"/>
    </row>
    <row r="25" spans="1:16" s="240" customFormat="1" ht="18" customHeight="1">
      <c r="A25" s="10"/>
      <c r="B25" s="11"/>
      <c r="C25" s="12"/>
      <c r="D25" s="220"/>
      <c r="E25" s="220"/>
      <c r="F25" s="220"/>
      <c r="G25" s="222"/>
      <c r="H25" s="222"/>
      <c r="I25" s="222"/>
      <c r="J25" s="222"/>
      <c r="K25" s="222"/>
      <c r="L25" s="222"/>
      <c r="M25" s="188"/>
      <c r="P25" s="241"/>
    </row>
    <row r="26" spans="1:16" s="251" customFormat="1" ht="18" customHeight="1">
      <c r="A26" s="31"/>
      <c r="B26" s="32" t="s">
        <v>36</v>
      </c>
      <c r="C26" s="33"/>
      <c r="D26" s="249"/>
      <c r="E26" s="249"/>
      <c r="F26" s="249"/>
      <c r="G26" s="250"/>
      <c r="H26" s="250">
        <f>SUM(H13:H23)</f>
        <v>3000000</v>
      </c>
      <c r="I26" s="250"/>
      <c r="J26" s="250">
        <f>SUM(J13:J23)</f>
        <v>680000</v>
      </c>
      <c r="K26" s="250"/>
      <c r="L26" s="250">
        <f>SUM(L13:L23)</f>
        <v>3680000</v>
      </c>
      <c r="M26" s="188"/>
      <c r="P26" s="252"/>
    </row>
    <row r="27" spans="1:16" s="240" customFormat="1" ht="18" customHeight="1">
      <c r="A27" s="10"/>
      <c r="B27" s="11"/>
      <c r="C27" s="12"/>
      <c r="D27" s="220"/>
      <c r="E27" s="220"/>
      <c r="F27" s="220"/>
      <c r="G27" s="222"/>
      <c r="H27" s="222"/>
      <c r="I27" s="222"/>
      <c r="J27" s="253"/>
      <c r="K27" s="222"/>
      <c r="L27" s="222"/>
      <c r="M27" s="188"/>
      <c r="P27" s="241"/>
    </row>
    <row r="28" spans="1:16" s="26" customFormat="1" ht="18" customHeight="1">
      <c r="A28" s="234" t="s">
        <v>26</v>
      </c>
      <c r="B28" s="235" t="s">
        <v>109</v>
      </c>
      <c r="C28" s="236"/>
      <c r="D28" s="25"/>
      <c r="E28" s="25"/>
      <c r="F28" s="40"/>
      <c r="G28" s="41"/>
      <c r="H28" s="41"/>
      <c r="I28" s="41"/>
      <c r="J28" s="41"/>
      <c r="K28" s="41"/>
      <c r="L28" s="42"/>
      <c r="M28" s="276"/>
      <c r="O28" s="237"/>
      <c r="P28" s="238"/>
    </row>
    <row r="29" spans="1:16" ht="18" customHeight="1">
      <c r="A29" s="43" t="s">
        <v>15</v>
      </c>
      <c r="B29" s="11" t="str">
        <f>B43</f>
        <v>철거 / 설비 공사</v>
      </c>
      <c r="C29" s="12"/>
      <c r="D29" s="5"/>
      <c r="E29" s="5" t="s">
        <v>37</v>
      </c>
      <c r="F29" s="27">
        <v>1</v>
      </c>
      <c r="G29" s="28"/>
      <c r="H29" s="28">
        <f>H59</f>
        <v>3570200</v>
      </c>
      <c r="I29" s="28"/>
      <c r="J29" s="28">
        <f>J59</f>
        <v>8422300</v>
      </c>
      <c r="K29" s="28"/>
      <c r="L29" s="29">
        <f>L59</f>
        <v>11992500</v>
      </c>
      <c r="M29" s="188"/>
      <c r="O29" s="219">
        <f t="shared" ref="O29:O37" si="4">H29+J29</f>
        <v>11992500</v>
      </c>
    </row>
    <row r="30" spans="1:16" ht="18" customHeight="1">
      <c r="A30" s="43" t="s">
        <v>16</v>
      </c>
      <c r="B30" s="11" t="str">
        <f>B61</f>
        <v>필름 공사</v>
      </c>
      <c r="C30" s="12"/>
      <c r="D30" s="5"/>
      <c r="E30" s="5" t="s">
        <v>37</v>
      </c>
      <c r="F30" s="27">
        <v>1</v>
      </c>
      <c r="G30" s="28"/>
      <c r="H30" s="28">
        <f>H70</f>
        <v>2156300</v>
      </c>
      <c r="I30" s="28"/>
      <c r="J30" s="28">
        <f>J70</f>
        <v>3303000</v>
      </c>
      <c r="K30" s="28"/>
      <c r="L30" s="29">
        <f>L70</f>
        <v>5459300</v>
      </c>
      <c r="M30" s="188"/>
      <c r="O30" s="219">
        <f t="shared" si="4"/>
        <v>5459300</v>
      </c>
    </row>
    <row r="31" spans="1:16" ht="18" customHeight="1">
      <c r="A31" s="43" t="s">
        <v>17</v>
      </c>
      <c r="B31" s="11" t="str">
        <f>B72</f>
        <v>가구 공사</v>
      </c>
      <c r="C31" s="12"/>
      <c r="D31" s="5"/>
      <c r="E31" s="5" t="s">
        <v>37</v>
      </c>
      <c r="F31" s="27">
        <v>1</v>
      </c>
      <c r="G31" s="28"/>
      <c r="H31" s="28">
        <f>H108</f>
        <v>13644000</v>
      </c>
      <c r="I31" s="28"/>
      <c r="J31" s="28">
        <f>J108</f>
        <v>3210000</v>
      </c>
      <c r="K31" s="28"/>
      <c r="L31" s="29">
        <f>L108</f>
        <v>16854000</v>
      </c>
      <c r="M31" s="188"/>
      <c r="O31" s="219">
        <f t="shared" si="4"/>
        <v>16854000</v>
      </c>
    </row>
    <row r="32" spans="1:16" ht="18" customHeight="1">
      <c r="A32" s="43" t="s">
        <v>18</v>
      </c>
      <c r="B32" s="11" t="str">
        <f>B110</f>
        <v>전기 공사</v>
      </c>
      <c r="C32" s="12"/>
      <c r="D32" s="5"/>
      <c r="E32" s="5" t="s">
        <v>37</v>
      </c>
      <c r="F32" s="27">
        <v>1</v>
      </c>
      <c r="G32" s="28"/>
      <c r="H32" s="28">
        <f>H125</f>
        <v>4211000</v>
      </c>
      <c r="I32" s="28"/>
      <c r="J32" s="28">
        <f>J125</f>
        <v>4010000</v>
      </c>
      <c r="K32" s="28"/>
      <c r="L32" s="29">
        <f>L125</f>
        <v>8221000</v>
      </c>
      <c r="M32" s="188"/>
      <c r="O32" s="219">
        <f t="shared" si="4"/>
        <v>8221000</v>
      </c>
    </row>
    <row r="33" spans="1:16" s="59" customFormat="1" ht="18" customHeight="1">
      <c r="A33" s="254" t="s">
        <v>19</v>
      </c>
      <c r="B33" s="53" t="str">
        <f>B127</f>
        <v>화장실 공사</v>
      </c>
      <c r="C33" s="54"/>
      <c r="D33" s="55"/>
      <c r="E33" s="55" t="s">
        <v>37</v>
      </c>
      <c r="F33" s="255">
        <v>1</v>
      </c>
      <c r="G33" s="57"/>
      <c r="H33" s="57">
        <f>H163</f>
        <v>4958000</v>
      </c>
      <c r="I33" s="57"/>
      <c r="J33" s="57">
        <f>J163</f>
        <v>2790000</v>
      </c>
      <c r="K33" s="57"/>
      <c r="L33" s="58">
        <f>L163</f>
        <v>7788000</v>
      </c>
      <c r="M33" s="187"/>
      <c r="O33" s="256">
        <f t="shared" si="4"/>
        <v>7748000</v>
      </c>
      <c r="P33" s="181"/>
    </row>
    <row r="34" spans="1:16" s="59" customFormat="1" ht="18" customHeight="1">
      <c r="A34" s="254" t="s">
        <v>20</v>
      </c>
      <c r="B34" s="53" t="str">
        <f>B165</f>
        <v>타일 공사</v>
      </c>
      <c r="C34" s="54"/>
      <c r="D34" s="55"/>
      <c r="E34" s="55" t="s">
        <v>37</v>
      </c>
      <c r="F34" s="255">
        <v>1</v>
      </c>
      <c r="G34" s="57"/>
      <c r="H34" s="57">
        <f>H200</f>
        <v>2832000</v>
      </c>
      <c r="I34" s="57"/>
      <c r="J34" s="57">
        <f>J200</f>
        <v>4115000</v>
      </c>
      <c r="K34" s="57"/>
      <c r="L34" s="58">
        <f>L200</f>
        <v>6947000</v>
      </c>
      <c r="M34" s="187"/>
      <c r="O34" s="256">
        <f t="shared" si="4"/>
        <v>6947000</v>
      </c>
      <c r="P34" s="181"/>
    </row>
    <row r="35" spans="1:16" ht="18" customHeight="1">
      <c r="A35" s="43" t="s">
        <v>21</v>
      </c>
      <c r="B35" s="11" t="str">
        <f>B202</f>
        <v>도배 공사</v>
      </c>
      <c r="C35" s="12"/>
      <c r="D35" s="5"/>
      <c r="E35" s="5" t="s">
        <v>37</v>
      </c>
      <c r="F35" s="27">
        <v>1</v>
      </c>
      <c r="G35" s="28"/>
      <c r="H35" s="28">
        <f>H211</f>
        <v>1655500</v>
      </c>
      <c r="I35" s="28"/>
      <c r="J35" s="28">
        <f>J211</f>
        <v>2580000</v>
      </c>
      <c r="K35" s="28"/>
      <c r="L35" s="29">
        <f>L211</f>
        <v>4235500</v>
      </c>
      <c r="M35" s="188"/>
      <c r="O35" s="219">
        <f t="shared" si="4"/>
        <v>4235500</v>
      </c>
    </row>
    <row r="36" spans="1:16" ht="18" customHeight="1">
      <c r="A36" s="43" t="s">
        <v>27</v>
      </c>
      <c r="B36" s="11" t="str">
        <f>B213</f>
        <v>도장 공사</v>
      </c>
      <c r="C36" s="12"/>
      <c r="D36" s="5"/>
      <c r="E36" s="5" t="s">
        <v>37</v>
      </c>
      <c r="F36" s="27">
        <v>1</v>
      </c>
      <c r="G36" s="28"/>
      <c r="H36" s="28">
        <f>H221</f>
        <v>910000</v>
      </c>
      <c r="I36" s="28"/>
      <c r="J36" s="28">
        <f>J221</f>
        <v>1140000</v>
      </c>
      <c r="K36" s="28"/>
      <c r="L36" s="29">
        <f>L221</f>
        <v>2050000</v>
      </c>
      <c r="M36" s="188"/>
      <c r="O36" s="219">
        <f t="shared" si="4"/>
        <v>2050000</v>
      </c>
    </row>
    <row r="37" spans="1:16" ht="18" customHeight="1">
      <c r="A37" s="43" t="s">
        <v>28</v>
      </c>
      <c r="B37" s="11" t="str">
        <f>B223</f>
        <v>마루 공사</v>
      </c>
      <c r="C37" s="12"/>
      <c r="D37" s="5"/>
      <c r="E37" s="5" t="s">
        <v>37</v>
      </c>
      <c r="F37" s="27">
        <v>1</v>
      </c>
      <c r="G37" s="28"/>
      <c r="H37" s="28">
        <f>H231</f>
        <v>4305000</v>
      </c>
      <c r="I37" s="28"/>
      <c r="J37" s="28">
        <f>J231</f>
        <v>875000</v>
      </c>
      <c r="K37" s="28"/>
      <c r="L37" s="29">
        <f>L231</f>
        <v>5180000</v>
      </c>
      <c r="M37" s="188"/>
      <c r="O37" s="219">
        <f t="shared" si="4"/>
        <v>5180000</v>
      </c>
    </row>
    <row r="38" spans="1:16" ht="18" customHeight="1">
      <c r="A38" s="43" t="s">
        <v>48</v>
      </c>
      <c r="B38" s="11" t="str">
        <f>B233</f>
        <v>목공사</v>
      </c>
      <c r="C38" s="12"/>
      <c r="D38" s="5"/>
      <c r="E38" s="5" t="s">
        <v>37</v>
      </c>
      <c r="F38" s="27">
        <v>1</v>
      </c>
      <c r="G38" s="28"/>
      <c r="H38" s="28">
        <f>H286</f>
        <v>10990500</v>
      </c>
      <c r="I38" s="28"/>
      <c r="J38" s="28">
        <f>J286</f>
        <v>11707500</v>
      </c>
      <c r="K38" s="28"/>
      <c r="L38" s="29">
        <f>L286</f>
        <v>22698000</v>
      </c>
      <c r="M38" s="188"/>
      <c r="O38" s="219">
        <f>H38+J38</f>
        <v>22698000</v>
      </c>
    </row>
    <row r="39" spans="1:16" ht="18" customHeight="1">
      <c r="A39" s="43"/>
      <c r="B39" s="11"/>
      <c r="C39" s="12"/>
      <c r="D39" s="5"/>
      <c r="E39" s="5"/>
      <c r="F39" s="30"/>
      <c r="G39" s="28"/>
      <c r="H39" s="28"/>
      <c r="I39" s="28"/>
      <c r="J39" s="28"/>
      <c r="K39" s="28"/>
      <c r="L39" s="29"/>
      <c r="M39" s="188"/>
    </row>
    <row r="40" spans="1:16" s="38" customFormat="1" ht="18" customHeight="1">
      <c r="A40" s="31"/>
      <c r="B40" s="32" t="s">
        <v>36</v>
      </c>
      <c r="C40" s="33"/>
      <c r="D40" s="34"/>
      <c r="E40" s="34"/>
      <c r="F40" s="35"/>
      <c r="G40" s="36"/>
      <c r="H40" s="36">
        <f>SUM(H29:H39)</f>
        <v>49232500</v>
      </c>
      <c r="I40" s="36"/>
      <c r="J40" s="36">
        <f>SUM(J29:J39)</f>
        <v>42152800</v>
      </c>
      <c r="K40" s="36"/>
      <c r="L40" s="37">
        <f>SUM(L29:L39)</f>
        <v>91425300</v>
      </c>
      <c r="M40" s="277"/>
      <c r="O40" s="175"/>
      <c r="P40" s="180"/>
    </row>
    <row r="41" spans="1:16" ht="18" customHeight="1">
      <c r="A41" s="10"/>
      <c r="B41" s="11"/>
      <c r="C41" s="12"/>
      <c r="D41" s="5"/>
      <c r="E41" s="5"/>
      <c r="F41" s="30"/>
      <c r="G41" s="28"/>
      <c r="H41" s="28"/>
      <c r="I41" s="28"/>
      <c r="J41" s="28"/>
      <c r="K41" s="28"/>
      <c r="L41" s="29"/>
      <c r="M41" s="188"/>
    </row>
    <row r="42" spans="1:16" ht="18" customHeight="1">
      <c r="A42" s="10"/>
      <c r="B42" s="11"/>
      <c r="C42" s="12"/>
      <c r="D42" s="5"/>
      <c r="E42" s="5"/>
      <c r="F42" s="30"/>
      <c r="G42" s="28"/>
      <c r="H42" s="28"/>
      <c r="I42" s="28"/>
      <c r="J42" s="39"/>
      <c r="K42" s="28"/>
      <c r="L42" s="29"/>
      <c r="M42" s="188"/>
    </row>
    <row r="43" spans="1:16" s="20" customFormat="1" ht="18" customHeight="1">
      <c r="A43" s="44" t="s">
        <v>29</v>
      </c>
      <c r="B43" s="45" t="s">
        <v>103</v>
      </c>
      <c r="C43" s="333" t="s">
        <v>349</v>
      </c>
      <c r="D43" s="16"/>
      <c r="E43" s="16"/>
      <c r="F43" s="47"/>
      <c r="G43" s="48"/>
      <c r="H43" s="48"/>
      <c r="I43" s="48"/>
      <c r="J43" s="48"/>
      <c r="K43" s="48"/>
      <c r="L43" s="49"/>
      <c r="M43" s="272"/>
      <c r="O43" s="174"/>
      <c r="P43" s="179"/>
    </row>
    <row r="44" spans="1:16" ht="18" customHeight="1">
      <c r="A44" s="10" t="s">
        <v>68</v>
      </c>
      <c r="B44" s="11" t="s">
        <v>97</v>
      </c>
      <c r="C44" s="12" t="s">
        <v>188</v>
      </c>
      <c r="D44" s="5"/>
      <c r="E44" s="5" t="s">
        <v>73</v>
      </c>
      <c r="F44" s="50">
        <v>29</v>
      </c>
      <c r="G44" s="28">
        <v>8800</v>
      </c>
      <c r="H44" s="28">
        <f t="shared" ref="H44:H55" si="5">F44*G44</f>
        <v>255200</v>
      </c>
      <c r="I44" s="28">
        <v>18700</v>
      </c>
      <c r="J44" s="28">
        <f t="shared" ref="J44:J55" si="6">F44*I44</f>
        <v>542300</v>
      </c>
      <c r="K44" s="28">
        <f t="shared" ref="K44:K55" si="7">G44+I44</f>
        <v>27500</v>
      </c>
      <c r="L44" s="29">
        <f t="shared" ref="L44:L55" si="8">F44*K44</f>
        <v>797500</v>
      </c>
      <c r="M44" s="188"/>
    </row>
    <row r="45" spans="1:16" ht="18" customHeight="1">
      <c r="A45" s="10" t="s">
        <v>68</v>
      </c>
      <c r="B45" s="11" t="s">
        <v>187</v>
      </c>
      <c r="C45" s="12" t="s">
        <v>251</v>
      </c>
      <c r="D45" s="5"/>
      <c r="E45" s="5" t="s">
        <v>73</v>
      </c>
      <c r="F45" s="50">
        <v>3</v>
      </c>
      <c r="G45" s="28">
        <v>15000</v>
      </c>
      <c r="H45" s="28">
        <f t="shared" si="5"/>
        <v>45000</v>
      </c>
      <c r="I45" s="28">
        <v>70000</v>
      </c>
      <c r="J45" s="28">
        <f t="shared" si="6"/>
        <v>210000</v>
      </c>
      <c r="K45" s="28">
        <f t="shared" si="7"/>
        <v>85000</v>
      </c>
      <c r="L45" s="29">
        <f t="shared" si="8"/>
        <v>255000</v>
      </c>
      <c r="M45" s="188"/>
    </row>
    <row r="46" spans="1:16" ht="18" customHeight="1">
      <c r="A46" s="10" t="s">
        <v>69</v>
      </c>
      <c r="B46" s="11" t="s">
        <v>94</v>
      </c>
      <c r="C46" s="12" t="s">
        <v>339</v>
      </c>
      <c r="D46" s="5"/>
      <c r="E46" s="5" t="s">
        <v>81</v>
      </c>
      <c r="F46" s="50">
        <v>2</v>
      </c>
      <c r="G46" s="28">
        <v>0</v>
      </c>
      <c r="H46" s="28">
        <f t="shared" si="5"/>
        <v>0</v>
      </c>
      <c r="I46" s="28">
        <v>650000</v>
      </c>
      <c r="J46" s="28">
        <f t="shared" si="6"/>
        <v>1300000</v>
      </c>
      <c r="K46" s="28">
        <f t="shared" si="7"/>
        <v>650000</v>
      </c>
      <c r="L46" s="29">
        <f t="shared" si="8"/>
        <v>1300000</v>
      </c>
      <c r="M46" s="29"/>
    </row>
    <row r="47" spans="1:16" ht="18" customHeight="1">
      <c r="A47" s="10" t="s">
        <v>68</v>
      </c>
      <c r="B47" s="11" t="s">
        <v>95</v>
      </c>
      <c r="C47" s="12"/>
      <c r="D47" s="5"/>
      <c r="E47" s="5" t="s">
        <v>11</v>
      </c>
      <c r="F47" s="50">
        <v>140</v>
      </c>
      <c r="G47" s="28">
        <v>8000</v>
      </c>
      <c r="H47" s="28">
        <f t="shared" si="5"/>
        <v>1120000</v>
      </c>
      <c r="I47" s="28">
        <v>18000</v>
      </c>
      <c r="J47" s="28">
        <f t="shared" si="6"/>
        <v>2520000</v>
      </c>
      <c r="K47" s="28">
        <f t="shared" si="7"/>
        <v>26000</v>
      </c>
      <c r="L47" s="29">
        <f t="shared" si="8"/>
        <v>3640000</v>
      </c>
      <c r="M47" s="188"/>
    </row>
    <row r="48" spans="1:16" ht="18" customHeight="1">
      <c r="A48" s="10" t="s">
        <v>68</v>
      </c>
      <c r="B48" s="11" t="s">
        <v>255</v>
      </c>
      <c r="C48" s="12"/>
      <c r="D48" s="5"/>
      <c r="E48" s="5" t="s">
        <v>254</v>
      </c>
      <c r="F48" s="50">
        <v>1</v>
      </c>
      <c r="G48" s="28"/>
      <c r="H48" s="28">
        <f t="shared" si="5"/>
        <v>0</v>
      </c>
      <c r="I48" s="28">
        <v>200000</v>
      </c>
      <c r="J48" s="28">
        <f t="shared" si="6"/>
        <v>200000</v>
      </c>
      <c r="K48" s="28">
        <f t="shared" si="7"/>
        <v>200000</v>
      </c>
      <c r="L48" s="29">
        <f t="shared" si="8"/>
        <v>200000</v>
      </c>
      <c r="M48" s="188"/>
    </row>
    <row r="49" spans="1:17" s="326" customFormat="1" ht="18" customHeight="1">
      <c r="A49" s="378" t="s">
        <v>101</v>
      </c>
      <c r="B49" s="319" t="s">
        <v>96</v>
      </c>
      <c r="C49" s="329"/>
      <c r="D49" s="321"/>
      <c r="E49" s="321" t="s">
        <v>298</v>
      </c>
      <c r="F49" s="389">
        <v>4</v>
      </c>
      <c r="G49" s="323">
        <v>300000</v>
      </c>
      <c r="H49" s="323">
        <f t="shared" si="5"/>
        <v>1200000</v>
      </c>
      <c r="I49" s="323">
        <v>500000</v>
      </c>
      <c r="J49" s="323">
        <f t="shared" si="6"/>
        <v>2000000</v>
      </c>
      <c r="K49" s="323">
        <f t="shared" si="7"/>
        <v>800000</v>
      </c>
      <c r="L49" s="324">
        <f t="shared" si="8"/>
        <v>3200000</v>
      </c>
      <c r="M49" s="325"/>
      <c r="O49" s="327"/>
      <c r="P49" s="328"/>
    </row>
    <row r="50" spans="1:17" ht="18" customHeight="1">
      <c r="A50" s="10" t="s">
        <v>101</v>
      </c>
      <c r="B50" s="11" t="s">
        <v>99</v>
      </c>
      <c r="C50" s="12" t="s">
        <v>383</v>
      </c>
      <c r="D50" s="5" t="s">
        <v>348</v>
      </c>
      <c r="E50" s="5" t="s">
        <v>81</v>
      </c>
      <c r="F50" s="50">
        <v>2</v>
      </c>
      <c r="G50" s="28">
        <v>100000</v>
      </c>
      <c r="H50" s="28">
        <f t="shared" ref="H50:H53" si="9">F50*G50</f>
        <v>200000</v>
      </c>
      <c r="I50" s="28">
        <v>250000</v>
      </c>
      <c r="J50" s="28">
        <f t="shared" si="6"/>
        <v>500000</v>
      </c>
      <c r="K50" s="28">
        <f t="shared" si="7"/>
        <v>350000</v>
      </c>
      <c r="L50" s="29">
        <f t="shared" si="8"/>
        <v>700000</v>
      </c>
      <c r="M50" s="188"/>
    </row>
    <row r="51" spans="1:17" ht="18" hidden="1" customHeight="1">
      <c r="A51" s="10" t="s">
        <v>101</v>
      </c>
      <c r="B51" s="11" t="s">
        <v>99</v>
      </c>
      <c r="C51" s="12" t="s">
        <v>383</v>
      </c>
      <c r="D51" s="5" t="s">
        <v>384</v>
      </c>
      <c r="E51" s="5" t="s">
        <v>81</v>
      </c>
      <c r="F51" s="50">
        <v>0</v>
      </c>
      <c r="G51" s="28">
        <v>250000</v>
      </c>
      <c r="H51" s="28">
        <f t="shared" ref="H51" si="10">F51*G51</f>
        <v>0</v>
      </c>
      <c r="I51" s="28">
        <v>250000</v>
      </c>
      <c r="J51" s="28">
        <f t="shared" ref="J51" si="11">F51*I51</f>
        <v>0</v>
      </c>
      <c r="K51" s="28">
        <f t="shared" ref="K51" si="12">G51+I51</f>
        <v>500000</v>
      </c>
      <c r="L51" s="29">
        <f t="shared" ref="L51" si="13">F51*K51</f>
        <v>0</v>
      </c>
      <c r="M51" s="188"/>
    </row>
    <row r="52" spans="1:17" ht="18" customHeight="1">
      <c r="A52" s="10" t="s">
        <v>101</v>
      </c>
      <c r="B52" s="11" t="s">
        <v>99</v>
      </c>
      <c r="C52" s="12" t="s">
        <v>459</v>
      </c>
      <c r="D52" s="5" t="s">
        <v>429</v>
      </c>
      <c r="E52" s="5" t="s">
        <v>81</v>
      </c>
      <c r="F52" s="50">
        <v>1</v>
      </c>
      <c r="G52" s="28">
        <v>250000</v>
      </c>
      <c r="H52" s="28">
        <f t="shared" ref="H52" si="14">F52*G52</f>
        <v>250000</v>
      </c>
      <c r="I52" s="28">
        <v>350000</v>
      </c>
      <c r="J52" s="28">
        <f t="shared" ref="J52" si="15">F52*I52</f>
        <v>350000</v>
      </c>
      <c r="K52" s="28">
        <f t="shared" ref="K52" si="16">G52+I52</f>
        <v>600000</v>
      </c>
      <c r="L52" s="29">
        <f t="shared" ref="L52" si="17">F52*K52</f>
        <v>600000</v>
      </c>
      <c r="M52" s="188"/>
    </row>
    <row r="53" spans="1:17" ht="18" customHeight="1">
      <c r="A53" s="10" t="s">
        <v>102</v>
      </c>
      <c r="B53" s="11" t="s">
        <v>100</v>
      </c>
      <c r="C53" s="12" t="s">
        <v>409</v>
      </c>
      <c r="D53" s="5" t="s">
        <v>347</v>
      </c>
      <c r="E53" s="5" t="s">
        <v>39</v>
      </c>
      <c r="F53" s="50">
        <v>2</v>
      </c>
      <c r="G53" s="28">
        <v>100000</v>
      </c>
      <c r="H53" s="28">
        <f t="shared" si="9"/>
        <v>200000</v>
      </c>
      <c r="I53" s="28">
        <v>250000</v>
      </c>
      <c r="J53" s="28">
        <f t="shared" ref="J53" si="18">F53*I53</f>
        <v>500000</v>
      </c>
      <c r="K53" s="28">
        <f t="shared" ref="K53" si="19">G53+I53</f>
        <v>350000</v>
      </c>
      <c r="L53" s="29">
        <f t="shared" ref="L53" si="20">F53*K53</f>
        <v>700000</v>
      </c>
      <c r="M53" s="188"/>
    </row>
    <row r="54" spans="1:17" ht="18" customHeight="1">
      <c r="A54" s="10" t="s">
        <v>102</v>
      </c>
      <c r="B54" s="11" t="s">
        <v>100</v>
      </c>
      <c r="C54" s="12" t="s">
        <v>346</v>
      </c>
      <c r="D54" s="5" t="s">
        <v>347</v>
      </c>
      <c r="E54" s="5" t="s">
        <v>224</v>
      </c>
      <c r="F54" s="50">
        <v>2</v>
      </c>
      <c r="G54" s="28">
        <v>150000</v>
      </c>
      <c r="H54" s="28">
        <f t="shared" si="5"/>
        <v>300000</v>
      </c>
      <c r="I54" s="28">
        <v>150000</v>
      </c>
      <c r="J54" s="28">
        <f t="shared" si="6"/>
        <v>300000</v>
      </c>
      <c r="K54" s="28">
        <f t="shared" si="7"/>
        <v>300000</v>
      </c>
      <c r="L54" s="29">
        <f t="shared" si="8"/>
        <v>600000</v>
      </c>
      <c r="M54" s="188"/>
    </row>
    <row r="55" spans="1:17" s="326" customFormat="1" ht="18" hidden="1" customHeight="1">
      <c r="A55" s="339" t="s">
        <v>101</v>
      </c>
      <c r="B55" s="340" t="s">
        <v>98</v>
      </c>
      <c r="C55" s="341" t="s">
        <v>373</v>
      </c>
      <c r="D55" s="342" t="s">
        <v>392</v>
      </c>
      <c r="E55" s="342" t="s">
        <v>42</v>
      </c>
      <c r="F55" s="343">
        <v>0</v>
      </c>
      <c r="G55" s="344">
        <v>65000</v>
      </c>
      <c r="H55" s="344">
        <f t="shared" si="5"/>
        <v>0</v>
      </c>
      <c r="I55" s="344">
        <v>35000</v>
      </c>
      <c r="J55" s="344">
        <f t="shared" si="6"/>
        <v>0</v>
      </c>
      <c r="K55" s="344">
        <f t="shared" si="7"/>
        <v>100000</v>
      </c>
      <c r="L55" s="345">
        <f t="shared" si="8"/>
        <v>0</v>
      </c>
      <c r="M55" s="325" t="s">
        <v>378</v>
      </c>
      <c r="O55" s="327"/>
      <c r="P55" s="328"/>
    </row>
    <row r="56" spans="1:17" s="326" customFormat="1" ht="18" customHeight="1">
      <c r="A56" s="378" t="s">
        <v>102</v>
      </c>
      <c r="B56" s="319" t="s">
        <v>457</v>
      </c>
      <c r="C56" s="329" t="s">
        <v>458</v>
      </c>
      <c r="D56" s="321" t="s">
        <v>457</v>
      </c>
      <c r="E56" s="321" t="s">
        <v>39</v>
      </c>
      <c r="F56" s="389">
        <v>1</v>
      </c>
      <c r="G56" s="323">
        <v>350000</v>
      </c>
      <c r="H56" s="323">
        <f t="shared" ref="H56" si="21">F56*G56</f>
        <v>350000</v>
      </c>
      <c r="I56" s="323">
        <v>250000</v>
      </c>
      <c r="J56" s="323">
        <f t="shared" ref="J56" si="22">F56*I56</f>
        <v>250000</v>
      </c>
      <c r="K56" s="323">
        <f t="shared" ref="K56" si="23">G56+I56</f>
        <v>600000</v>
      </c>
      <c r="L56" s="324">
        <f t="shared" ref="L56" si="24">F56*K56</f>
        <v>600000</v>
      </c>
      <c r="M56" s="325"/>
      <c r="O56" s="327"/>
      <c r="P56" s="328"/>
    </row>
    <row r="57" spans="1:17" s="326" customFormat="1" ht="18" customHeight="1">
      <c r="A57" s="378" t="s">
        <v>446</v>
      </c>
      <c r="B57" s="319" t="s">
        <v>447</v>
      </c>
      <c r="C57" s="329" t="s">
        <v>448</v>
      </c>
      <c r="D57" s="321" t="s">
        <v>449</v>
      </c>
      <c r="E57" s="321" t="s">
        <v>42</v>
      </c>
      <c r="F57" s="389">
        <v>50</v>
      </c>
      <c r="G57" s="323">
        <v>5000</v>
      </c>
      <c r="H57" s="323">
        <f t="shared" ref="H57" si="25">F57*G57</f>
        <v>250000</v>
      </c>
      <c r="I57" s="323">
        <v>15000</v>
      </c>
      <c r="J57" s="323">
        <f t="shared" ref="J57" si="26">F57*I57</f>
        <v>750000</v>
      </c>
      <c r="K57" s="323">
        <f t="shared" ref="K57" si="27">G57+I57</f>
        <v>20000</v>
      </c>
      <c r="L57" s="324">
        <f t="shared" ref="L57" si="28">F57*K57</f>
        <v>1000000</v>
      </c>
      <c r="M57" s="325"/>
      <c r="O57" s="327"/>
      <c r="P57" s="328"/>
    </row>
    <row r="58" spans="1:17" s="304" customFormat="1" ht="18" customHeight="1">
      <c r="A58" s="168" t="s">
        <v>310</v>
      </c>
      <c r="B58" s="169" t="s">
        <v>300</v>
      </c>
      <c r="C58" s="170" t="s">
        <v>176</v>
      </c>
      <c r="D58" s="299"/>
      <c r="E58" s="299" t="s">
        <v>301</v>
      </c>
      <c r="F58" s="307">
        <v>0</v>
      </c>
      <c r="G58" s="301">
        <v>80000</v>
      </c>
      <c r="H58" s="301">
        <f>F58*G58</f>
        <v>0</v>
      </c>
      <c r="I58" s="301">
        <v>30000</v>
      </c>
      <c r="J58" s="301">
        <f>F58*I58</f>
        <v>0</v>
      </c>
      <c r="K58" s="301">
        <f>G58+I58</f>
        <v>110000</v>
      </c>
      <c r="L58" s="302">
        <f>F58*K58</f>
        <v>0</v>
      </c>
      <c r="M58" s="303"/>
      <c r="O58" s="305"/>
      <c r="P58" s="306"/>
    </row>
    <row r="59" spans="1:17" s="20" customFormat="1" ht="18" customHeight="1">
      <c r="A59" s="13"/>
      <c r="B59" s="13" t="s">
        <v>13</v>
      </c>
      <c r="C59" s="15"/>
      <c r="D59" s="16"/>
      <c r="E59" s="16"/>
      <c r="F59" s="51"/>
      <c r="G59" s="48" t="s">
        <v>310</v>
      </c>
      <c r="H59" s="48">
        <f>SUM(H44:H54)</f>
        <v>3570200</v>
      </c>
      <c r="I59" s="48"/>
      <c r="J59" s="48">
        <f>SUM(J44:J54)</f>
        <v>8422300</v>
      </c>
      <c r="K59" s="48"/>
      <c r="L59" s="49">
        <f>SUM(L44:L54)</f>
        <v>11992500</v>
      </c>
      <c r="M59" s="188"/>
      <c r="O59" s="174"/>
      <c r="P59" s="179"/>
    </row>
    <row r="60" spans="1:17" ht="18" customHeight="1">
      <c r="A60" s="13"/>
      <c r="B60" s="14"/>
      <c r="C60" s="12"/>
      <c r="D60" s="5"/>
      <c r="E60" s="5"/>
      <c r="F60" s="50"/>
      <c r="G60" s="28"/>
      <c r="H60" s="28"/>
      <c r="I60" s="28"/>
      <c r="J60" s="28"/>
      <c r="K60" s="28"/>
      <c r="L60" s="29"/>
      <c r="M60" s="188"/>
    </row>
    <row r="61" spans="1:17" s="20" customFormat="1" ht="18" customHeight="1">
      <c r="A61" s="44" t="s">
        <v>30</v>
      </c>
      <c r="B61" s="45" t="s">
        <v>104</v>
      </c>
      <c r="C61" s="46" t="s">
        <v>349</v>
      </c>
      <c r="D61" s="16"/>
      <c r="E61" s="16"/>
      <c r="F61" s="56"/>
      <c r="G61" s="48"/>
      <c r="H61" s="48"/>
      <c r="I61" s="48"/>
      <c r="J61" s="48"/>
      <c r="K61" s="48"/>
      <c r="L61" s="49"/>
      <c r="M61" s="188"/>
      <c r="O61" s="174"/>
      <c r="P61" s="179"/>
      <c r="Q61" s="20" t="s">
        <v>311</v>
      </c>
    </row>
    <row r="62" spans="1:17" s="59" customFormat="1" ht="18" customHeight="1">
      <c r="A62" s="52">
        <v>-1</v>
      </c>
      <c r="B62" s="53" t="s">
        <v>105</v>
      </c>
      <c r="C62" s="54"/>
      <c r="D62" s="55"/>
      <c r="E62" s="55"/>
      <c r="F62" s="56"/>
      <c r="G62" s="57"/>
      <c r="H62" s="57"/>
      <c r="I62" s="57"/>
      <c r="J62" s="57"/>
      <c r="K62" s="57"/>
      <c r="L62" s="58"/>
      <c r="M62" s="188"/>
      <c r="O62" s="176"/>
      <c r="P62" s="181"/>
      <c r="Q62" s="59">
        <f>(2.8*6+2.4*10)+(1.9*4+2.4*10)+(1.8*4+2.4*6)+(1.6*10+1.2*10)+(1*4+1.2*6)</f>
        <v>133.19999999999999</v>
      </c>
    </row>
    <row r="63" spans="1:17" s="59" customFormat="1" ht="18" customHeight="1">
      <c r="A63" s="60" t="s">
        <v>209</v>
      </c>
      <c r="B63" s="53" t="s">
        <v>395</v>
      </c>
      <c r="C63" s="62" t="s">
        <v>395</v>
      </c>
      <c r="D63" s="55"/>
      <c r="E63" s="55" t="s">
        <v>205</v>
      </c>
      <c r="F63" s="290">
        <v>1</v>
      </c>
      <c r="G63" s="57">
        <v>50000</v>
      </c>
      <c r="H63" s="57">
        <f t="shared" ref="H63:H68" si="29">F63*G63</f>
        <v>50000</v>
      </c>
      <c r="I63" s="57">
        <v>150000</v>
      </c>
      <c r="J63" s="57">
        <f t="shared" ref="J63:J68" si="30">F63*I63</f>
        <v>150000</v>
      </c>
      <c r="K63" s="57">
        <f t="shared" ref="K63:K68" si="31">G63+I63</f>
        <v>200000</v>
      </c>
      <c r="L63" s="58">
        <f t="shared" ref="L63:L68" si="32">F63*K63</f>
        <v>200000</v>
      </c>
      <c r="M63" s="187"/>
      <c r="O63" s="176"/>
      <c r="P63" s="181"/>
    </row>
    <row r="64" spans="1:17" s="294" customFormat="1" ht="18" customHeight="1">
      <c r="A64" s="60" t="s">
        <v>209</v>
      </c>
      <c r="B64" s="287" t="s">
        <v>106</v>
      </c>
      <c r="C64" s="288"/>
      <c r="D64" s="289"/>
      <c r="E64" s="289" t="s">
        <v>40</v>
      </c>
      <c r="F64" s="290">
        <v>0</v>
      </c>
      <c r="G64" s="291">
        <v>2200</v>
      </c>
      <c r="H64" s="291">
        <f t="shared" si="29"/>
        <v>0</v>
      </c>
      <c r="I64" s="291">
        <v>6600</v>
      </c>
      <c r="J64" s="291">
        <f t="shared" si="30"/>
        <v>0</v>
      </c>
      <c r="K64" s="291">
        <f t="shared" si="31"/>
        <v>8800</v>
      </c>
      <c r="L64" s="292">
        <f t="shared" si="32"/>
        <v>0</v>
      </c>
      <c r="M64" s="293"/>
      <c r="O64" s="295"/>
      <c r="P64" s="296"/>
    </row>
    <row r="65" spans="1:16" s="59" customFormat="1" ht="18" customHeight="1">
      <c r="A65" s="60" t="s">
        <v>45</v>
      </c>
      <c r="B65" s="53" t="s">
        <v>397</v>
      </c>
      <c r="C65" s="62" t="s">
        <v>268</v>
      </c>
      <c r="D65" s="55"/>
      <c r="E65" s="55" t="s">
        <v>40</v>
      </c>
      <c r="F65" s="61">
        <v>94</v>
      </c>
      <c r="G65" s="57">
        <v>2200</v>
      </c>
      <c r="H65" s="57">
        <f t="shared" si="29"/>
        <v>206800</v>
      </c>
      <c r="I65" s="57">
        <v>4500</v>
      </c>
      <c r="J65" s="57">
        <f t="shared" si="30"/>
        <v>423000</v>
      </c>
      <c r="K65" s="57">
        <f t="shared" si="31"/>
        <v>6700</v>
      </c>
      <c r="L65" s="58">
        <f t="shared" si="32"/>
        <v>629800</v>
      </c>
      <c r="M65" s="187"/>
      <c r="O65" s="295" t="s">
        <v>328</v>
      </c>
      <c r="P65" s="59" t="s">
        <v>335</v>
      </c>
    </row>
    <row r="66" spans="1:16" s="59" customFormat="1" ht="18" customHeight="1">
      <c r="A66" s="60" t="s">
        <v>209</v>
      </c>
      <c r="B66" s="53" t="s">
        <v>396</v>
      </c>
      <c r="C66" s="62" t="s">
        <v>268</v>
      </c>
      <c r="D66" s="55"/>
      <c r="E66" s="55" t="s">
        <v>40</v>
      </c>
      <c r="F66" s="61">
        <v>110</v>
      </c>
      <c r="G66" s="57">
        <v>2200</v>
      </c>
      <c r="H66" s="57">
        <f t="shared" si="29"/>
        <v>242000</v>
      </c>
      <c r="I66" s="57">
        <v>4500</v>
      </c>
      <c r="J66" s="57">
        <f t="shared" si="30"/>
        <v>495000</v>
      </c>
      <c r="K66" s="57">
        <f t="shared" si="31"/>
        <v>6700</v>
      </c>
      <c r="L66" s="58">
        <f t="shared" si="32"/>
        <v>737000</v>
      </c>
      <c r="M66" s="187"/>
      <c r="O66" s="295" t="s">
        <v>328</v>
      </c>
      <c r="P66" s="59" t="s">
        <v>335</v>
      </c>
    </row>
    <row r="67" spans="1:16" s="59" customFormat="1" ht="18" customHeight="1">
      <c r="A67" s="60" t="s">
        <v>209</v>
      </c>
      <c r="B67" s="53" t="s">
        <v>201</v>
      </c>
      <c r="C67" s="62" t="s">
        <v>415</v>
      </c>
      <c r="D67" s="55" t="s">
        <v>371</v>
      </c>
      <c r="E67" s="55" t="s">
        <v>42</v>
      </c>
      <c r="F67" s="61">
        <v>75</v>
      </c>
      <c r="G67" s="57">
        <v>7700</v>
      </c>
      <c r="H67" s="57">
        <f t="shared" si="29"/>
        <v>577500</v>
      </c>
      <c r="I67" s="57">
        <v>12200</v>
      </c>
      <c r="J67" s="57">
        <f t="shared" si="30"/>
        <v>915000</v>
      </c>
      <c r="K67" s="57">
        <f t="shared" si="31"/>
        <v>19900</v>
      </c>
      <c r="L67" s="58">
        <f t="shared" si="32"/>
        <v>1492500</v>
      </c>
      <c r="M67" s="187"/>
      <c r="O67" s="176" t="s">
        <v>329</v>
      </c>
      <c r="P67" s="181">
        <v>7</v>
      </c>
    </row>
    <row r="68" spans="1:16" s="326" customFormat="1" ht="18" customHeight="1">
      <c r="A68" s="318" t="s">
        <v>209</v>
      </c>
      <c r="B68" s="319" t="s">
        <v>107</v>
      </c>
      <c r="C68" s="320" t="s">
        <v>310</v>
      </c>
      <c r="D68" s="321" t="s">
        <v>401</v>
      </c>
      <c r="E68" s="321" t="s">
        <v>11</v>
      </c>
      <c r="F68" s="415">
        <v>80</v>
      </c>
      <c r="G68" s="323">
        <v>13500</v>
      </c>
      <c r="H68" s="323">
        <f t="shared" si="29"/>
        <v>1080000</v>
      </c>
      <c r="I68" s="323">
        <v>16500</v>
      </c>
      <c r="J68" s="323">
        <f t="shared" si="30"/>
        <v>1320000</v>
      </c>
      <c r="K68" s="323">
        <f t="shared" si="31"/>
        <v>30000</v>
      </c>
      <c r="L68" s="324">
        <f t="shared" si="32"/>
        <v>2400000</v>
      </c>
      <c r="M68" s="325"/>
      <c r="N68" s="416"/>
      <c r="O68" s="327">
        <f>(1.7+2.5+3.3+0.7+0.2+0.4+0.7+0.7+0.8)*2.4+(0.3*4.6)</f>
        <v>27.779999999999994</v>
      </c>
      <c r="P68" s="328"/>
    </row>
    <row r="69" spans="1:16" s="59" customFormat="1" ht="18" customHeight="1">
      <c r="A69" s="52"/>
      <c r="B69" s="53"/>
      <c r="C69" s="54"/>
      <c r="D69" s="55"/>
      <c r="E69" s="55"/>
      <c r="F69" s="56"/>
      <c r="G69" s="57"/>
      <c r="H69" s="57"/>
      <c r="I69" s="57"/>
      <c r="J69" s="57"/>
      <c r="K69" s="57"/>
      <c r="L69" s="58"/>
      <c r="M69" s="188"/>
      <c r="O69" s="176"/>
      <c r="P69" s="181"/>
    </row>
    <row r="70" spans="1:16" s="262" customFormat="1" ht="18" customHeight="1">
      <c r="A70" s="257"/>
      <c r="B70" s="257" t="s">
        <v>13</v>
      </c>
      <c r="C70" s="258"/>
      <c r="D70" s="259"/>
      <c r="E70" s="259"/>
      <c r="F70" s="260"/>
      <c r="G70" s="261"/>
      <c r="H70" s="261">
        <f>SUM(H63:H69)</f>
        <v>2156300</v>
      </c>
      <c r="I70" s="261"/>
      <c r="J70" s="261">
        <f>SUM(J63:J69)</f>
        <v>3303000</v>
      </c>
      <c r="K70" s="261"/>
      <c r="L70" s="261">
        <f>SUM(L63:L69)</f>
        <v>5459300</v>
      </c>
      <c r="M70" s="187"/>
      <c r="O70" s="263"/>
      <c r="P70" s="264"/>
    </row>
    <row r="71" spans="1:16" ht="18" customHeight="1">
      <c r="A71" s="10"/>
      <c r="B71" s="11"/>
      <c r="C71" s="12"/>
      <c r="D71" s="5"/>
      <c r="E71" s="5"/>
      <c r="F71" s="50"/>
      <c r="G71" s="28"/>
      <c r="H71" s="28"/>
      <c r="I71" s="28"/>
      <c r="J71" s="28"/>
      <c r="K71" s="28"/>
      <c r="L71" s="29"/>
      <c r="M71" s="188"/>
    </row>
    <row r="72" spans="1:16" s="20" customFormat="1" ht="18" customHeight="1">
      <c r="A72" s="44" t="s">
        <v>31</v>
      </c>
      <c r="B72" s="45" t="s">
        <v>110</v>
      </c>
      <c r="C72" s="46"/>
      <c r="D72" s="16"/>
      <c r="E72" s="16"/>
      <c r="F72" s="51"/>
      <c r="G72" s="48"/>
      <c r="H72" s="48"/>
      <c r="I72" s="48"/>
      <c r="J72" s="48"/>
      <c r="K72" s="48"/>
      <c r="L72" s="49"/>
      <c r="M72" s="188"/>
      <c r="O72" s="174"/>
      <c r="P72" s="179"/>
    </row>
    <row r="73" spans="1:16" s="59" customFormat="1" ht="18" customHeight="1">
      <c r="A73" s="52">
        <v>-1</v>
      </c>
      <c r="B73" s="53" t="s">
        <v>111</v>
      </c>
      <c r="C73" s="54"/>
      <c r="D73" s="55"/>
      <c r="E73" s="55"/>
      <c r="F73" s="56"/>
      <c r="G73" s="57"/>
      <c r="H73" s="57"/>
      <c r="I73" s="57"/>
      <c r="J73" s="57"/>
      <c r="K73" s="57"/>
      <c r="L73" s="58"/>
      <c r="M73" s="188"/>
      <c r="O73" s="176" t="s">
        <v>330</v>
      </c>
      <c r="P73" s="181">
        <f>2.6+2.6+3.4</f>
        <v>8.6</v>
      </c>
    </row>
    <row r="74" spans="1:16" s="326" customFormat="1" ht="18" customHeight="1">
      <c r="A74" s="318" t="s">
        <v>209</v>
      </c>
      <c r="B74" s="319" t="s">
        <v>432</v>
      </c>
      <c r="C74" s="320" t="s">
        <v>440</v>
      </c>
      <c r="D74" s="321" t="s">
        <v>114</v>
      </c>
      <c r="E74" s="321" t="s">
        <v>40</v>
      </c>
      <c r="F74" s="322">
        <v>3.5</v>
      </c>
      <c r="G74" s="323">
        <v>230000</v>
      </c>
      <c r="H74" s="323">
        <f t="shared" ref="H74:H80" si="33">F74*G74</f>
        <v>805000</v>
      </c>
      <c r="I74" s="323">
        <v>50000</v>
      </c>
      <c r="J74" s="323">
        <f t="shared" ref="J74:J80" si="34">F74*I74</f>
        <v>175000</v>
      </c>
      <c r="K74" s="323">
        <f t="shared" ref="K74:K80" si="35">G74+I74</f>
        <v>280000</v>
      </c>
      <c r="L74" s="324">
        <f t="shared" ref="L74:L80" si="36">F74*K74</f>
        <v>980000</v>
      </c>
      <c r="M74" s="325"/>
      <c r="O74" s="327"/>
      <c r="P74" s="328"/>
    </row>
    <row r="75" spans="1:16" s="326" customFormat="1" ht="18" customHeight="1">
      <c r="A75" s="318" t="s">
        <v>45</v>
      </c>
      <c r="B75" s="319" t="s">
        <v>432</v>
      </c>
      <c r="C75" s="320" t="s">
        <v>442</v>
      </c>
      <c r="D75" s="321" t="s">
        <v>114</v>
      </c>
      <c r="E75" s="321" t="s">
        <v>40</v>
      </c>
      <c r="F75" s="322">
        <v>5.5</v>
      </c>
      <c r="G75" s="323">
        <v>230000</v>
      </c>
      <c r="H75" s="323">
        <f t="shared" ref="H75" si="37">F75*G75</f>
        <v>1265000</v>
      </c>
      <c r="I75" s="323">
        <v>50000</v>
      </c>
      <c r="J75" s="323">
        <f t="shared" ref="J75" si="38">F75*I75</f>
        <v>275000</v>
      </c>
      <c r="K75" s="323">
        <f t="shared" ref="K75" si="39">G75+I75</f>
        <v>280000</v>
      </c>
      <c r="L75" s="324">
        <f t="shared" ref="L75" si="40">F75*K75</f>
        <v>1540000</v>
      </c>
      <c r="M75" s="325"/>
      <c r="O75" s="327"/>
      <c r="P75" s="328"/>
    </row>
    <row r="76" spans="1:16" s="326" customFormat="1" ht="18" customHeight="1">
      <c r="A76" s="318" t="s">
        <v>45</v>
      </c>
      <c r="B76" s="319" t="s">
        <v>441</v>
      </c>
      <c r="C76" s="320" t="s">
        <v>442</v>
      </c>
      <c r="D76" s="321" t="s">
        <v>114</v>
      </c>
      <c r="E76" s="321" t="s">
        <v>40</v>
      </c>
      <c r="F76" s="322">
        <v>1</v>
      </c>
      <c r="G76" s="323">
        <v>230000</v>
      </c>
      <c r="H76" s="323">
        <f t="shared" ref="H76" si="41">F76*G76</f>
        <v>230000</v>
      </c>
      <c r="I76" s="323">
        <v>50000</v>
      </c>
      <c r="J76" s="323">
        <f t="shared" ref="J76" si="42">F76*I76</f>
        <v>50000</v>
      </c>
      <c r="K76" s="323">
        <f t="shared" ref="K76" si="43">G76+I76</f>
        <v>280000</v>
      </c>
      <c r="L76" s="324">
        <f t="shared" ref="L76" si="44">F76*K76</f>
        <v>280000</v>
      </c>
      <c r="M76" s="325"/>
      <c r="O76" s="327"/>
      <c r="P76" s="328"/>
    </row>
    <row r="77" spans="1:16" s="326" customFormat="1" ht="18" customHeight="1">
      <c r="A77" s="318" t="s">
        <v>45</v>
      </c>
      <c r="B77" s="319" t="s">
        <v>441</v>
      </c>
      <c r="C77" s="320" t="s">
        <v>442</v>
      </c>
      <c r="D77" s="321" t="s">
        <v>443</v>
      </c>
      <c r="E77" s="321" t="s">
        <v>81</v>
      </c>
      <c r="F77" s="322">
        <v>1</v>
      </c>
      <c r="G77" s="323">
        <v>1500000</v>
      </c>
      <c r="H77" s="323">
        <f t="shared" ref="H77" si="45">F77*G77</f>
        <v>1500000</v>
      </c>
      <c r="I77" s="323">
        <v>250000</v>
      </c>
      <c r="J77" s="323">
        <f t="shared" ref="J77" si="46">F77*I77</f>
        <v>250000</v>
      </c>
      <c r="K77" s="323">
        <f t="shared" ref="K77" si="47">G77+I77</f>
        <v>1750000</v>
      </c>
      <c r="L77" s="324">
        <f t="shared" ref="L77" si="48">F77*K77</f>
        <v>1750000</v>
      </c>
      <c r="M77" s="325"/>
      <c r="O77" s="327"/>
      <c r="P77" s="328"/>
    </row>
    <row r="78" spans="1:16" s="326" customFormat="1" ht="18" customHeight="1">
      <c r="A78" s="318" t="s">
        <v>209</v>
      </c>
      <c r="B78" s="319" t="s">
        <v>370</v>
      </c>
      <c r="C78" s="320" t="s">
        <v>424</v>
      </c>
      <c r="D78" s="321"/>
      <c r="E78" s="321" t="s">
        <v>39</v>
      </c>
      <c r="F78" s="322">
        <v>2</v>
      </c>
      <c r="G78" s="323">
        <v>1700000</v>
      </c>
      <c r="H78" s="323">
        <f t="shared" si="33"/>
        <v>3400000</v>
      </c>
      <c r="I78" s="323">
        <v>300000</v>
      </c>
      <c r="J78" s="323">
        <f t="shared" si="34"/>
        <v>600000</v>
      </c>
      <c r="K78" s="323">
        <f t="shared" si="35"/>
        <v>2000000</v>
      </c>
      <c r="L78" s="324">
        <f t="shared" si="36"/>
        <v>4000000</v>
      </c>
      <c r="M78" s="325"/>
      <c r="O78" s="327"/>
      <c r="P78" s="328"/>
    </row>
    <row r="79" spans="1:16" s="59" customFormat="1" ht="18" customHeight="1">
      <c r="A79" s="60" t="s">
        <v>209</v>
      </c>
      <c r="B79" s="53" t="s">
        <v>252</v>
      </c>
      <c r="C79" s="62" t="s">
        <v>416</v>
      </c>
      <c r="D79" s="60"/>
      <c r="E79" s="55" t="s">
        <v>43</v>
      </c>
      <c r="F79" s="61">
        <v>1</v>
      </c>
      <c r="G79" s="57">
        <v>180000</v>
      </c>
      <c r="H79" s="57">
        <f t="shared" si="33"/>
        <v>180000</v>
      </c>
      <c r="I79" s="57">
        <v>50000</v>
      </c>
      <c r="J79" s="57">
        <f t="shared" si="34"/>
        <v>50000</v>
      </c>
      <c r="K79" s="57">
        <f t="shared" si="35"/>
        <v>230000</v>
      </c>
      <c r="L79" s="58">
        <f t="shared" si="36"/>
        <v>230000</v>
      </c>
      <c r="M79" s="187"/>
      <c r="O79" s="176"/>
      <c r="P79" s="181"/>
    </row>
    <row r="80" spans="1:16" s="315" customFormat="1" ht="18" customHeight="1">
      <c r="A80" s="284" t="s">
        <v>209</v>
      </c>
      <c r="B80" s="308" t="s">
        <v>186</v>
      </c>
      <c r="C80" s="309" t="s">
        <v>405</v>
      </c>
      <c r="D80" s="284"/>
      <c r="E80" s="310" t="s">
        <v>43</v>
      </c>
      <c r="F80" s="311">
        <v>1</v>
      </c>
      <c r="G80" s="312">
        <v>310000</v>
      </c>
      <c r="H80" s="312">
        <f t="shared" si="33"/>
        <v>310000</v>
      </c>
      <c r="I80" s="312">
        <v>50000</v>
      </c>
      <c r="J80" s="312">
        <f t="shared" si="34"/>
        <v>50000</v>
      </c>
      <c r="K80" s="312">
        <f t="shared" si="35"/>
        <v>360000</v>
      </c>
      <c r="L80" s="313">
        <f t="shared" si="36"/>
        <v>360000</v>
      </c>
      <c r="M80" s="314"/>
      <c r="O80" s="316"/>
      <c r="P80" s="317"/>
    </row>
    <row r="81" spans="1:18" s="315" customFormat="1" ht="18" customHeight="1">
      <c r="A81" s="284" t="s">
        <v>269</v>
      </c>
      <c r="B81" s="308" t="s">
        <v>312</v>
      </c>
      <c r="C81" s="309"/>
      <c r="D81" s="384"/>
      <c r="E81" s="310" t="s">
        <v>270</v>
      </c>
      <c r="F81" s="311">
        <v>0</v>
      </c>
      <c r="G81" s="312">
        <v>500000</v>
      </c>
      <c r="H81" s="312">
        <f>F81*G81</f>
        <v>0</v>
      </c>
      <c r="I81" s="312">
        <v>50000</v>
      </c>
      <c r="J81" s="312">
        <f>F81*I81</f>
        <v>0</v>
      </c>
      <c r="K81" s="312">
        <f>G81+I81</f>
        <v>550000</v>
      </c>
      <c r="L81" s="313">
        <f>F81*K81</f>
        <v>0</v>
      </c>
      <c r="M81" s="314"/>
      <c r="O81" s="316"/>
      <c r="P81" s="317"/>
    </row>
    <row r="82" spans="1:18" s="59" customFormat="1" ht="18" customHeight="1">
      <c r="A82" s="60" t="s">
        <v>269</v>
      </c>
      <c r="B82" s="53" t="s">
        <v>417</v>
      </c>
      <c r="C82" s="62" t="s">
        <v>445</v>
      </c>
      <c r="D82" s="285" t="s">
        <v>444</v>
      </c>
      <c r="E82" s="55" t="s">
        <v>43</v>
      </c>
      <c r="F82" s="61">
        <v>1</v>
      </c>
      <c r="G82" s="57">
        <v>250000</v>
      </c>
      <c r="H82" s="57">
        <f>F82*G82</f>
        <v>250000</v>
      </c>
      <c r="I82" s="57">
        <v>50000</v>
      </c>
      <c r="J82" s="57">
        <f>F82*I82</f>
        <v>50000</v>
      </c>
      <c r="K82" s="57">
        <f>G82+I82</f>
        <v>300000</v>
      </c>
      <c r="L82" s="58">
        <f>F82*K82</f>
        <v>300000</v>
      </c>
      <c r="M82" s="187" t="s">
        <v>402</v>
      </c>
      <c r="O82" s="176"/>
      <c r="P82" s="181"/>
    </row>
    <row r="83" spans="1:18" s="59" customFormat="1" ht="18" hidden="1" customHeight="1">
      <c r="A83" s="52">
        <v>-1</v>
      </c>
      <c r="B83" s="53" t="s">
        <v>116</v>
      </c>
      <c r="C83" s="54"/>
      <c r="D83" s="55"/>
      <c r="E83" s="55"/>
      <c r="F83" s="56"/>
      <c r="G83" s="57"/>
      <c r="H83" s="57"/>
      <c r="I83" s="57"/>
      <c r="J83" s="57"/>
      <c r="K83" s="57"/>
      <c r="L83" s="58"/>
      <c r="M83" s="188"/>
      <c r="O83" s="176"/>
      <c r="P83" s="181"/>
    </row>
    <row r="84" spans="1:18" s="59" customFormat="1" ht="18" hidden="1" customHeight="1">
      <c r="A84" s="60" t="s">
        <v>45</v>
      </c>
      <c r="B84" s="53" t="s">
        <v>247</v>
      </c>
      <c r="C84" s="62"/>
      <c r="D84" s="55" t="s">
        <v>114</v>
      </c>
      <c r="E84" s="55" t="s">
        <v>113</v>
      </c>
      <c r="F84" s="61"/>
      <c r="G84" s="57">
        <v>120000</v>
      </c>
      <c r="H84" s="57">
        <f>F84*G84</f>
        <v>0</v>
      </c>
      <c r="I84" s="57">
        <v>30000</v>
      </c>
      <c r="J84" s="57">
        <f>F84*I84</f>
        <v>0</v>
      </c>
      <c r="K84" s="57">
        <f t="shared" ref="K84" si="49">G84+I84</f>
        <v>150000</v>
      </c>
      <c r="L84" s="58">
        <f>F84*K84</f>
        <v>0</v>
      </c>
      <c r="M84" s="188"/>
      <c r="O84" s="176">
        <f>40/3</f>
        <v>13.333333333333334</v>
      </c>
      <c r="P84" s="181"/>
    </row>
    <row r="85" spans="1:18" s="59" customFormat="1" ht="18" hidden="1" customHeight="1">
      <c r="A85" s="60" t="s">
        <v>12</v>
      </c>
      <c r="B85" s="53" t="s">
        <v>271</v>
      </c>
      <c r="C85" s="62" t="s">
        <v>272</v>
      </c>
      <c r="D85" s="55" t="s">
        <v>114</v>
      </c>
      <c r="E85" s="55" t="s">
        <v>81</v>
      </c>
      <c r="F85" s="61"/>
      <c r="G85" s="57">
        <v>60000</v>
      </c>
      <c r="H85" s="57">
        <f>F85*G85</f>
        <v>0</v>
      </c>
      <c r="I85" s="57">
        <v>20000</v>
      </c>
      <c r="J85" s="57">
        <f>F85*I85</f>
        <v>0</v>
      </c>
      <c r="K85" s="57">
        <f>G85+I85</f>
        <v>80000</v>
      </c>
      <c r="L85" s="58">
        <f>F85*K85</f>
        <v>0</v>
      </c>
      <c r="M85" s="188"/>
      <c r="O85" s="176"/>
      <c r="P85" s="181"/>
    </row>
    <row r="86" spans="1:18" s="59" customFormat="1" ht="18" hidden="1" customHeight="1">
      <c r="A86" s="60"/>
      <c r="B86" s="53"/>
      <c r="C86" s="62"/>
      <c r="D86" s="55"/>
      <c r="E86" s="55"/>
      <c r="F86" s="61"/>
      <c r="G86" s="57"/>
      <c r="H86" s="57"/>
      <c r="I86" s="57"/>
      <c r="J86" s="57"/>
      <c r="K86" s="57"/>
      <c r="L86" s="58"/>
      <c r="M86" s="188"/>
      <c r="O86" s="176"/>
      <c r="P86" s="181"/>
    </row>
    <row r="87" spans="1:18" s="59" customFormat="1" ht="18" customHeight="1">
      <c r="A87" s="60"/>
      <c r="B87" s="53"/>
      <c r="C87" s="62"/>
      <c r="D87" s="55"/>
      <c r="E87" s="55"/>
      <c r="G87" s="57"/>
      <c r="H87" s="57"/>
      <c r="I87" s="57"/>
      <c r="J87" s="57"/>
      <c r="K87" s="57"/>
      <c r="L87" s="58"/>
      <c r="M87" s="188"/>
      <c r="O87" s="176"/>
      <c r="P87" s="181"/>
    </row>
    <row r="88" spans="1:18" s="59" customFormat="1" ht="18" customHeight="1">
      <c r="A88" s="52">
        <v>-1</v>
      </c>
      <c r="B88" s="53" t="s">
        <v>111</v>
      </c>
      <c r="C88" s="54"/>
      <c r="D88" s="55"/>
      <c r="E88" s="55"/>
      <c r="F88" s="61"/>
      <c r="G88" s="57"/>
      <c r="H88" s="57"/>
      <c r="I88" s="57"/>
      <c r="J88" s="57"/>
      <c r="K88" s="57"/>
      <c r="L88" s="58"/>
      <c r="M88" s="188"/>
      <c r="O88" s="176"/>
      <c r="P88" s="181"/>
    </row>
    <row r="89" spans="1:18" s="59" customFormat="1" ht="18" customHeight="1">
      <c r="A89" s="60" t="s">
        <v>12</v>
      </c>
      <c r="B89" s="53" t="s">
        <v>282</v>
      </c>
      <c r="C89" s="62" t="s">
        <v>272</v>
      </c>
      <c r="D89" s="55" t="s">
        <v>114</v>
      </c>
      <c r="E89" s="55" t="s">
        <v>81</v>
      </c>
      <c r="F89" s="61">
        <v>1</v>
      </c>
      <c r="G89" s="57">
        <v>130000</v>
      </c>
      <c r="H89" s="57">
        <f>F88*G89</f>
        <v>0</v>
      </c>
      <c r="I89" s="57">
        <v>20000</v>
      </c>
      <c r="J89" s="57">
        <f>F88*I89</f>
        <v>0</v>
      </c>
      <c r="K89" s="57">
        <f>G89+I89</f>
        <v>150000</v>
      </c>
      <c r="L89" s="58">
        <f>F88*K89</f>
        <v>0</v>
      </c>
      <c r="M89" s="188"/>
      <c r="O89" s="176"/>
      <c r="P89" s="181"/>
    </row>
    <row r="90" spans="1:18" s="59" customFormat="1" ht="18" customHeight="1">
      <c r="A90" s="60" t="s">
        <v>12</v>
      </c>
      <c r="B90" s="53" t="s">
        <v>282</v>
      </c>
      <c r="C90" s="62" t="s">
        <v>353</v>
      </c>
      <c r="D90" s="55" t="s">
        <v>114</v>
      </c>
      <c r="E90" s="55" t="s">
        <v>81</v>
      </c>
      <c r="F90" s="61">
        <v>1</v>
      </c>
      <c r="G90" s="57">
        <v>150000</v>
      </c>
      <c r="H90" s="57">
        <f>F90*G90</f>
        <v>150000</v>
      </c>
      <c r="I90" s="57">
        <v>20000</v>
      </c>
      <c r="J90" s="57">
        <f t="shared" ref="J90" si="50">F90*I90</f>
        <v>20000</v>
      </c>
      <c r="K90" s="57">
        <f>G90+I90</f>
        <v>170000</v>
      </c>
      <c r="L90" s="58">
        <f t="shared" ref="L90" si="51">F90*K90</f>
        <v>170000</v>
      </c>
      <c r="M90" s="188"/>
      <c r="O90" s="176"/>
      <c r="P90" s="181"/>
    </row>
    <row r="91" spans="1:18" s="59" customFormat="1" ht="18" hidden="1" customHeight="1">
      <c r="A91" s="60" t="s">
        <v>45</v>
      </c>
      <c r="B91" s="53" t="s">
        <v>283</v>
      </c>
      <c r="C91" s="62"/>
      <c r="D91" s="55" t="s">
        <v>114</v>
      </c>
      <c r="E91" s="55" t="s">
        <v>40</v>
      </c>
      <c r="F91" s="61">
        <v>0</v>
      </c>
      <c r="G91" s="57">
        <v>230000</v>
      </c>
      <c r="H91" s="57">
        <f t="shared" ref="H91:H93" si="52">F91*G91</f>
        <v>0</v>
      </c>
      <c r="I91" s="57">
        <v>50000</v>
      </c>
      <c r="J91" s="57">
        <f t="shared" ref="J91:J93" si="53">F91*I91</f>
        <v>0</v>
      </c>
      <c r="K91" s="57">
        <f t="shared" ref="K91" si="54">G91+I91</f>
        <v>280000</v>
      </c>
      <c r="L91" s="58">
        <f t="shared" ref="L91:L93" si="55">F91*K91</f>
        <v>0</v>
      </c>
      <c r="M91" s="187"/>
      <c r="O91" s="176"/>
      <c r="P91" s="181"/>
    </row>
    <row r="92" spans="1:18" s="59" customFormat="1" ht="18" hidden="1" customHeight="1">
      <c r="A92" s="60" t="s">
        <v>45</v>
      </c>
      <c r="B92" s="53" t="s">
        <v>273</v>
      </c>
      <c r="C92" s="62" t="s">
        <v>297</v>
      </c>
      <c r="D92" s="285"/>
      <c r="E92" s="55" t="s">
        <v>40</v>
      </c>
      <c r="F92" s="61">
        <v>0</v>
      </c>
      <c r="G92" s="57">
        <v>225000</v>
      </c>
      <c r="H92" s="57">
        <f t="shared" si="52"/>
        <v>0</v>
      </c>
      <c r="I92" s="57">
        <v>33000</v>
      </c>
      <c r="J92" s="57">
        <f t="shared" si="53"/>
        <v>0</v>
      </c>
      <c r="K92" s="57">
        <f>G92+I92</f>
        <v>258000</v>
      </c>
      <c r="L92" s="58">
        <f t="shared" si="55"/>
        <v>0</v>
      </c>
      <c r="M92" s="187"/>
      <c r="O92" s="176"/>
      <c r="P92" s="181"/>
    </row>
    <row r="93" spans="1:18" s="59" customFormat="1" ht="18" hidden="1" customHeight="1">
      <c r="A93" s="60" t="s">
        <v>12</v>
      </c>
      <c r="B93" s="53" t="s">
        <v>284</v>
      </c>
      <c r="C93" s="62" t="s">
        <v>272</v>
      </c>
      <c r="D93" s="55" t="s">
        <v>114</v>
      </c>
      <c r="E93" s="55" t="s">
        <v>81</v>
      </c>
      <c r="F93" s="61">
        <v>0</v>
      </c>
      <c r="G93" s="57">
        <v>60000</v>
      </c>
      <c r="H93" s="57">
        <f t="shared" si="52"/>
        <v>0</v>
      </c>
      <c r="I93" s="57">
        <v>20000</v>
      </c>
      <c r="J93" s="57">
        <f t="shared" si="53"/>
        <v>0</v>
      </c>
      <c r="K93" s="57">
        <f>G93+I93</f>
        <v>80000</v>
      </c>
      <c r="L93" s="58">
        <f t="shared" si="55"/>
        <v>0</v>
      </c>
      <c r="M93" s="188"/>
      <c r="O93" s="176"/>
      <c r="P93" s="181"/>
    </row>
    <row r="94" spans="1:18" s="59" customFormat="1" ht="18" customHeight="1">
      <c r="A94" s="60" t="s">
        <v>45</v>
      </c>
      <c r="B94" s="53" t="s">
        <v>247</v>
      </c>
      <c r="C94" s="62" t="s">
        <v>408</v>
      </c>
      <c r="D94" s="55"/>
      <c r="E94" s="55" t="s">
        <v>113</v>
      </c>
      <c r="F94" s="61">
        <v>8</v>
      </c>
      <c r="G94" s="57">
        <v>130000</v>
      </c>
      <c r="H94" s="57">
        <f>F94*G94</f>
        <v>1040000</v>
      </c>
      <c r="I94" s="57">
        <v>30000</v>
      </c>
      <c r="J94" s="57">
        <f>F94*I94</f>
        <v>240000</v>
      </c>
      <c r="K94" s="57">
        <f>G94+I94</f>
        <v>160000</v>
      </c>
      <c r="L94" s="58">
        <f>F94*K94</f>
        <v>1280000</v>
      </c>
      <c r="M94" s="188"/>
      <c r="O94" s="176">
        <f>(39+26)/3</f>
        <v>21.666666666666668</v>
      </c>
      <c r="P94" s="181"/>
      <c r="Q94" s="335"/>
      <c r="R94" s="335"/>
    </row>
    <row r="95" spans="1:18" ht="18" customHeight="1">
      <c r="A95" s="10"/>
      <c r="B95" s="11"/>
      <c r="C95" s="12"/>
      <c r="D95" s="5"/>
      <c r="E95" s="5"/>
      <c r="F95" s="50"/>
      <c r="G95" s="28"/>
      <c r="H95" s="28"/>
      <c r="I95" s="28"/>
      <c r="J95" s="28"/>
      <c r="K95" s="28"/>
      <c r="L95" s="29"/>
      <c r="M95" s="188"/>
    </row>
    <row r="96" spans="1:18" s="59" customFormat="1" ht="18" customHeight="1">
      <c r="A96" s="52">
        <v>-1</v>
      </c>
      <c r="B96" s="53" t="s">
        <v>406</v>
      </c>
      <c r="C96" s="54"/>
      <c r="D96" s="55"/>
      <c r="E96" s="55"/>
      <c r="F96" s="61"/>
      <c r="G96" s="57"/>
      <c r="H96" s="57"/>
      <c r="I96" s="57"/>
      <c r="J96" s="57"/>
      <c r="K96" s="57"/>
      <c r="L96" s="58"/>
      <c r="M96" s="188"/>
      <c r="O96" s="176"/>
      <c r="P96" s="181"/>
    </row>
    <row r="97" spans="1:18" s="59" customFormat="1" ht="18" customHeight="1">
      <c r="A97" s="60" t="s">
        <v>12</v>
      </c>
      <c r="B97" s="53" t="s">
        <v>352</v>
      </c>
      <c r="C97" s="62" t="s">
        <v>425</v>
      </c>
      <c r="D97" s="55" t="s">
        <v>114</v>
      </c>
      <c r="E97" s="55" t="s">
        <v>113</v>
      </c>
      <c r="F97" s="61">
        <v>15</v>
      </c>
      <c r="G97" s="57">
        <v>120000</v>
      </c>
      <c r="H97" s="57">
        <f>F97*G97</f>
        <v>1800000</v>
      </c>
      <c r="I97" s="57">
        <v>30000</v>
      </c>
      <c r="J97" s="57">
        <f>F97*I97</f>
        <v>450000</v>
      </c>
      <c r="K97" s="57">
        <f>G97+I97</f>
        <v>150000</v>
      </c>
      <c r="L97" s="58">
        <f>F97*K97</f>
        <v>2250000</v>
      </c>
      <c r="M97" s="188"/>
      <c r="O97" s="176"/>
      <c r="P97" s="181"/>
    </row>
    <row r="98" spans="1:18" s="59" customFormat="1" ht="18" customHeight="1">
      <c r="A98" s="60" t="s">
        <v>45</v>
      </c>
      <c r="B98" s="53" t="s">
        <v>437</v>
      </c>
      <c r="C98" s="62" t="s">
        <v>425</v>
      </c>
      <c r="D98" s="55" t="s">
        <v>114</v>
      </c>
      <c r="E98" s="55" t="s">
        <v>40</v>
      </c>
      <c r="F98" s="61">
        <v>1.8</v>
      </c>
      <c r="G98" s="57">
        <v>230000</v>
      </c>
      <c r="H98" s="57">
        <f t="shared" ref="H98" si="56">F98*G98</f>
        <v>414000</v>
      </c>
      <c r="I98" s="57">
        <v>50000</v>
      </c>
      <c r="J98" s="57">
        <f t="shared" ref="J98" si="57">F98*I98</f>
        <v>90000</v>
      </c>
      <c r="K98" s="57">
        <f t="shared" ref="K98" si="58">G98+I98</f>
        <v>280000</v>
      </c>
      <c r="L98" s="58">
        <f t="shared" ref="L98" si="59">F98*K98</f>
        <v>504000</v>
      </c>
      <c r="M98" s="188"/>
      <c r="O98" s="176"/>
      <c r="P98" s="181"/>
    </row>
    <row r="99" spans="1:18" s="59" customFormat="1" ht="18" customHeight="1">
      <c r="A99" s="60" t="s">
        <v>45</v>
      </c>
      <c r="B99" s="53" t="s">
        <v>438</v>
      </c>
      <c r="C99" s="62" t="s">
        <v>439</v>
      </c>
      <c r="D99" s="55" t="s">
        <v>114</v>
      </c>
      <c r="E99" s="55" t="s">
        <v>39</v>
      </c>
      <c r="F99" s="61">
        <v>1</v>
      </c>
      <c r="G99" s="57">
        <v>350000</v>
      </c>
      <c r="H99" s="57">
        <f t="shared" ref="H99" si="60">F99*G99</f>
        <v>350000</v>
      </c>
      <c r="I99" s="57">
        <v>50000</v>
      </c>
      <c r="J99" s="57">
        <f t="shared" ref="J99" si="61">F99*I99</f>
        <v>50000</v>
      </c>
      <c r="K99" s="57">
        <f t="shared" ref="K99" si="62">G99+I99</f>
        <v>400000</v>
      </c>
      <c r="L99" s="58">
        <f t="shared" ref="L99" si="63">F99*K99</f>
        <v>400000</v>
      </c>
      <c r="M99" s="188"/>
      <c r="O99" s="176"/>
      <c r="P99" s="181"/>
    </row>
    <row r="100" spans="1:18" s="59" customFormat="1" ht="18" customHeight="1">
      <c r="A100" s="60" t="s">
        <v>12</v>
      </c>
      <c r="B100" s="53" t="s">
        <v>352</v>
      </c>
      <c r="C100" s="62" t="s">
        <v>407</v>
      </c>
      <c r="D100" s="55" t="s">
        <v>114</v>
      </c>
      <c r="E100" s="55" t="s">
        <v>113</v>
      </c>
      <c r="F100" s="61">
        <v>6</v>
      </c>
      <c r="G100" s="57">
        <v>120000</v>
      </c>
      <c r="H100" s="57">
        <f>F100*G100</f>
        <v>720000</v>
      </c>
      <c r="I100" s="57">
        <v>30000</v>
      </c>
      <c r="J100" s="57">
        <f>F100*I100</f>
        <v>180000</v>
      </c>
      <c r="K100" s="57">
        <f>G100+I100</f>
        <v>150000</v>
      </c>
      <c r="L100" s="58">
        <f>F100*K100</f>
        <v>900000</v>
      </c>
      <c r="M100" s="188"/>
      <c r="O100" s="176"/>
      <c r="P100" s="181"/>
    </row>
    <row r="101" spans="1:18" ht="18" customHeight="1">
      <c r="A101" s="10"/>
      <c r="B101" s="11"/>
      <c r="C101" s="12"/>
      <c r="D101" s="5"/>
      <c r="E101" s="5"/>
      <c r="F101" s="50"/>
      <c r="G101" s="28"/>
      <c r="H101" s="28"/>
      <c r="I101" s="28"/>
      <c r="J101" s="28"/>
      <c r="K101" s="28"/>
      <c r="L101" s="29"/>
      <c r="M101" s="188"/>
    </row>
    <row r="102" spans="1:18" s="59" customFormat="1" ht="18" customHeight="1">
      <c r="A102" s="52">
        <v>-1</v>
      </c>
      <c r="B102" s="53" t="s">
        <v>340</v>
      </c>
      <c r="C102" s="54"/>
      <c r="D102" s="55"/>
      <c r="E102" s="55"/>
      <c r="F102" s="56"/>
      <c r="G102" s="57"/>
      <c r="H102" s="57"/>
      <c r="I102" s="57"/>
      <c r="J102" s="57"/>
      <c r="K102" s="57"/>
      <c r="L102" s="58"/>
      <c r="M102" s="188"/>
      <c r="O102" s="176"/>
      <c r="P102" s="181"/>
    </row>
    <row r="103" spans="1:18" s="59" customFormat="1" ht="18" customHeight="1">
      <c r="A103" s="60" t="s">
        <v>45</v>
      </c>
      <c r="B103" s="53" t="s">
        <v>393</v>
      </c>
      <c r="C103" s="62" t="s">
        <v>394</v>
      </c>
      <c r="D103" s="55" t="s">
        <v>251</v>
      </c>
      <c r="E103" s="55" t="s">
        <v>113</v>
      </c>
      <c r="F103" s="61">
        <v>6</v>
      </c>
      <c r="G103" s="57">
        <v>130000</v>
      </c>
      <c r="H103" s="57">
        <f>F103*G103</f>
        <v>780000</v>
      </c>
      <c r="I103" s="57">
        <v>30000</v>
      </c>
      <c r="J103" s="57">
        <f>F103*I103</f>
        <v>180000</v>
      </c>
      <c r="K103" s="57">
        <f t="shared" ref="K103" si="64">G103+I103</f>
        <v>160000</v>
      </c>
      <c r="L103" s="58">
        <f>F103*K103</f>
        <v>960000</v>
      </c>
      <c r="M103" s="188"/>
      <c r="O103" s="176">
        <f>(39+26)/3</f>
        <v>21.666666666666668</v>
      </c>
      <c r="P103" s="181"/>
      <c r="Q103" s="335"/>
      <c r="R103" s="335"/>
    </row>
    <row r="104" spans="1:18" s="59" customFormat="1" ht="18" customHeight="1">
      <c r="A104" s="60" t="s">
        <v>12</v>
      </c>
      <c r="B104" s="53" t="s">
        <v>418</v>
      </c>
      <c r="C104" s="62" t="s">
        <v>425</v>
      </c>
      <c r="D104" s="55" t="s">
        <v>114</v>
      </c>
      <c r="E104" s="55" t="s">
        <v>81</v>
      </c>
      <c r="F104" s="61">
        <v>1</v>
      </c>
      <c r="G104" s="57">
        <v>450000</v>
      </c>
      <c r="H104" s="57">
        <f>F104*G104</f>
        <v>450000</v>
      </c>
      <c r="I104" s="57">
        <v>50000</v>
      </c>
      <c r="J104" s="57">
        <f>F104*I104</f>
        <v>50000</v>
      </c>
      <c r="K104" s="57">
        <f>G104+I104</f>
        <v>500000</v>
      </c>
      <c r="L104" s="58">
        <f>F104*K104</f>
        <v>500000</v>
      </c>
      <c r="M104" s="187"/>
      <c r="O104" s="176"/>
      <c r="P104" s="181"/>
    </row>
    <row r="105" spans="1:18" s="59" customFormat="1" ht="18" hidden="1" customHeight="1">
      <c r="A105" s="60" t="s">
        <v>45</v>
      </c>
      <c r="B105" s="53" t="s">
        <v>374</v>
      </c>
      <c r="C105" s="62" t="s">
        <v>375</v>
      </c>
      <c r="D105" s="55" t="s">
        <v>376</v>
      </c>
      <c r="E105" s="55" t="s">
        <v>113</v>
      </c>
      <c r="F105" s="61">
        <v>0</v>
      </c>
      <c r="G105" s="57">
        <v>35000</v>
      </c>
      <c r="H105" s="57">
        <f t="shared" ref="H105" si="65">F105*G105</f>
        <v>0</v>
      </c>
      <c r="I105" s="57">
        <v>10000</v>
      </c>
      <c r="J105" s="57">
        <f t="shared" ref="J105" si="66">F105*I105</f>
        <v>0</v>
      </c>
      <c r="K105" s="57">
        <f t="shared" ref="K105" si="67">G105+I105</f>
        <v>45000</v>
      </c>
      <c r="L105" s="58">
        <f t="shared" ref="L105" si="68">F105*K105</f>
        <v>0</v>
      </c>
      <c r="M105" s="187"/>
      <c r="O105" s="176"/>
      <c r="P105" s="181"/>
    </row>
    <row r="106" spans="1:18" s="59" customFormat="1" ht="18" customHeight="1">
      <c r="A106" s="60" t="s">
        <v>45</v>
      </c>
      <c r="B106" s="53" t="s">
        <v>356</v>
      </c>
      <c r="C106" s="62" t="s">
        <v>357</v>
      </c>
      <c r="D106" s="55" t="s">
        <v>358</v>
      </c>
      <c r="E106" s="55" t="s">
        <v>81</v>
      </c>
      <c r="F106" s="61">
        <v>1</v>
      </c>
      <c r="G106" s="57">
        <v>0</v>
      </c>
      <c r="H106" s="57">
        <f t="shared" ref="H106" si="69">F106*G106</f>
        <v>0</v>
      </c>
      <c r="I106" s="57">
        <v>450000</v>
      </c>
      <c r="J106" s="57">
        <f t="shared" ref="J106" si="70">F106*I106</f>
        <v>450000</v>
      </c>
      <c r="K106" s="57">
        <f t="shared" ref="K106" si="71">G106+I106</f>
        <v>450000</v>
      </c>
      <c r="L106" s="58">
        <f t="shared" ref="L106" si="72">F106*K106</f>
        <v>450000</v>
      </c>
      <c r="M106" s="188"/>
      <c r="O106" s="176"/>
      <c r="P106" s="181"/>
    </row>
    <row r="107" spans="1:18" ht="18" customHeight="1">
      <c r="A107" s="10"/>
      <c r="B107" s="11"/>
      <c r="C107" s="12"/>
      <c r="D107" s="5"/>
      <c r="E107" s="5"/>
      <c r="F107" s="50" t="s">
        <v>310</v>
      </c>
      <c r="G107" s="28"/>
      <c r="H107" s="28"/>
      <c r="I107" s="28"/>
      <c r="J107" s="28"/>
      <c r="K107" s="28"/>
      <c r="L107" s="29"/>
      <c r="M107" s="188"/>
    </row>
    <row r="108" spans="1:18" s="20" customFormat="1" ht="18" customHeight="1">
      <c r="A108" s="13"/>
      <c r="B108" s="13" t="s">
        <v>13</v>
      </c>
      <c r="C108" s="15"/>
      <c r="D108" s="16"/>
      <c r="E108" s="16"/>
      <c r="F108" s="51"/>
      <c r="G108" s="48"/>
      <c r="H108" s="48">
        <f>SUM(H74:H107)</f>
        <v>13644000</v>
      </c>
      <c r="I108" s="48"/>
      <c r="J108" s="48">
        <f>SUM(J74:J107)</f>
        <v>3210000</v>
      </c>
      <c r="K108" s="48"/>
      <c r="L108" s="48">
        <f>SUM(L74:L107)</f>
        <v>16854000</v>
      </c>
      <c r="M108" s="188"/>
      <c r="O108" s="174"/>
      <c r="P108" s="179"/>
    </row>
    <row r="109" spans="1:18" ht="18" customHeight="1">
      <c r="A109" s="13"/>
      <c r="B109" s="14"/>
      <c r="C109" s="12"/>
      <c r="D109" s="5"/>
      <c r="E109" s="5"/>
      <c r="F109" s="50"/>
      <c r="G109" s="28"/>
      <c r="H109" s="28"/>
      <c r="I109" s="28"/>
      <c r="J109" s="28"/>
      <c r="K109" s="28"/>
      <c r="L109" s="29"/>
      <c r="M109" s="188"/>
    </row>
    <row r="110" spans="1:18" s="20" customFormat="1" ht="18" customHeight="1">
      <c r="A110" s="44" t="s">
        <v>32</v>
      </c>
      <c r="B110" s="45" t="s">
        <v>117</v>
      </c>
      <c r="C110" s="46" t="s">
        <v>349</v>
      </c>
      <c r="D110" s="16"/>
      <c r="E110" s="16"/>
      <c r="F110" s="51"/>
      <c r="G110" s="48"/>
      <c r="H110" s="48"/>
      <c r="I110" s="48"/>
      <c r="J110" s="48"/>
      <c r="K110" s="48"/>
      <c r="L110" s="49"/>
      <c r="M110" s="188"/>
      <c r="O110" s="174"/>
      <c r="P110" s="179"/>
    </row>
    <row r="111" spans="1:18" s="59" customFormat="1" ht="18" customHeight="1">
      <c r="A111" s="52">
        <v>-1</v>
      </c>
      <c r="B111" s="53" t="s">
        <v>118</v>
      </c>
      <c r="C111" s="54"/>
      <c r="D111" s="55"/>
      <c r="E111" s="55"/>
      <c r="F111" s="56"/>
      <c r="G111" s="57"/>
      <c r="H111" s="57"/>
      <c r="I111" s="57"/>
      <c r="J111" s="57"/>
      <c r="K111" s="57"/>
      <c r="L111" s="58"/>
      <c r="M111" s="188"/>
      <c r="O111" s="176"/>
      <c r="P111" s="181"/>
    </row>
    <row r="112" spans="1:18" s="59" customFormat="1" ht="18" customHeight="1">
      <c r="A112" s="60" t="s">
        <v>12</v>
      </c>
      <c r="B112" s="53" t="s">
        <v>120</v>
      </c>
      <c r="C112" s="62" t="s">
        <v>313</v>
      </c>
      <c r="D112" s="55"/>
      <c r="E112" s="55" t="s">
        <v>39</v>
      </c>
      <c r="F112" s="61">
        <v>65</v>
      </c>
      <c r="G112" s="57">
        <v>5000</v>
      </c>
      <c r="H112" s="57">
        <f>F112*G112</f>
        <v>325000</v>
      </c>
      <c r="I112" s="57">
        <v>8000</v>
      </c>
      <c r="J112" s="57">
        <f t="shared" ref="J112:J118" si="73">F112*I112</f>
        <v>520000</v>
      </c>
      <c r="K112" s="57">
        <f t="shared" ref="K112:K120" si="74">G112+I112</f>
        <v>13000</v>
      </c>
      <c r="L112" s="58">
        <f t="shared" ref="L112:L120" si="75">F112*K112</f>
        <v>845000</v>
      </c>
      <c r="M112" s="188"/>
      <c r="O112" s="176">
        <f>(3+6+22+6+6+2+3)</f>
        <v>48</v>
      </c>
      <c r="P112" s="181">
        <f>13+8+6</f>
        <v>27</v>
      </c>
    </row>
    <row r="113" spans="1:16" s="326" customFormat="1" ht="18" customHeight="1">
      <c r="A113" s="318" t="s">
        <v>12</v>
      </c>
      <c r="B113" s="319" t="s">
        <v>320</v>
      </c>
      <c r="C113" s="320" t="s">
        <v>377</v>
      </c>
      <c r="D113" s="318"/>
      <c r="E113" s="321" t="s">
        <v>40</v>
      </c>
      <c r="F113" s="322">
        <v>4</v>
      </c>
      <c r="G113" s="323">
        <v>55000</v>
      </c>
      <c r="H113" s="323">
        <f t="shared" ref="H113" si="76">F113*G113</f>
        <v>220000</v>
      </c>
      <c r="I113" s="323">
        <v>15000</v>
      </c>
      <c r="J113" s="323">
        <f t="shared" ref="J113" si="77">F113*I113</f>
        <v>60000</v>
      </c>
      <c r="K113" s="323">
        <f t="shared" ref="K113" si="78">G113+I113</f>
        <v>70000</v>
      </c>
      <c r="L113" s="324">
        <f t="shared" ref="L113" si="79">F113*K113</f>
        <v>280000</v>
      </c>
      <c r="M113" s="325"/>
      <c r="O113" s="327">
        <f>(1.4+1.1+3.3+4.4+2.6+1.2+1.3+1)</f>
        <v>16.299999999999997</v>
      </c>
      <c r="P113" s="328"/>
    </row>
    <row r="114" spans="1:16" s="59" customFormat="1" ht="18" customHeight="1">
      <c r="A114" s="60" t="s">
        <v>12</v>
      </c>
      <c r="B114" s="53" t="s">
        <v>119</v>
      </c>
      <c r="C114" s="62" t="s">
        <v>314</v>
      </c>
      <c r="D114" s="60"/>
      <c r="E114" s="55" t="s">
        <v>40</v>
      </c>
      <c r="F114" s="61">
        <v>35</v>
      </c>
      <c r="G114" s="57">
        <v>22000</v>
      </c>
      <c r="H114" s="57">
        <f t="shared" ref="H114:H120" si="80">F114*G114</f>
        <v>770000</v>
      </c>
      <c r="I114" s="57">
        <v>20000</v>
      </c>
      <c r="J114" s="57">
        <f t="shared" si="73"/>
        <v>700000</v>
      </c>
      <c r="K114" s="57">
        <f t="shared" si="74"/>
        <v>42000</v>
      </c>
      <c r="L114" s="58">
        <f t="shared" si="75"/>
        <v>1470000</v>
      </c>
      <c r="M114" s="188"/>
      <c r="O114" s="176">
        <f>(1.4+1.1+3.3+4.4+2.6+1.2+1.3+1)</f>
        <v>16.299999999999997</v>
      </c>
      <c r="P114" s="181"/>
    </row>
    <row r="115" spans="1:16" s="386" customFormat="1" ht="18" customHeight="1">
      <c r="A115" s="402" t="s">
        <v>12</v>
      </c>
      <c r="B115" s="403" t="s">
        <v>204</v>
      </c>
      <c r="C115" s="404" t="s">
        <v>460</v>
      </c>
      <c r="D115" s="405"/>
      <c r="E115" s="405" t="s">
        <v>81</v>
      </c>
      <c r="F115" s="406">
        <v>1</v>
      </c>
      <c r="G115" s="407">
        <v>900000</v>
      </c>
      <c r="H115" s="407">
        <f t="shared" si="80"/>
        <v>900000</v>
      </c>
      <c r="I115" s="407">
        <v>500000</v>
      </c>
      <c r="J115" s="407">
        <f t="shared" si="73"/>
        <v>500000</v>
      </c>
      <c r="K115" s="407">
        <f t="shared" si="74"/>
        <v>1400000</v>
      </c>
      <c r="L115" s="408">
        <f t="shared" si="75"/>
        <v>1400000</v>
      </c>
      <c r="M115" s="409"/>
      <c r="O115" s="387">
        <f>16+1.8+1.6+8.6+1.5+1.3+1.7</f>
        <v>32.5</v>
      </c>
      <c r="P115" s="388">
        <f>1.7+2.8+1.7+5.5+1+1</f>
        <v>13.7</v>
      </c>
    </row>
    <row r="116" spans="1:16" s="59" customFormat="1" ht="18" customHeight="1">
      <c r="A116" s="60" t="s">
        <v>12</v>
      </c>
      <c r="B116" s="53" t="s">
        <v>121</v>
      </c>
      <c r="C116" s="62" t="s">
        <v>310</v>
      </c>
      <c r="D116" s="55"/>
      <c r="E116" s="55" t="s">
        <v>39</v>
      </c>
      <c r="F116" s="61">
        <v>1</v>
      </c>
      <c r="G116" s="57">
        <v>15000</v>
      </c>
      <c r="H116" s="57">
        <f t="shared" si="80"/>
        <v>15000</v>
      </c>
      <c r="I116" s="57">
        <v>10000</v>
      </c>
      <c r="J116" s="57">
        <f t="shared" si="73"/>
        <v>10000</v>
      </c>
      <c r="K116" s="57">
        <f t="shared" si="74"/>
        <v>25000</v>
      </c>
      <c r="L116" s="58">
        <f t="shared" si="75"/>
        <v>25000</v>
      </c>
      <c r="M116" s="188"/>
      <c r="O116" s="176"/>
      <c r="P116" s="181"/>
    </row>
    <row r="117" spans="1:16" s="59" customFormat="1" ht="18" customHeight="1">
      <c r="A117" s="60" t="s">
        <v>12</v>
      </c>
      <c r="B117" s="53" t="s">
        <v>315</v>
      </c>
      <c r="C117" s="62" t="s">
        <v>316</v>
      </c>
      <c r="D117" s="55"/>
      <c r="E117" s="55" t="s">
        <v>39</v>
      </c>
      <c r="F117" s="61">
        <v>2</v>
      </c>
      <c r="G117" s="57">
        <v>5000</v>
      </c>
      <c r="H117" s="57">
        <f t="shared" si="80"/>
        <v>10000</v>
      </c>
      <c r="I117" s="57">
        <v>10000</v>
      </c>
      <c r="J117" s="57">
        <f t="shared" si="73"/>
        <v>20000</v>
      </c>
      <c r="K117" s="57">
        <f t="shared" si="74"/>
        <v>15000</v>
      </c>
      <c r="L117" s="58">
        <f t="shared" si="75"/>
        <v>30000</v>
      </c>
      <c r="M117" s="188"/>
      <c r="O117" s="176"/>
      <c r="P117" s="181"/>
    </row>
    <row r="118" spans="1:16" s="59" customFormat="1" ht="18" customHeight="1">
      <c r="A118" s="60" t="s">
        <v>12</v>
      </c>
      <c r="B118" s="53" t="s">
        <v>123</v>
      </c>
      <c r="C118" s="62" t="s">
        <v>317</v>
      </c>
      <c r="D118" s="55"/>
      <c r="E118" s="55" t="s">
        <v>39</v>
      </c>
      <c r="F118" s="61">
        <v>1</v>
      </c>
      <c r="G118" s="57">
        <v>55000</v>
      </c>
      <c r="H118" s="57">
        <f t="shared" si="80"/>
        <v>55000</v>
      </c>
      <c r="I118" s="57">
        <v>50000</v>
      </c>
      <c r="J118" s="57">
        <f t="shared" si="73"/>
        <v>50000</v>
      </c>
      <c r="K118" s="57">
        <f t="shared" si="74"/>
        <v>105000</v>
      </c>
      <c r="L118" s="58">
        <f t="shared" si="75"/>
        <v>105000</v>
      </c>
      <c r="M118" s="187"/>
      <c r="O118" s="176"/>
      <c r="P118" s="181"/>
    </row>
    <row r="119" spans="1:16" s="59" customFormat="1" ht="18" customHeight="1">
      <c r="A119" s="60" t="s">
        <v>12</v>
      </c>
      <c r="B119" s="53" t="s">
        <v>318</v>
      </c>
      <c r="C119" s="62" t="s">
        <v>319</v>
      </c>
      <c r="D119" s="55"/>
      <c r="E119" s="55" t="s">
        <v>81</v>
      </c>
      <c r="F119" s="61">
        <v>1</v>
      </c>
      <c r="G119" s="57">
        <v>100000</v>
      </c>
      <c r="H119" s="57">
        <f t="shared" ref="H119" si="81">F119*G119</f>
        <v>100000</v>
      </c>
      <c r="I119" s="57">
        <v>50000</v>
      </c>
      <c r="J119" s="57">
        <f t="shared" ref="J119" si="82">F119*I119</f>
        <v>50000</v>
      </c>
      <c r="K119" s="57">
        <f t="shared" ref="K119" si="83">G119+I119</f>
        <v>150000</v>
      </c>
      <c r="L119" s="58">
        <f t="shared" ref="L119" si="84">F119*K119</f>
        <v>150000</v>
      </c>
      <c r="M119" s="187"/>
      <c r="O119" s="176">
        <v>30</v>
      </c>
      <c r="P119" s="181" t="s">
        <v>227</v>
      </c>
    </row>
    <row r="120" spans="1:16" s="59" customFormat="1" ht="18" customHeight="1">
      <c r="A120" s="60" t="s">
        <v>12</v>
      </c>
      <c r="B120" s="53" t="s">
        <v>124</v>
      </c>
      <c r="C120" s="62"/>
      <c r="D120" s="55"/>
      <c r="E120" s="55" t="s">
        <v>40</v>
      </c>
      <c r="F120" s="61">
        <v>100</v>
      </c>
      <c r="G120" s="57">
        <v>13000</v>
      </c>
      <c r="H120" s="57">
        <f t="shared" si="80"/>
        <v>1300000</v>
      </c>
      <c r="I120" s="57">
        <v>12000</v>
      </c>
      <c r="J120" s="57">
        <f>F120*I120</f>
        <v>1200000</v>
      </c>
      <c r="K120" s="57">
        <f t="shared" si="74"/>
        <v>25000</v>
      </c>
      <c r="L120" s="58">
        <f t="shared" si="75"/>
        <v>2500000</v>
      </c>
      <c r="M120" s="187"/>
      <c r="O120" s="176">
        <v>30</v>
      </c>
      <c r="P120" s="181" t="s">
        <v>227</v>
      </c>
    </row>
    <row r="121" spans="1:16" s="326" customFormat="1" ht="18" customHeight="1">
      <c r="A121" s="318" t="s">
        <v>12</v>
      </c>
      <c r="B121" s="319" t="s">
        <v>426</v>
      </c>
      <c r="C121" s="320"/>
      <c r="D121" s="321"/>
      <c r="E121" s="321" t="s">
        <v>39</v>
      </c>
      <c r="F121" s="322">
        <v>1</v>
      </c>
      <c r="G121" s="323">
        <v>516000</v>
      </c>
      <c r="H121" s="323">
        <f t="shared" ref="H121" si="85">F121*G121</f>
        <v>516000</v>
      </c>
      <c r="I121" s="323">
        <v>900000</v>
      </c>
      <c r="J121" s="323">
        <f>F121*I121</f>
        <v>900000</v>
      </c>
      <c r="K121" s="323">
        <f t="shared" ref="K121" si="86">G121+I121</f>
        <v>1416000</v>
      </c>
      <c r="L121" s="324">
        <f t="shared" ref="L121" si="87">F121*K121</f>
        <v>1416000</v>
      </c>
      <c r="M121" s="325"/>
      <c r="O121" s="327">
        <v>30</v>
      </c>
      <c r="P121" s="328" t="s">
        <v>227</v>
      </c>
    </row>
    <row r="122" spans="1:16" s="363" customFormat="1" ht="18" customHeight="1">
      <c r="A122" s="284" t="s">
        <v>12</v>
      </c>
      <c r="B122" s="356" t="s">
        <v>122</v>
      </c>
      <c r="C122" s="357" t="s">
        <v>115</v>
      </c>
      <c r="D122" s="358" t="s">
        <v>125</v>
      </c>
      <c r="E122" s="358" t="s">
        <v>39</v>
      </c>
      <c r="F122" s="359">
        <v>0</v>
      </c>
      <c r="G122" s="360">
        <v>0</v>
      </c>
      <c r="H122" s="360">
        <f>F122*G122</f>
        <v>0</v>
      </c>
      <c r="I122" s="360">
        <v>30000</v>
      </c>
      <c r="J122" s="360">
        <f>F122*I122</f>
        <v>0</v>
      </c>
      <c r="K122" s="360">
        <f>G122+I122</f>
        <v>30000</v>
      </c>
      <c r="L122" s="361">
        <f>F122*K122</f>
        <v>0</v>
      </c>
      <c r="M122" s="362"/>
      <c r="O122" s="364"/>
      <c r="P122" s="365"/>
    </row>
    <row r="123" spans="1:16" s="59" customFormat="1" ht="18" customHeight="1">
      <c r="A123" s="60" t="s">
        <v>45</v>
      </c>
      <c r="B123" s="308" t="s">
        <v>379</v>
      </c>
      <c r="C123" s="309" t="s">
        <v>380</v>
      </c>
      <c r="D123" s="310" t="s">
        <v>381</v>
      </c>
      <c r="E123" s="310" t="s">
        <v>81</v>
      </c>
      <c r="F123" s="336">
        <v>1</v>
      </c>
      <c r="G123" s="337">
        <v>130000</v>
      </c>
      <c r="H123" s="337">
        <f>F123*G123</f>
        <v>130000</v>
      </c>
      <c r="I123" s="337">
        <v>15000</v>
      </c>
      <c r="J123" s="337">
        <f>F123*I123</f>
        <v>15000</v>
      </c>
      <c r="K123" s="337">
        <f>G123+I123</f>
        <v>145000</v>
      </c>
      <c r="L123" s="338">
        <f t="shared" ref="L123" si="88">F123*K123</f>
        <v>145000</v>
      </c>
      <c r="M123" s="303" t="s">
        <v>378</v>
      </c>
      <c r="O123" s="176"/>
      <c r="P123" s="181"/>
    </row>
    <row r="124" spans="1:16" s="59" customFormat="1" ht="18" customHeight="1">
      <c r="A124" s="257"/>
      <c r="B124" s="278"/>
      <c r="C124" s="54"/>
      <c r="D124" s="55"/>
      <c r="E124" s="55"/>
      <c r="F124" s="56"/>
      <c r="G124" s="57"/>
      <c r="H124" s="57"/>
      <c r="I124" s="57"/>
      <c r="J124" s="57"/>
      <c r="K124" s="57"/>
      <c r="L124" s="58"/>
      <c r="M124" s="187"/>
      <c r="O124" s="176"/>
      <c r="P124" s="181"/>
    </row>
    <row r="125" spans="1:16" s="262" customFormat="1" ht="18" customHeight="1">
      <c r="A125" s="257"/>
      <c r="B125" s="257" t="s">
        <v>13</v>
      </c>
      <c r="C125" s="258"/>
      <c r="D125" s="259"/>
      <c r="E125" s="259"/>
      <c r="F125" s="260"/>
      <c r="G125" s="261"/>
      <c r="H125" s="261">
        <f>SUM(H112:H122)</f>
        <v>4211000</v>
      </c>
      <c r="I125" s="261"/>
      <c r="J125" s="261">
        <f>SUM(J112:J122)</f>
        <v>4010000</v>
      </c>
      <c r="K125" s="261"/>
      <c r="L125" s="261">
        <f>SUM(L112:L122)</f>
        <v>8221000</v>
      </c>
      <c r="M125" s="187"/>
      <c r="O125" s="263"/>
      <c r="P125" s="264"/>
    </row>
    <row r="126" spans="1:16" ht="18" customHeight="1">
      <c r="A126" s="13"/>
      <c r="B126" s="14"/>
      <c r="C126" s="12"/>
      <c r="D126" s="5"/>
      <c r="E126" s="5"/>
      <c r="F126" s="50"/>
      <c r="G126" s="28"/>
      <c r="H126" s="28"/>
      <c r="I126" s="28"/>
      <c r="J126" s="28"/>
      <c r="K126" s="28"/>
      <c r="L126" s="29"/>
      <c r="M126" s="188"/>
    </row>
    <row r="127" spans="1:16" s="20" customFormat="1" ht="18" customHeight="1">
      <c r="A127" s="44" t="s">
        <v>33</v>
      </c>
      <c r="B127" s="45" t="s">
        <v>131</v>
      </c>
      <c r="C127" s="46" t="s">
        <v>350</v>
      </c>
      <c r="D127" s="16"/>
      <c r="E127" s="16"/>
      <c r="F127" s="51"/>
      <c r="G127" s="48"/>
      <c r="H127" s="48"/>
      <c r="I127" s="48"/>
      <c r="J127" s="48"/>
      <c r="K127" s="48"/>
      <c r="L127" s="49"/>
      <c r="M127" s="188"/>
      <c r="O127" s="174"/>
      <c r="P127" s="179"/>
    </row>
    <row r="128" spans="1:16" s="59" customFormat="1" ht="18" customHeight="1">
      <c r="A128" s="52">
        <v>-1</v>
      </c>
      <c r="B128" s="53" t="s">
        <v>211</v>
      </c>
      <c r="C128" s="54"/>
      <c r="D128" s="55"/>
      <c r="E128" s="55"/>
      <c r="F128" s="56"/>
      <c r="G128" s="57"/>
      <c r="H128" s="57"/>
      <c r="I128" s="57"/>
      <c r="J128" s="57"/>
      <c r="K128" s="57"/>
      <c r="L128" s="58"/>
      <c r="M128" s="188"/>
      <c r="O128" s="176"/>
      <c r="P128" s="181"/>
    </row>
    <row r="129" spans="1:16" s="326" customFormat="1" ht="18" customHeight="1">
      <c r="A129" s="318" t="s">
        <v>12</v>
      </c>
      <c r="B129" s="319" t="s">
        <v>435</v>
      </c>
      <c r="C129" s="329" t="s">
        <v>436</v>
      </c>
      <c r="D129" s="321"/>
      <c r="E129" s="321" t="s">
        <v>43</v>
      </c>
      <c r="F129" s="322">
        <v>5</v>
      </c>
      <c r="G129" s="323">
        <v>150000</v>
      </c>
      <c r="H129" s="323">
        <f>F129*G129</f>
        <v>750000</v>
      </c>
      <c r="I129" s="323">
        <v>150000</v>
      </c>
      <c r="J129" s="323">
        <f>F129*I129</f>
        <v>750000</v>
      </c>
      <c r="K129" s="323">
        <f>G129+I129</f>
        <v>300000</v>
      </c>
      <c r="L129" s="324">
        <f t="shared" ref="L129:L160" si="89">F129*K129</f>
        <v>1500000</v>
      </c>
      <c r="M129" s="325"/>
      <c r="O129" s="327"/>
      <c r="P129" s="328"/>
    </row>
    <row r="130" spans="1:16" s="373" customFormat="1" ht="18" customHeight="1">
      <c r="A130" s="366" t="s">
        <v>12</v>
      </c>
      <c r="B130" s="367" t="s">
        <v>127</v>
      </c>
      <c r="C130" s="368" t="s">
        <v>399</v>
      </c>
      <c r="D130" s="366" t="s">
        <v>132</v>
      </c>
      <c r="E130" s="369" t="s">
        <v>39</v>
      </c>
      <c r="F130" s="370">
        <v>0</v>
      </c>
      <c r="G130" s="371">
        <v>85000</v>
      </c>
      <c r="H130" s="57">
        <f>F130*G130</f>
        <v>0</v>
      </c>
      <c r="I130" s="371">
        <v>50000</v>
      </c>
      <c r="J130" s="57">
        <f>F130*I130</f>
        <v>0</v>
      </c>
      <c r="K130" s="57">
        <f>G130+I130</f>
        <v>135000</v>
      </c>
      <c r="L130" s="58">
        <f t="shared" si="89"/>
        <v>0</v>
      </c>
      <c r="M130" s="372"/>
      <c r="O130" s="374"/>
      <c r="P130" s="375"/>
    </row>
    <row r="131" spans="1:16" s="373" customFormat="1" ht="18" customHeight="1">
      <c r="A131" s="366" t="s">
        <v>12</v>
      </c>
      <c r="B131" s="367" t="s">
        <v>127</v>
      </c>
      <c r="C131" s="368" t="s">
        <v>400</v>
      </c>
      <c r="D131" s="366" t="s">
        <v>401</v>
      </c>
      <c r="E131" s="369" t="s">
        <v>39</v>
      </c>
      <c r="F131" s="370">
        <v>2</v>
      </c>
      <c r="G131" s="371">
        <v>336000</v>
      </c>
      <c r="H131" s="57">
        <f>F131*G131</f>
        <v>672000</v>
      </c>
      <c r="I131" s="371">
        <v>50000</v>
      </c>
      <c r="J131" s="57">
        <f>F131*I131</f>
        <v>100000</v>
      </c>
      <c r="K131" s="57">
        <f>G131+I131</f>
        <v>386000</v>
      </c>
      <c r="L131" s="58">
        <f t="shared" si="89"/>
        <v>772000</v>
      </c>
      <c r="M131" s="372"/>
      <c r="O131" s="374"/>
      <c r="P131" s="375"/>
    </row>
    <row r="132" spans="1:16" s="59" customFormat="1" ht="18" customHeight="1">
      <c r="A132" s="52"/>
      <c r="B132" s="53"/>
      <c r="C132" s="54"/>
      <c r="D132" s="55"/>
      <c r="E132" s="55"/>
      <c r="F132" s="56"/>
      <c r="G132" s="57"/>
      <c r="H132" s="57">
        <f t="shared" ref="H132:H160" si="90">F132*G132</f>
        <v>0</v>
      </c>
      <c r="I132" s="57"/>
      <c r="J132" s="57">
        <f t="shared" ref="J132:J160" si="91">F132*I132</f>
        <v>0</v>
      </c>
      <c r="K132" s="57"/>
      <c r="L132" s="58">
        <f t="shared" si="89"/>
        <v>0</v>
      </c>
      <c r="M132" s="187"/>
      <c r="O132" s="176"/>
      <c r="P132" s="181"/>
    </row>
    <row r="133" spans="1:16" s="59" customFormat="1" ht="18" customHeight="1">
      <c r="A133" s="52">
        <v>-1</v>
      </c>
      <c r="B133" s="53" t="s">
        <v>126</v>
      </c>
      <c r="C133" s="54"/>
      <c r="D133" s="55"/>
      <c r="E133" s="55"/>
      <c r="F133" s="56"/>
      <c r="G133" s="57"/>
      <c r="H133" s="57">
        <f t="shared" si="90"/>
        <v>0</v>
      </c>
      <c r="I133" s="57"/>
      <c r="J133" s="57">
        <f t="shared" si="91"/>
        <v>0</v>
      </c>
      <c r="K133" s="57"/>
      <c r="L133" s="58">
        <f t="shared" si="89"/>
        <v>0</v>
      </c>
      <c r="M133" s="187"/>
      <c r="O133" s="176"/>
      <c r="P133" s="181"/>
    </row>
    <row r="134" spans="1:16" s="59" customFormat="1" ht="18" customHeight="1">
      <c r="A134" s="60" t="s">
        <v>12</v>
      </c>
      <c r="B134" s="53" t="s">
        <v>129</v>
      </c>
      <c r="C134" s="54" t="s">
        <v>258</v>
      </c>
      <c r="D134" s="55" t="s">
        <v>208</v>
      </c>
      <c r="E134" s="55" t="s">
        <v>39</v>
      </c>
      <c r="F134" s="61">
        <v>2</v>
      </c>
      <c r="G134" s="57">
        <v>290000</v>
      </c>
      <c r="H134" s="57">
        <f>F134*G134</f>
        <v>580000</v>
      </c>
      <c r="I134" s="57">
        <v>50000</v>
      </c>
      <c r="J134" s="57">
        <f>F134*I134</f>
        <v>100000</v>
      </c>
      <c r="K134" s="57">
        <f>G134+I134</f>
        <v>340000</v>
      </c>
      <c r="L134" s="58">
        <f>F134*K134</f>
        <v>680000</v>
      </c>
      <c r="M134" s="187"/>
      <c r="O134" s="176"/>
      <c r="P134" s="181"/>
    </row>
    <row r="135" spans="1:16" s="59" customFormat="1" ht="18" customHeight="1">
      <c r="A135" s="60" t="s">
        <v>12</v>
      </c>
      <c r="B135" s="53" t="s">
        <v>128</v>
      </c>
      <c r="C135" s="54" t="s">
        <v>257</v>
      </c>
      <c r="D135" s="55" t="s">
        <v>183</v>
      </c>
      <c r="E135" s="55" t="s">
        <v>39</v>
      </c>
      <c r="F135" s="61">
        <v>2</v>
      </c>
      <c r="G135" s="57">
        <v>272000</v>
      </c>
      <c r="H135" s="57">
        <f t="shared" si="90"/>
        <v>544000</v>
      </c>
      <c r="I135" s="57">
        <v>50000</v>
      </c>
      <c r="J135" s="57">
        <f t="shared" si="91"/>
        <v>100000</v>
      </c>
      <c r="K135" s="57">
        <f>G135+I135</f>
        <v>322000</v>
      </c>
      <c r="L135" s="58">
        <f t="shared" si="89"/>
        <v>644000</v>
      </c>
      <c r="M135" s="187"/>
      <c r="O135" s="176"/>
      <c r="P135" s="181"/>
    </row>
    <row r="136" spans="1:16" s="59" customFormat="1" ht="18" customHeight="1">
      <c r="A136" s="60" t="s">
        <v>12</v>
      </c>
      <c r="B136" s="53" t="s">
        <v>130</v>
      </c>
      <c r="C136" s="62" t="s">
        <v>259</v>
      </c>
      <c r="D136" s="55" t="s">
        <v>133</v>
      </c>
      <c r="E136" s="55" t="s">
        <v>39</v>
      </c>
      <c r="F136" s="61">
        <v>1</v>
      </c>
      <c r="G136" s="57">
        <v>230000</v>
      </c>
      <c r="H136" s="57">
        <f t="shared" si="90"/>
        <v>230000</v>
      </c>
      <c r="I136" s="57">
        <v>80000</v>
      </c>
      <c r="J136" s="57">
        <f t="shared" si="91"/>
        <v>80000</v>
      </c>
      <c r="K136" s="57">
        <f>G136+I136</f>
        <v>310000</v>
      </c>
      <c r="L136" s="58">
        <f t="shared" si="89"/>
        <v>310000</v>
      </c>
      <c r="M136" s="187"/>
      <c r="O136" s="176"/>
      <c r="P136" s="181"/>
    </row>
    <row r="137" spans="1:16" s="59" customFormat="1" ht="18" customHeight="1">
      <c r="A137" s="60"/>
      <c r="B137" s="53"/>
      <c r="C137" s="62"/>
      <c r="D137" s="55"/>
      <c r="E137" s="55"/>
      <c r="F137" s="61"/>
      <c r="G137" s="57"/>
      <c r="H137" s="57">
        <f t="shared" si="90"/>
        <v>0</v>
      </c>
      <c r="I137" s="57"/>
      <c r="J137" s="57">
        <f t="shared" si="91"/>
        <v>0</v>
      </c>
      <c r="K137" s="57"/>
      <c r="L137" s="58">
        <f t="shared" si="89"/>
        <v>0</v>
      </c>
      <c r="M137" s="187"/>
      <c r="O137" s="176"/>
      <c r="P137" s="181"/>
    </row>
    <row r="138" spans="1:16" s="59" customFormat="1" ht="18" customHeight="1">
      <c r="A138" s="52">
        <v>-1</v>
      </c>
      <c r="B138" s="53" t="s">
        <v>112</v>
      </c>
      <c r="C138" s="54"/>
      <c r="D138" s="55"/>
      <c r="E138" s="55"/>
      <c r="F138" s="56"/>
      <c r="G138" s="57"/>
      <c r="H138" s="57">
        <f t="shared" si="90"/>
        <v>0</v>
      </c>
      <c r="I138" s="57"/>
      <c r="J138" s="57">
        <f t="shared" si="91"/>
        <v>0</v>
      </c>
      <c r="K138" s="57"/>
      <c r="L138" s="58">
        <f t="shared" si="89"/>
        <v>0</v>
      </c>
      <c r="M138" s="187"/>
      <c r="O138" s="176"/>
      <c r="P138" s="181"/>
    </row>
    <row r="139" spans="1:16" s="326" customFormat="1" ht="18" customHeight="1">
      <c r="A139" s="318" t="s">
        <v>12</v>
      </c>
      <c r="B139" s="319" t="s">
        <v>135</v>
      </c>
      <c r="C139" s="320" t="s">
        <v>465</v>
      </c>
      <c r="D139" s="321" t="s">
        <v>208</v>
      </c>
      <c r="E139" s="321" t="s">
        <v>43</v>
      </c>
      <c r="F139" s="322">
        <v>2</v>
      </c>
      <c r="G139" s="323">
        <v>140000</v>
      </c>
      <c r="H139" s="323">
        <f t="shared" si="90"/>
        <v>280000</v>
      </c>
      <c r="I139" s="323">
        <v>250000</v>
      </c>
      <c r="J139" s="323">
        <f t="shared" si="91"/>
        <v>500000</v>
      </c>
      <c r="K139" s="323">
        <f>G139+I139</f>
        <v>390000</v>
      </c>
      <c r="L139" s="324">
        <f t="shared" si="89"/>
        <v>780000</v>
      </c>
      <c r="M139" s="325"/>
      <c r="O139" s="327"/>
      <c r="P139" s="328"/>
    </row>
    <row r="140" spans="1:16" s="326" customFormat="1" ht="18" customHeight="1">
      <c r="A140" s="318" t="s">
        <v>12</v>
      </c>
      <c r="B140" s="319" t="s">
        <v>136</v>
      </c>
      <c r="C140" s="320" t="s">
        <v>461</v>
      </c>
      <c r="D140" s="321" t="s">
        <v>462</v>
      </c>
      <c r="E140" s="321" t="s">
        <v>43</v>
      </c>
      <c r="F140" s="322">
        <v>1</v>
      </c>
      <c r="G140" s="323">
        <v>330000</v>
      </c>
      <c r="H140" s="323">
        <f t="shared" si="90"/>
        <v>330000</v>
      </c>
      <c r="I140" s="323">
        <v>300000</v>
      </c>
      <c r="J140" s="323">
        <f t="shared" si="91"/>
        <v>300000</v>
      </c>
      <c r="K140" s="323">
        <f>G140+I140</f>
        <v>630000</v>
      </c>
      <c r="L140" s="324">
        <f t="shared" si="89"/>
        <v>630000</v>
      </c>
      <c r="M140" s="325"/>
      <c r="O140" s="327"/>
      <c r="P140" s="328"/>
    </row>
    <row r="141" spans="1:16" s="326" customFormat="1" ht="18" customHeight="1">
      <c r="A141" s="318" t="s">
        <v>12</v>
      </c>
      <c r="B141" s="319" t="s">
        <v>136</v>
      </c>
      <c r="C141" s="320" t="s">
        <v>463</v>
      </c>
      <c r="D141" s="321" t="s">
        <v>132</v>
      </c>
      <c r="E141" s="321" t="s">
        <v>43</v>
      </c>
      <c r="F141" s="322">
        <v>1</v>
      </c>
      <c r="G141" s="323">
        <v>230000</v>
      </c>
      <c r="H141" s="323">
        <f t="shared" ref="H141" si="92">F141*G141</f>
        <v>230000</v>
      </c>
      <c r="I141" s="323">
        <v>250000</v>
      </c>
      <c r="J141" s="323">
        <f t="shared" ref="J141" si="93">F141*I141</f>
        <v>250000</v>
      </c>
      <c r="K141" s="323">
        <f>G141+I141</f>
        <v>480000</v>
      </c>
      <c r="L141" s="324">
        <f t="shared" ref="L141" si="94">F141*K141</f>
        <v>480000</v>
      </c>
      <c r="M141" s="325"/>
      <c r="O141" s="327"/>
      <c r="P141" s="328"/>
    </row>
    <row r="142" spans="1:16" s="59" customFormat="1" ht="18" customHeight="1">
      <c r="A142" s="60"/>
      <c r="B142" s="53"/>
      <c r="C142" s="62"/>
      <c r="D142" s="55"/>
      <c r="E142" s="55"/>
      <c r="F142" s="61"/>
      <c r="G142" s="57"/>
      <c r="H142" s="57">
        <f t="shared" si="90"/>
        <v>0</v>
      </c>
      <c r="I142" s="57"/>
      <c r="J142" s="57">
        <f t="shared" si="91"/>
        <v>0</v>
      </c>
      <c r="K142" s="57"/>
      <c r="L142" s="58">
        <f t="shared" si="89"/>
        <v>0</v>
      </c>
      <c r="M142" s="188"/>
      <c r="O142" s="176"/>
      <c r="P142" s="181"/>
    </row>
    <row r="143" spans="1:16" s="59" customFormat="1" ht="18" customHeight="1">
      <c r="A143" s="52">
        <v>-1</v>
      </c>
      <c r="B143" s="53" t="s">
        <v>141</v>
      </c>
      <c r="C143" s="54"/>
      <c r="D143" s="55"/>
      <c r="E143" s="55"/>
      <c r="F143" s="56"/>
      <c r="G143" s="57"/>
      <c r="H143" s="57">
        <f t="shared" si="90"/>
        <v>0</v>
      </c>
      <c r="I143" s="57"/>
      <c r="J143" s="57">
        <f t="shared" si="91"/>
        <v>0</v>
      </c>
      <c r="K143" s="57"/>
      <c r="L143" s="58">
        <f t="shared" si="89"/>
        <v>0</v>
      </c>
      <c r="M143" s="188"/>
      <c r="O143" s="176"/>
      <c r="P143" s="181"/>
    </row>
    <row r="144" spans="1:16" s="59" customFormat="1" ht="18" customHeight="1">
      <c r="A144" s="60" t="s">
        <v>12</v>
      </c>
      <c r="B144" s="53" t="s">
        <v>385</v>
      </c>
      <c r="C144" s="54" t="s">
        <v>275</v>
      </c>
      <c r="D144" s="55" t="s">
        <v>133</v>
      </c>
      <c r="E144" s="55" t="s">
        <v>43</v>
      </c>
      <c r="F144" s="61">
        <v>1</v>
      </c>
      <c r="G144" s="57">
        <v>70000</v>
      </c>
      <c r="H144" s="57">
        <f t="shared" si="90"/>
        <v>70000</v>
      </c>
      <c r="I144" s="57">
        <v>80000</v>
      </c>
      <c r="J144" s="57">
        <f t="shared" si="91"/>
        <v>80000</v>
      </c>
      <c r="K144" s="57">
        <f t="shared" ref="K144:K149" si="95">G144+I144</f>
        <v>150000</v>
      </c>
      <c r="L144" s="58">
        <f t="shared" si="89"/>
        <v>150000</v>
      </c>
      <c r="M144" s="188"/>
      <c r="O144" s="176"/>
      <c r="P144" s="181"/>
    </row>
    <row r="145" spans="1:16" s="59" customFormat="1" ht="18" hidden="1" customHeight="1">
      <c r="A145" s="60" t="s">
        <v>45</v>
      </c>
      <c r="B145" s="53" t="s">
        <v>261</v>
      </c>
      <c r="C145" s="54" t="s">
        <v>262</v>
      </c>
      <c r="D145" s="55" t="s">
        <v>133</v>
      </c>
      <c r="E145" s="55" t="s">
        <v>43</v>
      </c>
      <c r="F145" s="61">
        <v>0</v>
      </c>
      <c r="G145" s="57">
        <v>250000</v>
      </c>
      <c r="H145" s="57">
        <f t="shared" si="90"/>
        <v>0</v>
      </c>
      <c r="I145" s="57">
        <v>50000</v>
      </c>
      <c r="J145" s="57">
        <f t="shared" si="91"/>
        <v>0</v>
      </c>
      <c r="K145" s="57">
        <f>G145+I145</f>
        <v>300000</v>
      </c>
      <c r="L145" s="58">
        <f t="shared" si="89"/>
        <v>0</v>
      </c>
      <c r="M145" s="188"/>
      <c r="O145" s="176"/>
      <c r="P145" s="181"/>
    </row>
    <row r="146" spans="1:16" s="59" customFormat="1" ht="18" customHeight="1">
      <c r="A146" s="60" t="s">
        <v>45</v>
      </c>
      <c r="B146" s="53" t="s">
        <v>388</v>
      </c>
      <c r="C146" s="54" t="s">
        <v>387</v>
      </c>
      <c r="D146" s="55" t="s">
        <v>133</v>
      </c>
      <c r="E146" s="55" t="s">
        <v>43</v>
      </c>
      <c r="F146" s="61">
        <v>1</v>
      </c>
      <c r="G146" s="57">
        <v>250000</v>
      </c>
      <c r="H146" s="57">
        <f>F146*G146</f>
        <v>250000</v>
      </c>
      <c r="I146" s="57">
        <v>50000</v>
      </c>
      <c r="J146" s="57">
        <v>30000</v>
      </c>
      <c r="K146" s="57">
        <f>G146+I146</f>
        <v>300000</v>
      </c>
      <c r="L146" s="58">
        <f>F146*K146</f>
        <v>300000</v>
      </c>
      <c r="M146" s="187"/>
      <c r="O146" s="176"/>
      <c r="P146" s="181"/>
    </row>
    <row r="147" spans="1:16" s="59" customFormat="1" ht="18" customHeight="1">
      <c r="A147" s="60" t="s">
        <v>12</v>
      </c>
      <c r="B147" s="53" t="s">
        <v>386</v>
      </c>
      <c r="C147" s="54" t="s">
        <v>278</v>
      </c>
      <c r="D147" s="55" t="s">
        <v>132</v>
      </c>
      <c r="E147" s="55" t="s">
        <v>43</v>
      </c>
      <c r="F147" s="61">
        <v>1</v>
      </c>
      <c r="G147" s="57">
        <v>70000</v>
      </c>
      <c r="H147" s="57">
        <f t="shared" ref="H147" si="96">F147*G147</f>
        <v>70000</v>
      </c>
      <c r="I147" s="57">
        <v>80000</v>
      </c>
      <c r="J147" s="57">
        <f t="shared" ref="J147" si="97">F147*I147</f>
        <v>80000</v>
      </c>
      <c r="K147" s="57">
        <f>G147+I147</f>
        <v>150000</v>
      </c>
      <c r="L147" s="58">
        <f t="shared" ref="L147" si="98">F147*K147</f>
        <v>150000</v>
      </c>
      <c r="M147" s="188"/>
      <c r="O147" s="176"/>
      <c r="P147" s="181"/>
    </row>
    <row r="148" spans="1:16" s="59" customFormat="1" ht="18" customHeight="1">
      <c r="A148" s="60" t="s">
        <v>12</v>
      </c>
      <c r="B148" s="53" t="s">
        <v>137</v>
      </c>
      <c r="C148" s="62" t="s">
        <v>139</v>
      </c>
      <c r="D148" s="55" t="s">
        <v>133</v>
      </c>
      <c r="E148" s="55" t="s">
        <v>43</v>
      </c>
      <c r="F148" s="61">
        <v>1</v>
      </c>
      <c r="G148" s="57">
        <v>49000</v>
      </c>
      <c r="H148" s="57">
        <f t="shared" si="90"/>
        <v>49000</v>
      </c>
      <c r="I148" s="57">
        <v>50000</v>
      </c>
      <c r="J148" s="57">
        <f t="shared" si="91"/>
        <v>50000</v>
      </c>
      <c r="K148" s="57">
        <f t="shared" si="95"/>
        <v>99000</v>
      </c>
      <c r="L148" s="58">
        <f t="shared" si="89"/>
        <v>99000</v>
      </c>
      <c r="M148" s="188"/>
      <c r="O148" s="176"/>
      <c r="P148" s="181"/>
    </row>
    <row r="149" spans="1:16" s="59" customFormat="1" ht="18" customHeight="1">
      <c r="A149" s="60" t="s">
        <v>12</v>
      </c>
      <c r="B149" s="53" t="s">
        <v>138</v>
      </c>
      <c r="C149" s="62" t="s">
        <v>260</v>
      </c>
      <c r="D149" s="55" t="s">
        <v>133</v>
      </c>
      <c r="E149" s="55" t="s">
        <v>43</v>
      </c>
      <c r="F149" s="61">
        <v>1</v>
      </c>
      <c r="G149" s="57">
        <v>35000</v>
      </c>
      <c r="H149" s="57">
        <f t="shared" si="90"/>
        <v>35000</v>
      </c>
      <c r="I149" s="57">
        <v>50000</v>
      </c>
      <c r="J149" s="57">
        <f t="shared" si="91"/>
        <v>50000</v>
      </c>
      <c r="K149" s="57">
        <f t="shared" si="95"/>
        <v>85000</v>
      </c>
      <c r="L149" s="58">
        <f t="shared" si="89"/>
        <v>85000</v>
      </c>
      <c r="M149" s="188"/>
      <c r="O149" s="176"/>
      <c r="P149" s="181"/>
    </row>
    <row r="150" spans="1:16" s="59" customFormat="1" ht="18" customHeight="1">
      <c r="A150" s="60" t="s">
        <v>12</v>
      </c>
      <c r="B150" s="53" t="s">
        <v>184</v>
      </c>
      <c r="C150" s="54" t="s">
        <v>189</v>
      </c>
      <c r="D150" s="55" t="s">
        <v>133</v>
      </c>
      <c r="E150" s="55" t="s">
        <v>81</v>
      </c>
      <c r="F150" s="61">
        <v>1</v>
      </c>
      <c r="G150" s="57">
        <v>32000</v>
      </c>
      <c r="H150" s="57">
        <f t="shared" si="90"/>
        <v>32000</v>
      </c>
      <c r="I150" s="57">
        <v>10000</v>
      </c>
      <c r="J150" s="57">
        <f t="shared" si="91"/>
        <v>10000</v>
      </c>
      <c r="K150" s="57">
        <f>G150+I150</f>
        <v>42000</v>
      </c>
      <c r="L150" s="58">
        <f t="shared" si="89"/>
        <v>42000</v>
      </c>
      <c r="M150" s="188"/>
      <c r="O150" s="176"/>
      <c r="P150" s="181"/>
    </row>
    <row r="151" spans="1:16" s="59" customFormat="1" ht="18" customHeight="1">
      <c r="A151" s="60" t="s">
        <v>12</v>
      </c>
      <c r="B151" s="53" t="s">
        <v>256</v>
      </c>
      <c r="C151" s="54" t="s">
        <v>253</v>
      </c>
      <c r="D151" s="55" t="s">
        <v>133</v>
      </c>
      <c r="E151" s="55" t="s">
        <v>81</v>
      </c>
      <c r="F151" s="61">
        <v>0</v>
      </c>
      <c r="G151" s="57">
        <v>100000</v>
      </c>
      <c r="H151" s="57">
        <f>F151*G151</f>
        <v>0</v>
      </c>
      <c r="I151" s="57">
        <v>30000</v>
      </c>
      <c r="J151" s="57">
        <f>F151*I151</f>
        <v>0</v>
      </c>
      <c r="K151" s="57">
        <f>G151+I151</f>
        <v>130000</v>
      </c>
      <c r="L151" s="58">
        <f>F151*K151</f>
        <v>0</v>
      </c>
      <c r="M151" s="188"/>
      <c r="O151" s="176"/>
      <c r="P151" s="181"/>
    </row>
    <row r="152" spans="1:16" s="59" customFormat="1" ht="18" customHeight="1">
      <c r="A152" s="60" t="s">
        <v>274</v>
      </c>
      <c r="B152" s="53" t="s">
        <v>276</v>
      </c>
      <c r="C152" s="54"/>
      <c r="D152" s="55" t="s">
        <v>133</v>
      </c>
      <c r="E152" s="55" t="s">
        <v>277</v>
      </c>
      <c r="F152" s="61">
        <v>1</v>
      </c>
      <c r="G152" s="57">
        <v>170000</v>
      </c>
      <c r="H152" s="57">
        <f>F152*G152</f>
        <v>170000</v>
      </c>
      <c r="I152" s="57">
        <v>30000</v>
      </c>
      <c r="J152" s="57">
        <f>F152*I152</f>
        <v>30000</v>
      </c>
      <c r="K152" s="57">
        <f>G152+I152</f>
        <v>200000</v>
      </c>
      <c r="L152" s="58">
        <f>F152*K152</f>
        <v>200000</v>
      </c>
      <c r="M152" s="188"/>
      <c r="O152" s="176"/>
      <c r="P152" s="181"/>
    </row>
    <row r="153" spans="1:16" s="59" customFormat="1" ht="18" customHeight="1">
      <c r="A153" s="60"/>
      <c r="B153" s="53"/>
      <c r="C153" s="62"/>
      <c r="D153" s="55"/>
      <c r="E153" s="55"/>
      <c r="F153" s="61"/>
      <c r="G153" s="57"/>
      <c r="H153" s="57"/>
      <c r="I153" s="57"/>
      <c r="J153" s="57"/>
      <c r="K153" s="57"/>
      <c r="L153" s="58"/>
      <c r="M153" s="188"/>
      <c r="O153" s="176"/>
      <c r="P153" s="181"/>
    </row>
    <row r="154" spans="1:16" s="59" customFormat="1" ht="18" customHeight="1">
      <c r="A154" s="52">
        <v>-1</v>
      </c>
      <c r="B154" s="53" t="s">
        <v>140</v>
      </c>
      <c r="C154" s="54"/>
      <c r="D154" s="55"/>
      <c r="E154" s="55"/>
      <c r="F154" s="56"/>
      <c r="G154" s="57"/>
      <c r="H154" s="57"/>
      <c r="I154" s="57"/>
      <c r="J154" s="57"/>
      <c r="K154" s="57"/>
      <c r="L154" s="58"/>
      <c r="M154" s="188"/>
      <c r="O154" s="176"/>
      <c r="P154" s="181"/>
    </row>
    <row r="155" spans="1:16" s="59" customFormat="1" ht="18" customHeight="1">
      <c r="A155" s="60" t="s">
        <v>12</v>
      </c>
      <c r="B155" s="53" t="s">
        <v>385</v>
      </c>
      <c r="C155" s="54" t="s">
        <v>275</v>
      </c>
      <c r="D155" s="55" t="s">
        <v>132</v>
      </c>
      <c r="E155" s="55" t="s">
        <v>43</v>
      </c>
      <c r="F155" s="61">
        <v>1</v>
      </c>
      <c r="G155" s="57">
        <v>70000</v>
      </c>
      <c r="H155" s="57">
        <f t="shared" si="90"/>
        <v>70000</v>
      </c>
      <c r="I155" s="57">
        <v>80000</v>
      </c>
      <c r="J155" s="57">
        <f t="shared" si="91"/>
        <v>80000</v>
      </c>
      <c r="K155" s="57">
        <f t="shared" ref="K155:K158" si="99">G155+I155</f>
        <v>150000</v>
      </c>
      <c r="L155" s="58">
        <f t="shared" si="89"/>
        <v>150000</v>
      </c>
      <c r="M155" s="188"/>
      <c r="O155" s="176"/>
      <c r="P155" s="181"/>
    </row>
    <row r="156" spans="1:16" s="59" customFormat="1" ht="18" customHeight="1">
      <c r="A156" s="60" t="s">
        <v>45</v>
      </c>
      <c r="B156" s="53" t="s">
        <v>388</v>
      </c>
      <c r="C156" s="54" t="s">
        <v>387</v>
      </c>
      <c r="D156" s="55" t="s">
        <v>132</v>
      </c>
      <c r="E156" s="55" t="s">
        <v>43</v>
      </c>
      <c r="F156" s="61">
        <v>1</v>
      </c>
      <c r="G156" s="57">
        <v>250000</v>
      </c>
      <c r="H156" s="57">
        <f>F156*G156</f>
        <v>250000</v>
      </c>
      <c r="I156" s="57">
        <v>50000</v>
      </c>
      <c r="J156" s="57">
        <v>30000</v>
      </c>
      <c r="K156" s="57">
        <f>G156+I156</f>
        <v>300000</v>
      </c>
      <c r="L156" s="58">
        <f>F156*K156</f>
        <v>300000</v>
      </c>
      <c r="M156" s="187"/>
      <c r="O156" s="176"/>
      <c r="P156" s="181"/>
    </row>
    <row r="157" spans="1:16" s="59" customFormat="1" ht="18" customHeight="1">
      <c r="A157" s="60" t="s">
        <v>12</v>
      </c>
      <c r="B157" s="53" t="s">
        <v>137</v>
      </c>
      <c r="C157" s="62" t="s">
        <v>139</v>
      </c>
      <c r="D157" s="55" t="s">
        <v>132</v>
      </c>
      <c r="E157" s="55" t="s">
        <v>43</v>
      </c>
      <c r="F157" s="61">
        <v>1</v>
      </c>
      <c r="G157" s="57">
        <v>49000</v>
      </c>
      <c r="H157" s="57">
        <f t="shared" si="90"/>
        <v>49000</v>
      </c>
      <c r="I157" s="57">
        <v>30000</v>
      </c>
      <c r="J157" s="57">
        <f t="shared" si="91"/>
        <v>30000</v>
      </c>
      <c r="K157" s="57">
        <f t="shared" si="99"/>
        <v>79000</v>
      </c>
      <c r="L157" s="58">
        <f t="shared" si="89"/>
        <v>79000</v>
      </c>
      <c r="M157" s="188"/>
      <c r="O157" s="176"/>
      <c r="P157" s="181"/>
    </row>
    <row r="158" spans="1:16" s="59" customFormat="1" ht="18" customHeight="1">
      <c r="A158" s="60" t="s">
        <v>12</v>
      </c>
      <c r="B158" s="53" t="s">
        <v>138</v>
      </c>
      <c r="C158" s="62" t="s">
        <v>260</v>
      </c>
      <c r="D158" s="55" t="s">
        <v>132</v>
      </c>
      <c r="E158" s="55" t="s">
        <v>43</v>
      </c>
      <c r="F158" s="61">
        <v>1</v>
      </c>
      <c r="G158" s="57">
        <v>35000</v>
      </c>
      <c r="H158" s="57">
        <f t="shared" ref="H158" si="100">F158*G158</f>
        <v>35000</v>
      </c>
      <c r="I158" s="57">
        <v>50000</v>
      </c>
      <c r="J158" s="57">
        <f t="shared" ref="J158" si="101">F158*I158</f>
        <v>50000</v>
      </c>
      <c r="K158" s="57">
        <f t="shared" si="99"/>
        <v>85000</v>
      </c>
      <c r="L158" s="58">
        <f t="shared" ref="L158" si="102">F158*K158</f>
        <v>85000</v>
      </c>
      <c r="M158" s="188"/>
      <c r="O158" s="176"/>
      <c r="P158" s="181"/>
    </row>
    <row r="159" spans="1:16" s="59" customFormat="1" ht="18" customHeight="1">
      <c r="A159" s="60" t="s">
        <v>12</v>
      </c>
      <c r="B159" s="53" t="s">
        <v>279</v>
      </c>
      <c r="C159" s="54"/>
      <c r="D159" s="55" t="s">
        <v>132</v>
      </c>
      <c r="E159" s="55" t="s">
        <v>43</v>
      </c>
      <c r="F159" s="61">
        <v>1</v>
      </c>
      <c r="G159" s="57">
        <v>230000</v>
      </c>
      <c r="H159" s="57">
        <f t="shared" si="90"/>
        <v>230000</v>
      </c>
      <c r="I159" s="57">
        <v>80000</v>
      </c>
      <c r="J159" s="57">
        <f t="shared" si="91"/>
        <v>80000</v>
      </c>
      <c r="K159" s="57">
        <f>G159+I159</f>
        <v>310000</v>
      </c>
      <c r="L159" s="58">
        <f t="shared" si="89"/>
        <v>310000</v>
      </c>
      <c r="M159" s="188"/>
      <c r="O159" s="176"/>
      <c r="P159" s="181"/>
    </row>
    <row r="160" spans="1:16" s="59" customFormat="1" ht="18" customHeight="1">
      <c r="A160" s="60" t="s">
        <v>12</v>
      </c>
      <c r="B160" s="53" t="s">
        <v>184</v>
      </c>
      <c r="C160" s="54" t="s">
        <v>189</v>
      </c>
      <c r="D160" s="55" t="s">
        <v>132</v>
      </c>
      <c r="E160" s="55" t="s">
        <v>81</v>
      </c>
      <c r="F160" s="61">
        <v>1</v>
      </c>
      <c r="G160" s="57">
        <v>32000</v>
      </c>
      <c r="H160" s="57">
        <f t="shared" si="90"/>
        <v>32000</v>
      </c>
      <c r="I160" s="57">
        <v>10000</v>
      </c>
      <c r="J160" s="57">
        <f t="shared" si="91"/>
        <v>10000</v>
      </c>
      <c r="K160" s="57">
        <f>G160+I160</f>
        <v>42000</v>
      </c>
      <c r="L160" s="58">
        <f t="shared" si="89"/>
        <v>42000</v>
      </c>
      <c r="M160" s="188"/>
      <c r="O160" s="176"/>
      <c r="P160" s="181"/>
    </row>
    <row r="162" spans="1:16" ht="18" customHeight="1">
      <c r="A162" s="10"/>
      <c r="B162" s="11"/>
      <c r="C162" s="12"/>
      <c r="D162" s="5"/>
      <c r="E162" s="5"/>
      <c r="F162" s="50"/>
      <c r="G162" s="28"/>
      <c r="H162" s="28"/>
      <c r="I162" s="28"/>
      <c r="J162" s="28"/>
      <c r="K162" s="28"/>
      <c r="L162" s="29"/>
      <c r="M162" s="188"/>
    </row>
    <row r="163" spans="1:16" s="20" customFormat="1" ht="18" customHeight="1">
      <c r="A163" s="13"/>
      <c r="B163" s="13" t="s">
        <v>13</v>
      </c>
      <c r="C163" s="15"/>
      <c r="D163" s="16"/>
      <c r="E163" s="16"/>
      <c r="F163" s="51"/>
      <c r="G163" s="48"/>
      <c r="H163" s="48">
        <f>SUM(H129:H160)</f>
        <v>4958000</v>
      </c>
      <c r="I163" s="48"/>
      <c r="J163" s="48">
        <f>SUM(J129:J160)</f>
        <v>2790000</v>
      </c>
      <c r="K163" s="48"/>
      <c r="L163" s="48">
        <f>SUM(L129:L160)</f>
        <v>7788000</v>
      </c>
      <c r="M163" s="188"/>
      <c r="O163" s="174"/>
      <c r="P163" s="179"/>
    </row>
    <row r="164" spans="1:16" ht="18" customHeight="1">
      <c r="A164" s="10"/>
      <c r="B164" s="11"/>
      <c r="C164" s="12"/>
      <c r="D164" s="5"/>
      <c r="E164" s="5"/>
      <c r="F164" s="50"/>
      <c r="G164" s="28"/>
      <c r="H164" s="28"/>
      <c r="I164" s="28"/>
      <c r="J164" s="28"/>
      <c r="K164" s="28"/>
      <c r="L164" s="29"/>
      <c r="M164" s="188"/>
    </row>
    <row r="165" spans="1:16" s="20" customFormat="1" ht="18" customHeight="1">
      <c r="A165" s="44" t="s">
        <v>34</v>
      </c>
      <c r="B165" s="45" t="s">
        <v>70</v>
      </c>
      <c r="C165" s="46" t="s">
        <v>349</v>
      </c>
      <c r="D165" s="16"/>
      <c r="E165" s="16"/>
      <c r="F165" s="51"/>
      <c r="G165" s="48"/>
      <c r="H165" s="48"/>
      <c r="I165" s="48"/>
      <c r="J165" s="48"/>
      <c r="K165" s="48"/>
      <c r="L165" s="49"/>
      <c r="M165" s="188"/>
      <c r="O165" s="174"/>
      <c r="P165" s="179"/>
    </row>
    <row r="166" spans="1:16" s="59" customFormat="1" ht="18" customHeight="1">
      <c r="A166" s="52">
        <v>-1</v>
      </c>
      <c r="B166" s="53" t="s">
        <v>142</v>
      </c>
      <c r="C166" s="54"/>
      <c r="D166" s="55"/>
      <c r="E166" s="55"/>
      <c r="F166" s="56"/>
      <c r="G166" s="57"/>
      <c r="H166" s="57"/>
      <c r="I166" s="57"/>
      <c r="J166" s="57"/>
      <c r="K166" s="57"/>
      <c r="L166" s="58"/>
      <c r="M166" s="188"/>
      <c r="O166" s="176"/>
      <c r="P166" s="181"/>
    </row>
    <row r="167" spans="1:16" s="59" customFormat="1" ht="18" customHeight="1">
      <c r="A167" s="60" t="s">
        <v>209</v>
      </c>
      <c r="B167" s="53" t="s">
        <v>225</v>
      </c>
      <c r="C167" s="54" t="s">
        <v>151</v>
      </c>
      <c r="D167" s="55"/>
      <c r="E167" s="55" t="s">
        <v>202</v>
      </c>
      <c r="F167" s="61">
        <v>8</v>
      </c>
      <c r="G167" s="57">
        <v>38000</v>
      </c>
      <c r="H167" s="57">
        <f t="shared" ref="H167:H169" si="103">F167*G167</f>
        <v>304000</v>
      </c>
      <c r="I167" s="57">
        <v>70000</v>
      </c>
      <c r="J167" s="57">
        <f>F167*I167</f>
        <v>560000</v>
      </c>
      <c r="K167" s="57">
        <f>G167+I167</f>
        <v>108000</v>
      </c>
      <c r="L167" s="58">
        <f>F167*K167</f>
        <v>864000</v>
      </c>
      <c r="M167" s="188"/>
      <c r="N167" s="59" t="s">
        <v>263</v>
      </c>
      <c r="O167" s="176"/>
      <c r="P167" s="181">
        <f>7*1.5</f>
        <v>10.5</v>
      </c>
    </row>
    <row r="168" spans="1:16" s="59" customFormat="1" ht="18" customHeight="1">
      <c r="A168" s="60" t="s">
        <v>209</v>
      </c>
      <c r="B168" s="53" t="s">
        <v>226</v>
      </c>
      <c r="C168" s="54" t="s">
        <v>151</v>
      </c>
      <c r="D168" s="55"/>
      <c r="E168" s="55" t="s">
        <v>202</v>
      </c>
      <c r="F168" s="61">
        <v>40</v>
      </c>
      <c r="G168" s="57">
        <v>38000</v>
      </c>
      <c r="H168" s="57">
        <f t="shared" si="103"/>
        <v>1520000</v>
      </c>
      <c r="I168" s="57">
        <v>70000</v>
      </c>
      <c r="J168" s="57">
        <f t="shared" ref="J168:J169" si="104">F168*I168</f>
        <v>2800000</v>
      </c>
      <c r="K168" s="57">
        <f>G168+I168</f>
        <v>108000</v>
      </c>
      <c r="L168" s="58">
        <f t="shared" ref="L168:L169" si="105">F168*K168</f>
        <v>4320000</v>
      </c>
      <c r="M168" s="188"/>
      <c r="O168" s="176"/>
      <c r="P168" s="181">
        <f>20*2.4*1.5</f>
        <v>72</v>
      </c>
    </row>
    <row r="169" spans="1:16" s="59" customFormat="1" ht="18" customHeight="1">
      <c r="A169" s="60" t="s">
        <v>209</v>
      </c>
      <c r="B169" s="53" t="s">
        <v>145</v>
      </c>
      <c r="C169" s="62" t="s">
        <v>146</v>
      </c>
      <c r="D169" s="55"/>
      <c r="E169" s="55" t="s">
        <v>81</v>
      </c>
      <c r="F169" s="61">
        <v>1</v>
      </c>
      <c r="G169" s="57">
        <v>450000</v>
      </c>
      <c r="H169" s="57">
        <f t="shared" si="103"/>
        <v>450000</v>
      </c>
      <c r="I169" s="57">
        <v>0</v>
      </c>
      <c r="J169" s="57">
        <f t="shared" si="104"/>
        <v>0</v>
      </c>
      <c r="K169" s="57">
        <f>G169+I169</f>
        <v>450000</v>
      </c>
      <c r="L169" s="58">
        <f t="shared" si="105"/>
        <v>450000</v>
      </c>
      <c r="M169" s="188"/>
      <c r="O169" s="176"/>
      <c r="P169" s="181"/>
    </row>
    <row r="170" spans="1:16" s="59" customFormat="1" ht="18" hidden="1" customHeight="1">
      <c r="A170" s="60"/>
      <c r="B170" s="53"/>
      <c r="C170" s="62"/>
      <c r="D170" s="55"/>
      <c r="E170" s="55"/>
      <c r="F170" s="61"/>
      <c r="G170" s="57"/>
      <c r="H170" s="57">
        <f t="shared" ref="H170:H175" si="106">F170*G170</f>
        <v>0</v>
      </c>
      <c r="I170" s="57">
        <v>1</v>
      </c>
      <c r="J170" s="57">
        <f t="shared" ref="J170:J175" si="107">F170*I170</f>
        <v>0</v>
      </c>
      <c r="K170" s="57">
        <f t="shared" ref="K170:K175" si="108">G170+I170</f>
        <v>1</v>
      </c>
      <c r="L170" s="58">
        <f t="shared" ref="L170:L175" si="109">F170*K170</f>
        <v>0</v>
      </c>
      <c r="M170" s="188"/>
      <c r="O170" s="176"/>
      <c r="P170" s="181"/>
    </row>
    <row r="171" spans="1:16" s="59" customFormat="1" ht="18" hidden="1" customHeight="1">
      <c r="A171" s="60" t="s">
        <v>209</v>
      </c>
      <c r="B171" s="53"/>
      <c r="C171" s="62"/>
      <c r="D171" s="55"/>
      <c r="E171" s="55"/>
      <c r="F171" s="61"/>
      <c r="G171" s="57"/>
      <c r="H171" s="57">
        <f t="shared" si="106"/>
        <v>0</v>
      </c>
      <c r="I171" s="57">
        <v>2</v>
      </c>
      <c r="J171" s="57">
        <f t="shared" si="107"/>
        <v>0</v>
      </c>
      <c r="K171" s="57">
        <f t="shared" si="108"/>
        <v>2</v>
      </c>
      <c r="L171" s="58">
        <f t="shared" si="109"/>
        <v>0</v>
      </c>
      <c r="M171" s="188"/>
      <c r="O171" s="176"/>
      <c r="P171" s="181"/>
    </row>
    <row r="172" spans="1:16" s="59" customFormat="1" ht="18" hidden="1" customHeight="1">
      <c r="A172" s="60" t="s">
        <v>12</v>
      </c>
      <c r="B172" s="53" t="s">
        <v>144</v>
      </c>
      <c r="C172" s="54" t="s">
        <v>151</v>
      </c>
      <c r="D172" s="55"/>
      <c r="E172" s="55" t="s">
        <v>42</v>
      </c>
      <c r="F172" s="61"/>
      <c r="G172" s="57">
        <v>25000</v>
      </c>
      <c r="H172" s="57">
        <f t="shared" si="106"/>
        <v>0</v>
      </c>
      <c r="I172" s="57">
        <v>3</v>
      </c>
      <c r="J172" s="57">
        <f t="shared" si="107"/>
        <v>0</v>
      </c>
      <c r="K172" s="57">
        <f t="shared" si="108"/>
        <v>25003</v>
      </c>
      <c r="L172" s="58">
        <f t="shared" si="109"/>
        <v>0</v>
      </c>
      <c r="M172" s="188"/>
      <c r="O172" s="176"/>
      <c r="P172" s="181"/>
    </row>
    <row r="173" spans="1:16" s="59" customFormat="1" ht="18" hidden="1" customHeight="1">
      <c r="A173" s="60" t="s">
        <v>12</v>
      </c>
      <c r="B173" s="53" t="s">
        <v>143</v>
      </c>
      <c r="C173" s="54" t="s">
        <v>151</v>
      </c>
      <c r="D173" s="55"/>
      <c r="E173" s="55" t="s">
        <v>11</v>
      </c>
      <c r="F173" s="61"/>
      <c r="G173" s="57">
        <v>25000</v>
      </c>
      <c r="H173" s="57">
        <f t="shared" si="106"/>
        <v>0</v>
      </c>
      <c r="I173" s="57">
        <v>4</v>
      </c>
      <c r="J173" s="57">
        <f t="shared" si="107"/>
        <v>0</v>
      </c>
      <c r="K173" s="57">
        <f t="shared" si="108"/>
        <v>25004</v>
      </c>
      <c r="L173" s="58">
        <f t="shared" si="109"/>
        <v>0</v>
      </c>
      <c r="M173" s="188"/>
      <c r="O173" s="176"/>
      <c r="P173" s="181"/>
    </row>
    <row r="174" spans="1:16" s="59" customFormat="1" ht="18" hidden="1" customHeight="1">
      <c r="A174" s="60" t="s">
        <v>209</v>
      </c>
      <c r="B174" s="53"/>
      <c r="C174" s="62"/>
      <c r="D174" s="55"/>
      <c r="E174" s="55"/>
      <c r="F174" s="61"/>
      <c r="G174" s="57"/>
      <c r="H174" s="57">
        <f t="shared" si="106"/>
        <v>0</v>
      </c>
      <c r="I174" s="57">
        <v>5</v>
      </c>
      <c r="J174" s="57">
        <f t="shared" si="107"/>
        <v>0</v>
      </c>
      <c r="K174" s="57">
        <f t="shared" si="108"/>
        <v>5</v>
      </c>
      <c r="L174" s="58">
        <f t="shared" si="109"/>
        <v>0</v>
      </c>
      <c r="M174" s="188"/>
      <c r="O174" s="176"/>
      <c r="P174" s="181"/>
    </row>
    <row r="175" spans="1:16" s="59" customFormat="1" ht="18" hidden="1" customHeight="1">
      <c r="A175" s="60" t="s">
        <v>209</v>
      </c>
      <c r="B175" s="53"/>
      <c r="C175" s="62"/>
      <c r="D175" s="55"/>
      <c r="E175" s="55"/>
      <c r="F175" s="61"/>
      <c r="G175" s="57"/>
      <c r="H175" s="57">
        <f t="shared" si="106"/>
        <v>0</v>
      </c>
      <c r="I175" s="57">
        <v>6</v>
      </c>
      <c r="J175" s="57">
        <f t="shared" si="107"/>
        <v>0</v>
      </c>
      <c r="K175" s="57">
        <f t="shared" si="108"/>
        <v>6</v>
      </c>
      <c r="L175" s="58">
        <f t="shared" si="109"/>
        <v>0</v>
      </c>
      <c r="M175" s="188"/>
      <c r="O175" s="176"/>
      <c r="P175" s="181"/>
    </row>
    <row r="176" spans="1:16" s="59" customFormat="1" ht="18" customHeight="1">
      <c r="A176" s="52"/>
      <c r="B176" s="53"/>
      <c r="C176" s="54"/>
      <c r="D176" s="55"/>
      <c r="E176" s="55"/>
      <c r="F176" s="56"/>
      <c r="G176" s="57"/>
      <c r="H176" s="57"/>
      <c r="I176" s="57"/>
      <c r="J176" s="57"/>
      <c r="K176" s="57"/>
      <c r="L176" s="58"/>
      <c r="M176" s="188"/>
      <c r="O176" s="176"/>
      <c r="P176" s="181"/>
    </row>
    <row r="177" spans="1:16" ht="18" hidden="1" customHeight="1">
      <c r="A177" s="182">
        <v>-1</v>
      </c>
      <c r="B177" s="11" t="s">
        <v>306</v>
      </c>
      <c r="C177" s="183"/>
      <c r="D177" s="5"/>
      <c r="E177" s="5"/>
      <c r="F177" s="184"/>
      <c r="G177" s="28"/>
      <c r="H177" s="28"/>
      <c r="I177" s="28"/>
      <c r="J177" s="28"/>
      <c r="K177" s="28"/>
      <c r="L177" s="29"/>
      <c r="M177" s="188"/>
    </row>
    <row r="178" spans="1:16" ht="18" hidden="1" customHeight="1">
      <c r="A178" s="10" t="s">
        <v>304</v>
      </c>
      <c r="B178" s="11" t="s">
        <v>305</v>
      </c>
      <c r="C178" s="12" t="s">
        <v>303</v>
      </c>
      <c r="D178" s="5"/>
      <c r="E178" s="5" t="s">
        <v>302</v>
      </c>
      <c r="F178" s="50">
        <v>0</v>
      </c>
      <c r="G178" s="28">
        <v>25000</v>
      </c>
      <c r="H178" s="28">
        <f>F178*G178</f>
        <v>0</v>
      </c>
      <c r="I178" s="28">
        <v>70000</v>
      </c>
      <c r="J178" s="28">
        <f>F178*I178</f>
        <v>0</v>
      </c>
      <c r="K178" s="28">
        <f>G178+I178</f>
        <v>95000</v>
      </c>
      <c r="L178" s="29">
        <f>F178*K178</f>
        <v>0</v>
      </c>
      <c r="M178" s="188"/>
    </row>
    <row r="179" spans="1:16" ht="18" hidden="1" customHeight="1">
      <c r="A179" s="182" t="s">
        <v>209</v>
      </c>
      <c r="B179" s="11" t="s">
        <v>145</v>
      </c>
      <c r="C179" s="183" t="s">
        <v>146</v>
      </c>
      <c r="D179" s="5"/>
      <c r="E179" s="5" t="s">
        <v>81</v>
      </c>
      <c r="F179" s="184">
        <v>0</v>
      </c>
      <c r="G179" s="28">
        <v>450000</v>
      </c>
      <c r="H179" s="28">
        <f t="shared" ref="H179" si="110">F179*G179</f>
        <v>0</v>
      </c>
      <c r="I179" s="28">
        <v>0</v>
      </c>
      <c r="J179" s="28">
        <f t="shared" ref="J179" si="111">F179*I179</f>
        <v>0</v>
      </c>
      <c r="K179" s="28">
        <f>G179+I179</f>
        <v>450000</v>
      </c>
      <c r="L179" s="29">
        <f t="shared" ref="L179" si="112">F179*K179</f>
        <v>0</v>
      </c>
      <c r="M179" s="188"/>
    </row>
    <row r="180" spans="1:16" s="304" customFormat="1" ht="18" hidden="1" customHeight="1">
      <c r="A180" s="297"/>
      <c r="B180" s="169"/>
      <c r="C180" s="298"/>
      <c r="D180" s="299"/>
      <c r="E180" s="299"/>
      <c r="F180" s="300"/>
      <c r="G180" s="301"/>
      <c r="H180" s="301"/>
      <c r="I180" s="301"/>
      <c r="J180" s="301"/>
      <c r="K180" s="301"/>
      <c r="L180" s="302"/>
      <c r="M180" s="303"/>
      <c r="O180" s="305"/>
      <c r="P180" s="306"/>
    </row>
    <row r="181" spans="1:16" s="59" customFormat="1" ht="18" customHeight="1">
      <c r="A181" s="52">
        <v>-1</v>
      </c>
      <c r="B181" s="53" t="s">
        <v>404</v>
      </c>
      <c r="C181" s="54"/>
      <c r="D181" s="55"/>
      <c r="E181" s="55"/>
      <c r="F181" s="56"/>
      <c r="G181" s="57"/>
      <c r="H181" s="57"/>
      <c r="I181" s="57"/>
      <c r="J181" s="57"/>
      <c r="K181" s="57"/>
      <c r="L181" s="58"/>
      <c r="M181" s="188"/>
      <c r="O181" s="176"/>
      <c r="P181" s="181"/>
    </row>
    <row r="182" spans="1:16" s="326" customFormat="1" ht="18" customHeight="1">
      <c r="A182" s="318" t="s">
        <v>12</v>
      </c>
      <c r="B182" s="319" t="s">
        <v>451</v>
      </c>
      <c r="C182" s="329" t="s">
        <v>151</v>
      </c>
      <c r="D182" s="321"/>
      <c r="E182" s="321" t="s">
        <v>11</v>
      </c>
      <c r="F182" s="322">
        <v>6</v>
      </c>
      <c r="G182" s="323">
        <v>38000</v>
      </c>
      <c r="H182" s="323">
        <f>F182*G182</f>
        <v>228000</v>
      </c>
      <c r="I182" s="323">
        <v>70000</v>
      </c>
      <c r="J182" s="323">
        <f>F182*I182</f>
        <v>420000</v>
      </c>
      <c r="K182" s="323">
        <f>G182+I182</f>
        <v>108000</v>
      </c>
      <c r="L182" s="324">
        <f>F182*K182</f>
        <v>648000</v>
      </c>
      <c r="M182" s="325"/>
      <c r="O182" s="327">
        <f>16*1.5</f>
        <v>24</v>
      </c>
      <c r="P182" s="328"/>
    </row>
    <row r="183" spans="1:16" s="59" customFormat="1" ht="18" customHeight="1">
      <c r="A183" s="60" t="s">
        <v>12</v>
      </c>
      <c r="B183" s="53" t="s">
        <v>403</v>
      </c>
      <c r="C183" s="54" t="s">
        <v>152</v>
      </c>
      <c r="D183" s="55"/>
      <c r="E183" s="55" t="s">
        <v>11</v>
      </c>
      <c r="F183" s="61">
        <v>5</v>
      </c>
      <c r="G183" s="57">
        <v>15000</v>
      </c>
      <c r="H183" s="57">
        <f>F183*G183</f>
        <v>75000</v>
      </c>
      <c r="I183" s="57">
        <v>25000</v>
      </c>
      <c r="J183" s="57">
        <f>F183*I183</f>
        <v>125000</v>
      </c>
      <c r="K183" s="57">
        <f>G183+I183</f>
        <v>40000</v>
      </c>
      <c r="L183" s="58">
        <f>F183*K183</f>
        <v>200000</v>
      </c>
      <c r="M183" s="187"/>
      <c r="O183" s="176">
        <f>16*1.5</f>
        <v>24</v>
      </c>
      <c r="P183" s="181"/>
    </row>
    <row r="184" spans="1:16" ht="18" customHeight="1">
      <c r="A184" s="182" t="s">
        <v>209</v>
      </c>
      <c r="B184" s="11" t="s">
        <v>145</v>
      </c>
      <c r="C184" s="183" t="s">
        <v>146</v>
      </c>
      <c r="D184" s="5" t="s">
        <v>190</v>
      </c>
      <c r="E184" s="5" t="s">
        <v>81</v>
      </c>
      <c r="F184" s="184">
        <v>1</v>
      </c>
      <c r="G184" s="28">
        <v>150000</v>
      </c>
      <c r="H184" s="57">
        <f>F184*G184</f>
        <v>150000</v>
      </c>
      <c r="I184" s="28">
        <v>0</v>
      </c>
      <c r="J184" s="57">
        <f>F184*I184</f>
        <v>0</v>
      </c>
      <c r="K184" s="28">
        <f>G184+I184</f>
        <v>150000</v>
      </c>
      <c r="L184" s="58">
        <f>F184*K184</f>
        <v>150000</v>
      </c>
      <c r="M184" s="188"/>
      <c r="O184" s="173">
        <f>2183096.08 /1000000</f>
        <v>2.1830960799999999</v>
      </c>
    </row>
    <row r="185" spans="1:16" s="59" customFormat="1" ht="18" customHeight="1">
      <c r="A185" s="60"/>
      <c r="B185" s="53"/>
      <c r="C185" s="62"/>
      <c r="D185" s="55"/>
      <c r="E185" s="55"/>
      <c r="F185" s="61"/>
      <c r="G185" s="57"/>
      <c r="H185" s="57"/>
      <c r="I185" s="57"/>
      <c r="J185" s="57"/>
      <c r="K185" s="57"/>
      <c r="L185" s="58"/>
      <c r="M185" s="188"/>
      <c r="O185" s="176"/>
      <c r="P185" s="181"/>
    </row>
    <row r="186" spans="1:16" s="59" customFormat="1" ht="18" customHeight="1">
      <c r="A186" s="52">
        <v>-1</v>
      </c>
      <c r="B186" s="53" t="s">
        <v>147</v>
      </c>
      <c r="C186" s="54"/>
      <c r="D186" s="55"/>
      <c r="E186" s="55"/>
      <c r="F186" s="56"/>
      <c r="G186" s="57"/>
      <c r="H186" s="57"/>
      <c r="I186" s="57"/>
      <c r="J186" s="57"/>
      <c r="K186" s="57"/>
      <c r="L186" s="58"/>
      <c r="M186" s="188"/>
      <c r="O186" s="176"/>
      <c r="P186" s="181"/>
    </row>
    <row r="187" spans="1:16" s="59" customFormat="1" ht="18" customHeight="1">
      <c r="A187" s="60" t="s">
        <v>12</v>
      </c>
      <c r="B187" s="53" t="s">
        <v>148</v>
      </c>
      <c r="C187" s="54" t="s">
        <v>151</v>
      </c>
      <c r="D187" s="55"/>
      <c r="E187" s="55" t="s">
        <v>11</v>
      </c>
      <c r="F187" s="61">
        <v>3</v>
      </c>
      <c r="G187" s="57">
        <v>35000</v>
      </c>
      <c r="H187" s="57">
        <f>F187*G187</f>
        <v>105000</v>
      </c>
      <c r="I187" s="57">
        <v>70000</v>
      </c>
      <c r="J187" s="57">
        <f>F187*I187</f>
        <v>210000</v>
      </c>
      <c r="K187" s="57">
        <f>G187+I187</f>
        <v>105000</v>
      </c>
      <c r="L187" s="58">
        <f>F187*K187</f>
        <v>315000</v>
      </c>
      <c r="M187" s="188"/>
      <c r="O187" s="176"/>
      <c r="P187" s="181">
        <f>6*1.5</f>
        <v>9</v>
      </c>
    </row>
    <row r="188" spans="1:16" s="59" customFormat="1" ht="18" hidden="1" customHeight="1">
      <c r="A188" s="60"/>
      <c r="B188" s="53"/>
      <c r="C188" s="54"/>
      <c r="D188" s="55"/>
      <c r="E188" s="55"/>
      <c r="F188" s="61"/>
      <c r="G188" s="57"/>
      <c r="H188" s="57"/>
      <c r="I188" s="57"/>
      <c r="J188" s="57"/>
      <c r="K188" s="57"/>
      <c r="L188" s="58"/>
      <c r="M188" s="188"/>
      <c r="O188" s="176"/>
      <c r="P188" s="181"/>
    </row>
    <row r="189" spans="1:16" s="59" customFormat="1" ht="18" hidden="1" customHeight="1">
      <c r="A189" s="60"/>
      <c r="B189" s="53"/>
      <c r="C189" s="54"/>
      <c r="D189" s="55"/>
      <c r="E189" s="55"/>
      <c r="F189" s="61"/>
      <c r="G189" s="57"/>
      <c r="H189" s="57"/>
      <c r="I189" s="57"/>
      <c r="J189" s="57"/>
      <c r="K189" s="57"/>
      <c r="L189" s="58"/>
      <c r="M189" s="188"/>
      <c r="O189" s="176"/>
      <c r="P189" s="181"/>
    </row>
    <row r="190" spans="1:16" s="59" customFormat="1" ht="18" hidden="1" customHeight="1">
      <c r="A190" s="52">
        <v>-1</v>
      </c>
      <c r="B190" s="53" t="s">
        <v>149</v>
      </c>
      <c r="C190" s="54"/>
      <c r="D190" s="55"/>
      <c r="E190" s="55"/>
      <c r="F190" s="56"/>
      <c r="G190" s="57"/>
      <c r="H190" s="57"/>
      <c r="I190" s="57"/>
      <c r="J190" s="57"/>
      <c r="K190" s="57"/>
      <c r="L190" s="58"/>
      <c r="M190" s="188"/>
      <c r="O190" s="176"/>
      <c r="P190" s="181"/>
    </row>
    <row r="191" spans="1:16" s="59" customFormat="1" ht="18" hidden="1" customHeight="1">
      <c r="A191" s="60" t="s">
        <v>12</v>
      </c>
      <c r="B191" s="53" t="s">
        <v>150</v>
      </c>
      <c r="C191" s="54" t="s">
        <v>151</v>
      </c>
      <c r="D191" s="55"/>
      <c r="E191" s="55" t="s">
        <v>11</v>
      </c>
      <c r="F191" s="61"/>
      <c r="G191" s="57">
        <v>30000</v>
      </c>
      <c r="H191" s="57">
        <f t="shared" ref="H191:H196" si="113">F191*G191</f>
        <v>0</v>
      </c>
      <c r="I191" s="57">
        <v>48000</v>
      </c>
      <c r="J191" s="57">
        <f t="shared" ref="J191:J196" si="114">F191*I191</f>
        <v>0</v>
      </c>
      <c r="K191" s="57">
        <f t="shared" ref="K191:K196" si="115">G191+I191</f>
        <v>78000</v>
      </c>
      <c r="L191" s="58">
        <f t="shared" ref="L191:L196" si="116">F191*K191</f>
        <v>0</v>
      </c>
      <c r="M191" s="188"/>
      <c r="O191" s="176"/>
      <c r="P191" s="181"/>
    </row>
    <row r="192" spans="1:16" s="59" customFormat="1" ht="18" hidden="1" customHeight="1">
      <c r="A192" s="60" t="s">
        <v>209</v>
      </c>
      <c r="B192" s="53" t="s">
        <v>145</v>
      </c>
      <c r="C192" s="62" t="s">
        <v>146</v>
      </c>
      <c r="D192" s="55" t="s">
        <v>191</v>
      </c>
      <c r="E192" s="55" t="s">
        <v>81</v>
      </c>
      <c r="F192" s="61"/>
      <c r="G192" s="57">
        <v>550000</v>
      </c>
      <c r="H192" s="57">
        <f t="shared" si="113"/>
        <v>0</v>
      </c>
      <c r="I192" s="57">
        <v>0</v>
      </c>
      <c r="J192" s="57">
        <f t="shared" si="114"/>
        <v>0</v>
      </c>
      <c r="K192" s="57">
        <f t="shared" si="115"/>
        <v>550000</v>
      </c>
      <c r="L192" s="58">
        <f t="shared" si="116"/>
        <v>0</v>
      </c>
      <c r="M192" s="188"/>
      <c r="O192" s="176"/>
      <c r="P192" s="181"/>
    </row>
    <row r="193" spans="1:16" s="59" customFormat="1" ht="18" hidden="1" customHeight="1">
      <c r="A193" s="60"/>
      <c r="B193" s="53"/>
      <c r="C193" s="54"/>
      <c r="D193" s="55"/>
      <c r="E193" s="55"/>
      <c r="F193" s="61"/>
      <c r="G193" s="57"/>
      <c r="H193" s="57">
        <f t="shared" si="113"/>
        <v>0</v>
      </c>
      <c r="I193" s="57">
        <v>0</v>
      </c>
      <c r="J193" s="57">
        <f t="shared" si="114"/>
        <v>0</v>
      </c>
      <c r="K193" s="57">
        <f t="shared" si="115"/>
        <v>0</v>
      </c>
      <c r="L193" s="58">
        <f t="shared" si="116"/>
        <v>0</v>
      </c>
      <c r="M193" s="188"/>
      <c r="O193" s="176"/>
      <c r="P193" s="181"/>
    </row>
    <row r="194" spans="1:16" s="59" customFormat="1" ht="18" hidden="1" customHeight="1">
      <c r="A194" s="60"/>
      <c r="B194" s="53"/>
      <c r="C194" s="54"/>
      <c r="D194" s="55"/>
      <c r="E194" s="55"/>
      <c r="F194" s="61"/>
      <c r="G194" s="57"/>
      <c r="H194" s="57">
        <f t="shared" si="113"/>
        <v>0</v>
      </c>
      <c r="I194" s="57">
        <v>0</v>
      </c>
      <c r="J194" s="57">
        <f t="shared" si="114"/>
        <v>0</v>
      </c>
      <c r="K194" s="57">
        <f t="shared" si="115"/>
        <v>0</v>
      </c>
      <c r="L194" s="58">
        <f t="shared" si="116"/>
        <v>0</v>
      </c>
      <c r="M194" s="188"/>
      <c r="O194" s="176"/>
      <c r="P194" s="181"/>
    </row>
    <row r="195" spans="1:16" s="59" customFormat="1" ht="18" hidden="1" customHeight="1">
      <c r="A195" s="60" t="s">
        <v>237</v>
      </c>
      <c r="B195" s="53" t="s">
        <v>238</v>
      </c>
      <c r="C195" s="54" t="s">
        <v>239</v>
      </c>
      <c r="D195" s="55" t="s">
        <v>240</v>
      </c>
      <c r="E195" s="55" t="s">
        <v>241</v>
      </c>
      <c r="F195" s="61">
        <v>0</v>
      </c>
      <c r="G195" s="57">
        <v>75000</v>
      </c>
      <c r="H195" s="57">
        <f t="shared" si="113"/>
        <v>0</v>
      </c>
      <c r="I195" s="57">
        <v>98000</v>
      </c>
      <c r="J195" s="57">
        <f t="shared" si="114"/>
        <v>0</v>
      </c>
      <c r="K195" s="57">
        <f t="shared" si="115"/>
        <v>173000</v>
      </c>
      <c r="L195" s="58">
        <f t="shared" si="116"/>
        <v>0</v>
      </c>
      <c r="M195" s="188"/>
      <c r="O195" s="176"/>
      <c r="P195" s="181"/>
    </row>
    <row r="196" spans="1:16" s="59" customFormat="1" ht="18" hidden="1" customHeight="1">
      <c r="A196" s="60" t="s">
        <v>237</v>
      </c>
      <c r="B196" s="53" t="s">
        <v>242</v>
      </c>
      <c r="C196" s="54" t="s">
        <v>146</v>
      </c>
      <c r="D196" s="55"/>
      <c r="E196" s="55" t="s">
        <v>243</v>
      </c>
      <c r="F196" s="61">
        <v>0</v>
      </c>
      <c r="G196" s="57">
        <v>550000</v>
      </c>
      <c r="H196" s="57">
        <f t="shared" si="113"/>
        <v>0</v>
      </c>
      <c r="I196" s="57"/>
      <c r="J196" s="57">
        <f t="shared" si="114"/>
        <v>0</v>
      </c>
      <c r="K196" s="57">
        <f t="shared" si="115"/>
        <v>550000</v>
      </c>
      <c r="L196" s="58">
        <f t="shared" si="116"/>
        <v>0</v>
      </c>
      <c r="M196" s="188"/>
      <c r="O196" s="176"/>
      <c r="P196" s="181"/>
    </row>
    <row r="197" spans="1:16" s="59" customFormat="1" ht="18" customHeight="1">
      <c r="A197" s="60"/>
      <c r="B197" s="53"/>
      <c r="C197" s="62"/>
      <c r="D197" s="55"/>
      <c r="E197" s="55"/>
      <c r="F197" s="61"/>
      <c r="G197" s="57"/>
      <c r="H197" s="57"/>
      <c r="I197" s="57"/>
      <c r="J197" s="57"/>
      <c r="K197" s="57"/>
      <c r="L197" s="58"/>
      <c r="M197" s="188"/>
      <c r="O197" s="176"/>
      <c r="P197" s="181"/>
    </row>
    <row r="198" spans="1:16" s="59" customFormat="1" ht="18" hidden="1" customHeight="1">
      <c r="A198" s="52">
        <v>-1</v>
      </c>
      <c r="B198" s="53" t="s">
        <v>419</v>
      </c>
      <c r="C198" s="54" t="s">
        <v>151</v>
      </c>
      <c r="D198" s="55"/>
      <c r="E198" s="55" t="s">
        <v>11</v>
      </c>
      <c r="F198" s="56">
        <v>0</v>
      </c>
      <c r="G198" s="57">
        <v>35000</v>
      </c>
      <c r="H198" s="57">
        <f>F198*G198</f>
        <v>0</v>
      </c>
      <c r="I198" s="57">
        <v>70000</v>
      </c>
      <c r="J198" s="57">
        <f>F198*I198</f>
        <v>0</v>
      </c>
      <c r="K198" s="57">
        <f>G198+I198</f>
        <v>105000</v>
      </c>
      <c r="L198" s="58">
        <f>F198*K198</f>
        <v>0</v>
      </c>
      <c r="M198" s="188"/>
      <c r="O198" s="176"/>
      <c r="P198" s="181"/>
    </row>
    <row r="199" spans="1:16" s="59" customFormat="1" ht="18" hidden="1" customHeight="1">
      <c r="A199" s="60" t="s">
        <v>45</v>
      </c>
      <c r="B199" s="53" t="s">
        <v>145</v>
      </c>
      <c r="C199" s="62" t="s">
        <v>146</v>
      </c>
      <c r="D199" s="55"/>
      <c r="E199" s="55" t="s">
        <v>81</v>
      </c>
      <c r="F199" s="61">
        <v>0</v>
      </c>
      <c r="G199" s="57">
        <v>450000</v>
      </c>
      <c r="H199" s="57">
        <f t="shared" ref="H199" si="117">F199*G199</f>
        <v>0</v>
      </c>
      <c r="I199" s="57">
        <v>0</v>
      </c>
      <c r="J199" s="57">
        <f t="shared" ref="J199" si="118">F199*I199</f>
        <v>0</v>
      </c>
      <c r="K199" s="57">
        <f>G199+I199</f>
        <v>450000</v>
      </c>
      <c r="L199" s="58">
        <f t="shared" ref="L199" si="119">F199*K199</f>
        <v>0</v>
      </c>
      <c r="M199" s="188"/>
      <c r="O199" s="176"/>
      <c r="P199" s="181"/>
    </row>
    <row r="200" spans="1:16" s="20" customFormat="1" ht="18" customHeight="1">
      <c r="A200" s="13"/>
      <c r="B200" s="13" t="s">
        <v>13</v>
      </c>
      <c r="C200" s="15"/>
      <c r="D200" s="16"/>
      <c r="E200" s="16"/>
      <c r="F200" s="51"/>
      <c r="G200" s="188"/>
      <c r="H200" s="48">
        <f>SUM(H167:H198)</f>
        <v>2832000</v>
      </c>
      <c r="I200" s="48"/>
      <c r="J200" s="48">
        <f>SUM(J167:J198)</f>
        <v>4115000</v>
      </c>
      <c r="K200" s="48"/>
      <c r="L200" s="48">
        <f>SUM(L167:L198)</f>
        <v>6947000</v>
      </c>
      <c r="M200" s="188"/>
      <c r="O200" s="174"/>
      <c r="P200" s="179"/>
    </row>
    <row r="201" spans="1:16" ht="18" customHeight="1">
      <c r="A201" s="10"/>
      <c r="B201" s="11"/>
      <c r="C201" s="12"/>
      <c r="D201" s="5"/>
      <c r="E201" s="5"/>
      <c r="F201" s="50"/>
      <c r="G201" s="28"/>
      <c r="H201" s="28"/>
      <c r="I201" s="28"/>
      <c r="J201" s="28"/>
      <c r="K201" s="28"/>
      <c r="L201" s="29"/>
    </row>
    <row r="202" spans="1:16" s="20" customFormat="1" ht="18" customHeight="1">
      <c r="A202" s="44" t="s">
        <v>35</v>
      </c>
      <c r="B202" s="45" t="s">
        <v>71</v>
      </c>
      <c r="C202" s="46" t="s">
        <v>349</v>
      </c>
      <c r="D202" s="16"/>
      <c r="E202" s="16"/>
      <c r="F202" s="51"/>
      <c r="G202" s="48"/>
      <c r="H202" s="48"/>
      <c r="I202" s="48"/>
      <c r="J202" s="48"/>
      <c r="K202" s="48"/>
      <c r="L202" s="49"/>
      <c r="M202" s="188"/>
      <c r="O202" s="174"/>
      <c r="P202" s="179"/>
    </row>
    <row r="203" spans="1:16" ht="18" customHeight="1">
      <c r="A203" s="10">
        <v>-1</v>
      </c>
      <c r="B203" s="11" t="s">
        <v>154</v>
      </c>
      <c r="C203" s="12"/>
      <c r="D203" s="5"/>
      <c r="E203" s="5"/>
      <c r="F203" s="50"/>
      <c r="G203" s="28"/>
      <c r="H203" s="28"/>
      <c r="I203" s="28"/>
      <c r="J203" s="28"/>
      <c r="K203" s="28"/>
      <c r="L203" s="29"/>
      <c r="M203" s="188"/>
    </row>
    <row r="204" spans="1:16" ht="18" customHeight="1">
      <c r="A204" s="10" t="s">
        <v>209</v>
      </c>
      <c r="B204" s="11" t="s">
        <v>193</v>
      </c>
      <c r="C204" s="12" t="s">
        <v>324</v>
      </c>
      <c r="D204" s="5" t="s">
        <v>294</v>
      </c>
      <c r="E204" s="5" t="s">
        <v>42</v>
      </c>
      <c r="F204" s="50">
        <v>50</v>
      </c>
      <c r="G204" s="28">
        <v>7700</v>
      </c>
      <c r="H204" s="28">
        <f>F204*G204</f>
        <v>385000</v>
      </c>
      <c r="I204" s="28">
        <v>12000</v>
      </c>
      <c r="J204" s="28">
        <f>F204*I204</f>
        <v>600000</v>
      </c>
      <c r="K204" s="28">
        <f>G204+I204</f>
        <v>19700</v>
      </c>
      <c r="L204" s="29">
        <f>F204*K204</f>
        <v>985000</v>
      </c>
      <c r="M204" s="188"/>
    </row>
    <row r="205" spans="1:16" ht="18" customHeight="1">
      <c r="A205" s="10" t="s">
        <v>45</v>
      </c>
      <c r="B205" s="11" t="s">
        <v>192</v>
      </c>
      <c r="C205" s="12" t="s">
        <v>324</v>
      </c>
      <c r="D205" s="5" t="s">
        <v>244</v>
      </c>
      <c r="E205" s="5" t="s">
        <v>42</v>
      </c>
      <c r="F205" s="50">
        <v>0</v>
      </c>
      <c r="G205" s="28">
        <v>7700</v>
      </c>
      <c r="H205" s="28">
        <f>F205*G205</f>
        <v>0</v>
      </c>
      <c r="I205" s="28">
        <v>12000</v>
      </c>
      <c r="J205" s="28">
        <f>F205*I205</f>
        <v>0</v>
      </c>
      <c r="K205" s="28">
        <f>G205+I205</f>
        <v>19700</v>
      </c>
      <c r="L205" s="29">
        <f>F205*K205</f>
        <v>0</v>
      </c>
      <c r="M205" s="188"/>
      <c r="O205" s="173" t="s">
        <v>308</v>
      </c>
    </row>
    <row r="206" spans="1:16" ht="18" customHeight="1">
      <c r="A206" s="10" t="s">
        <v>45</v>
      </c>
      <c r="B206" s="11" t="s">
        <v>193</v>
      </c>
      <c r="C206" s="12" t="s">
        <v>324</v>
      </c>
      <c r="D206" s="5" t="s">
        <v>331</v>
      </c>
      <c r="E206" s="5" t="s">
        <v>42</v>
      </c>
      <c r="F206" s="50">
        <v>55</v>
      </c>
      <c r="G206" s="28">
        <v>7700</v>
      </c>
      <c r="H206" s="28">
        <f>F206*G206</f>
        <v>423500</v>
      </c>
      <c r="I206" s="28">
        <v>12000</v>
      </c>
      <c r="J206" s="28">
        <f>F206*I206</f>
        <v>660000</v>
      </c>
      <c r="K206" s="28">
        <f>G206+I206</f>
        <v>19700</v>
      </c>
      <c r="L206" s="29">
        <f>F206*K206</f>
        <v>1083500</v>
      </c>
      <c r="M206" s="188"/>
      <c r="O206" s="173" t="s">
        <v>308</v>
      </c>
    </row>
    <row r="207" spans="1:16" ht="18" customHeight="1">
      <c r="A207" s="10" t="s">
        <v>209</v>
      </c>
      <c r="B207" s="11" t="s">
        <v>192</v>
      </c>
      <c r="C207" s="12" t="s">
        <v>324</v>
      </c>
      <c r="D207" s="5" t="s">
        <v>286</v>
      </c>
      <c r="E207" s="5" t="s">
        <v>42</v>
      </c>
      <c r="F207" s="50">
        <v>110</v>
      </c>
      <c r="G207" s="28">
        <v>7700</v>
      </c>
      <c r="H207" s="28">
        <f>F207*G207</f>
        <v>847000</v>
      </c>
      <c r="I207" s="28">
        <v>12000</v>
      </c>
      <c r="J207" s="28">
        <f>F207*I207</f>
        <v>1320000</v>
      </c>
      <c r="K207" s="28">
        <f>G207+I207</f>
        <v>19700</v>
      </c>
      <c r="L207" s="29">
        <f>F207*K207</f>
        <v>2167000</v>
      </c>
      <c r="M207" s="188"/>
      <c r="O207" s="173" t="s">
        <v>332</v>
      </c>
      <c r="P207" s="178">
        <v>43</v>
      </c>
    </row>
    <row r="208" spans="1:16" ht="18" hidden="1" customHeight="1">
      <c r="A208" s="10" t="s">
        <v>209</v>
      </c>
      <c r="B208" s="11" t="s">
        <v>207</v>
      </c>
      <c r="C208" s="12"/>
      <c r="D208" s="5" t="s">
        <v>208</v>
      </c>
      <c r="E208" s="5" t="s">
        <v>202</v>
      </c>
      <c r="F208" s="50"/>
      <c r="G208" s="28">
        <v>3700</v>
      </c>
      <c r="H208" s="28">
        <f>F208*G208</f>
        <v>0</v>
      </c>
      <c r="I208" s="28">
        <v>7500</v>
      </c>
      <c r="J208" s="28">
        <f>F208*I208</f>
        <v>0</v>
      </c>
      <c r="K208" s="28">
        <f>G208+I208</f>
        <v>11200</v>
      </c>
      <c r="L208" s="29">
        <f>F208*K208</f>
        <v>0</v>
      </c>
      <c r="M208" s="188"/>
    </row>
    <row r="209" spans="1:16" ht="18" hidden="1" customHeight="1">
      <c r="A209" s="10"/>
      <c r="B209" s="11"/>
      <c r="C209" s="12"/>
      <c r="D209" s="5"/>
      <c r="E209" s="5"/>
      <c r="F209" s="50"/>
      <c r="G209" s="28"/>
      <c r="H209" s="28"/>
      <c r="I209" s="28"/>
      <c r="J209" s="28"/>
      <c r="K209" s="28"/>
      <c r="L209" s="29"/>
      <c r="M209" s="188"/>
    </row>
    <row r="210" spans="1:16" ht="18" customHeight="1">
      <c r="A210" s="10"/>
      <c r="B210" s="11"/>
      <c r="C210" s="12"/>
      <c r="D210" s="5"/>
      <c r="E210" s="5"/>
      <c r="F210" s="68">
        <v>0</v>
      </c>
      <c r="G210" s="50"/>
      <c r="H210" s="28"/>
      <c r="I210" s="28"/>
      <c r="J210" s="28"/>
      <c r="K210" s="28"/>
      <c r="L210" s="29"/>
      <c r="M210" s="188"/>
      <c r="O210" s="173" t="s">
        <v>309</v>
      </c>
      <c r="P210" s="178">
        <f>13+13+10*2.4</f>
        <v>50</v>
      </c>
    </row>
    <row r="211" spans="1:16" s="20" customFormat="1" ht="18" customHeight="1">
      <c r="A211" s="13"/>
      <c r="B211" s="13" t="s">
        <v>13</v>
      </c>
      <c r="C211" s="15"/>
      <c r="D211" s="16"/>
      <c r="E211" s="16"/>
      <c r="F211" s="51"/>
      <c r="G211" s="48"/>
      <c r="H211" s="48">
        <f>SUM(H203:H210)</f>
        <v>1655500</v>
      </c>
      <c r="I211" s="48"/>
      <c r="J211" s="48">
        <f>SUM(J203:J210)</f>
        <v>2580000</v>
      </c>
      <c r="K211" s="48"/>
      <c r="L211" s="49">
        <f>SUM(L203:L210)</f>
        <v>4235500</v>
      </c>
      <c r="M211" s="188"/>
      <c r="O211" s="174"/>
      <c r="P211" s="179"/>
    </row>
    <row r="212" spans="1:16" ht="18" customHeight="1">
      <c r="A212" s="10"/>
      <c r="B212" s="11"/>
      <c r="C212" s="12"/>
      <c r="D212" s="5"/>
      <c r="E212" s="5"/>
      <c r="F212" s="50"/>
      <c r="G212" s="28"/>
      <c r="H212" s="28"/>
      <c r="I212" s="28"/>
      <c r="J212" s="28"/>
      <c r="K212" s="28"/>
      <c r="L212" s="29"/>
      <c r="M212" s="188"/>
    </row>
    <row r="213" spans="1:16" s="20" customFormat="1" ht="18" customHeight="1">
      <c r="A213" s="44" t="s">
        <v>44</v>
      </c>
      <c r="B213" s="45" t="s">
        <v>72</v>
      </c>
      <c r="C213" s="46" t="s">
        <v>349</v>
      </c>
      <c r="D213" s="16"/>
      <c r="E213" s="16"/>
      <c r="F213" s="51"/>
      <c r="G213" s="48"/>
      <c r="H213" s="48"/>
      <c r="I213" s="48"/>
      <c r="J213" s="48"/>
      <c r="K213" s="48"/>
      <c r="L213" s="49"/>
      <c r="M213" s="188"/>
      <c r="O213" s="174"/>
      <c r="P213" s="179"/>
    </row>
    <row r="214" spans="1:16" s="304" customFormat="1" ht="18" customHeight="1">
      <c r="A214" s="168">
        <v>-1</v>
      </c>
      <c r="B214" s="169" t="s">
        <v>156</v>
      </c>
      <c r="C214" s="170" t="s">
        <v>410</v>
      </c>
      <c r="D214" s="299" t="s">
        <v>398</v>
      </c>
      <c r="E214" s="299" t="s">
        <v>298</v>
      </c>
      <c r="F214" s="307">
        <v>2</v>
      </c>
      <c r="G214" s="301">
        <v>250000</v>
      </c>
      <c r="H214" s="301">
        <f>F214*G214</f>
        <v>500000</v>
      </c>
      <c r="I214" s="301">
        <v>150000</v>
      </c>
      <c r="J214" s="301">
        <f>F214*I214</f>
        <v>300000</v>
      </c>
      <c r="K214" s="301">
        <f>G214+I214</f>
        <v>400000</v>
      </c>
      <c r="L214" s="302">
        <f>F214*K214</f>
        <v>800000</v>
      </c>
      <c r="M214" s="303"/>
      <c r="O214" s="305" t="s">
        <v>326</v>
      </c>
      <c r="P214" s="306" t="s">
        <v>327</v>
      </c>
    </row>
    <row r="215" spans="1:16" ht="18" customHeight="1">
      <c r="A215" s="10">
        <v>-1</v>
      </c>
      <c r="B215" s="11" t="s">
        <v>155</v>
      </c>
      <c r="C215" s="12" t="s">
        <v>323</v>
      </c>
      <c r="D215" s="5"/>
      <c r="E215" s="5" t="s">
        <v>175</v>
      </c>
      <c r="F215" s="50">
        <v>2</v>
      </c>
      <c r="G215" s="28">
        <v>55000</v>
      </c>
      <c r="H215" s="28">
        <f>F215*G215</f>
        <v>110000</v>
      </c>
      <c r="I215" s="28">
        <v>270000</v>
      </c>
      <c r="J215" s="28">
        <f>F215*I215</f>
        <v>540000</v>
      </c>
      <c r="K215" s="28">
        <f>G215+I215</f>
        <v>325000</v>
      </c>
      <c r="L215" s="29">
        <f>F215*K215</f>
        <v>650000</v>
      </c>
      <c r="M215" s="188"/>
    </row>
    <row r="216" spans="1:16" ht="18" customHeight="1">
      <c r="A216" s="10">
        <v>-1</v>
      </c>
      <c r="B216" s="11" t="s">
        <v>194</v>
      </c>
      <c r="C216" s="12" t="s">
        <v>341</v>
      </c>
      <c r="D216" s="5"/>
      <c r="E216" s="5" t="s">
        <v>81</v>
      </c>
      <c r="F216" s="50">
        <v>1</v>
      </c>
      <c r="G216" s="28">
        <v>300000</v>
      </c>
      <c r="H216" s="28">
        <f>F216*G216</f>
        <v>300000</v>
      </c>
      <c r="I216" s="28">
        <v>300000</v>
      </c>
      <c r="J216" s="28">
        <f>F216*I216</f>
        <v>300000</v>
      </c>
      <c r="K216" s="28">
        <f>G216+I216</f>
        <v>600000</v>
      </c>
      <c r="L216" s="29">
        <f>F216*K216</f>
        <v>600000</v>
      </c>
      <c r="M216" s="188"/>
    </row>
    <row r="217" spans="1:16" ht="18" customHeight="1">
      <c r="A217" s="10"/>
      <c r="B217" s="11"/>
      <c r="C217" s="12"/>
      <c r="D217" s="5"/>
      <c r="E217" s="5"/>
      <c r="F217" s="50"/>
      <c r="G217" s="28"/>
      <c r="H217" s="28"/>
      <c r="I217" s="28"/>
      <c r="J217" s="28"/>
      <c r="K217" s="28"/>
      <c r="L217" s="29"/>
      <c r="M217" s="188"/>
    </row>
    <row r="218" spans="1:16" ht="18" hidden="1" customHeight="1">
      <c r="A218" s="10"/>
      <c r="B218" s="11"/>
      <c r="C218" s="12"/>
      <c r="D218" s="5"/>
      <c r="E218" s="5"/>
      <c r="F218" s="50"/>
      <c r="G218" s="28"/>
      <c r="H218" s="28"/>
      <c r="I218" s="28"/>
      <c r="J218" s="28"/>
      <c r="K218" s="28"/>
      <c r="L218" s="29"/>
      <c r="M218" s="188"/>
    </row>
    <row r="219" spans="1:16" ht="18" hidden="1" customHeight="1">
      <c r="A219" s="10"/>
      <c r="B219" s="11"/>
      <c r="C219" s="12"/>
      <c r="D219" s="5"/>
      <c r="E219" s="5"/>
      <c r="F219" s="50"/>
      <c r="G219" s="28"/>
      <c r="H219" s="28"/>
      <c r="I219" s="28"/>
      <c r="J219" s="28"/>
      <c r="K219" s="28"/>
      <c r="L219" s="29"/>
      <c r="M219" s="188"/>
    </row>
    <row r="220" spans="1:16" ht="18" hidden="1" customHeight="1">
      <c r="A220" s="10"/>
      <c r="B220" s="11"/>
      <c r="C220" s="12"/>
      <c r="D220" s="5"/>
      <c r="E220" s="5"/>
      <c r="F220" s="50"/>
      <c r="G220" s="28"/>
      <c r="H220" s="28"/>
      <c r="I220" s="28"/>
      <c r="J220" s="28"/>
      <c r="K220" s="28"/>
      <c r="L220" s="29"/>
      <c r="M220" s="188"/>
    </row>
    <row r="221" spans="1:16" s="20" customFormat="1" ht="18" customHeight="1">
      <c r="A221" s="13"/>
      <c r="B221" s="13" t="s">
        <v>13</v>
      </c>
      <c r="C221" s="15"/>
      <c r="D221" s="16"/>
      <c r="E221" s="16"/>
      <c r="F221" s="51"/>
      <c r="G221" s="48"/>
      <c r="H221" s="48">
        <f>SUM(H214:H220)</f>
        <v>910000</v>
      </c>
      <c r="I221" s="48"/>
      <c r="J221" s="48">
        <f>SUM(J214:J220)</f>
        <v>1140000</v>
      </c>
      <c r="K221" s="48"/>
      <c r="L221" s="49">
        <f>SUM(L213:L220)</f>
        <v>2050000</v>
      </c>
      <c r="M221" s="188"/>
      <c r="O221" s="174"/>
      <c r="P221" s="179"/>
    </row>
    <row r="222" spans="1:16" ht="18" customHeight="1">
      <c r="A222" s="10"/>
      <c r="B222" s="11"/>
      <c r="C222" s="12"/>
      <c r="D222" s="5"/>
      <c r="E222" s="5"/>
      <c r="F222" s="50"/>
      <c r="G222" s="28"/>
      <c r="H222" s="28"/>
      <c r="I222" s="28"/>
      <c r="J222" s="28"/>
      <c r="K222" s="28"/>
      <c r="L222" s="29"/>
      <c r="M222" s="188"/>
    </row>
    <row r="223" spans="1:16" s="20" customFormat="1" ht="18" customHeight="1">
      <c r="A223" s="44" t="s">
        <v>47</v>
      </c>
      <c r="B223" s="45" t="s">
        <v>153</v>
      </c>
      <c r="C223" s="46" t="s">
        <v>349</v>
      </c>
      <c r="D223" s="16"/>
      <c r="E223" s="16"/>
      <c r="F223" s="51"/>
      <c r="G223" s="48"/>
      <c r="H223" s="48"/>
      <c r="I223" s="48"/>
      <c r="J223" s="48"/>
      <c r="K223" s="48"/>
      <c r="L223" s="49"/>
      <c r="M223" s="188"/>
      <c r="O223" s="174"/>
      <c r="P223" s="179"/>
    </row>
    <row r="224" spans="1:16" ht="18" hidden="1" customHeight="1">
      <c r="A224" s="10">
        <v>-1</v>
      </c>
      <c r="B224" s="11" t="s">
        <v>287</v>
      </c>
      <c r="C224" s="12"/>
      <c r="D224" s="5"/>
      <c r="E224" s="5" t="s">
        <v>289</v>
      </c>
      <c r="F224" s="50">
        <v>0</v>
      </c>
      <c r="G224" s="28">
        <v>83000</v>
      </c>
      <c r="H224" s="57">
        <f>F224*G224</f>
        <v>0</v>
      </c>
      <c r="I224" s="57">
        <v>35000</v>
      </c>
      <c r="J224" s="57">
        <f>F224*I224</f>
        <v>0</v>
      </c>
      <c r="K224" s="57">
        <f>G224+I224</f>
        <v>118000</v>
      </c>
      <c r="L224" s="58">
        <f>F224*K224</f>
        <v>0</v>
      </c>
      <c r="M224" s="188"/>
    </row>
    <row r="225" spans="1:16" s="59" customFormat="1" ht="18" customHeight="1">
      <c r="A225" s="52">
        <v>-1</v>
      </c>
      <c r="B225" s="53" t="s">
        <v>285</v>
      </c>
      <c r="C225" s="54" t="s">
        <v>453</v>
      </c>
      <c r="D225" s="55" t="s">
        <v>450</v>
      </c>
      <c r="E225" s="55" t="s">
        <v>206</v>
      </c>
      <c r="F225" s="56">
        <v>35</v>
      </c>
      <c r="G225" s="57">
        <v>123000</v>
      </c>
      <c r="H225" s="57">
        <f>F225*G225</f>
        <v>4305000</v>
      </c>
      <c r="I225" s="57">
        <v>25000</v>
      </c>
      <c r="J225" s="57">
        <f>F225*I225</f>
        <v>875000</v>
      </c>
      <c r="K225" s="57">
        <f>G225+I225</f>
        <v>148000</v>
      </c>
      <c r="L225" s="58">
        <f>F225*K225</f>
        <v>5180000</v>
      </c>
      <c r="M225" s="187"/>
      <c r="O225" s="176">
        <v>39</v>
      </c>
      <c r="P225" s="181"/>
    </row>
    <row r="226" spans="1:16" ht="18" hidden="1" customHeight="1">
      <c r="A226" s="10">
        <v>-1</v>
      </c>
      <c r="B226" s="11" t="s">
        <v>288</v>
      </c>
      <c r="C226" s="12"/>
      <c r="D226" s="5"/>
      <c r="E226" s="5" t="s">
        <v>289</v>
      </c>
      <c r="F226" s="50">
        <v>0</v>
      </c>
      <c r="G226" s="28">
        <v>120000</v>
      </c>
      <c r="H226" s="57">
        <f t="shared" ref="H226:H229" si="120">F226*G226</f>
        <v>0</v>
      </c>
      <c r="I226" s="28">
        <v>35000</v>
      </c>
      <c r="J226" s="57">
        <f t="shared" ref="J226:J229" si="121">F226*I226</f>
        <v>0</v>
      </c>
      <c r="K226" s="57">
        <f>G226+I226</f>
        <v>155000</v>
      </c>
      <c r="L226" s="58">
        <f>F226*K226</f>
        <v>0</v>
      </c>
      <c r="M226" s="188"/>
    </row>
    <row r="227" spans="1:16" ht="18" hidden="1" customHeight="1">
      <c r="A227" s="10">
        <v>-1</v>
      </c>
      <c r="B227" s="11" t="s">
        <v>180</v>
      </c>
      <c r="C227" s="12" t="s">
        <v>179</v>
      </c>
      <c r="D227" s="5" t="s">
        <v>177</v>
      </c>
      <c r="E227" s="5" t="s">
        <v>73</v>
      </c>
      <c r="F227" s="50">
        <v>0</v>
      </c>
      <c r="G227" s="28">
        <v>130000</v>
      </c>
      <c r="H227" s="57">
        <f t="shared" si="120"/>
        <v>0</v>
      </c>
      <c r="I227" s="28">
        <v>25000</v>
      </c>
      <c r="J227" s="57">
        <f t="shared" si="121"/>
        <v>0</v>
      </c>
      <c r="K227" s="28">
        <f>G227+I227</f>
        <v>155000</v>
      </c>
      <c r="L227" s="29">
        <f>F227*K227</f>
        <v>0</v>
      </c>
      <c r="M227" s="188"/>
    </row>
    <row r="228" spans="1:16" ht="18" hidden="1" customHeight="1">
      <c r="A228" s="10"/>
      <c r="B228" s="11"/>
      <c r="C228" s="12"/>
      <c r="D228" s="5"/>
      <c r="E228" s="5"/>
      <c r="F228" s="50"/>
      <c r="G228" s="28"/>
      <c r="H228" s="57">
        <f t="shared" si="120"/>
        <v>0</v>
      </c>
      <c r="I228" s="28"/>
      <c r="J228" s="57">
        <f t="shared" si="121"/>
        <v>0</v>
      </c>
      <c r="K228" s="28"/>
      <c r="L228" s="29"/>
      <c r="M228" s="188"/>
    </row>
    <row r="229" spans="1:16" ht="18" hidden="1" customHeight="1">
      <c r="A229" s="10"/>
      <c r="B229" s="11"/>
      <c r="C229" s="12"/>
      <c r="D229" s="5"/>
      <c r="E229" s="5"/>
      <c r="F229" s="50"/>
      <c r="G229" s="28"/>
      <c r="H229" s="57">
        <f t="shared" si="120"/>
        <v>0</v>
      </c>
      <c r="I229" s="28"/>
      <c r="J229" s="57">
        <f t="shared" si="121"/>
        <v>0</v>
      </c>
      <c r="K229" s="28"/>
      <c r="L229" s="29"/>
      <c r="M229" s="188"/>
    </row>
    <row r="230" spans="1:16" ht="18" customHeight="1">
      <c r="A230" s="10"/>
      <c r="B230" s="11"/>
      <c r="C230" s="12"/>
      <c r="D230" s="5"/>
      <c r="E230" s="5"/>
      <c r="F230" s="50"/>
      <c r="G230" s="28"/>
      <c r="H230" s="57"/>
      <c r="I230" s="28"/>
      <c r="J230" s="57"/>
      <c r="K230" s="28"/>
      <c r="L230" s="29"/>
      <c r="M230" s="188"/>
    </row>
    <row r="231" spans="1:16" s="20" customFormat="1" ht="18" customHeight="1">
      <c r="A231" s="13"/>
      <c r="B231" s="13" t="s">
        <v>13</v>
      </c>
      <c r="C231" s="15"/>
      <c r="D231" s="16"/>
      <c r="E231" s="16"/>
      <c r="F231" s="51"/>
      <c r="G231" s="48"/>
      <c r="H231" s="48">
        <f>SUM(H225:H229)</f>
        <v>4305000</v>
      </c>
      <c r="I231" s="48"/>
      <c r="J231" s="48">
        <f>SUM(J225:J229)</f>
        <v>875000</v>
      </c>
      <c r="K231" s="48"/>
      <c r="L231" s="48">
        <f>SUM(L225:L229)</f>
        <v>5180000</v>
      </c>
      <c r="M231" s="188"/>
      <c r="O231" s="174"/>
      <c r="P231" s="179"/>
    </row>
    <row r="232" spans="1:16" ht="18" customHeight="1">
      <c r="A232" s="10"/>
      <c r="B232" s="11"/>
      <c r="C232" s="12"/>
      <c r="D232" s="5"/>
      <c r="E232" s="5"/>
      <c r="F232" s="50"/>
      <c r="G232" s="28"/>
      <c r="H232" s="28"/>
      <c r="I232" s="28"/>
      <c r="J232" s="28"/>
      <c r="K232" s="28"/>
      <c r="L232" s="29"/>
      <c r="M232" s="188"/>
    </row>
    <row r="233" spans="1:16" ht="18" customHeight="1">
      <c r="A233" s="44" t="s">
        <v>49</v>
      </c>
      <c r="B233" s="45" t="s">
        <v>157</v>
      </c>
      <c r="C233" s="46"/>
      <c r="D233" s="5"/>
      <c r="E233" s="5"/>
      <c r="F233" s="50"/>
      <c r="G233" s="28"/>
      <c r="H233" s="28"/>
      <c r="I233" s="28"/>
      <c r="J233" s="28"/>
      <c r="K233" s="28"/>
      <c r="L233" s="29"/>
      <c r="M233" s="188"/>
    </row>
    <row r="234" spans="1:16" s="59" customFormat="1" ht="18" customHeight="1">
      <c r="A234" s="60">
        <v>-1</v>
      </c>
      <c r="B234" s="53" t="s">
        <v>158</v>
      </c>
      <c r="C234" s="54" t="s">
        <v>159</v>
      </c>
      <c r="D234" s="55"/>
      <c r="E234" s="55" t="s">
        <v>81</v>
      </c>
      <c r="F234" s="61">
        <v>1</v>
      </c>
      <c r="G234" s="57">
        <v>0</v>
      </c>
      <c r="H234" s="57">
        <f>F234*G234</f>
        <v>0</v>
      </c>
      <c r="I234" s="185">
        <v>400000</v>
      </c>
      <c r="J234" s="57">
        <f>F234*I234</f>
        <v>400000</v>
      </c>
      <c r="K234" s="57">
        <f>G234+I234</f>
        <v>400000</v>
      </c>
      <c r="L234" s="58">
        <f>F234*K234</f>
        <v>400000</v>
      </c>
      <c r="M234" s="188"/>
      <c r="O234" s="176"/>
      <c r="P234" s="181"/>
    </row>
    <row r="235" spans="1:16" s="59" customFormat="1" ht="18" customHeight="1">
      <c r="A235" s="60"/>
      <c r="B235" s="53"/>
      <c r="C235" s="54"/>
      <c r="D235" s="55"/>
      <c r="E235" s="55"/>
      <c r="F235" s="61"/>
      <c r="G235" s="57"/>
      <c r="H235" s="57"/>
      <c r="I235" s="57"/>
      <c r="J235" s="57"/>
      <c r="K235" s="57"/>
      <c r="L235" s="58"/>
      <c r="M235" s="188"/>
      <c r="O235" s="176"/>
      <c r="P235" s="181"/>
    </row>
    <row r="236" spans="1:16" s="59" customFormat="1" ht="18" customHeight="1">
      <c r="A236" s="52">
        <v>-1</v>
      </c>
      <c r="B236" s="53" t="s">
        <v>210</v>
      </c>
      <c r="C236" s="54"/>
      <c r="D236" s="55"/>
      <c r="E236" s="55"/>
      <c r="F236" s="56"/>
      <c r="G236" s="57"/>
      <c r="H236" s="57"/>
      <c r="I236" s="28"/>
      <c r="J236" s="57"/>
      <c r="K236" s="57"/>
      <c r="L236" s="58"/>
      <c r="M236" s="188"/>
      <c r="O236" s="176"/>
      <c r="P236" s="181"/>
    </row>
    <row r="237" spans="1:16" s="326" customFormat="1" ht="18" customHeight="1">
      <c r="A237" s="318" t="s">
        <v>12</v>
      </c>
      <c r="B237" s="399" t="s">
        <v>362</v>
      </c>
      <c r="C237" s="329" t="s">
        <v>420</v>
      </c>
      <c r="D237" s="321" t="s">
        <v>421</v>
      </c>
      <c r="E237" s="321" t="s">
        <v>42</v>
      </c>
      <c r="F237" s="322">
        <v>55</v>
      </c>
      <c r="G237" s="323">
        <v>17000</v>
      </c>
      <c r="H237" s="323">
        <f t="shared" ref="H237:H241" si="122">F237*G237</f>
        <v>935000</v>
      </c>
      <c r="I237" s="323">
        <v>28000</v>
      </c>
      <c r="J237" s="323">
        <f t="shared" ref="J237:J240" si="123">F237*I237</f>
        <v>1540000</v>
      </c>
      <c r="K237" s="323">
        <f t="shared" ref="K237:K240" si="124">G237+I237</f>
        <v>45000</v>
      </c>
      <c r="L237" s="324">
        <f t="shared" ref="L237:L240" si="125">F237*K237</f>
        <v>2475000</v>
      </c>
      <c r="M237" s="325" t="s">
        <v>454</v>
      </c>
    </row>
    <row r="238" spans="1:16" s="326" customFormat="1" ht="18" customHeight="1">
      <c r="A238" s="60" t="s">
        <v>45</v>
      </c>
      <c r="B238" s="53" t="s">
        <v>295</v>
      </c>
      <c r="C238" s="54" t="s">
        <v>161</v>
      </c>
      <c r="D238" s="55" t="s">
        <v>294</v>
      </c>
      <c r="E238" s="55" t="s">
        <v>42</v>
      </c>
      <c r="F238" s="61">
        <v>55</v>
      </c>
      <c r="G238" s="57">
        <v>4500</v>
      </c>
      <c r="H238" s="57">
        <f t="shared" ref="H238" si="126">F238*G238</f>
        <v>247500</v>
      </c>
      <c r="I238" s="57">
        <v>8500</v>
      </c>
      <c r="J238" s="57">
        <f t="shared" ref="J238" si="127">F238*I238</f>
        <v>467500</v>
      </c>
      <c r="K238" s="57">
        <f t="shared" ref="K238" si="128">G238+I238</f>
        <v>13000</v>
      </c>
      <c r="L238" s="58">
        <f t="shared" ref="L238" si="129">F238*K238</f>
        <v>715000</v>
      </c>
      <c r="M238" s="187"/>
    </row>
    <row r="239" spans="1:16" s="59" customFormat="1" ht="18" customHeight="1">
      <c r="A239" s="60" t="s">
        <v>291</v>
      </c>
      <c r="B239" s="53" t="s">
        <v>342</v>
      </c>
      <c r="C239" s="54" t="s">
        <v>334</v>
      </c>
      <c r="D239" s="55" t="s">
        <v>333</v>
      </c>
      <c r="E239" s="55" t="s">
        <v>296</v>
      </c>
      <c r="F239" s="61">
        <v>5</v>
      </c>
      <c r="G239" s="57">
        <v>12000</v>
      </c>
      <c r="H239" s="57">
        <f t="shared" si="122"/>
        <v>60000</v>
      </c>
      <c r="I239" s="57">
        <v>18000</v>
      </c>
      <c r="J239" s="57">
        <f t="shared" si="123"/>
        <v>90000</v>
      </c>
      <c r="K239" s="57">
        <f t="shared" si="124"/>
        <v>30000</v>
      </c>
      <c r="L239" s="58">
        <f t="shared" si="125"/>
        <v>150000</v>
      </c>
      <c r="M239" s="187"/>
    </row>
    <row r="240" spans="1:16" s="326" customFormat="1" ht="18" customHeight="1">
      <c r="A240" s="60" t="s">
        <v>209</v>
      </c>
      <c r="B240" s="53" t="s">
        <v>232</v>
      </c>
      <c r="C240" s="62" t="s">
        <v>360</v>
      </c>
      <c r="D240" s="55" t="s">
        <v>230</v>
      </c>
      <c r="E240" s="55" t="s">
        <v>229</v>
      </c>
      <c r="F240" s="61">
        <v>66</v>
      </c>
      <c r="G240" s="57">
        <v>1000</v>
      </c>
      <c r="H240" s="57">
        <f t="shared" si="122"/>
        <v>66000</v>
      </c>
      <c r="I240" s="57">
        <v>5000</v>
      </c>
      <c r="J240" s="57">
        <f t="shared" si="123"/>
        <v>330000</v>
      </c>
      <c r="K240" s="57">
        <f t="shared" si="124"/>
        <v>6000</v>
      </c>
      <c r="L240" s="58">
        <f t="shared" si="125"/>
        <v>396000</v>
      </c>
      <c r="M240" s="187"/>
      <c r="O240" s="327">
        <f>(3.3+3+3.3+0.6)+(2.1+0.4+0.7+1.4+4.3+1.9+2.4+3.2)+(2.9+2.7+2.1)+(2.3+3.6+3.9+1.3+2.2)</f>
        <v>47.599999999999994</v>
      </c>
      <c r="P240" s="328"/>
    </row>
    <row r="241" spans="1:16" s="59" customFormat="1" ht="18" customHeight="1">
      <c r="A241" s="60" t="s">
        <v>291</v>
      </c>
      <c r="B241" s="53" t="s">
        <v>292</v>
      </c>
      <c r="C241" s="62" t="s">
        <v>293</v>
      </c>
      <c r="D241" s="55" t="s">
        <v>427</v>
      </c>
      <c r="E241" s="55" t="s">
        <v>290</v>
      </c>
      <c r="F241" s="61">
        <v>50</v>
      </c>
      <c r="G241" s="57">
        <v>2200</v>
      </c>
      <c r="H241" s="57">
        <f t="shared" si="122"/>
        <v>110000</v>
      </c>
      <c r="I241" s="57">
        <v>5000</v>
      </c>
      <c r="J241" s="57">
        <f t="shared" ref="J241" si="130">F241*I241</f>
        <v>250000</v>
      </c>
      <c r="K241" s="57">
        <f t="shared" ref="K241" si="131">G241+I241</f>
        <v>7200</v>
      </c>
      <c r="L241" s="58">
        <f t="shared" ref="L241" si="132">F241*K241</f>
        <v>360000</v>
      </c>
      <c r="M241" s="187"/>
      <c r="O241" s="176" t="s">
        <v>307</v>
      </c>
      <c r="P241" s="181"/>
    </row>
    <row r="242" spans="1:16" s="59" customFormat="1" ht="18" customHeight="1">
      <c r="A242" s="60"/>
      <c r="B242" s="53"/>
      <c r="C242" s="62"/>
      <c r="D242" s="55"/>
      <c r="E242" s="55"/>
      <c r="F242" s="61"/>
      <c r="G242" s="57"/>
      <c r="H242" s="57"/>
      <c r="I242" s="57"/>
      <c r="J242" s="57"/>
      <c r="K242" s="57"/>
      <c r="L242" s="58"/>
      <c r="M242" s="187"/>
      <c r="O242" s="176"/>
      <c r="P242" s="181"/>
    </row>
    <row r="243" spans="1:16" s="59" customFormat="1" ht="18" hidden="1" customHeight="1">
      <c r="A243" s="60"/>
      <c r="B243" s="53"/>
      <c r="C243" s="62"/>
      <c r="D243" s="55"/>
      <c r="E243" s="55"/>
      <c r="F243" s="61"/>
      <c r="G243" s="57"/>
      <c r="H243" s="57"/>
      <c r="I243" s="57"/>
      <c r="J243" s="57"/>
      <c r="K243" s="57"/>
      <c r="L243" s="58"/>
      <c r="M243" s="187"/>
      <c r="O243" s="176"/>
      <c r="P243" s="181"/>
    </row>
    <row r="244" spans="1:16" s="59" customFormat="1" ht="18" hidden="1" customHeight="1">
      <c r="A244" s="60" t="s">
        <v>209</v>
      </c>
      <c r="B244" s="53" t="s">
        <v>218</v>
      </c>
      <c r="C244" s="62" t="s">
        <v>215</v>
      </c>
      <c r="D244" s="55"/>
      <c r="E244" s="55" t="s">
        <v>202</v>
      </c>
      <c r="F244" s="61"/>
      <c r="G244" s="57">
        <v>17000</v>
      </c>
      <c r="H244" s="57">
        <f>F244*G244</f>
        <v>0</v>
      </c>
      <c r="I244" s="57">
        <v>28000</v>
      </c>
      <c r="J244" s="57">
        <f>F244*I244</f>
        <v>0</v>
      </c>
      <c r="K244" s="57">
        <f>G244+I244</f>
        <v>45000</v>
      </c>
      <c r="L244" s="58">
        <f>F244*K244</f>
        <v>0</v>
      </c>
      <c r="M244" s="187"/>
      <c r="O244" s="176"/>
      <c r="P244" s="181"/>
    </row>
    <row r="245" spans="1:16" s="59" customFormat="1" ht="18" hidden="1" customHeight="1">
      <c r="A245" s="60" t="s">
        <v>209</v>
      </c>
      <c r="B245" s="53" t="s">
        <v>219</v>
      </c>
      <c r="C245" s="62" t="s">
        <v>161</v>
      </c>
      <c r="D245" s="55"/>
      <c r="E245" s="55" t="s">
        <v>202</v>
      </c>
      <c r="F245" s="61"/>
      <c r="G245" s="57">
        <v>10000</v>
      </c>
      <c r="H245" s="57">
        <f>F245*G245</f>
        <v>0</v>
      </c>
      <c r="I245" s="57">
        <v>23000</v>
      </c>
      <c r="J245" s="57">
        <f>F245*I245</f>
        <v>0</v>
      </c>
      <c r="K245" s="57">
        <f>G245+I245</f>
        <v>33000</v>
      </c>
      <c r="L245" s="58">
        <f>F245*K245</f>
        <v>0</v>
      </c>
      <c r="M245" s="187"/>
      <c r="O245" s="176"/>
      <c r="P245" s="181"/>
    </row>
    <row r="246" spans="1:16" s="59" customFormat="1" ht="18" hidden="1" customHeight="1">
      <c r="A246" s="60" t="s">
        <v>209</v>
      </c>
      <c r="B246" s="53" t="s">
        <v>219</v>
      </c>
      <c r="C246" s="62" t="s">
        <v>216</v>
      </c>
      <c r="D246" s="55"/>
      <c r="E246" s="55" t="s">
        <v>202</v>
      </c>
      <c r="F246" s="61"/>
      <c r="G246" s="57">
        <v>25000</v>
      </c>
      <c r="H246" s="57">
        <f>F246*G246</f>
        <v>0</v>
      </c>
      <c r="I246" s="57">
        <v>28000</v>
      </c>
      <c r="J246" s="57">
        <f>F246*I246</f>
        <v>0</v>
      </c>
      <c r="K246" s="57">
        <f>G246+I246</f>
        <v>53000</v>
      </c>
      <c r="L246" s="58">
        <f>F246*K246</f>
        <v>0</v>
      </c>
      <c r="M246" s="187"/>
      <c r="O246" s="176"/>
      <c r="P246" s="181"/>
    </row>
    <row r="247" spans="1:16" s="59" customFormat="1" ht="18" hidden="1" customHeight="1">
      <c r="A247" s="60"/>
      <c r="B247" s="53"/>
      <c r="C247" s="62"/>
      <c r="D247" s="55"/>
      <c r="E247" s="55"/>
      <c r="F247" s="61"/>
      <c r="G247" s="57"/>
      <c r="H247" s="57"/>
      <c r="I247" s="57"/>
      <c r="J247" s="57"/>
      <c r="K247" s="57"/>
      <c r="L247" s="58"/>
      <c r="M247" s="187"/>
      <c r="O247" s="176"/>
      <c r="P247" s="181"/>
    </row>
    <row r="248" spans="1:16" s="59" customFormat="1" ht="18" hidden="1" customHeight="1">
      <c r="A248" s="60"/>
      <c r="B248" s="53"/>
      <c r="C248" s="62"/>
      <c r="D248" s="55"/>
      <c r="E248" s="55"/>
      <c r="F248" s="61"/>
      <c r="G248" s="57"/>
      <c r="H248" s="57"/>
      <c r="I248" s="57"/>
      <c r="J248" s="57"/>
      <c r="K248" s="57"/>
      <c r="L248" s="58"/>
      <c r="M248" s="187"/>
      <c r="O248" s="176"/>
      <c r="P248" s="181"/>
    </row>
    <row r="249" spans="1:16" s="59" customFormat="1" ht="18" customHeight="1">
      <c r="A249" s="52">
        <v>-1</v>
      </c>
      <c r="B249" s="53" t="s">
        <v>162</v>
      </c>
      <c r="C249" s="54"/>
      <c r="D249" s="55"/>
      <c r="E249" s="55"/>
      <c r="F249" s="56"/>
      <c r="G249" s="57"/>
      <c r="H249" s="57"/>
      <c r="I249" s="57"/>
      <c r="J249" s="57"/>
      <c r="K249" s="57"/>
      <c r="L249" s="58"/>
      <c r="M249" s="187"/>
      <c r="O249" s="176"/>
      <c r="P249" s="181"/>
    </row>
    <row r="250" spans="1:16" s="59" customFormat="1" ht="18" customHeight="1">
      <c r="A250" s="60" t="s">
        <v>12</v>
      </c>
      <c r="B250" s="53" t="s">
        <v>163</v>
      </c>
      <c r="C250" s="54" t="s">
        <v>160</v>
      </c>
      <c r="D250" s="55" t="s">
        <v>389</v>
      </c>
      <c r="E250" s="55" t="s">
        <v>42</v>
      </c>
      <c r="F250" s="61">
        <v>10</v>
      </c>
      <c r="G250" s="57">
        <v>12000</v>
      </c>
      <c r="H250" s="57">
        <f t="shared" ref="H250:H255" si="133">F250*G250</f>
        <v>120000</v>
      </c>
      <c r="I250" s="57">
        <v>28000</v>
      </c>
      <c r="J250" s="57">
        <f t="shared" ref="J250:J255" si="134">F250*I250</f>
        <v>280000</v>
      </c>
      <c r="K250" s="57">
        <f t="shared" ref="K250:K255" si="135">G250+I250</f>
        <v>40000</v>
      </c>
      <c r="L250" s="58">
        <f t="shared" ref="L250:L255" si="136">F250*K250</f>
        <v>400000</v>
      </c>
      <c r="M250" s="187"/>
      <c r="O250" s="176">
        <f>(2.7+3+0.8+3.5)*2.4+28</f>
        <v>52</v>
      </c>
      <c r="P250" s="181"/>
    </row>
    <row r="251" spans="1:16" s="59" customFormat="1" ht="18" customHeight="1">
      <c r="A251" s="60" t="s">
        <v>12</v>
      </c>
      <c r="B251" s="53" t="s">
        <v>163</v>
      </c>
      <c r="C251" s="54" t="s">
        <v>160</v>
      </c>
      <c r="D251" s="55" t="s">
        <v>455</v>
      </c>
      <c r="E251" s="55" t="s">
        <v>42</v>
      </c>
      <c r="F251" s="61">
        <v>80</v>
      </c>
      <c r="G251" s="57">
        <v>12000</v>
      </c>
      <c r="H251" s="57">
        <f t="shared" si="133"/>
        <v>960000</v>
      </c>
      <c r="I251" s="57">
        <v>28000</v>
      </c>
      <c r="J251" s="57">
        <f t="shared" si="134"/>
        <v>2240000</v>
      </c>
      <c r="K251" s="57">
        <f t="shared" si="135"/>
        <v>40000</v>
      </c>
      <c r="L251" s="58">
        <f t="shared" si="136"/>
        <v>3200000</v>
      </c>
      <c r="M251" s="187"/>
      <c r="O251" s="176">
        <f>(2.7+3+0.8+3.5)*2.4+28</f>
        <v>52</v>
      </c>
      <c r="P251" s="181"/>
    </row>
    <row r="252" spans="1:16" s="59" customFormat="1" ht="18" customHeight="1">
      <c r="A252" s="60" t="s">
        <v>45</v>
      </c>
      <c r="B252" s="53" t="s">
        <v>280</v>
      </c>
      <c r="C252" s="62" t="s">
        <v>372</v>
      </c>
      <c r="D252" s="55" t="s">
        <v>428</v>
      </c>
      <c r="E252" s="55" t="s">
        <v>42</v>
      </c>
      <c r="F252" s="61">
        <v>90</v>
      </c>
      <c r="G252" s="57">
        <v>25000</v>
      </c>
      <c r="H252" s="57">
        <f t="shared" si="133"/>
        <v>2250000</v>
      </c>
      <c r="I252" s="57">
        <v>27000</v>
      </c>
      <c r="J252" s="57">
        <f t="shared" si="134"/>
        <v>2430000</v>
      </c>
      <c r="K252" s="57">
        <f t="shared" si="135"/>
        <v>52000</v>
      </c>
      <c r="L252" s="58">
        <f t="shared" si="136"/>
        <v>4680000</v>
      </c>
      <c r="M252" s="187"/>
    </row>
    <row r="253" spans="1:16" s="326" customFormat="1" ht="18" customHeight="1">
      <c r="A253" s="60" t="s">
        <v>45</v>
      </c>
      <c r="B253" s="376" t="s">
        <v>231</v>
      </c>
      <c r="C253" s="62" t="s">
        <v>361</v>
      </c>
      <c r="D253" s="55" t="s">
        <v>230</v>
      </c>
      <c r="E253" s="55" t="s">
        <v>40</v>
      </c>
      <c r="F253" s="61">
        <v>94</v>
      </c>
      <c r="G253" s="57">
        <v>1000</v>
      </c>
      <c r="H253" s="57">
        <f t="shared" si="133"/>
        <v>94000</v>
      </c>
      <c r="I253" s="57">
        <v>5000</v>
      </c>
      <c r="J253" s="57">
        <f t="shared" si="134"/>
        <v>470000</v>
      </c>
      <c r="K253" s="57">
        <f t="shared" si="135"/>
        <v>6000</v>
      </c>
      <c r="L253" s="58">
        <f t="shared" si="136"/>
        <v>564000</v>
      </c>
      <c r="M253" s="187"/>
      <c r="O253" s="327" t="s">
        <v>368</v>
      </c>
      <c r="P253" s="328"/>
    </row>
    <row r="254" spans="1:16" s="326" customFormat="1" ht="18" customHeight="1">
      <c r="A254" s="60" t="s">
        <v>12</v>
      </c>
      <c r="B254" s="53" t="s">
        <v>163</v>
      </c>
      <c r="C254" s="54" t="s">
        <v>160</v>
      </c>
      <c r="D254" s="55" t="s">
        <v>359</v>
      </c>
      <c r="E254" s="55" t="s">
        <v>42</v>
      </c>
      <c r="F254" s="61">
        <v>0</v>
      </c>
      <c r="G254" s="57">
        <v>12000</v>
      </c>
      <c r="H254" s="57">
        <f t="shared" si="133"/>
        <v>0</v>
      </c>
      <c r="I254" s="57">
        <v>28000</v>
      </c>
      <c r="J254" s="57">
        <f t="shared" si="134"/>
        <v>0</v>
      </c>
      <c r="K254" s="57">
        <f t="shared" si="135"/>
        <v>40000</v>
      </c>
      <c r="L254" s="58">
        <f t="shared" si="136"/>
        <v>0</v>
      </c>
      <c r="M254" s="187"/>
      <c r="O254" s="327">
        <f>(2.7+3+0.8+3.5)*2.4+28</f>
        <v>52</v>
      </c>
      <c r="P254" s="328"/>
    </row>
    <row r="255" spans="1:16" s="326" customFormat="1" ht="18" customHeight="1">
      <c r="A255" s="60" t="s">
        <v>12</v>
      </c>
      <c r="B255" s="53" t="s">
        <v>266</v>
      </c>
      <c r="C255" s="377" t="s">
        <v>363</v>
      </c>
      <c r="D255" s="55" t="s">
        <v>359</v>
      </c>
      <c r="E255" s="55" t="s">
        <v>42</v>
      </c>
      <c r="F255" s="61">
        <v>0</v>
      </c>
      <c r="G255" s="57">
        <v>5000</v>
      </c>
      <c r="H255" s="57">
        <f t="shared" si="133"/>
        <v>0</v>
      </c>
      <c r="I255" s="57">
        <v>15000</v>
      </c>
      <c r="J255" s="57">
        <f t="shared" si="134"/>
        <v>0</v>
      </c>
      <c r="K255" s="57">
        <f t="shared" si="135"/>
        <v>20000</v>
      </c>
      <c r="L255" s="58">
        <f t="shared" si="136"/>
        <v>0</v>
      </c>
      <c r="M255" s="187"/>
    </row>
    <row r="256" spans="1:16" s="59" customFormat="1" ht="18" customHeight="1">
      <c r="A256" s="60"/>
      <c r="B256" s="53"/>
      <c r="C256" s="62"/>
      <c r="D256" s="55"/>
      <c r="E256" s="55"/>
      <c r="F256" s="61"/>
      <c r="G256" s="57"/>
      <c r="H256" s="57"/>
      <c r="I256" s="57"/>
      <c r="J256" s="57"/>
      <c r="K256" s="57"/>
      <c r="L256" s="58"/>
      <c r="M256" s="187"/>
      <c r="O256" s="176">
        <f>29758433.54/1000000</f>
        <v>29.758433539999999</v>
      </c>
      <c r="P256" s="181"/>
    </row>
    <row r="257" spans="1:19" s="59" customFormat="1" ht="18" hidden="1" customHeight="1">
      <c r="A257" s="60"/>
      <c r="B257" s="53"/>
      <c r="C257" s="62"/>
      <c r="D257" s="55"/>
      <c r="E257" s="55"/>
      <c r="F257" s="61"/>
      <c r="G257" s="57"/>
      <c r="H257" s="57"/>
      <c r="I257" s="57"/>
      <c r="J257" s="57"/>
      <c r="K257" s="57"/>
      <c r="L257" s="58"/>
      <c r="M257" s="187"/>
      <c r="O257" s="176"/>
      <c r="P257" s="181"/>
      <c r="S257" s="59" t="s">
        <v>228</v>
      </c>
    </row>
    <row r="258" spans="1:19" s="59" customFormat="1" ht="18" hidden="1" customHeight="1">
      <c r="A258" s="60" t="s">
        <v>209</v>
      </c>
      <c r="B258" s="53" t="s">
        <v>212</v>
      </c>
      <c r="C258" s="62" t="s">
        <v>215</v>
      </c>
      <c r="D258" s="55"/>
      <c r="E258" s="55" t="s">
        <v>202</v>
      </c>
      <c r="F258" s="61"/>
      <c r="G258" s="57">
        <v>12000</v>
      </c>
      <c r="H258" s="57">
        <f>F258*G258</f>
        <v>0</v>
      </c>
      <c r="I258" s="57">
        <v>28000</v>
      </c>
      <c r="J258" s="57">
        <f>F258*I258</f>
        <v>0</v>
      </c>
      <c r="K258" s="57">
        <f>G258+I258</f>
        <v>40000</v>
      </c>
      <c r="L258" s="58">
        <f>F258*K258</f>
        <v>0</v>
      </c>
      <c r="M258" s="187"/>
      <c r="O258" s="176"/>
      <c r="P258" s="181"/>
    </row>
    <row r="259" spans="1:19" s="59" customFormat="1" ht="18" hidden="1" customHeight="1">
      <c r="A259" s="60" t="s">
        <v>209</v>
      </c>
      <c r="B259" s="53" t="s">
        <v>213</v>
      </c>
      <c r="C259" s="62" t="s">
        <v>216</v>
      </c>
      <c r="D259" s="55"/>
      <c r="E259" s="55" t="s">
        <v>202</v>
      </c>
      <c r="F259" s="61"/>
      <c r="G259" s="57">
        <v>10000</v>
      </c>
      <c r="H259" s="57">
        <f>F259*G259</f>
        <v>0</v>
      </c>
      <c r="I259" s="57">
        <v>23000</v>
      </c>
      <c r="J259" s="57">
        <f>F259*I259</f>
        <v>0</v>
      </c>
      <c r="K259" s="57">
        <f>G259+I259</f>
        <v>33000</v>
      </c>
      <c r="L259" s="58">
        <f>F259*K259</f>
        <v>0</v>
      </c>
      <c r="M259" s="187"/>
      <c r="O259" s="176"/>
      <c r="P259" s="181"/>
    </row>
    <row r="260" spans="1:19" s="59" customFormat="1" ht="18" hidden="1" customHeight="1">
      <c r="A260" s="60" t="s">
        <v>209</v>
      </c>
      <c r="B260" s="53" t="s">
        <v>214</v>
      </c>
      <c r="C260" s="62" t="s">
        <v>217</v>
      </c>
      <c r="D260" s="55"/>
      <c r="E260" s="55" t="s">
        <v>202</v>
      </c>
      <c r="F260" s="61"/>
      <c r="G260" s="57">
        <v>25000</v>
      </c>
      <c r="H260" s="57">
        <f>F260*G260</f>
        <v>0</v>
      </c>
      <c r="I260" s="57">
        <v>28000</v>
      </c>
      <c r="J260" s="57">
        <f>F260*I260</f>
        <v>0</v>
      </c>
      <c r="K260" s="57">
        <f>G260+I260</f>
        <v>53000</v>
      </c>
      <c r="L260" s="58">
        <f>F260*K260</f>
        <v>0</v>
      </c>
      <c r="M260" s="187"/>
      <c r="O260" s="176"/>
      <c r="P260" s="181"/>
    </row>
    <row r="261" spans="1:19" s="59" customFormat="1" ht="18" hidden="1" customHeight="1">
      <c r="A261" s="60"/>
      <c r="B261" s="53"/>
      <c r="C261" s="62"/>
      <c r="D261" s="55"/>
      <c r="E261" s="55"/>
      <c r="F261" s="61"/>
      <c r="G261" s="57"/>
      <c r="H261" s="57"/>
      <c r="I261" s="57"/>
      <c r="J261" s="57"/>
      <c r="K261" s="57"/>
      <c r="L261" s="58"/>
      <c r="M261" s="187"/>
      <c r="O261" s="176"/>
      <c r="P261" s="181"/>
    </row>
    <row r="262" spans="1:19" s="59" customFormat="1" ht="18" hidden="1" customHeight="1">
      <c r="A262" s="60"/>
      <c r="B262" s="53"/>
      <c r="C262" s="62"/>
      <c r="D262" s="55"/>
      <c r="E262" s="55"/>
      <c r="F262" s="61"/>
      <c r="G262" s="57"/>
      <c r="H262" s="57"/>
      <c r="I262" s="57"/>
      <c r="J262" s="57"/>
      <c r="K262" s="57"/>
      <c r="L262" s="58"/>
      <c r="M262" s="187"/>
      <c r="O262" s="176"/>
      <c r="P262" s="181"/>
    </row>
    <row r="263" spans="1:19" s="59" customFormat="1" ht="18" hidden="1" customHeight="1">
      <c r="A263" s="60"/>
      <c r="B263" s="53"/>
      <c r="C263" s="62"/>
      <c r="D263" s="55"/>
      <c r="E263" s="55"/>
      <c r="F263" s="61"/>
      <c r="G263" s="57"/>
      <c r="H263" s="57"/>
      <c r="I263" s="57"/>
      <c r="J263" s="57"/>
      <c r="K263" s="57"/>
      <c r="L263" s="58"/>
      <c r="M263" s="187"/>
      <c r="O263" s="176"/>
      <c r="P263" s="181"/>
    </row>
    <row r="264" spans="1:19" s="59" customFormat="1" ht="18" hidden="1" customHeight="1">
      <c r="A264" s="60"/>
      <c r="B264" s="53"/>
      <c r="C264" s="62"/>
      <c r="D264" s="55"/>
      <c r="E264" s="55"/>
      <c r="F264" s="61"/>
      <c r="G264" s="57"/>
      <c r="H264" s="57"/>
      <c r="I264" s="57"/>
      <c r="J264" s="57"/>
      <c r="K264" s="57"/>
      <c r="L264" s="58"/>
      <c r="M264" s="187"/>
      <c r="O264" s="176"/>
      <c r="P264" s="181"/>
    </row>
    <row r="265" spans="1:19" s="59" customFormat="1" ht="18" hidden="1" customHeight="1">
      <c r="A265" s="60"/>
      <c r="B265" s="53"/>
      <c r="C265" s="62"/>
      <c r="D265" s="55"/>
      <c r="E265" s="55"/>
      <c r="F265" s="61"/>
      <c r="G265" s="57"/>
      <c r="H265" s="57"/>
      <c r="I265" s="57"/>
      <c r="J265" s="57"/>
      <c r="K265" s="57"/>
      <c r="L265" s="58"/>
      <c r="M265" s="187"/>
      <c r="O265" s="176"/>
      <c r="P265" s="181"/>
    </row>
    <row r="266" spans="1:19" s="59" customFormat="1" ht="18" hidden="1" customHeight="1">
      <c r="A266" s="60"/>
      <c r="B266" s="53"/>
      <c r="C266" s="62"/>
      <c r="D266" s="55"/>
      <c r="E266" s="55"/>
      <c r="F266" s="61"/>
      <c r="G266" s="57"/>
      <c r="H266" s="57"/>
      <c r="I266" s="57"/>
      <c r="J266" s="57"/>
      <c r="K266" s="57"/>
      <c r="L266" s="58"/>
      <c r="M266" s="187"/>
      <c r="O266" s="176"/>
      <c r="P266" s="181"/>
    </row>
    <row r="267" spans="1:19" s="59" customFormat="1" ht="18" customHeight="1">
      <c r="A267" s="52">
        <v>-1</v>
      </c>
      <c r="B267" s="53" t="s">
        <v>165</v>
      </c>
      <c r="C267" s="54"/>
      <c r="D267" s="55"/>
      <c r="E267" s="55" t="s">
        <v>310</v>
      </c>
      <c r="F267" s="56"/>
      <c r="G267" s="57"/>
      <c r="H267" s="57"/>
      <c r="I267" s="57"/>
      <c r="J267" s="57"/>
      <c r="K267" s="57"/>
      <c r="L267" s="58"/>
      <c r="M267" s="187"/>
      <c r="O267" s="176" t="s">
        <v>325</v>
      </c>
      <c r="P267" s="181"/>
    </row>
    <row r="268" spans="1:19" s="59" customFormat="1" ht="18" customHeight="1">
      <c r="A268" s="60" t="s">
        <v>12</v>
      </c>
      <c r="B268" s="53" t="s">
        <v>321</v>
      </c>
      <c r="C268" s="62"/>
      <c r="D268" s="55" t="s">
        <v>322</v>
      </c>
      <c r="E268" s="55" t="s">
        <v>81</v>
      </c>
      <c r="F268" s="61">
        <v>6</v>
      </c>
      <c r="G268" s="57">
        <v>50000</v>
      </c>
      <c r="H268" s="57">
        <f t="shared" ref="H268:H269" si="137">F268*G268</f>
        <v>300000</v>
      </c>
      <c r="I268" s="57">
        <v>100000</v>
      </c>
      <c r="J268" s="57">
        <f t="shared" ref="J268:J269" si="138">F268*I268</f>
        <v>600000</v>
      </c>
      <c r="K268" s="57">
        <f t="shared" ref="K268:K269" si="139">G268+I268</f>
        <v>150000</v>
      </c>
      <c r="L268" s="58">
        <f t="shared" ref="L268:L269" si="140">F268*K268</f>
        <v>900000</v>
      </c>
      <c r="M268" s="187"/>
      <c r="O268" s="176"/>
      <c r="P268" s="181"/>
    </row>
    <row r="269" spans="1:19" s="59" customFormat="1" ht="18" customHeight="1">
      <c r="A269" s="60" t="s">
        <v>12</v>
      </c>
      <c r="B269" s="53" t="s">
        <v>281</v>
      </c>
      <c r="C269" s="62" t="s">
        <v>390</v>
      </c>
      <c r="D269" s="55" t="s">
        <v>164</v>
      </c>
      <c r="E269" s="55" t="s">
        <v>81</v>
      </c>
      <c r="F269" s="61">
        <v>0</v>
      </c>
      <c r="G269" s="57">
        <v>200000</v>
      </c>
      <c r="H269" s="57">
        <f t="shared" si="137"/>
        <v>0</v>
      </c>
      <c r="I269" s="57">
        <v>200000</v>
      </c>
      <c r="J269" s="57">
        <f t="shared" si="138"/>
        <v>0</v>
      </c>
      <c r="K269" s="57">
        <f t="shared" si="139"/>
        <v>400000</v>
      </c>
      <c r="L269" s="58">
        <f t="shared" si="140"/>
        <v>0</v>
      </c>
      <c r="M269" s="187"/>
      <c r="O269" s="176"/>
      <c r="P269" s="181"/>
    </row>
    <row r="270" spans="1:19" s="326" customFormat="1" ht="18" customHeight="1">
      <c r="A270" s="318" t="s">
        <v>12</v>
      </c>
      <c r="B270" s="319" t="s">
        <v>281</v>
      </c>
      <c r="C270" s="320" t="s">
        <v>369</v>
      </c>
      <c r="D270" s="321" t="s">
        <v>164</v>
      </c>
      <c r="E270" s="321" t="s">
        <v>81</v>
      </c>
      <c r="F270" s="322">
        <v>2</v>
      </c>
      <c r="G270" s="323">
        <v>450000</v>
      </c>
      <c r="H270" s="323">
        <f t="shared" ref="H270:H273" si="141">F270*G270</f>
        <v>900000</v>
      </c>
      <c r="I270" s="323">
        <v>250000</v>
      </c>
      <c r="J270" s="323">
        <f t="shared" ref="J270:J273" si="142">F270*I270</f>
        <v>500000</v>
      </c>
      <c r="K270" s="323">
        <f t="shared" ref="K270:K273" si="143">G270+I270</f>
        <v>700000</v>
      </c>
      <c r="L270" s="324">
        <f t="shared" ref="L270:L273" si="144">F270*K270</f>
        <v>1400000</v>
      </c>
      <c r="M270" s="325"/>
      <c r="O270" s="327"/>
      <c r="P270" s="328"/>
    </row>
    <row r="271" spans="1:19" s="326" customFormat="1" ht="18" customHeight="1">
      <c r="A271" s="318" t="s">
        <v>12</v>
      </c>
      <c r="B271" s="319" t="s">
        <v>281</v>
      </c>
      <c r="C271" s="320" t="s">
        <v>456</v>
      </c>
      <c r="D271" s="321" t="s">
        <v>164</v>
      </c>
      <c r="E271" s="321" t="s">
        <v>81</v>
      </c>
      <c r="F271" s="322">
        <v>3</v>
      </c>
      <c r="G271" s="323">
        <v>650000</v>
      </c>
      <c r="H271" s="323">
        <f t="shared" ref="H271" si="145">F271*G271</f>
        <v>1950000</v>
      </c>
      <c r="I271" s="323">
        <v>250000</v>
      </c>
      <c r="J271" s="323">
        <f t="shared" ref="J271" si="146">F271*I271</f>
        <v>750000</v>
      </c>
      <c r="K271" s="323">
        <f t="shared" ref="K271" si="147">G271+I271</f>
        <v>900000</v>
      </c>
      <c r="L271" s="324">
        <f t="shared" ref="L271" si="148">F271*K271</f>
        <v>2700000</v>
      </c>
      <c r="M271" s="325"/>
      <c r="O271" s="327"/>
      <c r="P271" s="328"/>
    </row>
    <row r="272" spans="1:19" s="59" customFormat="1" ht="18" customHeight="1">
      <c r="A272" s="60" t="s">
        <v>12</v>
      </c>
      <c r="B272" s="53" t="s">
        <v>178</v>
      </c>
      <c r="C272" s="62" t="s">
        <v>267</v>
      </c>
      <c r="D272" s="55" t="s">
        <v>164</v>
      </c>
      <c r="E272" s="55" t="s">
        <v>39</v>
      </c>
      <c r="F272" s="61">
        <v>2</v>
      </c>
      <c r="G272" s="57">
        <v>24000</v>
      </c>
      <c r="H272" s="57">
        <f t="shared" si="141"/>
        <v>48000</v>
      </c>
      <c r="I272" s="57">
        <v>30000</v>
      </c>
      <c r="J272" s="57">
        <f t="shared" si="142"/>
        <v>60000</v>
      </c>
      <c r="K272" s="57">
        <f t="shared" si="143"/>
        <v>54000</v>
      </c>
      <c r="L272" s="58">
        <f t="shared" si="144"/>
        <v>108000</v>
      </c>
      <c r="M272" s="187"/>
      <c r="O272" s="176"/>
      <c r="P272" s="181"/>
    </row>
    <row r="273" spans="1:16" s="59" customFormat="1" ht="18" customHeight="1">
      <c r="A273" s="60" t="s">
        <v>233</v>
      </c>
      <c r="B273" s="53" t="s">
        <v>234</v>
      </c>
      <c r="C273" s="62" t="s">
        <v>235</v>
      </c>
      <c r="D273" s="55" t="s">
        <v>244</v>
      </c>
      <c r="E273" s="55" t="s">
        <v>236</v>
      </c>
      <c r="F273" s="61">
        <v>0</v>
      </c>
      <c r="G273" s="57">
        <v>150000</v>
      </c>
      <c r="H273" s="57">
        <f t="shared" si="141"/>
        <v>0</v>
      </c>
      <c r="I273" s="57">
        <v>250000</v>
      </c>
      <c r="J273" s="57">
        <f t="shared" si="142"/>
        <v>0</v>
      </c>
      <c r="K273" s="57">
        <f t="shared" si="143"/>
        <v>400000</v>
      </c>
      <c r="L273" s="58">
        <f t="shared" si="144"/>
        <v>0</v>
      </c>
      <c r="M273" s="187"/>
      <c r="O273" s="176"/>
      <c r="P273" s="181"/>
    </row>
    <row r="274" spans="1:16" s="59" customFormat="1" ht="18" customHeight="1">
      <c r="A274" s="60" t="s">
        <v>45</v>
      </c>
      <c r="B274" s="53" t="s">
        <v>464</v>
      </c>
      <c r="C274" s="62" t="s">
        <v>235</v>
      </c>
      <c r="D274" s="55" t="s">
        <v>366</v>
      </c>
      <c r="E274" s="55" t="s">
        <v>81</v>
      </c>
      <c r="F274" s="61">
        <v>1</v>
      </c>
      <c r="G274" s="57">
        <v>250000</v>
      </c>
      <c r="H274" s="57">
        <f t="shared" ref="H274" si="149">F274*G274</f>
        <v>250000</v>
      </c>
      <c r="I274" s="57">
        <v>300000</v>
      </c>
      <c r="J274" s="57">
        <f t="shared" ref="J274" si="150">F274*I274</f>
        <v>300000</v>
      </c>
      <c r="K274" s="57">
        <f t="shared" ref="K274" si="151">G274+I274</f>
        <v>550000</v>
      </c>
      <c r="L274" s="58">
        <f t="shared" ref="L274" si="152">F274*K274</f>
        <v>550000</v>
      </c>
      <c r="M274" s="187"/>
      <c r="O274" s="176"/>
      <c r="P274" s="181"/>
    </row>
    <row r="275" spans="1:16" s="59" customFormat="1" ht="18" customHeight="1">
      <c r="A275" s="60" t="s">
        <v>45</v>
      </c>
      <c r="B275" s="53" t="s">
        <v>364</v>
      </c>
      <c r="C275" s="62" t="s">
        <v>365</v>
      </c>
      <c r="D275" s="55" t="s">
        <v>366</v>
      </c>
      <c r="E275" s="55" t="s">
        <v>39</v>
      </c>
      <c r="F275" s="61">
        <v>0</v>
      </c>
      <c r="G275" s="57">
        <v>150000</v>
      </c>
      <c r="H275" s="57">
        <f t="shared" ref="H275" si="153">F275*G275</f>
        <v>0</v>
      </c>
      <c r="I275" s="57">
        <v>150000</v>
      </c>
      <c r="J275" s="57">
        <f t="shared" ref="J275" si="154">F275*I275</f>
        <v>0</v>
      </c>
      <c r="K275" s="57">
        <f t="shared" ref="K275" si="155">G275+I275</f>
        <v>300000</v>
      </c>
      <c r="L275" s="58">
        <f t="shared" ref="L275" si="156">F275*K275</f>
        <v>0</v>
      </c>
      <c r="M275" s="187"/>
      <c r="O275" s="176"/>
      <c r="P275" s="181"/>
    </row>
    <row r="276" spans="1:16" s="59" customFormat="1" ht="18" customHeight="1">
      <c r="A276" s="60" t="s">
        <v>45</v>
      </c>
      <c r="B276" s="53" t="s">
        <v>336</v>
      </c>
      <c r="C276" s="62" t="s">
        <v>338</v>
      </c>
      <c r="D276" s="55" t="s">
        <v>413</v>
      </c>
      <c r="E276" s="55" t="s">
        <v>81</v>
      </c>
      <c r="F276" s="61">
        <v>4</v>
      </c>
      <c r="G276" s="57">
        <v>150000</v>
      </c>
      <c r="H276" s="57">
        <f>F276*G276</f>
        <v>600000</v>
      </c>
      <c r="I276" s="57">
        <v>200000</v>
      </c>
      <c r="J276" s="57">
        <f>F276*I276</f>
        <v>800000</v>
      </c>
      <c r="K276" s="57">
        <f>G276+I276</f>
        <v>350000</v>
      </c>
      <c r="L276" s="58">
        <f>F276*K276</f>
        <v>1400000</v>
      </c>
      <c r="M276" s="187"/>
      <c r="O276" s="176"/>
      <c r="P276" s="181"/>
    </row>
    <row r="277" spans="1:16" s="59" customFormat="1" ht="18" customHeight="1">
      <c r="A277" s="60" t="s">
        <v>45</v>
      </c>
      <c r="B277" s="53" t="s">
        <v>343</v>
      </c>
      <c r="C277" s="62" t="s">
        <v>344</v>
      </c>
      <c r="D277" s="55" t="s">
        <v>337</v>
      </c>
      <c r="E277" s="55" t="s">
        <v>42</v>
      </c>
      <c r="F277" s="61">
        <v>0</v>
      </c>
      <c r="G277" s="57">
        <v>5500</v>
      </c>
      <c r="H277" s="57">
        <f>F277*G277</f>
        <v>0</v>
      </c>
      <c r="I277" s="57">
        <v>15000</v>
      </c>
      <c r="J277" s="57">
        <f>F277*I277</f>
        <v>0</v>
      </c>
      <c r="K277" s="57">
        <f>G277+I277</f>
        <v>20500</v>
      </c>
      <c r="L277" s="58"/>
      <c r="M277" s="58">
        <v>0</v>
      </c>
      <c r="O277" s="176"/>
      <c r="P277" s="181"/>
    </row>
    <row r="278" spans="1:16" s="59" customFormat="1" ht="18" hidden="1" customHeight="1">
      <c r="A278" s="60"/>
      <c r="B278" s="53"/>
      <c r="C278" s="54"/>
      <c r="D278" s="55"/>
      <c r="E278" s="55"/>
      <c r="F278" s="61"/>
      <c r="G278" s="57"/>
      <c r="H278" s="57"/>
      <c r="I278" s="57"/>
      <c r="J278" s="57"/>
      <c r="K278" s="57"/>
      <c r="L278" s="58"/>
      <c r="M278" s="187"/>
      <c r="O278" s="176"/>
      <c r="P278" s="181"/>
    </row>
    <row r="279" spans="1:16" s="59" customFormat="1" ht="18" hidden="1" customHeight="1">
      <c r="A279" s="60" t="s">
        <v>209</v>
      </c>
      <c r="B279" s="53" t="s">
        <v>220</v>
      </c>
      <c r="C279" s="54" t="s">
        <v>221</v>
      </c>
      <c r="D279" s="55" t="s">
        <v>223</v>
      </c>
      <c r="E279" s="55" t="s">
        <v>224</v>
      </c>
      <c r="F279" s="61"/>
      <c r="G279" s="57">
        <v>300000</v>
      </c>
      <c r="H279" s="57"/>
      <c r="I279" s="57">
        <v>150000</v>
      </c>
      <c r="J279" s="57">
        <f>F279*I279</f>
        <v>0</v>
      </c>
      <c r="K279" s="57">
        <f>G279+I279</f>
        <v>450000</v>
      </c>
      <c r="L279" s="58">
        <f>F279*K279</f>
        <v>0</v>
      </c>
      <c r="M279" s="187"/>
      <c r="O279" s="176"/>
      <c r="P279" s="181"/>
    </row>
    <row r="280" spans="1:16" s="59" customFormat="1" ht="18" hidden="1" customHeight="1">
      <c r="A280" s="60" t="s">
        <v>209</v>
      </c>
      <c r="B280" s="53" t="s">
        <v>220</v>
      </c>
      <c r="C280" s="54" t="s">
        <v>222</v>
      </c>
      <c r="D280" s="55" t="s">
        <v>223</v>
      </c>
      <c r="E280" s="55" t="s">
        <v>224</v>
      </c>
      <c r="F280" s="61"/>
      <c r="G280" s="57">
        <v>750000</v>
      </c>
      <c r="H280" s="57"/>
      <c r="I280" s="57">
        <v>250000</v>
      </c>
      <c r="J280" s="57">
        <f>F280*I280</f>
        <v>0</v>
      </c>
      <c r="K280" s="57">
        <f>G280+I280</f>
        <v>1000000</v>
      </c>
      <c r="L280" s="58">
        <f>F280*K280</f>
        <v>0</v>
      </c>
      <c r="M280" s="187"/>
      <c r="O280" s="176"/>
      <c r="P280" s="181"/>
    </row>
    <row r="281" spans="1:16" s="59" customFormat="1" ht="18" hidden="1" customHeight="1">
      <c r="A281" s="60" t="s">
        <v>12</v>
      </c>
      <c r="B281" s="53" t="s">
        <v>181</v>
      </c>
      <c r="C281" s="62" t="s">
        <v>182</v>
      </c>
      <c r="D281" s="55"/>
      <c r="E281" s="55" t="s">
        <v>39</v>
      </c>
      <c r="F281" s="61"/>
      <c r="G281" s="57"/>
      <c r="H281" s="57">
        <f>F281*G281</f>
        <v>0</v>
      </c>
      <c r="I281" s="57"/>
      <c r="J281" s="57">
        <f>F281*I281</f>
        <v>0</v>
      </c>
      <c r="K281" s="57">
        <f>G281+I281</f>
        <v>0</v>
      </c>
      <c r="L281" s="58">
        <f>F281*K281</f>
        <v>0</v>
      </c>
      <c r="M281" s="187"/>
      <c r="O281" s="176"/>
      <c r="P281" s="181"/>
    </row>
    <row r="282" spans="1:16" s="59" customFormat="1" ht="18" hidden="1" customHeight="1">
      <c r="A282" s="60"/>
      <c r="B282" s="53"/>
      <c r="C282" s="62"/>
      <c r="D282" s="55"/>
      <c r="E282" s="55"/>
      <c r="F282" s="61"/>
      <c r="G282" s="57"/>
      <c r="H282" s="57"/>
      <c r="I282" s="57"/>
      <c r="J282" s="57"/>
      <c r="K282" s="57"/>
      <c r="L282" s="58"/>
      <c r="M282" s="187"/>
      <c r="O282" s="176"/>
      <c r="P282" s="181"/>
    </row>
    <row r="283" spans="1:16" s="386" customFormat="1" ht="18" customHeight="1">
      <c r="A283" s="284" t="s">
        <v>45</v>
      </c>
      <c r="B283" s="308" t="s">
        <v>351</v>
      </c>
      <c r="C283" s="309" t="s">
        <v>367</v>
      </c>
      <c r="D283" s="385"/>
      <c r="E283" s="310" t="s">
        <v>81</v>
      </c>
      <c r="F283" s="311">
        <v>1</v>
      </c>
      <c r="G283" s="312">
        <v>2100000</v>
      </c>
      <c r="H283" s="312">
        <f>F283*G283</f>
        <v>2100000</v>
      </c>
      <c r="I283" s="312">
        <v>200000</v>
      </c>
      <c r="J283" s="312">
        <f>F283*I283</f>
        <v>200000</v>
      </c>
      <c r="K283" s="312">
        <f>G283+I283</f>
        <v>2300000</v>
      </c>
      <c r="L283" s="313">
        <f t="shared" ref="L283" si="157">F283*K283</f>
        <v>2300000</v>
      </c>
      <c r="M283" s="313">
        <v>0</v>
      </c>
      <c r="O283" s="387"/>
      <c r="P283" s="388"/>
    </row>
    <row r="284" spans="1:16" s="386" customFormat="1" ht="18" customHeight="1">
      <c r="A284" s="284" t="s">
        <v>45</v>
      </c>
      <c r="B284" s="308" t="s">
        <v>433</v>
      </c>
      <c r="C284" s="309" t="s">
        <v>434</v>
      </c>
      <c r="D284" s="385" t="s">
        <v>391</v>
      </c>
      <c r="E284" s="310" t="s">
        <v>81</v>
      </c>
      <c r="F284" s="311">
        <v>1</v>
      </c>
      <c r="G284" s="312">
        <v>2300000</v>
      </c>
      <c r="H284" s="312">
        <f>F284*G284</f>
        <v>2300000</v>
      </c>
      <c r="I284" s="312">
        <v>200000</v>
      </c>
      <c r="J284" s="312">
        <f>F284*I284</f>
        <v>200000</v>
      </c>
      <c r="K284" s="312">
        <f>G284+I284</f>
        <v>2500000</v>
      </c>
      <c r="L284" s="313">
        <f>F284*K284</f>
        <v>2500000</v>
      </c>
      <c r="M284" s="313">
        <v>0</v>
      </c>
      <c r="O284" s="387"/>
      <c r="P284" s="388"/>
    </row>
    <row r="285" spans="1:16" s="59" customFormat="1" ht="18" customHeight="1">
      <c r="A285" s="60"/>
      <c r="B285" s="53"/>
      <c r="C285" s="62"/>
      <c r="D285" s="55"/>
      <c r="E285" s="55"/>
      <c r="F285" s="61"/>
      <c r="G285" s="57"/>
      <c r="H285" s="57"/>
      <c r="I285" s="57"/>
      <c r="J285" s="57"/>
      <c r="K285" s="57"/>
      <c r="L285" s="58"/>
      <c r="M285" s="188"/>
      <c r="O285" s="176"/>
      <c r="P285" s="181"/>
    </row>
    <row r="286" spans="1:16" ht="18" customHeight="1">
      <c r="A286" s="10"/>
      <c r="B286" s="13" t="s">
        <v>13</v>
      </c>
      <c r="C286" s="12"/>
      <c r="D286" s="5"/>
      <c r="E286" s="5"/>
      <c r="F286" s="50"/>
      <c r="G286" s="48"/>
      <c r="H286" s="48">
        <f>SUM(H234:H283)</f>
        <v>10990500</v>
      </c>
      <c r="I286" s="48"/>
      <c r="J286" s="48">
        <f>SUM(J234:J283)</f>
        <v>11707500</v>
      </c>
      <c r="K286" s="48"/>
      <c r="L286" s="48">
        <f>SUM(L234:L283)</f>
        <v>22698000</v>
      </c>
      <c r="M286" s="188"/>
    </row>
    <row r="287" spans="1:16" ht="18" customHeight="1">
      <c r="A287" s="10"/>
      <c r="B287" s="11"/>
      <c r="C287" s="12"/>
      <c r="D287" s="5"/>
      <c r="E287" s="5"/>
      <c r="F287" s="50"/>
      <c r="G287" s="28"/>
      <c r="H287" s="28"/>
      <c r="I287" s="28"/>
      <c r="J287" s="28"/>
      <c r="K287" s="28"/>
      <c r="L287" s="29"/>
      <c r="M287" s="188"/>
    </row>
    <row r="288" spans="1:16" ht="18" customHeight="1">
      <c r="A288" s="10"/>
      <c r="B288" s="11"/>
      <c r="C288" s="12"/>
      <c r="D288" s="5"/>
      <c r="E288" s="5"/>
      <c r="F288" s="50"/>
      <c r="G288" s="28"/>
      <c r="H288" s="28"/>
      <c r="I288" s="28"/>
      <c r="J288" s="39"/>
      <c r="K288" s="28"/>
      <c r="L288" s="29"/>
      <c r="M288" s="188"/>
    </row>
    <row r="289" spans="1:13" ht="18" customHeight="1">
      <c r="A289" s="265"/>
      <c r="B289" s="265" t="s">
        <v>74</v>
      </c>
      <c r="C289" s="266"/>
      <c r="D289" s="267"/>
      <c r="E289" s="267"/>
      <c r="F289" s="268"/>
      <c r="G289" s="269"/>
      <c r="H289" s="283">
        <f>H286+H231+H221+H211+H200+H163+H125+H108+H70+H59</f>
        <v>49232500</v>
      </c>
      <c r="I289" s="283"/>
      <c r="J289" s="283">
        <f>J286+J231+J221+J211+J200+J163+J125+J108+J70+J59</f>
        <v>42152800</v>
      </c>
      <c r="K289" s="283"/>
      <c r="L289" s="283">
        <f>L286+L231+L221+L211+L200+L163+L125+L108+L70+L59</f>
        <v>91425300</v>
      </c>
      <c r="M289" s="270"/>
    </row>
    <row r="290" spans="1:13" ht="18" customHeight="1">
      <c r="A290" s="10"/>
      <c r="B290" s="11"/>
      <c r="C290" s="12"/>
      <c r="D290" s="5"/>
      <c r="E290" s="5"/>
      <c r="F290" s="6"/>
      <c r="G290" s="7"/>
      <c r="H290" s="7"/>
      <c r="I290" s="7"/>
      <c r="J290" s="7"/>
      <c r="K290" s="7"/>
      <c r="L290" s="8"/>
      <c r="M290" s="188"/>
    </row>
    <row r="291" spans="1:13" ht="18" customHeight="1">
      <c r="A291" s="10"/>
      <c r="B291" s="11" t="s">
        <v>411</v>
      </c>
      <c r="C291" s="12"/>
      <c r="D291" s="5"/>
      <c r="E291" s="5"/>
      <c r="F291" s="6"/>
      <c r="G291" s="7"/>
      <c r="H291" s="7"/>
      <c r="I291" s="7"/>
      <c r="J291" s="63"/>
      <c r="K291" s="7"/>
      <c r="L291" s="8"/>
      <c r="M291" s="188"/>
    </row>
    <row r="292" spans="1:13" ht="19.5" customHeight="1">
      <c r="B292" s="65" t="s">
        <v>412</v>
      </c>
      <c r="E292" s="331"/>
      <c r="F292" s="330"/>
      <c r="G292" s="332"/>
      <c r="H292" s="330"/>
    </row>
    <row r="295" spans="1:13" ht="19.5" customHeight="1">
      <c r="C295" s="66" t="s">
        <v>414</v>
      </c>
    </row>
  </sheetData>
  <autoFilter ref="A4:M291" xr:uid="{00000000-0009-0000-0000-000002000000}"/>
  <mergeCells count="11"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9" scale="64" fitToHeight="0" orientation="landscape" r:id="rId1"/>
  <rowBreaks count="6" manualBreakCount="6">
    <brk id="40" max="12" man="1"/>
    <brk id="70" max="12" man="1"/>
    <brk id="109" max="12" man="1"/>
    <brk id="125" max="12" man="1"/>
    <brk id="164" max="12" man="1"/>
    <brk id="23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117동 204호</vt:lpstr>
      <vt:lpstr>' 갑지-1'!Print_Area</vt:lpstr>
      <vt:lpstr>'117동 204호'!Print_Area</vt:lpstr>
      <vt:lpstr>갑지!Print_Area</vt:lpstr>
      <vt:lpstr>' 갑지-1'!Print_Titles</vt:lpstr>
      <vt:lpstr>'117동 204호'!Print_Titles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Studio Cozy Design</cp:lastModifiedBy>
  <cp:lastPrinted>2024-08-03T02:31:25Z</cp:lastPrinted>
  <dcterms:created xsi:type="dcterms:W3CDTF">1997-06-17T05:19:13Z</dcterms:created>
  <dcterms:modified xsi:type="dcterms:W3CDTF">2024-08-07T01:01:03Z</dcterms:modified>
</cp:coreProperties>
</file>